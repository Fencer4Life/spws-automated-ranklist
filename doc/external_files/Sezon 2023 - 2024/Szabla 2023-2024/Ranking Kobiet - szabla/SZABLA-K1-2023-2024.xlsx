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Kobiet - szabla/"/>
    </mc:Choice>
  </mc:AlternateContent>
  <xr:revisionPtr revIDLastSave="603" documentId="8_{7DCFD9FF-8A32-4034-AFB0-C083BCE09D45}" xr6:coauthVersionLast="47" xr6:coauthVersionMax="47" xr10:uidLastSave="{B3CEE223-F521-44FD-8050-4CE1CFCE6C75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1" l="1"/>
  <c r="B8" i="31"/>
  <c r="B7" i="31"/>
  <c r="B6" i="31"/>
  <c r="S29" i="20" s="1"/>
  <c r="AB29" i="20"/>
  <c r="AC29" i="20" s="1"/>
  <c r="BC29" i="20" s="1"/>
  <c r="AB28" i="20"/>
  <c r="AC28" i="20" s="1"/>
  <c r="BC28" i="20" s="1"/>
  <c r="AB27" i="20"/>
  <c r="AC27" i="20" s="1"/>
  <c r="BC27" i="20" s="1"/>
  <c r="AB26" i="20"/>
  <c r="AC26" i="20" s="1"/>
  <c r="BC26" i="20" s="1"/>
  <c r="AB25" i="20"/>
  <c r="AC25" i="20" s="1"/>
  <c r="BC25" i="20" s="1"/>
  <c r="AB24" i="20"/>
  <c r="AC24" i="20" s="1"/>
  <c r="BC24" i="20" s="1"/>
  <c r="AB23" i="20"/>
  <c r="AC23" i="20" s="1"/>
  <c r="BC23" i="20" s="1"/>
  <c r="AB22" i="20"/>
  <c r="AC22" i="20" s="1"/>
  <c r="BC22" i="20" s="1"/>
  <c r="AB21" i="20"/>
  <c r="AC21" i="20" s="1"/>
  <c r="BC21" i="20" s="1"/>
  <c r="AB20" i="20"/>
  <c r="AC20" i="20" s="1"/>
  <c r="BC20" i="20" s="1"/>
  <c r="AB19" i="20"/>
  <c r="AC19" i="20" s="1"/>
  <c r="BC19" i="20" s="1"/>
  <c r="AB18" i="20"/>
  <c r="AC18" i="20" s="1"/>
  <c r="BC18" i="20" s="1"/>
  <c r="AB17" i="20"/>
  <c r="AC17" i="20" s="1"/>
  <c r="BC17" i="20" s="1"/>
  <c r="AB16" i="20"/>
  <c r="AC16" i="20" s="1"/>
  <c r="BC16" i="20" s="1"/>
  <c r="AB15" i="20"/>
  <c r="AC15" i="20" s="1"/>
  <c r="BC15" i="20" s="1"/>
  <c r="AB14" i="20"/>
  <c r="AC14" i="20" s="1"/>
  <c r="BC14" i="20" s="1"/>
  <c r="AB13" i="20"/>
  <c r="AC13" i="20" s="1"/>
  <c r="BC13" i="20" s="1"/>
  <c r="AB12" i="20"/>
  <c r="AC12" i="20" s="1"/>
  <c r="BC12" i="20" s="1"/>
  <c r="AB11" i="20"/>
  <c r="AC11" i="20" s="1"/>
  <c r="BC11" i="20" s="1"/>
  <c r="AB10" i="20"/>
  <c r="AC10" i="20" s="1"/>
  <c r="BC10" i="20" s="1"/>
  <c r="AB9" i="20"/>
  <c r="AC9" i="20" s="1"/>
  <c r="BC9" i="20" s="1"/>
  <c r="AB8" i="20"/>
  <c r="AC8" i="20" s="1"/>
  <c r="BC8" i="20" s="1"/>
  <c r="AB7" i="20"/>
  <c r="AC7" i="20" s="1"/>
  <c r="BC7" i="20" s="1"/>
  <c r="AB6" i="20"/>
  <c r="AC6" i="20" s="1"/>
  <c r="BC6" i="20" s="1"/>
  <c r="M305" i="37"/>
  <c r="K305" i="37"/>
  <c r="J305" i="37"/>
  <c r="I305" i="37"/>
  <c r="J304" i="37"/>
  <c r="K304" i="37" s="1"/>
  <c r="I304" i="37"/>
  <c r="M304" i="37" s="1"/>
  <c r="M303" i="37"/>
  <c r="K303" i="37"/>
  <c r="J303" i="37"/>
  <c r="I303" i="37"/>
  <c r="J302" i="37"/>
  <c r="K302" i="37" s="1"/>
  <c r="I302" i="37"/>
  <c r="M302" i="37" s="1"/>
  <c r="M301" i="37"/>
  <c r="K301" i="37"/>
  <c r="J301" i="37"/>
  <c r="I301" i="37"/>
  <c r="J300" i="37"/>
  <c r="K300" i="37" s="1"/>
  <c r="I300" i="37"/>
  <c r="M300" i="37" s="1"/>
  <c r="M299" i="37"/>
  <c r="K299" i="37"/>
  <c r="J299" i="37"/>
  <c r="I299" i="37"/>
  <c r="J298" i="37"/>
  <c r="K298" i="37" s="1"/>
  <c r="I298" i="37"/>
  <c r="M298" i="37" s="1"/>
  <c r="M297" i="37"/>
  <c r="K297" i="37"/>
  <c r="J297" i="37"/>
  <c r="I297" i="37"/>
  <c r="J296" i="37"/>
  <c r="K296" i="37" s="1"/>
  <c r="I296" i="37"/>
  <c r="M296" i="37" s="1"/>
  <c r="M295" i="37"/>
  <c r="K295" i="37"/>
  <c r="J295" i="37"/>
  <c r="I295" i="37"/>
  <c r="J294" i="37"/>
  <c r="K294" i="37" s="1"/>
  <c r="I294" i="37"/>
  <c r="M294" i="37" s="1"/>
  <c r="M293" i="37"/>
  <c r="K293" i="37"/>
  <c r="J293" i="37"/>
  <c r="I293" i="37"/>
  <c r="J292" i="37"/>
  <c r="K292" i="37" s="1"/>
  <c r="I292" i="37"/>
  <c r="M292" i="37" s="1"/>
  <c r="M291" i="37"/>
  <c r="K291" i="37"/>
  <c r="J291" i="37"/>
  <c r="I291" i="37"/>
  <c r="J290" i="37"/>
  <c r="K290" i="37" s="1"/>
  <c r="I290" i="37"/>
  <c r="M290" i="37" s="1"/>
  <c r="M289" i="37"/>
  <c r="K289" i="37"/>
  <c r="J289" i="37"/>
  <c r="I289" i="37"/>
  <c r="J288" i="37"/>
  <c r="K288" i="37" s="1"/>
  <c r="I288" i="37"/>
  <c r="M288" i="37" s="1"/>
  <c r="M287" i="37"/>
  <c r="K287" i="37"/>
  <c r="J287" i="37"/>
  <c r="I287" i="37"/>
  <c r="J286" i="37"/>
  <c r="K286" i="37" s="1"/>
  <c r="I286" i="37"/>
  <c r="M286" i="37" s="1"/>
  <c r="M285" i="37"/>
  <c r="K285" i="37"/>
  <c r="J285" i="37"/>
  <c r="I285" i="37"/>
  <c r="J284" i="37"/>
  <c r="K284" i="37" s="1"/>
  <c r="I284" i="37"/>
  <c r="M284" i="37" s="1"/>
  <c r="M283" i="37"/>
  <c r="K283" i="37"/>
  <c r="J283" i="37"/>
  <c r="I283" i="37"/>
  <c r="J282" i="37"/>
  <c r="K282" i="37" s="1"/>
  <c r="I282" i="37"/>
  <c r="M282" i="37" s="1"/>
  <c r="M281" i="37"/>
  <c r="K281" i="37"/>
  <c r="J281" i="37"/>
  <c r="I281" i="37"/>
  <c r="J280" i="37"/>
  <c r="K280" i="37" s="1"/>
  <c r="I280" i="37"/>
  <c r="M280" i="37" s="1"/>
  <c r="M279" i="37"/>
  <c r="K279" i="37"/>
  <c r="J279" i="37"/>
  <c r="I279" i="37"/>
  <c r="J278" i="37"/>
  <c r="K278" i="37" s="1"/>
  <c r="I278" i="37"/>
  <c r="M278" i="37" s="1"/>
  <c r="M277" i="37"/>
  <c r="K277" i="37"/>
  <c r="J277" i="37"/>
  <c r="I277" i="37"/>
  <c r="J276" i="37"/>
  <c r="K276" i="37" s="1"/>
  <c r="I276" i="37"/>
  <c r="M276" i="37" s="1"/>
  <c r="M275" i="37"/>
  <c r="K275" i="37"/>
  <c r="J275" i="37"/>
  <c r="I275" i="37"/>
  <c r="J274" i="37"/>
  <c r="K274" i="37" s="1"/>
  <c r="I274" i="37"/>
  <c r="M274" i="37" s="1"/>
  <c r="M273" i="37"/>
  <c r="K273" i="37"/>
  <c r="J273" i="37"/>
  <c r="I273" i="37"/>
  <c r="J272" i="37"/>
  <c r="K272" i="37" s="1"/>
  <c r="I272" i="37"/>
  <c r="M272" i="37" s="1"/>
  <c r="M271" i="37"/>
  <c r="K271" i="37"/>
  <c r="J271" i="37"/>
  <c r="I271" i="37"/>
  <c r="J270" i="37"/>
  <c r="K270" i="37" s="1"/>
  <c r="I270" i="37"/>
  <c r="M270" i="37" s="1"/>
  <c r="M269" i="37"/>
  <c r="J269" i="37"/>
  <c r="K269" i="37" s="1"/>
  <c r="I269" i="37"/>
  <c r="J268" i="37"/>
  <c r="K268" i="37" s="1"/>
  <c r="I268" i="37"/>
  <c r="M268" i="37" s="1"/>
  <c r="M267" i="37"/>
  <c r="J267" i="37"/>
  <c r="K267" i="37" s="1"/>
  <c r="I267" i="37"/>
  <c r="J266" i="37"/>
  <c r="K266" i="37" s="1"/>
  <c r="I266" i="37"/>
  <c r="M266" i="37" s="1"/>
  <c r="M265" i="37"/>
  <c r="K265" i="37"/>
  <c r="J265" i="37"/>
  <c r="I265" i="37"/>
  <c r="J264" i="37"/>
  <c r="K264" i="37" s="1"/>
  <c r="I264" i="37"/>
  <c r="M264" i="37" s="1"/>
  <c r="M263" i="37"/>
  <c r="K263" i="37"/>
  <c r="J263" i="37"/>
  <c r="I263" i="37"/>
  <c r="J262" i="37"/>
  <c r="K262" i="37" s="1"/>
  <c r="I262" i="37"/>
  <c r="M262" i="37" s="1"/>
  <c r="M261" i="37"/>
  <c r="J261" i="37"/>
  <c r="K261" i="37" s="1"/>
  <c r="I261" i="37"/>
  <c r="J260" i="37"/>
  <c r="K260" i="37" s="1"/>
  <c r="I260" i="37"/>
  <c r="M260" i="37" s="1"/>
  <c r="M259" i="37"/>
  <c r="J259" i="37"/>
  <c r="K259" i="37" s="1"/>
  <c r="I259" i="37"/>
  <c r="J258" i="37"/>
  <c r="K258" i="37" s="1"/>
  <c r="I258" i="37"/>
  <c r="M258" i="37" s="1"/>
  <c r="M257" i="37"/>
  <c r="K257" i="37"/>
  <c r="J257" i="37"/>
  <c r="I257" i="37"/>
  <c r="J256" i="37"/>
  <c r="K256" i="37" s="1"/>
  <c r="I256" i="37"/>
  <c r="M256" i="37" s="1"/>
  <c r="M255" i="37"/>
  <c r="K255" i="37"/>
  <c r="J255" i="37"/>
  <c r="I255" i="37"/>
  <c r="J254" i="37"/>
  <c r="K254" i="37" s="1"/>
  <c r="I254" i="37"/>
  <c r="M254" i="37" s="1"/>
  <c r="M253" i="37"/>
  <c r="J253" i="37"/>
  <c r="K253" i="37" s="1"/>
  <c r="I253" i="37"/>
  <c r="J252" i="37"/>
  <c r="K252" i="37" s="1"/>
  <c r="I252" i="37"/>
  <c r="M252" i="37" s="1"/>
  <c r="M251" i="37"/>
  <c r="J251" i="37"/>
  <c r="K251" i="37" s="1"/>
  <c r="I251" i="37"/>
  <c r="J250" i="37"/>
  <c r="K250" i="37" s="1"/>
  <c r="I250" i="37"/>
  <c r="M250" i="37" s="1"/>
  <c r="M249" i="37"/>
  <c r="K249" i="37"/>
  <c r="J249" i="37"/>
  <c r="I249" i="37"/>
  <c r="J248" i="37"/>
  <c r="K248" i="37" s="1"/>
  <c r="I248" i="37"/>
  <c r="M248" i="37" s="1"/>
  <c r="M247" i="37"/>
  <c r="K247" i="37"/>
  <c r="J247" i="37"/>
  <c r="I247" i="37"/>
  <c r="J246" i="37"/>
  <c r="K246" i="37" s="1"/>
  <c r="I246" i="37"/>
  <c r="M246" i="37" s="1"/>
  <c r="M245" i="37"/>
  <c r="J245" i="37"/>
  <c r="K245" i="37" s="1"/>
  <c r="I245" i="37"/>
  <c r="J244" i="37"/>
  <c r="K244" i="37" s="1"/>
  <c r="I244" i="37"/>
  <c r="M244" i="37" s="1"/>
  <c r="M243" i="37"/>
  <c r="J243" i="37"/>
  <c r="K243" i="37" s="1"/>
  <c r="I243" i="37"/>
  <c r="J242" i="37"/>
  <c r="K242" i="37" s="1"/>
  <c r="I242" i="37"/>
  <c r="M242" i="37" s="1"/>
  <c r="M241" i="37"/>
  <c r="J241" i="37"/>
  <c r="K241" i="37" s="1"/>
  <c r="I241" i="37"/>
  <c r="J240" i="37"/>
  <c r="K240" i="37" s="1"/>
  <c r="I240" i="37"/>
  <c r="M240" i="37" s="1"/>
  <c r="M239" i="37"/>
  <c r="K239" i="37"/>
  <c r="J239" i="37"/>
  <c r="I239" i="37"/>
  <c r="J238" i="37"/>
  <c r="K238" i="37" s="1"/>
  <c r="I238" i="37"/>
  <c r="M238" i="37" s="1"/>
  <c r="M237" i="37"/>
  <c r="J237" i="37"/>
  <c r="K237" i="37" s="1"/>
  <c r="I237" i="37"/>
  <c r="J236" i="37"/>
  <c r="K236" i="37" s="1"/>
  <c r="I236" i="37"/>
  <c r="M236" i="37" s="1"/>
  <c r="M235" i="37"/>
  <c r="J235" i="37"/>
  <c r="K235" i="37" s="1"/>
  <c r="I235" i="37"/>
  <c r="J234" i="37"/>
  <c r="K234" i="37" s="1"/>
  <c r="I234" i="37"/>
  <c r="M234" i="37" s="1"/>
  <c r="M233" i="37"/>
  <c r="J233" i="37"/>
  <c r="K233" i="37" s="1"/>
  <c r="I233" i="37"/>
  <c r="J232" i="37"/>
  <c r="K232" i="37" s="1"/>
  <c r="I232" i="37"/>
  <c r="M232" i="37" s="1"/>
  <c r="M231" i="37"/>
  <c r="K231" i="37"/>
  <c r="J231" i="37"/>
  <c r="I231" i="37"/>
  <c r="J230" i="37"/>
  <c r="K230" i="37" s="1"/>
  <c r="I230" i="37"/>
  <c r="M230" i="37" s="1"/>
  <c r="M229" i="37"/>
  <c r="J229" i="37"/>
  <c r="K229" i="37" s="1"/>
  <c r="I229" i="37"/>
  <c r="J228" i="37"/>
  <c r="K228" i="37" s="1"/>
  <c r="I228" i="37"/>
  <c r="M228" i="37" s="1"/>
  <c r="M227" i="37"/>
  <c r="J227" i="37"/>
  <c r="K227" i="37" s="1"/>
  <c r="I227" i="37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M223" i="37"/>
  <c r="K223" i="37"/>
  <c r="J223" i="37"/>
  <c r="I223" i="37"/>
  <c r="J222" i="37"/>
  <c r="K222" i="37" s="1"/>
  <c r="I222" i="37"/>
  <c r="M222" i="37" s="1"/>
  <c r="M221" i="37"/>
  <c r="J221" i="37"/>
  <c r="K221" i="37" s="1"/>
  <c r="I221" i="37"/>
  <c r="J220" i="37"/>
  <c r="K220" i="37" s="1"/>
  <c r="I220" i="37"/>
  <c r="M220" i="37" s="1"/>
  <c r="M219" i="37"/>
  <c r="J219" i="37"/>
  <c r="K219" i="37" s="1"/>
  <c r="I219" i="37"/>
  <c r="J218" i="37"/>
  <c r="K218" i="37" s="1"/>
  <c r="I218" i="37"/>
  <c r="M218" i="37" s="1"/>
  <c r="M217" i="37"/>
  <c r="J217" i="37"/>
  <c r="K217" i="37" s="1"/>
  <c r="I217" i="37"/>
  <c r="J216" i="37"/>
  <c r="K216" i="37" s="1"/>
  <c r="I216" i="37"/>
  <c r="M216" i="37" s="1"/>
  <c r="K215" i="37"/>
  <c r="J215" i="37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M211" i="37"/>
  <c r="J211" i="37"/>
  <c r="K211" i="37" s="1"/>
  <c r="I211" i="37"/>
  <c r="J210" i="37"/>
  <c r="K210" i="37" s="1"/>
  <c r="I210" i="37"/>
  <c r="M210" i="37" s="1"/>
  <c r="M209" i="37"/>
  <c r="J209" i="37"/>
  <c r="K209" i="37" s="1"/>
  <c r="I209" i="37"/>
  <c r="J208" i="37"/>
  <c r="K208" i="37" s="1"/>
  <c r="I208" i="37"/>
  <c r="M208" i="37" s="1"/>
  <c r="M207" i="37"/>
  <c r="K207" i="37"/>
  <c r="J207" i="37"/>
  <c r="I207" i="37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M203" i="37"/>
  <c r="J203" i="37"/>
  <c r="K203" i="37" s="1"/>
  <c r="I203" i="37"/>
  <c r="J202" i="37"/>
  <c r="K202" i="37" s="1"/>
  <c r="I202" i="37"/>
  <c r="M202" i="37" s="1"/>
  <c r="M201" i="37"/>
  <c r="J201" i="37"/>
  <c r="K201" i="37" s="1"/>
  <c r="I201" i="37"/>
  <c r="J200" i="37"/>
  <c r="K200" i="37" s="1"/>
  <c r="I200" i="37"/>
  <c r="M200" i="37" s="1"/>
  <c r="M199" i="37"/>
  <c r="K199" i="37"/>
  <c r="J199" i="37"/>
  <c r="I199" i="37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M195" i="37"/>
  <c r="J195" i="37"/>
  <c r="K195" i="37" s="1"/>
  <c r="I195" i="37"/>
  <c r="J194" i="37"/>
  <c r="K194" i="37" s="1"/>
  <c r="I194" i="37"/>
  <c r="M194" i="37" s="1"/>
  <c r="M193" i="37"/>
  <c r="J193" i="37"/>
  <c r="K193" i="37" s="1"/>
  <c r="I193" i="37"/>
  <c r="J192" i="37"/>
  <c r="K192" i="37" s="1"/>
  <c r="I192" i="37"/>
  <c r="M192" i="37" s="1"/>
  <c r="M191" i="37"/>
  <c r="K191" i="37"/>
  <c r="J191" i="37"/>
  <c r="I191" i="37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M187" i="37"/>
  <c r="J187" i="37"/>
  <c r="K187" i="37" s="1"/>
  <c r="I187" i="37"/>
  <c r="J186" i="37"/>
  <c r="K186" i="37" s="1"/>
  <c r="I186" i="37"/>
  <c r="M186" i="37" s="1"/>
  <c r="M185" i="37"/>
  <c r="J185" i="37"/>
  <c r="K185" i="37" s="1"/>
  <c r="I185" i="37"/>
  <c r="J184" i="37"/>
  <c r="K184" i="37" s="1"/>
  <c r="I184" i="37"/>
  <c r="M184" i="37" s="1"/>
  <c r="M183" i="37"/>
  <c r="K183" i="37"/>
  <c r="J183" i="37"/>
  <c r="I183" i="37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M179" i="37"/>
  <c r="J179" i="37"/>
  <c r="K179" i="37" s="1"/>
  <c r="I179" i="37"/>
  <c r="J178" i="37"/>
  <c r="K178" i="37" s="1"/>
  <c r="I178" i="37"/>
  <c r="M178" i="37" s="1"/>
  <c r="M177" i="37"/>
  <c r="J177" i="37"/>
  <c r="K177" i="37" s="1"/>
  <c r="I177" i="37"/>
  <c r="J176" i="37"/>
  <c r="K176" i="37" s="1"/>
  <c r="I176" i="37"/>
  <c r="M176" i="37" s="1"/>
  <c r="M175" i="37"/>
  <c r="K175" i="37"/>
  <c r="J175" i="37"/>
  <c r="I175" i="37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M171" i="37"/>
  <c r="J171" i="37"/>
  <c r="K171" i="37" s="1"/>
  <c r="I171" i="37"/>
  <c r="J170" i="37"/>
  <c r="K170" i="37" s="1"/>
  <c r="I170" i="37"/>
  <c r="M170" i="37" s="1"/>
  <c r="M169" i="37"/>
  <c r="J169" i="37"/>
  <c r="K169" i="37" s="1"/>
  <c r="I169" i="37"/>
  <c r="J168" i="37"/>
  <c r="K168" i="37" s="1"/>
  <c r="I168" i="37"/>
  <c r="M168" i="37" s="1"/>
  <c r="M167" i="37"/>
  <c r="K167" i="37"/>
  <c r="J167" i="37"/>
  <c r="I167" i="37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M163" i="37"/>
  <c r="J163" i="37"/>
  <c r="K163" i="37" s="1"/>
  <c r="I163" i="37"/>
  <c r="J162" i="37"/>
  <c r="K162" i="37" s="1"/>
  <c r="I162" i="37"/>
  <c r="M162" i="37" s="1"/>
  <c r="M161" i="37"/>
  <c r="J161" i="37"/>
  <c r="K161" i="37" s="1"/>
  <c r="I161" i="37"/>
  <c r="J160" i="37"/>
  <c r="K160" i="37" s="1"/>
  <c r="I160" i="37"/>
  <c r="M160" i="37" s="1"/>
  <c r="M159" i="37"/>
  <c r="K159" i="37"/>
  <c r="J159" i="37"/>
  <c r="I159" i="37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M155" i="37"/>
  <c r="J155" i="37"/>
  <c r="K155" i="37" s="1"/>
  <c r="I155" i="37"/>
  <c r="J154" i="37"/>
  <c r="K154" i="37" s="1"/>
  <c r="I154" i="37"/>
  <c r="M154" i="37" s="1"/>
  <c r="M153" i="37"/>
  <c r="J153" i="37"/>
  <c r="K153" i="37" s="1"/>
  <c r="I153" i="37"/>
  <c r="J152" i="37"/>
  <c r="K152" i="37" s="1"/>
  <c r="I152" i="37"/>
  <c r="M152" i="37" s="1"/>
  <c r="M151" i="37"/>
  <c r="K151" i="37"/>
  <c r="J151" i="37"/>
  <c r="I151" i="37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M147" i="37"/>
  <c r="J147" i="37"/>
  <c r="K147" i="37" s="1"/>
  <c r="I147" i="37"/>
  <c r="J146" i="37"/>
  <c r="K146" i="37" s="1"/>
  <c r="I146" i="37"/>
  <c r="M146" i="37" s="1"/>
  <c r="M145" i="37"/>
  <c r="J145" i="37"/>
  <c r="K145" i="37" s="1"/>
  <c r="I145" i="37"/>
  <c r="J144" i="37"/>
  <c r="K144" i="37" s="1"/>
  <c r="I144" i="37"/>
  <c r="M144" i="37" s="1"/>
  <c r="M143" i="37"/>
  <c r="K143" i="37"/>
  <c r="J143" i="37"/>
  <c r="I143" i="37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A139" i="37" s="1"/>
  <c r="K139" i="37"/>
  <c r="J139" i="37"/>
  <c r="I139" i="37"/>
  <c r="B139" i="37"/>
  <c r="M138" i="37"/>
  <c r="A138" i="37" s="1"/>
  <c r="J138" i="37"/>
  <c r="K138" i="37" s="1"/>
  <c r="I138" i="37"/>
  <c r="B138" i="37"/>
  <c r="M137" i="37"/>
  <c r="A137" i="37" s="1"/>
  <c r="K137" i="37"/>
  <c r="J137" i="37"/>
  <c r="I137" i="37"/>
  <c r="B137" i="37"/>
  <c r="J136" i="37"/>
  <c r="K136" i="37" s="1"/>
  <c r="I136" i="37"/>
  <c r="M136" i="37" s="1"/>
  <c r="A136" i="37" s="1"/>
  <c r="B136" i="37"/>
  <c r="M135" i="37"/>
  <c r="J135" i="37"/>
  <c r="K135" i="37" s="1"/>
  <c r="I135" i="37"/>
  <c r="B135" i="37"/>
  <c r="A135" i="37"/>
  <c r="M134" i="37"/>
  <c r="A134" i="37" s="1"/>
  <c r="J134" i="37"/>
  <c r="K134" i="37" s="1"/>
  <c r="I134" i="37"/>
  <c r="B134" i="37"/>
  <c r="M133" i="37"/>
  <c r="A133" i="37" s="1"/>
  <c r="K133" i="37"/>
  <c r="J133" i="37"/>
  <c r="I133" i="37"/>
  <c r="B133" i="37"/>
  <c r="J132" i="37"/>
  <c r="K132" i="37" s="1"/>
  <c r="I132" i="37"/>
  <c r="M132" i="37" s="1"/>
  <c r="A132" i="37" s="1"/>
  <c r="B132" i="37"/>
  <c r="M131" i="37"/>
  <c r="J131" i="37"/>
  <c r="K131" i="37" s="1"/>
  <c r="I131" i="37"/>
  <c r="B131" i="37"/>
  <c r="A131" i="37"/>
  <c r="M130" i="37"/>
  <c r="A130" i="37" s="1"/>
  <c r="J130" i="37"/>
  <c r="K130" i="37" s="1"/>
  <c r="I130" i="37"/>
  <c r="B130" i="37"/>
  <c r="M129" i="37"/>
  <c r="A129" i="37" s="1"/>
  <c r="K129" i="37"/>
  <c r="J129" i="37"/>
  <c r="I129" i="37"/>
  <c r="B129" i="37"/>
  <c r="J128" i="37"/>
  <c r="K128" i="37" s="1"/>
  <c r="I128" i="37"/>
  <c r="M128" i="37" s="1"/>
  <c r="A128" i="37" s="1"/>
  <c r="B128" i="37"/>
  <c r="M127" i="37"/>
  <c r="J127" i="37"/>
  <c r="K127" i="37" s="1"/>
  <c r="I127" i="37"/>
  <c r="B127" i="37"/>
  <c r="A127" i="37"/>
  <c r="M126" i="37"/>
  <c r="A126" i="37" s="1"/>
  <c r="J126" i="37"/>
  <c r="K126" i="37" s="1"/>
  <c r="I126" i="37"/>
  <c r="B126" i="37"/>
  <c r="M125" i="37"/>
  <c r="A125" i="37" s="1"/>
  <c r="K125" i="37"/>
  <c r="J125" i="37"/>
  <c r="I125" i="37"/>
  <c r="B125" i="37"/>
  <c r="J124" i="37"/>
  <c r="K124" i="37" s="1"/>
  <c r="I124" i="37"/>
  <c r="M124" i="37" s="1"/>
  <c r="A124" i="37" s="1"/>
  <c r="B124" i="37"/>
  <c r="M123" i="37"/>
  <c r="J123" i="37"/>
  <c r="K123" i="37" s="1"/>
  <c r="I123" i="37"/>
  <c r="B123" i="37"/>
  <c r="A123" i="37"/>
  <c r="M122" i="37"/>
  <c r="A122" i="37" s="1"/>
  <c r="J122" i="37"/>
  <c r="K122" i="37" s="1"/>
  <c r="I122" i="37"/>
  <c r="B122" i="37"/>
  <c r="M121" i="37"/>
  <c r="A121" i="37" s="1"/>
  <c r="K121" i="37"/>
  <c r="J121" i="37"/>
  <c r="I121" i="37"/>
  <c r="B121" i="37"/>
  <c r="J120" i="37"/>
  <c r="K120" i="37" s="1"/>
  <c r="I120" i="37"/>
  <c r="M120" i="37" s="1"/>
  <c r="A120" i="37" s="1"/>
  <c r="B120" i="37"/>
  <c r="M119" i="37"/>
  <c r="J119" i="37"/>
  <c r="K119" i="37" s="1"/>
  <c r="I119" i="37"/>
  <c r="B119" i="37"/>
  <c r="A119" i="37"/>
  <c r="M118" i="37"/>
  <c r="A118" i="37" s="1"/>
  <c r="J118" i="37"/>
  <c r="K118" i="37" s="1"/>
  <c r="I118" i="37"/>
  <c r="B118" i="37"/>
  <c r="M117" i="37"/>
  <c r="A117" i="37" s="1"/>
  <c r="K117" i="37"/>
  <c r="J117" i="37"/>
  <c r="I117" i="37"/>
  <c r="B117" i="37"/>
  <c r="J116" i="37"/>
  <c r="K116" i="37" s="1"/>
  <c r="I116" i="37"/>
  <c r="M116" i="37" s="1"/>
  <c r="A116" i="37" s="1"/>
  <c r="B116" i="37"/>
  <c r="M115" i="37"/>
  <c r="J115" i="37"/>
  <c r="K115" i="37" s="1"/>
  <c r="I115" i="37"/>
  <c r="B115" i="37"/>
  <c r="A115" i="37"/>
  <c r="M114" i="37"/>
  <c r="A114" i="37" s="1"/>
  <c r="J114" i="37"/>
  <c r="K114" i="37" s="1"/>
  <c r="I114" i="37"/>
  <c r="B114" i="37"/>
  <c r="M113" i="37"/>
  <c r="A113" i="37" s="1"/>
  <c r="K113" i="37"/>
  <c r="J113" i="37"/>
  <c r="I113" i="37"/>
  <c r="B113" i="37"/>
  <c r="J112" i="37"/>
  <c r="K112" i="37" s="1"/>
  <c r="I112" i="37"/>
  <c r="M112" i="37" s="1"/>
  <c r="A112" i="37" s="1"/>
  <c r="B112" i="37"/>
  <c r="M111" i="37"/>
  <c r="J111" i="37"/>
  <c r="K111" i="37" s="1"/>
  <c r="I111" i="37"/>
  <c r="B111" i="37"/>
  <c r="A111" i="37"/>
  <c r="M110" i="37"/>
  <c r="A110" i="37" s="1"/>
  <c r="J110" i="37"/>
  <c r="K110" i="37" s="1"/>
  <c r="I110" i="37"/>
  <c r="B110" i="37"/>
  <c r="M109" i="37"/>
  <c r="A109" i="37" s="1"/>
  <c r="K109" i="37"/>
  <c r="J109" i="37"/>
  <c r="I109" i="37"/>
  <c r="B109" i="37"/>
  <c r="J108" i="37"/>
  <c r="K108" i="37" s="1"/>
  <c r="I108" i="37"/>
  <c r="M108" i="37" s="1"/>
  <c r="A108" i="37" s="1"/>
  <c r="B108" i="37"/>
  <c r="M107" i="37"/>
  <c r="J107" i="37"/>
  <c r="K107" i="37" s="1"/>
  <c r="I107" i="37"/>
  <c r="B107" i="37"/>
  <c r="A107" i="37"/>
  <c r="M106" i="37"/>
  <c r="A106" i="37" s="1"/>
  <c r="J106" i="37"/>
  <c r="K106" i="37" s="1"/>
  <c r="I106" i="37"/>
  <c r="B106" i="37"/>
  <c r="M105" i="37"/>
  <c r="A105" i="37" s="1"/>
  <c r="K105" i="37"/>
  <c r="J105" i="37"/>
  <c r="I105" i="37"/>
  <c r="B105" i="37"/>
  <c r="J104" i="37"/>
  <c r="K104" i="37" s="1"/>
  <c r="I104" i="37"/>
  <c r="M104" i="37" s="1"/>
  <c r="A104" i="37" s="1"/>
  <c r="B104" i="37"/>
  <c r="M103" i="37"/>
  <c r="J103" i="37"/>
  <c r="K103" i="37" s="1"/>
  <c r="I103" i="37"/>
  <c r="B103" i="37"/>
  <c r="A103" i="37"/>
  <c r="M102" i="37"/>
  <c r="A102" i="37" s="1"/>
  <c r="J102" i="37"/>
  <c r="K102" i="37" s="1"/>
  <c r="I102" i="37"/>
  <c r="B102" i="37"/>
  <c r="M101" i="37"/>
  <c r="A101" i="37" s="1"/>
  <c r="K101" i="37"/>
  <c r="J101" i="37"/>
  <c r="I101" i="37"/>
  <c r="B101" i="37"/>
  <c r="J100" i="37"/>
  <c r="K100" i="37" s="1"/>
  <c r="I100" i="37"/>
  <c r="M100" i="37" s="1"/>
  <c r="A100" i="37" s="1"/>
  <c r="B100" i="37"/>
  <c r="M99" i="37"/>
  <c r="J99" i="37"/>
  <c r="K99" i="37" s="1"/>
  <c r="I99" i="37"/>
  <c r="B99" i="37"/>
  <c r="A99" i="37"/>
  <c r="M98" i="37"/>
  <c r="A98" i="37" s="1"/>
  <c r="J98" i="37"/>
  <c r="K98" i="37" s="1"/>
  <c r="I98" i="37"/>
  <c r="B98" i="37"/>
  <c r="M97" i="37"/>
  <c r="A97" i="37" s="1"/>
  <c r="K97" i="37"/>
  <c r="J97" i="37"/>
  <c r="I97" i="37"/>
  <c r="B97" i="37"/>
  <c r="J96" i="37"/>
  <c r="K96" i="37" s="1"/>
  <c r="I96" i="37"/>
  <c r="M96" i="37" s="1"/>
  <c r="A96" i="37" s="1"/>
  <c r="B96" i="37"/>
  <c r="M95" i="37"/>
  <c r="J95" i="37"/>
  <c r="K95" i="37" s="1"/>
  <c r="I95" i="37"/>
  <c r="B95" i="37"/>
  <c r="A95" i="37"/>
  <c r="M94" i="37"/>
  <c r="A94" i="37" s="1"/>
  <c r="J94" i="37"/>
  <c r="K94" i="37" s="1"/>
  <c r="I94" i="37"/>
  <c r="B94" i="37"/>
  <c r="M93" i="37"/>
  <c r="A93" i="37" s="1"/>
  <c r="K93" i="37"/>
  <c r="J93" i="37"/>
  <c r="I93" i="37"/>
  <c r="B93" i="37"/>
  <c r="J92" i="37"/>
  <c r="K92" i="37" s="1"/>
  <c r="I92" i="37"/>
  <c r="M92" i="37" s="1"/>
  <c r="A92" i="37" s="1"/>
  <c r="B92" i="37"/>
  <c r="M91" i="37"/>
  <c r="J91" i="37"/>
  <c r="K91" i="37" s="1"/>
  <c r="I91" i="37"/>
  <c r="B91" i="37"/>
  <c r="A91" i="37"/>
  <c r="M90" i="37"/>
  <c r="A90" i="37" s="1"/>
  <c r="J90" i="37"/>
  <c r="K90" i="37" s="1"/>
  <c r="I90" i="37"/>
  <c r="B90" i="37"/>
  <c r="M89" i="37"/>
  <c r="A89" i="37" s="1"/>
  <c r="K89" i="37"/>
  <c r="J89" i="37"/>
  <c r="I89" i="37"/>
  <c r="B89" i="37"/>
  <c r="J88" i="37"/>
  <c r="K88" i="37" s="1"/>
  <c r="I88" i="37"/>
  <c r="M88" i="37" s="1"/>
  <c r="A88" i="37" s="1"/>
  <c r="B88" i="37"/>
  <c r="M87" i="37"/>
  <c r="J87" i="37"/>
  <c r="K87" i="37" s="1"/>
  <c r="I87" i="37"/>
  <c r="B87" i="37"/>
  <c r="A87" i="37"/>
  <c r="M86" i="37"/>
  <c r="A86" i="37" s="1"/>
  <c r="J86" i="37"/>
  <c r="K86" i="37" s="1"/>
  <c r="I86" i="37"/>
  <c r="B86" i="37"/>
  <c r="M85" i="37"/>
  <c r="A85" i="37" s="1"/>
  <c r="K85" i="37"/>
  <c r="J85" i="37"/>
  <c r="I85" i="37"/>
  <c r="B85" i="37"/>
  <c r="J84" i="37"/>
  <c r="K84" i="37" s="1"/>
  <c r="I84" i="37"/>
  <c r="M84" i="37" s="1"/>
  <c r="A84" i="37" s="1"/>
  <c r="B84" i="37"/>
  <c r="M83" i="37"/>
  <c r="J83" i="37"/>
  <c r="K83" i="37" s="1"/>
  <c r="I83" i="37"/>
  <c r="B83" i="37"/>
  <c r="A83" i="37"/>
  <c r="M82" i="37"/>
  <c r="A82" i="37" s="1"/>
  <c r="J82" i="37"/>
  <c r="K82" i="37" s="1"/>
  <c r="I82" i="37"/>
  <c r="B82" i="37"/>
  <c r="M81" i="37"/>
  <c r="A81" i="37" s="1"/>
  <c r="K81" i="37"/>
  <c r="J81" i="37"/>
  <c r="I81" i="37"/>
  <c r="B81" i="37"/>
  <c r="J80" i="37"/>
  <c r="K80" i="37" s="1"/>
  <c r="I80" i="37"/>
  <c r="M80" i="37" s="1"/>
  <c r="A80" i="37" s="1"/>
  <c r="B80" i="37"/>
  <c r="M79" i="37"/>
  <c r="J79" i="37"/>
  <c r="K79" i="37" s="1"/>
  <c r="I79" i="37"/>
  <c r="B79" i="37"/>
  <c r="A79" i="37"/>
  <c r="M78" i="37"/>
  <c r="A78" i="37" s="1"/>
  <c r="J78" i="37"/>
  <c r="K78" i="37" s="1"/>
  <c r="I78" i="37"/>
  <c r="B78" i="37"/>
  <c r="M77" i="37"/>
  <c r="A77" i="37" s="1"/>
  <c r="K77" i="37"/>
  <c r="J77" i="37"/>
  <c r="I77" i="37"/>
  <c r="B77" i="37"/>
  <c r="J76" i="37"/>
  <c r="K76" i="37" s="1"/>
  <c r="I76" i="37"/>
  <c r="M76" i="37" s="1"/>
  <c r="A76" i="37" s="1"/>
  <c r="B76" i="37"/>
  <c r="M75" i="37"/>
  <c r="J75" i="37"/>
  <c r="K75" i="37" s="1"/>
  <c r="I75" i="37"/>
  <c r="B75" i="37"/>
  <c r="A75" i="37"/>
  <c r="M74" i="37"/>
  <c r="A74" i="37" s="1"/>
  <c r="J74" i="37"/>
  <c r="K74" i="37" s="1"/>
  <c r="I74" i="37"/>
  <c r="B74" i="37"/>
  <c r="M73" i="37"/>
  <c r="A73" i="37" s="1"/>
  <c r="K73" i="37"/>
  <c r="J73" i="37"/>
  <c r="I73" i="37"/>
  <c r="B73" i="37"/>
  <c r="J72" i="37"/>
  <c r="K72" i="37" s="1"/>
  <c r="I72" i="37"/>
  <c r="M72" i="37" s="1"/>
  <c r="A72" i="37" s="1"/>
  <c r="B72" i="37"/>
  <c r="M71" i="37"/>
  <c r="J71" i="37"/>
  <c r="K71" i="37" s="1"/>
  <c r="I71" i="37"/>
  <c r="B71" i="37"/>
  <c r="A71" i="37"/>
  <c r="M70" i="37"/>
  <c r="A70" i="37" s="1"/>
  <c r="J70" i="37"/>
  <c r="K70" i="37" s="1"/>
  <c r="I70" i="37"/>
  <c r="B70" i="37"/>
  <c r="M69" i="37"/>
  <c r="A69" i="37" s="1"/>
  <c r="K69" i="37"/>
  <c r="J69" i="37"/>
  <c r="I69" i="37"/>
  <c r="B69" i="37"/>
  <c r="J68" i="37"/>
  <c r="K68" i="37" s="1"/>
  <c r="I68" i="37"/>
  <c r="M68" i="37" s="1"/>
  <c r="A68" i="37" s="1"/>
  <c r="B68" i="37"/>
  <c r="M67" i="37"/>
  <c r="J67" i="37"/>
  <c r="K67" i="37" s="1"/>
  <c r="I67" i="37"/>
  <c r="B67" i="37"/>
  <c r="A67" i="37"/>
  <c r="M66" i="37"/>
  <c r="A66" i="37" s="1"/>
  <c r="J66" i="37"/>
  <c r="K66" i="37" s="1"/>
  <c r="I66" i="37"/>
  <c r="B66" i="37"/>
  <c r="M65" i="37"/>
  <c r="A65" i="37" s="1"/>
  <c r="K65" i="37"/>
  <c r="J65" i="37"/>
  <c r="I65" i="37"/>
  <c r="B65" i="37"/>
  <c r="J64" i="37"/>
  <c r="K64" i="37" s="1"/>
  <c r="I64" i="37"/>
  <c r="M64" i="37" s="1"/>
  <c r="A64" i="37" s="1"/>
  <c r="B64" i="37"/>
  <c r="M63" i="37"/>
  <c r="J63" i="37"/>
  <c r="K63" i="37" s="1"/>
  <c r="I63" i="37"/>
  <c r="B63" i="37"/>
  <c r="A63" i="37"/>
  <c r="M62" i="37"/>
  <c r="A62" i="37" s="1"/>
  <c r="J62" i="37"/>
  <c r="K62" i="37" s="1"/>
  <c r="I62" i="37"/>
  <c r="B62" i="37"/>
  <c r="M61" i="37"/>
  <c r="A61" i="37" s="1"/>
  <c r="K61" i="37"/>
  <c r="J61" i="37"/>
  <c r="I61" i="37"/>
  <c r="B61" i="37"/>
  <c r="J60" i="37"/>
  <c r="K60" i="37" s="1"/>
  <c r="I60" i="37"/>
  <c r="M60" i="37" s="1"/>
  <c r="A60" i="37" s="1"/>
  <c r="B60" i="37"/>
  <c r="M59" i="37"/>
  <c r="J59" i="37"/>
  <c r="K59" i="37" s="1"/>
  <c r="I59" i="37"/>
  <c r="B59" i="37"/>
  <c r="A59" i="37"/>
  <c r="M58" i="37"/>
  <c r="A58" i="37" s="1"/>
  <c r="J58" i="37"/>
  <c r="K58" i="37" s="1"/>
  <c r="I58" i="37"/>
  <c r="B58" i="37"/>
  <c r="M57" i="37"/>
  <c r="A57" i="37" s="1"/>
  <c r="K57" i="37"/>
  <c r="J57" i="37"/>
  <c r="I57" i="37"/>
  <c r="B57" i="37"/>
  <c r="J56" i="37"/>
  <c r="K56" i="37" s="1"/>
  <c r="I56" i="37"/>
  <c r="M56" i="37" s="1"/>
  <c r="A56" i="37" s="1"/>
  <c r="B56" i="37"/>
  <c r="M55" i="37"/>
  <c r="J55" i="37"/>
  <c r="K55" i="37" s="1"/>
  <c r="I55" i="37"/>
  <c r="B55" i="37"/>
  <c r="A55" i="37"/>
  <c r="M54" i="37"/>
  <c r="A54" i="37" s="1"/>
  <c r="J54" i="37"/>
  <c r="K54" i="37" s="1"/>
  <c r="I54" i="37"/>
  <c r="B54" i="37"/>
  <c r="M53" i="37"/>
  <c r="A53" i="37" s="1"/>
  <c r="K53" i="37"/>
  <c r="J53" i="37"/>
  <c r="I53" i="37"/>
  <c r="B53" i="37"/>
  <c r="J52" i="37"/>
  <c r="K52" i="37" s="1"/>
  <c r="I52" i="37"/>
  <c r="M52" i="37" s="1"/>
  <c r="A52" i="37" s="1"/>
  <c r="B52" i="37"/>
  <c r="M51" i="37"/>
  <c r="J51" i="37"/>
  <c r="K51" i="37" s="1"/>
  <c r="I51" i="37"/>
  <c r="B51" i="37"/>
  <c r="A51" i="37"/>
  <c r="M50" i="37"/>
  <c r="A50" i="37" s="1"/>
  <c r="J50" i="37"/>
  <c r="K50" i="37" s="1"/>
  <c r="I50" i="37"/>
  <c r="B50" i="37"/>
  <c r="M49" i="37"/>
  <c r="A49" i="37" s="1"/>
  <c r="K49" i="37"/>
  <c r="J49" i="37"/>
  <c r="I49" i="37"/>
  <c r="B49" i="37"/>
  <c r="J48" i="37"/>
  <c r="K48" i="37" s="1"/>
  <c r="I48" i="37"/>
  <c r="M48" i="37" s="1"/>
  <c r="A48" i="37" s="1"/>
  <c r="B48" i="37"/>
  <c r="M47" i="37"/>
  <c r="J47" i="37"/>
  <c r="K47" i="37" s="1"/>
  <c r="I47" i="37"/>
  <c r="B47" i="37"/>
  <c r="A47" i="37"/>
  <c r="M46" i="37"/>
  <c r="A46" i="37" s="1"/>
  <c r="J46" i="37"/>
  <c r="K46" i="37" s="1"/>
  <c r="I46" i="37"/>
  <c r="B46" i="37"/>
  <c r="M45" i="37"/>
  <c r="A45" i="37" s="1"/>
  <c r="K45" i="37"/>
  <c r="J45" i="37"/>
  <c r="I45" i="37"/>
  <c r="B45" i="37"/>
  <c r="J44" i="37"/>
  <c r="K44" i="37" s="1"/>
  <c r="I44" i="37"/>
  <c r="M44" i="37" s="1"/>
  <c r="A44" i="37" s="1"/>
  <c r="B44" i="37"/>
  <c r="M43" i="37"/>
  <c r="J43" i="37"/>
  <c r="K43" i="37" s="1"/>
  <c r="I43" i="37"/>
  <c r="B43" i="37"/>
  <c r="A43" i="37"/>
  <c r="M42" i="37"/>
  <c r="A42" i="37" s="1"/>
  <c r="J42" i="37"/>
  <c r="K42" i="37" s="1"/>
  <c r="I42" i="37"/>
  <c r="B42" i="37"/>
  <c r="M41" i="37"/>
  <c r="A41" i="37" s="1"/>
  <c r="K41" i="37"/>
  <c r="J41" i="37"/>
  <c r="I41" i="37"/>
  <c r="B41" i="37"/>
  <c r="J40" i="37"/>
  <c r="K40" i="37" s="1"/>
  <c r="I40" i="37"/>
  <c r="M40" i="37" s="1"/>
  <c r="A40" i="37" s="1"/>
  <c r="B40" i="37"/>
  <c r="M39" i="37"/>
  <c r="J39" i="37"/>
  <c r="K39" i="37" s="1"/>
  <c r="I39" i="37"/>
  <c r="B39" i="37"/>
  <c r="A39" i="37"/>
  <c r="M38" i="37"/>
  <c r="A38" i="37" s="1"/>
  <c r="J38" i="37"/>
  <c r="K38" i="37" s="1"/>
  <c r="I38" i="37"/>
  <c r="B38" i="37"/>
  <c r="M37" i="37"/>
  <c r="A37" i="37" s="1"/>
  <c r="K37" i="37"/>
  <c r="J37" i="37"/>
  <c r="I37" i="37"/>
  <c r="B37" i="37"/>
  <c r="J36" i="37"/>
  <c r="K36" i="37" s="1"/>
  <c r="I36" i="37"/>
  <c r="M36" i="37" s="1"/>
  <c r="A36" i="37" s="1"/>
  <c r="B36" i="37"/>
  <c r="M35" i="37"/>
  <c r="J35" i="37"/>
  <c r="K35" i="37" s="1"/>
  <c r="I35" i="37"/>
  <c r="B35" i="37"/>
  <c r="A35" i="37"/>
  <c r="M34" i="37"/>
  <c r="A34" i="37" s="1"/>
  <c r="J34" i="37"/>
  <c r="K34" i="37" s="1"/>
  <c r="I34" i="37"/>
  <c r="B34" i="37"/>
  <c r="M33" i="37"/>
  <c r="A33" i="37" s="1"/>
  <c r="K33" i="37"/>
  <c r="J33" i="37"/>
  <c r="I33" i="37"/>
  <c r="B33" i="37"/>
  <c r="J32" i="37"/>
  <c r="K32" i="37" s="1"/>
  <c r="I32" i="37"/>
  <c r="M32" i="37" s="1"/>
  <c r="A32" i="37" s="1"/>
  <c r="B32" i="37"/>
  <c r="M31" i="37"/>
  <c r="J31" i="37"/>
  <c r="K31" i="37" s="1"/>
  <c r="I31" i="37"/>
  <c r="B31" i="37"/>
  <c r="A31" i="37"/>
  <c r="M30" i="37"/>
  <c r="A30" i="37" s="1"/>
  <c r="J30" i="37"/>
  <c r="K30" i="37" s="1"/>
  <c r="I30" i="37"/>
  <c r="B30" i="37"/>
  <c r="M29" i="37"/>
  <c r="A29" i="37" s="1"/>
  <c r="K29" i="37"/>
  <c r="J29" i="37"/>
  <c r="I29" i="37"/>
  <c r="B29" i="37"/>
  <c r="J28" i="37"/>
  <c r="K28" i="37" s="1"/>
  <c r="I28" i="37"/>
  <c r="M28" i="37" s="1"/>
  <c r="A28" i="37" s="1"/>
  <c r="B28" i="37"/>
  <c r="M27" i="37"/>
  <c r="J27" i="37"/>
  <c r="K27" i="37" s="1"/>
  <c r="I27" i="37"/>
  <c r="B27" i="37"/>
  <c r="A27" i="37"/>
  <c r="M26" i="37"/>
  <c r="A26" i="37" s="1"/>
  <c r="J26" i="37"/>
  <c r="K26" i="37" s="1"/>
  <c r="I26" i="37"/>
  <c r="B26" i="37"/>
  <c r="M25" i="37"/>
  <c r="A25" i="37" s="1"/>
  <c r="K25" i="37"/>
  <c r="J25" i="37"/>
  <c r="I25" i="37"/>
  <c r="B25" i="37"/>
  <c r="J24" i="37"/>
  <c r="K24" i="37" s="1"/>
  <c r="I24" i="37"/>
  <c r="M24" i="37" s="1"/>
  <c r="A24" i="37" s="1"/>
  <c r="B24" i="37"/>
  <c r="M23" i="37"/>
  <c r="J23" i="37"/>
  <c r="K23" i="37" s="1"/>
  <c r="I23" i="37"/>
  <c r="B23" i="37"/>
  <c r="A23" i="37"/>
  <c r="M22" i="37"/>
  <c r="A22" i="37" s="1"/>
  <c r="J22" i="37"/>
  <c r="K22" i="37" s="1"/>
  <c r="I22" i="37"/>
  <c r="B22" i="37"/>
  <c r="M21" i="37"/>
  <c r="A21" i="37" s="1"/>
  <c r="K21" i="37"/>
  <c r="J21" i="37"/>
  <c r="I21" i="37"/>
  <c r="B21" i="37"/>
  <c r="J20" i="37"/>
  <c r="K20" i="37" s="1"/>
  <c r="I20" i="37"/>
  <c r="M20" i="37" s="1"/>
  <c r="A20" i="37" s="1"/>
  <c r="B20" i="37"/>
  <c r="M19" i="37"/>
  <c r="J19" i="37"/>
  <c r="K19" i="37" s="1"/>
  <c r="I19" i="37"/>
  <c r="B19" i="37"/>
  <c r="A19" i="37"/>
  <c r="M18" i="37"/>
  <c r="A18" i="37" s="1"/>
  <c r="J18" i="37"/>
  <c r="K18" i="37" s="1"/>
  <c r="I18" i="37"/>
  <c r="B18" i="37"/>
  <c r="M17" i="37"/>
  <c r="A17" i="37" s="1"/>
  <c r="K17" i="37"/>
  <c r="J17" i="37"/>
  <c r="I17" i="37"/>
  <c r="B17" i="37"/>
  <c r="J16" i="37"/>
  <c r="K16" i="37" s="1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J14" i="37"/>
  <c r="K14" i="37" s="1"/>
  <c r="I14" i="37"/>
  <c r="B14" i="37"/>
  <c r="A14" i="37"/>
  <c r="AI13" i="37"/>
  <c r="K13" i="37"/>
  <c r="J13" i="37"/>
  <c r="I13" i="37"/>
  <c r="M13" i="37" s="1"/>
  <c r="A13" i="37" s="1"/>
  <c r="B13" i="37"/>
  <c r="AI12" i="37"/>
  <c r="AI16" i="37" s="1"/>
  <c r="M12" i="37"/>
  <c r="A12" i="37" s="1"/>
  <c r="J12" i="37"/>
  <c r="K12" i="37" s="1"/>
  <c r="I12" i="37"/>
  <c r="B12" i="37"/>
  <c r="M11" i="37"/>
  <c r="A11" i="37" s="1"/>
  <c r="K11" i="37"/>
  <c r="J11" i="37"/>
  <c r="I11" i="37"/>
  <c r="B11" i="37"/>
  <c r="J10" i="37"/>
  <c r="K10" i="37" s="1"/>
  <c r="I10" i="37"/>
  <c r="M10" i="37" s="1"/>
  <c r="A10" i="37" s="1"/>
  <c r="B10" i="37"/>
  <c r="M9" i="37"/>
  <c r="A9" i="37" s="1"/>
  <c r="K9" i="37"/>
  <c r="J9" i="37"/>
  <c r="I9" i="37"/>
  <c r="B9" i="37"/>
  <c r="L8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M6" i="37"/>
  <c r="A6" i="37" s="1"/>
  <c r="L6" i="37"/>
  <c r="J6" i="37"/>
  <c r="K6" i="37" s="1"/>
  <c r="I6" i="37"/>
  <c r="B6" i="37"/>
  <c r="K2" i="37"/>
  <c r="L7" i="37" s="1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7" i="20"/>
  <c r="AE7" i="20" s="1"/>
  <c r="AD6" i="20"/>
  <c r="AE6" i="20" s="1"/>
  <c r="AV29" i="20"/>
  <c r="AW29" i="20" s="1"/>
  <c r="AV28" i="20"/>
  <c r="AW28" i="20" s="1"/>
  <c r="AV27" i="20"/>
  <c r="AW27" i="20" s="1"/>
  <c r="AV26" i="20"/>
  <c r="AW26" i="20" s="1"/>
  <c r="AV25" i="20"/>
  <c r="AW25" i="20" s="1"/>
  <c r="AW24" i="20"/>
  <c r="AV24" i="20"/>
  <c r="AV23" i="20"/>
  <c r="AW23" i="20" s="1"/>
  <c r="AV22" i="20"/>
  <c r="AW22" i="20" s="1"/>
  <c r="AV21" i="20"/>
  <c r="AW21" i="20" s="1"/>
  <c r="AV20" i="20"/>
  <c r="AW20" i="20" s="1"/>
  <c r="AV19" i="20"/>
  <c r="AW19" i="20" s="1"/>
  <c r="AW18" i="20"/>
  <c r="AV18" i="20"/>
  <c r="AV17" i="20"/>
  <c r="AW17" i="20" s="1"/>
  <c r="AW16" i="20"/>
  <c r="AV16" i="20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9" i="20"/>
  <c r="AW9" i="20" s="1"/>
  <c r="AV8" i="20"/>
  <c r="AW8" i="20" s="1"/>
  <c r="AV7" i="20"/>
  <c r="AW7" i="20" s="1"/>
  <c r="AV6" i="20"/>
  <c r="AW6" i="20" s="1"/>
  <c r="AT29" i="20"/>
  <c r="AU29" i="20" s="1"/>
  <c r="AT28" i="20"/>
  <c r="AU28" i="20" s="1"/>
  <c r="AT27" i="20"/>
  <c r="AU27" i="20" s="1"/>
  <c r="AU26" i="20"/>
  <c r="AT26" i="20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U10" i="20"/>
  <c r="AT10" i="20"/>
  <c r="AT9" i="20"/>
  <c r="AU9" i="20" s="1"/>
  <c r="AT8" i="20"/>
  <c r="AU8" i="20" s="1"/>
  <c r="AT7" i="20"/>
  <c r="AU7" i="20" s="1"/>
  <c r="AT6" i="20"/>
  <c r="AU6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9" i="20"/>
  <c r="AS9" i="20" s="1"/>
  <c r="AR8" i="20"/>
  <c r="AS8" i="20" s="1"/>
  <c r="AR7" i="20"/>
  <c r="AS7" i="20" s="1"/>
  <c r="AR6" i="20"/>
  <c r="AS6" i="20" s="1"/>
  <c r="AP29" i="20"/>
  <c r="AQ29" i="20" s="1"/>
  <c r="AQ28" i="20"/>
  <c r="AP28" i="20"/>
  <c r="AP27" i="20"/>
  <c r="AQ27" i="20" s="1"/>
  <c r="AP26" i="20"/>
  <c r="AQ26" i="20" s="1"/>
  <c r="AP25" i="20"/>
  <c r="AQ25" i="20" s="1"/>
  <c r="AQ24" i="20"/>
  <c r="AP24" i="20"/>
  <c r="AP23" i="20"/>
  <c r="AQ23" i="20" s="1"/>
  <c r="AP22" i="20"/>
  <c r="AQ22" i="20" s="1"/>
  <c r="AP21" i="20"/>
  <c r="AQ21" i="20" s="1"/>
  <c r="AQ20" i="20"/>
  <c r="AP20" i="20"/>
  <c r="AP19" i="20"/>
  <c r="AQ19" i="20" s="1"/>
  <c r="AP18" i="20"/>
  <c r="AQ18" i="20" s="1"/>
  <c r="AP17" i="20"/>
  <c r="AQ17" i="20" s="1"/>
  <c r="AQ16" i="20"/>
  <c r="AP16" i="20"/>
  <c r="AP15" i="20"/>
  <c r="AQ15" i="20" s="1"/>
  <c r="AP14" i="20"/>
  <c r="AQ14" i="20" s="1"/>
  <c r="AP13" i="20"/>
  <c r="AQ13" i="20" s="1"/>
  <c r="AQ12" i="20"/>
  <c r="AP12" i="20"/>
  <c r="AP11" i="20"/>
  <c r="AQ11" i="20" s="1"/>
  <c r="AP10" i="20"/>
  <c r="AQ10" i="20" s="1"/>
  <c r="AP9" i="20"/>
  <c r="AQ9" i="20" s="1"/>
  <c r="AP8" i="20"/>
  <c r="AQ8" i="20" s="1"/>
  <c r="AP7" i="20"/>
  <c r="AQ7" i="20" s="1"/>
  <c r="AP6" i="20"/>
  <c r="AQ6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9" i="20"/>
  <c r="AO9" i="20" s="1"/>
  <c r="AN8" i="20"/>
  <c r="AO8" i="20" s="1"/>
  <c r="AN7" i="20"/>
  <c r="AO7" i="20" s="1"/>
  <c r="AN6" i="20"/>
  <c r="AO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K240" i="36"/>
  <c r="J240" i="36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K224" i="36"/>
  <c r="J224" i="36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K208" i="36"/>
  <c r="J208" i="36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K196" i="36"/>
  <c r="J196" i="36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K192" i="36"/>
  <c r="J192" i="36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K180" i="36"/>
  <c r="J180" i="36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K176" i="36"/>
  <c r="J176" i="36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K164" i="36"/>
  <c r="J164" i="36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K160" i="36"/>
  <c r="J160" i="36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K148" i="36"/>
  <c r="J148" i="36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K144" i="36"/>
  <c r="J144" i="36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K136" i="36"/>
  <c r="J136" i="36"/>
  <c r="I136" i="36"/>
  <c r="M136" i="36" s="1"/>
  <c r="A136" i="36" s="1"/>
  <c r="B136" i="36"/>
  <c r="M135" i="36"/>
  <c r="A135" i="36" s="1"/>
  <c r="K135" i="36"/>
  <c r="J135" i="36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K132" i="36"/>
  <c r="J132" i="36"/>
  <c r="I132" i="36"/>
  <c r="M132" i="36" s="1"/>
  <c r="A132" i="36" s="1"/>
  <c r="B132" i="36"/>
  <c r="M131" i="36"/>
  <c r="A131" i="36" s="1"/>
  <c r="K131" i="36"/>
  <c r="J131" i="36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K128" i="36"/>
  <c r="J128" i="36"/>
  <c r="I128" i="36"/>
  <c r="M128" i="36" s="1"/>
  <c r="A128" i="36" s="1"/>
  <c r="B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M104" i="36"/>
  <c r="J104" i="36"/>
  <c r="K104" i="36" s="1"/>
  <c r="I104" i="36"/>
  <c r="B104" i="36"/>
  <c r="A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M96" i="36"/>
  <c r="J96" i="36"/>
  <c r="K96" i="36" s="1"/>
  <c r="I96" i="36"/>
  <c r="B96" i="36"/>
  <c r="A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M92" i="36"/>
  <c r="J92" i="36"/>
  <c r="K92" i="36" s="1"/>
  <c r="I92" i="36"/>
  <c r="B92" i="36"/>
  <c r="A92" i="36"/>
  <c r="M91" i="36"/>
  <c r="A91" i="36" s="1"/>
  <c r="J91" i="36"/>
  <c r="K91" i="36" s="1"/>
  <c r="I91" i="36"/>
  <c r="B91" i="36"/>
  <c r="M90" i="36"/>
  <c r="A90" i="36" s="1"/>
  <c r="K90" i="36"/>
  <c r="J90" i="36"/>
  <c r="I90" i="36"/>
  <c r="B90" i="36"/>
  <c r="J89" i="36"/>
  <c r="K89" i="36" s="1"/>
  <c r="I89" i="36"/>
  <c r="M89" i="36" s="1"/>
  <c r="A89" i="36" s="1"/>
  <c r="B89" i="36"/>
  <c r="M88" i="36"/>
  <c r="J88" i="36"/>
  <c r="K88" i="36" s="1"/>
  <c r="I88" i="36"/>
  <c r="B88" i="36"/>
  <c r="A88" i="36"/>
  <c r="M87" i="36"/>
  <c r="A87" i="36" s="1"/>
  <c r="J87" i="36"/>
  <c r="K87" i="36" s="1"/>
  <c r="I87" i="36"/>
  <c r="B87" i="36"/>
  <c r="M86" i="36"/>
  <c r="A86" i="36" s="1"/>
  <c r="K86" i="36"/>
  <c r="J86" i="36"/>
  <c r="I86" i="36"/>
  <c r="B86" i="36"/>
  <c r="J85" i="36"/>
  <c r="K85" i="36" s="1"/>
  <c r="I85" i="36"/>
  <c r="M85" i="36" s="1"/>
  <c r="A85" i="36" s="1"/>
  <c r="B85" i="36"/>
  <c r="M84" i="36"/>
  <c r="J84" i="36"/>
  <c r="K84" i="36" s="1"/>
  <c r="I84" i="36"/>
  <c r="B84" i="36"/>
  <c r="A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K78" i="36"/>
  <c r="J78" i="36"/>
  <c r="I78" i="36"/>
  <c r="B78" i="36"/>
  <c r="J77" i="36"/>
  <c r="K77" i="36" s="1"/>
  <c r="I77" i="36"/>
  <c r="M77" i="36" s="1"/>
  <c r="A77" i="36" s="1"/>
  <c r="B77" i="36"/>
  <c r="M76" i="36"/>
  <c r="J76" i="36"/>
  <c r="K76" i="36" s="1"/>
  <c r="I76" i="36"/>
  <c r="B76" i="36"/>
  <c r="A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M68" i="36"/>
  <c r="J68" i="36"/>
  <c r="K68" i="36" s="1"/>
  <c r="I68" i="36"/>
  <c r="B68" i="36"/>
  <c r="A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J60" i="36"/>
  <c r="K60" i="36" s="1"/>
  <c r="I60" i="36"/>
  <c r="B60" i="36"/>
  <c r="A60" i="36"/>
  <c r="M59" i="36"/>
  <c r="A59" i="36" s="1"/>
  <c r="J59" i="36"/>
  <c r="K59" i="36" s="1"/>
  <c r="I59" i="36"/>
  <c r="B59" i="36"/>
  <c r="M58" i="36"/>
  <c r="A58" i="36" s="1"/>
  <c r="K58" i="36"/>
  <c r="J58" i="36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K54" i="36"/>
  <c r="J54" i="36"/>
  <c r="I54" i="36"/>
  <c r="B54" i="36"/>
  <c r="J53" i="36"/>
  <c r="K53" i="36" s="1"/>
  <c r="I53" i="36"/>
  <c r="M53" i="36" s="1"/>
  <c r="A53" i="36" s="1"/>
  <c r="B53" i="36"/>
  <c r="M52" i="36"/>
  <c r="J52" i="36"/>
  <c r="K52" i="36" s="1"/>
  <c r="I52" i="36"/>
  <c r="B52" i="36"/>
  <c r="A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K38" i="36"/>
  <c r="J38" i="36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K26" i="36"/>
  <c r="J26" i="36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K22" i="36"/>
  <c r="J22" i="36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B16" i="36"/>
  <c r="A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J6" i="36"/>
  <c r="K6" i="36" s="1"/>
  <c r="I6" i="36"/>
  <c r="M6" i="36" s="1"/>
  <c r="A6" i="36" s="1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K305" i="35"/>
  <c r="J305" i="35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K301" i="35"/>
  <c r="J301" i="35"/>
  <c r="I301" i="35"/>
  <c r="M301" i="35" s="1"/>
  <c r="J300" i="35"/>
  <c r="K300" i="35" s="1"/>
  <c r="I300" i="35"/>
  <c r="M300" i="35" s="1"/>
  <c r="K299" i="35"/>
  <c r="J299" i="35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K287" i="35"/>
  <c r="J287" i="35"/>
  <c r="I287" i="35"/>
  <c r="M287" i="35" s="1"/>
  <c r="J286" i="35"/>
  <c r="K286" i="35" s="1"/>
  <c r="I286" i="35"/>
  <c r="M286" i="35" s="1"/>
  <c r="K285" i="35"/>
  <c r="J285" i="35"/>
  <c r="I285" i="35"/>
  <c r="M285" i="35" s="1"/>
  <c r="J284" i="35"/>
  <c r="K284" i="35" s="1"/>
  <c r="I284" i="35"/>
  <c r="M284" i="35" s="1"/>
  <c r="K283" i="35"/>
  <c r="J283" i="35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K271" i="35"/>
  <c r="J271" i="35"/>
  <c r="I271" i="35"/>
  <c r="M271" i="35" s="1"/>
  <c r="J270" i="35"/>
  <c r="K270" i="35" s="1"/>
  <c r="I270" i="35"/>
  <c r="M270" i="35" s="1"/>
  <c r="K269" i="35"/>
  <c r="J269" i="35"/>
  <c r="I269" i="35"/>
  <c r="M269" i="35" s="1"/>
  <c r="J268" i="35"/>
  <c r="K268" i="35" s="1"/>
  <c r="I268" i="35"/>
  <c r="M268" i="35" s="1"/>
  <c r="K267" i="35"/>
  <c r="J267" i="35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K255" i="35"/>
  <c r="J255" i="35"/>
  <c r="I255" i="35"/>
  <c r="M255" i="35" s="1"/>
  <c r="J254" i="35"/>
  <c r="K254" i="35" s="1"/>
  <c r="I254" i="35"/>
  <c r="M254" i="35" s="1"/>
  <c r="K253" i="35"/>
  <c r="J253" i="35"/>
  <c r="I253" i="35"/>
  <c r="M253" i="35" s="1"/>
  <c r="J252" i="35"/>
  <c r="K252" i="35" s="1"/>
  <c r="I252" i="35"/>
  <c r="M252" i="35" s="1"/>
  <c r="K251" i="35"/>
  <c r="J251" i="35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K243" i="35"/>
  <c r="J243" i="35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K239" i="35"/>
  <c r="J239" i="35"/>
  <c r="I239" i="35"/>
  <c r="M239" i="35" s="1"/>
  <c r="J238" i="35"/>
  <c r="K238" i="35" s="1"/>
  <c r="I238" i="35"/>
  <c r="M238" i="35" s="1"/>
  <c r="K237" i="35"/>
  <c r="J237" i="35"/>
  <c r="I237" i="35"/>
  <c r="M237" i="35" s="1"/>
  <c r="J236" i="35"/>
  <c r="K236" i="35" s="1"/>
  <c r="I236" i="35"/>
  <c r="M236" i="35" s="1"/>
  <c r="K235" i="35"/>
  <c r="J235" i="35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K223" i="35"/>
  <c r="J223" i="35"/>
  <c r="I223" i="35"/>
  <c r="M223" i="35" s="1"/>
  <c r="J222" i="35"/>
  <c r="K222" i="35" s="1"/>
  <c r="I222" i="35"/>
  <c r="M222" i="35" s="1"/>
  <c r="K221" i="35"/>
  <c r="J221" i="35"/>
  <c r="I221" i="35"/>
  <c r="M221" i="35" s="1"/>
  <c r="J220" i="35"/>
  <c r="K220" i="35" s="1"/>
  <c r="I220" i="35"/>
  <c r="M220" i="35" s="1"/>
  <c r="K219" i="35"/>
  <c r="J219" i="35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K207" i="35"/>
  <c r="J207" i="35"/>
  <c r="I207" i="35"/>
  <c r="M207" i="35" s="1"/>
  <c r="J206" i="35"/>
  <c r="K206" i="35" s="1"/>
  <c r="I206" i="35"/>
  <c r="M206" i="35" s="1"/>
  <c r="K205" i="35"/>
  <c r="J205" i="35"/>
  <c r="I205" i="35"/>
  <c r="M205" i="35" s="1"/>
  <c r="J204" i="35"/>
  <c r="K204" i="35" s="1"/>
  <c r="I204" i="35"/>
  <c r="M204" i="35" s="1"/>
  <c r="K203" i="35"/>
  <c r="J203" i="35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K191" i="35"/>
  <c r="J191" i="35"/>
  <c r="I191" i="35"/>
  <c r="M191" i="35" s="1"/>
  <c r="J190" i="35"/>
  <c r="K190" i="35" s="1"/>
  <c r="I190" i="35"/>
  <c r="M190" i="35" s="1"/>
  <c r="K189" i="35"/>
  <c r="J189" i="35"/>
  <c r="I189" i="35"/>
  <c r="M189" i="35" s="1"/>
  <c r="J188" i="35"/>
  <c r="K188" i="35" s="1"/>
  <c r="I188" i="35"/>
  <c r="M188" i="35" s="1"/>
  <c r="K187" i="35"/>
  <c r="J187" i="35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K175" i="35"/>
  <c r="J175" i="35"/>
  <c r="I175" i="35"/>
  <c r="M175" i="35" s="1"/>
  <c r="J174" i="35"/>
  <c r="K174" i="35" s="1"/>
  <c r="I174" i="35"/>
  <c r="M174" i="35" s="1"/>
  <c r="K173" i="35"/>
  <c r="J173" i="35"/>
  <c r="I173" i="35"/>
  <c r="M173" i="35" s="1"/>
  <c r="J172" i="35"/>
  <c r="K172" i="35" s="1"/>
  <c r="I172" i="35"/>
  <c r="M172" i="35" s="1"/>
  <c r="K171" i="35"/>
  <c r="J171" i="35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K159" i="35"/>
  <c r="J159" i="35"/>
  <c r="I159" i="35"/>
  <c r="M159" i="35" s="1"/>
  <c r="J158" i="35"/>
  <c r="K158" i="35" s="1"/>
  <c r="I158" i="35"/>
  <c r="M158" i="35" s="1"/>
  <c r="K157" i="35"/>
  <c r="J157" i="35"/>
  <c r="I157" i="35"/>
  <c r="M157" i="35" s="1"/>
  <c r="J156" i="35"/>
  <c r="K156" i="35" s="1"/>
  <c r="I156" i="35"/>
  <c r="M156" i="35" s="1"/>
  <c r="K155" i="35"/>
  <c r="J155" i="35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K143" i="35"/>
  <c r="J143" i="35"/>
  <c r="I143" i="35"/>
  <c r="M143" i="35" s="1"/>
  <c r="J142" i="35"/>
  <c r="K142" i="35" s="1"/>
  <c r="I142" i="35"/>
  <c r="M142" i="35" s="1"/>
  <c r="K141" i="35"/>
  <c r="J141" i="35"/>
  <c r="I141" i="35"/>
  <c r="M141" i="35" s="1"/>
  <c r="J140" i="35"/>
  <c r="K140" i="35" s="1"/>
  <c r="I140" i="35"/>
  <c r="M140" i="35" s="1"/>
  <c r="K139" i="35"/>
  <c r="J139" i="35"/>
  <c r="I139" i="35"/>
  <c r="M139" i="35" s="1"/>
  <c r="K138" i="35"/>
  <c r="J138" i="35"/>
  <c r="I138" i="35"/>
  <c r="M138" i="35" s="1"/>
  <c r="K137" i="35"/>
  <c r="J137" i="35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M63" i="35"/>
  <c r="J63" i="35"/>
  <c r="K63" i="35" s="1"/>
  <c r="I63" i="35"/>
  <c r="B63" i="35"/>
  <c r="M62" i="35"/>
  <c r="J62" i="35"/>
  <c r="K62" i="35" s="1"/>
  <c r="I62" i="35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K58" i="35"/>
  <c r="J58" i="35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M55" i="35"/>
  <c r="J55" i="35"/>
  <c r="K55" i="35" s="1"/>
  <c r="I55" i="35"/>
  <c r="B55" i="35"/>
  <c r="M54" i="35"/>
  <c r="J54" i="35"/>
  <c r="K54" i="35" s="1"/>
  <c r="I54" i="35"/>
  <c r="B54" i="35"/>
  <c r="J53" i="35"/>
  <c r="K53" i="35" s="1"/>
  <c r="I53" i="35"/>
  <c r="M53" i="35" s="1"/>
  <c r="B53" i="35"/>
  <c r="K52" i="35"/>
  <c r="J52" i="35"/>
  <c r="I52" i="35"/>
  <c r="M52" i="35" s="1"/>
  <c r="B52" i="35"/>
  <c r="M51" i="35"/>
  <c r="K51" i="35"/>
  <c r="J51" i="35"/>
  <c r="I51" i="35"/>
  <c r="B51" i="35"/>
  <c r="K50" i="35"/>
  <c r="J50" i="35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M47" i="35"/>
  <c r="J47" i="35"/>
  <c r="K47" i="35" s="1"/>
  <c r="I47" i="35"/>
  <c r="B47" i="35"/>
  <c r="U46" i="35"/>
  <c r="T46" i="35"/>
  <c r="R46" i="35"/>
  <c r="M46" i="35"/>
  <c r="J46" i="35"/>
  <c r="K46" i="35" s="1"/>
  <c r="I46" i="35"/>
  <c r="B46" i="35"/>
  <c r="M45" i="35"/>
  <c r="J45" i="35"/>
  <c r="K45" i="35" s="1"/>
  <c r="I45" i="35"/>
  <c r="B45" i="35"/>
  <c r="J44" i="35"/>
  <c r="K44" i="35" s="1"/>
  <c r="I44" i="35"/>
  <c r="M44" i="35" s="1"/>
  <c r="B44" i="35"/>
  <c r="K43" i="35"/>
  <c r="J43" i="35"/>
  <c r="I43" i="35"/>
  <c r="M43" i="35" s="1"/>
  <c r="B43" i="35"/>
  <c r="M42" i="35"/>
  <c r="K42" i="35"/>
  <c r="J42" i="35"/>
  <c r="I42" i="35"/>
  <c r="B42" i="35"/>
  <c r="K41" i="35"/>
  <c r="J41" i="35"/>
  <c r="I41" i="35"/>
  <c r="M41" i="35" s="1"/>
  <c r="B41" i="35"/>
  <c r="J40" i="35"/>
  <c r="K40" i="35" s="1"/>
  <c r="I40" i="35"/>
  <c r="M40" i="35" s="1"/>
  <c r="B40" i="35"/>
  <c r="M39" i="35"/>
  <c r="J39" i="35"/>
  <c r="K39" i="35" s="1"/>
  <c r="I39" i="35"/>
  <c r="B39" i="35"/>
  <c r="M38" i="35"/>
  <c r="J38" i="35"/>
  <c r="K38" i="35" s="1"/>
  <c r="I38" i="35"/>
  <c r="B38" i="35"/>
  <c r="M37" i="35"/>
  <c r="A37" i="35" s="1"/>
  <c r="J37" i="35"/>
  <c r="K37" i="35" s="1"/>
  <c r="I37" i="35"/>
  <c r="B37" i="35"/>
  <c r="M36" i="35"/>
  <c r="J36" i="35"/>
  <c r="K36" i="35" s="1"/>
  <c r="I36" i="35"/>
  <c r="B36" i="35"/>
  <c r="A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M33" i="35"/>
  <c r="A33" i="35" s="1"/>
  <c r="J33" i="35"/>
  <c r="K33" i="35" s="1"/>
  <c r="I33" i="35"/>
  <c r="B33" i="35"/>
  <c r="M32" i="35"/>
  <c r="J32" i="35"/>
  <c r="K32" i="35" s="1"/>
  <c r="I32" i="35"/>
  <c r="B32" i="35"/>
  <c r="A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M29" i="35"/>
  <c r="A29" i="35" s="1"/>
  <c r="J29" i="35"/>
  <c r="K29" i="35" s="1"/>
  <c r="I29" i="35"/>
  <c r="B29" i="35"/>
  <c r="M28" i="35"/>
  <c r="J28" i="35"/>
  <c r="K28" i="35" s="1"/>
  <c r="I28" i="35"/>
  <c r="B28" i="35"/>
  <c r="A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M25" i="35"/>
  <c r="A25" i="35" s="1"/>
  <c r="J25" i="35"/>
  <c r="K25" i="35" s="1"/>
  <c r="I25" i="35"/>
  <c r="B25" i="35"/>
  <c r="M24" i="35"/>
  <c r="J24" i="35"/>
  <c r="K24" i="35" s="1"/>
  <c r="I24" i="35"/>
  <c r="B24" i="35"/>
  <c r="A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M21" i="35"/>
  <c r="A21" i="35" s="1"/>
  <c r="J21" i="35"/>
  <c r="K21" i="35" s="1"/>
  <c r="I21" i="35"/>
  <c r="B21" i="35"/>
  <c r="M20" i="35"/>
  <c r="J20" i="35"/>
  <c r="K20" i="35" s="1"/>
  <c r="I20" i="35"/>
  <c r="B20" i="35"/>
  <c r="A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M17" i="35"/>
  <c r="A17" i="35" s="1"/>
  <c r="J17" i="35"/>
  <c r="K17" i="35" s="1"/>
  <c r="I17" i="35"/>
  <c r="B17" i="35"/>
  <c r="M16" i="35"/>
  <c r="A16" i="35" s="1"/>
  <c r="K16" i="35"/>
  <c r="J16" i="35"/>
  <c r="I16" i="35"/>
  <c r="B16" i="35"/>
  <c r="J15" i="35"/>
  <c r="K15" i="35" s="1"/>
  <c r="I15" i="35"/>
  <c r="M15" i="35" s="1"/>
  <c r="A15" i="35" s="1"/>
  <c r="B15" i="35"/>
  <c r="AI14" i="35"/>
  <c r="AI16" i="35" s="1"/>
  <c r="K14" i="35"/>
  <c r="J14" i="35"/>
  <c r="I14" i="35"/>
  <c r="M14" i="35" s="1"/>
  <c r="A14" i="35" s="1"/>
  <c r="B14" i="35"/>
  <c r="AI13" i="35"/>
  <c r="M13" i="35"/>
  <c r="J13" i="35"/>
  <c r="K13" i="35" s="1"/>
  <c r="I13" i="35"/>
  <c r="B13" i="35"/>
  <c r="A13" i="35"/>
  <c r="AI12" i="35"/>
  <c r="K12" i="35"/>
  <c r="J12" i="35"/>
  <c r="I12" i="35"/>
  <c r="M12" i="35" s="1"/>
  <c r="A12" i="35" s="1"/>
  <c r="B12" i="35"/>
  <c r="M11" i="35"/>
  <c r="A11" i="35" s="1"/>
  <c r="J11" i="35"/>
  <c r="K11" i="35" s="1"/>
  <c r="I11" i="35"/>
  <c r="B11" i="35"/>
  <c r="M10" i="35"/>
  <c r="J10" i="35"/>
  <c r="K10" i="35" s="1"/>
  <c r="I10" i="35"/>
  <c r="B10" i="35"/>
  <c r="A10" i="35"/>
  <c r="J9" i="35"/>
  <c r="K9" i="35" s="1"/>
  <c r="I9" i="35"/>
  <c r="M9" i="35" s="1"/>
  <c r="A9" i="35" s="1"/>
  <c r="B9" i="35"/>
  <c r="K8" i="35"/>
  <c r="J8" i="35"/>
  <c r="I8" i="35"/>
  <c r="M8" i="35" s="1"/>
  <c r="A8" i="35" s="1"/>
  <c r="B8" i="35"/>
  <c r="J7" i="35"/>
  <c r="K7" i="35" s="1"/>
  <c r="I7" i="35"/>
  <c r="M7" i="35" s="1"/>
  <c r="A7" i="35" s="1"/>
  <c r="B7" i="35"/>
  <c r="K6" i="35"/>
  <c r="J6" i="35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K299" i="34"/>
  <c r="J299" i="34"/>
  <c r="I299" i="34"/>
  <c r="M299" i="34" s="1"/>
  <c r="J298" i="34"/>
  <c r="K298" i="34" s="1"/>
  <c r="I298" i="34"/>
  <c r="M298" i="34" s="1"/>
  <c r="K297" i="34"/>
  <c r="J297" i="34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K283" i="34"/>
  <c r="J283" i="34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K267" i="34"/>
  <c r="J267" i="34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K251" i="34"/>
  <c r="J251" i="34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K235" i="34"/>
  <c r="J235" i="34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K219" i="34"/>
  <c r="J219" i="34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K203" i="34"/>
  <c r="J203" i="34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K187" i="34"/>
  <c r="J187" i="34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K171" i="34"/>
  <c r="J171" i="34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K155" i="34"/>
  <c r="J155" i="34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J134" i="34"/>
  <c r="K134" i="34" s="1"/>
  <c r="I134" i="34"/>
  <c r="M134" i="34" s="1"/>
  <c r="M133" i="34"/>
  <c r="K133" i="34"/>
  <c r="J133" i="34"/>
  <c r="I133" i="34"/>
  <c r="J132" i="34"/>
  <c r="K132" i="34" s="1"/>
  <c r="I132" i="34"/>
  <c r="M132" i="34" s="1"/>
  <c r="M131" i="34"/>
  <c r="K131" i="34"/>
  <c r="J131" i="34"/>
  <c r="I131" i="34"/>
  <c r="J130" i="34"/>
  <c r="K130" i="34" s="1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M81" i="34"/>
  <c r="K81" i="34"/>
  <c r="J81" i="34"/>
  <c r="I81" i="34"/>
  <c r="J80" i="34"/>
  <c r="K80" i="34" s="1"/>
  <c r="I80" i="34"/>
  <c r="M80" i="34" s="1"/>
  <c r="M79" i="34"/>
  <c r="K79" i="34"/>
  <c r="J79" i="34"/>
  <c r="I79" i="34"/>
  <c r="J78" i="34"/>
  <c r="K78" i="34" s="1"/>
  <c r="I78" i="34"/>
  <c r="M78" i="34" s="1"/>
  <c r="M77" i="34"/>
  <c r="K77" i="34"/>
  <c r="J77" i="34"/>
  <c r="I77" i="34"/>
  <c r="J76" i="34"/>
  <c r="K76" i="34" s="1"/>
  <c r="I76" i="34"/>
  <c r="M76" i="34" s="1"/>
  <c r="M75" i="34"/>
  <c r="K75" i="34"/>
  <c r="J75" i="34"/>
  <c r="I75" i="34"/>
  <c r="J74" i="34"/>
  <c r="K74" i="34" s="1"/>
  <c r="I74" i="34"/>
  <c r="M74" i="34" s="1"/>
  <c r="M73" i="34"/>
  <c r="K73" i="34"/>
  <c r="J73" i="34"/>
  <c r="I73" i="34"/>
  <c r="J72" i="34"/>
  <c r="K72" i="34" s="1"/>
  <c r="I72" i="34"/>
  <c r="M72" i="34" s="1"/>
  <c r="M71" i="34"/>
  <c r="K71" i="34"/>
  <c r="J71" i="34"/>
  <c r="I71" i="34"/>
  <c r="J70" i="34"/>
  <c r="K70" i="34" s="1"/>
  <c r="I70" i="34"/>
  <c r="M70" i="34" s="1"/>
  <c r="M69" i="34"/>
  <c r="K69" i="34"/>
  <c r="J69" i="34"/>
  <c r="I69" i="34"/>
  <c r="J68" i="34"/>
  <c r="K68" i="34" s="1"/>
  <c r="I68" i="34"/>
  <c r="M68" i="34" s="1"/>
  <c r="M67" i="34"/>
  <c r="K67" i="34"/>
  <c r="J67" i="34"/>
  <c r="I67" i="34"/>
  <c r="J66" i="34"/>
  <c r="K66" i="34" s="1"/>
  <c r="I66" i="34"/>
  <c r="M66" i="34" s="1"/>
  <c r="M65" i="34"/>
  <c r="K65" i="34"/>
  <c r="J65" i="34"/>
  <c r="I65" i="34"/>
  <c r="B65" i="34"/>
  <c r="K64" i="34"/>
  <c r="J64" i="34"/>
  <c r="I64" i="34"/>
  <c r="M64" i="34" s="1"/>
  <c r="B64" i="34"/>
  <c r="M63" i="34"/>
  <c r="J63" i="34"/>
  <c r="K63" i="34" s="1"/>
  <c r="I63" i="34"/>
  <c r="B63" i="34"/>
  <c r="M62" i="34"/>
  <c r="J62" i="34"/>
  <c r="K62" i="34" s="1"/>
  <c r="I62" i="34"/>
  <c r="B62" i="34"/>
  <c r="J61" i="34"/>
  <c r="K61" i="34" s="1"/>
  <c r="I61" i="34"/>
  <c r="M61" i="34" s="1"/>
  <c r="B61" i="34"/>
  <c r="M60" i="34"/>
  <c r="K60" i="34"/>
  <c r="J60" i="34"/>
  <c r="I60" i="34"/>
  <c r="B60" i="34"/>
  <c r="J59" i="34"/>
  <c r="K59" i="34" s="1"/>
  <c r="I59" i="34"/>
  <c r="M59" i="34" s="1"/>
  <c r="B59" i="34"/>
  <c r="J58" i="34"/>
  <c r="K58" i="34" s="1"/>
  <c r="I58" i="34"/>
  <c r="M58" i="34" s="1"/>
  <c r="B58" i="34"/>
  <c r="M57" i="34"/>
  <c r="K57" i="34"/>
  <c r="J57" i="34"/>
  <c r="I57" i="34"/>
  <c r="B57" i="34"/>
  <c r="K56" i="34"/>
  <c r="J56" i="34"/>
  <c r="I56" i="34"/>
  <c r="M56" i="34" s="1"/>
  <c r="B56" i="34"/>
  <c r="M55" i="34"/>
  <c r="J55" i="34"/>
  <c r="K55" i="34" s="1"/>
  <c r="I55" i="34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J51" i="34"/>
  <c r="K51" i="34" s="1"/>
  <c r="I51" i="34"/>
  <c r="M51" i="34" s="1"/>
  <c r="B51" i="34"/>
  <c r="J50" i="34"/>
  <c r="K50" i="34" s="1"/>
  <c r="I50" i="34"/>
  <c r="M50" i="34" s="1"/>
  <c r="B50" i="34"/>
  <c r="M49" i="34"/>
  <c r="K49" i="34"/>
  <c r="J49" i="34"/>
  <c r="I49" i="34"/>
  <c r="B49" i="34"/>
  <c r="K48" i="34"/>
  <c r="J48" i="34"/>
  <c r="I48" i="34"/>
  <c r="M48" i="34" s="1"/>
  <c r="B48" i="34"/>
  <c r="M47" i="34"/>
  <c r="J47" i="34"/>
  <c r="K47" i="34" s="1"/>
  <c r="I47" i="34"/>
  <c r="B47" i="34"/>
  <c r="T46" i="34"/>
  <c r="R46" i="34"/>
  <c r="U46" i="34" s="1"/>
  <c r="M46" i="34"/>
  <c r="J46" i="34"/>
  <c r="K46" i="34" s="1"/>
  <c r="I46" i="34"/>
  <c r="B46" i="34"/>
  <c r="M45" i="34"/>
  <c r="J45" i="34"/>
  <c r="K45" i="34" s="1"/>
  <c r="I45" i="34"/>
  <c r="B45" i="34"/>
  <c r="J44" i="34"/>
  <c r="K44" i="34" s="1"/>
  <c r="I44" i="34"/>
  <c r="M44" i="34" s="1"/>
  <c r="B44" i="34"/>
  <c r="M43" i="34"/>
  <c r="K43" i="34"/>
  <c r="J43" i="34"/>
  <c r="I43" i="34"/>
  <c r="B43" i="34"/>
  <c r="J42" i="34"/>
  <c r="K42" i="34" s="1"/>
  <c r="I42" i="34"/>
  <c r="M42" i="34" s="1"/>
  <c r="B42" i="34"/>
  <c r="J41" i="34"/>
  <c r="K41" i="34" s="1"/>
  <c r="I41" i="34"/>
  <c r="M41" i="34" s="1"/>
  <c r="B41" i="34"/>
  <c r="M40" i="34"/>
  <c r="K40" i="34"/>
  <c r="J40" i="34"/>
  <c r="I40" i="34"/>
  <c r="B40" i="34"/>
  <c r="K39" i="34"/>
  <c r="J39" i="34"/>
  <c r="I39" i="34"/>
  <c r="M39" i="34" s="1"/>
  <c r="B39" i="34"/>
  <c r="M38" i="34"/>
  <c r="J38" i="34"/>
  <c r="K38" i="34" s="1"/>
  <c r="I38" i="34"/>
  <c r="B38" i="34"/>
  <c r="M37" i="34"/>
  <c r="A37" i="34" s="1"/>
  <c r="J37" i="34"/>
  <c r="K37" i="34" s="1"/>
  <c r="I37" i="34"/>
  <c r="B37" i="34"/>
  <c r="K36" i="34"/>
  <c r="J36" i="34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M33" i="34"/>
  <c r="A33" i="34" s="1"/>
  <c r="J33" i="34"/>
  <c r="K33" i="34" s="1"/>
  <c r="I33" i="34"/>
  <c r="B33" i="34"/>
  <c r="K32" i="34"/>
  <c r="J32" i="34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M29" i="34"/>
  <c r="A29" i="34" s="1"/>
  <c r="J29" i="34"/>
  <c r="K29" i="34" s="1"/>
  <c r="I29" i="34"/>
  <c r="B29" i="34"/>
  <c r="K28" i="34"/>
  <c r="J28" i="34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M25" i="34"/>
  <c r="A25" i="34" s="1"/>
  <c r="J25" i="34"/>
  <c r="K25" i="34" s="1"/>
  <c r="I25" i="34"/>
  <c r="B25" i="34"/>
  <c r="K24" i="34"/>
  <c r="J24" i="34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M21" i="34"/>
  <c r="A21" i="34" s="1"/>
  <c r="J21" i="34"/>
  <c r="K21" i="34" s="1"/>
  <c r="I21" i="34"/>
  <c r="B21" i="34"/>
  <c r="K20" i="34"/>
  <c r="J20" i="34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M17" i="34"/>
  <c r="A17" i="34" s="1"/>
  <c r="J17" i="34"/>
  <c r="K17" i="34" s="1"/>
  <c r="I17" i="34"/>
  <c r="B17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AI16" i="34" s="1"/>
  <c r="M12" i="34"/>
  <c r="A12" i="34" s="1"/>
  <c r="K12" i="34"/>
  <c r="J12" i="34"/>
  <c r="I12" i="34"/>
  <c r="B12" i="34"/>
  <c r="M11" i="34"/>
  <c r="A11" i="34" s="1"/>
  <c r="J11" i="34"/>
  <c r="K11" i="34" s="1"/>
  <c r="I11" i="34"/>
  <c r="B11" i="34"/>
  <c r="K10" i="34"/>
  <c r="J10" i="34"/>
  <c r="I10" i="34"/>
  <c r="M10" i="34" s="1"/>
  <c r="A10" i="34" s="1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K7" i="34"/>
  <c r="J7" i="34"/>
  <c r="I7" i="34"/>
  <c r="B7" i="34"/>
  <c r="M6" i="34"/>
  <c r="A6" i="34" s="1"/>
  <c r="L6" i="34"/>
  <c r="K6" i="34"/>
  <c r="J6" i="34"/>
  <c r="I6" i="34"/>
  <c r="B6" i="34"/>
  <c r="K2" i="34"/>
  <c r="L7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M300" i="33"/>
  <c r="K300" i="33"/>
  <c r="J300" i="33"/>
  <c r="I300" i="33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M294" i="33"/>
  <c r="K294" i="33"/>
  <c r="J294" i="33"/>
  <c r="I294" i="33"/>
  <c r="J293" i="33"/>
  <c r="K293" i="33" s="1"/>
  <c r="I293" i="33"/>
  <c r="M293" i="33" s="1"/>
  <c r="M292" i="33"/>
  <c r="K292" i="33"/>
  <c r="J292" i="33"/>
  <c r="I292" i="33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M286" i="33"/>
  <c r="K286" i="33"/>
  <c r="J286" i="33"/>
  <c r="I286" i="33"/>
  <c r="J285" i="33"/>
  <c r="K285" i="33" s="1"/>
  <c r="I285" i="33"/>
  <c r="M285" i="33" s="1"/>
  <c r="M284" i="33"/>
  <c r="K284" i="33"/>
  <c r="J284" i="33"/>
  <c r="I284" i="33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M278" i="33"/>
  <c r="K278" i="33"/>
  <c r="J278" i="33"/>
  <c r="I278" i="33"/>
  <c r="J277" i="33"/>
  <c r="K277" i="33" s="1"/>
  <c r="I277" i="33"/>
  <c r="M277" i="33" s="1"/>
  <c r="M276" i="33"/>
  <c r="K276" i="33"/>
  <c r="J276" i="33"/>
  <c r="I276" i="33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K268" i="33"/>
  <c r="J268" i="33"/>
  <c r="I268" i="33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K260" i="33"/>
  <c r="J260" i="33"/>
  <c r="I260" i="33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K252" i="33"/>
  <c r="J252" i="33"/>
  <c r="I252" i="33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K244" i="33"/>
  <c r="J244" i="33"/>
  <c r="I244" i="33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M238" i="33"/>
  <c r="J238" i="33"/>
  <c r="K238" i="33" s="1"/>
  <c r="I238" i="33"/>
  <c r="J237" i="33"/>
  <c r="K237" i="33" s="1"/>
  <c r="I237" i="33"/>
  <c r="M237" i="33" s="1"/>
  <c r="M236" i="33"/>
  <c r="K236" i="33"/>
  <c r="J236" i="33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M230" i="33"/>
  <c r="J230" i="33"/>
  <c r="K230" i="33" s="1"/>
  <c r="I230" i="33"/>
  <c r="J229" i="33"/>
  <c r="K229" i="33" s="1"/>
  <c r="I229" i="33"/>
  <c r="M229" i="33" s="1"/>
  <c r="M228" i="33"/>
  <c r="K228" i="33"/>
  <c r="J228" i="33"/>
  <c r="I228" i="33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M222" i="33"/>
  <c r="J222" i="33"/>
  <c r="K222" i="33" s="1"/>
  <c r="I222" i="33"/>
  <c r="J221" i="33"/>
  <c r="K221" i="33" s="1"/>
  <c r="I221" i="33"/>
  <c r="M221" i="33" s="1"/>
  <c r="M220" i="33"/>
  <c r="K220" i="33"/>
  <c r="J220" i="33"/>
  <c r="I220" i="33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M214" i="33"/>
  <c r="J214" i="33"/>
  <c r="K214" i="33" s="1"/>
  <c r="I214" i="33"/>
  <c r="J213" i="33"/>
  <c r="K213" i="33" s="1"/>
  <c r="I213" i="33"/>
  <c r="M213" i="33" s="1"/>
  <c r="M212" i="33"/>
  <c r="K212" i="33"/>
  <c r="J212" i="33"/>
  <c r="I212" i="33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M206" i="33"/>
  <c r="J206" i="33"/>
  <c r="K206" i="33" s="1"/>
  <c r="I206" i="33"/>
  <c r="J205" i="33"/>
  <c r="K205" i="33" s="1"/>
  <c r="I205" i="33"/>
  <c r="M205" i="33" s="1"/>
  <c r="M204" i="33"/>
  <c r="K204" i="33"/>
  <c r="J204" i="33"/>
  <c r="I204" i="33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M198" i="33"/>
  <c r="J198" i="33"/>
  <c r="K198" i="33" s="1"/>
  <c r="I198" i="33"/>
  <c r="J197" i="33"/>
  <c r="K197" i="33" s="1"/>
  <c r="I197" i="33"/>
  <c r="M197" i="33" s="1"/>
  <c r="M196" i="33"/>
  <c r="K196" i="33"/>
  <c r="J196" i="33"/>
  <c r="I196" i="33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M190" i="33"/>
  <c r="J190" i="33"/>
  <c r="K190" i="33" s="1"/>
  <c r="I190" i="33"/>
  <c r="J189" i="33"/>
  <c r="K189" i="33" s="1"/>
  <c r="I189" i="33"/>
  <c r="M189" i="33" s="1"/>
  <c r="M188" i="33"/>
  <c r="K188" i="33"/>
  <c r="J188" i="33"/>
  <c r="I188" i="33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M182" i="33"/>
  <c r="J182" i="33"/>
  <c r="K182" i="33" s="1"/>
  <c r="I182" i="33"/>
  <c r="J181" i="33"/>
  <c r="K181" i="33" s="1"/>
  <c r="I181" i="33"/>
  <c r="M181" i="33" s="1"/>
  <c r="M180" i="33"/>
  <c r="K180" i="33"/>
  <c r="J180" i="33"/>
  <c r="I180" i="33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M174" i="33"/>
  <c r="J174" i="33"/>
  <c r="K174" i="33" s="1"/>
  <c r="I174" i="33"/>
  <c r="J173" i="33"/>
  <c r="K173" i="33" s="1"/>
  <c r="I173" i="33"/>
  <c r="M173" i="33" s="1"/>
  <c r="M172" i="33"/>
  <c r="K172" i="33"/>
  <c r="J172" i="33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M166" i="33"/>
  <c r="J166" i="33"/>
  <c r="K166" i="33" s="1"/>
  <c r="I166" i="33"/>
  <c r="J165" i="33"/>
  <c r="K165" i="33" s="1"/>
  <c r="I165" i="33"/>
  <c r="M165" i="33" s="1"/>
  <c r="M164" i="33"/>
  <c r="K164" i="33"/>
  <c r="J164" i="33"/>
  <c r="I164" i="33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M158" i="33"/>
  <c r="J158" i="33"/>
  <c r="K158" i="33" s="1"/>
  <c r="I158" i="33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M150" i="33"/>
  <c r="J150" i="33"/>
  <c r="K150" i="33" s="1"/>
  <c r="I150" i="33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M142" i="33"/>
  <c r="J142" i="33"/>
  <c r="K142" i="33" s="1"/>
  <c r="I142" i="33"/>
  <c r="J141" i="33"/>
  <c r="K141" i="33" s="1"/>
  <c r="I141" i="33"/>
  <c r="M141" i="33" s="1"/>
  <c r="M140" i="33"/>
  <c r="K140" i="33"/>
  <c r="J140" i="33"/>
  <c r="I140" i="33"/>
  <c r="K139" i="33"/>
  <c r="J139" i="33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J135" i="33"/>
  <c r="K135" i="33" s="1"/>
  <c r="I135" i="33"/>
  <c r="J134" i="33"/>
  <c r="K134" i="33" s="1"/>
  <c r="I134" i="33"/>
  <c r="M134" i="33" s="1"/>
  <c r="M133" i="33"/>
  <c r="J133" i="33"/>
  <c r="K133" i="33" s="1"/>
  <c r="I133" i="33"/>
  <c r="J132" i="33"/>
  <c r="K132" i="33" s="1"/>
  <c r="I132" i="33"/>
  <c r="M132" i="33" s="1"/>
  <c r="M131" i="33"/>
  <c r="J131" i="33"/>
  <c r="K131" i="33" s="1"/>
  <c r="I131" i="33"/>
  <c r="J130" i="33"/>
  <c r="K130" i="33" s="1"/>
  <c r="I130" i="33"/>
  <c r="M130" i="33" s="1"/>
  <c r="M129" i="33"/>
  <c r="J129" i="33"/>
  <c r="K129" i="33" s="1"/>
  <c r="I129" i="33"/>
  <c r="J128" i="33"/>
  <c r="K128" i="33" s="1"/>
  <c r="I128" i="33"/>
  <c r="M128" i="33" s="1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M95" i="33"/>
  <c r="J95" i="33"/>
  <c r="K95" i="33" s="1"/>
  <c r="I95" i="33"/>
  <c r="J94" i="33"/>
  <c r="K94" i="33" s="1"/>
  <c r="I94" i="33"/>
  <c r="M94" i="33" s="1"/>
  <c r="M93" i="33"/>
  <c r="J93" i="33"/>
  <c r="K93" i="33" s="1"/>
  <c r="I93" i="33"/>
  <c r="J92" i="33"/>
  <c r="K92" i="33" s="1"/>
  <c r="I92" i="33"/>
  <c r="M92" i="33" s="1"/>
  <c r="M91" i="33"/>
  <c r="J91" i="33"/>
  <c r="K91" i="33" s="1"/>
  <c r="I91" i="33"/>
  <c r="J90" i="33"/>
  <c r="K90" i="33" s="1"/>
  <c r="I90" i="33"/>
  <c r="M90" i="33" s="1"/>
  <c r="M89" i="33"/>
  <c r="J89" i="33"/>
  <c r="K89" i="33" s="1"/>
  <c r="I89" i="33"/>
  <c r="J88" i="33"/>
  <c r="K88" i="33" s="1"/>
  <c r="I88" i="33"/>
  <c r="M88" i="33" s="1"/>
  <c r="M87" i="33"/>
  <c r="J87" i="33"/>
  <c r="K87" i="33" s="1"/>
  <c r="I87" i="33"/>
  <c r="J86" i="33"/>
  <c r="K86" i="33" s="1"/>
  <c r="I86" i="33"/>
  <c r="M86" i="33" s="1"/>
  <c r="M85" i="33"/>
  <c r="J85" i="33"/>
  <c r="K85" i="33" s="1"/>
  <c r="I85" i="33"/>
  <c r="J84" i="33"/>
  <c r="K84" i="33" s="1"/>
  <c r="I84" i="33"/>
  <c r="M84" i="33" s="1"/>
  <c r="M83" i="33"/>
  <c r="J83" i="33"/>
  <c r="K83" i="33" s="1"/>
  <c r="I83" i="33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M79" i="33"/>
  <c r="A79" i="33" s="1"/>
  <c r="J79" i="33"/>
  <c r="K79" i="33" s="1"/>
  <c r="I79" i="33"/>
  <c r="J78" i="33"/>
  <c r="K78" i="33" s="1"/>
  <c r="I78" i="33"/>
  <c r="M78" i="33" s="1"/>
  <c r="A78" i="33" s="1"/>
  <c r="M77" i="33"/>
  <c r="J77" i="33"/>
  <c r="K77" i="33" s="1"/>
  <c r="I77" i="33"/>
  <c r="A77" i="33"/>
  <c r="M76" i="33"/>
  <c r="A76" i="33" s="1"/>
  <c r="K76" i="33"/>
  <c r="J76" i="33"/>
  <c r="I76" i="33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A73" i="33" s="1"/>
  <c r="K73" i="33"/>
  <c r="J73" i="33"/>
  <c r="I73" i="33"/>
  <c r="J72" i="33"/>
  <c r="K72" i="33" s="1"/>
  <c r="I72" i="33"/>
  <c r="M72" i="33" s="1"/>
  <c r="A72" i="33" s="1"/>
  <c r="M71" i="33"/>
  <c r="A71" i="33" s="1"/>
  <c r="J71" i="33"/>
  <c r="K71" i="33" s="1"/>
  <c r="I71" i="33"/>
  <c r="J70" i="33"/>
  <c r="K70" i="33" s="1"/>
  <c r="I70" i="33"/>
  <c r="M70" i="33" s="1"/>
  <c r="A70" i="33" s="1"/>
  <c r="M69" i="33"/>
  <c r="J69" i="33"/>
  <c r="K69" i="33" s="1"/>
  <c r="I69" i="33"/>
  <c r="A69" i="33"/>
  <c r="M68" i="33"/>
  <c r="A68" i="33" s="1"/>
  <c r="K68" i="33"/>
  <c r="J68" i="33"/>
  <c r="I68" i="33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A65" i="33" s="1"/>
  <c r="K65" i="33"/>
  <c r="J65" i="33"/>
  <c r="I65" i="33"/>
  <c r="B65" i="33"/>
  <c r="J64" i="33"/>
  <c r="K64" i="33" s="1"/>
  <c r="I64" i="33"/>
  <c r="M64" i="33" s="1"/>
  <c r="A64" i="33" s="1"/>
  <c r="B64" i="33"/>
  <c r="M63" i="33"/>
  <c r="J63" i="33"/>
  <c r="K63" i="33" s="1"/>
  <c r="I63" i="33"/>
  <c r="B63" i="33"/>
  <c r="A63" i="33"/>
  <c r="M62" i="33"/>
  <c r="A62" i="33" s="1"/>
  <c r="J62" i="33"/>
  <c r="K62" i="33" s="1"/>
  <c r="I62" i="33"/>
  <c r="B62" i="33"/>
  <c r="M61" i="33"/>
  <c r="A61" i="33" s="1"/>
  <c r="K61" i="33"/>
  <c r="J61" i="33"/>
  <c r="I61" i="33"/>
  <c r="B61" i="33"/>
  <c r="J60" i="33"/>
  <c r="K60" i="33" s="1"/>
  <c r="I60" i="33"/>
  <c r="M60" i="33" s="1"/>
  <c r="A60" i="33" s="1"/>
  <c r="B60" i="33"/>
  <c r="M59" i="33"/>
  <c r="J59" i="33"/>
  <c r="K59" i="33" s="1"/>
  <c r="I59" i="33"/>
  <c r="B59" i="33"/>
  <c r="A59" i="33"/>
  <c r="M58" i="33"/>
  <c r="A58" i="33" s="1"/>
  <c r="J58" i="33"/>
  <c r="K58" i="33" s="1"/>
  <c r="I58" i="33"/>
  <c r="B58" i="33"/>
  <c r="M57" i="33"/>
  <c r="A57" i="33" s="1"/>
  <c r="K57" i="33"/>
  <c r="J57" i="33"/>
  <c r="I57" i="33"/>
  <c r="B57" i="33"/>
  <c r="J56" i="33"/>
  <c r="K56" i="33" s="1"/>
  <c r="I56" i="33"/>
  <c r="M56" i="33" s="1"/>
  <c r="A56" i="33" s="1"/>
  <c r="B56" i="33"/>
  <c r="M55" i="33"/>
  <c r="J55" i="33"/>
  <c r="K55" i="33" s="1"/>
  <c r="I55" i="33"/>
  <c r="B55" i="33"/>
  <c r="A55" i="33"/>
  <c r="M54" i="33"/>
  <c r="A54" i="33" s="1"/>
  <c r="J54" i="33"/>
  <c r="K54" i="33" s="1"/>
  <c r="I54" i="33"/>
  <c r="B54" i="33"/>
  <c r="M53" i="33"/>
  <c r="A53" i="33" s="1"/>
  <c r="K53" i="33"/>
  <c r="J53" i="33"/>
  <c r="I53" i="33"/>
  <c r="B53" i="33"/>
  <c r="J52" i="33"/>
  <c r="K52" i="33" s="1"/>
  <c r="I52" i="33"/>
  <c r="M52" i="33" s="1"/>
  <c r="A52" i="33" s="1"/>
  <c r="B52" i="33"/>
  <c r="M51" i="33"/>
  <c r="J51" i="33"/>
  <c r="K51" i="33" s="1"/>
  <c r="I51" i="33"/>
  <c r="B51" i="33"/>
  <c r="A51" i="33"/>
  <c r="M50" i="33"/>
  <c r="A50" i="33" s="1"/>
  <c r="J50" i="33"/>
  <c r="K50" i="33" s="1"/>
  <c r="I50" i="33"/>
  <c r="B50" i="33"/>
  <c r="M49" i="33"/>
  <c r="A49" i="33" s="1"/>
  <c r="K49" i="33"/>
  <c r="J49" i="33"/>
  <c r="I49" i="33"/>
  <c r="B49" i="33"/>
  <c r="J48" i="33"/>
  <c r="K48" i="33" s="1"/>
  <c r="I48" i="33"/>
  <c r="M48" i="33" s="1"/>
  <c r="A48" i="33" s="1"/>
  <c r="B48" i="33"/>
  <c r="M47" i="33"/>
  <c r="J47" i="33"/>
  <c r="K47" i="33" s="1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K45" i="33"/>
  <c r="J45" i="33"/>
  <c r="I45" i="33"/>
  <c r="M45" i="33" s="1"/>
  <c r="A45" i="33" s="1"/>
  <c r="B45" i="33"/>
  <c r="M44" i="33"/>
  <c r="A44" i="33" s="1"/>
  <c r="K44" i="33"/>
  <c r="J44" i="33"/>
  <c r="I44" i="33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K41" i="33"/>
  <c r="J41" i="33"/>
  <c r="I41" i="33"/>
  <c r="M41" i="33" s="1"/>
  <c r="A41" i="33" s="1"/>
  <c r="B41" i="33"/>
  <c r="M40" i="33"/>
  <c r="A40" i="33" s="1"/>
  <c r="K40" i="33"/>
  <c r="J40" i="33"/>
  <c r="I40" i="33"/>
  <c r="B40" i="33"/>
  <c r="J39" i="33"/>
  <c r="K39" i="33" s="1"/>
  <c r="I39" i="33"/>
  <c r="M39" i="33" s="1"/>
  <c r="A39" i="33" s="1"/>
  <c r="B39" i="33"/>
  <c r="J38" i="33"/>
  <c r="K38" i="33" s="1"/>
  <c r="I38" i="33"/>
  <c r="M38" i="33" s="1"/>
  <c r="A38" i="33" s="1"/>
  <c r="B38" i="33"/>
  <c r="K37" i="33"/>
  <c r="J37" i="33"/>
  <c r="I37" i="33"/>
  <c r="M37" i="33" s="1"/>
  <c r="A37" i="33" s="1"/>
  <c r="B37" i="33"/>
  <c r="M36" i="33"/>
  <c r="A36" i="33" s="1"/>
  <c r="K36" i="33"/>
  <c r="J36" i="33"/>
  <c r="I36" i="33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K33" i="33"/>
  <c r="J33" i="33"/>
  <c r="I33" i="33"/>
  <c r="M33" i="33" s="1"/>
  <c r="A33" i="33" s="1"/>
  <c r="B33" i="33"/>
  <c r="M32" i="33"/>
  <c r="A32" i="33" s="1"/>
  <c r="K32" i="33"/>
  <c r="J32" i="33"/>
  <c r="I32" i="33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K29" i="33"/>
  <c r="J29" i="33"/>
  <c r="I29" i="33"/>
  <c r="M29" i="33" s="1"/>
  <c r="A29" i="33" s="1"/>
  <c r="B29" i="33"/>
  <c r="M28" i="33"/>
  <c r="A28" i="33" s="1"/>
  <c r="K28" i="33"/>
  <c r="J28" i="33"/>
  <c r="I28" i="33"/>
  <c r="B28" i="33"/>
  <c r="J27" i="33"/>
  <c r="K27" i="33" s="1"/>
  <c r="I27" i="33"/>
  <c r="M27" i="33" s="1"/>
  <c r="A27" i="33" s="1"/>
  <c r="B27" i="33"/>
  <c r="J26" i="33"/>
  <c r="K26" i="33" s="1"/>
  <c r="I26" i="33"/>
  <c r="M26" i="33" s="1"/>
  <c r="A26" i="33" s="1"/>
  <c r="B26" i="33"/>
  <c r="K25" i="33"/>
  <c r="J25" i="33"/>
  <c r="I25" i="33"/>
  <c r="M25" i="33" s="1"/>
  <c r="A25" i="33" s="1"/>
  <c r="B25" i="33"/>
  <c r="M24" i="33"/>
  <c r="A24" i="33" s="1"/>
  <c r="K24" i="33"/>
  <c r="J24" i="33"/>
  <c r="I24" i="33"/>
  <c r="B24" i="33"/>
  <c r="J23" i="33"/>
  <c r="K23" i="33" s="1"/>
  <c r="I23" i="33"/>
  <c r="M23" i="33" s="1"/>
  <c r="A23" i="33" s="1"/>
  <c r="B23" i="33"/>
  <c r="J22" i="33"/>
  <c r="K22" i="33" s="1"/>
  <c r="I22" i="33"/>
  <c r="M22" i="33" s="1"/>
  <c r="A22" i="33" s="1"/>
  <c r="B22" i="33"/>
  <c r="K21" i="33"/>
  <c r="J21" i="33"/>
  <c r="I21" i="33"/>
  <c r="M21" i="33" s="1"/>
  <c r="A21" i="33" s="1"/>
  <c r="B21" i="33"/>
  <c r="M20" i="33"/>
  <c r="A20" i="33" s="1"/>
  <c r="K20" i="33"/>
  <c r="J20" i="33"/>
  <c r="I20" i="33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K17" i="33"/>
  <c r="J17" i="33"/>
  <c r="I17" i="33"/>
  <c r="M17" i="33" s="1"/>
  <c r="A17" i="33" s="1"/>
  <c r="B17" i="33"/>
  <c r="AI16" i="33"/>
  <c r="M16" i="33"/>
  <c r="A16" i="33" s="1"/>
  <c r="J16" i="33"/>
  <c r="K16" i="33" s="1"/>
  <c r="I16" i="33"/>
  <c r="B16" i="33"/>
  <c r="M15" i="33"/>
  <c r="A15" i="33" s="1"/>
  <c r="K15" i="33"/>
  <c r="J15" i="33"/>
  <c r="I15" i="33"/>
  <c r="B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K11" i="33"/>
  <c r="J11" i="33"/>
  <c r="I11" i="33"/>
  <c r="M11" i="33" s="1"/>
  <c r="A11" i="33" s="1"/>
  <c r="B11" i="33"/>
  <c r="M10" i="33"/>
  <c r="A10" i="33" s="1"/>
  <c r="K10" i="33"/>
  <c r="J10" i="33"/>
  <c r="I10" i="33"/>
  <c r="B10" i="33"/>
  <c r="M9" i="33"/>
  <c r="A9" i="33" s="1"/>
  <c r="L9" i="33"/>
  <c r="K9" i="33"/>
  <c r="J9" i="33"/>
  <c r="I9" i="33"/>
  <c r="B9" i="33"/>
  <c r="L8" i="33"/>
  <c r="J8" i="33"/>
  <c r="K8" i="33" s="1"/>
  <c r="I8" i="33"/>
  <c r="M8" i="33" s="1"/>
  <c r="A8" i="33" s="1"/>
  <c r="B8" i="33"/>
  <c r="L7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K280" i="32"/>
  <c r="J280" i="32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K264" i="32"/>
  <c r="J264" i="32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K248" i="32"/>
  <c r="J248" i="32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K232" i="32"/>
  <c r="J232" i="32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K216" i="32"/>
  <c r="J216" i="32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K200" i="32"/>
  <c r="J200" i="32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K184" i="32"/>
  <c r="J184" i="32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K168" i="32"/>
  <c r="J168" i="32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K152" i="32"/>
  <c r="J152" i="32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K136" i="32"/>
  <c r="J136" i="32"/>
  <c r="I136" i="32"/>
  <c r="M136" i="32" s="1"/>
  <c r="K135" i="32"/>
  <c r="J135" i="32"/>
  <c r="I135" i="32"/>
  <c r="M135" i="32" s="1"/>
  <c r="M134" i="32"/>
  <c r="K134" i="32"/>
  <c r="J134" i="32"/>
  <c r="I134" i="32"/>
  <c r="K133" i="32"/>
  <c r="J133" i="32"/>
  <c r="I133" i="32"/>
  <c r="M133" i="32" s="1"/>
  <c r="M132" i="32"/>
  <c r="K132" i="32"/>
  <c r="J132" i="32"/>
  <c r="I132" i="32"/>
  <c r="J131" i="32"/>
  <c r="K131" i="32" s="1"/>
  <c r="I131" i="32"/>
  <c r="M131" i="32" s="1"/>
  <c r="M130" i="32"/>
  <c r="K130" i="32"/>
  <c r="J130" i="32"/>
  <c r="I130" i="32"/>
  <c r="J129" i="32"/>
  <c r="K129" i="32" s="1"/>
  <c r="I129" i="32"/>
  <c r="M129" i="32" s="1"/>
  <c r="M128" i="32"/>
  <c r="K128" i="32"/>
  <c r="J128" i="32"/>
  <c r="I128" i="32"/>
  <c r="J127" i="32"/>
  <c r="K127" i="32" s="1"/>
  <c r="I127" i="32"/>
  <c r="M127" i="32" s="1"/>
  <c r="M126" i="32"/>
  <c r="K126" i="32"/>
  <c r="J126" i="32"/>
  <c r="I126" i="32"/>
  <c r="J125" i="32"/>
  <c r="K125" i="32" s="1"/>
  <c r="I125" i="32"/>
  <c r="M125" i="32" s="1"/>
  <c r="M124" i="32"/>
  <c r="K124" i="32"/>
  <c r="J124" i="32"/>
  <c r="I124" i="32"/>
  <c r="J123" i="32"/>
  <c r="K123" i="32" s="1"/>
  <c r="I123" i="32"/>
  <c r="M123" i="32" s="1"/>
  <c r="M122" i="32"/>
  <c r="K122" i="32"/>
  <c r="J122" i="32"/>
  <c r="I122" i="32"/>
  <c r="J121" i="32"/>
  <c r="K121" i="32" s="1"/>
  <c r="I121" i="32"/>
  <c r="M121" i="32" s="1"/>
  <c r="M120" i="32"/>
  <c r="K120" i="32"/>
  <c r="J120" i="32"/>
  <c r="I120" i="32"/>
  <c r="J119" i="32"/>
  <c r="K119" i="32" s="1"/>
  <c r="I119" i="32"/>
  <c r="M119" i="32" s="1"/>
  <c r="M118" i="32"/>
  <c r="K118" i="32"/>
  <c r="J118" i="32"/>
  <c r="I118" i="32"/>
  <c r="J117" i="32"/>
  <c r="K117" i="32" s="1"/>
  <c r="I117" i="32"/>
  <c r="M117" i="32" s="1"/>
  <c r="M116" i="32"/>
  <c r="K116" i="32"/>
  <c r="J116" i="32"/>
  <c r="I116" i="32"/>
  <c r="J115" i="32"/>
  <c r="K115" i="32" s="1"/>
  <c r="I115" i="32"/>
  <c r="M115" i="32" s="1"/>
  <c r="M114" i="32"/>
  <c r="K114" i="32"/>
  <c r="J114" i="32"/>
  <c r="I114" i="32"/>
  <c r="J113" i="32"/>
  <c r="K113" i="32" s="1"/>
  <c r="I113" i="32"/>
  <c r="M113" i="32" s="1"/>
  <c r="M112" i="32"/>
  <c r="K112" i="32"/>
  <c r="J112" i="32"/>
  <c r="I112" i="32"/>
  <c r="J111" i="32"/>
  <c r="K111" i="32" s="1"/>
  <c r="I111" i="32"/>
  <c r="M111" i="32" s="1"/>
  <c r="M110" i="32"/>
  <c r="K110" i="32"/>
  <c r="J110" i="32"/>
  <c r="I110" i="32"/>
  <c r="J109" i="32"/>
  <c r="K109" i="32" s="1"/>
  <c r="I109" i="32"/>
  <c r="M109" i="32" s="1"/>
  <c r="M108" i="32"/>
  <c r="K108" i="32"/>
  <c r="J108" i="32"/>
  <c r="I108" i="32"/>
  <c r="J107" i="32"/>
  <c r="K107" i="32" s="1"/>
  <c r="I107" i="32"/>
  <c r="M107" i="32" s="1"/>
  <c r="M106" i="32"/>
  <c r="K106" i="32"/>
  <c r="J106" i="32"/>
  <c r="I106" i="32"/>
  <c r="J105" i="32"/>
  <c r="K105" i="32" s="1"/>
  <c r="I105" i="32"/>
  <c r="M105" i="32" s="1"/>
  <c r="M104" i="32"/>
  <c r="K104" i="32"/>
  <c r="J104" i="32"/>
  <c r="I104" i="32"/>
  <c r="J103" i="32"/>
  <c r="K103" i="32" s="1"/>
  <c r="I103" i="32"/>
  <c r="M103" i="32" s="1"/>
  <c r="M102" i="32"/>
  <c r="K102" i="32"/>
  <c r="J102" i="32"/>
  <c r="I102" i="32"/>
  <c r="J101" i="32"/>
  <c r="K101" i="32" s="1"/>
  <c r="I101" i="32"/>
  <c r="M101" i="32" s="1"/>
  <c r="M100" i="32"/>
  <c r="K100" i="32"/>
  <c r="J100" i="32"/>
  <c r="I100" i="32"/>
  <c r="J99" i="32"/>
  <c r="K99" i="32" s="1"/>
  <c r="I99" i="32"/>
  <c r="M99" i="32" s="1"/>
  <c r="M98" i="32"/>
  <c r="K98" i="32"/>
  <c r="J98" i="32"/>
  <c r="I98" i="32"/>
  <c r="J97" i="32"/>
  <c r="K97" i="32" s="1"/>
  <c r="I97" i="32"/>
  <c r="M97" i="32" s="1"/>
  <c r="M96" i="32"/>
  <c r="K96" i="32"/>
  <c r="J96" i="32"/>
  <c r="I96" i="32"/>
  <c r="J95" i="32"/>
  <c r="K95" i="32" s="1"/>
  <c r="I95" i="32"/>
  <c r="M95" i="32" s="1"/>
  <c r="M94" i="32"/>
  <c r="K94" i="32"/>
  <c r="J94" i="32"/>
  <c r="I94" i="32"/>
  <c r="J93" i="32"/>
  <c r="K93" i="32" s="1"/>
  <c r="I93" i="32"/>
  <c r="M93" i="32" s="1"/>
  <c r="M92" i="32"/>
  <c r="K92" i="32"/>
  <c r="J92" i="32"/>
  <c r="I92" i="32"/>
  <c r="J91" i="32"/>
  <c r="K91" i="32" s="1"/>
  <c r="I91" i="32"/>
  <c r="M91" i="32" s="1"/>
  <c r="M90" i="32"/>
  <c r="K90" i="32"/>
  <c r="J90" i="32"/>
  <c r="I90" i="32"/>
  <c r="J89" i="32"/>
  <c r="K89" i="32" s="1"/>
  <c r="I89" i="32"/>
  <c r="M89" i="32" s="1"/>
  <c r="M88" i="32"/>
  <c r="K88" i="32"/>
  <c r="J88" i="32"/>
  <c r="I88" i="32"/>
  <c r="J87" i="32"/>
  <c r="K87" i="32" s="1"/>
  <c r="I87" i="32"/>
  <c r="M87" i="32" s="1"/>
  <c r="M86" i="32"/>
  <c r="K86" i="32"/>
  <c r="J86" i="32"/>
  <c r="I86" i="32"/>
  <c r="J85" i="32"/>
  <c r="K85" i="32" s="1"/>
  <c r="I85" i="32"/>
  <c r="M85" i="32" s="1"/>
  <c r="M84" i="32"/>
  <c r="K84" i="32"/>
  <c r="J84" i="32"/>
  <c r="I84" i="32"/>
  <c r="J83" i="32"/>
  <c r="K83" i="32" s="1"/>
  <c r="I83" i="32"/>
  <c r="M83" i="32" s="1"/>
  <c r="M82" i="32"/>
  <c r="K82" i="32"/>
  <c r="J82" i="32"/>
  <c r="I82" i="32"/>
  <c r="J81" i="32"/>
  <c r="K81" i="32" s="1"/>
  <c r="I81" i="32"/>
  <c r="M81" i="32" s="1"/>
  <c r="M80" i="32"/>
  <c r="K80" i="32"/>
  <c r="J80" i="32"/>
  <c r="I80" i="32"/>
  <c r="J79" i="32"/>
  <c r="K79" i="32" s="1"/>
  <c r="I79" i="32"/>
  <c r="M79" i="32" s="1"/>
  <c r="A79" i="32" s="1"/>
  <c r="M78" i="32"/>
  <c r="A78" i="32" s="1"/>
  <c r="K78" i="32"/>
  <c r="J78" i="32"/>
  <c r="I78" i="32"/>
  <c r="J77" i="32"/>
  <c r="K77" i="32" s="1"/>
  <c r="I77" i="32"/>
  <c r="M77" i="32" s="1"/>
  <c r="A77" i="32" s="1"/>
  <c r="J76" i="32"/>
  <c r="K76" i="32" s="1"/>
  <c r="I76" i="32"/>
  <c r="M76" i="32" s="1"/>
  <c r="A76" i="32" s="1"/>
  <c r="M75" i="32"/>
  <c r="A75" i="32" s="1"/>
  <c r="K75" i="32"/>
  <c r="J75" i="32"/>
  <c r="I75" i="32"/>
  <c r="K74" i="32"/>
  <c r="J74" i="32"/>
  <c r="I74" i="32"/>
  <c r="M74" i="32" s="1"/>
  <c r="A74" i="32" s="1"/>
  <c r="M73" i="32"/>
  <c r="K73" i="32"/>
  <c r="J73" i="32"/>
  <c r="I73" i="32"/>
  <c r="A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K70" i="32"/>
  <c r="J70" i="32"/>
  <c r="I70" i="32"/>
  <c r="J69" i="32"/>
  <c r="K69" i="32" s="1"/>
  <c r="I69" i="32"/>
  <c r="M69" i="32" s="1"/>
  <c r="A69" i="32" s="1"/>
  <c r="J68" i="32"/>
  <c r="K68" i="32" s="1"/>
  <c r="I68" i="32"/>
  <c r="M68" i="32" s="1"/>
  <c r="A68" i="32" s="1"/>
  <c r="M67" i="32"/>
  <c r="A67" i="32" s="1"/>
  <c r="K67" i="32"/>
  <c r="J67" i="32"/>
  <c r="I67" i="32"/>
  <c r="K66" i="32"/>
  <c r="J66" i="32"/>
  <c r="I66" i="32"/>
  <c r="M66" i="32" s="1"/>
  <c r="A66" i="32" s="1"/>
  <c r="M65" i="32"/>
  <c r="A65" i="32" s="1"/>
  <c r="K65" i="32"/>
  <c r="J65" i="32"/>
  <c r="I65" i="32"/>
  <c r="B65" i="32"/>
  <c r="M64" i="32"/>
  <c r="A64" i="32" s="1"/>
  <c r="K64" i="32"/>
  <c r="J64" i="32"/>
  <c r="I64" i="32"/>
  <c r="B64" i="32"/>
  <c r="J63" i="32"/>
  <c r="K63" i="32" s="1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M60" i="32"/>
  <c r="A60" i="32" s="1"/>
  <c r="K60" i="32"/>
  <c r="J60" i="32"/>
  <c r="I60" i="32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M57" i="32"/>
  <c r="A57" i="32" s="1"/>
  <c r="K57" i="32"/>
  <c r="J57" i="32"/>
  <c r="I57" i="32"/>
  <c r="B57" i="32"/>
  <c r="M56" i="32"/>
  <c r="A56" i="32" s="1"/>
  <c r="K56" i="32"/>
  <c r="J56" i="32"/>
  <c r="I56" i="32"/>
  <c r="B56" i="32"/>
  <c r="J55" i="32"/>
  <c r="K55" i="32" s="1"/>
  <c r="I55" i="32"/>
  <c r="M55" i="32" s="1"/>
  <c r="A55" i="32" s="1"/>
  <c r="B55" i="32"/>
  <c r="J54" i="32"/>
  <c r="K54" i="32" s="1"/>
  <c r="I54" i="32"/>
  <c r="M54" i="32" s="1"/>
  <c r="A54" i="32" s="1"/>
  <c r="B54" i="32"/>
  <c r="M53" i="32"/>
  <c r="A53" i="32" s="1"/>
  <c r="K53" i="32"/>
  <c r="J53" i="32"/>
  <c r="I53" i="32"/>
  <c r="B53" i="32"/>
  <c r="M52" i="32"/>
  <c r="A52" i="32" s="1"/>
  <c r="K52" i="32"/>
  <c r="J52" i="32"/>
  <c r="I52" i="32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M48" i="32"/>
  <c r="A48" i="32" s="1"/>
  <c r="K48" i="32"/>
  <c r="J48" i="32"/>
  <c r="I48" i="32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J36" i="32"/>
  <c r="K36" i="32" s="1"/>
  <c r="I36" i="32"/>
  <c r="M36" i="32" s="1"/>
  <c r="A36" i="32" s="1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K33" i="32"/>
  <c r="J33" i="32"/>
  <c r="I33" i="32"/>
  <c r="M33" i="32" s="1"/>
  <c r="A33" i="32" s="1"/>
  <c r="B33" i="32"/>
  <c r="J32" i="32"/>
  <c r="K32" i="32" s="1"/>
  <c r="I32" i="32"/>
  <c r="M32" i="32" s="1"/>
  <c r="A32" i="32" s="1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K29" i="32"/>
  <c r="J29" i="32"/>
  <c r="I29" i="32"/>
  <c r="M29" i="32" s="1"/>
  <c r="A29" i="32" s="1"/>
  <c r="B29" i="32"/>
  <c r="J28" i="32"/>
  <c r="K28" i="32" s="1"/>
  <c r="I28" i="32"/>
  <c r="M28" i="32" s="1"/>
  <c r="A28" i="32" s="1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K25" i="32"/>
  <c r="J25" i="32"/>
  <c r="I25" i="32"/>
  <c r="M25" i="32" s="1"/>
  <c r="A25" i="32" s="1"/>
  <c r="B25" i="32"/>
  <c r="J24" i="32"/>
  <c r="K24" i="32" s="1"/>
  <c r="I24" i="32"/>
  <c r="M24" i="32" s="1"/>
  <c r="A24" i="32" s="1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K21" i="32"/>
  <c r="J21" i="32"/>
  <c r="I21" i="32"/>
  <c r="M21" i="32" s="1"/>
  <c r="A21" i="32" s="1"/>
  <c r="B21" i="32"/>
  <c r="J20" i="32"/>
  <c r="K20" i="32" s="1"/>
  <c r="I20" i="32"/>
  <c r="M20" i="32" s="1"/>
  <c r="A20" i="32" s="1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K17" i="32"/>
  <c r="J17" i="32"/>
  <c r="I17" i="32"/>
  <c r="M17" i="32" s="1"/>
  <c r="A17" i="32" s="1"/>
  <c r="B17" i="32"/>
  <c r="J16" i="32"/>
  <c r="K16" i="32" s="1"/>
  <c r="I16" i="32"/>
  <c r="M16" i="32" s="1"/>
  <c r="A16" i="32" s="1"/>
  <c r="B16" i="32"/>
  <c r="M15" i="32"/>
  <c r="A15" i="32" s="1"/>
  <c r="K15" i="32"/>
  <c r="J15" i="32"/>
  <c r="I15" i="32"/>
  <c r="B15" i="32"/>
  <c r="AI14" i="32"/>
  <c r="M14" i="32"/>
  <c r="A14" i="32" s="1"/>
  <c r="K14" i="32"/>
  <c r="J14" i="32"/>
  <c r="I14" i="32"/>
  <c r="B14" i="32"/>
  <c r="AI13" i="32"/>
  <c r="M13" i="32"/>
  <c r="A13" i="32" s="1"/>
  <c r="K13" i="32"/>
  <c r="J13" i="32"/>
  <c r="I13" i="32"/>
  <c r="B13" i="32"/>
  <c r="AI12" i="32"/>
  <c r="AI16" i="32" s="1"/>
  <c r="J12" i="32"/>
  <c r="K12" i="32" s="1"/>
  <c r="I12" i="32"/>
  <c r="M12" i="32" s="1"/>
  <c r="A12" i="32" s="1"/>
  <c r="B12" i="32"/>
  <c r="K11" i="32"/>
  <c r="J11" i="32"/>
  <c r="I11" i="32"/>
  <c r="M11" i="32" s="1"/>
  <c r="A11" i="32" s="1"/>
  <c r="B11" i="32"/>
  <c r="J10" i="32"/>
  <c r="K10" i="32" s="1"/>
  <c r="I10" i="32"/>
  <c r="M10" i="32" s="1"/>
  <c r="A10" i="32" s="1"/>
  <c r="B10" i="32"/>
  <c r="M9" i="32"/>
  <c r="A9" i="32" s="1"/>
  <c r="L9" i="32"/>
  <c r="K9" i="32"/>
  <c r="J9" i="32"/>
  <c r="I9" i="32"/>
  <c r="B9" i="32"/>
  <c r="M8" i="32"/>
  <c r="A8" i="32" s="1"/>
  <c r="L8" i="32"/>
  <c r="K8" i="32"/>
  <c r="J8" i="32"/>
  <c r="I8" i="32"/>
  <c r="B8" i="32"/>
  <c r="L7" i="32"/>
  <c r="K7" i="32"/>
  <c r="J7" i="32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Q29" i="20"/>
  <c r="R29" i="20" s="1"/>
  <c r="O29" i="20"/>
  <c r="P29" i="20" s="1"/>
  <c r="S28" i="20"/>
  <c r="Q28" i="20"/>
  <c r="R28" i="20" s="1"/>
  <c r="O28" i="20"/>
  <c r="P28" i="20" s="1"/>
  <c r="S27" i="20"/>
  <c r="Q27" i="20"/>
  <c r="R27" i="20" s="1"/>
  <c r="O27" i="20"/>
  <c r="P27" i="20" s="1"/>
  <c r="Q26" i="20"/>
  <c r="R26" i="20" s="1"/>
  <c r="O26" i="20"/>
  <c r="P26" i="20" s="1"/>
  <c r="S25" i="20"/>
  <c r="Q25" i="20"/>
  <c r="R25" i="20" s="1"/>
  <c r="O25" i="20"/>
  <c r="P25" i="20" s="1"/>
  <c r="S24" i="20"/>
  <c r="Q24" i="20"/>
  <c r="R24" i="20" s="1"/>
  <c r="O24" i="20"/>
  <c r="P24" i="20" s="1"/>
  <c r="Q23" i="20"/>
  <c r="R23" i="20" s="1"/>
  <c r="O23" i="20"/>
  <c r="P23" i="20" s="1"/>
  <c r="S22" i="20"/>
  <c r="Q22" i="20"/>
  <c r="R22" i="20" s="1"/>
  <c r="O22" i="20"/>
  <c r="P22" i="20" s="1"/>
  <c r="Q21" i="20"/>
  <c r="R21" i="20" s="1"/>
  <c r="O21" i="20"/>
  <c r="P21" i="20" s="1"/>
  <c r="S20" i="20"/>
  <c r="Q20" i="20"/>
  <c r="R20" i="20" s="1"/>
  <c r="O20" i="20"/>
  <c r="P20" i="20" s="1"/>
  <c r="S19" i="20"/>
  <c r="Q19" i="20"/>
  <c r="R19" i="20" s="1"/>
  <c r="O19" i="20"/>
  <c r="P19" i="20" s="1"/>
  <c r="Q18" i="20"/>
  <c r="R18" i="20" s="1"/>
  <c r="O18" i="20"/>
  <c r="P18" i="20" s="1"/>
  <c r="S17" i="20"/>
  <c r="Q17" i="20"/>
  <c r="R17" i="20" s="1"/>
  <c r="O17" i="20"/>
  <c r="P17" i="20" s="1"/>
  <c r="S16" i="20"/>
  <c r="Q16" i="20"/>
  <c r="R16" i="20" s="1"/>
  <c r="O16" i="20"/>
  <c r="P16" i="20" s="1"/>
  <c r="Q15" i="20"/>
  <c r="R15" i="20" s="1"/>
  <c r="O15" i="20"/>
  <c r="P15" i="20" s="1"/>
  <c r="S14" i="20"/>
  <c r="Q14" i="20"/>
  <c r="R14" i="20" s="1"/>
  <c r="O14" i="20"/>
  <c r="P14" i="20" s="1"/>
  <c r="Q13" i="20"/>
  <c r="R13" i="20" s="1"/>
  <c r="O13" i="20"/>
  <c r="P13" i="20" s="1"/>
  <c r="S12" i="20"/>
  <c r="Q12" i="20"/>
  <c r="R12" i="20" s="1"/>
  <c r="O12" i="20"/>
  <c r="P12" i="20" s="1"/>
  <c r="S11" i="20"/>
  <c r="Q11" i="20"/>
  <c r="R11" i="20" s="1"/>
  <c r="O11" i="20"/>
  <c r="P11" i="20" s="1"/>
  <c r="Q10" i="20"/>
  <c r="R10" i="20" s="1"/>
  <c r="O10" i="20"/>
  <c r="P10" i="20" s="1"/>
  <c r="S9" i="20"/>
  <c r="Q9" i="20"/>
  <c r="R9" i="20" s="1"/>
  <c r="O9" i="20"/>
  <c r="P9" i="20" s="1"/>
  <c r="S8" i="20"/>
  <c r="Q8" i="20"/>
  <c r="R8" i="20" s="1"/>
  <c r="O8" i="20"/>
  <c r="P8" i="20" s="1"/>
  <c r="S7" i="20"/>
  <c r="Q7" i="20"/>
  <c r="R7" i="20" s="1"/>
  <c r="O7" i="20"/>
  <c r="P7" i="20" s="1"/>
  <c r="S6" i="20"/>
  <c r="Q6" i="20"/>
  <c r="R6" i="20" s="1"/>
  <c r="O6" i="20"/>
  <c r="P6" i="20" s="1"/>
  <c r="S20" i="13"/>
  <c r="S19" i="13"/>
  <c r="S18" i="13"/>
  <c r="S17" i="13"/>
  <c r="S16" i="13"/>
  <c r="S12" i="13"/>
  <c r="S11" i="13"/>
  <c r="S10" i="13"/>
  <c r="S8" i="13"/>
  <c r="S9" i="13"/>
  <c r="S7" i="13"/>
  <c r="S6" i="13"/>
  <c r="Q23" i="13"/>
  <c r="R23" i="13" s="1"/>
  <c r="Q22" i="13"/>
  <c r="R22" i="13" s="1"/>
  <c r="Q21" i="13"/>
  <c r="R21" i="13" s="1"/>
  <c r="Q20" i="13"/>
  <c r="R20" i="13" s="1"/>
  <c r="Q19" i="13"/>
  <c r="R19" i="13" s="1"/>
  <c r="Q18" i="13"/>
  <c r="R18" i="13" s="1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Q10" i="13"/>
  <c r="R10" i="13" s="1"/>
  <c r="Q8" i="13"/>
  <c r="R8" i="13" s="1"/>
  <c r="Q9" i="13"/>
  <c r="R9" i="13" s="1"/>
  <c r="Q7" i="13"/>
  <c r="R7" i="13" s="1"/>
  <c r="Q6" i="13"/>
  <c r="R6" i="13" s="1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P17" i="13"/>
  <c r="O17" i="13"/>
  <c r="O16" i="13"/>
  <c r="P16" i="13" s="1"/>
  <c r="O15" i="13"/>
  <c r="P15" i="13" s="1"/>
  <c r="O14" i="13"/>
  <c r="P14" i="13" s="1"/>
  <c r="P13" i="13"/>
  <c r="O13" i="13"/>
  <c r="O12" i="13"/>
  <c r="P12" i="13" s="1"/>
  <c r="O11" i="13"/>
  <c r="P11" i="13" s="1"/>
  <c r="O10" i="13"/>
  <c r="P10" i="13" s="1"/>
  <c r="O8" i="13"/>
  <c r="P8" i="13" s="1"/>
  <c r="O9" i="13"/>
  <c r="P9" i="13" s="1"/>
  <c r="O7" i="13"/>
  <c r="P7" i="13" s="1"/>
  <c r="O6" i="13"/>
  <c r="P6" i="13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K240" i="31"/>
  <c r="J240" i="3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K232" i="31"/>
  <c r="J232" i="3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K176" i="31"/>
  <c r="J176" i="3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K168" i="31"/>
  <c r="J168" i="3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M136" i="31"/>
  <c r="J136" i="31"/>
  <c r="K136" i="31" s="1"/>
  <c r="I136" i="3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M120" i="31"/>
  <c r="K120" i="31"/>
  <c r="J120" i="31"/>
  <c r="I120" i="3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M114" i="31"/>
  <c r="J114" i="31"/>
  <c r="K114" i="31" s="1"/>
  <c r="I114" i="3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M96" i="31"/>
  <c r="K96" i="31"/>
  <c r="J96" i="31"/>
  <c r="I96" i="3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M74" i="31"/>
  <c r="J74" i="31"/>
  <c r="K74" i="31" s="1"/>
  <c r="I74" i="3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M59" i="31"/>
  <c r="J59" i="31"/>
  <c r="K59" i="31" s="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K50" i="31"/>
  <c r="J50" i="3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M41" i="31"/>
  <c r="J41" i="31"/>
  <c r="K41" i="31" s="1"/>
  <c r="I41" i="31"/>
  <c r="B41" i="31"/>
  <c r="J40" i="31"/>
  <c r="K40" i="31" s="1"/>
  <c r="I40" i="31"/>
  <c r="M40" i="31" s="1"/>
  <c r="B40" i="31"/>
  <c r="M39" i="31"/>
  <c r="J39" i="31"/>
  <c r="K39" i="31" s="1"/>
  <c r="I39" i="3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M28" i="31"/>
  <c r="A28" i="31" s="1"/>
  <c r="J28" i="31"/>
  <c r="K28" i="31" s="1"/>
  <c r="I28" i="3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M15" i="31"/>
  <c r="A15" i="31" s="1"/>
  <c r="J15" i="31"/>
  <c r="K15" i="31" s="1"/>
  <c r="I15" i="31"/>
  <c r="B15" i="31"/>
  <c r="AI14" i="31"/>
  <c r="AI16" i="31" s="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K9" i="31"/>
  <c r="J9" i="31"/>
  <c r="I9" i="31"/>
  <c r="M9" i="31" s="1"/>
  <c r="A9" i="31" s="1"/>
  <c r="J8" i="31"/>
  <c r="K8" i="31" s="1"/>
  <c r="I8" i="31"/>
  <c r="J7" i="31"/>
  <c r="K7" i="31" s="1"/>
  <c r="I7" i="31"/>
  <c r="J6" i="31"/>
  <c r="K6" i="31" s="1"/>
  <c r="I6" i="31"/>
  <c r="M6" i="31" s="1"/>
  <c r="A6" i="31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K302" i="30"/>
  <c r="J302" i="30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K286" i="30"/>
  <c r="J286" i="30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K270" i="30"/>
  <c r="J270" i="30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K254" i="30"/>
  <c r="J254" i="30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K238" i="30"/>
  <c r="J238" i="30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K190" i="30"/>
  <c r="J190" i="30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K160" i="30"/>
  <c r="J160" i="30"/>
  <c r="I160" i="30"/>
  <c r="M160" i="30" s="1"/>
  <c r="J159" i="30"/>
  <c r="K159" i="30" s="1"/>
  <c r="I159" i="30"/>
  <c r="M159" i="30" s="1"/>
  <c r="K158" i="30"/>
  <c r="J158" i="30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K144" i="30"/>
  <c r="J144" i="30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K135" i="30"/>
  <c r="J135" i="30"/>
  <c r="I135" i="30"/>
  <c r="M134" i="30"/>
  <c r="J134" i="30"/>
  <c r="K134" i="30" s="1"/>
  <c r="I134" i="30"/>
  <c r="M133" i="30"/>
  <c r="J133" i="30"/>
  <c r="K133" i="30" s="1"/>
  <c r="I133" i="30"/>
  <c r="M132" i="30"/>
  <c r="J132" i="30"/>
  <c r="K132" i="30" s="1"/>
  <c r="I132" i="30"/>
  <c r="M131" i="30"/>
  <c r="J131" i="30"/>
  <c r="K131" i="30" s="1"/>
  <c r="I131" i="30"/>
  <c r="M130" i="30"/>
  <c r="J130" i="30"/>
  <c r="K130" i="30" s="1"/>
  <c r="I130" i="30"/>
  <c r="M129" i="30"/>
  <c r="J129" i="30"/>
  <c r="K129" i="30" s="1"/>
  <c r="I129" i="30"/>
  <c r="M128" i="30"/>
  <c r="J128" i="30"/>
  <c r="K128" i="30" s="1"/>
  <c r="I128" i="30"/>
  <c r="M127" i="30"/>
  <c r="J127" i="30"/>
  <c r="K127" i="30" s="1"/>
  <c r="I127" i="30"/>
  <c r="M126" i="30"/>
  <c r="J126" i="30"/>
  <c r="K126" i="30" s="1"/>
  <c r="I126" i="30"/>
  <c r="M125" i="30"/>
  <c r="J125" i="30"/>
  <c r="K125" i="30" s="1"/>
  <c r="I125" i="30"/>
  <c r="M124" i="30"/>
  <c r="J124" i="30"/>
  <c r="K124" i="30" s="1"/>
  <c r="I124" i="30"/>
  <c r="M123" i="30"/>
  <c r="J123" i="30"/>
  <c r="K123" i="30" s="1"/>
  <c r="I123" i="30"/>
  <c r="M122" i="30"/>
  <c r="J122" i="30"/>
  <c r="K122" i="30" s="1"/>
  <c r="I122" i="30"/>
  <c r="M121" i="30"/>
  <c r="J121" i="30"/>
  <c r="K121" i="30" s="1"/>
  <c r="I121" i="30"/>
  <c r="M120" i="30"/>
  <c r="J120" i="30"/>
  <c r="K120" i="30" s="1"/>
  <c r="I120" i="30"/>
  <c r="M119" i="30"/>
  <c r="J119" i="30"/>
  <c r="K119" i="30" s="1"/>
  <c r="I119" i="30"/>
  <c r="M118" i="30"/>
  <c r="J118" i="30"/>
  <c r="K118" i="30" s="1"/>
  <c r="I118" i="30"/>
  <c r="M117" i="30"/>
  <c r="J117" i="30"/>
  <c r="K117" i="30" s="1"/>
  <c r="I117" i="30"/>
  <c r="M116" i="30"/>
  <c r="J116" i="30"/>
  <c r="K116" i="30" s="1"/>
  <c r="I116" i="30"/>
  <c r="M115" i="30"/>
  <c r="J115" i="30"/>
  <c r="K115" i="30" s="1"/>
  <c r="I115" i="30"/>
  <c r="M114" i="30"/>
  <c r="J114" i="30"/>
  <c r="K114" i="30" s="1"/>
  <c r="I114" i="30"/>
  <c r="M113" i="30"/>
  <c r="J113" i="30"/>
  <c r="K113" i="30" s="1"/>
  <c r="I113" i="30"/>
  <c r="M112" i="30"/>
  <c r="J112" i="30"/>
  <c r="K112" i="30" s="1"/>
  <c r="I112" i="30"/>
  <c r="M111" i="30"/>
  <c r="J111" i="30"/>
  <c r="K111" i="30" s="1"/>
  <c r="I111" i="30"/>
  <c r="M110" i="30"/>
  <c r="J110" i="30"/>
  <c r="K110" i="30" s="1"/>
  <c r="I110" i="30"/>
  <c r="M109" i="30"/>
  <c r="J109" i="30"/>
  <c r="K109" i="30" s="1"/>
  <c r="I109" i="30"/>
  <c r="M108" i="30"/>
  <c r="J108" i="30"/>
  <c r="K108" i="30" s="1"/>
  <c r="I108" i="30"/>
  <c r="M107" i="30"/>
  <c r="J107" i="30"/>
  <c r="K107" i="30" s="1"/>
  <c r="I107" i="30"/>
  <c r="M106" i="30"/>
  <c r="J106" i="30"/>
  <c r="K106" i="30" s="1"/>
  <c r="I106" i="30"/>
  <c r="M105" i="30"/>
  <c r="J105" i="30"/>
  <c r="K105" i="30" s="1"/>
  <c r="I105" i="30"/>
  <c r="M104" i="30"/>
  <c r="J104" i="30"/>
  <c r="K104" i="30" s="1"/>
  <c r="I104" i="30"/>
  <c r="M103" i="30"/>
  <c r="J103" i="30"/>
  <c r="K103" i="30" s="1"/>
  <c r="I103" i="30"/>
  <c r="M102" i="30"/>
  <c r="J102" i="30"/>
  <c r="K102" i="30" s="1"/>
  <c r="I102" i="30"/>
  <c r="M101" i="30"/>
  <c r="J101" i="30"/>
  <c r="K101" i="30" s="1"/>
  <c r="I101" i="30"/>
  <c r="M100" i="30"/>
  <c r="J100" i="30"/>
  <c r="K100" i="30" s="1"/>
  <c r="I100" i="30"/>
  <c r="J99" i="30"/>
  <c r="K99" i="30" s="1"/>
  <c r="I99" i="30"/>
  <c r="M99" i="30" s="1"/>
  <c r="M98" i="30"/>
  <c r="J98" i="30"/>
  <c r="K98" i="30" s="1"/>
  <c r="I98" i="30"/>
  <c r="M97" i="30"/>
  <c r="J97" i="30"/>
  <c r="K97" i="30" s="1"/>
  <c r="I97" i="30"/>
  <c r="M96" i="30"/>
  <c r="J96" i="30"/>
  <c r="K96" i="30" s="1"/>
  <c r="I96" i="30"/>
  <c r="M95" i="30"/>
  <c r="J95" i="30"/>
  <c r="K95" i="30" s="1"/>
  <c r="I95" i="30"/>
  <c r="M94" i="30"/>
  <c r="J94" i="30"/>
  <c r="K94" i="30" s="1"/>
  <c r="I94" i="30"/>
  <c r="M93" i="30"/>
  <c r="J93" i="30"/>
  <c r="K93" i="30" s="1"/>
  <c r="I93" i="30"/>
  <c r="M92" i="30"/>
  <c r="J92" i="30"/>
  <c r="K92" i="30" s="1"/>
  <c r="I92" i="30"/>
  <c r="M91" i="30"/>
  <c r="J91" i="30"/>
  <c r="K91" i="30" s="1"/>
  <c r="I91" i="30"/>
  <c r="M90" i="30"/>
  <c r="J90" i="30"/>
  <c r="K90" i="30" s="1"/>
  <c r="I90" i="30"/>
  <c r="M89" i="30"/>
  <c r="J89" i="30"/>
  <c r="K89" i="30" s="1"/>
  <c r="I89" i="30"/>
  <c r="M88" i="30"/>
  <c r="J88" i="30"/>
  <c r="K88" i="30" s="1"/>
  <c r="I88" i="30"/>
  <c r="M87" i="30"/>
  <c r="J87" i="30"/>
  <c r="K87" i="30" s="1"/>
  <c r="I87" i="30"/>
  <c r="M86" i="30"/>
  <c r="J86" i="30"/>
  <c r="K86" i="30" s="1"/>
  <c r="I86" i="30"/>
  <c r="M85" i="30"/>
  <c r="J85" i="30"/>
  <c r="K85" i="30" s="1"/>
  <c r="I85" i="30"/>
  <c r="M84" i="30"/>
  <c r="J84" i="30"/>
  <c r="K84" i="30" s="1"/>
  <c r="I84" i="30"/>
  <c r="J83" i="30"/>
  <c r="K83" i="30" s="1"/>
  <c r="I83" i="30"/>
  <c r="M83" i="30" s="1"/>
  <c r="M82" i="30"/>
  <c r="J82" i="30"/>
  <c r="K82" i="30" s="1"/>
  <c r="I82" i="30"/>
  <c r="J81" i="30"/>
  <c r="K81" i="30" s="1"/>
  <c r="I81" i="30"/>
  <c r="M81" i="30" s="1"/>
  <c r="M80" i="30"/>
  <c r="J80" i="30"/>
  <c r="K80" i="30" s="1"/>
  <c r="I80" i="30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M76" i="30"/>
  <c r="J76" i="30"/>
  <c r="K76" i="30" s="1"/>
  <c r="I76" i="30"/>
  <c r="J75" i="30"/>
  <c r="K75" i="30" s="1"/>
  <c r="I75" i="30"/>
  <c r="M75" i="30" s="1"/>
  <c r="M74" i="30"/>
  <c r="J74" i="30"/>
  <c r="K74" i="30" s="1"/>
  <c r="I74" i="30"/>
  <c r="M73" i="30"/>
  <c r="J73" i="30"/>
  <c r="K73" i="30" s="1"/>
  <c r="I73" i="30"/>
  <c r="M72" i="30"/>
  <c r="J72" i="30"/>
  <c r="K72" i="30" s="1"/>
  <c r="I72" i="30"/>
  <c r="M71" i="30"/>
  <c r="J71" i="30"/>
  <c r="K71" i="30" s="1"/>
  <c r="I71" i="30"/>
  <c r="M70" i="30"/>
  <c r="J70" i="30"/>
  <c r="K70" i="30" s="1"/>
  <c r="I70" i="30"/>
  <c r="J69" i="30"/>
  <c r="K69" i="30" s="1"/>
  <c r="I69" i="30"/>
  <c r="M69" i="30" s="1"/>
  <c r="M68" i="30"/>
  <c r="J68" i="30"/>
  <c r="K68" i="30" s="1"/>
  <c r="I68" i="30"/>
  <c r="J67" i="30"/>
  <c r="K67" i="30" s="1"/>
  <c r="I67" i="30"/>
  <c r="M67" i="30" s="1"/>
  <c r="M66" i="30"/>
  <c r="J66" i="30"/>
  <c r="K66" i="30" s="1"/>
  <c r="I66" i="30"/>
  <c r="J65" i="30"/>
  <c r="K65" i="30" s="1"/>
  <c r="I65" i="30"/>
  <c r="M65" i="30" s="1"/>
  <c r="B65" i="30"/>
  <c r="M64" i="30"/>
  <c r="K64" i="30"/>
  <c r="J64" i="30"/>
  <c r="I64" i="30"/>
  <c r="B64" i="30"/>
  <c r="J63" i="30"/>
  <c r="K63" i="30" s="1"/>
  <c r="I63" i="30"/>
  <c r="M63" i="30" s="1"/>
  <c r="B63" i="30"/>
  <c r="J62" i="30"/>
  <c r="K62" i="30" s="1"/>
  <c r="I62" i="30"/>
  <c r="M62" i="30" s="1"/>
  <c r="B62" i="30"/>
  <c r="M61" i="30"/>
  <c r="J61" i="30"/>
  <c r="K61" i="30" s="1"/>
  <c r="I61" i="30"/>
  <c r="B61" i="30"/>
  <c r="K60" i="30"/>
  <c r="J60" i="30"/>
  <c r="I60" i="30"/>
  <c r="M60" i="30" s="1"/>
  <c r="B60" i="30"/>
  <c r="M59" i="30"/>
  <c r="K59" i="30"/>
  <c r="J59" i="30"/>
  <c r="I59" i="30"/>
  <c r="B59" i="30"/>
  <c r="J58" i="30"/>
  <c r="K58" i="30" s="1"/>
  <c r="I58" i="30"/>
  <c r="M58" i="30" s="1"/>
  <c r="B58" i="30"/>
  <c r="M57" i="30"/>
  <c r="J57" i="30"/>
  <c r="K57" i="30" s="1"/>
  <c r="I57" i="30"/>
  <c r="B57" i="30"/>
  <c r="M56" i="30"/>
  <c r="K56" i="30"/>
  <c r="J56" i="30"/>
  <c r="I56" i="30"/>
  <c r="B56" i="30"/>
  <c r="J55" i="30"/>
  <c r="K55" i="30" s="1"/>
  <c r="I55" i="30"/>
  <c r="M55" i="30" s="1"/>
  <c r="B55" i="30"/>
  <c r="K54" i="30"/>
  <c r="J54" i="30"/>
  <c r="I54" i="30"/>
  <c r="M54" i="30" s="1"/>
  <c r="B54" i="30"/>
  <c r="M53" i="30"/>
  <c r="J53" i="30"/>
  <c r="K53" i="30" s="1"/>
  <c r="I53" i="30"/>
  <c r="B53" i="30"/>
  <c r="K52" i="30"/>
  <c r="J52" i="30"/>
  <c r="I52" i="30"/>
  <c r="M52" i="30" s="1"/>
  <c r="B52" i="30"/>
  <c r="M51" i="30"/>
  <c r="K51" i="30"/>
  <c r="J51" i="30"/>
  <c r="I51" i="30"/>
  <c r="B51" i="30"/>
  <c r="J50" i="30"/>
  <c r="K50" i="30" s="1"/>
  <c r="I50" i="30"/>
  <c r="M50" i="30" s="1"/>
  <c r="B50" i="30"/>
  <c r="M49" i="30"/>
  <c r="J49" i="30"/>
  <c r="K49" i="30" s="1"/>
  <c r="I49" i="30"/>
  <c r="B49" i="30"/>
  <c r="M48" i="30"/>
  <c r="K48" i="30"/>
  <c r="J48" i="30"/>
  <c r="I48" i="30"/>
  <c r="B48" i="30"/>
  <c r="J47" i="30"/>
  <c r="K47" i="30" s="1"/>
  <c r="I47" i="30"/>
  <c r="M47" i="30" s="1"/>
  <c r="B47" i="30"/>
  <c r="U46" i="30"/>
  <c r="T46" i="30"/>
  <c r="R46" i="30"/>
  <c r="J46" i="30"/>
  <c r="K46" i="30" s="1"/>
  <c r="I46" i="30"/>
  <c r="M46" i="30" s="1"/>
  <c r="B46" i="30"/>
  <c r="K45" i="30"/>
  <c r="J45" i="30"/>
  <c r="I45" i="30"/>
  <c r="M45" i="30" s="1"/>
  <c r="B45" i="30"/>
  <c r="M44" i="30"/>
  <c r="J44" i="30"/>
  <c r="K44" i="30" s="1"/>
  <c r="I44" i="30"/>
  <c r="B44" i="30"/>
  <c r="K43" i="30"/>
  <c r="J43" i="30"/>
  <c r="I43" i="30"/>
  <c r="M43" i="30" s="1"/>
  <c r="B43" i="30"/>
  <c r="M42" i="30"/>
  <c r="K42" i="30"/>
  <c r="J42" i="30"/>
  <c r="I42" i="30"/>
  <c r="B42" i="30"/>
  <c r="J41" i="30"/>
  <c r="K41" i="30" s="1"/>
  <c r="I41" i="30"/>
  <c r="M41" i="30" s="1"/>
  <c r="B41" i="30"/>
  <c r="M40" i="30"/>
  <c r="J40" i="30"/>
  <c r="K40" i="30" s="1"/>
  <c r="I40" i="30"/>
  <c r="B40" i="30"/>
  <c r="M39" i="30"/>
  <c r="K39" i="30"/>
  <c r="J39" i="30"/>
  <c r="I39" i="30"/>
  <c r="B39" i="30"/>
  <c r="J38" i="30"/>
  <c r="K38" i="30" s="1"/>
  <c r="I38" i="30"/>
  <c r="M38" i="30" s="1"/>
  <c r="B38" i="30"/>
  <c r="K37" i="30"/>
  <c r="J37" i="30"/>
  <c r="I37" i="30"/>
  <c r="M37" i="30" s="1"/>
  <c r="A37" i="30" s="1"/>
  <c r="B37" i="30"/>
  <c r="M36" i="30"/>
  <c r="A36" i="30" s="1"/>
  <c r="K36" i="30"/>
  <c r="J36" i="30"/>
  <c r="I36" i="30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K33" i="30"/>
  <c r="J33" i="30"/>
  <c r="I33" i="30"/>
  <c r="M33" i="30" s="1"/>
  <c r="A33" i="30" s="1"/>
  <c r="B33" i="30"/>
  <c r="M32" i="30"/>
  <c r="A32" i="30" s="1"/>
  <c r="K32" i="30"/>
  <c r="J32" i="30"/>
  <c r="I32" i="30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M28" i="30"/>
  <c r="A28" i="30" s="1"/>
  <c r="K28" i="30"/>
  <c r="J28" i="30"/>
  <c r="I28" i="30"/>
  <c r="B28" i="30"/>
  <c r="J27" i="30"/>
  <c r="K27" i="30" s="1"/>
  <c r="I27" i="30"/>
  <c r="M27" i="30" s="1"/>
  <c r="A27" i="30" s="1"/>
  <c r="B27" i="30"/>
  <c r="K26" i="30"/>
  <c r="J26" i="30"/>
  <c r="I26" i="30"/>
  <c r="M26" i="30" s="1"/>
  <c r="A26" i="30" s="1"/>
  <c r="B26" i="30"/>
  <c r="J25" i="30"/>
  <c r="K25" i="30" s="1"/>
  <c r="I25" i="30"/>
  <c r="M25" i="30" s="1"/>
  <c r="A25" i="30" s="1"/>
  <c r="B25" i="30"/>
  <c r="M24" i="30"/>
  <c r="A24" i="30" s="1"/>
  <c r="K24" i="30"/>
  <c r="J24" i="30"/>
  <c r="I24" i="30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M20" i="30"/>
  <c r="A20" i="30" s="1"/>
  <c r="K20" i="30"/>
  <c r="J20" i="30"/>
  <c r="I20" i="30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AI16" i="30"/>
  <c r="M16" i="30"/>
  <c r="A16" i="30" s="1"/>
  <c r="K16" i="30"/>
  <c r="J16" i="30"/>
  <c r="I16" i="30"/>
  <c r="B16" i="30"/>
  <c r="M15" i="30"/>
  <c r="A15" i="30" s="1"/>
  <c r="J15" i="30"/>
  <c r="K15" i="30" s="1"/>
  <c r="I15" i="30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K12" i="30"/>
  <c r="J12" i="30"/>
  <c r="I12" i="30"/>
  <c r="M12" i="30" s="1"/>
  <c r="A12" i="30" s="1"/>
  <c r="B12" i="30"/>
  <c r="J11" i="30"/>
  <c r="K11" i="30" s="1"/>
  <c r="I11" i="30"/>
  <c r="M11" i="30" s="1"/>
  <c r="A11" i="30" s="1"/>
  <c r="B11" i="30"/>
  <c r="M10" i="30"/>
  <c r="A10" i="30" s="1"/>
  <c r="K10" i="30"/>
  <c r="J10" i="30"/>
  <c r="I10" i="30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M6" i="30"/>
  <c r="J6" i="30"/>
  <c r="K6" i="30" s="1"/>
  <c r="I6" i="30"/>
  <c r="B6" i="30"/>
  <c r="A6" i="30"/>
  <c r="K2" i="30"/>
  <c r="L6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K302" i="29"/>
  <c r="J302" i="29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K298" i="29"/>
  <c r="J298" i="29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K294" i="29"/>
  <c r="J294" i="29"/>
  <c r="I294" i="29"/>
  <c r="M294" i="29" s="1"/>
  <c r="J293" i="29"/>
  <c r="K293" i="29" s="1"/>
  <c r="I293" i="29"/>
  <c r="M293" i="29" s="1"/>
  <c r="K292" i="29"/>
  <c r="J292" i="29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K286" i="29"/>
  <c r="J286" i="29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K278" i="29"/>
  <c r="J278" i="29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K262" i="29"/>
  <c r="J262" i="29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K254" i="29"/>
  <c r="J254" i="29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K246" i="29"/>
  <c r="J246" i="29"/>
  <c r="I246" i="29"/>
  <c r="M246" i="29" s="1"/>
  <c r="J245" i="29"/>
  <c r="K245" i="29" s="1"/>
  <c r="I245" i="29"/>
  <c r="M245" i="29" s="1"/>
  <c r="K244" i="29"/>
  <c r="J244" i="29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K238" i="29"/>
  <c r="J238" i="29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K230" i="29"/>
  <c r="J230" i="29"/>
  <c r="I230" i="29"/>
  <c r="M230" i="29" s="1"/>
  <c r="J229" i="29"/>
  <c r="K229" i="29" s="1"/>
  <c r="I229" i="29"/>
  <c r="M229" i="29" s="1"/>
  <c r="K228" i="29"/>
  <c r="J228" i="29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K222" i="29"/>
  <c r="J222" i="29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K212" i="29"/>
  <c r="J212" i="29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K208" i="29"/>
  <c r="J208" i="29"/>
  <c r="I208" i="29"/>
  <c r="M208" i="29" s="1"/>
  <c r="J207" i="29"/>
  <c r="K207" i="29" s="1"/>
  <c r="I207" i="29"/>
  <c r="M207" i="29" s="1"/>
  <c r="K206" i="29"/>
  <c r="J206" i="29"/>
  <c r="I206" i="29"/>
  <c r="M206" i="29" s="1"/>
  <c r="J205" i="29"/>
  <c r="K205" i="29" s="1"/>
  <c r="I205" i="29"/>
  <c r="M205" i="29" s="1"/>
  <c r="K204" i="29"/>
  <c r="J204" i="29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K196" i="29"/>
  <c r="J196" i="29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K192" i="29"/>
  <c r="J192" i="29"/>
  <c r="I192" i="29"/>
  <c r="M192" i="29" s="1"/>
  <c r="J191" i="29"/>
  <c r="K191" i="29" s="1"/>
  <c r="I191" i="29"/>
  <c r="M191" i="29" s="1"/>
  <c r="K190" i="29"/>
  <c r="J190" i="29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K182" i="29"/>
  <c r="J182" i="29"/>
  <c r="I182" i="29"/>
  <c r="M182" i="29" s="1"/>
  <c r="J181" i="29"/>
  <c r="K181" i="29" s="1"/>
  <c r="I181" i="29"/>
  <c r="M181" i="29" s="1"/>
  <c r="K180" i="29"/>
  <c r="J180" i="29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K176" i="29"/>
  <c r="J176" i="29"/>
  <c r="I176" i="29"/>
  <c r="M176" i="29" s="1"/>
  <c r="J175" i="29"/>
  <c r="K175" i="29" s="1"/>
  <c r="I175" i="29"/>
  <c r="M175" i="29" s="1"/>
  <c r="K174" i="29"/>
  <c r="J174" i="29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K166" i="29"/>
  <c r="J166" i="29"/>
  <c r="I166" i="29"/>
  <c r="M166" i="29" s="1"/>
  <c r="J165" i="29"/>
  <c r="K165" i="29" s="1"/>
  <c r="I165" i="29"/>
  <c r="M165" i="29" s="1"/>
  <c r="K164" i="29"/>
  <c r="J164" i="29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K160" i="29"/>
  <c r="J160" i="29"/>
  <c r="I160" i="29"/>
  <c r="M160" i="29" s="1"/>
  <c r="J159" i="29"/>
  <c r="K159" i="29" s="1"/>
  <c r="I159" i="29"/>
  <c r="M159" i="29" s="1"/>
  <c r="K158" i="29"/>
  <c r="J158" i="29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K144" i="29"/>
  <c r="J144" i="29"/>
  <c r="I144" i="29"/>
  <c r="M144" i="29" s="1"/>
  <c r="J143" i="29"/>
  <c r="K143" i="29" s="1"/>
  <c r="I143" i="29"/>
  <c r="M143" i="29" s="1"/>
  <c r="K142" i="29"/>
  <c r="J142" i="29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K135" i="29"/>
  <c r="J135" i="29"/>
  <c r="I135" i="29"/>
  <c r="M135" i="29" s="1"/>
  <c r="J134" i="29"/>
  <c r="K134" i="29" s="1"/>
  <c r="I134" i="29"/>
  <c r="M134" i="29" s="1"/>
  <c r="K133" i="29"/>
  <c r="J133" i="29"/>
  <c r="I133" i="29"/>
  <c r="M133" i="29" s="1"/>
  <c r="J132" i="29"/>
  <c r="K132" i="29" s="1"/>
  <c r="I132" i="29"/>
  <c r="M132" i="29" s="1"/>
  <c r="K131" i="29"/>
  <c r="J131" i="29"/>
  <c r="I131" i="29"/>
  <c r="M131" i="29" s="1"/>
  <c r="J130" i="29"/>
  <c r="K130" i="29" s="1"/>
  <c r="I130" i="29"/>
  <c r="M130" i="29" s="1"/>
  <c r="K129" i="29"/>
  <c r="J129" i="29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M64" i="29"/>
  <c r="K64" i="29"/>
  <c r="J64" i="29"/>
  <c r="I64" i="29"/>
  <c r="B64" i="29"/>
  <c r="K63" i="29"/>
  <c r="J63" i="29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K60" i="29"/>
  <c r="J60" i="29"/>
  <c r="I60" i="29"/>
  <c r="M60" i="29" s="1"/>
  <c r="B60" i="29"/>
  <c r="M59" i="29"/>
  <c r="K59" i="29"/>
  <c r="J59" i="29"/>
  <c r="I59" i="29"/>
  <c r="B59" i="29"/>
  <c r="J58" i="29"/>
  <c r="K58" i="29" s="1"/>
  <c r="I58" i="29"/>
  <c r="M58" i="29" s="1"/>
  <c r="B58" i="29"/>
  <c r="J57" i="29"/>
  <c r="K57" i="29" s="1"/>
  <c r="I57" i="29"/>
  <c r="M57" i="29" s="1"/>
  <c r="B57" i="29"/>
  <c r="M56" i="29"/>
  <c r="K56" i="29"/>
  <c r="J56" i="29"/>
  <c r="I56" i="29"/>
  <c r="B56" i="29"/>
  <c r="K55" i="29"/>
  <c r="J55" i="29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K52" i="29"/>
  <c r="J52" i="29"/>
  <c r="I52" i="29"/>
  <c r="M52" i="29" s="1"/>
  <c r="B52" i="29"/>
  <c r="M51" i="29"/>
  <c r="J51" i="29"/>
  <c r="K51" i="29" s="1"/>
  <c r="I51" i="29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K48" i="29"/>
  <c r="J48" i="29"/>
  <c r="I48" i="29"/>
  <c r="B48" i="29"/>
  <c r="J47" i="29"/>
  <c r="K47" i="29" s="1"/>
  <c r="I47" i="29"/>
  <c r="M47" i="29" s="1"/>
  <c r="B47" i="29"/>
  <c r="T46" i="29"/>
  <c r="U46" i="29" s="1"/>
  <c r="R46" i="29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M43" i="29"/>
  <c r="K43" i="29"/>
  <c r="J43" i="29"/>
  <c r="I43" i="29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M39" i="29"/>
  <c r="K39" i="29"/>
  <c r="J39" i="29"/>
  <c r="I39" i="29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K36" i="29"/>
  <c r="J36" i="29"/>
  <c r="I36" i="29"/>
  <c r="B36" i="29"/>
  <c r="J35" i="29"/>
  <c r="K35" i="29" s="1"/>
  <c r="I35" i="29"/>
  <c r="M35" i="29" s="1"/>
  <c r="A35" i="29" s="1"/>
  <c r="B35" i="29"/>
  <c r="K34" i="29"/>
  <c r="J34" i="29"/>
  <c r="I34" i="29"/>
  <c r="M34" i="29" s="1"/>
  <c r="A34" i="29" s="1"/>
  <c r="B34" i="29"/>
  <c r="J33" i="29"/>
  <c r="K33" i="29" s="1"/>
  <c r="I33" i="29"/>
  <c r="M33" i="29" s="1"/>
  <c r="A33" i="29" s="1"/>
  <c r="B33" i="29"/>
  <c r="M32" i="29"/>
  <c r="A32" i="29" s="1"/>
  <c r="K32" i="29"/>
  <c r="J32" i="29"/>
  <c r="I32" i="29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J29" i="29"/>
  <c r="K29" i="29" s="1"/>
  <c r="I29" i="29"/>
  <c r="M29" i="29" s="1"/>
  <c r="A29" i="29" s="1"/>
  <c r="B29" i="29"/>
  <c r="M28" i="29"/>
  <c r="A28" i="29" s="1"/>
  <c r="K28" i="29"/>
  <c r="J28" i="29"/>
  <c r="I28" i="29"/>
  <c r="B28" i="29"/>
  <c r="J27" i="29"/>
  <c r="K27" i="29" s="1"/>
  <c r="I27" i="29"/>
  <c r="M27" i="29" s="1"/>
  <c r="A27" i="29" s="1"/>
  <c r="B27" i="29"/>
  <c r="M26" i="29"/>
  <c r="K26" i="29"/>
  <c r="J26" i="29"/>
  <c r="I26" i="29"/>
  <c r="B26" i="29"/>
  <c r="A26" i="29"/>
  <c r="J25" i="29"/>
  <c r="K25" i="29" s="1"/>
  <c r="I25" i="29"/>
  <c r="M25" i="29" s="1"/>
  <c r="A25" i="29" s="1"/>
  <c r="B25" i="29"/>
  <c r="M24" i="29"/>
  <c r="A24" i="29" s="1"/>
  <c r="K24" i="29"/>
  <c r="J24" i="29"/>
  <c r="I24" i="29"/>
  <c r="B24" i="29"/>
  <c r="J23" i="29"/>
  <c r="K23" i="29" s="1"/>
  <c r="I23" i="29"/>
  <c r="M23" i="29" s="1"/>
  <c r="A23" i="29" s="1"/>
  <c r="B23" i="29"/>
  <c r="M22" i="29"/>
  <c r="K22" i="29"/>
  <c r="J22" i="29"/>
  <c r="I22" i="29"/>
  <c r="B22" i="29"/>
  <c r="A22" i="29"/>
  <c r="J21" i="29"/>
  <c r="K21" i="29" s="1"/>
  <c r="I21" i="29"/>
  <c r="M21" i="29" s="1"/>
  <c r="A21" i="29" s="1"/>
  <c r="B21" i="29"/>
  <c r="M20" i="29"/>
  <c r="A20" i="29" s="1"/>
  <c r="K20" i="29"/>
  <c r="J20" i="29"/>
  <c r="I20" i="29"/>
  <c r="B20" i="29"/>
  <c r="J19" i="29"/>
  <c r="K19" i="29" s="1"/>
  <c r="I19" i="29"/>
  <c r="M19" i="29" s="1"/>
  <c r="A19" i="29" s="1"/>
  <c r="B19" i="29"/>
  <c r="M18" i="29"/>
  <c r="K18" i="29"/>
  <c r="J18" i="29"/>
  <c r="I18" i="29"/>
  <c r="B18" i="29"/>
  <c r="A18" i="29"/>
  <c r="J17" i="29"/>
  <c r="K17" i="29" s="1"/>
  <c r="I17" i="29"/>
  <c r="M17" i="29" s="1"/>
  <c r="A17" i="29" s="1"/>
  <c r="B17" i="29"/>
  <c r="AI16" i="29"/>
  <c r="M16" i="29"/>
  <c r="A16" i="29" s="1"/>
  <c r="J16" i="29"/>
  <c r="K16" i="29" s="1"/>
  <c r="I16" i="29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M12" i="29"/>
  <c r="K12" i="29"/>
  <c r="J12" i="29"/>
  <c r="I12" i="29"/>
  <c r="B12" i="29"/>
  <c r="A12" i="29"/>
  <c r="J11" i="29"/>
  <c r="K11" i="29" s="1"/>
  <c r="I11" i="29"/>
  <c r="M11" i="29" s="1"/>
  <c r="A11" i="29" s="1"/>
  <c r="B11" i="29"/>
  <c r="M10" i="29"/>
  <c r="A10" i="29" s="1"/>
  <c r="K10" i="29"/>
  <c r="J10" i="29"/>
  <c r="I10" i="29"/>
  <c r="B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K7" i="29"/>
  <c r="J7" i="29"/>
  <c r="I7" i="29"/>
  <c r="M7" i="29" s="1"/>
  <c r="A7" i="29" s="1"/>
  <c r="B7" i="29"/>
  <c r="J6" i="29"/>
  <c r="K6" i="29" s="1"/>
  <c r="I6" i="29"/>
  <c r="M6" i="29" s="1"/>
  <c r="A6" i="29" s="1"/>
  <c r="B6" i="29"/>
  <c r="K2" i="29"/>
  <c r="L6" i="29" s="1"/>
  <c r="B6" i="16"/>
  <c r="I6" i="20" s="1"/>
  <c r="B7" i="16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6" i="15"/>
  <c r="I6" i="19"/>
  <c r="I6" i="18"/>
  <c r="I6" i="17"/>
  <c r="I6" i="16"/>
  <c r="I6" i="15"/>
  <c r="I6" i="14"/>
  <c r="M29" i="20"/>
  <c r="K29" i="20"/>
  <c r="G29" i="20"/>
  <c r="H29" i="20" s="1"/>
  <c r="E29" i="20"/>
  <c r="F29" i="20" s="1"/>
  <c r="M28" i="20"/>
  <c r="K28" i="20"/>
  <c r="G28" i="20"/>
  <c r="H28" i="20" s="1"/>
  <c r="E28" i="20"/>
  <c r="F28" i="20" s="1"/>
  <c r="M27" i="20"/>
  <c r="K27" i="20"/>
  <c r="G27" i="20"/>
  <c r="H27" i="20" s="1"/>
  <c r="E27" i="20"/>
  <c r="F27" i="20" s="1"/>
  <c r="U26" i="20"/>
  <c r="M26" i="20"/>
  <c r="K26" i="20"/>
  <c r="G26" i="20"/>
  <c r="H26" i="20" s="1"/>
  <c r="E26" i="20"/>
  <c r="F26" i="20" s="1"/>
  <c r="M25" i="20"/>
  <c r="K25" i="20"/>
  <c r="G25" i="20"/>
  <c r="H25" i="20" s="1"/>
  <c r="E25" i="20"/>
  <c r="F25" i="20" s="1"/>
  <c r="M24" i="20"/>
  <c r="K24" i="20"/>
  <c r="G24" i="20"/>
  <c r="H24" i="20" s="1"/>
  <c r="E24" i="20"/>
  <c r="F24" i="20" s="1"/>
  <c r="M23" i="20"/>
  <c r="K23" i="20"/>
  <c r="G23" i="20"/>
  <c r="H23" i="20" s="1"/>
  <c r="E23" i="20"/>
  <c r="F23" i="20" s="1"/>
  <c r="M22" i="20"/>
  <c r="K22" i="20"/>
  <c r="G22" i="20"/>
  <c r="H22" i="20" s="1"/>
  <c r="E22" i="20"/>
  <c r="F22" i="20" s="1"/>
  <c r="M21" i="20"/>
  <c r="K21" i="20"/>
  <c r="G21" i="20"/>
  <c r="H21" i="20" s="1"/>
  <c r="E21" i="20"/>
  <c r="F21" i="20" s="1"/>
  <c r="M20" i="20"/>
  <c r="K20" i="20"/>
  <c r="G20" i="20"/>
  <c r="H20" i="20" s="1"/>
  <c r="E20" i="20"/>
  <c r="F20" i="20" s="1"/>
  <c r="M19" i="20"/>
  <c r="K19" i="20"/>
  <c r="G19" i="20"/>
  <c r="H19" i="20" s="1"/>
  <c r="E19" i="20"/>
  <c r="F19" i="20" s="1"/>
  <c r="U18" i="20"/>
  <c r="M18" i="20"/>
  <c r="K18" i="20"/>
  <c r="G18" i="20"/>
  <c r="H18" i="20" s="1"/>
  <c r="E18" i="20"/>
  <c r="F18" i="20" s="1"/>
  <c r="M17" i="20"/>
  <c r="K17" i="20"/>
  <c r="G17" i="20"/>
  <c r="H17" i="20" s="1"/>
  <c r="E17" i="20"/>
  <c r="F17" i="20" s="1"/>
  <c r="M16" i="20"/>
  <c r="K16" i="20"/>
  <c r="G16" i="20"/>
  <c r="H16" i="20" s="1"/>
  <c r="E16" i="20"/>
  <c r="F16" i="20" s="1"/>
  <c r="M15" i="20"/>
  <c r="K15" i="20"/>
  <c r="G15" i="20"/>
  <c r="H15" i="20" s="1"/>
  <c r="E15" i="20"/>
  <c r="F15" i="20" s="1"/>
  <c r="M14" i="20"/>
  <c r="K14" i="20"/>
  <c r="G14" i="20"/>
  <c r="H14" i="20" s="1"/>
  <c r="E14" i="20"/>
  <c r="F14" i="20" s="1"/>
  <c r="M13" i="20"/>
  <c r="K13" i="20"/>
  <c r="G13" i="20"/>
  <c r="H13" i="20" s="1"/>
  <c r="E13" i="20"/>
  <c r="F13" i="20" s="1"/>
  <c r="M12" i="20"/>
  <c r="K12" i="20"/>
  <c r="G12" i="20"/>
  <c r="H12" i="20" s="1"/>
  <c r="E12" i="20"/>
  <c r="F12" i="20" s="1"/>
  <c r="M11" i="20"/>
  <c r="K11" i="20"/>
  <c r="G11" i="20"/>
  <c r="H11" i="20" s="1"/>
  <c r="E11" i="20"/>
  <c r="F11" i="20" s="1"/>
  <c r="U10" i="20"/>
  <c r="M10" i="20"/>
  <c r="K10" i="20"/>
  <c r="G10" i="20"/>
  <c r="H10" i="20" s="1"/>
  <c r="E10" i="20"/>
  <c r="F10" i="20" s="1"/>
  <c r="M9" i="20"/>
  <c r="K9" i="20"/>
  <c r="G9" i="20"/>
  <c r="H9" i="20" s="1"/>
  <c r="E9" i="20"/>
  <c r="F9" i="20" s="1"/>
  <c r="M8" i="20"/>
  <c r="K8" i="20"/>
  <c r="G8" i="20"/>
  <c r="H8" i="20" s="1"/>
  <c r="E8" i="20"/>
  <c r="F8" i="20" s="1"/>
  <c r="M7" i="20"/>
  <c r="K7" i="20"/>
  <c r="G7" i="20"/>
  <c r="H7" i="20" s="1"/>
  <c r="E7" i="20"/>
  <c r="F7" i="20" s="1"/>
  <c r="U6" i="20"/>
  <c r="M6" i="20"/>
  <c r="K6" i="20"/>
  <c r="G6" i="20"/>
  <c r="H6" i="20" s="1"/>
  <c r="E6" i="20"/>
  <c r="F6" i="20" s="1"/>
  <c r="K2" i="28"/>
  <c r="I6" i="28"/>
  <c r="J6" i="28"/>
  <c r="K6" i="28" s="1"/>
  <c r="I7" i="28"/>
  <c r="J7" i="28"/>
  <c r="K7" i="28" s="1"/>
  <c r="L7" i="28"/>
  <c r="I8" i="28"/>
  <c r="J8" i="28"/>
  <c r="K8" i="28" s="1"/>
  <c r="I9" i="28"/>
  <c r="J9" i="28"/>
  <c r="K9" i="28" s="1"/>
  <c r="I10" i="28"/>
  <c r="J10" i="28"/>
  <c r="K10" i="28" s="1"/>
  <c r="M10" i="28" s="1"/>
  <c r="N10" i="28" s="1"/>
  <c r="A10" i="28" s="1"/>
  <c r="I11" i="28"/>
  <c r="J11" i="28"/>
  <c r="K11" i="28" s="1"/>
  <c r="I12" i="28"/>
  <c r="J12" i="28"/>
  <c r="K12" i="28"/>
  <c r="M12" i="28"/>
  <c r="AJ12" i="28"/>
  <c r="I13" i="28"/>
  <c r="J13" i="28"/>
  <c r="K13" i="28" s="1"/>
  <c r="M13" i="28"/>
  <c r="N13" i="28" s="1"/>
  <c r="A13" i="28" s="1"/>
  <c r="AJ13" i="28"/>
  <c r="I14" i="28"/>
  <c r="J14" i="28"/>
  <c r="K14" i="28" s="1"/>
  <c r="M14" i="28" s="1"/>
  <c r="N14" i="28" s="1"/>
  <c r="A14" i="28" s="1"/>
  <c r="AJ14" i="28"/>
  <c r="I15" i="28"/>
  <c r="J15" i="28"/>
  <c r="K15" i="28" s="1"/>
  <c r="M15" i="28" s="1"/>
  <c r="N15" i="28" s="1"/>
  <c r="A15" i="28" s="1"/>
  <c r="I16" i="28"/>
  <c r="J16" i="28"/>
  <c r="K16" i="28" s="1"/>
  <c r="M16" i="28" s="1"/>
  <c r="N16" i="28"/>
  <c r="A16" i="28" s="1"/>
  <c r="AJ16" i="28"/>
  <c r="I17" i="28"/>
  <c r="J17" i="28"/>
  <c r="K17" i="28" s="1"/>
  <c r="M17" i="28" s="1"/>
  <c r="I18" i="28"/>
  <c r="J18" i="28"/>
  <c r="K18" i="28"/>
  <c r="I19" i="28"/>
  <c r="J19" i="28"/>
  <c r="K19" i="28" s="1"/>
  <c r="I20" i="28"/>
  <c r="J20" i="28"/>
  <c r="K20" i="28" s="1"/>
  <c r="I21" i="28"/>
  <c r="J21" i="28"/>
  <c r="K21" i="28"/>
  <c r="I22" i="28"/>
  <c r="J22" i="28"/>
  <c r="K22" i="28" s="1"/>
  <c r="M22" i="28"/>
  <c r="N22" i="28"/>
  <c r="A22" i="28" s="1"/>
  <c r="I23" i="28"/>
  <c r="J23" i="28"/>
  <c r="K23" i="28" s="1"/>
  <c r="M23" i="28" s="1"/>
  <c r="N23" i="28"/>
  <c r="A23" i="28" s="1"/>
  <c r="I24" i="28"/>
  <c r="J24" i="28"/>
  <c r="K24" i="28" s="1"/>
  <c r="M24" i="28" s="1"/>
  <c r="N24" i="28" s="1"/>
  <c r="A24" i="28" s="1"/>
  <c r="I25" i="28"/>
  <c r="J25" i="28"/>
  <c r="K25" i="28" s="1"/>
  <c r="M25" i="28" s="1"/>
  <c r="N25" i="28" s="1"/>
  <c r="A25" i="28" s="1"/>
  <c r="B26" i="28"/>
  <c r="I26" i="28"/>
  <c r="J26" i="28"/>
  <c r="K26" i="28" s="1"/>
  <c r="B27" i="28"/>
  <c r="I27" i="28"/>
  <c r="J27" i="28"/>
  <c r="K27" i="28" s="1"/>
  <c r="B28" i="28"/>
  <c r="I28" i="28"/>
  <c r="J28" i="28"/>
  <c r="K28" i="28" s="1"/>
  <c r="B29" i="28"/>
  <c r="I29" i="28"/>
  <c r="J29" i="28"/>
  <c r="K29" i="28" s="1"/>
  <c r="B30" i="28"/>
  <c r="I30" i="28"/>
  <c r="J30" i="28"/>
  <c r="K30" i="28"/>
  <c r="M30" i="28"/>
  <c r="N30" i="28"/>
  <c r="A30" i="28" s="1"/>
  <c r="B31" i="28"/>
  <c r="I31" i="28"/>
  <c r="J31" i="28"/>
  <c r="K31" i="28" s="1"/>
  <c r="M31" i="28"/>
  <c r="N31" i="28"/>
  <c r="A31" i="28" s="1"/>
  <c r="B32" i="28"/>
  <c r="I32" i="28"/>
  <c r="J32" i="28"/>
  <c r="K32" i="28" s="1"/>
  <c r="B33" i="28"/>
  <c r="I33" i="28"/>
  <c r="J33" i="28"/>
  <c r="K33" i="28"/>
  <c r="M33" i="28" s="1"/>
  <c r="N33" i="28" s="1"/>
  <c r="A33" i="28" s="1"/>
  <c r="B34" i="28"/>
  <c r="I34" i="28"/>
  <c r="J34" i="28"/>
  <c r="K34" i="28" s="1"/>
  <c r="B35" i="28"/>
  <c r="I35" i="28"/>
  <c r="J35" i="28"/>
  <c r="K35" i="28" s="1"/>
  <c r="B36" i="28"/>
  <c r="I36" i="28"/>
  <c r="J36" i="28"/>
  <c r="K36" i="28" s="1"/>
  <c r="B37" i="28"/>
  <c r="I37" i="28"/>
  <c r="J37" i="28"/>
  <c r="K37" i="28" s="1"/>
  <c r="M37" i="28" s="1"/>
  <c r="B38" i="28"/>
  <c r="I38" i="28"/>
  <c r="J38" i="28"/>
  <c r="K38" i="28"/>
  <c r="M38" i="28" s="1"/>
  <c r="N38" i="28" s="1"/>
  <c r="A38" i="28" s="1"/>
  <c r="B39" i="28"/>
  <c r="I39" i="28"/>
  <c r="M39" i="28" s="1"/>
  <c r="N39" i="28" s="1"/>
  <c r="A39" i="28" s="1"/>
  <c r="J39" i="28"/>
  <c r="K39" i="28"/>
  <c r="B40" i="28"/>
  <c r="I40" i="28"/>
  <c r="M40" i="28" s="1"/>
  <c r="N40" i="28" s="1"/>
  <c r="A40" i="28" s="1"/>
  <c r="J40" i="28"/>
  <c r="K40" i="28"/>
  <c r="B41" i="28"/>
  <c r="I41" i="28"/>
  <c r="J41" i="28"/>
  <c r="K41" i="28"/>
  <c r="M41" i="28"/>
  <c r="N41" i="28"/>
  <c r="A41" i="28" s="1"/>
  <c r="B42" i="28"/>
  <c r="I42" i="28"/>
  <c r="J42" i="28"/>
  <c r="K42" i="28"/>
  <c r="B43" i="28"/>
  <c r="I43" i="28"/>
  <c r="J43" i="28"/>
  <c r="K43" i="28" s="1"/>
  <c r="B44" i="28"/>
  <c r="I44" i="28"/>
  <c r="J44" i="28"/>
  <c r="K44" i="28" s="1"/>
  <c r="B45" i="28"/>
  <c r="I45" i="28"/>
  <c r="J45" i="28"/>
  <c r="K45" i="28"/>
  <c r="M45" i="28" s="1"/>
  <c r="B46" i="28"/>
  <c r="I46" i="28"/>
  <c r="J46" i="28"/>
  <c r="K46" i="28" s="1"/>
  <c r="B47" i="28"/>
  <c r="I47" i="28"/>
  <c r="J47" i="28"/>
  <c r="K47" i="28"/>
  <c r="M47" i="28" s="1"/>
  <c r="N47" i="28" s="1"/>
  <c r="A47" i="28" s="1"/>
  <c r="B48" i="28"/>
  <c r="I48" i="28"/>
  <c r="M48" i="28" s="1"/>
  <c r="N48" i="28" s="1"/>
  <c r="A48" i="28" s="1"/>
  <c r="J48" i="28"/>
  <c r="K48" i="28"/>
  <c r="B49" i="28"/>
  <c r="I49" i="28"/>
  <c r="J49" i="28"/>
  <c r="K49" i="28"/>
  <c r="B50" i="28"/>
  <c r="I50" i="28"/>
  <c r="J50" i="28"/>
  <c r="K50" i="28" s="1"/>
  <c r="B51" i="28"/>
  <c r="I51" i="28"/>
  <c r="J51" i="28"/>
  <c r="K51" i="28" s="1"/>
  <c r="B52" i="28"/>
  <c r="I52" i="28"/>
  <c r="J52" i="28"/>
  <c r="K52" i="28" s="1"/>
  <c r="B53" i="28"/>
  <c r="I53" i="28"/>
  <c r="J53" i="28"/>
  <c r="K53" i="28" s="1"/>
  <c r="B54" i="28"/>
  <c r="I54" i="28"/>
  <c r="J54" i="28"/>
  <c r="K54" i="28"/>
  <c r="B55" i="28"/>
  <c r="I55" i="28"/>
  <c r="J55" i="28"/>
  <c r="K55" i="28" s="1"/>
  <c r="M55" i="28" s="1"/>
  <c r="N55" i="28" s="1"/>
  <c r="A55" i="28" s="1"/>
  <c r="B56" i="28"/>
  <c r="I56" i="28"/>
  <c r="J56" i="28"/>
  <c r="K56" i="28" s="1"/>
  <c r="M56" i="28"/>
  <c r="N56" i="28" s="1"/>
  <c r="A56" i="28" s="1"/>
  <c r="B57" i="28"/>
  <c r="I57" i="28"/>
  <c r="J57" i="28"/>
  <c r="K57" i="28" s="1"/>
  <c r="B58" i="28"/>
  <c r="I58" i="28"/>
  <c r="J58" i="28"/>
  <c r="K58" i="28" s="1"/>
  <c r="B59" i="28"/>
  <c r="I59" i="28"/>
  <c r="J59" i="28"/>
  <c r="K59" i="28" s="1"/>
  <c r="B60" i="28"/>
  <c r="I60" i="28"/>
  <c r="J60" i="28"/>
  <c r="K60" i="28" s="1"/>
  <c r="B61" i="28"/>
  <c r="I61" i="28"/>
  <c r="M61" i="28" s="1"/>
  <c r="J61" i="28"/>
  <c r="K61" i="28"/>
  <c r="B62" i="28"/>
  <c r="I62" i="28"/>
  <c r="J62" i="28"/>
  <c r="K62" i="28" s="1"/>
  <c r="N62" i="28"/>
  <c r="A62" i="28" s="1"/>
  <c r="B63" i="28"/>
  <c r="I63" i="28"/>
  <c r="J63" i="28"/>
  <c r="K63" i="28" s="1"/>
  <c r="M63" i="28" s="1"/>
  <c r="N63" i="28" s="1"/>
  <c r="A63" i="28" s="1"/>
  <c r="B64" i="28"/>
  <c r="I64" i="28"/>
  <c r="J64" i="28"/>
  <c r="K64" i="28"/>
  <c r="M64" i="28"/>
  <c r="N64" i="28" s="1"/>
  <c r="A64" i="28" s="1"/>
  <c r="B65" i="28"/>
  <c r="I65" i="28"/>
  <c r="J65" i="28"/>
  <c r="K65" i="28" s="1"/>
  <c r="B66" i="28"/>
  <c r="I66" i="28"/>
  <c r="J66" i="28"/>
  <c r="K66" i="28" s="1"/>
  <c r="B67" i="28"/>
  <c r="I67" i="28"/>
  <c r="J67" i="28"/>
  <c r="K67" i="28" s="1"/>
  <c r="B68" i="28"/>
  <c r="I68" i="28"/>
  <c r="J68" i="28"/>
  <c r="K68" i="28" s="1"/>
  <c r="B69" i="28"/>
  <c r="I69" i="28"/>
  <c r="J69" i="28"/>
  <c r="K69" i="28" s="1"/>
  <c r="B70" i="28"/>
  <c r="I70" i="28"/>
  <c r="J70" i="28"/>
  <c r="K70" i="28" s="1"/>
  <c r="M70" i="28"/>
  <c r="N70" i="28"/>
  <c r="A70" i="28" s="1"/>
  <c r="B71" i="28"/>
  <c r="I71" i="28"/>
  <c r="J71" i="28"/>
  <c r="K71" i="28" s="1"/>
  <c r="M71" i="28"/>
  <c r="N71" i="28"/>
  <c r="A71" i="28" s="1"/>
  <c r="B72" i="28"/>
  <c r="I72" i="28"/>
  <c r="M72" i="28" s="1"/>
  <c r="J72" i="28"/>
  <c r="K72" i="28"/>
  <c r="N72" i="28"/>
  <c r="A72" i="28" s="1"/>
  <c r="B73" i="28"/>
  <c r="I73" i="28"/>
  <c r="J73" i="28"/>
  <c r="K73" i="28" s="1"/>
  <c r="B74" i="28"/>
  <c r="I74" i="28"/>
  <c r="J74" i="28"/>
  <c r="K74" i="28" s="1"/>
  <c r="B75" i="28"/>
  <c r="I75" i="28"/>
  <c r="J75" i="28"/>
  <c r="K75" i="28" s="1"/>
  <c r="B76" i="28"/>
  <c r="I76" i="28"/>
  <c r="J76" i="28"/>
  <c r="K76" i="28"/>
  <c r="B77" i="28"/>
  <c r="I77" i="28"/>
  <c r="J77" i="28"/>
  <c r="K77" i="28" s="1"/>
  <c r="M77" i="28" s="1"/>
  <c r="B78" i="28"/>
  <c r="I78" i="28"/>
  <c r="J78" i="28"/>
  <c r="K78" i="28"/>
  <c r="M78" i="28" s="1"/>
  <c r="N78" i="28" s="1"/>
  <c r="A78" i="28" s="1"/>
  <c r="B79" i="28"/>
  <c r="I79" i="28"/>
  <c r="J79" i="28"/>
  <c r="K79" i="28"/>
  <c r="M79" i="28" s="1"/>
  <c r="N79" i="28" s="1"/>
  <c r="A79" i="28" s="1"/>
  <c r="B80" i="28"/>
  <c r="I80" i="28"/>
  <c r="J80" i="28"/>
  <c r="K80" i="28"/>
  <c r="M80" i="28"/>
  <c r="N80" i="28" s="1"/>
  <c r="A80" i="28" s="1"/>
  <c r="B81" i="28"/>
  <c r="I81" i="28"/>
  <c r="J81" i="28"/>
  <c r="K81" i="28" s="1"/>
  <c r="B82" i="28"/>
  <c r="I82" i="28"/>
  <c r="J82" i="28"/>
  <c r="K82" i="28" s="1"/>
  <c r="B83" i="28"/>
  <c r="I83" i="28"/>
  <c r="J83" i="28"/>
  <c r="K83" i="28" s="1"/>
  <c r="B84" i="28"/>
  <c r="I84" i="28"/>
  <c r="J84" i="28"/>
  <c r="K84" i="28" s="1"/>
  <c r="B85" i="28"/>
  <c r="I85" i="28"/>
  <c r="M85" i="28" s="1"/>
  <c r="J85" i="28"/>
  <c r="K85" i="28"/>
  <c r="B86" i="28"/>
  <c r="I86" i="28"/>
  <c r="J86" i="28"/>
  <c r="K86" i="28" s="1"/>
  <c r="M86" i="28"/>
  <c r="N86" i="28"/>
  <c r="A86" i="28" s="1"/>
  <c r="B87" i="28"/>
  <c r="I87" i="28"/>
  <c r="J87" i="28"/>
  <c r="K87" i="28" s="1"/>
  <c r="M87" i="28" s="1"/>
  <c r="N87" i="28" s="1"/>
  <c r="A87" i="28" s="1"/>
  <c r="B88" i="28"/>
  <c r="I88" i="28"/>
  <c r="M88" i="28" s="1"/>
  <c r="N88" i="28" s="1"/>
  <c r="A88" i="28" s="1"/>
  <c r="J88" i="28"/>
  <c r="K88" i="28" s="1"/>
  <c r="B89" i="28"/>
  <c r="I89" i="28"/>
  <c r="J89" i="28"/>
  <c r="K89" i="28" s="1"/>
  <c r="M89" i="28"/>
  <c r="N89" i="28"/>
  <c r="A89" i="28" s="1"/>
  <c r="B90" i="28"/>
  <c r="I90" i="28"/>
  <c r="J90" i="28"/>
  <c r="K90" i="28" s="1"/>
  <c r="B91" i="28"/>
  <c r="I91" i="28"/>
  <c r="J91" i="28"/>
  <c r="K91" i="28" s="1"/>
  <c r="B92" i="28"/>
  <c r="I92" i="28"/>
  <c r="J92" i="28"/>
  <c r="K92" i="28" s="1"/>
  <c r="B93" i="28"/>
  <c r="I93" i="28"/>
  <c r="J93" i="28"/>
  <c r="K93" i="28" s="1"/>
  <c r="B94" i="28"/>
  <c r="I94" i="28"/>
  <c r="M94" i="28" s="1"/>
  <c r="J94" i="28"/>
  <c r="K94" i="28"/>
  <c r="B95" i="28"/>
  <c r="I95" i="28"/>
  <c r="J95" i="28"/>
  <c r="K95" i="28"/>
  <c r="M95" i="28"/>
  <c r="N95" i="28"/>
  <c r="A95" i="28" s="1"/>
  <c r="B96" i="28"/>
  <c r="I96" i="28"/>
  <c r="J96" i="28"/>
  <c r="K96" i="28" s="1"/>
  <c r="M96" i="28"/>
  <c r="N96" i="28"/>
  <c r="A96" i="28" s="1"/>
  <c r="B97" i="28"/>
  <c r="I97" i="28"/>
  <c r="M97" i="28" s="1"/>
  <c r="J97" i="28"/>
  <c r="K97" i="28" s="1"/>
  <c r="B98" i="28"/>
  <c r="I98" i="28"/>
  <c r="J98" i="28"/>
  <c r="K98" i="28" s="1"/>
  <c r="B99" i="28"/>
  <c r="I99" i="28"/>
  <c r="J99" i="28"/>
  <c r="K99" i="28" s="1"/>
  <c r="B100" i="28"/>
  <c r="I100" i="28"/>
  <c r="J100" i="28"/>
  <c r="K100" i="28"/>
  <c r="B101" i="28"/>
  <c r="I101" i="28"/>
  <c r="J101" i="28"/>
  <c r="K101" i="28" s="1"/>
  <c r="B102" i="28"/>
  <c r="I102" i="28"/>
  <c r="J102" i="28"/>
  <c r="K102" i="28" s="1"/>
  <c r="M102" i="28"/>
  <c r="N102" i="28"/>
  <c r="A102" i="28" s="1"/>
  <c r="B103" i="28"/>
  <c r="I103" i="28"/>
  <c r="J103" i="28"/>
  <c r="K103" i="28"/>
  <c r="M103" i="28"/>
  <c r="N103" i="28"/>
  <c r="A103" i="28" s="1"/>
  <c r="B104" i="28"/>
  <c r="I104" i="28"/>
  <c r="M104" i="28" s="1"/>
  <c r="J104" i="28"/>
  <c r="K104" i="28" s="1"/>
  <c r="N104" i="28"/>
  <c r="A104" i="28" s="1"/>
  <c r="B105" i="28"/>
  <c r="I105" i="28"/>
  <c r="J105" i="28"/>
  <c r="K105" i="28" s="1"/>
  <c r="B106" i="28"/>
  <c r="I106" i="28"/>
  <c r="J106" i="28"/>
  <c r="K106" i="28" s="1"/>
  <c r="B107" i="28"/>
  <c r="I107" i="28"/>
  <c r="J107" i="28"/>
  <c r="K107" i="28" s="1"/>
  <c r="B108" i="28"/>
  <c r="I108" i="28"/>
  <c r="J108" i="28"/>
  <c r="K108" i="28" s="1"/>
  <c r="B109" i="28"/>
  <c r="I109" i="28"/>
  <c r="J109" i="28"/>
  <c r="K109" i="28" s="1"/>
  <c r="B110" i="28"/>
  <c r="I110" i="28"/>
  <c r="M110" i="28" s="1"/>
  <c r="J110" i="28"/>
  <c r="K110" i="28" s="1"/>
  <c r="B111" i="28"/>
  <c r="I111" i="28"/>
  <c r="J111" i="28"/>
  <c r="K111" i="28"/>
  <c r="B112" i="28"/>
  <c r="I112" i="28"/>
  <c r="N112" i="28" s="1"/>
  <c r="A112" i="28" s="1"/>
  <c r="J112" i="28"/>
  <c r="K112" i="28" s="1"/>
  <c r="M112" i="28"/>
  <c r="B113" i="28"/>
  <c r="I113" i="28"/>
  <c r="M113" i="28" s="1"/>
  <c r="J113" i="28"/>
  <c r="K113" i="28"/>
  <c r="B114" i="28"/>
  <c r="I114" i="28"/>
  <c r="J114" i="28"/>
  <c r="K114" i="28" s="1"/>
  <c r="B115" i="28"/>
  <c r="I115" i="28"/>
  <c r="J115" i="28"/>
  <c r="K115" i="28" s="1"/>
  <c r="B116" i="28"/>
  <c r="I116" i="28"/>
  <c r="J116" i="28"/>
  <c r="K116" i="28" s="1"/>
  <c r="B117" i="28"/>
  <c r="I117" i="28"/>
  <c r="J117" i="28"/>
  <c r="K117" i="28" s="1"/>
  <c r="B118" i="28"/>
  <c r="I118" i="28"/>
  <c r="J118" i="28"/>
  <c r="K118" i="28" s="1"/>
  <c r="B119" i="28"/>
  <c r="I119" i="28"/>
  <c r="J119" i="28"/>
  <c r="K119" i="28"/>
  <c r="M119" i="28"/>
  <c r="N119" i="28"/>
  <c r="A119" i="28" s="1"/>
  <c r="B120" i="28"/>
  <c r="I120" i="28"/>
  <c r="J120" i="28"/>
  <c r="K120" i="28"/>
  <c r="M120" i="28"/>
  <c r="N120" i="28"/>
  <c r="A120" i="28" s="1"/>
  <c r="B121" i="28"/>
  <c r="I121" i="28"/>
  <c r="J121" i="28"/>
  <c r="K121" i="28"/>
  <c r="M121" i="28"/>
  <c r="N121" i="28"/>
  <c r="A121" i="28" s="1"/>
  <c r="B122" i="28"/>
  <c r="I122" i="28"/>
  <c r="J122" i="28"/>
  <c r="K122" i="28" s="1"/>
  <c r="B123" i="28"/>
  <c r="I123" i="28"/>
  <c r="J123" i="28"/>
  <c r="K123" i="28" s="1"/>
  <c r="B124" i="28"/>
  <c r="I124" i="28"/>
  <c r="J124" i="28"/>
  <c r="K124" i="28" s="1"/>
  <c r="B125" i="28"/>
  <c r="I125" i="28"/>
  <c r="J125" i="28"/>
  <c r="K125" i="28" s="1"/>
  <c r="B126" i="28"/>
  <c r="I126" i="28"/>
  <c r="J126" i="28"/>
  <c r="K126" i="28" s="1"/>
  <c r="M126" i="28"/>
  <c r="N126" i="28"/>
  <c r="A126" i="28" s="1"/>
  <c r="B127" i="28"/>
  <c r="I127" i="28"/>
  <c r="J127" i="28"/>
  <c r="K127" i="28"/>
  <c r="M127" i="28"/>
  <c r="N127" i="28"/>
  <c r="A127" i="28" s="1"/>
  <c r="B128" i="28"/>
  <c r="I128" i="28"/>
  <c r="J128" i="28"/>
  <c r="K128" i="28" s="1"/>
  <c r="B129" i="28"/>
  <c r="I129" i="28"/>
  <c r="N129" i="28" s="1"/>
  <c r="A129" i="28" s="1"/>
  <c r="J129" i="28"/>
  <c r="K129" i="28" s="1"/>
  <c r="M129" i="28"/>
  <c r="B130" i="28"/>
  <c r="I130" i="28"/>
  <c r="J130" i="28"/>
  <c r="K130" i="28" s="1"/>
  <c r="B131" i="28"/>
  <c r="I131" i="28"/>
  <c r="J131" i="28"/>
  <c r="K131" i="28" s="1"/>
  <c r="B132" i="28"/>
  <c r="I132" i="28"/>
  <c r="J132" i="28"/>
  <c r="K132" i="28" s="1"/>
  <c r="B133" i="28"/>
  <c r="I133" i="28"/>
  <c r="J133" i="28"/>
  <c r="K133" i="28" s="1"/>
  <c r="B134" i="28"/>
  <c r="I134" i="28"/>
  <c r="M134" i="28" s="1"/>
  <c r="J134" i="28"/>
  <c r="K134" i="28" s="1"/>
  <c r="N134" i="28"/>
  <c r="A134" i="28" s="1"/>
  <c r="B135" i="28"/>
  <c r="I135" i="28"/>
  <c r="J135" i="28"/>
  <c r="K135" i="28"/>
  <c r="B136" i="28"/>
  <c r="I136" i="28"/>
  <c r="N136" i="28" s="1"/>
  <c r="A136" i="28" s="1"/>
  <c r="J136" i="28"/>
  <c r="K136" i="28"/>
  <c r="M136" i="28"/>
  <c r="B137" i="28"/>
  <c r="I137" i="28"/>
  <c r="M137" i="28" s="1"/>
  <c r="J137" i="28"/>
  <c r="K137" i="28" s="1"/>
  <c r="B138" i="28"/>
  <c r="I138" i="28"/>
  <c r="J138" i="28"/>
  <c r="K138" i="28" s="1"/>
  <c r="B139" i="28"/>
  <c r="I139" i="28"/>
  <c r="J139" i="28"/>
  <c r="K139" i="28" s="1"/>
  <c r="B140" i="28"/>
  <c r="I140" i="28"/>
  <c r="J140" i="28"/>
  <c r="K140" i="28" s="1"/>
  <c r="B141" i="28"/>
  <c r="I141" i="28"/>
  <c r="N141" i="28" s="1"/>
  <c r="A141" i="28" s="1"/>
  <c r="J141" i="28"/>
  <c r="K141" i="28"/>
  <c r="B142" i="28"/>
  <c r="I142" i="28"/>
  <c r="M142" i="28" s="1"/>
  <c r="J142" i="28"/>
  <c r="K142" i="28" s="1"/>
  <c r="N142" i="28"/>
  <c r="A142" i="28" s="1"/>
  <c r="B143" i="28"/>
  <c r="I143" i="28"/>
  <c r="J143" i="28"/>
  <c r="K143" i="28" s="1"/>
  <c r="B144" i="28"/>
  <c r="I144" i="28"/>
  <c r="J144" i="28"/>
  <c r="K144" i="28"/>
  <c r="M144" i="28"/>
  <c r="N144" i="28"/>
  <c r="A144" i="28" s="1"/>
  <c r="B145" i="28"/>
  <c r="I145" i="28"/>
  <c r="J145" i="28"/>
  <c r="K145" i="28"/>
  <c r="M145" i="28"/>
  <c r="N145" i="28"/>
  <c r="A145" i="28" s="1"/>
  <c r="B146" i="28"/>
  <c r="I146" i="28"/>
  <c r="J146" i="28"/>
  <c r="K146" i="28" s="1"/>
  <c r="B147" i="28"/>
  <c r="I147" i="28"/>
  <c r="J147" i="28"/>
  <c r="K147" i="28" s="1"/>
  <c r="B148" i="28"/>
  <c r="I148" i="28"/>
  <c r="J148" i="28"/>
  <c r="K148" i="28" s="1"/>
  <c r="B149" i="28"/>
  <c r="I149" i="28"/>
  <c r="N149" i="28" s="1"/>
  <c r="A149" i="28" s="1"/>
  <c r="J149" i="28"/>
  <c r="K149" i="28" s="1"/>
  <c r="M149" i="28"/>
  <c r="B150" i="28"/>
  <c r="I150" i="28"/>
  <c r="N150" i="28" s="1"/>
  <c r="A150" i="28" s="1"/>
  <c r="J150" i="28"/>
  <c r="K150" i="28" s="1"/>
  <c r="M150" i="28"/>
  <c r="B151" i="28"/>
  <c r="I151" i="28"/>
  <c r="J151" i="28"/>
  <c r="K151" i="28" s="1"/>
  <c r="M151" i="28"/>
  <c r="N151" i="28"/>
  <c r="A151" i="28" s="1"/>
  <c r="B152" i="28"/>
  <c r="I152" i="28"/>
  <c r="J152" i="28"/>
  <c r="K152" i="28"/>
  <c r="M152" i="28"/>
  <c r="N152" i="28"/>
  <c r="A152" i="28" s="1"/>
  <c r="B153" i="28"/>
  <c r="I153" i="28"/>
  <c r="M153" i="28" s="1"/>
  <c r="J153" i="28"/>
  <c r="K153" i="28" s="1"/>
  <c r="N153" i="28"/>
  <c r="A153" i="28" s="1"/>
  <c r="B154" i="28"/>
  <c r="I154" i="28"/>
  <c r="J154" i="28"/>
  <c r="K154" i="28" s="1"/>
  <c r="B155" i="28"/>
  <c r="I155" i="28"/>
  <c r="J155" i="28"/>
  <c r="K155" i="28" s="1"/>
  <c r="B156" i="28"/>
  <c r="I156" i="28"/>
  <c r="J156" i="28"/>
  <c r="K156" i="28" s="1"/>
  <c r="B157" i="28"/>
  <c r="I157" i="28"/>
  <c r="J157" i="28"/>
  <c r="K157" i="28" s="1"/>
  <c r="B158" i="28"/>
  <c r="I158" i="28"/>
  <c r="J158" i="28"/>
  <c r="K158" i="28" s="1"/>
  <c r="M158" i="28"/>
  <c r="N158" i="28"/>
  <c r="A158" i="28" s="1"/>
  <c r="B159" i="28"/>
  <c r="I159" i="28"/>
  <c r="J159" i="28"/>
  <c r="K159" i="28" s="1"/>
  <c r="B160" i="28"/>
  <c r="I160" i="28"/>
  <c r="N160" i="28" s="1"/>
  <c r="A160" i="28" s="1"/>
  <c r="J160" i="28"/>
  <c r="K160" i="28"/>
  <c r="M160" i="28"/>
  <c r="B161" i="28"/>
  <c r="I161" i="28"/>
  <c r="J161" i="28"/>
  <c r="K161" i="28"/>
  <c r="M161" i="28"/>
  <c r="N161" i="28"/>
  <c r="A161" i="28" s="1"/>
  <c r="B162" i="28"/>
  <c r="I162" i="28"/>
  <c r="J162" i="28"/>
  <c r="K162" i="28" s="1"/>
  <c r="B163" i="28"/>
  <c r="I163" i="28"/>
  <c r="J163" i="28"/>
  <c r="K163" i="28" s="1"/>
  <c r="B164" i="28"/>
  <c r="I164" i="28"/>
  <c r="J164" i="28"/>
  <c r="K164" i="28" s="1"/>
  <c r="B165" i="28"/>
  <c r="I165" i="28"/>
  <c r="N165" i="28" s="1"/>
  <c r="A165" i="28" s="1"/>
  <c r="J165" i="28"/>
  <c r="K165" i="28" s="1"/>
  <c r="M165" i="28"/>
  <c r="B166" i="28"/>
  <c r="I166" i="28"/>
  <c r="M166" i="28" s="1"/>
  <c r="J166" i="28"/>
  <c r="K166" i="28" s="1"/>
  <c r="N166" i="28"/>
  <c r="A166" i="28" s="1"/>
  <c r="B167" i="28"/>
  <c r="I167" i="28"/>
  <c r="J167" i="28"/>
  <c r="K167" i="28" s="1"/>
  <c r="B168" i="28"/>
  <c r="I168" i="28"/>
  <c r="J168" i="28"/>
  <c r="K168" i="28"/>
  <c r="M168" i="28"/>
  <c r="N168" i="28"/>
  <c r="A168" i="28" s="1"/>
  <c r="B169" i="28"/>
  <c r="I169" i="28"/>
  <c r="M169" i="28" s="1"/>
  <c r="J169" i="28"/>
  <c r="K169" i="28" s="1"/>
  <c r="N169" i="28"/>
  <c r="A169" i="28" s="1"/>
  <c r="B170" i="28"/>
  <c r="I170" i="28"/>
  <c r="N170" i="28" s="1"/>
  <c r="A170" i="28" s="1"/>
  <c r="J170" i="28"/>
  <c r="K170" i="28" s="1"/>
  <c r="B171" i="28"/>
  <c r="I171" i="28"/>
  <c r="M171" i="28" s="1"/>
  <c r="J171" i="28"/>
  <c r="K171" i="28"/>
  <c r="N171" i="28"/>
  <c r="A171" i="28" s="1"/>
  <c r="B172" i="28"/>
  <c r="I172" i="28"/>
  <c r="J172" i="28"/>
  <c r="K172" i="28" s="1"/>
  <c r="B173" i="28"/>
  <c r="I173" i="28"/>
  <c r="J173" i="28"/>
  <c r="K173" i="28"/>
  <c r="B174" i="28"/>
  <c r="I174" i="28"/>
  <c r="J174" i="28"/>
  <c r="K174" i="28" s="1"/>
  <c r="B175" i="28"/>
  <c r="I175" i="28"/>
  <c r="J175" i="28"/>
  <c r="K175" i="28"/>
  <c r="M175" i="28"/>
  <c r="N175" i="28"/>
  <c r="A175" i="28" s="1"/>
  <c r="B176" i="28"/>
  <c r="I176" i="28"/>
  <c r="J176" i="28"/>
  <c r="K176" i="28"/>
  <c r="M176" i="28"/>
  <c r="N176" i="28"/>
  <c r="A176" i="28" s="1"/>
  <c r="B177" i="28"/>
  <c r="I177" i="28"/>
  <c r="J177" i="28"/>
  <c r="K177" i="28" s="1"/>
  <c r="B178" i="28"/>
  <c r="I178" i="28"/>
  <c r="J178" i="28"/>
  <c r="K178" i="28" s="1"/>
  <c r="B179" i="28"/>
  <c r="I179" i="28"/>
  <c r="J179" i="28"/>
  <c r="K179" i="28" s="1"/>
  <c r="B180" i="28"/>
  <c r="I180" i="28"/>
  <c r="N180" i="28" s="1"/>
  <c r="A180" i="28" s="1"/>
  <c r="J180" i="28"/>
  <c r="K180" i="28" s="1"/>
  <c r="M180" i="28"/>
  <c r="B181" i="28"/>
  <c r="I181" i="28"/>
  <c r="M181" i="28" s="1"/>
  <c r="J181" i="28"/>
  <c r="K181" i="28" s="1"/>
  <c r="N181" i="28"/>
  <c r="A181" i="28" s="1"/>
  <c r="B182" i="28"/>
  <c r="I182" i="28"/>
  <c r="J182" i="28"/>
  <c r="K182" i="28" s="1"/>
  <c r="B183" i="28"/>
  <c r="I183" i="28"/>
  <c r="J183" i="28"/>
  <c r="K183" i="28" s="1"/>
  <c r="B184" i="28"/>
  <c r="I184" i="28"/>
  <c r="J184" i="28"/>
  <c r="K184" i="28" s="1"/>
  <c r="B185" i="28"/>
  <c r="I185" i="28"/>
  <c r="J185" i="28"/>
  <c r="K185" i="28" s="1"/>
  <c r="B186" i="28"/>
  <c r="I186" i="28"/>
  <c r="M186" i="28" s="1"/>
  <c r="J186" i="28"/>
  <c r="K186" i="28" s="1"/>
  <c r="B187" i="28"/>
  <c r="I187" i="28"/>
  <c r="J187" i="28"/>
  <c r="K187" i="28" s="1"/>
  <c r="M187" i="28"/>
  <c r="N187" i="28"/>
  <c r="A187" i="28" s="1"/>
  <c r="B188" i="28"/>
  <c r="I188" i="28"/>
  <c r="M188" i="28" s="1"/>
  <c r="J188" i="28"/>
  <c r="K188" i="28" s="1"/>
  <c r="N188" i="28"/>
  <c r="A188" i="28" s="1"/>
  <c r="B189" i="28"/>
  <c r="I189" i="28"/>
  <c r="J189" i="28"/>
  <c r="K189" i="28" s="1"/>
  <c r="B190" i="28"/>
  <c r="I190" i="28"/>
  <c r="M190" i="28" s="1"/>
  <c r="J190" i="28"/>
  <c r="K190" i="28" s="1"/>
  <c r="N190" i="28"/>
  <c r="A190" i="28" s="1"/>
  <c r="B191" i="28"/>
  <c r="I191" i="28"/>
  <c r="J191" i="28"/>
  <c r="K191" i="28" s="1"/>
  <c r="B192" i="28"/>
  <c r="I192" i="28"/>
  <c r="J192" i="28"/>
  <c r="K192" i="28" s="1"/>
  <c r="B193" i="28"/>
  <c r="I193" i="28"/>
  <c r="J193" i="28"/>
  <c r="K193" i="28" s="1"/>
  <c r="B194" i="28"/>
  <c r="I194" i="28"/>
  <c r="J194" i="28"/>
  <c r="K194" i="28" s="1"/>
  <c r="B195" i="28"/>
  <c r="I195" i="28"/>
  <c r="M195" i="28" s="1"/>
  <c r="J195" i="28"/>
  <c r="K195" i="28" s="1"/>
  <c r="N195" i="28"/>
  <c r="A195" i="28" s="1"/>
  <c r="B196" i="28"/>
  <c r="I196" i="28"/>
  <c r="J196" i="28"/>
  <c r="K196" i="28" s="1"/>
  <c r="B197" i="28"/>
  <c r="I197" i="28"/>
  <c r="N197" i="28" s="1"/>
  <c r="A197" i="28" s="1"/>
  <c r="J197" i="28"/>
  <c r="K197" i="28"/>
  <c r="M197" i="28"/>
  <c r="B198" i="28"/>
  <c r="I198" i="28"/>
  <c r="M198" i="28" s="1"/>
  <c r="J198" i="28"/>
  <c r="K198" i="28" s="1"/>
  <c r="B199" i="28"/>
  <c r="I199" i="28"/>
  <c r="J199" i="28"/>
  <c r="K199" i="28" s="1"/>
  <c r="B200" i="28"/>
  <c r="I200" i="28"/>
  <c r="J200" i="28"/>
  <c r="K200" i="28" s="1"/>
  <c r="B201" i="28"/>
  <c r="I201" i="28"/>
  <c r="J201" i="28"/>
  <c r="K201" i="28" s="1"/>
  <c r="B202" i="28"/>
  <c r="I202" i="28"/>
  <c r="J202" i="28"/>
  <c r="K202" i="28" s="1"/>
  <c r="M202" i="28"/>
  <c r="N202" i="28"/>
  <c r="A202" i="28" s="1"/>
  <c r="B203" i="28"/>
  <c r="I203" i="28"/>
  <c r="J203" i="28"/>
  <c r="K203" i="28"/>
  <c r="M203" i="28"/>
  <c r="N203" i="28"/>
  <c r="A203" i="28" s="1"/>
  <c r="B204" i="28"/>
  <c r="I204" i="28"/>
  <c r="M204" i="28" s="1"/>
  <c r="J204" i="28"/>
  <c r="K204" i="28" s="1"/>
  <c r="N204" i="28"/>
  <c r="A204" i="28" s="1"/>
  <c r="B205" i="28"/>
  <c r="I205" i="28"/>
  <c r="J205" i="28"/>
  <c r="K205" i="28" s="1"/>
  <c r="B206" i="28"/>
  <c r="I206" i="28"/>
  <c r="M206" i="28" s="1"/>
  <c r="J206" i="28"/>
  <c r="K206" i="28" s="1"/>
  <c r="B207" i="28"/>
  <c r="I207" i="28"/>
  <c r="J207" i="28"/>
  <c r="K207" i="28" s="1"/>
  <c r="B208" i="28"/>
  <c r="I208" i="28"/>
  <c r="J208" i="28"/>
  <c r="K208" i="28" s="1"/>
  <c r="B209" i="28"/>
  <c r="I209" i="28"/>
  <c r="J209" i="28"/>
  <c r="K209" i="28"/>
  <c r="B210" i="28"/>
  <c r="I210" i="28"/>
  <c r="J210" i="28"/>
  <c r="K210" i="28" s="1"/>
  <c r="B211" i="28"/>
  <c r="I211" i="28"/>
  <c r="J211" i="28"/>
  <c r="K211" i="28" s="1"/>
  <c r="B212" i="28"/>
  <c r="I212" i="28"/>
  <c r="J212" i="28"/>
  <c r="K212" i="28" s="1"/>
  <c r="B213" i="28"/>
  <c r="I213" i="28"/>
  <c r="N213" i="28" s="1"/>
  <c r="A213" i="28" s="1"/>
  <c r="J213" i="28"/>
  <c r="K213" i="28"/>
  <c r="M213" i="28"/>
  <c r="B214" i="28"/>
  <c r="I214" i="28"/>
  <c r="M214" i="28" s="1"/>
  <c r="J214" i="28"/>
  <c r="K214" i="28" s="1"/>
  <c r="N214" i="28"/>
  <c r="A214" i="28" s="1"/>
  <c r="B215" i="28"/>
  <c r="I215" i="28"/>
  <c r="J215" i="28"/>
  <c r="K215" i="28" s="1"/>
  <c r="B216" i="28"/>
  <c r="I216" i="28"/>
  <c r="J216" i="28"/>
  <c r="K216" i="28" s="1"/>
  <c r="B217" i="28"/>
  <c r="I217" i="28"/>
  <c r="J217" i="28"/>
  <c r="K217" i="28"/>
  <c r="B218" i="28"/>
  <c r="I218" i="28"/>
  <c r="J218" i="28"/>
  <c r="K218" i="28" s="1"/>
  <c r="B219" i="28"/>
  <c r="I219" i="28"/>
  <c r="J219" i="28"/>
  <c r="K219" i="28"/>
  <c r="M219" i="28"/>
  <c r="N219" i="28"/>
  <c r="A219" i="28" s="1"/>
  <c r="B220" i="28"/>
  <c r="I220" i="28"/>
  <c r="J220" i="28"/>
  <c r="K220" i="28"/>
  <c r="M220" i="28"/>
  <c r="N220" i="28"/>
  <c r="A220" i="28" s="1"/>
  <c r="B221" i="28"/>
  <c r="I221" i="28"/>
  <c r="M221" i="28" s="1"/>
  <c r="J221" i="28"/>
  <c r="K221" i="28" s="1"/>
  <c r="B222" i="28"/>
  <c r="I222" i="28"/>
  <c r="J222" i="28"/>
  <c r="K222" i="28" s="1"/>
  <c r="B223" i="28"/>
  <c r="I223" i="28"/>
  <c r="J223" i="28"/>
  <c r="K223" i="28" s="1"/>
  <c r="B224" i="28"/>
  <c r="I224" i="28"/>
  <c r="J224" i="28"/>
  <c r="K224" i="28"/>
  <c r="B225" i="28"/>
  <c r="I225" i="28"/>
  <c r="J225" i="28"/>
  <c r="K225" i="28" s="1"/>
  <c r="B226" i="28"/>
  <c r="I226" i="28"/>
  <c r="J226" i="28"/>
  <c r="K226" i="28" s="1"/>
  <c r="M226" i="28"/>
  <c r="N226" i="28"/>
  <c r="A226" i="28" s="1"/>
  <c r="B227" i="28"/>
  <c r="I227" i="28"/>
  <c r="J227" i="28"/>
  <c r="K227" i="28"/>
  <c r="M227" i="28"/>
  <c r="N227" i="28"/>
  <c r="A227" i="28" s="1"/>
  <c r="B228" i="28"/>
  <c r="I228" i="28"/>
  <c r="M228" i="28" s="1"/>
  <c r="J228" i="28"/>
  <c r="K228" i="28" s="1"/>
  <c r="N228" i="28"/>
  <c r="A228" i="28" s="1"/>
  <c r="B229" i="28"/>
  <c r="I229" i="28"/>
  <c r="J229" i="28"/>
  <c r="K229" i="28" s="1"/>
  <c r="B230" i="28"/>
  <c r="I230" i="28"/>
  <c r="M230" i="28" s="1"/>
  <c r="J230" i="28"/>
  <c r="K230" i="28" s="1"/>
  <c r="N230" i="28"/>
  <c r="A230" i="28" s="1"/>
  <c r="B231" i="28"/>
  <c r="I231" i="28"/>
  <c r="J231" i="28"/>
  <c r="K231" i="28" s="1"/>
  <c r="B232" i="28"/>
  <c r="I232" i="28"/>
  <c r="J232" i="28"/>
  <c r="K232" i="28"/>
  <c r="B233" i="28"/>
  <c r="I233" i="28"/>
  <c r="J233" i="28"/>
  <c r="K233" i="28" s="1"/>
  <c r="B234" i="28"/>
  <c r="I234" i="28"/>
  <c r="J234" i="28"/>
  <c r="K234" i="28" s="1"/>
  <c r="B235" i="28"/>
  <c r="I235" i="28"/>
  <c r="J235" i="28"/>
  <c r="K235" i="28" s="1"/>
  <c r="B236" i="28"/>
  <c r="I236" i="28"/>
  <c r="N236" i="28" s="1"/>
  <c r="A236" i="28" s="1"/>
  <c r="J236" i="28"/>
  <c r="K236" i="28"/>
  <c r="M236" i="28"/>
  <c r="B237" i="28"/>
  <c r="I237" i="28"/>
  <c r="J237" i="28"/>
  <c r="K237" i="28" s="1"/>
  <c r="M237" i="28"/>
  <c r="N237" i="28"/>
  <c r="A237" i="28" s="1"/>
  <c r="B238" i="28"/>
  <c r="I238" i="28"/>
  <c r="M238" i="28" s="1"/>
  <c r="J238" i="28"/>
  <c r="K238" i="28" s="1"/>
  <c r="N238" i="28"/>
  <c r="A238" i="28" s="1"/>
  <c r="B239" i="28"/>
  <c r="I239" i="28"/>
  <c r="J239" i="28"/>
  <c r="K239" i="28" s="1"/>
  <c r="B240" i="28"/>
  <c r="I240" i="28"/>
  <c r="J240" i="28"/>
  <c r="K240" i="28" s="1"/>
  <c r="B241" i="28"/>
  <c r="I241" i="28"/>
  <c r="J241" i="28"/>
  <c r="K241" i="28" s="1"/>
  <c r="B242" i="28"/>
  <c r="I242" i="28"/>
  <c r="M242" i="28" s="1"/>
  <c r="J242" i="28"/>
  <c r="K242" i="28" s="1"/>
  <c r="N242" i="28"/>
  <c r="A242" i="28" s="1"/>
  <c r="B243" i="28"/>
  <c r="I243" i="28"/>
  <c r="N243" i="28" s="1"/>
  <c r="A243" i="28" s="1"/>
  <c r="J243" i="28"/>
  <c r="K243" i="28" s="1"/>
  <c r="B244" i="28"/>
  <c r="I244" i="28"/>
  <c r="J244" i="28"/>
  <c r="K244" i="28"/>
  <c r="M244" i="28"/>
  <c r="N244" i="28"/>
  <c r="A244" i="28" s="1"/>
  <c r="B245" i="28"/>
  <c r="I245" i="28"/>
  <c r="J245" i="28"/>
  <c r="K245" i="28"/>
  <c r="M245" i="28"/>
  <c r="N245" i="28"/>
  <c r="A245" i="28" s="1"/>
  <c r="B246" i="28"/>
  <c r="I246" i="28"/>
  <c r="J246" i="28"/>
  <c r="K246" i="28" s="1"/>
  <c r="B247" i="28"/>
  <c r="I247" i="28"/>
  <c r="J247" i="28"/>
  <c r="K247" i="28" s="1"/>
  <c r="B248" i="28"/>
  <c r="I248" i="28"/>
  <c r="J248" i="28"/>
  <c r="K248" i="28"/>
  <c r="B249" i="28"/>
  <c r="I249" i="28"/>
  <c r="N249" i="28" s="1"/>
  <c r="A249" i="28" s="1"/>
  <c r="J249" i="28"/>
  <c r="K249" i="28" s="1"/>
  <c r="M249" i="28"/>
  <c r="B250" i="28"/>
  <c r="I250" i="28"/>
  <c r="J250" i="28"/>
  <c r="K250" i="28"/>
  <c r="I251" i="28"/>
  <c r="J251" i="28"/>
  <c r="K251" i="28" s="1"/>
  <c r="M251" i="28"/>
  <c r="N251" i="28"/>
  <c r="A251" i="28" s="1"/>
  <c r="I252" i="28"/>
  <c r="J252" i="28"/>
  <c r="K252" i="28" s="1"/>
  <c r="I253" i="28"/>
  <c r="J253" i="28"/>
  <c r="K253" i="28" s="1"/>
  <c r="I254" i="28"/>
  <c r="J254" i="28"/>
  <c r="K254" i="28"/>
  <c r="I255" i="28"/>
  <c r="J255" i="28"/>
  <c r="K255" i="28"/>
  <c r="M255" i="28"/>
  <c r="N255" i="28"/>
  <c r="A255" i="28" s="1"/>
  <c r="I256" i="28"/>
  <c r="J256" i="28"/>
  <c r="K256" i="28" s="1"/>
  <c r="I257" i="28"/>
  <c r="J257" i="28"/>
  <c r="K257" i="28" s="1"/>
  <c r="I258" i="28"/>
  <c r="J258" i="28"/>
  <c r="K258" i="28" s="1"/>
  <c r="I259" i="28"/>
  <c r="J259" i="28"/>
  <c r="K259" i="28" s="1"/>
  <c r="I260" i="28"/>
  <c r="M260" i="28" s="1"/>
  <c r="J260" i="28"/>
  <c r="K260" i="28" s="1"/>
  <c r="N260" i="28"/>
  <c r="A260" i="28" s="1"/>
  <c r="I261" i="28"/>
  <c r="J261" i="28"/>
  <c r="K261" i="28" s="1"/>
  <c r="I262" i="28"/>
  <c r="J262" i="28"/>
  <c r="K262" i="28" s="1"/>
  <c r="M262" i="28"/>
  <c r="N262" i="28"/>
  <c r="A262" i="28" s="1"/>
  <c r="I263" i="28"/>
  <c r="J263" i="28"/>
  <c r="K263" i="28"/>
  <c r="M263" i="28"/>
  <c r="N263" i="28"/>
  <c r="A263" i="28" s="1"/>
  <c r="I264" i="28"/>
  <c r="M264" i="28" s="1"/>
  <c r="J264" i="28"/>
  <c r="K264" i="28" s="1"/>
  <c r="I265" i="28"/>
  <c r="N265" i="28" s="1"/>
  <c r="A265" i="28" s="1"/>
  <c r="J265" i="28"/>
  <c r="K265" i="28"/>
  <c r="M265" i="28"/>
  <c r="I266" i="28"/>
  <c r="N266" i="28" s="1"/>
  <c r="A266" i="28" s="1"/>
  <c r="J266" i="28"/>
  <c r="K266" i="28" s="1"/>
  <c r="I267" i="28"/>
  <c r="J267" i="28"/>
  <c r="K267" i="28" s="1"/>
  <c r="I268" i="28"/>
  <c r="M268" i="28" s="1"/>
  <c r="J268" i="28"/>
  <c r="K268" i="28" s="1"/>
  <c r="I269" i="28"/>
  <c r="J269" i="28"/>
  <c r="K269" i="28" s="1"/>
  <c r="I270" i="28"/>
  <c r="J270" i="28"/>
  <c r="K270" i="28"/>
  <c r="M270" i="28"/>
  <c r="N270" i="28"/>
  <c r="A270" i="28" s="1"/>
  <c r="I271" i="28"/>
  <c r="J271" i="28"/>
  <c r="K271" i="28" s="1"/>
  <c r="M271" i="28"/>
  <c r="N271" i="28"/>
  <c r="A271" i="28" s="1"/>
  <c r="I272" i="28"/>
  <c r="M272" i="28" s="1"/>
  <c r="J272" i="28"/>
  <c r="K272" i="28" s="1"/>
  <c r="I273" i="28"/>
  <c r="N273" i="28" s="1"/>
  <c r="A273" i="28" s="1"/>
  <c r="J273" i="28"/>
  <c r="K273" i="28"/>
  <c r="M273" i="28"/>
  <c r="I274" i="28"/>
  <c r="N274" i="28" s="1"/>
  <c r="A274" i="28" s="1"/>
  <c r="J274" i="28"/>
  <c r="K274" i="28" s="1"/>
  <c r="I275" i="28"/>
  <c r="J275" i="28"/>
  <c r="K275" i="28" s="1"/>
  <c r="M275" i="28"/>
  <c r="N275" i="28"/>
  <c r="A275" i="28" s="1"/>
  <c r="I276" i="28"/>
  <c r="J276" i="28"/>
  <c r="K276" i="28" s="1"/>
  <c r="I277" i="28"/>
  <c r="J277" i="28"/>
  <c r="K277" i="28"/>
  <c r="I278" i="28"/>
  <c r="N278" i="28" s="1"/>
  <c r="A278" i="28" s="1"/>
  <c r="J278" i="28"/>
  <c r="K278" i="28"/>
  <c r="M278" i="28"/>
  <c r="I279" i="28"/>
  <c r="J279" i="28"/>
  <c r="K279" i="28"/>
  <c r="M279" i="28"/>
  <c r="N279" i="28"/>
  <c r="A279" i="28" s="1"/>
  <c r="I280" i="28"/>
  <c r="J280" i="28"/>
  <c r="K280" i="28" s="1"/>
  <c r="I281" i="28"/>
  <c r="M281" i="28" s="1"/>
  <c r="J281" i="28"/>
  <c r="K281" i="28" s="1"/>
  <c r="N281" i="28"/>
  <c r="A281" i="28" s="1"/>
  <c r="I282" i="28"/>
  <c r="J282" i="28"/>
  <c r="K282" i="28" s="1"/>
  <c r="M282" i="28"/>
  <c r="N282" i="28"/>
  <c r="A282" i="28" s="1"/>
  <c r="I283" i="28"/>
  <c r="J283" i="28"/>
  <c r="K283" i="28" s="1"/>
  <c r="I284" i="28"/>
  <c r="M284" i="28" s="1"/>
  <c r="J284" i="28"/>
  <c r="K284" i="28" s="1"/>
  <c r="I285" i="28"/>
  <c r="N285" i="28" s="1"/>
  <c r="A285" i="28" s="1"/>
  <c r="J285" i="28"/>
  <c r="K285" i="28" s="1"/>
  <c r="M285" i="28"/>
  <c r="I286" i="28"/>
  <c r="J286" i="28"/>
  <c r="K286" i="28" s="1"/>
  <c r="I287" i="28"/>
  <c r="N287" i="28" s="1"/>
  <c r="A287" i="28" s="1"/>
  <c r="J287" i="28"/>
  <c r="K287" i="28" s="1"/>
  <c r="I288" i="28"/>
  <c r="J288" i="28"/>
  <c r="K288" i="28" s="1"/>
  <c r="I289" i="28"/>
  <c r="J289" i="28"/>
  <c r="K289" i="28"/>
  <c r="I290" i="28"/>
  <c r="J290" i="28"/>
  <c r="K290" i="28" s="1"/>
  <c r="I291" i="28"/>
  <c r="J291" i="28"/>
  <c r="K291" i="28" s="1"/>
  <c r="M291" i="28"/>
  <c r="N291" i="28"/>
  <c r="A291" i="28" s="1"/>
  <c r="I292" i="28"/>
  <c r="J292" i="28"/>
  <c r="K292" i="28" s="1"/>
  <c r="I293" i="28"/>
  <c r="J293" i="28"/>
  <c r="K293" i="28"/>
  <c r="I294" i="28"/>
  <c r="N294" i="28" s="1"/>
  <c r="A294" i="28" s="1"/>
  <c r="J294" i="28"/>
  <c r="K294" i="28"/>
  <c r="M294" i="28"/>
  <c r="I295" i="28"/>
  <c r="J295" i="28"/>
  <c r="K295" i="28" s="1"/>
  <c r="M295" i="28"/>
  <c r="N295" i="28"/>
  <c r="A295" i="28" s="1"/>
  <c r="I296" i="28"/>
  <c r="J296" i="28"/>
  <c r="K296" i="28" s="1"/>
  <c r="I297" i="28"/>
  <c r="N297" i="28" s="1"/>
  <c r="A297" i="28" s="1"/>
  <c r="J297" i="28"/>
  <c r="K297" i="28" s="1"/>
  <c r="M297" i="28"/>
  <c r="I298" i="28"/>
  <c r="N298" i="28" s="1"/>
  <c r="A298" i="28" s="1"/>
  <c r="J298" i="28"/>
  <c r="K298" i="28" s="1"/>
  <c r="M298" i="28"/>
  <c r="I299" i="28"/>
  <c r="J299" i="28"/>
  <c r="K299" i="28" s="1"/>
  <c r="M299" i="28"/>
  <c r="N299" i="28"/>
  <c r="A299" i="28" s="1"/>
  <c r="I300" i="28"/>
  <c r="J300" i="28"/>
  <c r="K300" i="28" s="1"/>
  <c r="I301" i="28"/>
  <c r="J301" i="28"/>
  <c r="K301" i="28" s="1"/>
  <c r="I302" i="28"/>
  <c r="N302" i="28" s="1"/>
  <c r="A302" i="28" s="1"/>
  <c r="J302" i="28"/>
  <c r="K302" i="28"/>
  <c r="M302" i="28"/>
  <c r="I303" i="28"/>
  <c r="J303" i="28"/>
  <c r="K303" i="28" s="1"/>
  <c r="M303" i="28"/>
  <c r="N303" i="28"/>
  <c r="A303" i="28" s="1"/>
  <c r="I304" i="28"/>
  <c r="J304" i="28"/>
  <c r="K304" i="28" s="1"/>
  <c r="I305" i="28"/>
  <c r="J305" i="28"/>
  <c r="K305" i="28" s="1"/>
  <c r="K2" i="27"/>
  <c r="B6" i="27"/>
  <c r="I6" i="27"/>
  <c r="M6" i="27" s="1"/>
  <c r="A6" i="27" s="1"/>
  <c r="J6" i="27"/>
  <c r="K6" i="27"/>
  <c r="L6" i="27"/>
  <c r="B7" i="27"/>
  <c r="I7" i="27"/>
  <c r="J7" i="27"/>
  <c r="K7" i="27"/>
  <c r="L7" i="27"/>
  <c r="M7" i="27"/>
  <c r="A7" i="27" s="1"/>
  <c r="B8" i="27"/>
  <c r="I8" i="27"/>
  <c r="J8" i="27"/>
  <c r="K8" i="27"/>
  <c r="L8" i="27"/>
  <c r="M8" i="27"/>
  <c r="A8" i="27" s="1"/>
  <c r="A9" i="27"/>
  <c r="B9" i="27"/>
  <c r="I9" i="27"/>
  <c r="J9" i="27"/>
  <c r="K9" i="27" s="1"/>
  <c r="L9" i="27"/>
  <c r="M9" i="27"/>
  <c r="A10" i="27"/>
  <c r="B10" i="27"/>
  <c r="I10" i="27"/>
  <c r="J10" i="27"/>
  <c r="K10" i="27" s="1"/>
  <c r="M10" i="27"/>
  <c r="A11" i="27"/>
  <c r="B11" i="27"/>
  <c r="I11" i="27"/>
  <c r="M11" i="27" s="1"/>
  <c r="J11" i="27"/>
  <c r="K11" i="27" s="1"/>
  <c r="B12" i="27"/>
  <c r="I12" i="27"/>
  <c r="J12" i="27"/>
  <c r="K12" i="27"/>
  <c r="M12" i="27"/>
  <c r="A12" i="27" s="1"/>
  <c r="AI12" i="27"/>
  <c r="B13" i="27"/>
  <c r="I13" i="27"/>
  <c r="J13" i="27"/>
  <c r="K13" i="27"/>
  <c r="M13" i="27"/>
  <c r="A13" i="27" s="1"/>
  <c r="AI13" i="27"/>
  <c r="AI16" i="27" s="1"/>
  <c r="B14" i="27"/>
  <c r="I14" i="27"/>
  <c r="J14" i="27"/>
  <c r="K14" i="27"/>
  <c r="M14" i="27"/>
  <c r="A14" i="27" s="1"/>
  <c r="AI14" i="27"/>
  <c r="A15" i="27"/>
  <c r="B15" i="27"/>
  <c r="I15" i="27"/>
  <c r="J15" i="27"/>
  <c r="K15" i="27" s="1"/>
  <c r="M15" i="27"/>
  <c r="B16" i="27"/>
  <c r="I16" i="27"/>
  <c r="M16" i="27" s="1"/>
  <c r="A16" i="27" s="1"/>
  <c r="J16" i="27"/>
  <c r="K16" i="27"/>
  <c r="A17" i="27"/>
  <c r="B17" i="27"/>
  <c r="I17" i="27"/>
  <c r="M17" i="27" s="1"/>
  <c r="J17" i="27"/>
  <c r="K17" i="27" s="1"/>
  <c r="B18" i="27"/>
  <c r="I18" i="27"/>
  <c r="J18" i="27"/>
  <c r="K18" i="27" s="1"/>
  <c r="M18" i="27"/>
  <c r="A18" i="27" s="1"/>
  <c r="B19" i="27"/>
  <c r="I19" i="27"/>
  <c r="J19" i="27"/>
  <c r="K19" i="27"/>
  <c r="M19" i="27"/>
  <c r="A19" i="27" s="1"/>
  <c r="A20" i="27"/>
  <c r="B20" i="27"/>
  <c r="I20" i="27"/>
  <c r="J20" i="27"/>
  <c r="K20" i="27" s="1"/>
  <c r="M20" i="27"/>
  <c r="B21" i="27"/>
  <c r="I21" i="27"/>
  <c r="M21" i="27" s="1"/>
  <c r="A21" i="27" s="1"/>
  <c r="J21" i="27"/>
  <c r="K21" i="27" s="1"/>
  <c r="B22" i="27"/>
  <c r="I22" i="27"/>
  <c r="M22" i="27" s="1"/>
  <c r="A22" i="27" s="1"/>
  <c r="J22" i="27"/>
  <c r="K22" i="27"/>
  <c r="B23" i="27"/>
  <c r="I23" i="27"/>
  <c r="J23" i="27"/>
  <c r="K23" i="27"/>
  <c r="M23" i="27"/>
  <c r="A23" i="27" s="1"/>
  <c r="A24" i="27"/>
  <c r="B24" i="27"/>
  <c r="I24" i="27"/>
  <c r="J24" i="27"/>
  <c r="K24" i="27" s="1"/>
  <c r="M24" i="27"/>
  <c r="B25" i="27"/>
  <c r="I25" i="27"/>
  <c r="M25" i="27" s="1"/>
  <c r="A25" i="27" s="1"/>
  <c r="J25" i="27"/>
  <c r="K25" i="27" s="1"/>
  <c r="B26" i="27"/>
  <c r="I26" i="27"/>
  <c r="J26" i="27"/>
  <c r="K26" i="27"/>
  <c r="M26" i="27"/>
  <c r="A26" i="27" s="1"/>
  <c r="B27" i="27"/>
  <c r="I27" i="27"/>
  <c r="J27" i="27"/>
  <c r="K27" i="27"/>
  <c r="M27" i="27"/>
  <c r="A27" i="27" s="1"/>
  <c r="A28" i="27"/>
  <c r="B28" i="27"/>
  <c r="I28" i="27"/>
  <c r="J28" i="27"/>
  <c r="K28" i="27" s="1"/>
  <c r="M28" i="27"/>
  <c r="A29" i="27"/>
  <c r="B29" i="27"/>
  <c r="I29" i="27"/>
  <c r="M29" i="27" s="1"/>
  <c r="J29" i="27"/>
  <c r="K29" i="27" s="1"/>
  <c r="B30" i="27"/>
  <c r="I30" i="27"/>
  <c r="M30" i="27" s="1"/>
  <c r="A30" i="27" s="1"/>
  <c r="J30" i="27"/>
  <c r="K30" i="27"/>
  <c r="B31" i="27"/>
  <c r="I31" i="27"/>
  <c r="J31" i="27"/>
  <c r="K31" i="27"/>
  <c r="M31" i="27"/>
  <c r="A31" i="27" s="1"/>
  <c r="A32" i="27"/>
  <c r="B32" i="27"/>
  <c r="I32" i="27"/>
  <c r="J32" i="27"/>
  <c r="K32" i="27" s="1"/>
  <c r="M32" i="27"/>
  <c r="B33" i="27"/>
  <c r="I33" i="27"/>
  <c r="M33" i="27" s="1"/>
  <c r="A33" i="27" s="1"/>
  <c r="J33" i="27"/>
  <c r="K33" i="27" s="1"/>
  <c r="B34" i="27"/>
  <c r="I34" i="27"/>
  <c r="M34" i="27" s="1"/>
  <c r="A34" i="27" s="1"/>
  <c r="J34" i="27"/>
  <c r="K34" i="27" s="1"/>
  <c r="B35" i="27"/>
  <c r="I35" i="27"/>
  <c r="J35" i="27"/>
  <c r="K35" i="27"/>
  <c r="M35" i="27"/>
  <c r="A35" i="27" s="1"/>
  <c r="A36" i="27"/>
  <c r="B36" i="27"/>
  <c r="I36" i="27"/>
  <c r="J36" i="27"/>
  <c r="K36" i="27" s="1"/>
  <c r="M36" i="27"/>
  <c r="A37" i="27"/>
  <c r="B37" i="27"/>
  <c r="I37" i="27"/>
  <c r="M37" i="27" s="1"/>
  <c r="J37" i="27"/>
  <c r="K37" i="27" s="1"/>
  <c r="B38" i="27"/>
  <c r="I38" i="27"/>
  <c r="J38" i="27"/>
  <c r="K38" i="27"/>
  <c r="M38" i="27"/>
  <c r="A38" i="27" s="1"/>
  <c r="B39" i="27"/>
  <c r="I39" i="27"/>
  <c r="J39" i="27"/>
  <c r="K39" i="27"/>
  <c r="M39" i="27"/>
  <c r="A39" i="27" s="1"/>
  <c r="A40" i="27"/>
  <c r="B40" i="27"/>
  <c r="I40" i="27"/>
  <c r="J40" i="27"/>
  <c r="K40" i="27" s="1"/>
  <c r="M40" i="27"/>
  <c r="A41" i="27"/>
  <c r="B41" i="27"/>
  <c r="I41" i="27"/>
  <c r="M41" i="27" s="1"/>
  <c r="J41" i="27"/>
  <c r="K41" i="27" s="1"/>
  <c r="B42" i="27"/>
  <c r="I42" i="27"/>
  <c r="M42" i="27" s="1"/>
  <c r="A42" i="27" s="1"/>
  <c r="J42" i="27"/>
  <c r="K42" i="27" s="1"/>
  <c r="B43" i="27"/>
  <c r="I43" i="27"/>
  <c r="J43" i="27"/>
  <c r="K43" i="27"/>
  <c r="M43" i="27"/>
  <c r="A43" i="27" s="1"/>
  <c r="A44" i="27"/>
  <c r="B44" i="27"/>
  <c r="I44" i="27"/>
  <c r="J44" i="27"/>
  <c r="K44" i="27" s="1"/>
  <c r="M44" i="27"/>
  <c r="B45" i="27"/>
  <c r="I45" i="27"/>
  <c r="M45" i="27" s="1"/>
  <c r="A45" i="27" s="1"/>
  <c r="J45" i="27"/>
  <c r="K45" i="27" s="1"/>
  <c r="B46" i="27"/>
  <c r="I46" i="27"/>
  <c r="J46" i="27"/>
  <c r="K46" i="27"/>
  <c r="M46" i="27"/>
  <c r="A46" i="27" s="1"/>
  <c r="R46" i="27"/>
  <c r="T46" i="27"/>
  <c r="U46" i="27" s="1"/>
  <c r="B47" i="27"/>
  <c r="I47" i="27"/>
  <c r="M47" i="27" s="1"/>
  <c r="A47" i="27" s="1"/>
  <c r="J47" i="27"/>
  <c r="K47" i="27" s="1"/>
  <c r="B48" i="27"/>
  <c r="I48" i="27"/>
  <c r="J48" i="27"/>
  <c r="K48" i="27"/>
  <c r="M48" i="27"/>
  <c r="A48" i="27" s="1"/>
  <c r="B49" i="27"/>
  <c r="I49" i="27"/>
  <c r="J49" i="27"/>
  <c r="K49" i="27"/>
  <c r="M49" i="27"/>
  <c r="A49" i="27" s="1"/>
  <c r="A50" i="27"/>
  <c r="B50" i="27"/>
  <c r="I50" i="27"/>
  <c r="M50" i="27" s="1"/>
  <c r="J50" i="27"/>
  <c r="K50" i="27"/>
  <c r="B51" i="27"/>
  <c r="I51" i="27"/>
  <c r="M51" i="27" s="1"/>
  <c r="A51" i="27" s="1"/>
  <c r="J51" i="27"/>
  <c r="K51" i="27"/>
  <c r="B52" i="27"/>
  <c r="I52" i="27"/>
  <c r="J52" i="27"/>
  <c r="K52" i="27" s="1"/>
  <c r="M52" i="27"/>
  <c r="A52" i="27" s="1"/>
  <c r="A53" i="27"/>
  <c r="B53" i="27"/>
  <c r="I53" i="27"/>
  <c r="J53" i="27"/>
  <c r="K53" i="27"/>
  <c r="M53" i="27"/>
  <c r="B54" i="27"/>
  <c r="I54" i="27"/>
  <c r="M54" i="27" s="1"/>
  <c r="A54" i="27" s="1"/>
  <c r="J54" i="27"/>
  <c r="K54" i="27"/>
  <c r="B55" i="27"/>
  <c r="I55" i="27"/>
  <c r="M55" i="27" s="1"/>
  <c r="A55" i="27" s="1"/>
  <c r="J55" i="27"/>
  <c r="K55" i="27" s="1"/>
  <c r="B56" i="27"/>
  <c r="I56" i="27"/>
  <c r="J56" i="27"/>
  <c r="K56" i="27" s="1"/>
  <c r="M56" i="27"/>
  <c r="A56" i="27" s="1"/>
  <c r="B57" i="27"/>
  <c r="I57" i="27"/>
  <c r="J57" i="27"/>
  <c r="K57" i="27"/>
  <c r="M57" i="27"/>
  <c r="A57" i="27" s="1"/>
  <c r="A58" i="27"/>
  <c r="B58" i="27"/>
  <c r="I58" i="27"/>
  <c r="M58" i="27" s="1"/>
  <c r="J58" i="27"/>
  <c r="K58" i="27"/>
  <c r="B59" i="27"/>
  <c r="I59" i="27"/>
  <c r="M59" i="27" s="1"/>
  <c r="A59" i="27" s="1"/>
  <c r="J59" i="27"/>
  <c r="K59" i="27"/>
  <c r="B60" i="27"/>
  <c r="I60" i="27"/>
  <c r="J60" i="27"/>
  <c r="K60" i="27" s="1"/>
  <c r="M60" i="27"/>
  <c r="A60" i="27" s="1"/>
  <c r="A61" i="27"/>
  <c r="B61" i="27"/>
  <c r="I61" i="27"/>
  <c r="J61" i="27"/>
  <c r="K61" i="27" s="1"/>
  <c r="M61" i="27"/>
  <c r="A62" i="27"/>
  <c r="B62" i="27"/>
  <c r="I62" i="27"/>
  <c r="M62" i="27" s="1"/>
  <c r="J62" i="27"/>
  <c r="K62" i="27"/>
  <c r="B63" i="27"/>
  <c r="I63" i="27"/>
  <c r="M63" i="27" s="1"/>
  <c r="A63" i="27" s="1"/>
  <c r="J63" i="27"/>
  <c r="K63" i="27"/>
  <c r="B64" i="27"/>
  <c r="I64" i="27"/>
  <c r="J64" i="27"/>
  <c r="K64" i="27" s="1"/>
  <c r="M64" i="27"/>
  <c r="A64" i="27" s="1"/>
  <c r="A65" i="27"/>
  <c r="B65" i="27"/>
  <c r="I65" i="27"/>
  <c r="J65" i="27"/>
  <c r="K65" i="27" s="1"/>
  <c r="M65" i="27"/>
  <c r="A66" i="27"/>
  <c r="I66" i="27"/>
  <c r="M66" i="27" s="1"/>
  <c r="J66" i="27"/>
  <c r="K66" i="27" s="1"/>
  <c r="I67" i="27"/>
  <c r="J67" i="27"/>
  <c r="K67" i="27"/>
  <c r="M67" i="27"/>
  <c r="A67" i="27" s="1"/>
  <c r="A68" i="27"/>
  <c r="I68" i="27"/>
  <c r="J68" i="27"/>
  <c r="K68" i="27" s="1"/>
  <c r="M68" i="27"/>
  <c r="A69" i="27"/>
  <c r="I69" i="27"/>
  <c r="M69" i="27" s="1"/>
  <c r="J69" i="27"/>
  <c r="K69" i="27" s="1"/>
  <c r="I70" i="27"/>
  <c r="J70" i="27"/>
  <c r="K70" i="27"/>
  <c r="M70" i="27"/>
  <c r="A70" i="27" s="1"/>
  <c r="A71" i="27"/>
  <c r="I71" i="27"/>
  <c r="M71" i="27" s="1"/>
  <c r="J71" i="27"/>
  <c r="K71" i="27"/>
  <c r="I72" i="27"/>
  <c r="J72" i="27"/>
  <c r="K72" i="27"/>
  <c r="M72" i="27"/>
  <c r="A72" i="27" s="1"/>
  <c r="I73" i="27"/>
  <c r="J73" i="27"/>
  <c r="K73" i="27" s="1"/>
  <c r="M73" i="27"/>
  <c r="A73" i="27" s="1"/>
  <c r="I74" i="27"/>
  <c r="M74" i="27" s="1"/>
  <c r="A74" i="27" s="1"/>
  <c r="J74" i="27"/>
  <c r="K74" i="27" s="1"/>
  <c r="I75" i="27"/>
  <c r="J75" i="27"/>
  <c r="K75" i="27" s="1"/>
  <c r="M75" i="27"/>
  <c r="A75" i="27" s="1"/>
  <c r="A76" i="27"/>
  <c r="I76" i="27"/>
  <c r="J76" i="27"/>
  <c r="K76" i="27" s="1"/>
  <c r="M76" i="27"/>
  <c r="I77" i="27"/>
  <c r="M77" i="27" s="1"/>
  <c r="A77" i="27" s="1"/>
  <c r="J77" i="27"/>
  <c r="K77" i="27" s="1"/>
  <c r="I78" i="27"/>
  <c r="J78" i="27"/>
  <c r="K78" i="27"/>
  <c r="M78" i="27"/>
  <c r="A78" i="27" s="1"/>
  <c r="I79" i="27"/>
  <c r="M79" i="27" s="1"/>
  <c r="A79" i="27" s="1"/>
  <c r="J79" i="27"/>
  <c r="K79" i="27"/>
  <c r="I80" i="27"/>
  <c r="J80" i="27"/>
  <c r="K80" i="27"/>
  <c r="M80" i="27"/>
  <c r="I81" i="27"/>
  <c r="M81" i="27" s="1"/>
  <c r="J81" i="27"/>
  <c r="K81" i="27"/>
  <c r="I82" i="27"/>
  <c r="J82" i="27"/>
  <c r="K82" i="27" s="1"/>
  <c r="M82" i="27"/>
  <c r="I83" i="27"/>
  <c r="M83" i="27" s="1"/>
  <c r="J83" i="27"/>
  <c r="K83" i="27"/>
  <c r="I84" i="27"/>
  <c r="J84" i="27"/>
  <c r="K84" i="27"/>
  <c r="M84" i="27"/>
  <c r="I85" i="27"/>
  <c r="M85" i="27" s="1"/>
  <c r="J85" i="27"/>
  <c r="K85" i="27"/>
  <c r="I86" i="27"/>
  <c r="J86" i="27"/>
  <c r="K86" i="27" s="1"/>
  <c r="M86" i="27"/>
  <c r="I87" i="27"/>
  <c r="M87" i="27" s="1"/>
  <c r="J87" i="27"/>
  <c r="K87" i="27"/>
  <c r="I88" i="27"/>
  <c r="J88" i="27"/>
  <c r="K88" i="27" s="1"/>
  <c r="M88" i="27"/>
  <c r="I89" i="27"/>
  <c r="M89" i="27" s="1"/>
  <c r="J89" i="27"/>
  <c r="K89" i="27" s="1"/>
  <c r="I90" i="27"/>
  <c r="J90" i="27"/>
  <c r="K90" i="27" s="1"/>
  <c r="M90" i="27"/>
  <c r="I91" i="27"/>
  <c r="M91" i="27" s="1"/>
  <c r="J91" i="27"/>
  <c r="K91" i="27" s="1"/>
  <c r="I92" i="27"/>
  <c r="J92" i="27"/>
  <c r="K92" i="27" s="1"/>
  <c r="M92" i="27"/>
  <c r="I93" i="27"/>
  <c r="M93" i="27" s="1"/>
  <c r="J93" i="27"/>
  <c r="K93" i="27" s="1"/>
  <c r="I94" i="27"/>
  <c r="J94" i="27"/>
  <c r="K94" i="27"/>
  <c r="M94" i="27"/>
  <c r="I95" i="27"/>
  <c r="M95" i="27" s="1"/>
  <c r="J95" i="27"/>
  <c r="K95" i="27" s="1"/>
  <c r="I96" i="27"/>
  <c r="J96" i="27"/>
  <c r="K96" i="27" s="1"/>
  <c r="M96" i="27"/>
  <c r="I97" i="27"/>
  <c r="M97" i="27" s="1"/>
  <c r="J97" i="27"/>
  <c r="K97" i="27" s="1"/>
  <c r="I98" i="27"/>
  <c r="J98" i="27"/>
  <c r="K98" i="27" s="1"/>
  <c r="M98" i="27"/>
  <c r="I99" i="27"/>
  <c r="M99" i="27" s="1"/>
  <c r="J99" i="27"/>
  <c r="K99" i="27" s="1"/>
  <c r="I100" i="27"/>
  <c r="J100" i="27"/>
  <c r="K100" i="27" s="1"/>
  <c r="M100" i="27"/>
  <c r="I101" i="27"/>
  <c r="M101" i="27" s="1"/>
  <c r="J101" i="27"/>
  <c r="K101" i="27" s="1"/>
  <c r="I102" i="27"/>
  <c r="J102" i="27"/>
  <c r="K102" i="27"/>
  <c r="M102" i="27"/>
  <c r="I103" i="27"/>
  <c r="M103" i="27" s="1"/>
  <c r="J103" i="27"/>
  <c r="K103" i="27" s="1"/>
  <c r="I104" i="27"/>
  <c r="J104" i="27"/>
  <c r="K104" i="27" s="1"/>
  <c r="M104" i="27"/>
  <c r="I105" i="27"/>
  <c r="M105" i="27" s="1"/>
  <c r="J105" i="27"/>
  <c r="K105" i="27" s="1"/>
  <c r="I106" i="27"/>
  <c r="J106" i="27"/>
  <c r="K106" i="27"/>
  <c r="M106" i="27"/>
  <c r="I107" i="27"/>
  <c r="M107" i="27" s="1"/>
  <c r="J107" i="27"/>
  <c r="K107" i="27" s="1"/>
  <c r="I108" i="27"/>
  <c r="J108" i="27"/>
  <c r="K108" i="27" s="1"/>
  <c r="M108" i="27"/>
  <c r="I109" i="27"/>
  <c r="M109" i="27" s="1"/>
  <c r="J109" i="27"/>
  <c r="K109" i="27" s="1"/>
  <c r="I110" i="27"/>
  <c r="J110" i="27"/>
  <c r="K110" i="27"/>
  <c r="M110" i="27"/>
  <c r="I111" i="27"/>
  <c r="M111" i="27" s="1"/>
  <c r="J111" i="27"/>
  <c r="K111" i="27" s="1"/>
  <c r="I112" i="27"/>
  <c r="J112" i="27"/>
  <c r="K112" i="27"/>
  <c r="M112" i="27"/>
  <c r="I113" i="27"/>
  <c r="M113" i="27" s="1"/>
  <c r="J113" i="27"/>
  <c r="K113" i="27" s="1"/>
  <c r="I114" i="27"/>
  <c r="J114" i="27"/>
  <c r="K114" i="27" s="1"/>
  <c r="M114" i="27"/>
  <c r="I115" i="27"/>
  <c r="M115" i="27" s="1"/>
  <c r="J115" i="27"/>
  <c r="K115" i="27" s="1"/>
  <c r="I116" i="27"/>
  <c r="J116" i="27"/>
  <c r="K116" i="27" s="1"/>
  <c r="M116" i="27"/>
  <c r="I117" i="27"/>
  <c r="M117" i="27" s="1"/>
  <c r="J117" i="27"/>
  <c r="K117" i="27" s="1"/>
  <c r="I118" i="27"/>
  <c r="J118" i="27"/>
  <c r="K118" i="27"/>
  <c r="M118" i="27"/>
  <c r="I119" i="27"/>
  <c r="M119" i="27" s="1"/>
  <c r="J119" i="27"/>
  <c r="K119" i="27" s="1"/>
  <c r="I120" i="27"/>
  <c r="J120" i="27"/>
  <c r="K120" i="27"/>
  <c r="M120" i="27"/>
  <c r="I121" i="27"/>
  <c r="M121" i="27" s="1"/>
  <c r="J121" i="27"/>
  <c r="K121" i="27" s="1"/>
  <c r="I122" i="27"/>
  <c r="J122" i="27"/>
  <c r="K122" i="27"/>
  <c r="M122" i="27"/>
  <c r="I123" i="27"/>
  <c r="M123" i="27" s="1"/>
  <c r="J123" i="27"/>
  <c r="K123" i="27" s="1"/>
  <c r="I124" i="27"/>
  <c r="J124" i="27"/>
  <c r="K124" i="27" s="1"/>
  <c r="M124" i="27"/>
  <c r="I125" i="27"/>
  <c r="M125" i="27" s="1"/>
  <c r="J125" i="27"/>
  <c r="K125" i="27" s="1"/>
  <c r="I126" i="27"/>
  <c r="J126" i="27"/>
  <c r="K126" i="27"/>
  <c r="M126" i="27"/>
  <c r="I127" i="27"/>
  <c r="M127" i="27" s="1"/>
  <c r="J127" i="27"/>
  <c r="K127" i="27" s="1"/>
  <c r="I128" i="27"/>
  <c r="J128" i="27"/>
  <c r="K128" i="27" s="1"/>
  <c r="M128" i="27"/>
  <c r="I129" i="27"/>
  <c r="M129" i="27" s="1"/>
  <c r="J129" i="27"/>
  <c r="K129" i="27" s="1"/>
  <c r="I130" i="27"/>
  <c r="J130" i="27"/>
  <c r="K130" i="27"/>
  <c r="M130" i="27"/>
  <c r="I131" i="27"/>
  <c r="M131" i="27" s="1"/>
  <c r="J131" i="27"/>
  <c r="K131" i="27" s="1"/>
  <c r="I132" i="27"/>
  <c r="J132" i="27"/>
  <c r="K132" i="27" s="1"/>
  <c r="M132" i="27"/>
  <c r="I133" i="27"/>
  <c r="M133" i="27" s="1"/>
  <c r="J133" i="27"/>
  <c r="K133" i="27" s="1"/>
  <c r="I134" i="27"/>
  <c r="J134" i="27"/>
  <c r="K134" i="27"/>
  <c r="M134" i="27"/>
  <c r="I135" i="27"/>
  <c r="M135" i="27" s="1"/>
  <c r="J135" i="27"/>
  <c r="K135" i="27" s="1"/>
  <c r="I136" i="27"/>
  <c r="J136" i="27"/>
  <c r="K136" i="27"/>
  <c r="M136" i="27"/>
  <c r="I137" i="27"/>
  <c r="M137" i="27" s="1"/>
  <c r="J137" i="27"/>
  <c r="K137" i="27" s="1"/>
  <c r="I138" i="27"/>
  <c r="J138" i="27"/>
  <c r="K138" i="27" s="1"/>
  <c r="M138" i="27"/>
  <c r="I139" i="27"/>
  <c r="M139" i="27" s="1"/>
  <c r="J139" i="27"/>
  <c r="K139" i="27" s="1"/>
  <c r="I140" i="27"/>
  <c r="J140" i="27"/>
  <c r="K140" i="27" s="1"/>
  <c r="M140" i="27"/>
  <c r="I141" i="27"/>
  <c r="M141" i="27" s="1"/>
  <c r="J141" i="27"/>
  <c r="K141" i="27" s="1"/>
  <c r="I142" i="27"/>
  <c r="J142" i="27"/>
  <c r="K142" i="27"/>
  <c r="M142" i="27"/>
  <c r="I143" i="27"/>
  <c r="M143" i="27" s="1"/>
  <c r="J143" i="27"/>
  <c r="K143" i="27" s="1"/>
  <c r="I144" i="27"/>
  <c r="J144" i="27"/>
  <c r="K144" i="27"/>
  <c r="M144" i="27"/>
  <c r="I145" i="27"/>
  <c r="M145" i="27" s="1"/>
  <c r="J145" i="27"/>
  <c r="K145" i="27" s="1"/>
  <c r="I146" i="27"/>
  <c r="J146" i="27"/>
  <c r="K146" i="27" s="1"/>
  <c r="M146" i="27"/>
  <c r="I147" i="27"/>
  <c r="M147" i="27" s="1"/>
  <c r="J147" i="27"/>
  <c r="K147" i="27" s="1"/>
  <c r="I148" i="27"/>
  <c r="J148" i="27"/>
  <c r="K148" i="27" s="1"/>
  <c r="M148" i="27"/>
  <c r="I149" i="27"/>
  <c r="M149" i="27" s="1"/>
  <c r="J149" i="27"/>
  <c r="K149" i="27" s="1"/>
  <c r="I150" i="27"/>
  <c r="J150" i="27"/>
  <c r="K150" i="27"/>
  <c r="M150" i="27"/>
  <c r="I151" i="27"/>
  <c r="M151" i="27" s="1"/>
  <c r="J151" i="27"/>
  <c r="K151" i="27" s="1"/>
  <c r="I152" i="27"/>
  <c r="J152" i="27"/>
  <c r="K152" i="27" s="1"/>
  <c r="M152" i="27"/>
  <c r="I153" i="27"/>
  <c r="M153" i="27" s="1"/>
  <c r="J153" i="27"/>
  <c r="K153" i="27" s="1"/>
  <c r="I154" i="27"/>
  <c r="J154" i="27"/>
  <c r="K154" i="27" s="1"/>
  <c r="M154" i="27"/>
  <c r="I155" i="27"/>
  <c r="M155" i="27" s="1"/>
  <c r="J155" i="27"/>
  <c r="K155" i="27" s="1"/>
  <c r="I156" i="27"/>
  <c r="J156" i="27"/>
  <c r="K156" i="27" s="1"/>
  <c r="M156" i="27"/>
  <c r="I157" i="27"/>
  <c r="M157" i="27" s="1"/>
  <c r="J157" i="27"/>
  <c r="K157" i="27" s="1"/>
  <c r="I158" i="27"/>
  <c r="J158" i="27"/>
  <c r="K158" i="27"/>
  <c r="M158" i="27"/>
  <c r="I159" i="27"/>
  <c r="M159" i="27" s="1"/>
  <c r="J159" i="27"/>
  <c r="K159" i="27" s="1"/>
  <c r="I160" i="27"/>
  <c r="J160" i="27"/>
  <c r="K160" i="27" s="1"/>
  <c r="M160" i="27"/>
  <c r="I161" i="27"/>
  <c r="M161" i="27" s="1"/>
  <c r="J161" i="27"/>
  <c r="K161" i="27" s="1"/>
  <c r="I162" i="27"/>
  <c r="J162" i="27"/>
  <c r="K162" i="27" s="1"/>
  <c r="M162" i="27"/>
  <c r="I163" i="27"/>
  <c r="M163" i="27" s="1"/>
  <c r="J163" i="27"/>
  <c r="K163" i="27" s="1"/>
  <c r="I164" i="27"/>
  <c r="J164" i="27"/>
  <c r="K164" i="27" s="1"/>
  <c r="M164" i="27"/>
  <c r="I165" i="27"/>
  <c r="M165" i="27" s="1"/>
  <c r="J165" i="27"/>
  <c r="K165" i="27" s="1"/>
  <c r="I166" i="27"/>
  <c r="J166" i="27"/>
  <c r="K166" i="27" s="1"/>
  <c r="M166" i="27"/>
  <c r="I167" i="27"/>
  <c r="M167" i="27" s="1"/>
  <c r="J167" i="27"/>
  <c r="K167" i="27" s="1"/>
  <c r="I168" i="27"/>
  <c r="J168" i="27"/>
  <c r="K168" i="27" s="1"/>
  <c r="M168" i="27"/>
  <c r="I169" i="27"/>
  <c r="M169" i="27" s="1"/>
  <c r="J169" i="27"/>
  <c r="K169" i="27" s="1"/>
  <c r="I170" i="27"/>
  <c r="J170" i="27"/>
  <c r="K170" i="27" s="1"/>
  <c r="M170" i="27"/>
  <c r="I171" i="27"/>
  <c r="M171" i="27" s="1"/>
  <c r="J171" i="27"/>
  <c r="K171" i="27" s="1"/>
  <c r="I172" i="27"/>
  <c r="J172" i="27"/>
  <c r="K172" i="27" s="1"/>
  <c r="M172" i="27"/>
  <c r="I173" i="27"/>
  <c r="M173" i="27" s="1"/>
  <c r="J173" i="27"/>
  <c r="K173" i="27" s="1"/>
  <c r="I174" i="27"/>
  <c r="J174" i="27"/>
  <c r="K174" i="27" s="1"/>
  <c r="M174" i="27"/>
  <c r="I175" i="27"/>
  <c r="M175" i="27" s="1"/>
  <c r="J175" i="27"/>
  <c r="K175" i="27" s="1"/>
  <c r="I176" i="27"/>
  <c r="J176" i="27"/>
  <c r="K176" i="27" s="1"/>
  <c r="M176" i="27"/>
  <c r="I177" i="27"/>
  <c r="M177" i="27" s="1"/>
  <c r="J177" i="27"/>
  <c r="K177" i="27" s="1"/>
  <c r="I178" i="27"/>
  <c r="J178" i="27"/>
  <c r="K178" i="27"/>
  <c r="M178" i="27"/>
  <c r="I179" i="27"/>
  <c r="M179" i="27" s="1"/>
  <c r="J179" i="27"/>
  <c r="K179" i="27" s="1"/>
  <c r="I180" i="27"/>
  <c r="J180" i="27"/>
  <c r="K180" i="27" s="1"/>
  <c r="M180" i="27"/>
  <c r="I181" i="27"/>
  <c r="M181" i="27" s="1"/>
  <c r="J181" i="27"/>
  <c r="K181" i="27" s="1"/>
  <c r="I182" i="27"/>
  <c r="J182" i="27"/>
  <c r="K182" i="27" s="1"/>
  <c r="M182" i="27"/>
  <c r="I183" i="27"/>
  <c r="M183" i="27" s="1"/>
  <c r="J183" i="27"/>
  <c r="K183" i="27" s="1"/>
  <c r="I184" i="27"/>
  <c r="J184" i="27"/>
  <c r="K184" i="27"/>
  <c r="M184" i="27"/>
  <c r="I185" i="27"/>
  <c r="M185" i="27" s="1"/>
  <c r="J185" i="27"/>
  <c r="K185" i="27" s="1"/>
  <c r="I186" i="27"/>
  <c r="J186" i="27"/>
  <c r="K186" i="27" s="1"/>
  <c r="M186" i="27"/>
  <c r="I187" i="27"/>
  <c r="M187" i="27" s="1"/>
  <c r="J187" i="27"/>
  <c r="K187" i="27" s="1"/>
  <c r="I188" i="27"/>
  <c r="J188" i="27"/>
  <c r="K188" i="27" s="1"/>
  <c r="M188" i="27"/>
  <c r="I189" i="27"/>
  <c r="M189" i="27" s="1"/>
  <c r="J189" i="27"/>
  <c r="K189" i="27" s="1"/>
  <c r="I190" i="27"/>
  <c r="M190" i="27" s="1"/>
  <c r="J190" i="27"/>
  <c r="K190" i="27" s="1"/>
  <c r="I191" i="27"/>
  <c r="M191" i="27" s="1"/>
  <c r="J191" i="27"/>
  <c r="K191" i="27" s="1"/>
  <c r="I192" i="27"/>
  <c r="M192" i="27" s="1"/>
  <c r="J192" i="27"/>
  <c r="K192" i="27" s="1"/>
  <c r="I193" i="27"/>
  <c r="M193" i="27" s="1"/>
  <c r="J193" i="27"/>
  <c r="K193" i="27" s="1"/>
  <c r="I194" i="27"/>
  <c r="J194" i="27"/>
  <c r="K194" i="27" s="1"/>
  <c r="M194" i="27"/>
  <c r="I195" i="27"/>
  <c r="M195" i="27" s="1"/>
  <c r="J195" i="27"/>
  <c r="K195" i="27" s="1"/>
  <c r="I196" i="27"/>
  <c r="J196" i="27"/>
  <c r="K196" i="27" s="1"/>
  <c r="M196" i="27"/>
  <c r="I197" i="27"/>
  <c r="M197" i="27" s="1"/>
  <c r="J197" i="27"/>
  <c r="K197" i="27" s="1"/>
  <c r="I198" i="27"/>
  <c r="M198" i="27" s="1"/>
  <c r="J198" i="27"/>
  <c r="K198" i="27" s="1"/>
  <c r="I199" i="27"/>
  <c r="M199" i="27" s="1"/>
  <c r="J199" i="27"/>
  <c r="K199" i="27" s="1"/>
  <c r="I200" i="27"/>
  <c r="M200" i="27" s="1"/>
  <c r="J200" i="27"/>
  <c r="K200" i="27"/>
  <c r="I201" i="27"/>
  <c r="M201" i="27" s="1"/>
  <c r="J201" i="27"/>
  <c r="K201" i="27" s="1"/>
  <c r="I202" i="27"/>
  <c r="J202" i="27"/>
  <c r="K202" i="27" s="1"/>
  <c r="M202" i="27"/>
  <c r="I203" i="27"/>
  <c r="M203" i="27" s="1"/>
  <c r="J203" i="27"/>
  <c r="K203" i="27" s="1"/>
  <c r="I204" i="27"/>
  <c r="J204" i="27"/>
  <c r="K204" i="27" s="1"/>
  <c r="M204" i="27"/>
  <c r="I205" i="27"/>
  <c r="M205" i="27" s="1"/>
  <c r="J205" i="27"/>
  <c r="K205" i="27" s="1"/>
  <c r="I206" i="27"/>
  <c r="M206" i="27" s="1"/>
  <c r="J206" i="27"/>
  <c r="K206" i="27" s="1"/>
  <c r="I207" i="27"/>
  <c r="M207" i="27" s="1"/>
  <c r="J207" i="27"/>
  <c r="K207" i="27" s="1"/>
  <c r="I208" i="27"/>
  <c r="M208" i="27" s="1"/>
  <c r="J208" i="27"/>
  <c r="K208" i="27" s="1"/>
  <c r="I209" i="27"/>
  <c r="M209" i="27" s="1"/>
  <c r="J209" i="27"/>
  <c r="K209" i="27" s="1"/>
  <c r="I210" i="27"/>
  <c r="J210" i="27"/>
  <c r="K210" i="27" s="1"/>
  <c r="M210" i="27"/>
  <c r="I211" i="27"/>
  <c r="M211" i="27" s="1"/>
  <c r="J211" i="27"/>
  <c r="K211" i="27" s="1"/>
  <c r="I212" i="27"/>
  <c r="J212" i="27"/>
  <c r="K212" i="27" s="1"/>
  <c r="M212" i="27"/>
  <c r="I213" i="27"/>
  <c r="M213" i="27" s="1"/>
  <c r="J213" i="27"/>
  <c r="K213" i="27" s="1"/>
  <c r="I214" i="27"/>
  <c r="M214" i="27" s="1"/>
  <c r="J214" i="27"/>
  <c r="K214" i="27" s="1"/>
  <c r="I215" i="27"/>
  <c r="M215" i="27" s="1"/>
  <c r="J215" i="27"/>
  <c r="K215" i="27" s="1"/>
  <c r="I216" i="27"/>
  <c r="M216" i="27" s="1"/>
  <c r="J216" i="27"/>
  <c r="K216" i="27"/>
  <c r="I217" i="27"/>
  <c r="M217" i="27" s="1"/>
  <c r="J217" i="27"/>
  <c r="K217" i="27" s="1"/>
  <c r="I218" i="27"/>
  <c r="J218" i="27"/>
  <c r="K218" i="27" s="1"/>
  <c r="M218" i="27"/>
  <c r="I219" i="27"/>
  <c r="M219" i="27" s="1"/>
  <c r="J219" i="27"/>
  <c r="K219" i="27" s="1"/>
  <c r="I220" i="27"/>
  <c r="J220" i="27"/>
  <c r="K220" i="27" s="1"/>
  <c r="M220" i="27"/>
  <c r="I221" i="27"/>
  <c r="M221" i="27" s="1"/>
  <c r="J221" i="27"/>
  <c r="K221" i="27" s="1"/>
  <c r="I222" i="27"/>
  <c r="M222" i="27" s="1"/>
  <c r="J222" i="27"/>
  <c r="K222" i="27" s="1"/>
  <c r="I223" i="27"/>
  <c r="M223" i="27" s="1"/>
  <c r="J223" i="27"/>
  <c r="K223" i="27" s="1"/>
  <c r="I224" i="27"/>
  <c r="M224" i="27" s="1"/>
  <c r="J224" i="27"/>
  <c r="K224" i="27" s="1"/>
  <c r="I225" i="27"/>
  <c r="M225" i="27" s="1"/>
  <c r="J225" i="27"/>
  <c r="K225" i="27" s="1"/>
  <c r="I226" i="27"/>
  <c r="J226" i="27"/>
  <c r="K226" i="27" s="1"/>
  <c r="M226" i="27"/>
  <c r="I227" i="27"/>
  <c r="M227" i="27" s="1"/>
  <c r="J227" i="27"/>
  <c r="K227" i="27" s="1"/>
  <c r="I228" i="27"/>
  <c r="J228" i="27"/>
  <c r="K228" i="27" s="1"/>
  <c r="M228" i="27"/>
  <c r="I229" i="27"/>
  <c r="M229" i="27" s="1"/>
  <c r="J229" i="27"/>
  <c r="K229" i="27" s="1"/>
  <c r="I230" i="27"/>
  <c r="M230" i="27" s="1"/>
  <c r="J230" i="27"/>
  <c r="K230" i="27" s="1"/>
  <c r="I231" i="27"/>
  <c r="M231" i="27" s="1"/>
  <c r="J231" i="27"/>
  <c r="K231" i="27" s="1"/>
  <c r="I232" i="27"/>
  <c r="M232" i="27" s="1"/>
  <c r="J232" i="27"/>
  <c r="K232" i="27"/>
  <c r="I233" i="27"/>
  <c r="M233" i="27" s="1"/>
  <c r="J233" i="27"/>
  <c r="K233" i="27" s="1"/>
  <c r="I234" i="27"/>
  <c r="J234" i="27"/>
  <c r="K234" i="27" s="1"/>
  <c r="M234" i="27"/>
  <c r="I235" i="27"/>
  <c r="M235" i="27" s="1"/>
  <c r="J235" i="27"/>
  <c r="K235" i="27" s="1"/>
  <c r="I236" i="27"/>
  <c r="J236" i="27"/>
  <c r="K236" i="27" s="1"/>
  <c r="M236" i="27"/>
  <c r="I237" i="27"/>
  <c r="M237" i="27" s="1"/>
  <c r="J237" i="27"/>
  <c r="K237" i="27" s="1"/>
  <c r="I238" i="27"/>
  <c r="M238" i="27" s="1"/>
  <c r="J238" i="27"/>
  <c r="K238" i="27" s="1"/>
  <c r="I239" i="27"/>
  <c r="M239" i="27" s="1"/>
  <c r="J239" i="27"/>
  <c r="K239" i="27" s="1"/>
  <c r="I240" i="27"/>
  <c r="M240" i="27" s="1"/>
  <c r="J240" i="27"/>
  <c r="K240" i="27" s="1"/>
  <c r="I241" i="27"/>
  <c r="M241" i="27" s="1"/>
  <c r="J241" i="27"/>
  <c r="K241" i="27" s="1"/>
  <c r="I242" i="27"/>
  <c r="J242" i="27"/>
  <c r="K242" i="27" s="1"/>
  <c r="M242" i="27"/>
  <c r="I243" i="27"/>
  <c r="M243" i="27" s="1"/>
  <c r="J243" i="27"/>
  <c r="K243" i="27" s="1"/>
  <c r="I244" i="27"/>
  <c r="J244" i="27"/>
  <c r="K244" i="27" s="1"/>
  <c r="M244" i="27"/>
  <c r="I245" i="27"/>
  <c r="M245" i="27" s="1"/>
  <c r="J245" i="27"/>
  <c r="K245" i="27" s="1"/>
  <c r="I246" i="27"/>
  <c r="M246" i="27" s="1"/>
  <c r="J246" i="27"/>
  <c r="K246" i="27" s="1"/>
  <c r="I247" i="27"/>
  <c r="M247" i="27" s="1"/>
  <c r="J247" i="27"/>
  <c r="K247" i="27" s="1"/>
  <c r="I248" i="27"/>
  <c r="M248" i="27" s="1"/>
  <c r="J248" i="27"/>
  <c r="K248" i="27"/>
  <c r="I249" i="27"/>
  <c r="M249" i="27" s="1"/>
  <c r="J249" i="27"/>
  <c r="K249" i="27" s="1"/>
  <c r="I250" i="27"/>
  <c r="J250" i="27"/>
  <c r="K250" i="27" s="1"/>
  <c r="M250" i="27"/>
  <c r="I251" i="27"/>
  <c r="M251" i="27" s="1"/>
  <c r="J251" i="27"/>
  <c r="K251" i="27" s="1"/>
  <c r="I252" i="27"/>
  <c r="J252" i="27"/>
  <c r="K252" i="27" s="1"/>
  <c r="M252" i="27"/>
  <c r="I253" i="27"/>
  <c r="M253" i="27" s="1"/>
  <c r="J253" i="27"/>
  <c r="K253" i="27" s="1"/>
  <c r="I254" i="27"/>
  <c r="M254" i="27" s="1"/>
  <c r="J254" i="27"/>
  <c r="K254" i="27" s="1"/>
  <c r="I255" i="27"/>
  <c r="M255" i="27" s="1"/>
  <c r="J255" i="27"/>
  <c r="K255" i="27" s="1"/>
  <c r="I256" i="27"/>
  <c r="M256" i="27" s="1"/>
  <c r="J256" i="27"/>
  <c r="K256" i="27" s="1"/>
  <c r="I257" i="27"/>
  <c r="M257" i="27" s="1"/>
  <c r="J257" i="27"/>
  <c r="K257" i="27" s="1"/>
  <c r="I258" i="27"/>
  <c r="J258" i="27"/>
  <c r="K258" i="27" s="1"/>
  <c r="M258" i="27"/>
  <c r="I259" i="27"/>
  <c r="M259" i="27" s="1"/>
  <c r="J259" i="27"/>
  <c r="K259" i="27" s="1"/>
  <c r="I260" i="27"/>
  <c r="J260" i="27"/>
  <c r="K260" i="27" s="1"/>
  <c r="M260" i="27"/>
  <c r="I261" i="27"/>
  <c r="M261" i="27" s="1"/>
  <c r="J261" i="27"/>
  <c r="K261" i="27" s="1"/>
  <c r="I262" i="27"/>
  <c r="M262" i="27" s="1"/>
  <c r="J262" i="27"/>
  <c r="K262" i="27" s="1"/>
  <c r="I263" i="27"/>
  <c r="M263" i="27" s="1"/>
  <c r="J263" i="27"/>
  <c r="K263" i="27" s="1"/>
  <c r="I264" i="27"/>
  <c r="M264" i="27" s="1"/>
  <c r="J264" i="27"/>
  <c r="K264" i="27"/>
  <c r="I265" i="27"/>
  <c r="M265" i="27" s="1"/>
  <c r="J265" i="27"/>
  <c r="K265" i="27" s="1"/>
  <c r="I266" i="27"/>
  <c r="J266" i="27"/>
  <c r="K266" i="27" s="1"/>
  <c r="M266" i="27"/>
  <c r="I267" i="27"/>
  <c r="M267" i="27" s="1"/>
  <c r="J267" i="27"/>
  <c r="K267" i="27" s="1"/>
  <c r="I268" i="27"/>
  <c r="J268" i="27"/>
  <c r="K268" i="27" s="1"/>
  <c r="M268" i="27"/>
  <c r="I269" i="27"/>
  <c r="M269" i="27" s="1"/>
  <c r="J269" i="27"/>
  <c r="K269" i="27" s="1"/>
  <c r="I270" i="27"/>
  <c r="M270" i="27" s="1"/>
  <c r="J270" i="27"/>
  <c r="K270" i="27" s="1"/>
  <c r="I271" i="27"/>
  <c r="M271" i="27" s="1"/>
  <c r="J271" i="27"/>
  <c r="K271" i="27" s="1"/>
  <c r="I272" i="27"/>
  <c r="M272" i="27" s="1"/>
  <c r="J272" i="27"/>
  <c r="K272" i="27" s="1"/>
  <c r="I273" i="27"/>
  <c r="M273" i="27" s="1"/>
  <c r="J273" i="27"/>
  <c r="K273" i="27" s="1"/>
  <c r="I274" i="27"/>
  <c r="J274" i="27"/>
  <c r="K274" i="27" s="1"/>
  <c r="M274" i="27"/>
  <c r="I275" i="27"/>
  <c r="M275" i="27" s="1"/>
  <c r="J275" i="27"/>
  <c r="K275" i="27" s="1"/>
  <c r="I276" i="27"/>
  <c r="J276" i="27"/>
  <c r="K276" i="27" s="1"/>
  <c r="M276" i="27"/>
  <c r="I277" i="27"/>
  <c r="M277" i="27" s="1"/>
  <c r="J277" i="27"/>
  <c r="K277" i="27" s="1"/>
  <c r="I278" i="27"/>
  <c r="M278" i="27" s="1"/>
  <c r="J278" i="27"/>
  <c r="K278" i="27" s="1"/>
  <c r="I279" i="27"/>
  <c r="M279" i="27" s="1"/>
  <c r="J279" i="27"/>
  <c r="K279" i="27" s="1"/>
  <c r="I280" i="27"/>
  <c r="M280" i="27" s="1"/>
  <c r="J280" i="27"/>
  <c r="K280" i="27"/>
  <c r="I281" i="27"/>
  <c r="M281" i="27" s="1"/>
  <c r="J281" i="27"/>
  <c r="K281" i="27" s="1"/>
  <c r="I282" i="27"/>
  <c r="J282" i="27"/>
  <c r="K282" i="27" s="1"/>
  <c r="M282" i="27"/>
  <c r="I283" i="27"/>
  <c r="M283" i="27" s="1"/>
  <c r="J283" i="27"/>
  <c r="K283" i="27" s="1"/>
  <c r="I284" i="27"/>
  <c r="J284" i="27"/>
  <c r="K284" i="27" s="1"/>
  <c r="M284" i="27"/>
  <c r="I285" i="27"/>
  <c r="M285" i="27" s="1"/>
  <c r="J285" i="27"/>
  <c r="K285" i="27" s="1"/>
  <c r="I286" i="27"/>
  <c r="M286" i="27" s="1"/>
  <c r="J286" i="27"/>
  <c r="K286" i="27" s="1"/>
  <c r="I287" i="27"/>
  <c r="M287" i="27" s="1"/>
  <c r="J287" i="27"/>
  <c r="K287" i="27" s="1"/>
  <c r="I288" i="27"/>
  <c r="M288" i="27" s="1"/>
  <c r="J288" i="27"/>
  <c r="K288" i="27" s="1"/>
  <c r="I289" i="27"/>
  <c r="M289" i="27" s="1"/>
  <c r="J289" i="27"/>
  <c r="K289" i="27" s="1"/>
  <c r="I290" i="27"/>
  <c r="J290" i="27"/>
  <c r="K290" i="27" s="1"/>
  <c r="M290" i="27"/>
  <c r="I291" i="27"/>
  <c r="M291" i="27" s="1"/>
  <c r="J291" i="27"/>
  <c r="K291" i="27" s="1"/>
  <c r="I292" i="27"/>
  <c r="J292" i="27"/>
  <c r="K292" i="27"/>
  <c r="M292" i="27"/>
  <c r="I293" i="27"/>
  <c r="M293" i="27" s="1"/>
  <c r="J293" i="27"/>
  <c r="K293" i="27" s="1"/>
  <c r="I294" i="27"/>
  <c r="J294" i="27"/>
  <c r="K294" i="27" s="1"/>
  <c r="M294" i="27"/>
  <c r="I295" i="27"/>
  <c r="M295" i="27" s="1"/>
  <c r="J295" i="27"/>
  <c r="K295" i="27"/>
  <c r="I296" i="27"/>
  <c r="M296" i="27" s="1"/>
  <c r="J296" i="27"/>
  <c r="K296" i="27"/>
  <c r="I297" i="27"/>
  <c r="M297" i="27" s="1"/>
  <c r="J297" i="27"/>
  <c r="K297" i="27" s="1"/>
  <c r="I298" i="27"/>
  <c r="M298" i="27" s="1"/>
  <c r="J298" i="27"/>
  <c r="K298" i="27"/>
  <c r="I299" i="27"/>
  <c r="M299" i="27" s="1"/>
  <c r="J299" i="27"/>
  <c r="K299" i="27" s="1"/>
  <c r="I300" i="27"/>
  <c r="M300" i="27" s="1"/>
  <c r="J300" i="27"/>
  <c r="K300" i="27"/>
  <c r="I301" i="27"/>
  <c r="M301" i="27" s="1"/>
  <c r="J301" i="27"/>
  <c r="K301" i="27" s="1"/>
  <c r="I302" i="27"/>
  <c r="M302" i="27" s="1"/>
  <c r="J302" i="27"/>
  <c r="K302" i="27"/>
  <c r="I303" i="27"/>
  <c r="M303" i="27" s="1"/>
  <c r="J303" i="27"/>
  <c r="K303" i="27" s="1"/>
  <c r="I304" i="27"/>
  <c r="M304" i="27" s="1"/>
  <c r="J304" i="27"/>
  <c r="K304" i="27"/>
  <c r="I305" i="27"/>
  <c r="J305" i="27"/>
  <c r="K305" i="27"/>
  <c r="M305" i="27"/>
  <c r="K2" i="26"/>
  <c r="L9" i="26" s="1"/>
  <c r="B6" i="26"/>
  <c r="I6" i="26"/>
  <c r="M6" i="26" s="1"/>
  <c r="A6" i="26" s="1"/>
  <c r="J6" i="26"/>
  <c r="K6" i="26"/>
  <c r="L6" i="26"/>
  <c r="B7" i="26"/>
  <c r="I7" i="26"/>
  <c r="J7" i="26"/>
  <c r="K7" i="26"/>
  <c r="L7" i="26"/>
  <c r="M7" i="26" s="1"/>
  <c r="A7" i="26" s="1"/>
  <c r="B8" i="26"/>
  <c r="I8" i="26"/>
  <c r="J8" i="26"/>
  <c r="K8" i="26" s="1"/>
  <c r="B9" i="26"/>
  <c r="I9" i="26"/>
  <c r="M9" i="26" s="1"/>
  <c r="A9" i="26" s="1"/>
  <c r="J9" i="26"/>
  <c r="K9" i="26"/>
  <c r="B10" i="26"/>
  <c r="I10" i="26"/>
  <c r="J10" i="26"/>
  <c r="K10" i="26" s="1"/>
  <c r="B11" i="26"/>
  <c r="I11" i="26"/>
  <c r="J11" i="26"/>
  <c r="K11" i="26" s="1"/>
  <c r="B12" i="26"/>
  <c r="I12" i="26"/>
  <c r="J12" i="26"/>
  <c r="K12" i="26" s="1"/>
  <c r="M12" i="26" s="1"/>
  <c r="A12" i="26" s="1"/>
  <c r="AI12" i="26"/>
  <c r="B13" i="26"/>
  <c r="I13" i="26"/>
  <c r="J13" i="26"/>
  <c r="K13" i="26"/>
  <c r="M13" i="26" s="1"/>
  <c r="A13" i="26" s="1"/>
  <c r="AI13" i="26"/>
  <c r="B14" i="26"/>
  <c r="I14" i="26"/>
  <c r="M14" i="26" s="1"/>
  <c r="A14" i="26" s="1"/>
  <c r="J14" i="26"/>
  <c r="K14" i="26" s="1"/>
  <c r="AI14" i="26"/>
  <c r="B15" i="26"/>
  <c r="I15" i="26"/>
  <c r="M15" i="26" s="1"/>
  <c r="A15" i="26" s="1"/>
  <c r="J15" i="26"/>
  <c r="K15" i="26" s="1"/>
  <c r="B16" i="26"/>
  <c r="I16" i="26"/>
  <c r="M16" i="26" s="1"/>
  <c r="A16" i="26" s="1"/>
  <c r="J16" i="26"/>
  <c r="K16" i="26" s="1"/>
  <c r="B17" i="26"/>
  <c r="I17" i="26"/>
  <c r="M17" i="26" s="1"/>
  <c r="A17" i="26" s="1"/>
  <c r="J17" i="26"/>
  <c r="K17" i="26"/>
  <c r="B18" i="26"/>
  <c r="I18" i="26"/>
  <c r="J18" i="26"/>
  <c r="K18" i="26" s="1"/>
  <c r="M18" i="26" s="1"/>
  <c r="A18" i="26" s="1"/>
  <c r="B19" i="26"/>
  <c r="I19" i="26"/>
  <c r="J19" i="26"/>
  <c r="K19" i="26" s="1"/>
  <c r="A20" i="26"/>
  <c r="B20" i="26"/>
  <c r="I20" i="26"/>
  <c r="M20" i="26" s="1"/>
  <c r="J20" i="26"/>
  <c r="K20" i="26" s="1"/>
  <c r="B21" i="26"/>
  <c r="I21" i="26"/>
  <c r="J21" i="26"/>
  <c r="K21" i="26" s="1"/>
  <c r="M21" i="26" s="1"/>
  <c r="A21" i="26" s="1"/>
  <c r="B22" i="26"/>
  <c r="I22" i="26"/>
  <c r="M22" i="26" s="1"/>
  <c r="A22" i="26" s="1"/>
  <c r="J22" i="26"/>
  <c r="K22" i="26" s="1"/>
  <c r="B23" i="26"/>
  <c r="I23" i="26"/>
  <c r="J23" i="26"/>
  <c r="K23" i="26" s="1"/>
  <c r="M23" i="26" s="1"/>
  <c r="A23" i="26" s="1"/>
  <c r="B24" i="26"/>
  <c r="I24" i="26"/>
  <c r="J24" i="26"/>
  <c r="K24" i="26" s="1"/>
  <c r="B25" i="26"/>
  <c r="I25" i="26"/>
  <c r="J25" i="26"/>
  <c r="K25" i="26" s="1"/>
  <c r="B26" i="26"/>
  <c r="I26" i="26"/>
  <c r="J26" i="26"/>
  <c r="K26" i="26" s="1"/>
  <c r="M26" i="26"/>
  <c r="A26" i="26" s="1"/>
  <c r="B27" i="26"/>
  <c r="I27" i="26"/>
  <c r="M27" i="26" s="1"/>
  <c r="A27" i="26" s="1"/>
  <c r="J27" i="26"/>
  <c r="K27" i="26" s="1"/>
  <c r="B28" i="26"/>
  <c r="I28" i="26"/>
  <c r="M28" i="26" s="1"/>
  <c r="A28" i="26" s="1"/>
  <c r="J28" i="26"/>
  <c r="K28" i="26" s="1"/>
  <c r="B29" i="26"/>
  <c r="I29" i="26"/>
  <c r="M29" i="26" s="1"/>
  <c r="A29" i="26" s="1"/>
  <c r="J29" i="26"/>
  <c r="K29" i="26" s="1"/>
  <c r="B30" i="26"/>
  <c r="I30" i="26"/>
  <c r="J30" i="26"/>
  <c r="K30" i="26" s="1"/>
  <c r="M30" i="26" s="1"/>
  <c r="A30" i="26" s="1"/>
  <c r="B31" i="26"/>
  <c r="AJ8" i="20" s="1"/>
  <c r="AK8" i="20" s="1"/>
  <c r="BF8" i="20" s="1"/>
  <c r="I31" i="26"/>
  <c r="M31" i="26" s="1"/>
  <c r="A31" i="26" s="1"/>
  <c r="J31" i="26"/>
  <c r="K31" i="26" s="1"/>
  <c r="B32" i="26"/>
  <c r="I32" i="26"/>
  <c r="M32" i="26" s="1"/>
  <c r="A32" i="26" s="1"/>
  <c r="J32" i="26"/>
  <c r="K32" i="26" s="1"/>
  <c r="B33" i="26"/>
  <c r="I33" i="26"/>
  <c r="M33" i="26" s="1"/>
  <c r="A33" i="26" s="1"/>
  <c r="J33" i="26"/>
  <c r="K33" i="26" s="1"/>
  <c r="B34" i="26"/>
  <c r="I34" i="26"/>
  <c r="J34" i="26"/>
  <c r="K34" i="26"/>
  <c r="M34" i="26"/>
  <c r="A34" i="26" s="1"/>
  <c r="B35" i="26"/>
  <c r="I35" i="26"/>
  <c r="M35" i="26" s="1"/>
  <c r="A35" i="26" s="1"/>
  <c r="J35" i="26"/>
  <c r="K35" i="26" s="1"/>
  <c r="B36" i="26"/>
  <c r="I36" i="26"/>
  <c r="M36" i="26" s="1"/>
  <c r="A36" i="26" s="1"/>
  <c r="J36" i="26"/>
  <c r="K36" i="26" s="1"/>
  <c r="B37" i="26"/>
  <c r="I37" i="26"/>
  <c r="M37" i="26" s="1"/>
  <c r="A37" i="26" s="1"/>
  <c r="J37" i="26"/>
  <c r="K37" i="26" s="1"/>
  <c r="B38" i="26"/>
  <c r="I38" i="26"/>
  <c r="J38" i="26"/>
  <c r="K38" i="26"/>
  <c r="M38" i="26"/>
  <c r="B39" i="26"/>
  <c r="I39" i="26"/>
  <c r="M39" i="26" s="1"/>
  <c r="J39" i="26"/>
  <c r="K39" i="26" s="1"/>
  <c r="B40" i="26"/>
  <c r="I40" i="26"/>
  <c r="M40" i="26" s="1"/>
  <c r="J40" i="26"/>
  <c r="K40" i="26"/>
  <c r="B41" i="26"/>
  <c r="I41" i="26"/>
  <c r="J41" i="26"/>
  <c r="K41" i="26" s="1"/>
  <c r="M41" i="26"/>
  <c r="B42" i="26"/>
  <c r="I42" i="26"/>
  <c r="M42" i="26" s="1"/>
  <c r="J42" i="26"/>
  <c r="K42" i="26" s="1"/>
  <c r="B43" i="26"/>
  <c r="I43" i="26"/>
  <c r="J43" i="26"/>
  <c r="K43" i="26" s="1"/>
  <c r="M43" i="26"/>
  <c r="B44" i="26"/>
  <c r="I44" i="26"/>
  <c r="M44" i="26" s="1"/>
  <c r="J44" i="26"/>
  <c r="K44" i="26"/>
  <c r="B45" i="26"/>
  <c r="I45" i="26"/>
  <c r="J45" i="26"/>
  <c r="K45" i="26" s="1"/>
  <c r="M45" i="26"/>
  <c r="B46" i="26"/>
  <c r="I46" i="26"/>
  <c r="J46" i="26"/>
  <c r="K46" i="26"/>
  <c r="M46" i="26"/>
  <c r="R46" i="26"/>
  <c r="U46" i="26" s="1"/>
  <c r="T46" i="26"/>
  <c r="B47" i="26"/>
  <c r="I47" i="26"/>
  <c r="J47" i="26"/>
  <c r="K47" i="26"/>
  <c r="M47" i="26"/>
  <c r="B48" i="26"/>
  <c r="I48" i="26"/>
  <c r="M48" i="26" s="1"/>
  <c r="J48" i="26"/>
  <c r="K48" i="26" s="1"/>
  <c r="B49" i="26"/>
  <c r="I49" i="26"/>
  <c r="M49" i="26" s="1"/>
  <c r="J49" i="26"/>
  <c r="K49" i="26" s="1"/>
  <c r="B50" i="26"/>
  <c r="I50" i="26"/>
  <c r="M50" i="26" s="1"/>
  <c r="J50" i="26"/>
  <c r="K50" i="26" s="1"/>
  <c r="B51" i="26"/>
  <c r="I51" i="26"/>
  <c r="M51" i="26" s="1"/>
  <c r="J51" i="26"/>
  <c r="K51" i="26" s="1"/>
  <c r="B52" i="26"/>
  <c r="I52" i="26"/>
  <c r="J52" i="26"/>
  <c r="K52" i="26" s="1"/>
  <c r="M52" i="26"/>
  <c r="B53" i="26"/>
  <c r="I53" i="26"/>
  <c r="M53" i="26" s="1"/>
  <c r="J53" i="26"/>
  <c r="K53" i="26" s="1"/>
  <c r="B54" i="26"/>
  <c r="I54" i="26"/>
  <c r="M54" i="26" s="1"/>
  <c r="J54" i="26"/>
  <c r="K54" i="26" s="1"/>
  <c r="B55" i="26"/>
  <c r="I55" i="26"/>
  <c r="M55" i="26" s="1"/>
  <c r="J55" i="26"/>
  <c r="K55" i="26" s="1"/>
  <c r="B56" i="26"/>
  <c r="I56" i="26"/>
  <c r="M56" i="26" s="1"/>
  <c r="J56" i="26"/>
  <c r="K56" i="26" s="1"/>
  <c r="B57" i="26"/>
  <c r="I57" i="26"/>
  <c r="M57" i="26" s="1"/>
  <c r="J57" i="26"/>
  <c r="K57" i="26" s="1"/>
  <c r="B58" i="26"/>
  <c r="I58" i="26"/>
  <c r="J58" i="26"/>
  <c r="K58" i="26" s="1"/>
  <c r="M58" i="26"/>
  <c r="B59" i="26"/>
  <c r="I59" i="26"/>
  <c r="M59" i="26" s="1"/>
  <c r="J59" i="26"/>
  <c r="K59" i="26" s="1"/>
  <c r="B60" i="26"/>
  <c r="I60" i="26"/>
  <c r="J60" i="26"/>
  <c r="K60" i="26" s="1"/>
  <c r="M60" i="26"/>
  <c r="B61" i="26"/>
  <c r="I61" i="26"/>
  <c r="M61" i="26" s="1"/>
  <c r="J61" i="26"/>
  <c r="K61" i="26" s="1"/>
  <c r="B62" i="26"/>
  <c r="I62" i="26"/>
  <c r="J62" i="26"/>
  <c r="K62" i="26" s="1"/>
  <c r="M62" i="26"/>
  <c r="B63" i="26"/>
  <c r="I63" i="26"/>
  <c r="M63" i="26" s="1"/>
  <c r="J63" i="26"/>
  <c r="K63" i="26" s="1"/>
  <c r="B64" i="26"/>
  <c r="I64" i="26"/>
  <c r="M64" i="26" s="1"/>
  <c r="J64" i="26"/>
  <c r="K64" i="26" s="1"/>
  <c r="B65" i="26"/>
  <c r="I65" i="26"/>
  <c r="M65" i="26" s="1"/>
  <c r="J65" i="26"/>
  <c r="K65" i="26" s="1"/>
  <c r="I66" i="26"/>
  <c r="M66" i="26" s="1"/>
  <c r="J66" i="26"/>
  <c r="K66" i="26" s="1"/>
  <c r="I67" i="26"/>
  <c r="M67" i="26" s="1"/>
  <c r="J67" i="26"/>
  <c r="K67" i="26" s="1"/>
  <c r="I68" i="26"/>
  <c r="M68" i="26" s="1"/>
  <c r="J68" i="26"/>
  <c r="K68" i="26" s="1"/>
  <c r="I69" i="26"/>
  <c r="M69" i="26" s="1"/>
  <c r="J69" i="26"/>
  <c r="K69" i="26"/>
  <c r="I70" i="26"/>
  <c r="M70" i="26" s="1"/>
  <c r="J70" i="26"/>
  <c r="K70" i="26" s="1"/>
  <c r="I71" i="26"/>
  <c r="M71" i="26" s="1"/>
  <c r="J71" i="26"/>
  <c r="K71" i="26" s="1"/>
  <c r="I72" i="26"/>
  <c r="M72" i="26" s="1"/>
  <c r="J72" i="26"/>
  <c r="K72" i="26"/>
  <c r="I73" i="26"/>
  <c r="M73" i="26" s="1"/>
  <c r="J73" i="26"/>
  <c r="K73" i="26" s="1"/>
  <c r="I74" i="26"/>
  <c r="M74" i="26" s="1"/>
  <c r="J74" i="26"/>
  <c r="K74" i="26"/>
  <c r="I75" i="26"/>
  <c r="J75" i="26"/>
  <c r="K75" i="26" s="1"/>
  <c r="M75" i="26"/>
  <c r="I76" i="26"/>
  <c r="M76" i="26" s="1"/>
  <c r="J76" i="26"/>
  <c r="K76" i="26" s="1"/>
  <c r="I77" i="26"/>
  <c r="M77" i="26" s="1"/>
  <c r="J77" i="26"/>
  <c r="K77" i="26" s="1"/>
  <c r="I78" i="26"/>
  <c r="M78" i="26" s="1"/>
  <c r="J78" i="26"/>
  <c r="K78" i="26"/>
  <c r="I79" i="26"/>
  <c r="M79" i="26" s="1"/>
  <c r="J79" i="26"/>
  <c r="K79" i="26" s="1"/>
  <c r="I80" i="26"/>
  <c r="M80" i="26" s="1"/>
  <c r="J80" i="26"/>
  <c r="K80" i="26"/>
  <c r="I81" i="26"/>
  <c r="M81" i="26" s="1"/>
  <c r="J81" i="26"/>
  <c r="K81" i="26" s="1"/>
  <c r="I82" i="26"/>
  <c r="M82" i="26" s="1"/>
  <c r="J82" i="26"/>
  <c r="K82" i="26" s="1"/>
  <c r="I83" i="26"/>
  <c r="M83" i="26" s="1"/>
  <c r="J83" i="26"/>
  <c r="K83" i="26"/>
  <c r="I84" i="26"/>
  <c r="M84" i="26" s="1"/>
  <c r="J84" i="26"/>
  <c r="K84" i="26" s="1"/>
  <c r="I85" i="26"/>
  <c r="M85" i="26" s="1"/>
  <c r="J85" i="26"/>
  <c r="K85" i="26" s="1"/>
  <c r="I86" i="26"/>
  <c r="M86" i="26" s="1"/>
  <c r="J86" i="26"/>
  <c r="K86" i="26" s="1"/>
  <c r="I87" i="26"/>
  <c r="J87" i="26"/>
  <c r="K87" i="26" s="1"/>
  <c r="M87" i="26"/>
  <c r="I88" i="26"/>
  <c r="M88" i="26" s="1"/>
  <c r="J88" i="26"/>
  <c r="K88" i="26" s="1"/>
  <c r="I89" i="26"/>
  <c r="J89" i="26"/>
  <c r="K89" i="26" s="1"/>
  <c r="M89" i="26"/>
  <c r="I90" i="26"/>
  <c r="M90" i="26" s="1"/>
  <c r="J90" i="26"/>
  <c r="K90" i="26" s="1"/>
  <c r="I91" i="26"/>
  <c r="M91" i="26" s="1"/>
  <c r="J91" i="26"/>
  <c r="K91" i="26" s="1"/>
  <c r="I92" i="26"/>
  <c r="M92" i="26" s="1"/>
  <c r="J92" i="26"/>
  <c r="K92" i="26"/>
  <c r="I93" i="26"/>
  <c r="M93" i="26" s="1"/>
  <c r="J93" i="26"/>
  <c r="K93" i="26" s="1"/>
  <c r="I94" i="26"/>
  <c r="M94" i="26" s="1"/>
  <c r="J94" i="26"/>
  <c r="K94" i="26" s="1"/>
  <c r="I95" i="26"/>
  <c r="M95" i="26" s="1"/>
  <c r="J95" i="26"/>
  <c r="K95" i="26" s="1"/>
  <c r="I96" i="26"/>
  <c r="M96" i="26" s="1"/>
  <c r="J96" i="26"/>
  <c r="K96" i="26" s="1"/>
  <c r="I97" i="26"/>
  <c r="M97" i="26" s="1"/>
  <c r="J97" i="26"/>
  <c r="K97" i="26" s="1"/>
  <c r="I98" i="26"/>
  <c r="M98" i="26" s="1"/>
  <c r="J98" i="26"/>
  <c r="K98" i="26" s="1"/>
  <c r="I99" i="26"/>
  <c r="M99" i="26" s="1"/>
  <c r="J99" i="26"/>
  <c r="K99" i="26" s="1"/>
  <c r="I100" i="26"/>
  <c r="M100" i="26" s="1"/>
  <c r="J100" i="26"/>
  <c r="K100" i="26" s="1"/>
  <c r="I101" i="26"/>
  <c r="M101" i="26" s="1"/>
  <c r="J101" i="26"/>
  <c r="K101" i="26" s="1"/>
  <c r="I102" i="26"/>
  <c r="J102" i="26"/>
  <c r="K102" i="26"/>
  <c r="M102" i="26"/>
  <c r="I103" i="26"/>
  <c r="M103" i="26" s="1"/>
  <c r="J103" i="26"/>
  <c r="K103" i="26" s="1"/>
  <c r="I104" i="26"/>
  <c r="J104" i="26"/>
  <c r="K104" i="26" s="1"/>
  <c r="M104" i="26"/>
  <c r="I105" i="26"/>
  <c r="M105" i="26" s="1"/>
  <c r="J105" i="26"/>
  <c r="K105" i="26"/>
  <c r="I106" i="26"/>
  <c r="M106" i="26" s="1"/>
  <c r="J106" i="26"/>
  <c r="K106" i="26" s="1"/>
  <c r="I107" i="26"/>
  <c r="M107" i="26" s="1"/>
  <c r="J107" i="26"/>
  <c r="K107" i="26" s="1"/>
  <c r="I108" i="26"/>
  <c r="J108" i="26"/>
  <c r="K108" i="26" s="1"/>
  <c r="M108" i="26"/>
  <c r="I109" i="26"/>
  <c r="M109" i="26" s="1"/>
  <c r="J109" i="26"/>
  <c r="K109" i="26" s="1"/>
  <c r="I110" i="26"/>
  <c r="J110" i="26"/>
  <c r="K110" i="26" s="1"/>
  <c r="M110" i="26"/>
  <c r="I111" i="26"/>
  <c r="M111" i="26" s="1"/>
  <c r="J111" i="26"/>
  <c r="K111" i="26"/>
  <c r="I112" i="26"/>
  <c r="M112" i="26" s="1"/>
  <c r="J112" i="26"/>
  <c r="K112" i="26" s="1"/>
  <c r="I113" i="26"/>
  <c r="M113" i="26" s="1"/>
  <c r="J113" i="26"/>
  <c r="K113" i="26" s="1"/>
  <c r="I114" i="26"/>
  <c r="M114" i="26" s="1"/>
  <c r="J114" i="26"/>
  <c r="K114" i="26" s="1"/>
  <c r="I115" i="26"/>
  <c r="M115" i="26" s="1"/>
  <c r="J115" i="26"/>
  <c r="K115" i="26" s="1"/>
  <c r="I116" i="26"/>
  <c r="M116" i="26" s="1"/>
  <c r="J116" i="26"/>
  <c r="K116" i="26" s="1"/>
  <c r="I117" i="26"/>
  <c r="M117" i="26" s="1"/>
  <c r="J117" i="26"/>
  <c r="K117" i="26" s="1"/>
  <c r="I118" i="26"/>
  <c r="M118" i="26" s="1"/>
  <c r="J118" i="26"/>
  <c r="K118" i="26" s="1"/>
  <c r="I119" i="26"/>
  <c r="M119" i="26" s="1"/>
  <c r="J119" i="26"/>
  <c r="K119" i="26" s="1"/>
  <c r="I120" i="26"/>
  <c r="M120" i="26" s="1"/>
  <c r="J120" i="26"/>
  <c r="K120" i="26" s="1"/>
  <c r="I121" i="26"/>
  <c r="M121" i="26" s="1"/>
  <c r="J121" i="26"/>
  <c r="K121" i="26"/>
  <c r="I122" i="26"/>
  <c r="M122" i="26" s="1"/>
  <c r="J122" i="26"/>
  <c r="K122" i="26" s="1"/>
  <c r="I123" i="26"/>
  <c r="M123" i="26" s="1"/>
  <c r="J123" i="26"/>
  <c r="K123" i="26" s="1"/>
  <c r="I124" i="26"/>
  <c r="J124" i="26"/>
  <c r="K124" i="26" s="1"/>
  <c r="M124" i="26"/>
  <c r="I125" i="26"/>
  <c r="M125" i="26" s="1"/>
  <c r="J125" i="26"/>
  <c r="K125" i="26" s="1"/>
  <c r="I126" i="26"/>
  <c r="M126" i="26" s="1"/>
  <c r="J126" i="26"/>
  <c r="K126" i="26" s="1"/>
  <c r="I127" i="26"/>
  <c r="M127" i="26" s="1"/>
  <c r="J127" i="26"/>
  <c r="K127" i="26"/>
  <c r="I128" i="26"/>
  <c r="J128" i="26"/>
  <c r="K128" i="26" s="1"/>
  <c r="M128" i="26"/>
  <c r="I129" i="26"/>
  <c r="M129" i="26" s="1"/>
  <c r="J129" i="26"/>
  <c r="K129" i="26" s="1"/>
  <c r="I130" i="26"/>
  <c r="J130" i="26"/>
  <c r="K130" i="26" s="1"/>
  <c r="M130" i="26"/>
  <c r="I131" i="26"/>
  <c r="M131" i="26" s="1"/>
  <c r="J131" i="26"/>
  <c r="K131" i="26" s="1"/>
  <c r="I132" i="26"/>
  <c r="M132" i="26" s="1"/>
  <c r="J132" i="26"/>
  <c r="K132" i="26" s="1"/>
  <c r="I133" i="26"/>
  <c r="M133" i="26" s="1"/>
  <c r="J133" i="26"/>
  <c r="K133" i="26" s="1"/>
  <c r="I134" i="26"/>
  <c r="J134" i="26"/>
  <c r="K134" i="26" s="1"/>
  <c r="M134" i="26"/>
  <c r="I135" i="26"/>
  <c r="M135" i="26" s="1"/>
  <c r="J135" i="26"/>
  <c r="K135" i="26" s="1"/>
  <c r="I136" i="26"/>
  <c r="J136" i="26"/>
  <c r="K136" i="26" s="1"/>
  <c r="M136" i="26"/>
  <c r="I137" i="26"/>
  <c r="M137" i="26" s="1"/>
  <c r="J137" i="26"/>
  <c r="K137" i="26"/>
  <c r="I138" i="26"/>
  <c r="M138" i="26" s="1"/>
  <c r="J138" i="26"/>
  <c r="K138" i="26" s="1"/>
  <c r="I139" i="26"/>
  <c r="M139" i="26" s="1"/>
  <c r="J139" i="26"/>
  <c r="K139" i="26" s="1"/>
  <c r="I140" i="26"/>
  <c r="J140" i="26"/>
  <c r="K140" i="26" s="1"/>
  <c r="M140" i="26"/>
  <c r="I141" i="26"/>
  <c r="M141" i="26" s="1"/>
  <c r="J141" i="26"/>
  <c r="K141" i="26" s="1"/>
  <c r="I142" i="26"/>
  <c r="J142" i="26"/>
  <c r="K142" i="26" s="1"/>
  <c r="M142" i="26"/>
  <c r="I143" i="26"/>
  <c r="M143" i="26" s="1"/>
  <c r="J143" i="26"/>
  <c r="K143" i="26"/>
  <c r="I144" i="26"/>
  <c r="M144" i="26" s="1"/>
  <c r="J144" i="26"/>
  <c r="K144" i="26" s="1"/>
  <c r="I145" i="26"/>
  <c r="M145" i="26" s="1"/>
  <c r="J145" i="26"/>
  <c r="K145" i="26"/>
  <c r="I146" i="26"/>
  <c r="M146" i="26" s="1"/>
  <c r="J146" i="26"/>
  <c r="K146" i="26" s="1"/>
  <c r="I147" i="26"/>
  <c r="M147" i="26" s="1"/>
  <c r="J147" i="26"/>
  <c r="K147" i="26" s="1"/>
  <c r="I148" i="26"/>
  <c r="M148" i="26" s="1"/>
  <c r="J148" i="26"/>
  <c r="K148" i="26" s="1"/>
  <c r="I149" i="26"/>
  <c r="M149" i="26" s="1"/>
  <c r="J149" i="26"/>
  <c r="K149" i="26" s="1"/>
  <c r="I150" i="26"/>
  <c r="M150" i="26" s="1"/>
  <c r="J150" i="26"/>
  <c r="K150" i="26" s="1"/>
  <c r="I151" i="26"/>
  <c r="M151" i="26" s="1"/>
  <c r="J151" i="26"/>
  <c r="K151" i="26"/>
  <c r="I152" i="26"/>
  <c r="M152" i="26" s="1"/>
  <c r="J152" i="26"/>
  <c r="K152" i="26" s="1"/>
  <c r="I153" i="26"/>
  <c r="M153" i="26" s="1"/>
  <c r="J153" i="26"/>
  <c r="K153" i="26"/>
  <c r="I154" i="26"/>
  <c r="J154" i="26"/>
  <c r="K154" i="26" s="1"/>
  <c r="M154" i="26"/>
  <c r="I155" i="26"/>
  <c r="M155" i="26" s="1"/>
  <c r="J155" i="26"/>
  <c r="K155" i="26" s="1"/>
  <c r="I156" i="26"/>
  <c r="J156" i="26"/>
  <c r="K156" i="26" s="1"/>
  <c r="M156" i="26"/>
  <c r="I157" i="26"/>
  <c r="M157" i="26" s="1"/>
  <c r="J157" i="26"/>
  <c r="K157" i="26" s="1"/>
  <c r="I158" i="26"/>
  <c r="M158" i="26" s="1"/>
  <c r="J158" i="26"/>
  <c r="K158" i="26" s="1"/>
  <c r="I159" i="26"/>
  <c r="M159" i="26" s="1"/>
  <c r="J159" i="26"/>
  <c r="K159" i="26"/>
  <c r="I160" i="26"/>
  <c r="J160" i="26"/>
  <c r="K160" i="26" s="1"/>
  <c r="M160" i="26"/>
  <c r="I161" i="26"/>
  <c r="M161" i="26" s="1"/>
  <c r="J161" i="26"/>
  <c r="K161" i="26" s="1"/>
  <c r="I162" i="26"/>
  <c r="J162" i="26"/>
  <c r="K162" i="26" s="1"/>
  <c r="M162" i="26"/>
  <c r="I163" i="26"/>
  <c r="M163" i="26" s="1"/>
  <c r="J163" i="26"/>
  <c r="K163" i="26" s="1"/>
  <c r="I164" i="26"/>
  <c r="M164" i="26" s="1"/>
  <c r="J164" i="26"/>
  <c r="K164" i="26" s="1"/>
  <c r="I165" i="26"/>
  <c r="M165" i="26" s="1"/>
  <c r="J165" i="26"/>
  <c r="K165" i="26" s="1"/>
  <c r="I166" i="26"/>
  <c r="J166" i="26"/>
  <c r="K166" i="26" s="1"/>
  <c r="M166" i="26"/>
  <c r="I167" i="26"/>
  <c r="M167" i="26" s="1"/>
  <c r="J167" i="26"/>
  <c r="K167" i="26" s="1"/>
  <c r="I168" i="26"/>
  <c r="J168" i="26"/>
  <c r="K168" i="26" s="1"/>
  <c r="M168" i="26"/>
  <c r="I169" i="26"/>
  <c r="M169" i="26" s="1"/>
  <c r="J169" i="26"/>
  <c r="K169" i="26"/>
  <c r="I170" i="26"/>
  <c r="M170" i="26" s="1"/>
  <c r="J170" i="26"/>
  <c r="K170" i="26" s="1"/>
  <c r="I171" i="26"/>
  <c r="M171" i="26" s="1"/>
  <c r="J171" i="26"/>
  <c r="K171" i="26" s="1"/>
  <c r="I172" i="26"/>
  <c r="J172" i="26"/>
  <c r="K172" i="26" s="1"/>
  <c r="M172" i="26"/>
  <c r="I173" i="26"/>
  <c r="M173" i="26" s="1"/>
  <c r="J173" i="26"/>
  <c r="K173" i="26" s="1"/>
  <c r="I174" i="26"/>
  <c r="J174" i="26"/>
  <c r="K174" i="26" s="1"/>
  <c r="M174" i="26"/>
  <c r="I175" i="26"/>
  <c r="M175" i="26" s="1"/>
  <c r="J175" i="26"/>
  <c r="K175" i="26"/>
  <c r="I176" i="26"/>
  <c r="M176" i="26" s="1"/>
  <c r="J176" i="26"/>
  <c r="K176" i="26" s="1"/>
  <c r="I177" i="26"/>
  <c r="M177" i="26" s="1"/>
  <c r="J177" i="26"/>
  <c r="K177" i="26" s="1"/>
  <c r="I178" i="26"/>
  <c r="J178" i="26"/>
  <c r="K178" i="26" s="1"/>
  <c r="M178" i="26"/>
  <c r="I179" i="26"/>
  <c r="M179" i="26" s="1"/>
  <c r="J179" i="26"/>
  <c r="K179" i="26" s="1"/>
  <c r="I180" i="26"/>
  <c r="M180" i="26" s="1"/>
  <c r="J180" i="26"/>
  <c r="K180" i="26" s="1"/>
  <c r="I181" i="26"/>
  <c r="M181" i="26" s="1"/>
  <c r="J181" i="26"/>
  <c r="K181" i="26" s="1"/>
  <c r="I182" i="26"/>
  <c r="M182" i="26" s="1"/>
  <c r="J182" i="26"/>
  <c r="K182" i="26" s="1"/>
  <c r="I183" i="26"/>
  <c r="M183" i="26" s="1"/>
  <c r="J183" i="26"/>
  <c r="K183" i="26"/>
  <c r="I184" i="26"/>
  <c r="M184" i="26" s="1"/>
  <c r="J184" i="26"/>
  <c r="K184" i="26" s="1"/>
  <c r="I185" i="26"/>
  <c r="M185" i="26" s="1"/>
  <c r="J185" i="26"/>
  <c r="K185" i="26" s="1"/>
  <c r="I186" i="26"/>
  <c r="J186" i="26"/>
  <c r="K186" i="26" s="1"/>
  <c r="M186" i="26"/>
  <c r="I187" i="26"/>
  <c r="M187" i="26" s="1"/>
  <c r="J187" i="26"/>
  <c r="K187" i="26" s="1"/>
  <c r="I188" i="26"/>
  <c r="M188" i="26" s="1"/>
  <c r="J188" i="26"/>
  <c r="K188" i="26" s="1"/>
  <c r="I189" i="26"/>
  <c r="M189" i="26" s="1"/>
  <c r="J189" i="26"/>
  <c r="K189" i="26" s="1"/>
  <c r="I190" i="26"/>
  <c r="M190" i="26" s="1"/>
  <c r="J190" i="26"/>
  <c r="K190" i="26" s="1"/>
  <c r="I191" i="26"/>
  <c r="M191" i="26" s="1"/>
  <c r="J191" i="26"/>
  <c r="K191" i="26"/>
  <c r="I192" i="26"/>
  <c r="M192" i="26" s="1"/>
  <c r="J192" i="26"/>
  <c r="K192" i="26" s="1"/>
  <c r="I193" i="26"/>
  <c r="M193" i="26" s="1"/>
  <c r="J193" i="26"/>
  <c r="K193" i="26"/>
  <c r="I194" i="26"/>
  <c r="M194" i="26" s="1"/>
  <c r="J194" i="26"/>
  <c r="K194" i="26" s="1"/>
  <c r="I195" i="26"/>
  <c r="M195" i="26" s="1"/>
  <c r="J195" i="26"/>
  <c r="K195" i="26" s="1"/>
  <c r="I196" i="26"/>
  <c r="J196" i="26"/>
  <c r="K196" i="26" s="1"/>
  <c r="M196" i="26"/>
  <c r="I197" i="26"/>
  <c r="M197" i="26" s="1"/>
  <c r="J197" i="26"/>
  <c r="K197" i="26" s="1"/>
  <c r="I198" i="26"/>
  <c r="M198" i="26" s="1"/>
  <c r="J198" i="26"/>
  <c r="K198" i="26" s="1"/>
  <c r="I199" i="26"/>
  <c r="M199" i="26" s="1"/>
  <c r="J199" i="26"/>
  <c r="K199" i="26"/>
  <c r="I200" i="26"/>
  <c r="M200" i="26" s="1"/>
  <c r="J200" i="26"/>
  <c r="K200" i="26" s="1"/>
  <c r="I201" i="26"/>
  <c r="M201" i="26" s="1"/>
  <c r="J201" i="26"/>
  <c r="K201" i="26" s="1"/>
  <c r="I202" i="26"/>
  <c r="M202" i="26" s="1"/>
  <c r="J202" i="26"/>
  <c r="K202" i="26" s="1"/>
  <c r="I203" i="26"/>
  <c r="J203" i="26"/>
  <c r="K203" i="26" s="1"/>
  <c r="M203" i="26"/>
  <c r="I204" i="26"/>
  <c r="M204" i="26" s="1"/>
  <c r="J204" i="26"/>
  <c r="K204" i="26" s="1"/>
  <c r="I205" i="26"/>
  <c r="J205" i="26"/>
  <c r="K205" i="26"/>
  <c r="M205" i="26"/>
  <c r="I206" i="26"/>
  <c r="M206" i="26" s="1"/>
  <c r="J206" i="26"/>
  <c r="K206" i="26" s="1"/>
  <c r="I207" i="26"/>
  <c r="M207" i="26" s="1"/>
  <c r="J207" i="26"/>
  <c r="K207" i="26" s="1"/>
  <c r="I208" i="26"/>
  <c r="J208" i="26"/>
  <c r="K208" i="26" s="1"/>
  <c r="M208" i="26"/>
  <c r="I209" i="26"/>
  <c r="M209" i="26" s="1"/>
  <c r="J209" i="26"/>
  <c r="K209" i="26" s="1"/>
  <c r="I210" i="26"/>
  <c r="J210" i="26"/>
  <c r="K210" i="26" s="1"/>
  <c r="M210" i="26"/>
  <c r="I211" i="26"/>
  <c r="M211" i="26" s="1"/>
  <c r="J211" i="26"/>
  <c r="K211" i="26"/>
  <c r="I212" i="26"/>
  <c r="M212" i="26" s="1"/>
  <c r="J212" i="26"/>
  <c r="K212" i="26" s="1"/>
  <c r="I213" i="26"/>
  <c r="M213" i="26" s="1"/>
  <c r="J213" i="26"/>
  <c r="K213" i="26" s="1"/>
  <c r="I214" i="26"/>
  <c r="J214" i="26"/>
  <c r="K214" i="26" s="1"/>
  <c r="M214" i="26"/>
  <c r="I215" i="26"/>
  <c r="M215" i="26" s="1"/>
  <c r="J215" i="26"/>
  <c r="K215" i="26" s="1"/>
  <c r="I216" i="26"/>
  <c r="M216" i="26" s="1"/>
  <c r="J216" i="26"/>
  <c r="K216" i="26" s="1"/>
  <c r="I217" i="26"/>
  <c r="M217" i="26" s="1"/>
  <c r="J217" i="26"/>
  <c r="K217" i="26" s="1"/>
  <c r="I218" i="26"/>
  <c r="M218" i="26" s="1"/>
  <c r="J218" i="26"/>
  <c r="K218" i="26" s="1"/>
  <c r="I219" i="26"/>
  <c r="M219" i="26" s="1"/>
  <c r="J219" i="26"/>
  <c r="K219" i="26" s="1"/>
  <c r="I220" i="26"/>
  <c r="M220" i="26" s="1"/>
  <c r="J220" i="26"/>
  <c r="K220" i="26" s="1"/>
  <c r="I221" i="26"/>
  <c r="J221" i="26"/>
  <c r="K221" i="26"/>
  <c r="M221" i="26"/>
  <c r="I222" i="26"/>
  <c r="M222" i="26" s="1"/>
  <c r="J222" i="26"/>
  <c r="K222" i="26" s="1"/>
  <c r="I223" i="26"/>
  <c r="M223" i="26" s="1"/>
  <c r="J223" i="26"/>
  <c r="K223" i="26"/>
  <c r="I224" i="26"/>
  <c r="M224" i="26" s="1"/>
  <c r="J224" i="26"/>
  <c r="K224" i="26" s="1"/>
  <c r="I225" i="26"/>
  <c r="M225" i="26" s="1"/>
  <c r="J225" i="26"/>
  <c r="K225" i="26" s="1"/>
  <c r="I226" i="26"/>
  <c r="M226" i="26" s="1"/>
  <c r="J226" i="26"/>
  <c r="K226" i="26" s="1"/>
  <c r="I227" i="26"/>
  <c r="M227" i="26" s="1"/>
  <c r="J227" i="26"/>
  <c r="K227" i="26"/>
  <c r="I228" i="26"/>
  <c r="J228" i="26"/>
  <c r="K228" i="26" s="1"/>
  <c r="M228" i="26"/>
  <c r="I229" i="26"/>
  <c r="M229" i="26" s="1"/>
  <c r="J229" i="26"/>
  <c r="K229" i="26" s="1"/>
  <c r="I230" i="26"/>
  <c r="J230" i="26"/>
  <c r="K230" i="26" s="1"/>
  <c r="M230" i="26"/>
  <c r="I231" i="26"/>
  <c r="M231" i="26" s="1"/>
  <c r="J231" i="26"/>
  <c r="K231" i="26"/>
  <c r="I232" i="26"/>
  <c r="M232" i="26" s="1"/>
  <c r="J232" i="26"/>
  <c r="K232" i="26" s="1"/>
  <c r="I233" i="26"/>
  <c r="J233" i="26"/>
  <c r="K233" i="26"/>
  <c r="M233" i="26"/>
  <c r="I234" i="26"/>
  <c r="M234" i="26" s="1"/>
  <c r="J234" i="26"/>
  <c r="K234" i="26" s="1"/>
  <c r="I235" i="26"/>
  <c r="M235" i="26" s="1"/>
  <c r="J235" i="26"/>
  <c r="K235" i="26" s="1"/>
  <c r="I236" i="26"/>
  <c r="M236" i="26" s="1"/>
  <c r="J236" i="26"/>
  <c r="K236" i="26" s="1"/>
  <c r="I237" i="26"/>
  <c r="J237" i="26"/>
  <c r="K237" i="26"/>
  <c r="M237" i="26"/>
  <c r="I238" i="26"/>
  <c r="M238" i="26" s="1"/>
  <c r="J238" i="26"/>
  <c r="K238" i="26" s="1"/>
  <c r="I239" i="26"/>
  <c r="J239" i="26"/>
  <c r="K239" i="26"/>
  <c r="M239" i="26"/>
  <c r="I240" i="26"/>
  <c r="M240" i="26" s="1"/>
  <c r="J240" i="26"/>
  <c r="K240" i="26" s="1"/>
  <c r="I241" i="26"/>
  <c r="M241" i="26" s="1"/>
  <c r="J241" i="26"/>
  <c r="K241" i="26" s="1"/>
  <c r="I242" i="26"/>
  <c r="M242" i="26" s="1"/>
  <c r="J242" i="26"/>
  <c r="K242" i="26" s="1"/>
  <c r="I243" i="26"/>
  <c r="M243" i="26" s="1"/>
  <c r="J243" i="26"/>
  <c r="K243" i="26" s="1"/>
  <c r="I244" i="26"/>
  <c r="M244" i="26" s="1"/>
  <c r="J244" i="26"/>
  <c r="K244" i="26" s="1"/>
  <c r="I245" i="26"/>
  <c r="M245" i="26" s="1"/>
  <c r="J245" i="26"/>
  <c r="K245" i="26" s="1"/>
  <c r="I246" i="26"/>
  <c r="J246" i="26"/>
  <c r="K246" i="26" s="1"/>
  <c r="M246" i="26"/>
  <c r="I247" i="26"/>
  <c r="M247" i="26" s="1"/>
  <c r="J247" i="26"/>
  <c r="K247" i="26" s="1"/>
  <c r="I248" i="26"/>
  <c r="M248" i="26" s="1"/>
  <c r="J248" i="26"/>
  <c r="K248" i="26" s="1"/>
  <c r="I249" i="26"/>
  <c r="J249" i="26"/>
  <c r="K249" i="26"/>
  <c r="M249" i="26"/>
  <c r="I250" i="26"/>
  <c r="M250" i="26" s="1"/>
  <c r="J250" i="26"/>
  <c r="K250" i="26" s="1"/>
  <c r="I251" i="26"/>
  <c r="J251" i="26"/>
  <c r="K251" i="26" s="1"/>
  <c r="M251" i="26"/>
  <c r="I252" i="26"/>
  <c r="M252" i="26" s="1"/>
  <c r="J252" i="26"/>
  <c r="K252" i="26" s="1"/>
  <c r="I253" i="26"/>
  <c r="M253" i="26" s="1"/>
  <c r="J253" i="26"/>
  <c r="K253" i="26" s="1"/>
  <c r="I254" i="26"/>
  <c r="M254" i="26" s="1"/>
  <c r="J254" i="26"/>
  <c r="K254" i="26" s="1"/>
  <c r="I255" i="26"/>
  <c r="J255" i="26"/>
  <c r="K255" i="26"/>
  <c r="M255" i="26"/>
  <c r="I256" i="26"/>
  <c r="M256" i="26" s="1"/>
  <c r="J256" i="26"/>
  <c r="K256" i="26" s="1"/>
  <c r="I257" i="26"/>
  <c r="J257" i="26"/>
  <c r="K257" i="26" s="1"/>
  <c r="M257" i="26"/>
  <c r="I258" i="26"/>
  <c r="M258" i="26" s="1"/>
  <c r="J258" i="26"/>
  <c r="K258" i="26" s="1"/>
  <c r="I259" i="26"/>
  <c r="M259" i="26" s="1"/>
  <c r="J259" i="26"/>
  <c r="K259" i="26" s="1"/>
  <c r="I260" i="26"/>
  <c r="M260" i="26" s="1"/>
  <c r="J260" i="26"/>
  <c r="K260" i="26" s="1"/>
  <c r="I261" i="26"/>
  <c r="M261" i="26" s="1"/>
  <c r="J261" i="26"/>
  <c r="K261" i="26" s="1"/>
  <c r="I262" i="26"/>
  <c r="M262" i="26" s="1"/>
  <c r="J262" i="26"/>
  <c r="K262" i="26" s="1"/>
  <c r="I263" i="26"/>
  <c r="J263" i="26"/>
  <c r="K263" i="26" s="1"/>
  <c r="M263" i="26"/>
  <c r="I264" i="26"/>
  <c r="M264" i="26" s="1"/>
  <c r="J264" i="26"/>
  <c r="K264" i="26" s="1"/>
  <c r="I265" i="26"/>
  <c r="M265" i="26" s="1"/>
  <c r="J265" i="26"/>
  <c r="K265" i="26" s="1"/>
  <c r="I266" i="26"/>
  <c r="M266" i="26" s="1"/>
  <c r="J266" i="26"/>
  <c r="K266" i="26" s="1"/>
  <c r="I267" i="26"/>
  <c r="J267" i="26"/>
  <c r="K267" i="26" s="1"/>
  <c r="M267" i="26"/>
  <c r="I268" i="26"/>
  <c r="M268" i="26" s="1"/>
  <c r="J268" i="26"/>
  <c r="K268" i="26" s="1"/>
  <c r="I269" i="26"/>
  <c r="J269" i="26"/>
  <c r="K269" i="26"/>
  <c r="M269" i="26"/>
  <c r="I270" i="26"/>
  <c r="M270" i="26" s="1"/>
  <c r="J270" i="26"/>
  <c r="K270" i="26" s="1"/>
  <c r="I271" i="26"/>
  <c r="J271" i="26"/>
  <c r="K271" i="26" s="1"/>
  <c r="M271" i="26"/>
  <c r="I272" i="26"/>
  <c r="J272" i="26"/>
  <c r="K272" i="26" s="1"/>
  <c r="M272" i="26"/>
  <c r="I273" i="26"/>
  <c r="M273" i="26" s="1"/>
  <c r="J273" i="26"/>
  <c r="K273" i="26" s="1"/>
  <c r="I274" i="26"/>
  <c r="M274" i="26" s="1"/>
  <c r="J274" i="26"/>
  <c r="K274" i="26" s="1"/>
  <c r="I275" i="26"/>
  <c r="M275" i="26" s="1"/>
  <c r="J275" i="26"/>
  <c r="K275" i="26"/>
  <c r="I276" i="26"/>
  <c r="M276" i="26" s="1"/>
  <c r="J276" i="26"/>
  <c r="K276" i="26" s="1"/>
  <c r="I277" i="26"/>
  <c r="M277" i="26" s="1"/>
  <c r="J277" i="26"/>
  <c r="K277" i="26" s="1"/>
  <c r="I278" i="26"/>
  <c r="J278" i="26"/>
  <c r="K278" i="26" s="1"/>
  <c r="M278" i="26"/>
  <c r="I279" i="26"/>
  <c r="M279" i="26" s="1"/>
  <c r="J279" i="26"/>
  <c r="K279" i="26" s="1"/>
  <c r="I280" i="26"/>
  <c r="M280" i="26" s="1"/>
  <c r="J280" i="26"/>
  <c r="K280" i="26" s="1"/>
  <c r="I281" i="26"/>
  <c r="J281" i="26"/>
  <c r="K281" i="26"/>
  <c r="M281" i="26"/>
  <c r="I282" i="26"/>
  <c r="M282" i="26" s="1"/>
  <c r="J282" i="26"/>
  <c r="K282" i="26" s="1"/>
  <c r="I283" i="26"/>
  <c r="J283" i="26"/>
  <c r="K283" i="26" s="1"/>
  <c r="M283" i="26"/>
  <c r="I284" i="26"/>
  <c r="M284" i="26" s="1"/>
  <c r="J284" i="26"/>
  <c r="K284" i="26" s="1"/>
  <c r="I285" i="26"/>
  <c r="M285" i="26" s="1"/>
  <c r="J285" i="26"/>
  <c r="K285" i="26" s="1"/>
  <c r="I286" i="26"/>
  <c r="M286" i="26" s="1"/>
  <c r="J286" i="26"/>
  <c r="K286" i="26" s="1"/>
  <c r="I287" i="26"/>
  <c r="J287" i="26"/>
  <c r="K287" i="26"/>
  <c r="M287" i="26"/>
  <c r="I288" i="26"/>
  <c r="M288" i="26" s="1"/>
  <c r="J288" i="26"/>
  <c r="K288" i="26" s="1"/>
  <c r="I289" i="26"/>
  <c r="J289" i="26"/>
  <c r="K289" i="26" s="1"/>
  <c r="M289" i="26"/>
  <c r="I290" i="26"/>
  <c r="M290" i="26" s="1"/>
  <c r="J290" i="26"/>
  <c r="K290" i="26" s="1"/>
  <c r="I291" i="26"/>
  <c r="M291" i="26" s="1"/>
  <c r="J291" i="26"/>
  <c r="K291" i="26"/>
  <c r="I292" i="26"/>
  <c r="M292" i="26" s="1"/>
  <c r="J292" i="26"/>
  <c r="K292" i="26" s="1"/>
  <c r="I293" i="26"/>
  <c r="M293" i="26" s="1"/>
  <c r="J293" i="26"/>
  <c r="K293" i="26" s="1"/>
  <c r="I294" i="26"/>
  <c r="M294" i="26" s="1"/>
  <c r="J294" i="26"/>
  <c r="K294" i="26" s="1"/>
  <c r="I295" i="26"/>
  <c r="J295" i="26"/>
  <c r="K295" i="26"/>
  <c r="M295" i="26"/>
  <c r="I296" i="26"/>
  <c r="M296" i="26" s="1"/>
  <c r="J296" i="26"/>
  <c r="K296" i="26" s="1"/>
  <c r="I297" i="26"/>
  <c r="J297" i="26"/>
  <c r="K297" i="26"/>
  <c r="M297" i="26"/>
  <c r="I298" i="26"/>
  <c r="M298" i="26" s="1"/>
  <c r="J298" i="26"/>
  <c r="K298" i="26" s="1"/>
  <c r="I299" i="26"/>
  <c r="M299" i="26" s="1"/>
  <c r="J299" i="26"/>
  <c r="K299" i="26" s="1"/>
  <c r="I300" i="26"/>
  <c r="M300" i="26" s="1"/>
  <c r="J300" i="26"/>
  <c r="K300" i="26" s="1"/>
  <c r="I301" i="26"/>
  <c r="M301" i="26" s="1"/>
  <c r="J301" i="26"/>
  <c r="K301" i="26"/>
  <c r="I302" i="26"/>
  <c r="M302" i="26" s="1"/>
  <c r="J302" i="26"/>
  <c r="K302" i="26" s="1"/>
  <c r="I303" i="26"/>
  <c r="J303" i="26"/>
  <c r="K303" i="26"/>
  <c r="M303" i="26"/>
  <c r="I304" i="26"/>
  <c r="M304" i="26" s="1"/>
  <c r="J304" i="26"/>
  <c r="K304" i="26" s="1"/>
  <c r="I305" i="26"/>
  <c r="M305" i="26" s="1"/>
  <c r="J305" i="26"/>
  <c r="K305" i="26" s="1"/>
  <c r="K2" i="25"/>
  <c r="B6" i="25"/>
  <c r="I6" i="25"/>
  <c r="J6" i="25"/>
  <c r="K6" i="25" s="1"/>
  <c r="B7" i="25"/>
  <c r="I7" i="25"/>
  <c r="J7" i="25"/>
  <c r="K7" i="25" s="1"/>
  <c r="B8" i="25"/>
  <c r="I8" i="25"/>
  <c r="J8" i="25"/>
  <c r="K8" i="25"/>
  <c r="B9" i="25"/>
  <c r="I9" i="25"/>
  <c r="M9" i="25" s="1"/>
  <c r="A9" i="25" s="1"/>
  <c r="J9" i="25"/>
  <c r="K9" i="25"/>
  <c r="L9" i="25"/>
  <c r="B10" i="25"/>
  <c r="I10" i="25"/>
  <c r="M10" i="25" s="1"/>
  <c r="A10" i="25" s="1"/>
  <c r="J10" i="25"/>
  <c r="K10" i="25" s="1"/>
  <c r="B11" i="25"/>
  <c r="I11" i="25"/>
  <c r="M11" i="25" s="1"/>
  <c r="A11" i="25" s="1"/>
  <c r="J11" i="25"/>
  <c r="K11" i="25" s="1"/>
  <c r="B12" i="25"/>
  <c r="I12" i="25"/>
  <c r="J12" i="25"/>
  <c r="K12" i="25" s="1"/>
  <c r="AI12" i="25"/>
  <c r="B13" i="25"/>
  <c r="I13" i="25"/>
  <c r="J13" i="25"/>
  <c r="K13" i="25" s="1"/>
  <c r="AI13" i="25"/>
  <c r="B14" i="25"/>
  <c r="I14" i="25"/>
  <c r="J14" i="25"/>
  <c r="K14" i="25" s="1"/>
  <c r="M14" i="25" s="1"/>
  <c r="A14" i="25" s="1"/>
  <c r="AI14" i="25"/>
  <c r="B15" i="25"/>
  <c r="I15" i="25"/>
  <c r="M15" i="25" s="1"/>
  <c r="A15" i="25" s="1"/>
  <c r="J15" i="25"/>
  <c r="K15" i="25"/>
  <c r="B16" i="25"/>
  <c r="I16" i="25"/>
  <c r="J16" i="25"/>
  <c r="K16" i="25"/>
  <c r="M16" i="25" s="1"/>
  <c r="A16" i="25" s="1"/>
  <c r="AI16" i="25"/>
  <c r="A17" i="25"/>
  <c r="B17" i="25"/>
  <c r="I17" i="25"/>
  <c r="J17" i="25"/>
  <c r="K17" i="25" s="1"/>
  <c r="M17" i="25"/>
  <c r="B18" i="25"/>
  <c r="I18" i="25"/>
  <c r="M18" i="25" s="1"/>
  <c r="A18" i="25" s="1"/>
  <c r="J18" i="25"/>
  <c r="K18" i="25" s="1"/>
  <c r="B19" i="25"/>
  <c r="I19" i="25"/>
  <c r="J19" i="25"/>
  <c r="K19" i="25" s="1"/>
  <c r="M19" i="25" s="1"/>
  <c r="A19" i="25" s="1"/>
  <c r="B20" i="25"/>
  <c r="I20" i="25"/>
  <c r="J20" i="25"/>
  <c r="K20" i="25" s="1"/>
  <c r="M20" i="25" s="1"/>
  <c r="A20" i="25" s="1"/>
  <c r="B21" i="25"/>
  <c r="I21" i="25"/>
  <c r="M21" i="25" s="1"/>
  <c r="A21" i="25" s="1"/>
  <c r="J21" i="25"/>
  <c r="K21" i="25"/>
  <c r="B22" i="25"/>
  <c r="I22" i="25"/>
  <c r="J22" i="25"/>
  <c r="K22" i="25" s="1"/>
  <c r="B23" i="25"/>
  <c r="I23" i="25"/>
  <c r="J23" i="25"/>
  <c r="K23" i="25" s="1"/>
  <c r="M23" i="25"/>
  <c r="A23" i="25" s="1"/>
  <c r="B24" i="25"/>
  <c r="I24" i="25"/>
  <c r="J24" i="25"/>
  <c r="K24" i="25" s="1"/>
  <c r="M24" i="25"/>
  <c r="A24" i="25" s="1"/>
  <c r="A25" i="25"/>
  <c r="B25" i="25"/>
  <c r="I25" i="25"/>
  <c r="J25" i="25"/>
  <c r="K25" i="25" s="1"/>
  <c r="M25" i="25"/>
  <c r="B26" i="25"/>
  <c r="I26" i="25"/>
  <c r="M26" i="25" s="1"/>
  <c r="A26" i="25" s="1"/>
  <c r="J26" i="25"/>
  <c r="K26" i="25" s="1"/>
  <c r="B27" i="25"/>
  <c r="I27" i="25"/>
  <c r="J27" i="25"/>
  <c r="K27" i="25" s="1"/>
  <c r="M27" i="25"/>
  <c r="A27" i="25" s="1"/>
  <c r="B28" i="25"/>
  <c r="I28" i="25"/>
  <c r="M28" i="25" s="1"/>
  <c r="A28" i="25" s="1"/>
  <c r="J28" i="25"/>
  <c r="K28" i="25" s="1"/>
  <c r="B29" i="25"/>
  <c r="I29" i="25"/>
  <c r="J29" i="25"/>
  <c r="K29" i="25" s="1"/>
  <c r="M29" i="25"/>
  <c r="A29" i="25" s="1"/>
  <c r="B30" i="25"/>
  <c r="I30" i="25"/>
  <c r="M30" i="25" s="1"/>
  <c r="A30" i="25" s="1"/>
  <c r="J30" i="25"/>
  <c r="K30" i="25" s="1"/>
  <c r="B31" i="25"/>
  <c r="I31" i="25"/>
  <c r="M31" i="25" s="1"/>
  <c r="A31" i="25" s="1"/>
  <c r="J31" i="25"/>
  <c r="K31" i="25" s="1"/>
  <c r="B32" i="25"/>
  <c r="I32" i="25"/>
  <c r="J32" i="25"/>
  <c r="K32" i="25" s="1"/>
  <c r="M32" i="25"/>
  <c r="A32" i="25" s="1"/>
  <c r="B33" i="25"/>
  <c r="I33" i="25"/>
  <c r="M33" i="25" s="1"/>
  <c r="A33" i="25" s="1"/>
  <c r="J33" i="25"/>
  <c r="K33" i="25" s="1"/>
  <c r="B34" i="25"/>
  <c r="I34" i="25"/>
  <c r="M34" i="25" s="1"/>
  <c r="A34" i="25" s="1"/>
  <c r="J34" i="25"/>
  <c r="K34" i="25" s="1"/>
  <c r="B35" i="25"/>
  <c r="I35" i="25"/>
  <c r="M35" i="25" s="1"/>
  <c r="A35" i="25" s="1"/>
  <c r="J35" i="25"/>
  <c r="K35" i="25"/>
  <c r="B36" i="25"/>
  <c r="I36" i="25"/>
  <c r="J36" i="25"/>
  <c r="K36" i="25" s="1"/>
  <c r="M36" i="25"/>
  <c r="A36" i="25" s="1"/>
  <c r="B37" i="25"/>
  <c r="I37" i="25"/>
  <c r="J37" i="25"/>
  <c r="K37" i="25" s="1"/>
  <c r="M37" i="25"/>
  <c r="A37" i="25" s="1"/>
  <c r="B38" i="25"/>
  <c r="I38" i="25"/>
  <c r="M38" i="25" s="1"/>
  <c r="A38" i="25" s="1"/>
  <c r="J38" i="25"/>
  <c r="K38" i="25" s="1"/>
  <c r="B39" i="25"/>
  <c r="I39" i="25"/>
  <c r="J39" i="25"/>
  <c r="K39" i="25" s="1"/>
  <c r="M39" i="25"/>
  <c r="A39" i="25" s="1"/>
  <c r="B40" i="25"/>
  <c r="I40" i="25"/>
  <c r="M40" i="25" s="1"/>
  <c r="A40" i="25" s="1"/>
  <c r="J40" i="25"/>
  <c r="K40" i="25" s="1"/>
  <c r="B41" i="25"/>
  <c r="I41" i="25"/>
  <c r="J41" i="25"/>
  <c r="K41" i="25" s="1"/>
  <c r="M41" i="25"/>
  <c r="A41" i="25" s="1"/>
  <c r="B42" i="25"/>
  <c r="I42" i="25"/>
  <c r="M42" i="25" s="1"/>
  <c r="A42" i="25" s="1"/>
  <c r="J42" i="25"/>
  <c r="K42" i="25" s="1"/>
  <c r="B43" i="25"/>
  <c r="I43" i="25"/>
  <c r="M43" i="25" s="1"/>
  <c r="A43" i="25" s="1"/>
  <c r="J43" i="25"/>
  <c r="K43" i="25" s="1"/>
  <c r="B44" i="25"/>
  <c r="I44" i="25"/>
  <c r="J44" i="25"/>
  <c r="K44" i="25" s="1"/>
  <c r="M44" i="25"/>
  <c r="A44" i="25" s="1"/>
  <c r="B45" i="25"/>
  <c r="I45" i="25"/>
  <c r="J45" i="25"/>
  <c r="K45" i="25" s="1"/>
  <c r="M45" i="25"/>
  <c r="A45" i="25" s="1"/>
  <c r="B46" i="25"/>
  <c r="I46" i="25"/>
  <c r="M46" i="25" s="1"/>
  <c r="A46" i="25" s="1"/>
  <c r="J46" i="25"/>
  <c r="K46" i="25" s="1"/>
  <c r="R46" i="25"/>
  <c r="T46" i="25"/>
  <c r="U46" i="25" s="1"/>
  <c r="B47" i="25"/>
  <c r="I47" i="25"/>
  <c r="M47" i="25" s="1"/>
  <c r="A47" i="25" s="1"/>
  <c r="J47" i="25"/>
  <c r="K47" i="25"/>
  <c r="B48" i="25"/>
  <c r="I48" i="25"/>
  <c r="M48" i="25" s="1"/>
  <c r="A48" i="25" s="1"/>
  <c r="J48" i="25"/>
  <c r="K48" i="25" s="1"/>
  <c r="B49" i="25"/>
  <c r="I49" i="25"/>
  <c r="J49" i="25"/>
  <c r="K49" i="25"/>
  <c r="M49" i="25"/>
  <c r="A49" i="25" s="1"/>
  <c r="B50" i="25"/>
  <c r="I50" i="25"/>
  <c r="M50" i="25" s="1"/>
  <c r="A50" i="25" s="1"/>
  <c r="J50" i="25"/>
  <c r="K50" i="25"/>
  <c r="B51" i="25"/>
  <c r="I51" i="25"/>
  <c r="M51" i="25" s="1"/>
  <c r="A51" i="25" s="1"/>
  <c r="J51" i="25"/>
  <c r="K51" i="25"/>
  <c r="A52" i="25"/>
  <c r="B52" i="25"/>
  <c r="I52" i="25"/>
  <c r="M52" i="25" s="1"/>
  <c r="J52" i="25"/>
  <c r="K52" i="25" s="1"/>
  <c r="B53" i="25"/>
  <c r="I53" i="25"/>
  <c r="J53" i="25"/>
  <c r="K53" i="25"/>
  <c r="M53" i="25"/>
  <c r="A53" i="25" s="1"/>
  <c r="B54" i="25"/>
  <c r="I54" i="25"/>
  <c r="M54" i="25" s="1"/>
  <c r="A54" i="25" s="1"/>
  <c r="J54" i="25"/>
  <c r="K54" i="25" s="1"/>
  <c r="B55" i="25"/>
  <c r="I55" i="25"/>
  <c r="M55" i="25" s="1"/>
  <c r="A55" i="25" s="1"/>
  <c r="J55" i="25"/>
  <c r="K55" i="25"/>
  <c r="B56" i="25"/>
  <c r="I56" i="25"/>
  <c r="M56" i="25" s="1"/>
  <c r="A56" i="25" s="1"/>
  <c r="J56" i="25"/>
  <c r="K56" i="25" s="1"/>
  <c r="B57" i="25"/>
  <c r="I57" i="25"/>
  <c r="M57" i="25" s="1"/>
  <c r="A57" i="25" s="1"/>
  <c r="J57" i="25"/>
  <c r="K57" i="25"/>
  <c r="B58" i="25"/>
  <c r="I58" i="25"/>
  <c r="M58" i="25" s="1"/>
  <c r="A58" i="25" s="1"/>
  <c r="J58" i="25"/>
  <c r="K58" i="25"/>
  <c r="B59" i="25"/>
  <c r="I59" i="25"/>
  <c r="M59" i="25" s="1"/>
  <c r="A59" i="25" s="1"/>
  <c r="J59" i="25"/>
  <c r="K59" i="25"/>
  <c r="B60" i="25"/>
  <c r="I60" i="25"/>
  <c r="M60" i="25" s="1"/>
  <c r="A60" i="25" s="1"/>
  <c r="J60" i="25"/>
  <c r="K60" i="25" s="1"/>
  <c r="B61" i="25"/>
  <c r="I61" i="25"/>
  <c r="J61" i="25"/>
  <c r="K61" i="25" s="1"/>
  <c r="M61" i="25"/>
  <c r="B62" i="25"/>
  <c r="I62" i="25"/>
  <c r="M62" i="25" s="1"/>
  <c r="J62" i="25"/>
  <c r="K62" i="25" s="1"/>
  <c r="B63" i="25"/>
  <c r="I63" i="25"/>
  <c r="J63" i="25"/>
  <c r="K63" i="25" s="1"/>
  <c r="M63" i="25"/>
  <c r="B64" i="25"/>
  <c r="I64" i="25"/>
  <c r="J64" i="25"/>
  <c r="K64" i="25" s="1"/>
  <c r="M64" i="25"/>
  <c r="B65" i="25"/>
  <c r="I65" i="25"/>
  <c r="M65" i="25" s="1"/>
  <c r="J65" i="25"/>
  <c r="K65" i="25" s="1"/>
  <c r="I66" i="25"/>
  <c r="J66" i="25"/>
  <c r="K66" i="25" s="1"/>
  <c r="M66" i="25"/>
  <c r="I67" i="25"/>
  <c r="M67" i="25" s="1"/>
  <c r="J67" i="25"/>
  <c r="K67" i="25" s="1"/>
  <c r="I68" i="25"/>
  <c r="J68" i="25"/>
  <c r="K68" i="25" s="1"/>
  <c r="M68" i="25"/>
  <c r="I69" i="25"/>
  <c r="M69" i="25" s="1"/>
  <c r="J69" i="25"/>
  <c r="K69" i="25" s="1"/>
  <c r="I70" i="25"/>
  <c r="J70" i="25"/>
  <c r="K70" i="25" s="1"/>
  <c r="M70" i="25"/>
  <c r="I71" i="25"/>
  <c r="M71" i="25" s="1"/>
  <c r="J71" i="25"/>
  <c r="K71" i="25" s="1"/>
  <c r="I72" i="25"/>
  <c r="M72" i="25" s="1"/>
  <c r="J72" i="25"/>
  <c r="K72" i="25" s="1"/>
  <c r="I73" i="25"/>
  <c r="M73" i="25" s="1"/>
  <c r="J73" i="25"/>
  <c r="K73" i="25" s="1"/>
  <c r="I74" i="25"/>
  <c r="J74" i="25"/>
  <c r="K74" i="25" s="1"/>
  <c r="M74" i="25"/>
  <c r="I75" i="25"/>
  <c r="M75" i="25" s="1"/>
  <c r="J75" i="25"/>
  <c r="K75" i="25" s="1"/>
  <c r="I76" i="25"/>
  <c r="M76" i="25" s="1"/>
  <c r="J76" i="25"/>
  <c r="K76" i="25" s="1"/>
  <c r="I77" i="25"/>
  <c r="M77" i="25" s="1"/>
  <c r="J77" i="25"/>
  <c r="K77" i="25" s="1"/>
  <c r="I78" i="25"/>
  <c r="M78" i="25" s="1"/>
  <c r="J78" i="25"/>
  <c r="K78" i="25" s="1"/>
  <c r="I79" i="25"/>
  <c r="M79" i="25" s="1"/>
  <c r="J79" i="25"/>
  <c r="K79" i="25" s="1"/>
  <c r="I80" i="25"/>
  <c r="J80" i="25"/>
  <c r="K80" i="25" s="1"/>
  <c r="M80" i="25"/>
  <c r="I81" i="25"/>
  <c r="M81" i="25" s="1"/>
  <c r="J81" i="25"/>
  <c r="K81" i="25" s="1"/>
  <c r="I82" i="25"/>
  <c r="J82" i="25"/>
  <c r="K82" i="25" s="1"/>
  <c r="M82" i="25"/>
  <c r="I83" i="25"/>
  <c r="M83" i="25" s="1"/>
  <c r="J83" i="25"/>
  <c r="K83" i="25" s="1"/>
  <c r="I84" i="25"/>
  <c r="J84" i="25"/>
  <c r="K84" i="25" s="1"/>
  <c r="M84" i="25"/>
  <c r="I85" i="25"/>
  <c r="M85" i="25" s="1"/>
  <c r="J85" i="25"/>
  <c r="K85" i="25" s="1"/>
  <c r="I86" i="25"/>
  <c r="J86" i="25"/>
  <c r="K86" i="25" s="1"/>
  <c r="M86" i="25"/>
  <c r="I87" i="25"/>
  <c r="M87" i="25" s="1"/>
  <c r="J87" i="25"/>
  <c r="K87" i="25" s="1"/>
  <c r="I88" i="25"/>
  <c r="M88" i="25" s="1"/>
  <c r="J88" i="25"/>
  <c r="K88" i="25" s="1"/>
  <c r="I89" i="25"/>
  <c r="M89" i="25" s="1"/>
  <c r="J89" i="25"/>
  <c r="K89" i="25" s="1"/>
  <c r="I90" i="25"/>
  <c r="J90" i="25"/>
  <c r="K90" i="25" s="1"/>
  <c r="M90" i="25"/>
  <c r="I91" i="25"/>
  <c r="M91" i="25" s="1"/>
  <c r="J91" i="25"/>
  <c r="K91" i="25" s="1"/>
  <c r="I92" i="25"/>
  <c r="M92" i="25" s="1"/>
  <c r="J92" i="25"/>
  <c r="K92" i="25" s="1"/>
  <c r="I93" i="25"/>
  <c r="M93" i="25" s="1"/>
  <c r="J93" i="25"/>
  <c r="K93" i="25" s="1"/>
  <c r="I94" i="25"/>
  <c r="M94" i="25" s="1"/>
  <c r="J94" i="25"/>
  <c r="K94" i="25" s="1"/>
  <c r="I95" i="25"/>
  <c r="M95" i="25" s="1"/>
  <c r="J95" i="25"/>
  <c r="K95" i="25" s="1"/>
  <c r="I96" i="25"/>
  <c r="J96" i="25"/>
  <c r="K96" i="25" s="1"/>
  <c r="M96" i="25"/>
  <c r="I97" i="25"/>
  <c r="M97" i="25" s="1"/>
  <c r="J97" i="25"/>
  <c r="K97" i="25" s="1"/>
  <c r="I98" i="25"/>
  <c r="J98" i="25"/>
  <c r="K98" i="25" s="1"/>
  <c r="M98" i="25"/>
  <c r="I99" i="25"/>
  <c r="M99" i="25" s="1"/>
  <c r="J99" i="25"/>
  <c r="K99" i="25" s="1"/>
  <c r="I100" i="25"/>
  <c r="J100" i="25"/>
  <c r="K100" i="25" s="1"/>
  <c r="M100" i="25"/>
  <c r="I101" i="25"/>
  <c r="M101" i="25" s="1"/>
  <c r="J101" i="25"/>
  <c r="K101" i="25" s="1"/>
  <c r="I102" i="25"/>
  <c r="J102" i="25"/>
  <c r="K102" i="25" s="1"/>
  <c r="M102" i="25"/>
  <c r="I103" i="25"/>
  <c r="M103" i="25" s="1"/>
  <c r="J103" i="25"/>
  <c r="K103" i="25" s="1"/>
  <c r="I104" i="25"/>
  <c r="M104" i="25" s="1"/>
  <c r="J104" i="25"/>
  <c r="K104" i="25" s="1"/>
  <c r="I105" i="25"/>
  <c r="M105" i="25" s="1"/>
  <c r="J105" i="25"/>
  <c r="K105" i="25" s="1"/>
  <c r="I106" i="25"/>
  <c r="J106" i="25"/>
  <c r="K106" i="25" s="1"/>
  <c r="M106" i="25"/>
  <c r="I107" i="25"/>
  <c r="M107" i="25" s="1"/>
  <c r="J107" i="25"/>
  <c r="K107" i="25" s="1"/>
  <c r="I108" i="25"/>
  <c r="M108" i="25" s="1"/>
  <c r="J108" i="25"/>
  <c r="K108" i="25" s="1"/>
  <c r="I109" i="25"/>
  <c r="M109" i="25" s="1"/>
  <c r="J109" i="25"/>
  <c r="K109" i="25" s="1"/>
  <c r="I110" i="25"/>
  <c r="M110" i="25" s="1"/>
  <c r="J110" i="25"/>
  <c r="K110" i="25" s="1"/>
  <c r="I111" i="25"/>
  <c r="M111" i="25" s="1"/>
  <c r="J111" i="25"/>
  <c r="K111" i="25" s="1"/>
  <c r="I112" i="25"/>
  <c r="J112" i="25"/>
  <c r="K112" i="25" s="1"/>
  <c r="M112" i="25"/>
  <c r="I113" i="25"/>
  <c r="M113" i="25" s="1"/>
  <c r="J113" i="25"/>
  <c r="K113" i="25" s="1"/>
  <c r="I114" i="25"/>
  <c r="J114" i="25"/>
  <c r="K114" i="25" s="1"/>
  <c r="M114" i="25"/>
  <c r="I115" i="25"/>
  <c r="M115" i="25" s="1"/>
  <c r="J115" i="25"/>
  <c r="K115" i="25" s="1"/>
  <c r="I116" i="25"/>
  <c r="J116" i="25"/>
  <c r="K116" i="25" s="1"/>
  <c r="M116" i="25"/>
  <c r="I117" i="25"/>
  <c r="M117" i="25" s="1"/>
  <c r="J117" i="25"/>
  <c r="K117" i="25" s="1"/>
  <c r="I118" i="25"/>
  <c r="M118" i="25" s="1"/>
  <c r="J118" i="25"/>
  <c r="K118" i="25" s="1"/>
  <c r="I119" i="25"/>
  <c r="M119" i="25" s="1"/>
  <c r="J119" i="25"/>
  <c r="K119" i="25" s="1"/>
  <c r="I120" i="25"/>
  <c r="M120" i="25" s="1"/>
  <c r="J120" i="25"/>
  <c r="K120" i="25" s="1"/>
  <c r="I121" i="25"/>
  <c r="M121" i="25" s="1"/>
  <c r="J121" i="25"/>
  <c r="K121" i="25" s="1"/>
  <c r="I122" i="25"/>
  <c r="M122" i="25" s="1"/>
  <c r="J122" i="25"/>
  <c r="K122" i="25" s="1"/>
  <c r="I123" i="25"/>
  <c r="M123" i="25" s="1"/>
  <c r="J123" i="25"/>
  <c r="K123" i="25" s="1"/>
  <c r="I124" i="25"/>
  <c r="M124" i="25" s="1"/>
  <c r="J124" i="25"/>
  <c r="K124" i="25" s="1"/>
  <c r="I125" i="25"/>
  <c r="M125" i="25" s="1"/>
  <c r="J125" i="25"/>
  <c r="K125" i="25" s="1"/>
  <c r="I126" i="25"/>
  <c r="J126" i="25"/>
  <c r="K126" i="25" s="1"/>
  <c r="M126" i="25"/>
  <c r="I127" i="25"/>
  <c r="M127" i="25" s="1"/>
  <c r="J127" i="25"/>
  <c r="K127" i="25" s="1"/>
  <c r="I128" i="25"/>
  <c r="M128" i="25" s="1"/>
  <c r="J128" i="25"/>
  <c r="K128" i="25" s="1"/>
  <c r="I129" i="25"/>
  <c r="M129" i="25" s="1"/>
  <c r="J129" i="25"/>
  <c r="K129" i="25" s="1"/>
  <c r="I130" i="25"/>
  <c r="J130" i="25"/>
  <c r="K130" i="25" s="1"/>
  <c r="M130" i="25"/>
  <c r="I131" i="25"/>
  <c r="M131" i="25" s="1"/>
  <c r="J131" i="25"/>
  <c r="K131" i="25" s="1"/>
  <c r="I132" i="25"/>
  <c r="M132" i="25" s="1"/>
  <c r="J132" i="25"/>
  <c r="K132" i="25" s="1"/>
  <c r="I133" i="25"/>
  <c r="M133" i="25" s="1"/>
  <c r="J133" i="25"/>
  <c r="K133" i="25" s="1"/>
  <c r="I134" i="25"/>
  <c r="M134" i="25" s="1"/>
  <c r="J134" i="25"/>
  <c r="K134" i="25" s="1"/>
  <c r="I135" i="25"/>
  <c r="M135" i="25" s="1"/>
  <c r="J135" i="25"/>
  <c r="K135" i="25" s="1"/>
  <c r="I136" i="25"/>
  <c r="M136" i="25" s="1"/>
  <c r="J136" i="25"/>
  <c r="K136" i="25" s="1"/>
  <c r="I137" i="25"/>
  <c r="M137" i="25" s="1"/>
  <c r="J137" i="25"/>
  <c r="K137" i="25" s="1"/>
  <c r="I138" i="25"/>
  <c r="M138" i="25" s="1"/>
  <c r="J138" i="25"/>
  <c r="K138" i="25" s="1"/>
  <c r="I139" i="25"/>
  <c r="M139" i="25" s="1"/>
  <c r="J139" i="25"/>
  <c r="K139" i="25" s="1"/>
  <c r="I140" i="25"/>
  <c r="J140" i="25"/>
  <c r="K140" i="25" s="1"/>
  <c r="M140" i="25"/>
  <c r="I141" i="25"/>
  <c r="M141" i="25" s="1"/>
  <c r="J141" i="25"/>
  <c r="K141" i="25" s="1"/>
  <c r="I142" i="25"/>
  <c r="M142" i="25" s="1"/>
  <c r="J142" i="25"/>
  <c r="K142" i="25" s="1"/>
  <c r="I143" i="25"/>
  <c r="M143" i="25" s="1"/>
  <c r="J143" i="25"/>
  <c r="K143" i="25" s="1"/>
  <c r="I144" i="25"/>
  <c r="M144" i="25" s="1"/>
  <c r="J144" i="25"/>
  <c r="K144" i="25" s="1"/>
  <c r="I145" i="25"/>
  <c r="M145" i="25" s="1"/>
  <c r="J145" i="25"/>
  <c r="K145" i="25" s="1"/>
  <c r="I146" i="25"/>
  <c r="J146" i="25"/>
  <c r="K146" i="25" s="1"/>
  <c r="M146" i="25"/>
  <c r="I147" i="25"/>
  <c r="M147" i="25" s="1"/>
  <c r="J147" i="25"/>
  <c r="K147" i="25" s="1"/>
  <c r="I148" i="25"/>
  <c r="J148" i="25"/>
  <c r="K148" i="25" s="1"/>
  <c r="M148" i="25"/>
  <c r="I149" i="25"/>
  <c r="M149" i="25" s="1"/>
  <c r="J149" i="25"/>
  <c r="K149" i="25" s="1"/>
  <c r="I150" i="25"/>
  <c r="M150" i="25" s="1"/>
  <c r="J150" i="25"/>
  <c r="K150" i="25" s="1"/>
  <c r="I151" i="25"/>
  <c r="J151" i="25"/>
  <c r="K151" i="25"/>
  <c r="M151" i="25"/>
  <c r="I152" i="25"/>
  <c r="M152" i="25" s="1"/>
  <c r="J152" i="25"/>
  <c r="K152" i="25"/>
  <c r="I153" i="25"/>
  <c r="J153" i="25"/>
  <c r="K153" i="25"/>
  <c r="M153" i="25"/>
  <c r="I154" i="25"/>
  <c r="M154" i="25" s="1"/>
  <c r="J154" i="25"/>
  <c r="K154" i="25"/>
  <c r="I155" i="25"/>
  <c r="J155" i="25"/>
  <c r="K155" i="25"/>
  <c r="M155" i="25"/>
  <c r="I156" i="25"/>
  <c r="M156" i="25" s="1"/>
  <c r="J156" i="25"/>
  <c r="K156" i="25"/>
  <c r="I157" i="25"/>
  <c r="J157" i="25"/>
  <c r="K157" i="25"/>
  <c r="M157" i="25"/>
  <c r="I158" i="25"/>
  <c r="M158" i="25" s="1"/>
  <c r="J158" i="25"/>
  <c r="K158" i="25"/>
  <c r="I159" i="25"/>
  <c r="J159" i="25"/>
  <c r="K159" i="25"/>
  <c r="M159" i="25"/>
  <c r="I160" i="25"/>
  <c r="M160" i="25" s="1"/>
  <c r="J160" i="25"/>
  <c r="K160" i="25"/>
  <c r="I161" i="25"/>
  <c r="J161" i="25"/>
  <c r="K161" i="25"/>
  <c r="M161" i="25"/>
  <c r="I162" i="25"/>
  <c r="M162" i="25" s="1"/>
  <c r="J162" i="25"/>
  <c r="K162" i="25"/>
  <c r="I163" i="25"/>
  <c r="J163" i="25"/>
  <c r="K163" i="25"/>
  <c r="M163" i="25"/>
  <c r="I164" i="25"/>
  <c r="M164" i="25" s="1"/>
  <c r="J164" i="25"/>
  <c r="K164" i="25"/>
  <c r="I165" i="25"/>
  <c r="J165" i="25"/>
  <c r="K165" i="25"/>
  <c r="M165" i="25"/>
  <c r="I166" i="25"/>
  <c r="M166" i="25" s="1"/>
  <c r="J166" i="25"/>
  <c r="K166" i="25"/>
  <c r="I167" i="25"/>
  <c r="J167" i="25"/>
  <c r="K167" i="25"/>
  <c r="M167" i="25"/>
  <c r="I168" i="25"/>
  <c r="M168" i="25" s="1"/>
  <c r="J168" i="25"/>
  <c r="K168" i="25"/>
  <c r="I169" i="25"/>
  <c r="J169" i="25"/>
  <c r="K169" i="25"/>
  <c r="M169" i="25"/>
  <c r="I170" i="25"/>
  <c r="M170" i="25" s="1"/>
  <c r="J170" i="25"/>
  <c r="K170" i="25"/>
  <c r="I171" i="25"/>
  <c r="J171" i="25"/>
  <c r="K171" i="25"/>
  <c r="M171" i="25"/>
  <c r="I172" i="25"/>
  <c r="M172" i="25" s="1"/>
  <c r="J172" i="25"/>
  <c r="K172" i="25"/>
  <c r="I173" i="25"/>
  <c r="J173" i="25"/>
  <c r="K173" i="25"/>
  <c r="M173" i="25"/>
  <c r="I174" i="25"/>
  <c r="M174" i="25" s="1"/>
  <c r="J174" i="25"/>
  <c r="K174" i="25"/>
  <c r="I175" i="25"/>
  <c r="J175" i="25"/>
  <c r="K175" i="25"/>
  <c r="M175" i="25"/>
  <c r="I176" i="25"/>
  <c r="M176" i="25" s="1"/>
  <c r="J176" i="25"/>
  <c r="K176" i="25"/>
  <c r="I177" i="25"/>
  <c r="J177" i="25"/>
  <c r="K177" i="25"/>
  <c r="M177" i="25"/>
  <c r="I178" i="25"/>
  <c r="M178" i="25" s="1"/>
  <c r="J178" i="25"/>
  <c r="K178" i="25"/>
  <c r="I179" i="25"/>
  <c r="J179" i="25"/>
  <c r="K179" i="25"/>
  <c r="M179" i="25"/>
  <c r="I180" i="25"/>
  <c r="M180" i="25" s="1"/>
  <c r="J180" i="25"/>
  <c r="K180" i="25"/>
  <c r="I181" i="25"/>
  <c r="J181" i="25"/>
  <c r="K181" i="25"/>
  <c r="M181" i="25"/>
  <c r="I182" i="25"/>
  <c r="M182" i="25" s="1"/>
  <c r="J182" i="25"/>
  <c r="K182" i="25"/>
  <c r="I183" i="25"/>
  <c r="J183" i="25"/>
  <c r="K183" i="25"/>
  <c r="M183" i="25"/>
  <c r="I184" i="25"/>
  <c r="J184" i="25"/>
  <c r="K184" i="25" s="1"/>
  <c r="M184" i="25"/>
  <c r="I185" i="25"/>
  <c r="J185" i="25"/>
  <c r="K185" i="25"/>
  <c r="M185" i="25"/>
  <c r="I186" i="25"/>
  <c r="M186" i="25" s="1"/>
  <c r="J186" i="25"/>
  <c r="K186" i="25" s="1"/>
  <c r="I187" i="25"/>
  <c r="J187" i="25"/>
  <c r="K187" i="25"/>
  <c r="M187" i="25"/>
  <c r="I188" i="25"/>
  <c r="M188" i="25" s="1"/>
  <c r="J188" i="25"/>
  <c r="K188" i="25" s="1"/>
  <c r="I189" i="25"/>
  <c r="M189" i="25" s="1"/>
  <c r="J189" i="25"/>
  <c r="K189" i="25" s="1"/>
  <c r="I190" i="25"/>
  <c r="J190" i="25"/>
  <c r="K190" i="25"/>
  <c r="M190" i="25"/>
  <c r="I191" i="25"/>
  <c r="J191" i="25"/>
  <c r="K191" i="25" s="1"/>
  <c r="M191" i="25"/>
  <c r="I192" i="25"/>
  <c r="J192" i="25"/>
  <c r="K192" i="25"/>
  <c r="M192" i="25"/>
  <c r="I193" i="25"/>
  <c r="M193" i="25" s="1"/>
  <c r="J193" i="25"/>
  <c r="K193" i="25" s="1"/>
  <c r="I194" i="25"/>
  <c r="J194" i="25"/>
  <c r="K194" i="25" s="1"/>
  <c r="M194" i="25"/>
  <c r="I195" i="25"/>
  <c r="J195" i="25"/>
  <c r="K195" i="25" s="1"/>
  <c r="M195" i="25"/>
  <c r="I196" i="25"/>
  <c r="J196" i="25"/>
  <c r="K196" i="25" s="1"/>
  <c r="M196" i="25"/>
  <c r="I197" i="25"/>
  <c r="J197" i="25"/>
  <c r="K197" i="25" s="1"/>
  <c r="M197" i="25"/>
  <c r="I198" i="25"/>
  <c r="M198" i="25" s="1"/>
  <c r="J198" i="25"/>
  <c r="K198" i="25" s="1"/>
  <c r="I199" i="25"/>
  <c r="J199" i="25"/>
  <c r="K199" i="25" s="1"/>
  <c r="M199" i="25"/>
  <c r="I200" i="25"/>
  <c r="J200" i="25"/>
  <c r="K200" i="25" s="1"/>
  <c r="M200" i="25"/>
  <c r="I201" i="25"/>
  <c r="J201" i="25"/>
  <c r="K201" i="25" s="1"/>
  <c r="M201" i="25"/>
  <c r="I202" i="25"/>
  <c r="J202" i="25"/>
  <c r="K202" i="25"/>
  <c r="M202" i="25"/>
  <c r="I203" i="25"/>
  <c r="M203" i="25" s="1"/>
  <c r="J203" i="25"/>
  <c r="K203" i="25" s="1"/>
  <c r="I204" i="25"/>
  <c r="J204" i="25"/>
  <c r="K204" i="25" s="1"/>
  <c r="M204" i="25"/>
  <c r="I205" i="25"/>
  <c r="J205" i="25"/>
  <c r="K205" i="25" s="1"/>
  <c r="M205" i="25"/>
  <c r="I206" i="25"/>
  <c r="M206" i="25" s="1"/>
  <c r="J206" i="25"/>
  <c r="K206" i="25"/>
  <c r="I207" i="25"/>
  <c r="J207" i="25"/>
  <c r="K207" i="25" s="1"/>
  <c r="M207" i="25"/>
  <c r="I208" i="25"/>
  <c r="M208" i="25" s="1"/>
  <c r="J208" i="25"/>
  <c r="K208" i="25"/>
  <c r="I209" i="25"/>
  <c r="J209" i="25"/>
  <c r="K209" i="25" s="1"/>
  <c r="M209" i="25"/>
  <c r="I210" i="25"/>
  <c r="M210" i="25" s="1"/>
  <c r="J210" i="25"/>
  <c r="K210" i="25" s="1"/>
  <c r="I211" i="25"/>
  <c r="M211" i="25" s="1"/>
  <c r="J211" i="25"/>
  <c r="K211" i="25" s="1"/>
  <c r="I212" i="25"/>
  <c r="J212" i="25"/>
  <c r="K212" i="25" s="1"/>
  <c r="M212" i="25"/>
  <c r="I213" i="25"/>
  <c r="M213" i="25" s="1"/>
  <c r="J213" i="25"/>
  <c r="K213" i="25" s="1"/>
  <c r="I214" i="25"/>
  <c r="J214" i="25"/>
  <c r="K214" i="25"/>
  <c r="M214" i="25"/>
  <c r="I215" i="25"/>
  <c r="M215" i="25" s="1"/>
  <c r="J215" i="25"/>
  <c r="K215" i="25" s="1"/>
  <c r="I216" i="25"/>
  <c r="M216" i="25" s="1"/>
  <c r="J216" i="25"/>
  <c r="K216" i="25" s="1"/>
  <c r="I217" i="25"/>
  <c r="J217" i="25"/>
  <c r="K217" i="25" s="1"/>
  <c r="M217" i="25"/>
  <c r="I218" i="25"/>
  <c r="M218" i="25" s="1"/>
  <c r="J218" i="25"/>
  <c r="K218" i="25"/>
  <c r="I219" i="25"/>
  <c r="J219" i="25"/>
  <c r="K219" i="25" s="1"/>
  <c r="M219" i="25"/>
  <c r="I220" i="25"/>
  <c r="M220" i="25" s="1"/>
  <c r="J220" i="25"/>
  <c r="K220" i="25" s="1"/>
  <c r="I221" i="25"/>
  <c r="M221" i="25" s="1"/>
  <c r="J221" i="25"/>
  <c r="K221" i="25" s="1"/>
  <c r="I222" i="25"/>
  <c r="J222" i="25"/>
  <c r="K222" i="25"/>
  <c r="M222" i="25"/>
  <c r="I223" i="25"/>
  <c r="J223" i="25"/>
  <c r="K223" i="25" s="1"/>
  <c r="M223" i="25"/>
  <c r="I224" i="25"/>
  <c r="J224" i="25"/>
  <c r="K224" i="25"/>
  <c r="M224" i="25"/>
  <c r="I225" i="25"/>
  <c r="M225" i="25" s="1"/>
  <c r="J225" i="25"/>
  <c r="K225" i="25" s="1"/>
  <c r="I226" i="25"/>
  <c r="J226" i="25"/>
  <c r="K226" i="25" s="1"/>
  <c r="M226" i="25"/>
  <c r="I227" i="25"/>
  <c r="J227" i="25"/>
  <c r="K227" i="25" s="1"/>
  <c r="M227" i="25"/>
  <c r="I228" i="25"/>
  <c r="J228" i="25"/>
  <c r="K228" i="25" s="1"/>
  <c r="M228" i="25"/>
  <c r="I229" i="25"/>
  <c r="J229" i="25"/>
  <c r="K229" i="25" s="1"/>
  <c r="M229" i="25"/>
  <c r="I230" i="25"/>
  <c r="M230" i="25" s="1"/>
  <c r="J230" i="25"/>
  <c r="K230" i="25" s="1"/>
  <c r="I231" i="25"/>
  <c r="J231" i="25"/>
  <c r="K231" i="25" s="1"/>
  <c r="M231" i="25"/>
  <c r="I232" i="25"/>
  <c r="J232" i="25"/>
  <c r="K232" i="25" s="1"/>
  <c r="M232" i="25"/>
  <c r="I233" i="25"/>
  <c r="J233" i="25"/>
  <c r="K233" i="25" s="1"/>
  <c r="M233" i="25"/>
  <c r="I234" i="25"/>
  <c r="J234" i="25"/>
  <c r="K234" i="25"/>
  <c r="M234" i="25"/>
  <c r="I235" i="25"/>
  <c r="M235" i="25" s="1"/>
  <c r="J235" i="25"/>
  <c r="K235" i="25" s="1"/>
  <c r="I236" i="25"/>
  <c r="J236" i="25"/>
  <c r="K236" i="25" s="1"/>
  <c r="M236" i="25"/>
  <c r="I237" i="25"/>
  <c r="J237" i="25"/>
  <c r="K237" i="25" s="1"/>
  <c r="M237" i="25"/>
  <c r="I238" i="25"/>
  <c r="M238" i="25" s="1"/>
  <c r="J238" i="25"/>
  <c r="K238" i="25"/>
  <c r="I239" i="25"/>
  <c r="J239" i="25"/>
  <c r="K239" i="25" s="1"/>
  <c r="M239" i="25"/>
  <c r="I240" i="25"/>
  <c r="M240" i="25" s="1"/>
  <c r="J240" i="25"/>
  <c r="K240" i="25"/>
  <c r="I241" i="25"/>
  <c r="J241" i="25"/>
  <c r="K241" i="25" s="1"/>
  <c r="M241" i="25"/>
  <c r="I242" i="25"/>
  <c r="M242" i="25" s="1"/>
  <c r="J242" i="25"/>
  <c r="K242" i="25" s="1"/>
  <c r="I243" i="25"/>
  <c r="M243" i="25" s="1"/>
  <c r="J243" i="25"/>
  <c r="K243" i="25" s="1"/>
  <c r="I244" i="25"/>
  <c r="J244" i="25"/>
  <c r="K244" i="25"/>
  <c r="M244" i="25"/>
  <c r="I245" i="25"/>
  <c r="J245" i="25"/>
  <c r="K245" i="25" s="1"/>
  <c r="M245" i="25"/>
  <c r="I246" i="25"/>
  <c r="J246" i="25"/>
  <c r="K246" i="25"/>
  <c r="M246" i="25"/>
  <c r="I247" i="25"/>
  <c r="M247" i="25" s="1"/>
  <c r="J247" i="25"/>
  <c r="K247" i="25" s="1"/>
  <c r="I248" i="25"/>
  <c r="J248" i="25"/>
  <c r="K248" i="25" s="1"/>
  <c r="M248" i="25"/>
  <c r="I249" i="25"/>
  <c r="J249" i="25"/>
  <c r="K249" i="25" s="1"/>
  <c r="M249" i="25"/>
  <c r="I250" i="25"/>
  <c r="M250" i="25" s="1"/>
  <c r="J250" i="25"/>
  <c r="K250" i="25"/>
  <c r="I251" i="25"/>
  <c r="J251" i="25"/>
  <c r="K251" i="25" s="1"/>
  <c r="M251" i="25"/>
  <c r="I252" i="25"/>
  <c r="M252" i="25" s="1"/>
  <c r="J252" i="25"/>
  <c r="K252" i="25" s="1"/>
  <c r="I253" i="25"/>
  <c r="J253" i="25"/>
  <c r="K253" i="25" s="1"/>
  <c r="M253" i="25"/>
  <c r="I254" i="25"/>
  <c r="M254" i="25" s="1"/>
  <c r="J254" i="25"/>
  <c r="K254" i="25"/>
  <c r="I255" i="25"/>
  <c r="M255" i="25" s="1"/>
  <c r="J255" i="25"/>
  <c r="K255" i="25" s="1"/>
  <c r="I256" i="25"/>
  <c r="J256" i="25"/>
  <c r="K256" i="25"/>
  <c r="M256" i="25"/>
  <c r="I257" i="25"/>
  <c r="J257" i="25"/>
  <c r="K257" i="25" s="1"/>
  <c r="M257" i="25"/>
  <c r="I258" i="25"/>
  <c r="J258" i="25"/>
  <c r="K258" i="25" s="1"/>
  <c r="M258" i="25"/>
  <c r="I259" i="25"/>
  <c r="M259" i="25" s="1"/>
  <c r="J259" i="25"/>
  <c r="K259" i="25" s="1"/>
  <c r="I260" i="25"/>
  <c r="M260" i="25" s="1"/>
  <c r="J260" i="25"/>
  <c r="K260" i="25" s="1"/>
  <c r="I261" i="25"/>
  <c r="J261" i="25"/>
  <c r="K261" i="25" s="1"/>
  <c r="M261" i="25"/>
  <c r="I262" i="25"/>
  <c r="M262" i="25" s="1"/>
  <c r="J262" i="25"/>
  <c r="K262" i="25"/>
  <c r="I263" i="25"/>
  <c r="J263" i="25"/>
  <c r="K263" i="25" s="1"/>
  <c r="M263" i="25"/>
  <c r="I264" i="25"/>
  <c r="M264" i="25" s="1"/>
  <c r="J264" i="25"/>
  <c r="K264" i="25" s="1"/>
  <c r="I265" i="25"/>
  <c r="J265" i="25"/>
  <c r="K265" i="25" s="1"/>
  <c r="M265" i="25"/>
  <c r="I266" i="25"/>
  <c r="J266" i="25"/>
  <c r="K266" i="25" s="1"/>
  <c r="M266" i="25"/>
  <c r="I267" i="25"/>
  <c r="M267" i="25" s="1"/>
  <c r="J267" i="25"/>
  <c r="K267" i="25" s="1"/>
  <c r="I268" i="25"/>
  <c r="M268" i="25" s="1"/>
  <c r="J268" i="25"/>
  <c r="K268" i="25" s="1"/>
  <c r="I269" i="25"/>
  <c r="J269" i="25"/>
  <c r="K269" i="25" s="1"/>
  <c r="M269" i="25"/>
  <c r="I270" i="25"/>
  <c r="M270" i="25" s="1"/>
  <c r="J270" i="25"/>
  <c r="K270" i="25" s="1"/>
  <c r="I271" i="25"/>
  <c r="M271" i="25" s="1"/>
  <c r="J271" i="25"/>
  <c r="K271" i="25" s="1"/>
  <c r="I272" i="25"/>
  <c r="M272" i="25" s="1"/>
  <c r="J272" i="25"/>
  <c r="K272" i="25"/>
  <c r="I273" i="25"/>
  <c r="M273" i="25" s="1"/>
  <c r="J273" i="25"/>
  <c r="K273" i="25" s="1"/>
  <c r="I274" i="25"/>
  <c r="M274" i="25" s="1"/>
  <c r="J274" i="25"/>
  <c r="K274" i="25"/>
  <c r="I275" i="25"/>
  <c r="J275" i="25"/>
  <c r="K275" i="25" s="1"/>
  <c r="M275" i="25"/>
  <c r="I276" i="25"/>
  <c r="M276" i="25" s="1"/>
  <c r="J276" i="25"/>
  <c r="K276" i="25"/>
  <c r="I277" i="25"/>
  <c r="J277" i="25"/>
  <c r="K277" i="25" s="1"/>
  <c r="M277" i="25"/>
  <c r="I278" i="25"/>
  <c r="M278" i="25" s="1"/>
  <c r="J278" i="25"/>
  <c r="K278" i="25" s="1"/>
  <c r="I279" i="25"/>
  <c r="J279" i="25"/>
  <c r="K279" i="25" s="1"/>
  <c r="M279" i="25"/>
  <c r="I280" i="25"/>
  <c r="M280" i="25" s="1"/>
  <c r="J280" i="25"/>
  <c r="K280" i="25"/>
  <c r="I281" i="25"/>
  <c r="M281" i="25" s="1"/>
  <c r="J281" i="25"/>
  <c r="K281" i="25" s="1"/>
  <c r="I282" i="25"/>
  <c r="M282" i="25" s="1"/>
  <c r="J282" i="25"/>
  <c r="K282" i="25" s="1"/>
  <c r="I283" i="25"/>
  <c r="J283" i="25"/>
  <c r="K283" i="25" s="1"/>
  <c r="M283" i="25"/>
  <c r="I284" i="25"/>
  <c r="M284" i="25" s="1"/>
  <c r="J284" i="25"/>
  <c r="K284" i="25"/>
  <c r="I285" i="25"/>
  <c r="J285" i="25"/>
  <c r="K285" i="25" s="1"/>
  <c r="M285" i="25"/>
  <c r="I286" i="25"/>
  <c r="M286" i="25" s="1"/>
  <c r="J286" i="25"/>
  <c r="K286" i="25" s="1"/>
  <c r="I287" i="25"/>
  <c r="M287" i="25" s="1"/>
  <c r="J287" i="25"/>
  <c r="K287" i="25" s="1"/>
  <c r="I288" i="25"/>
  <c r="M288" i="25" s="1"/>
  <c r="J288" i="25"/>
  <c r="K288" i="25"/>
  <c r="I289" i="25"/>
  <c r="J289" i="25"/>
  <c r="K289" i="25" s="1"/>
  <c r="M289" i="25"/>
  <c r="I290" i="25"/>
  <c r="M290" i="25" s="1"/>
  <c r="J290" i="25"/>
  <c r="K290" i="25"/>
  <c r="I291" i="25"/>
  <c r="J291" i="25"/>
  <c r="K291" i="25" s="1"/>
  <c r="M291" i="25"/>
  <c r="I292" i="25"/>
  <c r="M292" i="25" s="1"/>
  <c r="J292" i="25"/>
  <c r="K292" i="25" s="1"/>
  <c r="I293" i="25"/>
  <c r="M293" i="25" s="1"/>
  <c r="J293" i="25"/>
  <c r="K293" i="25" s="1"/>
  <c r="I294" i="25"/>
  <c r="M294" i="25" s="1"/>
  <c r="J294" i="25"/>
  <c r="K294" i="25" s="1"/>
  <c r="I295" i="25"/>
  <c r="M295" i="25" s="1"/>
  <c r="J295" i="25"/>
  <c r="K295" i="25" s="1"/>
  <c r="I296" i="25"/>
  <c r="M296" i="25" s="1"/>
  <c r="J296" i="25"/>
  <c r="K296" i="25" s="1"/>
  <c r="I297" i="25"/>
  <c r="J297" i="25"/>
  <c r="K297" i="25" s="1"/>
  <c r="M297" i="25"/>
  <c r="I298" i="25"/>
  <c r="M298" i="25" s="1"/>
  <c r="J298" i="25"/>
  <c r="K298" i="25"/>
  <c r="I299" i="25"/>
  <c r="J299" i="25"/>
  <c r="K299" i="25" s="1"/>
  <c r="M299" i="25"/>
  <c r="I300" i="25"/>
  <c r="M300" i="25" s="1"/>
  <c r="J300" i="25"/>
  <c r="K300" i="25"/>
  <c r="I301" i="25"/>
  <c r="J301" i="25"/>
  <c r="K301" i="25" s="1"/>
  <c r="M301" i="25"/>
  <c r="I302" i="25"/>
  <c r="M302" i="25" s="1"/>
  <c r="J302" i="25"/>
  <c r="K302" i="25" s="1"/>
  <c r="I303" i="25"/>
  <c r="J303" i="25"/>
  <c r="K303" i="25" s="1"/>
  <c r="M303" i="25"/>
  <c r="I304" i="25"/>
  <c r="M304" i="25" s="1"/>
  <c r="J304" i="25"/>
  <c r="K304" i="25"/>
  <c r="I305" i="25"/>
  <c r="J305" i="25"/>
  <c r="K305" i="25" s="1"/>
  <c r="M305" i="25"/>
  <c r="K2" i="24"/>
  <c r="L9" i="24" s="1"/>
  <c r="B6" i="24"/>
  <c r="I6" i="24"/>
  <c r="J6" i="24"/>
  <c r="K6" i="24"/>
  <c r="B7" i="24"/>
  <c r="I7" i="24"/>
  <c r="M7" i="24" s="1"/>
  <c r="A7" i="24" s="1"/>
  <c r="J7" i="24"/>
  <c r="K7" i="24"/>
  <c r="L7" i="24"/>
  <c r="B8" i="24"/>
  <c r="I8" i="24"/>
  <c r="J8" i="24"/>
  <c r="K8" i="24" s="1"/>
  <c r="B9" i="24"/>
  <c r="I9" i="24"/>
  <c r="J9" i="24"/>
  <c r="K9" i="24" s="1"/>
  <c r="B10" i="24"/>
  <c r="I10" i="24"/>
  <c r="M10" i="24" s="1"/>
  <c r="A10" i="24" s="1"/>
  <c r="J10" i="24"/>
  <c r="K10" i="24"/>
  <c r="B11" i="24"/>
  <c r="I11" i="24"/>
  <c r="J11" i="24"/>
  <c r="K11" i="24"/>
  <c r="A12" i="24"/>
  <c r="B12" i="24"/>
  <c r="I12" i="24"/>
  <c r="M12" i="24" s="1"/>
  <c r="J12" i="24"/>
  <c r="K12" i="24"/>
  <c r="AI12" i="24"/>
  <c r="B13" i="24"/>
  <c r="I13" i="24"/>
  <c r="J13" i="24"/>
  <c r="K13" i="24" s="1"/>
  <c r="AI13" i="24"/>
  <c r="B14" i="24"/>
  <c r="I14" i="24"/>
  <c r="J14" i="24"/>
  <c r="K14" i="24" s="1"/>
  <c r="AI14" i="24"/>
  <c r="B15" i="24"/>
  <c r="I15" i="24"/>
  <c r="M15" i="24" s="1"/>
  <c r="A15" i="24" s="1"/>
  <c r="J15" i="24"/>
  <c r="K15" i="24"/>
  <c r="B16" i="24"/>
  <c r="I16" i="24"/>
  <c r="J16" i="24"/>
  <c r="K16" i="24" s="1"/>
  <c r="M16" i="24" s="1"/>
  <c r="A16" i="24" s="1"/>
  <c r="AI16" i="24"/>
  <c r="B17" i="24"/>
  <c r="I17" i="24"/>
  <c r="J17" i="24"/>
  <c r="K17" i="24"/>
  <c r="B18" i="24"/>
  <c r="I18" i="24"/>
  <c r="M18" i="24" s="1"/>
  <c r="A18" i="24" s="1"/>
  <c r="J18" i="24"/>
  <c r="K18" i="24"/>
  <c r="B19" i="24"/>
  <c r="I19" i="24"/>
  <c r="J19" i="24"/>
  <c r="K19" i="24" s="1"/>
  <c r="B20" i="24"/>
  <c r="I20" i="24"/>
  <c r="J20" i="24"/>
  <c r="K20" i="24"/>
  <c r="B21" i="24"/>
  <c r="AF7" i="20" s="1"/>
  <c r="I21" i="24"/>
  <c r="M21" i="24" s="1"/>
  <c r="A21" i="24" s="1"/>
  <c r="J21" i="24"/>
  <c r="K21" i="24"/>
  <c r="B22" i="24"/>
  <c r="I22" i="24"/>
  <c r="M22" i="24" s="1"/>
  <c r="A22" i="24" s="1"/>
  <c r="J22" i="24"/>
  <c r="K22" i="24"/>
  <c r="B23" i="24"/>
  <c r="I23" i="24"/>
  <c r="M23" i="24" s="1"/>
  <c r="A23" i="24" s="1"/>
  <c r="J23" i="24"/>
  <c r="K23" i="24" s="1"/>
  <c r="B24" i="24"/>
  <c r="I24" i="24"/>
  <c r="M24" i="24" s="1"/>
  <c r="A24" i="24" s="1"/>
  <c r="J24" i="24"/>
  <c r="K24" i="24"/>
  <c r="B25" i="24"/>
  <c r="I25" i="24"/>
  <c r="M25" i="24" s="1"/>
  <c r="A25" i="24" s="1"/>
  <c r="J25" i="24"/>
  <c r="K25" i="24"/>
  <c r="A26" i="24"/>
  <c r="B26" i="24"/>
  <c r="I26" i="24"/>
  <c r="M26" i="24" s="1"/>
  <c r="J26" i="24"/>
  <c r="K26" i="24"/>
  <c r="B27" i="24"/>
  <c r="I27" i="24"/>
  <c r="M27" i="24" s="1"/>
  <c r="A27" i="24" s="1"/>
  <c r="J27" i="24"/>
  <c r="K27" i="24" s="1"/>
  <c r="B28" i="24"/>
  <c r="I28" i="24"/>
  <c r="J28" i="24"/>
  <c r="K28" i="24"/>
  <c r="M28" i="24"/>
  <c r="A28" i="24" s="1"/>
  <c r="B29" i="24"/>
  <c r="I29" i="24"/>
  <c r="M29" i="24" s="1"/>
  <c r="A29" i="24" s="1"/>
  <c r="J29" i="24"/>
  <c r="K29" i="24"/>
  <c r="B30" i="24"/>
  <c r="I30" i="24"/>
  <c r="J30" i="24"/>
  <c r="K30" i="24"/>
  <c r="M30" i="24"/>
  <c r="A30" i="24" s="1"/>
  <c r="A31" i="24"/>
  <c r="B31" i="24"/>
  <c r="I31" i="24"/>
  <c r="M31" i="24" s="1"/>
  <c r="J31" i="24"/>
  <c r="K31" i="24" s="1"/>
  <c r="B32" i="24"/>
  <c r="I32" i="24"/>
  <c r="J32" i="24"/>
  <c r="K32" i="24"/>
  <c r="M32" i="24"/>
  <c r="A32" i="24" s="1"/>
  <c r="B33" i="24"/>
  <c r="I33" i="24"/>
  <c r="M33" i="24" s="1"/>
  <c r="A33" i="24" s="1"/>
  <c r="J33" i="24"/>
  <c r="K33" i="24"/>
  <c r="B34" i="24"/>
  <c r="I34" i="24"/>
  <c r="M34" i="24" s="1"/>
  <c r="A34" i="24" s="1"/>
  <c r="J34" i="24"/>
  <c r="K34" i="24"/>
  <c r="B35" i="24"/>
  <c r="I35" i="24"/>
  <c r="M35" i="24" s="1"/>
  <c r="A35" i="24" s="1"/>
  <c r="J35" i="24"/>
  <c r="K35" i="24" s="1"/>
  <c r="B36" i="24"/>
  <c r="I36" i="24"/>
  <c r="M36" i="24" s="1"/>
  <c r="A36" i="24" s="1"/>
  <c r="J36" i="24"/>
  <c r="K36" i="24"/>
  <c r="B37" i="24"/>
  <c r="I37" i="24"/>
  <c r="M37" i="24" s="1"/>
  <c r="A37" i="24" s="1"/>
  <c r="J37" i="24"/>
  <c r="K37" i="24"/>
  <c r="B38" i="24"/>
  <c r="I38" i="24"/>
  <c r="M38" i="24" s="1"/>
  <c r="A38" i="24" s="1"/>
  <c r="J38" i="24"/>
  <c r="K38" i="24" s="1"/>
  <c r="B39" i="24"/>
  <c r="I39" i="24"/>
  <c r="M39" i="24" s="1"/>
  <c r="A39" i="24" s="1"/>
  <c r="J39" i="24"/>
  <c r="K39" i="24" s="1"/>
  <c r="B40" i="24"/>
  <c r="I40" i="24"/>
  <c r="M40" i="24" s="1"/>
  <c r="A40" i="24" s="1"/>
  <c r="J40" i="24"/>
  <c r="K40" i="24" s="1"/>
  <c r="B41" i="24"/>
  <c r="I41" i="24"/>
  <c r="M41" i="24" s="1"/>
  <c r="A41" i="24" s="1"/>
  <c r="J41" i="24"/>
  <c r="K41" i="24"/>
  <c r="B42" i="24"/>
  <c r="I42" i="24"/>
  <c r="M42" i="24" s="1"/>
  <c r="A42" i="24" s="1"/>
  <c r="J42" i="24"/>
  <c r="K42" i="24"/>
  <c r="B43" i="24"/>
  <c r="I43" i="24"/>
  <c r="M43" i="24" s="1"/>
  <c r="A43" i="24" s="1"/>
  <c r="J43" i="24"/>
  <c r="K43" i="24" s="1"/>
  <c r="B44" i="24"/>
  <c r="I44" i="24"/>
  <c r="M44" i="24" s="1"/>
  <c r="A44" i="24" s="1"/>
  <c r="J44" i="24"/>
  <c r="K44" i="24"/>
  <c r="B45" i="24"/>
  <c r="I45" i="24"/>
  <c r="M45" i="24" s="1"/>
  <c r="A45" i="24" s="1"/>
  <c r="J45" i="24"/>
  <c r="K45" i="24"/>
  <c r="A46" i="24"/>
  <c r="B46" i="24"/>
  <c r="I46" i="24"/>
  <c r="J46" i="24"/>
  <c r="K46" i="24"/>
  <c r="M46" i="24"/>
  <c r="B47" i="24"/>
  <c r="I47" i="24"/>
  <c r="M47" i="24" s="1"/>
  <c r="A47" i="24" s="1"/>
  <c r="J47" i="24"/>
  <c r="K47" i="24" s="1"/>
  <c r="B48" i="24"/>
  <c r="I48" i="24"/>
  <c r="J48" i="24"/>
  <c r="K48" i="24"/>
  <c r="M48" i="24"/>
  <c r="A48" i="24" s="1"/>
  <c r="B49" i="24"/>
  <c r="I49" i="24"/>
  <c r="M49" i="24" s="1"/>
  <c r="A49" i="24" s="1"/>
  <c r="J49" i="24"/>
  <c r="K49" i="24" s="1"/>
  <c r="B50" i="24"/>
  <c r="I50" i="24"/>
  <c r="J50" i="24"/>
  <c r="K50" i="24"/>
  <c r="M50" i="24"/>
  <c r="A50" i="24" s="1"/>
  <c r="A51" i="24"/>
  <c r="B51" i="24"/>
  <c r="I51" i="24"/>
  <c r="M51" i="24" s="1"/>
  <c r="J51" i="24"/>
  <c r="K51" i="24" s="1"/>
  <c r="B52" i="24"/>
  <c r="I52" i="24"/>
  <c r="J52" i="24"/>
  <c r="K52" i="24"/>
  <c r="M52" i="24"/>
  <c r="A52" i="24" s="1"/>
  <c r="B53" i="24"/>
  <c r="I53" i="24"/>
  <c r="M53" i="24" s="1"/>
  <c r="A53" i="24" s="1"/>
  <c r="J53" i="24"/>
  <c r="K53" i="24"/>
  <c r="B54" i="24"/>
  <c r="I54" i="24"/>
  <c r="M54" i="24" s="1"/>
  <c r="A54" i="24" s="1"/>
  <c r="J54" i="24"/>
  <c r="K54" i="24" s="1"/>
  <c r="B55" i="24"/>
  <c r="I55" i="24"/>
  <c r="M55" i="24" s="1"/>
  <c r="A55" i="24" s="1"/>
  <c r="J55" i="24"/>
  <c r="K55" i="24" s="1"/>
  <c r="B56" i="24"/>
  <c r="I56" i="24"/>
  <c r="M56" i="24" s="1"/>
  <c r="A56" i="24" s="1"/>
  <c r="J56" i="24"/>
  <c r="K56" i="24" s="1"/>
  <c r="B57" i="24"/>
  <c r="I57" i="24"/>
  <c r="M57" i="24" s="1"/>
  <c r="A57" i="24" s="1"/>
  <c r="J57" i="24"/>
  <c r="K57" i="24"/>
  <c r="B58" i="24"/>
  <c r="I58" i="24"/>
  <c r="M58" i="24" s="1"/>
  <c r="A58" i="24" s="1"/>
  <c r="J58" i="24"/>
  <c r="K58" i="24"/>
  <c r="B59" i="24"/>
  <c r="I59" i="24"/>
  <c r="M59" i="24" s="1"/>
  <c r="A59" i="24" s="1"/>
  <c r="J59" i="24"/>
  <c r="K59" i="24" s="1"/>
  <c r="B60" i="24"/>
  <c r="I60" i="24"/>
  <c r="M60" i="24" s="1"/>
  <c r="A60" i="24" s="1"/>
  <c r="J60" i="24"/>
  <c r="K60" i="24"/>
  <c r="B61" i="24"/>
  <c r="I61" i="24"/>
  <c r="M61" i="24" s="1"/>
  <c r="A61" i="24" s="1"/>
  <c r="J61" i="24"/>
  <c r="K61" i="24"/>
  <c r="A62" i="24"/>
  <c r="B62" i="24"/>
  <c r="I62" i="24"/>
  <c r="J62" i="24"/>
  <c r="K62" i="24"/>
  <c r="M62" i="24"/>
  <c r="B63" i="24"/>
  <c r="I63" i="24"/>
  <c r="M63" i="24" s="1"/>
  <c r="A63" i="24" s="1"/>
  <c r="J63" i="24"/>
  <c r="K63" i="24" s="1"/>
  <c r="B64" i="24"/>
  <c r="I64" i="24"/>
  <c r="J64" i="24"/>
  <c r="K64" i="24"/>
  <c r="M64" i="24"/>
  <c r="A64" i="24" s="1"/>
  <c r="B65" i="24"/>
  <c r="I65" i="24"/>
  <c r="M65" i="24" s="1"/>
  <c r="A65" i="24" s="1"/>
  <c r="J65" i="24"/>
  <c r="K65" i="24"/>
  <c r="B66" i="24"/>
  <c r="I66" i="24"/>
  <c r="J66" i="24"/>
  <c r="K66" i="24"/>
  <c r="M66" i="24"/>
  <c r="A66" i="24" s="1"/>
  <c r="B67" i="24"/>
  <c r="I67" i="24"/>
  <c r="M67" i="24" s="1"/>
  <c r="A67" i="24" s="1"/>
  <c r="J67" i="24"/>
  <c r="K67" i="24" s="1"/>
  <c r="B68" i="24"/>
  <c r="I68" i="24"/>
  <c r="M68" i="24" s="1"/>
  <c r="A68" i="24" s="1"/>
  <c r="J68" i="24"/>
  <c r="K68" i="24"/>
  <c r="B69" i="24"/>
  <c r="I69" i="24"/>
  <c r="M69" i="24" s="1"/>
  <c r="A69" i="24" s="1"/>
  <c r="J69" i="24"/>
  <c r="K69" i="24"/>
  <c r="B70" i="24"/>
  <c r="I70" i="24"/>
  <c r="M70" i="24" s="1"/>
  <c r="A70" i="24" s="1"/>
  <c r="J70" i="24"/>
  <c r="K70" i="24"/>
  <c r="B71" i="24"/>
  <c r="I71" i="24"/>
  <c r="M71" i="24" s="1"/>
  <c r="A71" i="24" s="1"/>
  <c r="J71" i="24"/>
  <c r="K71" i="24" s="1"/>
  <c r="B72" i="24"/>
  <c r="I72" i="24"/>
  <c r="M72" i="24" s="1"/>
  <c r="A72" i="24" s="1"/>
  <c r="J72" i="24"/>
  <c r="K72" i="24"/>
  <c r="B73" i="24"/>
  <c r="I73" i="24"/>
  <c r="M73" i="24" s="1"/>
  <c r="A73" i="24" s="1"/>
  <c r="J73" i="24"/>
  <c r="K73" i="24"/>
  <c r="B74" i="24"/>
  <c r="I74" i="24"/>
  <c r="M74" i="24" s="1"/>
  <c r="A74" i="24" s="1"/>
  <c r="J74" i="24"/>
  <c r="K74" i="24" s="1"/>
  <c r="B75" i="24"/>
  <c r="I75" i="24"/>
  <c r="M75" i="24" s="1"/>
  <c r="A75" i="24" s="1"/>
  <c r="J75" i="24"/>
  <c r="K75" i="24" s="1"/>
  <c r="B76" i="24"/>
  <c r="I76" i="24"/>
  <c r="M76" i="24" s="1"/>
  <c r="A76" i="24" s="1"/>
  <c r="J76" i="24"/>
  <c r="K76" i="24" s="1"/>
  <c r="B77" i="24"/>
  <c r="I77" i="24"/>
  <c r="M77" i="24" s="1"/>
  <c r="A77" i="24" s="1"/>
  <c r="J77" i="24"/>
  <c r="K77" i="24"/>
  <c r="B78" i="24"/>
  <c r="I78" i="24"/>
  <c r="M78" i="24" s="1"/>
  <c r="A78" i="24" s="1"/>
  <c r="J78" i="24"/>
  <c r="K78" i="24"/>
  <c r="B79" i="24"/>
  <c r="I79" i="24"/>
  <c r="M79" i="24" s="1"/>
  <c r="A79" i="24" s="1"/>
  <c r="J79" i="24"/>
  <c r="K79" i="24" s="1"/>
  <c r="B80" i="24"/>
  <c r="I80" i="24"/>
  <c r="J80" i="24"/>
  <c r="K80" i="24"/>
  <c r="M80" i="24"/>
  <c r="A80" i="24" s="1"/>
  <c r="B81" i="24"/>
  <c r="I81" i="24"/>
  <c r="M81" i="24" s="1"/>
  <c r="A81" i="24" s="1"/>
  <c r="J81" i="24"/>
  <c r="K81" i="24"/>
  <c r="B82" i="24"/>
  <c r="I82" i="24"/>
  <c r="J82" i="24"/>
  <c r="K82" i="24"/>
  <c r="M82" i="24"/>
  <c r="A82" i="24" s="1"/>
  <c r="A83" i="24"/>
  <c r="B83" i="24"/>
  <c r="I83" i="24"/>
  <c r="M83" i="24" s="1"/>
  <c r="J83" i="24"/>
  <c r="K83" i="24" s="1"/>
  <c r="B84" i="24"/>
  <c r="I84" i="24"/>
  <c r="J84" i="24"/>
  <c r="K84" i="24"/>
  <c r="M84" i="24"/>
  <c r="A84" i="24" s="1"/>
  <c r="B85" i="24"/>
  <c r="I85" i="24"/>
  <c r="M85" i="24" s="1"/>
  <c r="A85" i="24" s="1"/>
  <c r="J85" i="24"/>
  <c r="K85" i="24"/>
  <c r="B86" i="24"/>
  <c r="I86" i="24"/>
  <c r="M86" i="24" s="1"/>
  <c r="A86" i="24" s="1"/>
  <c r="J86" i="24"/>
  <c r="K86" i="24"/>
  <c r="B87" i="24"/>
  <c r="I87" i="24"/>
  <c r="M87" i="24" s="1"/>
  <c r="A87" i="24" s="1"/>
  <c r="J87" i="24"/>
  <c r="K87" i="24" s="1"/>
  <c r="B88" i="24"/>
  <c r="I88" i="24"/>
  <c r="M88" i="24" s="1"/>
  <c r="A88" i="24" s="1"/>
  <c r="J88" i="24"/>
  <c r="K88" i="24"/>
  <c r="B89" i="24"/>
  <c r="I89" i="24"/>
  <c r="M89" i="24" s="1"/>
  <c r="A89" i="24" s="1"/>
  <c r="J89" i="24"/>
  <c r="K89" i="24"/>
  <c r="B90" i="24"/>
  <c r="I90" i="24"/>
  <c r="M90" i="24" s="1"/>
  <c r="A90" i="24" s="1"/>
  <c r="J90" i="24"/>
  <c r="K90" i="24" s="1"/>
  <c r="B91" i="24"/>
  <c r="I91" i="24"/>
  <c r="M91" i="24" s="1"/>
  <c r="A91" i="24" s="1"/>
  <c r="J91" i="24"/>
  <c r="K91" i="24" s="1"/>
  <c r="B92" i="24"/>
  <c r="I92" i="24"/>
  <c r="M92" i="24" s="1"/>
  <c r="A92" i="24" s="1"/>
  <c r="J92" i="24"/>
  <c r="K92" i="24" s="1"/>
  <c r="B93" i="24"/>
  <c r="I93" i="24"/>
  <c r="M93" i="24" s="1"/>
  <c r="A93" i="24" s="1"/>
  <c r="J93" i="24"/>
  <c r="K93" i="24"/>
  <c r="A94" i="24"/>
  <c r="B94" i="24"/>
  <c r="I94" i="24"/>
  <c r="J94" i="24"/>
  <c r="K94" i="24"/>
  <c r="M94" i="24"/>
  <c r="B95" i="24"/>
  <c r="I95" i="24"/>
  <c r="M95" i="24" s="1"/>
  <c r="A95" i="24" s="1"/>
  <c r="J95" i="24"/>
  <c r="K95" i="24" s="1"/>
  <c r="B96" i="24"/>
  <c r="I96" i="24"/>
  <c r="J96" i="24"/>
  <c r="K96" i="24"/>
  <c r="M96" i="24"/>
  <c r="A96" i="24" s="1"/>
  <c r="B97" i="24"/>
  <c r="I97" i="24"/>
  <c r="M97" i="24" s="1"/>
  <c r="A97" i="24" s="1"/>
  <c r="J97" i="24"/>
  <c r="K97" i="24" s="1"/>
  <c r="B98" i="24"/>
  <c r="I98" i="24"/>
  <c r="J98" i="24"/>
  <c r="K98" i="24"/>
  <c r="M98" i="24"/>
  <c r="A98" i="24" s="1"/>
  <c r="B99" i="24"/>
  <c r="I99" i="24"/>
  <c r="M99" i="24" s="1"/>
  <c r="A99" i="24" s="1"/>
  <c r="J99" i="24"/>
  <c r="K99" i="24" s="1"/>
  <c r="B100" i="24"/>
  <c r="I100" i="24"/>
  <c r="M100" i="24" s="1"/>
  <c r="A100" i="24" s="1"/>
  <c r="J100" i="24"/>
  <c r="K100" i="24"/>
  <c r="B101" i="24"/>
  <c r="I101" i="24"/>
  <c r="M101" i="24" s="1"/>
  <c r="A101" i="24" s="1"/>
  <c r="J101" i="24"/>
  <c r="K101" i="24"/>
  <c r="B102" i="24"/>
  <c r="I102" i="24"/>
  <c r="J102" i="24"/>
  <c r="K102" i="24"/>
  <c r="M102" i="24"/>
  <c r="A102" i="24" s="1"/>
  <c r="B103" i="24"/>
  <c r="I103" i="24"/>
  <c r="M103" i="24" s="1"/>
  <c r="A103" i="24" s="1"/>
  <c r="J103" i="24"/>
  <c r="K103" i="24" s="1"/>
  <c r="B104" i="24"/>
  <c r="I104" i="24"/>
  <c r="M104" i="24" s="1"/>
  <c r="A104" i="24" s="1"/>
  <c r="J104" i="24"/>
  <c r="K104" i="24"/>
  <c r="B105" i="24"/>
  <c r="I105" i="24"/>
  <c r="M105" i="24" s="1"/>
  <c r="A105" i="24" s="1"/>
  <c r="J105" i="24"/>
  <c r="K105" i="24"/>
  <c r="B106" i="24"/>
  <c r="I106" i="24"/>
  <c r="M106" i="24" s="1"/>
  <c r="A106" i="24" s="1"/>
  <c r="J106" i="24"/>
  <c r="K106" i="24"/>
  <c r="B107" i="24"/>
  <c r="I107" i="24"/>
  <c r="M107" i="24" s="1"/>
  <c r="A107" i="24" s="1"/>
  <c r="J107" i="24"/>
  <c r="K107" i="24" s="1"/>
  <c r="B108" i="24"/>
  <c r="I108" i="24"/>
  <c r="M108" i="24" s="1"/>
  <c r="A108" i="24" s="1"/>
  <c r="J108" i="24"/>
  <c r="K108" i="24"/>
  <c r="B109" i="24"/>
  <c r="I109" i="24"/>
  <c r="M109" i="24" s="1"/>
  <c r="A109" i="24" s="1"/>
  <c r="J109" i="24"/>
  <c r="K109" i="24"/>
  <c r="B110" i="24"/>
  <c r="I110" i="24"/>
  <c r="M110" i="24" s="1"/>
  <c r="A110" i="24" s="1"/>
  <c r="J110" i="24"/>
  <c r="K110" i="24" s="1"/>
  <c r="B111" i="24"/>
  <c r="I111" i="24"/>
  <c r="M111" i="24" s="1"/>
  <c r="A111" i="24" s="1"/>
  <c r="J111" i="24"/>
  <c r="K111" i="24" s="1"/>
  <c r="B112" i="24"/>
  <c r="I112" i="24"/>
  <c r="M112" i="24" s="1"/>
  <c r="A112" i="24" s="1"/>
  <c r="J112" i="24"/>
  <c r="K112" i="24"/>
  <c r="B113" i="24"/>
  <c r="I113" i="24"/>
  <c r="M113" i="24" s="1"/>
  <c r="A113" i="24" s="1"/>
  <c r="J113" i="24"/>
  <c r="K113" i="24"/>
  <c r="A114" i="24"/>
  <c r="B114" i="24"/>
  <c r="I114" i="24"/>
  <c r="J114" i="24"/>
  <c r="K114" i="24"/>
  <c r="M114" i="24"/>
  <c r="B115" i="24"/>
  <c r="I115" i="24"/>
  <c r="M115" i="24" s="1"/>
  <c r="A115" i="24" s="1"/>
  <c r="J115" i="24"/>
  <c r="K115" i="24" s="1"/>
  <c r="B116" i="24"/>
  <c r="I116" i="24"/>
  <c r="J116" i="24"/>
  <c r="K116" i="24"/>
  <c r="M116" i="24"/>
  <c r="A116" i="24" s="1"/>
  <c r="B117" i="24"/>
  <c r="I117" i="24"/>
  <c r="M117" i="24" s="1"/>
  <c r="A117" i="24" s="1"/>
  <c r="J117" i="24"/>
  <c r="K117" i="24"/>
  <c r="B118" i="24"/>
  <c r="I118" i="24"/>
  <c r="J118" i="24"/>
  <c r="K118" i="24"/>
  <c r="M118" i="24"/>
  <c r="A118" i="24" s="1"/>
  <c r="B119" i="24"/>
  <c r="I119" i="24"/>
  <c r="M119" i="24" s="1"/>
  <c r="A119" i="24" s="1"/>
  <c r="J119" i="24"/>
  <c r="K119" i="24" s="1"/>
  <c r="B120" i="24"/>
  <c r="I120" i="24"/>
  <c r="M120" i="24" s="1"/>
  <c r="A120" i="24" s="1"/>
  <c r="J120" i="24"/>
  <c r="K120" i="24"/>
  <c r="B121" i="24"/>
  <c r="I121" i="24"/>
  <c r="M121" i="24" s="1"/>
  <c r="A121" i="24" s="1"/>
  <c r="J121" i="24"/>
  <c r="K121" i="24"/>
  <c r="B122" i="24"/>
  <c r="I122" i="24"/>
  <c r="M122" i="24" s="1"/>
  <c r="A122" i="24" s="1"/>
  <c r="J122" i="24"/>
  <c r="K122" i="24"/>
  <c r="B123" i="24"/>
  <c r="I123" i="24"/>
  <c r="M123" i="24" s="1"/>
  <c r="A123" i="24" s="1"/>
  <c r="J123" i="24"/>
  <c r="K123" i="24" s="1"/>
  <c r="B124" i="24"/>
  <c r="I124" i="24"/>
  <c r="M124" i="24" s="1"/>
  <c r="A124" i="24" s="1"/>
  <c r="J124" i="24"/>
  <c r="K124" i="24"/>
  <c r="B125" i="24"/>
  <c r="I125" i="24"/>
  <c r="M125" i="24" s="1"/>
  <c r="A125" i="24" s="1"/>
  <c r="J125" i="24"/>
  <c r="K125" i="24"/>
  <c r="B126" i="24"/>
  <c r="I126" i="24"/>
  <c r="M126" i="24" s="1"/>
  <c r="A126" i="24" s="1"/>
  <c r="J126" i="24"/>
  <c r="K126" i="24"/>
  <c r="B127" i="24"/>
  <c r="I127" i="24"/>
  <c r="M127" i="24" s="1"/>
  <c r="A127" i="24" s="1"/>
  <c r="J127" i="24"/>
  <c r="K127" i="24" s="1"/>
  <c r="B128" i="24"/>
  <c r="I128" i="24"/>
  <c r="J128" i="24"/>
  <c r="K128" i="24"/>
  <c r="M128" i="24"/>
  <c r="A128" i="24" s="1"/>
  <c r="B129" i="24"/>
  <c r="I129" i="24"/>
  <c r="M129" i="24" s="1"/>
  <c r="A129" i="24" s="1"/>
  <c r="J129" i="24"/>
  <c r="K129" i="24"/>
  <c r="B130" i="24"/>
  <c r="I130" i="24"/>
  <c r="J130" i="24"/>
  <c r="K130" i="24"/>
  <c r="M130" i="24"/>
  <c r="A130" i="24" s="1"/>
  <c r="B131" i="24"/>
  <c r="I131" i="24"/>
  <c r="M131" i="24" s="1"/>
  <c r="A131" i="24" s="1"/>
  <c r="J131" i="24"/>
  <c r="K131" i="24" s="1"/>
  <c r="B132" i="24"/>
  <c r="I132" i="24"/>
  <c r="M132" i="24" s="1"/>
  <c r="A132" i="24" s="1"/>
  <c r="J132" i="24"/>
  <c r="K132" i="24"/>
  <c r="B133" i="24"/>
  <c r="I133" i="24"/>
  <c r="M133" i="24" s="1"/>
  <c r="A133" i="24" s="1"/>
  <c r="J133" i="24"/>
  <c r="K133" i="24" s="1"/>
  <c r="B134" i="24"/>
  <c r="I134" i="24"/>
  <c r="J134" i="24"/>
  <c r="K134" i="24"/>
  <c r="M134" i="24"/>
  <c r="A134" i="24" s="1"/>
  <c r="B135" i="24"/>
  <c r="I135" i="24"/>
  <c r="M135" i="24" s="1"/>
  <c r="A135" i="24" s="1"/>
  <c r="J135" i="24"/>
  <c r="K135" i="24" s="1"/>
  <c r="B136" i="24"/>
  <c r="I136" i="24"/>
  <c r="M136" i="24" s="1"/>
  <c r="A136" i="24" s="1"/>
  <c r="J136" i="24"/>
  <c r="K136" i="24"/>
  <c r="B137" i="24"/>
  <c r="I137" i="24"/>
  <c r="M137" i="24" s="1"/>
  <c r="A137" i="24" s="1"/>
  <c r="J137" i="24"/>
  <c r="K137" i="24"/>
  <c r="B138" i="24"/>
  <c r="I138" i="24"/>
  <c r="J138" i="24"/>
  <c r="K138" i="24"/>
  <c r="M138" i="24"/>
  <c r="A138" i="24" s="1"/>
  <c r="B139" i="24"/>
  <c r="I139" i="24"/>
  <c r="M139" i="24" s="1"/>
  <c r="A139" i="24" s="1"/>
  <c r="J139" i="24"/>
  <c r="K139" i="24" s="1"/>
  <c r="B140" i="24"/>
  <c r="I140" i="24"/>
  <c r="M140" i="24" s="1"/>
  <c r="A140" i="24" s="1"/>
  <c r="J140" i="24"/>
  <c r="K140" i="24"/>
  <c r="I141" i="24"/>
  <c r="M141" i="24" s="1"/>
  <c r="J141" i="24"/>
  <c r="K141" i="24"/>
  <c r="I142" i="24"/>
  <c r="M142" i="24" s="1"/>
  <c r="J142" i="24"/>
  <c r="K142" i="24"/>
  <c r="I143" i="24"/>
  <c r="M143" i="24" s="1"/>
  <c r="J143" i="24"/>
  <c r="K143" i="24" s="1"/>
  <c r="I144" i="24"/>
  <c r="M144" i="24" s="1"/>
  <c r="J144" i="24"/>
  <c r="K144" i="24"/>
  <c r="I145" i="24"/>
  <c r="M145" i="24" s="1"/>
  <c r="J145" i="24"/>
  <c r="K145" i="24"/>
  <c r="I146" i="24"/>
  <c r="M146" i="24" s="1"/>
  <c r="J146" i="24"/>
  <c r="K146" i="24"/>
  <c r="I147" i="24"/>
  <c r="J147" i="24"/>
  <c r="K147" i="24"/>
  <c r="M147" i="24"/>
  <c r="I148" i="24"/>
  <c r="M148" i="24" s="1"/>
  <c r="J148" i="24"/>
  <c r="K148" i="24"/>
  <c r="I149" i="24"/>
  <c r="J149" i="24"/>
  <c r="K149" i="24"/>
  <c r="M149" i="24"/>
  <c r="I150" i="24"/>
  <c r="M150" i="24" s="1"/>
  <c r="J150" i="24"/>
  <c r="K150" i="24"/>
  <c r="I151" i="24"/>
  <c r="J151" i="24"/>
  <c r="K151" i="24"/>
  <c r="M151" i="24"/>
  <c r="I152" i="24"/>
  <c r="M152" i="24" s="1"/>
  <c r="J152" i="24"/>
  <c r="K152" i="24" s="1"/>
  <c r="I153" i="24"/>
  <c r="J153" i="24"/>
  <c r="K153" i="24"/>
  <c r="M153" i="24"/>
  <c r="I154" i="24"/>
  <c r="M154" i="24" s="1"/>
  <c r="J154" i="24"/>
  <c r="K154" i="24"/>
  <c r="I155" i="24"/>
  <c r="J155" i="24"/>
  <c r="K155" i="24"/>
  <c r="M155" i="24"/>
  <c r="I156" i="24"/>
  <c r="M156" i="24" s="1"/>
  <c r="J156" i="24"/>
  <c r="K156" i="24"/>
  <c r="I157" i="24"/>
  <c r="M157" i="24" s="1"/>
  <c r="J157" i="24"/>
  <c r="K157" i="24"/>
  <c r="I158" i="24"/>
  <c r="M158" i="24" s="1"/>
  <c r="J158" i="24"/>
  <c r="K158" i="24"/>
  <c r="I159" i="24"/>
  <c r="M159" i="24" s="1"/>
  <c r="J159" i="24"/>
  <c r="K159" i="24" s="1"/>
  <c r="I160" i="24"/>
  <c r="M160" i="24" s="1"/>
  <c r="J160" i="24"/>
  <c r="K160" i="24"/>
  <c r="I161" i="24"/>
  <c r="M161" i="24" s="1"/>
  <c r="J161" i="24"/>
  <c r="K161" i="24"/>
  <c r="I162" i="24"/>
  <c r="M162" i="24" s="1"/>
  <c r="J162" i="24"/>
  <c r="K162" i="24"/>
  <c r="I163" i="24"/>
  <c r="J163" i="24"/>
  <c r="K163" i="24"/>
  <c r="M163" i="24"/>
  <c r="I164" i="24"/>
  <c r="M164" i="24" s="1"/>
  <c r="J164" i="24"/>
  <c r="K164" i="24"/>
  <c r="I165" i="24"/>
  <c r="J165" i="24"/>
  <c r="K165" i="24"/>
  <c r="M165" i="24"/>
  <c r="I166" i="24"/>
  <c r="M166" i="24" s="1"/>
  <c r="J166" i="24"/>
  <c r="K166" i="24"/>
  <c r="I167" i="24"/>
  <c r="J167" i="24"/>
  <c r="K167" i="24"/>
  <c r="M167" i="24"/>
  <c r="I168" i="24"/>
  <c r="M168" i="24" s="1"/>
  <c r="J168" i="24"/>
  <c r="K168" i="24" s="1"/>
  <c r="I169" i="24"/>
  <c r="J169" i="24"/>
  <c r="K169" i="24"/>
  <c r="M169" i="24"/>
  <c r="I170" i="24"/>
  <c r="M170" i="24" s="1"/>
  <c r="J170" i="24"/>
  <c r="K170" i="24"/>
  <c r="I171" i="24"/>
  <c r="J171" i="24"/>
  <c r="K171" i="24"/>
  <c r="M171" i="24"/>
  <c r="I172" i="24"/>
  <c r="M172" i="24" s="1"/>
  <c r="J172" i="24"/>
  <c r="K172" i="24"/>
  <c r="I173" i="24"/>
  <c r="M173" i="24" s="1"/>
  <c r="J173" i="24"/>
  <c r="K173" i="24"/>
  <c r="I174" i="24"/>
  <c r="M174" i="24" s="1"/>
  <c r="J174" i="24"/>
  <c r="K174" i="24"/>
  <c r="I175" i="24"/>
  <c r="M175" i="24" s="1"/>
  <c r="J175" i="24"/>
  <c r="K175" i="24" s="1"/>
  <c r="I176" i="24"/>
  <c r="M176" i="24" s="1"/>
  <c r="J176" i="24"/>
  <c r="K176" i="24"/>
  <c r="I177" i="24"/>
  <c r="M177" i="24" s="1"/>
  <c r="J177" i="24"/>
  <c r="K177" i="24"/>
  <c r="I178" i="24"/>
  <c r="M178" i="24" s="1"/>
  <c r="J178" i="24"/>
  <c r="K178" i="24"/>
  <c r="I179" i="24"/>
  <c r="J179" i="24"/>
  <c r="K179" i="24"/>
  <c r="M179" i="24"/>
  <c r="I180" i="24"/>
  <c r="M180" i="24" s="1"/>
  <c r="J180" i="24"/>
  <c r="K180" i="24"/>
  <c r="I181" i="24"/>
  <c r="J181" i="24"/>
  <c r="K181" i="24"/>
  <c r="M181" i="24"/>
  <c r="I182" i="24"/>
  <c r="M182" i="24" s="1"/>
  <c r="J182" i="24"/>
  <c r="K182" i="24"/>
  <c r="I183" i="24"/>
  <c r="J183" i="24"/>
  <c r="K183" i="24"/>
  <c r="M183" i="24"/>
  <c r="I184" i="24"/>
  <c r="M184" i="24" s="1"/>
  <c r="J184" i="24"/>
  <c r="K184" i="24" s="1"/>
  <c r="I185" i="24"/>
  <c r="J185" i="24"/>
  <c r="K185" i="24"/>
  <c r="M185" i="24"/>
  <c r="I186" i="24"/>
  <c r="M186" i="24" s="1"/>
  <c r="J186" i="24"/>
  <c r="K186" i="24"/>
  <c r="I187" i="24"/>
  <c r="J187" i="24"/>
  <c r="K187" i="24"/>
  <c r="M187" i="24"/>
  <c r="I188" i="24"/>
  <c r="M188" i="24" s="1"/>
  <c r="J188" i="24"/>
  <c r="K188" i="24"/>
  <c r="I189" i="24"/>
  <c r="M189" i="24" s="1"/>
  <c r="J189" i="24"/>
  <c r="K189" i="24" s="1"/>
  <c r="I190" i="24"/>
  <c r="M190" i="24" s="1"/>
  <c r="J190" i="24"/>
  <c r="K190" i="24"/>
  <c r="I191" i="24"/>
  <c r="J191" i="24"/>
  <c r="K191" i="24" s="1"/>
  <c r="M191" i="24"/>
  <c r="I192" i="24"/>
  <c r="J192" i="24"/>
  <c r="K192" i="24"/>
  <c r="M192" i="24"/>
  <c r="I193" i="24"/>
  <c r="J193" i="24"/>
  <c r="K193" i="24" s="1"/>
  <c r="M193" i="24"/>
  <c r="I194" i="24"/>
  <c r="M194" i="24" s="1"/>
  <c r="J194" i="24"/>
  <c r="K194" i="24"/>
  <c r="I195" i="24"/>
  <c r="J195" i="24"/>
  <c r="K195" i="24" s="1"/>
  <c r="M195" i="24"/>
  <c r="I196" i="24"/>
  <c r="J196" i="24"/>
  <c r="K196" i="24" s="1"/>
  <c r="M196" i="24"/>
  <c r="I197" i="24"/>
  <c r="J197" i="24"/>
  <c r="K197" i="24" s="1"/>
  <c r="M197" i="24"/>
  <c r="I198" i="24"/>
  <c r="J198" i="24"/>
  <c r="K198" i="24"/>
  <c r="M198" i="24"/>
  <c r="I199" i="24"/>
  <c r="M199" i="24" s="1"/>
  <c r="J199" i="24"/>
  <c r="K199" i="24" s="1"/>
  <c r="I200" i="24"/>
  <c r="M200" i="24" s="1"/>
  <c r="J200" i="24"/>
  <c r="K200" i="24"/>
  <c r="I201" i="24"/>
  <c r="J201" i="24"/>
  <c r="K201" i="24" s="1"/>
  <c r="M201" i="24"/>
  <c r="I202" i="24"/>
  <c r="M202" i="24" s="1"/>
  <c r="J202" i="24"/>
  <c r="K202" i="24" s="1"/>
  <c r="I203" i="24"/>
  <c r="J203" i="24"/>
  <c r="K203" i="24" s="1"/>
  <c r="M203" i="24"/>
  <c r="I204" i="24"/>
  <c r="M204" i="24" s="1"/>
  <c r="J204" i="24"/>
  <c r="K204" i="24" s="1"/>
  <c r="I205" i="24"/>
  <c r="M205" i="24" s="1"/>
  <c r="J205" i="24"/>
  <c r="K205" i="24" s="1"/>
  <c r="I206" i="24"/>
  <c r="M206" i="24" s="1"/>
  <c r="J206" i="24"/>
  <c r="K206" i="24"/>
  <c r="I207" i="24"/>
  <c r="J207" i="24"/>
  <c r="K207" i="24" s="1"/>
  <c r="M207" i="24"/>
  <c r="I208" i="24"/>
  <c r="J208" i="24"/>
  <c r="K208" i="24" s="1"/>
  <c r="M208" i="24"/>
  <c r="I209" i="24"/>
  <c r="J209" i="24"/>
  <c r="K209" i="24" s="1"/>
  <c r="M209" i="24"/>
  <c r="I210" i="24"/>
  <c r="M210" i="24" s="1"/>
  <c r="J210" i="24"/>
  <c r="K210" i="24" s="1"/>
  <c r="I211" i="24"/>
  <c r="J211" i="24"/>
  <c r="K211" i="24" s="1"/>
  <c r="M211" i="24"/>
  <c r="I212" i="24"/>
  <c r="J212" i="24"/>
  <c r="K212" i="24" s="1"/>
  <c r="M212" i="24"/>
  <c r="I213" i="24"/>
  <c r="M213" i="24" s="1"/>
  <c r="J213" i="24"/>
  <c r="K213" i="24" s="1"/>
  <c r="I214" i="24"/>
  <c r="J214" i="24"/>
  <c r="K214" i="24"/>
  <c r="M214" i="24"/>
  <c r="I215" i="24"/>
  <c r="M215" i="24" s="1"/>
  <c r="J215" i="24"/>
  <c r="K215" i="24" s="1"/>
  <c r="I216" i="24"/>
  <c r="M216" i="24" s="1"/>
  <c r="J216" i="24"/>
  <c r="K216" i="24"/>
  <c r="I217" i="24"/>
  <c r="J217" i="24"/>
  <c r="K217" i="24" s="1"/>
  <c r="M217" i="24"/>
  <c r="I218" i="24"/>
  <c r="M218" i="24" s="1"/>
  <c r="J218" i="24"/>
  <c r="K218" i="24" s="1"/>
  <c r="I219" i="24"/>
  <c r="J219" i="24"/>
  <c r="K219" i="24" s="1"/>
  <c r="M219" i="24"/>
  <c r="I220" i="24"/>
  <c r="M220" i="24" s="1"/>
  <c r="J220" i="24"/>
  <c r="K220" i="24"/>
  <c r="I221" i="24"/>
  <c r="M221" i="24" s="1"/>
  <c r="J221" i="24"/>
  <c r="K221" i="24" s="1"/>
  <c r="I222" i="24"/>
  <c r="J222" i="24"/>
  <c r="K222" i="24"/>
  <c r="M222" i="24"/>
  <c r="I223" i="24"/>
  <c r="M223" i="24" s="1"/>
  <c r="J223" i="24"/>
  <c r="K223" i="24" s="1"/>
  <c r="I224" i="24"/>
  <c r="J224" i="24"/>
  <c r="K224" i="24" s="1"/>
  <c r="M224" i="24"/>
  <c r="I225" i="24"/>
  <c r="J225" i="24"/>
  <c r="K225" i="24" s="1"/>
  <c r="M225" i="24"/>
  <c r="I226" i="24"/>
  <c r="M226" i="24" s="1"/>
  <c r="J226" i="24"/>
  <c r="K226" i="24"/>
  <c r="I227" i="24"/>
  <c r="J227" i="24"/>
  <c r="K227" i="24" s="1"/>
  <c r="M227" i="24"/>
  <c r="I228" i="24"/>
  <c r="J228" i="24"/>
  <c r="K228" i="24" s="1"/>
  <c r="M228" i="24"/>
  <c r="I229" i="24"/>
  <c r="J229" i="24"/>
  <c r="K229" i="24" s="1"/>
  <c r="M229" i="24"/>
  <c r="I230" i="24"/>
  <c r="J230" i="24"/>
  <c r="K230" i="24"/>
  <c r="M230" i="24"/>
  <c r="I231" i="24"/>
  <c r="M231" i="24" s="1"/>
  <c r="J231" i="24"/>
  <c r="K231" i="24" s="1"/>
  <c r="I232" i="24"/>
  <c r="M232" i="24" s="1"/>
  <c r="J232" i="24"/>
  <c r="K232" i="24"/>
  <c r="I233" i="24"/>
  <c r="J233" i="24"/>
  <c r="K233" i="24" s="1"/>
  <c r="M233" i="24"/>
  <c r="I234" i="24"/>
  <c r="M234" i="24" s="1"/>
  <c r="J234" i="24"/>
  <c r="K234" i="24" s="1"/>
  <c r="I235" i="24"/>
  <c r="J235" i="24"/>
  <c r="K235" i="24" s="1"/>
  <c r="M235" i="24"/>
  <c r="I236" i="24"/>
  <c r="M236" i="24" s="1"/>
  <c r="J236" i="24"/>
  <c r="K236" i="24"/>
  <c r="I237" i="24"/>
  <c r="J237" i="24"/>
  <c r="K237" i="24" s="1"/>
  <c r="M237" i="24"/>
  <c r="I238" i="24"/>
  <c r="J238" i="24"/>
  <c r="K238" i="24"/>
  <c r="M238" i="24"/>
  <c r="I239" i="24"/>
  <c r="M239" i="24" s="1"/>
  <c r="J239" i="24"/>
  <c r="K239" i="24" s="1"/>
  <c r="I240" i="24"/>
  <c r="J240" i="24"/>
  <c r="K240" i="24" s="1"/>
  <c r="M240" i="24"/>
  <c r="I241" i="24"/>
  <c r="J241" i="24"/>
  <c r="K241" i="24" s="1"/>
  <c r="M241" i="24"/>
  <c r="I242" i="24"/>
  <c r="M242" i="24" s="1"/>
  <c r="J242" i="24"/>
  <c r="K242" i="24"/>
  <c r="I243" i="24"/>
  <c r="J243" i="24"/>
  <c r="K243" i="24" s="1"/>
  <c r="M243" i="24"/>
  <c r="I244" i="24"/>
  <c r="M244" i="24" s="1"/>
  <c r="J244" i="24"/>
  <c r="K244" i="24" s="1"/>
  <c r="I245" i="24"/>
  <c r="J245" i="24"/>
  <c r="K245" i="24" s="1"/>
  <c r="M245" i="24"/>
  <c r="I246" i="24"/>
  <c r="J246" i="24"/>
  <c r="K246" i="24"/>
  <c r="M246" i="24"/>
  <c r="I247" i="24"/>
  <c r="J247" i="24"/>
  <c r="K247" i="24" s="1"/>
  <c r="M247" i="24"/>
  <c r="I248" i="24"/>
  <c r="M248" i="24" s="1"/>
  <c r="J248" i="24"/>
  <c r="K248" i="24"/>
  <c r="I249" i="24"/>
  <c r="M249" i="24" s="1"/>
  <c r="J249" i="24"/>
  <c r="K249" i="24" s="1"/>
  <c r="I250" i="24"/>
  <c r="M250" i="24" s="1"/>
  <c r="J250" i="24"/>
  <c r="K250" i="24" s="1"/>
  <c r="I251" i="24"/>
  <c r="M251" i="24" s="1"/>
  <c r="J251" i="24"/>
  <c r="K251" i="24" s="1"/>
  <c r="I252" i="24"/>
  <c r="M252" i="24" s="1"/>
  <c r="J252" i="24"/>
  <c r="K252" i="24"/>
  <c r="I253" i="24"/>
  <c r="M253" i="24" s="1"/>
  <c r="J253" i="24"/>
  <c r="K253" i="24" s="1"/>
  <c r="I254" i="24"/>
  <c r="M254" i="24" s="1"/>
  <c r="J254" i="24"/>
  <c r="K254" i="24"/>
  <c r="I255" i="24"/>
  <c r="M255" i="24" s="1"/>
  <c r="J255" i="24"/>
  <c r="K255" i="24" s="1"/>
  <c r="I256" i="24"/>
  <c r="J256" i="24"/>
  <c r="K256" i="24"/>
  <c r="M256" i="24"/>
  <c r="I257" i="24"/>
  <c r="M257" i="24" s="1"/>
  <c r="J257" i="24"/>
  <c r="K257" i="24" s="1"/>
  <c r="I258" i="24"/>
  <c r="M258" i="24" s="1"/>
  <c r="J258" i="24"/>
  <c r="K258" i="24" s="1"/>
  <c r="I259" i="24"/>
  <c r="M259" i="24" s="1"/>
  <c r="J259" i="24"/>
  <c r="K259" i="24" s="1"/>
  <c r="I260" i="24"/>
  <c r="M260" i="24" s="1"/>
  <c r="J260" i="24"/>
  <c r="K260" i="24"/>
  <c r="I261" i="24"/>
  <c r="M261" i="24" s="1"/>
  <c r="J261" i="24"/>
  <c r="K261" i="24" s="1"/>
  <c r="I262" i="24"/>
  <c r="M262" i="24" s="1"/>
  <c r="J262" i="24"/>
  <c r="K262" i="24"/>
  <c r="I263" i="24"/>
  <c r="M263" i="24" s="1"/>
  <c r="J263" i="24"/>
  <c r="K263" i="24" s="1"/>
  <c r="I264" i="24"/>
  <c r="J264" i="24"/>
  <c r="K264" i="24"/>
  <c r="M264" i="24"/>
  <c r="I265" i="24"/>
  <c r="M265" i="24" s="1"/>
  <c r="J265" i="24"/>
  <c r="K265" i="24" s="1"/>
  <c r="I266" i="24"/>
  <c r="M266" i="24" s="1"/>
  <c r="J266" i="24"/>
  <c r="K266" i="24" s="1"/>
  <c r="I267" i="24"/>
  <c r="M267" i="24" s="1"/>
  <c r="J267" i="24"/>
  <c r="K267" i="24" s="1"/>
  <c r="I268" i="24"/>
  <c r="M268" i="24" s="1"/>
  <c r="J268" i="24"/>
  <c r="K268" i="24" s="1"/>
  <c r="I269" i="24"/>
  <c r="M269" i="24" s="1"/>
  <c r="J269" i="24"/>
  <c r="K269" i="24" s="1"/>
  <c r="I270" i="24"/>
  <c r="M270" i="24" s="1"/>
  <c r="J270" i="24"/>
  <c r="K270" i="24"/>
  <c r="I271" i="24"/>
  <c r="M271" i="24" s="1"/>
  <c r="J271" i="24"/>
  <c r="K271" i="24" s="1"/>
  <c r="I272" i="24"/>
  <c r="J272" i="24"/>
  <c r="K272" i="24"/>
  <c r="M272" i="24"/>
  <c r="I273" i="24"/>
  <c r="M273" i="24" s="1"/>
  <c r="J273" i="24"/>
  <c r="K273" i="24" s="1"/>
  <c r="I274" i="24"/>
  <c r="M274" i="24" s="1"/>
  <c r="J274" i="24"/>
  <c r="K274" i="24" s="1"/>
  <c r="I275" i="24"/>
  <c r="M275" i="24" s="1"/>
  <c r="J275" i="24"/>
  <c r="K275" i="24" s="1"/>
  <c r="I276" i="24"/>
  <c r="J276" i="24"/>
  <c r="K276" i="24"/>
  <c r="M276" i="24"/>
  <c r="I277" i="24"/>
  <c r="M277" i="24" s="1"/>
  <c r="J277" i="24"/>
  <c r="K277" i="24" s="1"/>
  <c r="I278" i="24"/>
  <c r="M278" i="24" s="1"/>
  <c r="J278" i="24"/>
  <c r="K278" i="24"/>
  <c r="I279" i="24"/>
  <c r="M279" i="24" s="1"/>
  <c r="J279" i="24"/>
  <c r="K279" i="24" s="1"/>
  <c r="I280" i="24"/>
  <c r="M280" i="24" s="1"/>
  <c r="J280" i="24"/>
  <c r="K280" i="24"/>
  <c r="I281" i="24"/>
  <c r="M281" i="24" s="1"/>
  <c r="J281" i="24"/>
  <c r="K281" i="24" s="1"/>
  <c r="I282" i="24"/>
  <c r="M282" i="24" s="1"/>
  <c r="J282" i="24"/>
  <c r="K282" i="24" s="1"/>
  <c r="I283" i="24"/>
  <c r="M283" i="24" s="1"/>
  <c r="J283" i="24"/>
  <c r="K283" i="24" s="1"/>
  <c r="I284" i="24"/>
  <c r="M284" i="24" s="1"/>
  <c r="J284" i="24"/>
  <c r="K284" i="24"/>
  <c r="I285" i="24"/>
  <c r="M285" i="24" s="1"/>
  <c r="J285" i="24"/>
  <c r="K285" i="24" s="1"/>
  <c r="I286" i="24"/>
  <c r="J286" i="24"/>
  <c r="K286" i="24"/>
  <c r="M286" i="24"/>
  <c r="I287" i="24"/>
  <c r="M287" i="24" s="1"/>
  <c r="J287" i="24"/>
  <c r="K287" i="24" s="1"/>
  <c r="I288" i="24"/>
  <c r="J288" i="24"/>
  <c r="K288" i="24"/>
  <c r="M288" i="24"/>
  <c r="I289" i="24"/>
  <c r="M289" i="24" s="1"/>
  <c r="J289" i="24"/>
  <c r="K289" i="24" s="1"/>
  <c r="I290" i="24"/>
  <c r="M290" i="24" s="1"/>
  <c r="J290" i="24"/>
  <c r="K290" i="24" s="1"/>
  <c r="I291" i="24"/>
  <c r="M291" i="24" s="1"/>
  <c r="J291" i="24"/>
  <c r="K291" i="24" s="1"/>
  <c r="I292" i="24"/>
  <c r="M292" i="24" s="1"/>
  <c r="J292" i="24"/>
  <c r="K292" i="24"/>
  <c r="I293" i="24"/>
  <c r="M293" i="24" s="1"/>
  <c r="J293" i="24"/>
  <c r="K293" i="24" s="1"/>
  <c r="I294" i="24"/>
  <c r="J294" i="24"/>
  <c r="K294" i="24"/>
  <c r="M294" i="24"/>
  <c r="I295" i="24"/>
  <c r="M295" i="24" s="1"/>
  <c r="J295" i="24"/>
  <c r="K295" i="24" s="1"/>
  <c r="I296" i="24"/>
  <c r="M296" i="24" s="1"/>
  <c r="J296" i="24"/>
  <c r="K296" i="24"/>
  <c r="I297" i="24"/>
  <c r="M297" i="24" s="1"/>
  <c r="J297" i="24"/>
  <c r="K297" i="24" s="1"/>
  <c r="I298" i="24"/>
  <c r="M298" i="24" s="1"/>
  <c r="J298" i="24"/>
  <c r="K298" i="24" s="1"/>
  <c r="I299" i="24"/>
  <c r="M299" i="24" s="1"/>
  <c r="J299" i="24"/>
  <c r="K299" i="24" s="1"/>
  <c r="I300" i="24"/>
  <c r="J300" i="24"/>
  <c r="K300" i="24"/>
  <c r="M300" i="24"/>
  <c r="I301" i="24"/>
  <c r="M301" i="24" s="1"/>
  <c r="J301" i="24"/>
  <c r="K301" i="24" s="1"/>
  <c r="I302" i="24"/>
  <c r="M302" i="24" s="1"/>
  <c r="J302" i="24"/>
  <c r="K302" i="24"/>
  <c r="I303" i="24"/>
  <c r="M303" i="24" s="1"/>
  <c r="J303" i="24"/>
  <c r="K303" i="24" s="1"/>
  <c r="I304" i="24"/>
  <c r="M304" i="24" s="1"/>
  <c r="J304" i="24"/>
  <c r="K304" i="24"/>
  <c r="I305" i="24"/>
  <c r="M305" i="24" s="1"/>
  <c r="J305" i="24"/>
  <c r="K305" i="24" s="1"/>
  <c r="K2" i="23"/>
  <c r="L7" i="23" s="1"/>
  <c r="A6" i="23"/>
  <c r="B6" i="23"/>
  <c r="I6" i="23"/>
  <c r="M6" i="23" s="1"/>
  <c r="K6" i="23"/>
  <c r="B7" i="23"/>
  <c r="I7" i="23"/>
  <c r="M7" i="23" s="1"/>
  <c r="A7" i="23" s="1"/>
  <c r="K7" i="23"/>
  <c r="B8" i="23"/>
  <c r="I8" i="23"/>
  <c r="K8" i="23"/>
  <c r="M8" i="23"/>
  <c r="A8" i="23" s="1"/>
  <c r="A9" i="23"/>
  <c r="B9" i="23"/>
  <c r="I9" i="23"/>
  <c r="K9" i="23"/>
  <c r="M9" i="23"/>
  <c r="A10" i="23"/>
  <c r="B10" i="23"/>
  <c r="I10" i="23"/>
  <c r="M10" i="23" s="1"/>
  <c r="J10" i="23"/>
  <c r="K10" i="23"/>
  <c r="B11" i="23"/>
  <c r="I11" i="23"/>
  <c r="M11" i="23" s="1"/>
  <c r="A11" i="23" s="1"/>
  <c r="J11" i="23"/>
  <c r="K11" i="23"/>
  <c r="A12" i="23"/>
  <c r="B12" i="23"/>
  <c r="I12" i="23"/>
  <c r="J12" i="23"/>
  <c r="K12" i="23" s="1"/>
  <c r="M12" i="23"/>
  <c r="AI12" i="23"/>
  <c r="B13" i="23"/>
  <c r="I13" i="23"/>
  <c r="J13" i="23"/>
  <c r="K13" i="23"/>
  <c r="M13" i="23"/>
  <c r="A13" i="23" s="1"/>
  <c r="AI13" i="23"/>
  <c r="B14" i="23"/>
  <c r="I14" i="23"/>
  <c r="M14" i="23" s="1"/>
  <c r="A14" i="23" s="1"/>
  <c r="J14" i="23"/>
  <c r="K14" i="23" s="1"/>
  <c r="AI14" i="23"/>
  <c r="A15" i="23"/>
  <c r="B15" i="23"/>
  <c r="I15" i="23"/>
  <c r="M15" i="23" s="1"/>
  <c r="J15" i="23"/>
  <c r="K15" i="23" s="1"/>
  <c r="B16" i="23"/>
  <c r="I16" i="23"/>
  <c r="J16" i="23"/>
  <c r="K16" i="23" s="1"/>
  <c r="M16" i="23"/>
  <c r="A16" i="23" s="1"/>
  <c r="B17" i="23"/>
  <c r="I17" i="23"/>
  <c r="M17" i="23" s="1"/>
  <c r="A17" i="23" s="1"/>
  <c r="J17" i="23"/>
  <c r="K17" i="23"/>
  <c r="A18" i="23"/>
  <c r="B18" i="23"/>
  <c r="I18" i="23"/>
  <c r="J18" i="23"/>
  <c r="K18" i="23" s="1"/>
  <c r="M18" i="23"/>
  <c r="B19" i="23"/>
  <c r="I19" i="23"/>
  <c r="J19" i="23"/>
  <c r="K19" i="23" s="1"/>
  <c r="M19" i="23"/>
  <c r="A19" i="23" s="1"/>
  <c r="A20" i="23"/>
  <c r="B20" i="23"/>
  <c r="I20" i="23"/>
  <c r="M20" i="23" s="1"/>
  <c r="J20" i="23"/>
  <c r="K20" i="23"/>
  <c r="B21" i="23"/>
  <c r="I21" i="23"/>
  <c r="M21" i="23" s="1"/>
  <c r="A21" i="23" s="1"/>
  <c r="J21" i="23"/>
  <c r="K21" i="23" s="1"/>
  <c r="B22" i="23"/>
  <c r="I22" i="23"/>
  <c r="J22" i="23"/>
  <c r="K22" i="23"/>
  <c r="M22" i="23"/>
  <c r="A22" i="23" s="1"/>
  <c r="A23" i="23"/>
  <c r="B23" i="23"/>
  <c r="I23" i="23"/>
  <c r="J23" i="23"/>
  <c r="K23" i="23" s="1"/>
  <c r="M23" i="23"/>
  <c r="A24" i="23"/>
  <c r="B24" i="23"/>
  <c r="I24" i="23"/>
  <c r="M24" i="23" s="1"/>
  <c r="J24" i="23"/>
  <c r="K24" i="23"/>
  <c r="B25" i="23"/>
  <c r="I25" i="23"/>
  <c r="M25" i="23" s="1"/>
  <c r="A25" i="23" s="1"/>
  <c r="J25" i="23"/>
  <c r="K25" i="23"/>
  <c r="A26" i="23"/>
  <c r="B26" i="23"/>
  <c r="I26" i="23"/>
  <c r="J26" i="23"/>
  <c r="K26" i="23" s="1"/>
  <c r="M26" i="23"/>
  <c r="B27" i="23"/>
  <c r="I27" i="23"/>
  <c r="J27" i="23"/>
  <c r="K27" i="23" s="1"/>
  <c r="M27" i="23"/>
  <c r="A27" i="23" s="1"/>
  <c r="B28" i="23"/>
  <c r="I28" i="23"/>
  <c r="J28" i="23"/>
  <c r="K28" i="23"/>
  <c r="M28" i="23"/>
  <c r="A28" i="23" s="1"/>
  <c r="B29" i="23"/>
  <c r="I29" i="23"/>
  <c r="M29" i="23" s="1"/>
  <c r="A29" i="23" s="1"/>
  <c r="J29" i="23"/>
  <c r="K29" i="23" s="1"/>
  <c r="B30" i="23"/>
  <c r="I30" i="23"/>
  <c r="J30" i="23"/>
  <c r="K30" i="23" s="1"/>
  <c r="M30" i="23"/>
  <c r="A30" i="23" s="1"/>
  <c r="A31" i="23"/>
  <c r="B31" i="23"/>
  <c r="I31" i="23"/>
  <c r="J31" i="23"/>
  <c r="K31" i="23" s="1"/>
  <c r="M31" i="23"/>
  <c r="B32" i="23"/>
  <c r="I32" i="23"/>
  <c r="M32" i="23" s="1"/>
  <c r="A32" i="23" s="1"/>
  <c r="J32" i="23"/>
  <c r="K32" i="23"/>
  <c r="B33" i="23"/>
  <c r="I33" i="23"/>
  <c r="M33" i="23" s="1"/>
  <c r="A33" i="23" s="1"/>
  <c r="J33" i="23"/>
  <c r="K33" i="23" s="1"/>
  <c r="A34" i="23"/>
  <c r="B34" i="23"/>
  <c r="I34" i="23"/>
  <c r="J34" i="23"/>
  <c r="K34" i="23"/>
  <c r="M34" i="23"/>
  <c r="B35" i="23"/>
  <c r="I35" i="23"/>
  <c r="M35" i="23" s="1"/>
  <c r="A35" i="23" s="1"/>
  <c r="J35" i="23"/>
  <c r="K35" i="23" s="1"/>
  <c r="B36" i="23"/>
  <c r="I36" i="23"/>
  <c r="J36" i="23"/>
  <c r="K36" i="23"/>
  <c r="M36" i="23"/>
  <c r="A36" i="23" s="1"/>
  <c r="B37" i="23"/>
  <c r="I37" i="23"/>
  <c r="M37" i="23" s="1"/>
  <c r="A37" i="23" s="1"/>
  <c r="J37" i="23"/>
  <c r="K37" i="23"/>
  <c r="B38" i="23"/>
  <c r="I38" i="23"/>
  <c r="J38" i="23"/>
  <c r="K38" i="23"/>
  <c r="M38" i="23"/>
  <c r="B39" i="23"/>
  <c r="I39" i="23"/>
  <c r="J39" i="23"/>
  <c r="K39" i="23"/>
  <c r="M39" i="23"/>
  <c r="B40" i="23"/>
  <c r="I40" i="23"/>
  <c r="M40" i="23" s="1"/>
  <c r="J40" i="23"/>
  <c r="K40" i="23" s="1"/>
  <c r="B41" i="23"/>
  <c r="I41" i="23"/>
  <c r="M41" i="23" s="1"/>
  <c r="J41" i="23"/>
  <c r="K41" i="23" s="1"/>
  <c r="B42" i="23"/>
  <c r="I42" i="23"/>
  <c r="M42" i="23" s="1"/>
  <c r="J42" i="23"/>
  <c r="K42" i="23" s="1"/>
  <c r="B43" i="23"/>
  <c r="I43" i="23"/>
  <c r="J43" i="23"/>
  <c r="K43" i="23" s="1"/>
  <c r="M43" i="23"/>
  <c r="B44" i="23"/>
  <c r="I44" i="23"/>
  <c r="M44" i="23" s="1"/>
  <c r="J44" i="23"/>
  <c r="K44" i="23"/>
  <c r="B45" i="23"/>
  <c r="I45" i="23"/>
  <c r="M45" i="23" s="1"/>
  <c r="J45" i="23"/>
  <c r="K45" i="23"/>
  <c r="B46" i="23"/>
  <c r="I46" i="23"/>
  <c r="J46" i="23"/>
  <c r="K46" i="23"/>
  <c r="M46" i="23"/>
  <c r="R46" i="23"/>
  <c r="U46" i="23" s="1"/>
  <c r="T46" i="23"/>
  <c r="B47" i="23"/>
  <c r="I47" i="23"/>
  <c r="M47" i="23" s="1"/>
  <c r="J47" i="23"/>
  <c r="K47" i="23"/>
  <c r="B48" i="23"/>
  <c r="I48" i="23"/>
  <c r="J48" i="23"/>
  <c r="K48" i="23"/>
  <c r="M48" i="23"/>
  <c r="B49" i="23"/>
  <c r="I49" i="23"/>
  <c r="J49" i="23"/>
  <c r="K49" i="23"/>
  <c r="M49" i="23"/>
  <c r="B50" i="23"/>
  <c r="I50" i="23"/>
  <c r="M50" i="23" s="1"/>
  <c r="J50" i="23"/>
  <c r="K50" i="23" s="1"/>
  <c r="B51" i="23"/>
  <c r="I51" i="23"/>
  <c r="J51" i="23"/>
  <c r="K51" i="23" s="1"/>
  <c r="M51" i="23"/>
  <c r="B52" i="23"/>
  <c r="I52" i="23"/>
  <c r="J52" i="23"/>
  <c r="K52" i="23" s="1"/>
  <c r="M52" i="23"/>
  <c r="B53" i="23"/>
  <c r="I53" i="23"/>
  <c r="M53" i="23" s="1"/>
  <c r="J53" i="23"/>
  <c r="K53" i="23" s="1"/>
  <c r="B54" i="23"/>
  <c r="I54" i="23"/>
  <c r="M54" i="23" s="1"/>
  <c r="J54" i="23"/>
  <c r="K54" i="23"/>
  <c r="B55" i="23"/>
  <c r="I55" i="23"/>
  <c r="M55" i="23" s="1"/>
  <c r="J55" i="23"/>
  <c r="K55" i="23"/>
  <c r="B56" i="23"/>
  <c r="I56" i="23"/>
  <c r="J56" i="23"/>
  <c r="K56" i="23"/>
  <c r="M56" i="23"/>
  <c r="B57" i="23"/>
  <c r="I57" i="23"/>
  <c r="M57" i="23" s="1"/>
  <c r="J57" i="23"/>
  <c r="K57" i="23" s="1"/>
  <c r="B58" i="23"/>
  <c r="I58" i="23"/>
  <c r="M58" i="23" s="1"/>
  <c r="J58" i="23"/>
  <c r="K58" i="23" s="1"/>
  <c r="B59" i="23"/>
  <c r="I59" i="23"/>
  <c r="M59" i="23" s="1"/>
  <c r="J59" i="23"/>
  <c r="K59" i="23"/>
  <c r="B60" i="23"/>
  <c r="I60" i="23"/>
  <c r="J60" i="23"/>
  <c r="K60" i="23"/>
  <c r="M60" i="23"/>
  <c r="B61" i="23"/>
  <c r="I61" i="23"/>
  <c r="M61" i="23" s="1"/>
  <c r="J61" i="23"/>
  <c r="K61" i="23"/>
  <c r="B62" i="23"/>
  <c r="I62" i="23"/>
  <c r="M62" i="23" s="1"/>
  <c r="J62" i="23"/>
  <c r="K62" i="23" s="1"/>
  <c r="B63" i="23"/>
  <c r="I63" i="23"/>
  <c r="J63" i="23"/>
  <c r="K63" i="23"/>
  <c r="M63" i="23"/>
  <c r="B64" i="23"/>
  <c r="I64" i="23"/>
  <c r="M64" i="23" s="1"/>
  <c r="J64" i="23"/>
  <c r="K64" i="23"/>
  <c r="B65" i="23"/>
  <c r="I65" i="23"/>
  <c r="J65" i="23"/>
  <c r="K65" i="23"/>
  <c r="M65" i="23"/>
  <c r="I66" i="23"/>
  <c r="M66" i="23" s="1"/>
  <c r="J66" i="23"/>
  <c r="K66" i="23"/>
  <c r="I67" i="23"/>
  <c r="J67" i="23"/>
  <c r="K67" i="23" s="1"/>
  <c r="M67" i="23"/>
  <c r="I68" i="23"/>
  <c r="M68" i="23" s="1"/>
  <c r="J68" i="23"/>
  <c r="K68" i="23"/>
  <c r="I69" i="23"/>
  <c r="J69" i="23"/>
  <c r="K69" i="23"/>
  <c r="M69" i="23"/>
  <c r="I70" i="23"/>
  <c r="M70" i="23" s="1"/>
  <c r="J70" i="23"/>
  <c r="K70" i="23" s="1"/>
  <c r="I71" i="23"/>
  <c r="J71" i="23"/>
  <c r="K71" i="23"/>
  <c r="M71" i="23"/>
  <c r="I72" i="23"/>
  <c r="M72" i="23" s="1"/>
  <c r="J72" i="23"/>
  <c r="K72" i="23" s="1"/>
  <c r="I73" i="23"/>
  <c r="J73" i="23"/>
  <c r="K73" i="23"/>
  <c r="M73" i="23"/>
  <c r="I74" i="23"/>
  <c r="M74" i="23" s="1"/>
  <c r="J74" i="23"/>
  <c r="K74" i="23"/>
  <c r="I75" i="23"/>
  <c r="M75" i="23" s="1"/>
  <c r="J75" i="23"/>
  <c r="K75" i="23"/>
  <c r="I76" i="23"/>
  <c r="M76" i="23" s="1"/>
  <c r="J76" i="23"/>
  <c r="K76" i="23" s="1"/>
  <c r="I77" i="23"/>
  <c r="M77" i="23" s="1"/>
  <c r="J77" i="23"/>
  <c r="K77" i="23" s="1"/>
  <c r="I78" i="23"/>
  <c r="M78" i="23" s="1"/>
  <c r="J78" i="23"/>
  <c r="K78" i="23"/>
  <c r="I79" i="23"/>
  <c r="M79" i="23" s="1"/>
  <c r="J79" i="23"/>
  <c r="K79" i="23" s="1"/>
  <c r="I80" i="23"/>
  <c r="M80" i="23" s="1"/>
  <c r="J80" i="23"/>
  <c r="K80" i="23"/>
  <c r="I81" i="23"/>
  <c r="J81" i="23"/>
  <c r="K81" i="23"/>
  <c r="M81" i="23"/>
  <c r="I82" i="23"/>
  <c r="M82" i="23" s="1"/>
  <c r="J82" i="23"/>
  <c r="K82" i="23"/>
  <c r="I83" i="23"/>
  <c r="J83" i="23"/>
  <c r="K83" i="23" s="1"/>
  <c r="M83" i="23"/>
  <c r="I84" i="23"/>
  <c r="M84" i="23" s="1"/>
  <c r="J84" i="23"/>
  <c r="K84" i="23"/>
  <c r="I85" i="23"/>
  <c r="J85" i="23"/>
  <c r="K85" i="23"/>
  <c r="M85" i="23"/>
  <c r="I86" i="23"/>
  <c r="M86" i="23" s="1"/>
  <c r="J86" i="23"/>
  <c r="K86" i="23" s="1"/>
  <c r="I87" i="23"/>
  <c r="J87" i="23"/>
  <c r="K87" i="23"/>
  <c r="M87" i="23"/>
  <c r="I88" i="23"/>
  <c r="M88" i="23" s="1"/>
  <c r="J88" i="23"/>
  <c r="K88" i="23" s="1"/>
  <c r="I89" i="23"/>
  <c r="J89" i="23"/>
  <c r="K89" i="23"/>
  <c r="M89" i="23"/>
  <c r="I90" i="23"/>
  <c r="M90" i="23" s="1"/>
  <c r="J90" i="23"/>
  <c r="K90" i="23"/>
  <c r="I91" i="23"/>
  <c r="M91" i="23" s="1"/>
  <c r="J91" i="23"/>
  <c r="K91" i="23"/>
  <c r="I92" i="23"/>
  <c r="M92" i="23" s="1"/>
  <c r="J92" i="23"/>
  <c r="K92" i="23" s="1"/>
  <c r="I93" i="23"/>
  <c r="M93" i="23" s="1"/>
  <c r="J93" i="23"/>
  <c r="K93" i="23" s="1"/>
  <c r="I94" i="23"/>
  <c r="M94" i="23" s="1"/>
  <c r="J94" i="23"/>
  <c r="K94" i="23"/>
  <c r="I95" i="23"/>
  <c r="M95" i="23" s="1"/>
  <c r="J95" i="23"/>
  <c r="K95" i="23"/>
  <c r="I96" i="23"/>
  <c r="M96" i="23" s="1"/>
  <c r="J96" i="23"/>
  <c r="K96" i="23"/>
  <c r="I97" i="23"/>
  <c r="J97" i="23"/>
  <c r="K97" i="23"/>
  <c r="M97" i="23"/>
  <c r="I98" i="23"/>
  <c r="M98" i="23" s="1"/>
  <c r="J98" i="23"/>
  <c r="K98" i="23"/>
  <c r="I99" i="23"/>
  <c r="J99" i="23"/>
  <c r="K99" i="23" s="1"/>
  <c r="M99" i="23"/>
  <c r="I100" i="23"/>
  <c r="M100" i="23" s="1"/>
  <c r="J100" i="23"/>
  <c r="K100" i="23"/>
  <c r="I101" i="23"/>
  <c r="M101" i="23" s="1"/>
  <c r="J101" i="23"/>
  <c r="K101" i="23"/>
  <c r="I102" i="23"/>
  <c r="M102" i="23" s="1"/>
  <c r="J102" i="23"/>
  <c r="K102" i="23" s="1"/>
  <c r="I103" i="23"/>
  <c r="J103" i="23"/>
  <c r="K103" i="23"/>
  <c r="M103" i="23"/>
  <c r="I104" i="23"/>
  <c r="M104" i="23" s="1"/>
  <c r="J104" i="23"/>
  <c r="K104" i="23" s="1"/>
  <c r="I105" i="23"/>
  <c r="J105" i="23"/>
  <c r="K105" i="23"/>
  <c r="M105" i="23"/>
  <c r="I106" i="23"/>
  <c r="M106" i="23" s="1"/>
  <c r="J106" i="23"/>
  <c r="K106" i="23"/>
  <c r="I107" i="23"/>
  <c r="M107" i="23" s="1"/>
  <c r="J107" i="23"/>
  <c r="K107" i="23"/>
  <c r="I108" i="23"/>
  <c r="M108" i="23" s="1"/>
  <c r="J108" i="23"/>
  <c r="K108" i="23" s="1"/>
  <c r="I109" i="23"/>
  <c r="M109" i="23" s="1"/>
  <c r="J109" i="23"/>
  <c r="K109" i="23" s="1"/>
  <c r="I110" i="23"/>
  <c r="M110" i="23" s="1"/>
  <c r="J110" i="23"/>
  <c r="K110" i="23"/>
  <c r="I111" i="23"/>
  <c r="M111" i="23" s="1"/>
  <c r="J111" i="23"/>
  <c r="K111" i="23"/>
  <c r="I112" i="23"/>
  <c r="M112" i="23" s="1"/>
  <c r="J112" i="23"/>
  <c r="K112" i="23"/>
  <c r="I113" i="23"/>
  <c r="J113" i="23"/>
  <c r="K113" i="23"/>
  <c r="M113" i="23"/>
  <c r="I114" i="23"/>
  <c r="M114" i="23" s="1"/>
  <c r="J114" i="23"/>
  <c r="K114" i="23"/>
  <c r="I115" i="23"/>
  <c r="J115" i="23"/>
  <c r="K115" i="23" s="1"/>
  <c r="M115" i="23"/>
  <c r="I116" i="23"/>
  <c r="M116" i="23" s="1"/>
  <c r="J116" i="23"/>
  <c r="K116" i="23"/>
  <c r="I117" i="23"/>
  <c r="M117" i="23" s="1"/>
  <c r="J117" i="23"/>
  <c r="K117" i="23"/>
  <c r="I118" i="23"/>
  <c r="M118" i="23" s="1"/>
  <c r="J118" i="23"/>
  <c r="K118" i="23" s="1"/>
  <c r="I119" i="23"/>
  <c r="J119" i="23"/>
  <c r="K119" i="23"/>
  <c r="M119" i="23"/>
  <c r="I120" i="23"/>
  <c r="M120" i="23" s="1"/>
  <c r="J120" i="23"/>
  <c r="K120" i="23" s="1"/>
  <c r="I121" i="23"/>
  <c r="J121" i="23"/>
  <c r="K121" i="23"/>
  <c r="M121" i="23"/>
  <c r="I122" i="23"/>
  <c r="M122" i="23" s="1"/>
  <c r="J122" i="23"/>
  <c r="K122" i="23"/>
  <c r="I123" i="23"/>
  <c r="M123" i="23" s="1"/>
  <c r="J123" i="23"/>
  <c r="K123" i="23"/>
  <c r="I124" i="23"/>
  <c r="M124" i="23" s="1"/>
  <c r="J124" i="23"/>
  <c r="K124" i="23" s="1"/>
  <c r="I125" i="23"/>
  <c r="M125" i="23" s="1"/>
  <c r="J125" i="23"/>
  <c r="K125" i="23" s="1"/>
  <c r="I126" i="23"/>
  <c r="M126" i="23" s="1"/>
  <c r="J126" i="23"/>
  <c r="K126" i="23"/>
  <c r="I127" i="23"/>
  <c r="M127" i="23" s="1"/>
  <c r="J127" i="23"/>
  <c r="K127" i="23"/>
  <c r="I128" i="23"/>
  <c r="M128" i="23" s="1"/>
  <c r="J128" i="23"/>
  <c r="K128" i="23"/>
  <c r="I129" i="23"/>
  <c r="J129" i="23"/>
  <c r="K129" i="23"/>
  <c r="M129" i="23"/>
  <c r="I130" i="23"/>
  <c r="M130" i="23" s="1"/>
  <c r="J130" i="23"/>
  <c r="K130" i="23"/>
  <c r="I131" i="23"/>
  <c r="J131" i="23"/>
  <c r="K131" i="23" s="1"/>
  <c r="M131" i="23"/>
  <c r="I132" i="23"/>
  <c r="M132" i="23" s="1"/>
  <c r="J132" i="23"/>
  <c r="K132" i="23"/>
  <c r="I133" i="23"/>
  <c r="M133" i="23" s="1"/>
  <c r="J133" i="23"/>
  <c r="K133" i="23"/>
  <c r="I134" i="23"/>
  <c r="M134" i="23" s="1"/>
  <c r="J134" i="23"/>
  <c r="K134" i="23" s="1"/>
  <c r="I135" i="23"/>
  <c r="J135" i="23"/>
  <c r="K135" i="23"/>
  <c r="M135" i="23"/>
  <c r="I136" i="23"/>
  <c r="M136" i="23" s="1"/>
  <c r="J136" i="23"/>
  <c r="K136" i="23" s="1"/>
  <c r="I137" i="23"/>
  <c r="J137" i="23"/>
  <c r="K137" i="23"/>
  <c r="M137" i="23"/>
  <c r="I138" i="23"/>
  <c r="M138" i="23" s="1"/>
  <c r="J138" i="23"/>
  <c r="K138" i="23"/>
  <c r="I139" i="23"/>
  <c r="M139" i="23" s="1"/>
  <c r="J139" i="23"/>
  <c r="K139" i="23"/>
  <c r="I140" i="23"/>
  <c r="M140" i="23" s="1"/>
  <c r="J140" i="23"/>
  <c r="K140" i="23" s="1"/>
  <c r="I141" i="23"/>
  <c r="M141" i="23" s="1"/>
  <c r="J141" i="23"/>
  <c r="K141" i="23" s="1"/>
  <c r="I142" i="23"/>
  <c r="M142" i="23" s="1"/>
  <c r="J142" i="23"/>
  <c r="K142" i="23"/>
  <c r="I143" i="23"/>
  <c r="M143" i="23" s="1"/>
  <c r="J143" i="23"/>
  <c r="K143" i="23"/>
  <c r="I144" i="23"/>
  <c r="M144" i="23" s="1"/>
  <c r="J144" i="23"/>
  <c r="K144" i="23"/>
  <c r="I145" i="23"/>
  <c r="J145" i="23"/>
  <c r="K145" i="23"/>
  <c r="M145" i="23"/>
  <c r="I146" i="23"/>
  <c r="M146" i="23" s="1"/>
  <c r="J146" i="23"/>
  <c r="K146" i="23"/>
  <c r="I147" i="23"/>
  <c r="J147" i="23"/>
  <c r="K147" i="23" s="1"/>
  <c r="M147" i="23"/>
  <c r="I148" i="23"/>
  <c r="M148" i="23" s="1"/>
  <c r="J148" i="23"/>
  <c r="K148" i="23"/>
  <c r="I149" i="23"/>
  <c r="M149" i="23" s="1"/>
  <c r="J149" i="23"/>
  <c r="K149" i="23"/>
  <c r="I150" i="23"/>
  <c r="M150" i="23" s="1"/>
  <c r="J150" i="23"/>
  <c r="K150" i="23" s="1"/>
  <c r="I151" i="23"/>
  <c r="J151" i="23"/>
  <c r="K151" i="23"/>
  <c r="M151" i="23"/>
  <c r="I152" i="23"/>
  <c r="M152" i="23" s="1"/>
  <c r="J152" i="23"/>
  <c r="K152" i="23" s="1"/>
  <c r="I153" i="23"/>
  <c r="J153" i="23"/>
  <c r="K153" i="23"/>
  <c r="M153" i="23"/>
  <c r="I154" i="23"/>
  <c r="M154" i="23" s="1"/>
  <c r="J154" i="23"/>
  <c r="K154" i="23"/>
  <c r="I155" i="23"/>
  <c r="M155" i="23" s="1"/>
  <c r="J155" i="23"/>
  <c r="K155" i="23"/>
  <c r="I156" i="23"/>
  <c r="M156" i="23" s="1"/>
  <c r="J156" i="23"/>
  <c r="K156" i="23" s="1"/>
  <c r="I157" i="23"/>
  <c r="M157" i="23" s="1"/>
  <c r="J157" i="23"/>
  <c r="K157" i="23" s="1"/>
  <c r="I158" i="23"/>
  <c r="M158" i="23" s="1"/>
  <c r="J158" i="23"/>
  <c r="K158" i="23"/>
  <c r="I159" i="23"/>
  <c r="M159" i="23" s="1"/>
  <c r="J159" i="23"/>
  <c r="K159" i="23"/>
  <c r="I160" i="23"/>
  <c r="M160" i="23" s="1"/>
  <c r="J160" i="23"/>
  <c r="K160" i="23"/>
  <c r="I161" i="23"/>
  <c r="J161" i="23"/>
  <c r="K161" i="23"/>
  <c r="M161" i="23"/>
  <c r="I162" i="23"/>
  <c r="M162" i="23" s="1"/>
  <c r="J162" i="23"/>
  <c r="K162" i="23"/>
  <c r="I163" i="23"/>
  <c r="J163" i="23"/>
  <c r="K163" i="23" s="1"/>
  <c r="M163" i="23"/>
  <c r="I164" i="23"/>
  <c r="M164" i="23" s="1"/>
  <c r="J164" i="23"/>
  <c r="K164" i="23"/>
  <c r="I165" i="23"/>
  <c r="J165" i="23"/>
  <c r="K165" i="23" s="1"/>
  <c r="M165" i="23"/>
  <c r="I166" i="23"/>
  <c r="M166" i="23" s="1"/>
  <c r="J166" i="23"/>
  <c r="K166" i="23"/>
  <c r="I167" i="23"/>
  <c r="J167" i="23"/>
  <c r="K167" i="23" s="1"/>
  <c r="M167" i="23"/>
  <c r="I168" i="23"/>
  <c r="M168" i="23" s="1"/>
  <c r="J168" i="23"/>
  <c r="K168" i="23"/>
  <c r="I169" i="23"/>
  <c r="J169" i="23"/>
  <c r="K169" i="23" s="1"/>
  <c r="M169" i="23"/>
  <c r="I170" i="23"/>
  <c r="M170" i="23" s="1"/>
  <c r="J170" i="23"/>
  <c r="K170" i="23"/>
  <c r="I171" i="23"/>
  <c r="J171" i="23"/>
  <c r="K171" i="23" s="1"/>
  <c r="M171" i="23"/>
  <c r="I172" i="23"/>
  <c r="M172" i="23" s="1"/>
  <c r="J172" i="23"/>
  <c r="K172" i="23"/>
  <c r="I173" i="23"/>
  <c r="J173" i="23"/>
  <c r="K173" i="23" s="1"/>
  <c r="M173" i="23"/>
  <c r="I174" i="23"/>
  <c r="M174" i="23" s="1"/>
  <c r="J174" i="23"/>
  <c r="K174" i="23"/>
  <c r="I175" i="23"/>
  <c r="J175" i="23"/>
  <c r="K175" i="23" s="1"/>
  <c r="M175" i="23"/>
  <c r="I176" i="23"/>
  <c r="M176" i="23" s="1"/>
  <c r="J176" i="23"/>
  <c r="K176" i="23"/>
  <c r="I177" i="23"/>
  <c r="J177" i="23"/>
  <c r="K177" i="23" s="1"/>
  <c r="M177" i="23"/>
  <c r="I178" i="23"/>
  <c r="M178" i="23" s="1"/>
  <c r="J178" i="23"/>
  <c r="K178" i="23"/>
  <c r="I179" i="23"/>
  <c r="J179" i="23"/>
  <c r="K179" i="23" s="1"/>
  <c r="M179" i="23"/>
  <c r="I180" i="23"/>
  <c r="M180" i="23" s="1"/>
  <c r="J180" i="23"/>
  <c r="K180" i="23"/>
  <c r="I181" i="23"/>
  <c r="J181" i="23"/>
  <c r="K181" i="23" s="1"/>
  <c r="M181" i="23"/>
  <c r="I182" i="23"/>
  <c r="M182" i="23" s="1"/>
  <c r="J182" i="23"/>
  <c r="K182" i="23"/>
  <c r="I183" i="23"/>
  <c r="J183" i="23"/>
  <c r="K183" i="23" s="1"/>
  <c r="M183" i="23"/>
  <c r="I184" i="23"/>
  <c r="M184" i="23" s="1"/>
  <c r="J184" i="23"/>
  <c r="K184" i="23"/>
  <c r="I185" i="23"/>
  <c r="J185" i="23"/>
  <c r="K185" i="23" s="1"/>
  <c r="M185" i="23"/>
  <c r="I186" i="23"/>
  <c r="M186" i="23" s="1"/>
  <c r="J186" i="23"/>
  <c r="K186" i="23" s="1"/>
  <c r="I187" i="23"/>
  <c r="J187" i="23"/>
  <c r="K187" i="23" s="1"/>
  <c r="M187" i="23"/>
  <c r="I188" i="23"/>
  <c r="M188" i="23" s="1"/>
  <c r="J188" i="23"/>
  <c r="K188" i="23" s="1"/>
  <c r="I189" i="23"/>
  <c r="J189" i="23"/>
  <c r="K189" i="23" s="1"/>
  <c r="M189" i="23"/>
  <c r="I190" i="23"/>
  <c r="M190" i="23" s="1"/>
  <c r="J190" i="23"/>
  <c r="K190" i="23" s="1"/>
  <c r="I191" i="23"/>
  <c r="J191" i="23"/>
  <c r="K191" i="23" s="1"/>
  <c r="M191" i="23"/>
  <c r="I192" i="23"/>
  <c r="M192" i="23" s="1"/>
  <c r="J192" i="23"/>
  <c r="K192" i="23" s="1"/>
  <c r="I193" i="23"/>
  <c r="J193" i="23"/>
  <c r="K193" i="23" s="1"/>
  <c r="M193" i="23"/>
  <c r="I194" i="23"/>
  <c r="M194" i="23" s="1"/>
  <c r="J194" i="23"/>
  <c r="K194" i="23" s="1"/>
  <c r="I195" i="23"/>
  <c r="J195" i="23"/>
  <c r="K195" i="23" s="1"/>
  <c r="M195" i="23"/>
  <c r="I196" i="23"/>
  <c r="M196" i="23" s="1"/>
  <c r="J196" i="23"/>
  <c r="K196" i="23" s="1"/>
  <c r="I197" i="23"/>
  <c r="J197" i="23"/>
  <c r="K197" i="23" s="1"/>
  <c r="M197" i="23"/>
  <c r="I198" i="23"/>
  <c r="M198" i="23" s="1"/>
  <c r="J198" i="23"/>
  <c r="K198" i="23" s="1"/>
  <c r="I199" i="23"/>
  <c r="J199" i="23"/>
  <c r="K199" i="23" s="1"/>
  <c r="M199" i="23"/>
  <c r="I200" i="23"/>
  <c r="M200" i="23" s="1"/>
  <c r="J200" i="23"/>
  <c r="K200" i="23" s="1"/>
  <c r="I201" i="23"/>
  <c r="J201" i="23"/>
  <c r="K201" i="23" s="1"/>
  <c r="M201" i="23"/>
  <c r="I202" i="23"/>
  <c r="M202" i="23" s="1"/>
  <c r="J202" i="23"/>
  <c r="K202" i="23" s="1"/>
  <c r="I203" i="23"/>
  <c r="J203" i="23"/>
  <c r="K203" i="23" s="1"/>
  <c r="M203" i="23"/>
  <c r="I204" i="23"/>
  <c r="M204" i="23" s="1"/>
  <c r="J204" i="23"/>
  <c r="K204" i="23" s="1"/>
  <c r="I205" i="23"/>
  <c r="J205" i="23"/>
  <c r="K205" i="23" s="1"/>
  <c r="M205" i="23"/>
  <c r="I206" i="23"/>
  <c r="M206" i="23" s="1"/>
  <c r="J206" i="23"/>
  <c r="K206" i="23" s="1"/>
  <c r="I207" i="23"/>
  <c r="J207" i="23"/>
  <c r="K207" i="23" s="1"/>
  <c r="M207" i="23"/>
  <c r="I208" i="23"/>
  <c r="M208" i="23" s="1"/>
  <c r="J208" i="23"/>
  <c r="K208" i="23" s="1"/>
  <c r="I209" i="23"/>
  <c r="J209" i="23"/>
  <c r="K209" i="23" s="1"/>
  <c r="M209" i="23"/>
  <c r="I210" i="23"/>
  <c r="M210" i="23" s="1"/>
  <c r="J210" i="23"/>
  <c r="K210" i="23" s="1"/>
  <c r="I211" i="23"/>
  <c r="J211" i="23"/>
  <c r="K211" i="23" s="1"/>
  <c r="M211" i="23"/>
  <c r="I212" i="23"/>
  <c r="M212" i="23" s="1"/>
  <c r="J212" i="23"/>
  <c r="K212" i="23" s="1"/>
  <c r="I213" i="23"/>
  <c r="J213" i="23"/>
  <c r="K213" i="23" s="1"/>
  <c r="M213" i="23"/>
  <c r="I214" i="23"/>
  <c r="M214" i="23" s="1"/>
  <c r="J214" i="23"/>
  <c r="K214" i="23" s="1"/>
  <c r="I215" i="23"/>
  <c r="J215" i="23"/>
  <c r="K215" i="23" s="1"/>
  <c r="M215" i="23"/>
  <c r="I216" i="23"/>
  <c r="M216" i="23" s="1"/>
  <c r="J216" i="23"/>
  <c r="K216" i="23" s="1"/>
  <c r="I217" i="23"/>
  <c r="J217" i="23"/>
  <c r="K217" i="23" s="1"/>
  <c r="M217" i="23"/>
  <c r="I218" i="23"/>
  <c r="M218" i="23" s="1"/>
  <c r="J218" i="23"/>
  <c r="K218" i="23" s="1"/>
  <c r="I219" i="23"/>
  <c r="J219" i="23"/>
  <c r="K219" i="23" s="1"/>
  <c r="M219" i="23"/>
  <c r="I220" i="23"/>
  <c r="M220" i="23" s="1"/>
  <c r="J220" i="23"/>
  <c r="K220" i="23" s="1"/>
  <c r="I221" i="23"/>
  <c r="J221" i="23"/>
  <c r="K221" i="23" s="1"/>
  <c r="M221" i="23"/>
  <c r="I222" i="23"/>
  <c r="M222" i="23" s="1"/>
  <c r="J222" i="23"/>
  <c r="K222" i="23" s="1"/>
  <c r="I223" i="23"/>
  <c r="J223" i="23"/>
  <c r="K223" i="23" s="1"/>
  <c r="M223" i="23"/>
  <c r="I224" i="23"/>
  <c r="M224" i="23" s="1"/>
  <c r="J224" i="23"/>
  <c r="K224" i="23" s="1"/>
  <c r="I225" i="23"/>
  <c r="J225" i="23"/>
  <c r="K225" i="23" s="1"/>
  <c r="M225" i="23"/>
  <c r="I226" i="23"/>
  <c r="M226" i="23" s="1"/>
  <c r="J226" i="23"/>
  <c r="K226" i="23" s="1"/>
  <c r="I227" i="23"/>
  <c r="J227" i="23"/>
  <c r="K227" i="23" s="1"/>
  <c r="M227" i="23"/>
  <c r="I228" i="23"/>
  <c r="M228" i="23" s="1"/>
  <c r="J228" i="23"/>
  <c r="K228" i="23" s="1"/>
  <c r="I229" i="23"/>
  <c r="J229" i="23"/>
  <c r="K229" i="23" s="1"/>
  <c r="M229" i="23"/>
  <c r="I230" i="23"/>
  <c r="M230" i="23" s="1"/>
  <c r="J230" i="23"/>
  <c r="K230" i="23" s="1"/>
  <c r="I231" i="23"/>
  <c r="J231" i="23"/>
  <c r="K231" i="23" s="1"/>
  <c r="M231" i="23"/>
  <c r="I232" i="23"/>
  <c r="M232" i="23" s="1"/>
  <c r="J232" i="23"/>
  <c r="K232" i="23" s="1"/>
  <c r="I233" i="23"/>
  <c r="J233" i="23"/>
  <c r="K233" i="23" s="1"/>
  <c r="M233" i="23"/>
  <c r="I234" i="23"/>
  <c r="M234" i="23" s="1"/>
  <c r="J234" i="23"/>
  <c r="K234" i="23" s="1"/>
  <c r="I235" i="23"/>
  <c r="J235" i="23"/>
  <c r="K235" i="23" s="1"/>
  <c r="M235" i="23"/>
  <c r="I236" i="23"/>
  <c r="M236" i="23" s="1"/>
  <c r="J236" i="23"/>
  <c r="K236" i="23" s="1"/>
  <c r="I237" i="23"/>
  <c r="J237" i="23"/>
  <c r="K237" i="23" s="1"/>
  <c r="M237" i="23"/>
  <c r="I238" i="23"/>
  <c r="M238" i="23" s="1"/>
  <c r="J238" i="23"/>
  <c r="K238" i="23" s="1"/>
  <c r="I239" i="23"/>
  <c r="J239" i="23"/>
  <c r="K239" i="23" s="1"/>
  <c r="M239" i="23"/>
  <c r="I240" i="23"/>
  <c r="M240" i="23" s="1"/>
  <c r="J240" i="23"/>
  <c r="K240" i="23" s="1"/>
  <c r="I241" i="23"/>
  <c r="J241" i="23"/>
  <c r="K241" i="23" s="1"/>
  <c r="M241" i="23"/>
  <c r="I242" i="23"/>
  <c r="M242" i="23" s="1"/>
  <c r="J242" i="23"/>
  <c r="K242" i="23" s="1"/>
  <c r="I243" i="23"/>
  <c r="J243" i="23"/>
  <c r="K243" i="23" s="1"/>
  <c r="M243" i="23"/>
  <c r="I244" i="23"/>
  <c r="M244" i="23" s="1"/>
  <c r="J244" i="23"/>
  <c r="K244" i="23" s="1"/>
  <c r="I245" i="23"/>
  <c r="J245" i="23"/>
  <c r="K245" i="23" s="1"/>
  <c r="M245" i="23"/>
  <c r="I246" i="23"/>
  <c r="M246" i="23" s="1"/>
  <c r="J246" i="23"/>
  <c r="K246" i="23" s="1"/>
  <c r="I247" i="23"/>
  <c r="J247" i="23"/>
  <c r="K247" i="23" s="1"/>
  <c r="M247" i="23"/>
  <c r="I248" i="23"/>
  <c r="M248" i="23" s="1"/>
  <c r="J248" i="23"/>
  <c r="K248" i="23" s="1"/>
  <c r="I249" i="23"/>
  <c r="J249" i="23"/>
  <c r="K249" i="23" s="1"/>
  <c r="M249" i="23"/>
  <c r="I250" i="23"/>
  <c r="M250" i="23" s="1"/>
  <c r="J250" i="23"/>
  <c r="K250" i="23" s="1"/>
  <c r="I251" i="23"/>
  <c r="J251" i="23"/>
  <c r="K251" i="23" s="1"/>
  <c r="M251" i="23"/>
  <c r="I252" i="23"/>
  <c r="M252" i="23" s="1"/>
  <c r="J252" i="23"/>
  <c r="K252" i="23" s="1"/>
  <c r="I253" i="23"/>
  <c r="J253" i="23"/>
  <c r="K253" i="23" s="1"/>
  <c r="M253" i="23"/>
  <c r="I254" i="23"/>
  <c r="M254" i="23" s="1"/>
  <c r="J254" i="23"/>
  <c r="K254" i="23" s="1"/>
  <c r="I255" i="23"/>
  <c r="J255" i="23"/>
  <c r="K255" i="23" s="1"/>
  <c r="M255" i="23"/>
  <c r="I256" i="23"/>
  <c r="M256" i="23" s="1"/>
  <c r="J256" i="23"/>
  <c r="K256" i="23" s="1"/>
  <c r="I257" i="23"/>
  <c r="J257" i="23"/>
  <c r="K257" i="23" s="1"/>
  <c r="M257" i="23"/>
  <c r="I258" i="23"/>
  <c r="M258" i="23" s="1"/>
  <c r="J258" i="23"/>
  <c r="K258" i="23" s="1"/>
  <c r="I259" i="23"/>
  <c r="J259" i="23"/>
  <c r="K259" i="23" s="1"/>
  <c r="M259" i="23"/>
  <c r="I260" i="23"/>
  <c r="M260" i="23" s="1"/>
  <c r="J260" i="23"/>
  <c r="K260" i="23" s="1"/>
  <c r="I261" i="23"/>
  <c r="J261" i="23"/>
  <c r="K261" i="23" s="1"/>
  <c r="M261" i="23"/>
  <c r="I262" i="23"/>
  <c r="M262" i="23" s="1"/>
  <c r="J262" i="23"/>
  <c r="K262" i="23" s="1"/>
  <c r="I263" i="23"/>
  <c r="J263" i="23"/>
  <c r="K263" i="23" s="1"/>
  <c r="M263" i="23"/>
  <c r="I264" i="23"/>
  <c r="M264" i="23" s="1"/>
  <c r="J264" i="23"/>
  <c r="K264" i="23" s="1"/>
  <c r="I265" i="23"/>
  <c r="J265" i="23"/>
  <c r="K265" i="23" s="1"/>
  <c r="M265" i="23"/>
  <c r="I266" i="23"/>
  <c r="M266" i="23" s="1"/>
  <c r="J266" i="23"/>
  <c r="K266" i="23" s="1"/>
  <c r="I267" i="23"/>
  <c r="J267" i="23"/>
  <c r="K267" i="23" s="1"/>
  <c r="M267" i="23"/>
  <c r="I268" i="23"/>
  <c r="M268" i="23" s="1"/>
  <c r="J268" i="23"/>
  <c r="K268" i="23" s="1"/>
  <c r="I269" i="23"/>
  <c r="J269" i="23"/>
  <c r="K269" i="23" s="1"/>
  <c r="M269" i="23"/>
  <c r="I270" i="23"/>
  <c r="M270" i="23" s="1"/>
  <c r="J270" i="23"/>
  <c r="K270" i="23" s="1"/>
  <c r="I271" i="23"/>
  <c r="J271" i="23"/>
  <c r="K271" i="23" s="1"/>
  <c r="M271" i="23"/>
  <c r="I272" i="23"/>
  <c r="M272" i="23" s="1"/>
  <c r="J272" i="23"/>
  <c r="K272" i="23" s="1"/>
  <c r="I273" i="23"/>
  <c r="J273" i="23"/>
  <c r="K273" i="23" s="1"/>
  <c r="M273" i="23"/>
  <c r="I274" i="23"/>
  <c r="M274" i="23" s="1"/>
  <c r="J274" i="23"/>
  <c r="K274" i="23" s="1"/>
  <c r="I275" i="23"/>
  <c r="J275" i="23"/>
  <c r="K275" i="23" s="1"/>
  <c r="M275" i="23"/>
  <c r="I276" i="23"/>
  <c r="M276" i="23" s="1"/>
  <c r="J276" i="23"/>
  <c r="K276" i="23" s="1"/>
  <c r="I277" i="23"/>
  <c r="J277" i="23"/>
  <c r="K277" i="23" s="1"/>
  <c r="M277" i="23"/>
  <c r="I278" i="23"/>
  <c r="M278" i="23" s="1"/>
  <c r="J278" i="23"/>
  <c r="K278" i="23" s="1"/>
  <c r="I279" i="23"/>
  <c r="J279" i="23"/>
  <c r="K279" i="23" s="1"/>
  <c r="M279" i="23"/>
  <c r="I280" i="23"/>
  <c r="M280" i="23" s="1"/>
  <c r="J280" i="23"/>
  <c r="K280" i="23" s="1"/>
  <c r="I281" i="23"/>
  <c r="J281" i="23"/>
  <c r="K281" i="23" s="1"/>
  <c r="M281" i="23"/>
  <c r="I282" i="23"/>
  <c r="M282" i="23" s="1"/>
  <c r="J282" i="23"/>
  <c r="K282" i="23" s="1"/>
  <c r="I283" i="23"/>
  <c r="J283" i="23"/>
  <c r="K283" i="23" s="1"/>
  <c r="M283" i="23"/>
  <c r="I284" i="23"/>
  <c r="M284" i="23" s="1"/>
  <c r="J284" i="23"/>
  <c r="K284" i="23" s="1"/>
  <c r="I285" i="23"/>
  <c r="J285" i="23"/>
  <c r="K285" i="23" s="1"/>
  <c r="M285" i="23"/>
  <c r="I286" i="23"/>
  <c r="M286" i="23" s="1"/>
  <c r="J286" i="23"/>
  <c r="K286" i="23" s="1"/>
  <c r="I287" i="23"/>
  <c r="J287" i="23"/>
  <c r="K287" i="23" s="1"/>
  <c r="M287" i="23"/>
  <c r="I288" i="23"/>
  <c r="M288" i="23" s="1"/>
  <c r="J288" i="23"/>
  <c r="K288" i="23" s="1"/>
  <c r="I289" i="23"/>
  <c r="J289" i="23"/>
  <c r="K289" i="23" s="1"/>
  <c r="M289" i="23"/>
  <c r="I290" i="23"/>
  <c r="M290" i="23" s="1"/>
  <c r="J290" i="23"/>
  <c r="K290" i="23" s="1"/>
  <c r="I291" i="23"/>
  <c r="J291" i="23"/>
  <c r="K291" i="23" s="1"/>
  <c r="M291" i="23"/>
  <c r="I292" i="23"/>
  <c r="M292" i="23" s="1"/>
  <c r="J292" i="23"/>
  <c r="K292" i="23" s="1"/>
  <c r="I293" i="23"/>
  <c r="J293" i="23"/>
  <c r="K293" i="23" s="1"/>
  <c r="M293" i="23"/>
  <c r="I294" i="23"/>
  <c r="M294" i="23" s="1"/>
  <c r="J294" i="23"/>
  <c r="K294" i="23" s="1"/>
  <c r="I295" i="23"/>
  <c r="J295" i="23"/>
  <c r="K295" i="23" s="1"/>
  <c r="M295" i="23"/>
  <c r="I296" i="23"/>
  <c r="M296" i="23" s="1"/>
  <c r="J296" i="23"/>
  <c r="K296" i="23" s="1"/>
  <c r="I297" i="23"/>
  <c r="J297" i="23"/>
  <c r="K297" i="23" s="1"/>
  <c r="M297" i="23"/>
  <c r="I298" i="23"/>
  <c r="M298" i="23" s="1"/>
  <c r="J298" i="23"/>
  <c r="K298" i="23" s="1"/>
  <c r="I299" i="23"/>
  <c r="J299" i="23"/>
  <c r="K299" i="23" s="1"/>
  <c r="M299" i="23"/>
  <c r="I300" i="23"/>
  <c r="M300" i="23" s="1"/>
  <c r="J300" i="23"/>
  <c r="K300" i="23" s="1"/>
  <c r="I301" i="23"/>
  <c r="J301" i="23"/>
  <c r="K301" i="23" s="1"/>
  <c r="M301" i="23"/>
  <c r="I302" i="23"/>
  <c r="M302" i="23" s="1"/>
  <c r="J302" i="23"/>
  <c r="K302" i="23" s="1"/>
  <c r="I303" i="23"/>
  <c r="J303" i="23"/>
  <c r="K303" i="23" s="1"/>
  <c r="M303" i="23"/>
  <c r="I304" i="23"/>
  <c r="M304" i="23" s="1"/>
  <c r="J304" i="23"/>
  <c r="K304" i="23" s="1"/>
  <c r="I305" i="23"/>
  <c r="J305" i="23"/>
  <c r="K305" i="23" s="1"/>
  <c r="M305" i="23"/>
  <c r="K2" i="22"/>
  <c r="B6" i="22"/>
  <c r="I6" i="22"/>
  <c r="J6" i="22"/>
  <c r="K6" i="22" s="1"/>
  <c r="B7" i="22"/>
  <c r="I7" i="22"/>
  <c r="J7" i="22"/>
  <c r="K7" i="22" s="1"/>
  <c r="L7" i="22"/>
  <c r="B8" i="22"/>
  <c r="I8" i="22"/>
  <c r="J8" i="22"/>
  <c r="K8" i="22"/>
  <c r="L8" i="22"/>
  <c r="M8" i="22" s="1"/>
  <c r="A8" i="22" s="1"/>
  <c r="B9" i="22"/>
  <c r="I9" i="22"/>
  <c r="J9" i="22"/>
  <c r="K9" i="22" s="1"/>
  <c r="B10" i="22"/>
  <c r="I10" i="22"/>
  <c r="M10" i="22" s="1"/>
  <c r="A10" i="22" s="1"/>
  <c r="J10" i="22"/>
  <c r="K10" i="22"/>
  <c r="B11" i="22"/>
  <c r="I11" i="22"/>
  <c r="M11" i="22" s="1"/>
  <c r="A11" i="22" s="1"/>
  <c r="J11" i="22"/>
  <c r="K11" i="22" s="1"/>
  <c r="B12" i="22"/>
  <c r="I12" i="22"/>
  <c r="M12" i="22" s="1"/>
  <c r="A12" i="22" s="1"/>
  <c r="J12" i="22"/>
  <c r="K12" i="22"/>
  <c r="AI12" i="22"/>
  <c r="AI16" i="22" s="1"/>
  <c r="B13" i="22"/>
  <c r="I13" i="22"/>
  <c r="J13" i="22"/>
  <c r="K13" i="22"/>
  <c r="M13" i="22" s="1"/>
  <c r="A13" i="22" s="1"/>
  <c r="AI13" i="22"/>
  <c r="B14" i="22"/>
  <c r="I14" i="22"/>
  <c r="M14" i="22" s="1"/>
  <c r="A14" i="22" s="1"/>
  <c r="J14" i="22"/>
  <c r="K14" i="22" s="1"/>
  <c r="AI14" i="22"/>
  <c r="B15" i="22"/>
  <c r="I15" i="22"/>
  <c r="M15" i="22" s="1"/>
  <c r="A15" i="22" s="1"/>
  <c r="J15" i="22"/>
  <c r="K15" i="22" s="1"/>
  <c r="B16" i="22"/>
  <c r="I16" i="22"/>
  <c r="J16" i="22"/>
  <c r="K16" i="22" s="1"/>
  <c r="B17" i="22"/>
  <c r="I17" i="22"/>
  <c r="J17" i="22"/>
  <c r="K17" i="22"/>
  <c r="M17" i="22" s="1"/>
  <c r="A17" i="22" s="1"/>
  <c r="B18" i="22"/>
  <c r="I18" i="22"/>
  <c r="J18" i="22"/>
  <c r="K18" i="22" s="1"/>
  <c r="B19" i="22"/>
  <c r="I19" i="22"/>
  <c r="J19" i="22"/>
  <c r="K19" i="22"/>
  <c r="M19" i="22"/>
  <c r="A19" i="22" s="1"/>
  <c r="B20" i="22"/>
  <c r="I20" i="22"/>
  <c r="J20" i="22"/>
  <c r="K20" i="22" s="1"/>
  <c r="B21" i="22"/>
  <c r="I21" i="22"/>
  <c r="J21" i="22"/>
  <c r="K21" i="22"/>
  <c r="M21" i="22" s="1"/>
  <c r="A21" i="22" s="1"/>
  <c r="B22" i="22"/>
  <c r="I22" i="22"/>
  <c r="J22" i="22"/>
  <c r="K22" i="22" s="1"/>
  <c r="A23" i="22"/>
  <c r="B23" i="22"/>
  <c r="I23" i="22"/>
  <c r="J23" i="22"/>
  <c r="K23" i="22"/>
  <c r="M23" i="22"/>
  <c r="B24" i="22"/>
  <c r="I24" i="22"/>
  <c r="J24" i="22"/>
  <c r="K24" i="22" s="1"/>
  <c r="B25" i="22"/>
  <c r="I25" i="22"/>
  <c r="M25" i="22" s="1"/>
  <c r="A25" i="22" s="1"/>
  <c r="J25" i="22"/>
  <c r="K25" i="22"/>
  <c r="B26" i="22"/>
  <c r="I26" i="22"/>
  <c r="J26" i="22"/>
  <c r="K26" i="22"/>
  <c r="B27" i="22"/>
  <c r="I27" i="22"/>
  <c r="J27" i="22"/>
  <c r="K27" i="22"/>
  <c r="M27" i="22"/>
  <c r="A27" i="22" s="1"/>
  <c r="B28" i="22"/>
  <c r="I28" i="22"/>
  <c r="J28" i="22"/>
  <c r="K28" i="22" s="1"/>
  <c r="B29" i="22"/>
  <c r="I29" i="22"/>
  <c r="J29" i="22"/>
  <c r="K29" i="22"/>
  <c r="M29" i="22"/>
  <c r="A29" i="22" s="1"/>
  <c r="B30" i="22"/>
  <c r="I30" i="22"/>
  <c r="J30" i="22"/>
  <c r="K30" i="22" s="1"/>
  <c r="B31" i="22"/>
  <c r="I31" i="22"/>
  <c r="M31" i="22" s="1"/>
  <c r="A31" i="22" s="1"/>
  <c r="J31" i="22"/>
  <c r="K31" i="22"/>
  <c r="B32" i="22"/>
  <c r="I32" i="22"/>
  <c r="J32" i="22"/>
  <c r="K32" i="22" s="1"/>
  <c r="B33" i="22"/>
  <c r="I33" i="22"/>
  <c r="M33" i="22" s="1"/>
  <c r="A33" i="22" s="1"/>
  <c r="J33" i="22"/>
  <c r="K33" i="22"/>
  <c r="B34" i="22"/>
  <c r="I34" i="22"/>
  <c r="M34" i="22" s="1"/>
  <c r="A34" i="22" s="1"/>
  <c r="J34" i="22"/>
  <c r="K34" i="22" s="1"/>
  <c r="B35" i="22"/>
  <c r="I35" i="22"/>
  <c r="J35" i="22"/>
  <c r="K35" i="22"/>
  <c r="M35" i="22"/>
  <c r="A35" i="22" s="1"/>
  <c r="A36" i="22"/>
  <c r="B36" i="22"/>
  <c r="I36" i="22"/>
  <c r="M36" i="22" s="1"/>
  <c r="J36" i="22"/>
  <c r="K36" i="22" s="1"/>
  <c r="B37" i="22"/>
  <c r="I37" i="22"/>
  <c r="J37" i="22"/>
  <c r="K37" i="22"/>
  <c r="M37" i="22"/>
  <c r="A37" i="22" s="1"/>
  <c r="B38" i="22"/>
  <c r="I38" i="22"/>
  <c r="J38" i="22"/>
  <c r="K38" i="22" s="1"/>
  <c r="M38" i="22"/>
  <c r="B39" i="22"/>
  <c r="I39" i="22"/>
  <c r="M39" i="22" s="1"/>
  <c r="J39" i="22"/>
  <c r="K39" i="22" s="1"/>
  <c r="B40" i="22"/>
  <c r="I40" i="22"/>
  <c r="M40" i="22" s="1"/>
  <c r="J40" i="22"/>
  <c r="K40" i="22" s="1"/>
  <c r="B41" i="22"/>
  <c r="I41" i="22"/>
  <c r="J41" i="22"/>
  <c r="K41" i="22"/>
  <c r="M41" i="22"/>
  <c r="B42" i="22"/>
  <c r="I42" i="22"/>
  <c r="J42" i="22"/>
  <c r="K42" i="22"/>
  <c r="M42" i="22"/>
  <c r="B43" i="22"/>
  <c r="I43" i="22"/>
  <c r="M43" i="22" s="1"/>
  <c r="J43" i="22"/>
  <c r="K43" i="22" s="1"/>
  <c r="B44" i="22"/>
  <c r="I44" i="22"/>
  <c r="M44" i="22" s="1"/>
  <c r="J44" i="22"/>
  <c r="K44" i="22" s="1"/>
  <c r="B45" i="22"/>
  <c r="I45" i="22"/>
  <c r="M45" i="22" s="1"/>
  <c r="J45" i="22"/>
  <c r="K45" i="22"/>
  <c r="B46" i="22"/>
  <c r="I46" i="22"/>
  <c r="J46" i="22"/>
  <c r="K46" i="22" s="1"/>
  <c r="M46" i="22"/>
  <c r="R46" i="22"/>
  <c r="T46" i="22"/>
  <c r="U46" i="22" s="1"/>
  <c r="B47" i="22"/>
  <c r="I47" i="22"/>
  <c r="M47" i="22" s="1"/>
  <c r="J47" i="22"/>
  <c r="K47" i="22"/>
  <c r="B48" i="22"/>
  <c r="I48" i="22"/>
  <c r="M48" i="22" s="1"/>
  <c r="J48" i="22"/>
  <c r="K48" i="22" s="1"/>
  <c r="B49" i="22"/>
  <c r="I49" i="22"/>
  <c r="M49" i="22" s="1"/>
  <c r="J49" i="22"/>
  <c r="K49" i="22" s="1"/>
  <c r="B50" i="22"/>
  <c r="I50" i="22"/>
  <c r="J50" i="22"/>
  <c r="K50" i="22"/>
  <c r="M50" i="22"/>
  <c r="B51" i="22"/>
  <c r="I51" i="22"/>
  <c r="M51" i="22" s="1"/>
  <c r="J51" i="22"/>
  <c r="K51" i="22" s="1"/>
  <c r="B52" i="22"/>
  <c r="I52" i="22"/>
  <c r="J52" i="22"/>
  <c r="K52" i="22" s="1"/>
  <c r="M52" i="22"/>
  <c r="B53" i="22"/>
  <c r="I53" i="22"/>
  <c r="M53" i="22" s="1"/>
  <c r="J53" i="22"/>
  <c r="K53" i="22" s="1"/>
  <c r="B54" i="22"/>
  <c r="I54" i="22"/>
  <c r="J54" i="22"/>
  <c r="K54" i="22" s="1"/>
  <c r="M54" i="22"/>
  <c r="B55" i="22"/>
  <c r="I55" i="22"/>
  <c r="M55" i="22" s="1"/>
  <c r="J55" i="22"/>
  <c r="K55" i="22" s="1"/>
  <c r="B56" i="22"/>
  <c r="I56" i="22"/>
  <c r="M56" i="22" s="1"/>
  <c r="J56" i="22"/>
  <c r="K56" i="22" s="1"/>
  <c r="B57" i="22"/>
  <c r="I57" i="22"/>
  <c r="M57" i="22" s="1"/>
  <c r="J57" i="22"/>
  <c r="K57" i="22" s="1"/>
  <c r="B58" i="22"/>
  <c r="I58" i="22"/>
  <c r="M58" i="22" s="1"/>
  <c r="J58" i="22"/>
  <c r="K58" i="22"/>
  <c r="B59" i="22"/>
  <c r="I59" i="22"/>
  <c r="M59" i="22" s="1"/>
  <c r="J59" i="22"/>
  <c r="K59" i="22" s="1"/>
  <c r="B60" i="22"/>
  <c r="I60" i="22"/>
  <c r="J60" i="22"/>
  <c r="K60" i="22" s="1"/>
  <c r="M60" i="22"/>
  <c r="B61" i="22"/>
  <c r="I61" i="22"/>
  <c r="M61" i="22" s="1"/>
  <c r="J61" i="22"/>
  <c r="K61" i="22" s="1"/>
  <c r="B62" i="22"/>
  <c r="I62" i="22"/>
  <c r="M62" i="22" s="1"/>
  <c r="J62" i="22"/>
  <c r="K62" i="22" s="1"/>
  <c r="B63" i="22"/>
  <c r="I63" i="22"/>
  <c r="M63" i="22" s="1"/>
  <c r="J63" i="22"/>
  <c r="K63" i="22" s="1"/>
  <c r="B64" i="22"/>
  <c r="I64" i="22"/>
  <c r="M64" i="22" s="1"/>
  <c r="J64" i="22"/>
  <c r="K64" i="22"/>
  <c r="B65" i="22"/>
  <c r="I65" i="22"/>
  <c r="M65" i="22" s="1"/>
  <c r="J65" i="22"/>
  <c r="K65" i="22" s="1"/>
  <c r="I66" i="22"/>
  <c r="J66" i="22"/>
  <c r="K66" i="22" s="1"/>
  <c r="M66" i="22"/>
  <c r="I67" i="22"/>
  <c r="J67" i="22"/>
  <c r="K67" i="22" s="1"/>
  <c r="M67" i="22"/>
  <c r="I68" i="22"/>
  <c r="M68" i="22" s="1"/>
  <c r="J68" i="22"/>
  <c r="K68" i="22" s="1"/>
  <c r="I69" i="22"/>
  <c r="M69" i="22" s="1"/>
  <c r="J69" i="22"/>
  <c r="K69" i="22"/>
  <c r="I70" i="22"/>
  <c r="M70" i="22" s="1"/>
  <c r="J70" i="22"/>
  <c r="K70" i="22" s="1"/>
  <c r="I71" i="22"/>
  <c r="M71" i="22" s="1"/>
  <c r="J71" i="22"/>
  <c r="K71" i="22" s="1"/>
  <c r="I72" i="22"/>
  <c r="J72" i="22"/>
  <c r="K72" i="22" s="1"/>
  <c r="M72" i="22"/>
  <c r="I73" i="22"/>
  <c r="M73" i="22" s="1"/>
  <c r="J73" i="22"/>
  <c r="K73" i="22" s="1"/>
  <c r="I74" i="22"/>
  <c r="M74" i="22" s="1"/>
  <c r="J74" i="22"/>
  <c r="K74" i="22" s="1"/>
  <c r="I75" i="22"/>
  <c r="J75" i="22"/>
  <c r="K75" i="22"/>
  <c r="M75" i="22"/>
  <c r="I76" i="22"/>
  <c r="M76" i="22" s="1"/>
  <c r="J76" i="22"/>
  <c r="K76" i="22" s="1"/>
  <c r="I77" i="22"/>
  <c r="M77" i="22" s="1"/>
  <c r="J77" i="22"/>
  <c r="K77" i="22" s="1"/>
  <c r="I78" i="22"/>
  <c r="J78" i="22"/>
  <c r="K78" i="22" s="1"/>
  <c r="M78" i="22"/>
  <c r="I79" i="22"/>
  <c r="M79" i="22" s="1"/>
  <c r="J79" i="22"/>
  <c r="K79" i="22" s="1"/>
  <c r="I80" i="22"/>
  <c r="J80" i="22"/>
  <c r="K80" i="22" s="1"/>
  <c r="M80" i="22"/>
  <c r="I81" i="22"/>
  <c r="M81" i="22" s="1"/>
  <c r="J81" i="22"/>
  <c r="K81" i="22"/>
  <c r="I82" i="22"/>
  <c r="M82" i="22" s="1"/>
  <c r="J82" i="22"/>
  <c r="K82" i="22" s="1"/>
  <c r="I83" i="22"/>
  <c r="J83" i="22"/>
  <c r="K83" i="22" s="1"/>
  <c r="M83" i="22"/>
  <c r="I84" i="22"/>
  <c r="M84" i="22" s="1"/>
  <c r="J84" i="22"/>
  <c r="K84" i="22" s="1"/>
  <c r="I85" i="22"/>
  <c r="M85" i="22" s="1"/>
  <c r="J85" i="22"/>
  <c r="K85" i="22"/>
  <c r="I86" i="22"/>
  <c r="M86" i="22" s="1"/>
  <c r="J86" i="22"/>
  <c r="K86" i="22" s="1"/>
  <c r="I87" i="22"/>
  <c r="M87" i="22" s="1"/>
  <c r="J87" i="22"/>
  <c r="K87" i="22" s="1"/>
  <c r="I88" i="22"/>
  <c r="M88" i="22" s="1"/>
  <c r="J88" i="22"/>
  <c r="K88" i="22" s="1"/>
  <c r="I89" i="22"/>
  <c r="J89" i="22"/>
  <c r="K89" i="22"/>
  <c r="M89" i="22"/>
  <c r="I90" i="22"/>
  <c r="M90" i="22" s="1"/>
  <c r="J90" i="22"/>
  <c r="K90" i="22" s="1"/>
  <c r="I91" i="22"/>
  <c r="J91" i="22"/>
  <c r="K91" i="22"/>
  <c r="M91" i="22"/>
  <c r="I92" i="22"/>
  <c r="M92" i="22" s="1"/>
  <c r="J92" i="22"/>
  <c r="K92" i="22" s="1"/>
  <c r="I93" i="22"/>
  <c r="M93" i="22" s="1"/>
  <c r="J93" i="22"/>
  <c r="K93" i="22" s="1"/>
  <c r="I94" i="22"/>
  <c r="J94" i="22"/>
  <c r="K94" i="22" s="1"/>
  <c r="M94" i="22"/>
  <c r="I95" i="22"/>
  <c r="J95" i="22"/>
  <c r="K95" i="22" s="1"/>
  <c r="M95" i="22"/>
  <c r="I96" i="22"/>
  <c r="M96" i="22" s="1"/>
  <c r="J96" i="22"/>
  <c r="K96" i="22" s="1"/>
  <c r="I97" i="22"/>
  <c r="M97" i="22" s="1"/>
  <c r="J97" i="22"/>
  <c r="K97" i="22"/>
  <c r="I98" i="22"/>
  <c r="M98" i="22" s="1"/>
  <c r="J98" i="22"/>
  <c r="K98" i="22" s="1"/>
  <c r="I99" i="22"/>
  <c r="M99" i="22" s="1"/>
  <c r="J99" i="22"/>
  <c r="K99" i="22" s="1"/>
  <c r="I100" i="22"/>
  <c r="J100" i="22"/>
  <c r="K100" i="22" s="1"/>
  <c r="M100" i="22"/>
  <c r="I101" i="22"/>
  <c r="M101" i="22" s="1"/>
  <c r="J101" i="22"/>
  <c r="K101" i="22"/>
  <c r="I102" i="22"/>
  <c r="M102" i="22" s="1"/>
  <c r="J102" i="22"/>
  <c r="K102" i="22" s="1"/>
  <c r="I103" i="22"/>
  <c r="J103" i="22"/>
  <c r="K103" i="22" s="1"/>
  <c r="M103" i="22"/>
  <c r="I104" i="22"/>
  <c r="M104" i="22" s="1"/>
  <c r="J104" i="22"/>
  <c r="K104" i="22" s="1"/>
  <c r="I105" i="22"/>
  <c r="J105" i="22"/>
  <c r="K105" i="22"/>
  <c r="M105" i="22"/>
  <c r="I106" i="22"/>
  <c r="M106" i="22" s="1"/>
  <c r="J106" i="22"/>
  <c r="K106" i="22" s="1"/>
  <c r="I107" i="22"/>
  <c r="M107" i="22" s="1"/>
  <c r="J107" i="22"/>
  <c r="K107" i="22" s="1"/>
  <c r="I108" i="22"/>
  <c r="M108" i="22" s="1"/>
  <c r="J108" i="22"/>
  <c r="K108" i="22" s="1"/>
  <c r="I109" i="22"/>
  <c r="M109" i="22" s="1"/>
  <c r="J109" i="22"/>
  <c r="K109" i="22" s="1"/>
  <c r="I110" i="22"/>
  <c r="M110" i="22" s="1"/>
  <c r="J110" i="22"/>
  <c r="K110" i="22" s="1"/>
  <c r="I111" i="22"/>
  <c r="J111" i="22"/>
  <c r="K111" i="22" s="1"/>
  <c r="M111" i="22"/>
  <c r="I112" i="22"/>
  <c r="M112" i="22" s="1"/>
  <c r="J112" i="22"/>
  <c r="K112" i="22" s="1"/>
  <c r="I113" i="22"/>
  <c r="M113" i="22" s="1"/>
  <c r="J113" i="22"/>
  <c r="K113" i="22"/>
  <c r="I114" i="22"/>
  <c r="J114" i="22"/>
  <c r="K114" i="22" s="1"/>
  <c r="M114" i="22"/>
  <c r="I115" i="22"/>
  <c r="M115" i="22" s="1"/>
  <c r="J115" i="22"/>
  <c r="K115" i="22" s="1"/>
  <c r="I116" i="22"/>
  <c r="M116" i="22" s="1"/>
  <c r="J116" i="22"/>
  <c r="K116" i="22" s="1"/>
  <c r="I117" i="22"/>
  <c r="M117" i="22" s="1"/>
  <c r="J117" i="22"/>
  <c r="K117" i="22"/>
  <c r="I118" i="22"/>
  <c r="M118" i="22" s="1"/>
  <c r="J118" i="22"/>
  <c r="K118" i="22" s="1"/>
  <c r="I119" i="22"/>
  <c r="M119" i="22" s="1"/>
  <c r="J119" i="22"/>
  <c r="K119" i="22" s="1"/>
  <c r="I120" i="22"/>
  <c r="J120" i="22"/>
  <c r="K120" i="22" s="1"/>
  <c r="M120" i="22"/>
  <c r="I121" i="22"/>
  <c r="M121" i="22" s="1"/>
  <c r="J121" i="22"/>
  <c r="K121" i="22"/>
  <c r="I122" i="22"/>
  <c r="M122" i="22" s="1"/>
  <c r="J122" i="22"/>
  <c r="K122" i="22" s="1"/>
  <c r="I123" i="22"/>
  <c r="J123" i="22"/>
  <c r="K123" i="22" s="1"/>
  <c r="M123" i="22"/>
  <c r="I124" i="22"/>
  <c r="M124" i="22" s="1"/>
  <c r="J124" i="22"/>
  <c r="K124" i="22" s="1"/>
  <c r="I125" i="22"/>
  <c r="M125" i="22" s="1"/>
  <c r="J125" i="22"/>
  <c r="K125" i="22"/>
  <c r="I126" i="22"/>
  <c r="M126" i="22" s="1"/>
  <c r="J126" i="22"/>
  <c r="K126" i="22" s="1"/>
  <c r="I127" i="22"/>
  <c r="M127" i="22" s="1"/>
  <c r="J127" i="22"/>
  <c r="K127" i="22" s="1"/>
  <c r="I128" i="22"/>
  <c r="J128" i="22"/>
  <c r="K128" i="22" s="1"/>
  <c r="M128" i="22"/>
  <c r="I129" i="22"/>
  <c r="M129" i="22" s="1"/>
  <c r="J129" i="22"/>
  <c r="K129" i="22"/>
  <c r="I130" i="22"/>
  <c r="M130" i="22" s="1"/>
  <c r="J130" i="22"/>
  <c r="K130" i="22" s="1"/>
  <c r="I131" i="22"/>
  <c r="J131" i="22"/>
  <c r="K131" i="22" s="1"/>
  <c r="M131" i="22"/>
  <c r="I132" i="22"/>
  <c r="M132" i="22" s="1"/>
  <c r="J132" i="22"/>
  <c r="K132" i="22" s="1"/>
  <c r="I133" i="22"/>
  <c r="M133" i="22" s="1"/>
  <c r="J133" i="22"/>
  <c r="K133" i="22" s="1"/>
  <c r="I134" i="22"/>
  <c r="M134" i="22" s="1"/>
  <c r="J134" i="22"/>
  <c r="K134" i="22" s="1"/>
  <c r="I135" i="22"/>
  <c r="J135" i="22"/>
  <c r="K135" i="22" s="1"/>
  <c r="M135" i="22"/>
  <c r="I136" i="22"/>
  <c r="M136" i="22" s="1"/>
  <c r="J136" i="22"/>
  <c r="K136" i="22" s="1"/>
  <c r="I137" i="22"/>
  <c r="J137" i="22"/>
  <c r="K137" i="22"/>
  <c r="M137" i="22"/>
  <c r="I138" i="22"/>
  <c r="M138" i="22" s="1"/>
  <c r="J138" i="22"/>
  <c r="K138" i="22" s="1"/>
  <c r="I139" i="22"/>
  <c r="M139" i="22" s="1"/>
  <c r="J139" i="22"/>
  <c r="K139" i="22" s="1"/>
  <c r="I140" i="22"/>
  <c r="M140" i="22" s="1"/>
  <c r="J140" i="22"/>
  <c r="K140" i="22" s="1"/>
  <c r="I141" i="22"/>
  <c r="M141" i="22" s="1"/>
  <c r="J141" i="22"/>
  <c r="K141" i="22" s="1"/>
  <c r="I142" i="22"/>
  <c r="M142" i="22" s="1"/>
  <c r="J142" i="22"/>
  <c r="K142" i="22" s="1"/>
  <c r="I143" i="22"/>
  <c r="J143" i="22"/>
  <c r="K143" i="22" s="1"/>
  <c r="M143" i="22"/>
  <c r="I144" i="22"/>
  <c r="M144" i="22" s="1"/>
  <c r="J144" i="22"/>
  <c r="K144" i="22" s="1"/>
  <c r="I145" i="22"/>
  <c r="M145" i="22" s="1"/>
  <c r="J145" i="22"/>
  <c r="K145" i="22"/>
  <c r="I146" i="22"/>
  <c r="J146" i="22"/>
  <c r="K146" i="22" s="1"/>
  <c r="M146" i="22"/>
  <c r="I147" i="22"/>
  <c r="M147" i="22" s="1"/>
  <c r="J147" i="22"/>
  <c r="K147" i="22" s="1"/>
  <c r="I148" i="22"/>
  <c r="M148" i="22" s="1"/>
  <c r="J148" i="22"/>
  <c r="K148" i="22" s="1"/>
  <c r="I149" i="22"/>
  <c r="M149" i="22" s="1"/>
  <c r="J149" i="22"/>
  <c r="K149" i="22"/>
  <c r="I150" i="22"/>
  <c r="M150" i="22" s="1"/>
  <c r="J150" i="22"/>
  <c r="K150" i="22" s="1"/>
  <c r="I151" i="22"/>
  <c r="J151" i="22"/>
  <c r="K151" i="22" s="1"/>
  <c r="M151" i="22"/>
  <c r="I152" i="22"/>
  <c r="J152" i="22"/>
  <c r="K152" i="22" s="1"/>
  <c r="M152" i="22"/>
  <c r="I153" i="22"/>
  <c r="M153" i="22" s="1"/>
  <c r="J153" i="22"/>
  <c r="K153" i="22" s="1"/>
  <c r="I154" i="22"/>
  <c r="M154" i="22" s="1"/>
  <c r="J154" i="22"/>
  <c r="K154" i="22" s="1"/>
  <c r="I155" i="22"/>
  <c r="J155" i="22"/>
  <c r="K155" i="22" s="1"/>
  <c r="M155" i="22"/>
  <c r="I156" i="22"/>
  <c r="M156" i="22" s="1"/>
  <c r="J156" i="22"/>
  <c r="K156" i="22" s="1"/>
  <c r="I157" i="22"/>
  <c r="M157" i="22" s="1"/>
  <c r="J157" i="22"/>
  <c r="K157" i="22" s="1"/>
  <c r="I158" i="22"/>
  <c r="M158" i="22" s="1"/>
  <c r="J158" i="22"/>
  <c r="K158" i="22" s="1"/>
  <c r="I159" i="22"/>
  <c r="M159" i="22" s="1"/>
  <c r="J159" i="22"/>
  <c r="K159" i="22" s="1"/>
  <c r="I160" i="22"/>
  <c r="M160" i="22" s="1"/>
  <c r="J160" i="22"/>
  <c r="K160" i="22" s="1"/>
  <c r="I161" i="22"/>
  <c r="M161" i="22" s="1"/>
  <c r="J161" i="22"/>
  <c r="K161" i="22"/>
  <c r="I162" i="22"/>
  <c r="M162" i="22" s="1"/>
  <c r="J162" i="22"/>
  <c r="K162" i="22" s="1"/>
  <c r="I163" i="22"/>
  <c r="J163" i="22"/>
  <c r="K163" i="22" s="1"/>
  <c r="M163" i="22"/>
  <c r="I164" i="22"/>
  <c r="M164" i="22" s="1"/>
  <c r="J164" i="22"/>
  <c r="K164" i="22" s="1"/>
  <c r="I165" i="22"/>
  <c r="M165" i="22" s="1"/>
  <c r="J165" i="22"/>
  <c r="K165" i="22"/>
  <c r="I166" i="22"/>
  <c r="M166" i="22" s="1"/>
  <c r="J166" i="22"/>
  <c r="K166" i="22" s="1"/>
  <c r="I167" i="22"/>
  <c r="J167" i="22"/>
  <c r="K167" i="22" s="1"/>
  <c r="M167" i="22"/>
  <c r="I168" i="22"/>
  <c r="M168" i="22" s="1"/>
  <c r="J168" i="22"/>
  <c r="K168" i="22" s="1"/>
  <c r="I169" i="22"/>
  <c r="M169" i="22" s="1"/>
  <c r="J169" i="22"/>
  <c r="K169" i="22"/>
  <c r="I170" i="22"/>
  <c r="M170" i="22" s="1"/>
  <c r="J170" i="22"/>
  <c r="K170" i="22" s="1"/>
  <c r="I171" i="22"/>
  <c r="M171" i="22" s="1"/>
  <c r="J171" i="22"/>
  <c r="K171" i="22" s="1"/>
  <c r="I172" i="22"/>
  <c r="M172" i="22" s="1"/>
  <c r="J172" i="22"/>
  <c r="K172" i="22" s="1"/>
  <c r="I173" i="22"/>
  <c r="M173" i="22" s="1"/>
  <c r="J173" i="22"/>
  <c r="K173" i="22" s="1"/>
  <c r="I174" i="22"/>
  <c r="M174" i="22" s="1"/>
  <c r="J174" i="22"/>
  <c r="K174" i="22" s="1"/>
  <c r="I175" i="22"/>
  <c r="M175" i="22" s="1"/>
  <c r="J175" i="22"/>
  <c r="K175" i="22" s="1"/>
  <c r="I176" i="22"/>
  <c r="J176" i="22"/>
  <c r="K176" i="22" s="1"/>
  <c r="M176" i="22"/>
  <c r="I177" i="22"/>
  <c r="M177" i="22" s="1"/>
  <c r="J177" i="22"/>
  <c r="K177" i="22" s="1"/>
  <c r="I178" i="22"/>
  <c r="J178" i="22"/>
  <c r="K178" i="22" s="1"/>
  <c r="M178" i="22"/>
  <c r="I179" i="22"/>
  <c r="J179" i="22"/>
  <c r="K179" i="22" s="1"/>
  <c r="M179" i="22"/>
  <c r="I180" i="22"/>
  <c r="M180" i="22" s="1"/>
  <c r="J180" i="22"/>
  <c r="K180" i="22" s="1"/>
  <c r="I181" i="22"/>
  <c r="M181" i="22" s="1"/>
  <c r="J181" i="22"/>
  <c r="K181" i="22"/>
  <c r="I182" i="22"/>
  <c r="M182" i="22" s="1"/>
  <c r="J182" i="22"/>
  <c r="K182" i="22" s="1"/>
  <c r="I183" i="22"/>
  <c r="M183" i="22" s="1"/>
  <c r="J183" i="22"/>
  <c r="K183" i="22" s="1"/>
  <c r="I184" i="22"/>
  <c r="J184" i="22"/>
  <c r="K184" i="22" s="1"/>
  <c r="M184" i="22"/>
  <c r="I185" i="22"/>
  <c r="M185" i="22" s="1"/>
  <c r="J185" i="22"/>
  <c r="K185" i="22"/>
  <c r="I186" i="22"/>
  <c r="M186" i="22" s="1"/>
  <c r="J186" i="22"/>
  <c r="K186" i="22" s="1"/>
  <c r="I187" i="22"/>
  <c r="J187" i="22"/>
  <c r="K187" i="22" s="1"/>
  <c r="M187" i="22"/>
  <c r="I188" i="22"/>
  <c r="M188" i="22" s="1"/>
  <c r="J188" i="22"/>
  <c r="K188" i="22" s="1"/>
  <c r="I189" i="22"/>
  <c r="M189" i="22" s="1"/>
  <c r="J189" i="22"/>
  <c r="K189" i="22" s="1"/>
  <c r="I190" i="22"/>
  <c r="M190" i="22" s="1"/>
  <c r="J190" i="22"/>
  <c r="K190" i="22"/>
  <c r="I191" i="22"/>
  <c r="M191" i="22" s="1"/>
  <c r="J191" i="22"/>
  <c r="K191" i="22" s="1"/>
  <c r="I192" i="22"/>
  <c r="M192" i="22" s="1"/>
  <c r="J192" i="22"/>
  <c r="K192" i="22" s="1"/>
  <c r="I193" i="22"/>
  <c r="M193" i="22" s="1"/>
  <c r="J193" i="22"/>
  <c r="K193" i="22" s="1"/>
  <c r="I194" i="22"/>
  <c r="M194" i="22" s="1"/>
  <c r="J194" i="22"/>
  <c r="K194" i="22"/>
  <c r="I195" i="22"/>
  <c r="M195" i="22" s="1"/>
  <c r="J195" i="22"/>
  <c r="K195" i="22" s="1"/>
  <c r="I196" i="22"/>
  <c r="M196" i="22" s="1"/>
  <c r="J196" i="22"/>
  <c r="K196" i="22"/>
  <c r="I197" i="22"/>
  <c r="M197" i="22" s="1"/>
  <c r="J197" i="22"/>
  <c r="K197" i="22" s="1"/>
  <c r="I198" i="22"/>
  <c r="M198" i="22" s="1"/>
  <c r="J198" i="22"/>
  <c r="K198" i="22"/>
  <c r="I199" i="22"/>
  <c r="M199" i="22" s="1"/>
  <c r="J199" i="22"/>
  <c r="K199" i="22" s="1"/>
  <c r="I200" i="22"/>
  <c r="M200" i="22" s="1"/>
  <c r="J200" i="22"/>
  <c r="K200" i="22"/>
  <c r="I201" i="22"/>
  <c r="M201" i="22" s="1"/>
  <c r="J201" i="22"/>
  <c r="K201" i="22" s="1"/>
  <c r="I202" i="22"/>
  <c r="M202" i="22" s="1"/>
  <c r="J202" i="22"/>
  <c r="K202" i="22"/>
  <c r="I203" i="22"/>
  <c r="M203" i="22" s="1"/>
  <c r="J203" i="22"/>
  <c r="K203" i="22" s="1"/>
  <c r="I204" i="22"/>
  <c r="M204" i="22" s="1"/>
  <c r="J204" i="22"/>
  <c r="K204" i="22" s="1"/>
  <c r="I205" i="22"/>
  <c r="M205" i="22" s="1"/>
  <c r="J205" i="22"/>
  <c r="K205" i="22" s="1"/>
  <c r="I206" i="22"/>
  <c r="M206" i="22" s="1"/>
  <c r="J206" i="22"/>
  <c r="K206" i="22" s="1"/>
  <c r="I207" i="22"/>
  <c r="M207" i="22" s="1"/>
  <c r="J207" i="22"/>
  <c r="K207" i="22" s="1"/>
  <c r="I208" i="22"/>
  <c r="M208" i="22" s="1"/>
  <c r="J208" i="22"/>
  <c r="K208" i="22" s="1"/>
  <c r="I209" i="22"/>
  <c r="M209" i="22" s="1"/>
  <c r="J209" i="22"/>
  <c r="K209" i="22" s="1"/>
  <c r="I210" i="22"/>
  <c r="M210" i="22" s="1"/>
  <c r="J210" i="22"/>
  <c r="K210" i="22"/>
  <c r="I211" i="22"/>
  <c r="M211" i="22" s="1"/>
  <c r="J211" i="22"/>
  <c r="K211" i="22" s="1"/>
  <c r="I212" i="22"/>
  <c r="M212" i="22" s="1"/>
  <c r="J212" i="22"/>
  <c r="K212" i="22" s="1"/>
  <c r="I213" i="22"/>
  <c r="M213" i="22" s="1"/>
  <c r="J213" i="22"/>
  <c r="K213" i="22" s="1"/>
  <c r="I214" i="22"/>
  <c r="M214" i="22" s="1"/>
  <c r="J214" i="22"/>
  <c r="K214" i="22"/>
  <c r="I215" i="22"/>
  <c r="M215" i="22" s="1"/>
  <c r="J215" i="22"/>
  <c r="K215" i="22" s="1"/>
  <c r="I216" i="22"/>
  <c r="M216" i="22" s="1"/>
  <c r="J216" i="22"/>
  <c r="K216" i="22" s="1"/>
  <c r="I217" i="22"/>
  <c r="M217" i="22" s="1"/>
  <c r="J217" i="22"/>
  <c r="K217" i="22" s="1"/>
  <c r="I218" i="22"/>
  <c r="M218" i="22" s="1"/>
  <c r="J218" i="22"/>
  <c r="K218" i="22"/>
  <c r="I219" i="22"/>
  <c r="M219" i="22" s="1"/>
  <c r="J219" i="22"/>
  <c r="K219" i="22" s="1"/>
  <c r="I220" i="22"/>
  <c r="M220" i="22" s="1"/>
  <c r="J220" i="22"/>
  <c r="K220" i="22" s="1"/>
  <c r="I221" i="22"/>
  <c r="M221" i="22" s="1"/>
  <c r="J221" i="22"/>
  <c r="K221" i="22" s="1"/>
  <c r="I222" i="22"/>
  <c r="M222" i="22" s="1"/>
  <c r="J222" i="22"/>
  <c r="K222" i="22" s="1"/>
  <c r="I223" i="22"/>
  <c r="M223" i="22" s="1"/>
  <c r="J223" i="22"/>
  <c r="K223" i="22" s="1"/>
  <c r="I224" i="22"/>
  <c r="M224" i="22" s="1"/>
  <c r="J224" i="22"/>
  <c r="K224" i="22"/>
  <c r="I225" i="22"/>
  <c r="M225" i="22" s="1"/>
  <c r="J225" i="22"/>
  <c r="K225" i="22" s="1"/>
  <c r="I226" i="22"/>
  <c r="M226" i="22" s="1"/>
  <c r="J226" i="22"/>
  <c r="K226" i="22"/>
  <c r="I227" i="22"/>
  <c r="M227" i="22" s="1"/>
  <c r="J227" i="22"/>
  <c r="K227" i="22" s="1"/>
  <c r="I228" i="22"/>
  <c r="M228" i="22" s="1"/>
  <c r="J228" i="22"/>
  <c r="K228" i="22" s="1"/>
  <c r="I229" i="22"/>
  <c r="M229" i="22" s="1"/>
  <c r="J229" i="22"/>
  <c r="K229" i="22" s="1"/>
  <c r="I230" i="22"/>
  <c r="M230" i="22" s="1"/>
  <c r="J230" i="22"/>
  <c r="K230" i="22" s="1"/>
  <c r="I231" i="22"/>
  <c r="M231" i="22" s="1"/>
  <c r="J231" i="22"/>
  <c r="K231" i="22" s="1"/>
  <c r="I232" i="22"/>
  <c r="M232" i="22" s="1"/>
  <c r="J232" i="22"/>
  <c r="K232" i="22" s="1"/>
  <c r="I233" i="22"/>
  <c r="M233" i="22" s="1"/>
  <c r="J233" i="22"/>
  <c r="K233" i="22" s="1"/>
  <c r="I234" i="22"/>
  <c r="M234" i="22" s="1"/>
  <c r="J234" i="22"/>
  <c r="K234" i="22"/>
  <c r="I235" i="22"/>
  <c r="M235" i="22" s="1"/>
  <c r="J235" i="22"/>
  <c r="K235" i="22" s="1"/>
  <c r="I236" i="22"/>
  <c r="M236" i="22" s="1"/>
  <c r="J236" i="22"/>
  <c r="K236" i="22" s="1"/>
  <c r="I237" i="22"/>
  <c r="M237" i="22" s="1"/>
  <c r="J237" i="22"/>
  <c r="K237" i="22" s="1"/>
  <c r="I238" i="22"/>
  <c r="M238" i="22" s="1"/>
  <c r="J238" i="22"/>
  <c r="K238" i="22" s="1"/>
  <c r="I239" i="22"/>
  <c r="M239" i="22" s="1"/>
  <c r="J239" i="22"/>
  <c r="K239" i="22" s="1"/>
  <c r="I240" i="22"/>
  <c r="M240" i="22" s="1"/>
  <c r="J240" i="22"/>
  <c r="K240" i="22" s="1"/>
  <c r="I241" i="22"/>
  <c r="M241" i="22" s="1"/>
  <c r="J241" i="22"/>
  <c r="K241" i="22" s="1"/>
  <c r="I242" i="22"/>
  <c r="M242" i="22" s="1"/>
  <c r="J242" i="22"/>
  <c r="K242" i="22"/>
  <c r="I243" i="22"/>
  <c r="M243" i="22" s="1"/>
  <c r="J243" i="22"/>
  <c r="K243" i="22" s="1"/>
  <c r="I244" i="22"/>
  <c r="M244" i="22" s="1"/>
  <c r="J244" i="22"/>
  <c r="K244" i="22" s="1"/>
  <c r="I245" i="22"/>
  <c r="M245" i="22" s="1"/>
  <c r="J245" i="22"/>
  <c r="K245" i="22" s="1"/>
  <c r="I246" i="22"/>
  <c r="M246" i="22" s="1"/>
  <c r="J246" i="22"/>
  <c r="K246" i="22"/>
  <c r="I247" i="22"/>
  <c r="M247" i="22" s="1"/>
  <c r="J247" i="22"/>
  <c r="K247" i="22" s="1"/>
  <c r="I248" i="22"/>
  <c r="M248" i="22" s="1"/>
  <c r="J248" i="22"/>
  <c r="K248" i="22" s="1"/>
  <c r="I249" i="22"/>
  <c r="M249" i="22" s="1"/>
  <c r="J249" i="22"/>
  <c r="K249" i="22" s="1"/>
  <c r="I250" i="22"/>
  <c r="M250" i="22" s="1"/>
  <c r="J250" i="22"/>
  <c r="K250" i="22" s="1"/>
  <c r="I251" i="22"/>
  <c r="M251" i="22" s="1"/>
  <c r="J251" i="22"/>
  <c r="K251" i="22" s="1"/>
  <c r="I252" i="22"/>
  <c r="M252" i="22" s="1"/>
  <c r="J252" i="22"/>
  <c r="K252" i="22" s="1"/>
  <c r="I253" i="22"/>
  <c r="M253" i="22" s="1"/>
  <c r="J253" i="22"/>
  <c r="K253" i="22" s="1"/>
  <c r="I254" i="22"/>
  <c r="M254" i="22" s="1"/>
  <c r="J254" i="22"/>
  <c r="K254" i="22" s="1"/>
  <c r="I255" i="22"/>
  <c r="M255" i="22" s="1"/>
  <c r="J255" i="22"/>
  <c r="K255" i="22" s="1"/>
  <c r="I256" i="22"/>
  <c r="M256" i="22" s="1"/>
  <c r="J256" i="22"/>
  <c r="K256" i="22"/>
  <c r="I257" i="22"/>
  <c r="M257" i="22" s="1"/>
  <c r="J257" i="22"/>
  <c r="K257" i="22" s="1"/>
  <c r="I258" i="22"/>
  <c r="M258" i="22" s="1"/>
  <c r="J258" i="22"/>
  <c r="K258" i="22" s="1"/>
  <c r="I259" i="22"/>
  <c r="M259" i="22" s="1"/>
  <c r="J259" i="22"/>
  <c r="K259" i="22" s="1"/>
  <c r="I260" i="22"/>
  <c r="M260" i="22" s="1"/>
  <c r="J260" i="22"/>
  <c r="K260" i="22"/>
  <c r="I261" i="22"/>
  <c r="M261" i="22" s="1"/>
  <c r="J261" i="22"/>
  <c r="K261" i="22" s="1"/>
  <c r="I262" i="22"/>
  <c r="M262" i="22" s="1"/>
  <c r="J262" i="22"/>
  <c r="K262" i="22" s="1"/>
  <c r="I263" i="22"/>
  <c r="M263" i="22" s="1"/>
  <c r="J263" i="22"/>
  <c r="K263" i="22" s="1"/>
  <c r="I264" i="22"/>
  <c r="M264" i="22" s="1"/>
  <c r="J264" i="22"/>
  <c r="K264" i="22" s="1"/>
  <c r="I265" i="22"/>
  <c r="M265" i="22" s="1"/>
  <c r="J265" i="22"/>
  <c r="K265" i="22" s="1"/>
  <c r="I266" i="22"/>
  <c r="M266" i="22" s="1"/>
  <c r="J266" i="22"/>
  <c r="K266" i="22" s="1"/>
  <c r="I267" i="22"/>
  <c r="M267" i="22" s="1"/>
  <c r="J267" i="22"/>
  <c r="K267" i="22" s="1"/>
  <c r="I268" i="22"/>
  <c r="M268" i="22" s="1"/>
  <c r="J268" i="22"/>
  <c r="K268" i="22" s="1"/>
  <c r="I269" i="22"/>
  <c r="M269" i="22" s="1"/>
  <c r="J269" i="22"/>
  <c r="K269" i="22" s="1"/>
  <c r="I270" i="22"/>
  <c r="M270" i="22" s="1"/>
  <c r="J270" i="22"/>
  <c r="K270" i="22" s="1"/>
  <c r="I271" i="22"/>
  <c r="M271" i="22" s="1"/>
  <c r="J271" i="22"/>
  <c r="K271" i="22" s="1"/>
  <c r="I272" i="22"/>
  <c r="M272" i="22" s="1"/>
  <c r="J272" i="22"/>
  <c r="K272" i="22"/>
  <c r="I273" i="22"/>
  <c r="M273" i="22" s="1"/>
  <c r="J273" i="22"/>
  <c r="K273" i="22" s="1"/>
  <c r="I274" i="22"/>
  <c r="M274" i="22" s="1"/>
  <c r="J274" i="22"/>
  <c r="K274" i="22"/>
  <c r="I275" i="22"/>
  <c r="M275" i="22" s="1"/>
  <c r="J275" i="22"/>
  <c r="K275" i="22" s="1"/>
  <c r="I276" i="22"/>
  <c r="M276" i="22" s="1"/>
  <c r="J276" i="22"/>
  <c r="K276" i="22"/>
  <c r="I277" i="22"/>
  <c r="M277" i="22" s="1"/>
  <c r="J277" i="22"/>
  <c r="K277" i="22" s="1"/>
  <c r="I278" i="22"/>
  <c r="M278" i="22" s="1"/>
  <c r="J278" i="22"/>
  <c r="K278" i="22"/>
  <c r="I279" i="22"/>
  <c r="M279" i="22" s="1"/>
  <c r="J279" i="22"/>
  <c r="K279" i="22" s="1"/>
  <c r="I280" i="22"/>
  <c r="M280" i="22" s="1"/>
  <c r="J280" i="22"/>
  <c r="K280" i="22" s="1"/>
  <c r="I281" i="22"/>
  <c r="M281" i="22" s="1"/>
  <c r="J281" i="22"/>
  <c r="K281" i="22" s="1"/>
  <c r="I282" i="22"/>
  <c r="M282" i="22" s="1"/>
  <c r="J282" i="22"/>
  <c r="K282" i="22" s="1"/>
  <c r="I283" i="22"/>
  <c r="M283" i="22" s="1"/>
  <c r="J283" i="22"/>
  <c r="K283" i="22" s="1"/>
  <c r="I284" i="22"/>
  <c r="M284" i="22" s="1"/>
  <c r="J284" i="22"/>
  <c r="K284" i="22" s="1"/>
  <c r="I285" i="22"/>
  <c r="M285" i="22" s="1"/>
  <c r="J285" i="22"/>
  <c r="K285" i="22" s="1"/>
  <c r="I286" i="22"/>
  <c r="M286" i="22" s="1"/>
  <c r="J286" i="22"/>
  <c r="K286" i="22" s="1"/>
  <c r="I287" i="22"/>
  <c r="M287" i="22" s="1"/>
  <c r="J287" i="22"/>
  <c r="K287" i="22" s="1"/>
  <c r="I288" i="22"/>
  <c r="M288" i="22" s="1"/>
  <c r="J288" i="22"/>
  <c r="K288" i="22"/>
  <c r="I289" i="22"/>
  <c r="M289" i="22" s="1"/>
  <c r="J289" i="22"/>
  <c r="K289" i="22" s="1"/>
  <c r="I290" i="22"/>
  <c r="M290" i="22" s="1"/>
  <c r="J290" i="22"/>
  <c r="K290" i="22" s="1"/>
  <c r="I291" i="22"/>
  <c r="M291" i="22" s="1"/>
  <c r="J291" i="22"/>
  <c r="K291" i="22" s="1"/>
  <c r="I292" i="22"/>
  <c r="M292" i="22" s="1"/>
  <c r="J292" i="22"/>
  <c r="K292" i="22"/>
  <c r="I293" i="22"/>
  <c r="M293" i="22" s="1"/>
  <c r="J293" i="22"/>
  <c r="K293" i="22" s="1"/>
  <c r="I294" i="22"/>
  <c r="M294" i="22" s="1"/>
  <c r="J294" i="22"/>
  <c r="K294" i="22" s="1"/>
  <c r="I295" i="22"/>
  <c r="M295" i="22" s="1"/>
  <c r="J295" i="22"/>
  <c r="K295" i="22" s="1"/>
  <c r="I296" i="22"/>
  <c r="M296" i="22" s="1"/>
  <c r="J296" i="22"/>
  <c r="K296" i="22" s="1"/>
  <c r="I297" i="22"/>
  <c r="M297" i="22" s="1"/>
  <c r="J297" i="22"/>
  <c r="K297" i="22"/>
  <c r="I298" i="22"/>
  <c r="M298" i="22" s="1"/>
  <c r="J298" i="22"/>
  <c r="K298" i="22" s="1"/>
  <c r="I299" i="22"/>
  <c r="M299" i="22" s="1"/>
  <c r="J299" i="22"/>
  <c r="K299" i="22"/>
  <c r="I300" i="22"/>
  <c r="M300" i="22" s="1"/>
  <c r="J300" i="22"/>
  <c r="K300" i="22"/>
  <c r="I301" i="22"/>
  <c r="M301" i="22" s="1"/>
  <c r="J301" i="22"/>
  <c r="K301" i="22" s="1"/>
  <c r="I302" i="22"/>
  <c r="M302" i="22" s="1"/>
  <c r="J302" i="22"/>
  <c r="K302" i="22" s="1"/>
  <c r="I303" i="22"/>
  <c r="M303" i="22" s="1"/>
  <c r="J303" i="22"/>
  <c r="K303" i="22" s="1"/>
  <c r="I304" i="22"/>
  <c r="M304" i="22" s="1"/>
  <c r="J304" i="22"/>
  <c r="K304" i="22" s="1"/>
  <c r="I305" i="22"/>
  <c r="M305" i="22" s="1"/>
  <c r="J305" i="22"/>
  <c r="K305" i="22"/>
  <c r="J306" i="22"/>
  <c r="J307" i="22"/>
  <c r="J308" i="22"/>
  <c r="J309" i="22"/>
  <c r="J310" i="22"/>
  <c r="J311" i="22"/>
  <c r="J312" i="22"/>
  <c r="J313" i="22"/>
  <c r="J314" i="22"/>
  <c r="J315" i="22"/>
  <c r="J316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53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J369" i="22"/>
  <c r="J370" i="22"/>
  <c r="J371" i="22"/>
  <c r="J372" i="22"/>
  <c r="J373" i="22"/>
  <c r="J374" i="22"/>
  <c r="K2" i="21"/>
  <c r="L6" i="21" s="1"/>
  <c r="B6" i="21"/>
  <c r="I6" i="21"/>
  <c r="J6" i="21"/>
  <c r="K6" i="21"/>
  <c r="B7" i="21"/>
  <c r="I7" i="21"/>
  <c r="J7" i="21"/>
  <c r="K7" i="21" s="1"/>
  <c r="L7" i="21"/>
  <c r="B8" i="21"/>
  <c r="I8" i="21"/>
  <c r="J8" i="21"/>
  <c r="K8" i="21"/>
  <c r="B9" i="21"/>
  <c r="I9" i="21"/>
  <c r="J9" i="21"/>
  <c r="K9" i="21" s="1"/>
  <c r="B10" i="21"/>
  <c r="I10" i="21"/>
  <c r="J10" i="21"/>
  <c r="K10" i="21"/>
  <c r="B11" i="21"/>
  <c r="I11" i="21"/>
  <c r="J11" i="21"/>
  <c r="K11" i="21" s="1"/>
  <c r="M11" i="21"/>
  <c r="A11" i="21" s="1"/>
  <c r="B12" i="21"/>
  <c r="I12" i="21"/>
  <c r="J12" i="21"/>
  <c r="K12" i="21" s="1"/>
  <c r="AI12" i="21"/>
  <c r="AI16" i="21" s="1"/>
  <c r="B13" i="21"/>
  <c r="I13" i="21"/>
  <c r="J13" i="21"/>
  <c r="K13" i="21"/>
  <c r="M13" i="21"/>
  <c r="A13" i="21" s="1"/>
  <c r="AI13" i="21"/>
  <c r="B14" i="21"/>
  <c r="I14" i="21"/>
  <c r="M14" i="21" s="1"/>
  <c r="A14" i="21" s="1"/>
  <c r="J14" i="21"/>
  <c r="K14" i="21" s="1"/>
  <c r="AI14" i="21"/>
  <c r="B15" i="21"/>
  <c r="I15" i="21"/>
  <c r="M15" i="21" s="1"/>
  <c r="A15" i="21" s="1"/>
  <c r="J15" i="21"/>
  <c r="K15" i="21" s="1"/>
  <c r="B16" i="21"/>
  <c r="I16" i="21"/>
  <c r="J16" i="21"/>
  <c r="K16" i="21" s="1"/>
  <c r="M16" i="21"/>
  <c r="A16" i="21" s="1"/>
  <c r="B17" i="21"/>
  <c r="I17" i="21"/>
  <c r="M17" i="21" s="1"/>
  <c r="A17" i="21" s="1"/>
  <c r="J17" i="21"/>
  <c r="K17" i="21"/>
  <c r="B18" i="21"/>
  <c r="I18" i="21"/>
  <c r="M18" i="21" s="1"/>
  <c r="A18" i="21" s="1"/>
  <c r="J18" i="21"/>
  <c r="K18" i="21" s="1"/>
  <c r="B19" i="21"/>
  <c r="I19" i="21"/>
  <c r="M19" i="21" s="1"/>
  <c r="A19" i="21" s="1"/>
  <c r="J19" i="21"/>
  <c r="K19" i="21" s="1"/>
  <c r="B20" i="21"/>
  <c r="I20" i="21"/>
  <c r="M20" i="21" s="1"/>
  <c r="A20" i="21" s="1"/>
  <c r="J20" i="21"/>
  <c r="K20" i="21"/>
  <c r="B21" i="21"/>
  <c r="I21" i="21"/>
  <c r="M21" i="21" s="1"/>
  <c r="A21" i="21" s="1"/>
  <c r="J21" i="21"/>
  <c r="K21" i="21" s="1"/>
  <c r="B22" i="21"/>
  <c r="I22" i="21"/>
  <c r="M22" i="21" s="1"/>
  <c r="A22" i="21" s="1"/>
  <c r="J22" i="21"/>
  <c r="K22" i="21" s="1"/>
  <c r="B23" i="21"/>
  <c r="I23" i="21"/>
  <c r="M23" i="21" s="1"/>
  <c r="A23" i="21" s="1"/>
  <c r="J23" i="21"/>
  <c r="K23" i="21" s="1"/>
  <c r="B24" i="21"/>
  <c r="I24" i="21"/>
  <c r="M24" i="21" s="1"/>
  <c r="A24" i="21" s="1"/>
  <c r="J24" i="21"/>
  <c r="K24" i="21"/>
  <c r="B25" i="21"/>
  <c r="I25" i="21"/>
  <c r="M25" i="21" s="1"/>
  <c r="A25" i="21" s="1"/>
  <c r="J25" i="21"/>
  <c r="K25" i="21" s="1"/>
  <c r="B26" i="21"/>
  <c r="I26" i="21"/>
  <c r="M26" i="21" s="1"/>
  <c r="A26" i="21" s="1"/>
  <c r="J26" i="21"/>
  <c r="K26" i="21" s="1"/>
  <c r="B27" i="21"/>
  <c r="I27" i="21"/>
  <c r="M27" i="21" s="1"/>
  <c r="A27" i="21" s="1"/>
  <c r="J27" i="21"/>
  <c r="K27" i="21" s="1"/>
  <c r="B28" i="21"/>
  <c r="I28" i="21"/>
  <c r="M28" i="21" s="1"/>
  <c r="A28" i="21" s="1"/>
  <c r="J28" i="21"/>
  <c r="K28" i="21"/>
  <c r="B29" i="21"/>
  <c r="I29" i="21"/>
  <c r="J29" i="21"/>
  <c r="K29" i="21" s="1"/>
  <c r="M29" i="21"/>
  <c r="A29" i="21" s="1"/>
  <c r="B30" i="21"/>
  <c r="I30" i="21"/>
  <c r="M30" i="21" s="1"/>
  <c r="A30" i="21" s="1"/>
  <c r="J30" i="21"/>
  <c r="K30" i="21" s="1"/>
  <c r="B31" i="21"/>
  <c r="I31" i="21"/>
  <c r="M31" i="21" s="1"/>
  <c r="A31" i="21" s="1"/>
  <c r="J31" i="21"/>
  <c r="K31" i="21"/>
  <c r="B32" i="21"/>
  <c r="I32" i="21"/>
  <c r="M32" i="21" s="1"/>
  <c r="A32" i="21" s="1"/>
  <c r="J32" i="21"/>
  <c r="K32" i="21" s="1"/>
  <c r="B33" i="21"/>
  <c r="I33" i="21"/>
  <c r="J33" i="21"/>
  <c r="K33" i="21" s="1"/>
  <c r="M33" i="21"/>
  <c r="A33" i="21" s="1"/>
  <c r="B34" i="21"/>
  <c r="I34" i="21"/>
  <c r="M34" i="21" s="1"/>
  <c r="A34" i="21" s="1"/>
  <c r="J34" i="21"/>
  <c r="K34" i="21" s="1"/>
  <c r="B35" i="21"/>
  <c r="I35" i="21"/>
  <c r="M35" i="21" s="1"/>
  <c r="A35" i="21" s="1"/>
  <c r="J35" i="21"/>
  <c r="K35" i="21"/>
  <c r="B36" i="21"/>
  <c r="I36" i="21"/>
  <c r="M36" i="21" s="1"/>
  <c r="A36" i="21" s="1"/>
  <c r="J36" i="21"/>
  <c r="K36" i="21" s="1"/>
  <c r="B37" i="21"/>
  <c r="I37" i="21"/>
  <c r="J37" i="21"/>
  <c r="K37" i="21"/>
  <c r="M37" i="21"/>
  <c r="A37" i="21" s="1"/>
  <c r="B38" i="21"/>
  <c r="I38" i="21"/>
  <c r="M38" i="21" s="1"/>
  <c r="J38" i="21"/>
  <c r="K38" i="21" s="1"/>
  <c r="B39" i="21"/>
  <c r="I39" i="21"/>
  <c r="M39" i="21" s="1"/>
  <c r="J39" i="21"/>
  <c r="K39" i="21" s="1"/>
  <c r="B40" i="21"/>
  <c r="I40" i="21"/>
  <c r="M40" i="21" s="1"/>
  <c r="J40" i="21"/>
  <c r="K40" i="21"/>
  <c r="B41" i="21"/>
  <c r="I41" i="21"/>
  <c r="M41" i="21" s="1"/>
  <c r="J41" i="21"/>
  <c r="K41" i="21" s="1"/>
  <c r="B42" i="21"/>
  <c r="I42" i="21"/>
  <c r="M42" i="21" s="1"/>
  <c r="J42" i="21"/>
  <c r="K42" i="21"/>
  <c r="B43" i="21"/>
  <c r="I43" i="21"/>
  <c r="J43" i="21"/>
  <c r="K43" i="21" s="1"/>
  <c r="M43" i="21"/>
  <c r="B44" i="21"/>
  <c r="I44" i="21"/>
  <c r="M44" i="21" s="1"/>
  <c r="J44" i="21"/>
  <c r="K44" i="21" s="1"/>
  <c r="B45" i="21"/>
  <c r="I45" i="21"/>
  <c r="J45" i="21"/>
  <c r="K45" i="21"/>
  <c r="M45" i="21"/>
  <c r="B46" i="21"/>
  <c r="I46" i="21"/>
  <c r="M46" i="21" s="1"/>
  <c r="J46" i="21"/>
  <c r="K46" i="21" s="1"/>
  <c r="R46" i="21"/>
  <c r="T46" i="21"/>
  <c r="B47" i="21"/>
  <c r="I47" i="21"/>
  <c r="M47" i="21" s="1"/>
  <c r="J47" i="21"/>
  <c r="K47" i="21"/>
  <c r="B48" i="21"/>
  <c r="I48" i="21"/>
  <c r="M48" i="21" s="1"/>
  <c r="J48" i="21"/>
  <c r="K48" i="21" s="1"/>
  <c r="B49" i="21"/>
  <c r="I49" i="21"/>
  <c r="J49" i="21"/>
  <c r="K49" i="21"/>
  <c r="M49" i="21"/>
  <c r="B50" i="21"/>
  <c r="I50" i="21"/>
  <c r="M50" i="21" s="1"/>
  <c r="J50" i="21"/>
  <c r="K50" i="21" s="1"/>
  <c r="B51" i="21"/>
  <c r="I51" i="21"/>
  <c r="J51" i="21"/>
  <c r="K51" i="21" s="1"/>
  <c r="M51" i="21"/>
  <c r="B52" i="21"/>
  <c r="I52" i="21"/>
  <c r="M52" i="21" s="1"/>
  <c r="J52" i="21"/>
  <c r="K52" i="21" s="1"/>
  <c r="B53" i="21"/>
  <c r="I53" i="21"/>
  <c r="M53" i="21" s="1"/>
  <c r="J53" i="21"/>
  <c r="K53" i="21" s="1"/>
  <c r="B54" i="21"/>
  <c r="I54" i="21"/>
  <c r="M54" i="21" s="1"/>
  <c r="J54" i="21"/>
  <c r="K54" i="21" s="1"/>
  <c r="B55" i="21"/>
  <c r="I55" i="21"/>
  <c r="J55" i="21"/>
  <c r="K55" i="21"/>
  <c r="M55" i="21"/>
  <c r="B56" i="21"/>
  <c r="I56" i="21"/>
  <c r="M56" i="21" s="1"/>
  <c r="J56" i="21"/>
  <c r="K56" i="21" s="1"/>
  <c r="B57" i="21"/>
  <c r="I57" i="21"/>
  <c r="J57" i="21"/>
  <c r="K57" i="21" s="1"/>
  <c r="M57" i="21"/>
  <c r="B58" i="21"/>
  <c r="I58" i="21"/>
  <c r="M58" i="21" s="1"/>
  <c r="J58" i="21"/>
  <c r="K58" i="21" s="1"/>
  <c r="B59" i="21"/>
  <c r="I59" i="21"/>
  <c r="J59" i="21"/>
  <c r="K59" i="21"/>
  <c r="M59" i="21"/>
  <c r="B60" i="21"/>
  <c r="I60" i="21"/>
  <c r="J60" i="21"/>
  <c r="K60" i="21" s="1"/>
  <c r="M60" i="21"/>
  <c r="B61" i="21"/>
  <c r="I61" i="21"/>
  <c r="M61" i="21" s="1"/>
  <c r="J61" i="21"/>
  <c r="K61" i="21" s="1"/>
  <c r="B62" i="21"/>
  <c r="I62" i="21"/>
  <c r="J62" i="21"/>
  <c r="K62" i="21" s="1"/>
  <c r="M62" i="21"/>
  <c r="B63" i="21"/>
  <c r="I63" i="21"/>
  <c r="M63" i="21" s="1"/>
  <c r="J63" i="21"/>
  <c r="K63" i="21"/>
  <c r="B64" i="21"/>
  <c r="I64" i="21"/>
  <c r="M64" i="21" s="1"/>
  <c r="J64" i="21"/>
  <c r="K64" i="21" s="1"/>
  <c r="B65" i="21"/>
  <c r="I65" i="21"/>
  <c r="J65" i="21"/>
  <c r="K65" i="21" s="1"/>
  <c r="M65" i="21"/>
  <c r="I66" i="21"/>
  <c r="M66" i="21" s="1"/>
  <c r="J66" i="21"/>
  <c r="K66" i="21" s="1"/>
  <c r="I67" i="21"/>
  <c r="J67" i="21"/>
  <c r="K67" i="21" s="1"/>
  <c r="M67" i="21"/>
  <c r="I68" i="21"/>
  <c r="M68" i="21" s="1"/>
  <c r="J68" i="21"/>
  <c r="K68" i="21" s="1"/>
  <c r="I69" i="21"/>
  <c r="M69" i="21" s="1"/>
  <c r="J69" i="21"/>
  <c r="K69" i="21" s="1"/>
  <c r="I70" i="21"/>
  <c r="M70" i="21" s="1"/>
  <c r="J70" i="21"/>
  <c r="K70" i="21" s="1"/>
  <c r="I71" i="21"/>
  <c r="J71" i="21"/>
  <c r="K71" i="21" s="1"/>
  <c r="M71" i="21"/>
  <c r="I72" i="21"/>
  <c r="M72" i="21" s="1"/>
  <c r="J72" i="21"/>
  <c r="K72" i="21" s="1"/>
  <c r="I73" i="21"/>
  <c r="J73" i="21"/>
  <c r="K73" i="21" s="1"/>
  <c r="M73" i="21"/>
  <c r="I74" i="21"/>
  <c r="M74" i="21" s="1"/>
  <c r="J74" i="21"/>
  <c r="K74" i="21" s="1"/>
  <c r="I75" i="21"/>
  <c r="M75" i="21" s="1"/>
  <c r="J75" i="21"/>
  <c r="K75" i="21" s="1"/>
  <c r="I76" i="21"/>
  <c r="M76" i="21" s="1"/>
  <c r="J76" i="21"/>
  <c r="K76" i="21" s="1"/>
  <c r="I77" i="21"/>
  <c r="J77" i="21"/>
  <c r="K77" i="21" s="1"/>
  <c r="M77" i="21"/>
  <c r="I78" i="21"/>
  <c r="M78" i="21" s="1"/>
  <c r="J78" i="21"/>
  <c r="K78" i="21" s="1"/>
  <c r="I79" i="21"/>
  <c r="M79" i="21" s="1"/>
  <c r="J79" i="21"/>
  <c r="K79" i="21" s="1"/>
  <c r="I80" i="21"/>
  <c r="M80" i="21" s="1"/>
  <c r="J80" i="21"/>
  <c r="K80" i="21" s="1"/>
  <c r="I81" i="21"/>
  <c r="J81" i="21"/>
  <c r="K81" i="21" s="1"/>
  <c r="M81" i="21"/>
  <c r="I82" i="21"/>
  <c r="M82" i="21" s="1"/>
  <c r="J82" i="21"/>
  <c r="K82" i="21" s="1"/>
  <c r="I83" i="21"/>
  <c r="J83" i="21"/>
  <c r="K83" i="21" s="1"/>
  <c r="M83" i="21"/>
  <c r="I84" i="21"/>
  <c r="M84" i="21" s="1"/>
  <c r="J84" i="21"/>
  <c r="K84" i="21" s="1"/>
  <c r="I85" i="21"/>
  <c r="M85" i="21" s="1"/>
  <c r="J85" i="21"/>
  <c r="K85" i="21" s="1"/>
  <c r="I86" i="21"/>
  <c r="M86" i="21" s="1"/>
  <c r="J86" i="21"/>
  <c r="K86" i="21" s="1"/>
  <c r="I87" i="21"/>
  <c r="J87" i="21"/>
  <c r="K87" i="21" s="1"/>
  <c r="M87" i="21"/>
  <c r="I88" i="21"/>
  <c r="M88" i="21" s="1"/>
  <c r="J88" i="21"/>
  <c r="K88" i="21" s="1"/>
  <c r="I89" i="21"/>
  <c r="J89" i="21"/>
  <c r="K89" i="21" s="1"/>
  <c r="M89" i="21"/>
  <c r="I90" i="21"/>
  <c r="M90" i="21" s="1"/>
  <c r="J90" i="21"/>
  <c r="K90" i="21" s="1"/>
  <c r="I91" i="21"/>
  <c r="M91" i="21" s="1"/>
  <c r="J91" i="21"/>
  <c r="K91" i="21" s="1"/>
  <c r="I92" i="21"/>
  <c r="M92" i="21" s="1"/>
  <c r="J92" i="21"/>
  <c r="K92" i="21" s="1"/>
  <c r="I93" i="21"/>
  <c r="J93" i="21"/>
  <c r="K93" i="21" s="1"/>
  <c r="M93" i="21"/>
  <c r="I94" i="21"/>
  <c r="M94" i="21" s="1"/>
  <c r="J94" i="21"/>
  <c r="K94" i="21" s="1"/>
  <c r="I95" i="21"/>
  <c r="M95" i="21" s="1"/>
  <c r="J95" i="21"/>
  <c r="K95" i="21" s="1"/>
  <c r="I96" i="21"/>
  <c r="M96" i="21" s="1"/>
  <c r="J96" i="21"/>
  <c r="K96" i="21" s="1"/>
  <c r="I97" i="21"/>
  <c r="J97" i="21"/>
  <c r="K97" i="21" s="1"/>
  <c r="M97" i="21"/>
  <c r="I98" i="21"/>
  <c r="M98" i="21" s="1"/>
  <c r="J98" i="21"/>
  <c r="K98" i="21" s="1"/>
  <c r="I99" i="21"/>
  <c r="J99" i="21"/>
  <c r="K99" i="21" s="1"/>
  <c r="M99" i="21"/>
  <c r="I100" i="21"/>
  <c r="M100" i="21" s="1"/>
  <c r="J100" i="21"/>
  <c r="K100" i="21" s="1"/>
  <c r="I101" i="21"/>
  <c r="M101" i="21" s="1"/>
  <c r="J101" i="21"/>
  <c r="K101" i="21" s="1"/>
  <c r="I102" i="21"/>
  <c r="M102" i="21" s="1"/>
  <c r="J102" i="21"/>
  <c r="K102" i="21" s="1"/>
  <c r="I103" i="21"/>
  <c r="J103" i="21"/>
  <c r="K103" i="21" s="1"/>
  <c r="M103" i="21"/>
  <c r="I104" i="21"/>
  <c r="M104" i="21" s="1"/>
  <c r="J104" i="21"/>
  <c r="K104" i="21" s="1"/>
  <c r="I105" i="21"/>
  <c r="J105" i="21"/>
  <c r="K105" i="21" s="1"/>
  <c r="M105" i="21"/>
  <c r="I106" i="21"/>
  <c r="M106" i="21" s="1"/>
  <c r="J106" i="21"/>
  <c r="K106" i="21" s="1"/>
  <c r="I107" i="21"/>
  <c r="M107" i="21" s="1"/>
  <c r="J107" i="21"/>
  <c r="K107" i="21" s="1"/>
  <c r="I108" i="21"/>
  <c r="M108" i="21" s="1"/>
  <c r="J108" i="21"/>
  <c r="K108" i="21" s="1"/>
  <c r="I109" i="21"/>
  <c r="J109" i="21"/>
  <c r="K109" i="21" s="1"/>
  <c r="M109" i="21"/>
  <c r="I110" i="21"/>
  <c r="M110" i="21" s="1"/>
  <c r="J110" i="21"/>
  <c r="K110" i="21" s="1"/>
  <c r="I111" i="21"/>
  <c r="M111" i="21" s="1"/>
  <c r="J111" i="21"/>
  <c r="K111" i="21" s="1"/>
  <c r="I112" i="21"/>
  <c r="M112" i="21" s="1"/>
  <c r="J112" i="21"/>
  <c r="K112" i="21" s="1"/>
  <c r="I113" i="21"/>
  <c r="J113" i="21"/>
  <c r="K113" i="21" s="1"/>
  <c r="M113" i="21"/>
  <c r="I114" i="21"/>
  <c r="M114" i="21" s="1"/>
  <c r="J114" i="21"/>
  <c r="K114" i="21" s="1"/>
  <c r="I115" i="21"/>
  <c r="J115" i="21"/>
  <c r="K115" i="21" s="1"/>
  <c r="M115" i="21"/>
  <c r="I116" i="21"/>
  <c r="M116" i="21" s="1"/>
  <c r="J116" i="21"/>
  <c r="K116" i="21" s="1"/>
  <c r="I117" i="21"/>
  <c r="M117" i="21" s="1"/>
  <c r="J117" i="21"/>
  <c r="K117" i="21" s="1"/>
  <c r="I118" i="21"/>
  <c r="M118" i="21" s="1"/>
  <c r="J118" i="21"/>
  <c r="K118" i="21" s="1"/>
  <c r="I119" i="21"/>
  <c r="J119" i="21"/>
  <c r="K119" i="21" s="1"/>
  <c r="M119" i="21"/>
  <c r="I120" i="21"/>
  <c r="M120" i="21" s="1"/>
  <c r="J120" i="21"/>
  <c r="K120" i="21" s="1"/>
  <c r="I121" i="21"/>
  <c r="J121" i="21"/>
  <c r="K121" i="21" s="1"/>
  <c r="M121" i="21"/>
  <c r="I122" i="21"/>
  <c r="M122" i="21" s="1"/>
  <c r="J122" i="21"/>
  <c r="K122" i="21" s="1"/>
  <c r="I123" i="21"/>
  <c r="M123" i="21" s="1"/>
  <c r="J123" i="21"/>
  <c r="K123" i="21" s="1"/>
  <c r="I124" i="21"/>
  <c r="M124" i="21" s="1"/>
  <c r="J124" i="21"/>
  <c r="K124" i="21" s="1"/>
  <c r="I125" i="21"/>
  <c r="J125" i="21"/>
  <c r="K125" i="21" s="1"/>
  <c r="M125" i="21"/>
  <c r="I126" i="21"/>
  <c r="M126" i="21" s="1"/>
  <c r="J126" i="21"/>
  <c r="K126" i="21" s="1"/>
  <c r="I127" i="21"/>
  <c r="M127" i="21" s="1"/>
  <c r="J127" i="21"/>
  <c r="K127" i="21" s="1"/>
  <c r="I128" i="21"/>
  <c r="M128" i="21" s="1"/>
  <c r="J128" i="21"/>
  <c r="K128" i="21" s="1"/>
  <c r="I129" i="21"/>
  <c r="J129" i="21"/>
  <c r="K129" i="21" s="1"/>
  <c r="M129" i="21"/>
  <c r="I130" i="21"/>
  <c r="M130" i="21" s="1"/>
  <c r="J130" i="21"/>
  <c r="K130" i="21" s="1"/>
  <c r="I131" i="21"/>
  <c r="J131" i="21"/>
  <c r="K131" i="21" s="1"/>
  <c r="M131" i="21"/>
  <c r="I132" i="21"/>
  <c r="M132" i="21" s="1"/>
  <c r="J132" i="21"/>
  <c r="K132" i="21" s="1"/>
  <c r="I133" i="21"/>
  <c r="M133" i="21" s="1"/>
  <c r="J133" i="21"/>
  <c r="K133" i="21" s="1"/>
  <c r="I134" i="21"/>
  <c r="M134" i="21" s="1"/>
  <c r="J134" i="21"/>
  <c r="K134" i="21" s="1"/>
  <c r="I135" i="21"/>
  <c r="J135" i="21"/>
  <c r="K135" i="21" s="1"/>
  <c r="M135" i="21"/>
  <c r="I136" i="21"/>
  <c r="M136" i="21" s="1"/>
  <c r="J136" i="21"/>
  <c r="K136" i="21" s="1"/>
  <c r="I137" i="21"/>
  <c r="J137" i="21"/>
  <c r="K137" i="21" s="1"/>
  <c r="M137" i="21"/>
  <c r="I138" i="21"/>
  <c r="M138" i="21" s="1"/>
  <c r="J138" i="21"/>
  <c r="K138" i="21" s="1"/>
  <c r="I139" i="21"/>
  <c r="M139" i="21" s="1"/>
  <c r="J139" i="21"/>
  <c r="K139" i="21" s="1"/>
  <c r="I140" i="21"/>
  <c r="M140" i="21" s="1"/>
  <c r="J140" i="21"/>
  <c r="K140" i="21" s="1"/>
  <c r="I141" i="21"/>
  <c r="J141" i="21"/>
  <c r="K141" i="21" s="1"/>
  <c r="M141" i="21"/>
  <c r="I142" i="21"/>
  <c r="M142" i="21" s="1"/>
  <c r="J142" i="21"/>
  <c r="K142" i="21" s="1"/>
  <c r="I143" i="21"/>
  <c r="M143" i="21" s="1"/>
  <c r="J143" i="21"/>
  <c r="K143" i="21" s="1"/>
  <c r="I144" i="21"/>
  <c r="M144" i="21" s="1"/>
  <c r="J144" i="21"/>
  <c r="K144" i="21" s="1"/>
  <c r="I145" i="21"/>
  <c r="J145" i="21"/>
  <c r="K145" i="21" s="1"/>
  <c r="M145" i="21"/>
  <c r="I146" i="21"/>
  <c r="M146" i="21" s="1"/>
  <c r="J146" i="21"/>
  <c r="K146" i="21" s="1"/>
  <c r="I147" i="21"/>
  <c r="J147" i="21"/>
  <c r="K147" i="21" s="1"/>
  <c r="M147" i="21"/>
  <c r="I148" i="21"/>
  <c r="M148" i="21" s="1"/>
  <c r="J148" i="21"/>
  <c r="K148" i="21" s="1"/>
  <c r="I149" i="21"/>
  <c r="M149" i="21" s="1"/>
  <c r="J149" i="21"/>
  <c r="K149" i="21" s="1"/>
  <c r="I150" i="21"/>
  <c r="M150" i="21" s="1"/>
  <c r="J150" i="21"/>
  <c r="K150" i="21" s="1"/>
  <c r="I151" i="21"/>
  <c r="J151" i="21"/>
  <c r="K151" i="21" s="1"/>
  <c r="M151" i="21"/>
  <c r="I152" i="21"/>
  <c r="M152" i="21" s="1"/>
  <c r="J152" i="21"/>
  <c r="K152" i="21" s="1"/>
  <c r="I153" i="21"/>
  <c r="J153" i="21"/>
  <c r="K153" i="21" s="1"/>
  <c r="M153" i="21"/>
  <c r="I154" i="21"/>
  <c r="M154" i="21" s="1"/>
  <c r="J154" i="21"/>
  <c r="K154" i="21" s="1"/>
  <c r="I155" i="21"/>
  <c r="M155" i="21" s="1"/>
  <c r="J155" i="21"/>
  <c r="K155" i="21" s="1"/>
  <c r="I156" i="21"/>
  <c r="M156" i="21" s="1"/>
  <c r="J156" i="21"/>
  <c r="K156" i="21" s="1"/>
  <c r="I157" i="21"/>
  <c r="J157" i="21"/>
  <c r="K157" i="21" s="1"/>
  <c r="M157" i="21"/>
  <c r="I158" i="21"/>
  <c r="M158" i="21" s="1"/>
  <c r="J158" i="21"/>
  <c r="K158" i="21" s="1"/>
  <c r="I159" i="21"/>
  <c r="M159" i="21" s="1"/>
  <c r="J159" i="21"/>
  <c r="K159" i="21" s="1"/>
  <c r="I160" i="21"/>
  <c r="M160" i="21" s="1"/>
  <c r="J160" i="21"/>
  <c r="K160" i="21" s="1"/>
  <c r="I161" i="21"/>
  <c r="J161" i="21"/>
  <c r="K161" i="21" s="1"/>
  <c r="M161" i="21"/>
  <c r="I162" i="21"/>
  <c r="M162" i="21" s="1"/>
  <c r="J162" i="21"/>
  <c r="K162" i="21" s="1"/>
  <c r="I163" i="21"/>
  <c r="J163" i="21"/>
  <c r="K163" i="21" s="1"/>
  <c r="M163" i="21"/>
  <c r="I164" i="21"/>
  <c r="M164" i="21" s="1"/>
  <c r="J164" i="21"/>
  <c r="K164" i="21" s="1"/>
  <c r="I165" i="21"/>
  <c r="M165" i="21" s="1"/>
  <c r="J165" i="21"/>
  <c r="K165" i="21" s="1"/>
  <c r="I166" i="21"/>
  <c r="M166" i="21" s="1"/>
  <c r="J166" i="21"/>
  <c r="K166" i="21" s="1"/>
  <c r="I167" i="21"/>
  <c r="J167" i="21"/>
  <c r="K167" i="21" s="1"/>
  <c r="M167" i="21"/>
  <c r="I168" i="21"/>
  <c r="M168" i="21" s="1"/>
  <c r="J168" i="21"/>
  <c r="K168" i="21" s="1"/>
  <c r="I169" i="21"/>
  <c r="J169" i="21"/>
  <c r="K169" i="21" s="1"/>
  <c r="M169" i="21"/>
  <c r="I170" i="21"/>
  <c r="M170" i="21" s="1"/>
  <c r="J170" i="21"/>
  <c r="K170" i="21" s="1"/>
  <c r="I171" i="21"/>
  <c r="M171" i="21" s="1"/>
  <c r="J171" i="21"/>
  <c r="K171" i="21" s="1"/>
  <c r="I172" i="21"/>
  <c r="M172" i="21" s="1"/>
  <c r="J172" i="21"/>
  <c r="K172" i="21" s="1"/>
  <c r="I173" i="21"/>
  <c r="J173" i="21"/>
  <c r="K173" i="21" s="1"/>
  <c r="M173" i="21"/>
  <c r="I174" i="21"/>
  <c r="M174" i="21" s="1"/>
  <c r="J174" i="21"/>
  <c r="K174" i="21" s="1"/>
  <c r="I175" i="21"/>
  <c r="M175" i="21" s="1"/>
  <c r="J175" i="21"/>
  <c r="K175" i="21" s="1"/>
  <c r="I176" i="21"/>
  <c r="M176" i="21" s="1"/>
  <c r="J176" i="21"/>
  <c r="K176" i="21" s="1"/>
  <c r="I177" i="21"/>
  <c r="J177" i="21"/>
  <c r="K177" i="21" s="1"/>
  <c r="M177" i="21"/>
  <c r="I178" i="21"/>
  <c r="M178" i="21" s="1"/>
  <c r="J178" i="21"/>
  <c r="K178" i="21" s="1"/>
  <c r="I179" i="21"/>
  <c r="J179" i="21"/>
  <c r="K179" i="21" s="1"/>
  <c r="M179" i="21"/>
  <c r="I180" i="21"/>
  <c r="M180" i="21" s="1"/>
  <c r="J180" i="21"/>
  <c r="K180" i="21" s="1"/>
  <c r="I181" i="21"/>
  <c r="M181" i="21" s="1"/>
  <c r="J181" i="21"/>
  <c r="K181" i="21" s="1"/>
  <c r="I182" i="21"/>
  <c r="M182" i="21" s="1"/>
  <c r="J182" i="21"/>
  <c r="K182" i="21" s="1"/>
  <c r="I183" i="21"/>
  <c r="J183" i="21"/>
  <c r="K183" i="21" s="1"/>
  <c r="M183" i="21"/>
  <c r="I184" i="21"/>
  <c r="M184" i="21" s="1"/>
  <c r="J184" i="21"/>
  <c r="K184" i="21" s="1"/>
  <c r="I185" i="21"/>
  <c r="J185" i="21"/>
  <c r="K185" i="21" s="1"/>
  <c r="M185" i="21"/>
  <c r="I186" i="21"/>
  <c r="M186" i="21" s="1"/>
  <c r="J186" i="21"/>
  <c r="K186" i="21" s="1"/>
  <c r="I187" i="21"/>
  <c r="M187" i="21" s="1"/>
  <c r="J187" i="21"/>
  <c r="K187" i="21" s="1"/>
  <c r="I188" i="21"/>
  <c r="M188" i="21" s="1"/>
  <c r="J188" i="21"/>
  <c r="K188" i="21" s="1"/>
  <c r="I189" i="21"/>
  <c r="J189" i="21"/>
  <c r="K189" i="21" s="1"/>
  <c r="M189" i="21"/>
  <c r="I190" i="21"/>
  <c r="M190" i="21" s="1"/>
  <c r="J190" i="21"/>
  <c r="K190" i="21" s="1"/>
  <c r="I191" i="21"/>
  <c r="M191" i="21" s="1"/>
  <c r="J191" i="21"/>
  <c r="K191" i="21" s="1"/>
  <c r="I192" i="21"/>
  <c r="M192" i="21" s="1"/>
  <c r="J192" i="21"/>
  <c r="K192" i="21" s="1"/>
  <c r="I193" i="21"/>
  <c r="J193" i="21"/>
  <c r="K193" i="21" s="1"/>
  <c r="M193" i="21"/>
  <c r="I194" i="21"/>
  <c r="M194" i="21" s="1"/>
  <c r="J194" i="21"/>
  <c r="K194" i="21" s="1"/>
  <c r="I195" i="21"/>
  <c r="J195" i="21"/>
  <c r="K195" i="21" s="1"/>
  <c r="M195" i="21"/>
  <c r="I196" i="21"/>
  <c r="M196" i="21" s="1"/>
  <c r="J196" i="21"/>
  <c r="K196" i="21" s="1"/>
  <c r="I197" i="21"/>
  <c r="M197" i="21" s="1"/>
  <c r="J197" i="21"/>
  <c r="K197" i="21" s="1"/>
  <c r="I198" i="21"/>
  <c r="M198" i="21" s="1"/>
  <c r="J198" i="21"/>
  <c r="K198" i="21" s="1"/>
  <c r="I199" i="21"/>
  <c r="J199" i="21"/>
  <c r="K199" i="21" s="1"/>
  <c r="M199" i="21"/>
  <c r="I200" i="21"/>
  <c r="M200" i="21" s="1"/>
  <c r="J200" i="21"/>
  <c r="K200" i="21" s="1"/>
  <c r="I201" i="21"/>
  <c r="J201" i="21"/>
  <c r="K201" i="21" s="1"/>
  <c r="M201" i="21"/>
  <c r="I202" i="21"/>
  <c r="M202" i="21" s="1"/>
  <c r="J202" i="21"/>
  <c r="K202" i="21" s="1"/>
  <c r="I203" i="21"/>
  <c r="M203" i="21" s="1"/>
  <c r="J203" i="21"/>
  <c r="K203" i="21" s="1"/>
  <c r="I204" i="21"/>
  <c r="M204" i="21" s="1"/>
  <c r="J204" i="21"/>
  <c r="K204" i="21" s="1"/>
  <c r="I205" i="21"/>
  <c r="J205" i="21"/>
  <c r="K205" i="21" s="1"/>
  <c r="M205" i="21"/>
  <c r="I206" i="21"/>
  <c r="M206" i="21" s="1"/>
  <c r="J206" i="21"/>
  <c r="K206" i="21" s="1"/>
  <c r="I207" i="21"/>
  <c r="M207" i="21" s="1"/>
  <c r="J207" i="21"/>
  <c r="K207" i="21" s="1"/>
  <c r="I208" i="21"/>
  <c r="M208" i="21" s="1"/>
  <c r="J208" i="21"/>
  <c r="K208" i="21" s="1"/>
  <c r="I209" i="21"/>
  <c r="J209" i="21"/>
  <c r="K209" i="21" s="1"/>
  <c r="M209" i="21"/>
  <c r="I210" i="21"/>
  <c r="M210" i="21" s="1"/>
  <c r="J210" i="21"/>
  <c r="K210" i="21" s="1"/>
  <c r="I211" i="21"/>
  <c r="J211" i="21"/>
  <c r="K211" i="21" s="1"/>
  <c r="M211" i="21"/>
  <c r="I212" i="21"/>
  <c r="M212" i="21" s="1"/>
  <c r="J212" i="21"/>
  <c r="K212" i="21" s="1"/>
  <c r="I213" i="21"/>
  <c r="M213" i="21" s="1"/>
  <c r="J213" i="21"/>
  <c r="K213" i="21" s="1"/>
  <c r="I214" i="21"/>
  <c r="M214" i="21" s="1"/>
  <c r="J214" i="21"/>
  <c r="K214" i="21" s="1"/>
  <c r="I215" i="21"/>
  <c r="J215" i="21"/>
  <c r="K215" i="21" s="1"/>
  <c r="M215" i="21"/>
  <c r="I216" i="21"/>
  <c r="M216" i="21" s="1"/>
  <c r="J216" i="21"/>
  <c r="K216" i="21" s="1"/>
  <c r="I217" i="21"/>
  <c r="J217" i="21"/>
  <c r="K217" i="21" s="1"/>
  <c r="M217" i="21"/>
  <c r="I218" i="21"/>
  <c r="M218" i="21" s="1"/>
  <c r="J218" i="21"/>
  <c r="K218" i="21" s="1"/>
  <c r="I219" i="21"/>
  <c r="M219" i="21" s="1"/>
  <c r="J219" i="21"/>
  <c r="K219" i="21" s="1"/>
  <c r="I220" i="21"/>
  <c r="M220" i="21" s="1"/>
  <c r="J220" i="21"/>
  <c r="K220" i="21" s="1"/>
  <c r="I221" i="21"/>
  <c r="J221" i="21"/>
  <c r="K221" i="21" s="1"/>
  <c r="M221" i="21"/>
  <c r="I222" i="21"/>
  <c r="M222" i="21" s="1"/>
  <c r="J222" i="21"/>
  <c r="K222" i="21" s="1"/>
  <c r="I223" i="21"/>
  <c r="M223" i="21" s="1"/>
  <c r="J223" i="21"/>
  <c r="K223" i="21" s="1"/>
  <c r="I224" i="21"/>
  <c r="M224" i="21" s="1"/>
  <c r="J224" i="21"/>
  <c r="K224" i="21" s="1"/>
  <c r="I225" i="21"/>
  <c r="J225" i="21"/>
  <c r="K225" i="21" s="1"/>
  <c r="M225" i="21"/>
  <c r="I226" i="21"/>
  <c r="M226" i="21" s="1"/>
  <c r="J226" i="21"/>
  <c r="K226" i="21" s="1"/>
  <c r="I227" i="21"/>
  <c r="J227" i="21"/>
  <c r="K227" i="21" s="1"/>
  <c r="M227" i="21"/>
  <c r="I228" i="21"/>
  <c r="M228" i="21" s="1"/>
  <c r="J228" i="21"/>
  <c r="K228" i="21" s="1"/>
  <c r="I229" i="21"/>
  <c r="M229" i="21" s="1"/>
  <c r="J229" i="21"/>
  <c r="K229" i="21" s="1"/>
  <c r="I230" i="21"/>
  <c r="M230" i="21" s="1"/>
  <c r="J230" i="21"/>
  <c r="K230" i="21" s="1"/>
  <c r="I231" i="21"/>
  <c r="J231" i="21"/>
  <c r="K231" i="21" s="1"/>
  <c r="M231" i="21"/>
  <c r="I232" i="21"/>
  <c r="M232" i="21" s="1"/>
  <c r="J232" i="21"/>
  <c r="K232" i="21" s="1"/>
  <c r="I233" i="21"/>
  <c r="J233" i="21"/>
  <c r="K233" i="21" s="1"/>
  <c r="M233" i="21"/>
  <c r="I234" i="21"/>
  <c r="M234" i="21" s="1"/>
  <c r="J234" i="21"/>
  <c r="K234" i="21" s="1"/>
  <c r="I235" i="21"/>
  <c r="M235" i="21" s="1"/>
  <c r="J235" i="21"/>
  <c r="K235" i="21" s="1"/>
  <c r="I236" i="21"/>
  <c r="M236" i="21" s="1"/>
  <c r="J236" i="21"/>
  <c r="K236" i="21" s="1"/>
  <c r="I237" i="21"/>
  <c r="J237" i="21"/>
  <c r="K237" i="21" s="1"/>
  <c r="M237" i="21"/>
  <c r="I238" i="21"/>
  <c r="M238" i="21" s="1"/>
  <c r="J238" i="21"/>
  <c r="K238" i="21" s="1"/>
  <c r="I239" i="21"/>
  <c r="M239" i="21" s="1"/>
  <c r="J239" i="21"/>
  <c r="K239" i="21" s="1"/>
  <c r="I240" i="21"/>
  <c r="M240" i="21" s="1"/>
  <c r="J240" i="21"/>
  <c r="K240" i="21" s="1"/>
  <c r="I241" i="21"/>
  <c r="J241" i="21"/>
  <c r="K241" i="21" s="1"/>
  <c r="M241" i="21"/>
  <c r="I242" i="21"/>
  <c r="M242" i="21" s="1"/>
  <c r="J242" i="21"/>
  <c r="K242" i="21" s="1"/>
  <c r="I243" i="21"/>
  <c r="J243" i="21"/>
  <c r="K243" i="21" s="1"/>
  <c r="M243" i="21"/>
  <c r="I244" i="21"/>
  <c r="M244" i="21" s="1"/>
  <c r="J244" i="21"/>
  <c r="K244" i="21" s="1"/>
  <c r="I245" i="21"/>
  <c r="M245" i="21" s="1"/>
  <c r="J245" i="21"/>
  <c r="K245" i="21" s="1"/>
  <c r="I246" i="21"/>
  <c r="M246" i="21" s="1"/>
  <c r="J246" i="21"/>
  <c r="K246" i="21" s="1"/>
  <c r="I247" i="21"/>
  <c r="J247" i="21"/>
  <c r="K247" i="21" s="1"/>
  <c r="M247" i="21"/>
  <c r="I248" i="21"/>
  <c r="M248" i="21" s="1"/>
  <c r="J248" i="21"/>
  <c r="K248" i="21" s="1"/>
  <c r="I249" i="21"/>
  <c r="J249" i="21"/>
  <c r="K249" i="21" s="1"/>
  <c r="M249" i="21"/>
  <c r="I250" i="21"/>
  <c r="M250" i="21" s="1"/>
  <c r="J250" i="21"/>
  <c r="K250" i="21" s="1"/>
  <c r="I251" i="21"/>
  <c r="M251" i="21" s="1"/>
  <c r="J251" i="21"/>
  <c r="K251" i="21" s="1"/>
  <c r="I252" i="21"/>
  <c r="M252" i="21" s="1"/>
  <c r="J252" i="21"/>
  <c r="K252" i="21" s="1"/>
  <c r="I253" i="21"/>
  <c r="J253" i="21"/>
  <c r="K253" i="21" s="1"/>
  <c r="M253" i="21"/>
  <c r="I254" i="21"/>
  <c r="M254" i="21" s="1"/>
  <c r="J254" i="21"/>
  <c r="K254" i="21" s="1"/>
  <c r="I255" i="21"/>
  <c r="M255" i="21" s="1"/>
  <c r="J255" i="21"/>
  <c r="K255" i="21" s="1"/>
  <c r="I256" i="21"/>
  <c r="M256" i="21" s="1"/>
  <c r="J256" i="21"/>
  <c r="K256" i="21" s="1"/>
  <c r="I257" i="21"/>
  <c r="J257" i="21"/>
  <c r="K257" i="21" s="1"/>
  <c r="M257" i="21"/>
  <c r="I258" i="21"/>
  <c r="M258" i="21" s="1"/>
  <c r="J258" i="21"/>
  <c r="K258" i="21" s="1"/>
  <c r="I259" i="21"/>
  <c r="J259" i="21"/>
  <c r="K259" i="21" s="1"/>
  <c r="M259" i="21"/>
  <c r="I260" i="21"/>
  <c r="M260" i="21" s="1"/>
  <c r="J260" i="21"/>
  <c r="K260" i="21" s="1"/>
  <c r="I261" i="21"/>
  <c r="M261" i="21" s="1"/>
  <c r="J261" i="21"/>
  <c r="K261" i="21" s="1"/>
  <c r="I262" i="21"/>
  <c r="M262" i="21" s="1"/>
  <c r="J262" i="21"/>
  <c r="K262" i="21" s="1"/>
  <c r="I263" i="21"/>
  <c r="J263" i="21"/>
  <c r="K263" i="21" s="1"/>
  <c r="M263" i="21"/>
  <c r="I264" i="21"/>
  <c r="M264" i="21" s="1"/>
  <c r="J264" i="21"/>
  <c r="K264" i="21" s="1"/>
  <c r="I265" i="21"/>
  <c r="J265" i="21"/>
  <c r="K265" i="21" s="1"/>
  <c r="M265" i="21"/>
  <c r="I266" i="21"/>
  <c r="M266" i="21" s="1"/>
  <c r="J266" i="21"/>
  <c r="K266" i="21" s="1"/>
  <c r="I267" i="21"/>
  <c r="M267" i="21" s="1"/>
  <c r="J267" i="21"/>
  <c r="K267" i="21" s="1"/>
  <c r="I268" i="21"/>
  <c r="M268" i="21" s="1"/>
  <c r="J268" i="21"/>
  <c r="K268" i="21" s="1"/>
  <c r="I269" i="21"/>
  <c r="J269" i="21"/>
  <c r="K269" i="21" s="1"/>
  <c r="M269" i="21"/>
  <c r="I270" i="21"/>
  <c r="M270" i="21" s="1"/>
  <c r="J270" i="21"/>
  <c r="K270" i="21" s="1"/>
  <c r="I271" i="21"/>
  <c r="M271" i="21" s="1"/>
  <c r="J271" i="21"/>
  <c r="K271" i="21" s="1"/>
  <c r="I272" i="21"/>
  <c r="M272" i="21" s="1"/>
  <c r="J272" i="21"/>
  <c r="K272" i="21" s="1"/>
  <c r="I273" i="21"/>
  <c r="J273" i="21"/>
  <c r="K273" i="21" s="1"/>
  <c r="M273" i="21"/>
  <c r="I274" i="21"/>
  <c r="M274" i="21" s="1"/>
  <c r="J274" i="21"/>
  <c r="K274" i="21" s="1"/>
  <c r="I275" i="21"/>
  <c r="J275" i="21"/>
  <c r="K275" i="21" s="1"/>
  <c r="M275" i="21"/>
  <c r="I276" i="21"/>
  <c r="M276" i="21" s="1"/>
  <c r="J276" i="21"/>
  <c r="K276" i="21" s="1"/>
  <c r="I277" i="21"/>
  <c r="M277" i="21" s="1"/>
  <c r="J277" i="21"/>
  <c r="K277" i="21" s="1"/>
  <c r="I278" i="21"/>
  <c r="M278" i="21" s="1"/>
  <c r="J278" i="21"/>
  <c r="K278" i="21" s="1"/>
  <c r="I279" i="21"/>
  <c r="J279" i="21"/>
  <c r="K279" i="21" s="1"/>
  <c r="M279" i="21"/>
  <c r="I280" i="21"/>
  <c r="M280" i="21" s="1"/>
  <c r="J280" i="21"/>
  <c r="K280" i="21" s="1"/>
  <c r="I281" i="21"/>
  <c r="J281" i="21"/>
  <c r="K281" i="21" s="1"/>
  <c r="M281" i="21"/>
  <c r="I282" i="21"/>
  <c r="M282" i="21" s="1"/>
  <c r="J282" i="21"/>
  <c r="K282" i="21" s="1"/>
  <c r="I283" i="21"/>
  <c r="M283" i="21" s="1"/>
  <c r="J283" i="21"/>
  <c r="K283" i="21" s="1"/>
  <c r="I284" i="21"/>
  <c r="M284" i="21" s="1"/>
  <c r="J284" i="21"/>
  <c r="K284" i="21" s="1"/>
  <c r="I285" i="21"/>
  <c r="J285" i="21"/>
  <c r="K285" i="21" s="1"/>
  <c r="M285" i="21"/>
  <c r="I286" i="21"/>
  <c r="M286" i="21" s="1"/>
  <c r="J286" i="21"/>
  <c r="K286" i="21" s="1"/>
  <c r="I287" i="21"/>
  <c r="M287" i="21" s="1"/>
  <c r="J287" i="21"/>
  <c r="K287" i="21" s="1"/>
  <c r="I288" i="21"/>
  <c r="M288" i="21" s="1"/>
  <c r="J288" i="21"/>
  <c r="K288" i="21" s="1"/>
  <c r="I289" i="21"/>
  <c r="J289" i="21"/>
  <c r="K289" i="21" s="1"/>
  <c r="M289" i="21"/>
  <c r="I290" i="21"/>
  <c r="M290" i="21" s="1"/>
  <c r="J290" i="21"/>
  <c r="K290" i="21" s="1"/>
  <c r="I291" i="21"/>
  <c r="J291" i="21"/>
  <c r="K291" i="21" s="1"/>
  <c r="M291" i="21"/>
  <c r="I292" i="21"/>
  <c r="M292" i="21" s="1"/>
  <c r="J292" i="21"/>
  <c r="K292" i="21" s="1"/>
  <c r="I293" i="21"/>
  <c r="M293" i="21" s="1"/>
  <c r="J293" i="21"/>
  <c r="K293" i="21" s="1"/>
  <c r="I294" i="21"/>
  <c r="M294" i="21" s="1"/>
  <c r="J294" i="21"/>
  <c r="K294" i="21" s="1"/>
  <c r="I295" i="21"/>
  <c r="J295" i="21"/>
  <c r="K295" i="21" s="1"/>
  <c r="M295" i="21"/>
  <c r="I296" i="21"/>
  <c r="M296" i="21" s="1"/>
  <c r="J296" i="21"/>
  <c r="K296" i="21" s="1"/>
  <c r="I297" i="21"/>
  <c r="J297" i="21"/>
  <c r="K297" i="21" s="1"/>
  <c r="M297" i="21"/>
  <c r="I298" i="21"/>
  <c r="M298" i="21" s="1"/>
  <c r="J298" i="21"/>
  <c r="K298" i="21" s="1"/>
  <c r="I299" i="21"/>
  <c r="M299" i="21" s="1"/>
  <c r="J299" i="21"/>
  <c r="K299" i="21" s="1"/>
  <c r="I300" i="21"/>
  <c r="M300" i="21" s="1"/>
  <c r="J300" i="21"/>
  <c r="K300" i="21" s="1"/>
  <c r="I301" i="21"/>
  <c r="J301" i="21"/>
  <c r="K301" i="21" s="1"/>
  <c r="M301" i="21"/>
  <c r="I302" i="21"/>
  <c r="M302" i="21" s="1"/>
  <c r="J302" i="21"/>
  <c r="K302" i="21" s="1"/>
  <c r="I303" i="21"/>
  <c r="M303" i="21" s="1"/>
  <c r="J303" i="21"/>
  <c r="K303" i="21" s="1"/>
  <c r="I304" i="21"/>
  <c r="M304" i="21" s="1"/>
  <c r="J304" i="21"/>
  <c r="K304" i="21" s="1"/>
  <c r="I305" i="21"/>
  <c r="J305" i="21"/>
  <c r="K305" i="21" s="1"/>
  <c r="M305" i="21"/>
  <c r="J306" i="21"/>
  <c r="J307" i="21"/>
  <c r="J308" i="21"/>
  <c r="J309" i="21"/>
  <c r="J310" i="21"/>
  <c r="J311" i="21"/>
  <c r="J312" i="21"/>
  <c r="J313" i="21"/>
  <c r="J314" i="21"/>
  <c r="J315" i="21"/>
  <c r="J316" i="21"/>
  <c r="J317" i="21"/>
  <c r="J318" i="21"/>
  <c r="J319" i="21"/>
  <c r="J320" i="21"/>
  <c r="J321" i="21"/>
  <c r="J322" i="21"/>
  <c r="J323" i="21"/>
  <c r="J324" i="21"/>
  <c r="J325" i="21"/>
  <c r="J326" i="21"/>
  <c r="J327" i="21"/>
  <c r="J328" i="21"/>
  <c r="J329" i="21"/>
  <c r="J330" i="21"/>
  <c r="J331" i="21"/>
  <c r="J332" i="21"/>
  <c r="J333" i="21"/>
  <c r="J334" i="21"/>
  <c r="J335" i="21"/>
  <c r="J336" i="21"/>
  <c r="J337" i="21"/>
  <c r="J338" i="21"/>
  <c r="J339" i="21"/>
  <c r="J340" i="21"/>
  <c r="J341" i="21"/>
  <c r="J342" i="21"/>
  <c r="J343" i="21"/>
  <c r="J344" i="21"/>
  <c r="J345" i="21"/>
  <c r="J346" i="21"/>
  <c r="J347" i="21"/>
  <c r="J348" i="21"/>
  <c r="J349" i="21"/>
  <c r="J350" i="21"/>
  <c r="J351" i="21"/>
  <c r="J352" i="21"/>
  <c r="J353" i="21"/>
  <c r="J354" i="21"/>
  <c r="J355" i="21"/>
  <c r="J356" i="21"/>
  <c r="J357" i="21"/>
  <c r="J358" i="21"/>
  <c r="J359" i="21"/>
  <c r="J360" i="21"/>
  <c r="J361" i="21"/>
  <c r="J362" i="21"/>
  <c r="J363" i="21"/>
  <c r="J364" i="21"/>
  <c r="J365" i="21"/>
  <c r="J366" i="21"/>
  <c r="J367" i="21"/>
  <c r="J368" i="21"/>
  <c r="J369" i="21"/>
  <c r="J370" i="21"/>
  <c r="J371" i="21"/>
  <c r="J372" i="21"/>
  <c r="J373" i="21"/>
  <c r="J374" i="21"/>
  <c r="A6" i="20"/>
  <c r="X6" i="20"/>
  <c r="Z6" i="20"/>
  <c r="AF6" i="20"/>
  <c r="AH6" i="20"/>
  <c r="AJ6" i="20"/>
  <c r="AK6" i="20" s="1"/>
  <c r="BF6" i="20" s="1"/>
  <c r="AL6" i="20"/>
  <c r="AM6" i="20" s="1"/>
  <c r="BG6" i="20" s="1"/>
  <c r="AX6" i="20" a="1"/>
  <c r="AX6" i="20" s="1"/>
  <c r="A7" i="20"/>
  <c r="X7" i="20"/>
  <c r="Z7" i="20"/>
  <c r="AH7" i="20"/>
  <c r="AJ7" i="20"/>
  <c r="AK7" i="20" s="1"/>
  <c r="BF7" i="20" s="1"/>
  <c r="AL7" i="20"/>
  <c r="AM7" i="20" s="1"/>
  <c r="BG7" i="20" s="1"/>
  <c r="AX7" i="20" a="1"/>
  <c r="AX7" i="20" s="1"/>
  <c r="A8" i="20"/>
  <c r="X8" i="20"/>
  <c r="Z8" i="20"/>
  <c r="AH8" i="20"/>
  <c r="AL8" i="20"/>
  <c r="AM8" i="20" s="1"/>
  <c r="BG8" i="20" s="1"/>
  <c r="AX8" i="20" a="1"/>
  <c r="AX8" i="20" s="1"/>
  <c r="A9" i="20"/>
  <c r="X9" i="20"/>
  <c r="Z9" i="20"/>
  <c r="AF9" i="20"/>
  <c r="AH9" i="20"/>
  <c r="AL9" i="20"/>
  <c r="AM9" i="20" s="1"/>
  <c r="BG9" i="20" s="1"/>
  <c r="AX9" i="20" a="1"/>
  <c r="AX9" i="20" s="1"/>
  <c r="A10" i="20"/>
  <c r="X10" i="20"/>
  <c r="Z10" i="20"/>
  <c r="AH10" i="20"/>
  <c r="AJ10" i="20"/>
  <c r="AK10" i="20" s="1"/>
  <c r="BF10" i="20" s="1"/>
  <c r="AL10" i="20"/>
  <c r="AM10" i="20" s="1"/>
  <c r="BG10" i="20" s="1"/>
  <c r="AX10" i="20" a="1"/>
  <c r="AX10" i="20" s="1"/>
  <c r="A11" i="20"/>
  <c r="X11" i="20"/>
  <c r="Z11" i="20"/>
  <c r="AF11" i="20"/>
  <c r="AH11" i="20"/>
  <c r="AJ11" i="20"/>
  <c r="AK11" i="20" s="1"/>
  <c r="BF11" i="20" s="1"/>
  <c r="AL11" i="20"/>
  <c r="AM11" i="20" s="1"/>
  <c r="BG11" i="20" s="1"/>
  <c r="AX11" i="20" a="1"/>
  <c r="AX11" i="20" s="1"/>
  <c r="A12" i="20"/>
  <c r="X12" i="20"/>
  <c r="Z12" i="20"/>
  <c r="AH12" i="20"/>
  <c r="AL12" i="20"/>
  <c r="AM12" i="20" s="1"/>
  <c r="BG12" i="20" s="1"/>
  <c r="AX12" i="20" a="1"/>
  <c r="AX12" i="20" s="1"/>
  <c r="A13" i="20"/>
  <c r="X13" i="20"/>
  <c r="Z13" i="20"/>
  <c r="AH13" i="20"/>
  <c r="AJ13" i="20"/>
  <c r="AK13" i="20" s="1"/>
  <c r="BF13" i="20" s="1"/>
  <c r="AL13" i="20"/>
  <c r="AM13" i="20" s="1"/>
  <c r="BG13" i="20" s="1"/>
  <c r="AX13" i="20" a="1"/>
  <c r="AX13" i="20" s="1"/>
  <c r="A14" i="20"/>
  <c r="X14" i="20"/>
  <c r="Z14" i="20"/>
  <c r="AF14" i="20"/>
  <c r="AH14" i="20"/>
  <c r="AL14" i="20"/>
  <c r="AM14" i="20" s="1"/>
  <c r="BG14" i="20" s="1"/>
  <c r="AX14" i="20" a="1"/>
  <c r="AX14" i="20" s="1"/>
  <c r="A15" i="20"/>
  <c r="X15" i="20"/>
  <c r="Z15" i="20"/>
  <c r="AF15" i="20"/>
  <c r="AH15" i="20"/>
  <c r="AJ15" i="20"/>
  <c r="AK15" i="20" s="1"/>
  <c r="BF15" i="20" s="1"/>
  <c r="AL15" i="20"/>
  <c r="AM15" i="20" s="1"/>
  <c r="BG15" i="20" s="1"/>
  <c r="AX15" i="20" a="1"/>
  <c r="AX15" i="20" s="1"/>
  <c r="A16" i="20"/>
  <c r="X16" i="20"/>
  <c r="Z16" i="20"/>
  <c r="AH16" i="20"/>
  <c r="AL16" i="20"/>
  <c r="AM16" i="20" s="1"/>
  <c r="BG16" i="20" s="1"/>
  <c r="AX16" i="20" a="1"/>
  <c r="AX16" i="20" s="1"/>
  <c r="A17" i="20"/>
  <c r="X17" i="20"/>
  <c r="Z17" i="20"/>
  <c r="AF17" i="20"/>
  <c r="AH17" i="20"/>
  <c r="AJ17" i="20"/>
  <c r="AK17" i="20" s="1"/>
  <c r="BF17" i="20" s="1"/>
  <c r="AL17" i="20"/>
  <c r="AM17" i="20" s="1"/>
  <c r="BG17" i="20" s="1"/>
  <c r="AX17" i="20" a="1"/>
  <c r="AX17" i="20" s="1"/>
  <c r="A18" i="20"/>
  <c r="X18" i="20"/>
  <c r="Z18" i="20"/>
  <c r="AH18" i="20"/>
  <c r="AL18" i="20"/>
  <c r="AM18" i="20" s="1"/>
  <c r="BG18" i="20" s="1"/>
  <c r="AX18" i="20" a="1"/>
  <c r="AX18" i="20" s="1"/>
  <c r="A19" i="20"/>
  <c r="X19" i="20"/>
  <c r="Z19" i="20"/>
  <c r="AH19" i="20"/>
  <c r="AL19" i="20"/>
  <c r="AM19" i="20" s="1"/>
  <c r="BG19" i="20" s="1"/>
  <c r="AX19" i="20" a="1"/>
  <c r="AX19" i="20" s="1"/>
  <c r="A20" i="20"/>
  <c r="X20" i="20"/>
  <c r="Z20" i="20"/>
  <c r="AF20" i="20"/>
  <c r="AH20" i="20"/>
  <c r="AJ20" i="20"/>
  <c r="AK20" i="20" s="1"/>
  <c r="BF20" i="20" s="1"/>
  <c r="AL20" i="20"/>
  <c r="AM20" i="20" s="1"/>
  <c r="BG20" i="20" s="1"/>
  <c r="AX20" i="20" a="1"/>
  <c r="AX20" i="20" s="1"/>
  <c r="A21" i="20"/>
  <c r="X21" i="20"/>
  <c r="Z21" i="20"/>
  <c r="AH21" i="20"/>
  <c r="AL21" i="20"/>
  <c r="AM21" i="20" s="1"/>
  <c r="BG21" i="20" s="1"/>
  <c r="AX21" i="20" a="1"/>
  <c r="AX21" i="20" s="1"/>
  <c r="A22" i="20"/>
  <c r="X22" i="20"/>
  <c r="Z22" i="20"/>
  <c r="AF22" i="20"/>
  <c r="AH22" i="20"/>
  <c r="AJ22" i="20"/>
  <c r="AK22" i="20" s="1"/>
  <c r="BF22" i="20" s="1"/>
  <c r="AL22" i="20"/>
  <c r="AM22" i="20" s="1"/>
  <c r="BG22" i="20" s="1"/>
  <c r="AX22" i="20" a="1"/>
  <c r="AX22" i="20" s="1"/>
  <c r="A23" i="20"/>
  <c r="X23" i="20"/>
  <c r="Z23" i="20"/>
  <c r="AH23" i="20"/>
  <c r="AJ23" i="20"/>
  <c r="AK23" i="20" s="1"/>
  <c r="BF23" i="20" s="1"/>
  <c r="AL23" i="20"/>
  <c r="AM23" i="20" s="1"/>
  <c r="BG23" i="20" s="1"/>
  <c r="AX23" i="20" a="1"/>
  <c r="AX23" i="20" s="1"/>
  <c r="A24" i="20"/>
  <c r="X24" i="20"/>
  <c r="Z24" i="20"/>
  <c r="AF24" i="20"/>
  <c r="AH24" i="20"/>
  <c r="AL24" i="20"/>
  <c r="AM24" i="20" s="1"/>
  <c r="BG24" i="20" s="1"/>
  <c r="AX24" i="20" a="1"/>
  <c r="AX24" i="20" s="1"/>
  <c r="A25" i="20"/>
  <c r="X25" i="20"/>
  <c r="Z25" i="20"/>
  <c r="AF25" i="20"/>
  <c r="AH25" i="20"/>
  <c r="AL25" i="20"/>
  <c r="AM25" i="20" s="1"/>
  <c r="BG25" i="20" s="1"/>
  <c r="AX25" i="20" a="1"/>
  <c r="AX25" i="20" s="1"/>
  <c r="A26" i="20"/>
  <c r="X26" i="20"/>
  <c r="Z26" i="20"/>
  <c r="AF26" i="20"/>
  <c r="AH26" i="20"/>
  <c r="AL26" i="20"/>
  <c r="AM26" i="20" s="1"/>
  <c r="BG26" i="20" s="1"/>
  <c r="AX26" i="20" a="1"/>
  <c r="AX26" i="20" s="1"/>
  <c r="A27" i="20"/>
  <c r="X27" i="20"/>
  <c r="Z27" i="20"/>
  <c r="AF27" i="20"/>
  <c r="AH27" i="20"/>
  <c r="AL27" i="20"/>
  <c r="AM27" i="20" s="1"/>
  <c r="BG27" i="20" s="1"/>
  <c r="AX27" i="20" a="1"/>
  <c r="AX27" i="20" s="1"/>
  <c r="A28" i="20"/>
  <c r="X28" i="20"/>
  <c r="Z28" i="20"/>
  <c r="AH28" i="20"/>
  <c r="AJ28" i="20"/>
  <c r="AK28" i="20" s="1"/>
  <c r="BF28" i="20" s="1"/>
  <c r="AL28" i="20"/>
  <c r="AM28" i="20" s="1"/>
  <c r="BG28" i="20" s="1"/>
  <c r="AX28" i="20" a="1"/>
  <c r="AX28" i="20" s="1"/>
  <c r="A29" i="20"/>
  <c r="X29" i="20"/>
  <c r="Z29" i="20"/>
  <c r="AH29" i="20"/>
  <c r="AL29" i="20"/>
  <c r="AM29" i="20" s="1"/>
  <c r="BG29" i="20" s="1"/>
  <c r="AX29" i="20" a="1"/>
  <c r="AX29" i="20" s="1"/>
  <c r="M6" i="13"/>
  <c r="M7" i="13"/>
  <c r="M9" i="13"/>
  <c r="M8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8" i="13"/>
  <c r="E8" i="13"/>
  <c r="G9" i="13"/>
  <c r="E9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K10" i="19" s="1"/>
  <c r="J9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K301" i="16" s="1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K236" i="16" s="1"/>
  <c r="J235" i="16"/>
  <c r="J234" i="16"/>
  <c r="K234" i="16" s="1"/>
  <c r="J233" i="16"/>
  <c r="J232" i="16"/>
  <c r="J231" i="16"/>
  <c r="J230" i="16"/>
  <c r="J229" i="16"/>
  <c r="K229" i="16" s="1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K204" i="16" s="1"/>
  <c r="J203" i="16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J194" i="16"/>
  <c r="K194" i="16" s="1"/>
  <c r="J193" i="16"/>
  <c r="J192" i="16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J162" i="16"/>
  <c r="J161" i="16"/>
  <c r="J160" i="16"/>
  <c r="J159" i="16"/>
  <c r="J158" i="16"/>
  <c r="J157" i="16"/>
  <c r="K157" i="16" s="1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J137" i="16"/>
  <c r="J136" i="16"/>
  <c r="J135" i="16"/>
  <c r="J134" i="16"/>
  <c r="J133" i="16"/>
  <c r="K133" i="16" s="1"/>
  <c r="J132" i="16"/>
  <c r="K132" i="16" s="1"/>
  <c r="J131" i="16"/>
  <c r="J130" i="16"/>
  <c r="K130" i="16" s="1"/>
  <c r="J129" i="16"/>
  <c r="J128" i="16"/>
  <c r="J127" i="16"/>
  <c r="J126" i="16"/>
  <c r="J125" i="16"/>
  <c r="K125" i="16" s="1"/>
  <c r="J124" i="16"/>
  <c r="K124" i="16" s="1"/>
  <c r="J123" i="16"/>
  <c r="J122" i="16"/>
  <c r="K122" i="16" s="1"/>
  <c r="J121" i="16"/>
  <c r="J120" i="16"/>
  <c r="J119" i="16"/>
  <c r="J118" i="16"/>
  <c r="J117" i="16"/>
  <c r="K117" i="16" s="1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K92" i="16" s="1"/>
  <c r="J91" i="16"/>
  <c r="J90" i="16"/>
  <c r="K90" i="16" s="1"/>
  <c r="J89" i="16"/>
  <c r="J88" i="16"/>
  <c r="J87" i="16"/>
  <c r="J86" i="16"/>
  <c r="J85" i="16"/>
  <c r="K85" i="16" s="1"/>
  <c r="J84" i="16"/>
  <c r="K84" i="16" s="1"/>
  <c r="J83" i="16"/>
  <c r="J82" i="16"/>
  <c r="K82" i="16" s="1"/>
  <c r="J81" i="16"/>
  <c r="J80" i="16"/>
  <c r="J79" i="16"/>
  <c r="J78" i="16"/>
  <c r="K78" i="16" s="1"/>
  <c r="J77" i="16"/>
  <c r="J76" i="16"/>
  <c r="K76" i="16" s="1"/>
  <c r="J75" i="16"/>
  <c r="J74" i="16"/>
  <c r="K74" i="16" s="1"/>
  <c r="J73" i="16"/>
  <c r="J72" i="16"/>
  <c r="J71" i="16"/>
  <c r="J70" i="16"/>
  <c r="K70" i="16" s="1"/>
  <c r="J69" i="16"/>
  <c r="K69" i="16" s="1"/>
  <c r="J68" i="16"/>
  <c r="J67" i="16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J57" i="16"/>
  <c r="J56" i="16"/>
  <c r="J55" i="16"/>
  <c r="J54" i="16"/>
  <c r="K54" i="16" s="1"/>
  <c r="J53" i="16"/>
  <c r="J52" i="16"/>
  <c r="K52" i="16" s="1"/>
  <c r="J51" i="16"/>
  <c r="J50" i="16"/>
  <c r="K50" i="16" s="1"/>
  <c r="J49" i="16"/>
  <c r="J48" i="16"/>
  <c r="J47" i="16"/>
  <c r="J46" i="16"/>
  <c r="K46" i="16" s="1"/>
  <c r="J45" i="16"/>
  <c r="J44" i="16"/>
  <c r="K44" i="16" s="1"/>
  <c r="J43" i="16"/>
  <c r="J42" i="16"/>
  <c r="K42" i="16" s="1"/>
  <c r="J41" i="16"/>
  <c r="J40" i="16"/>
  <c r="J39" i="16"/>
  <c r="J38" i="16"/>
  <c r="K38" i="16" s="1"/>
  <c r="J37" i="16"/>
  <c r="K37" i="16" s="1"/>
  <c r="J36" i="16"/>
  <c r="K36" i="16" s="1"/>
  <c r="J35" i="16"/>
  <c r="J34" i="16"/>
  <c r="K34" i="16" s="1"/>
  <c r="J33" i="16"/>
  <c r="J32" i="16"/>
  <c r="J31" i="16"/>
  <c r="J30" i="16"/>
  <c r="K30" i="16" s="1"/>
  <c r="J29" i="16"/>
  <c r="K29" i="16" s="1"/>
  <c r="J28" i="16"/>
  <c r="J27" i="16"/>
  <c r="J26" i="16"/>
  <c r="K26" i="16" s="1"/>
  <c r="J25" i="16"/>
  <c r="J24" i="16"/>
  <c r="J23" i="16"/>
  <c r="J22" i="16"/>
  <c r="K22" i="16" s="1"/>
  <c r="J21" i="16"/>
  <c r="J20" i="16"/>
  <c r="K20" i="16" s="1"/>
  <c r="J19" i="16"/>
  <c r="J18" i="16"/>
  <c r="K18" i="16" s="1"/>
  <c r="J17" i="16"/>
  <c r="J16" i="16"/>
  <c r="J15" i="16"/>
  <c r="J14" i="16"/>
  <c r="J13" i="16"/>
  <c r="K13" i="16" s="1"/>
  <c r="J12" i="16"/>
  <c r="K12" i="16" s="1"/>
  <c r="J11" i="16"/>
  <c r="J10" i="16"/>
  <c r="K10" i="16" s="1"/>
  <c r="J9" i="16"/>
  <c r="J8" i="16"/>
  <c r="J7" i="16"/>
  <c r="K14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J6" i="19"/>
  <c r="J6" i="18"/>
  <c r="J6" i="17"/>
  <c r="J6" i="16"/>
  <c r="M301" i="15"/>
  <c r="M293" i="15"/>
  <c r="M285" i="15"/>
  <c r="M277" i="15"/>
  <c r="M269" i="15"/>
  <c r="M261" i="15"/>
  <c r="M253" i="15"/>
  <c r="M237" i="15"/>
  <c r="M229" i="15"/>
  <c r="M221" i="15"/>
  <c r="M213" i="15"/>
  <c r="M205" i="15"/>
  <c r="M197" i="15"/>
  <c r="M189" i="15"/>
  <c r="M181" i="15"/>
  <c r="M173" i="15"/>
  <c r="M165" i="15"/>
  <c r="M157" i="15"/>
  <c r="M149" i="15"/>
  <c r="M141" i="15"/>
  <c r="M125" i="15"/>
  <c r="M117" i="15"/>
  <c r="M109" i="15"/>
  <c r="M101" i="15"/>
  <c r="M93" i="15"/>
  <c r="M85" i="15"/>
  <c r="M77" i="15"/>
  <c r="M69" i="15"/>
  <c r="M61" i="15"/>
  <c r="M53" i="15"/>
  <c r="M45" i="15"/>
  <c r="M37" i="15"/>
  <c r="M29" i="15"/>
  <c r="M21" i="15"/>
  <c r="M13" i="15"/>
  <c r="A13" i="15" s="1"/>
  <c r="J305" i="15"/>
  <c r="K305" i="15" s="1"/>
  <c r="J304" i="15"/>
  <c r="J303" i="15"/>
  <c r="J302" i="15"/>
  <c r="J301" i="15"/>
  <c r="J300" i="15"/>
  <c r="J299" i="15"/>
  <c r="J298" i="15"/>
  <c r="K298" i="15" s="1"/>
  <c r="J297" i="15"/>
  <c r="K297" i="15" s="1"/>
  <c r="J296" i="15"/>
  <c r="J295" i="15"/>
  <c r="J294" i="15"/>
  <c r="J293" i="15"/>
  <c r="J292" i="15"/>
  <c r="J291" i="15"/>
  <c r="J290" i="15"/>
  <c r="K290" i="15" s="1"/>
  <c r="J289" i="15"/>
  <c r="K289" i="15" s="1"/>
  <c r="J288" i="15"/>
  <c r="J287" i="15"/>
  <c r="J286" i="15"/>
  <c r="J285" i="15"/>
  <c r="J284" i="15"/>
  <c r="J283" i="15"/>
  <c r="J282" i="15"/>
  <c r="K282" i="15" s="1"/>
  <c r="J281" i="15"/>
  <c r="K281" i="15" s="1"/>
  <c r="J280" i="15"/>
  <c r="J279" i="15"/>
  <c r="J278" i="15"/>
  <c r="J277" i="15"/>
  <c r="J276" i="15"/>
  <c r="J275" i="15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J258" i="15"/>
  <c r="K258" i="15" s="1"/>
  <c r="J257" i="15"/>
  <c r="K257" i="15" s="1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K241" i="15" s="1"/>
  <c r="J240" i="15"/>
  <c r="J239" i="15"/>
  <c r="J238" i="15"/>
  <c r="J237" i="15"/>
  <c r="J236" i="15"/>
  <c r="J235" i="15"/>
  <c r="J234" i="15"/>
  <c r="K234" i="15" s="1"/>
  <c r="J233" i="15"/>
  <c r="K233" i="15" s="1"/>
  <c r="J232" i="15"/>
  <c r="J231" i="15"/>
  <c r="J230" i="15"/>
  <c r="J229" i="15"/>
  <c r="J228" i="15"/>
  <c r="J227" i="15"/>
  <c r="J226" i="15"/>
  <c r="K226" i="15" s="1"/>
  <c r="J225" i="15"/>
  <c r="K225" i="15" s="1"/>
  <c r="J224" i="15"/>
  <c r="J223" i="15"/>
  <c r="J222" i="15"/>
  <c r="J221" i="15"/>
  <c r="J220" i="15"/>
  <c r="J219" i="15"/>
  <c r="J218" i="15"/>
  <c r="J217" i="15"/>
  <c r="K217" i="15" s="1"/>
  <c r="J216" i="15"/>
  <c r="J215" i="15"/>
  <c r="J214" i="15"/>
  <c r="J213" i="15"/>
  <c r="J212" i="15"/>
  <c r="J211" i="15"/>
  <c r="J210" i="15"/>
  <c r="K210" i="15" s="1"/>
  <c r="J209" i="15"/>
  <c r="K209" i="15" s="1"/>
  <c r="J208" i="15"/>
  <c r="J207" i="15"/>
  <c r="J206" i="15"/>
  <c r="J205" i="15"/>
  <c r="J204" i="15"/>
  <c r="J203" i="15"/>
  <c r="J202" i="15"/>
  <c r="K202" i="15" s="1"/>
  <c r="J201" i="15"/>
  <c r="K201" i="15" s="1"/>
  <c r="J200" i="15"/>
  <c r="J199" i="15"/>
  <c r="J198" i="15"/>
  <c r="J197" i="15"/>
  <c r="J196" i="15"/>
  <c r="J195" i="15"/>
  <c r="J194" i="15"/>
  <c r="K194" i="15" s="1"/>
  <c r="J193" i="15"/>
  <c r="K193" i="15" s="1"/>
  <c r="J192" i="15"/>
  <c r="J191" i="15"/>
  <c r="J190" i="15"/>
  <c r="J189" i="15"/>
  <c r="J188" i="15"/>
  <c r="J187" i="15"/>
  <c r="J186" i="15"/>
  <c r="K186" i="15" s="1"/>
  <c r="J185" i="15"/>
  <c r="K185" i="15" s="1"/>
  <c r="J184" i="15"/>
  <c r="J183" i="15"/>
  <c r="J182" i="15"/>
  <c r="J181" i="15"/>
  <c r="J180" i="15"/>
  <c r="J179" i="15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K169" i="15" s="1"/>
  <c r="J168" i="15"/>
  <c r="J167" i="15"/>
  <c r="J166" i="15"/>
  <c r="J165" i="15"/>
  <c r="J164" i="15"/>
  <c r="J163" i="15"/>
  <c r="J162" i="15"/>
  <c r="J161" i="15"/>
  <c r="K161" i="15" s="1"/>
  <c r="J160" i="15"/>
  <c r="J159" i="15"/>
  <c r="J158" i="15"/>
  <c r="J157" i="15"/>
  <c r="J156" i="15"/>
  <c r="J155" i="15"/>
  <c r="J154" i="15"/>
  <c r="K154" i="15" s="1"/>
  <c r="J153" i="15"/>
  <c r="K153" i="15" s="1"/>
  <c r="J152" i="15"/>
  <c r="J151" i="15"/>
  <c r="J150" i="15"/>
  <c r="J149" i="15"/>
  <c r="J148" i="15"/>
  <c r="J147" i="15"/>
  <c r="J146" i="15"/>
  <c r="K146" i="15" s="1"/>
  <c r="J145" i="15"/>
  <c r="K145" i="15" s="1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J123" i="15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J83" i="15"/>
  <c r="J82" i="15"/>
  <c r="K82" i="15" s="1"/>
  <c r="J81" i="15"/>
  <c r="K81" i="15" s="1"/>
  <c r="J80" i="15"/>
  <c r="J79" i="15"/>
  <c r="J78" i="15"/>
  <c r="J77" i="15"/>
  <c r="J76" i="15"/>
  <c r="J75" i="15"/>
  <c r="J74" i="15"/>
  <c r="K74" i="15" s="1"/>
  <c r="J73" i="15"/>
  <c r="K73" i="15" s="1"/>
  <c r="J72" i="15"/>
  <c r="J71" i="15"/>
  <c r="J70" i="15"/>
  <c r="J69" i="15"/>
  <c r="J68" i="15"/>
  <c r="J67" i="15"/>
  <c r="J66" i="15"/>
  <c r="K66" i="15" s="1"/>
  <c r="J65" i="15"/>
  <c r="K65" i="15" s="1"/>
  <c r="J64" i="15"/>
  <c r="J63" i="15"/>
  <c r="J62" i="15"/>
  <c r="J61" i="15"/>
  <c r="J60" i="15"/>
  <c r="J59" i="15"/>
  <c r="K59" i="15" s="1"/>
  <c r="J58" i="15"/>
  <c r="J57" i="15"/>
  <c r="K57" i="15" s="1"/>
  <c r="J56" i="15"/>
  <c r="J55" i="15"/>
  <c r="J54" i="15"/>
  <c r="J53" i="15"/>
  <c r="J52" i="15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J42" i="15"/>
  <c r="K42" i="15" s="1"/>
  <c r="J41" i="15"/>
  <c r="K41" i="15" s="1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K25" i="15" s="1"/>
  <c r="J24" i="15"/>
  <c r="J23" i="15"/>
  <c r="J22" i="15"/>
  <c r="J21" i="15"/>
  <c r="J20" i="15"/>
  <c r="J19" i="15"/>
  <c r="J18" i="15"/>
  <c r="K18" i="15" s="1"/>
  <c r="J17" i="15"/>
  <c r="K17" i="15" s="1"/>
  <c r="J16" i="15"/>
  <c r="J15" i="15"/>
  <c r="J14" i="15"/>
  <c r="J13" i="15"/>
  <c r="J12" i="15"/>
  <c r="J11" i="15"/>
  <c r="K11" i="15" s="1"/>
  <c r="J10" i="15"/>
  <c r="K10" i="15" s="1"/>
  <c r="J9" i="15"/>
  <c r="K9" i="15" s="1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M300" i="14"/>
  <c r="M292" i="14"/>
  <c r="M284" i="14"/>
  <c r="M276" i="14"/>
  <c r="M252" i="14"/>
  <c r="M244" i="14"/>
  <c r="M236" i="14"/>
  <c r="M228" i="14"/>
  <c r="M220" i="14"/>
  <c r="M212" i="14"/>
  <c r="M204" i="14"/>
  <c r="M196" i="14"/>
  <c r="M188" i="14"/>
  <c r="M180" i="14"/>
  <c r="M172" i="14"/>
  <c r="M164" i="14"/>
  <c r="M156" i="14"/>
  <c r="M148" i="14"/>
  <c r="M140" i="14"/>
  <c r="M132" i="14"/>
  <c r="M124" i="14"/>
  <c r="M116" i="14"/>
  <c r="M108" i="14"/>
  <c r="M100" i="14"/>
  <c r="M92" i="14"/>
  <c r="M84" i="14"/>
  <c r="M76" i="14"/>
  <c r="M68" i="14"/>
  <c r="M60" i="14"/>
  <c r="M52" i="14"/>
  <c r="M44" i="14"/>
  <c r="M36" i="14"/>
  <c r="M12" i="14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8" i="13"/>
  <c r="A9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K264" i="14" s="1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K244" i="14" s="1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K220" i="14" s="1"/>
  <c r="J219" i="14"/>
  <c r="J218" i="14"/>
  <c r="J217" i="14"/>
  <c r="J216" i="14"/>
  <c r="K216" i="14" s="1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K148" i="14" s="1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K52" i="14" s="1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U29" i="20" s="1"/>
  <c r="K8" i="19"/>
  <c r="I8" i="19"/>
  <c r="B8" i="19"/>
  <c r="K7" i="19"/>
  <c r="I7" i="19"/>
  <c r="B7" i="19"/>
  <c r="K6" i="19"/>
  <c r="B6" i="19"/>
  <c r="U6" i="13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U46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B32" i="16"/>
  <c r="K31" i="16"/>
  <c r="I31" i="16"/>
  <c r="M31" i="16" s="1"/>
  <c r="B31" i="16"/>
  <c r="I30" i="16"/>
  <c r="B30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B9" i="16"/>
  <c r="K8" i="16"/>
  <c r="I8" i="16"/>
  <c r="B8" i="16"/>
  <c r="I28" i="20" s="1"/>
  <c r="K7" i="16"/>
  <c r="I7" i="16"/>
  <c r="K6" i="16"/>
  <c r="K2" i="16"/>
  <c r="L7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K300" i="15"/>
  <c r="I300" i="15"/>
  <c r="M300" i="15" s="1"/>
  <c r="K299" i="15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I292" i="15"/>
  <c r="M292" i="15" s="1"/>
  <c r="K291" i="15"/>
  <c r="I291" i="15"/>
  <c r="M291" i="15" s="1"/>
  <c r="I290" i="15"/>
  <c r="M290" i="15" s="1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I284" i="15"/>
  <c r="M284" i="15" s="1"/>
  <c r="K283" i="15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I276" i="15"/>
  <c r="M276" i="15" s="1"/>
  <c r="K275" i="15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K260" i="15"/>
  <c r="I260" i="15"/>
  <c r="M260" i="15" s="1"/>
  <c r="K259" i="15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I236" i="15"/>
  <c r="M236" i="15" s="1"/>
  <c r="K235" i="15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I212" i="15"/>
  <c r="M212" i="15" s="1"/>
  <c r="K211" i="15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I204" i="15"/>
  <c r="M204" i="15" s="1"/>
  <c r="K203" i="15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K188" i="15"/>
  <c r="I188" i="15"/>
  <c r="M188" i="15" s="1"/>
  <c r="K187" i="15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K180" i="15"/>
  <c r="I180" i="15"/>
  <c r="M180" i="15" s="1"/>
  <c r="K179" i="15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I172" i="15"/>
  <c r="M172" i="15" s="1"/>
  <c r="K171" i="15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K156" i="15"/>
  <c r="I156" i="15"/>
  <c r="M156" i="15" s="1"/>
  <c r="K155" i="15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I148" i="15"/>
  <c r="M148" i="15" s="1"/>
  <c r="K147" i="15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I124" i="15"/>
  <c r="M124" i="15" s="1"/>
  <c r="K123" i="15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K84" i="15"/>
  <c r="I84" i="15"/>
  <c r="M84" i="15" s="1"/>
  <c r="K83" i="15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I76" i="15"/>
  <c r="M76" i="15" s="1"/>
  <c r="K75" i="15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B53" i="15"/>
  <c r="K52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B45" i="15"/>
  <c r="I44" i="15"/>
  <c r="M44" i="15" s="1"/>
  <c r="B44" i="15"/>
  <c r="K43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B35" i="15"/>
  <c r="I34" i="15"/>
  <c r="M34" i="15" s="1"/>
  <c r="B34" i="15"/>
  <c r="K33" i="15"/>
  <c r="I33" i="15"/>
  <c r="M33" i="15" s="1"/>
  <c r="B33" i="15"/>
  <c r="K32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K24" i="15"/>
  <c r="I24" i="15"/>
  <c r="M24" i="15" s="1"/>
  <c r="B24" i="15"/>
  <c r="K23" i="15"/>
  <c r="I23" i="15"/>
  <c r="B23" i="15"/>
  <c r="I22" i="15"/>
  <c r="M22" i="15" s="1"/>
  <c r="B22" i="15"/>
  <c r="K21" i="15"/>
  <c r="I21" i="15"/>
  <c r="B21" i="15"/>
  <c r="I20" i="15"/>
  <c r="M20" i="15" s="1"/>
  <c r="B20" i="15"/>
  <c r="K19" i="15"/>
  <c r="I19" i="15"/>
  <c r="B19" i="15"/>
  <c r="I18" i="15"/>
  <c r="M18" i="15" s="1"/>
  <c r="B18" i="15"/>
  <c r="I17" i="15"/>
  <c r="B17" i="15"/>
  <c r="K16" i="15"/>
  <c r="I16" i="15"/>
  <c r="M16" i="15" s="1"/>
  <c r="B16" i="15"/>
  <c r="K15" i="15"/>
  <c r="I15" i="15"/>
  <c r="M15" i="15" s="1"/>
  <c r="B15" i="15"/>
  <c r="AI14" i="15"/>
  <c r="I14" i="15"/>
  <c r="M14" i="15" s="1"/>
  <c r="B14" i="15"/>
  <c r="AI13" i="15"/>
  <c r="K13" i="15"/>
  <c r="I13" i="15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I9" i="15"/>
  <c r="B9" i="15"/>
  <c r="K8" i="15"/>
  <c r="I8" i="15"/>
  <c r="M8" i="15" s="1"/>
  <c r="B8" i="15"/>
  <c r="K7" i="15"/>
  <c r="I7" i="15"/>
  <c r="M7" i="15" s="1"/>
  <c r="K6" i="15"/>
  <c r="M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K219" i="14"/>
  <c r="I219" i="14"/>
  <c r="M219" i="14" s="1"/>
  <c r="K218" i="14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A36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B26" i="14"/>
  <c r="K25" i="14"/>
  <c r="I25" i="14"/>
  <c r="M25" i="14" s="1"/>
  <c r="B25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I8" i="14"/>
  <c r="M8" i="14" s="1"/>
  <c r="I7" i="14"/>
  <c r="M7" i="14" s="1"/>
  <c r="E6" i="13"/>
  <c r="K6" i="14"/>
  <c r="M6" i="14"/>
  <c r="K2" i="14"/>
  <c r="L8" i="14" s="1"/>
  <c r="S13" i="13" l="1"/>
  <c r="S21" i="13"/>
  <c r="S15" i="20"/>
  <c r="S23" i="20"/>
  <c r="T23" i="20" s="1"/>
  <c r="S14" i="13"/>
  <c r="T14" i="13" s="1"/>
  <c r="S22" i="13"/>
  <c r="T22" i="13" s="1"/>
  <c r="S10" i="20"/>
  <c r="S18" i="20"/>
  <c r="T18" i="20" s="1"/>
  <c r="S26" i="20"/>
  <c r="S15" i="13"/>
  <c r="S23" i="13"/>
  <c r="S13" i="20"/>
  <c r="S21" i="20"/>
  <c r="T12" i="13"/>
  <c r="T20" i="13"/>
  <c r="T12" i="20"/>
  <c r="T20" i="20"/>
  <c r="T28" i="20"/>
  <c r="T13" i="13"/>
  <c r="T21" i="13"/>
  <c r="T7" i="20"/>
  <c r="T15" i="20"/>
  <c r="T6" i="13"/>
  <c r="T26" i="20"/>
  <c r="T7" i="13"/>
  <c r="T15" i="13"/>
  <c r="T23" i="13"/>
  <c r="T13" i="20"/>
  <c r="T21" i="20"/>
  <c r="T29" i="20"/>
  <c r="T9" i="13"/>
  <c r="T16" i="13"/>
  <c r="T8" i="20"/>
  <c r="T16" i="20"/>
  <c r="T24" i="20"/>
  <c r="T10" i="20"/>
  <c r="T8" i="13"/>
  <c r="T17" i="13"/>
  <c r="T11" i="20"/>
  <c r="T19" i="20"/>
  <c r="T27" i="20"/>
  <c r="T10" i="13"/>
  <c r="T18" i="13"/>
  <c r="T6" i="20"/>
  <c r="T14" i="20"/>
  <c r="T22" i="20"/>
  <c r="T11" i="13"/>
  <c r="T19" i="13"/>
  <c r="T9" i="20"/>
  <c r="T17" i="20"/>
  <c r="T25" i="20"/>
  <c r="U7" i="20"/>
  <c r="U15" i="20"/>
  <c r="U23" i="20"/>
  <c r="U12" i="20"/>
  <c r="U20" i="20"/>
  <c r="U28" i="20"/>
  <c r="U9" i="20"/>
  <c r="U17" i="20"/>
  <c r="U25" i="20"/>
  <c r="U14" i="20"/>
  <c r="U22" i="20"/>
  <c r="U11" i="20"/>
  <c r="U19" i="20"/>
  <c r="U27" i="20"/>
  <c r="U8" i="20"/>
  <c r="U16" i="20"/>
  <c r="U24" i="20"/>
  <c r="V24" i="20" s="1"/>
  <c r="U13" i="20"/>
  <c r="U21" i="20"/>
  <c r="L9" i="37"/>
  <c r="L9" i="35"/>
  <c r="L8" i="35"/>
  <c r="L7" i="35"/>
  <c r="L9" i="34"/>
  <c r="L8" i="34"/>
  <c r="L8" i="31"/>
  <c r="M8" i="31" s="1"/>
  <c r="A8" i="31" s="1"/>
  <c r="L7" i="31"/>
  <c r="M7" i="31" s="1"/>
  <c r="A7" i="31" s="1"/>
  <c r="L8" i="30"/>
  <c r="L7" i="30"/>
  <c r="L8" i="29"/>
  <c r="L7" i="29"/>
  <c r="M8" i="16"/>
  <c r="I14" i="20"/>
  <c r="I22" i="20"/>
  <c r="I27" i="20"/>
  <c r="I9" i="20"/>
  <c r="I23" i="13"/>
  <c r="I21" i="20"/>
  <c r="I17" i="20"/>
  <c r="I25" i="20"/>
  <c r="I12" i="20"/>
  <c r="I16" i="20"/>
  <c r="I7" i="20"/>
  <c r="I9" i="13"/>
  <c r="I11" i="20"/>
  <c r="I29" i="20"/>
  <c r="I16" i="13"/>
  <c r="I10" i="20"/>
  <c r="I23" i="20"/>
  <c r="I18" i="20"/>
  <c r="I15" i="20"/>
  <c r="I20" i="20"/>
  <c r="I26" i="20"/>
  <c r="I8" i="20"/>
  <c r="I19" i="20"/>
  <c r="I24" i="20"/>
  <c r="I13" i="20"/>
  <c r="M21" i="28"/>
  <c r="N17" i="28"/>
  <c r="A17" i="28" s="1"/>
  <c r="N12" i="28"/>
  <c r="A12" i="28" s="1"/>
  <c r="M11" i="28"/>
  <c r="N11" i="28" s="1"/>
  <c r="A11" i="28" s="1"/>
  <c r="M7" i="28"/>
  <c r="M196" i="28"/>
  <c r="N196" i="28"/>
  <c r="A196" i="28" s="1"/>
  <c r="N125" i="28"/>
  <c r="A125" i="28" s="1"/>
  <c r="M125" i="28"/>
  <c r="M65" i="28"/>
  <c r="N65" i="28"/>
  <c r="A65" i="28" s="1"/>
  <c r="M292" i="28"/>
  <c r="N292" i="28"/>
  <c r="A292" i="28" s="1"/>
  <c r="M276" i="28"/>
  <c r="N276" i="28"/>
  <c r="A276" i="28" s="1"/>
  <c r="N261" i="28"/>
  <c r="A261" i="28" s="1"/>
  <c r="M261" i="28"/>
  <c r="M46" i="28"/>
  <c r="N46" i="28"/>
  <c r="A46" i="28" s="1"/>
  <c r="M250" i="28"/>
  <c r="N250" i="28"/>
  <c r="A250" i="28" s="1"/>
  <c r="M128" i="28"/>
  <c r="N128" i="28"/>
  <c r="A128" i="28" s="1"/>
  <c r="L9" i="28"/>
  <c r="L6" i="28"/>
  <c r="M6" i="28" s="1"/>
  <c r="N193" i="28"/>
  <c r="A193" i="28" s="1"/>
  <c r="M193" i="28"/>
  <c r="AJ29" i="20"/>
  <c r="AK29" i="20" s="1"/>
  <c r="BF29" i="20" s="1"/>
  <c r="AJ19" i="20"/>
  <c r="AK19" i="20" s="1"/>
  <c r="BF19" i="20" s="1"/>
  <c r="AJ14" i="20"/>
  <c r="AK14" i="20" s="1"/>
  <c r="BF14" i="20" s="1"/>
  <c r="AJ9" i="20"/>
  <c r="AK9" i="20" s="1"/>
  <c r="BF9" i="20" s="1"/>
  <c r="M288" i="28"/>
  <c r="N288" i="28"/>
  <c r="A288" i="28" s="1"/>
  <c r="M254" i="28"/>
  <c r="N254" i="28"/>
  <c r="A254" i="28" s="1"/>
  <c r="M229" i="28"/>
  <c r="N229" i="28"/>
  <c r="A229" i="28" s="1"/>
  <c r="N198" i="28"/>
  <c r="A198" i="28" s="1"/>
  <c r="N137" i="28"/>
  <c r="A137" i="28" s="1"/>
  <c r="N110" i="28"/>
  <c r="A110" i="28" s="1"/>
  <c r="N97" i="28"/>
  <c r="A97" i="28" s="1"/>
  <c r="N101" i="28"/>
  <c r="A101" i="28" s="1"/>
  <c r="M101" i="28"/>
  <c r="M267" i="28"/>
  <c r="N267" i="28"/>
  <c r="A267" i="28" s="1"/>
  <c r="AJ12" i="20"/>
  <c r="AK12" i="20" s="1"/>
  <c r="BF12" i="20" s="1"/>
  <c r="N185" i="28"/>
  <c r="A185" i="28" s="1"/>
  <c r="M185" i="28"/>
  <c r="AJ24" i="20"/>
  <c r="AK24" i="20" s="1"/>
  <c r="BF24" i="20" s="1"/>
  <c r="AJ21" i="20"/>
  <c r="AK21" i="20" s="1"/>
  <c r="BF21" i="20" s="1"/>
  <c r="AJ16" i="20"/>
  <c r="AK16" i="20" s="1"/>
  <c r="BF16" i="20" s="1"/>
  <c r="M287" i="28"/>
  <c r="N268" i="28"/>
  <c r="A268" i="28" s="1"/>
  <c r="N221" i="28"/>
  <c r="A221" i="28" s="1"/>
  <c r="N186" i="28"/>
  <c r="A186" i="28" s="1"/>
  <c r="M170" i="28"/>
  <c r="M159" i="28"/>
  <c r="N159" i="28"/>
  <c r="A159" i="28" s="1"/>
  <c r="N113" i="28"/>
  <c r="A113" i="28" s="1"/>
  <c r="N94" i="28"/>
  <c r="A94" i="28" s="1"/>
  <c r="M73" i="28"/>
  <c r="N73" i="28"/>
  <c r="A73" i="28" s="1"/>
  <c r="M32" i="28"/>
  <c r="N32" i="28" s="1"/>
  <c r="A32" i="28" s="1"/>
  <c r="L8" i="28"/>
  <c r="M8" i="28" s="1"/>
  <c r="M177" i="28"/>
  <c r="N177" i="28"/>
  <c r="A177" i="28" s="1"/>
  <c r="M118" i="28"/>
  <c r="N118" i="28"/>
  <c r="A118" i="28" s="1"/>
  <c r="M235" i="28"/>
  <c r="N235" i="28"/>
  <c r="A235" i="28" s="1"/>
  <c r="M189" i="28"/>
  <c r="N189" i="28"/>
  <c r="A189" i="28" s="1"/>
  <c r="M143" i="28"/>
  <c r="N143" i="28"/>
  <c r="A143" i="28" s="1"/>
  <c r="M81" i="28"/>
  <c r="N81" i="28"/>
  <c r="A81" i="28" s="1"/>
  <c r="M252" i="28"/>
  <c r="N252" i="28"/>
  <c r="A252" i="28" s="1"/>
  <c r="M135" i="28"/>
  <c r="N135" i="28"/>
  <c r="A135" i="28" s="1"/>
  <c r="M211" i="28"/>
  <c r="N211" i="28"/>
  <c r="A211" i="28" s="1"/>
  <c r="N209" i="28"/>
  <c r="A209" i="28" s="1"/>
  <c r="M209" i="28"/>
  <c r="M111" i="28"/>
  <c r="N111" i="28"/>
  <c r="A111" i="28" s="1"/>
  <c r="AJ26" i="20"/>
  <c r="AK26" i="20" s="1"/>
  <c r="BF26" i="20" s="1"/>
  <c r="M49" i="28"/>
  <c r="N49" i="28"/>
  <c r="A49" i="28" s="1"/>
  <c r="AJ27" i="20"/>
  <c r="AK27" i="20" s="1"/>
  <c r="BF27" i="20" s="1"/>
  <c r="AJ25" i="20"/>
  <c r="AK25" i="20" s="1"/>
  <c r="BF25" i="20" s="1"/>
  <c r="AJ18" i="20"/>
  <c r="AK18" i="20" s="1"/>
  <c r="BF18" i="20" s="1"/>
  <c r="M19" i="26"/>
  <c r="A19" i="26" s="1"/>
  <c r="M274" i="28"/>
  <c r="N272" i="28"/>
  <c r="A272" i="28" s="1"/>
  <c r="M259" i="28"/>
  <c r="N259" i="28"/>
  <c r="A259" i="28" s="1"/>
  <c r="M243" i="28"/>
  <c r="N233" i="28"/>
  <c r="A233" i="28" s="1"/>
  <c r="M233" i="28"/>
  <c r="N218" i="28"/>
  <c r="A218" i="28" s="1"/>
  <c r="M218" i="28"/>
  <c r="M212" i="28"/>
  <c r="N212" i="28"/>
  <c r="A212" i="28" s="1"/>
  <c r="M205" i="28"/>
  <c r="N205" i="28"/>
  <c r="A205" i="28" s="1"/>
  <c r="M141" i="28"/>
  <c r="M105" i="28"/>
  <c r="N105" i="28"/>
  <c r="A105" i="28" s="1"/>
  <c r="M57" i="28"/>
  <c r="N57" i="28"/>
  <c r="A57" i="28" s="1"/>
  <c r="M62" i="28"/>
  <c r="M54" i="28"/>
  <c r="N54" i="28" s="1"/>
  <c r="A54" i="28" s="1"/>
  <c r="AI29" i="20"/>
  <c r="BE29" i="20" s="1"/>
  <c r="AI25" i="20"/>
  <c r="BE25" i="20" s="1"/>
  <c r="AI18" i="20"/>
  <c r="BE18" i="20" s="1"/>
  <c r="AI12" i="20"/>
  <c r="BE12" i="20" s="1"/>
  <c r="AI24" i="20"/>
  <c r="BE24" i="20" s="1"/>
  <c r="AI8" i="20"/>
  <c r="BE8" i="20" s="1"/>
  <c r="AI16" i="20"/>
  <c r="BE16" i="20" s="1"/>
  <c r="AI28" i="20"/>
  <c r="BE28" i="20" s="1"/>
  <c r="AI21" i="20"/>
  <c r="BE21" i="20" s="1"/>
  <c r="AI20" i="20"/>
  <c r="BE20" i="20" s="1"/>
  <c r="AI9" i="20"/>
  <c r="BE9" i="20" s="1"/>
  <c r="AI19" i="20"/>
  <c r="BE19" i="20" s="1"/>
  <c r="AI10" i="20"/>
  <c r="BE10" i="20" s="1"/>
  <c r="AI6" i="20"/>
  <c r="BE6" i="20" s="1"/>
  <c r="AF12" i="20"/>
  <c r="AF16" i="20"/>
  <c r="AF29" i="20"/>
  <c r="AF28" i="20"/>
  <c r="AF23" i="20"/>
  <c r="AF18" i="20"/>
  <c r="AF8" i="20"/>
  <c r="AF10" i="20"/>
  <c r="AF21" i="20"/>
  <c r="AF13" i="20"/>
  <c r="AF19" i="20"/>
  <c r="AA8" i="20"/>
  <c r="BB8" i="20" s="1"/>
  <c r="AA29" i="20"/>
  <c r="BB29" i="20" s="1"/>
  <c r="AA13" i="20"/>
  <c r="BB13" i="20" s="1"/>
  <c r="M16" i="22"/>
  <c r="A16" i="22" s="1"/>
  <c r="Y11" i="20"/>
  <c r="BA11" i="20" s="1"/>
  <c r="Y23" i="20"/>
  <c r="BA23" i="20" s="1"/>
  <c r="Y8" i="20"/>
  <c r="BA8" i="20" s="1"/>
  <c r="U46" i="21"/>
  <c r="Y16" i="20"/>
  <c r="BA16" i="20" s="1"/>
  <c r="Y7" i="20"/>
  <c r="BA7" i="20" s="1"/>
  <c r="Y12" i="20"/>
  <c r="BA12" i="20" s="1"/>
  <c r="Y10" i="20"/>
  <c r="BA10" i="20" s="1"/>
  <c r="M10" i="21"/>
  <c r="A10" i="21" s="1"/>
  <c r="L9" i="23"/>
  <c r="L6" i="23"/>
  <c r="L8" i="23"/>
  <c r="M6" i="21"/>
  <c r="A6" i="21" s="1"/>
  <c r="M9" i="21"/>
  <c r="A9" i="21" s="1"/>
  <c r="M12" i="21"/>
  <c r="A12" i="21" s="1"/>
  <c r="M7" i="21"/>
  <c r="A7" i="21" s="1"/>
  <c r="L8" i="21"/>
  <c r="M8" i="21" s="1"/>
  <c r="A8" i="21" s="1"/>
  <c r="L9" i="21"/>
  <c r="M28" i="22"/>
  <c r="A28" i="22" s="1"/>
  <c r="M22" i="22"/>
  <c r="A22" i="22" s="1"/>
  <c r="M7" i="22"/>
  <c r="A7" i="22" s="1"/>
  <c r="M13" i="24"/>
  <c r="A13" i="24" s="1"/>
  <c r="M43" i="28"/>
  <c r="N43" i="28"/>
  <c r="A43" i="28" s="1"/>
  <c r="M20" i="22"/>
  <c r="A20" i="22" s="1"/>
  <c r="M32" i="22"/>
  <c r="A32" i="22" s="1"/>
  <c r="M26" i="22"/>
  <c r="A26" i="22" s="1"/>
  <c r="L9" i="22"/>
  <c r="M9" i="22" s="1"/>
  <c r="A9" i="22" s="1"/>
  <c r="L6" i="22"/>
  <c r="M6" i="22" s="1"/>
  <c r="A6" i="22" s="1"/>
  <c r="AA20" i="20" s="1"/>
  <c r="BB20" i="20" s="1"/>
  <c r="M20" i="24"/>
  <c r="A20" i="24" s="1"/>
  <c r="M24" i="22"/>
  <c r="A24" i="22" s="1"/>
  <c r="M18" i="22"/>
  <c r="A18" i="22" s="1"/>
  <c r="M30" i="22"/>
  <c r="A30" i="22" s="1"/>
  <c r="M11" i="24"/>
  <c r="A11" i="24" s="1"/>
  <c r="M14" i="24"/>
  <c r="A14" i="24" s="1"/>
  <c r="M9" i="24"/>
  <c r="A9" i="24" s="1"/>
  <c r="AI16" i="23"/>
  <c r="M19" i="24"/>
  <c r="A19" i="24" s="1"/>
  <c r="M12" i="25"/>
  <c r="A12" i="25" s="1"/>
  <c r="M17" i="24"/>
  <c r="A17" i="24" s="1"/>
  <c r="M22" i="25"/>
  <c r="A22" i="25" s="1"/>
  <c r="M8" i="25"/>
  <c r="A8" i="25" s="1"/>
  <c r="M52" i="28"/>
  <c r="N52" i="28"/>
  <c r="A52" i="28" s="1"/>
  <c r="L6" i="24"/>
  <c r="M6" i="24" s="1"/>
  <c r="A6" i="24" s="1"/>
  <c r="AG24" i="20" s="1"/>
  <c r="BD24" i="20" s="1"/>
  <c r="M13" i="25"/>
  <c r="A13" i="25" s="1"/>
  <c r="M164" i="28"/>
  <c r="N164" i="28"/>
  <c r="A164" i="28" s="1"/>
  <c r="L8" i="25"/>
  <c r="L7" i="25"/>
  <c r="M7" i="25" s="1"/>
  <c r="A7" i="25" s="1"/>
  <c r="L6" i="25"/>
  <c r="M6" i="25" s="1"/>
  <c r="A6" i="25" s="1"/>
  <c r="L8" i="24"/>
  <c r="M8" i="24" s="1"/>
  <c r="A8" i="24" s="1"/>
  <c r="M304" i="28"/>
  <c r="N304" i="28"/>
  <c r="A304" i="28" s="1"/>
  <c r="M215" i="28"/>
  <c r="N215" i="28"/>
  <c r="A215" i="28" s="1"/>
  <c r="N241" i="28"/>
  <c r="A241" i="28" s="1"/>
  <c r="M241" i="28"/>
  <c r="M24" i="26"/>
  <c r="A24" i="26" s="1"/>
  <c r="N258" i="28"/>
  <c r="A258" i="28" s="1"/>
  <c r="M258" i="28"/>
  <c r="M11" i="26"/>
  <c r="A11" i="26" s="1"/>
  <c r="M27" i="28"/>
  <c r="N27" i="28" s="1"/>
  <c r="A27" i="28" s="1"/>
  <c r="M83" i="28"/>
  <c r="N83" i="28"/>
  <c r="A83" i="28" s="1"/>
  <c r="M8" i="26"/>
  <c r="A8" i="26" s="1"/>
  <c r="M223" i="28"/>
  <c r="N223" i="28"/>
  <c r="A223" i="28" s="1"/>
  <c r="M90" i="28"/>
  <c r="N90" i="28"/>
  <c r="A90" i="28" s="1"/>
  <c r="M25" i="26"/>
  <c r="A25" i="26" s="1"/>
  <c r="M10" i="26"/>
  <c r="A10" i="26" s="1"/>
  <c r="N290" i="28"/>
  <c r="A290" i="28" s="1"/>
  <c r="M290" i="28"/>
  <c r="N225" i="28"/>
  <c r="A225" i="28" s="1"/>
  <c r="M225" i="28"/>
  <c r="N109" i="28"/>
  <c r="A109" i="28" s="1"/>
  <c r="M109" i="28"/>
  <c r="M98" i="28"/>
  <c r="N98" i="28"/>
  <c r="A98" i="28" s="1"/>
  <c r="N269" i="28"/>
  <c r="A269" i="28" s="1"/>
  <c r="M269" i="28"/>
  <c r="M234" i="28"/>
  <c r="N234" i="28"/>
  <c r="A234" i="28" s="1"/>
  <c r="M232" i="28"/>
  <c r="N232" i="28"/>
  <c r="A232" i="28" s="1"/>
  <c r="N8" i="28"/>
  <c r="A8" i="28" s="1"/>
  <c r="M256" i="28"/>
  <c r="N256" i="28"/>
  <c r="A256" i="28" s="1"/>
  <c r="M138" i="28"/>
  <c r="N138" i="28"/>
  <c r="A138" i="28" s="1"/>
  <c r="N29" i="28"/>
  <c r="A29" i="28" s="1"/>
  <c r="M29" i="28"/>
  <c r="L8" i="26"/>
  <c r="M293" i="28"/>
  <c r="N293" i="28"/>
  <c r="A293" i="28" s="1"/>
  <c r="N217" i="28"/>
  <c r="A217" i="28" s="1"/>
  <c r="M217" i="28"/>
  <c r="N301" i="28"/>
  <c r="A301" i="28" s="1"/>
  <c r="M301" i="28"/>
  <c r="M283" i="28"/>
  <c r="N283" i="28"/>
  <c r="A283" i="28" s="1"/>
  <c r="M182" i="28"/>
  <c r="N182" i="28"/>
  <c r="A182" i="28" s="1"/>
  <c r="N172" i="28"/>
  <c r="A172" i="28" s="1"/>
  <c r="M172" i="28"/>
  <c r="M162" i="28"/>
  <c r="N162" i="28"/>
  <c r="A162" i="28" s="1"/>
  <c r="M154" i="28"/>
  <c r="N154" i="28"/>
  <c r="A154" i="28" s="1"/>
  <c r="M148" i="28"/>
  <c r="N148" i="28"/>
  <c r="A148" i="28" s="1"/>
  <c r="M140" i="28"/>
  <c r="N140" i="28"/>
  <c r="A140" i="28" s="1"/>
  <c r="N93" i="28"/>
  <c r="A93" i="28" s="1"/>
  <c r="M93" i="28"/>
  <c r="M84" i="28"/>
  <c r="N84" i="28"/>
  <c r="A84" i="28" s="1"/>
  <c r="AI16" i="26"/>
  <c r="N305" i="28"/>
  <c r="A305" i="28" s="1"/>
  <c r="M305" i="28"/>
  <c r="M239" i="28"/>
  <c r="N239" i="28"/>
  <c r="A239" i="28" s="1"/>
  <c r="M194" i="28"/>
  <c r="N194" i="28"/>
  <c r="A194" i="28" s="1"/>
  <c r="M192" i="28"/>
  <c r="N192" i="28"/>
  <c r="A192" i="28" s="1"/>
  <c r="M184" i="28"/>
  <c r="N184" i="28"/>
  <c r="A184" i="28" s="1"/>
  <c r="M174" i="28"/>
  <c r="N174" i="28"/>
  <c r="A174" i="28" s="1"/>
  <c r="M58" i="28"/>
  <c r="N58" i="28" s="1"/>
  <c r="A58" i="28" s="1"/>
  <c r="M50" i="28"/>
  <c r="N50" i="28" s="1"/>
  <c r="A50" i="28" s="1"/>
  <c r="M300" i="28"/>
  <c r="N300" i="28"/>
  <c r="A300" i="28" s="1"/>
  <c r="M289" i="28"/>
  <c r="N289" i="28"/>
  <c r="A289" i="28" s="1"/>
  <c r="N284" i="28"/>
  <c r="A284" i="28" s="1"/>
  <c r="M266" i="28"/>
  <c r="M246" i="28"/>
  <c r="N246" i="28"/>
  <c r="A246" i="28" s="1"/>
  <c r="N206" i="28"/>
  <c r="A206" i="28" s="1"/>
  <c r="N201" i="28"/>
  <c r="A201" i="28" s="1"/>
  <c r="M201" i="28"/>
  <c r="M199" i="28"/>
  <c r="N199" i="28"/>
  <c r="A199" i="28" s="1"/>
  <c r="M34" i="28"/>
  <c r="N34" i="28"/>
  <c r="A34" i="28" s="1"/>
  <c r="M296" i="28"/>
  <c r="N296" i="28"/>
  <c r="A296" i="28" s="1"/>
  <c r="M277" i="28"/>
  <c r="N277" i="28"/>
  <c r="A277" i="28" s="1"/>
  <c r="N264" i="28"/>
  <c r="A264" i="28" s="1"/>
  <c r="M248" i="28"/>
  <c r="N248" i="28"/>
  <c r="A248" i="28" s="1"/>
  <c r="M222" i="28"/>
  <c r="N222" i="28"/>
  <c r="A222" i="28" s="1"/>
  <c r="M131" i="28"/>
  <c r="N131" i="28"/>
  <c r="A131" i="28" s="1"/>
  <c r="M122" i="28"/>
  <c r="N122" i="28"/>
  <c r="A122" i="28" s="1"/>
  <c r="M60" i="28"/>
  <c r="N60" i="28"/>
  <c r="A60" i="28" s="1"/>
  <c r="M36" i="28"/>
  <c r="N36" i="28"/>
  <c r="A36" i="28" s="1"/>
  <c r="M280" i="28"/>
  <c r="N280" i="28"/>
  <c r="A280" i="28" s="1"/>
  <c r="M253" i="28"/>
  <c r="N253" i="28"/>
  <c r="A253" i="28" s="1"/>
  <c r="M210" i="28"/>
  <c r="N210" i="28"/>
  <c r="A210" i="28" s="1"/>
  <c r="M208" i="28"/>
  <c r="N208" i="28"/>
  <c r="A208" i="28" s="1"/>
  <c r="N133" i="28"/>
  <c r="A133" i="28" s="1"/>
  <c r="M133" i="28"/>
  <c r="M114" i="28"/>
  <c r="N114" i="28"/>
  <c r="A114" i="28" s="1"/>
  <c r="M286" i="28"/>
  <c r="N286" i="28"/>
  <c r="A286" i="28" s="1"/>
  <c r="M179" i="28"/>
  <c r="N179" i="28"/>
  <c r="A179" i="28" s="1"/>
  <c r="M124" i="28"/>
  <c r="N124" i="28"/>
  <c r="A124" i="28" s="1"/>
  <c r="M116" i="28"/>
  <c r="N116" i="28"/>
  <c r="A116" i="28" s="1"/>
  <c r="M67" i="28"/>
  <c r="N67" i="28"/>
  <c r="A67" i="28" s="1"/>
  <c r="M247" i="28"/>
  <c r="N247" i="28"/>
  <c r="A247" i="28" s="1"/>
  <c r="M216" i="28"/>
  <c r="N216" i="28"/>
  <c r="A216" i="28" s="1"/>
  <c r="M183" i="28"/>
  <c r="N183" i="28"/>
  <c r="A183" i="28" s="1"/>
  <c r="M173" i="28"/>
  <c r="N173" i="28"/>
  <c r="A173" i="28" s="1"/>
  <c r="M167" i="28"/>
  <c r="N167" i="28"/>
  <c r="A167" i="28" s="1"/>
  <c r="M100" i="28"/>
  <c r="N100" i="28"/>
  <c r="A100" i="28" s="1"/>
  <c r="N69" i="28"/>
  <c r="A69" i="28" s="1"/>
  <c r="M69" i="28"/>
  <c r="M19" i="28"/>
  <c r="N19" i="28"/>
  <c r="A19" i="28" s="1"/>
  <c r="M9" i="28"/>
  <c r="M240" i="28"/>
  <c r="N240" i="28"/>
  <c r="A240" i="28" s="1"/>
  <c r="M207" i="28"/>
  <c r="N207" i="28"/>
  <c r="A207" i="28" s="1"/>
  <c r="M178" i="28"/>
  <c r="N178" i="28"/>
  <c r="A178" i="28" s="1"/>
  <c r="M147" i="28"/>
  <c r="N147" i="28"/>
  <c r="A147" i="28" s="1"/>
  <c r="N85" i="28"/>
  <c r="A85" i="28" s="1"/>
  <c r="M74" i="28"/>
  <c r="N74" i="28"/>
  <c r="A74" i="28" s="1"/>
  <c r="M59" i="28"/>
  <c r="N59" i="28" s="1"/>
  <c r="A59" i="28" s="1"/>
  <c r="M53" i="28"/>
  <c r="N53" i="28" s="1"/>
  <c r="A53" i="28" s="1"/>
  <c r="N45" i="28"/>
  <c r="A45" i="28" s="1"/>
  <c r="M257" i="28"/>
  <c r="N257" i="28"/>
  <c r="A257" i="28" s="1"/>
  <c r="M231" i="28"/>
  <c r="N231" i="28"/>
  <c r="A231" i="28" s="1"/>
  <c r="M200" i="28"/>
  <c r="N200" i="28"/>
  <c r="A200" i="28" s="1"/>
  <c r="M163" i="28"/>
  <c r="N163" i="28"/>
  <c r="A163" i="28" s="1"/>
  <c r="M155" i="28"/>
  <c r="N155" i="28"/>
  <c r="A155" i="28" s="1"/>
  <c r="M123" i="28"/>
  <c r="N123" i="28"/>
  <c r="A123" i="28" s="1"/>
  <c r="M76" i="28"/>
  <c r="N76" i="28"/>
  <c r="A76" i="28" s="1"/>
  <c r="N21" i="28"/>
  <c r="A21" i="28" s="1"/>
  <c r="N9" i="28"/>
  <c r="A9" i="28" s="1"/>
  <c r="M224" i="28"/>
  <c r="N224" i="28"/>
  <c r="A224" i="28" s="1"/>
  <c r="M191" i="28"/>
  <c r="N191" i="28"/>
  <c r="A191" i="28" s="1"/>
  <c r="N157" i="28"/>
  <c r="A157" i="28" s="1"/>
  <c r="M157" i="28"/>
  <c r="N117" i="28"/>
  <c r="A117" i="28" s="1"/>
  <c r="M117" i="28"/>
  <c r="M107" i="28"/>
  <c r="N107" i="28"/>
  <c r="A107" i="28" s="1"/>
  <c r="M91" i="28"/>
  <c r="N91" i="28"/>
  <c r="A91" i="28" s="1"/>
  <c r="M156" i="28"/>
  <c r="N156" i="28"/>
  <c r="A156" i="28" s="1"/>
  <c r="M130" i="28"/>
  <c r="N130" i="28"/>
  <c r="A130" i="28" s="1"/>
  <c r="M99" i="28"/>
  <c r="N99" i="28"/>
  <c r="A99" i="28" s="1"/>
  <c r="M92" i="28"/>
  <c r="N92" i="28"/>
  <c r="A92" i="28" s="1"/>
  <c r="M66" i="28"/>
  <c r="N66" i="28"/>
  <c r="A66" i="28" s="1"/>
  <c r="N61" i="28"/>
  <c r="A61" i="28" s="1"/>
  <c r="M28" i="28"/>
  <c r="N28" i="28"/>
  <c r="A28" i="28" s="1"/>
  <c r="M26" i="28"/>
  <c r="N26" i="28"/>
  <c r="A26" i="28" s="1"/>
  <c r="N6" i="28"/>
  <c r="A6" i="28" s="1"/>
  <c r="AY27" i="20" s="1"/>
  <c r="M139" i="28"/>
  <c r="N139" i="28"/>
  <c r="A139" i="28" s="1"/>
  <c r="M132" i="28"/>
  <c r="N132" i="28"/>
  <c r="A132" i="28" s="1"/>
  <c r="M106" i="28"/>
  <c r="N106" i="28"/>
  <c r="A106" i="28" s="1"/>
  <c r="M75" i="28"/>
  <c r="N75" i="28"/>
  <c r="A75" i="28" s="1"/>
  <c r="M68" i="28"/>
  <c r="N68" i="28"/>
  <c r="A68" i="28" s="1"/>
  <c r="M35" i="28"/>
  <c r="N35" i="28"/>
  <c r="A35" i="28" s="1"/>
  <c r="M146" i="28"/>
  <c r="N146" i="28"/>
  <c r="A146" i="28" s="1"/>
  <c r="M115" i="28"/>
  <c r="N115" i="28"/>
  <c r="A115" i="28" s="1"/>
  <c r="M108" i="28"/>
  <c r="N108" i="28"/>
  <c r="A108" i="28" s="1"/>
  <c r="M82" i="28"/>
  <c r="N82" i="28"/>
  <c r="A82" i="28" s="1"/>
  <c r="N77" i="28"/>
  <c r="A77" i="28" s="1"/>
  <c r="M51" i="28"/>
  <c r="N51" i="28"/>
  <c r="A51" i="28" s="1"/>
  <c r="M44" i="28"/>
  <c r="N44" i="28" s="1"/>
  <c r="A44" i="28" s="1"/>
  <c r="M42" i="28"/>
  <c r="N42" i="28" s="1"/>
  <c r="A42" i="28" s="1"/>
  <c r="N37" i="28"/>
  <c r="A37" i="28" s="1"/>
  <c r="M20" i="28"/>
  <c r="N20" i="28"/>
  <c r="A20" i="28" s="1"/>
  <c r="M18" i="28"/>
  <c r="N18" i="28"/>
  <c r="A18" i="28" s="1"/>
  <c r="N7" i="28"/>
  <c r="A7" i="28" s="1"/>
  <c r="L8" i="19"/>
  <c r="M8" i="19" s="1"/>
  <c r="N8" i="19" s="1"/>
  <c r="A8" i="19" s="1"/>
  <c r="L7" i="19"/>
  <c r="M7" i="19" s="1"/>
  <c r="N7" i="19" s="1"/>
  <c r="A7" i="19" s="1"/>
  <c r="L6" i="19"/>
  <c r="M6" i="19" s="1"/>
  <c r="N6" i="19" s="1"/>
  <c r="U7" i="13"/>
  <c r="U9" i="13"/>
  <c r="U8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N9" i="19"/>
  <c r="A9" i="19" s="1"/>
  <c r="V29" i="20" s="1"/>
  <c r="D29" i="20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A45" i="19" s="1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M67" i="19"/>
  <c r="N68" i="19"/>
  <c r="M68" i="19"/>
  <c r="N69" i="19"/>
  <c r="A69" i="19" s="1"/>
  <c r="M69" i="19"/>
  <c r="N70" i="19"/>
  <c r="M70" i="19"/>
  <c r="N71" i="19"/>
  <c r="M71" i="19"/>
  <c r="N72" i="19"/>
  <c r="M72" i="19"/>
  <c r="N73" i="19"/>
  <c r="A73" i="19" s="1"/>
  <c r="M73" i="19"/>
  <c r="N74" i="19"/>
  <c r="M74" i="19"/>
  <c r="N75" i="19"/>
  <c r="M75" i="19"/>
  <c r="N76" i="19"/>
  <c r="M76" i="19"/>
  <c r="N77" i="19"/>
  <c r="A77" i="19" s="1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M83" i="19"/>
  <c r="N84" i="19"/>
  <c r="M84" i="19"/>
  <c r="N85" i="19"/>
  <c r="A85" i="19" s="1"/>
  <c r="M85" i="19"/>
  <c r="N86" i="19"/>
  <c r="M86" i="19"/>
  <c r="N87" i="19"/>
  <c r="M87" i="19"/>
  <c r="N88" i="19"/>
  <c r="M88" i="19"/>
  <c r="N89" i="19"/>
  <c r="A89" i="19" s="1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A97" i="19" s="1"/>
  <c r="M97" i="19"/>
  <c r="N98" i="19"/>
  <c r="M98" i="19"/>
  <c r="N99" i="19"/>
  <c r="M99" i="19"/>
  <c r="N100" i="19"/>
  <c r="M100" i="19"/>
  <c r="N101" i="19"/>
  <c r="A101" i="19" s="1"/>
  <c r="M101" i="19"/>
  <c r="N102" i="19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M108" i="19"/>
  <c r="N109" i="19"/>
  <c r="A109" i="19" s="1"/>
  <c r="M109" i="19"/>
  <c r="N110" i="19"/>
  <c r="M110" i="19"/>
  <c r="N111" i="19"/>
  <c r="M111" i="19"/>
  <c r="N112" i="19"/>
  <c r="M112" i="19"/>
  <c r="N113" i="19"/>
  <c r="A113" i="19" s="1"/>
  <c r="M113" i="19"/>
  <c r="N114" i="19"/>
  <c r="M114" i="19"/>
  <c r="N115" i="19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M179" i="19"/>
  <c r="N180" i="19"/>
  <c r="M180" i="19"/>
  <c r="N181" i="19"/>
  <c r="A181" i="19" s="1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A193" i="19" s="1"/>
  <c r="M193" i="19"/>
  <c r="N194" i="19"/>
  <c r="M194" i="19"/>
  <c r="N195" i="19"/>
  <c r="M195" i="19"/>
  <c r="N196" i="19"/>
  <c r="M196" i="19"/>
  <c r="N197" i="19"/>
  <c r="A197" i="19" s="1"/>
  <c r="M197" i="19"/>
  <c r="N198" i="19"/>
  <c r="M198" i="19"/>
  <c r="N199" i="19"/>
  <c r="M199" i="19"/>
  <c r="N200" i="19"/>
  <c r="M200" i="19"/>
  <c r="N201" i="19"/>
  <c r="A201" i="19" s="1"/>
  <c r="M201" i="19"/>
  <c r="N202" i="19"/>
  <c r="M202" i="19"/>
  <c r="N203" i="19"/>
  <c r="M203" i="19"/>
  <c r="N204" i="19"/>
  <c r="M204" i="19"/>
  <c r="N205" i="19"/>
  <c r="A205" i="19" s="1"/>
  <c r="M205" i="19"/>
  <c r="N206" i="19"/>
  <c r="M206" i="19"/>
  <c r="N207" i="19"/>
  <c r="M207" i="19"/>
  <c r="N208" i="19"/>
  <c r="M208" i="19"/>
  <c r="N209" i="19"/>
  <c r="A209" i="19" s="1"/>
  <c r="M209" i="19"/>
  <c r="N210" i="19"/>
  <c r="M210" i="19"/>
  <c r="N211" i="19"/>
  <c r="M211" i="19"/>
  <c r="N212" i="19"/>
  <c r="M212" i="19"/>
  <c r="N213" i="19"/>
  <c r="A213" i="19" s="1"/>
  <c r="M213" i="19"/>
  <c r="N214" i="19"/>
  <c r="M214" i="19"/>
  <c r="N215" i="19"/>
  <c r="M215" i="19"/>
  <c r="N216" i="19"/>
  <c r="M216" i="19"/>
  <c r="N217" i="19"/>
  <c r="A217" i="19" s="1"/>
  <c r="M217" i="19"/>
  <c r="N218" i="19"/>
  <c r="M218" i="19"/>
  <c r="N219" i="19"/>
  <c r="M219" i="19"/>
  <c r="N220" i="19"/>
  <c r="M220" i="19"/>
  <c r="N221" i="19"/>
  <c r="A221" i="19" s="1"/>
  <c r="M221" i="19"/>
  <c r="N222" i="19"/>
  <c r="M222" i="19"/>
  <c r="N223" i="19"/>
  <c r="M223" i="19"/>
  <c r="N224" i="19"/>
  <c r="M224" i="19"/>
  <c r="N225" i="19"/>
  <c r="A225" i="19" s="1"/>
  <c r="M225" i="19"/>
  <c r="N226" i="19"/>
  <c r="M226" i="19"/>
  <c r="N227" i="19"/>
  <c r="M227" i="19"/>
  <c r="N228" i="19"/>
  <c r="M228" i="19"/>
  <c r="N229" i="19"/>
  <c r="A229" i="19" s="1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A241" i="19" s="1"/>
  <c r="M241" i="19"/>
  <c r="N242" i="19"/>
  <c r="M242" i="19"/>
  <c r="N243" i="19"/>
  <c r="M243" i="19"/>
  <c r="N244" i="19"/>
  <c r="M244" i="19"/>
  <c r="N245" i="19"/>
  <c r="A245" i="19" s="1"/>
  <c r="M245" i="19"/>
  <c r="N246" i="19"/>
  <c r="M246" i="19"/>
  <c r="N247" i="19"/>
  <c r="M247" i="19"/>
  <c r="N248" i="19"/>
  <c r="M248" i="19"/>
  <c r="N249" i="19"/>
  <c r="A249" i="19" s="1"/>
  <c r="M249" i="19"/>
  <c r="N250" i="19"/>
  <c r="M250" i="19"/>
  <c r="N251" i="19"/>
  <c r="M251" i="19"/>
  <c r="N252" i="19"/>
  <c r="M252" i="19"/>
  <c r="N253" i="19"/>
  <c r="A253" i="19" s="1"/>
  <c r="M253" i="19"/>
  <c r="N254" i="19"/>
  <c r="M254" i="19"/>
  <c r="N255" i="19"/>
  <c r="M255" i="19"/>
  <c r="N256" i="19"/>
  <c r="M256" i="19"/>
  <c r="N257" i="19"/>
  <c r="A257" i="19" s="1"/>
  <c r="M257" i="19"/>
  <c r="N258" i="19"/>
  <c r="M258" i="19"/>
  <c r="N259" i="19"/>
  <c r="M259" i="19"/>
  <c r="N260" i="19"/>
  <c r="M260" i="19"/>
  <c r="N261" i="19"/>
  <c r="A261" i="19" s="1"/>
  <c r="M261" i="19"/>
  <c r="N262" i="19"/>
  <c r="M262" i="19"/>
  <c r="N263" i="19"/>
  <c r="M263" i="19"/>
  <c r="N264" i="19"/>
  <c r="M264" i="19"/>
  <c r="N265" i="19"/>
  <c r="A265" i="19" s="1"/>
  <c r="M265" i="19"/>
  <c r="N266" i="19"/>
  <c r="M266" i="19"/>
  <c r="N267" i="19"/>
  <c r="M267" i="19"/>
  <c r="N268" i="19"/>
  <c r="M268" i="19"/>
  <c r="N269" i="19"/>
  <c r="A269" i="19" s="1"/>
  <c r="M269" i="19"/>
  <c r="N270" i="19"/>
  <c r="M270" i="19"/>
  <c r="N271" i="19"/>
  <c r="M271" i="19"/>
  <c r="N272" i="19"/>
  <c r="M272" i="19"/>
  <c r="N273" i="19"/>
  <c r="A273" i="19" s="1"/>
  <c r="M273" i="19"/>
  <c r="N274" i="19"/>
  <c r="M274" i="19"/>
  <c r="N275" i="19"/>
  <c r="M275" i="19"/>
  <c r="N276" i="19"/>
  <c r="M276" i="19"/>
  <c r="N277" i="19"/>
  <c r="A277" i="19" s="1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A289" i="19" s="1"/>
  <c r="M289" i="19"/>
  <c r="N290" i="19"/>
  <c r="M290" i="19"/>
  <c r="N291" i="19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M299" i="19"/>
  <c r="N300" i="19"/>
  <c r="M300" i="19"/>
  <c r="N301" i="19"/>
  <c r="A301" i="19" s="1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9" i="13"/>
  <c r="K8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I8" i="13"/>
  <c r="I17" i="13"/>
  <c r="M7" i="16"/>
  <c r="A7" i="16" s="1"/>
  <c r="I10" i="13"/>
  <c r="I18" i="13"/>
  <c r="I11" i="13"/>
  <c r="I19" i="13"/>
  <c r="M9" i="16"/>
  <c r="A9" i="16" s="1"/>
  <c r="A11" i="16"/>
  <c r="A15" i="16"/>
  <c r="A33" i="16"/>
  <c r="M20" i="16"/>
  <c r="A20" i="16" s="1"/>
  <c r="I12" i="13"/>
  <c r="I20" i="13"/>
  <c r="I13" i="13"/>
  <c r="I21" i="13"/>
  <c r="A31" i="16"/>
  <c r="M22" i="16"/>
  <c r="A22" i="16" s="1"/>
  <c r="M30" i="16"/>
  <c r="A30" i="16" s="1"/>
  <c r="I6" i="13"/>
  <c r="I14" i="13"/>
  <c r="I22" i="13"/>
  <c r="I7" i="13"/>
  <c r="I15" i="13"/>
  <c r="A8" i="14"/>
  <c r="A20" i="14"/>
  <c r="M20" i="14"/>
  <c r="F9" i="13"/>
  <c r="A29" i="14"/>
  <c r="A37" i="14"/>
  <c r="F7" i="13"/>
  <c r="F11" i="13"/>
  <c r="F15" i="13"/>
  <c r="F19" i="13"/>
  <c r="F23" i="13"/>
  <c r="F12" i="13"/>
  <c r="A21" i="14"/>
  <c r="M15" i="14"/>
  <c r="A15" i="14" s="1"/>
  <c r="M23" i="14"/>
  <c r="A23" i="14" s="1"/>
  <c r="A11" i="14"/>
  <c r="M24" i="14"/>
  <c r="A24" i="14" s="1"/>
  <c r="M32" i="14"/>
  <c r="A32" i="14" s="1"/>
  <c r="F10" i="13"/>
  <c r="F14" i="13"/>
  <c r="F18" i="13"/>
  <c r="F22" i="13"/>
  <c r="A31" i="14"/>
  <c r="M28" i="14"/>
  <c r="A28" i="14" s="1"/>
  <c r="F20" i="13"/>
  <c r="A30" i="14"/>
  <c r="A33" i="14"/>
  <c r="M17" i="14"/>
  <c r="A17" i="14" s="1"/>
  <c r="M33" i="14"/>
  <c r="A12" i="14"/>
  <c r="A16" i="14"/>
  <c r="A22" i="14"/>
  <c r="M26" i="14"/>
  <c r="A26" i="14" s="1"/>
  <c r="F8" i="13"/>
  <c r="F13" i="13"/>
  <c r="F17" i="13"/>
  <c r="F21" i="13"/>
  <c r="F16" i="13"/>
  <c r="A9" i="14"/>
  <c r="A14" i="14"/>
  <c r="A25" i="14"/>
  <c r="M19" i="14"/>
  <c r="A19" i="14" s="1"/>
  <c r="M27" i="14"/>
  <c r="A27" i="14" s="1"/>
  <c r="M35" i="14"/>
  <c r="A35" i="14" s="1"/>
  <c r="A9" i="15"/>
  <c r="A37" i="15"/>
  <c r="H9" i="13"/>
  <c r="H12" i="13"/>
  <c r="H16" i="13"/>
  <c r="H20" i="13"/>
  <c r="A14" i="15"/>
  <c r="A23" i="15"/>
  <c r="M23" i="15"/>
  <c r="M31" i="15"/>
  <c r="A31" i="15" s="1"/>
  <c r="A22" i="15"/>
  <c r="A29" i="15"/>
  <c r="H7" i="13"/>
  <c r="H11" i="13"/>
  <c r="H15" i="13"/>
  <c r="H19" i="13"/>
  <c r="H23" i="13"/>
  <c r="A16" i="15"/>
  <c r="A32" i="15"/>
  <c r="M9" i="15"/>
  <c r="M17" i="15"/>
  <c r="A17" i="15" s="1"/>
  <c r="M25" i="15"/>
  <c r="A25" i="15" s="1"/>
  <c r="A19" i="15"/>
  <c r="A15" i="15"/>
  <c r="A21" i="15"/>
  <c r="A24" i="15"/>
  <c r="M10" i="15"/>
  <c r="A10" i="15" s="1"/>
  <c r="H10" i="13"/>
  <c r="H14" i="13"/>
  <c r="H18" i="13"/>
  <c r="H22" i="13"/>
  <c r="A18" i="15"/>
  <c r="M19" i="15"/>
  <c r="M27" i="15"/>
  <c r="A27" i="15" s="1"/>
  <c r="M35" i="15"/>
  <c r="A35" i="15" s="1"/>
  <c r="A33" i="15"/>
  <c r="M36" i="15"/>
  <c r="A36" i="15" s="1"/>
  <c r="H8" i="13"/>
  <c r="H13" i="13"/>
  <c r="H17" i="13"/>
  <c r="H21" i="13"/>
  <c r="A14" i="19"/>
  <c r="A130" i="19"/>
  <c r="A10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A8" i="16"/>
  <c r="A8" i="15"/>
  <c r="A7" i="15"/>
  <c r="L6" i="16"/>
  <c r="M6" i="16" s="1"/>
  <c r="A6" i="16" s="1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32" i="19"/>
  <c r="A72" i="19"/>
  <c r="A67" i="19"/>
  <c r="A8" i="18"/>
  <c r="A86" i="19"/>
  <c r="A147" i="19"/>
  <c r="A59" i="19"/>
  <c r="A82" i="19"/>
  <c r="A48" i="19"/>
  <c r="A68" i="19"/>
  <c r="A87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46" i="19"/>
  <c r="A60" i="19"/>
  <c r="A74" i="19"/>
  <c r="A79" i="19"/>
  <c r="A84" i="19"/>
  <c r="A93" i="19"/>
  <c r="A154" i="19"/>
  <c r="A22" i="19"/>
  <c r="A70" i="19"/>
  <c r="A44" i="19"/>
  <c r="A75" i="19"/>
  <c r="A80" i="19"/>
  <c r="A20" i="19"/>
  <c r="A38" i="19"/>
  <c r="A66" i="19"/>
  <c r="A90" i="19"/>
  <c r="A94" i="19"/>
  <c r="A98" i="19"/>
  <c r="A102" i="19"/>
  <c r="A106" i="19"/>
  <c r="A110" i="19"/>
  <c r="A114" i="19"/>
  <c r="A118" i="19"/>
  <c r="A122" i="19"/>
  <c r="A126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7" i="19"/>
  <c r="A199" i="19"/>
  <c r="A211" i="19"/>
  <c r="A223" i="19"/>
  <c r="A235" i="19"/>
  <c r="A247" i="19"/>
  <c r="A259" i="19"/>
  <c r="A271" i="19"/>
  <c r="A283" i="19"/>
  <c r="A150" i="19"/>
  <c r="A173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7" i="19"/>
  <c r="A219" i="19"/>
  <c r="A231" i="19"/>
  <c r="A237" i="19"/>
  <c r="A243" i="19"/>
  <c r="A255" i="19"/>
  <c r="A267" i="19"/>
  <c r="A279" i="19"/>
  <c r="A285" i="19"/>
  <c r="A291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203" i="19"/>
  <c r="A215" i="19"/>
  <c r="A227" i="19"/>
  <c r="A233" i="19"/>
  <c r="A239" i="19"/>
  <c r="A251" i="19"/>
  <c r="A263" i="19"/>
  <c r="A275" i="19"/>
  <c r="A281" i="19"/>
  <c r="A287" i="19"/>
  <c r="A299" i="19"/>
  <c r="D24" i="20" l="1"/>
  <c r="V22" i="20"/>
  <c r="D22" i="20" s="1"/>
  <c r="V16" i="20"/>
  <c r="D16" i="20" s="1"/>
  <c r="V14" i="20"/>
  <c r="D14" i="20" s="1"/>
  <c r="V20" i="20"/>
  <c r="D20" i="20" s="1"/>
  <c r="V28" i="20"/>
  <c r="D28" i="20" s="1"/>
  <c r="V6" i="13"/>
  <c r="V8" i="20"/>
  <c r="V6" i="20"/>
  <c r="V12" i="20"/>
  <c r="D12" i="20" s="1"/>
  <c r="V10" i="20"/>
  <c r="D10" i="20" s="1"/>
  <c r="V26" i="20"/>
  <c r="D26" i="20" s="1"/>
  <c r="V23" i="20"/>
  <c r="D23" i="20" s="1"/>
  <c r="V27" i="20"/>
  <c r="D27" i="20" s="1"/>
  <c r="V15" i="20"/>
  <c r="D15" i="20" s="1"/>
  <c r="V19" i="20"/>
  <c r="D19" i="20" s="1"/>
  <c r="V25" i="20"/>
  <c r="D25" i="20" s="1"/>
  <c r="V7" i="20"/>
  <c r="V21" i="20"/>
  <c r="D21" i="20" s="1"/>
  <c r="V11" i="20"/>
  <c r="D11" i="20" s="1"/>
  <c r="V17" i="20"/>
  <c r="D17" i="20" s="1"/>
  <c r="V18" i="20"/>
  <c r="D18" i="20" s="1"/>
  <c r="V13" i="20"/>
  <c r="D13" i="20" s="1"/>
  <c r="V9" i="20"/>
  <c r="D9" i="20" s="1"/>
  <c r="AY22" i="20"/>
  <c r="N23" i="20"/>
  <c r="N21" i="20"/>
  <c r="N19" i="20"/>
  <c r="N17" i="20"/>
  <c r="N15" i="20"/>
  <c r="N13" i="20"/>
  <c r="N11" i="20"/>
  <c r="N9" i="20"/>
  <c r="N7" i="20"/>
  <c r="N6" i="13"/>
  <c r="N7" i="13"/>
  <c r="N9" i="13"/>
  <c r="N8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N8" i="20"/>
  <c r="N10" i="20"/>
  <c r="N12" i="20"/>
  <c r="N14" i="20"/>
  <c r="N16" i="20"/>
  <c r="N18" i="20"/>
  <c r="N20" i="20"/>
  <c r="N22" i="20"/>
  <c r="N24" i="20"/>
  <c r="N25" i="20"/>
  <c r="N26" i="20"/>
  <c r="N27" i="20"/>
  <c r="N28" i="20"/>
  <c r="N29" i="20"/>
  <c r="J9" i="13"/>
  <c r="J22" i="20"/>
  <c r="J20" i="20"/>
  <c r="J18" i="20"/>
  <c r="J16" i="20"/>
  <c r="J14" i="20"/>
  <c r="J12" i="20"/>
  <c r="J10" i="20"/>
  <c r="J8" i="20"/>
  <c r="J6" i="20"/>
  <c r="J7" i="20"/>
  <c r="J9" i="20"/>
  <c r="J11" i="20"/>
  <c r="J13" i="20"/>
  <c r="J15" i="20"/>
  <c r="J17" i="20"/>
  <c r="J19" i="20"/>
  <c r="J21" i="20"/>
  <c r="J23" i="20"/>
  <c r="J24" i="20"/>
  <c r="J25" i="20"/>
  <c r="J26" i="20"/>
  <c r="J27" i="20"/>
  <c r="J28" i="20"/>
  <c r="J29" i="20"/>
  <c r="J15" i="13"/>
  <c r="J7" i="13"/>
  <c r="J22" i="13"/>
  <c r="J6" i="13"/>
  <c r="J21" i="13"/>
  <c r="J12" i="13"/>
  <c r="J19" i="13"/>
  <c r="J18" i="13"/>
  <c r="J8" i="13"/>
  <c r="AI15" i="20"/>
  <c r="BE15" i="20" s="1"/>
  <c r="AI22" i="20"/>
  <c r="BE22" i="20" s="1"/>
  <c r="AI27" i="20"/>
  <c r="BE27" i="20" s="1"/>
  <c r="AI26" i="20"/>
  <c r="BE26" i="20" s="1"/>
  <c r="AI13" i="20"/>
  <c r="BE13" i="20" s="1"/>
  <c r="AI17" i="20"/>
  <c r="BE17" i="20" s="1"/>
  <c r="AI14" i="20"/>
  <c r="BE14" i="20" s="1"/>
  <c r="AI11" i="20"/>
  <c r="BE11" i="20" s="1"/>
  <c r="AI7" i="20"/>
  <c r="BE7" i="20" s="1"/>
  <c r="AI23" i="20"/>
  <c r="BE23" i="20" s="1"/>
  <c r="AG23" i="20"/>
  <c r="BD23" i="20" s="1"/>
  <c r="AG28" i="20"/>
  <c r="BD28" i="20" s="1"/>
  <c r="AG29" i="20"/>
  <c r="BD29" i="20" s="1"/>
  <c r="AG20" i="20"/>
  <c r="BD20" i="20" s="1"/>
  <c r="AG21" i="20"/>
  <c r="BD21" i="20" s="1"/>
  <c r="AG27" i="20"/>
  <c r="BD27" i="20" s="1"/>
  <c r="AG25" i="20"/>
  <c r="BD25" i="20" s="1"/>
  <c r="AG10" i="20"/>
  <c r="BD10" i="20" s="1"/>
  <c r="AG9" i="20"/>
  <c r="BD9" i="20" s="1"/>
  <c r="AG7" i="20"/>
  <c r="BD7" i="20" s="1"/>
  <c r="AG13" i="20"/>
  <c r="BD13" i="20" s="1"/>
  <c r="AG8" i="20"/>
  <c r="BD8" i="20" s="1"/>
  <c r="AG17" i="20"/>
  <c r="BD17" i="20" s="1"/>
  <c r="AG26" i="20"/>
  <c r="BD26" i="20" s="1"/>
  <c r="AG22" i="20"/>
  <c r="BD22" i="20" s="1"/>
  <c r="AG12" i="20"/>
  <c r="BD12" i="20" s="1"/>
  <c r="AG11" i="20"/>
  <c r="BD11" i="20" s="1"/>
  <c r="AG19" i="20"/>
  <c r="BD19" i="20" s="1"/>
  <c r="AG6" i="20"/>
  <c r="BD6" i="20" s="1"/>
  <c r="AG15" i="20"/>
  <c r="BD15" i="20" s="1"/>
  <c r="AG18" i="20"/>
  <c r="BD18" i="20" s="1"/>
  <c r="AG16" i="20"/>
  <c r="BD16" i="20" s="1"/>
  <c r="AG14" i="20"/>
  <c r="BD14" i="20" s="1"/>
  <c r="AA17" i="20"/>
  <c r="BB17" i="20" s="1"/>
  <c r="AA21" i="20"/>
  <c r="BB21" i="20" s="1"/>
  <c r="AA10" i="20"/>
  <c r="BB10" i="20" s="1"/>
  <c r="AA27" i="20"/>
  <c r="BB27" i="20" s="1"/>
  <c r="AA12" i="20"/>
  <c r="BB12" i="20" s="1"/>
  <c r="AA22" i="20"/>
  <c r="BB22" i="20" s="1"/>
  <c r="AA18" i="20"/>
  <c r="BB18" i="20" s="1"/>
  <c r="AA24" i="20"/>
  <c r="BB24" i="20" s="1"/>
  <c r="AA28" i="20"/>
  <c r="BB28" i="20" s="1"/>
  <c r="AA14" i="20"/>
  <c r="BB14" i="20" s="1"/>
  <c r="AA15" i="20"/>
  <c r="BB15" i="20" s="1"/>
  <c r="AA26" i="20"/>
  <c r="BB26" i="20" s="1"/>
  <c r="AA25" i="20"/>
  <c r="BB25" i="20" s="1"/>
  <c r="AA19" i="20"/>
  <c r="BB19" i="20" s="1"/>
  <c r="AA11" i="20"/>
  <c r="BB11" i="20" s="1"/>
  <c r="AA16" i="20"/>
  <c r="BB16" i="20" s="1"/>
  <c r="AA23" i="20"/>
  <c r="BB23" i="20" s="1"/>
  <c r="AA6" i="20"/>
  <c r="BB6" i="20" s="1"/>
  <c r="AA7" i="20"/>
  <c r="BB7" i="20" s="1"/>
  <c r="AA9" i="20"/>
  <c r="BB9" i="20" s="1"/>
  <c r="Y17" i="20"/>
  <c r="BA17" i="20" s="1"/>
  <c r="Y15" i="20"/>
  <c r="BA15" i="20" s="1"/>
  <c r="Y14" i="20"/>
  <c r="BA14" i="20" s="1"/>
  <c r="Y13" i="20"/>
  <c r="BA13" i="20" s="1"/>
  <c r="Y26" i="20"/>
  <c r="BA26" i="20" s="1"/>
  <c r="Y25" i="20"/>
  <c r="BA25" i="20" s="1"/>
  <c r="Y6" i="20"/>
  <c r="BA6" i="20" s="1"/>
  <c r="Y19" i="20"/>
  <c r="BA19" i="20" s="1"/>
  <c r="Y20" i="20"/>
  <c r="BA20" i="20" s="1"/>
  <c r="Y24" i="20"/>
  <c r="BA24" i="20" s="1"/>
  <c r="Y22" i="20"/>
  <c r="BA22" i="20" s="1"/>
  <c r="Y9" i="20"/>
  <c r="BA9" i="20" s="1"/>
  <c r="Y18" i="20"/>
  <c r="BA18" i="20" s="1"/>
  <c r="Y27" i="20"/>
  <c r="BA27" i="20" s="1"/>
  <c r="Y28" i="20"/>
  <c r="BA28" i="20" s="1"/>
  <c r="Y21" i="20"/>
  <c r="BA21" i="20" s="1"/>
  <c r="Y29" i="20"/>
  <c r="BA29" i="20" s="1"/>
  <c r="AY15" i="20"/>
  <c r="AY13" i="20"/>
  <c r="AY29" i="20"/>
  <c r="AY7" i="20"/>
  <c r="AY8" i="20"/>
  <c r="AY10" i="20"/>
  <c r="AY12" i="20"/>
  <c r="AY16" i="20"/>
  <c r="AY20" i="20"/>
  <c r="AY24" i="20"/>
  <c r="AY28" i="20"/>
  <c r="AY11" i="20"/>
  <c r="AY6" i="20"/>
  <c r="AY23" i="20"/>
  <c r="AY19" i="20"/>
  <c r="AY25" i="20"/>
  <c r="AY9" i="20"/>
  <c r="AY21" i="20"/>
  <c r="AY26" i="20"/>
  <c r="AY18" i="20"/>
  <c r="AY14" i="20"/>
  <c r="AY17" i="20"/>
  <c r="V23" i="13"/>
  <c r="V22" i="13"/>
  <c r="V21" i="13"/>
  <c r="V20" i="13"/>
  <c r="V19" i="13"/>
  <c r="V18" i="13"/>
  <c r="D18" i="13" s="1"/>
  <c r="V17" i="13"/>
  <c r="D17" i="13" s="1"/>
  <c r="V16" i="13"/>
  <c r="V15" i="13"/>
  <c r="V14" i="13"/>
  <c r="V13" i="13"/>
  <c r="V12" i="13"/>
  <c r="V11" i="13"/>
  <c r="V10" i="13"/>
  <c r="D10" i="13" s="1"/>
  <c r="V8" i="13"/>
  <c r="D8" i="13" s="1"/>
  <c r="V9" i="13"/>
  <c r="V7" i="13"/>
  <c r="M8" i="17"/>
  <c r="A8" i="17" s="1"/>
  <c r="M7" i="17"/>
  <c r="A7" i="17" s="1"/>
  <c r="M6" i="17"/>
  <c r="A6" i="17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8" i="13"/>
  <c r="L9" i="13"/>
  <c r="L7" i="13"/>
  <c r="L6" i="13"/>
  <c r="J23" i="13"/>
  <c r="J10" i="13"/>
  <c r="J16" i="13"/>
  <c r="J13" i="13"/>
  <c r="J14" i="13"/>
  <c r="J20" i="13"/>
  <c r="J17" i="13"/>
  <c r="J11" i="13"/>
  <c r="H6" i="13"/>
  <c r="F6" i="13"/>
  <c r="D9" i="13" l="1"/>
  <c r="D16" i="13"/>
  <c r="D6" i="13"/>
  <c r="D11" i="13"/>
  <c r="D19" i="13"/>
  <c r="D12" i="13"/>
  <c r="D20" i="13"/>
  <c r="D13" i="13"/>
  <c r="D21" i="13"/>
  <c r="D14" i="13"/>
  <c r="D22" i="13"/>
  <c r="D15" i="13"/>
  <c r="D23" i="13"/>
  <c r="D7" i="13"/>
  <c r="L28" i="20"/>
  <c r="L26" i="20"/>
  <c r="L24" i="20"/>
  <c r="L6" i="20"/>
  <c r="D6" i="20" s="1"/>
  <c r="L7" i="20"/>
  <c r="D7" i="20" s="1"/>
  <c r="L8" i="20"/>
  <c r="D8" i="20" s="1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5" i="20"/>
  <c r="L27" i="20"/>
  <c r="L29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<sst xmlns="http://schemas.openxmlformats.org/spreadsheetml/2006/main" count="915" uniqueCount="170">
  <si>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</si>
  <si>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</si>
  <si>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</si>
  <si>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</si>
  <si>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</si>
  <si>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</si>
  <si>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</si>
  <si>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</si>
  <si>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</si>
  <si>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</si>
  <si>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</si>
  <si>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</si>
  <si>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</si>
  <si>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</si>
  <si>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</si>
  <si>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</si>
  <si>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</si>
  <si>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</si>
  <si>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</si>
  <si>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GAWLE Katarzyna</t>
  </si>
  <si>
    <t>BUJKO Paulina</t>
  </si>
  <si>
    <t>MIKULICKA Joanna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</si>
  <si>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</si>
  <si>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</si>
  <si>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</si>
  <si>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</si>
  <si>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</si>
  <si>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</si>
  <si>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</si>
  <si>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</si>
  <si>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</si>
  <si>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</si>
  <si>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</si>
  <si>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</si>
  <si>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</si>
  <si>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</si>
  <si>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</si>
  <si>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</si>
  <si>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</si>
  <si>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</si>
  <si>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</si>
  <si>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</si>
  <si>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</si>
  <si>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</si>
  <si>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</si>
  <si>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</si>
  <si>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</si>
  <si>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</si>
  <si>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</si>
  <si>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</si>
  <si>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</si>
  <si>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</si>
  <si>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</si>
  <si>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18.06.2023</t>
  </si>
  <si>
    <t>SAJEWICZ Izabela (kat 0)</t>
  </si>
  <si>
    <t>GAWLE Katarzyna (kat 1)</t>
  </si>
  <si>
    <t>OPOLE</t>
  </si>
  <si>
    <t>23-24.10.2023</t>
  </si>
  <si>
    <t>GDAŃSK</t>
  </si>
  <si>
    <t>28.10.2023</t>
  </si>
  <si>
    <t>KRAKÓW</t>
  </si>
  <si>
    <t>18-19.11.2023</t>
  </si>
  <si>
    <t>SPAŁA</t>
  </si>
  <si>
    <t>28.01.2024</t>
  </si>
  <si>
    <t>Podium</t>
  </si>
  <si>
    <t>Współczynnik MPW</t>
  </si>
  <si>
    <t>WARSZAWA</t>
  </si>
  <si>
    <t>2-3.03.2024</t>
  </si>
  <si>
    <t>Punkty MPW</t>
  </si>
  <si>
    <t>MIEJSCE</t>
  </si>
  <si>
    <t>NAZWISKO</t>
  </si>
  <si>
    <t>RUNDA</t>
  </si>
  <si>
    <t>PKTY</t>
  </si>
  <si>
    <t>SAJEWICZ (0) Izabela</t>
  </si>
  <si>
    <t>HAJDAS (0) Martyna</t>
  </si>
  <si>
    <t>BUJKO (1) Paulina</t>
  </si>
  <si>
    <t>FUHRMANN (3) Ulrike</t>
  </si>
  <si>
    <t>SAMECKA -NACZYŃSKA (0) Martyna</t>
  </si>
  <si>
    <t>GAWLE (1) Katarzyna</t>
  </si>
  <si>
    <t>WASILCZUK (2) Beata</t>
  </si>
  <si>
    <t>MIKULICKA (1) Joanna</t>
  </si>
  <si>
    <t>MILCZAREK (2) Renata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</si>
  <si>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</si>
  <si>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</si>
  <si>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Kat.1</t>
  </si>
  <si>
    <t>I PEW</t>
  </si>
  <si>
    <t>II PEW</t>
  </si>
  <si>
    <t>VFC</t>
  </si>
  <si>
    <t>III PEW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</si>
  <si>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</si>
  <si>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</si>
  <si>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</si>
  <si>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</si>
  <si>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</si>
  <si>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</si>
  <si>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</si>
  <si>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</si>
  <si>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</si>
  <si>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</si>
  <si>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</si>
  <si>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</si>
  <si>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</si>
  <si>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POL</t>
  </si>
  <si>
    <t>Faches-Thumesnil</t>
  </si>
  <si>
    <t>21-22.01.2023</t>
  </si>
  <si>
    <t>Terni</t>
  </si>
  <si>
    <t>11-12.02.2023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</si>
  <si>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</si>
  <si>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</si>
  <si>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</si>
  <si>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</si>
  <si>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</si>
  <si>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</si>
  <si>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</si>
  <si>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</si>
  <si>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9-10.12.2023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</si>
  <si>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</si>
  <si>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</si>
  <si>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</si>
  <si>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</si>
  <si>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</si>
  <si>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</si>
  <si>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</si>
  <si>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</si>
  <si>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GIANECCHINI </t>
  </si>
  <si>
    <t xml:space="preserve"> MARTINA </t>
  </si>
  <si>
    <t xml:space="preserve">  ITA  </t>
  </si>
  <si>
    <t xml:space="preserve"> DI MARTINO </t>
  </si>
  <si>
    <t xml:space="preserve"> KATALIN </t>
  </si>
  <si>
    <t xml:space="preserve">  GER  </t>
  </si>
  <si>
    <t xml:space="preserve"> DE CICCO </t>
  </si>
  <si>
    <t xml:space="preserve"> VERONICA </t>
  </si>
  <si>
    <t xml:space="preserve"> DE MORAIS </t>
  </si>
  <si>
    <t xml:space="preserve"> JESSICA </t>
  </si>
  <si>
    <t xml:space="preserve">  FRA  </t>
  </si>
  <si>
    <t xml:space="preserve"> HAMBACH-RICHTER </t>
  </si>
  <si>
    <t xml:space="preserve"> RABEA </t>
  </si>
  <si>
    <t xml:space="preserve"> COLAIACOMO </t>
  </si>
  <si>
    <t xml:space="preserve"> DANIELA </t>
  </si>
  <si>
    <t xml:space="preserve"> FERRARI </t>
  </si>
  <si>
    <t xml:space="preserve"> ANNAICK </t>
  </si>
  <si>
    <t xml:space="preserve"> DONALDSON </t>
  </si>
  <si>
    <t xml:space="preserve"> NAOMI </t>
  </si>
  <si>
    <t xml:space="preserve">  GBR  </t>
  </si>
  <si>
    <t xml:space="preserve"> TRAPANESE </t>
  </si>
  <si>
    <t xml:space="preserve"> VALERIA </t>
  </si>
  <si>
    <t xml:space="preserve"> RISAK </t>
  </si>
  <si>
    <t xml:space="preserve"> PETRA </t>
  </si>
  <si>
    <t xml:space="preserve">  AUT  </t>
  </si>
  <si>
    <t xml:space="preserve"> CAVERON </t>
  </si>
  <si>
    <t xml:space="preserve"> CATHERINE </t>
  </si>
  <si>
    <t xml:space="preserve"> GRAHAM </t>
  </si>
  <si>
    <t xml:space="preserve"> ROSALIND </t>
  </si>
  <si>
    <t xml:space="preserve"> BARTH </t>
  </si>
  <si>
    <t xml:space="preserve"> SAPIN-DORNACHER </t>
  </si>
  <si>
    <t xml:space="preserve"> MARIA </t>
  </si>
  <si>
    <t xml:space="preserve">  SUI  </t>
  </si>
  <si>
    <t xml:space="preserve"> MAZZOLA </t>
  </si>
  <si>
    <t xml:space="preserve"> CHRISTINA </t>
  </si>
  <si>
    <t xml:space="preserve"> ENRIGHT </t>
  </si>
  <si>
    <t xml:space="preserve"> IRENE </t>
  </si>
  <si>
    <t xml:space="preserve">  FIN  </t>
  </si>
  <si>
    <t xml:space="preserve"> MITNACHT </t>
  </si>
  <si>
    <t xml:space="preserve"> MAREN </t>
  </si>
  <si>
    <t xml:space="preserve"> BRISSON </t>
  </si>
  <si>
    <t xml:space="preserve"> CLAIRE </t>
  </si>
  <si>
    <t xml:space="preserve"> BRAHIMI </t>
  </si>
  <si>
    <t xml:space="preserve"> ZOHRA </t>
  </si>
  <si>
    <t xml:space="preserve"> HODGSON </t>
  </si>
  <si>
    <t xml:space="preserve"> LUCY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</si>
</sst>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theme="2"/>
      <name val="Arial"/>
      <family val="2"/>
      <charset val="238"/>
    </font>
    <font>
      <b/>
      <sz val="9"/>
      <color theme="2" tint="-0.499984740745262"/>
      <name val="Arial"/>
      <family val="2"/>
      <charset val="238"/>
    </font>
    <font>
      <b/>
      <sz val="10"/>
      <name val="Times New Roman"/>
      <family val="1"/>
    </font>
    <font>
      <b/>
      <sz val="10"/>
      <color rgb="FFFF0000"/>
      <name val="Arial"/>
      <family val="2"/>
      <charset val="238"/>
    </font>
    <font>
      <sz val="10"/>
      <color theme="4"/>
      <name val="Arial"/>
      <family val="2"/>
      <charset val="238"/>
    </font>
    <font>
      <i/>
      <sz val="10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92">
    <xf numFmtId="0" fontId="0" fillId="0" borderId="0" xfId="0"/>
    <xf numFmtId="0" fontId="8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0" fontId="14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5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1" fontId="25" fillId="0" borderId="0" xfId="0" applyNumberFormat="1" applyFont="1" applyAlignment="1">
      <alignment horizontal="center" vertical="center"/>
    </xf>
    <xf numFmtId="2" fontId="26" fillId="7" borderId="14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0" fontId="11" fillId="13" borderId="9" xfId="3" applyFont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4" borderId="0" xfId="0" applyFont="1" applyFill="1"/>
    <xf numFmtId="0" fontId="3" fillId="0" borderId="0" xfId="4"/>
    <xf numFmtId="0" fontId="3" fillId="7" borderId="0" xfId="4" applyFill="1"/>
    <xf numFmtId="0" fontId="3" fillId="8" borderId="0" xfId="4" applyFill="1"/>
    <xf numFmtId="1" fontId="3" fillId="0" borderId="0" xfId="4" applyNumberFormat="1" applyAlignment="1">
      <alignment horizontal="center" vertical="center"/>
    </xf>
    <xf numFmtId="0" fontId="3" fillId="0" borderId="0" xfId="4" applyAlignment="1">
      <alignment horizontal="center" vertical="center"/>
    </xf>
    <xf numFmtId="164" fontId="3" fillId="8" borderId="0" xfId="4" applyNumberFormat="1" applyFill="1"/>
    <xf numFmtId="164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/>
    </xf>
    <xf numFmtId="164" fontId="21" fillId="8" borderId="0" xfId="4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" fontId="3" fillId="0" borderId="0" xfId="4" applyNumberFormat="1" applyAlignment="1">
      <alignment horizontal="center"/>
    </xf>
    <xf numFmtId="2" fontId="3" fillId="0" borderId="0" xfId="4" applyNumberFormat="1" applyAlignment="1">
      <alignment horizontal="center"/>
    </xf>
    <xf numFmtId="164" fontId="21" fillId="11" borderId="0" xfId="4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2" fontId="7" fillId="7" borderId="0" xfId="0" applyNumberFormat="1" applyFont="1" applyFill="1" applyAlignment="1">
      <alignment horizontal="center" vertical="center"/>
    </xf>
    <xf numFmtId="164" fontId="3" fillId="7" borderId="0" xfId="4" applyNumberFormat="1" applyFill="1"/>
    <xf numFmtId="164" fontId="10" fillId="7" borderId="0" xfId="4" applyNumberFormat="1" applyFont="1" applyFill="1"/>
    <xf numFmtId="0" fontId="10" fillId="8" borderId="0" xfId="4" applyFont="1" applyFill="1"/>
    <xf numFmtId="49" fontId="3" fillId="7" borderId="0" xfId="4" applyNumberFormat="1" applyFill="1"/>
    <xf numFmtId="1" fontId="3" fillId="7" borderId="0" xfId="4" applyNumberFormat="1" applyFill="1"/>
    <xf numFmtId="0" fontId="11" fillId="7" borderId="0" xfId="4" applyFont="1" applyFill="1"/>
    <xf numFmtId="0" fontId="3" fillId="7" borderId="0" xfId="4" applyFill="1" applyAlignment="1">
      <alignment horizontal="right"/>
    </xf>
    <xf numFmtId="0" fontId="22" fillId="7" borderId="0" xfId="4" applyFont="1" applyFill="1"/>
    <xf numFmtId="0" fontId="10" fillId="7" borderId="0" xfId="4" applyFont="1" applyFill="1"/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0" fontId="3" fillId="8" borderId="0" xfId="4" applyFill="1" applyAlignment="1">
      <alignment horizontal="center" vertical="center"/>
    </xf>
    <xf numFmtId="1" fontId="3" fillId="8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2" fontId="3" fillId="7" borderId="0" xfId="4" applyNumberForma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0" fontId="10" fillId="9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16" fillId="8" borderId="0" xfId="4" applyFont="1" applyFill="1" applyAlignment="1">
      <alignment horizontal="center" vertical="center"/>
    </xf>
    <xf numFmtId="0" fontId="16" fillId="8" borderId="0" xfId="4" applyFont="1" applyFill="1" applyAlignment="1">
      <alignment horizontal="right" vertical="center"/>
    </xf>
    <xf numFmtId="0" fontId="29" fillId="7" borderId="0" xfId="0" applyFont="1" applyFill="1" applyAlignment="1">
      <alignment vertical="center" wrapText="1"/>
    </xf>
    <xf numFmtId="1" fontId="3" fillId="7" borderId="0" xfId="4" applyNumberFormat="1" applyFill="1" applyAlignment="1">
      <alignment horizontal="center" vertical="center"/>
    </xf>
    <xf numFmtId="164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left" vertical="center"/>
    </xf>
    <xf numFmtId="0" fontId="11" fillId="8" borderId="0" xfId="4" applyFont="1" applyFill="1" applyAlignment="1">
      <alignment horizontal="left" vertical="center"/>
    </xf>
    <xf numFmtId="14" fontId="9" fillId="8" borderId="0" xfId="8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30" fillId="6" borderId="0" xfId="0" applyFont="1" applyFill="1" applyAlignment="1">
      <alignment vertical="center" wrapText="1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2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1" fillId="8" borderId="0" xfId="2" applyFont="1" applyFill="1"/>
    <xf numFmtId="0" fontId="9" fillId="8" borderId="0" xfId="8" applyFill="1"/>
    <xf numFmtId="0" fontId="31" fillId="8" borderId="0" xfId="2" applyFont="1" applyFill="1"/>
    <xf numFmtId="0" fontId="31" fillId="8" borderId="0" xfId="2" applyFont="1" applyFill="1" applyAlignment="1">
      <alignment horizontal="left"/>
    </xf>
    <xf numFmtId="0" fontId="31" fillId="8" borderId="0" xfId="2" applyFont="1" applyFill="1" applyAlignment="1">
      <alignment horizontal="center"/>
    </xf>
    <xf numFmtId="0" fontId="10" fillId="8" borderId="0" xfId="2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2" borderId="0" xfId="9" applyFill="1" applyBorder="1" applyAlignment="1"/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11" fillId="13" borderId="26" xfId="3" applyFont="1" applyBorder="1" applyAlignment="1">
      <alignment horizontal="center" vertical="center"/>
    </xf>
    <xf numFmtId="0" fontId="11" fillId="13" borderId="25" xfId="3" applyFont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9" fillId="12" borderId="0" xfId="8" applyFill="1" applyBorder="1" applyAlignment="1"/>
    <xf numFmtId="0" fontId="0" fillId="12" borderId="0" xfId="0" applyFill="1" applyAlignment="1">
      <alignment horizontal="left"/>
    </xf>
    <xf numFmtId="14" fontId="0" fillId="12" borderId="0" xfId="0" applyNumberFormat="1" applyFill="1" applyAlignment="1">
      <alignment horizontal="left"/>
    </xf>
  </cellXfs>
  <cellStyles count="10">
    <cellStyle name="20% — akcent 1" xfId="3" builtinId="30"/>
    <cellStyle name="Akcent 1" xfId="1" builtinId="29"/>
    <cellStyle name="Hiperłącze" xfId="8" builtinId="8"/>
    <cellStyle name="Hyperlink" xfId="9" xr:uid="{00000000-000B-0000-0000-000008000000}"/>
    <cellStyle name="Normal 2" xfId="2" xr:uid="{CC2D019B-9B7D-4F11-9E2B-9F42238FAD2B}"/>
    <cellStyle name="Normal 2 2" xfId="5" xr:uid="{62054B36-069F-429E-8A8A-AED06FC5B94E}"/>
    <cellStyle name="Normal 2 2 2" xfId="4" xr:uid="{666A6251-16F4-4CF8-B81C-4A0F4EC59466}"/>
    <cellStyle name="Normal 2 2 2 2" xfId="6" xr:uid="{74D11466-A2D6-4085-83BE-FA325C420460}"/>
    <cellStyle name="Normal 2 2 2 3" xfId="7" xr:uid="{27A9B809-89F4-4738-B25B-A6B2F35BA07E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C490EA7F038D4E98BCF3DA93602AF72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tournaments/eventSchedule/85A647ED7CA8457AAB73EFA286767B1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2E70A712A9A4ED5AEA1E05CDC71272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8295984090FC43EBB569149C70371D3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dv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sf_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F&amp;c=6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ECF8802B533B45C8B35DAF96022F305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sabre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AA39"/>
  <sheetViews>
    <sheetView tabSelected="1" workbookViewId="0">
      <selection activeCell="B17" sqref="B1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5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4.3" thickBot="1" x14ac:dyDescent="0.3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3.75" customHeight="1" thickTop="1" x14ac:dyDescent="0.25">
      <c r="A2" s="4"/>
      <c r="B2" s="5" t="s">
        <v>0</v>
      </c>
      <c r="C2" s="4"/>
      <c r="D2" s="72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X2" s="257" t="s">
        <v>2</v>
      </c>
      <c r="Y2" s="258"/>
      <c r="Z2" s="258"/>
      <c r="AA2" s="259"/>
    </row>
    <row r="3" spans="1:27" ht="13.6" x14ac:dyDescent="0.25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60"/>
      <c r="Y3" s="261"/>
      <c r="Z3" s="261"/>
      <c r="AA3" s="262"/>
    </row>
    <row r="4" spans="1:27" ht="24.8" customHeight="1" thickBot="1" x14ac:dyDescent="0.25">
      <c r="A4" s="252" t="s">
        <v>4</v>
      </c>
      <c r="B4" s="254" t="s">
        <v>5</v>
      </c>
      <c r="C4" s="254" t="s">
        <v>6</v>
      </c>
      <c r="D4" s="254" t="s">
        <v>7</v>
      </c>
      <c r="E4" s="250" t="s">
        <v>8</v>
      </c>
      <c r="F4" s="251"/>
      <c r="G4" s="250" t="s">
        <v>9</v>
      </c>
      <c r="H4" s="251"/>
      <c r="I4" s="250" t="s">
        <v>10</v>
      </c>
      <c r="J4" s="251"/>
      <c r="K4" s="250" t="s">
        <v>11</v>
      </c>
      <c r="L4" s="251"/>
      <c r="M4" s="250" t="s">
        <v>12</v>
      </c>
      <c r="N4" s="251"/>
      <c r="O4" s="250" t="s">
        <v>13</v>
      </c>
      <c r="P4" s="251"/>
      <c r="Q4" s="250" t="s">
        <v>14</v>
      </c>
      <c r="R4" s="251"/>
      <c r="S4" s="250" t="s">
        <v>15</v>
      </c>
      <c r="T4" s="251"/>
      <c r="U4" s="250" t="s">
        <v>16</v>
      </c>
      <c r="V4" s="251"/>
      <c r="X4" s="263"/>
      <c r="Y4" s="264"/>
      <c r="Z4" s="264"/>
      <c r="AA4" s="265"/>
    </row>
    <row r="5" spans="1:27" ht="18" customHeight="1" thickTop="1" x14ac:dyDescent="0.2">
      <c r="A5" s="253"/>
      <c r="B5" s="255"/>
      <c r="C5" s="255"/>
      <c r="D5" s="256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8" t="s">
        <v>18</v>
      </c>
      <c r="O5" s="3" t="s">
        <v>17</v>
      </c>
      <c r="P5" s="8" t="s">
        <v>18</v>
      </c>
      <c r="Q5" s="3" t="s">
        <v>17</v>
      </c>
      <c r="R5" s="8" t="s">
        <v>18</v>
      </c>
      <c r="S5" s="3" t="s">
        <v>17</v>
      </c>
      <c r="T5" s="8" t="s">
        <v>18</v>
      </c>
      <c r="U5" s="3" t="s">
        <v>17</v>
      </c>
      <c r="V5" s="8" t="s">
        <v>18</v>
      </c>
    </row>
    <row r="6" spans="1:27" ht="14.8" customHeight="1" x14ac:dyDescent="0.25">
      <c r="A6" s="9">
        <f t="shared" ref="A6:A23" si="0">ROW()-5</f>
        <v>1</v>
      </c>
      <c r="B6" s="10" t="s">
        <v>19</v>
      </c>
      <c r="C6" s="11"/>
      <c r="D6" s="78">
        <f>SUM(F6,H6,J6,L6,N6,P6,R6,T6,V6)-SUM(SMALL((F6,H6,J6,L6,N6,P6,R6,T6),1),SMALL((F6,H6,J6,L6,N6,P6,R6,T6),2))</f>
        <v>104.28552739621165</v>
      </c>
      <c r="E6" s="12" t="str">
        <f>_xlfn.XLOOKUP($B6,'GP1'!$C$6:$C$101,'GP1'!$B$6:$B$101,"")</f>
        <v/>
      </c>
      <c r="F6" s="77">
        <f>_xlfn.XLOOKUP(E6,'GP1'!$B$6:$B$55,'GP1'!$A$6:$A$55,0)</f>
        <v>0</v>
      </c>
      <c r="G6" s="12" t="str">
        <f>_xlfn.XLOOKUP($B6,'GP2'!$C$6:$C$101,'GP2'!$B$6:$B$101,"")</f>
        <v/>
      </c>
      <c r="H6" s="77">
        <f>_xlfn.XLOOKUP(G6,'GP2'!$B$6:$B$55,'GP2'!$A$6:$A$55,0)</f>
        <v>0</v>
      </c>
      <c r="I6" s="12">
        <f>_xlfn.XLOOKUP($B6,'GP3'!$C$6:$C$101,'GP3'!$B$6:$B$101,"")</f>
        <v>1</v>
      </c>
      <c r="J6" s="77">
        <f>_xlfn.XLOOKUP(I6,'GP3'!$B$6:$B$55,'GP3'!$A$6:$A$55,0)</f>
        <v>59</v>
      </c>
      <c r="K6" s="12" t="str">
        <f>_xlfn.XLOOKUP($B6,'GP4'!$C$6:$C$101,'GP4'!$B$6:$B$101,"")</f>
        <v/>
      </c>
      <c r="L6" s="77">
        <f>_xlfn.XLOOKUP(K6,'GP4'!$B$6:$B$55,'GP4'!$A$6:$A$55,0)</f>
        <v>0</v>
      </c>
      <c r="M6" s="12" t="str">
        <f>_xlfn.XLOOKUP($B6,'GP5'!$C$6:$C$101,'GP5'!$B$6:$B$101,"")</f>
        <v/>
      </c>
      <c r="N6" s="77">
        <f>_xlfn.XLOOKUP(M6,'GP5'!$B$6:$B$55,'GP5'!$A$6:$A$55,0)</f>
        <v>0</v>
      </c>
      <c r="O6" s="12" t="str">
        <f>_xlfn.XLOOKUP($B6,'GP6'!$C$6:$C$101,'GP6'!$B$6:$B$101,"")</f>
        <v/>
      </c>
      <c r="P6" s="77">
        <f>_xlfn.XLOOKUP(O6,'GP6'!$B$6:$B$55,'GP6'!$A$6:$A$55,0)</f>
        <v>0</v>
      </c>
      <c r="Q6" s="12" t="str">
        <f>_xlfn.XLOOKUP($B6,'GP7'!$C$6:$C$101,'GP7'!$B$6:$B$101,"")</f>
        <v/>
      </c>
      <c r="R6" s="77">
        <f>_xlfn.XLOOKUP(Q6,'GP7'!$B$6:$B$55,'GP7'!$A$6:$A$55,0)</f>
        <v>0</v>
      </c>
      <c r="S6" s="12" t="str">
        <f>_xlfn.XLOOKUP($B6,'GP8'!$C$6:$C$101,'GP8'!$B$6:$B$101,"")</f>
        <v/>
      </c>
      <c r="T6" s="77">
        <f>_xlfn.XLOOKUP(S6,'GP8'!$B$6:$B$55,'GP8'!$A$6:$A$55,0)</f>
        <v>0</v>
      </c>
      <c r="U6" s="12">
        <f>_xlfn.XLOOKUP(B6,MPW!C$6:C$101,MPW!B$6:B$101,"")</f>
        <v>2</v>
      </c>
      <c r="V6" s="76">
        <f>_xlfn.XLOOKUP(U6,MPW!$B$6:$B$55,MPW!$A$6:$A$55,0)</f>
        <v>45.285527396211648</v>
      </c>
    </row>
    <row r="7" spans="1:27" ht="14.8" customHeight="1" x14ac:dyDescent="0.25">
      <c r="A7" s="9">
        <f t="shared" si="0"/>
        <v>2</v>
      </c>
      <c r="B7" s="13" t="s">
        <v>20</v>
      </c>
      <c r="C7" s="14"/>
      <c r="D7" s="78">
        <f>SUM(F7,H7,J7,L7,N7,P7,R7,T7,V7)-SUM(SMALL((F7,H7,J7,L7,N7,P7,R7,T7),1),SMALL((F7,H7,J7,L7,N7,P7,R7,T7),2))</f>
        <v>71</v>
      </c>
      <c r="E7" s="12" t="str">
        <f>_xlfn.XLOOKUP($B7,'GP1'!$C$6:$C$101,'GP1'!$B$6:$B$101,"")</f>
        <v/>
      </c>
      <c r="F7" s="77">
        <f>_xlfn.XLOOKUP(E7,'GP1'!$B$6:$B$55,'GP1'!$A$6:$A$55,0)</f>
        <v>0</v>
      </c>
      <c r="G7" s="12" t="str">
        <f>_xlfn.XLOOKUP($B7,'GP2'!$C$6:$C$101,'GP2'!$B$6:$B$101,"")</f>
        <v/>
      </c>
      <c r="H7" s="77">
        <f>_xlfn.XLOOKUP(G7,'GP2'!$B$6:$B$55,'GP2'!$A$6:$A$55,0)</f>
        <v>0</v>
      </c>
      <c r="I7" s="12" t="str">
        <f>_xlfn.XLOOKUP($B7,'GP3'!$C$6:$C$101,'GP3'!$B$6:$B$101,"")</f>
        <v/>
      </c>
      <c r="J7" s="77">
        <f>_xlfn.XLOOKUP(I7,'GP3'!$B$6:$B$55,'GP3'!$A$6:$A$55,0)</f>
        <v>0</v>
      </c>
      <c r="K7" s="12" t="str">
        <f>_xlfn.XLOOKUP($B7,'GP4'!$C$6:$C$101,'GP4'!$B$6:$B$101,"")</f>
        <v/>
      </c>
      <c r="L7" s="77">
        <f>_xlfn.XLOOKUP(K7,'GP4'!$B$6:$B$55,'GP4'!$A$6:$A$55,0)</f>
        <v>0</v>
      </c>
      <c r="M7" s="12" t="str">
        <f>_xlfn.XLOOKUP($B7,'GP5'!$C$6:$C$101,'GP5'!$B$6:$B$101,"")</f>
        <v/>
      </c>
      <c r="N7" s="77">
        <f>_xlfn.XLOOKUP(M7,'GP5'!$B$6:$B$55,'GP5'!$A$6:$A$55,0)</f>
        <v>0</v>
      </c>
      <c r="O7" s="12" t="str">
        <f>_xlfn.XLOOKUP($B7,'GP6'!$C$6:$C$101,'GP6'!$B$6:$B$101,"")</f>
        <v/>
      </c>
      <c r="P7" s="77">
        <f>_xlfn.XLOOKUP(O7,'GP6'!$B$6:$B$55,'GP6'!$A$6:$A$55,0)</f>
        <v>0</v>
      </c>
      <c r="Q7" s="12" t="str">
        <f>_xlfn.XLOOKUP($B7,'GP7'!$C$6:$C$101,'GP7'!$B$6:$B$101,"")</f>
        <v/>
      </c>
      <c r="R7" s="77">
        <f>_xlfn.XLOOKUP(Q7,'GP7'!$B$6:$B$55,'GP7'!$A$6:$A$55,0)</f>
        <v>0</v>
      </c>
      <c r="S7" s="12" t="str">
        <f>_xlfn.XLOOKUP($B7,'GP8'!$C$6:$C$101,'GP8'!$B$6:$B$101,"")</f>
        <v/>
      </c>
      <c r="T7" s="77">
        <f>_xlfn.XLOOKUP(S7,'GP8'!$B$6:$B$55,'GP8'!$A$6:$A$55,0)</f>
        <v>0</v>
      </c>
      <c r="U7" s="12">
        <f>_xlfn.XLOOKUP(B7,MPW!C$6:C$101,MPW!B$6:B$101,"")</f>
        <v>1</v>
      </c>
      <c r="V7" s="76">
        <f>_xlfn.XLOOKUP(U7,MPW!$B$6:$B$55,MPW!$A$6:$A$55,0)</f>
        <v>71</v>
      </c>
    </row>
    <row r="8" spans="1:27" ht="15.8" customHeight="1" x14ac:dyDescent="0.25">
      <c r="A8" s="9">
        <f t="shared" si="0"/>
        <v>3</v>
      </c>
      <c r="B8" s="13" t="s">
        <v>21</v>
      </c>
      <c r="C8" s="14"/>
      <c r="D8" s="78">
        <f>SUM(F8,H8,J8,L8,N8,P8,R8,T8,V8)-SUM(SMALL((F8,H8,J8,L8,N8,P8,R8,T8),1),SMALL((F8,H8,J8,L8,N8,P8,R8,T8),2))</f>
        <v>18.392098453106669</v>
      </c>
      <c r="E8" s="12" t="str">
        <f>_xlfn.XLOOKUP($B8,'GP1'!$C$6:$C$101,'GP1'!$B$6:$B$101,"")</f>
        <v/>
      </c>
      <c r="F8" s="77">
        <f>_xlfn.XLOOKUP(E8,'GP1'!$B$6:$B$55,'GP1'!$A$6:$A$55,0)</f>
        <v>0</v>
      </c>
      <c r="G8" s="12" t="str">
        <f>_xlfn.XLOOKUP($B8,'GP2'!$C$6:$C$101,'GP2'!$B$6:$B$101,"")</f>
        <v/>
      </c>
      <c r="H8" s="77">
        <f>_xlfn.XLOOKUP(G8,'GP2'!$B$6:$B$55,'GP2'!$A$6:$A$55,0)</f>
        <v>0</v>
      </c>
      <c r="I8" s="12" t="str">
        <f>_xlfn.XLOOKUP($B8,'GP3'!$C$6:$C$101,'GP3'!$B$6:$B$101,"")</f>
        <v/>
      </c>
      <c r="J8" s="77">
        <f>_xlfn.XLOOKUP(I8,'GP3'!$B$6:$B$55,'GP3'!$A$6:$A$55,0)</f>
        <v>0</v>
      </c>
      <c r="K8" s="12" t="str">
        <f>_xlfn.XLOOKUP($B8,'GP4'!$C$6:$C$101,'GP4'!$B$6:$B$101,"")</f>
        <v/>
      </c>
      <c r="L8" s="77">
        <f>_xlfn.XLOOKUP(K8,'GP4'!$B$6:$B$55,'GP4'!$A$6:$A$55,0)</f>
        <v>0</v>
      </c>
      <c r="M8" s="12" t="str">
        <f>_xlfn.XLOOKUP($B8,'GP5'!$C$6:$C$101,'GP5'!$B$6:$B$101,"")</f>
        <v/>
      </c>
      <c r="N8" s="77">
        <f>_xlfn.XLOOKUP(M8,'GP5'!$B$6:$B$55,'GP5'!$A$6:$A$55,0)</f>
        <v>0</v>
      </c>
      <c r="O8" s="12" t="str">
        <f>_xlfn.XLOOKUP($B8,'GP6'!$C$6:$C$101,'GP6'!$B$6:$B$101,"")</f>
        <v/>
      </c>
      <c r="P8" s="77">
        <f>_xlfn.XLOOKUP(O8,'GP6'!$B$6:$B$55,'GP6'!$A$6:$A$55,0)</f>
        <v>0</v>
      </c>
      <c r="Q8" s="12" t="str">
        <f>_xlfn.XLOOKUP($B8,'GP7'!$C$6:$C$101,'GP7'!$B$6:$B$101,"")</f>
        <v/>
      </c>
      <c r="R8" s="77">
        <f>_xlfn.XLOOKUP(Q8,'GP7'!$B$6:$B$55,'GP7'!$A$6:$A$55,0)</f>
        <v>0</v>
      </c>
      <c r="S8" s="12" t="str">
        <f>_xlfn.XLOOKUP($B8,'GP8'!$C$6:$C$101,'GP8'!$B$6:$B$101,"")</f>
        <v/>
      </c>
      <c r="T8" s="77">
        <f>_xlfn.XLOOKUP(S8,'GP8'!$B$6:$B$55,'GP8'!$A$6:$A$55,0)</f>
        <v>0</v>
      </c>
      <c r="U8" s="12">
        <f>_xlfn.XLOOKUP(B8,MPW!C$6:C$101,MPW!B$6:B$101,"")</f>
        <v>3</v>
      </c>
      <c r="V8" s="76">
        <f>_xlfn.XLOOKUP(U8,MPW!$B$6:$B$55,MPW!$A$6:$A$55,0)</f>
        <v>18.392098453106669</v>
      </c>
    </row>
    <row r="9" spans="1:27" ht="14.8" customHeight="1" x14ac:dyDescent="0.25">
      <c r="A9" s="9">
        <f t="shared" si="0"/>
        <v>4</v>
      </c>
      <c r="B9" s="13"/>
      <c r="C9" s="14"/>
      <c r="D9" s="78">
        <f>SUM(F9,H9,J9,L9,N9,P9,R9,T9,V9)-SUM(SMALL((F9,H9,J9,L9,N9,P9,R9,T9),1),SMALL((F9,H9,J9,L9,N9,P9,R9,T9),2))</f>
        <v>0</v>
      </c>
      <c r="E9" s="12">
        <f>_xlfn.XLOOKUP($B9,'GP1'!$C$6:$C$101,'GP1'!$B$6:$B$101,"")</f>
        <v>0</v>
      </c>
      <c r="F9" s="77">
        <f>_xlfn.XLOOKUP(E9,'GP1'!$B$6:$B$55,'GP1'!$A$6:$A$55,0)</f>
        <v>0</v>
      </c>
      <c r="G9" s="12">
        <f>_xlfn.XLOOKUP($B9,'GP2'!$C$6:$C$101,'GP2'!$B$6:$B$101,"")</f>
        <v>0</v>
      </c>
      <c r="H9" s="77">
        <f>_xlfn.XLOOKUP(G9,'GP2'!$B$6:$B$55,'GP2'!$A$6:$A$55,0)</f>
        <v>0</v>
      </c>
      <c r="I9" s="12" t="str">
        <f>_xlfn.XLOOKUP($B9,'GP3'!$C$6:$C$101,'GP3'!$B$6:$B$101,"")</f>
        <v/>
      </c>
      <c r="J9" s="77">
        <f>_xlfn.XLOOKUP(I9,'GP3'!$B$6:$B$55,'GP3'!$A$6:$A$55,0)</f>
        <v>0</v>
      </c>
      <c r="K9" s="12" t="str">
        <f>_xlfn.XLOOKUP($B9,'GP4'!$C$6:$C$101,'GP4'!$B$6:$B$101,"")</f>
        <v/>
      </c>
      <c r="L9" s="77">
        <f>_xlfn.XLOOKUP(K9,'GP4'!$B$6:$B$55,'GP4'!$A$6:$A$55,0)</f>
        <v>0</v>
      </c>
      <c r="M9" s="12" t="str">
        <f>_xlfn.XLOOKUP($B9,'GP5'!$C$6:$C$101,'GP5'!$B$6:$B$101,"")</f>
        <v/>
      </c>
      <c r="N9" s="77">
        <f>_xlfn.XLOOKUP(M9,'GP5'!$B$6:$B$55,'GP5'!$A$6:$A$55,0)</f>
        <v>0</v>
      </c>
      <c r="O9" s="12" t="str">
        <f>_xlfn.XLOOKUP($B9,'GP6'!$C$6:$C$101,'GP6'!$B$6:$B$101,"")</f>
        <v/>
      </c>
      <c r="P9" s="77">
        <f>_xlfn.XLOOKUP(O9,'GP6'!$B$6:$B$55,'GP6'!$A$6:$A$55,0)</f>
        <v>0</v>
      </c>
      <c r="Q9" s="12" t="str">
        <f>_xlfn.XLOOKUP($B9,'GP7'!$C$6:$C$101,'GP7'!$B$6:$B$101,"")</f>
        <v/>
      </c>
      <c r="R9" s="77">
        <f>_xlfn.XLOOKUP(Q9,'GP7'!$B$6:$B$55,'GP7'!$A$6:$A$55,0)</f>
        <v>0</v>
      </c>
      <c r="S9" s="12" t="str">
        <f>_xlfn.XLOOKUP($B9,'GP8'!$C$6:$C$101,'GP8'!$B$6:$B$101,"")</f>
        <v/>
      </c>
      <c r="T9" s="77">
        <f>_xlfn.XLOOKUP(S9,'GP8'!$B$6:$B$55,'GP8'!$A$6:$A$55,0)</f>
        <v>0</v>
      </c>
      <c r="U9" s="12" t="str">
        <f>_xlfn.XLOOKUP(B9,MPW!C$6:C$101,MPW!B$6:B$101,"")</f>
        <v/>
      </c>
      <c r="V9" s="76">
        <f>_xlfn.XLOOKUP(U9,MPW!$B$6:$B$55,MPW!$A$6:$A$55,0)</f>
        <v>0</v>
      </c>
    </row>
    <row r="10" spans="1:27" ht="14.8" customHeight="1" x14ac:dyDescent="0.25">
      <c r="A10" s="9">
        <f t="shared" si="0"/>
        <v>5</v>
      </c>
      <c r="B10" s="13"/>
      <c r="C10" s="14"/>
      <c r="D10" s="78">
        <f>SUM(F10,H10,J10,L10,N10,P10,R10,T10,V10)-SUM(SMALL((F10,H10,J10,L10,N10,P10,R10,T10),1),SMALL((F10,H10,J10,L10,N10,P10,R10,T10),2))</f>
        <v>0</v>
      </c>
      <c r="E10" s="12">
        <f>_xlfn.XLOOKUP($B10,'GP1'!$C$6:$C$101,'GP1'!$B$6:$B$101,"")</f>
        <v>0</v>
      </c>
      <c r="F10" s="77">
        <f>_xlfn.XLOOKUP(E10,'GP1'!$B$6:$B$55,'GP1'!$A$6:$A$55,0)</f>
        <v>0</v>
      </c>
      <c r="G10" s="12">
        <f>_xlfn.XLOOKUP($B10,'GP2'!$C$6:$C$101,'GP2'!$B$6:$B$101,"")</f>
        <v>0</v>
      </c>
      <c r="H10" s="77">
        <f>_xlfn.XLOOKUP(G10,'GP2'!$B$6:$B$55,'GP2'!$A$6:$A$55,0)</f>
        <v>0</v>
      </c>
      <c r="I10" s="12" t="str">
        <f>_xlfn.XLOOKUP($B10,'GP3'!$C$6:$C$101,'GP3'!$B$6:$B$101,"")</f>
        <v/>
      </c>
      <c r="J10" s="77">
        <f>_xlfn.XLOOKUP(I10,'GP3'!$B$6:$B$55,'GP3'!$A$6:$A$55,0)</f>
        <v>0</v>
      </c>
      <c r="K10" s="12" t="str">
        <f>_xlfn.XLOOKUP($B10,'GP4'!$C$6:$C$101,'GP4'!$B$6:$B$101,"")</f>
        <v/>
      </c>
      <c r="L10" s="77">
        <f>_xlfn.XLOOKUP(K10,'GP4'!$B$6:$B$55,'GP4'!$A$6:$A$55,0)</f>
        <v>0</v>
      </c>
      <c r="M10" s="12" t="str">
        <f>_xlfn.XLOOKUP($B10,'GP5'!$C$6:$C$101,'GP5'!$B$6:$B$101,"")</f>
        <v/>
      </c>
      <c r="N10" s="77">
        <f>_xlfn.XLOOKUP(M10,'GP5'!$B$6:$B$55,'GP5'!$A$6:$A$55,0)</f>
        <v>0</v>
      </c>
      <c r="O10" s="12" t="str">
        <f>_xlfn.XLOOKUP($B10,'GP6'!$C$6:$C$101,'GP6'!$B$6:$B$101,"")</f>
        <v/>
      </c>
      <c r="P10" s="77">
        <f>_xlfn.XLOOKUP(O10,'GP6'!$B$6:$B$55,'GP6'!$A$6:$A$55,0)</f>
        <v>0</v>
      </c>
      <c r="Q10" s="12" t="str">
        <f>_xlfn.XLOOKUP($B10,'GP7'!$C$6:$C$101,'GP7'!$B$6:$B$101,"")</f>
        <v/>
      </c>
      <c r="R10" s="77">
        <f>_xlfn.XLOOKUP(Q10,'GP7'!$B$6:$B$55,'GP7'!$A$6:$A$55,0)</f>
        <v>0</v>
      </c>
      <c r="S10" s="12" t="str">
        <f>_xlfn.XLOOKUP($B10,'GP8'!$C$6:$C$101,'GP8'!$B$6:$B$101,"")</f>
        <v/>
      </c>
      <c r="T10" s="77">
        <f>_xlfn.XLOOKUP(S10,'GP8'!$B$6:$B$55,'GP8'!$A$6:$A$55,0)</f>
        <v>0</v>
      </c>
      <c r="U10" s="12" t="str">
        <f>_xlfn.XLOOKUP(B10,MPW!C$6:C$101,MPW!B$6:B$101,"")</f>
        <v/>
      </c>
      <c r="V10" s="76">
        <f>_xlfn.XLOOKUP(U10,MPW!$B$6:$B$55,MPW!$A$6:$A$55,0)</f>
        <v>0</v>
      </c>
    </row>
    <row r="11" spans="1:27" ht="14.8" customHeight="1" x14ac:dyDescent="0.25">
      <c r="A11" s="9">
        <f t="shared" si="0"/>
        <v>6</v>
      </c>
      <c r="B11" s="13"/>
      <c r="C11" s="14"/>
      <c r="D11" s="78">
        <f>SUM(F11,H11,J11,L11,N11,P11,R11,T11,V11)-SUM(SMALL((F11,H11,J11,L11,N11,P11,R11,T11),1),SMALL((F11,H11,J11,L11,N11,P11,R11,T11),2))</f>
        <v>0</v>
      </c>
      <c r="E11" s="12">
        <f>_xlfn.XLOOKUP($B11,'GP1'!$C$6:$C$101,'GP1'!$B$6:$B$101,"")</f>
        <v>0</v>
      </c>
      <c r="F11" s="77">
        <f>_xlfn.XLOOKUP(E11,'GP1'!$B$6:$B$55,'GP1'!$A$6:$A$55,0)</f>
        <v>0</v>
      </c>
      <c r="G11" s="12">
        <f>_xlfn.XLOOKUP($B11,'GP2'!$C$6:$C$101,'GP2'!$B$6:$B$101,"")</f>
        <v>0</v>
      </c>
      <c r="H11" s="77">
        <f>_xlfn.XLOOKUP(G11,'GP2'!$B$6:$B$55,'GP2'!$A$6:$A$55,0)</f>
        <v>0</v>
      </c>
      <c r="I11" s="12" t="str">
        <f>_xlfn.XLOOKUP($B11,'GP3'!$C$6:$C$101,'GP3'!$B$6:$B$101,"")</f>
        <v/>
      </c>
      <c r="J11" s="77">
        <f>_xlfn.XLOOKUP(I11,'GP3'!$B$6:$B$55,'GP3'!$A$6:$A$55,0)</f>
        <v>0</v>
      </c>
      <c r="K11" s="12" t="str">
        <f>_xlfn.XLOOKUP($B11,'GP4'!$C$6:$C$101,'GP4'!$B$6:$B$101,"")</f>
        <v/>
      </c>
      <c r="L11" s="77">
        <f>_xlfn.XLOOKUP(K11,'GP4'!$B$6:$B$55,'GP4'!$A$6:$A$55,0)</f>
        <v>0</v>
      </c>
      <c r="M11" s="12" t="str">
        <f>_xlfn.XLOOKUP($B11,'GP5'!$C$6:$C$101,'GP5'!$B$6:$B$101,"")</f>
        <v/>
      </c>
      <c r="N11" s="77">
        <f>_xlfn.XLOOKUP(M11,'GP5'!$B$6:$B$55,'GP5'!$A$6:$A$55,0)</f>
        <v>0</v>
      </c>
      <c r="O11" s="12" t="str">
        <f>_xlfn.XLOOKUP($B11,'GP6'!$C$6:$C$101,'GP6'!$B$6:$B$101,"")</f>
        <v/>
      </c>
      <c r="P11" s="77">
        <f>_xlfn.XLOOKUP(O11,'GP6'!$B$6:$B$55,'GP6'!$A$6:$A$55,0)</f>
        <v>0</v>
      </c>
      <c r="Q11" s="12" t="str">
        <f>_xlfn.XLOOKUP($B11,'GP7'!$C$6:$C$101,'GP7'!$B$6:$B$101,"")</f>
        <v/>
      </c>
      <c r="R11" s="77">
        <f>_xlfn.XLOOKUP(Q11,'GP7'!$B$6:$B$55,'GP7'!$A$6:$A$55,0)</f>
        <v>0</v>
      </c>
      <c r="S11" s="12" t="str">
        <f>_xlfn.XLOOKUP($B11,'GP8'!$C$6:$C$101,'GP8'!$B$6:$B$101,"")</f>
        <v/>
      </c>
      <c r="T11" s="77">
        <f>_xlfn.XLOOKUP(S11,'GP8'!$B$6:$B$55,'GP8'!$A$6:$A$55,0)</f>
        <v>0</v>
      </c>
      <c r="U11" s="12" t="str">
        <f>_xlfn.XLOOKUP(B11,MPW!C$6:C$101,MPW!B$6:B$101,"")</f>
        <v/>
      </c>
      <c r="V11" s="76">
        <f>_xlfn.XLOOKUP(U11,MPW!$B$6:$B$55,MPW!$A$6:$A$55,0)</f>
        <v>0</v>
      </c>
    </row>
    <row r="12" spans="1:27" ht="14.8" customHeight="1" x14ac:dyDescent="0.25">
      <c r="A12" s="9">
        <f t="shared" si="0"/>
        <v>7</v>
      </c>
      <c r="B12" s="13"/>
      <c r="C12" s="14"/>
      <c r="D12" s="78">
        <f>SUM(F12,H12,J12,L12,N12,P12,R12,T12,V12)-SUM(SMALL((F12,H12,J12,L12,N12,P12,R12,T12),1),SMALL((F12,H12,J12,L12,N12,P12,R12,T12),2))</f>
        <v>0</v>
      </c>
      <c r="E12" s="12">
        <f>_xlfn.XLOOKUP($B12,'GP1'!$C$6:$C$101,'GP1'!$B$6:$B$101,"")</f>
        <v>0</v>
      </c>
      <c r="F12" s="77">
        <f>_xlfn.XLOOKUP(E12,'GP1'!$B$6:$B$55,'GP1'!$A$6:$A$55,0)</f>
        <v>0</v>
      </c>
      <c r="G12" s="12">
        <f>_xlfn.XLOOKUP($B12,'GP2'!$C$6:$C$101,'GP2'!$B$6:$B$101,"")</f>
        <v>0</v>
      </c>
      <c r="H12" s="77">
        <f>_xlfn.XLOOKUP(G12,'GP2'!$B$6:$B$55,'GP2'!$A$6:$A$55,0)</f>
        <v>0</v>
      </c>
      <c r="I12" s="12" t="str">
        <f>_xlfn.XLOOKUP($B12,'GP3'!$C$6:$C$101,'GP3'!$B$6:$B$101,"")</f>
        <v/>
      </c>
      <c r="J12" s="77">
        <f>_xlfn.XLOOKUP(I12,'GP3'!$B$6:$B$55,'GP3'!$A$6:$A$55,0)</f>
        <v>0</v>
      </c>
      <c r="K12" s="12" t="str">
        <f>_xlfn.XLOOKUP($B12,'GP4'!$C$6:$C$101,'GP4'!$B$6:$B$101,"")</f>
        <v/>
      </c>
      <c r="L12" s="77">
        <f>_xlfn.XLOOKUP(K12,'GP4'!$B$6:$B$55,'GP4'!$A$6:$A$55,0)</f>
        <v>0</v>
      </c>
      <c r="M12" s="12" t="str">
        <f>_xlfn.XLOOKUP($B12,'GP5'!$C$6:$C$101,'GP5'!$B$6:$B$101,"")</f>
        <v/>
      </c>
      <c r="N12" s="77">
        <f>_xlfn.XLOOKUP(M12,'GP5'!$B$6:$B$55,'GP5'!$A$6:$A$55,0)</f>
        <v>0</v>
      </c>
      <c r="O12" s="12" t="str">
        <f>_xlfn.XLOOKUP($B12,'GP6'!$C$6:$C$101,'GP6'!$B$6:$B$101,"")</f>
        <v/>
      </c>
      <c r="P12" s="77">
        <f>_xlfn.XLOOKUP(O12,'GP6'!$B$6:$B$55,'GP6'!$A$6:$A$55,0)</f>
        <v>0</v>
      </c>
      <c r="Q12" s="12" t="str">
        <f>_xlfn.XLOOKUP($B12,'GP7'!$C$6:$C$101,'GP7'!$B$6:$B$101,"")</f>
        <v/>
      </c>
      <c r="R12" s="77">
        <f>_xlfn.XLOOKUP(Q12,'GP7'!$B$6:$B$55,'GP7'!$A$6:$A$55,0)</f>
        <v>0</v>
      </c>
      <c r="S12" s="12" t="str">
        <f>_xlfn.XLOOKUP($B12,'GP8'!$C$6:$C$101,'GP8'!$B$6:$B$101,"")</f>
        <v/>
      </c>
      <c r="T12" s="77">
        <f>_xlfn.XLOOKUP(S12,'GP8'!$B$6:$B$55,'GP8'!$A$6:$A$55,0)</f>
        <v>0</v>
      </c>
      <c r="U12" s="12" t="str">
        <f>_xlfn.XLOOKUP(B12,MPW!C$6:C$101,MPW!B$6:B$101,"")</f>
        <v/>
      </c>
      <c r="V12" s="76">
        <f>_xlfn.XLOOKUP(U12,MPW!$B$6:$B$55,MPW!$A$6:$A$55,0)</f>
        <v>0</v>
      </c>
    </row>
    <row r="13" spans="1:27" ht="14.8" customHeight="1" x14ac:dyDescent="0.25">
      <c r="A13" s="9">
        <f t="shared" si="0"/>
        <v>8</v>
      </c>
      <c r="B13" s="13"/>
      <c r="C13" s="14"/>
      <c r="D13" s="78">
        <f>SUM(F13,H13,J13,L13,N13,P13,R13,T13,V13)-SUM(SMALL((F13,H13,J13,L13,N13,P13,R13,T13),1),SMALL((F13,H13,J13,L13,N13,P13,R13,T13),2))</f>
        <v>0</v>
      </c>
      <c r="E13" s="12">
        <f>_xlfn.XLOOKUP($B13,'GP1'!$C$6:$C$101,'GP1'!$B$6:$B$101,"")</f>
        <v>0</v>
      </c>
      <c r="F13" s="77">
        <f>_xlfn.XLOOKUP(E13,'GP1'!$B$6:$B$55,'GP1'!$A$6:$A$55,0)</f>
        <v>0</v>
      </c>
      <c r="G13" s="12">
        <f>_xlfn.XLOOKUP($B13,'GP2'!$C$6:$C$101,'GP2'!$B$6:$B$101,"")</f>
        <v>0</v>
      </c>
      <c r="H13" s="77">
        <f>_xlfn.XLOOKUP(G13,'GP2'!$B$6:$B$55,'GP2'!$A$6:$A$55,0)</f>
        <v>0</v>
      </c>
      <c r="I13" s="12" t="str">
        <f>_xlfn.XLOOKUP($B13,'GP3'!$C$6:$C$101,'GP3'!$B$6:$B$101,"")</f>
        <v/>
      </c>
      <c r="J13" s="77">
        <f>_xlfn.XLOOKUP(I13,'GP3'!$B$6:$B$55,'GP3'!$A$6:$A$55,0)</f>
        <v>0</v>
      </c>
      <c r="K13" s="12" t="str">
        <f>_xlfn.XLOOKUP($B13,'GP4'!$C$6:$C$101,'GP4'!$B$6:$B$101,"")</f>
        <v/>
      </c>
      <c r="L13" s="77">
        <f>_xlfn.XLOOKUP(K13,'GP4'!$B$6:$B$55,'GP4'!$A$6:$A$55,0)</f>
        <v>0</v>
      </c>
      <c r="M13" s="12" t="str">
        <f>_xlfn.XLOOKUP($B13,'GP5'!$C$6:$C$101,'GP5'!$B$6:$B$101,"")</f>
        <v/>
      </c>
      <c r="N13" s="77">
        <f>_xlfn.XLOOKUP(M13,'GP5'!$B$6:$B$55,'GP5'!$A$6:$A$55,0)</f>
        <v>0</v>
      </c>
      <c r="O13" s="12" t="str">
        <f>_xlfn.XLOOKUP($B13,'GP6'!$C$6:$C$101,'GP6'!$B$6:$B$101,"")</f>
        <v/>
      </c>
      <c r="P13" s="77">
        <f>_xlfn.XLOOKUP(O13,'GP6'!$B$6:$B$55,'GP6'!$A$6:$A$55,0)</f>
        <v>0</v>
      </c>
      <c r="Q13" s="12" t="str">
        <f>_xlfn.XLOOKUP($B13,'GP7'!$C$6:$C$101,'GP7'!$B$6:$B$101,"")</f>
        <v/>
      </c>
      <c r="R13" s="77">
        <f>_xlfn.XLOOKUP(Q13,'GP7'!$B$6:$B$55,'GP7'!$A$6:$A$55,0)</f>
        <v>0</v>
      </c>
      <c r="S13" s="12" t="str">
        <f>_xlfn.XLOOKUP($B13,'GP8'!$C$6:$C$101,'GP8'!$B$6:$B$101,"")</f>
        <v/>
      </c>
      <c r="T13" s="77">
        <f>_xlfn.XLOOKUP(S13,'GP8'!$B$6:$B$55,'GP8'!$A$6:$A$55,0)</f>
        <v>0</v>
      </c>
      <c r="U13" s="12" t="str">
        <f>_xlfn.XLOOKUP(B13,MPW!C$6:C$101,MPW!B$6:B$101,"")</f>
        <v/>
      </c>
      <c r="V13" s="76">
        <f>_xlfn.XLOOKUP(U13,MPW!$B$6:$B$55,MPW!$A$6:$A$55,0)</f>
        <v>0</v>
      </c>
    </row>
    <row r="14" spans="1:27" ht="14.8" customHeight="1" x14ac:dyDescent="0.25">
      <c r="A14" s="9">
        <f t="shared" si="0"/>
        <v>9</v>
      </c>
      <c r="B14" s="13"/>
      <c r="C14" s="14"/>
      <c r="D14" s="78">
        <f>SUM(F14,H14,J14,L14,N14,P14,R14,T14,V14)-SUM(SMALL((F14,H14,J14,L14,N14,P14,R14,T14),1),SMALL((F14,H14,J14,L14,N14,P14,R14,T14),2))</f>
        <v>0</v>
      </c>
      <c r="E14" s="12">
        <f>_xlfn.XLOOKUP($B14,'GP1'!$C$6:$C$101,'GP1'!$B$6:$B$101,"")</f>
        <v>0</v>
      </c>
      <c r="F14" s="77">
        <f>_xlfn.XLOOKUP(E14,'GP1'!$B$6:$B$55,'GP1'!$A$6:$A$55,0)</f>
        <v>0</v>
      </c>
      <c r="G14" s="12">
        <f>_xlfn.XLOOKUP($B14,'GP2'!$C$6:$C$101,'GP2'!$B$6:$B$101,"")</f>
        <v>0</v>
      </c>
      <c r="H14" s="77">
        <f>_xlfn.XLOOKUP(G14,'GP2'!$B$6:$B$55,'GP2'!$A$6:$A$55,0)</f>
        <v>0</v>
      </c>
      <c r="I14" s="12" t="str">
        <f>_xlfn.XLOOKUP($B14,'GP3'!$C$6:$C$101,'GP3'!$B$6:$B$101,"")</f>
        <v/>
      </c>
      <c r="J14" s="77">
        <f>_xlfn.XLOOKUP(I14,'GP3'!$B$6:$B$55,'GP3'!$A$6:$A$55,0)</f>
        <v>0</v>
      </c>
      <c r="K14" s="12" t="str">
        <f>_xlfn.XLOOKUP($B14,'GP4'!$C$6:$C$101,'GP4'!$B$6:$B$101,"")</f>
        <v/>
      </c>
      <c r="L14" s="77">
        <f>_xlfn.XLOOKUP(K14,'GP4'!$B$6:$B$55,'GP4'!$A$6:$A$55,0)</f>
        <v>0</v>
      </c>
      <c r="M14" s="12" t="str">
        <f>_xlfn.XLOOKUP($B14,'GP5'!$C$6:$C$101,'GP5'!$B$6:$B$101,"")</f>
        <v/>
      </c>
      <c r="N14" s="77">
        <f>_xlfn.XLOOKUP(M14,'GP5'!$B$6:$B$55,'GP5'!$A$6:$A$55,0)</f>
        <v>0</v>
      </c>
      <c r="O14" s="12" t="str">
        <f>_xlfn.XLOOKUP($B14,'GP6'!$C$6:$C$101,'GP6'!$B$6:$B$101,"")</f>
        <v/>
      </c>
      <c r="P14" s="77">
        <f>_xlfn.XLOOKUP(O14,'GP6'!$B$6:$B$55,'GP6'!$A$6:$A$55,0)</f>
        <v>0</v>
      </c>
      <c r="Q14" s="12" t="str">
        <f>_xlfn.XLOOKUP($B14,'GP7'!$C$6:$C$101,'GP7'!$B$6:$B$101,"")</f>
        <v/>
      </c>
      <c r="R14" s="77">
        <f>_xlfn.XLOOKUP(Q14,'GP7'!$B$6:$B$55,'GP7'!$A$6:$A$55,0)</f>
        <v>0</v>
      </c>
      <c r="S14" s="12" t="str">
        <f>_xlfn.XLOOKUP($B14,'GP8'!$C$6:$C$101,'GP8'!$B$6:$B$101,"")</f>
        <v/>
      </c>
      <c r="T14" s="77">
        <f>_xlfn.XLOOKUP(S14,'GP8'!$B$6:$B$55,'GP8'!$A$6:$A$55,0)</f>
        <v>0</v>
      </c>
      <c r="U14" s="12" t="str">
        <f>_xlfn.XLOOKUP(B14,MPW!C$6:C$101,MPW!B$6:B$101,"")</f>
        <v/>
      </c>
      <c r="V14" s="76">
        <f>_xlfn.XLOOKUP(U14,MPW!$B$6:$B$55,MPW!$A$6:$A$55,0)</f>
        <v>0</v>
      </c>
    </row>
    <row r="15" spans="1:27" ht="14.8" customHeight="1" x14ac:dyDescent="0.25">
      <c r="A15" s="9">
        <f t="shared" si="0"/>
        <v>10</v>
      </c>
      <c r="B15" s="13"/>
      <c r="C15" s="14"/>
      <c r="D15" s="78">
        <f>SUM(F15,H15,J15,L15,N15,P15,R15,T15,V15)-SUM(SMALL((F15,H15,J15,L15,N15,P15,R15,T15),1),SMALL((F15,H15,J15,L15,N15,P15,R15,T15),2))</f>
        <v>0</v>
      </c>
      <c r="E15" s="12">
        <f>_xlfn.XLOOKUP($B15,'GP1'!$C$6:$C$101,'GP1'!$B$6:$B$101,"")</f>
        <v>0</v>
      </c>
      <c r="F15" s="77">
        <f>_xlfn.XLOOKUP(E15,'GP1'!$B$6:$B$55,'GP1'!$A$6:$A$55,0)</f>
        <v>0</v>
      </c>
      <c r="G15" s="12">
        <f>_xlfn.XLOOKUP($B15,'GP2'!$C$6:$C$101,'GP2'!$B$6:$B$101,"")</f>
        <v>0</v>
      </c>
      <c r="H15" s="77">
        <f>_xlfn.XLOOKUP(G15,'GP2'!$B$6:$B$55,'GP2'!$A$6:$A$55,0)</f>
        <v>0</v>
      </c>
      <c r="I15" s="12" t="str">
        <f>_xlfn.XLOOKUP($B15,'GP3'!$C$6:$C$101,'GP3'!$B$6:$B$101,"")</f>
        <v/>
      </c>
      <c r="J15" s="77">
        <f>_xlfn.XLOOKUP(I15,'GP3'!$B$6:$B$55,'GP3'!$A$6:$A$55,0)</f>
        <v>0</v>
      </c>
      <c r="K15" s="12" t="str">
        <f>_xlfn.XLOOKUP($B15,'GP4'!$C$6:$C$101,'GP4'!$B$6:$B$101,"")</f>
        <v/>
      </c>
      <c r="L15" s="77">
        <f>_xlfn.XLOOKUP(K15,'GP4'!$B$6:$B$55,'GP4'!$A$6:$A$55,0)</f>
        <v>0</v>
      </c>
      <c r="M15" s="12" t="str">
        <f>_xlfn.XLOOKUP($B15,'GP5'!$C$6:$C$101,'GP5'!$B$6:$B$101,"")</f>
        <v/>
      </c>
      <c r="N15" s="77">
        <f>_xlfn.XLOOKUP(M15,'GP5'!$B$6:$B$55,'GP5'!$A$6:$A$55,0)</f>
        <v>0</v>
      </c>
      <c r="O15" s="12" t="str">
        <f>_xlfn.XLOOKUP($B15,'GP6'!$C$6:$C$101,'GP6'!$B$6:$B$101,"")</f>
        <v/>
      </c>
      <c r="P15" s="77">
        <f>_xlfn.XLOOKUP(O15,'GP6'!$B$6:$B$55,'GP6'!$A$6:$A$55,0)</f>
        <v>0</v>
      </c>
      <c r="Q15" s="12" t="str">
        <f>_xlfn.XLOOKUP($B15,'GP7'!$C$6:$C$101,'GP7'!$B$6:$B$101,"")</f>
        <v/>
      </c>
      <c r="R15" s="77">
        <f>_xlfn.XLOOKUP(Q15,'GP7'!$B$6:$B$55,'GP7'!$A$6:$A$55,0)</f>
        <v>0</v>
      </c>
      <c r="S15" s="12" t="str">
        <f>_xlfn.XLOOKUP($B15,'GP8'!$C$6:$C$101,'GP8'!$B$6:$B$101,"")</f>
        <v/>
      </c>
      <c r="T15" s="77">
        <f>_xlfn.XLOOKUP(S15,'GP8'!$B$6:$B$55,'GP8'!$A$6:$A$55,0)</f>
        <v>0</v>
      </c>
      <c r="U15" s="12" t="str">
        <f>_xlfn.XLOOKUP(B15,MPW!C$6:C$101,MPW!B$6:B$101,"")</f>
        <v/>
      </c>
      <c r="V15" s="76">
        <f>_xlfn.XLOOKUP(U15,MPW!$B$6:$B$55,MPW!$A$6:$A$55,0)</f>
        <v>0</v>
      </c>
    </row>
    <row r="16" spans="1:27" ht="14.8" customHeight="1" x14ac:dyDescent="0.25">
      <c r="A16" s="9">
        <f t="shared" si="0"/>
        <v>11</v>
      </c>
      <c r="B16" s="13"/>
      <c r="C16" s="14"/>
      <c r="D16" s="78">
        <f>SUM(F16,H16,J16,L16,N16,P16,R16,T16,V16)-SUM(SMALL((F16,H16,J16,L16,N16,P16,R16,T16),1),SMALL((F16,H16,J16,L16,N16,P16,R16,T16),2))</f>
        <v>0</v>
      </c>
      <c r="E16" s="12">
        <f>_xlfn.XLOOKUP($B16,'GP1'!$C$6:$C$101,'GP1'!$B$6:$B$101,"")</f>
        <v>0</v>
      </c>
      <c r="F16" s="77">
        <f>_xlfn.XLOOKUP(E16,'GP1'!$B$6:$B$55,'GP1'!$A$6:$A$55,0)</f>
        <v>0</v>
      </c>
      <c r="G16" s="12">
        <f>_xlfn.XLOOKUP($B16,'GP2'!$C$6:$C$101,'GP2'!$B$6:$B$101,"")</f>
        <v>0</v>
      </c>
      <c r="H16" s="77">
        <f>_xlfn.XLOOKUP(G16,'GP2'!$B$6:$B$55,'GP2'!$A$6:$A$55,0)</f>
        <v>0</v>
      </c>
      <c r="I16" s="12" t="str">
        <f>_xlfn.XLOOKUP($B16,'GP3'!$C$6:$C$101,'GP3'!$B$6:$B$101,"")</f>
        <v/>
      </c>
      <c r="J16" s="77">
        <f>_xlfn.XLOOKUP(I16,'GP3'!$B$6:$B$55,'GP3'!$A$6:$A$55,0)</f>
        <v>0</v>
      </c>
      <c r="K16" s="12" t="str">
        <f>_xlfn.XLOOKUP($B16,'GP4'!$C$6:$C$101,'GP4'!$B$6:$B$101,"")</f>
        <v/>
      </c>
      <c r="L16" s="77">
        <f>_xlfn.XLOOKUP(K16,'GP4'!$B$6:$B$55,'GP4'!$A$6:$A$55,0)</f>
        <v>0</v>
      </c>
      <c r="M16" s="12" t="str">
        <f>_xlfn.XLOOKUP($B16,'GP5'!$C$6:$C$101,'GP5'!$B$6:$B$101,"")</f>
        <v/>
      </c>
      <c r="N16" s="77">
        <f>_xlfn.XLOOKUP(M16,'GP5'!$B$6:$B$55,'GP5'!$A$6:$A$55,0)</f>
        <v>0</v>
      </c>
      <c r="O16" s="12" t="str">
        <f>_xlfn.XLOOKUP($B16,'GP6'!$C$6:$C$101,'GP6'!$B$6:$B$101,"")</f>
        <v/>
      </c>
      <c r="P16" s="77">
        <f>_xlfn.XLOOKUP(O16,'GP6'!$B$6:$B$55,'GP6'!$A$6:$A$55,0)</f>
        <v>0</v>
      </c>
      <c r="Q16" s="12" t="str">
        <f>_xlfn.XLOOKUP($B16,'GP7'!$C$6:$C$101,'GP7'!$B$6:$B$101,"")</f>
        <v/>
      </c>
      <c r="R16" s="77">
        <f>_xlfn.XLOOKUP(Q16,'GP7'!$B$6:$B$55,'GP7'!$A$6:$A$55,0)</f>
        <v>0</v>
      </c>
      <c r="S16" s="12" t="str">
        <f>_xlfn.XLOOKUP($B16,'GP8'!$C$6:$C$101,'GP8'!$B$6:$B$101,"")</f>
        <v/>
      </c>
      <c r="T16" s="77">
        <f>_xlfn.XLOOKUP(S16,'GP8'!$B$6:$B$55,'GP8'!$A$6:$A$55,0)</f>
        <v>0</v>
      </c>
      <c r="U16" s="12" t="str">
        <f>_xlfn.XLOOKUP(B16,MPW!C$6:C$101,MPW!B$6:B$101,"")</f>
        <v/>
      </c>
      <c r="V16" s="76">
        <f>_xlfn.XLOOKUP(U16,MPW!$B$6:$B$55,MPW!$A$6:$A$55,0)</f>
        <v>0</v>
      </c>
    </row>
    <row r="17" spans="1:22" ht="14.8" customHeight="1" x14ac:dyDescent="0.25">
      <c r="A17" s="9">
        <f t="shared" si="0"/>
        <v>12</v>
      </c>
      <c r="B17" s="13"/>
      <c r="C17" s="14"/>
      <c r="D17" s="78">
        <f>SUM(F17,H17,J17,L17,N17,P17,R17,T17,V17)-SUM(SMALL((F17,H17,J17,L17,N17,P17,R17,T17),1),SMALL((F17,H17,J17,L17,N17,P17,R17,T17),2))</f>
        <v>0</v>
      </c>
      <c r="E17" s="12">
        <f>_xlfn.XLOOKUP($B17,'GP1'!$C$6:$C$101,'GP1'!$B$6:$B$101,"")</f>
        <v>0</v>
      </c>
      <c r="F17" s="77">
        <f>_xlfn.XLOOKUP(E17,'GP1'!$B$6:$B$55,'GP1'!$A$6:$A$55,0)</f>
        <v>0</v>
      </c>
      <c r="G17" s="12">
        <f>_xlfn.XLOOKUP($B17,'GP2'!$C$6:$C$101,'GP2'!$B$6:$B$101,"")</f>
        <v>0</v>
      </c>
      <c r="H17" s="77">
        <f>_xlfn.XLOOKUP(G17,'GP2'!$B$6:$B$55,'GP2'!$A$6:$A$55,0)</f>
        <v>0</v>
      </c>
      <c r="I17" s="12" t="str">
        <f>_xlfn.XLOOKUP($B17,'GP3'!$C$6:$C$101,'GP3'!$B$6:$B$101,"")</f>
        <v/>
      </c>
      <c r="J17" s="77">
        <f>_xlfn.XLOOKUP(I17,'GP3'!$B$6:$B$55,'GP3'!$A$6:$A$55,0)</f>
        <v>0</v>
      </c>
      <c r="K17" s="12" t="str">
        <f>_xlfn.XLOOKUP($B17,'GP4'!$C$6:$C$101,'GP4'!$B$6:$B$101,"")</f>
        <v/>
      </c>
      <c r="L17" s="77">
        <f>_xlfn.XLOOKUP(K17,'GP4'!$B$6:$B$55,'GP4'!$A$6:$A$55,0)</f>
        <v>0</v>
      </c>
      <c r="M17" s="12" t="str">
        <f>_xlfn.XLOOKUP($B17,'GP5'!$C$6:$C$101,'GP5'!$B$6:$B$101,"")</f>
        <v/>
      </c>
      <c r="N17" s="77">
        <f>_xlfn.XLOOKUP(M17,'GP5'!$B$6:$B$55,'GP5'!$A$6:$A$55,0)</f>
        <v>0</v>
      </c>
      <c r="O17" s="12" t="str">
        <f>_xlfn.XLOOKUP($B17,'GP6'!$C$6:$C$101,'GP6'!$B$6:$B$101,"")</f>
        <v/>
      </c>
      <c r="P17" s="77">
        <f>_xlfn.XLOOKUP(O17,'GP6'!$B$6:$B$55,'GP6'!$A$6:$A$55,0)</f>
        <v>0</v>
      </c>
      <c r="Q17" s="12" t="str">
        <f>_xlfn.XLOOKUP($B17,'GP7'!$C$6:$C$101,'GP7'!$B$6:$B$101,"")</f>
        <v/>
      </c>
      <c r="R17" s="77">
        <f>_xlfn.XLOOKUP(Q17,'GP7'!$B$6:$B$55,'GP7'!$A$6:$A$55,0)</f>
        <v>0</v>
      </c>
      <c r="S17" s="12" t="str">
        <f>_xlfn.XLOOKUP($B17,'GP8'!$C$6:$C$101,'GP8'!$B$6:$B$101,"")</f>
        <v/>
      </c>
      <c r="T17" s="77">
        <f>_xlfn.XLOOKUP(S17,'GP8'!$B$6:$B$55,'GP8'!$A$6:$A$55,0)</f>
        <v>0</v>
      </c>
      <c r="U17" s="12" t="str">
        <f>_xlfn.XLOOKUP(B17,MPW!C$6:C$101,MPW!B$6:B$101,"")</f>
        <v/>
      </c>
      <c r="V17" s="76">
        <f>_xlfn.XLOOKUP(U17,MPW!$B$6:$B$55,MPW!$A$6:$A$55,0)</f>
        <v>0</v>
      </c>
    </row>
    <row r="18" spans="1:22" ht="14.8" customHeight="1" x14ac:dyDescent="0.25">
      <c r="A18" s="9">
        <f t="shared" si="0"/>
        <v>13</v>
      </c>
      <c r="B18" s="13"/>
      <c r="C18" s="14"/>
      <c r="D18" s="78">
        <f>SUM(F18,H18,J18,L18,N18,P18,R18,T18,V18)-SUM(SMALL((F18,H18,J18,L18,N18,P18,R18,T18),1),SMALL((F18,H18,J18,L18,N18,P18,R18,T18),2))</f>
        <v>0</v>
      </c>
      <c r="E18" s="12">
        <f>_xlfn.XLOOKUP($B18,'GP1'!$C$6:$C$101,'GP1'!$B$6:$B$101,"")</f>
        <v>0</v>
      </c>
      <c r="F18" s="77">
        <f>_xlfn.XLOOKUP(E18,'GP1'!$B$6:$B$55,'GP1'!$A$6:$A$55,0)</f>
        <v>0</v>
      </c>
      <c r="G18" s="12">
        <f>_xlfn.XLOOKUP($B18,'GP2'!$C$6:$C$101,'GP2'!$B$6:$B$101,"")</f>
        <v>0</v>
      </c>
      <c r="H18" s="77">
        <f>_xlfn.XLOOKUP(G18,'GP2'!$B$6:$B$55,'GP2'!$A$6:$A$55,0)</f>
        <v>0</v>
      </c>
      <c r="I18" s="12" t="str">
        <f>_xlfn.XLOOKUP($B18,'GP3'!$C$6:$C$101,'GP3'!$B$6:$B$101,"")</f>
        <v/>
      </c>
      <c r="J18" s="77">
        <f>_xlfn.XLOOKUP(I18,'GP3'!$B$6:$B$55,'GP3'!$A$6:$A$55,0)</f>
        <v>0</v>
      </c>
      <c r="K18" s="12" t="str">
        <f>_xlfn.XLOOKUP($B18,'GP4'!$C$6:$C$101,'GP4'!$B$6:$B$101,"")</f>
        <v/>
      </c>
      <c r="L18" s="77">
        <f>_xlfn.XLOOKUP(K18,'GP4'!$B$6:$B$55,'GP4'!$A$6:$A$55,0)</f>
        <v>0</v>
      </c>
      <c r="M18" s="12" t="str">
        <f>_xlfn.XLOOKUP($B18,'GP5'!$C$6:$C$101,'GP5'!$B$6:$B$101,"")</f>
        <v/>
      </c>
      <c r="N18" s="77">
        <f>_xlfn.XLOOKUP(M18,'GP5'!$B$6:$B$55,'GP5'!$A$6:$A$55,0)</f>
        <v>0</v>
      </c>
      <c r="O18" s="12" t="str">
        <f>_xlfn.XLOOKUP($B18,'GP6'!$C$6:$C$101,'GP6'!$B$6:$B$101,"")</f>
        <v/>
      </c>
      <c r="P18" s="77">
        <f>_xlfn.XLOOKUP(O18,'GP6'!$B$6:$B$55,'GP6'!$A$6:$A$55,0)</f>
        <v>0</v>
      </c>
      <c r="Q18" s="12" t="str">
        <f>_xlfn.XLOOKUP($B18,'GP7'!$C$6:$C$101,'GP7'!$B$6:$B$101,"")</f>
        <v/>
      </c>
      <c r="R18" s="77">
        <f>_xlfn.XLOOKUP(Q18,'GP7'!$B$6:$B$55,'GP7'!$A$6:$A$55,0)</f>
        <v>0</v>
      </c>
      <c r="S18" s="12" t="str">
        <f>_xlfn.XLOOKUP($B18,'GP8'!$C$6:$C$101,'GP8'!$B$6:$B$101,"")</f>
        <v/>
      </c>
      <c r="T18" s="77">
        <f>_xlfn.XLOOKUP(S18,'GP8'!$B$6:$B$55,'GP8'!$A$6:$A$55,0)</f>
        <v>0</v>
      </c>
      <c r="U18" s="12" t="str">
        <f>_xlfn.XLOOKUP(B18,MPW!C$6:C$101,MPW!B$6:B$101,"")</f>
        <v/>
      </c>
      <c r="V18" s="76">
        <f>_xlfn.XLOOKUP(U18,MPW!$B$6:$B$55,MPW!$A$6:$A$55,0)</f>
        <v>0</v>
      </c>
    </row>
    <row r="19" spans="1:22" ht="14.8" customHeight="1" x14ac:dyDescent="0.25">
      <c r="A19" s="9">
        <f t="shared" si="0"/>
        <v>14</v>
      </c>
      <c r="B19" s="13"/>
      <c r="C19" s="14"/>
      <c r="D19" s="78">
        <f>SUM(F19,H19,J19,L19,N19,P19,R19,T19,V19)-SUM(SMALL((F19,H19,J19,L19,N19,P19,R19,T19),1),SMALL((F19,H19,J19,L19,N19,P19,R19,T19),2))</f>
        <v>0</v>
      </c>
      <c r="E19" s="12">
        <f>_xlfn.XLOOKUP($B19,'GP1'!$C$6:$C$101,'GP1'!$B$6:$B$101,"")</f>
        <v>0</v>
      </c>
      <c r="F19" s="77">
        <f>_xlfn.XLOOKUP(E19,'GP1'!$B$6:$B$55,'GP1'!$A$6:$A$55,0)</f>
        <v>0</v>
      </c>
      <c r="G19" s="12">
        <f>_xlfn.XLOOKUP($B19,'GP2'!$C$6:$C$101,'GP2'!$B$6:$B$101,"")</f>
        <v>0</v>
      </c>
      <c r="H19" s="77">
        <f>_xlfn.XLOOKUP(G19,'GP2'!$B$6:$B$55,'GP2'!$A$6:$A$55,0)</f>
        <v>0</v>
      </c>
      <c r="I19" s="12" t="str">
        <f>_xlfn.XLOOKUP($B19,'GP3'!$C$6:$C$101,'GP3'!$B$6:$B$101,"")</f>
        <v/>
      </c>
      <c r="J19" s="77">
        <f>_xlfn.XLOOKUP(I19,'GP3'!$B$6:$B$55,'GP3'!$A$6:$A$55,0)</f>
        <v>0</v>
      </c>
      <c r="K19" s="12" t="str">
        <f>_xlfn.XLOOKUP($B19,'GP4'!$C$6:$C$101,'GP4'!$B$6:$B$101,"")</f>
        <v/>
      </c>
      <c r="L19" s="77">
        <f>_xlfn.XLOOKUP(K19,'GP4'!$B$6:$B$55,'GP4'!$A$6:$A$55,0)</f>
        <v>0</v>
      </c>
      <c r="M19" s="12" t="str">
        <f>_xlfn.XLOOKUP($B19,'GP5'!$C$6:$C$101,'GP5'!$B$6:$B$101,"")</f>
        <v/>
      </c>
      <c r="N19" s="77">
        <f>_xlfn.XLOOKUP(M19,'GP5'!$B$6:$B$55,'GP5'!$A$6:$A$55,0)</f>
        <v>0</v>
      </c>
      <c r="O19" s="12" t="str">
        <f>_xlfn.XLOOKUP($B19,'GP6'!$C$6:$C$101,'GP6'!$B$6:$B$101,"")</f>
        <v/>
      </c>
      <c r="P19" s="77">
        <f>_xlfn.XLOOKUP(O19,'GP6'!$B$6:$B$55,'GP6'!$A$6:$A$55,0)</f>
        <v>0</v>
      </c>
      <c r="Q19" s="12" t="str">
        <f>_xlfn.XLOOKUP($B19,'GP7'!$C$6:$C$101,'GP7'!$B$6:$B$101,"")</f>
        <v/>
      </c>
      <c r="R19" s="77">
        <f>_xlfn.XLOOKUP(Q19,'GP7'!$B$6:$B$55,'GP7'!$A$6:$A$55,0)</f>
        <v>0</v>
      </c>
      <c r="S19" s="12" t="str">
        <f>_xlfn.XLOOKUP($B19,'GP8'!$C$6:$C$101,'GP8'!$B$6:$B$101,"")</f>
        <v/>
      </c>
      <c r="T19" s="77">
        <f>_xlfn.XLOOKUP(S19,'GP8'!$B$6:$B$55,'GP8'!$A$6:$A$55,0)</f>
        <v>0</v>
      </c>
      <c r="U19" s="12" t="str">
        <f>_xlfn.XLOOKUP(B19,MPW!C$6:C$101,MPW!B$6:B$101,"")</f>
        <v/>
      </c>
      <c r="V19" s="76">
        <f>_xlfn.XLOOKUP(U19,MPW!$B$6:$B$55,MPW!$A$6:$A$55,0)</f>
        <v>0</v>
      </c>
    </row>
    <row r="20" spans="1:22" ht="14.8" customHeight="1" x14ac:dyDescent="0.25">
      <c r="A20" s="9">
        <f t="shared" si="0"/>
        <v>15</v>
      </c>
      <c r="B20" s="13"/>
      <c r="C20" s="14"/>
      <c r="D20" s="78">
        <f>SUM(F20,H20,J20,L20,N20,P20,R20,T20,V20)-SUM(SMALL((F20,H20,J20,L20,N20,P20,R20,T20),1),SMALL((F20,H20,J20,L20,N20,P20,R20,T20),2))</f>
        <v>0</v>
      </c>
      <c r="E20" s="12">
        <f>_xlfn.XLOOKUP($B20,'GP1'!$C$6:$C$101,'GP1'!$B$6:$B$101,"")</f>
        <v>0</v>
      </c>
      <c r="F20" s="77">
        <f>_xlfn.XLOOKUP(E20,'GP1'!$B$6:$B$55,'GP1'!$A$6:$A$55,0)</f>
        <v>0</v>
      </c>
      <c r="G20" s="12">
        <f>_xlfn.XLOOKUP($B20,'GP2'!$C$6:$C$101,'GP2'!$B$6:$B$101,"")</f>
        <v>0</v>
      </c>
      <c r="H20" s="77">
        <f>_xlfn.XLOOKUP(G20,'GP2'!$B$6:$B$55,'GP2'!$A$6:$A$55,0)</f>
        <v>0</v>
      </c>
      <c r="I20" s="12" t="str">
        <f>_xlfn.XLOOKUP($B20,'GP3'!$C$6:$C$101,'GP3'!$B$6:$B$101,"")</f>
        <v/>
      </c>
      <c r="J20" s="77">
        <f>_xlfn.XLOOKUP(I20,'GP3'!$B$6:$B$55,'GP3'!$A$6:$A$55,0)</f>
        <v>0</v>
      </c>
      <c r="K20" s="12" t="str">
        <f>_xlfn.XLOOKUP($B20,'GP4'!$C$6:$C$101,'GP4'!$B$6:$B$101,"")</f>
        <v/>
      </c>
      <c r="L20" s="77">
        <f>_xlfn.XLOOKUP(K20,'GP4'!$B$6:$B$55,'GP4'!$A$6:$A$55,0)</f>
        <v>0</v>
      </c>
      <c r="M20" s="12" t="str">
        <f>_xlfn.XLOOKUP($B20,'GP5'!$C$6:$C$101,'GP5'!$B$6:$B$101,"")</f>
        <v/>
      </c>
      <c r="N20" s="77">
        <f>_xlfn.XLOOKUP(M20,'GP5'!$B$6:$B$55,'GP5'!$A$6:$A$55,0)</f>
        <v>0</v>
      </c>
      <c r="O20" s="12" t="str">
        <f>_xlfn.XLOOKUP($B20,'GP6'!$C$6:$C$101,'GP6'!$B$6:$B$101,"")</f>
        <v/>
      </c>
      <c r="P20" s="77">
        <f>_xlfn.XLOOKUP(O20,'GP6'!$B$6:$B$55,'GP6'!$A$6:$A$55,0)</f>
        <v>0</v>
      </c>
      <c r="Q20" s="12" t="str">
        <f>_xlfn.XLOOKUP($B20,'GP7'!$C$6:$C$101,'GP7'!$B$6:$B$101,"")</f>
        <v/>
      </c>
      <c r="R20" s="77">
        <f>_xlfn.XLOOKUP(Q20,'GP7'!$B$6:$B$55,'GP7'!$A$6:$A$55,0)</f>
        <v>0</v>
      </c>
      <c r="S20" s="12" t="str">
        <f>_xlfn.XLOOKUP($B20,'GP8'!$C$6:$C$101,'GP8'!$B$6:$B$101,"")</f>
        <v/>
      </c>
      <c r="T20" s="77">
        <f>_xlfn.XLOOKUP(S20,'GP8'!$B$6:$B$55,'GP8'!$A$6:$A$55,0)</f>
        <v>0</v>
      </c>
      <c r="U20" s="12" t="str">
        <f>_xlfn.XLOOKUP(B20,MPW!C$6:C$101,MPW!B$6:B$101,"")</f>
        <v/>
      </c>
      <c r="V20" s="76">
        <f>_xlfn.XLOOKUP(U20,MPW!$B$6:$B$55,MPW!$A$6:$A$55,0)</f>
        <v>0</v>
      </c>
    </row>
    <row r="21" spans="1:22" ht="14.8" customHeight="1" x14ac:dyDescent="0.25">
      <c r="A21" s="9">
        <f t="shared" si="0"/>
        <v>16</v>
      </c>
      <c r="B21" s="13"/>
      <c r="C21" s="14"/>
      <c r="D21" s="78">
        <f>SUM(F21,H21,J21,L21,N21,P21,R21,T21,V21)-SUM(SMALL((F21,H21,J21,L21,N21,P21,R21,T21),1),SMALL((F21,H21,J21,L21,N21,P21,R21,T21),2))</f>
        <v>0</v>
      </c>
      <c r="E21" s="12">
        <f>_xlfn.XLOOKUP($B21,'GP1'!$C$6:$C$101,'GP1'!$B$6:$B$101,"")</f>
        <v>0</v>
      </c>
      <c r="F21" s="77">
        <f>_xlfn.XLOOKUP(E21,'GP1'!$B$6:$B$55,'GP1'!$A$6:$A$55,0)</f>
        <v>0</v>
      </c>
      <c r="G21" s="12">
        <f>_xlfn.XLOOKUP($B21,'GP2'!$C$6:$C$101,'GP2'!$B$6:$B$101,"")</f>
        <v>0</v>
      </c>
      <c r="H21" s="77">
        <f>_xlfn.XLOOKUP(G21,'GP2'!$B$6:$B$55,'GP2'!$A$6:$A$55,0)</f>
        <v>0</v>
      </c>
      <c r="I21" s="12" t="str">
        <f>_xlfn.XLOOKUP($B21,'GP3'!$C$6:$C$101,'GP3'!$B$6:$B$101,"")</f>
        <v/>
      </c>
      <c r="J21" s="77">
        <f>_xlfn.XLOOKUP(I21,'GP3'!$B$6:$B$55,'GP3'!$A$6:$A$55,0)</f>
        <v>0</v>
      </c>
      <c r="K21" s="12" t="str">
        <f>_xlfn.XLOOKUP($B21,'GP4'!$C$6:$C$101,'GP4'!$B$6:$B$101,"")</f>
        <v/>
      </c>
      <c r="L21" s="77">
        <f>_xlfn.XLOOKUP(K21,'GP4'!$B$6:$B$55,'GP4'!$A$6:$A$55,0)</f>
        <v>0</v>
      </c>
      <c r="M21" s="12" t="str">
        <f>_xlfn.XLOOKUP($B21,'GP5'!$C$6:$C$101,'GP5'!$B$6:$B$101,"")</f>
        <v/>
      </c>
      <c r="N21" s="77">
        <f>_xlfn.XLOOKUP(M21,'GP5'!$B$6:$B$55,'GP5'!$A$6:$A$55,0)</f>
        <v>0</v>
      </c>
      <c r="O21" s="12" t="str">
        <f>_xlfn.XLOOKUP($B21,'GP6'!$C$6:$C$101,'GP6'!$B$6:$B$101,"")</f>
        <v/>
      </c>
      <c r="P21" s="77">
        <f>_xlfn.XLOOKUP(O21,'GP6'!$B$6:$B$55,'GP6'!$A$6:$A$55,0)</f>
        <v>0</v>
      </c>
      <c r="Q21" s="12" t="str">
        <f>_xlfn.XLOOKUP($B21,'GP7'!$C$6:$C$101,'GP7'!$B$6:$B$101,"")</f>
        <v/>
      </c>
      <c r="R21" s="77">
        <f>_xlfn.XLOOKUP(Q21,'GP7'!$B$6:$B$55,'GP7'!$A$6:$A$55,0)</f>
        <v>0</v>
      </c>
      <c r="S21" s="12" t="str">
        <f>_xlfn.XLOOKUP($B21,'GP8'!$C$6:$C$101,'GP8'!$B$6:$B$101,"")</f>
        <v/>
      </c>
      <c r="T21" s="77">
        <f>_xlfn.XLOOKUP(S21,'GP8'!$B$6:$B$55,'GP8'!$A$6:$A$55,0)</f>
        <v>0</v>
      </c>
      <c r="U21" s="12" t="str">
        <f>_xlfn.XLOOKUP(B21,MPW!C$6:C$101,MPW!B$6:B$101,"")</f>
        <v/>
      </c>
      <c r="V21" s="76">
        <f>_xlfn.XLOOKUP(U21,MPW!$B$6:$B$55,MPW!$A$6:$A$55,0)</f>
        <v>0</v>
      </c>
    </row>
    <row r="22" spans="1:22" ht="14.8" customHeight="1" x14ac:dyDescent="0.25">
      <c r="A22" s="9">
        <f t="shared" si="0"/>
        <v>17</v>
      </c>
      <c r="B22" s="13"/>
      <c r="C22" s="14"/>
      <c r="D22" s="78">
        <f>SUM(F22,H22,J22,L22,N22,P22,R22,T22,V22)-SUM(SMALL((F22,H22,J22,L22,N22,P22,R22,T22),1),SMALL((F22,H22,J22,L22,N22,P22,R22,T22),2))</f>
        <v>0</v>
      </c>
      <c r="E22" s="12">
        <f>_xlfn.XLOOKUP($B22,'GP1'!$C$6:$C$101,'GP1'!$B$6:$B$101,"")</f>
        <v>0</v>
      </c>
      <c r="F22" s="77">
        <f>_xlfn.XLOOKUP(E22,'GP1'!$B$6:$B$55,'GP1'!$A$6:$A$55,0)</f>
        <v>0</v>
      </c>
      <c r="G22" s="12">
        <f>_xlfn.XLOOKUP($B22,'GP2'!$C$6:$C$101,'GP2'!$B$6:$B$101,"")</f>
        <v>0</v>
      </c>
      <c r="H22" s="77">
        <f>_xlfn.XLOOKUP(G22,'GP2'!$B$6:$B$55,'GP2'!$A$6:$A$55,0)</f>
        <v>0</v>
      </c>
      <c r="I22" s="12" t="str">
        <f>_xlfn.XLOOKUP($B22,'GP3'!$C$6:$C$101,'GP3'!$B$6:$B$101,"")</f>
        <v/>
      </c>
      <c r="J22" s="77">
        <f>_xlfn.XLOOKUP(I22,'GP3'!$B$6:$B$55,'GP3'!$A$6:$A$55,0)</f>
        <v>0</v>
      </c>
      <c r="K22" s="12" t="str">
        <f>_xlfn.XLOOKUP($B22,'GP4'!$C$6:$C$101,'GP4'!$B$6:$B$101,"")</f>
        <v/>
      </c>
      <c r="L22" s="77">
        <f>_xlfn.XLOOKUP(K22,'GP4'!$B$6:$B$55,'GP4'!$A$6:$A$55,0)</f>
        <v>0</v>
      </c>
      <c r="M22" s="12" t="str">
        <f>_xlfn.XLOOKUP($B22,'GP5'!$C$6:$C$101,'GP5'!$B$6:$B$101,"")</f>
        <v/>
      </c>
      <c r="N22" s="77">
        <f>_xlfn.XLOOKUP(M22,'GP5'!$B$6:$B$55,'GP5'!$A$6:$A$55,0)</f>
        <v>0</v>
      </c>
      <c r="O22" s="12" t="str">
        <f>_xlfn.XLOOKUP($B22,'GP6'!$C$6:$C$101,'GP6'!$B$6:$B$101,"")</f>
        <v/>
      </c>
      <c r="P22" s="77">
        <f>_xlfn.XLOOKUP(O22,'GP6'!$B$6:$B$55,'GP6'!$A$6:$A$55,0)</f>
        <v>0</v>
      </c>
      <c r="Q22" s="12" t="str">
        <f>_xlfn.XLOOKUP($B22,'GP7'!$C$6:$C$101,'GP7'!$B$6:$B$101,"")</f>
        <v/>
      </c>
      <c r="R22" s="77">
        <f>_xlfn.XLOOKUP(Q22,'GP7'!$B$6:$B$55,'GP7'!$A$6:$A$55,0)</f>
        <v>0</v>
      </c>
      <c r="S22" s="12" t="str">
        <f>_xlfn.XLOOKUP($B22,'GP8'!$C$6:$C$101,'GP8'!$B$6:$B$101,"")</f>
        <v/>
      </c>
      <c r="T22" s="77">
        <f>_xlfn.XLOOKUP(S22,'GP8'!$B$6:$B$55,'GP8'!$A$6:$A$55,0)</f>
        <v>0</v>
      </c>
      <c r="U22" s="12" t="str">
        <f>_xlfn.XLOOKUP(B22,MPW!C$6:C$101,MPW!B$6:B$101,"")</f>
        <v/>
      </c>
      <c r="V22" s="76">
        <f>_xlfn.XLOOKUP(U22,MPW!$B$6:$B$55,MPW!$A$6:$A$55,0)</f>
        <v>0</v>
      </c>
    </row>
    <row r="23" spans="1:22" ht="14.8" customHeight="1" x14ac:dyDescent="0.25">
      <c r="A23" s="9">
        <f t="shared" si="0"/>
        <v>18</v>
      </c>
      <c r="B23" s="13"/>
      <c r="C23" s="14"/>
      <c r="D23" s="78">
        <f>SUM(F23,H23,J23,L23,N23,P23,R23,T23,V23)-SUM(SMALL((F23,H23,J23,L23,N23,P23,R23,T23),1),SMALL((F23,H23,J23,L23,N23,P23,R23,T23),2))</f>
        <v>0</v>
      </c>
      <c r="E23" s="12">
        <f>_xlfn.XLOOKUP($B23,'GP1'!$C$6:$C$101,'GP1'!$B$6:$B$101,"")</f>
        <v>0</v>
      </c>
      <c r="F23" s="77">
        <f>_xlfn.XLOOKUP(E23,'GP1'!$B$6:$B$55,'GP1'!$A$6:$A$55,0)</f>
        <v>0</v>
      </c>
      <c r="G23" s="12">
        <f>_xlfn.XLOOKUP($B23,'GP2'!$C$6:$C$101,'GP2'!$B$6:$B$101,"")</f>
        <v>0</v>
      </c>
      <c r="H23" s="77">
        <f>_xlfn.XLOOKUP(G23,'GP2'!$B$6:$B$55,'GP2'!$A$6:$A$55,0)</f>
        <v>0</v>
      </c>
      <c r="I23" s="12" t="str">
        <f>_xlfn.XLOOKUP($B23,'GP3'!$C$6:$C$101,'GP3'!$B$6:$B$101,"")</f>
        <v/>
      </c>
      <c r="J23" s="77">
        <f>_xlfn.XLOOKUP(I23,'GP3'!$B$6:$B$55,'GP3'!$A$6:$A$55,0)</f>
        <v>0</v>
      </c>
      <c r="K23" s="12" t="str">
        <f>_xlfn.XLOOKUP($B23,'GP4'!$C$6:$C$101,'GP4'!$B$6:$B$101,"")</f>
        <v/>
      </c>
      <c r="L23" s="77">
        <f>_xlfn.XLOOKUP(K23,'GP4'!$B$6:$B$55,'GP4'!$A$6:$A$55,0)</f>
        <v>0</v>
      </c>
      <c r="M23" s="12" t="str">
        <f>_xlfn.XLOOKUP($B23,'GP5'!$C$6:$C$101,'GP5'!$B$6:$B$101,"")</f>
        <v/>
      </c>
      <c r="N23" s="77">
        <f>_xlfn.XLOOKUP(M23,'GP5'!$B$6:$B$55,'GP5'!$A$6:$A$55,0)</f>
        <v>0</v>
      </c>
      <c r="O23" s="12" t="str">
        <f>_xlfn.XLOOKUP($B23,'GP6'!$C$6:$C$101,'GP6'!$B$6:$B$101,"")</f>
        <v/>
      </c>
      <c r="P23" s="77">
        <f>_xlfn.XLOOKUP(O23,'GP6'!$B$6:$B$55,'GP6'!$A$6:$A$55,0)</f>
        <v>0</v>
      </c>
      <c r="Q23" s="12" t="str">
        <f>_xlfn.XLOOKUP($B23,'GP7'!$C$6:$C$101,'GP7'!$B$6:$B$101,"")</f>
        <v/>
      </c>
      <c r="R23" s="77">
        <f>_xlfn.XLOOKUP(Q23,'GP7'!$B$6:$B$55,'GP7'!$A$6:$A$55,0)</f>
        <v>0</v>
      </c>
      <c r="S23" s="12" t="str">
        <f>_xlfn.XLOOKUP($B23,'GP8'!$C$6:$C$101,'GP8'!$B$6:$B$101,"")</f>
        <v/>
      </c>
      <c r="T23" s="77">
        <f>_xlfn.XLOOKUP(S23,'GP8'!$B$6:$B$55,'GP8'!$A$6:$A$55,0)</f>
        <v>0</v>
      </c>
      <c r="U23" s="12" t="str">
        <f>_xlfn.XLOOKUP(B23,MPW!C$6:C$101,MPW!B$6:B$101,"")</f>
        <v/>
      </c>
      <c r="V23" s="76">
        <f>_xlfn.XLOOKUP(U23,MPW!$B$6:$B$55,MPW!$A$6:$A$55,0)</f>
        <v>0</v>
      </c>
    </row>
    <row r="24" spans="1:22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65.400000000000006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sheetProtection selectLockedCells="1" selectUnlockedCells="1"/>
  <autoFilter ref="A5:V5" xr:uid="{BD5F393C-E0AA-4EC1-80C2-6C82F61F78AA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7" priority="5" operator="equal">
      <formula>3</formula>
    </cfRule>
    <cfRule type="cellIs" dxfId="36" priority="6" operator="equal">
      <formula>2</formula>
    </cfRule>
    <cfRule type="cellIs" dxfId="35" priority="7" operator="equal">
      <formula>1</formula>
    </cfRule>
  </conditionalFormatting>
  <conditionalFormatting sqref="D6:V23">
    <cfRule type="cellIs" dxfId="34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2.375" style="60" customWidth="1"/>
    <col min="4" max="4" width="14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22</v>
      </c>
      <c r="I1" s="18" t="s">
        <v>23</v>
      </c>
      <c r="J1" s="18" t="s">
        <v>24</v>
      </c>
      <c r="K1" s="19" t="s">
        <v>25</v>
      </c>
      <c r="L1" s="20"/>
      <c r="M1" s="20"/>
    </row>
    <row r="2" spans="1:36" ht="14.3" customHeight="1" x14ac:dyDescent="0.25">
      <c r="A2" s="16"/>
      <c r="B2" s="22" t="s">
        <v>26</v>
      </c>
      <c r="C2" s="266" t="s">
        <v>27</v>
      </c>
      <c r="D2" s="266"/>
      <c r="E2" s="23"/>
      <c r="F2" s="23"/>
      <c r="G2" s="23"/>
      <c r="H2" s="24">
        <v>0</v>
      </c>
      <c r="I2" s="25">
        <v>50</v>
      </c>
      <c r="J2" s="25">
        <v>10</v>
      </c>
      <c r="K2" s="68">
        <f>3*H2^(1/3)</f>
        <v>0</v>
      </c>
      <c r="L2" s="20"/>
      <c r="M2" s="20"/>
    </row>
    <row r="3" spans="1:36" ht="14.3" customHeight="1" x14ac:dyDescent="0.25">
      <c r="A3" s="16"/>
      <c r="B3" s="27" t="s">
        <v>28</v>
      </c>
      <c r="C3" s="267" t="s">
        <v>29</v>
      </c>
      <c r="D3" s="267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32" t="s">
        <v>36</v>
      </c>
      <c r="I5" s="33" t="s">
        <v>37</v>
      </c>
      <c r="J5" s="34" t="s">
        <v>38</v>
      </c>
      <c r="K5" s="33" t="s">
        <v>39</v>
      </c>
      <c r="L5" s="33" t="s">
        <v>40</v>
      </c>
      <c r="M5" s="32" t="s">
        <v>41</v>
      </c>
    </row>
    <row r="6" spans="1:36" ht="14.45" customHeight="1" x14ac:dyDescent="0.25">
      <c r="A6" s="35">
        <f>M6</f>
        <v>0</v>
      </c>
      <c r="B6" s="36"/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0">J6*$J$2</f>
        <v>#NUM!</v>
      </c>
      <c r="L6" s="40">
        <f>3*K2</f>
        <v>0</v>
      </c>
      <c r="M6" s="40">
        <f t="shared" ref="M6:M69" si="1">IF(I6&lt;&gt;"",K6+I6+L6,0)</f>
        <v>0</v>
      </c>
    </row>
    <row r="7" spans="1:36" ht="14.45" customHeight="1" x14ac:dyDescent="0.25">
      <c r="A7" s="41">
        <f t="shared" ref="A7:A37" si="2">M7</f>
        <v>0</v>
      </c>
      <c r="B7" s="42"/>
      <c r="C7" s="43"/>
      <c r="D7" s="43"/>
      <c r="E7" s="43"/>
      <c r="F7" s="43"/>
      <c r="G7" s="30"/>
      <c r="H7" s="44">
        <v>2</v>
      </c>
      <c r="I7" s="45" t="str">
        <f t="shared" ref="I7:I69" si="3">IF(H7&lt;$H$2+1,($I$2-($I$2-1)*(LOG(H7)/LOG($H$2))),"")</f>
        <v/>
      </c>
      <c r="J7" s="44" t="e">
        <f t="shared" ref="J7:J70" si="4">INT(LOG($H$2,2))-ROUNDUP(LOG(H7,2),0)+IF(OR($H$2=1,$H$2=2,$H$2=4,$H$2=8,$H$2=16,$H$2=32,$H$2=64,$H$2=128,$H$2=256),0,1)</f>
        <v>#NUM!</v>
      </c>
      <c r="K7" s="44" t="e">
        <f t="shared" si="0"/>
        <v>#NUM!</v>
      </c>
      <c r="L7" s="46">
        <f>2*K2</f>
        <v>0</v>
      </c>
      <c r="M7" s="46">
        <f t="shared" si="1"/>
        <v>0</v>
      </c>
    </row>
    <row r="8" spans="1:36" ht="14.45" customHeight="1" x14ac:dyDescent="0.25">
      <c r="A8" s="35">
        <f t="shared" si="2"/>
        <v>0</v>
      </c>
      <c r="B8" s="36"/>
      <c r="C8" s="37"/>
      <c r="D8" s="37"/>
      <c r="E8" s="37"/>
      <c r="F8" s="37"/>
      <c r="G8" s="30"/>
      <c r="H8" s="38">
        <v>3</v>
      </c>
      <c r="I8" s="39" t="str">
        <f t="shared" si="3"/>
        <v/>
      </c>
      <c r="J8" s="38" t="e">
        <f t="shared" si="4"/>
        <v>#NUM!</v>
      </c>
      <c r="K8" s="38" t="e">
        <f t="shared" si="0"/>
        <v>#NUM!</v>
      </c>
      <c r="L8" s="40">
        <f>K2</f>
        <v>0</v>
      </c>
      <c r="M8" s="40">
        <f t="shared" si="1"/>
        <v>0</v>
      </c>
    </row>
    <row r="9" spans="1:36" ht="14.45" customHeight="1" x14ac:dyDescent="0.25">
      <c r="A9" s="41">
        <f t="shared" si="2"/>
        <v>0</v>
      </c>
      <c r="B9" s="42" t="str">
        <f t="shared" ref="B9:B65" si="5">IF(H9&gt;$H$2,"",(ROW()-5))</f>
        <v/>
      </c>
      <c r="C9" s="43"/>
      <c r="D9" s="43"/>
      <c r="E9" s="43"/>
      <c r="F9" s="43"/>
      <c r="G9" s="30"/>
      <c r="H9" s="44">
        <v>4</v>
      </c>
      <c r="I9" s="45" t="str">
        <f t="shared" si="3"/>
        <v/>
      </c>
      <c r="J9" s="44" t="e">
        <f t="shared" si="4"/>
        <v>#NUM!</v>
      </c>
      <c r="K9" s="44" t="e">
        <f t="shared" si="0"/>
        <v>#NUM!</v>
      </c>
      <c r="L9" s="46"/>
      <c r="M9" s="46">
        <f t="shared" si="1"/>
        <v>0</v>
      </c>
      <c r="V9" s="47"/>
      <c r="Z9" s="48"/>
      <c r="AA9" s="48"/>
      <c r="AG9" s="49"/>
      <c r="AH9" s="21" t="s">
        <v>42</v>
      </c>
      <c r="AI9" s="21">
        <v>23</v>
      </c>
    </row>
    <row r="10" spans="1:36" ht="14.45" customHeight="1" x14ac:dyDescent="0.25">
      <c r="A10" s="35">
        <f t="shared" si="2"/>
        <v>0</v>
      </c>
      <c r="B10" s="36" t="str">
        <f t="shared" si="5"/>
        <v/>
      </c>
      <c r="C10" s="37"/>
      <c r="D10" s="37"/>
      <c r="E10" s="37"/>
      <c r="F10" s="37"/>
      <c r="G10" s="30"/>
      <c r="H10" s="38">
        <v>5</v>
      </c>
      <c r="I10" s="39" t="str">
        <f t="shared" si="3"/>
        <v/>
      </c>
      <c r="J10" s="38" t="e">
        <f t="shared" si="4"/>
        <v>#NUM!</v>
      </c>
      <c r="K10" s="38" t="e">
        <f t="shared" si="0"/>
        <v>#NUM!</v>
      </c>
      <c r="L10" s="38"/>
      <c r="M10" s="40">
        <f t="shared" si="1"/>
        <v>0</v>
      </c>
      <c r="V10" s="47"/>
      <c r="Z10" s="48"/>
      <c r="AA10" s="48"/>
      <c r="AG10" s="49"/>
      <c r="AH10" s="21" t="s">
        <v>43</v>
      </c>
      <c r="AI10" s="21">
        <v>45</v>
      </c>
    </row>
    <row r="11" spans="1:36" ht="14.45" customHeight="1" x14ac:dyDescent="0.25">
      <c r="A11" s="41">
        <f t="shared" si="2"/>
        <v>0</v>
      </c>
      <c r="B11" s="42" t="str">
        <f t="shared" si="5"/>
        <v/>
      </c>
      <c r="C11" s="43"/>
      <c r="D11" s="43"/>
      <c r="E11" s="43"/>
      <c r="F11" s="43"/>
      <c r="G11" s="30"/>
      <c r="H11" s="44">
        <v>6</v>
      </c>
      <c r="I11" s="45" t="str">
        <f t="shared" si="3"/>
        <v/>
      </c>
      <c r="J11" s="44" t="e">
        <f t="shared" si="4"/>
        <v>#NUM!</v>
      </c>
      <c r="K11" s="44" t="e">
        <f t="shared" si="0"/>
        <v>#NUM!</v>
      </c>
      <c r="L11" s="44"/>
      <c r="M11" s="46">
        <f t="shared" si="1"/>
        <v>0</v>
      </c>
      <c r="V11" s="50"/>
      <c r="Z11" s="48"/>
      <c r="AA11" s="48"/>
      <c r="AG11" s="49"/>
      <c r="AH11" s="21" t="s">
        <v>44</v>
      </c>
      <c r="AI11" s="21">
        <v>50</v>
      </c>
    </row>
    <row r="12" spans="1:36" ht="14.45" customHeight="1" x14ac:dyDescent="0.25">
      <c r="A12" s="35">
        <f t="shared" si="2"/>
        <v>0</v>
      </c>
      <c r="B12" s="36" t="str">
        <f t="shared" si="5"/>
        <v/>
      </c>
      <c r="C12" s="37"/>
      <c r="D12" s="37"/>
      <c r="E12" s="37"/>
      <c r="F12" s="37"/>
      <c r="G12" s="30"/>
      <c r="H12" s="38">
        <v>7</v>
      </c>
      <c r="I12" s="39" t="str">
        <f t="shared" si="3"/>
        <v/>
      </c>
      <c r="J12" s="38" t="e">
        <f t="shared" si="4"/>
        <v>#NUM!</v>
      </c>
      <c r="K12" s="38" t="e">
        <f t="shared" si="0"/>
        <v>#NUM!</v>
      </c>
      <c r="L12" s="38"/>
      <c r="M12" s="40">
        <f t="shared" si="1"/>
        <v>0</v>
      </c>
      <c r="R12" s="69"/>
      <c r="Z12" s="48"/>
      <c r="AA12" s="48"/>
      <c r="AG12" s="49"/>
      <c r="AH12" s="21" t="s">
        <v>45</v>
      </c>
      <c r="AI12" s="21">
        <f>AI11-1</f>
        <v>49</v>
      </c>
    </row>
    <row r="13" spans="1:36" ht="14.45" customHeight="1" x14ac:dyDescent="0.25">
      <c r="A13" s="51">
        <f t="shared" si="2"/>
        <v>0</v>
      </c>
      <c r="B13" s="42" t="str">
        <f t="shared" si="5"/>
        <v/>
      </c>
      <c r="C13" s="43"/>
      <c r="D13" s="43"/>
      <c r="E13" s="43"/>
      <c r="F13" s="43"/>
      <c r="G13" s="30"/>
      <c r="H13" s="44">
        <v>8</v>
      </c>
      <c r="I13" s="45" t="str">
        <f t="shared" si="3"/>
        <v/>
      </c>
      <c r="J13" s="44" t="e">
        <f t="shared" si="4"/>
        <v>#NUM!</v>
      </c>
      <c r="K13" s="44" t="e">
        <f t="shared" si="0"/>
        <v>#NUM!</v>
      </c>
      <c r="L13" s="44"/>
      <c r="M13" s="46">
        <f t="shared" si="1"/>
        <v>0</v>
      </c>
      <c r="R13" s="69"/>
      <c r="X13" s="47"/>
      <c r="AG13" s="49"/>
      <c r="AH13" s="21" t="s">
        <v>46</v>
      </c>
      <c r="AI13" s="21">
        <f>LOG(AI9)</f>
        <v>1.3617278360175928</v>
      </c>
    </row>
    <row r="14" spans="1:36" x14ac:dyDescent="0.25">
      <c r="A14" s="52">
        <f t="shared" si="2"/>
        <v>0</v>
      </c>
      <c r="B14" s="36" t="str">
        <f t="shared" si="5"/>
        <v/>
      </c>
      <c r="C14" s="37"/>
      <c r="D14" s="37"/>
      <c r="E14" s="37"/>
      <c r="F14" s="37"/>
      <c r="G14" s="30"/>
      <c r="H14" s="38">
        <v>9</v>
      </c>
      <c r="I14" s="39" t="str">
        <f t="shared" si="3"/>
        <v/>
      </c>
      <c r="J14" s="38" t="e">
        <f t="shared" si="4"/>
        <v>#NUM!</v>
      </c>
      <c r="K14" s="38" t="e">
        <f t="shared" si="0"/>
        <v>#NUM!</v>
      </c>
      <c r="L14" s="38"/>
      <c r="M14" s="40">
        <f t="shared" si="1"/>
        <v>0</v>
      </c>
      <c r="X14" s="53"/>
      <c r="Z14" s="48"/>
      <c r="AA14" s="48"/>
      <c r="AG14" s="49"/>
      <c r="AH14" s="21" t="s">
        <v>47</v>
      </c>
      <c r="AI14" s="21">
        <f>LOG(AI10)</f>
        <v>1.6532125137753437</v>
      </c>
    </row>
    <row r="15" spans="1:36" x14ac:dyDescent="0.25">
      <c r="A15" s="51">
        <f t="shared" si="2"/>
        <v>0</v>
      </c>
      <c r="B15" s="42" t="str">
        <f t="shared" si="5"/>
        <v/>
      </c>
      <c r="C15" s="43"/>
      <c r="D15" s="43"/>
      <c r="E15" s="43"/>
      <c r="F15" s="43"/>
      <c r="G15" s="30"/>
      <c r="H15" s="44">
        <v>10</v>
      </c>
      <c r="I15" s="45" t="str">
        <f t="shared" si="3"/>
        <v/>
      </c>
      <c r="J15" s="44" t="e">
        <f t="shared" si="4"/>
        <v>#NUM!</v>
      </c>
      <c r="K15" s="44" t="e">
        <f t="shared" si="0"/>
        <v>#NUM!</v>
      </c>
      <c r="L15" s="44"/>
      <c r="M15" s="46">
        <f t="shared" si="1"/>
        <v>0</v>
      </c>
      <c r="X15" s="47"/>
      <c r="Z15" s="48"/>
      <c r="AA15" s="48"/>
    </row>
    <row r="16" spans="1:36" x14ac:dyDescent="0.25">
      <c r="A16" s="52">
        <f t="shared" si="2"/>
        <v>0</v>
      </c>
      <c r="B16" s="36" t="str">
        <f t="shared" si="5"/>
        <v/>
      </c>
      <c r="C16" s="37"/>
      <c r="D16" s="37"/>
      <c r="E16" s="37"/>
      <c r="F16" s="37"/>
      <c r="G16" s="30"/>
      <c r="H16" s="38">
        <v>11</v>
      </c>
      <c r="I16" s="39" t="str">
        <f t="shared" si="3"/>
        <v/>
      </c>
      <c r="J16" s="38" t="e">
        <f t="shared" si="4"/>
        <v>#NUM!</v>
      </c>
      <c r="K16" s="38" t="e">
        <f t="shared" si="0"/>
        <v>#NUM!</v>
      </c>
      <c r="L16" s="38"/>
      <c r="M16" s="40">
        <f t="shared" si="1"/>
        <v>0</v>
      </c>
      <c r="R16" s="54"/>
      <c r="Z16" s="48"/>
      <c r="AA16" s="48"/>
      <c r="AH16" s="55" t="s">
        <v>48</v>
      </c>
      <c r="AI16" s="21">
        <f>AI11-AI12*AI13/AI14</f>
        <v>9.6393909380186855</v>
      </c>
      <c r="AJ16" s="21" t="s">
        <v>49</v>
      </c>
    </row>
    <row r="17" spans="1:19" x14ac:dyDescent="0.25">
      <c r="A17" s="51">
        <f t="shared" si="2"/>
        <v>0</v>
      </c>
      <c r="B17" s="42" t="str">
        <f t="shared" si="5"/>
        <v/>
      </c>
      <c r="C17" s="43"/>
      <c r="D17" s="43"/>
      <c r="E17" s="43"/>
      <c r="F17" s="43"/>
      <c r="G17" s="30"/>
      <c r="H17" s="44">
        <v>12</v>
      </c>
      <c r="I17" s="45" t="str">
        <f t="shared" si="3"/>
        <v/>
      </c>
      <c r="J17" s="44" t="e">
        <f t="shared" si="4"/>
        <v>#NUM!</v>
      </c>
      <c r="K17" s="44" t="e">
        <f t="shared" si="0"/>
        <v>#NUM!</v>
      </c>
      <c r="L17" s="44"/>
      <c r="M17" s="46">
        <f t="shared" si="1"/>
        <v>0</v>
      </c>
    </row>
    <row r="18" spans="1:19" x14ac:dyDescent="0.25">
      <c r="A18" s="52">
        <f t="shared" si="2"/>
        <v>0</v>
      </c>
      <c r="B18" s="36" t="str">
        <f t="shared" si="5"/>
        <v/>
      </c>
      <c r="C18" s="37"/>
      <c r="D18" s="37"/>
      <c r="E18" s="37"/>
      <c r="F18" s="37"/>
      <c r="G18" s="30"/>
      <c r="H18" s="38">
        <v>13</v>
      </c>
      <c r="I18" s="39" t="str">
        <f t="shared" si="3"/>
        <v/>
      </c>
      <c r="J18" s="38" t="e">
        <f t="shared" si="4"/>
        <v>#NUM!</v>
      </c>
      <c r="K18" s="38" t="e">
        <f t="shared" si="0"/>
        <v>#NUM!</v>
      </c>
      <c r="L18" s="38"/>
      <c r="M18" s="40">
        <f t="shared" si="1"/>
        <v>0</v>
      </c>
    </row>
    <row r="19" spans="1:19" x14ac:dyDescent="0.25">
      <c r="A19" s="51">
        <f t="shared" si="2"/>
        <v>0</v>
      </c>
      <c r="B19" s="42" t="str">
        <f t="shared" si="5"/>
        <v/>
      </c>
      <c r="C19" s="43"/>
      <c r="D19" s="43"/>
      <c r="E19" s="43"/>
      <c r="F19" s="43"/>
      <c r="G19" s="30"/>
      <c r="H19" s="44">
        <v>14</v>
      </c>
      <c r="I19" s="45" t="str">
        <f t="shared" si="3"/>
        <v/>
      </c>
      <c r="J19" s="44" t="e">
        <f t="shared" si="4"/>
        <v>#NUM!</v>
      </c>
      <c r="K19" s="44" t="e">
        <f t="shared" si="0"/>
        <v>#NUM!</v>
      </c>
      <c r="L19" s="44"/>
      <c r="M19" s="46">
        <f t="shared" si="1"/>
        <v>0</v>
      </c>
    </row>
    <row r="20" spans="1:19" x14ac:dyDescent="0.25">
      <c r="A20" s="52">
        <f t="shared" si="2"/>
        <v>0</v>
      </c>
      <c r="B20" s="36" t="str">
        <f t="shared" si="5"/>
        <v/>
      </c>
      <c r="C20" s="37"/>
      <c r="D20" s="37"/>
      <c r="E20" s="37"/>
      <c r="F20" s="37"/>
      <c r="G20" s="30"/>
      <c r="H20" s="38">
        <v>15</v>
      </c>
      <c r="I20" s="39" t="str">
        <f t="shared" si="3"/>
        <v/>
      </c>
      <c r="J20" s="38" t="e">
        <f t="shared" si="4"/>
        <v>#NUM!</v>
      </c>
      <c r="K20" s="38" t="e">
        <f t="shared" si="0"/>
        <v>#NUM!</v>
      </c>
      <c r="L20" s="38"/>
      <c r="M20" s="40">
        <f t="shared" si="1"/>
        <v>0</v>
      </c>
      <c r="R20" s="56"/>
      <c r="S20" s="57"/>
    </row>
    <row r="21" spans="1:19" x14ac:dyDescent="0.25">
      <c r="A21" s="51">
        <f t="shared" si="2"/>
        <v>0</v>
      </c>
      <c r="B21" s="42" t="str">
        <f t="shared" si="5"/>
        <v/>
      </c>
      <c r="C21" s="43"/>
      <c r="D21" s="43"/>
      <c r="E21" s="43"/>
      <c r="F21" s="43"/>
      <c r="G21" s="30"/>
      <c r="H21" s="44">
        <v>16</v>
      </c>
      <c r="I21" s="45" t="str">
        <f t="shared" si="3"/>
        <v/>
      </c>
      <c r="J21" s="44" t="e">
        <f t="shared" si="4"/>
        <v>#NUM!</v>
      </c>
      <c r="K21" s="44" t="e">
        <f t="shared" si="0"/>
        <v>#NUM!</v>
      </c>
      <c r="L21" s="44"/>
      <c r="M21" s="46">
        <f t="shared" si="1"/>
        <v>0</v>
      </c>
    </row>
    <row r="22" spans="1:19" x14ac:dyDescent="0.25">
      <c r="A22" s="52">
        <f t="shared" si="2"/>
        <v>0</v>
      </c>
      <c r="B22" s="36" t="str">
        <f t="shared" si="5"/>
        <v/>
      </c>
      <c r="C22" s="37"/>
      <c r="D22" s="37"/>
      <c r="E22" s="37"/>
      <c r="F22" s="37"/>
      <c r="G22" s="30"/>
      <c r="H22" s="38">
        <v>17</v>
      </c>
      <c r="I22" s="39" t="str">
        <f t="shared" si="3"/>
        <v/>
      </c>
      <c r="J22" s="38" t="e">
        <f t="shared" si="4"/>
        <v>#NUM!</v>
      </c>
      <c r="K22" s="38" t="e">
        <f t="shared" si="0"/>
        <v>#NUM!</v>
      </c>
      <c r="L22" s="38"/>
      <c r="M22" s="40">
        <f t="shared" si="1"/>
        <v>0</v>
      </c>
    </row>
    <row r="23" spans="1:19" x14ac:dyDescent="0.25">
      <c r="A23" s="51">
        <f t="shared" si="2"/>
        <v>0</v>
      </c>
      <c r="B23" s="42" t="str">
        <f t="shared" si="5"/>
        <v/>
      </c>
      <c r="C23" s="43"/>
      <c r="D23" s="43"/>
      <c r="E23" s="43"/>
      <c r="F23" s="43"/>
      <c r="G23" s="30"/>
      <c r="H23" s="44">
        <v>18</v>
      </c>
      <c r="I23" s="45" t="str">
        <f t="shared" si="3"/>
        <v/>
      </c>
      <c r="J23" s="44" t="e">
        <f t="shared" si="4"/>
        <v>#NUM!</v>
      </c>
      <c r="K23" s="44" t="e">
        <f t="shared" si="0"/>
        <v>#NUM!</v>
      </c>
      <c r="L23" s="44"/>
      <c r="M23" s="46">
        <f t="shared" si="1"/>
        <v>0</v>
      </c>
    </row>
    <row r="24" spans="1:19" x14ac:dyDescent="0.25">
      <c r="A24" s="52">
        <f t="shared" si="2"/>
        <v>0</v>
      </c>
      <c r="B24" s="36" t="str">
        <f t="shared" si="5"/>
        <v/>
      </c>
      <c r="C24" s="37"/>
      <c r="D24" s="37"/>
      <c r="E24" s="37"/>
      <c r="F24" s="37"/>
      <c r="G24" s="30"/>
      <c r="H24" s="38">
        <v>19</v>
      </c>
      <c r="I24" s="39" t="str">
        <f t="shared" si="3"/>
        <v/>
      </c>
      <c r="J24" s="38" t="e">
        <f t="shared" si="4"/>
        <v>#NUM!</v>
      </c>
      <c r="K24" s="38" t="e">
        <f t="shared" si="0"/>
        <v>#NUM!</v>
      </c>
      <c r="L24" s="38"/>
      <c r="M24" s="40">
        <f t="shared" si="1"/>
        <v>0</v>
      </c>
      <c r="R24" s="56"/>
      <c r="S24" s="57"/>
    </row>
    <row r="25" spans="1:19" x14ac:dyDescent="0.25">
      <c r="A25" s="51">
        <f t="shared" si="2"/>
        <v>0</v>
      </c>
      <c r="B25" s="42" t="str">
        <f t="shared" si="5"/>
        <v/>
      </c>
      <c r="C25" s="43"/>
      <c r="D25" s="43"/>
      <c r="E25" s="43"/>
      <c r="F25" s="43"/>
      <c r="G25" s="30"/>
      <c r="H25" s="44">
        <v>20</v>
      </c>
      <c r="I25" s="45" t="str">
        <f t="shared" si="3"/>
        <v/>
      </c>
      <c r="J25" s="44" t="e">
        <f t="shared" si="4"/>
        <v>#NUM!</v>
      </c>
      <c r="K25" s="44" t="e">
        <f t="shared" si="0"/>
        <v>#NUM!</v>
      </c>
      <c r="L25" s="44"/>
      <c r="M25" s="46">
        <f t="shared" si="1"/>
        <v>0</v>
      </c>
    </row>
    <row r="26" spans="1:19" x14ac:dyDescent="0.25">
      <c r="A26" s="52">
        <f t="shared" si="2"/>
        <v>0</v>
      </c>
      <c r="B26" s="36" t="str">
        <f t="shared" si="5"/>
        <v/>
      </c>
      <c r="C26" s="37"/>
      <c r="D26" s="37"/>
      <c r="E26" s="37"/>
      <c r="F26" s="37"/>
      <c r="G26" s="30"/>
      <c r="H26" s="38">
        <v>21</v>
      </c>
      <c r="I26" s="39" t="str">
        <f t="shared" si="3"/>
        <v/>
      </c>
      <c r="J26" s="38" t="e">
        <f t="shared" si="4"/>
        <v>#NUM!</v>
      </c>
      <c r="K26" s="38" t="e">
        <f t="shared" si="0"/>
        <v>#NUM!</v>
      </c>
      <c r="L26" s="38"/>
      <c r="M26" s="40">
        <f t="shared" si="1"/>
        <v>0</v>
      </c>
    </row>
    <row r="27" spans="1:19" x14ac:dyDescent="0.25">
      <c r="A27" s="51">
        <f t="shared" si="2"/>
        <v>0</v>
      </c>
      <c r="B27" s="42" t="str">
        <f t="shared" si="5"/>
        <v/>
      </c>
      <c r="C27" s="43"/>
      <c r="D27" s="43"/>
      <c r="E27" s="43"/>
      <c r="F27" s="43"/>
      <c r="G27" s="30"/>
      <c r="H27" s="44">
        <v>22</v>
      </c>
      <c r="I27" s="45" t="str">
        <f t="shared" si="3"/>
        <v/>
      </c>
      <c r="J27" s="44" t="e">
        <f t="shared" si="4"/>
        <v>#NUM!</v>
      </c>
      <c r="K27" s="44" t="e">
        <f t="shared" si="0"/>
        <v>#NUM!</v>
      </c>
      <c r="L27" s="44"/>
      <c r="M27" s="46">
        <f t="shared" si="1"/>
        <v>0</v>
      </c>
    </row>
    <row r="28" spans="1:19" x14ac:dyDescent="0.25">
      <c r="A28" s="52">
        <f t="shared" si="2"/>
        <v>0</v>
      </c>
      <c r="B28" s="36" t="str">
        <f t="shared" si="5"/>
        <v/>
      </c>
      <c r="C28" s="37"/>
      <c r="D28" s="37"/>
      <c r="E28" s="37"/>
      <c r="F28" s="37"/>
      <c r="G28" s="30"/>
      <c r="H28" s="38">
        <v>23</v>
      </c>
      <c r="I28" s="39" t="str">
        <f t="shared" si="3"/>
        <v/>
      </c>
      <c r="J28" s="38" t="e">
        <f t="shared" si="4"/>
        <v>#NUM!</v>
      </c>
      <c r="K28" s="38" t="e">
        <f t="shared" si="0"/>
        <v>#NUM!</v>
      </c>
      <c r="L28" s="38"/>
      <c r="M28" s="40">
        <f t="shared" si="1"/>
        <v>0</v>
      </c>
      <c r="R28" s="56"/>
      <c r="S28" s="57"/>
    </row>
    <row r="29" spans="1:19" x14ac:dyDescent="0.25">
      <c r="A29" s="51">
        <f t="shared" si="2"/>
        <v>0</v>
      </c>
      <c r="B29" s="42" t="str">
        <f t="shared" si="5"/>
        <v/>
      </c>
      <c r="C29" s="43"/>
      <c r="D29" s="43"/>
      <c r="E29" s="43"/>
      <c r="F29" s="43"/>
      <c r="G29" s="16"/>
      <c r="H29" s="44">
        <v>24</v>
      </c>
      <c r="I29" s="45" t="str">
        <f t="shared" si="3"/>
        <v/>
      </c>
      <c r="J29" s="44" t="e">
        <f t="shared" si="4"/>
        <v>#NUM!</v>
      </c>
      <c r="K29" s="44" t="e">
        <f t="shared" si="0"/>
        <v>#NUM!</v>
      </c>
      <c r="L29" s="44"/>
      <c r="M29" s="46">
        <f t="shared" si="1"/>
        <v>0</v>
      </c>
    </row>
    <row r="30" spans="1:19" x14ac:dyDescent="0.25">
      <c r="A30" s="52">
        <f t="shared" si="2"/>
        <v>0</v>
      </c>
      <c r="B30" s="36" t="str">
        <f t="shared" si="5"/>
        <v/>
      </c>
      <c r="C30" s="37"/>
      <c r="D30" s="37"/>
      <c r="E30" s="37"/>
      <c r="F30" s="37"/>
      <c r="G30" s="16"/>
      <c r="H30" s="38">
        <v>25</v>
      </c>
      <c r="I30" s="39" t="str">
        <f t="shared" si="3"/>
        <v/>
      </c>
      <c r="J30" s="38" t="e">
        <f t="shared" si="4"/>
        <v>#NUM!</v>
      </c>
      <c r="K30" s="38" t="e">
        <f t="shared" si="0"/>
        <v>#NUM!</v>
      </c>
      <c r="L30" s="38"/>
      <c r="M30" s="40">
        <f t="shared" si="1"/>
        <v>0</v>
      </c>
    </row>
    <row r="31" spans="1:19" x14ac:dyDescent="0.25">
      <c r="A31" s="51">
        <f t="shared" si="2"/>
        <v>0</v>
      </c>
      <c r="B31" s="42" t="str">
        <f t="shared" si="5"/>
        <v/>
      </c>
      <c r="C31" s="43"/>
      <c r="D31" s="43"/>
      <c r="E31" s="43"/>
      <c r="F31" s="43"/>
      <c r="G31" s="16"/>
      <c r="H31" s="44">
        <v>26</v>
      </c>
      <c r="I31" s="45" t="str">
        <f t="shared" si="3"/>
        <v/>
      </c>
      <c r="J31" s="44" t="e">
        <f t="shared" si="4"/>
        <v>#NUM!</v>
      </c>
      <c r="K31" s="44" t="e">
        <f t="shared" si="0"/>
        <v>#NUM!</v>
      </c>
      <c r="L31" s="44"/>
      <c r="M31" s="46">
        <f t="shared" si="1"/>
        <v>0</v>
      </c>
    </row>
    <row r="32" spans="1:19" x14ac:dyDescent="0.25">
      <c r="A32" s="52">
        <f t="shared" si="2"/>
        <v>0</v>
      </c>
      <c r="B32" s="36" t="str">
        <f t="shared" si="5"/>
        <v/>
      </c>
      <c r="C32" s="37"/>
      <c r="D32" s="37"/>
      <c r="E32" s="37"/>
      <c r="F32" s="37"/>
      <c r="G32" s="16"/>
      <c r="H32" s="38">
        <v>27</v>
      </c>
      <c r="I32" s="39" t="str">
        <f t="shared" si="3"/>
        <v/>
      </c>
      <c r="J32" s="38" t="e">
        <f t="shared" si="4"/>
        <v>#NUM!</v>
      </c>
      <c r="K32" s="38" t="e">
        <f t="shared" si="0"/>
        <v>#NUM!</v>
      </c>
      <c r="L32" s="38"/>
      <c r="M32" s="40">
        <f t="shared" si="1"/>
        <v>0</v>
      </c>
      <c r="R32" s="56"/>
      <c r="S32" s="57"/>
    </row>
    <row r="33" spans="1:21" x14ac:dyDescent="0.25">
      <c r="A33" s="51">
        <f t="shared" si="2"/>
        <v>0</v>
      </c>
      <c r="B33" s="42" t="str">
        <f t="shared" si="5"/>
        <v/>
      </c>
      <c r="C33" s="43"/>
      <c r="D33" s="43"/>
      <c r="E33" s="43"/>
      <c r="F33" s="43"/>
      <c r="G33" s="16"/>
      <c r="H33" s="44">
        <v>28</v>
      </c>
      <c r="I33" s="45" t="str">
        <f t="shared" si="3"/>
        <v/>
      </c>
      <c r="J33" s="44" t="e">
        <f t="shared" si="4"/>
        <v>#NUM!</v>
      </c>
      <c r="K33" s="44" t="e">
        <f t="shared" si="0"/>
        <v>#NUM!</v>
      </c>
      <c r="L33" s="44"/>
      <c r="M33" s="46">
        <f t="shared" si="1"/>
        <v>0</v>
      </c>
    </row>
    <row r="34" spans="1:21" x14ac:dyDescent="0.25">
      <c r="A34" s="52">
        <f t="shared" si="2"/>
        <v>0</v>
      </c>
      <c r="B34" s="36" t="str">
        <f t="shared" si="5"/>
        <v/>
      </c>
      <c r="C34" s="37"/>
      <c r="D34" s="37"/>
      <c r="E34" s="37"/>
      <c r="F34" s="37"/>
      <c r="G34" s="16"/>
      <c r="H34" s="38">
        <v>29</v>
      </c>
      <c r="I34" s="39" t="str">
        <f t="shared" si="3"/>
        <v/>
      </c>
      <c r="J34" s="38" t="e">
        <f t="shared" si="4"/>
        <v>#NUM!</v>
      </c>
      <c r="K34" s="38" t="e">
        <f t="shared" si="0"/>
        <v>#NUM!</v>
      </c>
      <c r="L34" s="38"/>
      <c r="M34" s="40">
        <f t="shared" si="1"/>
        <v>0</v>
      </c>
    </row>
    <row r="35" spans="1:21" x14ac:dyDescent="0.25">
      <c r="A35" s="51">
        <f t="shared" si="2"/>
        <v>0</v>
      </c>
      <c r="B35" s="42" t="str">
        <f t="shared" si="5"/>
        <v/>
      </c>
      <c r="C35" s="43"/>
      <c r="D35" s="43"/>
      <c r="E35" s="43"/>
      <c r="F35" s="43"/>
      <c r="G35" s="16"/>
      <c r="H35" s="44">
        <v>30</v>
      </c>
      <c r="I35" s="45" t="str">
        <f t="shared" si="3"/>
        <v/>
      </c>
      <c r="J35" s="44" t="e">
        <f t="shared" si="4"/>
        <v>#NUM!</v>
      </c>
      <c r="K35" s="44" t="e">
        <f t="shared" si="0"/>
        <v>#NUM!</v>
      </c>
      <c r="L35" s="44"/>
      <c r="M35" s="46">
        <f t="shared" si="1"/>
        <v>0</v>
      </c>
    </row>
    <row r="36" spans="1:21" x14ac:dyDescent="0.25">
      <c r="A36" s="52">
        <f t="shared" si="2"/>
        <v>0</v>
      </c>
      <c r="B36" s="36" t="str">
        <f t="shared" si="5"/>
        <v/>
      </c>
      <c r="C36" s="37"/>
      <c r="D36" s="37"/>
      <c r="E36" s="37"/>
      <c r="F36" s="37"/>
      <c r="G36" s="16"/>
      <c r="H36" s="38">
        <v>31</v>
      </c>
      <c r="I36" s="39" t="str">
        <f t="shared" si="3"/>
        <v/>
      </c>
      <c r="J36" s="38" t="e">
        <f t="shared" si="4"/>
        <v>#NUM!</v>
      </c>
      <c r="K36" s="38" t="e">
        <f t="shared" si="0"/>
        <v>#NUM!</v>
      </c>
      <c r="L36" s="38"/>
      <c r="M36" s="40">
        <f t="shared" si="1"/>
        <v>0</v>
      </c>
      <c r="R36" s="56"/>
      <c r="S36" s="57"/>
    </row>
    <row r="37" spans="1:21" x14ac:dyDescent="0.25">
      <c r="A37" s="51">
        <f t="shared" si="2"/>
        <v>0</v>
      </c>
      <c r="B37" s="42" t="str">
        <f t="shared" si="5"/>
        <v/>
      </c>
      <c r="C37" s="43"/>
      <c r="D37" s="43"/>
      <c r="E37" s="43"/>
      <c r="F37" s="43"/>
      <c r="G37" s="16"/>
      <c r="H37" s="44">
        <v>32</v>
      </c>
      <c r="I37" s="45" t="str">
        <f t="shared" si="3"/>
        <v/>
      </c>
      <c r="J37" s="44" t="e">
        <f t="shared" si="4"/>
        <v>#NUM!</v>
      </c>
      <c r="K37" s="44" t="e">
        <f t="shared" si="0"/>
        <v>#NUM!</v>
      </c>
      <c r="L37" s="44"/>
      <c r="M37" s="46">
        <f t="shared" si="1"/>
        <v>0</v>
      </c>
    </row>
    <row r="38" spans="1:21" x14ac:dyDescent="0.25">
      <c r="A38" s="52"/>
      <c r="B38" s="36" t="str">
        <f t="shared" si="5"/>
        <v/>
      </c>
      <c r="C38" s="37"/>
      <c r="D38" s="37"/>
      <c r="E38" s="37"/>
      <c r="F38" s="37"/>
      <c r="G38" s="16"/>
      <c r="H38" s="38">
        <v>33</v>
      </c>
      <c r="I38" s="39" t="str">
        <f t="shared" si="3"/>
        <v/>
      </c>
      <c r="J38" s="38" t="e">
        <f t="shared" si="4"/>
        <v>#NUM!</v>
      </c>
      <c r="K38" s="38" t="e">
        <f t="shared" si="0"/>
        <v>#NUM!</v>
      </c>
      <c r="L38" s="38"/>
      <c r="M38" s="40">
        <f t="shared" si="1"/>
        <v>0</v>
      </c>
    </row>
    <row r="39" spans="1:21" x14ac:dyDescent="0.25">
      <c r="A39" s="51"/>
      <c r="B39" s="42" t="str">
        <f t="shared" si="5"/>
        <v/>
      </c>
      <c r="C39" s="43"/>
      <c r="D39" s="43"/>
      <c r="E39" s="43"/>
      <c r="F39" s="43"/>
      <c r="G39" s="16"/>
      <c r="H39" s="44">
        <v>34</v>
      </c>
      <c r="I39" s="45" t="str">
        <f t="shared" si="3"/>
        <v/>
      </c>
      <c r="J39" s="44" t="e">
        <f t="shared" si="4"/>
        <v>#NUM!</v>
      </c>
      <c r="K39" s="44" t="e">
        <f t="shared" si="0"/>
        <v>#NUM!</v>
      </c>
      <c r="L39" s="44"/>
      <c r="M39" s="46">
        <f t="shared" si="1"/>
        <v>0</v>
      </c>
    </row>
    <row r="40" spans="1:21" x14ac:dyDescent="0.25">
      <c r="A40" s="52"/>
      <c r="B40" s="36" t="str">
        <f t="shared" si="5"/>
        <v/>
      </c>
      <c r="C40" s="37"/>
      <c r="D40" s="37"/>
      <c r="E40" s="37"/>
      <c r="F40" s="37"/>
      <c r="G40" s="16"/>
      <c r="H40" s="38">
        <v>35</v>
      </c>
      <c r="I40" s="39" t="str">
        <f t="shared" si="3"/>
        <v/>
      </c>
      <c r="J40" s="38" t="e">
        <f t="shared" si="4"/>
        <v>#NUM!</v>
      </c>
      <c r="K40" s="38" t="e">
        <f t="shared" si="0"/>
        <v>#NUM!</v>
      </c>
      <c r="L40" s="38"/>
      <c r="M40" s="40">
        <f t="shared" si="1"/>
        <v>0</v>
      </c>
    </row>
    <row r="41" spans="1:21" x14ac:dyDescent="0.25">
      <c r="A41" s="51"/>
      <c r="B41" s="42" t="str">
        <f t="shared" si="5"/>
        <v/>
      </c>
      <c r="C41" s="43"/>
      <c r="D41" s="43"/>
      <c r="E41" s="43"/>
      <c r="F41" s="43"/>
      <c r="G41" s="16"/>
      <c r="H41" s="44">
        <v>36</v>
      </c>
      <c r="I41" s="45" t="str">
        <f t="shared" si="3"/>
        <v/>
      </c>
      <c r="J41" s="44" t="e">
        <f t="shared" si="4"/>
        <v>#NUM!</v>
      </c>
      <c r="K41" s="44" t="e">
        <f t="shared" si="0"/>
        <v>#NUM!</v>
      </c>
      <c r="L41" s="44"/>
      <c r="M41" s="46">
        <f t="shared" si="1"/>
        <v>0</v>
      </c>
      <c r="S41" s="58"/>
    </row>
    <row r="42" spans="1:21" x14ac:dyDescent="0.25">
      <c r="A42" s="52"/>
      <c r="B42" s="36" t="str">
        <f t="shared" si="5"/>
        <v/>
      </c>
      <c r="C42" s="37"/>
      <c r="D42" s="37"/>
      <c r="E42" s="37"/>
      <c r="F42" s="37"/>
      <c r="G42" s="16"/>
      <c r="H42" s="38">
        <v>37</v>
      </c>
      <c r="I42" s="39" t="str">
        <f t="shared" si="3"/>
        <v/>
      </c>
      <c r="J42" s="38" t="e">
        <f t="shared" si="4"/>
        <v>#NUM!</v>
      </c>
      <c r="K42" s="38" t="e">
        <f t="shared" si="0"/>
        <v>#NUM!</v>
      </c>
      <c r="L42" s="38"/>
      <c r="M42" s="40">
        <f t="shared" si="1"/>
        <v>0</v>
      </c>
    </row>
    <row r="43" spans="1:21" x14ac:dyDescent="0.25">
      <c r="A43" s="51"/>
      <c r="B43" s="42" t="str">
        <f t="shared" si="5"/>
        <v/>
      </c>
      <c r="C43" s="43"/>
      <c r="D43" s="43"/>
      <c r="E43" s="43"/>
      <c r="F43" s="43"/>
      <c r="G43" s="16"/>
      <c r="H43" s="44">
        <v>38</v>
      </c>
      <c r="I43" s="45" t="str">
        <f t="shared" si="3"/>
        <v/>
      </c>
      <c r="J43" s="44" t="e">
        <f t="shared" si="4"/>
        <v>#NUM!</v>
      </c>
      <c r="K43" s="44" t="e">
        <f t="shared" si="0"/>
        <v>#NUM!</v>
      </c>
      <c r="L43" s="44"/>
      <c r="M43" s="46">
        <f t="shared" si="1"/>
        <v>0</v>
      </c>
    </row>
    <row r="44" spans="1:21" x14ac:dyDescent="0.25">
      <c r="A44" s="52"/>
      <c r="B44" s="36" t="str">
        <f t="shared" si="5"/>
        <v/>
      </c>
      <c r="C44" s="37"/>
      <c r="D44" s="37"/>
      <c r="E44" s="37"/>
      <c r="F44" s="37"/>
      <c r="G44" s="16"/>
      <c r="H44" s="38">
        <v>39</v>
      </c>
      <c r="I44" s="39" t="str">
        <f t="shared" si="3"/>
        <v/>
      </c>
      <c r="J44" s="38" t="e">
        <f t="shared" si="4"/>
        <v>#NUM!</v>
      </c>
      <c r="K44" s="38" t="e">
        <f t="shared" si="0"/>
        <v>#NUM!</v>
      </c>
      <c r="L44" s="38"/>
      <c r="M44" s="40">
        <f t="shared" si="1"/>
        <v>0</v>
      </c>
    </row>
    <row r="45" spans="1:21" x14ac:dyDescent="0.25">
      <c r="A45" s="51"/>
      <c r="B45" s="42" t="str">
        <f t="shared" si="5"/>
        <v/>
      </c>
      <c r="C45" s="43"/>
      <c r="D45" s="43"/>
      <c r="E45" s="43"/>
      <c r="F45" s="43"/>
      <c r="G45" s="16"/>
      <c r="H45" s="44">
        <v>40</v>
      </c>
      <c r="I45" s="45" t="str">
        <f t="shared" si="3"/>
        <v/>
      </c>
      <c r="J45" s="44" t="e">
        <f t="shared" si="4"/>
        <v>#NUM!</v>
      </c>
      <c r="K45" s="44" t="e">
        <f t="shared" si="0"/>
        <v>#NUM!</v>
      </c>
      <c r="L45" s="44"/>
      <c r="M45" s="46">
        <f t="shared" si="1"/>
        <v>0</v>
      </c>
    </row>
    <row r="46" spans="1:21" x14ac:dyDescent="0.25">
      <c r="A46" s="52"/>
      <c r="B46" s="36" t="str">
        <f t="shared" si="5"/>
        <v/>
      </c>
      <c r="C46" s="37"/>
      <c r="D46" s="37"/>
      <c r="E46" s="37"/>
      <c r="F46" s="37"/>
      <c r="G46" s="16"/>
      <c r="H46" s="38">
        <v>41</v>
      </c>
      <c r="I46" s="39" t="str">
        <f t="shared" si="3"/>
        <v/>
      </c>
      <c r="J46" s="38" t="e">
        <f t="shared" si="4"/>
        <v>#NUM!</v>
      </c>
      <c r="K46" s="38" t="e">
        <f t="shared" si="0"/>
        <v>#NUM!</v>
      </c>
      <c r="L46" s="38"/>
      <c r="M46" s="40">
        <f t="shared" si="1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5"/>
        <v/>
      </c>
      <c r="C47" s="43"/>
      <c r="D47" s="43"/>
      <c r="E47" s="43"/>
      <c r="F47" s="43"/>
      <c r="G47" s="16"/>
      <c r="H47" s="44">
        <v>42</v>
      </c>
      <c r="I47" s="45" t="str">
        <f t="shared" si="3"/>
        <v/>
      </c>
      <c r="J47" s="44" t="e">
        <f t="shared" si="4"/>
        <v>#NUM!</v>
      </c>
      <c r="K47" s="44" t="e">
        <f t="shared" si="0"/>
        <v>#NUM!</v>
      </c>
      <c r="L47" s="44"/>
      <c r="M47" s="46">
        <f t="shared" si="1"/>
        <v>0</v>
      </c>
    </row>
    <row r="48" spans="1:21" x14ac:dyDescent="0.25">
      <c r="A48" s="52"/>
      <c r="B48" s="36" t="str">
        <f t="shared" si="5"/>
        <v/>
      </c>
      <c r="C48" s="37"/>
      <c r="D48" s="37"/>
      <c r="E48" s="37"/>
      <c r="F48" s="37"/>
      <c r="G48" s="16"/>
      <c r="H48" s="38">
        <v>43</v>
      </c>
      <c r="I48" s="39" t="str">
        <f t="shared" si="3"/>
        <v/>
      </c>
      <c r="J48" s="38" t="e">
        <f t="shared" si="4"/>
        <v>#NUM!</v>
      </c>
      <c r="K48" s="38" t="e">
        <f t="shared" si="0"/>
        <v>#NUM!</v>
      </c>
      <c r="L48" s="38"/>
      <c r="M48" s="40">
        <f t="shared" si="1"/>
        <v>0</v>
      </c>
    </row>
    <row r="49" spans="1:13" x14ac:dyDescent="0.25">
      <c r="A49" s="51"/>
      <c r="B49" s="42" t="str">
        <f t="shared" si="5"/>
        <v/>
      </c>
      <c r="C49" s="43"/>
      <c r="D49" s="43"/>
      <c r="E49" s="43"/>
      <c r="F49" s="43"/>
      <c r="G49" s="16"/>
      <c r="H49" s="44">
        <v>44</v>
      </c>
      <c r="I49" s="45" t="str">
        <f t="shared" si="3"/>
        <v/>
      </c>
      <c r="J49" s="44" t="e">
        <f t="shared" si="4"/>
        <v>#NUM!</v>
      </c>
      <c r="K49" s="44" t="e">
        <f t="shared" si="0"/>
        <v>#NUM!</v>
      </c>
      <c r="L49" s="44"/>
      <c r="M49" s="46">
        <f t="shared" si="1"/>
        <v>0</v>
      </c>
    </row>
    <row r="50" spans="1:13" x14ac:dyDescent="0.25">
      <c r="A50" s="52"/>
      <c r="B50" s="36" t="str">
        <f t="shared" si="5"/>
        <v/>
      </c>
      <c r="C50" s="37"/>
      <c r="D50" s="37"/>
      <c r="E50" s="37"/>
      <c r="F50" s="37"/>
      <c r="G50" s="16"/>
      <c r="H50" s="38">
        <v>45</v>
      </c>
      <c r="I50" s="39" t="str">
        <f t="shared" si="3"/>
        <v/>
      </c>
      <c r="J50" s="38" t="e">
        <f t="shared" si="4"/>
        <v>#NUM!</v>
      </c>
      <c r="K50" s="38" t="e">
        <f t="shared" si="0"/>
        <v>#NUM!</v>
      </c>
      <c r="L50" s="38"/>
      <c r="M50" s="40">
        <f t="shared" si="1"/>
        <v>0</v>
      </c>
    </row>
    <row r="51" spans="1:13" x14ac:dyDescent="0.25">
      <c r="A51" s="51"/>
      <c r="B51" s="42" t="str">
        <f t="shared" si="5"/>
        <v/>
      </c>
      <c r="C51" s="43"/>
      <c r="D51" s="43"/>
      <c r="E51" s="43"/>
      <c r="F51" s="43"/>
      <c r="G51" s="16"/>
      <c r="H51" s="44">
        <v>46</v>
      </c>
      <c r="I51" s="45" t="str">
        <f t="shared" si="3"/>
        <v/>
      </c>
      <c r="J51" s="44" t="e">
        <f t="shared" si="4"/>
        <v>#NUM!</v>
      </c>
      <c r="K51" s="44" t="e">
        <f t="shared" si="0"/>
        <v>#NUM!</v>
      </c>
      <c r="L51" s="44"/>
      <c r="M51" s="46">
        <f t="shared" si="1"/>
        <v>0</v>
      </c>
    </row>
    <row r="52" spans="1:13" x14ac:dyDescent="0.25">
      <c r="A52" s="52"/>
      <c r="B52" s="36" t="str">
        <f t="shared" si="5"/>
        <v/>
      </c>
      <c r="C52" s="37"/>
      <c r="D52" s="37"/>
      <c r="E52" s="37"/>
      <c r="F52" s="37"/>
      <c r="G52" s="16"/>
      <c r="H52" s="38">
        <v>47</v>
      </c>
      <c r="I52" s="39" t="str">
        <f t="shared" si="3"/>
        <v/>
      </c>
      <c r="J52" s="38" t="e">
        <f t="shared" si="4"/>
        <v>#NUM!</v>
      </c>
      <c r="K52" s="38" t="e">
        <f t="shared" si="0"/>
        <v>#NUM!</v>
      </c>
      <c r="L52" s="38"/>
      <c r="M52" s="40">
        <f t="shared" si="1"/>
        <v>0</v>
      </c>
    </row>
    <row r="53" spans="1:13" x14ac:dyDescent="0.25">
      <c r="A53" s="51"/>
      <c r="B53" s="42" t="str">
        <f t="shared" si="5"/>
        <v/>
      </c>
      <c r="C53" s="43"/>
      <c r="D53" s="43"/>
      <c r="E53" s="43"/>
      <c r="F53" s="43"/>
      <c r="G53" s="16"/>
      <c r="H53" s="44">
        <v>48</v>
      </c>
      <c r="I53" s="45" t="str">
        <f t="shared" si="3"/>
        <v/>
      </c>
      <c r="J53" s="44" t="e">
        <f t="shared" si="4"/>
        <v>#NUM!</v>
      </c>
      <c r="K53" s="44" t="e">
        <f t="shared" si="0"/>
        <v>#NUM!</v>
      </c>
      <c r="L53" s="44"/>
      <c r="M53" s="46">
        <f t="shared" si="1"/>
        <v>0</v>
      </c>
    </row>
    <row r="54" spans="1:13" x14ac:dyDescent="0.25">
      <c r="A54" s="52"/>
      <c r="B54" s="36" t="str">
        <f t="shared" si="5"/>
        <v/>
      </c>
      <c r="C54" s="37"/>
      <c r="D54" s="37"/>
      <c r="E54" s="37"/>
      <c r="F54" s="37"/>
      <c r="G54" s="16"/>
      <c r="H54" s="38">
        <v>49</v>
      </c>
      <c r="I54" s="39" t="str">
        <f t="shared" si="3"/>
        <v/>
      </c>
      <c r="J54" s="38" t="e">
        <f t="shared" si="4"/>
        <v>#NUM!</v>
      </c>
      <c r="K54" s="38" t="e">
        <f t="shared" si="0"/>
        <v>#NUM!</v>
      </c>
      <c r="L54" s="38"/>
      <c r="M54" s="40">
        <f t="shared" si="1"/>
        <v>0</v>
      </c>
    </row>
    <row r="55" spans="1:13" x14ac:dyDescent="0.25">
      <c r="A55" s="51"/>
      <c r="B55" s="42" t="str">
        <f t="shared" si="5"/>
        <v/>
      </c>
      <c r="C55" s="43"/>
      <c r="D55" s="43"/>
      <c r="E55" s="43"/>
      <c r="F55" s="43"/>
      <c r="G55" s="16"/>
      <c r="H55" s="44">
        <v>50</v>
      </c>
      <c r="I55" s="45" t="str">
        <f t="shared" si="3"/>
        <v/>
      </c>
      <c r="J55" s="44" t="e">
        <f t="shared" si="4"/>
        <v>#NUM!</v>
      </c>
      <c r="K55" s="44" t="e">
        <f t="shared" si="0"/>
        <v>#NUM!</v>
      </c>
      <c r="L55" s="44"/>
      <c r="M55" s="46">
        <f t="shared" si="1"/>
        <v>0</v>
      </c>
    </row>
    <row r="56" spans="1:13" x14ac:dyDescent="0.25">
      <c r="A56" s="52"/>
      <c r="B56" s="36" t="str">
        <f t="shared" si="5"/>
        <v/>
      </c>
      <c r="C56" s="37"/>
      <c r="D56" s="37"/>
      <c r="E56" s="37"/>
      <c r="F56" s="37"/>
      <c r="G56" s="16"/>
      <c r="H56" s="38">
        <v>51</v>
      </c>
      <c r="I56" s="39" t="str">
        <f t="shared" si="3"/>
        <v/>
      </c>
      <c r="J56" s="38" t="e">
        <f t="shared" si="4"/>
        <v>#NUM!</v>
      </c>
      <c r="K56" s="38" t="e">
        <f t="shared" si="0"/>
        <v>#NUM!</v>
      </c>
      <c r="L56" s="38"/>
      <c r="M56" s="40">
        <f t="shared" si="1"/>
        <v>0</v>
      </c>
    </row>
    <row r="57" spans="1:13" x14ac:dyDescent="0.25">
      <c r="A57" s="51"/>
      <c r="B57" s="42" t="str">
        <f t="shared" si="5"/>
        <v/>
      </c>
      <c r="C57" s="43"/>
      <c r="D57" s="43"/>
      <c r="E57" s="43"/>
      <c r="F57" s="43"/>
      <c r="G57" s="16"/>
      <c r="H57" s="44">
        <v>52</v>
      </c>
      <c r="I57" s="45" t="str">
        <f t="shared" si="3"/>
        <v/>
      </c>
      <c r="J57" s="44" t="e">
        <f t="shared" si="4"/>
        <v>#NUM!</v>
      </c>
      <c r="K57" s="44" t="e">
        <f t="shared" si="0"/>
        <v>#NUM!</v>
      </c>
      <c r="L57" s="44"/>
      <c r="M57" s="46">
        <f t="shared" si="1"/>
        <v>0</v>
      </c>
    </row>
    <row r="58" spans="1:13" x14ac:dyDescent="0.25">
      <c r="A58" s="52"/>
      <c r="B58" s="36" t="str">
        <f t="shared" si="5"/>
        <v/>
      </c>
      <c r="C58" s="37"/>
      <c r="D58" s="37"/>
      <c r="E58" s="37"/>
      <c r="F58" s="37"/>
      <c r="G58" s="16"/>
      <c r="H58" s="38">
        <v>53</v>
      </c>
      <c r="I58" s="39" t="str">
        <f t="shared" si="3"/>
        <v/>
      </c>
      <c r="J58" s="38" t="e">
        <f t="shared" si="4"/>
        <v>#NUM!</v>
      </c>
      <c r="K58" s="38" t="e">
        <f t="shared" si="0"/>
        <v>#NUM!</v>
      </c>
      <c r="L58" s="38"/>
      <c r="M58" s="40">
        <f t="shared" si="1"/>
        <v>0</v>
      </c>
    </row>
    <row r="59" spans="1:13" x14ac:dyDescent="0.25">
      <c r="A59" s="51"/>
      <c r="B59" s="42" t="str">
        <f t="shared" si="5"/>
        <v/>
      </c>
      <c r="C59" s="43"/>
      <c r="D59" s="43"/>
      <c r="E59" s="43"/>
      <c r="F59" s="43"/>
      <c r="G59" s="16"/>
      <c r="H59" s="44">
        <v>54</v>
      </c>
      <c r="I59" s="45" t="str">
        <f t="shared" si="3"/>
        <v/>
      </c>
      <c r="J59" s="44" t="e">
        <f t="shared" si="4"/>
        <v>#NUM!</v>
      </c>
      <c r="K59" s="44" t="e">
        <f t="shared" si="0"/>
        <v>#NUM!</v>
      </c>
      <c r="L59" s="44"/>
      <c r="M59" s="46">
        <f t="shared" si="1"/>
        <v>0</v>
      </c>
    </row>
    <row r="60" spans="1:13" x14ac:dyDescent="0.25">
      <c r="A60" s="52"/>
      <c r="B60" s="36" t="str">
        <f t="shared" si="5"/>
        <v/>
      </c>
      <c r="C60" s="37"/>
      <c r="D60" s="37"/>
      <c r="E60" s="37"/>
      <c r="F60" s="37"/>
      <c r="G60" s="16"/>
      <c r="H60" s="38">
        <v>55</v>
      </c>
      <c r="I60" s="39" t="str">
        <f t="shared" si="3"/>
        <v/>
      </c>
      <c r="J60" s="38" t="e">
        <f t="shared" si="4"/>
        <v>#NUM!</v>
      </c>
      <c r="K60" s="38" t="e">
        <f t="shared" si="0"/>
        <v>#NUM!</v>
      </c>
      <c r="L60" s="38"/>
      <c r="M60" s="40">
        <f t="shared" si="1"/>
        <v>0</v>
      </c>
    </row>
    <row r="61" spans="1:13" x14ac:dyDescent="0.25">
      <c r="A61" s="51"/>
      <c r="B61" s="42" t="str">
        <f t="shared" si="5"/>
        <v/>
      </c>
      <c r="C61" s="43"/>
      <c r="D61" s="43"/>
      <c r="E61" s="43"/>
      <c r="F61" s="43"/>
      <c r="G61" s="16"/>
      <c r="H61" s="44">
        <v>56</v>
      </c>
      <c r="I61" s="45" t="str">
        <f t="shared" si="3"/>
        <v/>
      </c>
      <c r="J61" s="44" t="e">
        <f t="shared" si="4"/>
        <v>#NUM!</v>
      </c>
      <c r="K61" s="44" t="e">
        <f t="shared" si="0"/>
        <v>#NUM!</v>
      </c>
      <c r="L61" s="44"/>
      <c r="M61" s="46">
        <f t="shared" si="1"/>
        <v>0</v>
      </c>
    </row>
    <row r="62" spans="1:13" x14ac:dyDescent="0.25">
      <c r="A62" s="52"/>
      <c r="B62" s="36" t="str">
        <f t="shared" si="5"/>
        <v/>
      </c>
      <c r="C62" s="37"/>
      <c r="D62" s="37"/>
      <c r="E62" s="37"/>
      <c r="F62" s="37"/>
      <c r="G62" s="16"/>
      <c r="H62" s="38">
        <v>57</v>
      </c>
      <c r="I62" s="39" t="str">
        <f t="shared" si="3"/>
        <v/>
      </c>
      <c r="J62" s="38" t="e">
        <f t="shared" si="4"/>
        <v>#NUM!</v>
      </c>
      <c r="K62" s="38" t="e">
        <f t="shared" si="0"/>
        <v>#NUM!</v>
      </c>
      <c r="L62" s="38"/>
      <c r="M62" s="40">
        <f t="shared" si="1"/>
        <v>0</v>
      </c>
    </row>
    <row r="63" spans="1:13" x14ac:dyDescent="0.25">
      <c r="A63" s="51"/>
      <c r="B63" s="42" t="str">
        <f t="shared" si="5"/>
        <v/>
      </c>
      <c r="C63" s="43"/>
      <c r="D63" s="43"/>
      <c r="E63" s="43"/>
      <c r="F63" s="43"/>
      <c r="G63" s="16"/>
      <c r="H63" s="44">
        <v>58</v>
      </c>
      <c r="I63" s="45" t="str">
        <f t="shared" si="3"/>
        <v/>
      </c>
      <c r="J63" s="44" t="e">
        <f t="shared" si="4"/>
        <v>#NUM!</v>
      </c>
      <c r="K63" s="44" t="e">
        <f t="shared" si="0"/>
        <v>#NUM!</v>
      </c>
      <c r="L63" s="44"/>
      <c r="M63" s="46">
        <f t="shared" si="1"/>
        <v>0</v>
      </c>
    </row>
    <row r="64" spans="1:13" x14ac:dyDescent="0.25">
      <c r="A64" s="52"/>
      <c r="B64" s="36" t="str">
        <f t="shared" si="5"/>
        <v/>
      </c>
      <c r="C64" s="37"/>
      <c r="D64" s="37"/>
      <c r="E64" s="37"/>
      <c r="F64" s="37"/>
      <c r="G64" s="16"/>
      <c r="H64" s="38">
        <v>59</v>
      </c>
      <c r="I64" s="39" t="str">
        <f t="shared" si="3"/>
        <v/>
      </c>
      <c r="J64" s="38" t="e">
        <f t="shared" si="4"/>
        <v>#NUM!</v>
      </c>
      <c r="K64" s="38" t="e">
        <f t="shared" si="0"/>
        <v>#NUM!</v>
      </c>
      <c r="L64" s="38"/>
      <c r="M64" s="40">
        <f t="shared" si="1"/>
        <v>0</v>
      </c>
    </row>
    <row r="65" spans="1:13" x14ac:dyDescent="0.25">
      <c r="A65" s="51"/>
      <c r="B65" s="42" t="str">
        <f t="shared" si="5"/>
        <v/>
      </c>
      <c r="C65" s="43"/>
      <c r="D65" s="43"/>
      <c r="E65" s="43"/>
      <c r="F65" s="43"/>
      <c r="G65" s="16"/>
      <c r="H65" s="44">
        <v>60</v>
      </c>
      <c r="I65" s="45" t="str">
        <f t="shared" si="3"/>
        <v/>
      </c>
      <c r="J65" s="44" t="e">
        <f t="shared" si="4"/>
        <v>#NUM!</v>
      </c>
      <c r="K65" s="44" t="e">
        <f t="shared" si="0"/>
        <v>#NUM!</v>
      </c>
      <c r="L65" s="44"/>
      <c r="M65" s="46">
        <f t="shared" si="1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3"/>
        <v/>
      </c>
      <c r="J66" s="38" t="e">
        <f t="shared" si="4"/>
        <v>#NUM!</v>
      </c>
      <c r="K66" s="38" t="e">
        <f t="shared" si="0"/>
        <v>#NUM!</v>
      </c>
      <c r="L66" s="38"/>
      <c r="M66" s="40">
        <f t="shared" si="1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3"/>
        <v/>
      </c>
      <c r="J67" s="38" t="e">
        <f t="shared" si="4"/>
        <v>#NUM!</v>
      </c>
      <c r="K67" s="38" t="e">
        <f t="shared" si="0"/>
        <v>#NUM!</v>
      </c>
      <c r="L67" s="38"/>
      <c r="M67" s="40">
        <f t="shared" si="1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3"/>
        <v/>
      </c>
      <c r="J68" s="38" t="e">
        <f t="shared" si="4"/>
        <v>#NUM!</v>
      </c>
      <c r="K68" s="38" t="e">
        <f t="shared" si="0"/>
        <v>#NUM!</v>
      </c>
      <c r="L68" s="38"/>
      <c r="M68" s="40">
        <f t="shared" si="1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3"/>
        <v/>
      </c>
      <c r="J69" s="38" t="e">
        <f t="shared" si="4"/>
        <v>#NUM!</v>
      </c>
      <c r="K69" s="38" t="e">
        <f t="shared" si="0"/>
        <v>#NUM!</v>
      </c>
      <c r="L69" s="38"/>
      <c r="M69" s="40">
        <f t="shared" si="1"/>
        <v>0</v>
      </c>
    </row>
    <row r="70" spans="1:13" x14ac:dyDescent="0.25">
      <c r="A70" s="59"/>
      <c r="G70" s="16"/>
      <c r="H70" s="38">
        <v>65</v>
      </c>
      <c r="I70" s="39" t="str">
        <f t="shared" ref="I70:I133" si="6">IF(H70&lt;$H$2+1,($I$2-($I$2-1)*(LOG(H70)/LOG($H$2))),"")</f>
        <v/>
      </c>
      <c r="J70" s="38" t="e">
        <f t="shared" si="4"/>
        <v>#NUM!</v>
      </c>
      <c r="K70" s="38" t="e">
        <f t="shared" ref="K70:K133" si="7">J70*$J$2</f>
        <v>#NUM!</v>
      </c>
      <c r="L70" s="38"/>
      <c r="M70" s="40">
        <f t="shared" ref="M70:M133" si="8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6"/>
        <v/>
      </c>
      <c r="J71" s="38" t="e">
        <f t="shared" ref="J71:J134" si="9">INT(LOG($H$2,2))-ROUNDUP(LOG(H71,2),0)+IF(OR($H$2=1,$H$2=2,$H$2=4,$H$2=8,$H$2=16,$H$2=32,$H$2=64,$H$2=128,$H$2=256),0,1)</f>
        <v>#NUM!</v>
      </c>
      <c r="K71" s="38" t="e">
        <f t="shared" si="7"/>
        <v>#NUM!</v>
      </c>
      <c r="L71" s="38"/>
      <c r="M71" s="40">
        <f t="shared" si="8"/>
        <v>0</v>
      </c>
    </row>
    <row r="72" spans="1:13" x14ac:dyDescent="0.25">
      <c r="A72" s="59"/>
      <c r="G72" s="16"/>
      <c r="H72" s="38">
        <v>67</v>
      </c>
      <c r="I72" s="39" t="str">
        <f t="shared" si="6"/>
        <v/>
      </c>
      <c r="J72" s="38" t="e">
        <f t="shared" si="9"/>
        <v>#NUM!</v>
      </c>
      <c r="K72" s="38" t="e">
        <f t="shared" si="7"/>
        <v>#NUM!</v>
      </c>
      <c r="L72" s="38"/>
      <c r="M72" s="40">
        <f t="shared" si="8"/>
        <v>0</v>
      </c>
    </row>
    <row r="73" spans="1:13" x14ac:dyDescent="0.25">
      <c r="A73" s="59"/>
      <c r="G73" s="16"/>
      <c r="H73" s="38">
        <v>68</v>
      </c>
      <c r="I73" s="39" t="str">
        <f t="shared" si="6"/>
        <v/>
      </c>
      <c r="J73" s="38" t="e">
        <f t="shared" si="9"/>
        <v>#NUM!</v>
      </c>
      <c r="K73" s="38" t="e">
        <f t="shared" si="7"/>
        <v>#NUM!</v>
      </c>
      <c r="L73" s="38"/>
      <c r="M73" s="40">
        <f t="shared" si="8"/>
        <v>0</v>
      </c>
    </row>
    <row r="74" spans="1:13" x14ac:dyDescent="0.25">
      <c r="A74" s="59"/>
      <c r="G74" s="16"/>
      <c r="H74" s="38">
        <v>69</v>
      </c>
      <c r="I74" s="39" t="str">
        <f t="shared" si="6"/>
        <v/>
      </c>
      <c r="J74" s="38" t="e">
        <f t="shared" si="9"/>
        <v>#NUM!</v>
      </c>
      <c r="K74" s="38" t="e">
        <f t="shared" si="7"/>
        <v>#NUM!</v>
      </c>
      <c r="L74" s="38"/>
      <c r="M74" s="40">
        <f t="shared" si="8"/>
        <v>0</v>
      </c>
    </row>
    <row r="75" spans="1:13" x14ac:dyDescent="0.25">
      <c r="A75" s="59"/>
      <c r="G75" s="16"/>
      <c r="H75" s="38">
        <v>70</v>
      </c>
      <c r="I75" s="39" t="str">
        <f t="shared" si="6"/>
        <v/>
      </c>
      <c r="J75" s="38" t="e">
        <f t="shared" si="9"/>
        <v>#NUM!</v>
      </c>
      <c r="K75" s="38" t="e">
        <f t="shared" si="7"/>
        <v>#NUM!</v>
      </c>
      <c r="L75" s="38"/>
      <c r="M75" s="40">
        <f t="shared" si="8"/>
        <v>0</v>
      </c>
    </row>
    <row r="76" spans="1:13" x14ac:dyDescent="0.25">
      <c r="A76" s="59"/>
      <c r="G76" s="16"/>
      <c r="H76" s="38">
        <v>71</v>
      </c>
      <c r="I76" s="39" t="str">
        <f t="shared" si="6"/>
        <v/>
      </c>
      <c r="J76" s="38" t="e">
        <f t="shared" si="9"/>
        <v>#NUM!</v>
      </c>
      <c r="K76" s="38" t="e">
        <f t="shared" si="7"/>
        <v>#NUM!</v>
      </c>
      <c r="L76" s="38"/>
      <c r="M76" s="40">
        <f t="shared" si="8"/>
        <v>0</v>
      </c>
    </row>
    <row r="77" spans="1:13" x14ac:dyDescent="0.25">
      <c r="A77" s="59"/>
      <c r="G77" s="16"/>
      <c r="H77" s="38">
        <v>72</v>
      </c>
      <c r="I77" s="39" t="str">
        <f t="shared" si="6"/>
        <v/>
      </c>
      <c r="J77" s="38" t="e">
        <f t="shared" si="9"/>
        <v>#NUM!</v>
      </c>
      <c r="K77" s="38" t="e">
        <f t="shared" si="7"/>
        <v>#NUM!</v>
      </c>
      <c r="L77" s="38"/>
      <c r="M77" s="40">
        <f t="shared" si="8"/>
        <v>0</v>
      </c>
    </row>
    <row r="78" spans="1:13" x14ac:dyDescent="0.25">
      <c r="A78" s="59"/>
      <c r="G78" s="16"/>
      <c r="H78" s="38">
        <v>73</v>
      </c>
      <c r="I78" s="39" t="str">
        <f t="shared" si="6"/>
        <v/>
      </c>
      <c r="J78" s="38" t="e">
        <f t="shared" si="9"/>
        <v>#NUM!</v>
      </c>
      <c r="K78" s="38" t="e">
        <f t="shared" si="7"/>
        <v>#NUM!</v>
      </c>
      <c r="L78" s="38"/>
      <c r="M78" s="40">
        <f t="shared" si="8"/>
        <v>0</v>
      </c>
    </row>
    <row r="79" spans="1:13" x14ac:dyDescent="0.25">
      <c r="A79" s="59"/>
      <c r="G79" s="16"/>
      <c r="H79" s="38">
        <v>74</v>
      </c>
      <c r="I79" s="39" t="str">
        <f t="shared" si="6"/>
        <v/>
      </c>
      <c r="J79" s="38" t="e">
        <f t="shared" si="9"/>
        <v>#NUM!</v>
      </c>
      <c r="K79" s="38" t="e">
        <f t="shared" si="7"/>
        <v>#NUM!</v>
      </c>
      <c r="L79" s="38"/>
      <c r="M79" s="40">
        <f t="shared" si="8"/>
        <v>0</v>
      </c>
    </row>
    <row r="80" spans="1:13" x14ac:dyDescent="0.25">
      <c r="A80" s="59"/>
      <c r="G80" s="16"/>
      <c r="H80" s="38">
        <v>75</v>
      </c>
      <c r="I80" s="39" t="str">
        <f t="shared" si="6"/>
        <v/>
      </c>
      <c r="J80" s="38" t="e">
        <f t="shared" si="9"/>
        <v>#NUM!</v>
      </c>
      <c r="K80" s="38" t="e">
        <f t="shared" si="7"/>
        <v>#NUM!</v>
      </c>
      <c r="L80" s="38"/>
      <c r="M80" s="40">
        <f t="shared" si="8"/>
        <v>0</v>
      </c>
    </row>
    <row r="81" spans="1:13" x14ac:dyDescent="0.25">
      <c r="A81" s="59"/>
      <c r="G81" s="16"/>
      <c r="H81" s="38">
        <v>76</v>
      </c>
      <c r="I81" s="39" t="str">
        <f t="shared" si="6"/>
        <v/>
      </c>
      <c r="J81" s="38" t="e">
        <f t="shared" si="9"/>
        <v>#NUM!</v>
      </c>
      <c r="K81" s="38" t="e">
        <f t="shared" si="7"/>
        <v>#NUM!</v>
      </c>
      <c r="L81" s="38"/>
      <c r="M81" s="40">
        <f t="shared" si="8"/>
        <v>0</v>
      </c>
    </row>
    <row r="82" spans="1:13" x14ac:dyDescent="0.25">
      <c r="A82" s="59"/>
      <c r="G82" s="16"/>
      <c r="H82" s="38">
        <v>77</v>
      </c>
      <c r="I82" s="39" t="str">
        <f t="shared" si="6"/>
        <v/>
      </c>
      <c r="J82" s="38" t="e">
        <f t="shared" si="9"/>
        <v>#NUM!</v>
      </c>
      <c r="K82" s="38" t="e">
        <f t="shared" si="7"/>
        <v>#NUM!</v>
      </c>
      <c r="L82" s="38"/>
      <c r="M82" s="40">
        <f t="shared" si="8"/>
        <v>0</v>
      </c>
    </row>
    <row r="83" spans="1:13" x14ac:dyDescent="0.25">
      <c r="A83" s="59"/>
      <c r="G83" s="16"/>
      <c r="H83" s="38">
        <v>78</v>
      </c>
      <c r="I83" s="39" t="str">
        <f t="shared" si="6"/>
        <v/>
      </c>
      <c r="J83" s="38" t="e">
        <f t="shared" si="9"/>
        <v>#NUM!</v>
      </c>
      <c r="K83" s="38" t="e">
        <f t="shared" si="7"/>
        <v>#NUM!</v>
      </c>
      <c r="L83" s="38"/>
      <c r="M83" s="40">
        <f t="shared" si="8"/>
        <v>0</v>
      </c>
    </row>
    <row r="84" spans="1:13" x14ac:dyDescent="0.25">
      <c r="A84" s="59"/>
      <c r="G84" s="16"/>
      <c r="H84" s="38">
        <v>79</v>
      </c>
      <c r="I84" s="39" t="str">
        <f t="shared" si="6"/>
        <v/>
      </c>
      <c r="J84" s="38" t="e">
        <f t="shared" si="9"/>
        <v>#NUM!</v>
      </c>
      <c r="K84" s="38" t="e">
        <f t="shared" si="7"/>
        <v>#NUM!</v>
      </c>
      <c r="L84" s="38"/>
      <c r="M84" s="40">
        <f t="shared" si="8"/>
        <v>0</v>
      </c>
    </row>
    <row r="85" spans="1:13" x14ac:dyDescent="0.25">
      <c r="A85" s="59"/>
      <c r="G85" s="16"/>
      <c r="H85" s="38">
        <v>80</v>
      </c>
      <c r="I85" s="39" t="str">
        <f t="shared" si="6"/>
        <v/>
      </c>
      <c r="J85" s="38" t="e">
        <f t="shared" si="9"/>
        <v>#NUM!</v>
      </c>
      <c r="K85" s="38" t="e">
        <f t="shared" si="7"/>
        <v>#NUM!</v>
      </c>
      <c r="L85" s="38"/>
      <c r="M85" s="40">
        <f t="shared" si="8"/>
        <v>0</v>
      </c>
    </row>
    <row r="86" spans="1:13" x14ac:dyDescent="0.25">
      <c r="A86" s="59"/>
      <c r="G86" s="16"/>
      <c r="H86" s="38">
        <v>81</v>
      </c>
      <c r="I86" s="39" t="str">
        <f t="shared" si="6"/>
        <v/>
      </c>
      <c r="J86" s="38" t="e">
        <f t="shared" si="9"/>
        <v>#NUM!</v>
      </c>
      <c r="K86" s="38" t="e">
        <f t="shared" si="7"/>
        <v>#NUM!</v>
      </c>
      <c r="L86" s="38"/>
      <c r="M86" s="40">
        <f t="shared" si="8"/>
        <v>0</v>
      </c>
    </row>
    <row r="87" spans="1:13" x14ac:dyDescent="0.25">
      <c r="A87" s="59"/>
      <c r="G87" s="16"/>
      <c r="H87" s="38">
        <v>82</v>
      </c>
      <c r="I87" s="39" t="str">
        <f t="shared" si="6"/>
        <v/>
      </c>
      <c r="J87" s="38" t="e">
        <f t="shared" si="9"/>
        <v>#NUM!</v>
      </c>
      <c r="K87" s="38" t="e">
        <f t="shared" si="7"/>
        <v>#NUM!</v>
      </c>
      <c r="L87" s="38"/>
      <c r="M87" s="40">
        <f t="shared" si="8"/>
        <v>0</v>
      </c>
    </row>
    <row r="88" spans="1:13" x14ac:dyDescent="0.25">
      <c r="A88" s="59"/>
      <c r="G88" s="16"/>
      <c r="H88" s="38">
        <v>83</v>
      </c>
      <c r="I88" s="39" t="str">
        <f t="shared" si="6"/>
        <v/>
      </c>
      <c r="J88" s="38" t="e">
        <f t="shared" si="9"/>
        <v>#NUM!</v>
      </c>
      <c r="K88" s="38" t="e">
        <f t="shared" si="7"/>
        <v>#NUM!</v>
      </c>
      <c r="L88" s="38"/>
      <c r="M88" s="40">
        <f t="shared" si="8"/>
        <v>0</v>
      </c>
    </row>
    <row r="89" spans="1:13" x14ac:dyDescent="0.25">
      <c r="A89" s="59"/>
      <c r="G89" s="16"/>
      <c r="H89" s="38">
        <v>84</v>
      </c>
      <c r="I89" s="39" t="str">
        <f t="shared" si="6"/>
        <v/>
      </c>
      <c r="J89" s="38" t="e">
        <f t="shared" si="9"/>
        <v>#NUM!</v>
      </c>
      <c r="K89" s="38" t="e">
        <f t="shared" si="7"/>
        <v>#NUM!</v>
      </c>
      <c r="L89" s="38"/>
      <c r="M89" s="40">
        <f t="shared" si="8"/>
        <v>0</v>
      </c>
    </row>
    <row r="90" spans="1:13" x14ac:dyDescent="0.25">
      <c r="A90" s="59"/>
      <c r="G90" s="16"/>
      <c r="H90" s="38">
        <v>85</v>
      </c>
      <c r="I90" s="39" t="str">
        <f t="shared" si="6"/>
        <v/>
      </c>
      <c r="J90" s="38" t="e">
        <f t="shared" si="9"/>
        <v>#NUM!</v>
      </c>
      <c r="K90" s="38" t="e">
        <f t="shared" si="7"/>
        <v>#NUM!</v>
      </c>
      <c r="L90" s="38"/>
      <c r="M90" s="40">
        <f t="shared" si="8"/>
        <v>0</v>
      </c>
    </row>
    <row r="91" spans="1:13" x14ac:dyDescent="0.25">
      <c r="A91" s="59"/>
      <c r="G91" s="16"/>
      <c r="H91" s="38">
        <v>86</v>
      </c>
      <c r="I91" s="39" t="str">
        <f t="shared" si="6"/>
        <v/>
      </c>
      <c r="J91" s="38" t="e">
        <f t="shared" si="9"/>
        <v>#NUM!</v>
      </c>
      <c r="K91" s="38" t="e">
        <f t="shared" si="7"/>
        <v>#NUM!</v>
      </c>
      <c r="L91" s="38"/>
      <c r="M91" s="40">
        <f t="shared" si="8"/>
        <v>0</v>
      </c>
    </row>
    <row r="92" spans="1:13" x14ac:dyDescent="0.25">
      <c r="A92" s="59"/>
      <c r="G92" s="16"/>
      <c r="H92" s="38">
        <v>87</v>
      </c>
      <c r="I92" s="39" t="str">
        <f t="shared" si="6"/>
        <v/>
      </c>
      <c r="J92" s="38" t="e">
        <f t="shared" si="9"/>
        <v>#NUM!</v>
      </c>
      <c r="K92" s="38" t="e">
        <f t="shared" si="7"/>
        <v>#NUM!</v>
      </c>
      <c r="L92" s="38"/>
      <c r="M92" s="40">
        <f t="shared" si="8"/>
        <v>0</v>
      </c>
    </row>
    <row r="93" spans="1:13" x14ac:dyDescent="0.25">
      <c r="A93" s="59"/>
      <c r="G93" s="16"/>
      <c r="H93" s="38">
        <v>88</v>
      </c>
      <c r="I93" s="39" t="str">
        <f t="shared" si="6"/>
        <v/>
      </c>
      <c r="J93" s="38" t="e">
        <f t="shared" si="9"/>
        <v>#NUM!</v>
      </c>
      <c r="K93" s="38" t="e">
        <f t="shared" si="7"/>
        <v>#NUM!</v>
      </c>
      <c r="L93" s="38"/>
      <c r="M93" s="40">
        <f t="shared" si="8"/>
        <v>0</v>
      </c>
    </row>
    <row r="94" spans="1:13" x14ac:dyDescent="0.25">
      <c r="A94" s="59"/>
      <c r="G94" s="16"/>
      <c r="H94" s="38">
        <v>89</v>
      </c>
      <c r="I94" s="39" t="str">
        <f t="shared" si="6"/>
        <v/>
      </c>
      <c r="J94" s="38" t="e">
        <f t="shared" si="9"/>
        <v>#NUM!</v>
      </c>
      <c r="K94" s="38" t="e">
        <f t="shared" si="7"/>
        <v>#NUM!</v>
      </c>
      <c r="L94" s="38"/>
      <c r="M94" s="40">
        <f t="shared" si="8"/>
        <v>0</v>
      </c>
    </row>
    <row r="95" spans="1:13" x14ac:dyDescent="0.25">
      <c r="A95" s="59"/>
      <c r="G95" s="16"/>
      <c r="H95" s="38">
        <v>90</v>
      </c>
      <c r="I95" s="39" t="str">
        <f t="shared" si="6"/>
        <v/>
      </c>
      <c r="J95" s="38" t="e">
        <f t="shared" si="9"/>
        <v>#NUM!</v>
      </c>
      <c r="K95" s="38" t="e">
        <f t="shared" si="7"/>
        <v>#NUM!</v>
      </c>
      <c r="L95" s="38"/>
      <c r="M95" s="40">
        <f t="shared" si="8"/>
        <v>0</v>
      </c>
    </row>
    <row r="96" spans="1:13" x14ac:dyDescent="0.25">
      <c r="A96" s="59"/>
      <c r="G96" s="16"/>
      <c r="H96" s="38">
        <v>91</v>
      </c>
      <c r="I96" s="39" t="str">
        <f t="shared" si="6"/>
        <v/>
      </c>
      <c r="J96" s="38" t="e">
        <f t="shared" si="9"/>
        <v>#NUM!</v>
      </c>
      <c r="K96" s="38" t="e">
        <f t="shared" si="7"/>
        <v>#NUM!</v>
      </c>
      <c r="L96" s="38"/>
      <c r="M96" s="40">
        <f t="shared" si="8"/>
        <v>0</v>
      </c>
    </row>
    <row r="97" spans="1:13" x14ac:dyDescent="0.25">
      <c r="A97" s="59"/>
      <c r="G97" s="16"/>
      <c r="H97" s="38">
        <v>92</v>
      </c>
      <c r="I97" s="39" t="str">
        <f t="shared" si="6"/>
        <v/>
      </c>
      <c r="J97" s="38" t="e">
        <f t="shared" si="9"/>
        <v>#NUM!</v>
      </c>
      <c r="K97" s="38" t="e">
        <f t="shared" si="7"/>
        <v>#NUM!</v>
      </c>
      <c r="L97" s="38"/>
      <c r="M97" s="40">
        <f t="shared" si="8"/>
        <v>0</v>
      </c>
    </row>
    <row r="98" spans="1:13" x14ac:dyDescent="0.25">
      <c r="A98" s="59"/>
      <c r="G98" s="16"/>
      <c r="H98" s="38">
        <v>93</v>
      </c>
      <c r="I98" s="39" t="str">
        <f t="shared" si="6"/>
        <v/>
      </c>
      <c r="J98" s="38" t="e">
        <f t="shared" si="9"/>
        <v>#NUM!</v>
      </c>
      <c r="K98" s="38" t="e">
        <f t="shared" si="7"/>
        <v>#NUM!</v>
      </c>
      <c r="L98" s="38"/>
      <c r="M98" s="40">
        <f t="shared" si="8"/>
        <v>0</v>
      </c>
    </row>
    <row r="99" spans="1:13" x14ac:dyDescent="0.25">
      <c r="A99" s="59"/>
      <c r="G99" s="16"/>
      <c r="H99" s="38">
        <v>94</v>
      </c>
      <c r="I99" s="39" t="str">
        <f t="shared" si="6"/>
        <v/>
      </c>
      <c r="J99" s="38" t="e">
        <f t="shared" si="9"/>
        <v>#NUM!</v>
      </c>
      <c r="K99" s="38" t="e">
        <f t="shared" si="7"/>
        <v>#NUM!</v>
      </c>
      <c r="L99" s="38"/>
      <c r="M99" s="40">
        <f t="shared" si="8"/>
        <v>0</v>
      </c>
    </row>
    <row r="100" spans="1:13" x14ac:dyDescent="0.25">
      <c r="A100" s="59"/>
      <c r="G100" s="16"/>
      <c r="H100" s="38">
        <v>95</v>
      </c>
      <c r="I100" s="39" t="str">
        <f t="shared" si="6"/>
        <v/>
      </c>
      <c r="J100" s="38" t="e">
        <f t="shared" si="9"/>
        <v>#NUM!</v>
      </c>
      <c r="K100" s="38" t="e">
        <f t="shared" si="7"/>
        <v>#NUM!</v>
      </c>
      <c r="L100" s="38"/>
      <c r="M100" s="40">
        <f t="shared" si="8"/>
        <v>0</v>
      </c>
    </row>
    <row r="101" spans="1:13" x14ac:dyDescent="0.25">
      <c r="A101" s="59"/>
      <c r="G101" s="16"/>
      <c r="H101" s="38">
        <v>96</v>
      </c>
      <c r="I101" s="39" t="str">
        <f t="shared" si="6"/>
        <v/>
      </c>
      <c r="J101" s="38" t="e">
        <f t="shared" si="9"/>
        <v>#NUM!</v>
      </c>
      <c r="K101" s="38" t="e">
        <f t="shared" si="7"/>
        <v>#NUM!</v>
      </c>
      <c r="L101" s="38"/>
      <c r="M101" s="40">
        <f t="shared" si="8"/>
        <v>0</v>
      </c>
    </row>
    <row r="102" spans="1:13" x14ac:dyDescent="0.25">
      <c r="A102" s="59"/>
      <c r="G102" s="16"/>
      <c r="H102" s="38">
        <v>97</v>
      </c>
      <c r="I102" s="39" t="str">
        <f t="shared" si="6"/>
        <v/>
      </c>
      <c r="J102" s="38" t="e">
        <f t="shared" si="9"/>
        <v>#NUM!</v>
      </c>
      <c r="K102" s="38" t="e">
        <f t="shared" si="7"/>
        <v>#NUM!</v>
      </c>
      <c r="L102" s="38"/>
      <c r="M102" s="40">
        <f t="shared" si="8"/>
        <v>0</v>
      </c>
    </row>
    <row r="103" spans="1:13" x14ac:dyDescent="0.25">
      <c r="A103" s="59"/>
      <c r="G103" s="16"/>
      <c r="H103" s="38">
        <v>98</v>
      </c>
      <c r="I103" s="39" t="str">
        <f t="shared" si="6"/>
        <v/>
      </c>
      <c r="J103" s="38" t="e">
        <f t="shared" si="9"/>
        <v>#NUM!</v>
      </c>
      <c r="K103" s="38" t="e">
        <f t="shared" si="7"/>
        <v>#NUM!</v>
      </c>
      <c r="L103" s="38"/>
      <c r="M103" s="40">
        <f t="shared" si="8"/>
        <v>0</v>
      </c>
    </row>
    <row r="104" spans="1:13" x14ac:dyDescent="0.25">
      <c r="A104" s="59"/>
      <c r="G104" s="16"/>
      <c r="H104" s="38">
        <v>99</v>
      </c>
      <c r="I104" s="39" t="str">
        <f t="shared" si="6"/>
        <v/>
      </c>
      <c r="J104" s="38" t="e">
        <f t="shared" si="9"/>
        <v>#NUM!</v>
      </c>
      <c r="K104" s="38" t="e">
        <f t="shared" si="7"/>
        <v>#NUM!</v>
      </c>
      <c r="L104" s="38"/>
      <c r="M104" s="40">
        <f t="shared" si="8"/>
        <v>0</v>
      </c>
    </row>
    <row r="105" spans="1:13" x14ac:dyDescent="0.25">
      <c r="A105" s="59"/>
      <c r="G105" s="16"/>
      <c r="H105" s="38">
        <v>100</v>
      </c>
      <c r="I105" s="39" t="str">
        <f t="shared" si="6"/>
        <v/>
      </c>
      <c r="J105" s="38" t="e">
        <f t="shared" si="9"/>
        <v>#NUM!</v>
      </c>
      <c r="K105" s="38" t="e">
        <f t="shared" si="7"/>
        <v>#NUM!</v>
      </c>
      <c r="L105" s="38"/>
      <c r="M105" s="40">
        <f t="shared" si="8"/>
        <v>0</v>
      </c>
    </row>
    <row r="106" spans="1:13" x14ac:dyDescent="0.25">
      <c r="A106" s="59"/>
      <c r="G106" s="16"/>
      <c r="H106" s="38">
        <v>101</v>
      </c>
      <c r="I106" s="39" t="str">
        <f t="shared" si="6"/>
        <v/>
      </c>
      <c r="J106" s="38" t="e">
        <f t="shared" si="9"/>
        <v>#NUM!</v>
      </c>
      <c r="K106" s="38" t="e">
        <f t="shared" si="7"/>
        <v>#NUM!</v>
      </c>
      <c r="L106" s="38"/>
      <c r="M106" s="40">
        <f t="shared" si="8"/>
        <v>0</v>
      </c>
    </row>
    <row r="107" spans="1:13" x14ac:dyDescent="0.25">
      <c r="A107" s="59"/>
      <c r="G107" s="16"/>
      <c r="H107" s="38">
        <v>102</v>
      </c>
      <c r="I107" s="39" t="str">
        <f t="shared" si="6"/>
        <v/>
      </c>
      <c r="J107" s="38" t="e">
        <f t="shared" si="9"/>
        <v>#NUM!</v>
      </c>
      <c r="K107" s="38" t="e">
        <f t="shared" si="7"/>
        <v>#NUM!</v>
      </c>
      <c r="L107" s="38"/>
      <c r="M107" s="40">
        <f t="shared" si="8"/>
        <v>0</v>
      </c>
    </row>
    <row r="108" spans="1:13" x14ac:dyDescent="0.25">
      <c r="A108" s="59"/>
      <c r="G108" s="16"/>
      <c r="H108" s="38">
        <v>103</v>
      </c>
      <c r="I108" s="39" t="str">
        <f t="shared" si="6"/>
        <v/>
      </c>
      <c r="J108" s="38" t="e">
        <f t="shared" si="9"/>
        <v>#NUM!</v>
      </c>
      <c r="K108" s="38" t="e">
        <f t="shared" si="7"/>
        <v>#NUM!</v>
      </c>
      <c r="L108" s="38"/>
      <c r="M108" s="40">
        <f t="shared" si="8"/>
        <v>0</v>
      </c>
    </row>
    <row r="109" spans="1:13" x14ac:dyDescent="0.25">
      <c r="A109" s="59"/>
      <c r="G109" s="16"/>
      <c r="H109" s="38">
        <v>104</v>
      </c>
      <c r="I109" s="39" t="str">
        <f t="shared" si="6"/>
        <v/>
      </c>
      <c r="J109" s="38" t="e">
        <f t="shared" si="9"/>
        <v>#NUM!</v>
      </c>
      <c r="K109" s="38" t="e">
        <f t="shared" si="7"/>
        <v>#NUM!</v>
      </c>
      <c r="L109" s="38"/>
      <c r="M109" s="40">
        <f t="shared" si="8"/>
        <v>0</v>
      </c>
    </row>
    <row r="110" spans="1:13" x14ac:dyDescent="0.25">
      <c r="A110" s="59"/>
      <c r="G110" s="16"/>
      <c r="H110" s="38">
        <v>105</v>
      </c>
      <c r="I110" s="39" t="str">
        <f t="shared" si="6"/>
        <v/>
      </c>
      <c r="J110" s="38" t="e">
        <f t="shared" si="9"/>
        <v>#NUM!</v>
      </c>
      <c r="K110" s="38" t="e">
        <f t="shared" si="7"/>
        <v>#NUM!</v>
      </c>
      <c r="L110" s="38"/>
      <c r="M110" s="40">
        <f t="shared" si="8"/>
        <v>0</v>
      </c>
    </row>
    <row r="111" spans="1:13" x14ac:dyDescent="0.25">
      <c r="A111" s="59"/>
      <c r="G111" s="16"/>
      <c r="H111" s="38">
        <v>106</v>
      </c>
      <c r="I111" s="39" t="str">
        <f t="shared" si="6"/>
        <v/>
      </c>
      <c r="J111" s="38" t="e">
        <f t="shared" si="9"/>
        <v>#NUM!</v>
      </c>
      <c r="K111" s="38" t="e">
        <f t="shared" si="7"/>
        <v>#NUM!</v>
      </c>
      <c r="L111" s="38"/>
      <c r="M111" s="40">
        <f t="shared" si="8"/>
        <v>0</v>
      </c>
    </row>
    <row r="112" spans="1:13" x14ac:dyDescent="0.25">
      <c r="A112" s="59"/>
      <c r="G112" s="16"/>
      <c r="H112" s="38">
        <v>107</v>
      </c>
      <c r="I112" s="39" t="str">
        <f t="shared" si="6"/>
        <v/>
      </c>
      <c r="J112" s="38" t="e">
        <f t="shared" si="9"/>
        <v>#NUM!</v>
      </c>
      <c r="K112" s="38" t="e">
        <f t="shared" si="7"/>
        <v>#NUM!</v>
      </c>
      <c r="L112" s="38"/>
      <c r="M112" s="40">
        <f t="shared" si="8"/>
        <v>0</v>
      </c>
    </row>
    <row r="113" spans="1:13" x14ac:dyDescent="0.25">
      <c r="A113" s="59"/>
      <c r="G113" s="16"/>
      <c r="H113" s="38">
        <v>108</v>
      </c>
      <c r="I113" s="39" t="str">
        <f t="shared" si="6"/>
        <v/>
      </c>
      <c r="J113" s="38" t="e">
        <f t="shared" si="9"/>
        <v>#NUM!</v>
      </c>
      <c r="K113" s="38" t="e">
        <f t="shared" si="7"/>
        <v>#NUM!</v>
      </c>
      <c r="L113" s="38"/>
      <c r="M113" s="40">
        <f t="shared" si="8"/>
        <v>0</v>
      </c>
    </row>
    <row r="114" spans="1:13" x14ac:dyDescent="0.25">
      <c r="A114" s="59"/>
      <c r="G114" s="16"/>
      <c r="H114" s="38">
        <v>109</v>
      </c>
      <c r="I114" s="39" t="str">
        <f t="shared" si="6"/>
        <v/>
      </c>
      <c r="J114" s="38" t="e">
        <f t="shared" si="9"/>
        <v>#NUM!</v>
      </c>
      <c r="K114" s="38" t="e">
        <f t="shared" si="7"/>
        <v>#NUM!</v>
      </c>
      <c r="L114" s="38"/>
      <c r="M114" s="40">
        <f t="shared" si="8"/>
        <v>0</v>
      </c>
    </row>
    <row r="115" spans="1:13" x14ac:dyDescent="0.25">
      <c r="A115" s="59"/>
      <c r="G115" s="16"/>
      <c r="H115" s="38">
        <v>110</v>
      </c>
      <c r="I115" s="39" t="str">
        <f t="shared" si="6"/>
        <v/>
      </c>
      <c r="J115" s="38" t="e">
        <f t="shared" si="9"/>
        <v>#NUM!</v>
      </c>
      <c r="K115" s="38" t="e">
        <f t="shared" si="7"/>
        <v>#NUM!</v>
      </c>
      <c r="L115" s="38"/>
      <c r="M115" s="40">
        <f t="shared" si="8"/>
        <v>0</v>
      </c>
    </row>
    <row r="116" spans="1:13" x14ac:dyDescent="0.25">
      <c r="A116" s="59"/>
      <c r="G116" s="16"/>
      <c r="H116" s="38">
        <v>111</v>
      </c>
      <c r="I116" s="39" t="str">
        <f t="shared" si="6"/>
        <v/>
      </c>
      <c r="J116" s="38" t="e">
        <f t="shared" si="9"/>
        <v>#NUM!</v>
      </c>
      <c r="K116" s="38" t="e">
        <f t="shared" si="7"/>
        <v>#NUM!</v>
      </c>
      <c r="L116" s="38"/>
      <c r="M116" s="40">
        <f t="shared" si="8"/>
        <v>0</v>
      </c>
    </row>
    <row r="117" spans="1:13" x14ac:dyDescent="0.25">
      <c r="A117" s="59"/>
      <c r="G117" s="16"/>
      <c r="H117" s="38">
        <v>112</v>
      </c>
      <c r="I117" s="39" t="str">
        <f t="shared" si="6"/>
        <v/>
      </c>
      <c r="J117" s="38" t="e">
        <f t="shared" si="9"/>
        <v>#NUM!</v>
      </c>
      <c r="K117" s="38" t="e">
        <f t="shared" si="7"/>
        <v>#NUM!</v>
      </c>
      <c r="L117" s="38"/>
      <c r="M117" s="40">
        <f t="shared" si="8"/>
        <v>0</v>
      </c>
    </row>
    <row r="118" spans="1:13" x14ac:dyDescent="0.25">
      <c r="A118" s="59"/>
      <c r="G118" s="16"/>
      <c r="H118" s="38">
        <v>113</v>
      </c>
      <c r="I118" s="39" t="str">
        <f t="shared" si="6"/>
        <v/>
      </c>
      <c r="J118" s="38" t="e">
        <f t="shared" si="9"/>
        <v>#NUM!</v>
      </c>
      <c r="K118" s="38" t="e">
        <f t="shared" si="7"/>
        <v>#NUM!</v>
      </c>
      <c r="L118" s="38"/>
      <c r="M118" s="40">
        <f t="shared" si="8"/>
        <v>0</v>
      </c>
    </row>
    <row r="119" spans="1:13" x14ac:dyDescent="0.25">
      <c r="A119" s="59"/>
      <c r="G119" s="16"/>
      <c r="H119" s="38">
        <v>114</v>
      </c>
      <c r="I119" s="39" t="str">
        <f t="shared" si="6"/>
        <v/>
      </c>
      <c r="J119" s="38" t="e">
        <f t="shared" si="9"/>
        <v>#NUM!</v>
      </c>
      <c r="K119" s="38" t="e">
        <f t="shared" si="7"/>
        <v>#NUM!</v>
      </c>
      <c r="L119" s="38"/>
      <c r="M119" s="40">
        <f t="shared" si="8"/>
        <v>0</v>
      </c>
    </row>
    <row r="120" spans="1:13" x14ac:dyDescent="0.25">
      <c r="A120" s="59"/>
      <c r="G120" s="16"/>
      <c r="H120" s="38">
        <v>115</v>
      </c>
      <c r="I120" s="39" t="str">
        <f t="shared" si="6"/>
        <v/>
      </c>
      <c r="J120" s="38" t="e">
        <f t="shared" si="9"/>
        <v>#NUM!</v>
      </c>
      <c r="K120" s="38" t="e">
        <f t="shared" si="7"/>
        <v>#NUM!</v>
      </c>
      <c r="L120" s="38"/>
      <c r="M120" s="40">
        <f t="shared" si="8"/>
        <v>0</v>
      </c>
    </row>
    <row r="121" spans="1:13" x14ac:dyDescent="0.25">
      <c r="A121" s="59"/>
      <c r="G121" s="16"/>
      <c r="H121" s="38">
        <v>116</v>
      </c>
      <c r="I121" s="39" t="str">
        <f t="shared" si="6"/>
        <v/>
      </c>
      <c r="J121" s="38" t="e">
        <f t="shared" si="9"/>
        <v>#NUM!</v>
      </c>
      <c r="K121" s="38" t="e">
        <f t="shared" si="7"/>
        <v>#NUM!</v>
      </c>
      <c r="L121" s="38"/>
      <c r="M121" s="40">
        <f t="shared" si="8"/>
        <v>0</v>
      </c>
    </row>
    <row r="122" spans="1:13" x14ac:dyDescent="0.25">
      <c r="A122" s="59"/>
      <c r="G122" s="16"/>
      <c r="H122" s="38">
        <v>117</v>
      </c>
      <c r="I122" s="39" t="str">
        <f t="shared" si="6"/>
        <v/>
      </c>
      <c r="J122" s="38" t="e">
        <f t="shared" si="9"/>
        <v>#NUM!</v>
      </c>
      <c r="K122" s="38" t="e">
        <f t="shared" si="7"/>
        <v>#NUM!</v>
      </c>
      <c r="L122" s="38"/>
      <c r="M122" s="40">
        <f t="shared" si="8"/>
        <v>0</v>
      </c>
    </row>
    <row r="123" spans="1:13" x14ac:dyDescent="0.25">
      <c r="A123" s="59"/>
      <c r="G123" s="16"/>
      <c r="H123" s="38">
        <v>118</v>
      </c>
      <c r="I123" s="39" t="str">
        <f t="shared" si="6"/>
        <v/>
      </c>
      <c r="J123" s="38" t="e">
        <f t="shared" si="9"/>
        <v>#NUM!</v>
      </c>
      <c r="K123" s="38" t="e">
        <f t="shared" si="7"/>
        <v>#NUM!</v>
      </c>
      <c r="L123" s="38"/>
      <c r="M123" s="40">
        <f t="shared" si="8"/>
        <v>0</v>
      </c>
    </row>
    <row r="124" spans="1:13" x14ac:dyDescent="0.25">
      <c r="A124" s="59"/>
      <c r="G124" s="16"/>
      <c r="H124" s="38">
        <v>119</v>
      </c>
      <c r="I124" s="39" t="str">
        <f t="shared" si="6"/>
        <v/>
      </c>
      <c r="J124" s="38" t="e">
        <f t="shared" si="9"/>
        <v>#NUM!</v>
      </c>
      <c r="K124" s="38" t="e">
        <f t="shared" si="7"/>
        <v>#NUM!</v>
      </c>
      <c r="L124" s="38"/>
      <c r="M124" s="40">
        <f t="shared" si="8"/>
        <v>0</v>
      </c>
    </row>
    <row r="125" spans="1:13" x14ac:dyDescent="0.25">
      <c r="A125" s="59"/>
      <c r="G125" s="16"/>
      <c r="H125" s="38">
        <v>120</v>
      </c>
      <c r="I125" s="39" t="str">
        <f t="shared" si="6"/>
        <v/>
      </c>
      <c r="J125" s="38" t="e">
        <f t="shared" si="9"/>
        <v>#NUM!</v>
      </c>
      <c r="K125" s="38" t="e">
        <f t="shared" si="7"/>
        <v>#NUM!</v>
      </c>
      <c r="L125" s="38"/>
      <c r="M125" s="40">
        <f t="shared" si="8"/>
        <v>0</v>
      </c>
    </row>
    <row r="126" spans="1:13" x14ac:dyDescent="0.25">
      <c r="A126" s="59"/>
      <c r="G126" s="16"/>
      <c r="H126" s="38">
        <v>121</v>
      </c>
      <c r="I126" s="39" t="str">
        <f t="shared" si="6"/>
        <v/>
      </c>
      <c r="J126" s="38" t="e">
        <f t="shared" si="9"/>
        <v>#NUM!</v>
      </c>
      <c r="K126" s="38" t="e">
        <f t="shared" si="7"/>
        <v>#NUM!</v>
      </c>
      <c r="L126" s="38"/>
      <c r="M126" s="40">
        <f t="shared" si="8"/>
        <v>0</v>
      </c>
    </row>
    <row r="127" spans="1:13" x14ac:dyDescent="0.25">
      <c r="A127" s="59"/>
      <c r="G127" s="16"/>
      <c r="H127" s="38">
        <v>122</v>
      </c>
      <c r="I127" s="39" t="str">
        <f t="shared" si="6"/>
        <v/>
      </c>
      <c r="J127" s="38" t="e">
        <f t="shared" si="9"/>
        <v>#NUM!</v>
      </c>
      <c r="K127" s="38" t="e">
        <f t="shared" si="7"/>
        <v>#NUM!</v>
      </c>
      <c r="L127" s="38"/>
      <c r="M127" s="40">
        <f t="shared" si="8"/>
        <v>0</v>
      </c>
    </row>
    <row r="128" spans="1:13" x14ac:dyDescent="0.25">
      <c r="A128" s="59"/>
      <c r="G128" s="16"/>
      <c r="H128" s="38">
        <v>123</v>
      </c>
      <c r="I128" s="39" t="str">
        <f t="shared" si="6"/>
        <v/>
      </c>
      <c r="J128" s="38" t="e">
        <f t="shared" si="9"/>
        <v>#NUM!</v>
      </c>
      <c r="K128" s="38" t="e">
        <f t="shared" si="7"/>
        <v>#NUM!</v>
      </c>
      <c r="L128" s="38"/>
      <c r="M128" s="40">
        <f t="shared" si="8"/>
        <v>0</v>
      </c>
    </row>
    <row r="129" spans="1:13" x14ac:dyDescent="0.25">
      <c r="A129" s="59"/>
      <c r="G129" s="16"/>
      <c r="H129" s="38">
        <v>124</v>
      </c>
      <c r="I129" s="39" t="str">
        <f t="shared" si="6"/>
        <v/>
      </c>
      <c r="J129" s="38" t="e">
        <f t="shared" si="9"/>
        <v>#NUM!</v>
      </c>
      <c r="K129" s="38" t="e">
        <f t="shared" si="7"/>
        <v>#NUM!</v>
      </c>
      <c r="L129" s="38"/>
      <c r="M129" s="40">
        <f t="shared" si="8"/>
        <v>0</v>
      </c>
    </row>
    <row r="130" spans="1:13" x14ac:dyDescent="0.25">
      <c r="A130" s="59"/>
      <c r="G130" s="16"/>
      <c r="H130" s="38">
        <v>125</v>
      </c>
      <c r="I130" s="39" t="str">
        <f t="shared" si="6"/>
        <v/>
      </c>
      <c r="J130" s="38" t="e">
        <f t="shared" si="9"/>
        <v>#NUM!</v>
      </c>
      <c r="K130" s="38" t="e">
        <f t="shared" si="7"/>
        <v>#NUM!</v>
      </c>
      <c r="L130" s="38"/>
      <c r="M130" s="40">
        <f t="shared" si="8"/>
        <v>0</v>
      </c>
    </row>
    <row r="131" spans="1:13" x14ac:dyDescent="0.25">
      <c r="A131" s="59"/>
      <c r="G131" s="16"/>
      <c r="H131" s="38">
        <v>126</v>
      </c>
      <c r="I131" s="39" t="str">
        <f t="shared" si="6"/>
        <v/>
      </c>
      <c r="J131" s="38" t="e">
        <f t="shared" si="9"/>
        <v>#NUM!</v>
      </c>
      <c r="K131" s="38" t="e">
        <f t="shared" si="7"/>
        <v>#NUM!</v>
      </c>
      <c r="L131" s="38"/>
      <c r="M131" s="40">
        <f t="shared" si="8"/>
        <v>0</v>
      </c>
    </row>
    <row r="132" spans="1:13" x14ac:dyDescent="0.25">
      <c r="A132" s="59"/>
      <c r="G132" s="16"/>
      <c r="H132" s="38">
        <v>127</v>
      </c>
      <c r="I132" s="39" t="str">
        <f t="shared" si="6"/>
        <v/>
      </c>
      <c r="J132" s="38" t="e">
        <f t="shared" si="9"/>
        <v>#NUM!</v>
      </c>
      <c r="K132" s="38" t="e">
        <f t="shared" si="7"/>
        <v>#NUM!</v>
      </c>
      <c r="L132" s="38"/>
      <c r="M132" s="40">
        <f t="shared" si="8"/>
        <v>0</v>
      </c>
    </row>
    <row r="133" spans="1:13" x14ac:dyDescent="0.25">
      <c r="A133" s="59"/>
      <c r="G133" s="16"/>
      <c r="H133" s="38">
        <v>128</v>
      </c>
      <c r="I133" s="39" t="str">
        <f t="shared" si="6"/>
        <v/>
      </c>
      <c r="J133" s="38" t="e">
        <f t="shared" si="9"/>
        <v>#NUM!</v>
      </c>
      <c r="K133" s="38" t="e">
        <f t="shared" si="7"/>
        <v>#NUM!</v>
      </c>
      <c r="L133" s="38"/>
      <c r="M133" s="40">
        <f t="shared" si="8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0">IF(H134&lt;$H$2+1,($I$2-($I$2-1)*(LOG(H134)/LOG($H$2))),"")</f>
        <v/>
      </c>
      <c r="J134" s="38" t="e">
        <f t="shared" si="9"/>
        <v>#NUM!</v>
      </c>
      <c r="K134" s="38" t="e">
        <f t="shared" ref="K134:K197" si="11">J134*$J$2</f>
        <v>#NUM!</v>
      </c>
      <c r="L134" s="38"/>
      <c r="M134" s="40">
        <f t="shared" ref="M134:M197" si="12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0"/>
        <v/>
      </c>
      <c r="J135" s="38" t="e">
        <f t="shared" ref="J135:J198" si="13">INT(LOG($H$2,2))-ROUNDUP(LOG(H135,2),0)+IF(OR($H$2=1,$H$2=2,$H$2=4,$H$2=8,$H$2=16,$H$2=32,$H$2=64,$H$2=128,$H$2=256),0,1)</f>
        <v>#NUM!</v>
      </c>
      <c r="K135" s="38" t="e">
        <f t="shared" si="11"/>
        <v>#NUM!</v>
      </c>
      <c r="L135" s="38"/>
      <c r="M135" s="40">
        <f t="shared" si="12"/>
        <v>0</v>
      </c>
    </row>
    <row r="136" spans="1:13" x14ac:dyDescent="0.25">
      <c r="A136" s="59"/>
      <c r="G136" s="16"/>
      <c r="H136" s="38">
        <v>131</v>
      </c>
      <c r="I136" s="39" t="str">
        <f t="shared" si="10"/>
        <v/>
      </c>
      <c r="J136" s="38" t="e">
        <f t="shared" si="13"/>
        <v>#NUM!</v>
      </c>
      <c r="K136" s="38" t="e">
        <f t="shared" si="11"/>
        <v>#NUM!</v>
      </c>
      <c r="L136" s="38"/>
      <c r="M136" s="40">
        <f t="shared" si="12"/>
        <v>0</v>
      </c>
    </row>
    <row r="137" spans="1:13" x14ac:dyDescent="0.25">
      <c r="A137" s="59"/>
      <c r="G137" s="16"/>
      <c r="H137" s="38">
        <v>132</v>
      </c>
      <c r="I137" s="39" t="str">
        <f t="shared" si="10"/>
        <v/>
      </c>
      <c r="J137" s="38" t="e">
        <f t="shared" si="13"/>
        <v>#NUM!</v>
      </c>
      <c r="K137" s="38" t="e">
        <f t="shared" si="11"/>
        <v>#NUM!</v>
      </c>
      <c r="L137" s="38"/>
      <c r="M137" s="40">
        <f t="shared" si="12"/>
        <v>0</v>
      </c>
    </row>
    <row r="138" spans="1:13" x14ac:dyDescent="0.25">
      <c r="A138" s="59"/>
      <c r="G138" s="16"/>
      <c r="H138" s="38">
        <v>133</v>
      </c>
      <c r="I138" s="39" t="str">
        <f t="shared" si="10"/>
        <v/>
      </c>
      <c r="J138" s="38" t="e">
        <f t="shared" si="13"/>
        <v>#NUM!</v>
      </c>
      <c r="K138" s="38" t="e">
        <f t="shared" si="11"/>
        <v>#NUM!</v>
      </c>
      <c r="L138" s="38"/>
      <c r="M138" s="40">
        <f t="shared" si="12"/>
        <v>0</v>
      </c>
    </row>
    <row r="139" spans="1:13" x14ac:dyDescent="0.25">
      <c r="A139" s="59"/>
      <c r="G139" s="16"/>
      <c r="H139" s="38">
        <v>134</v>
      </c>
      <c r="I139" s="39" t="str">
        <f t="shared" si="10"/>
        <v/>
      </c>
      <c r="J139" s="38" t="e">
        <f t="shared" si="13"/>
        <v>#NUM!</v>
      </c>
      <c r="K139" s="38" t="e">
        <f t="shared" si="11"/>
        <v>#NUM!</v>
      </c>
      <c r="L139" s="38"/>
      <c r="M139" s="40">
        <f t="shared" si="12"/>
        <v>0</v>
      </c>
    </row>
    <row r="140" spans="1:13" x14ac:dyDescent="0.25">
      <c r="A140" s="59"/>
      <c r="G140" s="16"/>
      <c r="H140" s="38">
        <v>135</v>
      </c>
      <c r="I140" s="39" t="str">
        <f t="shared" si="10"/>
        <v/>
      </c>
      <c r="J140" s="38" t="e">
        <f t="shared" si="13"/>
        <v>#NUM!</v>
      </c>
      <c r="K140" s="38" t="e">
        <f t="shared" si="11"/>
        <v>#NUM!</v>
      </c>
      <c r="L140" s="38"/>
      <c r="M140" s="40">
        <f t="shared" si="12"/>
        <v>0</v>
      </c>
    </row>
    <row r="141" spans="1:13" x14ac:dyDescent="0.25">
      <c r="A141" s="59"/>
      <c r="G141" s="16"/>
      <c r="H141" s="38">
        <v>136</v>
      </c>
      <c r="I141" s="39" t="str">
        <f t="shared" si="10"/>
        <v/>
      </c>
      <c r="J141" s="38" t="e">
        <f t="shared" si="13"/>
        <v>#NUM!</v>
      </c>
      <c r="K141" s="38" t="e">
        <f t="shared" si="11"/>
        <v>#NUM!</v>
      </c>
      <c r="L141" s="38"/>
      <c r="M141" s="40">
        <f t="shared" si="12"/>
        <v>0</v>
      </c>
    </row>
    <row r="142" spans="1:13" x14ac:dyDescent="0.25">
      <c r="A142" s="59"/>
      <c r="G142" s="16"/>
      <c r="H142" s="38">
        <v>137</v>
      </c>
      <c r="I142" s="39" t="str">
        <f t="shared" si="10"/>
        <v/>
      </c>
      <c r="J142" s="38" t="e">
        <f t="shared" si="13"/>
        <v>#NUM!</v>
      </c>
      <c r="K142" s="38" t="e">
        <f t="shared" si="11"/>
        <v>#NUM!</v>
      </c>
      <c r="L142" s="38"/>
      <c r="M142" s="40">
        <f t="shared" si="12"/>
        <v>0</v>
      </c>
    </row>
    <row r="143" spans="1:13" x14ac:dyDescent="0.25">
      <c r="A143" s="59"/>
      <c r="G143" s="16"/>
      <c r="H143" s="38">
        <v>138</v>
      </c>
      <c r="I143" s="39" t="str">
        <f t="shared" si="10"/>
        <v/>
      </c>
      <c r="J143" s="38" t="e">
        <f t="shared" si="13"/>
        <v>#NUM!</v>
      </c>
      <c r="K143" s="38" t="e">
        <f t="shared" si="11"/>
        <v>#NUM!</v>
      </c>
      <c r="L143" s="38"/>
      <c r="M143" s="40">
        <f t="shared" si="12"/>
        <v>0</v>
      </c>
    </row>
    <row r="144" spans="1:13" x14ac:dyDescent="0.25">
      <c r="A144" s="59"/>
      <c r="G144" s="16"/>
      <c r="H144" s="38">
        <v>139</v>
      </c>
      <c r="I144" s="39" t="str">
        <f t="shared" si="10"/>
        <v/>
      </c>
      <c r="J144" s="38" t="e">
        <f t="shared" si="13"/>
        <v>#NUM!</v>
      </c>
      <c r="K144" s="38" t="e">
        <f t="shared" si="11"/>
        <v>#NUM!</v>
      </c>
      <c r="L144" s="38"/>
      <c r="M144" s="40">
        <f t="shared" si="12"/>
        <v>0</v>
      </c>
    </row>
    <row r="145" spans="1:13" x14ac:dyDescent="0.25">
      <c r="A145" s="59"/>
      <c r="G145" s="16"/>
      <c r="H145" s="38">
        <v>140</v>
      </c>
      <c r="I145" s="39" t="str">
        <f t="shared" si="10"/>
        <v/>
      </c>
      <c r="J145" s="38" t="e">
        <f t="shared" si="13"/>
        <v>#NUM!</v>
      </c>
      <c r="K145" s="38" t="e">
        <f t="shared" si="11"/>
        <v>#NUM!</v>
      </c>
      <c r="L145" s="38"/>
      <c r="M145" s="40">
        <f t="shared" si="12"/>
        <v>0</v>
      </c>
    </row>
    <row r="146" spans="1:13" x14ac:dyDescent="0.25">
      <c r="A146" s="59"/>
      <c r="G146" s="16"/>
      <c r="H146" s="38">
        <v>141</v>
      </c>
      <c r="I146" s="39" t="str">
        <f t="shared" si="10"/>
        <v/>
      </c>
      <c r="J146" s="38" t="e">
        <f t="shared" si="13"/>
        <v>#NUM!</v>
      </c>
      <c r="K146" s="38" t="e">
        <f t="shared" si="11"/>
        <v>#NUM!</v>
      </c>
      <c r="L146" s="38"/>
      <c r="M146" s="40">
        <f t="shared" si="12"/>
        <v>0</v>
      </c>
    </row>
    <row r="147" spans="1:13" x14ac:dyDescent="0.25">
      <c r="A147" s="59"/>
      <c r="G147" s="16"/>
      <c r="H147" s="38">
        <v>142</v>
      </c>
      <c r="I147" s="39" t="str">
        <f t="shared" si="10"/>
        <v/>
      </c>
      <c r="J147" s="38" t="e">
        <f t="shared" si="13"/>
        <v>#NUM!</v>
      </c>
      <c r="K147" s="38" t="e">
        <f t="shared" si="11"/>
        <v>#NUM!</v>
      </c>
      <c r="L147" s="38"/>
      <c r="M147" s="40">
        <f t="shared" si="12"/>
        <v>0</v>
      </c>
    </row>
    <row r="148" spans="1:13" x14ac:dyDescent="0.25">
      <c r="A148" s="59"/>
      <c r="G148" s="16"/>
      <c r="H148" s="38">
        <v>143</v>
      </c>
      <c r="I148" s="39" t="str">
        <f t="shared" si="10"/>
        <v/>
      </c>
      <c r="J148" s="38" t="e">
        <f t="shared" si="13"/>
        <v>#NUM!</v>
      </c>
      <c r="K148" s="38" t="e">
        <f t="shared" si="11"/>
        <v>#NUM!</v>
      </c>
      <c r="L148" s="38"/>
      <c r="M148" s="40">
        <f t="shared" si="12"/>
        <v>0</v>
      </c>
    </row>
    <row r="149" spans="1:13" x14ac:dyDescent="0.25">
      <c r="A149" s="59"/>
      <c r="G149" s="16"/>
      <c r="H149" s="38">
        <v>144</v>
      </c>
      <c r="I149" s="39" t="str">
        <f t="shared" si="10"/>
        <v/>
      </c>
      <c r="J149" s="38" t="e">
        <f t="shared" si="13"/>
        <v>#NUM!</v>
      </c>
      <c r="K149" s="38" t="e">
        <f t="shared" si="11"/>
        <v>#NUM!</v>
      </c>
      <c r="L149" s="38"/>
      <c r="M149" s="40">
        <f t="shared" si="12"/>
        <v>0</v>
      </c>
    </row>
    <row r="150" spans="1:13" x14ac:dyDescent="0.25">
      <c r="A150" s="59"/>
      <c r="G150" s="16"/>
      <c r="H150" s="38">
        <v>145</v>
      </c>
      <c r="I150" s="39" t="str">
        <f t="shared" si="10"/>
        <v/>
      </c>
      <c r="J150" s="38" t="e">
        <f t="shared" si="13"/>
        <v>#NUM!</v>
      </c>
      <c r="K150" s="38" t="e">
        <f t="shared" si="11"/>
        <v>#NUM!</v>
      </c>
      <c r="L150" s="38"/>
      <c r="M150" s="40">
        <f t="shared" si="12"/>
        <v>0</v>
      </c>
    </row>
    <row r="151" spans="1:13" x14ac:dyDescent="0.25">
      <c r="A151" s="59"/>
      <c r="G151" s="16"/>
      <c r="H151" s="38">
        <v>146</v>
      </c>
      <c r="I151" s="39" t="str">
        <f t="shared" si="10"/>
        <v/>
      </c>
      <c r="J151" s="38" t="e">
        <f t="shared" si="13"/>
        <v>#NUM!</v>
      </c>
      <c r="K151" s="38" t="e">
        <f t="shared" si="11"/>
        <v>#NUM!</v>
      </c>
      <c r="L151" s="38"/>
      <c r="M151" s="40">
        <f t="shared" si="12"/>
        <v>0</v>
      </c>
    </row>
    <row r="152" spans="1:13" x14ac:dyDescent="0.25">
      <c r="A152" s="59"/>
      <c r="G152" s="16"/>
      <c r="H152" s="38">
        <v>147</v>
      </c>
      <c r="I152" s="39" t="str">
        <f t="shared" si="10"/>
        <v/>
      </c>
      <c r="J152" s="38" t="e">
        <f t="shared" si="13"/>
        <v>#NUM!</v>
      </c>
      <c r="K152" s="38" t="e">
        <f t="shared" si="11"/>
        <v>#NUM!</v>
      </c>
      <c r="L152" s="38"/>
      <c r="M152" s="40">
        <f t="shared" si="12"/>
        <v>0</v>
      </c>
    </row>
    <row r="153" spans="1:13" x14ac:dyDescent="0.25">
      <c r="A153" s="59"/>
      <c r="G153" s="16"/>
      <c r="H153" s="38">
        <v>148</v>
      </c>
      <c r="I153" s="39" t="str">
        <f t="shared" si="10"/>
        <v/>
      </c>
      <c r="J153" s="38" t="e">
        <f t="shared" si="13"/>
        <v>#NUM!</v>
      </c>
      <c r="K153" s="38" t="e">
        <f t="shared" si="11"/>
        <v>#NUM!</v>
      </c>
      <c r="L153" s="38"/>
      <c r="M153" s="40">
        <f t="shared" si="12"/>
        <v>0</v>
      </c>
    </row>
    <row r="154" spans="1:13" x14ac:dyDescent="0.25">
      <c r="A154" s="59"/>
      <c r="G154" s="16"/>
      <c r="H154" s="38">
        <v>149</v>
      </c>
      <c r="I154" s="39" t="str">
        <f t="shared" si="10"/>
        <v/>
      </c>
      <c r="J154" s="38" t="e">
        <f t="shared" si="13"/>
        <v>#NUM!</v>
      </c>
      <c r="K154" s="38" t="e">
        <f t="shared" si="11"/>
        <v>#NUM!</v>
      </c>
      <c r="L154" s="38"/>
      <c r="M154" s="40">
        <f t="shared" si="12"/>
        <v>0</v>
      </c>
    </row>
    <row r="155" spans="1:13" x14ac:dyDescent="0.25">
      <c r="A155" s="59"/>
      <c r="G155" s="16"/>
      <c r="H155" s="38">
        <v>150</v>
      </c>
      <c r="I155" s="39" t="str">
        <f t="shared" si="10"/>
        <v/>
      </c>
      <c r="J155" s="38" t="e">
        <f t="shared" si="13"/>
        <v>#NUM!</v>
      </c>
      <c r="K155" s="38" t="e">
        <f t="shared" si="11"/>
        <v>#NUM!</v>
      </c>
      <c r="L155" s="38"/>
      <c r="M155" s="40">
        <f t="shared" si="12"/>
        <v>0</v>
      </c>
    </row>
    <row r="156" spans="1:13" x14ac:dyDescent="0.25">
      <c r="A156" s="59"/>
      <c r="G156" s="16"/>
      <c r="H156" s="38">
        <v>151</v>
      </c>
      <c r="I156" s="39" t="str">
        <f t="shared" si="10"/>
        <v/>
      </c>
      <c r="J156" s="38" t="e">
        <f t="shared" si="13"/>
        <v>#NUM!</v>
      </c>
      <c r="K156" s="38" t="e">
        <f t="shared" si="11"/>
        <v>#NUM!</v>
      </c>
      <c r="L156" s="38"/>
      <c r="M156" s="40">
        <f t="shared" si="12"/>
        <v>0</v>
      </c>
    </row>
    <row r="157" spans="1:13" x14ac:dyDescent="0.25">
      <c r="A157" s="59"/>
      <c r="G157" s="16"/>
      <c r="H157" s="38">
        <v>152</v>
      </c>
      <c r="I157" s="39" t="str">
        <f t="shared" si="10"/>
        <v/>
      </c>
      <c r="J157" s="38" t="e">
        <f t="shared" si="13"/>
        <v>#NUM!</v>
      </c>
      <c r="K157" s="38" t="e">
        <f t="shared" si="11"/>
        <v>#NUM!</v>
      </c>
      <c r="L157" s="38"/>
      <c r="M157" s="40">
        <f t="shared" si="12"/>
        <v>0</v>
      </c>
    </row>
    <row r="158" spans="1:13" x14ac:dyDescent="0.25">
      <c r="A158" s="59"/>
      <c r="G158" s="16"/>
      <c r="H158" s="38">
        <v>153</v>
      </c>
      <c r="I158" s="39" t="str">
        <f t="shared" si="10"/>
        <v/>
      </c>
      <c r="J158" s="38" t="e">
        <f t="shared" si="13"/>
        <v>#NUM!</v>
      </c>
      <c r="K158" s="38" t="e">
        <f t="shared" si="11"/>
        <v>#NUM!</v>
      </c>
      <c r="L158" s="38"/>
      <c r="M158" s="40">
        <f t="shared" si="12"/>
        <v>0</v>
      </c>
    </row>
    <row r="159" spans="1:13" x14ac:dyDescent="0.25">
      <c r="A159" s="59"/>
      <c r="G159" s="16"/>
      <c r="H159" s="38">
        <v>154</v>
      </c>
      <c r="I159" s="39" t="str">
        <f t="shared" si="10"/>
        <v/>
      </c>
      <c r="J159" s="38" t="e">
        <f t="shared" si="13"/>
        <v>#NUM!</v>
      </c>
      <c r="K159" s="38" t="e">
        <f t="shared" si="11"/>
        <v>#NUM!</v>
      </c>
      <c r="L159" s="38"/>
      <c r="M159" s="40">
        <f t="shared" si="12"/>
        <v>0</v>
      </c>
    </row>
    <row r="160" spans="1:13" x14ac:dyDescent="0.25">
      <c r="A160" s="59"/>
      <c r="G160" s="16"/>
      <c r="H160" s="38">
        <v>155</v>
      </c>
      <c r="I160" s="39" t="str">
        <f t="shared" si="10"/>
        <v/>
      </c>
      <c r="J160" s="38" t="e">
        <f t="shared" si="13"/>
        <v>#NUM!</v>
      </c>
      <c r="K160" s="38" t="e">
        <f t="shared" si="11"/>
        <v>#NUM!</v>
      </c>
      <c r="L160" s="38"/>
      <c r="M160" s="40">
        <f t="shared" si="12"/>
        <v>0</v>
      </c>
    </row>
    <row r="161" spans="1:13" x14ac:dyDescent="0.25">
      <c r="A161" s="59"/>
      <c r="G161" s="16"/>
      <c r="H161" s="38">
        <v>156</v>
      </c>
      <c r="I161" s="39" t="str">
        <f t="shared" si="10"/>
        <v/>
      </c>
      <c r="J161" s="38" t="e">
        <f t="shared" si="13"/>
        <v>#NUM!</v>
      </c>
      <c r="K161" s="38" t="e">
        <f t="shared" si="11"/>
        <v>#NUM!</v>
      </c>
      <c r="L161" s="38"/>
      <c r="M161" s="40">
        <f t="shared" si="12"/>
        <v>0</v>
      </c>
    </row>
    <row r="162" spans="1:13" x14ac:dyDescent="0.25">
      <c r="A162" s="59"/>
      <c r="G162" s="16"/>
      <c r="H162" s="38">
        <v>157</v>
      </c>
      <c r="I162" s="39" t="str">
        <f t="shared" si="10"/>
        <v/>
      </c>
      <c r="J162" s="38" t="e">
        <f t="shared" si="13"/>
        <v>#NUM!</v>
      </c>
      <c r="K162" s="38" t="e">
        <f t="shared" si="11"/>
        <v>#NUM!</v>
      </c>
      <c r="L162" s="38"/>
      <c r="M162" s="40">
        <f t="shared" si="12"/>
        <v>0</v>
      </c>
    </row>
    <row r="163" spans="1:13" x14ac:dyDescent="0.25">
      <c r="A163" s="59"/>
      <c r="G163" s="16"/>
      <c r="H163" s="38">
        <v>158</v>
      </c>
      <c r="I163" s="39" t="str">
        <f t="shared" si="10"/>
        <v/>
      </c>
      <c r="J163" s="38" t="e">
        <f t="shared" si="13"/>
        <v>#NUM!</v>
      </c>
      <c r="K163" s="38" t="e">
        <f t="shared" si="11"/>
        <v>#NUM!</v>
      </c>
      <c r="L163" s="38"/>
      <c r="M163" s="40">
        <f t="shared" si="12"/>
        <v>0</v>
      </c>
    </row>
    <row r="164" spans="1:13" x14ac:dyDescent="0.25">
      <c r="A164" s="59"/>
      <c r="G164" s="16"/>
      <c r="H164" s="38">
        <v>159</v>
      </c>
      <c r="I164" s="39" t="str">
        <f t="shared" si="10"/>
        <v/>
      </c>
      <c r="J164" s="38" t="e">
        <f t="shared" si="13"/>
        <v>#NUM!</v>
      </c>
      <c r="K164" s="38" t="e">
        <f t="shared" si="11"/>
        <v>#NUM!</v>
      </c>
      <c r="L164" s="38"/>
      <c r="M164" s="40">
        <f t="shared" si="12"/>
        <v>0</v>
      </c>
    </row>
    <row r="165" spans="1:13" x14ac:dyDescent="0.25">
      <c r="A165" s="59"/>
      <c r="G165" s="16"/>
      <c r="H165" s="38">
        <v>160</v>
      </c>
      <c r="I165" s="39" t="str">
        <f t="shared" si="10"/>
        <v/>
      </c>
      <c r="J165" s="38" t="e">
        <f t="shared" si="13"/>
        <v>#NUM!</v>
      </c>
      <c r="K165" s="38" t="e">
        <f t="shared" si="11"/>
        <v>#NUM!</v>
      </c>
      <c r="L165" s="38"/>
      <c r="M165" s="40">
        <f t="shared" si="12"/>
        <v>0</v>
      </c>
    </row>
    <row r="166" spans="1:13" x14ac:dyDescent="0.25">
      <c r="A166" s="59"/>
      <c r="G166" s="16"/>
      <c r="H166" s="38">
        <v>161</v>
      </c>
      <c r="I166" s="39" t="str">
        <f t="shared" si="10"/>
        <v/>
      </c>
      <c r="J166" s="38" t="e">
        <f t="shared" si="13"/>
        <v>#NUM!</v>
      </c>
      <c r="K166" s="38" t="e">
        <f t="shared" si="11"/>
        <v>#NUM!</v>
      </c>
      <c r="L166" s="38"/>
      <c r="M166" s="40">
        <f t="shared" si="12"/>
        <v>0</v>
      </c>
    </row>
    <row r="167" spans="1:13" x14ac:dyDescent="0.25">
      <c r="A167" s="59"/>
      <c r="G167" s="16"/>
      <c r="H167" s="38">
        <v>162</v>
      </c>
      <c r="I167" s="39" t="str">
        <f t="shared" si="10"/>
        <v/>
      </c>
      <c r="J167" s="38" t="e">
        <f t="shared" si="13"/>
        <v>#NUM!</v>
      </c>
      <c r="K167" s="38" t="e">
        <f t="shared" si="11"/>
        <v>#NUM!</v>
      </c>
      <c r="L167" s="38"/>
      <c r="M167" s="40">
        <f t="shared" si="12"/>
        <v>0</v>
      </c>
    </row>
    <row r="168" spans="1:13" x14ac:dyDescent="0.25">
      <c r="A168" s="59"/>
      <c r="G168" s="16"/>
      <c r="H168" s="38">
        <v>163</v>
      </c>
      <c r="I168" s="39" t="str">
        <f t="shared" si="10"/>
        <v/>
      </c>
      <c r="J168" s="38" t="e">
        <f t="shared" si="13"/>
        <v>#NUM!</v>
      </c>
      <c r="K168" s="38" t="e">
        <f t="shared" si="11"/>
        <v>#NUM!</v>
      </c>
      <c r="L168" s="38"/>
      <c r="M168" s="40">
        <f t="shared" si="12"/>
        <v>0</v>
      </c>
    </row>
    <row r="169" spans="1:13" x14ac:dyDescent="0.25">
      <c r="A169" s="59"/>
      <c r="G169" s="16"/>
      <c r="H169" s="38">
        <v>164</v>
      </c>
      <c r="I169" s="39" t="str">
        <f t="shared" si="10"/>
        <v/>
      </c>
      <c r="J169" s="38" t="e">
        <f t="shared" si="13"/>
        <v>#NUM!</v>
      </c>
      <c r="K169" s="38" t="e">
        <f t="shared" si="11"/>
        <v>#NUM!</v>
      </c>
      <c r="L169" s="38"/>
      <c r="M169" s="40">
        <f t="shared" si="12"/>
        <v>0</v>
      </c>
    </row>
    <row r="170" spans="1:13" x14ac:dyDescent="0.25">
      <c r="A170" s="59"/>
      <c r="G170" s="16"/>
      <c r="H170" s="38">
        <v>165</v>
      </c>
      <c r="I170" s="39" t="str">
        <f t="shared" si="10"/>
        <v/>
      </c>
      <c r="J170" s="38" t="e">
        <f t="shared" si="13"/>
        <v>#NUM!</v>
      </c>
      <c r="K170" s="38" t="e">
        <f t="shared" si="11"/>
        <v>#NUM!</v>
      </c>
      <c r="L170" s="38"/>
      <c r="M170" s="40">
        <f t="shared" si="12"/>
        <v>0</v>
      </c>
    </row>
    <row r="171" spans="1:13" x14ac:dyDescent="0.25">
      <c r="A171" s="59"/>
      <c r="G171" s="16"/>
      <c r="H171" s="38">
        <v>166</v>
      </c>
      <c r="I171" s="39" t="str">
        <f t="shared" si="10"/>
        <v/>
      </c>
      <c r="J171" s="38" t="e">
        <f t="shared" si="13"/>
        <v>#NUM!</v>
      </c>
      <c r="K171" s="38" t="e">
        <f t="shared" si="11"/>
        <v>#NUM!</v>
      </c>
      <c r="L171" s="38"/>
      <c r="M171" s="40">
        <f t="shared" si="12"/>
        <v>0</v>
      </c>
    </row>
    <row r="172" spans="1:13" x14ac:dyDescent="0.25">
      <c r="A172" s="59"/>
      <c r="G172" s="16"/>
      <c r="H172" s="38">
        <v>167</v>
      </c>
      <c r="I172" s="39" t="str">
        <f t="shared" si="10"/>
        <v/>
      </c>
      <c r="J172" s="38" t="e">
        <f t="shared" si="13"/>
        <v>#NUM!</v>
      </c>
      <c r="K172" s="38" t="e">
        <f t="shared" si="11"/>
        <v>#NUM!</v>
      </c>
      <c r="L172" s="38"/>
      <c r="M172" s="40">
        <f t="shared" si="12"/>
        <v>0</v>
      </c>
    </row>
    <row r="173" spans="1:13" x14ac:dyDescent="0.25">
      <c r="A173" s="59"/>
      <c r="G173" s="16"/>
      <c r="H173" s="38">
        <v>168</v>
      </c>
      <c r="I173" s="39" t="str">
        <f t="shared" si="10"/>
        <v/>
      </c>
      <c r="J173" s="38" t="e">
        <f t="shared" si="13"/>
        <v>#NUM!</v>
      </c>
      <c r="K173" s="38" t="e">
        <f t="shared" si="11"/>
        <v>#NUM!</v>
      </c>
      <c r="L173" s="38"/>
      <c r="M173" s="40">
        <f t="shared" si="12"/>
        <v>0</v>
      </c>
    </row>
    <row r="174" spans="1:13" x14ac:dyDescent="0.25">
      <c r="A174" s="59"/>
      <c r="G174" s="16"/>
      <c r="H174" s="38">
        <v>169</v>
      </c>
      <c r="I174" s="39" t="str">
        <f t="shared" si="10"/>
        <v/>
      </c>
      <c r="J174" s="38" t="e">
        <f t="shared" si="13"/>
        <v>#NUM!</v>
      </c>
      <c r="K174" s="38" t="e">
        <f t="shared" si="11"/>
        <v>#NUM!</v>
      </c>
      <c r="L174" s="38"/>
      <c r="M174" s="40">
        <f t="shared" si="12"/>
        <v>0</v>
      </c>
    </row>
    <row r="175" spans="1:13" x14ac:dyDescent="0.25">
      <c r="A175" s="59"/>
      <c r="G175" s="16"/>
      <c r="H175" s="38">
        <v>170</v>
      </c>
      <c r="I175" s="39" t="str">
        <f t="shared" si="10"/>
        <v/>
      </c>
      <c r="J175" s="38" t="e">
        <f t="shared" si="13"/>
        <v>#NUM!</v>
      </c>
      <c r="K175" s="38" t="e">
        <f t="shared" si="11"/>
        <v>#NUM!</v>
      </c>
      <c r="L175" s="38"/>
      <c r="M175" s="40">
        <f t="shared" si="12"/>
        <v>0</v>
      </c>
    </row>
    <row r="176" spans="1:13" x14ac:dyDescent="0.25">
      <c r="A176" s="59"/>
      <c r="G176" s="16"/>
      <c r="H176" s="38">
        <v>171</v>
      </c>
      <c r="I176" s="39" t="str">
        <f t="shared" si="10"/>
        <v/>
      </c>
      <c r="J176" s="38" t="e">
        <f t="shared" si="13"/>
        <v>#NUM!</v>
      </c>
      <c r="K176" s="38" t="e">
        <f t="shared" si="11"/>
        <v>#NUM!</v>
      </c>
      <c r="L176" s="38"/>
      <c r="M176" s="40">
        <f t="shared" si="12"/>
        <v>0</v>
      </c>
    </row>
    <row r="177" spans="1:13" x14ac:dyDescent="0.25">
      <c r="A177" s="59"/>
      <c r="G177" s="16"/>
      <c r="H177" s="38">
        <v>172</v>
      </c>
      <c r="I177" s="39" t="str">
        <f t="shared" si="10"/>
        <v/>
      </c>
      <c r="J177" s="38" t="e">
        <f t="shared" si="13"/>
        <v>#NUM!</v>
      </c>
      <c r="K177" s="38" t="e">
        <f t="shared" si="11"/>
        <v>#NUM!</v>
      </c>
      <c r="L177" s="38"/>
      <c r="M177" s="40">
        <f t="shared" si="12"/>
        <v>0</v>
      </c>
    </row>
    <row r="178" spans="1:13" x14ac:dyDescent="0.25">
      <c r="A178" s="59"/>
      <c r="G178" s="16"/>
      <c r="H178" s="38">
        <v>173</v>
      </c>
      <c r="I178" s="39" t="str">
        <f t="shared" si="10"/>
        <v/>
      </c>
      <c r="J178" s="38" t="e">
        <f t="shared" si="13"/>
        <v>#NUM!</v>
      </c>
      <c r="K178" s="38" t="e">
        <f t="shared" si="11"/>
        <v>#NUM!</v>
      </c>
      <c r="L178" s="38"/>
      <c r="M178" s="40">
        <f t="shared" si="12"/>
        <v>0</v>
      </c>
    </row>
    <row r="179" spans="1:13" x14ac:dyDescent="0.25">
      <c r="A179" s="59"/>
      <c r="G179" s="16"/>
      <c r="H179" s="38">
        <v>174</v>
      </c>
      <c r="I179" s="39" t="str">
        <f t="shared" si="10"/>
        <v/>
      </c>
      <c r="J179" s="38" t="e">
        <f t="shared" si="13"/>
        <v>#NUM!</v>
      </c>
      <c r="K179" s="38" t="e">
        <f t="shared" si="11"/>
        <v>#NUM!</v>
      </c>
      <c r="L179" s="38"/>
      <c r="M179" s="40">
        <f t="shared" si="12"/>
        <v>0</v>
      </c>
    </row>
    <row r="180" spans="1:13" x14ac:dyDescent="0.25">
      <c r="A180" s="59"/>
      <c r="G180" s="16"/>
      <c r="H180" s="38">
        <v>175</v>
      </c>
      <c r="I180" s="39" t="str">
        <f t="shared" si="10"/>
        <v/>
      </c>
      <c r="J180" s="38" t="e">
        <f t="shared" si="13"/>
        <v>#NUM!</v>
      </c>
      <c r="K180" s="38" t="e">
        <f t="shared" si="11"/>
        <v>#NUM!</v>
      </c>
      <c r="L180" s="38"/>
      <c r="M180" s="40">
        <f t="shared" si="12"/>
        <v>0</v>
      </c>
    </row>
    <row r="181" spans="1:13" x14ac:dyDescent="0.25">
      <c r="A181" s="59"/>
      <c r="G181" s="16"/>
      <c r="H181" s="38">
        <v>176</v>
      </c>
      <c r="I181" s="39" t="str">
        <f t="shared" si="10"/>
        <v/>
      </c>
      <c r="J181" s="38" t="e">
        <f t="shared" si="13"/>
        <v>#NUM!</v>
      </c>
      <c r="K181" s="38" t="e">
        <f t="shared" si="11"/>
        <v>#NUM!</v>
      </c>
      <c r="L181" s="38"/>
      <c r="M181" s="40">
        <f t="shared" si="12"/>
        <v>0</v>
      </c>
    </row>
    <row r="182" spans="1:13" x14ac:dyDescent="0.25">
      <c r="A182" s="59"/>
      <c r="G182" s="16"/>
      <c r="H182" s="38">
        <v>177</v>
      </c>
      <c r="I182" s="39" t="str">
        <f t="shared" si="10"/>
        <v/>
      </c>
      <c r="J182" s="38" t="e">
        <f t="shared" si="13"/>
        <v>#NUM!</v>
      </c>
      <c r="K182" s="38" t="e">
        <f t="shared" si="11"/>
        <v>#NUM!</v>
      </c>
      <c r="L182" s="38"/>
      <c r="M182" s="40">
        <f t="shared" si="12"/>
        <v>0</v>
      </c>
    </row>
    <row r="183" spans="1:13" x14ac:dyDescent="0.25">
      <c r="A183" s="59"/>
      <c r="G183" s="16"/>
      <c r="H183" s="38">
        <v>178</v>
      </c>
      <c r="I183" s="39" t="str">
        <f t="shared" si="10"/>
        <v/>
      </c>
      <c r="J183" s="38" t="e">
        <f t="shared" si="13"/>
        <v>#NUM!</v>
      </c>
      <c r="K183" s="38" t="e">
        <f t="shared" si="11"/>
        <v>#NUM!</v>
      </c>
      <c r="L183" s="38"/>
      <c r="M183" s="40">
        <f t="shared" si="12"/>
        <v>0</v>
      </c>
    </row>
    <row r="184" spans="1:13" x14ac:dyDescent="0.25">
      <c r="A184" s="59"/>
      <c r="G184" s="16"/>
      <c r="H184" s="38">
        <v>179</v>
      </c>
      <c r="I184" s="39" t="str">
        <f t="shared" si="10"/>
        <v/>
      </c>
      <c r="J184" s="38" t="e">
        <f t="shared" si="13"/>
        <v>#NUM!</v>
      </c>
      <c r="K184" s="38" t="e">
        <f t="shared" si="11"/>
        <v>#NUM!</v>
      </c>
      <c r="L184" s="38"/>
      <c r="M184" s="40">
        <f t="shared" si="12"/>
        <v>0</v>
      </c>
    </row>
    <row r="185" spans="1:13" x14ac:dyDescent="0.25">
      <c r="A185" s="59"/>
      <c r="G185" s="16"/>
      <c r="H185" s="38">
        <v>180</v>
      </c>
      <c r="I185" s="39" t="str">
        <f t="shared" si="10"/>
        <v/>
      </c>
      <c r="J185" s="38" t="e">
        <f t="shared" si="13"/>
        <v>#NUM!</v>
      </c>
      <c r="K185" s="38" t="e">
        <f t="shared" si="11"/>
        <v>#NUM!</v>
      </c>
      <c r="L185" s="38"/>
      <c r="M185" s="40">
        <f t="shared" si="12"/>
        <v>0</v>
      </c>
    </row>
    <row r="186" spans="1:13" x14ac:dyDescent="0.25">
      <c r="A186" s="59"/>
      <c r="G186" s="16"/>
      <c r="H186" s="38">
        <v>181</v>
      </c>
      <c r="I186" s="39" t="str">
        <f t="shared" si="10"/>
        <v/>
      </c>
      <c r="J186" s="38" t="e">
        <f t="shared" si="13"/>
        <v>#NUM!</v>
      </c>
      <c r="K186" s="38" t="e">
        <f t="shared" si="11"/>
        <v>#NUM!</v>
      </c>
      <c r="L186" s="38"/>
      <c r="M186" s="40">
        <f t="shared" si="12"/>
        <v>0</v>
      </c>
    </row>
    <row r="187" spans="1:13" x14ac:dyDescent="0.25">
      <c r="A187" s="59"/>
      <c r="G187" s="16"/>
      <c r="H187" s="38">
        <v>182</v>
      </c>
      <c r="I187" s="39" t="str">
        <f t="shared" si="10"/>
        <v/>
      </c>
      <c r="J187" s="38" t="e">
        <f t="shared" si="13"/>
        <v>#NUM!</v>
      </c>
      <c r="K187" s="38" t="e">
        <f t="shared" si="11"/>
        <v>#NUM!</v>
      </c>
      <c r="L187" s="38"/>
      <c r="M187" s="40">
        <f t="shared" si="12"/>
        <v>0</v>
      </c>
    </row>
    <row r="188" spans="1:13" x14ac:dyDescent="0.25">
      <c r="A188" s="59"/>
      <c r="G188" s="16"/>
      <c r="H188" s="38">
        <v>183</v>
      </c>
      <c r="I188" s="39" t="str">
        <f t="shared" si="10"/>
        <v/>
      </c>
      <c r="J188" s="38" t="e">
        <f t="shared" si="13"/>
        <v>#NUM!</v>
      </c>
      <c r="K188" s="38" t="e">
        <f t="shared" si="11"/>
        <v>#NUM!</v>
      </c>
      <c r="L188" s="38"/>
      <c r="M188" s="40">
        <f t="shared" si="12"/>
        <v>0</v>
      </c>
    </row>
    <row r="189" spans="1:13" x14ac:dyDescent="0.25">
      <c r="A189" s="59"/>
      <c r="G189" s="16"/>
      <c r="H189" s="38">
        <v>184</v>
      </c>
      <c r="I189" s="39" t="str">
        <f t="shared" si="10"/>
        <v/>
      </c>
      <c r="J189" s="38" t="e">
        <f t="shared" si="13"/>
        <v>#NUM!</v>
      </c>
      <c r="K189" s="38" t="e">
        <f t="shared" si="11"/>
        <v>#NUM!</v>
      </c>
      <c r="L189" s="38"/>
      <c r="M189" s="40">
        <f t="shared" si="12"/>
        <v>0</v>
      </c>
    </row>
    <row r="190" spans="1:13" x14ac:dyDescent="0.25">
      <c r="A190" s="59"/>
      <c r="G190" s="16"/>
      <c r="H190" s="38">
        <v>185</v>
      </c>
      <c r="I190" s="39" t="str">
        <f t="shared" si="10"/>
        <v/>
      </c>
      <c r="J190" s="38" t="e">
        <f t="shared" si="13"/>
        <v>#NUM!</v>
      </c>
      <c r="K190" s="38" t="e">
        <f t="shared" si="11"/>
        <v>#NUM!</v>
      </c>
      <c r="L190" s="38"/>
      <c r="M190" s="40">
        <f t="shared" si="12"/>
        <v>0</v>
      </c>
    </row>
    <row r="191" spans="1:13" x14ac:dyDescent="0.25">
      <c r="A191" s="59"/>
      <c r="G191" s="16"/>
      <c r="H191" s="38">
        <v>186</v>
      </c>
      <c r="I191" s="39" t="str">
        <f t="shared" si="10"/>
        <v/>
      </c>
      <c r="J191" s="38" t="e">
        <f t="shared" si="13"/>
        <v>#NUM!</v>
      </c>
      <c r="K191" s="38" t="e">
        <f t="shared" si="11"/>
        <v>#NUM!</v>
      </c>
      <c r="L191" s="38"/>
      <c r="M191" s="40">
        <f t="shared" si="12"/>
        <v>0</v>
      </c>
    </row>
    <row r="192" spans="1:13" x14ac:dyDescent="0.25">
      <c r="A192" s="59"/>
      <c r="G192" s="16"/>
      <c r="H192" s="38">
        <v>187</v>
      </c>
      <c r="I192" s="39" t="str">
        <f t="shared" si="10"/>
        <v/>
      </c>
      <c r="J192" s="38" t="e">
        <f t="shared" si="13"/>
        <v>#NUM!</v>
      </c>
      <c r="K192" s="38" t="e">
        <f t="shared" si="11"/>
        <v>#NUM!</v>
      </c>
      <c r="L192" s="38"/>
      <c r="M192" s="40">
        <f t="shared" si="12"/>
        <v>0</v>
      </c>
    </row>
    <row r="193" spans="1:13" x14ac:dyDescent="0.25">
      <c r="A193" s="59"/>
      <c r="G193" s="16"/>
      <c r="H193" s="38">
        <v>188</v>
      </c>
      <c r="I193" s="39" t="str">
        <f t="shared" si="10"/>
        <v/>
      </c>
      <c r="J193" s="38" t="e">
        <f t="shared" si="13"/>
        <v>#NUM!</v>
      </c>
      <c r="K193" s="38" t="e">
        <f t="shared" si="11"/>
        <v>#NUM!</v>
      </c>
      <c r="L193" s="38"/>
      <c r="M193" s="40">
        <f t="shared" si="12"/>
        <v>0</v>
      </c>
    </row>
    <row r="194" spans="1:13" x14ac:dyDescent="0.25">
      <c r="A194" s="59"/>
      <c r="G194" s="16"/>
      <c r="H194" s="38">
        <v>189</v>
      </c>
      <c r="I194" s="39" t="str">
        <f t="shared" si="10"/>
        <v/>
      </c>
      <c r="J194" s="38" t="e">
        <f t="shared" si="13"/>
        <v>#NUM!</v>
      </c>
      <c r="K194" s="38" t="e">
        <f t="shared" si="11"/>
        <v>#NUM!</v>
      </c>
      <c r="L194" s="38"/>
      <c r="M194" s="40">
        <f t="shared" si="12"/>
        <v>0</v>
      </c>
    </row>
    <row r="195" spans="1:13" x14ac:dyDescent="0.25">
      <c r="A195" s="59"/>
      <c r="G195" s="16"/>
      <c r="H195" s="38">
        <v>190</v>
      </c>
      <c r="I195" s="39" t="str">
        <f t="shared" si="10"/>
        <v/>
      </c>
      <c r="J195" s="38" t="e">
        <f t="shared" si="13"/>
        <v>#NUM!</v>
      </c>
      <c r="K195" s="38" t="e">
        <f t="shared" si="11"/>
        <v>#NUM!</v>
      </c>
      <c r="L195" s="38"/>
      <c r="M195" s="40">
        <f t="shared" si="12"/>
        <v>0</v>
      </c>
    </row>
    <row r="196" spans="1:13" x14ac:dyDescent="0.25">
      <c r="A196" s="59"/>
      <c r="G196" s="16"/>
      <c r="H196" s="38">
        <v>191</v>
      </c>
      <c r="I196" s="39" t="str">
        <f t="shared" si="10"/>
        <v/>
      </c>
      <c r="J196" s="38" t="e">
        <f t="shared" si="13"/>
        <v>#NUM!</v>
      </c>
      <c r="K196" s="38" t="e">
        <f t="shared" si="11"/>
        <v>#NUM!</v>
      </c>
      <c r="L196" s="38"/>
      <c r="M196" s="40">
        <f t="shared" si="12"/>
        <v>0</v>
      </c>
    </row>
    <row r="197" spans="1:13" x14ac:dyDescent="0.25">
      <c r="A197" s="59"/>
      <c r="G197" s="16"/>
      <c r="H197" s="38">
        <v>192</v>
      </c>
      <c r="I197" s="39" t="str">
        <f t="shared" si="10"/>
        <v/>
      </c>
      <c r="J197" s="38" t="e">
        <f t="shared" si="13"/>
        <v>#NUM!</v>
      </c>
      <c r="K197" s="38" t="e">
        <f t="shared" si="11"/>
        <v>#NUM!</v>
      </c>
      <c r="L197" s="38"/>
      <c r="M197" s="40">
        <f t="shared" si="12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4">IF(H198&lt;$H$2+1,($I$2-($I$2-1)*(LOG(H198)/LOG($H$2))),"")</f>
        <v/>
      </c>
      <c r="J198" s="38" t="e">
        <f t="shared" si="13"/>
        <v>#NUM!</v>
      </c>
      <c r="K198" s="38" t="e">
        <f t="shared" ref="K198:K261" si="15">J198*$J$2</f>
        <v>#NUM!</v>
      </c>
      <c r="L198" s="38"/>
      <c r="M198" s="40">
        <f t="shared" ref="M198:M261" si="16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4"/>
        <v/>
      </c>
      <c r="J199" s="38" t="e">
        <f t="shared" ref="J199:J262" si="17">INT(LOG($H$2,2))-ROUNDUP(LOG(H199,2),0)+IF(OR($H$2=1,$H$2=2,$H$2=4,$H$2=8,$H$2=16,$H$2=32,$H$2=64,$H$2=128,$H$2=256),0,1)</f>
        <v>#NUM!</v>
      </c>
      <c r="K199" s="38" t="e">
        <f t="shared" si="15"/>
        <v>#NUM!</v>
      </c>
      <c r="L199" s="38"/>
      <c r="M199" s="40">
        <f t="shared" si="16"/>
        <v>0</v>
      </c>
    </row>
    <row r="200" spans="1:13" x14ac:dyDescent="0.25">
      <c r="A200" s="59"/>
      <c r="G200" s="16"/>
      <c r="H200" s="38">
        <v>195</v>
      </c>
      <c r="I200" s="39" t="str">
        <f t="shared" si="14"/>
        <v/>
      </c>
      <c r="J200" s="38" t="e">
        <f t="shared" si="17"/>
        <v>#NUM!</v>
      </c>
      <c r="K200" s="38" t="e">
        <f t="shared" si="15"/>
        <v>#NUM!</v>
      </c>
      <c r="L200" s="38"/>
      <c r="M200" s="40">
        <f t="shared" si="16"/>
        <v>0</v>
      </c>
    </row>
    <row r="201" spans="1:13" x14ac:dyDescent="0.25">
      <c r="A201" s="59"/>
      <c r="G201" s="16"/>
      <c r="H201" s="38">
        <v>196</v>
      </c>
      <c r="I201" s="39" t="str">
        <f t="shared" si="14"/>
        <v/>
      </c>
      <c r="J201" s="38" t="e">
        <f t="shared" si="17"/>
        <v>#NUM!</v>
      </c>
      <c r="K201" s="38" t="e">
        <f t="shared" si="15"/>
        <v>#NUM!</v>
      </c>
      <c r="L201" s="38"/>
      <c r="M201" s="40">
        <f t="shared" si="16"/>
        <v>0</v>
      </c>
    </row>
    <row r="202" spans="1:13" x14ac:dyDescent="0.25">
      <c r="A202" s="59"/>
      <c r="G202" s="16"/>
      <c r="H202" s="38">
        <v>197</v>
      </c>
      <c r="I202" s="39" t="str">
        <f t="shared" si="14"/>
        <v/>
      </c>
      <c r="J202" s="38" t="e">
        <f t="shared" si="17"/>
        <v>#NUM!</v>
      </c>
      <c r="K202" s="38" t="e">
        <f t="shared" si="15"/>
        <v>#NUM!</v>
      </c>
      <c r="L202" s="38"/>
      <c r="M202" s="40">
        <f t="shared" si="16"/>
        <v>0</v>
      </c>
    </row>
    <row r="203" spans="1:13" x14ac:dyDescent="0.25">
      <c r="A203" s="59"/>
      <c r="G203" s="16"/>
      <c r="H203" s="38">
        <v>198</v>
      </c>
      <c r="I203" s="39" t="str">
        <f t="shared" si="14"/>
        <v/>
      </c>
      <c r="J203" s="38" t="e">
        <f t="shared" si="17"/>
        <v>#NUM!</v>
      </c>
      <c r="K203" s="38" t="e">
        <f t="shared" si="15"/>
        <v>#NUM!</v>
      </c>
      <c r="L203" s="38"/>
      <c r="M203" s="40">
        <f t="shared" si="16"/>
        <v>0</v>
      </c>
    </row>
    <row r="204" spans="1:13" x14ac:dyDescent="0.25">
      <c r="A204" s="59"/>
      <c r="G204" s="16"/>
      <c r="H204" s="38">
        <v>199</v>
      </c>
      <c r="I204" s="39" t="str">
        <f t="shared" si="14"/>
        <v/>
      </c>
      <c r="J204" s="38" t="e">
        <f t="shared" si="17"/>
        <v>#NUM!</v>
      </c>
      <c r="K204" s="38" t="e">
        <f t="shared" si="15"/>
        <v>#NUM!</v>
      </c>
      <c r="L204" s="38"/>
      <c r="M204" s="40">
        <f t="shared" si="16"/>
        <v>0</v>
      </c>
    </row>
    <row r="205" spans="1:13" x14ac:dyDescent="0.25">
      <c r="A205" s="59"/>
      <c r="G205" s="16"/>
      <c r="H205" s="38">
        <v>200</v>
      </c>
      <c r="I205" s="39" t="str">
        <f t="shared" si="14"/>
        <v/>
      </c>
      <c r="J205" s="38" t="e">
        <f t="shared" si="17"/>
        <v>#NUM!</v>
      </c>
      <c r="K205" s="38" t="e">
        <f t="shared" si="15"/>
        <v>#NUM!</v>
      </c>
      <c r="L205" s="38"/>
      <c r="M205" s="40">
        <f t="shared" si="16"/>
        <v>0</v>
      </c>
    </row>
    <row r="206" spans="1:13" x14ac:dyDescent="0.25">
      <c r="A206" s="59"/>
      <c r="G206" s="16"/>
      <c r="H206" s="38">
        <v>201</v>
      </c>
      <c r="I206" s="39" t="str">
        <f t="shared" si="14"/>
        <v/>
      </c>
      <c r="J206" s="38" t="e">
        <f t="shared" si="17"/>
        <v>#NUM!</v>
      </c>
      <c r="K206" s="38" t="e">
        <f t="shared" si="15"/>
        <v>#NUM!</v>
      </c>
      <c r="L206" s="38"/>
      <c r="M206" s="40">
        <f t="shared" si="16"/>
        <v>0</v>
      </c>
    </row>
    <row r="207" spans="1:13" x14ac:dyDescent="0.25">
      <c r="A207" s="59"/>
      <c r="G207" s="16"/>
      <c r="H207" s="38">
        <v>202</v>
      </c>
      <c r="I207" s="39" t="str">
        <f t="shared" si="14"/>
        <v/>
      </c>
      <c r="J207" s="38" t="e">
        <f t="shared" si="17"/>
        <v>#NUM!</v>
      </c>
      <c r="K207" s="38" t="e">
        <f t="shared" si="15"/>
        <v>#NUM!</v>
      </c>
      <c r="L207" s="38"/>
      <c r="M207" s="40">
        <f t="shared" si="16"/>
        <v>0</v>
      </c>
    </row>
    <row r="208" spans="1:13" x14ac:dyDescent="0.25">
      <c r="A208" s="59"/>
      <c r="G208" s="16"/>
      <c r="H208" s="38">
        <v>203</v>
      </c>
      <c r="I208" s="39" t="str">
        <f t="shared" si="14"/>
        <v/>
      </c>
      <c r="J208" s="38" t="e">
        <f t="shared" si="17"/>
        <v>#NUM!</v>
      </c>
      <c r="K208" s="38" t="e">
        <f t="shared" si="15"/>
        <v>#NUM!</v>
      </c>
      <c r="L208" s="38"/>
      <c r="M208" s="40">
        <f t="shared" si="16"/>
        <v>0</v>
      </c>
    </row>
    <row r="209" spans="1:13" x14ac:dyDescent="0.25">
      <c r="A209" s="59"/>
      <c r="G209" s="16"/>
      <c r="H209" s="38">
        <v>204</v>
      </c>
      <c r="I209" s="39" t="str">
        <f t="shared" si="14"/>
        <v/>
      </c>
      <c r="J209" s="38" t="e">
        <f t="shared" si="17"/>
        <v>#NUM!</v>
      </c>
      <c r="K209" s="38" t="e">
        <f t="shared" si="15"/>
        <v>#NUM!</v>
      </c>
      <c r="L209" s="38"/>
      <c r="M209" s="40">
        <f t="shared" si="16"/>
        <v>0</v>
      </c>
    </row>
    <row r="210" spans="1:13" x14ac:dyDescent="0.25">
      <c r="A210" s="59"/>
      <c r="G210" s="16"/>
      <c r="H210" s="38">
        <v>205</v>
      </c>
      <c r="I210" s="39" t="str">
        <f t="shared" si="14"/>
        <v/>
      </c>
      <c r="J210" s="38" t="e">
        <f t="shared" si="17"/>
        <v>#NUM!</v>
      </c>
      <c r="K210" s="38" t="e">
        <f t="shared" si="15"/>
        <v>#NUM!</v>
      </c>
      <c r="L210" s="38"/>
      <c r="M210" s="40">
        <f t="shared" si="16"/>
        <v>0</v>
      </c>
    </row>
    <row r="211" spans="1:13" x14ac:dyDescent="0.25">
      <c r="A211" s="59"/>
      <c r="G211" s="16"/>
      <c r="H211" s="38">
        <v>206</v>
      </c>
      <c r="I211" s="39" t="str">
        <f t="shared" si="14"/>
        <v/>
      </c>
      <c r="J211" s="38" t="e">
        <f t="shared" si="17"/>
        <v>#NUM!</v>
      </c>
      <c r="K211" s="38" t="e">
        <f t="shared" si="15"/>
        <v>#NUM!</v>
      </c>
      <c r="L211" s="38"/>
      <c r="M211" s="40">
        <f t="shared" si="16"/>
        <v>0</v>
      </c>
    </row>
    <row r="212" spans="1:13" x14ac:dyDescent="0.25">
      <c r="A212" s="59"/>
      <c r="G212" s="16"/>
      <c r="H212" s="38">
        <v>207</v>
      </c>
      <c r="I212" s="39" t="str">
        <f t="shared" si="14"/>
        <v/>
      </c>
      <c r="J212" s="38" t="e">
        <f t="shared" si="17"/>
        <v>#NUM!</v>
      </c>
      <c r="K212" s="38" t="e">
        <f t="shared" si="15"/>
        <v>#NUM!</v>
      </c>
      <c r="L212" s="38"/>
      <c r="M212" s="40">
        <f t="shared" si="16"/>
        <v>0</v>
      </c>
    </row>
    <row r="213" spans="1:13" x14ac:dyDescent="0.25">
      <c r="A213" s="59"/>
      <c r="G213" s="16"/>
      <c r="H213" s="38">
        <v>208</v>
      </c>
      <c r="I213" s="39" t="str">
        <f t="shared" si="14"/>
        <v/>
      </c>
      <c r="J213" s="38" t="e">
        <f t="shared" si="17"/>
        <v>#NUM!</v>
      </c>
      <c r="K213" s="38" t="e">
        <f t="shared" si="15"/>
        <v>#NUM!</v>
      </c>
      <c r="L213" s="38"/>
      <c r="M213" s="40">
        <f t="shared" si="16"/>
        <v>0</v>
      </c>
    </row>
    <row r="214" spans="1:13" x14ac:dyDescent="0.25">
      <c r="A214" s="59"/>
      <c r="G214" s="16"/>
      <c r="H214" s="38">
        <v>209</v>
      </c>
      <c r="I214" s="39" t="str">
        <f t="shared" si="14"/>
        <v/>
      </c>
      <c r="J214" s="38" t="e">
        <f t="shared" si="17"/>
        <v>#NUM!</v>
      </c>
      <c r="K214" s="38" t="e">
        <f t="shared" si="15"/>
        <v>#NUM!</v>
      </c>
      <c r="L214" s="38"/>
      <c r="M214" s="40">
        <f t="shared" si="16"/>
        <v>0</v>
      </c>
    </row>
    <row r="215" spans="1:13" x14ac:dyDescent="0.25">
      <c r="A215" s="59"/>
      <c r="G215" s="16"/>
      <c r="H215" s="38">
        <v>210</v>
      </c>
      <c r="I215" s="39" t="str">
        <f t="shared" si="14"/>
        <v/>
      </c>
      <c r="J215" s="38" t="e">
        <f t="shared" si="17"/>
        <v>#NUM!</v>
      </c>
      <c r="K215" s="38" t="e">
        <f t="shared" si="15"/>
        <v>#NUM!</v>
      </c>
      <c r="L215" s="38"/>
      <c r="M215" s="40">
        <f t="shared" si="16"/>
        <v>0</v>
      </c>
    </row>
    <row r="216" spans="1:13" x14ac:dyDescent="0.25">
      <c r="A216" s="59"/>
      <c r="G216" s="16"/>
      <c r="H216" s="38">
        <v>211</v>
      </c>
      <c r="I216" s="39" t="str">
        <f t="shared" si="14"/>
        <v/>
      </c>
      <c r="J216" s="38" t="e">
        <f t="shared" si="17"/>
        <v>#NUM!</v>
      </c>
      <c r="K216" s="38" t="e">
        <f t="shared" si="15"/>
        <v>#NUM!</v>
      </c>
      <c r="L216" s="38"/>
      <c r="M216" s="40">
        <f t="shared" si="16"/>
        <v>0</v>
      </c>
    </row>
    <row r="217" spans="1:13" x14ac:dyDescent="0.25">
      <c r="A217" s="59"/>
      <c r="G217" s="16"/>
      <c r="H217" s="38">
        <v>212</v>
      </c>
      <c r="I217" s="39" t="str">
        <f t="shared" si="14"/>
        <v/>
      </c>
      <c r="J217" s="38" t="e">
        <f t="shared" si="17"/>
        <v>#NUM!</v>
      </c>
      <c r="K217" s="38" t="e">
        <f t="shared" si="15"/>
        <v>#NUM!</v>
      </c>
      <c r="L217" s="38"/>
      <c r="M217" s="40">
        <f t="shared" si="16"/>
        <v>0</v>
      </c>
    </row>
    <row r="218" spans="1:13" x14ac:dyDescent="0.25">
      <c r="A218" s="59"/>
      <c r="G218" s="16"/>
      <c r="H218" s="38">
        <v>213</v>
      </c>
      <c r="I218" s="39" t="str">
        <f t="shared" si="14"/>
        <v/>
      </c>
      <c r="J218" s="38" t="e">
        <f t="shared" si="17"/>
        <v>#NUM!</v>
      </c>
      <c r="K218" s="38" t="e">
        <f t="shared" si="15"/>
        <v>#NUM!</v>
      </c>
      <c r="L218" s="38"/>
      <c r="M218" s="40">
        <f t="shared" si="16"/>
        <v>0</v>
      </c>
    </row>
    <row r="219" spans="1:13" x14ac:dyDescent="0.25">
      <c r="A219" s="59"/>
      <c r="G219" s="16"/>
      <c r="H219" s="38">
        <v>214</v>
      </c>
      <c r="I219" s="39" t="str">
        <f t="shared" si="14"/>
        <v/>
      </c>
      <c r="J219" s="38" t="e">
        <f t="shared" si="17"/>
        <v>#NUM!</v>
      </c>
      <c r="K219" s="38" t="e">
        <f t="shared" si="15"/>
        <v>#NUM!</v>
      </c>
      <c r="L219" s="38"/>
      <c r="M219" s="40">
        <f t="shared" si="16"/>
        <v>0</v>
      </c>
    </row>
    <row r="220" spans="1:13" x14ac:dyDescent="0.25">
      <c r="A220" s="59"/>
      <c r="G220" s="16"/>
      <c r="H220" s="38">
        <v>215</v>
      </c>
      <c r="I220" s="39" t="str">
        <f t="shared" si="14"/>
        <v/>
      </c>
      <c r="J220" s="38" t="e">
        <f t="shared" si="17"/>
        <v>#NUM!</v>
      </c>
      <c r="K220" s="38" t="e">
        <f t="shared" si="15"/>
        <v>#NUM!</v>
      </c>
      <c r="L220" s="38"/>
      <c r="M220" s="40">
        <f t="shared" si="16"/>
        <v>0</v>
      </c>
    </row>
    <row r="221" spans="1:13" x14ac:dyDescent="0.25">
      <c r="A221" s="59"/>
      <c r="G221" s="16"/>
      <c r="H221" s="38">
        <v>216</v>
      </c>
      <c r="I221" s="39" t="str">
        <f t="shared" si="14"/>
        <v/>
      </c>
      <c r="J221" s="38" t="e">
        <f t="shared" si="17"/>
        <v>#NUM!</v>
      </c>
      <c r="K221" s="38" t="e">
        <f t="shared" si="15"/>
        <v>#NUM!</v>
      </c>
      <c r="L221" s="38"/>
      <c r="M221" s="40">
        <f t="shared" si="16"/>
        <v>0</v>
      </c>
    </row>
    <row r="222" spans="1:13" x14ac:dyDescent="0.25">
      <c r="A222" s="59"/>
      <c r="G222" s="16"/>
      <c r="H222" s="38">
        <v>217</v>
      </c>
      <c r="I222" s="39" t="str">
        <f t="shared" si="14"/>
        <v/>
      </c>
      <c r="J222" s="38" t="e">
        <f t="shared" si="17"/>
        <v>#NUM!</v>
      </c>
      <c r="K222" s="38" t="e">
        <f t="shared" si="15"/>
        <v>#NUM!</v>
      </c>
      <c r="L222" s="38"/>
      <c r="M222" s="40">
        <f t="shared" si="16"/>
        <v>0</v>
      </c>
    </row>
    <row r="223" spans="1:13" x14ac:dyDescent="0.25">
      <c r="A223" s="59"/>
      <c r="G223" s="16"/>
      <c r="H223" s="38">
        <v>218</v>
      </c>
      <c r="I223" s="39" t="str">
        <f t="shared" si="14"/>
        <v/>
      </c>
      <c r="J223" s="38" t="e">
        <f t="shared" si="17"/>
        <v>#NUM!</v>
      </c>
      <c r="K223" s="38" t="e">
        <f t="shared" si="15"/>
        <v>#NUM!</v>
      </c>
      <c r="L223" s="38"/>
      <c r="M223" s="40">
        <f t="shared" si="16"/>
        <v>0</v>
      </c>
    </row>
    <row r="224" spans="1:13" x14ac:dyDescent="0.25">
      <c r="A224" s="59"/>
      <c r="G224" s="16"/>
      <c r="H224" s="38">
        <v>219</v>
      </c>
      <c r="I224" s="39" t="str">
        <f t="shared" si="14"/>
        <v/>
      </c>
      <c r="J224" s="38" t="e">
        <f t="shared" si="17"/>
        <v>#NUM!</v>
      </c>
      <c r="K224" s="38" t="e">
        <f t="shared" si="15"/>
        <v>#NUM!</v>
      </c>
      <c r="L224" s="38"/>
      <c r="M224" s="40">
        <f t="shared" si="16"/>
        <v>0</v>
      </c>
    </row>
    <row r="225" spans="1:13" x14ac:dyDescent="0.25">
      <c r="A225" s="59"/>
      <c r="G225" s="16"/>
      <c r="H225" s="38">
        <v>220</v>
      </c>
      <c r="I225" s="39" t="str">
        <f t="shared" si="14"/>
        <v/>
      </c>
      <c r="J225" s="38" t="e">
        <f t="shared" si="17"/>
        <v>#NUM!</v>
      </c>
      <c r="K225" s="38" t="e">
        <f t="shared" si="15"/>
        <v>#NUM!</v>
      </c>
      <c r="L225" s="38"/>
      <c r="M225" s="40">
        <f t="shared" si="16"/>
        <v>0</v>
      </c>
    </row>
    <row r="226" spans="1:13" x14ac:dyDescent="0.25">
      <c r="A226" s="59"/>
      <c r="G226" s="16"/>
      <c r="H226" s="38">
        <v>221</v>
      </c>
      <c r="I226" s="39" t="str">
        <f t="shared" si="14"/>
        <v/>
      </c>
      <c r="J226" s="38" t="e">
        <f t="shared" si="17"/>
        <v>#NUM!</v>
      </c>
      <c r="K226" s="38" t="e">
        <f t="shared" si="15"/>
        <v>#NUM!</v>
      </c>
      <c r="L226" s="38"/>
      <c r="M226" s="40">
        <f t="shared" si="16"/>
        <v>0</v>
      </c>
    </row>
    <row r="227" spans="1:13" x14ac:dyDescent="0.25">
      <c r="A227" s="59"/>
      <c r="G227" s="16"/>
      <c r="H227" s="38">
        <v>222</v>
      </c>
      <c r="I227" s="39" t="str">
        <f t="shared" si="14"/>
        <v/>
      </c>
      <c r="J227" s="38" t="e">
        <f t="shared" si="17"/>
        <v>#NUM!</v>
      </c>
      <c r="K227" s="38" t="e">
        <f t="shared" si="15"/>
        <v>#NUM!</v>
      </c>
      <c r="L227" s="38"/>
      <c r="M227" s="40">
        <f t="shared" si="16"/>
        <v>0</v>
      </c>
    </row>
    <row r="228" spans="1:13" x14ac:dyDescent="0.25">
      <c r="A228" s="59"/>
      <c r="G228" s="16"/>
      <c r="H228" s="38">
        <v>223</v>
      </c>
      <c r="I228" s="39" t="str">
        <f t="shared" si="14"/>
        <v/>
      </c>
      <c r="J228" s="38" t="e">
        <f t="shared" si="17"/>
        <v>#NUM!</v>
      </c>
      <c r="K228" s="38" t="e">
        <f t="shared" si="15"/>
        <v>#NUM!</v>
      </c>
      <c r="L228" s="38"/>
      <c r="M228" s="40">
        <f t="shared" si="16"/>
        <v>0</v>
      </c>
    </row>
    <row r="229" spans="1:13" x14ac:dyDescent="0.25">
      <c r="A229" s="59"/>
      <c r="G229" s="16"/>
      <c r="H229" s="38">
        <v>224</v>
      </c>
      <c r="I229" s="39" t="str">
        <f t="shared" si="14"/>
        <v/>
      </c>
      <c r="J229" s="38" t="e">
        <f t="shared" si="17"/>
        <v>#NUM!</v>
      </c>
      <c r="K229" s="38" t="e">
        <f t="shared" si="15"/>
        <v>#NUM!</v>
      </c>
      <c r="L229" s="38"/>
      <c r="M229" s="40">
        <f t="shared" si="16"/>
        <v>0</v>
      </c>
    </row>
    <row r="230" spans="1:13" x14ac:dyDescent="0.25">
      <c r="A230" s="59"/>
      <c r="G230" s="16"/>
      <c r="H230" s="38">
        <v>225</v>
      </c>
      <c r="I230" s="39" t="str">
        <f t="shared" si="14"/>
        <v/>
      </c>
      <c r="J230" s="38" t="e">
        <f t="shared" si="17"/>
        <v>#NUM!</v>
      </c>
      <c r="K230" s="38" t="e">
        <f t="shared" si="15"/>
        <v>#NUM!</v>
      </c>
      <c r="L230" s="38"/>
      <c r="M230" s="40">
        <f t="shared" si="16"/>
        <v>0</v>
      </c>
    </row>
    <row r="231" spans="1:13" x14ac:dyDescent="0.25">
      <c r="A231" s="59"/>
      <c r="G231" s="16"/>
      <c r="H231" s="38">
        <v>226</v>
      </c>
      <c r="I231" s="39" t="str">
        <f t="shared" si="14"/>
        <v/>
      </c>
      <c r="J231" s="38" t="e">
        <f t="shared" si="17"/>
        <v>#NUM!</v>
      </c>
      <c r="K231" s="38" t="e">
        <f t="shared" si="15"/>
        <v>#NUM!</v>
      </c>
      <c r="L231" s="38"/>
      <c r="M231" s="40">
        <f t="shared" si="16"/>
        <v>0</v>
      </c>
    </row>
    <row r="232" spans="1:13" x14ac:dyDescent="0.25">
      <c r="A232" s="59"/>
      <c r="G232" s="16"/>
      <c r="H232" s="38">
        <v>227</v>
      </c>
      <c r="I232" s="39" t="str">
        <f t="shared" si="14"/>
        <v/>
      </c>
      <c r="J232" s="38" t="e">
        <f t="shared" si="17"/>
        <v>#NUM!</v>
      </c>
      <c r="K232" s="38" t="e">
        <f t="shared" si="15"/>
        <v>#NUM!</v>
      </c>
      <c r="L232" s="38"/>
      <c r="M232" s="40">
        <f t="shared" si="16"/>
        <v>0</v>
      </c>
    </row>
    <row r="233" spans="1:13" x14ac:dyDescent="0.25">
      <c r="A233" s="59"/>
      <c r="G233" s="16"/>
      <c r="H233" s="38">
        <v>228</v>
      </c>
      <c r="I233" s="39" t="str">
        <f t="shared" si="14"/>
        <v/>
      </c>
      <c r="J233" s="38" t="e">
        <f t="shared" si="17"/>
        <v>#NUM!</v>
      </c>
      <c r="K233" s="38" t="e">
        <f t="shared" si="15"/>
        <v>#NUM!</v>
      </c>
      <c r="L233" s="38"/>
      <c r="M233" s="40">
        <f t="shared" si="16"/>
        <v>0</v>
      </c>
    </row>
    <row r="234" spans="1:13" x14ac:dyDescent="0.25">
      <c r="A234" s="59"/>
      <c r="G234" s="16"/>
      <c r="H234" s="38">
        <v>229</v>
      </c>
      <c r="I234" s="39" t="str">
        <f t="shared" si="14"/>
        <v/>
      </c>
      <c r="J234" s="38" t="e">
        <f t="shared" si="17"/>
        <v>#NUM!</v>
      </c>
      <c r="K234" s="38" t="e">
        <f t="shared" si="15"/>
        <v>#NUM!</v>
      </c>
      <c r="L234" s="38"/>
      <c r="M234" s="40">
        <f t="shared" si="16"/>
        <v>0</v>
      </c>
    </row>
    <row r="235" spans="1:13" x14ac:dyDescent="0.25">
      <c r="A235" s="59"/>
      <c r="G235" s="16"/>
      <c r="H235" s="38">
        <v>230</v>
      </c>
      <c r="I235" s="39" t="str">
        <f t="shared" si="14"/>
        <v/>
      </c>
      <c r="J235" s="38" t="e">
        <f t="shared" si="17"/>
        <v>#NUM!</v>
      </c>
      <c r="K235" s="38" t="e">
        <f t="shared" si="15"/>
        <v>#NUM!</v>
      </c>
      <c r="L235" s="38"/>
      <c r="M235" s="40">
        <f t="shared" si="16"/>
        <v>0</v>
      </c>
    </row>
    <row r="236" spans="1:13" x14ac:dyDescent="0.25">
      <c r="A236" s="59"/>
      <c r="G236" s="16"/>
      <c r="H236" s="38">
        <v>231</v>
      </c>
      <c r="I236" s="39" t="str">
        <f t="shared" si="14"/>
        <v/>
      </c>
      <c r="J236" s="38" t="e">
        <f t="shared" si="17"/>
        <v>#NUM!</v>
      </c>
      <c r="K236" s="38" t="e">
        <f t="shared" si="15"/>
        <v>#NUM!</v>
      </c>
      <c r="L236" s="38"/>
      <c r="M236" s="40">
        <f t="shared" si="16"/>
        <v>0</v>
      </c>
    </row>
    <row r="237" spans="1:13" x14ac:dyDescent="0.25">
      <c r="A237" s="59"/>
      <c r="G237" s="16"/>
      <c r="H237" s="38">
        <v>232</v>
      </c>
      <c r="I237" s="39" t="str">
        <f t="shared" si="14"/>
        <v/>
      </c>
      <c r="J237" s="38" t="e">
        <f t="shared" si="17"/>
        <v>#NUM!</v>
      </c>
      <c r="K237" s="38" t="e">
        <f t="shared" si="15"/>
        <v>#NUM!</v>
      </c>
      <c r="L237" s="38"/>
      <c r="M237" s="40">
        <f t="shared" si="16"/>
        <v>0</v>
      </c>
    </row>
    <row r="238" spans="1:13" x14ac:dyDescent="0.25">
      <c r="A238" s="59"/>
      <c r="G238" s="16"/>
      <c r="H238" s="38">
        <v>233</v>
      </c>
      <c r="I238" s="39" t="str">
        <f t="shared" si="14"/>
        <v/>
      </c>
      <c r="J238" s="38" t="e">
        <f t="shared" si="17"/>
        <v>#NUM!</v>
      </c>
      <c r="K238" s="38" t="e">
        <f t="shared" si="15"/>
        <v>#NUM!</v>
      </c>
      <c r="L238" s="38"/>
      <c r="M238" s="40">
        <f t="shared" si="16"/>
        <v>0</v>
      </c>
    </row>
    <row r="239" spans="1:13" x14ac:dyDescent="0.25">
      <c r="A239" s="59"/>
      <c r="G239" s="16"/>
      <c r="H239" s="38">
        <v>234</v>
      </c>
      <c r="I239" s="39" t="str">
        <f t="shared" si="14"/>
        <v/>
      </c>
      <c r="J239" s="38" t="e">
        <f t="shared" si="17"/>
        <v>#NUM!</v>
      </c>
      <c r="K239" s="38" t="e">
        <f t="shared" si="15"/>
        <v>#NUM!</v>
      </c>
      <c r="L239" s="38"/>
      <c r="M239" s="40">
        <f t="shared" si="16"/>
        <v>0</v>
      </c>
    </row>
    <row r="240" spans="1:13" x14ac:dyDescent="0.25">
      <c r="A240" s="59"/>
      <c r="G240" s="16"/>
      <c r="H240" s="38">
        <v>235</v>
      </c>
      <c r="I240" s="39" t="str">
        <f t="shared" si="14"/>
        <v/>
      </c>
      <c r="J240" s="38" t="e">
        <f t="shared" si="17"/>
        <v>#NUM!</v>
      </c>
      <c r="K240" s="38" t="e">
        <f t="shared" si="15"/>
        <v>#NUM!</v>
      </c>
      <c r="L240" s="38"/>
      <c r="M240" s="40">
        <f t="shared" si="16"/>
        <v>0</v>
      </c>
    </row>
    <row r="241" spans="1:13" x14ac:dyDescent="0.25">
      <c r="A241" s="59"/>
      <c r="G241" s="16"/>
      <c r="H241" s="38">
        <v>236</v>
      </c>
      <c r="I241" s="39" t="str">
        <f t="shared" si="14"/>
        <v/>
      </c>
      <c r="J241" s="38" t="e">
        <f t="shared" si="17"/>
        <v>#NUM!</v>
      </c>
      <c r="K241" s="38" t="e">
        <f t="shared" si="15"/>
        <v>#NUM!</v>
      </c>
      <c r="L241" s="38"/>
      <c r="M241" s="40">
        <f t="shared" si="16"/>
        <v>0</v>
      </c>
    </row>
    <row r="242" spans="1:13" x14ac:dyDescent="0.25">
      <c r="A242" s="59"/>
      <c r="G242" s="16"/>
      <c r="H242" s="38">
        <v>237</v>
      </c>
      <c r="I242" s="39" t="str">
        <f t="shared" si="14"/>
        <v/>
      </c>
      <c r="J242" s="38" t="e">
        <f t="shared" si="17"/>
        <v>#NUM!</v>
      </c>
      <c r="K242" s="38" t="e">
        <f t="shared" si="15"/>
        <v>#NUM!</v>
      </c>
      <c r="L242" s="38"/>
      <c r="M242" s="40">
        <f t="shared" si="16"/>
        <v>0</v>
      </c>
    </row>
    <row r="243" spans="1:13" x14ac:dyDescent="0.25">
      <c r="A243" s="59"/>
      <c r="G243" s="16"/>
      <c r="H243" s="38">
        <v>238</v>
      </c>
      <c r="I243" s="39" t="str">
        <f t="shared" si="14"/>
        <v/>
      </c>
      <c r="J243" s="38" t="e">
        <f t="shared" si="17"/>
        <v>#NUM!</v>
      </c>
      <c r="K243" s="38" t="e">
        <f t="shared" si="15"/>
        <v>#NUM!</v>
      </c>
      <c r="L243" s="38"/>
      <c r="M243" s="40">
        <f t="shared" si="16"/>
        <v>0</v>
      </c>
    </row>
    <row r="244" spans="1:13" x14ac:dyDescent="0.25">
      <c r="A244" s="59"/>
      <c r="G244" s="16"/>
      <c r="H244" s="38">
        <v>239</v>
      </c>
      <c r="I244" s="39" t="str">
        <f t="shared" si="14"/>
        <v/>
      </c>
      <c r="J244" s="38" t="e">
        <f t="shared" si="17"/>
        <v>#NUM!</v>
      </c>
      <c r="K244" s="38" t="e">
        <f t="shared" si="15"/>
        <v>#NUM!</v>
      </c>
      <c r="L244" s="38"/>
      <c r="M244" s="40">
        <f t="shared" si="16"/>
        <v>0</v>
      </c>
    </row>
    <row r="245" spans="1:13" x14ac:dyDescent="0.25">
      <c r="A245" s="59"/>
      <c r="G245" s="16"/>
      <c r="H245" s="38">
        <v>240</v>
      </c>
      <c r="I245" s="39" t="str">
        <f t="shared" si="14"/>
        <v/>
      </c>
      <c r="J245" s="38" t="e">
        <f t="shared" si="17"/>
        <v>#NUM!</v>
      </c>
      <c r="K245" s="38" t="e">
        <f t="shared" si="15"/>
        <v>#NUM!</v>
      </c>
      <c r="L245" s="38"/>
      <c r="M245" s="40">
        <f t="shared" si="16"/>
        <v>0</v>
      </c>
    </row>
    <row r="246" spans="1:13" x14ac:dyDescent="0.25">
      <c r="A246" s="59"/>
      <c r="G246" s="16"/>
      <c r="H246" s="38">
        <v>241</v>
      </c>
      <c r="I246" s="39" t="str">
        <f t="shared" si="14"/>
        <v/>
      </c>
      <c r="J246" s="38" t="e">
        <f t="shared" si="17"/>
        <v>#NUM!</v>
      </c>
      <c r="K246" s="38" t="e">
        <f t="shared" si="15"/>
        <v>#NUM!</v>
      </c>
      <c r="L246" s="38"/>
      <c r="M246" s="40">
        <f t="shared" si="16"/>
        <v>0</v>
      </c>
    </row>
    <row r="247" spans="1:13" x14ac:dyDescent="0.25">
      <c r="A247" s="59"/>
      <c r="G247" s="16"/>
      <c r="H247" s="38">
        <v>242</v>
      </c>
      <c r="I247" s="39" t="str">
        <f t="shared" si="14"/>
        <v/>
      </c>
      <c r="J247" s="38" t="e">
        <f t="shared" si="17"/>
        <v>#NUM!</v>
      </c>
      <c r="K247" s="38" t="e">
        <f t="shared" si="15"/>
        <v>#NUM!</v>
      </c>
      <c r="L247" s="38"/>
      <c r="M247" s="40">
        <f t="shared" si="16"/>
        <v>0</v>
      </c>
    </row>
    <row r="248" spans="1:13" x14ac:dyDescent="0.25">
      <c r="A248" s="59"/>
      <c r="G248" s="16"/>
      <c r="H248" s="38">
        <v>243</v>
      </c>
      <c r="I248" s="39" t="str">
        <f t="shared" si="14"/>
        <v/>
      </c>
      <c r="J248" s="38" t="e">
        <f t="shared" si="17"/>
        <v>#NUM!</v>
      </c>
      <c r="K248" s="38" t="e">
        <f t="shared" si="15"/>
        <v>#NUM!</v>
      </c>
      <c r="L248" s="38"/>
      <c r="M248" s="40">
        <f t="shared" si="16"/>
        <v>0</v>
      </c>
    </row>
    <row r="249" spans="1:13" x14ac:dyDescent="0.25">
      <c r="A249" s="59"/>
      <c r="G249" s="16"/>
      <c r="H249" s="38">
        <v>244</v>
      </c>
      <c r="I249" s="39" t="str">
        <f t="shared" si="14"/>
        <v/>
      </c>
      <c r="J249" s="38" t="e">
        <f t="shared" si="17"/>
        <v>#NUM!</v>
      </c>
      <c r="K249" s="38" t="e">
        <f t="shared" si="15"/>
        <v>#NUM!</v>
      </c>
      <c r="L249" s="38"/>
      <c r="M249" s="40">
        <f t="shared" si="16"/>
        <v>0</v>
      </c>
    </row>
    <row r="250" spans="1:13" x14ac:dyDescent="0.25">
      <c r="A250" s="59"/>
      <c r="G250" s="16"/>
      <c r="H250" s="38">
        <v>245</v>
      </c>
      <c r="I250" s="39" t="str">
        <f t="shared" si="14"/>
        <v/>
      </c>
      <c r="J250" s="38" t="e">
        <f t="shared" si="17"/>
        <v>#NUM!</v>
      </c>
      <c r="K250" s="38" t="e">
        <f t="shared" si="15"/>
        <v>#NUM!</v>
      </c>
      <c r="L250" s="38"/>
      <c r="M250" s="40">
        <f t="shared" si="16"/>
        <v>0</v>
      </c>
    </row>
    <row r="251" spans="1:13" x14ac:dyDescent="0.25">
      <c r="A251" s="59"/>
      <c r="G251" s="16"/>
      <c r="H251" s="38">
        <v>246</v>
      </c>
      <c r="I251" s="39" t="str">
        <f t="shared" si="14"/>
        <v/>
      </c>
      <c r="J251" s="38" t="e">
        <f t="shared" si="17"/>
        <v>#NUM!</v>
      </c>
      <c r="K251" s="38" t="e">
        <f t="shared" si="15"/>
        <v>#NUM!</v>
      </c>
      <c r="L251" s="38"/>
      <c r="M251" s="40">
        <f t="shared" si="16"/>
        <v>0</v>
      </c>
    </row>
    <row r="252" spans="1:13" x14ac:dyDescent="0.25">
      <c r="A252" s="59"/>
      <c r="G252" s="16"/>
      <c r="H252" s="38">
        <v>247</v>
      </c>
      <c r="I252" s="39" t="str">
        <f t="shared" si="14"/>
        <v/>
      </c>
      <c r="J252" s="38" t="e">
        <f t="shared" si="17"/>
        <v>#NUM!</v>
      </c>
      <c r="K252" s="38" t="e">
        <f t="shared" si="15"/>
        <v>#NUM!</v>
      </c>
      <c r="L252" s="38"/>
      <c r="M252" s="40">
        <f t="shared" si="16"/>
        <v>0</v>
      </c>
    </row>
    <row r="253" spans="1:13" x14ac:dyDescent="0.25">
      <c r="A253" s="59"/>
      <c r="G253" s="16"/>
      <c r="H253" s="38">
        <v>248</v>
      </c>
      <c r="I253" s="39" t="str">
        <f t="shared" si="14"/>
        <v/>
      </c>
      <c r="J253" s="38" t="e">
        <f t="shared" si="17"/>
        <v>#NUM!</v>
      </c>
      <c r="K253" s="38" t="e">
        <f t="shared" si="15"/>
        <v>#NUM!</v>
      </c>
      <c r="L253" s="38"/>
      <c r="M253" s="40">
        <f t="shared" si="16"/>
        <v>0</v>
      </c>
    </row>
    <row r="254" spans="1:13" x14ac:dyDescent="0.25">
      <c r="A254" s="59"/>
      <c r="G254" s="16"/>
      <c r="H254" s="38">
        <v>249</v>
      </c>
      <c r="I254" s="39" t="str">
        <f t="shared" si="14"/>
        <v/>
      </c>
      <c r="J254" s="38" t="e">
        <f t="shared" si="17"/>
        <v>#NUM!</v>
      </c>
      <c r="K254" s="38" t="e">
        <f t="shared" si="15"/>
        <v>#NUM!</v>
      </c>
      <c r="L254" s="38"/>
      <c r="M254" s="40">
        <f t="shared" si="16"/>
        <v>0</v>
      </c>
    </row>
    <row r="255" spans="1:13" x14ac:dyDescent="0.25">
      <c r="A255" s="59"/>
      <c r="G255" s="16"/>
      <c r="H255" s="38">
        <v>250</v>
      </c>
      <c r="I255" s="39" t="str">
        <f t="shared" si="14"/>
        <v/>
      </c>
      <c r="J255" s="38" t="e">
        <f t="shared" si="17"/>
        <v>#NUM!</v>
      </c>
      <c r="K255" s="38" t="e">
        <f t="shared" si="15"/>
        <v>#NUM!</v>
      </c>
      <c r="L255" s="38"/>
      <c r="M255" s="40">
        <f t="shared" si="16"/>
        <v>0</v>
      </c>
    </row>
    <row r="256" spans="1:13" x14ac:dyDescent="0.25">
      <c r="A256" s="59"/>
      <c r="G256" s="16"/>
      <c r="H256" s="38">
        <v>251</v>
      </c>
      <c r="I256" s="39" t="str">
        <f t="shared" si="14"/>
        <v/>
      </c>
      <c r="J256" s="38" t="e">
        <f t="shared" si="17"/>
        <v>#NUM!</v>
      </c>
      <c r="K256" s="38" t="e">
        <f t="shared" si="15"/>
        <v>#NUM!</v>
      </c>
      <c r="L256" s="38"/>
      <c r="M256" s="40">
        <f t="shared" si="16"/>
        <v>0</v>
      </c>
    </row>
    <row r="257" spans="1:13" x14ac:dyDescent="0.25">
      <c r="A257" s="59"/>
      <c r="G257" s="16"/>
      <c r="H257" s="38">
        <v>252</v>
      </c>
      <c r="I257" s="39" t="str">
        <f t="shared" si="14"/>
        <v/>
      </c>
      <c r="J257" s="38" t="e">
        <f t="shared" si="17"/>
        <v>#NUM!</v>
      </c>
      <c r="K257" s="38" t="e">
        <f t="shared" si="15"/>
        <v>#NUM!</v>
      </c>
      <c r="L257" s="38"/>
      <c r="M257" s="40">
        <f t="shared" si="16"/>
        <v>0</v>
      </c>
    </row>
    <row r="258" spans="1:13" x14ac:dyDescent="0.25">
      <c r="A258" s="59"/>
      <c r="G258" s="16"/>
      <c r="H258" s="38">
        <v>253</v>
      </c>
      <c r="I258" s="39" t="str">
        <f t="shared" si="14"/>
        <v/>
      </c>
      <c r="J258" s="38" t="e">
        <f t="shared" si="17"/>
        <v>#NUM!</v>
      </c>
      <c r="K258" s="38" t="e">
        <f t="shared" si="15"/>
        <v>#NUM!</v>
      </c>
      <c r="L258" s="38"/>
      <c r="M258" s="40">
        <f t="shared" si="16"/>
        <v>0</v>
      </c>
    </row>
    <row r="259" spans="1:13" x14ac:dyDescent="0.25">
      <c r="A259" s="59"/>
      <c r="G259" s="16"/>
      <c r="H259" s="38">
        <v>254</v>
      </c>
      <c r="I259" s="39" t="str">
        <f t="shared" si="14"/>
        <v/>
      </c>
      <c r="J259" s="38" t="e">
        <f t="shared" si="17"/>
        <v>#NUM!</v>
      </c>
      <c r="K259" s="38" t="e">
        <f t="shared" si="15"/>
        <v>#NUM!</v>
      </c>
      <c r="L259" s="38"/>
      <c r="M259" s="40">
        <f t="shared" si="16"/>
        <v>0</v>
      </c>
    </row>
    <row r="260" spans="1:13" x14ac:dyDescent="0.25">
      <c r="A260" s="59"/>
      <c r="G260" s="16"/>
      <c r="H260" s="38">
        <v>255</v>
      </c>
      <c r="I260" s="39" t="str">
        <f t="shared" si="14"/>
        <v/>
      </c>
      <c r="J260" s="38" t="e">
        <f t="shared" si="17"/>
        <v>#NUM!</v>
      </c>
      <c r="K260" s="38" t="e">
        <f t="shared" si="15"/>
        <v>#NUM!</v>
      </c>
      <c r="L260" s="38"/>
      <c r="M260" s="40">
        <f t="shared" si="16"/>
        <v>0</v>
      </c>
    </row>
    <row r="261" spans="1:13" x14ac:dyDescent="0.25">
      <c r="A261" s="59"/>
      <c r="G261" s="16"/>
      <c r="H261" s="38">
        <v>256</v>
      </c>
      <c r="I261" s="39" t="str">
        <f t="shared" si="14"/>
        <v/>
      </c>
      <c r="J261" s="38" t="e">
        <f t="shared" si="17"/>
        <v>#NUM!</v>
      </c>
      <c r="K261" s="38" t="e">
        <f t="shared" si="15"/>
        <v>#NUM!</v>
      </c>
      <c r="L261" s="38"/>
      <c r="M261" s="40">
        <f t="shared" si="16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8">IF(H262&lt;$H$2+1,($I$2-($I$2-1)*(LOG(H262)/LOG($H$2))),"")</f>
        <v/>
      </c>
      <c r="J262" s="38" t="e">
        <f t="shared" si="17"/>
        <v>#NUM!</v>
      </c>
      <c r="K262" s="38" t="e">
        <f t="shared" ref="K262:K305" si="19">J262*$J$2</f>
        <v>#NUM!</v>
      </c>
      <c r="L262" s="38"/>
      <c r="M262" s="40">
        <f t="shared" ref="M262:M305" si="20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8"/>
        <v/>
      </c>
      <c r="J263" s="38" t="e">
        <f t="shared" ref="J263:J326" si="21">INT(LOG($H$2,2))-ROUNDUP(LOG(H263,2),0)+IF(OR($H$2=1,$H$2=2,$H$2=4,$H$2=8,$H$2=16,$H$2=32,$H$2=64,$H$2=128,$H$2=256),0,1)</f>
        <v>#NUM!</v>
      </c>
      <c r="K263" s="38" t="e">
        <f t="shared" si="19"/>
        <v>#NUM!</v>
      </c>
      <c r="L263" s="38"/>
      <c r="M263" s="40">
        <f t="shared" si="20"/>
        <v>0</v>
      </c>
    </row>
    <row r="264" spans="1:13" x14ac:dyDescent="0.25">
      <c r="A264" s="59"/>
      <c r="G264" s="16"/>
      <c r="H264" s="38">
        <v>259</v>
      </c>
      <c r="I264" s="39" t="str">
        <f t="shared" si="18"/>
        <v/>
      </c>
      <c r="J264" s="38" t="e">
        <f t="shared" si="21"/>
        <v>#NUM!</v>
      </c>
      <c r="K264" s="38" t="e">
        <f t="shared" si="19"/>
        <v>#NUM!</v>
      </c>
      <c r="L264" s="38"/>
      <c r="M264" s="40">
        <f t="shared" si="20"/>
        <v>0</v>
      </c>
    </row>
    <row r="265" spans="1:13" x14ac:dyDescent="0.25">
      <c r="A265" s="59"/>
      <c r="G265" s="16"/>
      <c r="H265" s="38">
        <v>260</v>
      </c>
      <c r="I265" s="39" t="str">
        <f t="shared" si="18"/>
        <v/>
      </c>
      <c r="J265" s="38" t="e">
        <f t="shared" si="21"/>
        <v>#NUM!</v>
      </c>
      <c r="K265" s="38" t="e">
        <f t="shared" si="19"/>
        <v>#NUM!</v>
      </c>
      <c r="L265" s="38"/>
      <c r="M265" s="40">
        <f t="shared" si="20"/>
        <v>0</v>
      </c>
    </row>
    <row r="266" spans="1:13" x14ac:dyDescent="0.25">
      <c r="A266" s="59"/>
      <c r="G266" s="16"/>
      <c r="H266" s="38">
        <v>261</v>
      </c>
      <c r="I266" s="39" t="str">
        <f t="shared" si="18"/>
        <v/>
      </c>
      <c r="J266" s="38" t="e">
        <f t="shared" si="21"/>
        <v>#NUM!</v>
      </c>
      <c r="K266" s="38" t="e">
        <f t="shared" si="19"/>
        <v>#NUM!</v>
      </c>
      <c r="L266" s="38"/>
      <c r="M266" s="40">
        <f t="shared" si="20"/>
        <v>0</v>
      </c>
    </row>
    <row r="267" spans="1:13" x14ac:dyDescent="0.25">
      <c r="A267" s="59"/>
      <c r="G267" s="16"/>
      <c r="H267" s="38">
        <v>262</v>
      </c>
      <c r="I267" s="39" t="str">
        <f t="shared" si="18"/>
        <v/>
      </c>
      <c r="J267" s="38" t="e">
        <f t="shared" si="21"/>
        <v>#NUM!</v>
      </c>
      <c r="K267" s="38" t="e">
        <f t="shared" si="19"/>
        <v>#NUM!</v>
      </c>
      <c r="L267" s="38"/>
      <c r="M267" s="40">
        <f t="shared" si="20"/>
        <v>0</v>
      </c>
    </row>
    <row r="268" spans="1:13" x14ac:dyDescent="0.25">
      <c r="A268" s="59"/>
      <c r="G268" s="16"/>
      <c r="H268" s="38">
        <v>263</v>
      </c>
      <c r="I268" s="39" t="str">
        <f t="shared" si="18"/>
        <v/>
      </c>
      <c r="J268" s="38" t="e">
        <f t="shared" si="21"/>
        <v>#NUM!</v>
      </c>
      <c r="K268" s="38" t="e">
        <f t="shared" si="19"/>
        <v>#NUM!</v>
      </c>
      <c r="L268" s="38"/>
      <c r="M268" s="40">
        <f t="shared" si="20"/>
        <v>0</v>
      </c>
    </row>
    <row r="269" spans="1:13" x14ac:dyDescent="0.25">
      <c r="A269" s="59"/>
      <c r="G269" s="16"/>
      <c r="H269" s="38">
        <v>264</v>
      </c>
      <c r="I269" s="39" t="str">
        <f t="shared" si="18"/>
        <v/>
      </c>
      <c r="J269" s="38" t="e">
        <f t="shared" si="21"/>
        <v>#NUM!</v>
      </c>
      <c r="K269" s="38" t="e">
        <f t="shared" si="19"/>
        <v>#NUM!</v>
      </c>
      <c r="L269" s="38"/>
      <c r="M269" s="40">
        <f t="shared" si="20"/>
        <v>0</v>
      </c>
    </row>
    <row r="270" spans="1:13" x14ac:dyDescent="0.25">
      <c r="A270" s="59"/>
      <c r="G270" s="16"/>
      <c r="H270" s="38">
        <v>265</v>
      </c>
      <c r="I270" s="39" t="str">
        <f t="shared" si="18"/>
        <v/>
      </c>
      <c r="J270" s="38" t="e">
        <f t="shared" si="21"/>
        <v>#NUM!</v>
      </c>
      <c r="K270" s="38" t="e">
        <f t="shared" si="19"/>
        <v>#NUM!</v>
      </c>
      <c r="L270" s="38"/>
      <c r="M270" s="40">
        <f t="shared" si="20"/>
        <v>0</v>
      </c>
    </row>
    <row r="271" spans="1:13" x14ac:dyDescent="0.25">
      <c r="A271" s="59"/>
      <c r="G271" s="16"/>
      <c r="H271" s="38">
        <v>266</v>
      </c>
      <c r="I271" s="39" t="str">
        <f t="shared" si="18"/>
        <v/>
      </c>
      <c r="J271" s="38" t="e">
        <f t="shared" si="21"/>
        <v>#NUM!</v>
      </c>
      <c r="K271" s="38" t="e">
        <f t="shared" si="19"/>
        <v>#NUM!</v>
      </c>
      <c r="L271" s="38"/>
      <c r="M271" s="40">
        <f t="shared" si="20"/>
        <v>0</v>
      </c>
    </row>
    <row r="272" spans="1:13" x14ac:dyDescent="0.25">
      <c r="A272" s="59"/>
      <c r="G272" s="16"/>
      <c r="H272" s="38">
        <v>267</v>
      </c>
      <c r="I272" s="39" t="str">
        <f t="shared" si="18"/>
        <v/>
      </c>
      <c r="J272" s="38" t="e">
        <f t="shared" si="21"/>
        <v>#NUM!</v>
      </c>
      <c r="K272" s="38" t="e">
        <f t="shared" si="19"/>
        <v>#NUM!</v>
      </c>
      <c r="L272" s="38"/>
      <c r="M272" s="40">
        <f t="shared" si="20"/>
        <v>0</v>
      </c>
    </row>
    <row r="273" spans="1:13" x14ac:dyDescent="0.25">
      <c r="A273" s="59"/>
      <c r="G273" s="16"/>
      <c r="H273" s="38">
        <v>268</v>
      </c>
      <c r="I273" s="39" t="str">
        <f t="shared" si="18"/>
        <v/>
      </c>
      <c r="J273" s="38" t="e">
        <f t="shared" si="21"/>
        <v>#NUM!</v>
      </c>
      <c r="K273" s="38" t="e">
        <f t="shared" si="19"/>
        <v>#NUM!</v>
      </c>
      <c r="L273" s="38"/>
      <c r="M273" s="40">
        <f t="shared" si="20"/>
        <v>0</v>
      </c>
    </row>
    <row r="274" spans="1:13" x14ac:dyDescent="0.25">
      <c r="A274" s="59"/>
      <c r="G274" s="16"/>
      <c r="H274" s="38">
        <v>269</v>
      </c>
      <c r="I274" s="39" t="str">
        <f t="shared" si="18"/>
        <v/>
      </c>
      <c r="J274" s="38" t="e">
        <f t="shared" si="21"/>
        <v>#NUM!</v>
      </c>
      <c r="K274" s="38" t="e">
        <f t="shared" si="19"/>
        <v>#NUM!</v>
      </c>
      <c r="L274" s="38"/>
      <c r="M274" s="40">
        <f t="shared" si="20"/>
        <v>0</v>
      </c>
    </row>
    <row r="275" spans="1:13" x14ac:dyDescent="0.25">
      <c r="A275" s="59"/>
      <c r="G275" s="16"/>
      <c r="H275" s="38">
        <v>270</v>
      </c>
      <c r="I275" s="39" t="str">
        <f t="shared" si="18"/>
        <v/>
      </c>
      <c r="J275" s="38" t="e">
        <f t="shared" si="21"/>
        <v>#NUM!</v>
      </c>
      <c r="K275" s="38" t="e">
        <f t="shared" si="19"/>
        <v>#NUM!</v>
      </c>
      <c r="L275" s="38"/>
      <c r="M275" s="40">
        <f t="shared" si="20"/>
        <v>0</v>
      </c>
    </row>
    <row r="276" spans="1:13" x14ac:dyDescent="0.25">
      <c r="A276" s="59"/>
      <c r="G276" s="16"/>
      <c r="H276" s="38">
        <v>271</v>
      </c>
      <c r="I276" s="39" t="str">
        <f t="shared" si="18"/>
        <v/>
      </c>
      <c r="J276" s="38" t="e">
        <f t="shared" si="21"/>
        <v>#NUM!</v>
      </c>
      <c r="K276" s="38" t="e">
        <f t="shared" si="19"/>
        <v>#NUM!</v>
      </c>
      <c r="L276" s="38"/>
      <c r="M276" s="40">
        <f t="shared" si="20"/>
        <v>0</v>
      </c>
    </row>
    <row r="277" spans="1:13" x14ac:dyDescent="0.25">
      <c r="A277" s="59"/>
      <c r="G277" s="16"/>
      <c r="H277" s="38">
        <v>272</v>
      </c>
      <c r="I277" s="39" t="str">
        <f t="shared" si="18"/>
        <v/>
      </c>
      <c r="J277" s="38" t="e">
        <f t="shared" si="21"/>
        <v>#NUM!</v>
      </c>
      <c r="K277" s="38" t="e">
        <f t="shared" si="19"/>
        <v>#NUM!</v>
      </c>
      <c r="L277" s="38"/>
      <c r="M277" s="40">
        <f t="shared" si="20"/>
        <v>0</v>
      </c>
    </row>
    <row r="278" spans="1:13" x14ac:dyDescent="0.25">
      <c r="A278" s="59"/>
      <c r="G278" s="16"/>
      <c r="H278" s="38">
        <v>273</v>
      </c>
      <c r="I278" s="39" t="str">
        <f t="shared" si="18"/>
        <v/>
      </c>
      <c r="J278" s="38" t="e">
        <f t="shared" si="21"/>
        <v>#NUM!</v>
      </c>
      <c r="K278" s="38" t="e">
        <f t="shared" si="19"/>
        <v>#NUM!</v>
      </c>
      <c r="L278" s="38"/>
      <c r="M278" s="40">
        <f t="shared" si="20"/>
        <v>0</v>
      </c>
    </row>
    <row r="279" spans="1:13" x14ac:dyDescent="0.25">
      <c r="A279" s="59"/>
      <c r="G279" s="16"/>
      <c r="H279" s="38">
        <v>274</v>
      </c>
      <c r="I279" s="39" t="str">
        <f t="shared" si="18"/>
        <v/>
      </c>
      <c r="J279" s="38" t="e">
        <f t="shared" si="21"/>
        <v>#NUM!</v>
      </c>
      <c r="K279" s="38" t="e">
        <f t="shared" si="19"/>
        <v>#NUM!</v>
      </c>
      <c r="L279" s="38"/>
      <c r="M279" s="40">
        <f t="shared" si="20"/>
        <v>0</v>
      </c>
    </row>
    <row r="280" spans="1:13" x14ac:dyDescent="0.25">
      <c r="A280" s="59"/>
      <c r="G280" s="16"/>
      <c r="H280" s="38">
        <v>275</v>
      </c>
      <c r="I280" s="39" t="str">
        <f t="shared" si="18"/>
        <v/>
      </c>
      <c r="J280" s="38" t="e">
        <f t="shared" si="21"/>
        <v>#NUM!</v>
      </c>
      <c r="K280" s="38" t="e">
        <f t="shared" si="19"/>
        <v>#NUM!</v>
      </c>
      <c r="L280" s="38"/>
      <c r="M280" s="40">
        <f t="shared" si="20"/>
        <v>0</v>
      </c>
    </row>
    <row r="281" spans="1:13" x14ac:dyDescent="0.25">
      <c r="A281" s="59"/>
      <c r="G281" s="16"/>
      <c r="H281" s="38">
        <v>276</v>
      </c>
      <c r="I281" s="39" t="str">
        <f t="shared" si="18"/>
        <v/>
      </c>
      <c r="J281" s="38" t="e">
        <f t="shared" si="21"/>
        <v>#NUM!</v>
      </c>
      <c r="K281" s="38" t="e">
        <f t="shared" si="19"/>
        <v>#NUM!</v>
      </c>
      <c r="L281" s="38"/>
      <c r="M281" s="40">
        <f t="shared" si="20"/>
        <v>0</v>
      </c>
    </row>
    <row r="282" spans="1:13" x14ac:dyDescent="0.25">
      <c r="A282" s="59"/>
      <c r="G282" s="16"/>
      <c r="H282" s="38">
        <v>277</v>
      </c>
      <c r="I282" s="39" t="str">
        <f t="shared" si="18"/>
        <v/>
      </c>
      <c r="J282" s="38" t="e">
        <f t="shared" si="21"/>
        <v>#NUM!</v>
      </c>
      <c r="K282" s="38" t="e">
        <f t="shared" si="19"/>
        <v>#NUM!</v>
      </c>
      <c r="L282" s="38"/>
      <c r="M282" s="40">
        <f t="shared" si="20"/>
        <v>0</v>
      </c>
    </row>
    <row r="283" spans="1:13" x14ac:dyDescent="0.25">
      <c r="A283" s="59"/>
      <c r="G283" s="16"/>
      <c r="H283" s="38">
        <v>278</v>
      </c>
      <c r="I283" s="39" t="str">
        <f t="shared" si="18"/>
        <v/>
      </c>
      <c r="J283" s="38" t="e">
        <f t="shared" si="21"/>
        <v>#NUM!</v>
      </c>
      <c r="K283" s="38" t="e">
        <f t="shared" si="19"/>
        <v>#NUM!</v>
      </c>
      <c r="L283" s="38"/>
      <c r="M283" s="40">
        <f t="shared" si="20"/>
        <v>0</v>
      </c>
    </row>
    <row r="284" spans="1:13" x14ac:dyDescent="0.25">
      <c r="A284" s="59"/>
      <c r="G284" s="16"/>
      <c r="H284" s="38">
        <v>279</v>
      </c>
      <c r="I284" s="39" t="str">
        <f t="shared" si="18"/>
        <v/>
      </c>
      <c r="J284" s="38" t="e">
        <f t="shared" si="21"/>
        <v>#NUM!</v>
      </c>
      <c r="K284" s="38" t="e">
        <f t="shared" si="19"/>
        <v>#NUM!</v>
      </c>
      <c r="L284" s="38"/>
      <c r="M284" s="40">
        <f t="shared" si="20"/>
        <v>0</v>
      </c>
    </row>
    <row r="285" spans="1:13" x14ac:dyDescent="0.25">
      <c r="A285" s="59"/>
      <c r="G285" s="16"/>
      <c r="H285" s="38">
        <v>280</v>
      </c>
      <c r="I285" s="39" t="str">
        <f t="shared" si="18"/>
        <v/>
      </c>
      <c r="J285" s="38" t="e">
        <f t="shared" si="21"/>
        <v>#NUM!</v>
      </c>
      <c r="K285" s="38" t="e">
        <f t="shared" si="19"/>
        <v>#NUM!</v>
      </c>
      <c r="L285" s="38"/>
      <c r="M285" s="40">
        <f t="shared" si="20"/>
        <v>0</v>
      </c>
    </row>
    <row r="286" spans="1:13" x14ac:dyDescent="0.25">
      <c r="A286" s="59"/>
      <c r="G286" s="16"/>
      <c r="H286" s="38">
        <v>281</v>
      </c>
      <c r="I286" s="39" t="str">
        <f t="shared" si="18"/>
        <v/>
      </c>
      <c r="J286" s="38" t="e">
        <f t="shared" si="21"/>
        <v>#NUM!</v>
      </c>
      <c r="K286" s="38" t="e">
        <f t="shared" si="19"/>
        <v>#NUM!</v>
      </c>
      <c r="L286" s="38"/>
      <c r="M286" s="40">
        <f t="shared" si="20"/>
        <v>0</v>
      </c>
    </row>
    <row r="287" spans="1:13" x14ac:dyDescent="0.25">
      <c r="A287" s="59"/>
      <c r="G287" s="16"/>
      <c r="H287" s="38">
        <v>282</v>
      </c>
      <c r="I287" s="39" t="str">
        <f t="shared" si="18"/>
        <v/>
      </c>
      <c r="J287" s="38" t="e">
        <f t="shared" si="21"/>
        <v>#NUM!</v>
      </c>
      <c r="K287" s="38" t="e">
        <f t="shared" si="19"/>
        <v>#NUM!</v>
      </c>
      <c r="L287" s="38"/>
      <c r="M287" s="40">
        <f t="shared" si="20"/>
        <v>0</v>
      </c>
    </row>
    <row r="288" spans="1:13" x14ac:dyDescent="0.25">
      <c r="A288" s="59"/>
      <c r="G288" s="16"/>
      <c r="H288" s="38">
        <v>283</v>
      </c>
      <c r="I288" s="39" t="str">
        <f t="shared" si="18"/>
        <v/>
      </c>
      <c r="J288" s="38" t="e">
        <f t="shared" si="21"/>
        <v>#NUM!</v>
      </c>
      <c r="K288" s="38" t="e">
        <f t="shared" si="19"/>
        <v>#NUM!</v>
      </c>
      <c r="L288" s="38"/>
      <c r="M288" s="40">
        <f t="shared" si="20"/>
        <v>0</v>
      </c>
    </row>
    <row r="289" spans="1:13" x14ac:dyDescent="0.25">
      <c r="A289" s="59"/>
      <c r="G289" s="16"/>
      <c r="H289" s="38">
        <v>284</v>
      </c>
      <c r="I289" s="39" t="str">
        <f t="shared" si="18"/>
        <v/>
      </c>
      <c r="J289" s="38" t="e">
        <f t="shared" si="21"/>
        <v>#NUM!</v>
      </c>
      <c r="K289" s="38" t="e">
        <f t="shared" si="19"/>
        <v>#NUM!</v>
      </c>
      <c r="L289" s="38"/>
      <c r="M289" s="40">
        <f t="shared" si="20"/>
        <v>0</v>
      </c>
    </row>
    <row r="290" spans="1:13" x14ac:dyDescent="0.25">
      <c r="A290" s="59"/>
      <c r="G290" s="16"/>
      <c r="H290" s="38">
        <v>285</v>
      </c>
      <c r="I290" s="39" t="str">
        <f t="shared" si="18"/>
        <v/>
      </c>
      <c r="J290" s="38" t="e">
        <f t="shared" si="21"/>
        <v>#NUM!</v>
      </c>
      <c r="K290" s="38" t="e">
        <f t="shared" si="19"/>
        <v>#NUM!</v>
      </c>
      <c r="L290" s="38"/>
      <c r="M290" s="40">
        <f t="shared" si="20"/>
        <v>0</v>
      </c>
    </row>
    <row r="291" spans="1:13" x14ac:dyDescent="0.25">
      <c r="A291" s="59"/>
      <c r="G291" s="16"/>
      <c r="H291" s="38">
        <v>286</v>
      </c>
      <c r="I291" s="39" t="str">
        <f t="shared" si="18"/>
        <v/>
      </c>
      <c r="J291" s="38" t="e">
        <f t="shared" si="21"/>
        <v>#NUM!</v>
      </c>
      <c r="K291" s="38" t="e">
        <f t="shared" si="19"/>
        <v>#NUM!</v>
      </c>
      <c r="L291" s="38"/>
      <c r="M291" s="40">
        <f t="shared" si="20"/>
        <v>0</v>
      </c>
    </row>
    <row r="292" spans="1:13" x14ac:dyDescent="0.25">
      <c r="A292" s="59"/>
      <c r="G292" s="16"/>
      <c r="H292" s="38">
        <v>287</v>
      </c>
      <c r="I292" s="39" t="str">
        <f t="shared" si="18"/>
        <v/>
      </c>
      <c r="J292" s="38" t="e">
        <f t="shared" si="21"/>
        <v>#NUM!</v>
      </c>
      <c r="K292" s="38" t="e">
        <f t="shared" si="19"/>
        <v>#NUM!</v>
      </c>
      <c r="L292" s="38"/>
      <c r="M292" s="40">
        <f t="shared" si="20"/>
        <v>0</v>
      </c>
    </row>
    <row r="293" spans="1:13" x14ac:dyDescent="0.25">
      <c r="A293" s="59"/>
      <c r="G293" s="16"/>
      <c r="H293" s="38">
        <v>288</v>
      </c>
      <c r="I293" s="39" t="str">
        <f t="shared" si="18"/>
        <v/>
      </c>
      <c r="J293" s="38" t="e">
        <f t="shared" si="21"/>
        <v>#NUM!</v>
      </c>
      <c r="K293" s="38" t="e">
        <f t="shared" si="19"/>
        <v>#NUM!</v>
      </c>
      <c r="L293" s="38"/>
      <c r="M293" s="40">
        <f t="shared" si="20"/>
        <v>0</v>
      </c>
    </row>
    <row r="294" spans="1:13" x14ac:dyDescent="0.25">
      <c r="A294" s="59"/>
      <c r="G294" s="16"/>
      <c r="H294" s="38">
        <v>289</v>
      </c>
      <c r="I294" s="39" t="str">
        <f t="shared" si="18"/>
        <v/>
      </c>
      <c r="J294" s="38" t="e">
        <f t="shared" si="21"/>
        <v>#NUM!</v>
      </c>
      <c r="K294" s="38" t="e">
        <f t="shared" si="19"/>
        <v>#NUM!</v>
      </c>
      <c r="L294" s="38"/>
      <c r="M294" s="40">
        <f t="shared" si="20"/>
        <v>0</v>
      </c>
    </row>
    <row r="295" spans="1:13" x14ac:dyDescent="0.25">
      <c r="A295" s="59"/>
      <c r="G295" s="16"/>
      <c r="H295" s="38">
        <v>290</v>
      </c>
      <c r="I295" s="39" t="str">
        <f t="shared" si="18"/>
        <v/>
      </c>
      <c r="J295" s="38" t="e">
        <f t="shared" si="21"/>
        <v>#NUM!</v>
      </c>
      <c r="K295" s="38" t="e">
        <f t="shared" si="19"/>
        <v>#NUM!</v>
      </c>
      <c r="L295" s="38"/>
      <c r="M295" s="40">
        <f t="shared" si="20"/>
        <v>0</v>
      </c>
    </row>
    <row r="296" spans="1:13" x14ac:dyDescent="0.25">
      <c r="A296" s="59"/>
      <c r="G296" s="16"/>
      <c r="H296" s="38">
        <v>291</v>
      </c>
      <c r="I296" s="39" t="str">
        <f t="shared" si="18"/>
        <v/>
      </c>
      <c r="J296" s="38" t="e">
        <f t="shared" si="21"/>
        <v>#NUM!</v>
      </c>
      <c r="K296" s="38" t="e">
        <f t="shared" si="19"/>
        <v>#NUM!</v>
      </c>
      <c r="L296" s="38"/>
      <c r="M296" s="40">
        <f t="shared" si="20"/>
        <v>0</v>
      </c>
    </row>
    <row r="297" spans="1:13" x14ac:dyDescent="0.25">
      <c r="A297" s="59"/>
      <c r="G297" s="16"/>
      <c r="H297" s="38">
        <v>292</v>
      </c>
      <c r="I297" s="39" t="str">
        <f t="shared" si="18"/>
        <v/>
      </c>
      <c r="J297" s="38" t="e">
        <f t="shared" si="21"/>
        <v>#NUM!</v>
      </c>
      <c r="K297" s="38" t="e">
        <f t="shared" si="19"/>
        <v>#NUM!</v>
      </c>
      <c r="L297" s="38"/>
      <c r="M297" s="40">
        <f t="shared" si="20"/>
        <v>0</v>
      </c>
    </row>
    <row r="298" spans="1:13" x14ac:dyDescent="0.25">
      <c r="A298" s="59"/>
      <c r="G298" s="16"/>
      <c r="H298" s="38">
        <v>293</v>
      </c>
      <c r="I298" s="39" t="str">
        <f t="shared" si="18"/>
        <v/>
      </c>
      <c r="J298" s="38" t="e">
        <f t="shared" si="21"/>
        <v>#NUM!</v>
      </c>
      <c r="K298" s="38" t="e">
        <f t="shared" si="19"/>
        <v>#NUM!</v>
      </c>
      <c r="L298" s="38"/>
      <c r="M298" s="40">
        <f t="shared" si="20"/>
        <v>0</v>
      </c>
    </row>
    <row r="299" spans="1:13" x14ac:dyDescent="0.25">
      <c r="A299" s="59"/>
      <c r="G299" s="16"/>
      <c r="H299" s="38">
        <v>294</v>
      </c>
      <c r="I299" s="39" t="str">
        <f t="shared" si="18"/>
        <v/>
      </c>
      <c r="J299" s="38" t="e">
        <f t="shared" si="21"/>
        <v>#NUM!</v>
      </c>
      <c r="K299" s="38" t="e">
        <f t="shared" si="19"/>
        <v>#NUM!</v>
      </c>
      <c r="L299" s="38"/>
      <c r="M299" s="40">
        <f t="shared" si="20"/>
        <v>0</v>
      </c>
    </row>
    <row r="300" spans="1:13" x14ac:dyDescent="0.25">
      <c r="A300" s="59"/>
      <c r="G300" s="16"/>
      <c r="H300" s="38">
        <v>295</v>
      </c>
      <c r="I300" s="39" t="str">
        <f t="shared" si="18"/>
        <v/>
      </c>
      <c r="J300" s="38" t="e">
        <f t="shared" si="21"/>
        <v>#NUM!</v>
      </c>
      <c r="K300" s="38" t="e">
        <f t="shared" si="19"/>
        <v>#NUM!</v>
      </c>
      <c r="L300" s="38"/>
      <c r="M300" s="40">
        <f t="shared" si="20"/>
        <v>0</v>
      </c>
    </row>
    <row r="301" spans="1:13" x14ac:dyDescent="0.25">
      <c r="A301" s="59"/>
      <c r="G301" s="16"/>
      <c r="H301" s="38">
        <v>296</v>
      </c>
      <c r="I301" s="39" t="str">
        <f t="shared" si="18"/>
        <v/>
      </c>
      <c r="J301" s="38" t="e">
        <f t="shared" si="21"/>
        <v>#NUM!</v>
      </c>
      <c r="K301" s="38" t="e">
        <f t="shared" si="19"/>
        <v>#NUM!</v>
      </c>
      <c r="L301" s="38"/>
      <c r="M301" s="40">
        <f t="shared" si="20"/>
        <v>0</v>
      </c>
    </row>
    <row r="302" spans="1:13" x14ac:dyDescent="0.25">
      <c r="A302" s="59"/>
      <c r="G302" s="16"/>
      <c r="H302" s="38">
        <v>297</v>
      </c>
      <c r="I302" s="39" t="str">
        <f t="shared" si="18"/>
        <v/>
      </c>
      <c r="J302" s="38" t="e">
        <f t="shared" si="21"/>
        <v>#NUM!</v>
      </c>
      <c r="K302" s="38" t="e">
        <f t="shared" si="19"/>
        <v>#NUM!</v>
      </c>
      <c r="L302" s="38"/>
      <c r="M302" s="40">
        <f t="shared" si="20"/>
        <v>0</v>
      </c>
    </row>
    <row r="303" spans="1:13" x14ac:dyDescent="0.25">
      <c r="A303" s="59"/>
      <c r="G303" s="16"/>
      <c r="H303" s="38">
        <v>298</v>
      </c>
      <c r="I303" s="39" t="str">
        <f t="shared" si="18"/>
        <v/>
      </c>
      <c r="J303" s="38" t="e">
        <f t="shared" si="21"/>
        <v>#NUM!</v>
      </c>
      <c r="K303" s="38" t="e">
        <f t="shared" si="19"/>
        <v>#NUM!</v>
      </c>
      <c r="L303" s="38"/>
      <c r="M303" s="40">
        <f t="shared" si="20"/>
        <v>0</v>
      </c>
    </row>
    <row r="304" spans="1:13" x14ac:dyDescent="0.25">
      <c r="A304" s="59"/>
      <c r="G304" s="16"/>
      <c r="H304" s="38">
        <v>299</v>
      </c>
      <c r="I304" s="39" t="str">
        <f t="shared" si="18"/>
        <v/>
      </c>
      <c r="J304" s="38" t="e">
        <f t="shared" si="21"/>
        <v>#NUM!</v>
      </c>
      <c r="K304" s="38" t="e">
        <f t="shared" si="19"/>
        <v>#NUM!</v>
      </c>
      <c r="L304" s="38"/>
      <c r="M304" s="40">
        <f t="shared" si="20"/>
        <v>0</v>
      </c>
    </row>
    <row r="305" spans="1:16" x14ac:dyDescent="0.25">
      <c r="A305" s="59"/>
      <c r="G305" s="16"/>
      <c r="H305" s="38">
        <v>300</v>
      </c>
      <c r="I305" s="39" t="str">
        <f t="shared" si="18"/>
        <v/>
      </c>
      <c r="J305" s="38" t="e">
        <f t="shared" si="21"/>
        <v>#NUM!</v>
      </c>
      <c r="K305" s="38" t="e">
        <f t="shared" si="19"/>
        <v>#NUM!</v>
      </c>
      <c r="L305" s="38"/>
      <c r="M305" s="40">
        <f t="shared" si="20"/>
        <v>0</v>
      </c>
    </row>
    <row r="306" spans="1:16" x14ac:dyDescent="0.25">
      <c r="A306" s="61"/>
      <c r="J306" s="62" t="e">
        <f t="shared" si="21"/>
        <v>#NUM!</v>
      </c>
    </row>
    <row r="307" spans="1:16" x14ac:dyDescent="0.25">
      <c r="J307" s="62" t="e">
        <f t="shared" si="21"/>
        <v>#NUM!</v>
      </c>
    </row>
    <row r="308" spans="1:16" x14ac:dyDescent="0.25">
      <c r="J308" s="62" t="e">
        <f t="shared" si="21"/>
        <v>#NUM!</v>
      </c>
    </row>
    <row r="309" spans="1:16" x14ac:dyDescent="0.25">
      <c r="J309" s="62" t="e">
        <f t="shared" si="21"/>
        <v>#NUM!</v>
      </c>
    </row>
    <row r="310" spans="1:16" x14ac:dyDescent="0.25">
      <c r="J310" s="62" t="e">
        <f t="shared" si="21"/>
        <v>#NUM!</v>
      </c>
    </row>
    <row r="311" spans="1:16" x14ac:dyDescent="0.25">
      <c r="J311" s="62" t="e">
        <f t="shared" si="21"/>
        <v>#NUM!</v>
      </c>
    </row>
    <row r="312" spans="1:16" x14ac:dyDescent="0.25">
      <c r="J312" s="62" t="e">
        <f t="shared" si="21"/>
        <v>#NUM!</v>
      </c>
    </row>
    <row r="313" spans="1:16" x14ac:dyDescent="0.25">
      <c r="J313" s="62" t="e">
        <f t="shared" si="21"/>
        <v>#NUM!</v>
      </c>
    </row>
    <row r="314" spans="1:16" x14ac:dyDescent="0.25">
      <c r="J314" s="62" t="e">
        <f t="shared" si="21"/>
        <v>#NUM!</v>
      </c>
      <c r="L314" s="64"/>
      <c r="P314" s="54"/>
    </row>
    <row r="315" spans="1:16" x14ac:dyDescent="0.25">
      <c r="J315" s="62" t="e">
        <f t="shared" si="21"/>
        <v>#NUM!</v>
      </c>
      <c r="L315" s="64"/>
      <c r="P315" s="54"/>
    </row>
    <row r="316" spans="1:16" x14ac:dyDescent="0.25">
      <c r="J316" s="62" t="e">
        <f t="shared" si="21"/>
        <v>#NUM!</v>
      </c>
      <c r="L316" s="64"/>
      <c r="P316" s="54"/>
    </row>
    <row r="317" spans="1:16" x14ac:dyDescent="0.25">
      <c r="J317" s="62" t="e">
        <f t="shared" si="21"/>
        <v>#NUM!</v>
      </c>
      <c r="L317" s="64"/>
      <c r="P317" s="54"/>
    </row>
    <row r="318" spans="1:16" x14ac:dyDescent="0.25">
      <c r="J318" s="62" t="e">
        <f t="shared" si="21"/>
        <v>#NUM!</v>
      </c>
    </row>
    <row r="319" spans="1:16" x14ac:dyDescent="0.25">
      <c r="J319" s="62" t="e">
        <f t="shared" si="21"/>
        <v>#NUM!</v>
      </c>
    </row>
    <row r="320" spans="1:16" x14ac:dyDescent="0.25">
      <c r="J320" s="62" t="e">
        <f t="shared" si="21"/>
        <v>#NUM!</v>
      </c>
    </row>
    <row r="321" spans="10:10" x14ac:dyDescent="0.25">
      <c r="J321" s="62" t="e">
        <f t="shared" si="21"/>
        <v>#NUM!</v>
      </c>
    </row>
    <row r="322" spans="10:10" x14ac:dyDescent="0.25">
      <c r="J322" s="62" t="e">
        <f t="shared" si="21"/>
        <v>#NUM!</v>
      </c>
    </row>
    <row r="323" spans="10:10" x14ac:dyDescent="0.25">
      <c r="J323" s="62" t="e">
        <f t="shared" si="21"/>
        <v>#NUM!</v>
      </c>
    </row>
    <row r="324" spans="10:10" x14ac:dyDescent="0.25">
      <c r="J324" s="62" t="e">
        <f t="shared" si="21"/>
        <v>#NUM!</v>
      </c>
    </row>
    <row r="325" spans="10:10" x14ac:dyDescent="0.25">
      <c r="J325" s="62" t="e">
        <f t="shared" si="21"/>
        <v>#NUM!</v>
      </c>
    </row>
    <row r="326" spans="10:10" x14ac:dyDescent="0.25">
      <c r="J326" s="62" t="e">
        <f t="shared" si="21"/>
        <v>#NUM!</v>
      </c>
    </row>
    <row r="327" spans="10:10" x14ac:dyDescent="0.25">
      <c r="J327" s="6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2" t="e">
        <f t="shared" si="22"/>
        <v>#NUM!</v>
      </c>
    </row>
    <row r="329" spans="10:10" x14ac:dyDescent="0.25">
      <c r="J329" s="62" t="e">
        <f t="shared" si="22"/>
        <v>#NUM!</v>
      </c>
    </row>
    <row r="330" spans="10:10" x14ac:dyDescent="0.25">
      <c r="J330" s="62" t="e">
        <f t="shared" si="22"/>
        <v>#NUM!</v>
      </c>
    </row>
    <row r="331" spans="10:10" x14ac:dyDescent="0.25">
      <c r="J331" s="62" t="e">
        <f t="shared" si="22"/>
        <v>#NUM!</v>
      </c>
    </row>
    <row r="332" spans="10:10" x14ac:dyDescent="0.25">
      <c r="J332" s="62" t="e">
        <f t="shared" si="22"/>
        <v>#NUM!</v>
      </c>
    </row>
    <row r="333" spans="10:10" x14ac:dyDescent="0.25">
      <c r="J333" s="62" t="e">
        <f t="shared" si="22"/>
        <v>#NUM!</v>
      </c>
    </row>
    <row r="334" spans="10:10" x14ac:dyDescent="0.25">
      <c r="J334" s="62" t="e">
        <f t="shared" si="22"/>
        <v>#NUM!</v>
      </c>
    </row>
    <row r="335" spans="10:10" x14ac:dyDescent="0.25">
      <c r="J335" s="62" t="e">
        <f t="shared" si="22"/>
        <v>#NUM!</v>
      </c>
    </row>
    <row r="336" spans="10:10" x14ac:dyDescent="0.25">
      <c r="J336" s="62" t="e">
        <f t="shared" si="22"/>
        <v>#NUM!</v>
      </c>
    </row>
    <row r="337" spans="10:10" x14ac:dyDescent="0.25">
      <c r="J337" s="62" t="e">
        <f t="shared" si="22"/>
        <v>#NUM!</v>
      </c>
    </row>
    <row r="338" spans="10:10" x14ac:dyDescent="0.25">
      <c r="J338" s="62" t="e">
        <f t="shared" si="22"/>
        <v>#NUM!</v>
      </c>
    </row>
    <row r="339" spans="10:10" x14ac:dyDescent="0.25">
      <c r="J339" s="62" t="e">
        <f t="shared" si="22"/>
        <v>#NUM!</v>
      </c>
    </row>
    <row r="340" spans="10:10" x14ac:dyDescent="0.25">
      <c r="J340" s="62" t="e">
        <f t="shared" si="22"/>
        <v>#NUM!</v>
      </c>
    </row>
    <row r="341" spans="10:10" x14ac:dyDescent="0.25">
      <c r="J341" s="62" t="e">
        <f t="shared" si="22"/>
        <v>#NUM!</v>
      </c>
    </row>
    <row r="342" spans="10:10" x14ac:dyDescent="0.25">
      <c r="J342" s="62" t="e">
        <f t="shared" si="22"/>
        <v>#NUM!</v>
      </c>
    </row>
    <row r="343" spans="10:10" x14ac:dyDescent="0.25">
      <c r="J343" s="62" t="e">
        <f t="shared" si="22"/>
        <v>#NUM!</v>
      </c>
    </row>
    <row r="344" spans="10:10" x14ac:dyDescent="0.25">
      <c r="J344" s="62" t="e">
        <f t="shared" si="22"/>
        <v>#NUM!</v>
      </c>
    </row>
    <row r="345" spans="10:10" x14ac:dyDescent="0.25">
      <c r="J345" s="62" t="e">
        <f t="shared" si="22"/>
        <v>#NUM!</v>
      </c>
    </row>
    <row r="346" spans="10:10" x14ac:dyDescent="0.25">
      <c r="J346" s="62" t="e">
        <f t="shared" si="22"/>
        <v>#NUM!</v>
      </c>
    </row>
    <row r="347" spans="10:10" x14ac:dyDescent="0.25">
      <c r="J347" s="62" t="e">
        <f t="shared" si="22"/>
        <v>#NUM!</v>
      </c>
    </row>
    <row r="348" spans="10:10" x14ac:dyDescent="0.25">
      <c r="J348" s="62" t="e">
        <f t="shared" si="22"/>
        <v>#NUM!</v>
      </c>
    </row>
    <row r="349" spans="10:10" x14ac:dyDescent="0.25">
      <c r="J349" s="62" t="e">
        <f t="shared" si="22"/>
        <v>#NUM!</v>
      </c>
    </row>
    <row r="350" spans="10:10" x14ac:dyDescent="0.25">
      <c r="J350" s="62" t="e">
        <f t="shared" si="22"/>
        <v>#NUM!</v>
      </c>
    </row>
    <row r="351" spans="10:10" x14ac:dyDescent="0.25">
      <c r="J351" s="62" t="e">
        <f t="shared" si="22"/>
        <v>#NUM!</v>
      </c>
    </row>
    <row r="352" spans="10:10" x14ac:dyDescent="0.25">
      <c r="J352" s="62" t="e">
        <f t="shared" si="22"/>
        <v>#NUM!</v>
      </c>
    </row>
    <row r="353" spans="10:10" x14ac:dyDescent="0.25">
      <c r="J353" s="62" t="e">
        <f t="shared" si="22"/>
        <v>#NUM!</v>
      </c>
    </row>
    <row r="354" spans="10:10" x14ac:dyDescent="0.25">
      <c r="J354" s="62" t="e">
        <f t="shared" si="22"/>
        <v>#NUM!</v>
      </c>
    </row>
    <row r="355" spans="10:10" x14ac:dyDescent="0.25">
      <c r="J355" s="62" t="e">
        <f t="shared" si="22"/>
        <v>#NUM!</v>
      </c>
    </row>
    <row r="356" spans="10:10" x14ac:dyDescent="0.25">
      <c r="J356" s="62" t="e">
        <f t="shared" si="22"/>
        <v>#NUM!</v>
      </c>
    </row>
    <row r="357" spans="10:10" x14ac:dyDescent="0.25">
      <c r="J357" s="62" t="e">
        <f t="shared" si="22"/>
        <v>#NUM!</v>
      </c>
    </row>
    <row r="358" spans="10:10" x14ac:dyDescent="0.25">
      <c r="J358" s="62" t="e">
        <f t="shared" si="22"/>
        <v>#NUM!</v>
      </c>
    </row>
    <row r="359" spans="10:10" x14ac:dyDescent="0.25">
      <c r="J359" s="62" t="e">
        <f t="shared" si="22"/>
        <v>#NUM!</v>
      </c>
    </row>
    <row r="360" spans="10:10" x14ac:dyDescent="0.25">
      <c r="J360" s="62" t="e">
        <f t="shared" si="22"/>
        <v>#NUM!</v>
      </c>
    </row>
    <row r="361" spans="10:10" x14ac:dyDescent="0.25">
      <c r="J361" s="62" t="e">
        <f t="shared" si="22"/>
        <v>#NUM!</v>
      </c>
    </row>
    <row r="362" spans="10:10" x14ac:dyDescent="0.25">
      <c r="J362" s="62" t="e">
        <f t="shared" si="22"/>
        <v>#NUM!</v>
      </c>
    </row>
    <row r="363" spans="10:10" x14ac:dyDescent="0.25">
      <c r="J363" s="62" t="e">
        <f t="shared" si="22"/>
        <v>#NUM!</v>
      </c>
    </row>
    <row r="364" spans="10:10" x14ac:dyDescent="0.25">
      <c r="J364" s="62" t="e">
        <f t="shared" si="22"/>
        <v>#NUM!</v>
      </c>
    </row>
    <row r="365" spans="10:10" x14ac:dyDescent="0.25">
      <c r="J365" s="62" t="e">
        <f t="shared" si="22"/>
        <v>#NUM!</v>
      </c>
    </row>
    <row r="366" spans="10:10" x14ac:dyDescent="0.25">
      <c r="J366" s="62" t="e">
        <f t="shared" si="22"/>
        <v>#NUM!</v>
      </c>
    </row>
    <row r="367" spans="10:10" x14ac:dyDescent="0.25">
      <c r="J367" s="62" t="e">
        <f t="shared" si="22"/>
        <v>#NUM!</v>
      </c>
    </row>
    <row r="368" spans="10:10" x14ac:dyDescent="0.25">
      <c r="J368" s="62" t="e">
        <f t="shared" si="22"/>
        <v>#NUM!</v>
      </c>
    </row>
    <row r="369" spans="10:10" x14ac:dyDescent="0.25">
      <c r="J369" s="62" t="e">
        <f t="shared" si="22"/>
        <v>#NUM!</v>
      </c>
    </row>
    <row r="370" spans="10:10" x14ac:dyDescent="0.25">
      <c r="J370" s="62" t="e">
        <f t="shared" si="22"/>
        <v>#NUM!</v>
      </c>
    </row>
    <row r="371" spans="10:10" x14ac:dyDescent="0.25">
      <c r="J371" s="62" t="e">
        <f t="shared" si="22"/>
        <v>#NUM!</v>
      </c>
    </row>
    <row r="372" spans="10:10" x14ac:dyDescent="0.25">
      <c r="J372" s="62" t="e">
        <f t="shared" si="22"/>
        <v>#NUM!</v>
      </c>
    </row>
    <row r="373" spans="10:10" x14ac:dyDescent="0.25">
      <c r="J373" s="62" t="e">
        <f t="shared" si="22"/>
        <v>#NUM!</v>
      </c>
    </row>
    <row r="374" spans="10:10" x14ac:dyDescent="0.25">
      <c r="J374" s="62" t="e">
        <f t="shared" si="22"/>
        <v>#NUM!</v>
      </c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location="today" display="PABIANICE" xr:uid="{7B93A0C8-E515-42A2-BBEB-75490DB7947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22</v>
      </c>
      <c r="I1" s="18" t="s">
        <v>23</v>
      </c>
      <c r="J1" s="18" t="s">
        <v>24</v>
      </c>
      <c r="K1" s="19" t="s">
        <v>25</v>
      </c>
      <c r="L1" s="20"/>
      <c r="M1" s="20"/>
    </row>
    <row r="2" spans="1:36" x14ac:dyDescent="0.25">
      <c r="A2" s="16"/>
      <c r="B2" s="22" t="s">
        <v>26</v>
      </c>
      <c r="C2" s="266" t="s">
        <v>50</v>
      </c>
      <c r="D2" s="266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 x14ac:dyDescent="0.25">
      <c r="A3" s="16"/>
      <c r="B3" s="27" t="s">
        <v>28</v>
      </c>
      <c r="C3" s="267" t="s">
        <v>51</v>
      </c>
      <c r="D3" s="267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32" t="s">
        <v>36</v>
      </c>
      <c r="I5" s="33" t="s">
        <v>37</v>
      </c>
      <c r="J5" s="34" t="s">
        <v>38</v>
      </c>
      <c r="K5" s="33" t="s">
        <v>39</v>
      </c>
      <c r="L5" s="33" t="s">
        <v>40</v>
      </c>
      <c r="M5" s="32" t="s">
        <v>41</v>
      </c>
    </row>
    <row r="6" spans="1:36" ht="14.45" customHeight="1" x14ac:dyDescent="0.25">
      <c r="A6" s="41">
        <f t="shared" ref="A6:A37" si="0">M6</f>
        <v>0</v>
      </c>
      <c r="B6" s="36"/>
      <c r="C6" s="2"/>
      <c r="D6" s="2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 x14ac:dyDescent="0.25">
      <c r="A7" s="41">
        <f t="shared" si="0"/>
        <v>0</v>
      </c>
      <c r="B7" s="42"/>
      <c r="C7" s="43"/>
      <c r="D7" s="43"/>
      <c r="E7" s="43"/>
      <c r="F7" s="43"/>
      <c r="G7" s="30"/>
      <c r="H7" s="44">
        <v>2</v>
      </c>
      <c r="I7" s="45" t="str">
        <f t="shared" ref="I7:I69" si="3">IF(H7&lt;$H$2+1,($I$2-($I$2-1)*(LOG(H7)/LOG($H$2))),"")</f>
        <v/>
      </c>
      <c r="J7" s="44" t="e">
        <f t="shared" ref="J7:J70" si="4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 x14ac:dyDescent="0.25">
      <c r="A8" s="35">
        <f t="shared" si="0"/>
        <v>0</v>
      </c>
      <c r="B8" s="36" t="str">
        <f t="shared" ref="B8:B13" si="5">IF(H8&gt;$H$2,"",(ROW()-5))</f>
        <v/>
      </c>
      <c r="C8" s="37"/>
      <c r="D8" s="37"/>
      <c r="E8" s="37"/>
      <c r="F8" s="37"/>
      <c r="G8" s="30"/>
      <c r="H8" s="38">
        <v>3</v>
      </c>
      <c r="I8" s="39" t="str">
        <f t="shared" si="3"/>
        <v/>
      </c>
      <c r="J8" s="38" t="e">
        <f t="shared" si="4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 x14ac:dyDescent="0.25">
      <c r="A9" s="41">
        <f t="shared" si="0"/>
        <v>0</v>
      </c>
      <c r="B9" s="42" t="str">
        <f t="shared" si="5"/>
        <v/>
      </c>
      <c r="C9" s="43"/>
      <c r="D9" s="43"/>
      <c r="E9" s="43"/>
      <c r="F9" s="43"/>
      <c r="G9" s="30"/>
      <c r="H9" s="44">
        <v>4</v>
      </c>
      <c r="I9" s="45" t="str">
        <f t="shared" si="3"/>
        <v/>
      </c>
      <c r="J9" s="44" t="e">
        <f t="shared" si="4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42</v>
      </c>
      <c r="AI9" s="21">
        <v>23</v>
      </c>
    </row>
    <row r="10" spans="1:36" ht="14.45" customHeight="1" x14ac:dyDescent="0.25">
      <c r="A10" s="35">
        <f t="shared" si="0"/>
        <v>0</v>
      </c>
      <c r="B10" s="36" t="str">
        <f t="shared" si="5"/>
        <v/>
      </c>
      <c r="C10" s="37"/>
      <c r="D10" s="37"/>
      <c r="E10" s="37"/>
      <c r="F10" s="37"/>
      <c r="G10" s="30"/>
      <c r="H10" s="38">
        <v>5</v>
      </c>
      <c r="I10" s="39" t="str">
        <f t="shared" si="3"/>
        <v/>
      </c>
      <c r="J10" s="38" t="e">
        <f t="shared" si="4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43</v>
      </c>
      <c r="AI10" s="21">
        <v>45</v>
      </c>
    </row>
    <row r="11" spans="1:36" ht="14.45" customHeight="1" x14ac:dyDescent="0.25">
      <c r="A11" s="41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44">
        <v>6</v>
      </c>
      <c r="I11" s="45" t="str">
        <f t="shared" si="3"/>
        <v/>
      </c>
      <c r="J11" s="44" t="e">
        <f t="shared" si="4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44</v>
      </c>
      <c r="AI11" s="21">
        <v>50</v>
      </c>
    </row>
    <row r="12" spans="1:36" ht="14.45" customHeight="1" x14ac:dyDescent="0.25">
      <c r="A12" s="35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38">
        <v>7</v>
      </c>
      <c r="I12" s="39" t="str">
        <f t="shared" si="3"/>
        <v/>
      </c>
      <c r="J12" s="38" t="e">
        <f t="shared" si="4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45</v>
      </c>
      <c r="AI12" s="21">
        <f>AI11-1</f>
        <v>49</v>
      </c>
    </row>
    <row r="13" spans="1:36" ht="14.45" customHeight="1" x14ac:dyDescent="0.25">
      <c r="A13" s="51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44">
        <v>8</v>
      </c>
      <c r="I13" s="45" t="str">
        <f t="shared" si="3"/>
        <v/>
      </c>
      <c r="J13" s="44" t="e">
        <f t="shared" si="4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46</v>
      </c>
      <c r="AI13" s="21">
        <f>LOG(AI9)</f>
        <v>1.3617278360175928</v>
      </c>
    </row>
    <row r="14" spans="1:36" x14ac:dyDescent="0.25">
      <c r="A14" s="52">
        <f t="shared" si="0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3"/>
        <v/>
      </c>
      <c r="J14" s="38" t="e">
        <f t="shared" si="4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47</v>
      </c>
      <c r="AI14" s="21">
        <f>LOG(AI10)</f>
        <v>1.6532125137753437</v>
      </c>
    </row>
    <row r="15" spans="1:36" x14ac:dyDescent="0.25">
      <c r="A15" s="51">
        <f t="shared" si="0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3"/>
        <v/>
      </c>
      <c r="J15" s="44" t="e">
        <f t="shared" si="4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0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3"/>
        <v/>
      </c>
      <c r="J16" s="38" t="e">
        <f t="shared" si="4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48</v>
      </c>
      <c r="AI16" s="21">
        <f>AI11-AI12*AI13/AI14</f>
        <v>9.6393909380186855</v>
      </c>
      <c r="AJ16" s="21" t="s">
        <v>49</v>
      </c>
    </row>
    <row r="17" spans="1:19" x14ac:dyDescent="0.25">
      <c r="A17" s="51">
        <f t="shared" si="0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3"/>
        <v/>
      </c>
      <c r="J17" s="44" t="e">
        <f t="shared" si="4"/>
        <v>#NUM!</v>
      </c>
      <c r="K17" s="44" t="e">
        <f t="shared" si="1"/>
        <v>#NUM!</v>
      </c>
      <c r="L17" s="44"/>
      <c r="M17" s="46">
        <f t="shared" si="2"/>
        <v>0</v>
      </c>
    </row>
    <row r="18" spans="1:19" x14ac:dyDescent="0.25">
      <c r="A18" s="52">
        <f t="shared" si="0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3"/>
        <v/>
      </c>
      <c r="J18" s="38" t="e">
        <f t="shared" si="4"/>
        <v>#NUM!</v>
      </c>
      <c r="K18" s="38" t="e">
        <f t="shared" si="1"/>
        <v>#NUM!</v>
      </c>
      <c r="L18" s="38"/>
      <c r="M18" s="40">
        <f t="shared" si="2"/>
        <v>0</v>
      </c>
    </row>
    <row r="19" spans="1:19" x14ac:dyDescent="0.25">
      <c r="A19" s="51">
        <f t="shared" si="0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3"/>
        <v/>
      </c>
      <c r="J19" s="44" t="e">
        <f t="shared" si="4"/>
        <v>#NUM!</v>
      </c>
      <c r="K19" s="44" t="e">
        <f t="shared" si="1"/>
        <v>#NUM!</v>
      </c>
      <c r="L19" s="44"/>
      <c r="M19" s="46">
        <f t="shared" si="2"/>
        <v>0</v>
      </c>
    </row>
    <row r="20" spans="1:19" x14ac:dyDescent="0.25">
      <c r="A20" s="52">
        <f t="shared" si="0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3"/>
        <v/>
      </c>
      <c r="J20" s="38" t="e">
        <f t="shared" si="4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0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3"/>
        <v/>
      </c>
      <c r="J21" s="44" t="e">
        <f t="shared" si="4"/>
        <v>#NUM!</v>
      </c>
      <c r="K21" s="44" t="e">
        <f t="shared" si="1"/>
        <v>#NUM!</v>
      </c>
      <c r="L21" s="44"/>
      <c r="M21" s="46">
        <f t="shared" si="2"/>
        <v>0</v>
      </c>
    </row>
    <row r="22" spans="1:19" x14ac:dyDescent="0.25">
      <c r="A22" s="52">
        <f t="shared" si="0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3"/>
        <v/>
      </c>
      <c r="J22" s="38" t="e">
        <f t="shared" si="4"/>
        <v>#NUM!</v>
      </c>
      <c r="K22" s="38" t="e">
        <f t="shared" si="1"/>
        <v>#NUM!</v>
      </c>
      <c r="L22" s="38"/>
      <c r="M22" s="40">
        <f t="shared" si="2"/>
        <v>0</v>
      </c>
    </row>
    <row r="23" spans="1:19" x14ac:dyDescent="0.25">
      <c r="A23" s="51">
        <f t="shared" si="0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3"/>
        <v/>
      </c>
      <c r="J23" s="44" t="e">
        <f t="shared" si="4"/>
        <v>#NUM!</v>
      </c>
      <c r="K23" s="44" t="e">
        <f t="shared" si="1"/>
        <v>#NUM!</v>
      </c>
      <c r="L23" s="44"/>
      <c r="M23" s="46">
        <f t="shared" si="2"/>
        <v>0</v>
      </c>
    </row>
    <row r="24" spans="1:19" x14ac:dyDescent="0.25">
      <c r="A24" s="52">
        <f t="shared" si="0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3"/>
        <v/>
      </c>
      <c r="J24" s="38" t="e">
        <f t="shared" si="4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0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3"/>
        <v/>
      </c>
      <c r="J25" s="44" t="e">
        <f t="shared" si="4"/>
        <v>#NUM!</v>
      </c>
      <c r="K25" s="44" t="e">
        <f t="shared" si="1"/>
        <v>#NUM!</v>
      </c>
      <c r="L25" s="44"/>
      <c r="M25" s="46">
        <f t="shared" si="2"/>
        <v>0</v>
      </c>
    </row>
    <row r="26" spans="1:19" x14ac:dyDescent="0.25">
      <c r="A26" s="52">
        <f t="shared" si="0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3"/>
        <v/>
      </c>
      <c r="J26" s="38" t="e">
        <f t="shared" si="4"/>
        <v>#NUM!</v>
      </c>
      <c r="K26" s="38" t="e">
        <f t="shared" si="1"/>
        <v>#NUM!</v>
      </c>
      <c r="L26" s="38"/>
      <c r="M26" s="40">
        <f t="shared" si="2"/>
        <v>0</v>
      </c>
    </row>
    <row r="27" spans="1:19" x14ac:dyDescent="0.25">
      <c r="A27" s="51">
        <f t="shared" si="0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3"/>
        <v/>
      </c>
      <c r="J27" s="44" t="e">
        <f t="shared" si="4"/>
        <v>#NUM!</v>
      </c>
      <c r="K27" s="44" t="e">
        <f t="shared" si="1"/>
        <v>#NUM!</v>
      </c>
      <c r="L27" s="44"/>
      <c r="M27" s="46">
        <f t="shared" si="2"/>
        <v>0</v>
      </c>
    </row>
    <row r="28" spans="1:19" x14ac:dyDescent="0.25">
      <c r="A28" s="52">
        <f t="shared" si="0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3"/>
        <v/>
      </c>
      <c r="J28" s="38" t="e">
        <f t="shared" si="4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0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3"/>
        <v/>
      </c>
      <c r="J29" s="44" t="e">
        <f t="shared" si="4"/>
        <v>#NUM!</v>
      </c>
      <c r="K29" s="44" t="e">
        <f t="shared" si="1"/>
        <v>#NUM!</v>
      </c>
      <c r="L29" s="44"/>
      <c r="M29" s="46">
        <f t="shared" si="2"/>
        <v>0</v>
      </c>
    </row>
    <row r="30" spans="1:19" x14ac:dyDescent="0.25">
      <c r="A30" s="52">
        <f t="shared" si="0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3"/>
        <v/>
      </c>
      <c r="J30" s="38" t="e">
        <f t="shared" si="4"/>
        <v>#NUM!</v>
      </c>
      <c r="K30" s="38" t="e">
        <f t="shared" si="1"/>
        <v>#NUM!</v>
      </c>
      <c r="L30" s="38"/>
      <c r="M30" s="40">
        <f t="shared" si="2"/>
        <v>0</v>
      </c>
    </row>
    <row r="31" spans="1:19" x14ac:dyDescent="0.25">
      <c r="A31" s="51">
        <f t="shared" si="0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3"/>
        <v/>
      </c>
      <c r="J31" s="44" t="e">
        <f t="shared" si="4"/>
        <v>#NUM!</v>
      </c>
      <c r="K31" s="44" t="e">
        <f t="shared" si="1"/>
        <v>#NUM!</v>
      </c>
      <c r="L31" s="44"/>
      <c r="M31" s="46">
        <f t="shared" si="2"/>
        <v>0</v>
      </c>
    </row>
    <row r="32" spans="1:19" x14ac:dyDescent="0.25">
      <c r="A32" s="52">
        <f t="shared" si="0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3"/>
        <v/>
      </c>
      <c r="J32" s="38" t="e">
        <f t="shared" si="4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0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3"/>
        <v/>
      </c>
      <c r="J33" s="44" t="e">
        <f t="shared" si="4"/>
        <v>#NUM!</v>
      </c>
      <c r="K33" s="44" t="e">
        <f t="shared" si="1"/>
        <v>#NUM!</v>
      </c>
      <c r="L33" s="44"/>
      <c r="M33" s="46">
        <f t="shared" si="2"/>
        <v>0</v>
      </c>
    </row>
    <row r="34" spans="1:21" x14ac:dyDescent="0.25">
      <c r="A34" s="52">
        <f t="shared" si="0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3"/>
        <v/>
      </c>
      <c r="J34" s="38" t="e">
        <f t="shared" si="4"/>
        <v>#NUM!</v>
      </c>
      <c r="K34" s="38" t="e">
        <f t="shared" si="1"/>
        <v>#NUM!</v>
      </c>
      <c r="L34" s="38"/>
      <c r="M34" s="40">
        <f t="shared" si="2"/>
        <v>0</v>
      </c>
    </row>
    <row r="35" spans="1:21" x14ac:dyDescent="0.25">
      <c r="A35" s="51">
        <f t="shared" si="0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3"/>
        <v/>
      </c>
      <c r="J35" s="44" t="e">
        <f t="shared" si="4"/>
        <v>#NUM!</v>
      </c>
      <c r="K35" s="44" t="e">
        <f t="shared" si="1"/>
        <v>#NUM!</v>
      </c>
      <c r="L35" s="44"/>
      <c r="M35" s="46">
        <f t="shared" si="2"/>
        <v>0</v>
      </c>
    </row>
    <row r="36" spans="1:21" x14ac:dyDescent="0.25">
      <c r="A36" s="52">
        <f t="shared" si="0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3"/>
        <v/>
      </c>
      <c r="J36" s="38" t="e">
        <f t="shared" si="4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0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3"/>
        <v/>
      </c>
      <c r="J37" s="44" t="e">
        <f t="shared" si="4"/>
        <v>#NUM!</v>
      </c>
      <c r="K37" s="44" t="e">
        <f t="shared" si="1"/>
        <v>#NUM!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3"/>
        <v/>
      </c>
      <c r="J38" s="38" t="e">
        <f t="shared" si="4"/>
        <v>#NUM!</v>
      </c>
      <c r="K38" s="38" t="e">
        <f t="shared" si="1"/>
        <v>#NUM!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3"/>
        <v/>
      </c>
      <c r="J39" s="44" t="e">
        <f t="shared" si="4"/>
        <v>#NUM!</v>
      </c>
      <c r="K39" s="44" t="e">
        <f t="shared" si="1"/>
        <v>#NUM!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3"/>
        <v/>
      </c>
      <c r="J40" s="38" t="e">
        <f t="shared" si="4"/>
        <v>#NUM!</v>
      </c>
      <c r="K40" s="38" t="e">
        <f t="shared" si="1"/>
        <v>#NUM!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3"/>
        <v/>
      </c>
      <c r="J41" s="44" t="e">
        <f t="shared" si="4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3"/>
        <v/>
      </c>
      <c r="J42" s="38" t="e">
        <f t="shared" si="4"/>
        <v>#NUM!</v>
      </c>
      <c r="K42" s="38" t="e">
        <f t="shared" si="1"/>
        <v>#NUM!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3"/>
        <v/>
      </c>
      <c r="J43" s="44" t="e">
        <f t="shared" si="4"/>
        <v>#NUM!</v>
      </c>
      <c r="K43" s="44" t="e">
        <f t="shared" si="1"/>
        <v>#NUM!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3"/>
        <v/>
      </c>
      <c r="J44" s="38" t="e">
        <f t="shared" si="4"/>
        <v>#NUM!</v>
      </c>
      <c r="K44" s="38" t="e">
        <f t="shared" si="1"/>
        <v>#NUM!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3"/>
        <v/>
      </c>
      <c r="J45" s="44" t="e">
        <f t="shared" si="4"/>
        <v>#NUM!</v>
      </c>
      <c r="K45" s="44" t="e">
        <f t="shared" si="1"/>
        <v>#NUM!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3"/>
        <v/>
      </c>
      <c r="J46" s="38" t="e">
        <f t="shared" si="4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3"/>
        <v/>
      </c>
      <c r="J47" s="44" t="e">
        <f t="shared" si="4"/>
        <v>#NUM!</v>
      </c>
      <c r="K47" s="44" t="e">
        <f t="shared" si="1"/>
        <v>#NUM!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3"/>
        <v/>
      </c>
      <c r="J48" s="38" t="e">
        <f t="shared" si="4"/>
        <v>#NUM!</v>
      </c>
      <c r="K48" s="38" t="e">
        <f t="shared" si="1"/>
        <v>#NUM!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3"/>
        <v/>
      </c>
      <c r="J49" s="44" t="e">
        <f t="shared" si="4"/>
        <v>#NUM!</v>
      </c>
      <c r="K49" s="44" t="e">
        <f t="shared" si="1"/>
        <v>#NUM!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3"/>
        <v/>
      </c>
      <c r="J50" s="38" t="e">
        <f t="shared" si="4"/>
        <v>#NUM!</v>
      </c>
      <c r="K50" s="38" t="e">
        <f t="shared" si="1"/>
        <v>#NUM!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3"/>
        <v/>
      </c>
      <c r="J51" s="44" t="e">
        <f t="shared" si="4"/>
        <v>#NUM!</v>
      </c>
      <c r="K51" s="44" t="e">
        <f t="shared" si="1"/>
        <v>#NUM!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3"/>
        <v/>
      </c>
      <c r="J52" s="38" t="e">
        <f t="shared" si="4"/>
        <v>#NUM!</v>
      </c>
      <c r="K52" s="38" t="e">
        <f t="shared" si="1"/>
        <v>#NUM!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3"/>
        <v/>
      </c>
      <c r="J53" s="44" t="e">
        <f t="shared" si="4"/>
        <v>#NUM!</v>
      </c>
      <c r="K53" s="44" t="e">
        <f t="shared" si="1"/>
        <v>#NUM!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3"/>
        <v/>
      </c>
      <c r="J54" s="38" t="e">
        <f t="shared" si="4"/>
        <v>#NUM!</v>
      </c>
      <c r="K54" s="38" t="e">
        <f t="shared" si="1"/>
        <v>#NUM!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3"/>
        <v/>
      </c>
      <c r="J55" s="44" t="e">
        <f t="shared" si="4"/>
        <v>#NUM!</v>
      </c>
      <c r="K55" s="44" t="e">
        <f t="shared" si="1"/>
        <v>#NUM!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3"/>
        <v/>
      </c>
      <c r="J56" s="38" t="e">
        <f t="shared" si="4"/>
        <v>#NUM!</v>
      </c>
      <c r="K56" s="38" t="e">
        <f t="shared" si="1"/>
        <v>#NUM!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3"/>
        <v/>
      </c>
      <c r="J57" s="44" t="e">
        <f t="shared" si="4"/>
        <v>#NUM!</v>
      </c>
      <c r="K57" s="44" t="e">
        <f t="shared" si="1"/>
        <v>#NUM!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3"/>
        <v/>
      </c>
      <c r="J58" s="38" t="e">
        <f t="shared" si="4"/>
        <v>#NUM!</v>
      </c>
      <c r="K58" s="38" t="e">
        <f t="shared" si="1"/>
        <v>#NUM!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3"/>
        <v/>
      </c>
      <c r="J59" s="44" t="e">
        <f t="shared" si="4"/>
        <v>#NUM!</v>
      </c>
      <c r="K59" s="44" t="e">
        <f t="shared" si="1"/>
        <v>#NUM!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3"/>
        <v/>
      </c>
      <c r="J60" s="38" t="e">
        <f t="shared" si="4"/>
        <v>#NUM!</v>
      </c>
      <c r="K60" s="38" t="e">
        <f t="shared" si="1"/>
        <v>#NUM!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3"/>
        <v/>
      </c>
      <c r="J61" s="44" t="e">
        <f t="shared" si="4"/>
        <v>#NUM!</v>
      </c>
      <c r="K61" s="44" t="e">
        <f t="shared" si="1"/>
        <v>#NUM!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3"/>
        <v/>
      </c>
      <c r="J62" s="38" t="e">
        <f t="shared" si="4"/>
        <v>#NUM!</v>
      </c>
      <c r="K62" s="38" t="e">
        <f t="shared" si="1"/>
        <v>#NUM!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3"/>
        <v/>
      </c>
      <c r="J63" s="44" t="e">
        <f t="shared" si="4"/>
        <v>#NUM!</v>
      </c>
      <c r="K63" s="44" t="e">
        <f t="shared" si="1"/>
        <v>#NUM!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3"/>
        <v/>
      </c>
      <c r="J64" s="38" t="e">
        <f t="shared" si="4"/>
        <v>#NUM!</v>
      </c>
      <c r="K64" s="38" t="e">
        <f t="shared" si="1"/>
        <v>#NUM!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3"/>
        <v/>
      </c>
      <c r="J65" s="44" t="e">
        <f t="shared" si="4"/>
        <v>#NUM!</v>
      </c>
      <c r="K65" s="44" t="e">
        <f t="shared" si="1"/>
        <v>#NUM!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3"/>
        <v/>
      </c>
      <c r="J66" s="38" t="e">
        <f t="shared" si="4"/>
        <v>#NUM!</v>
      </c>
      <c r="K66" s="38" t="e">
        <f t="shared" si="1"/>
        <v>#NUM!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3"/>
        <v/>
      </c>
      <c r="J67" s="38" t="e">
        <f t="shared" si="4"/>
        <v>#NUM!</v>
      </c>
      <c r="K67" s="38" t="e">
        <f t="shared" si="1"/>
        <v>#NUM!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3"/>
        <v/>
      </c>
      <c r="J68" s="38" t="e">
        <f t="shared" si="4"/>
        <v>#NUM!</v>
      </c>
      <c r="K68" s="38" t="e">
        <f t="shared" si="1"/>
        <v>#NUM!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3"/>
        <v/>
      </c>
      <c r="J69" s="38" t="e">
        <f t="shared" si="4"/>
        <v>#NUM!</v>
      </c>
      <c r="K69" s="38" t="e">
        <f t="shared" si="1"/>
        <v>#NUM!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4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38E0EF08-191A-463D-876F-5A867D5508A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22</v>
      </c>
      <c r="I1" s="18" t="s">
        <v>23</v>
      </c>
      <c r="J1" s="18" t="s">
        <v>24</v>
      </c>
      <c r="K1" s="19" t="s">
        <v>25</v>
      </c>
      <c r="L1" s="20"/>
      <c r="M1" s="20"/>
    </row>
    <row r="2" spans="1:36" x14ac:dyDescent="0.25">
      <c r="A2" s="16"/>
      <c r="B2" s="22" t="s">
        <v>26</v>
      </c>
      <c r="C2" s="266" t="s">
        <v>52</v>
      </c>
      <c r="D2" s="266"/>
      <c r="E2" s="23"/>
      <c r="F2" s="23"/>
      <c r="G2" s="23"/>
      <c r="H2" s="24">
        <v>1</v>
      </c>
      <c r="I2" s="25">
        <v>50</v>
      </c>
      <c r="J2" s="25">
        <v>10</v>
      </c>
      <c r="K2" s="26">
        <f>3*H2^(1/3)</f>
        <v>3</v>
      </c>
      <c r="L2" s="20"/>
      <c r="M2" s="20"/>
    </row>
    <row r="3" spans="1:36" x14ac:dyDescent="0.25">
      <c r="A3" s="16"/>
      <c r="B3" s="27" t="s">
        <v>28</v>
      </c>
      <c r="C3" s="267" t="s">
        <v>53</v>
      </c>
      <c r="D3" s="267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32" t="s">
        <v>36</v>
      </c>
      <c r="I5" s="33" t="s">
        <v>37</v>
      </c>
      <c r="J5" s="34" t="s">
        <v>38</v>
      </c>
      <c r="K5" s="33" t="s">
        <v>39</v>
      </c>
      <c r="L5" s="33" t="s">
        <v>40</v>
      </c>
      <c r="M5" s="32" t="s">
        <v>41</v>
      </c>
    </row>
    <row r="6" spans="1:36" ht="14.45" customHeight="1" x14ac:dyDescent="0.25">
      <c r="A6" s="35">
        <f>M6</f>
        <v>59</v>
      </c>
      <c r="B6" s="36">
        <f t="shared" ref="B6:B13" si="0">IF(H6&gt;$H$2,"",(ROW()-5))</f>
        <v>1</v>
      </c>
      <c r="C6" s="37" t="s">
        <v>19</v>
      </c>
      <c r="D6" s="37"/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0</v>
      </c>
      <c r="K6" s="38">
        <f t="shared" ref="K6:K69" si="1">J6*$J$2</f>
        <v>0</v>
      </c>
      <c r="L6" s="40">
        <f>3*K2</f>
        <v>9</v>
      </c>
      <c r="M6" s="40">
        <f t="shared" ref="M6:M69" si="2">IF(I6&lt;&gt;"",K6+I6+L6,0)</f>
        <v>59</v>
      </c>
      <c r="O6" s="16">
        <v>1</v>
      </c>
      <c r="P6" s="244" t="s">
        <v>54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132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>
        <f t="shared" ref="J7:J70" si="5">INT(LOG($H$2,2))-ROUNDUP(LOG(H7,2),0)+IF(OR($H$2=1,$H$2=2,$H$2=4,$H$2=8,$H$2=16,$H$2=32,$H$2=64,$H$2=128,$H$2=256),0,1)</f>
        <v>-1</v>
      </c>
      <c r="K7" s="44">
        <f t="shared" si="1"/>
        <v>-10</v>
      </c>
      <c r="L7" s="46">
        <f>2*K2</f>
        <v>6</v>
      </c>
      <c r="M7" s="46">
        <f t="shared" si="2"/>
        <v>0</v>
      </c>
      <c r="O7" s="16">
        <v>2</v>
      </c>
      <c r="P7" s="16" t="s">
        <v>55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>
        <f t="shared" si="5"/>
        <v>-2</v>
      </c>
      <c r="K8" s="38">
        <f t="shared" si="1"/>
        <v>-20</v>
      </c>
      <c r="L8" s="40">
        <f>K2</f>
        <v>3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>
        <f t="shared" si="5"/>
        <v>-2</v>
      </c>
      <c r="K9" s="44">
        <f t="shared" si="1"/>
        <v>-20</v>
      </c>
      <c r="L9" s="46"/>
      <c r="M9" s="46">
        <f t="shared" si="2"/>
        <v>0</v>
      </c>
      <c r="V9" s="47"/>
      <c r="Z9" s="48"/>
      <c r="AA9" s="48"/>
      <c r="AG9" s="49"/>
      <c r="AH9" s="21" t="s">
        <v>42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-3</v>
      </c>
      <c r="K10" s="38">
        <f t="shared" si="1"/>
        <v>-30</v>
      </c>
      <c r="L10" s="38"/>
      <c r="M10" s="40">
        <f t="shared" si="2"/>
        <v>0</v>
      </c>
      <c r="V10" s="47"/>
      <c r="Z10" s="48"/>
      <c r="AA10" s="48"/>
      <c r="AG10" s="49"/>
      <c r="AH10" s="21" t="s">
        <v>43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-3</v>
      </c>
      <c r="K11" s="44">
        <f t="shared" si="1"/>
        <v>-30</v>
      </c>
      <c r="L11" s="44"/>
      <c r="M11" s="46">
        <f t="shared" si="2"/>
        <v>0</v>
      </c>
      <c r="V11" s="50"/>
      <c r="Z11" s="48"/>
      <c r="AA11" s="48"/>
      <c r="AG11" s="49"/>
      <c r="AH11" s="21" t="s">
        <v>44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-3</v>
      </c>
      <c r="K12" s="38">
        <f t="shared" si="1"/>
        <v>-30</v>
      </c>
      <c r="L12" s="38"/>
      <c r="M12" s="40">
        <f t="shared" si="2"/>
        <v>0</v>
      </c>
      <c r="Z12" s="48"/>
      <c r="AA12" s="48"/>
      <c r="AG12" s="49"/>
      <c r="AH12" s="21" t="s">
        <v>45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-3</v>
      </c>
      <c r="K13" s="44">
        <f t="shared" si="1"/>
        <v>-30</v>
      </c>
      <c r="L13" s="44"/>
      <c r="M13" s="46">
        <f t="shared" si="2"/>
        <v>0</v>
      </c>
      <c r="X13" s="47"/>
      <c r="AG13" s="49"/>
      <c r="AH13" s="21" t="s">
        <v>46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-4</v>
      </c>
      <c r="K14" s="38">
        <f t="shared" si="1"/>
        <v>-40</v>
      </c>
      <c r="L14" s="38"/>
      <c r="M14" s="40">
        <f t="shared" si="2"/>
        <v>0</v>
      </c>
      <c r="X14" s="53"/>
      <c r="Z14" s="48"/>
      <c r="AA14" s="48"/>
      <c r="AG14" s="49"/>
      <c r="AH14" s="21" t="s">
        <v>47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-4</v>
      </c>
      <c r="K15" s="44">
        <f t="shared" si="1"/>
        <v>-40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-4</v>
      </c>
      <c r="K16" s="38">
        <f t="shared" si="1"/>
        <v>-40</v>
      </c>
      <c r="L16" s="38"/>
      <c r="M16" s="40">
        <f t="shared" si="2"/>
        <v>0</v>
      </c>
      <c r="R16" s="54"/>
      <c r="Z16" s="48"/>
      <c r="AA16" s="48"/>
      <c r="AH16" s="55" t="s">
        <v>48</v>
      </c>
      <c r="AI16" s="21">
        <f>AI11-AI12*AI13/AI14</f>
        <v>9.6393909380186855</v>
      </c>
      <c r="AJ16" s="21" t="s">
        <v>49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-4</v>
      </c>
      <c r="K17" s="44">
        <f t="shared" si="1"/>
        <v>-40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-4</v>
      </c>
      <c r="K18" s="38">
        <f t="shared" si="1"/>
        <v>-40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-4</v>
      </c>
      <c r="K19" s="44">
        <f t="shared" si="1"/>
        <v>-40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-4</v>
      </c>
      <c r="K20" s="38">
        <f t="shared" si="1"/>
        <v>-40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-4</v>
      </c>
      <c r="K21" s="44">
        <f t="shared" si="1"/>
        <v>-40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-5</v>
      </c>
      <c r="K22" s="38">
        <f t="shared" si="1"/>
        <v>-50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-5</v>
      </c>
      <c r="K23" s="44">
        <f t="shared" si="1"/>
        <v>-50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-5</v>
      </c>
      <c r="K24" s="38">
        <f t="shared" si="1"/>
        <v>-50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-5</v>
      </c>
      <c r="K25" s="44">
        <f t="shared" si="1"/>
        <v>-50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-5</v>
      </c>
      <c r="K26" s="38">
        <f t="shared" si="1"/>
        <v>-50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-5</v>
      </c>
      <c r="K27" s="44">
        <f t="shared" si="1"/>
        <v>-50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-5</v>
      </c>
      <c r="K28" s="38">
        <f t="shared" si="1"/>
        <v>-50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-5</v>
      </c>
      <c r="K29" s="44">
        <f t="shared" si="1"/>
        <v>-50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-5</v>
      </c>
      <c r="K30" s="38">
        <f t="shared" si="1"/>
        <v>-50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-5</v>
      </c>
      <c r="K31" s="44">
        <f t="shared" si="1"/>
        <v>-50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-5</v>
      </c>
      <c r="K32" s="38">
        <f t="shared" si="1"/>
        <v>-50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-5</v>
      </c>
      <c r="K33" s="44">
        <f t="shared" si="1"/>
        <v>-50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-5</v>
      </c>
      <c r="K34" s="38">
        <f t="shared" si="1"/>
        <v>-50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-5</v>
      </c>
      <c r="K35" s="44">
        <f t="shared" si="1"/>
        <v>-50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-5</v>
      </c>
      <c r="K36" s="38">
        <f t="shared" si="1"/>
        <v>-50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-5</v>
      </c>
      <c r="K37" s="44">
        <f t="shared" si="1"/>
        <v>-50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-6</v>
      </c>
      <c r="K38" s="38">
        <f t="shared" si="1"/>
        <v>-60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-6</v>
      </c>
      <c r="K39" s="44">
        <f t="shared" si="1"/>
        <v>-60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-6</v>
      </c>
      <c r="K40" s="38">
        <f t="shared" si="1"/>
        <v>-60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-6</v>
      </c>
      <c r="K41" s="44">
        <f t="shared" si="1"/>
        <v>-60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-6</v>
      </c>
      <c r="K42" s="38">
        <f t="shared" si="1"/>
        <v>-60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-6</v>
      </c>
      <c r="K43" s="44">
        <f t="shared" si="1"/>
        <v>-60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-6</v>
      </c>
      <c r="K44" s="38">
        <f t="shared" si="1"/>
        <v>-60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-6</v>
      </c>
      <c r="K45" s="44">
        <f t="shared" si="1"/>
        <v>-60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-6</v>
      </c>
      <c r="K46" s="38">
        <f t="shared" si="1"/>
        <v>-60</v>
      </c>
      <c r="L46" s="38"/>
      <c r="M46" s="40">
        <f t="shared" si="2"/>
        <v>0</v>
      </c>
      <c r="R46" s="16">
        <f>LOG($H$2,2)</f>
        <v>0</v>
      </c>
      <c r="T46" s="21">
        <f>LOG(H38,2)</f>
        <v>5.0443941193584534</v>
      </c>
      <c r="U46" s="21">
        <f>R46-T46</f>
        <v>-5.0443941193584534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-6</v>
      </c>
      <c r="K47" s="44">
        <f t="shared" si="1"/>
        <v>-60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-6</v>
      </c>
      <c r="K48" s="38">
        <f t="shared" si="1"/>
        <v>-60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-6</v>
      </c>
      <c r="K49" s="44">
        <f t="shared" si="1"/>
        <v>-60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-6</v>
      </c>
      <c r="K50" s="38">
        <f t="shared" si="1"/>
        <v>-60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-6</v>
      </c>
      <c r="K51" s="44">
        <f t="shared" si="1"/>
        <v>-60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-6</v>
      </c>
      <c r="K52" s="38">
        <f t="shared" si="1"/>
        <v>-60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-6</v>
      </c>
      <c r="K53" s="44">
        <f t="shared" si="1"/>
        <v>-60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-6</v>
      </c>
      <c r="K54" s="38">
        <f t="shared" si="1"/>
        <v>-60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-6</v>
      </c>
      <c r="K55" s="44">
        <f t="shared" si="1"/>
        <v>-60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-6</v>
      </c>
      <c r="K56" s="38">
        <f t="shared" si="1"/>
        <v>-60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-6</v>
      </c>
      <c r="K57" s="44">
        <f t="shared" si="1"/>
        <v>-60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-6</v>
      </c>
      <c r="K58" s="38">
        <f t="shared" si="1"/>
        <v>-60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-6</v>
      </c>
      <c r="K59" s="44">
        <f t="shared" si="1"/>
        <v>-60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-6</v>
      </c>
      <c r="K60" s="38">
        <f t="shared" si="1"/>
        <v>-60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-6</v>
      </c>
      <c r="K61" s="44">
        <f t="shared" si="1"/>
        <v>-60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-6</v>
      </c>
      <c r="K62" s="38">
        <f t="shared" si="1"/>
        <v>-60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-6</v>
      </c>
      <c r="K63" s="44">
        <f t="shared" si="1"/>
        <v>-60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-6</v>
      </c>
      <c r="K64" s="38">
        <f t="shared" si="1"/>
        <v>-60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-6</v>
      </c>
      <c r="K65" s="44">
        <f t="shared" si="1"/>
        <v>-60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-6</v>
      </c>
      <c r="K66" s="38">
        <f t="shared" si="1"/>
        <v>-60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-6</v>
      </c>
      <c r="K67" s="38">
        <f t="shared" si="1"/>
        <v>-60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-6</v>
      </c>
      <c r="K68" s="38">
        <f t="shared" si="1"/>
        <v>-60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-6</v>
      </c>
      <c r="K69" s="38">
        <f t="shared" si="1"/>
        <v>-60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-7</v>
      </c>
      <c r="K70" s="38">
        <f t="shared" ref="K70:K133" si="8">J70*$J$2</f>
        <v>-70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>
        <f t="shared" ref="J71:J134" si="10">INT(LOG($H$2,2))-ROUNDUP(LOG(H71,2),0)+IF(OR($H$2=1,$H$2=2,$H$2=4,$H$2=8,$H$2=16,$H$2=32,$H$2=64,$H$2=128,$H$2=256),0,1)</f>
        <v>-7</v>
      </c>
      <c r="K71" s="38">
        <f t="shared" si="8"/>
        <v>-70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>
        <f t="shared" si="10"/>
        <v>-7</v>
      </c>
      <c r="K72" s="38">
        <f t="shared" si="8"/>
        <v>-70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>
        <f t="shared" si="10"/>
        <v>-7</v>
      </c>
      <c r="K73" s="38">
        <f t="shared" si="8"/>
        <v>-70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>
        <f t="shared" si="10"/>
        <v>-7</v>
      </c>
      <c r="K74" s="38">
        <f t="shared" si="8"/>
        <v>-70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>
        <f t="shared" si="10"/>
        <v>-7</v>
      </c>
      <c r="K75" s="38">
        <f t="shared" si="8"/>
        <v>-70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>
        <f t="shared" si="10"/>
        <v>-7</v>
      </c>
      <c r="K76" s="38">
        <f t="shared" si="8"/>
        <v>-70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>
        <f t="shared" si="10"/>
        <v>-7</v>
      </c>
      <c r="K77" s="38">
        <f t="shared" si="8"/>
        <v>-70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>
        <f t="shared" si="10"/>
        <v>-7</v>
      </c>
      <c r="K78" s="38">
        <f t="shared" si="8"/>
        <v>-70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>
        <f t="shared" si="10"/>
        <v>-7</v>
      </c>
      <c r="K79" s="38">
        <f t="shared" si="8"/>
        <v>-70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>
        <f t="shared" si="10"/>
        <v>-7</v>
      </c>
      <c r="K80" s="38">
        <f t="shared" si="8"/>
        <v>-70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>
        <f t="shared" si="10"/>
        <v>-7</v>
      </c>
      <c r="K81" s="38">
        <f t="shared" si="8"/>
        <v>-70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>
        <f t="shared" si="10"/>
        <v>-7</v>
      </c>
      <c r="K82" s="38">
        <f t="shared" si="8"/>
        <v>-70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>
        <f t="shared" si="10"/>
        <v>-7</v>
      </c>
      <c r="K83" s="38">
        <f t="shared" si="8"/>
        <v>-70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>
        <f t="shared" si="10"/>
        <v>-7</v>
      </c>
      <c r="K84" s="38">
        <f t="shared" si="8"/>
        <v>-70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>
        <f t="shared" si="10"/>
        <v>-7</v>
      </c>
      <c r="K85" s="38">
        <f t="shared" si="8"/>
        <v>-70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>
        <f t="shared" si="10"/>
        <v>-7</v>
      </c>
      <c r="K86" s="38">
        <f t="shared" si="8"/>
        <v>-70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>
        <f t="shared" si="10"/>
        <v>-7</v>
      </c>
      <c r="K87" s="38">
        <f t="shared" si="8"/>
        <v>-70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>
        <f t="shared" si="10"/>
        <v>-7</v>
      </c>
      <c r="K88" s="38">
        <f t="shared" si="8"/>
        <v>-70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>
        <f t="shared" si="10"/>
        <v>-7</v>
      </c>
      <c r="K89" s="38">
        <f t="shared" si="8"/>
        <v>-70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>
        <f t="shared" si="10"/>
        <v>-7</v>
      </c>
      <c r="K90" s="38">
        <f t="shared" si="8"/>
        <v>-70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>
        <f t="shared" si="10"/>
        <v>-7</v>
      </c>
      <c r="K91" s="38">
        <f t="shared" si="8"/>
        <v>-70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>
        <f t="shared" si="10"/>
        <v>-7</v>
      </c>
      <c r="K92" s="38">
        <f t="shared" si="8"/>
        <v>-70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>
        <f t="shared" si="10"/>
        <v>-7</v>
      </c>
      <c r="K93" s="38">
        <f t="shared" si="8"/>
        <v>-70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>
        <f t="shared" si="10"/>
        <v>-7</v>
      </c>
      <c r="K94" s="38">
        <f t="shared" si="8"/>
        <v>-70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>
        <f t="shared" si="10"/>
        <v>-7</v>
      </c>
      <c r="K95" s="38">
        <f t="shared" si="8"/>
        <v>-70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>
        <f t="shared" si="10"/>
        <v>-7</v>
      </c>
      <c r="K96" s="38">
        <f t="shared" si="8"/>
        <v>-70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>
        <f t="shared" si="10"/>
        <v>-7</v>
      </c>
      <c r="K97" s="38">
        <f t="shared" si="8"/>
        <v>-70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>
        <f t="shared" si="10"/>
        <v>-7</v>
      </c>
      <c r="K98" s="38">
        <f t="shared" si="8"/>
        <v>-70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>
        <f t="shared" si="10"/>
        <v>-7</v>
      </c>
      <c r="K99" s="38">
        <f t="shared" si="8"/>
        <v>-70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>
        <f t="shared" si="10"/>
        <v>-7</v>
      </c>
      <c r="K100" s="38">
        <f t="shared" si="8"/>
        <v>-70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>
        <f t="shared" si="10"/>
        <v>-7</v>
      </c>
      <c r="K101" s="38">
        <f t="shared" si="8"/>
        <v>-70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>
        <f t="shared" si="10"/>
        <v>-7</v>
      </c>
      <c r="K102" s="38">
        <f t="shared" si="8"/>
        <v>-70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>
        <f t="shared" si="10"/>
        <v>-7</v>
      </c>
      <c r="K103" s="38">
        <f t="shared" si="8"/>
        <v>-70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>
        <f t="shared" si="10"/>
        <v>-7</v>
      </c>
      <c r="K104" s="38">
        <f t="shared" si="8"/>
        <v>-70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>
        <f t="shared" si="10"/>
        <v>-7</v>
      </c>
      <c r="K105" s="38">
        <f t="shared" si="8"/>
        <v>-70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>
        <f t="shared" si="10"/>
        <v>-7</v>
      </c>
      <c r="K106" s="38">
        <f t="shared" si="8"/>
        <v>-70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>
        <f t="shared" si="10"/>
        <v>-7</v>
      </c>
      <c r="K107" s="38">
        <f t="shared" si="8"/>
        <v>-70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>
        <f t="shared" si="10"/>
        <v>-7</v>
      </c>
      <c r="K108" s="38">
        <f t="shared" si="8"/>
        <v>-70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>
        <f t="shared" si="10"/>
        <v>-7</v>
      </c>
      <c r="K109" s="38">
        <f t="shared" si="8"/>
        <v>-70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>
        <f t="shared" si="10"/>
        <v>-7</v>
      </c>
      <c r="K110" s="38">
        <f t="shared" si="8"/>
        <v>-70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>
        <f t="shared" si="10"/>
        <v>-7</v>
      </c>
      <c r="K111" s="38">
        <f t="shared" si="8"/>
        <v>-70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>
        <f t="shared" si="10"/>
        <v>-7</v>
      </c>
      <c r="K112" s="38">
        <f t="shared" si="8"/>
        <v>-70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>
        <f t="shared" si="10"/>
        <v>-7</v>
      </c>
      <c r="K113" s="38">
        <f t="shared" si="8"/>
        <v>-70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>
        <f t="shared" si="10"/>
        <v>-7</v>
      </c>
      <c r="K114" s="38">
        <f t="shared" si="8"/>
        <v>-70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>
        <f t="shared" si="10"/>
        <v>-7</v>
      </c>
      <c r="K115" s="38">
        <f t="shared" si="8"/>
        <v>-70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>
        <f t="shared" si="10"/>
        <v>-7</v>
      </c>
      <c r="K116" s="38">
        <f t="shared" si="8"/>
        <v>-70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>
        <f t="shared" si="10"/>
        <v>-7</v>
      </c>
      <c r="K117" s="38">
        <f t="shared" si="8"/>
        <v>-70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>
        <f t="shared" si="10"/>
        <v>-7</v>
      </c>
      <c r="K118" s="38">
        <f t="shared" si="8"/>
        <v>-70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>
        <f t="shared" si="10"/>
        <v>-7</v>
      </c>
      <c r="K119" s="38">
        <f t="shared" si="8"/>
        <v>-70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>
        <f t="shared" si="10"/>
        <v>-7</v>
      </c>
      <c r="K120" s="38">
        <f t="shared" si="8"/>
        <v>-70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>
        <f t="shared" si="10"/>
        <v>-7</v>
      </c>
      <c r="K121" s="38">
        <f t="shared" si="8"/>
        <v>-70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>
        <f t="shared" si="10"/>
        <v>-7</v>
      </c>
      <c r="K122" s="38">
        <f t="shared" si="8"/>
        <v>-70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>
        <f t="shared" si="10"/>
        <v>-7</v>
      </c>
      <c r="K123" s="38">
        <f t="shared" si="8"/>
        <v>-70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>
        <f t="shared" si="10"/>
        <v>-7</v>
      </c>
      <c r="K124" s="38">
        <f t="shared" si="8"/>
        <v>-70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>
        <f t="shared" si="10"/>
        <v>-7</v>
      </c>
      <c r="K125" s="38">
        <f t="shared" si="8"/>
        <v>-70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>
        <f t="shared" si="10"/>
        <v>-7</v>
      </c>
      <c r="K126" s="38">
        <f t="shared" si="8"/>
        <v>-70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>
        <f t="shared" si="10"/>
        <v>-7</v>
      </c>
      <c r="K127" s="38">
        <f t="shared" si="8"/>
        <v>-70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>
        <f t="shared" si="10"/>
        <v>-7</v>
      </c>
      <c r="K128" s="38">
        <f t="shared" si="8"/>
        <v>-70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>
        <f t="shared" si="10"/>
        <v>-7</v>
      </c>
      <c r="K129" s="38">
        <f t="shared" si="8"/>
        <v>-70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>
        <f t="shared" si="10"/>
        <v>-7</v>
      </c>
      <c r="K130" s="38">
        <f t="shared" si="8"/>
        <v>-70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>
        <f t="shared" si="10"/>
        <v>-7</v>
      </c>
      <c r="K131" s="38">
        <f t="shared" si="8"/>
        <v>-70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>
        <f t="shared" si="10"/>
        <v>-7</v>
      </c>
      <c r="K132" s="38">
        <f t="shared" si="8"/>
        <v>-70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>
        <f t="shared" si="10"/>
        <v>-7</v>
      </c>
      <c r="K133" s="38">
        <f t="shared" si="8"/>
        <v>-70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-8</v>
      </c>
      <c r="K134" s="38">
        <f t="shared" ref="K134:K197" si="12">J134*$J$2</f>
        <v>-80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INT(LOG($H$2,2))-ROUNDUP(LOG(H135,2),0)+IF(OR($H$2=1,$H$2=2,$H$2=4,$H$2=8,$H$2=16,$H$2=32,$H$2=64,$H$2=128,$H$2=256),0,1)</f>
        <v>-8</v>
      </c>
      <c r="K135" s="38">
        <f t="shared" si="12"/>
        <v>-80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>
        <f t="shared" si="14"/>
        <v>-8</v>
      </c>
      <c r="K136" s="38">
        <f t="shared" si="12"/>
        <v>-80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>
        <f t="shared" si="14"/>
        <v>-8</v>
      </c>
      <c r="K137" s="38">
        <f t="shared" si="12"/>
        <v>-80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>
        <f t="shared" si="14"/>
        <v>-8</v>
      </c>
      <c r="K138" s="38">
        <f t="shared" si="12"/>
        <v>-80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>
        <f t="shared" si="14"/>
        <v>-8</v>
      </c>
      <c r="K139" s="38">
        <f t="shared" si="12"/>
        <v>-80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>
        <f t="shared" si="14"/>
        <v>-8</v>
      </c>
      <c r="K140" s="38">
        <f t="shared" si="12"/>
        <v>-80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>
        <f t="shared" si="14"/>
        <v>-8</v>
      </c>
      <c r="K141" s="38">
        <f t="shared" si="12"/>
        <v>-80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>
        <f t="shared" si="14"/>
        <v>-8</v>
      </c>
      <c r="K142" s="38">
        <f t="shared" si="12"/>
        <v>-80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>
        <f t="shared" si="14"/>
        <v>-8</v>
      </c>
      <c r="K143" s="38">
        <f t="shared" si="12"/>
        <v>-80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>
        <f t="shared" si="14"/>
        <v>-8</v>
      </c>
      <c r="K144" s="38">
        <f t="shared" si="12"/>
        <v>-80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>
        <f t="shared" si="14"/>
        <v>-8</v>
      </c>
      <c r="K145" s="38">
        <f t="shared" si="12"/>
        <v>-80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>
        <f t="shared" si="14"/>
        <v>-8</v>
      </c>
      <c r="K146" s="38">
        <f t="shared" si="12"/>
        <v>-80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>
        <f t="shared" si="14"/>
        <v>-8</v>
      </c>
      <c r="K147" s="38">
        <f t="shared" si="12"/>
        <v>-80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>
        <f t="shared" si="14"/>
        <v>-8</v>
      </c>
      <c r="K148" s="38">
        <f t="shared" si="12"/>
        <v>-80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>
        <f t="shared" si="14"/>
        <v>-8</v>
      </c>
      <c r="K149" s="38">
        <f t="shared" si="12"/>
        <v>-80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>
        <f t="shared" si="14"/>
        <v>-8</v>
      </c>
      <c r="K150" s="38">
        <f t="shared" si="12"/>
        <v>-80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>
        <f t="shared" si="14"/>
        <v>-8</v>
      </c>
      <c r="K151" s="38">
        <f t="shared" si="12"/>
        <v>-80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>
        <f t="shared" si="14"/>
        <v>-8</v>
      </c>
      <c r="K152" s="38">
        <f t="shared" si="12"/>
        <v>-80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>
        <f t="shared" si="14"/>
        <v>-8</v>
      </c>
      <c r="K153" s="38">
        <f t="shared" si="12"/>
        <v>-80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>
        <f t="shared" si="14"/>
        <v>-8</v>
      </c>
      <c r="K154" s="38">
        <f t="shared" si="12"/>
        <v>-80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>
        <f t="shared" si="14"/>
        <v>-8</v>
      </c>
      <c r="K155" s="38">
        <f t="shared" si="12"/>
        <v>-80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>
        <f t="shared" si="14"/>
        <v>-8</v>
      </c>
      <c r="K156" s="38">
        <f t="shared" si="12"/>
        <v>-80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>
        <f t="shared" si="14"/>
        <v>-8</v>
      </c>
      <c r="K157" s="38">
        <f t="shared" si="12"/>
        <v>-80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>
        <f t="shared" si="14"/>
        <v>-8</v>
      </c>
      <c r="K158" s="38">
        <f t="shared" si="12"/>
        <v>-80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>
        <f t="shared" si="14"/>
        <v>-8</v>
      </c>
      <c r="K159" s="38">
        <f t="shared" si="12"/>
        <v>-80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>
        <f t="shared" si="14"/>
        <v>-8</v>
      </c>
      <c r="K160" s="38">
        <f t="shared" si="12"/>
        <v>-80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>
        <f t="shared" si="14"/>
        <v>-8</v>
      </c>
      <c r="K161" s="38">
        <f t="shared" si="12"/>
        <v>-80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>
        <f t="shared" si="14"/>
        <v>-8</v>
      </c>
      <c r="K162" s="38">
        <f t="shared" si="12"/>
        <v>-80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>
        <f t="shared" si="14"/>
        <v>-8</v>
      </c>
      <c r="K163" s="38">
        <f t="shared" si="12"/>
        <v>-80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>
        <f t="shared" si="14"/>
        <v>-8</v>
      </c>
      <c r="K164" s="38">
        <f t="shared" si="12"/>
        <v>-80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>
        <f t="shared" si="14"/>
        <v>-8</v>
      </c>
      <c r="K165" s="38">
        <f t="shared" si="12"/>
        <v>-80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>
        <f t="shared" si="14"/>
        <v>-8</v>
      </c>
      <c r="K166" s="38">
        <f t="shared" si="12"/>
        <v>-80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>
        <f t="shared" si="14"/>
        <v>-8</v>
      </c>
      <c r="K167" s="38">
        <f t="shared" si="12"/>
        <v>-80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>
        <f t="shared" si="14"/>
        <v>-8</v>
      </c>
      <c r="K168" s="38">
        <f t="shared" si="12"/>
        <v>-80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>
        <f t="shared" si="14"/>
        <v>-8</v>
      </c>
      <c r="K169" s="38">
        <f t="shared" si="12"/>
        <v>-80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>
        <f t="shared" si="14"/>
        <v>-8</v>
      </c>
      <c r="K170" s="38">
        <f t="shared" si="12"/>
        <v>-80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>
        <f t="shared" si="14"/>
        <v>-8</v>
      </c>
      <c r="K171" s="38">
        <f t="shared" si="12"/>
        <v>-80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>
        <f t="shared" si="14"/>
        <v>-8</v>
      </c>
      <c r="K172" s="38">
        <f t="shared" si="12"/>
        <v>-80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>
        <f t="shared" si="14"/>
        <v>-8</v>
      </c>
      <c r="K173" s="38">
        <f t="shared" si="12"/>
        <v>-80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>
        <f t="shared" si="14"/>
        <v>-8</v>
      </c>
      <c r="K174" s="38">
        <f t="shared" si="12"/>
        <v>-80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>
        <f t="shared" si="14"/>
        <v>-8</v>
      </c>
      <c r="K175" s="38">
        <f t="shared" si="12"/>
        <v>-80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>
        <f t="shared" si="14"/>
        <v>-8</v>
      </c>
      <c r="K176" s="38">
        <f t="shared" si="12"/>
        <v>-80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>
        <f t="shared" si="14"/>
        <v>-8</v>
      </c>
      <c r="K177" s="38">
        <f t="shared" si="12"/>
        <v>-80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>
        <f t="shared" si="14"/>
        <v>-8</v>
      </c>
      <c r="K178" s="38">
        <f t="shared" si="12"/>
        <v>-80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>
        <f t="shared" si="14"/>
        <v>-8</v>
      </c>
      <c r="K179" s="38">
        <f t="shared" si="12"/>
        <v>-80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>
        <f t="shared" si="14"/>
        <v>-8</v>
      </c>
      <c r="K180" s="38">
        <f t="shared" si="12"/>
        <v>-80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>
        <f t="shared" si="14"/>
        <v>-8</v>
      </c>
      <c r="K181" s="38">
        <f t="shared" si="12"/>
        <v>-80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>
        <f t="shared" si="14"/>
        <v>-8</v>
      </c>
      <c r="K182" s="38">
        <f t="shared" si="12"/>
        <v>-80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>
        <f t="shared" si="14"/>
        <v>-8</v>
      </c>
      <c r="K183" s="38">
        <f t="shared" si="12"/>
        <v>-80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>
        <f t="shared" si="14"/>
        <v>-8</v>
      </c>
      <c r="K184" s="38">
        <f t="shared" si="12"/>
        <v>-80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>
        <f t="shared" si="14"/>
        <v>-8</v>
      </c>
      <c r="K185" s="38">
        <f t="shared" si="12"/>
        <v>-80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>
        <f t="shared" si="14"/>
        <v>-8</v>
      </c>
      <c r="K186" s="38">
        <f t="shared" si="12"/>
        <v>-80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>
        <f t="shared" si="14"/>
        <v>-8</v>
      </c>
      <c r="K187" s="38">
        <f t="shared" si="12"/>
        <v>-80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>
        <f t="shared" si="14"/>
        <v>-8</v>
      </c>
      <c r="K188" s="38">
        <f t="shared" si="12"/>
        <v>-80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>
        <f t="shared" si="14"/>
        <v>-8</v>
      </c>
      <c r="K189" s="38">
        <f t="shared" si="12"/>
        <v>-80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>
        <f t="shared" si="14"/>
        <v>-8</v>
      </c>
      <c r="K190" s="38">
        <f t="shared" si="12"/>
        <v>-80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>
        <f t="shared" si="14"/>
        <v>-8</v>
      </c>
      <c r="K191" s="38">
        <f t="shared" si="12"/>
        <v>-80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>
        <f t="shared" si="14"/>
        <v>-8</v>
      </c>
      <c r="K192" s="38">
        <f t="shared" si="12"/>
        <v>-80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>
        <f t="shared" si="14"/>
        <v>-8</v>
      </c>
      <c r="K193" s="38">
        <f t="shared" si="12"/>
        <v>-80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>
        <f t="shared" si="14"/>
        <v>-8</v>
      </c>
      <c r="K194" s="38">
        <f t="shared" si="12"/>
        <v>-80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>
        <f t="shared" si="14"/>
        <v>-8</v>
      </c>
      <c r="K195" s="38">
        <f t="shared" si="12"/>
        <v>-80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>
        <f t="shared" si="14"/>
        <v>-8</v>
      </c>
      <c r="K196" s="38">
        <f t="shared" si="12"/>
        <v>-80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>
        <f t="shared" si="14"/>
        <v>-8</v>
      </c>
      <c r="K197" s="38">
        <f t="shared" si="12"/>
        <v>-80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-8</v>
      </c>
      <c r="K198" s="38">
        <f t="shared" ref="K198:K261" si="16">J198*$J$2</f>
        <v>-80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INT(LOG($H$2,2))-ROUNDUP(LOG(H199,2),0)+IF(OR($H$2=1,$H$2=2,$H$2=4,$H$2=8,$H$2=16,$H$2=32,$H$2=64,$H$2=128,$H$2=256),0,1)</f>
        <v>-8</v>
      </c>
      <c r="K199" s="38">
        <f t="shared" si="16"/>
        <v>-80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>
        <f t="shared" si="18"/>
        <v>-8</v>
      </c>
      <c r="K200" s="38">
        <f t="shared" si="16"/>
        <v>-80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>
        <f t="shared" si="18"/>
        <v>-8</v>
      </c>
      <c r="K201" s="38">
        <f t="shared" si="16"/>
        <v>-80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>
        <f t="shared" si="18"/>
        <v>-8</v>
      </c>
      <c r="K202" s="38">
        <f t="shared" si="16"/>
        <v>-80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>
        <f t="shared" si="18"/>
        <v>-8</v>
      </c>
      <c r="K203" s="38">
        <f t="shared" si="16"/>
        <v>-80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>
        <f t="shared" si="18"/>
        <v>-8</v>
      </c>
      <c r="K204" s="38">
        <f t="shared" si="16"/>
        <v>-80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>
        <f t="shared" si="18"/>
        <v>-8</v>
      </c>
      <c r="K205" s="38">
        <f t="shared" si="16"/>
        <v>-80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>
        <f t="shared" si="18"/>
        <v>-8</v>
      </c>
      <c r="K206" s="38">
        <f t="shared" si="16"/>
        <v>-80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>
        <f t="shared" si="18"/>
        <v>-8</v>
      </c>
      <c r="K207" s="38">
        <f t="shared" si="16"/>
        <v>-80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>
        <f t="shared" si="18"/>
        <v>-8</v>
      </c>
      <c r="K208" s="38">
        <f t="shared" si="16"/>
        <v>-80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>
        <f t="shared" si="18"/>
        <v>-8</v>
      </c>
      <c r="K209" s="38">
        <f t="shared" si="16"/>
        <v>-80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>
        <f t="shared" si="18"/>
        <v>-8</v>
      </c>
      <c r="K210" s="38">
        <f t="shared" si="16"/>
        <v>-80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>
        <f t="shared" si="18"/>
        <v>-8</v>
      </c>
      <c r="K211" s="38">
        <f t="shared" si="16"/>
        <v>-80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>
        <f t="shared" si="18"/>
        <v>-8</v>
      </c>
      <c r="K212" s="38">
        <f t="shared" si="16"/>
        <v>-80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>
        <f t="shared" si="18"/>
        <v>-8</v>
      </c>
      <c r="K213" s="38">
        <f t="shared" si="16"/>
        <v>-80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>
        <f t="shared" si="18"/>
        <v>-8</v>
      </c>
      <c r="K214" s="38">
        <f t="shared" si="16"/>
        <v>-80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>
        <f t="shared" si="18"/>
        <v>-8</v>
      </c>
      <c r="K215" s="38">
        <f t="shared" si="16"/>
        <v>-80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>
        <f t="shared" si="18"/>
        <v>-8</v>
      </c>
      <c r="K216" s="38">
        <f t="shared" si="16"/>
        <v>-80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>
        <f t="shared" si="18"/>
        <v>-8</v>
      </c>
      <c r="K217" s="38">
        <f t="shared" si="16"/>
        <v>-80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>
        <f t="shared" si="18"/>
        <v>-8</v>
      </c>
      <c r="K218" s="38">
        <f t="shared" si="16"/>
        <v>-80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>
        <f t="shared" si="18"/>
        <v>-8</v>
      </c>
      <c r="K219" s="38">
        <f t="shared" si="16"/>
        <v>-80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>
        <f t="shared" si="18"/>
        <v>-8</v>
      </c>
      <c r="K220" s="38">
        <f t="shared" si="16"/>
        <v>-80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>
        <f t="shared" si="18"/>
        <v>-8</v>
      </c>
      <c r="K221" s="38">
        <f t="shared" si="16"/>
        <v>-80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>
        <f t="shared" si="18"/>
        <v>-8</v>
      </c>
      <c r="K222" s="38">
        <f t="shared" si="16"/>
        <v>-80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>
        <f t="shared" si="18"/>
        <v>-8</v>
      </c>
      <c r="K223" s="38">
        <f t="shared" si="16"/>
        <v>-80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>
        <f t="shared" si="18"/>
        <v>-8</v>
      </c>
      <c r="K224" s="38">
        <f t="shared" si="16"/>
        <v>-80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>
        <f t="shared" si="18"/>
        <v>-8</v>
      </c>
      <c r="K225" s="38">
        <f t="shared" si="16"/>
        <v>-80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>
        <f t="shared" si="18"/>
        <v>-8</v>
      </c>
      <c r="K226" s="38">
        <f t="shared" si="16"/>
        <v>-80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>
        <f t="shared" si="18"/>
        <v>-8</v>
      </c>
      <c r="K227" s="38">
        <f t="shared" si="16"/>
        <v>-80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>
        <f t="shared" si="18"/>
        <v>-8</v>
      </c>
      <c r="K228" s="38">
        <f t="shared" si="16"/>
        <v>-80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>
        <f t="shared" si="18"/>
        <v>-8</v>
      </c>
      <c r="K229" s="38">
        <f t="shared" si="16"/>
        <v>-80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>
        <f t="shared" si="18"/>
        <v>-8</v>
      </c>
      <c r="K230" s="38">
        <f t="shared" si="16"/>
        <v>-80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>
        <f t="shared" si="18"/>
        <v>-8</v>
      </c>
      <c r="K231" s="38">
        <f t="shared" si="16"/>
        <v>-80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>
        <f t="shared" si="18"/>
        <v>-8</v>
      </c>
      <c r="K232" s="38">
        <f t="shared" si="16"/>
        <v>-80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>
        <f t="shared" si="18"/>
        <v>-8</v>
      </c>
      <c r="K233" s="38">
        <f t="shared" si="16"/>
        <v>-80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>
        <f t="shared" si="18"/>
        <v>-8</v>
      </c>
      <c r="K234" s="38">
        <f t="shared" si="16"/>
        <v>-80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>
        <f t="shared" si="18"/>
        <v>-8</v>
      </c>
      <c r="K235" s="38">
        <f t="shared" si="16"/>
        <v>-80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>
        <f t="shared" si="18"/>
        <v>-8</v>
      </c>
      <c r="K236" s="38">
        <f t="shared" si="16"/>
        <v>-80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>
        <f t="shared" si="18"/>
        <v>-8</v>
      </c>
      <c r="K237" s="38">
        <f t="shared" si="16"/>
        <v>-80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>
        <f t="shared" si="18"/>
        <v>-8</v>
      </c>
      <c r="K238" s="38">
        <f t="shared" si="16"/>
        <v>-80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>
        <f t="shared" si="18"/>
        <v>-8</v>
      </c>
      <c r="K239" s="38">
        <f t="shared" si="16"/>
        <v>-80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>
        <f t="shared" si="18"/>
        <v>-8</v>
      </c>
      <c r="K240" s="38">
        <f t="shared" si="16"/>
        <v>-80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>
        <f t="shared" si="18"/>
        <v>-8</v>
      </c>
      <c r="K241" s="38">
        <f t="shared" si="16"/>
        <v>-80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>
        <f t="shared" si="18"/>
        <v>-8</v>
      </c>
      <c r="K242" s="38">
        <f t="shared" si="16"/>
        <v>-80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>
        <f t="shared" si="18"/>
        <v>-8</v>
      </c>
      <c r="K243" s="38">
        <f t="shared" si="16"/>
        <v>-80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>
        <f t="shared" si="18"/>
        <v>-8</v>
      </c>
      <c r="K244" s="38">
        <f t="shared" si="16"/>
        <v>-80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>
        <f t="shared" si="18"/>
        <v>-8</v>
      </c>
      <c r="K245" s="38">
        <f t="shared" si="16"/>
        <v>-80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>
        <f t="shared" si="18"/>
        <v>-8</v>
      </c>
      <c r="K246" s="38">
        <f t="shared" si="16"/>
        <v>-80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>
        <f t="shared" si="18"/>
        <v>-8</v>
      </c>
      <c r="K247" s="38">
        <f t="shared" si="16"/>
        <v>-80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>
        <f t="shared" si="18"/>
        <v>-8</v>
      </c>
      <c r="K248" s="38">
        <f t="shared" si="16"/>
        <v>-80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>
        <f t="shared" si="18"/>
        <v>-8</v>
      </c>
      <c r="K249" s="38">
        <f t="shared" si="16"/>
        <v>-80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>
        <f t="shared" si="18"/>
        <v>-8</v>
      </c>
      <c r="K250" s="38">
        <f t="shared" si="16"/>
        <v>-80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>
        <f t="shared" si="18"/>
        <v>-8</v>
      </c>
      <c r="K251" s="38">
        <f t="shared" si="16"/>
        <v>-80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>
        <f t="shared" si="18"/>
        <v>-8</v>
      </c>
      <c r="K252" s="38">
        <f t="shared" si="16"/>
        <v>-80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>
        <f t="shared" si="18"/>
        <v>-8</v>
      </c>
      <c r="K253" s="38">
        <f t="shared" si="16"/>
        <v>-80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>
        <f t="shared" si="18"/>
        <v>-8</v>
      </c>
      <c r="K254" s="38">
        <f t="shared" si="16"/>
        <v>-80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>
        <f t="shared" si="18"/>
        <v>-8</v>
      </c>
      <c r="K255" s="38">
        <f t="shared" si="16"/>
        <v>-80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>
        <f t="shared" si="18"/>
        <v>-8</v>
      </c>
      <c r="K256" s="38">
        <f t="shared" si="16"/>
        <v>-80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>
        <f t="shared" si="18"/>
        <v>-8</v>
      </c>
      <c r="K257" s="38">
        <f t="shared" si="16"/>
        <v>-80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>
        <f t="shared" si="18"/>
        <v>-8</v>
      </c>
      <c r="K258" s="38">
        <f t="shared" si="16"/>
        <v>-80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>
        <f t="shared" si="18"/>
        <v>-8</v>
      </c>
      <c r="K259" s="38">
        <f t="shared" si="16"/>
        <v>-80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>
        <f t="shared" si="18"/>
        <v>-8</v>
      </c>
      <c r="K260" s="38">
        <f t="shared" si="16"/>
        <v>-80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>
        <f t="shared" si="18"/>
        <v>-8</v>
      </c>
      <c r="K261" s="38">
        <f t="shared" si="16"/>
        <v>-80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-9</v>
      </c>
      <c r="K262" s="38">
        <f t="shared" ref="K262:K305" si="20">J262*$J$2</f>
        <v>-90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>
        <f t="shared" ref="J263:J305" si="22">INT(LOG($H$2,2))-ROUNDUP(LOG(H263,2),0)+IF(OR($H$2=1,$H$2=2,$H$2=4,$H$2=8,$H$2=16,$H$2=32,$H$2=64,$H$2=128,$H$2=256),0,1)</f>
        <v>-9</v>
      </c>
      <c r="K263" s="38">
        <f t="shared" si="20"/>
        <v>-90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>
        <f t="shared" si="22"/>
        <v>-9</v>
      </c>
      <c r="K264" s="38">
        <f t="shared" si="20"/>
        <v>-90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>
        <f t="shared" si="22"/>
        <v>-9</v>
      </c>
      <c r="K265" s="38">
        <f t="shared" si="20"/>
        <v>-90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>
        <f t="shared" si="22"/>
        <v>-9</v>
      </c>
      <c r="K266" s="38">
        <f t="shared" si="20"/>
        <v>-90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>
        <f t="shared" si="22"/>
        <v>-9</v>
      </c>
      <c r="K267" s="38">
        <f t="shared" si="20"/>
        <v>-90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>
        <f t="shared" si="22"/>
        <v>-9</v>
      </c>
      <c r="K268" s="38">
        <f t="shared" si="20"/>
        <v>-90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>
        <f t="shared" si="22"/>
        <v>-9</v>
      </c>
      <c r="K269" s="38">
        <f t="shared" si="20"/>
        <v>-90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>
        <f t="shared" si="22"/>
        <v>-9</v>
      </c>
      <c r="K270" s="38">
        <f t="shared" si="20"/>
        <v>-90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>
        <f t="shared" si="22"/>
        <v>-9</v>
      </c>
      <c r="K271" s="38">
        <f t="shared" si="20"/>
        <v>-90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>
        <f t="shared" si="22"/>
        <v>-9</v>
      </c>
      <c r="K272" s="38">
        <f t="shared" si="20"/>
        <v>-90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>
        <f t="shared" si="22"/>
        <v>-9</v>
      </c>
      <c r="K273" s="38">
        <f t="shared" si="20"/>
        <v>-90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>
        <f t="shared" si="22"/>
        <v>-9</v>
      </c>
      <c r="K274" s="38">
        <f t="shared" si="20"/>
        <v>-90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>
        <f t="shared" si="22"/>
        <v>-9</v>
      </c>
      <c r="K275" s="38">
        <f t="shared" si="20"/>
        <v>-90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>
        <f t="shared" si="22"/>
        <v>-9</v>
      </c>
      <c r="K276" s="38">
        <f t="shared" si="20"/>
        <v>-90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>
        <f t="shared" si="22"/>
        <v>-9</v>
      </c>
      <c r="K277" s="38">
        <f t="shared" si="20"/>
        <v>-90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>
        <f t="shared" si="22"/>
        <v>-9</v>
      </c>
      <c r="K278" s="38">
        <f t="shared" si="20"/>
        <v>-90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>
        <f t="shared" si="22"/>
        <v>-9</v>
      </c>
      <c r="K279" s="38">
        <f t="shared" si="20"/>
        <v>-90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>
        <f t="shared" si="22"/>
        <v>-9</v>
      </c>
      <c r="K280" s="38">
        <f t="shared" si="20"/>
        <v>-90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>
        <f t="shared" si="22"/>
        <v>-9</v>
      </c>
      <c r="K281" s="38">
        <f t="shared" si="20"/>
        <v>-90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>
        <f t="shared" si="22"/>
        <v>-9</v>
      </c>
      <c r="K282" s="38">
        <f t="shared" si="20"/>
        <v>-90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>
        <f t="shared" si="22"/>
        <v>-9</v>
      </c>
      <c r="K283" s="38">
        <f t="shared" si="20"/>
        <v>-90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>
        <f t="shared" si="22"/>
        <v>-9</v>
      </c>
      <c r="K284" s="38">
        <f t="shared" si="20"/>
        <v>-90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>
        <f t="shared" si="22"/>
        <v>-9</v>
      </c>
      <c r="K285" s="38">
        <f t="shared" si="20"/>
        <v>-90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>
        <f t="shared" si="22"/>
        <v>-9</v>
      </c>
      <c r="K286" s="38">
        <f t="shared" si="20"/>
        <v>-90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>
        <f t="shared" si="22"/>
        <v>-9</v>
      </c>
      <c r="K287" s="38">
        <f t="shared" si="20"/>
        <v>-90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>
        <f t="shared" si="22"/>
        <v>-9</v>
      </c>
      <c r="K288" s="38">
        <f t="shared" si="20"/>
        <v>-90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>
        <f t="shared" si="22"/>
        <v>-9</v>
      </c>
      <c r="K289" s="38">
        <f t="shared" si="20"/>
        <v>-90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>
        <f t="shared" si="22"/>
        <v>-9</v>
      </c>
      <c r="K290" s="38">
        <f t="shared" si="20"/>
        <v>-90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>
        <f t="shared" si="22"/>
        <v>-9</v>
      </c>
      <c r="K291" s="38">
        <f t="shared" si="20"/>
        <v>-90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>
        <f t="shared" si="22"/>
        <v>-9</v>
      </c>
      <c r="K292" s="38">
        <f t="shared" si="20"/>
        <v>-90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>
        <f t="shared" si="22"/>
        <v>-9</v>
      </c>
      <c r="K293" s="38">
        <f t="shared" si="20"/>
        <v>-90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>
        <f t="shared" si="22"/>
        <v>-9</v>
      </c>
      <c r="K294" s="38">
        <f t="shared" si="20"/>
        <v>-90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>
        <f t="shared" si="22"/>
        <v>-9</v>
      </c>
      <c r="K295" s="38">
        <f t="shared" si="20"/>
        <v>-90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>
        <f t="shared" si="22"/>
        <v>-9</v>
      </c>
      <c r="K296" s="38">
        <f t="shared" si="20"/>
        <v>-90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>
        <f t="shared" si="22"/>
        <v>-9</v>
      </c>
      <c r="K297" s="38">
        <f t="shared" si="20"/>
        <v>-90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>
        <f t="shared" si="22"/>
        <v>-9</v>
      </c>
      <c r="K298" s="38">
        <f t="shared" si="20"/>
        <v>-90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>
        <f t="shared" si="22"/>
        <v>-9</v>
      </c>
      <c r="K299" s="38">
        <f t="shared" si="20"/>
        <v>-90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>
        <f t="shared" si="22"/>
        <v>-9</v>
      </c>
      <c r="K300" s="38">
        <f t="shared" si="20"/>
        <v>-90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>
        <f t="shared" si="22"/>
        <v>-9</v>
      </c>
      <c r="K301" s="38">
        <f t="shared" si="20"/>
        <v>-90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>
        <f t="shared" si="22"/>
        <v>-9</v>
      </c>
      <c r="K302" s="38">
        <f t="shared" si="20"/>
        <v>-90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>
        <f t="shared" si="22"/>
        <v>-9</v>
      </c>
      <c r="K303" s="38">
        <f t="shared" si="20"/>
        <v>-90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>
        <f t="shared" si="22"/>
        <v>-9</v>
      </c>
      <c r="K304" s="38">
        <f t="shared" si="20"/>
        <v>-90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>
        <f t="shared" si="22"/>
        <v>-9</v>
      </c>
      <c r="K305" s="38">
        <f t="shared" si="20"/>
        <v>-90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B0554C5-2A57-45C2-BBA4-1732714EDBC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22</v>
      </c>
      <c r="I1" s="18" t="s">
        <v>23</v>
      </c>
      <c r="J1" s="18" t="s">
        <v>24</v>
      </c>
      <c r="K1" s="19" t="s">
        <v>25</v>
      </c>
      <c r="L1" s="20"/>
      <c r="M1" s="20"/>
    </row>
    <row r="2" spans="1:36" ht="14.45" customHeight="1" x14ac:dyDescent="0.25">
      <c r="A2" s="16"/>
      <c r="B2" s="22" t="s">
        <v>26</v>
      </c>
      <c r="C2" s="266" t="s">
        <v>56</v>
      </c>
      <c r="D2" s="266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 ht="14.45" customHeight="1" x14ac:dyDescent="0.25">
      <c r="A3" s="16"/>
      <c r="B3" s="27" t="s">
        <v>28</v>
      </c>
      <c r="C3" s="267" t="s">
        <v>57</v>
      </c>
      <c r="D3" s="267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32" t="s">
        <v>36</v>
      </c>
      <c r="I5" s="33" t="s">
        <v>37</v>
      </c>
      <c r="J5" s="34" t="s">
        <v>38</v>
      </c>
      <c r="K5" s="33" t="s">
        <v>39</v>
      </c>
      <c r="L5" s="33" t="s">
        <v>40</v>
      </c>
      <c r="M5" s="32" t="s">
        <v>41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 t="e">
        <f t="shared" ref="J7:J70" si="5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 t="e">
        <f t="shared" si="5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 t="e">
        <f t="shared" si="5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42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 t="e">
        <f t="shared" si="5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43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 t="e">
        <f t="shared" si="5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44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 t="e">
        <f t="shared" si="5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45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 t="e">
        <f t="shared" si="5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46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 t="e">
        <f t="shared" si="5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47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 t="e">
        <f t="shared" si="5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 t="e">
        <f t="shared" si="5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48</v>
      </c>
      <c r="AI16" s="21">
        <f>AI11-AI12*AI13/AI14</f>
        <v>9.6393909380186855</v>
      </c>
      <c r="AJ16" s="21" t="s">
        <v>49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 t="e">
        <f t="shared" si="5"/>
        <v>#NUM!</v>
      </c>
      <c r="K17" s="44" t="e">
        <f t="shared" si="1"/>
        <v>#NUM!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 t="e">
        <f t="shared" si="5"/>
        <v>#NUM!</v>
      </c>
      <c r="K18" s="38" t="e">
        <f t="shared" si="1"/>
        <v>#NUM!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 t="e">
        <f t="shared" si="5"/>
        <v>#NUM!</v>
      </c>
      <c r="K19" s="44" t="e">
        <f t="shared" si="1"/>
        <v>#NUM!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 t="e">
        <f t="shared" si="5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 t="e">
        <f t="shared" si="5"/>
        <v>#NUM!</v>
      </c>
      <c r="K21" s="44" t="e">
        <f t="shared" si="1"/>
        <v>#NUM!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 t="e">
        <f t="shared" si="5"/>
        <v>#NUM!</v>
      </c>
      <c r="K22" s="38" t="e">
        <f t="shared" si="1"/>
        <v>#NUM!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 t="e">
        <f t="shared" si="5"/>
        <v>#NUM!</v>
      </c>
      <c r="K23" s="44" t="e">
        <f t="shared" si="1"/>
        <v>#NUM!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 t="e">
        <f t="shared" si="5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 t="e">
        <f t="shared" si="5"/>
        <v>#NUM!</v>
      </c>
      <c r="K25" s="44" t="e">
        <f t="shared" si="1"/>
        <v>#NUM!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 t="e">
        <f t="shared" si="5"/>
        <v>#NUM!</v>
      </c>
      <c r="K26" s="38" t="e">
        <f t="shared" si="1"/>
        <v>#NUM!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 t="e">
        <f t="shared" si="5"/>
        <v>#NUM!</v>
      </c>
      <c r="K27" s="44" t="e">
        <f t="shared" si="1"/>
        <v>#NUM!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 t="e">
        <f t="shared" si="5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 t="e">
        <f t="shared" si="5"/>
        <v>#NUM!</v>
      </c>
      <c r="K29" s="44" t="e">
        <f t="shared" si="1"/>
        <v>#NUM!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 t="e">
        <f t="shared" si="5"/>
        <v>#NUM!</v>
      </c>
      <c r="K30" s="38" t="e">
        <f t="shared" si="1"/>
        <v>#NUM!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 t="e">
        <f t="shared" si="5"/>
        <v>#NUM!</v>
      </c>
      <c r="K31" s="44" t="e">
        <f t="shared" si="1"/>
        <v>#NUM!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 t="e">
        <f t="shared" si="5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 t="e">
        <f t="shared" si="5"/>
        <v>#NUM!</v>
      </c>
      <c r="K33" s="44" t="e">
        <f t="shared" si="1"/>
        <v>#NUM!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 t="e">
        <f t="shared" si="5"/>
        <v>#NUM!</v>
      </c>
      <c r="K34" s="38" t="e">
        <f t="shared" si="1"/>
        <v>#NUM!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 t="e">
        <f t="shared" si="5"/>
        <v>#NUM!</v>
      </c>
      <c r="K35" s="44" t="e">
        <f t="shared" si="1"/>
        <v>#NUM!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 t="e">
        <f t="shared" si="5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 t="e">
        <f t="shared" si="5"/>
        <v>#NUM!</v>
      </c>
      <c r="K37" s="44" t="e">
        <f t="shared" si="1"/>
        <v>#NUM!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 t="e">
        <f t="shared" si="5"/>
        <v>#NUM!</v>
      </c>
      <c r="K38" s="38" t="e">
        <f t="shared" si="1"/>
        <v>#NUM!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 t="e">
        <f t="shared" si="5"/>
        <v>#NUM!</v>
      </c>
      <c r="K39" s="44" t="e">
        <f t="shared" si="1"/>
        <v>#NUM!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 t="e">
        <f t="shared" si="5"/>
        <v>#NUM!</v>
      </c>
      <c r="K40" s="38" t="e">
        <f t="shared" si="1"/>
        <v>#NUM!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 t="e">
        <f t="shared" si="5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 t="e">
        <f t="shared" si="5"/>
        <v>#NUM!</v>
      </c>
      <c r="K42" s="38" t="e">
        <f t="shared" si="1"/>
        <v>#NUM!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 t="e">
        <f t="shared" si="5"/>
        <v>#NUM!</v>
      </c>
      <c r="K43" s="44" t="e">
        <f t="shared" si="1"/>
        <v>#NUM!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 t="e">
        <f t="shared" si="5"/>
        <v>#NUM!</v>
      </c>
      <c r="K44" s="38" t="e">
        <f t="shared" si="1"/>
        <v>#NUM!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 t="e">
        <f t="shared" si="5"/>
        <v>#NUM!</v>
      </c>
      <c r="K45" s="44" t="e">
        <f t="shared" si="1"/>
        <v>#NUM!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 t="e">
        <f t="shared" si="5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 t="e">
        <f t="shared" si="5"/>
        <v>#NUM!</v>
      </c>
      <c r="K47" s="44" t="e">
        <f t="shared" si="1"/>
        <v>#NUM!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 t="e">
        <f t="shared" si="5"/>
        <v>#NUM!</v>
      </c>
      <c r="K48" s="38" t="e">
        <f t="shared" si="1"/>
        <v>#NUM!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 t="e">
        <f t="shared" si="5"/>
        <v>#NUM!</v>
      </c>
      <c r="K49" s="44" t="e">
        <f t="shared" si="1"/>
        <v>#NUM!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 t="e">
        <f t="shared" si="5"/>
        <v>#NUM!</v>
      </c>
      <c r="K50" s="38" t="e">
        <f t="shared" si="1"/>
        <v>#NUM!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 t="e">
        <f t="shared" si="5"/>
        <v>#NUM!</v>
      </c>
      <c r="K51" s="44" t="e">
        <f t="shared" si="1"/>
        <v>#NUM!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 t="e">
        <f t="shared" si="5"/>
        <v>#NUM!</v>
      </c>
      <c r="K52" s="38" t="e">
        <f t="shared" si="1"/>
        <v>#NUM!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 t="e">
        <f t="shared" si="5"/>
        <v>#NUM!</v>
      </c>
      <c r="K53" s="44" t="e">
        <f t="shared" si="1"/>
        <v>#NUM!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 t="e">
        <f t="shared" si="5"/>
        <v>#NUM!</v>
      </c>
      <c r="K54" s="38" t="e">
        <f t="shared" si="1"/>
        <v>#NUM!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 t="e">
        <f t="shared" si="5"/>
        <v>#NUM!</v>
      </c>
      <c r="K55" s="44" t="e">
        <f t="shared" si="1"/>
        <v>#NUM!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 t="e">
        <f t="shared" si="5"/>
        <v>#NUM!</v>
      </c>
      <c r="K56" s="38" t="e">
        <f t="shared" si="1"/>
        <v>#NUM!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 t="e">
        <f t="shared" si="5"/>
        <v>#NUM!</v>
      </c>
      <c r="K57" s="44" t="e">
        <f t="shared" si="1"/>
        <v>#NUM!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 t="e">
        <f t="shared" si="5"/>
        <v>#NUM!</v>
      </c>
      <c r="K58" s="38" t="e">
        <f t="shared" si="1"/>
        <v>#NUM!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 t="e">
        <f t="shared" si="5"/>
        <v>#NUM!</v>
      </c>
      <c r="K59" s="44" t="e">
        <f t="shared" si="1"/>
        <v>#NUM!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 t="e">
        <f t="shared" si="5"/>
        <v>#NUM!</v>
      </c>
      <c r="K60" s="38" t="e">
        <f t="shared" si="1"/>
        <v>#NUM!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 t="e">
        <f t="shared" si="5"/>
        <v>#NUM!</v>
      </c>
      <c r="K61" s="44" t="e">
        <f t="shared" si="1"/>
        <v>#NUM!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 t="e">
        <f t="shared" si="5"/>
        <v>#NUM!</v>
      </c>
      <c r="K62" s="38" t="e">
        <f t="shared" si="1"/>
        <v>#NUM!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 t="e">
        <f t="shared" si="5"/>
        <v>#NUM!</v>
      </c>
      <c r="K63" s="44" t="e">
        <f t="shared" si="1"/>
        <v>#NUM!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 t="e">
        <f t="shared" si="5"/>
        <v>#NUM!</v>
      </c>
      <c r="K64" s="38" t="e">
        <f t="shared" si="1"/>
        <v>#NUM!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 t="e">
        <f t="shared" si="5"/>
        <v>#NUM!</v>
      </c>
      <c r="K65" s="44" t="e">
        <f t="shared" si="1"/>
        <v>#NUM!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 t="e">
        <f t="shared" si="5"/>
        <v>#NUM!</v>
      </c>
      <c r="K66" s="38" t="e">
        <f t="shared" si="1"/>
        <v>#NUM!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 t="e">
        <f t="shared" si="5"/>
        <v>#NUM!</v>
      </c>
      <c r="K67" s="38" t="e">
        <f t="shared" si="1"/>
        <v>#NUM!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 t="e">
        <f t="shared" si="5"/>
        <v>#NUM!</v>
      </c>
      <c r="K68" s="38" t="e">
        <f t="shared" si="1"/>
        <v>#NUM!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 t="e">
        <f t="shared" si="5"/>
        <v>#NUM!</v>
      </c>
      <c r="K69" s="38" t="e">
        <f t="shared" si="1"/>
        <v>#NUM!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OPOLE" xr:uid="{5B418559-E686-4E63-A1CB-85AA5FE806D8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1.7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22</v>
      </c>
      <c r="I1" s="18" t="s">
        <v>23</v>
      </c>
      <c r="J1" s="18" t="s">
        <v>24</v>
      </c>
      <c r="K1" s="19" t="s">
        <v>25</v>
      </c>
      <c r="L1" s="20"/>
      <c r="M1" s="20"/>
    </row>
    <row r="2" spans="1:36" ht="14.45" customHeight="1" x14ac:dyDescent="0.25">
      <c r="A2" s="16"/>
      <c r="B2" s="22" t="s">
        <v>26</v>
      </c>
      <c r="C2" s="266" t="s">
        <v>58</v>
      </c>
      <c r="D2" s="266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 ht="14.45" customHeight="1" x14ac:dyDescent="0.25">
      <c r="A3" s="16"/>
      <c r="B3" s="27" t="s">
        <v>28</v>
      </c>
      <c r="C3" s="267" t="s">
        <v>59</v>
      </c>
      <c r="D3" s="267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32" t="s">
        <v>36</v>
      </c>
      <c r="I5" s="33" t="s">
        <v>37</v>
      </c>
      <c r="J5" s="34" t="s">
        <v>38</v>
      </c>
      <c r="K5" s="33" t="s">
        <v>39</v>
      </c>
      <c r="L5" s="33" t="s">
        <v>40</v>
      </c>
      <c r="M5" s="32" t="s">
        <v>41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 t="e">
        <f t="shared" ref="J7:J70" si="5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 t="e">
        <f t="shared" si="5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 t="e">
        <f t="shared" si="5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42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 t="e">
        <f t="shared" si="5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43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 t="e">
        <f t="shared" si="5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44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 t="e">
        <f t="shared" si="5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45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 t="e">
        <f t="shared" si="5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46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 t="e">
        <f t="shared" si="5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47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 t="e">
        <f t="shared" si="5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 t="e">
        <f t="shared" si="5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48</v>
      </c>
      <c r="AI16" s="21">
        <f>AI11-AI12*AI13/AI14</f>
        <v>9.6393909380186855</v>
      </c>
      <c r="AJ16" s="21" t="s">
        <v>49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 t="e">
        <f t="shared" si="5"/>
        <v>#NUM!</v>
      </c>
      <c r="K17" s="44" t="e">
        <f t="shared" si="1"/>
        <v>#NUM!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 t="e">
        <f t="shared" si="5"/>
        <v>#NUM!</v>
      </c>
      <c r="K18" s="38" t="e">
        <f t="shared" si="1"/>
        <v>#NUM!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 t="e">
        <f t="shared" si="5"/>
        <v>#NUM!</v>
      </c>
      <c r="K19" s="44" t="e">
        <f t="shared" si="1"/>
        <v>#NUM!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 t="e">
        <f t="shared" si="5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 t="e">
        <f t="shared" si="5"/>
        <v>#NUM!</v>
      </c>
      <c r="K21" s="44" t="e">
        <f t="shared" si="1"/>
        <v>#NUM!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 t="e">
        <f t="shared" si="5"/>
        <v>#NUM!</v>
      </c>
      <c r="K22" s="38" t="e">
        <f t="shared" si="1"/>
        <v>#NUM!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 t="e">
        <f t="shared" si="5"/>
        <v>#NUM!</v>
      </c>
      <c r="K23" s="44" t="e">
        <f t="shared" si="1"/>
        <v>#NUM!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 t="e">
        <f t="shared" si="5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 t="e">
        <f t="shared" si="5"/>
        <v>#NUM!</v>
      </c>
      <c r="K25" s="44" t="e">
        <f t="shared" si="1"/>
        <v>#NUM!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 t="e">
        <f t="shared" si="5"/>
        <v>#NUM!</v>
      </c>
      <c r="K26" s="38" t="e">
        <f t="shared" si="1"/>
        <v>#NUM!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 t="e">
        <f t="shared" si="5"/>
        <v>#NUM!</v>
      </c>
      <c r="K27" s="44" t="e">
        <f t="shared" si="1"/>
        <v>#NUM!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 t="e">
        <f t="shared" si="5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 t="e">
        <f t="shared" si="5"/>
        <v>#NUM!</v>
      </c>
      <c r="K29" s="44" t="e">
        <f t="shared" si="1"/>
        <v>#NUM!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 t="e">
        <f t="shared" si="5"/>
        <v>#NUM!</v>
      </c>
      <c r="K30" s="38" t="e">
        <f t="shared" si="1"/>
        <v>#NUM!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 t="e">
        <f t="shared" si="5"/>
        <v>#NUM!</v>
      </c>
      <c r="K31" s="44" t="e">
        <f t="shared" si="1"/>
        <v>#NUM!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 t="e">
        <f t="shared" si="5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 t="e">
        <f t="shared" si="5"/>
        <v>#NUM!</v>
      </c>
      <c r="K33" s="44" t="e">
        <f t="shared" si="1"/>
        <v>#NUM!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 t="e">
        <f t="shared" si="5"/>
        <v>#NUM!</v>
      </c>
      <c r="K34" s="38" t="e">
        <f t="shared" si="1"/>
        <v>#NUM!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 t="e">
        <f t="shared" si="5"/>
        <v>#NUM!</v>
      </c>
      <c r="K35" s="44" t="e">
        <f t="shared" si="1"/>
        <v>#NUM!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 t="e">
        <f t="shared" si="5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 t="e">
        <f t="shared" si="5"/>
        <v>#NUM!</v>
      </c>
      <c r="K37" s="44" t="e">
        <f t="shared" si="1"/>
        <v>#NUM!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 t="e">
        <f t="shared" si="5"/>
        <v>#NUM!</v>
      </c>
      <c r="K38" s="38" t="e">
        <f t="shared" si="1"/>
        <v>#NUM!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 t="e">
        <f t="shared" si="5"/>
        <v>#NUM!</v>
      </c>
      <c r="K39" s="44" t="e">
        <f t="shared" si="1"/>
        <v>#NUM!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 t="e">
        <f t="shared" si="5"/>
        <v>#NUM!</v>
      </c>
      <c r="K40" s="38" t="e">
        <f t="shared" si="1"/>
        <v>#NUM!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 t="e">
        <f t="shared" si="5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 t="e">
        <f t="shared" si="5"/>
        <v>#NUM!</v>
      </c>
      <c r="K42" s="38" t="e">
        <f t="shared" si="1"/>
        <v>#NUM!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 t="e">
        <f t="shared" si="5"/>
        <v>#NUM!</v>
      </c>
      <c r="K43" s="44" t="e">
        <f t="shared" si="1"/>
        <v>#NUM!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 t="e">
        <f t="shared" si="5"/>
        <v>#NUM!</v>
      </c>
      <c r="K44" s="38" t="e">
        <f t="shared" si="1"/>
        <v>#NUM!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 t="e">
        <f t="shared" si="5"/>
        <v>#NUM!</v>
      </c>
      <c r="K45" s="44" t="e">
        <f t="shared" si="1"/>
        <v>#NUM!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 t="e">
        <f t="shared" si="5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 t="e">
        <f t="shared" si="5"/>
        <v>#NUM!</v>
      </c>
      <c r="K47" s="44" t="e">
        <f t="shared" si="1"/>
        <v>#NUM!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 t="e">
        <f t="shared" si="5"/>
        <v>#NUM!</v>
      </c>
      <c r="K48" s="38" t="e">
        <f t="shared" si="1"/>
        <v>#NUM!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 t="e">
        <f t="shared" si="5"/>
        <v>#NUM!</v>
      </c>
      <c r="K49" s="44" t="e">
        <f t="shared" si="1"/>
        <v>#NUM!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 t="e">
        <f t="shared" si="5"/>
        <v>#NUM!</v>
      </c>
      <c r="K50" s="38" t="e">
        <f t="shared" si="1"/>
        <v>#NUM!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 t="e">
        <f t="shared" si="5"/>
        <v>#NUM!</v>
      </c>
      <c r="K51" s="44" t="e">
        <f t="shared" si="1"/>
        <v>#NUM!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 t="e">
        <f t="shared" si="5"/>
        <v>#NUM!</v>
      </c>
      <c r="K52" s="38" t="e">
        <f t="shared" si="1"/>
        <v>#NUM!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 t="e">
        <f t="shared" si="5"/>
        <v>#NUM!</v>
      </c>
      <c r="K53" s="44" t="e">
        <f t="shared" si="1"/>
        <v>#NUM!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 t="e">
        <f t="shared" si="5"/>
        <v>#NUM!</v>
      </c>
      <c r="K54" s="38" t="e">
        <f t="shared" si="1"/>
        <v>#NUM!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 t="e">
        <f t="shared" si="5"/>
        <v>#NUM!</v>
      </c>
      <c r="K55" s="44" t="e">
        <f t="shared" si="1"/>
        <v>#NUM!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 t="e">
        <f t="shared" si="5"/>
        <v>#NUM!</v>
      </c>
      <c r="K56" s="38" t="e">
        <f t="shared" si="1"/>
        <v>#NUM!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 t="e">
        <f t="shared" si="5"/>
        <v>#NUM!</v>
      </c>
      <c r="K57" s="44" t="e">
        <f t="shared" si="1"/>
        <v>#NUM!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 t="e">
        <f t="shared" si="5"/>
        <v>#NUM!</v>
      </c>
      <c r="K58" s="38" t="e">
        <f t="shared" si="1"/>
        <v>#NUM!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 t="e">
        <f t="shared" si="5"/>
        <v>#NUM!</v>
      </c>
      <c r="K59" s="44" t="e">
        <f t="shared" si="1"/>
        <v>#NUM!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 t="e">
        <f t="shared" si="5"/>
        <v>#NUM!</v>
      </c>
      <c r="K60" s="38" t="e">
        <f t="shared" si="1"/>
        <v>#NUM!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 t="e">
        <f t="shared" si="5"/>
        <v>#NUM!</v>
      </c>
      <c r="K61" s="44" t="e">
        <f t="shared" si="1"/>
        <v>#NUM!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 t="e">
        <f t="shared" si="5"/>
        <v>#NUM!</v>
      </c>
      <c r="K62" s="38" t="e">
        <f t="shared" si="1"/>
        <v>#NUM!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 t="e">
        <f t="shared" si="5"/>
        <v>#NUM!</v>
      </c>
      <c r="K63" s="44" t="e">
        <f t="shared" si="1"/>
        <v>#NUM!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 t="e">
        <f t="shared" si="5"/>
        <v>#NUM!</v>
      </c>
      <c r="K64" s="38" t="e">
        <f t="shared" si="1"/>
        <v>#NUM!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 t="e">
        <f t="shared" si="5"/>
        <v>#NUM!</v>
      </c>
      <c r="K65" s="44" t="e">
        <f t="shared" si="1"/>
        <v>#NUM!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 t="e">
        <f t="shared" si="5"/>
        <v>#NUM!</v>
      </c>
      <c r="K66" s="38" t="e">
        <f t="shared" si="1"/>
        <v>#NUM!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 t="e">
        <f t="shared" si="5"/>
        <v>#NUM!</v>
      </c>
      <c r="K67" s="38" t="e">
        <f t="shared" si="1"/>
        <v>#NUM!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 t="e">
        <f t="shared" si="5"/>
        <v>#NUM!</v>
      </c>
      <c r="K68" s="38" t="e">
        <f t="shared" si="1"/>
        <v>#NUM!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 t="e">
        <f t="shared" si="5"/>
        <v>#NUM!</v>
      </c>
      <c r="K69" s="38" t="e">
        <f t="shared" si="1"/>
        <v>#NUM!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GDAŃSK" xr:uid="{C57F31B0-D4BB-4F0E-A611-0DFD522C4186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3301-1566-466B-B918-C82502E4FBC5}">
  <sheetPr>
    <tabColor rgb="FF92D050"/>
  </sheetPr>
  <dimension ref="A1:AL317"/>
  <sheetViews>
    <sheetView workbookViewId="0">
      <selection activeCell="D18" sqref="D18"/>
    </sheetView>
  </sheetViews>
  <sheetFormatPr defaultColWidth="8.875" defaultRowHeight="14.3" x14ac:dyDescent="0.25"/>
  <cols>
    <col min="1" max="1" width="8" style="164" customWidth="1"/>
    <col min="2" max="2" width="8.25" style="164" customWidth="1"/>
    <col min="3" max="3" width="34.75" style="164" customWidth="1"/>
    <col min="4" max="4" width="11.25" style="164" customWidth="1"/>
    <col min="5" max="6" width="8.875" style="164"/>
    <col min="7" max="7" width="0.875" style="164" customWidth="1"/>
    <col min="8" max="8" width="8.875" style="166"/>
    <col min="9" max="9" width="11" style="166" customWidth="1"/>
    <col min="10" max="10" width="15.25" style="166" customWidth="1"/>
    <col min="11" max="11" width="8.75" style="166" customWidth="1"/>
    <col min="12" max="12" width="11" style="166" customWidth="1"/>
    <col min="13" max="13" width="11.75" style="167" customWidth="1"/>
    <col min="14" max="15" width="13.875" style="133" customWidth="1"/>
    <col min="16" max="18" width="8.875" style="133"/>
    <col min="19" max="20" width="8.875" style="138"/>
    <col min="21" max="21" width="12.125" style="138" customWidth="1"/>
    <col min="22" max="22" width="27.375" style="138" customWidth="1"/>
    <col min="23" max="38" width="8.875" style="138"/>
    <col min="39" max="16384" width="8.875" style="164"/>
  </cols>
  <sheetData>
    <row r="1" spans="1:36" x14ac:dyDescent="0.25">
      <c r="A1" s="133"/>
      <c r="B1" s="133"/>
      <c r="C1" s="133"/>
      <c r="D1" s="133"/>
      <c r="E1" s="133"/>
      <c r="F1" s="133"/>
      <c r="G1" s="133"/>
      <c r="H1" s="134" t="s">
        <v>22</v>
      </c>
      <c r="I1" s="135" t="s">
        <v>23</v>
      </c>
      <c r="J1" s="135" t="s">
        <v>24</v>
      </c>
      <c r="K1" s="136" t="s">
        <v>25</v>
      </c>
      <c r="L1" s="137"/>
      <c r="M1" s="137"/>
    </row>
    <row r="2" spans="1:36" ht="14.45" customHeight="1" x14ac:dyDescent="0.25">
      <c r="A2" s="133"/>
      <c r="B2" s="22" t="s">
        <v>26</v>
      </c>
      <c r="C2" s="266" t="s">
        <v>60</v>
      </c>
      <c r="D2" s="266"/>
      <c r="E2" s="23"/>
      <c r="F2" s="23"/>
      <c r="G2" s="23"/>
      <c r="H2" s="139">
        <v>0</v>
      </c>
      <c r="I2" s="140">
        <v>50</v>
      </c>
      <c r="J2" s="140">
        <v>10</v>
      </c>
      <c r="K2" s="141">
        <f>3*H2^(1/3)</f>
        <v>0</v>
      </c>
      <c r="L2" s="137"/>
      <c r="M2" s="137"/>
    </row>
    <row r="3" spans="1:36" ht="14.45" customHeight="1" x14ac:dyDescent="0.25">
      <c r="A3" s="133"/>
      <c r="B3" s="142" t="s">
        <v>28</v>
      </c>
      <c r="C3" s="267" t="s">
        <v>61</v>
      </c>
      <c r="D3" s="267"/>
      <c r="E3" s="28"/>
      <c r="F3" s="28"/>
      <c r="G3" s="28"/>
      <c r="H3" s="137"/>
      <c r="I3" s="137"/>
      <c r="J3" s="143"/>
      <c r="K3" s="137"/>
      <c r="L3" s="137"/>
      <c r="M3" s="137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37"/>
      <c r="I4" s="137"/>
      <c r="J4" s="143"/>
      <c r="K4" s="137"/>
      <c r="L4" s="137"/>
      <c r="M4" s="137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44" t="s">
        <v>36</v>
      </c>
      <c r="I5" s="145" t="s">
        <v>37</v>
      </c>
      <c r="J5" s="146" t="s">
        <v>38</v>
      </c>
      <c r="K5" s="145" t="s">
        <v>39</v>
      </c>
      <c r="L5" s="145" t="s">
        <v>40</v>
      </c>
      <c r="M5" s="144" t="s">
        <v>41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147">
        <v>1</v>
      </c>
      <c r="I6" s="148" t="str">
        <f>IF(H2=1,50,IF(H6&lt;$H$2+1,($I$2-($I$2-1)*(LOG(H6)/LOG($H$2))),""))</f>
        <v/>
      </c>
      <c r="J6" s="147" t="e">
        <f>INT(LOG($H$2,2))-ROUNDUP(LOG(H6,2),0)+IF(OR($H$2=1,$H$2=2,$H$2=4,$H$2=8,$H$2=16,$H$2=32,$H$2=64,$H$2=128,$H$2=256),0,1)</f>
        <v>#NUM!</v>
      </c>
      <c r="K6" s="147" t="e">
        <f t="shared" ref="K6:K69" si="1">J6*$J$2</f>
        <v>#NUM!</v>
      </c>
      <c r="L6" s="149">
        <f>3*K2</f>
        <v>0</v>
      </c>
      <c r="M6" s="149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150">
        <v>2</v>
      </c>
      <c r="I7" s="151" t="str">
        <f t="shared" ref="I7:I70" si="4">IF(H7&lt;$H$2+1,($I$2-($I$2-1)*(LOG(H7)/LOG($H$2))),"")</f>
        <v/>
      </c>
      <c r="J7" s="150" t="e">
        <f t="shared" ref="J7:J70" si="5">INT(LOG($H$2,2))-ROUNDUP(LOG(H7,2),0)+IF(OR($H$2=1,$H$2=2,$H$2=4,$H$2=8,$H$2=16,$H$2=32,$H$2=64,$H$2=128,$H$2=256),0,1)</f>
        <v>#NUM!</v>
      </c>
      <c r="K7" s="150" t="e">
        <f t="shared" si="1"/>
        <v>#NUM!</v>
      </c>
      <c r="L7" s="152">
        <f>2*K2</f>
        <v>0</v>
      </c>
      <c r="M7" s="152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47">
        <v>3</v>
      </c>
      <c r="I8" s="148" t="str">
        <f t="shared" si="4"/>
        <v/>
      </c>
      <c r="J8" s="147" t="e">
        <f t="shared" si="5"/>
        <v>#NUM!</v>
      </c>
      <c r="K8" s="147" t="e">
        <f t="shared" si="1"/>
        <v>#NUM!</v>
      </c>
      <c r="L8" s="149">
        <f>K2</f>
        <v>0</v>
      </c>
      <c r="M8" s="149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50">
        <v>4</v>
      </c>
      <c r="I9" s="151" t="str">
        <f t="shared" si="4"/>
        <v/>
      </c>
      <c r="J9" s="150" t="e">
        <f t="shared" si="5"/>
        <v>#NUM!</v>
      </c>
      <c r="K9" s="150" t="e">
        <f t="shared" si="1"/>
        <v>#NUM!</v>
      </c>
      <c r="L9" s="152"/>
      <c r="M9" s="152">
        <f t="shared" si="2"/>
        <v>0</v>
      </c>
      <c r="V9" s="153"/>
      <c r="Z9" s="154"/>
      <c r="AA9" s="154"/>
      <c r="AG9" s="155"/>
      <c r="AH9" s="138" t="s">
        <v>42</v>
      </c>
      <c r="AI9" s="138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47">
        <v>5</v>
      </c>
      <c r="I10" s="148" t="str">
        <f t="shared" si="4"/>
        <v/>
      </c>
      <c r="J10" s="147" t="e">
        <f t="shared" si="5"/>
        <v>#NUM!</v>
      </c>
      <c r="K10" s="147" t="e">
        <f t="shared" si="1"/>
        <v>#NUM!</v>
      </c>
      <c r="L10" s="147"/>
      <c r="M10" s="149">
        <f t="shared" si="2"/>
        <v>0</v>
      </c>
      <c r="V10" s="153"/>
      <c r="Z10" s="154"/>
      <c r="AA10" s="154"/>
      <c r="AG10" s="155"/>
      <c r="AH10" s="138" t="s">
        <v>43</v>
      </c>
      <c r="AI10" s="138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50">
        <v>6</v>
      </c>
      <c r="I11" s="151" t="str">
        <f t="shared" si="4"/>
        <v/>
      </c>
      <c r="J11" s="150" t="e">
        <f t="shared" si="5"/>
        <v>#NUM!</v>
      </c>
      <c r="K11" s="150" t="e">
        <f t="shared" si="1"/>
        <v>#NUM!</v>
      </c>
      <c r="L11" s="150"/>
      <c r="M11" s="152">
        <f t="shared" si="2"/>
        <v>0</v>
      </c>
      <c r="V11" s="156"/>
      <c r="Z11" s="154"/>
      <c r="AA11" s="154"/>
      <c r="AG11" s="155"/>
      <c r="AH11" s="138" t="s">
        <v>44</v>
      </c>
      <c r="AI11" s="138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47">
        <v>7</v>
      </c>
      <c r="I12" s="148" t="str">
        <f t="shared" si="4"/>
        <v/>
      </c>
      <c r="J12" s="147" t="e">
        <f t="shared" si="5"/>
        <v>#NUM!</v>
      </c>
      <c r="K12" s="147" t="e">
        <f t="shared" si="1"/>
        <v>#NUM!</v>
      </c>
      <c r="L12" s="147"/>
      <c r="M12" s="149">
        <f t="shared" si="2"/>
        <v>0</v>
      </c>
      <c r="Z12" s="154"/>
      <c r="AA12" s="154"/>
      <c r="AG12" s="155"/>
      <c r="AH12" s="138" t="s">
        <v>45</v>
      </c>
      <c r="AI12" s="138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50">
        <v>8</v>
      </c>
      <c r="I13" s="151" t="str">
        <f t="shared" si="4"/>
        <v/>
      </c>
      <c r="J13" s="150" t="e">
        <f t="shared" si="5"/>
        <v>#NUM!</v>
      </c>
      <c r="K13" s="150" t="e">
        <f t="shared" si="1"/>
        <v>#NUM!</v>
      </c>
      <c r="L13" s="150"/>
      <c r="M13" s="152">
        <f t="shared" si="2"/>
        <v>0</v>
      </c>
      <c r="X13" s="153"/>
      <c r="AG13" s="155"/>
      <c r="AH13" s="138" t="s">
        <v>46</v>
      </c>
      <c r="AI13" s="138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47">
        <v>9</v>
      </c>
      <c r="I14" s="148" t="str">
        <f t="shared" si="4"/>
        <v/>
      </c>
      <c r="J14" s="147" t="e">
        <f t="shared" si="5"/>
        <v>#NUM!</v>
      </c>
      <c r="K14" s="147" t="e">
        <f t="shared" si="1"/>
        <v>#NUM!</v>
      </c>
      <c r="L14" s="147"/>
      <c r="M14" s="149">
        <f t="shared" si="2"/>
        <v>0</v>
      </c>
      <c r="X14" s="157"/>
      <c r="Z14" s="154"/>
      <c r="AA14" s="154"/>
      <c r="AG14" s="155"/>
      <c r="AH14" s="138" t="s">
        <v>47</v>
      </c>
      <c r="AI14" s="138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50">
        <v>10</v>
      </c>
      <c r="I15" s="151" t="str">
        <f t="shared" si="4"/>
        <v/>
      </c>
      <c r="J15" s="150" t="e">
        <f t="shared" si="5"/>
        <v>#NUM!</v>
      </c>
      <c r="K15" s="150" t="e">
        <f t="shared" si="1"/>
        <v>#NUM!</v>
      </c>
      <c r="L15" s="150"/>
      <c r="M15" s="152">
        <f t="shared" si="2"/>
        <v>0</v>
      </c>
      <c r="X15" s="153"/>
      <c r="Z15" s="154"/>
      <c r="AA15" s="154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47">
        <v>11</v>
      </c>
      <c r="I16" s="148" t="str">
        <f t="shared" si="4"/>
        <v/>
      </c>
      <c r="J16" s="147" t="e">
        <f t="shared" si="5"/>
        <v>#NUM!</v>
      </c>
      <c r="K16" s="147" t="e">
        <f t="shared" si="1"/>
        <v>#NUM!</v>
      </c>
      <c r="L16" s="147"/>
      <c r="M16" s="149">
        <f t="shared" si="2"/>
        <v>0</v>
      </c>
      <c r="R16" s="158"/>
      <c r="Z16" s="154"/>
      <c r="AA16" s="154"/>
      <c r="AH16" s="159" t="s">
        <v>48</v>
      </c>
      <c r="AI16" s="138">
        <f>AI11-AI12*AI13/AI14</f>
        <v>9.6393909380186855</v>
      </c>
      <c r="AJ16" s="138" t="s">
        <v>49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50">
        <v>12</v>
      </c>
      <c r="I17" s="151" t="str">
        <f t="shared" si="4"/>
        <v/>
      </c>
      <c r="J17" s="150" t="e">
        <f t="shared" si="5"/>
        <v>#NUM!</v>
      </c>
      <c r="K17" s="150" t="e">
        <f t="shared" si="1"/>
        <v>#NUM!</v>
      </c>
      <c r="L17" s="150"/>
      <c r="M17" s="152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47">
        <v>13</v>
      </c>
      <c r="I18" s="148" t="str">
        <f t="shared" si="4"/>
        <v/>
      </c>
      <c r="J18" s="147" t="e">
        <f t="shared" si="5"/>
        <v>#NUM!</v>
      </c>
      <c r="K18" s="147" t="e">
        <f t="shared" si="1"/>
        <v>#NUM!</v>
      </c>
      <c r="L18" s="147"/>
      <c r="M18" s="149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50">
        <v>14</v>
      </c>
      <c r="I19" s="151" t="str">
        <f t="shared" si="4"/>
        <v/>
      </c>
      <c r="J19" s="150" t="e">
        <f t="shared" si="5"/>
        <v>#NUM!</v>
      </c>
      <c r="K19" s="150" t="e">
        <f t="shared" si="1"/>
        <v>#NUM!</v>
      </c>
      <c r="L19" s="150"/>
      <c r="M19" s="152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47">
        <v>15</v>
      </c>
      <c r="I20" s="148" t="str">
        <f t="shared" si="4"/>
        <v/>
      </c>
      <c r="J20" s="147" t="e">
        <f t="shared" si="5"/>
        <v>#NUM!</v>
      </c>
      <c r="K20" s="147" t="e">
        <f t="shared" si="1"/>
        <v>#NUM!</v>
      </c>
      <c r="L20" s="147"/>
      <c r="M20" s="149">
        <f t="shared" si="2"/>
        <v>0</v>
      </c>
      <c r="R20" s="160"/>
      <c r="S20" s="161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50">
        <v>16</v>
      </c>
      <c r="I21" s="151" t="str">
        <f t="shared" si="4"/>
        <v/>
      </c>
      <c r="J21" s="150" t="e">
        <f t="shared" si="5"/>
        <v>#NUM!</v>
      </c>
      <c r="K21" s="150" t="e">
        <f t="shared" si="1"/>
        <v>#NUM!</v>
      </c>
      <c r="L21" s="150"/>
      <c r="M21" s="152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47">
        <v>17</v>
      </c>
      <c r="I22" s="148" t="str">
        <f t="shared" si="4"/>
        <v/>
      </c>
      <c r="J22" s="147" t="e">
        <f t="shared" si="5"/>
        <v>#NUM!</v>
      </c>
      <c r="K22" s="147" t="e">
        <f t="shared" si="1"/>
        <v>#NUM!</v>
      </c>
      <c r="L22" s="147"/>
      <c r="M22" s="149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50">
        <v>18</v>
      </c>
      <c r="I23" s="151" t="str">
        <f t="shared" si="4"/>
        <v/>
      </c>
      <c r="J23" s="150" t="e">
        <f t="shared" si="5"/>
        <v>#NUM!</v>
      </c>
      <c r="K23" s="150" t="e">
        <f t="shared" si="1"/>
        <v>#NUM!</v>
      </c>
      <c r="L23" s="150"/>
      <c r="M23" s="152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47">
        <v>19</v>
      </c>
      <c r="I24" s="148" t="str">
        <f t="shared" si="4"/>
        <v/>
      </c>
      <c r="J24" s="147" t="e">
        <f t="shared" si="5"/>
        <v>#NUM!</v>
      </c>
      <c r="K24" s="147" t="e">
        <f t="shared" si="1"/>
        <v>#NUM!</v>
      </c>
      <c r="L24" s="147"/>
      <c r="M24" s="149">
        <f t="shared" si="2"/>
        <v>0</v>
      </c>
      <c r="R24" s="160"/>
      <c r="S24" s="161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50">
        <v>20</v>
      </c>
      <c r="I25" s="151" t="str">
        <f t="shared" si="4"/>
        <v/>
      </c>
      <c r="J25" s="150" t="e">
        <f t="shared" si="5"/>
        <v>#NUM!</v>
      </c>
      <c r="K25" s="150" t="e">
        <f t="shared" si="1"/>
        <v>#NUM!</v>
      </c>
      <c r="L25" s="150"/>
      <c r="M25" s="152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47">
        <v>21</v>
      </c>
      <c r="I26" s="148" t="str">
        <f t="shared" si="4"/>
        <v/>
      </c>
      <c r="J26" s="147" t="e">
        <f t="shared" si="5"/>
        <v>#NUM!</v>
      </c>
      <c r="K26" s="147" t="e">
        <f t="shared" si="1"/>
        <v>#NUM!</v>
      </c>
      <c r="L26" s="147"/>
      <c r="M26" s="149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50">
        <v>22</v>
      </c>
      <c r="I27" s="151" t="str">
        <f t="shared" si="4"/>
        <v/>
      </c>
      <c r="J27" s="150" t="e">
        <f t="shared" si="5"/>
        <v>#NUM!</v>
      </c>
      <c r="K27" s="150" t="e">
        <f t="shared" si="1"/>
        <v>#NUM!</v>
      </c>
      <c r="L27" s="150"/>
      <c r="M27" s="152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47">
        <v>23</v>
      </c>
      <c r="I28" s="148" t="str">
        <f t="shared" si="4"/>
        <v/>
      </c>
      <c r="J28" s="147" t="e">
        <f t="shared" si="5"/>
        <v>#NUM!</v>
      </c>
      <c r="K28" s="147" t="e">
        <f t="shared" si="1"/>
        <v>#NUM!</v>
      </c>
      <c r="L28" s="147"/>
      <c r="M28" s="149">
        <f t="shared" si="2"/>
        <v>0</v>
      </c>
      <c r="R28" s="160"/>
      <c r="S28" s="161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33"/>
      <c r="H29" s="150">
        <v>24</v>
      </c>
      <c r="I29" s="151" t="str">
        <f t="shared" si="4"/>
        <v/>
      </c>
      <c r="J29" s="150" t="e">
        <f t="shared" si="5"/>
        <v>#NUM!</v>
      </c>
      <c r="K29" s="150" t="e">
        <f t="shared" si="1"/>
        <v>#NUM!</v>
      </c>
      <c r="L29" s="150"/>
      <c r="M29" s="152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33"/>
      <c r="H30" s="147">
        <v>25</v>
      </c>
      <c r="I30" s="148" t="str">
        <f t="shared" si="4"/>
        <v/>
      </c>
      <c r="J30" s="147" t="e">
        <f t="shared" si="5"/>
        <v>#NUM!</v>
      </c>
      <c r="K30" s="147" t="e">
        <f t="shared" si="1"/>
        <v>#NUM!</v>
      </c>
      <c r="L30" s="147"/>
      <c r="M30" s="149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33"/>
      <c r="H31" s="150">
        <v>26</v>
      </c>
      <c r="I31" s="151" t="str">
        <f t="shared" si="4"/>
        <v/>
      </c>
      <c r="J31" s="150" t="e">
        <f t="shared" si="5"/>
        <v>#NUM!</v>
      </c>
      <c r="K31" s="150" t="e">
        <f t="shared" si="1"/>
        <v>#NUM!</v>
      </c>
      <c r="L31" s="150"/>
      <c r="M31" s="152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33"/>
      <c r="H32" s="147">
        <v>27</v>
      </c>
      <c r="I32" s="148" t="str">
        <f t="shared" si="4"/>
        <v/>
      </c>
      <c r="J32" s="147" t="e">
        <f t="shared" si="5"/>
        <v>#NUM!</v>
      </c>
      <c r="K32" s="147" t="e">
        <f t="shared" si="1"/>
        <v>#NUM!</v>
      </c>
      <c r="L32" s="147"/>
      <c r="M32" s="149">
        <f t="shared" si="2"/>
        <v>0</v>
      </c>
      <c r="R32" s="160"/>
      <c r="S32" s="161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33"/>
      <c r="H33" s="150">
        <v>28</v>
      </c>
      <c r="I33" s="151" t="str">
        <f t="shared" si="4"/>
        <v/>
      </c>
      <c r="J33" s="150" t="e">
        <f t="shared" si="5"/>
        <v>#NUM!</v>
      </c>
      <c r="K33" s="150" t="e">
        <f t="shared" si="1"/>
        <v>#NUM!</v>
      </c>
      <c r="L33" s="150"/>
      <c r="M33" s="152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33"/>
      <c r="H34" s="147">
        <v>29</v>
      </c>
      <c r="I34" s="148" t="str">
        <f t="shared" si="4"/>
        <v/>
      </c>
      <c r="J34" s="147" t="e">
        <f t="shared" si="5"/>
        <v>#NUM!</v>
      </c>
      <c r="K34" s="147" t="e">
        <f t="shared" si="1"/>
        <v>#NUM!</v>
      </c>
      <c r="L34" s="147"/>
      <c r="M34" s="149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33"/>
      <c r="H35" s="150">
        <v>30</v>
      </c>
      <c r="I35" s="151" t="str">
        <f t="shared" si="4"/>
        <v/>
      </c>
      <c r="J35" s="150" t="e">
        <f t="shared" si="5"/>
        <v>#NUM!</v>
      </c>
      <c r="K35" s="150" t="e">
        <f t="shared" si="1"/>
        <v>#NUM!</v>
      </c>
      <c r="L35" s="150"/>
      <c r="M35" s="152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33"/>
      <c r="H36" s="147">
        <v>31</v>
      </c>
      <c r="I36" s="148" t="str">
        <f t="shared" si="4"/>
        <v/>
      </c>
      <c r="J36" s="147" t="e">
        <f t="shared" si="5"/>
        <v>#NUM!</v>
      </c>
      <c r="K36" s="147" t="e">
        <f t="shared" si="1"/>
        <v>#NUM!</v>
      </c>
      <c r="L36" s="147"/>
      <c r="M36" s="149">
        <f t="shared" si="2"/>
        <v>0</v>
      </c>
      <c r="R36" s="160"/>
      <c r="S36" s="161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33"/>
      <c r="H37" s="150">
        <v>32</v>
      </c>
      <c r="I37" s="151" t="str">
        <f t="shared" si="4"/>
        <v/>
      </c>
      <c r="J37" s="150" t="e">
        <f t="shared" si="5"/>
        <v>#NUM!</v>
      </c>
      <c r="K37" s="150" t="e">
        <f t="shared" si="1"/>
        <v>#NUM!</v>
      </c>
      <c r="L37" s="150"/>
      <c r="M37" s="152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33"/>
      <c r="H38" s="147">
        <v>33</v>
      </c>
      <c r="I38" s="148" t="str">
        <f t="shared" si="4"/>
        <v/>
      </c>
      <c r="J38" s="147" t="e">
        <f t="shared" si="5"/>
        <v>#NUM!</v>
      </c>
      <c r="K38" s="147" t="e">
        <f t="shared" si="1"/>
        <v>#NUM!</v>
      </c>
      <c r="L38" s="147"/>
      <c r="M38" s="149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33"/>
      <c r="H39" s="150">
        <v>34</v>
      </c>
      <c r="I39" s="151" t="str">
        <f t="shared" si="4"/>
        <v/>
      </c>
      <c r="J39" s="150" t="e">
        <f t="shared" si="5"/>
        <v>#NUM!</v>
      </c>
      <c r="K39" s="150" t="e">
        <f t="shared" si="1"/>
        <v>#NUM!</v>
      </c>
      <c r="L39" s="150"/>
      <c r="M39" s="152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33"/>
      <c r="H40" s="147">
        <v>35</v>
      </c>
      <c r="I40" s="148" t="str">
        <f t="shared" si="4"/>
        <v/>
      </c>
      <c r="J40" s="147" t="e">
        <f t="shared" si="5"/>
        <v>#NUM!</v>
      </c>
      <c r="K40" s="147" t="e">
        <f t="shared" si="1"/>
        <v>#NUM!</v>
      </c>
      <c r="L40" s="147"/>
      <c r="M40" s="149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33"/>
      <c r="H41" s="150">
        <v>36</v>
      </c>
      <c r="I41" s="151" t="str">
        <f t="shared" si="4"/>
        <v/>
      </c>
      <c r="J41" s="150" t="e">
        <f t="shared" si="5"/>
        <v>#NUM!</v>
      </c>
      <c r="K41" s="150" t="e">
        <f t="shared" si="1"/>
        <v>#NUM!</v>
      </c>
      <c r="L41" s="150"/>
      <c r="M41" s="152">
        <f t="shared" si="2"/>
        <v>0</v>
      </c>
      <c r="S41" s="162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33"/>
      <c r="H42" s="147">
        <v>37</v>
      </c>
      <c r="I42" s="148" t="str">
        <f t="shared" si="4"/>
        <v/>
      </c>
      <c r="J42" s="147" t="e">
        <f t="shared" si="5"/>
        <v>#NUM!</v>
      </c>
      <c r="K42" s="147" t="e">
        <f t="shared" si="1"/>
        <v>#NUM!</v>
      </c>
      <c r="L42" s="147"/>
      <c r="M42" s="149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33"/>
      <c r="H43" s="150">
        <v>38</v>
      </c>
      <c r="I43" s="151" t="str">
        <f t="shared" si="4"/>
        <v/>
      </c>
      <c r="J43" s="150" t="e">
        <f t="shared" si="5"/>
        <v>#NUM!</v>
      </c>
      <c r="K43" s="150" t="e">
        <f t="shared" si="1"/>
        <v>#NUM!</v>
      </c>
      <c r="L43" s="150"/>
      <c r="M43" s="152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33"/>
      <c r="H44" s="147">
        <v>39</v>
      </c>
      <c r="I44" s="148" t="str">
        <f t="shared" si="4"/>
        <v/>
      </c>
      <c r="J44" s="147" t="e">
        <f t="shared" si="5"/>
        <v>#NUM!</v>
      </c>
      <c r="K44" s="147" t="e">
        <f t="shared" si="1"/>
        <v>#NUM!</v>
      </c>
      <c r="L44" s="147"/>
      <c r="M44" s="149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33"/>
      <c r="H45" s="150">
        <v>40</v>
      </c>
      <c r="I45" s="151" t="str">
        <f t="shared" si="4"/>
        <v/>
      </c>
      <c r="J45" s="150" t="e">
        <f t="shared" si="5"/>
        <v>#NUM!</v>
      </c>
      <c r="K45" s="150" t="e">
        <f t="shared" si="1"/>
        <v>#NUM!</v>
      </c>
      <c r="L45" s="150"/>
      <c r="M45" s="152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33"/>
      <c r="H46" s="147">
        <v>41</v>
      </c>
      <c r="I46" s="148" t="str">
        <f t="shared" si="4"/>
        <v/>
      </c>
      <c r="J46" s="147" t="e">
        <f t="shared" si="5"/>
        <v>#NUM!</v>
      </c>
      <c r="K46" s="147" t="e">
        <f t="shared" si="1"/>
        <v>#NUM!</v>
      </c>
      <c r="L46" s="147"/>
      <c r="M46" s="149">
        <f t="shared" si="2"/>
        <v>0</v>
      </c>
      <c r="R46" s="133" t="e">
        <f>LOG($H$2,2)</f>
        <v>#NUM!</v>
      </c>
      <c r="T46" s="138">
        <f>LOG(H38,2)</f>
        <v>5.0443941193584534</v>
      </c>
      <c r="U46" s="138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33"/>
      <c r="H47" s="150">
        <v>42</v>
      </c>
      <c r="I47" s="151" t="str">
        <f t="shared" si="4"/>
        <v/>
      </c>
      <c r="J47" s="150" t="e">
        <f t="shared" si="5"/>
        <v>#NUM!</v>
      </c>
      <c r="K47" s="150" t="e">
        <f t="shared" si="1"/>
        <v>#NUM!</v>
      </c>
      <c r="L47" s="150"/>
      <c r="M47" s="152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33"/>
      <c r="H48" s="147">
        <v>43</v>
      </c>
      <c r="I48" s="148" t="str">
        <f t="shared" si="4"/>
        <v/>
      </c>
      <c r="J48" s="147" t="e">
        <f t="shared" si="5"/>
        <v>#NUM!</v>
      </c>
      <c r="K48" s="147" t="e">
        <f t="shared" si="1"/>
        <v>#NUM!</v>
      </c>
      <c r="L48" s="147"/>
      <c r="M48" s="149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33"/>
      <c r="H49" s="150">
        <v>44</v>
      </c>
      <c r="I49" s="151" t="str">
        <f t="shared" si="4"/>
        <v/>
      </c>
      <c r="J49" s="150" t="e">
        <f t="shared" si="5"/>
        <v>#NUM!</v>
      </c>
      <c r="K49" s="150" t="e">
        <f t="shared" si="1"/>
        <v>#NUM!</v>
      </c>
      <c r="L49" s="150"/>
      <c r="M49" s="152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33"/>
      <c r="H50" s="147">
        <v>45</v>
      </c>
      <c r="I50" s="148" t="str">
        <f t="shared" si="4"/>
        <v/>
      </c>
      <c r="J50" s="147" t="e">
        <f t="shared" si="5"/>
        <v>#NUM!</v>
      </c>
      <c r="K50" s="147" t="e">
        <f t="shared" si="1"/>
        <v>#NUM!</v>
      </c>
      <c r="L50" s="147"/>
      <c r="M50" s="149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33"/>
      <c r="H51" s="150">
        <v>46</v>
      </c>
      <c r="I51" s="151" t="str">
        <f t="shared" si="4"/>
        <v/>
      </c>
      <c r="J51" s="150" t="e">
        <f t="shared" si="5"/>
        <v>#NUM!</v>
      </c>
      <c r="K51" s="150" t="e">
        <f t="shared" si="1"/>
        <v>#NUM!</v>
      </c>
      <c r="L51" s="150"/>
      <c r="M51" s="152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33"/>
      <c r="H52" s="147">
        <v>47</v>
      </c>
      <c r="I52" s="148" t="str">
        <f t="shared" si="4"/>
        <v/>
      </c>
      <c r="J52" s="147" t="e">
        <f t="shared" si="5"/>
        <v>#NUM!</v>
      </c>
      <c r="K52" s="147" t="e">
        <f t="shared" si="1"/>
        <v>#NUM!</v>
      </c>
      <c r="L52" s="147"/>
      <c r="M52" s="149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33"/>
      <c r="H53" s="150">
        <v>48</v>
      </c>
      <c r="I53" s="151" t="str">
        <f t="shared" si="4"/>
        <v/>
      </c>
      <c r="J53" s="150" t="e">
        <f t="shared" si="5"/>
        <v>#NUM!</v>
      </c>
      <c r="K53" s="150" t="e">
        <f t="shared" si="1"/>
        <v>#NUM!</v>
      </c>
      <c r="L53" s="150"/>
      <c r="M53" s="152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33"/>
      <c r="H54" s="147">
        <v>49</v>
      </c>
      <c r="I54" s="148" t="str">
        <f t="shared" si="4"/>
        <v/>
      </c>
      <c r="J54" s="147" t="e">
        <f t="shared" si="5"/>
        <v>#NUM!</v>
      </c>
      <c r="K54" s="147" t="e">
        <f t="shared" si="1"/>
        <v>#NUM!</v>
      </c>
      <c r="L54" s="147"/>
      <c r="M54" s="149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33"/>
      <c r="H55" s="150">
        <v>50</v>
      </c>
      <c r="I55" s="151" t="str">
        <f t="shared" si="4"/>
        <v/>
      </c>
      <c r="J55" s="150" t="e">
        <f t="shared" si="5"/>
        <v>#NUM!</v>
      </c>
      <c r="K55" s="150" t="e">
        <f t="shared" si="1"/>
        <v>#NUM!</v>
      </c>
      <c r="L55" s="150"/>
      <c r="M55" s="152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33"/>
      <c r="H56" s="147">
        <v>51</v>
      </c>
      <c r="I56" s="148" t="str">
        <f t="shared" si="4"/>
        <v/>
      </c>
      <c r="J56" s="147" t="e">
        <f t="shared" si="5"/>
        <v>#NUM!</v>
      </c>
      <c r="K56" s="147" t="e">
        <f t="shared" si="1"/>
        <v>#NUM!</v>
      </c>
      <c r="L56" s="147"/>
      <c r="M56" s="149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33"/>
      <c r="H57" s="150">
        <v>52</v>
      </c>
      <c r="I57" s="151" t="str">
        <f t="shared" si="4"/>
        <v/>
      </c>
      <c r="J57" s="150" t="e">
        <f t="shared" si="5"/>
        <v>#NUM!</v>
      </c>
      <c r="K57" s="150" t="e">
        <f t="shared" si="1"/>
        <v>#NUM!</v>
      </c>
      <c r="L57" s="150"/>
      <c r="M57" s="152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33"/>
      <c r="H58" s="147">
        <v>53</v>
      </c>
      <c r="I58" s="148" t="str">
        <f t="shared" si="4"/>
        <v/>
      </c>
      <c r="J58" s="147" t="e">
        <f t="shared" si="5"/>
        <v>#NUM!</v>
      </c>
      <c r="K58" s="147" t="e">
        <f t="shared" si="1"/>
        <v>#NUM!</v>
      </c>
      <c r="L58" s="147"/>
      <c r="M58" s="149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33"/>
      <c r="H59" s="150">
        <v>54</v>
      </c>
      <c r="I59" s="151" t="str">
        <f t="shared" si="4"/>
        <v/>
      </c>
      <c r="J59" s="150" t="e">
        <f t="shared" si="5"/>
        <v>#NUM!</v>
      </c>
      <c r="K59" s="150" t="e">
        <f t="shared" si="1"/>
        <v>#NUM!</v>
      </c>
      <c r="L59" s="150"/>
      <c r="M59" s="152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33"/>
      <c r="H60" s="147">
        <v>55</v>
      </c>
      <c r="I60" s="148" t="str">
        <f t="shared" si="4"/>
        <v/>
      </c>
      <c r="J60" s="147" t="e">
        <f t="shared" si="5"/>
        <v>#NUM!</v>
      </c>
      <c r="K60" s="147" t="e">
        <f t="shared" si="1"/>
        <v>#NUM!</v>
      </c>
      <c r="L60" s="147"/>
      <c r="M60" s="149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33"/>
      <c r="H61" s="150">
        <v>56</v>
      </c>
      <c r="I61" s="151" t="str">
        <f t="shared" si="4"/>
        <v/>
      </c>
      <c r="J61" s="150" t="e">
        <f t="shared" si="5"/>
        <v>#NUM!</v>
      </c>
      <c r="K61" s="150" t="e">
        <f t="shared" si="1"/>
        <v>#NUM!</v>
      </c>
      <c r="L61" s="150"/>
      <c r="M61" s="152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33"/>
      <c r="H62" s="147">
        <v>57</v>
      </c>
      <c r="I62" s="148" t="str">
        <f t="shared" si="4"/>
        <v/>
      </c>
      <c r="J62" s="147" t="e">
        <f t="shared" si="5"/>
        <v>#NUM!</v>
      </c>
      <c r="K62" s="147" t="e">
        <f t="shared" si="1"/>
        <v>#NUM!</v>
      </c>
      <c r="L62" s="147"/>
      <c r="M62" s="149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33"/>
      <c r="H63" s="150">
        <v>58</v>
      </c>
      <c r="I63" s="151" t="str">
        <f t="shared" si="4"/>
        <v/>
      </c>
      <c r="J63" s="150" t="e">
        <f t="shared" si="5"/>
        <v>#NUM!</v>
      </c>
      <c r="K63" s="150" t="e">
        <f t="shared" si="1"/>
        <v>#NUM!</v>
      </c>
      <c r="L63" s="150"/>
      <c r="M63" s="152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33"/>
      <c r="H64" s="147">
        <v>59</v>
      </c>
      <c r="I64" s="148" t="str">
        <f t="shared" si="4"/>
        <v/>
      </c>
      <c r="J64" s="147" t="e">
        <f t="shared" si="5"/>
        <v>#NUM!</v>
      </c>
      <c r="K64" s="147" t="e">
        <f t="shared" si="1"/>
        <v>#NUM!</v>
      </c>
      <c r="L64" s="147"/>
      <c r="M64" s="149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33"/>
      <c r="H65" s="150">
        <v>60</v>
      </c>
      <c r="I65" s="151" t="str">
        <f t="shared" si="4"/>
        <v/>
      </c>
      <c r="J65" s="150" t="e">
        <f t="shared" si="5"/>
        <v>#NUM!</v>
      </c>
      <c r="K65" s="150" t="e">
        <f t="shared" si="1"/>
        <v>#NUM!</v>
      </c>
      <c r="L65" s="150"/>
      <c r="M65" s="152">
        <f t="shared" si="2"/>
        <v>0</v>
      </c>
    </row>
    <row r="66" spans="1:13" x14ac:dyDescent="0.25">
      <c r="A66" s="163"/>
      <c r="B66" s="36"/>
      <c r="G66" s="133"/>
      <c r="H66" s="147">
        <v>61</v>
      </c>
      <c r="I66" s="148" t="str">
        <f t="shared" si="4"/>
        <v/>
      </c>
      <c r="J66" s="147" t="e">
        <f t="shared" si="5"/>
        <v>#NUM!</v>
      </c>
      <c r="K66" s="147" t="e">
        <f t="shared" si="1"/>
        <v>#NUM!</v>
      </c>
      <c r="L66" s="147"/>
      <c r="M66" s="149">
        <f t="shared" si="2"/>
        <v>0</v>
      </c>
    </row>
    <row r="67" spans="1:13" x14ac:dyDescent="0.25">
      <c r="A67" s="163"/>
      <c r="B67" s="42"/>
      <c r="G67" s="133"/>
      <c r="H67" s="147">
        <v>62</v>
      </c>
      <c r="I67" s="148" t="str">
        <f t="shared" si="4"/>
        <v/>
      </c>
      <c r="J67" s="147" t="e">
        <f t="shared" si="5"/>
        <v>#NUM!</v>
      </c>
      <c r="K67" s="147" t="e">
        <f t="shared" si="1"/>
        <v>#NUM!</v>
      </c>
      <c r="L67" s="147"/>
      <c r="M67" s="149">
        <f t="shared" si="2"/>
        <v>0</v>
      </c>
    </row>
    <row r="68" spans="1:13" x14ac:dyDescent="0.25">
      <c r="A68" s="163"/>
      <c r="B68" s="36"/>
      <c r="G68" s="133"/>
      <c r="H68" s="147">
        <v>63</v>
      </c>
      <c r="I68" s="148" t="str">
        <f t="shared" si="4"/>
        <v/>
      </c>
      <c r="J68" s="147" t="e">
        <f t="shared" si="5"/>
        <v>#NUM!</v>
      </c>
      <c r="K68" s="147" t="e">
        <f t="shared" si="1"/>
        <v>#NUM!</v>
      </c>
      <c r="L68" s="147"/>
      <c r="M68" s="149">
        <f t="shared" si="2"/>
        <v>0</v>
      </c>
    </row>
    <row r="69" spans="1:13" x14ac:dyDescent="0.25">
      <c r="A69" s="163"/>
      <c r="B69" s="42"/>
      <c r="G69" s="133"/>
      <c r="H69" s="147">
        <v>64</v>
      </c>
      <c r="I69" s="148" t="str">
        <f t="shared" si="4"/>
        <v/>
      </c>
      <c r="J69" s="147" t="e">
        <f t="shared" si="5"/>
        <v>#NUM!</v>
      </c>
      <c r="K69" s="147" t="e">
        <f t="shared" si="1"/>
        <v>#NUM!</v>
      </c>
      <c r="L69" s="147"/>
      <c r="M69" s="149">
        <f t="shared" si="2"/>
        <v>0</v>
      </c>
    </row>
    <row r="70" spans="1:13" x14ac:dyDescent="0.25">
      <c r="A70" s="163"/>
      <c r="G70" s="133"/>
      <c r="H70" s="147">
        <v>65</v>
      </c>
      <c r="I70" s="148" t="str">
        <f t="shared" si="4"/>
        <v/>
      </c>
      <c r="J70" s="147" t="e">
        <f t="shared" si="5"/>
        <v>#NUM!</v>
      </c>
      <c r="K70" s="147" t="e">
        <f t="shared" ref="K70:K133" si="7">J70*$J$2</f>
        <v>#NUM!</v>
      </c>
      <c r="L70" s="147"/>
      <c r="M70" s="149">
        <f t="shared" ref="M70:M133" si="8">IF(I70&lt;&gt;"",K70+I70+L70,0)</f>
        <v>0</v>
      </c>
    </row>
    <row r="71" spans="1:13" x14ac:dyDescent="0.25">
      <c r="A71" s="163"/>
      <c r="G71" s="133"/>
      <c r="H71" s="147">
        <v>66</v>
      </c>
      <c r="I71" s="148" t="str">
        <f t="shared" ref="I71:I134" si="9">IF(H71&lt;$H$2+1,($I$2-($I$2-1)*(LOG(H71)/LOG($H$2))),"")</f>
        <v/>
      </c>
      <c r="J71" s="147" t="e">
        <f t="shared" ref="J71:J134" si="10">INT(LOG($H$2,2))-ROUNDUP(LOG(H71,2),0)+IF(OR($H$2=1,$H$2=2,$H$2=4,$H$2=8,$H$2=16,$H$2=32,$H$2=64,$H$2=128,$H$2=256),0,1)</f>
        <v>#NUM!</v>
      </c>
      <c r="K71" s="147" t="e">
        <f t="shared" si="7"/>
        <v>#NUM!</v>
      </c>
      <c r="L71" s="147"/>
      <c r="M71" s="149">
        <f t="shared" si="8"/>
        <v>0</v>
      </c>
    </row>
    <row r="72" spans="1:13" x14ac:dyDescent="0.25">
      <c r="A72" s="163"/>
      <c r="G72" s="133"/>
      <c r="H72" s="147">
        <v>67</v>
      </c>
      <c r="I72" s="148" t="str">
        <f t="shared" si="9"/>
        <v/>
      </c>
      <c r="J72" s="147" t="e">
        <f t="shared" si="10"/>
        <v>#NUM!</v>
      </c>
      <c r="K72" s="147" t="e">
        <f t="shared" si="7"/>
        <v>#NUM!</v>
      </c>
      <c r="L72" s="147"/>
      <c r="M72" s="149">
        <f t="shared" si="8"/>
        <v>0</v>
      </c>
    </row>
    <row r="73" spans="1:13" x14ac:dyDescent="0.25">
      <c r="A73" s="163"/>
      <c r="G73" s="133"/>
      <c r="H73" s="147">
        <v>68</v>
      </c>
      <c r="I73" s="148" t="str">
        <f t="shared" si="9"/>
        <v/>
      </c>
      <c r="J73" s="147" t="e">
        <f t="shared" si="10"/>
        <v>#NUM!</v>
      </c>
      <c r="K73" s="147" t="e">
        <f t="shared" si="7"/>
        <v>#NUM!</v>
      </c>
      <c r="L73" s="147"/>
      <c r="M73" s="149">
        <f t="shared" si="8"/>
        <v>0</v>
      </c>
    </row>
    <row r="74" spans="1:13" x14ac:dyDescent="0.25">
      <c r="A74" s="163"/>
      <c r="G74" s="133"/>
      <c r="H74" s="147">
        <v>69</v>
      </c>
      <c r="I74" s="148" t="str">
        <f t="shared" si="9"/>
        <v/>
      </c>
      <c r="J74" s="147" t="e">
        <f t="shared" si="10"/>
        <v>#NUM!</v>
      </c>
      <c r="K74" s="147" t="e">
        <f t="shared" si="7"/>
        <v>#NUM!</v>
      </c>
      <c r="L74" s="147"/>
      <c r="M74" s="149">
        <f t="shared" si="8"/>
        <v>0</v>
      </c>
    </row>
    <row r="75" spans="1:13" x14ac:dyDescent="0.25">
      <c r="A75" s="163"/>
      <c r="G75" s="133"/>
      <c r="H75" s="147">
        <v>70</v>
      </c>
      <c r="I75" s="148" t="str">
        <f t="shared" si="9"/>
        <v/>
      </c>
      <c r="J75" s="147" t="e">
        <f t="shared" si="10"/>
        <v>#NUM!</v>
      </c>
      <c r="K75" s="147" t="e">
        <f t="shared" si="7"/>
        <v>#NUM!</v>
      </c>
      <c r="L75" s="147"/>
      <c r="M75" s="149">
        <f t="shared" si="8"/>
        <v>0</v>
      </c>
    </row>
    <row r="76" spans="1:13" x14ac:dyDescent="0.25">
      <c r="A76" s="163"/>
      <c r="G76" s="133"/>
      <c r="H76" s="147">
        <v>71</v>
      </c>
      <c r="I76" s="148" t="str">
        <f t="shared" si="9"/>
        <v/>
      </c>
      <c r="J76" s="147" t="e">
        <f t="shared" si="10"/>
        <v>#NUM!</v>
      </c>
      <c r="K76" s="147" t="e">
        <f t="shared" si="7"/>
        <v>#NUM!</v>
      </c>
      <c r="L76" s="147"/>
      <c r="M76" s="149">
        <f t="shared" si="8"/>
        <v>0</v>
      </c>
    </row>
    <row r="77" spans="1:13" x14ac:dyDescent="0.25">
      <c r="A77" s="163"/>
      <c r="G77" s="133"/>
      <c r="H77" s="147">
        <v>72</v>
      </c>
      <c r="I77" s="148" t="str">
        <f t="shared" si="9"/>
        <v/>
      </c>
      <c r="J77" s="147" t="e">
        <f t="shared" si="10"/>
        <v>#NUM!</v>
      </c>
      <c r="K77" s="147" t="e">
        <f t="shared" si="7"/>
        <v>#NUM!</v>
      </c>
      <c r="L77" s="147"/>
      <c r="M77" s="149">
        <f t="shared" si="8"/>
        <v>0</v>
      </c>
    </row>
    <row r="78" spans="1:13" x14ac:dyDescent="0.25">
      <c r="A78" s="163"/>
      <c r="G78" s="133"/>
      <c r="H78" s="147">
        <v>73</v>
      </c>
      <c r="I78" s="148" t="str">
        <f t="shared" si="9"/>
        <v/>
      </c>
      <c r="J78" s="147" t="e">
        <f t="shared" si="10"/>
        <v>#NUM!</v>
      </c>
      <c r="K78" s="147" t="e">
        <f t="shared" si="7"/>
        <v>#NUM!</v>
      </c>
      <c r="L78" s="147"/>
      <c r="M78" s="149">
        <f t="shared" si="8"/>
        <v>0</v>
      </c>
    </row>
    <row r="79" spans="1:13" x14ac:dyDescent="0.25">
      <c r="A79" s="163"/>
      <c r="G79" s="133"/>
      <c r="H79" s="147">
        <v>74</v>
      </c>
      <c r="I79" s="148" t="str">
        <f t="shared" si="9"/>
        <v/>
      </c>
      <c r="J79" s="147" t="e">
        <f t="shared" si="10"/>
        <v>#NUM!</v>
      </c>
      <c r="K79" s="147" t="e">
        <f t="shared" si="7"/>
        <v>#NUM!</v>
      </c>
      <c r="L79" s="147"/>
      <c r="M79" s="149">
        <f t="shared" si="8"/>
        <v>0</v>
      </c>
    </row>
    <row r="80" spans="1:13" x14ac:dyDescent="0.25">
      <c r="A80" s="163"/>
      <c r="G80" s="133"/>
      <c r="H80" s="147">
        <v>75</v>
      </c>
      <c r="I80" s="148" t="str">
        <f t="shared" si="9"/>
        <v/>
      </c>
      <c r="J80" s="147" t="e">
        <f t="shared" si="10"/>
        <v>#NUM!</v>
      </c>
      <c r="K80" s="147" t="e">
        <f t="shared" si="7"/>
        <v>#NUM!</v>
      </c>
      <c r="L80" s="147"/>
      <c r="M80" s="149">
        <f t="shared" si="8"/>
        <v>0</v>
      </c>
    </row>
    <row r="81" spans="1:13" x14ac:dyDescent="0.25">
      <c r="A81" s="163"/>
      <c r="G81" s="133"/>
      <c r="H81" s="147">
        <v>76</v>
      </c>
      <c r="I81" s="148" t="str">
        <f t="shared" si="9"/>
        <v/>
      </c>
      <c r="J81" s="147" t="e">
        <f t="shared" si="10"/>
        <v>#NUM!</v>
      </c>
      <c r="K81" s="147" t="e">
        <f t="shared" si="7"/>
        <v>#NUM!</v>
      </c>
      <c r="L81" s="147"/>
      <c r="M81" s="149">
        <f t="shared" si="8"/>
        <v>0</v>
      </c>
    </row>
    <row r="82" spans="1:13" x14ac:dyDescent="0.25">
      <c r="A82" s="163"/>
      <c r="G82" s="133"/>
      <c r="H82" s="147">
        <v>77</v>
      </c>
      <c r="I82" s="148" t="str">
        <f t="shared" si="9"/>
        <v/>
      </c>
      <c r="J82" s="147" t="e">
        <f t="shared" si="10"/>
        <v>#NUM!</v>
      </c>
      <c r="K82" s="147" t="e">
        <f t="shared" si="7"/>
        <v>#NUM!</v>
      </c>
      <c r="L82" s="147"/>
      <c r="M82" s="149">
        <f t="shared" si="8"/>
        <v>0</v>
      </c>
    </row>
    <row r="83" spans="1:13" x14ac:dyDescent="0.25">
      <c r="A83" s="163"/>
      <c r="G83" s="133"/>
      <c r="H83" s="147">
        <v>78</v>
      </c>
      <c r="I83" s="148" t="str">
        <f t="shared" si="9"/>
        <v/>
      </c>
      <c r="J83" s="147" t="e">
        <f t="shared" si="10"/>
        <v>#NUM!</v>
      </c>
      <c r="K83" s="147" t="e">
        <f t="shared" si="7"/>
        <v>#NUM!</v>
      </c>
      <c r="L83" s="147"/>
      <c r="M83" s="149">
        <f t="shared" si="8"/>
        <v>0</v>
      </c>
    </row>
    <row r="84" spans="1:13" x14ac:dyDescent="0.25">
      <c r="A84" s="163"/>
      <c r="G84" s="133"/>
      <c r="H84" s="147">
        <v>79</v>
      </c>
      <c r="I84" s="148" t="str">
        <f t="shared" si="9"/>
        <v/>
      </c>
      <c r="J84" s="147" t="e">
        <f t="shared" si="10"/>
        <v>#NUM!</v>
      </c>
      <c r="K84" s="147" t="e">
        <f t="shared" si="7"/>
        <v>#NUM!</v>
      </c>
      <c r="L84" s="147"/>
      <c r="M84" s="149">
        <f t="shared" si="8"/>
        <v>0</v>
      </c>
    </row>
    <row r="85" spans="1:13" x14ac:dyDescent="0.25">
      <c r="A85" s="163"/>
      <c r="G85" s="133"/>
      <c r="H85" s="147">
        <v>80</v>
      </c>
      <c r="I85" s="148" t="str">
        <f t="shared" si="9"/>
        <v/>
      </c>
      <c r="J85" s="147" t="e">
        <f t="shared" si="10"/>
        <v>#NUM!</v>
      </c>
      <c r="K85" s="147" t="e">
        <f t="shared" si="7"/>
        <v>#NUM!</v>
      </c>
      <c r="L85" s="147"/>
      <c r="M85" s="149">
        <f t="shared" si="8"/>
        <v>0</v>
      </c>
    </row>
    <row r="86" spans="1:13" x14ac:dyDescent="0.25">
      <c r="A86" s="163"/>
      <c r="G86" s="133"/>
      <c r="H86" s="147">
        <v>81</v>
      </c>
      <c r="I86" s="148" t="str">
        <f t="shared" si="9"/>
        <v/>
      </c>
      <c r="J86" s="147" t="e">
        <f t="shared" si="10"/>
        <v>#NUM!</v>
      </c>
      <c r="K86" s="147" t="e">
        <f t="shared" si="7"/>
        <v>#NUM!</v>
      </c>
      <c r="L86" s="147"/>
      <c r="M86" s="149">
        <f t="shared" si="8"/>
        <v>0</v>
      </c>
    </row>
    <row r="87" spans="1:13" x14ac:dyDescent="0.25">
      <c r="A87" s="163"/>
      <c r="G87" s="133"/>
      <c r="H87" s="147">
        <v>82</v>
      </c>
      <c r="I87" s="148" t="str">
        <f t="shared" si="9"/>
        <v/>
      </c>
      <c r="J87" s="147" t="e">
        <f t="shared" si="10"/>
        <v>#NUM!</v>
      </c>
      <c r="K87" s="147" t="e">
        <f t="shared" si="7"/>
        <v>#NUM!</v>
      </c>
      <c r="L87" s="147"/>
      <c r="M87" s="149">
        <f t="shared" si="8"/>
        <v>0</v>
      </c>
    </row>
    <row r="88" spans="1:13" x14ac:dyDescent="0.25">
      <c r="A88" s="163"/>
      <c r="G88" s="133"/>
      <c r="H88" s="147">
        <v>83</v>
      </c>
      <c r="I88" s="148" t="str">
        <f t="shared" si="9"/>
        <v/>
      </c>
      <c r="J88" s="147" t="e">
        <f t="shared" si="10"/>
        <v>#NUM!</v>
      </c>
      <c r="K88" s="147" t="e">
        <f t="shared" si="7"/>
        <v>#NUM!</v>
      </c>
      <c r="L88" s="147"/>
      <c r="M88" s="149">
        <f t="shared" si="8"/>
        <v>0</v>
      </c>
    </row>
    <row r="89" spans="1:13" x14ac:dyDescent="0.25">
      <c r="A89" s="163"/>
      <c r="G89" s="133"/>
      <c r="H89" s="147">
        <v>84</v>
      </c>
      <c r="I89" s="148" t="str">
        <f t="shared" si="9"/>
        <v/>
      </c>
      <c r="J89" s="147" t="e">
        <f t="shared" si="10"/>
        <v>#NUM!</v>
      </c>
      <c r="K89" s="147" t="e">
        <f t="shared" si="7"/>
        <v>#NUM!</v>
      </c>
      <c r="L89" s="147"/>
      <c r="M89" s="149">
        <f t="shared" si="8"/>
        <v>0</v>
      </c>
    </row>
    <row r="90" spans="1:13" x14ac:dyDescent="0.25">
      <c r="A90" s="163"/>
      <c r="G90" s="133"/>
      <c r="H90" s="147">
        <v>85</v>
      </c>
      <c r="I90" s="148" t="str">
        <f t="shared" si="9"/>
        <v/>
      </c>
      <c r="J90" s="147" t="e">
        <f t="shared" si="10"/>
        <v>#NUM!</v>
      </c>
      <c r="K90" s="147" t="e">
        <f t="shared" si="7"/>
        <v>#NUM!</v>
      </c>
      <c r="L90" s="147"/>
      <c r="M90" s="149">
        <f t="shared" si="8"/>
        <v>0</v>
      </c>
    </row>
    <row r="91" spans="1:13" x14ac:dyDescent="0.25">
      <c r="A91" s="163"/>
      <c r="G91" s="133"/>
      <c r="H91" s="147">
        <v>86</v>
      </c>
      <c r="I91" s="148" t="str">
        <f t="shared" si="9"/>
        <v/>
      </c>
      <c r="J91" s="147" t="e">
        <f t="shared" si="10"/>
        <v>#NUM!</v>
      </c>
      <c r="K91" s="147" t="e">
        <f t="shared" si="7"/>
        <v>#NUM!</v>
      </c>
      <c r="L91" s="147"/>
      <c r="M91" s="149">
        <f t="shared" si="8"/>
        <v>0</v>
      </c>
    </row>
    <row r="92" spans="1:13" x14ac:dyDescent="0.25">
      <c r="A92" s="163"/>
      <c r="G92" s="133"/>
      <c r="H92" s="147">
        <v>87</v>
      </c>
      <c r="I92" s="148" t="str">
        <f t="shared" si="9"/>
        <v/>
      </c>
      <c r="J92" s="147" t="e">
        <f t="shared" si="10"/>
        <v>#NUM!</v>
      </c>
      <c r="K92" s="147" t="e">
        <f t="shared" si="7"/>
        <v>#NUM!</v>
      </c>
      <c r="L92" s="147"/>
      <c r="M92" s="149">
        <f t="shared" si="8"/>
        <v>0</v>
      </c>
    </row>
    <row r="93" spans="1:13" x14ac:dyDescent="0.25">
      <c r="A93" s="163"/>
      <c r="G93" s="133"/>
      <c r="H93" s="147">
        <v>88</v>
      </c>
      <c r="I93" s="148" t="str">
        <f t="shared" si="9"/>
        <v/>
      </c>
      <c r="J93" s="147" t="e">
        <f t="shared" si="10"/>
        <v>#NUM!</v>
      </c>
      <c r="K93" s="147" t="e">
        <f t="shared" si="7"/>
        <v>#NUM!</v>
      </c>
      <c r="L93" s="147"/>
      <c r="M93" s="149">
        <f t="shared" si="8"/>
        <v>0</v>
      </c>
    </row>
    <row r="94" spans="1:13" x14ac:dyDescent="0.25">
      <c r="A94" s="163"/>
      <c r="G94" s="133"/>
      <c r="H94" s="147">
        <v>89</v>
      </c>
      <c r="I94" s="148" t="str">
        <f t="shared" si="9"/>
        <v/>
      </c>
      <c r="J94" s="147" t="e">
        <f t="shared" si="10"/>
        <v>#NUM!</v>
      </c>
      <c r="K94" s="147" t="e">
        <f t="shared" si="7"/>
        <v>#NUM!</v>
      </c>
      <c r="L94" s="147"/>
      <c r="M94" s="149">
        <f t="shared" si="8"/>
        <v>0</v>
      </c>
    </row>
    <row r="95" spans="1:13" x14ac:dyDescent="0.25">
      <c r="A95" s="163"/>
      <c r="G95" s="133"/>
      <c r="H95" s="147">
        <v>90</v>
      </c>
      <c r="I95" s="148" t="str">
        <f t="shared" si="9"/>
        <v/>
      </c>
      <c r="J95" s="147" t="e">
        <f t="shared" si="10"/>
        <v>#NUM!</v>
      </c>
      <c r="K95" s="147" t="e">
        <f t="shared" si="7"/>
        <v>#NUM!</v>
      </c>
      <c r="L95" s="147"/>
      <c r="M95" s="149">
        <f t="shared" si="8"/>
        <v>0</v>
      </c>
    </row>
    <row r="96" spans="1:13" x14ac:dyDescent="0.25">
      <c r="A96" s="163"/>
      <c r="G96" s="133"/>
      <c r="H96" s="147">
        <v>91</v>
      </c>
      <c r="I96" s="148" t="str">
        <f t="shared" si="9"/>
        <v/>
      </c>
      <c r="J96" s="147" t="e">
        <f t="shared" si="10"/>
        <v>#NUM!</v>
      </c>
      <c r="K96" s="147" t="e">
        <f t="shared" si="7"/>
        <v>#NUM!</v>
      </c>
      <c r="L96" s="147"/>
      <c r="M96" s="149">
        <f t="shared" si="8"/>
        <v>0</v>
      </c>
    </row>
    <row r="97" spans="1:13" x14ac:dyDescent="0.25">
      <c r="A97" s="163"/>
      <c r="G97" s="133"/>
      <c r="H97" s="147">
        <v>92</v>
      </c>
      <c r="I97" s="148" t="str">
        <f t="shared" si="9"/>
        <v/>
      </c>
      <c r="J97" s="147" t="e">
        <f t="shared" si="10"/>
        <v>#NUM!</v>
      </c>
      <c r="K97" s="147" t="e">
        <f t="shared" si="7"/>
        <v>#NUM!</v>
      </c>
      <c r="L97" s="147"/>
      <c r="M97" s="149">
        <f t="shared" si="8"/>
        <v>0</v>
      </c>
    </row>
    <row r="98" spans="1:13" x14ac:dyDescent="0.25">
      <c r="A98" s="163"/>
      <c r="G98" s="133"/>
      <c r="H98" s="147">
        <v>93</v>
      </c>
      <c r="I98" s="148" t="str">
        <f t="shared" si="9"/>
        <v/>
      </c>
      <c r="J98" s="147" t="e">
        <f t="shared" si="10"/>
        <v>#NUM!</v>
      </c>
      <c r="K98" s="147" t="e">
        <f t="shared" si="7"/>
        <v>#NUM!</v>
      </c>
      <c r="L98" s="147"/>
      <c r="M98" s="149">
        <f t="shared" si="8"/>
        <v>0</v>
      </c>
    </row>
    <row r="99" spans="1:13" x14ac:dyDescent="0.25">
      <c r="A99" s="163"/>
      <c r="G99" s="133"/>
      <c r="H99" s="147">
        <v>94</v>
      </c>
      <c r="I99" s="148" t="str">
        <f t="shared" si="9"/>
        <v/>
      </c>
      <c r="J99" s="147" t="e">
        <f t="shared" si="10"/>
        <v>#NUM!</v>
      </c>
      <c r="K99" s="147" t="e">
        <f t="shared" si="7"/>
        <v>#NUM!</v>
      </c>
      <c r="L99" s="147"/>
      <c r="M99" s="149">
        <f t="shared" si="8"/>
        <v>0</v>
      </c>
    </row>
    <row r="100" spans="1:13" x14ac:dyDescent="0.25">
      <c r="A100" s="163"/>
      <c r="G100" s="133"/>
      <c r="H100" s="147">
        <v>95</v>
      </c>
      <c r="I100" s="148" t="str">
        <f t="shared" si="9"/>
        <v/>
      </c>
      <c r="J100" s="147" t="e">
        <f t="shared" si="10"/>
        <v>#NUM!</v>
      </c>
      <c r="K100" s="147" t="e">
        <f t="shared" si="7"/>
        <v>#NUM!</v>
      </c>
      <c r="L100" s="147"/>
      <c r="M100" s="149">
        <f t="shared" si="8"/>
        <v>0</v>
      </c>
    </row>
    <row r="101" spans="1:13" x14ac:dyDescent="0.25">
      <c r="A101" s="163"/>
      <c r="G101" s="133"/>
      <c r="H101" s="147">
        <v>96</v>
      </c>
      <c r="I101" s="148" t="str">
        <f t="shared" si="9"/>
        <v/>
      </c>
      <c r="J101" s="147" t="e">
        <f t="shared" si="10"/>
        <v>#NUM!</v>
      </c>
      <c r="K101" s="147" t="e">
        <f t="shared" si="7"/>
        <v>#NUM!</v>
      </c>
      <c r="L101" s="147"/>
      <c r="M101" s="149">
        <f t="shared" si="8"/>
        <v>0</v>
      </c>
    </row>
    <row r="102" spans="1:13" x14ac:dyDescent="0.25">
      <c r="A102" s="163"/>
      <c r="G102" s="133"/>
      <c r="H102" s="147">
        <v>97</v>
      </c>
      <c r="I102" s="148" t="str">
        <f t="shared" si="9"/>
        <v/>
      </c>
      <c r="J102" s="147" t="e">
        <f t="shared" si="10"/>
        <v>#NUM!</v>
      </c>
      <c r="K102" s="147" t="e">
        <f t="shared" si="7"/>
        <v>#NUM!</v>
      </c>
      <c r="L102" s="147"/>
      <c r="M102" s="149">
        <f t="shared" si="8"/>
        <v>0</v>
      </c>
    </row>
    <row r="103" spans="1:13" x14ac:dyDescent="0.25">
      <c r="A103" s="163"/>
      <c r="G103" s="133"/>
      <c r="H103" s="147">
        <v>98</v>
      </c>
      <c r="I103" s="148" t="str">
        <f t="shared" si="9"/>
        <v/>
      </c>
      <c r="J103" s="147" t="e">
        <f t="shared" si="10"/>
        <v>#NUM!</v>
      </c>
      <c r="K103" s="147" t="e">
        <f t="shared" si="7"/>
        <v>#NUM!</v>
      </c>
      <c r="L103" s="147"/>
      <c r="M103" s="149">
        <f t="shared" si="8"/>
        <v>0</v>
      </c>
    </row>
    <row r="104" spans="1:13" x14ac:dyDescent="0.25">
      <c r="A104" s="163"/>
      <c r="G104" s="133"/>
      <c r="H104" s="147">
        <v>99</v>
      </c>
      <c r="I104" s="148" t="str">
        <f t="shared" si="9"/>
        <v/>
      </c>
      <c r="J104" s="147" t="e">
        <f t="shared" si="10"/>
        <v>#NUM!</v>
      </c>
      <c r="K104" s="147" t="e">
        <f t="shared" si="7"/>
        <v>#NUM!</v>
      </c>
      <c r="L104" s="147"/>
      <c r="M104" s="149">
        <f t="shared" si="8"/>
        <v>0</v>
      </c>
    </row>
    <row r="105" spans="1:13" x14ac:dyDescent="0.25">
      <c r="A105" s="163"/>
      <c r="G105" s="133"/>
      <c r="H105" s="147">
        <v>100</v>
      </c>
      <c r="I105" s="148" t="str">
        <f t="shared" si="9"/>
        <v/>
      </c>
      <c r="J105" s="147" t="e">
        <f t="shared" si="10"/>
        <v>#NUM!</v>
      </c>
      <c r="K105" s="147" t="e">
        <f t="shared" si="7"/>
        <v>#NUM!</v>
      </c>
      <c r="L105" s="147"/>
      <c r="M105" s="149">
        <f t="shared" si="8"/>
        <v>0</v>
      </c>
    </row>
    <row r="106" spans="1:13" x14ac:dyDescent="0.25">
      <c r="A106" s="163"/>
      <c r="G106" s="133"/>
      <c r="H106" s="147">
        <v>101</v>
      </c>
      <c r="I106" s="148" t="str">
        <f t="shared" si="9"/>
        <v/>
      </c>
      <c r="J106" s="147" t="e">
        <f t="shared" si="10"/>
        <v>#NUM!</v>
      </c>
      <c r="K106" s="147" t="e">
        <f t="shared" si="7"/>
        <v>#NUM!</v>
      </c>
      <c r="L106" s="147"/>
      <c r="M106" s="149">
        <f t="shared" si="8"/>
        <v>0</v>
      </c>
    </row>
    <row r="107" spans="1:13" x14ac:dyDescent="0.25">
      <c r="A107" s="163"/>
      <c r="G107" s="133"/>
      <c r="H107" s="147">
        <v>102</v>
      </c>
      <c r="I107" s="148" t="str">
        <f t="shared" si="9"/>
        <v/>
      </c>
      <c r="J107" s="147" t="e">
        <f t="shared" si="10"/>
        <v>#NUM!</v>
      </c>
      <c r="K107" s="147" t="e">
        <f t="shared" si="7"/>
        <v>#NUM!</v>
      </c>
      <c r="L107" s="147"/>
      <c r="M107" s="149">
        <f t="shared" si="8"/>
        <v>0</v>
      </c>
    </row>
    <row r="108" spans="1:13" x14ac:dyDescent="0.25">
      <c r="A108" s="163"/>
      <c r="G108" s="133"/>
      <c r="H108" s="147">
        <v>103</v>
      </c>
      <c r="I108" s="148" t="str">
        <f t="shared" si="9"/>
        <v/>
      </c>
      <c r="J108" s="147" t="e">
        <f t="shared" si="10"/>
        <v>#NUM!</v>
      </c>
      <c r="K108" s="147" t="e">
        <f t="shared" si="7"/>
        <v>#NUM!</v>
      </c>
      <c r="L108" s="147"/>
      <c r="M108" s="149">
        <f t="shared" si="8"/>
        <v>0</v>
      </c>
    </row>
    <row r="109" spans="1:13" x14ac:dyDescent="0.25">
      <c r="A109" s="163"/>
      <c r="G109" s="133"/>
      <c r="H109" s="147">
        <v>104</v>
      </c>
      <c r="I109" s="148" t="str">
        <f t="shared" si="9"/>
        <v/>
      </c>
      <c r="J109" s="147" t="e">
        <f t="shared" si="10"/>
        <v>#NUM!</v>
      </c>
      <c r="K109" s="147" t="e">
        <f t="shared" si="7"/>
        <v>#NUM!</v>
      </c>
      <c r="L109" s="147"/>
      <c r="M109" s="149">
        <f t="shared" si="8"/>
        <v>0</v>
      </c>
    </row>
    <row r="110" spans="1:13" x14ac:dyDescent="0.25">
      <c r="A110" s="163"/>
      <c r="G110" s="133"/>
      <c r="H110" s="147">
        <v>105</v>
      </c>
      <c r="I110" s="148" t="str">
        <f t="shared" si="9"/>
        <v/>
      </c>
      <c r="J110" s="147" t="e">
        <f t="shared" si="10"/>
        <v>#NUM!</v>
      </c>
      <c r="K110" s="147" t="e">
        <f t="shared" si="7"/>
        <v>#NUM!</v>
      </c>
      <c r="L110" s="147"/>
      <c r="M110" s="149">
        <f t="shared" si="8"/>
        <v>0</v>
      </c>
    </row>
    <row r="111" spans="1:13" x14ac:dyDescent="0.25">
      <c r="A111" s="163"/>
      <c r="G111" s="133"/>
      <c r="H111" s="147">
        <v>106</v>
      </c>
      <c r="I111" s="148" t="str">
        <f t="shared" si="9"/>
        <v/>
      </c>
      <c r="J111" s="147" t="e">
        <f t="shared" si="10"/>
        <v>#NUM!</v>
      </c>
      <c r="K111" s="147" t="e">
        <f t="shared" si="7"/>
        <v>#NUM!</v>
      </c>
      <c r="L111" s="147"/>
      <c r="M111" s="149">
        <f t="shared" si="8"/>
        <v>0</v>
      </c>
    </row>
    <row r="112" spans="1:13" x14ac:dyDescent="0.25">
      <c r="A112" s="163"/>
      <c r="G112" s="133"/>
      <c r="H112" s="147">
        <v>107</v>
      </c>
      <c r="I112" s="148" t="str">
        <f t="shared" si="9"/>
        <v/>
      </c>
      <c r="J112" s="147" t="e">
        <f t="shared" si="10"/>
        <v>#NUM!</v>
      </c>
      <c r="K112" s="147" t="e">
        <f t="shared" si="7"/>
        <v>#NUM!</v>
      </c>
      <c r="L112" s="147"/>
      <c r="M112" s="149">
        <f t="shared" si="8"/>
        <v>0</v>
      </c>
    </row>
    <row r="113" spans="1:13" x14ac:dyDescent="0.25">
      <c r="A113" s="163"/>
      <c r="G113" s="133"/>
      <c r="H113" s="147">
        <v>108</v>
      </c>
      <c r="I113" s="148" t="str">
        <f t="shared" si="9"/>
        <v/>
      </c>
      <c r="J113" s="147" t="e">
        <f t="shared" si="10"/>
        <v>#NUM!</v>
      </c>
      <c r="K113" s="147" t="e">
        <f t="shared" si="7"/>
        <v>#NUM!</v>
      </c>
      <c r="L113" s="147"/>
      <c r="M113" s="149">
        <f t="shared" si="8"/>
        <v>0</v>
      </c>
    </row>
    <row r="114" spans="1:13" x14ac:dyDescent="0.25">
      <c r="A114" s="163"/>
      <c r="G114" s="133"/>
      <c r="H114" s="147">
        <v>109</v>
      </c>
      <c r="I114" s="148" t="str">
        <f t="shared" si="9"/>
        <v/>
      </c>
      <c r="J114" s="147" t="e">
        <f t="shared" si="10"/>
        <v>#NUM!</v>
      </c>
      <c r="K114" s="147" t="e">
        <f t="shared" si="7"/>
        <v>#NUM!</v>
      </c>
      <c r="L114" s="147"/>
      <c r="M114" s="149">
        <f t="shared" si="8"/>
        <v>0</v>
      </c>
    </row>
    <row r="115" spans="1:13" x14ac:dyDescent="0.25">
      <c r="A115" s="163"/>
      <c r="G115" s="133"/>
      <c r="H115" s="147">
        <v>110</v>
      </c>
      <c r="I115" s="148" t="str">
        <f t="shared" si="9"/>
        <v/>
      </c>
      <c r="J115" s="147" t="e">
        <f t="shared" si="10"/>
        <v>#NUM!</v>
      </c>
      <c r="K115" s="147" t="e">
        <f t="shared" si="7"/>
        <v>#NUM!</v>
      </c>
      <c r="L115" s="147"/>
      <c r="M115" s="149">
        <f t="shared" si="8"/>
        <v>0</v>
      </c>
    </row>
    <row r="116" spans="1:13" x14ac:dyDescent="0.25">
      <c r="A116" s="163"/>
      <c r="G116" s="133"/>
      <c r="H116" s="147">
        <v>111</v>
      </c>
      <c r="I116" s="148" t="str">
        <f t="shared" si="9"/>
        <v/>
      </c>
      <c r="J116" s="147" t="e">
        <f t="shared" si="10"/>
        <v>#NUM!</v>
      </c>
      <c r="K116" s="147" t="e">
        <f t="shared" si="7"/>
        <v>#NUM!</v>
      </c>
      <c r="L116" s="147"/>
      <c r="M116" s="149">
        <f t="shared" si="8"/>
        <v>0</v>
      </c>
    </row>
    <row r="117" spans="1:13" x14ac:dyDescent="0.25">
      <c r="A117" s="163"/>
      <c r="G117" s="133"/>
      <c r="H117" s="147">
        <v>112</v>
      </c>
      <c r="I117" s="148" t="str">
        <f t="shared" si="9"/>
        <v/>
      </c>
      <c r="J117" s="147" t="e">
        <f t="shared" si="10"/>
        <v>#NUM!</v>
      </c>
      <c r="K117" s="147" t="e">
        <f t="shared" si="7"/>
        <v>#NUM!</v>
      </c>
      <c r="L117" s="147"/>
      <c r="M117" s="149">
        <f t="shared" si="8"/>
        <v>0</v>
      </c>
    </row>
    <row r="118" spans="1:13" x14ac:dyDescent="0.25">
      <c r="A118" s="163"/>
      <c r="G118" s="133"/>
      <c r="H118" s="147">
        <v>113</v>
      </c>
      <c r="I118" s="148" t="str">
        <f t="shared" si="9"/>
        <v/>
      </c>
      <c r="J118" s="147" t="e">
        <f t="shared" si="10"/>
        <v>#NUM!</v>
      </c>
      <c r="K118" s="147" t="e">
        <f t="shared" si="7"/>
        <v>#NUM!</v>
      </c>
      <c r="L118" s="147"/>
      <c r="M118" s="149">
        <f t="shared" si="8"/>
        <v>0</v>
      </c>
    </row>
    <row r="119" spans="1:13" x14ac:dyDescent="0.25">
      <c r="A119" s="163"/>
      <c r="G119" s="133"/>
      <c r="H119" s="147">
        <v>114</v>
      </c>
      <c r="I119" s="148" t="str">
        <f t="shared" si="9"/>
        <v/>
      </c>
      <c r="J119" s="147" t="e">
        <f t="shared" si="10"/>
        <v>#NUM!</v>
      </c>
      <c r="K119" s="147" t="e">
        <f t="shared" si="7"/>
        <v>#NUM!</v>
      </c>
      <c r="L119" s="147"/>
      <c r="M119" s="149">
        <f t="shared" si="8"/>
        <v>0</v>
      </c>
    </row>
    <row r="120" spans="1:13" x14ac:dyDescent="0.25">
      <c r="A120" s="163"/>
      <c r="G120" s="133"/>
      <c r="H120" s="147">
        <v>115</v>
      </c>
      <c r="I120" s="148" t="str">
        <f t="shared" si="9"/>
        <v/>
      </c>
      <c r="J120" s="147" t="e">
        <f t="shared" si="10"/>
        <v>#NUM!</v>
      </c>
      <c r="K120" s="147" t="e">
        <f t="shared" si="7"/>
        <v>#NUM!</v>
      </c>
      <c r="L120" s="147"/>
      <c r="M120" s="149">
        <f t="shared" si="8"/>
        <v>0</v>
      </c>
    </row>
    <row r="121" spans="1:13" x14ac:dyDescent="0.25">
      <c r="A121" s="163"/>
      <c r="G121" s="133"/>
      <c r="H121" s="147">
        <v>116</v>
      </c>
      <c r="I121" s="148" t="str">
        <f t="shared" si="9"/>
        <v/>
      </c>
      <c r="J121" s="147" t="e">
        <f t="shared" si="10"/>
        <v>#NUM!</v>
      </c>
      <c r="K121" s="147" t="e">
        <f t="shared" si="7"/>
        <v>#NUM!</v>
      </c>
      <c r="L121" s="147"/>
      <c r="M121" s="149">
        <f t="shared" si="8"/>
        <v>0</v>
      </c>
    </row>
    <row r="122" spans="1:13" x14ac:dyDescent="0.25">
      <c r="A122" s="163"/>
      <c r="G122" s="133"/>
      <c r="H122" s="147">
        <v>117</v>
      </c>
      <c r="I122" s="148" t="str">
        <f t="shared" si="9"/>
        <v/>
      </c>
      <c r="J122" s="147" t="e">
        <f t="shared" si="10"/>
        <v>#NUM!</v>
      </c>
      <c r="K122" s="147" t="e">
        <f t="shared" si="7"/>
        <v>#NUM!</v>
      </c>
      <c r="L122" s="147"/>
      <c r="M122" s="149">
        <f t="shared" si="8"/>
        <v>0</v>
      </c>
    </row>
    <row r="123" spans="1:13" x14ac:dyDescent="0.25">
      <c r="A123" s="163"/>
      <c r="G123" s="133"/>
      <c r="H123" s="147">
        <v>118</v>
      </c>
      <c r="I123" s="148" t="str">
        <f t="shared" si="9"/>
        <v/>
      </c>
      <c r="J123" s="147" t="e">
        <f t="shared" si="10"/>
        <v>#NUM!</v>
      </c>
      <c r="K123" s="147" t="e">
        <f t="shared" si="7"/>
        <v>#NUM!</v>
      </c>
      <c r="L123" s="147"/>
      <c r="M123" s="149">
        <f t="shared" si="8"/>
        <v>0</v>
      </c>
    </row>
    <row r="124" spans="1:13" x14ac:dyDescent="0.25">
      <c r="A124" s="163"/>
      <c r="G124" s="133"/>
      <c r="H124" s="147">
        <v>119</v>
      </c>
      <c r="I124" s="148" t="str">
        <f t="shared" si="9"/>
        <v/>
      </c>
      <c r="J124" s="147" t="e">
        <f t="shared" si="10"/>
        <v>#NUM!</v>
      </c>
      <c r="K124" s="147" t="e">
        <f t="shared" si="7"/>
        <v>#NUM!</v>
      </c>
      <c r="L124" s="147"/>
      <c r="M124" s="149">
        <f t="shared" si="8"/>
        <v>0</v>
      </c>
    </row>
    <row r="125" spans="1:13" x14ac:dyDescent="0.25">
      <c r="A125" s="163"/>
      <c r="G125" s="133"/>
      <c r="H125" s="147">
        <v>120</v>
      </c>
      <c r="I125" s="148" t="str">
        <f t="shared" si="9"/>
        <v/>
      </c>
      <c r="J125" s="147" t="e">
        <f t="shared" si="10"/>
        <v>#NUM!</v>
      </c>
      <c r="K125" s="147" t="e">
        <f t="shared" si="7"/>
        <v>#NUM!</v>
      </c>
      <c r="L125" s="147"/>
      <c r="M125" s="149">
        <f t="shared" si="8"/>
        <v>0</v>
      </c>
    </row>
    <row r="126" spans="1:13" x14ac:dyDescent="0.25">
      <c r="A126" s="163"/>
      <c r="G126" s="133"/>
      <c r="H126" s="147">
        <v>121</v>
      </c>
      <c r="I126" s="148" t="str">
        <f t="shared" si="9"/>
        <v/>
      </c>
      <c r="J126" s="147" t="e">
        <f t="shared" si="10"/>
        <v>#NUM!</v>
      </c>
      <c r="K126" s="147" t="e">
        <f t="shared" si="7"/>
        <v>#NUM!</v>
      </c>
      <c r="L126" s="147"/>
      <c r="M126" s="149">
        <f t="shared" si="8"/>
        <v>0</v>
      </c>
    </row>
    <row r="127" spans="1:13" x14ac:dyDescent="0.25">
      <c r="A127" s="163"/>
      <c r="G127" s="133"/>
      <c r="H127" s="147">
        <v>122</v>
      </c>
      <c r="I127" s="148" t="str">
        <f t="shared" si="9"/>
        <v/>
      </c>
      <c r="J127" s="147" t="e">
        <f t="shared" si="10"/>
        <v>#NUM!</v>
      </c>
      <c r="K127" s="147" t="e">
        <f t="shared" si="7"/>
        <v>#NUM!</v>
      </c>
      <c r="L127" s="147"/>
      <c r="M127" s="149">
        <f t="shared" si="8"/>
        <v>0</v>
      </c>
    </row>
    <row r="128" spans="1:13" x14ac:dyDescent="0.25">
      <c r="A128" s="163"/>
      <c r="G128" s="133"/>
      <c r="H128" s="147">
        <v>123</v>
      </c>
      <c r="I128" s="148" t="str">
        <f t="shared" si="9"/>
        <v/>
      </c>
      <c r="J128" s="147" t="e">
        <f t="shared" si="10"/>
        <v>#NUM!</v>
      </c>
      <c r="K128" s="147" t="e">
        <f t="shared" si="7"/>
        <v>#NUM!</v>
      </c>
      <c r="L128" s="147"/>
      <c r="M128" s="149">
        <f t="shared" si="8"/>
        <v>0</v>
      </c>
    </row>
    <row r="129" spans="1:13" x14ac:dyDescent="0.25">
      <c r="A129" s="163"/>
      <c r="G129" s="133"/>
      <c r="H129" s="147">
        <v>124</v>
      </c>
      <c r="I129" s="148" t="str">
        <f t="shared" si="9"/>
        <v/>
      </c>
      <c r="J129" s="147" t="e">
        <f t="shared" si="10"/>
        <v>#NUM!</v>
      </c>
      <c r="K129" s="147" t="e">
        <f t="shared" si="7"/>
        <v>#NUM!</v>
      </c>
      <c r="L129" s="147"/>
      <c r="M129" s="149">
        <f t="shared" si="8"/>
        <v>0</v>
      </c>
    </row>
    <row r="130" spans="1:13" x14ac:dyDescent="0.25">
      <c r="A130" s="163"/>
      <c r="G130" s="133"/>
      <c r="H130" s="147">
        <v>125</v>
      </c>
      <c r="I130" s="148" t="str">
        <f t="shared" si="9"/>
        <v/>
      </c>
      <c r="J130" s="147" t="e">
        <f t="shared" si="10"/>
        <v>#NUM!</v>
      </c>
      <c r="K130" s="147" t="e">
        <f t="shared" si="7"/>
        <v>#NUM!</v>
      </c>
      <c r="L130" s="147"/>
      <c r="M130" s="149">
        <f t="shared" si="8"/>
        <v>0</v>
      </c>
    </row>
    <row r="131" spans="1:13" x14ac:dyDescent="0.25">
      <c r="A131" s="163"/>
      <c r="G131" s="133"/>
      <c r="H131" s="147">
        <v>126</v>
      </c>
      <c r="I131" s="148" t="str">
        <f t="shared" si="9"/>
        <v/>
      </c>
      <c r="J131" s="147" t="e">
        <f t="shared" si="10"/>
        <v>#NUM!</v>
      </c>
      <c r="K131" s="147" t="e">
        <f t="shared" si="7"/>
        <v>#NUM!</v>
      </c>
      <c r="L131" s="147"/>
      <c r="M131" s="149">
        <f t="shared" si="8"/>
        <v>0</v>
      </c>
    </row>
    <row r="132" spans="1:13" x14ac:dyDescent="0.25">
      <c r="A132" s="163"/>
      <c r="G132" s="133"/>
      <c r="H132" s="147">
        <v>127</v>
      </c>
      <c r="I132" s="148" t="str">
        <f t="shared" si="9"/>
        <v/>
      </c>
      <c r="J132" s="147" t="e">
        <f t="shared" si="10"/>
        <v>#NUM!</v>
      </c>
      <c r="K132" s="147" t="e">
        <f t="shared" si="7"/>
        <v>#NUM!</v>
      </c>
      <c r="L132" s="147"/>
      <c r="M132" s="149">
        <f t="shared" si="8"/>
        <v>0</v>
      </c>
    </row>
    <row r="133" spans="1:13" x14ac:dyDescent="0.25">
      <c r="A133" s="163"/>
      <c r="G133" s="133"/>
      <c r="H133" s="147">
        <v>128</v>
      </c>
      <c r="I133" s="148" t="str">
        <f t="shared" si="9"/>
        <v/>
      </c>
      <c r="J133" s="147" t="e">
        <f t="shared" si="10"/>
        <v>#NUM!</v>
      </c>
      <c r="K133" s="147" t="e">
        <f t="shared" si="7"/>
        <v>#NUM!</v>
      </c>
      <c r="L133" s="147"/>
      <c r="M133" s="149">
        <f t="shared" si="8"/>
        <v>0</v>
      </c>
    </row>
    <row r="134" spans="1:13" x14ac:dyDescent="0.25">
      <c r="A134" s="163"/>
      <c r="G134" s="133"/>
      <c r="H134" s="147">
        <v>129</v>
      </c>
      <c r="I134" s="148" t="str">
        <f t="shared" si="9"/>
        <v/>
      </c>
      <c r="J134" s="147" t="e">
        <f t="shared" si="10"/>
        <v>#NUM!</v>
      </c>
      <c r="K134" s="147" t="e">
        <f t="shared" ref="K134:K197" si="11">J134*$J$2</f>
        <v>#NUM!</v>
      </c>
      <c r="L134" s="147"/>
      <c r="M134" s="149">
        <f t="shared" ref="M134:M197" si="12">IF(I134&lt;&gt;"",K134+I134+L134,0)</f>
        <v>0</v>
      </c>
    </row>
    <row r="135" spans="1:13" x14ac:dyDescent="0.25">
      <c r="A135" s="163"/>
      <c r="G135" s="133"/>
      <c r="H135" s="147">
        <v>130</v>
      </c>
      <c r="I135" s="148" t="str">
        <f t="shared" ref="I135:I198" si="13">IF(H135&lt;$H$2+1,($I$2-($I$2-1)*(LOG(H135)/LOG($H$2))),"")</f>
        <v/>
      </c>
      <c r="J135" s="147" t="e">
        <f t="shared" ref="J135:J198" si="14">INT(LOG($H$2,2))-ROUNDUP(LOG(H135,2),0)+IF(OR($H$2=1,$H$2=2,$H$2=4,$H$2=8,$H$2=16,$H$2=32,$H$2=64,$H$2=128,$H$2=256),0,1)</f>
        <v>#NUM!</v>
      </c>
      <c r="K135" s="147" t="e">
        <f t="shared" si="11"/>
        <v>#NUM!</v>
      </c>
      <c r="L135" s="147"/>
      <c r="M135" s="149">
        <f t="shared" si="12"/>
        <v>0</v>
      </c>
    </row>
    <row r="136" spans="1:13" x14ac:dyDescent="0.25">
      <c r="A136" s="163"/>
      <c r="G136" s="133"/>
      <c r="H136" s="147">
        <v>131</v>
      </c>
      <c r="I136" s="148" t="str">
        <f t="shared" si="13"/>
        <v/>
      </c>
      <c r="J136" s="147" t="e">
        <f t="shared" si="14"/>
        <v>#NUM!</v>
      </c>
      <c r="K136" s="147" t="e">
        <f t="shared" si="11"/>
        <v>#NUM!</v>
      </c>
      <c r="L136" s="147"/>
      <c r="M136" s="149">
        <f t="shared" si="12"/>
        <v>0</v>
      </c>
    </row>
    <row r="137" spans="1:13" x14ac:dyDescent="0.25">
      <c r="A137" s="163"/>
      <c r="G137" s="133"/>
      <c r="H137" s="147">
        <v>132</v>
      </c>
      <c r="I137" s="148" t="str">
        <f t="shared" si="13"/>
        <v/>
      </c>
      <c r="J137" s="147" t="e">
        <f t="shared" si="14"/>
        <v>#NUM!</v>
      </c>
      <c r="K137" s="147" t="e">
        <f t="shared" si="11"/>
        <v>#NUM!</v>
      </c>
      <c r="L137" s="147"/>
      <c r="M137" s="149">
        <f t="shared" si="12"/>
        <v>0</v>
      </c>
    </row>
    <row r="138" spans="1:13" x14ac:dyDescent="0.25">
      <c r="A138" s="163"/>
      <c r="G138" s="133"/>
      <c r="H138" s="147">
        <v>133</v>
      </c>
      <c r="I138" s="148" t="str">
        <f t="shared" si="13"/>
        <v/>
      </c>
      <c r="J138" s="147" t="e">
        <f t="shared" si="14"/>
        <v>#NUM!</v>
      </c>
      <c r="K138" s="147" t="e">
        <f t="shared" si="11"/>
        <v>#NUM!</v>
      </c>
      <c r="L138" s="147"/>
      <c r="M138" s="149">
        <f t="shared" si="12"/>
        <v>0</v>
      </c>
    </row>
    <row r="139" spans="1:13" x14ac:dyDescent="0.25">
      <c r="A139" s="163"/>
      <c r="G139" s="133"/>
      <c r="H139" s="147">
        <v>134</v>
      </c>
      <c r="I139" s="148" t="str">
        <f t="shared" si="13"/>
        <v/>
      </c>
      <c r="J139" s="147" t="e">
        <f t="shared" si="14"/>
        <v>#NUM!</v>
      </c>
      <c r="K139" s="147" t="e">
        <f t="shared" si="11"/>
        <v>#NUM!</v>
      </c>
      <c r="L139" s="147"/>
      <c r="M139" s="149">
        <f t="shared" si="12"/>
        <v>0</v>
      </c>
    </row>
    <row r="140" spans="1:13" x14ac:dyDescent="0.25">
      <c r="A140" s="163"/>
      <c r="G140" s="133"/>
      <c r="H140" s="147">
        <v>135</v>
      </c>
      <c r="I140" s="148" t="str">
        <f t="shared" si="13"/>
        <v/>
      </c>
      <c r="J140" s="147" t="e">
        <f t="shared" si="14"/>
        <v>#NUM!</v>
      </c>
      <c r="K140" s="147" t="e">
        <f t="shared" si="11"/>
        <v>#NUM!</v>
      </c>
      <c r="L140" s="147"/>
      <c r="M140" s="149">
        <f t="shared" si="12"/>
        <v>0</v>
      </c>
    </row>
    <row r="141" spans="1:13" x14ac:dyDescent="0.25">
      <c r="A141" s="163"/>
      <c r="G141" s="133"/>
      <c r="H141" s="147">
        <v>136</v>
      </c>
      <c r="I141" s="148" t="str">
        <f t="shared" si="13"/>
        <v/>
      </c>
      <c r="J141" s="147" t="e">
        <f t="shared" si="14"/>
        <v>#NUM!</v>
      </c>
      <c r="K141" s="147" t="e">
        <f t="shared" si="11"/>
        <v>#NUM!</v>
      </c>
      <c r="L141" s="147"/>
      <c r="M141" s="149">
        <f t="shared" si="12"/>
        <v>0</v>
      </c>
    </row>
    <row r="142" spans="1:13" x14ac:dyDescent="0.25">
      <c r="A142" s="163"/>
      <c r="G142" s="133"/>
      <c r="H142" s="147">
        <v>137</v>
      </c>
      <c r="I142" s="148" t="str">
        <f t="shared" si="13"/>
        <v/>
      </c>
      <c r="J142" s="147" t="e">
        <f t="shared" si="14"/>
        <v>#NUM!</v>
      </c>
      <c r="K142" s="147" t="e">
        <f t="shared" si="11"/>
        <v>#NUM!</v>
      </c>
      <c r="L142" s="147"/>
      <c r="M142" s="149">
        <f t="shared" si="12"/>
        <v>0</v>
      </c>
    </row>
    <row r="143" spans="1:13" x14ac:dyDescent="0.25">
      <c r="A143" s="163"/>
      <c r="G143" s="133"/>
      <c r="H143" s="147">
        <v>138</v>
      </c>
      <c r="I143" s="148" t="str">
        <f t="shared" si="13"/>
        <v/>
      </c>
      <c r="J143" s="147" t="e">
        <f t="shared" si="14"/>
        <v>#NUM!</v>
      </c>
      <c r="K143" s="147" t="e">
        <f t="shared" si="11"/>
        <v>#NUM!</v>
      </c>
      <c r="L143" s="147"/>
      <c r="M143" s="149">
        <f t="shared" si="12"/>
        <v>0</v>
      </c>
    </row>
    <row r="144" spans="1:13" x14ac:dyDescent="0.25">
      <c r="A144" s="163"/>
      <c r="G144" s="133"/>
      <c r="H144" s="147">
        <v>139</v>
      </c>
      <c r="I144" s="148" t="str">
        <f t="shared" si="13"/>
        <v/>
      </c>
      <c r="J144" s="147" t="e">
        <f t="shared" si="14"/>
        <v>#NUM!</v>
      </c>
      <c r="K144" s="147" t="e">
        <f t="shared" si="11"/>
        <v>#NUM!</v>
      </c>
      <c r="L144" s="147"/>
      <c r="M144" s="149">
        <f t="shared" si="12"/>
        <v>0</v>
      </c>
    </row>
    <row r="145" spans="1:13" x14ac:dyDescent="0.25">
      <c r="A145" s="163"/>
      <c r="G145" s="133"/>
      <c r="H145" s="147">
        <v>140</v>
      </c>
      <c r="I145" s="148" t="str">
        <f t="shared" si="13"/>
        <v/>
      </c>
      <c r="J145" s="147" t="e">
        <f t="shared" si="14"/>
        <v>#NUM!</v>
      </c>
      <c r="K145" s="147" t="e">
        <f t="shared" si="11"/>
        <v>#NUM!</v>
      </c>
      <c r="L145" s="147"/>
      <c r="M145" s="149">
        <f t="shared" si="12"/>
        <v>0</v>
      </c>
    </row>
    <row r="146" spans="1:13" x14ac:dyDescent="0.25">
      <c r="A146" s="163"/>
      <c r="G146" s="133"/>
      <c r="H146" s="147">
        <v>141</v>
      </c>
      <c r="I146" s="148" t="str">
        <f t="shared" si="13"/>
        <v/>
      </c>
      <c r="J146" s="147" t="e">
        <f t="shared" si="14"/>
        <v>#NUM!</v>
      </c>
      <c r="K146" s="147" t="e">
        <f t="shared" si="11"/>
        <v>#NUM!</v>
      </c>
      <c r="L146" s="147"/>
      <c r="M146" s="149">
        <f t="shared" si="12"/>
        <v>0</v>
      </c>
    </row>
    <row r="147" spans="1:13" x14ac:dyDescent="0.25">
      <c r="A147" s="163"/>
      <c r="G147" s="133"/>
      <c r="H147" s="147">
        <v>142</v>
      </c>
      <c r="I147" s="148" t="str">
        <f t="shared" si="13"/>
        <v/>
      </c>
      <c r="J147" s="147" t="e">
        <f t="shared" si="14"/>
        <v>#NUM!</v>
      </c>
      <c r="K147" s="147" t="e">
        <f t="shared" si="11"/>
        <v>#NUM!</v>
      </c>
      <c r="L147" s="147"/>
      <c r="M147" s="149">
        <f t="shared" si="12"/>
        <v>0</v>
      </c>
    </row>
    <row r="148" spans="1:13" x14ac:dyDescent="0.25">
      <c r="A148" s="163"/>
      <c r="G148" s="133"/>
      <c r="H148" s="147">
        <v>143</v>
      </c>
      <c r="I148" s="148" t="str">
        <f t="shared" si="13"/>
        <v/>
      </c>
      <c r="J148" s="147" t="e">
        <f t="shared" si="14"/>
        <v>#NUM!</v>
      </c>
      <c r="K148" s="147" t="e">
        <f t="shared" si="11"/>
        <v>#NUM!</v>
      </c>
      <c r="L148" s="147"/>
      <c r="M148" s="149">
        <f t="shared" si="12"/>
        <v>0</v>
      </c>
    </row>
    <row r="149" spans="1:13" x14ac:dyDescent="0.25">
      <c r="A149" s="163"/>
      <c r="G149" s="133"/>
      <c r="H149" s="147">
        <v>144</v>
      </c>
      <c r="I149" s="148" t="str">
        <f t="shared" si="13"/>
        <v/>
      </c>
      <c r="J149" s="147" t="e">
        <f t="shared" si="14"/>
        <v>#NUM!</v>
      </c>
      <c r="K149" s="147" t="e">
        <f t="shared" si="11"/>
        <v>#NUM!</v>
      </c>
      <c r="L149" s="147"/>
      <c r="M149" s="149">
        <f t="shared" si="12"/>
        <v>0</v>
      </c>
    </row>
    <row r="150" spans="1:13" x14ac:dyDescent="0.25">
      <c r="A150" s="163"/>
      <c r="G150" s="133"/>
      <c r="H150" s="147">
        <v>145</v>
      </c>
      <c r="I150" s="148" t="str">
        <f t="shared" si="13"/>
        <v/>
      </c>
      <c r="J150" s="147" t="e">
        <f t="shared" si="14"/>
        <v>#NUM!</v>
      </c>
      <c r="K150" s="147" t="e">
        <f t="shared" si="11"/>
        <v>#NUM!</v>
      </c>
      <c r="L150" s="147"/>
      <c r="M150" s="149">
        <f t="shared" si="12"/>
        <v>0</v>
      </c>
    </row>
    <row r="151" spans="1:13" x14ac:dyDescent="0.25">
      <c r="A151" s="163"/>
      <c r="G151" s="133"/>
      <c r="H151" s="147">
        <v>146</v>
      </c>
      <c r="I151" s="148" t="str">
        <f t="shared" si="13"/>
        <v/>
      </c>
      <c r="J151" s="147" t="e">
        <f t="shared" si="14"/>
        <v>#NUM!</v>
      </c>
      <c r="K151" s="147" t="e">
        <f t="shared" si="11"/>
        <v>#NUM!</v>
      </c>
      <c r="L151" s="147"/>
      <c r="M151" s="149">
        <f t="shared" si="12"/>
        <v>0</v>
      </c>
    </row>
    <row r="152" spans="1:13" x14ac:dyDescent="0.25">
      <c r="A152" s="163"/>
      <c r="G152" s="133"/>
      <c r="H152" s="147">
        <v>147</v>
      </c>
      <c r="I152" s="148" t="str">
        <f t="shared" si="13"/>
        <v/>
      </c>
      <c r="J152" s="147" t="e">
        <f t="shared" si="14"/>
        <v>#NUM!</v>
      </c>
      <c r="K152" s="147" t="e">
        <f t="shared" si="11"/>
        <v>#NUM!</v>
      </c>
      <c r="L152" s="147"/>
      <c r="M152" s="149">
        <f t="shared" si="12"/>
        <v>0</v>
      </c>
    </row>
    <row r="153" spans="1:13" x14ac:dyDescent="0.25">
      <c r="A153" s="163"/>
      <c r="G153" s="133"/>
      <c r="H153" s="147">
        <v>148</v>
      </c>
      <c r="I153" s="148" t="str">
        <f t="shared" si="13"/>
        <v/>
      </c>
      <c r="J153" s="147" t="e">
        <f t="shared" si="14"/>
        <v>#NUM!</v>
      </c>
      <c r="K153" s="147" t="e">
        <f t="shared" si="11"/>
        <v>#NUM!</v>
      </c>
      <c r="L153" s="147"/>
      <c r="M153" s="149">
        <f t="shared" si="12"/>
        <v>0</v>
      </c>
    </row>
    <row r="154" spans="1:13" x14ac:dyDescent="0.25">
      <c r="A154" s="163"/>
      <c r="G154" s="133"/>
      <c r="H154" s="147">
        <v>149</v>
      </c>
      <c r="I154" s="148" t="str">
        <f t="shared" si="13"/>
        <v/>
      </c>
      <c r="J154" s="147" t="e">
        <f t="shared" si="14"/>
        <v>#NUM!</v>
      </c>
      <c r="K154" s="147" t="e">
        <f t="shared" si="11"/>
        <v>#NUM!</v>
      </c>
      <c r="L154" s="147"/>
      <c r="M154" s="149">
        <f t="shared" si="12"/>
        <v>0</v>
      </c>
    </row>
    <row r="155" spans="1:13" x14ac:dyDescent="0.25">
      <c r="A155" s="163"/>
      <c r="G155" s="133"/>
      <c r="H155" s="147">
        <v>150</v>
      </c>
      <c r="I155" s="148" t="str">
        <f t="shared" si="13"/>
        <v/>
      </c>
      <c r="J155" s="147" t="e">
        <f t="shared" si="14"/>
        <v>#NUM!</v>
      </c>
      <c r="K155" s="147" t="e">
        <f t="shared" si="11"/>
        <v>#NUM!</v>
      </c>
      <c r="L155" s="147"/>
      <c r="M155" s="149">
        <f t="shared" si="12"/>
        <v>0</v>
      </c>
    </row>
    <row r="156" spans="1:13" x14ac:dyDescent="0.25">
      <c r="A156" s="163"/>
      <c r="G156" s="133"/>
      <c r="H156" s="147">
        <v>151</v>
      </c>
      <c r="I156" s="148" t="str">
        <f t="shared" si="13"/>
        <v/>
      </c>
      <c r="J156" s="147" t="e">
        <f t="shared" si="14"/>
        <v>#NUM!</v>
      </c>
      <c r="K156" s="147" t="e">
        <f t="shared" si="11"/>
        <v>#NUM!</v>
      </c>
      <c r="L156" s="147"/>
      <c r="M156" s="149">
        <f t="shared" si="12"/>
        <v>0</v>
      </c>
    </row>
    <row r="157" spans="1:13" x14ac:dyDescent="0.25">
      <c r="A157" s="163"/>
      <c r="G157" s="133"/>
      <c r="H157" s="147">
        <v>152</v>
      </c>
      <c r="I157" s="148" t="str">
        <f t="shared" si="13"/>
        <v/>
      </c>
      <c r="J157" s="147" t="e">
        <f t="shared" si="14"/>
        <v>#NUM!</v>
      </c>
      <c r="K157" s="147" t="e">
        <f t="shared" si="11"/>
        <v>#NUM!</v>
      </c>
      <c r="L157" s="147"/>
      <c r="M157" s="149">
        <f t="shared" si="12"/>
        <v>0</v>
      </c>
    </row>
    <row r="158" spans="1:13" x14ac:dyDescent="0.25">
      <c r="A158" s="163"/>
      <c r="G158" s="133"/>
      <c r="H158" s="147">
        <v>153</v>
      </c>
      <c r="I158" s="148" t="str">
        <f t="shared" si="13"/>
        <v/>
      </c>
      <c r="J158" s="147" t="e">
        <f t="shared" si="14"/>
        <v>#NUM!</v>
      </c>
      <c r="K158" s="147" t="e">
        <f t="shared" si="11"/>
        <v>#NUM!</v>
      </c>
      <c r="L158" s="147"/>
      <c r="M158" s="149">
        <f t="shared" si="12"/>
        <v>0</v>
      </c>
    </row>
    <row r="159" spans="1:13" x14ac:dyDescent="0.25">
      <c r="A159" s="163"/>
      <c r="G159" s="133"/>
      <c r="H159" s="147">
        <v>154</v>
      </c>
      <c r="I159" s="148" t="str">
        <f t="shared" si="13"/>
        <v/>
      </c>
      <c r="J159" s="147" t="e">
        <f t="shared" si="14"/>
        <v>#NUM!</v>
      </c>
      <c r="K159" s="147" t="e">
        <f t="shared" si="11"/>
        <v>#NUM!</v>
      </c>
      <c r="L159" s="147"/>
      <c r="M159" s="149">
        <f t="shared" si="12"/>
        <v>0</v>
      </c>
    </row>
    <row r="160" spans="1:13" x14ac:dyDescent="0.25">
      <c r="A160" s="163"/>
      <c r="G160" s="133"/>
      <c r="H160" s="147">
        <v>155</v>
      </c>
      <c r="I160" s="148" t="str">
        <f t="shared" si="13"/>
        <v/>
      </c>
      <c r="J160" s="147" t="e">
        <f t="shared" si="14"/>
        <v>#NUM!</v>
      </c>
      <c r="K160" s="147" t="e">
        <f t="shared" si="11"/>
        <v>#NUM!</v>
      </c>
      <c r="L160" s="147"/>
      <c r="M160" s="149">
        <f t="shared" si="12"/>
        <v>0</v>
      </c>
    </row>
    <row r="161" spans="1:13" x14ac:dyDescent="0.25">
      <c r="A161" s="163"/>
      <c r="G161" s="133"/>
      <c r="H161" s="147">
        <v>156</v>
      </c>
      <c r="I161" s="148" t="str">
        <f t="shared" si="13"/>
        <v/>
      </c>
      <c r="J161" s="147" t="e">
        <f t="shared" si="14"/>
        <v>#NUM!</v>
      </c>
      <c r="K161" s="147" t="e">
        <f t="shared" si="11"/>
        <v>#NUM!</v>
      </c>
      <c r="L161" s="147"/>
      <c r="M161" s="149">
        <f t="shared" si="12"/>
        <v>0</v>
      </c>
    </row>
    <row r="162" spans="1:13" x14ac:dyDescent="0.25">
      <c r="A162" s="163"/>
      <c r="G162" s="133"/>
      <c r="H162" s="147">
        <v>157</v>
      </c>
      <c r="I162" s="148" t="str">
        <f t="shared" si="13"/>
        <v/>
      </c>
      <c r="J162" s="147" t="e">
        <f t="shared" si="14"/>
        <v>#NUM!</v>
      </c>
      <c r="K162" s="147" t="e">
        <f t="shared" si="11"/>
        <v>#NUM!</v>
      </c>
      <c r="L162" s="147"/>
      <c r="M162" s="149">
        <f t="shared" si="12"/>
        <v>0</v>
      </c>
    </row>
    <row r="163" spans="1:13" x14ac:dyDescent="0.25">
      <c r="A163" s="163"/>
      <c r="G163" s="133"/>
      <c r="H163" s="147">
        <v>158</v>
      </c>
      <c r="I163" s="148" t="str">
        <f t="shared" si="13"/>
        <v/>
      </c>
      <c r="J163" s="147" t="e">
        <f t="shared" si="14"/>
        <v>#NUM!</v>
      </c>
      <c r="K163" s="147" t="e">
        <f t="shared" si="11"/>
        <v>#NUM!</v>
      </c>
      <c r="L163" s="147"/>
      <c r="M163" s="149">
        <f t="shared" si="12"/>
        <v>0</v>
      </c>
    </row>
    <row r="164" spans="1:13" x14ac:dyDescent="0.25">
      <c r="A164" s="163"/>
      <c r="G164" s="133"/>
      <c r="H164" s="147">
        <v>159</v>
      </c>
      <c r="I164" s="148" t="str">
        <f t="shared" si="13"/>
        <v/>
      </c>
      <c r="J164" s="147" t="e">
        <f t="shared" si="14"/>
        <v>#NUM!</v>
      </c>
      <c r="K164" s="147" t="e">
        <f t="shared" si="11"/>
        <v>#NUM!</v>
      </c>
      <c r="L164" s="147"/>
      <c r="M164" s="149">
        <f t="shared" si="12"/>
        <v>0</v>
      </c>
    </row>
    <row r="165" spans="1:13" x14ac:dyDescent="0.25">
      <c r="A165" s="163"/>
      <c r="G165" s="133"/>
      <c r="H165" s="147">
        <v>160</v>
      </c>
      <c r="I165" s="148" t="str">
        <f t="shared" si="13"/>
        <v/>
      </c>
      <c r="J165" s="147" t="e">
        <f t="shared" si="14"/>
        <v>#NUM!</v>
      </c>
      <c r="K165" s="147" t="e">
        <f t="shared" si="11"/>
        <v>#NUM!</v>
      </c>
      <c r="L165" s="147"/>
      <c r="M165" s="149">
        <f t="shared" si="12"/>
        <v>0</v>
      </c>
    </row>
    <row r="166" spans="1:13" x14ac:dyDescent="0.25">
      <c r="A166" s="163"/>
      <c r="G166" s="133"/>
      <c r="H166" s="147">
        <v>161</v>
      </c>
      <c r="I166" s="148" t="str">
        <f t="shared" si="13"/>
        <v/>
      </c>
      <c r="J166" s="147" t="e">
        <f t="shared" si="14"/>
        <v>#NUM!</v>
      </c>
      <c r="K166" s="147" t="e">
        <f t="shared" si="11"/>
        <v>#NUM!</v>
      </c>
      <c r="L166" s="147"/>
      <c r="M166" s="149">
        <f t="shared" si="12"/>
        <v>0</v>
      </c>
    </row>
    <row r="167" spans="1:13" x14ac:dyDescent="0.25">
      <c r="A167" s="163"/>
      <c r="G167" s="133"/>
      <c r="H167" s="147">
        <v>162</v>
      </c>
      <c r="I167" s="148" t="str">
        <f t="shared" si="13"/>
        <v/>
      </c>
      <c r="J167" s="147" t="e">
        <f t="shared" si="14"/>
        <v>#NUM!</v>
      </c>
      <c r="K167" s="147" t="e">
        <f t="shared" si="11"/>
        <v>#NUM!</v>
      </c>
      <c r="L167" s="147"/>
      <c r="M167" s="149">
        <f t="shared" si="12"/>
        <v>0</v>
      </c>
    </row>
    <row r="168" spans="1:13" x14ac:dyDescent="0.25">
      <c r="A168" s="163"/>
      <c r="G168" s="133"/>
      <c r="H168" s="147">
        <v>163</v>
      </c>
      <c r="I168" s="148" t="str">
        <f t="shared" si="13"/>
        <v/>
      </c>
      <c r="J168" s="147" t="e">
        <f t="shared" si="14"/>
        <v>#NUM!</v>
      </c>
      <c r="K168" s="147" t="e">
        <f t="shared" si="11"/>
        <v>#NUM!</v>
      </c>
      <c r="L168" s="147"/>
      <c r="M168" s="149">
        <f t="shared" si="12"/>
        <v>0</v>
      </c>
    </row>
    <row r="169" spans="1:13" x14ac:dyDescent="0.25">
      <c r="A169" s="163"/>
      <c r="G169" s="133"/>
      <c r="H169" s="147">
        <v>164</v>
      </c>
      <c r="I169" s="148" t="str">
        <f t="shared" si="13"/>
        <v/>
      </c>
      <c r="J169" s="147" t="e">
        <f t="shared" si="14"/>
        <v>#NUM!</v>
      </c>
      <c r="K169" s="147" t="e">
        <f t="shared" si="11"/>
        <v>#NUM!</v>
      </c>
      <c r="L169" s="147"/>
      <c r="M169" s="149">
        <f t="shared" si="12"/>
        <v>0</v>
      </c>
    </row>
    <row r="170" spans="1:13" x14ac:dyDescent="0.25">
      <c r="A170" s="163"/>
      <c r="G170" s="133"/>
      <c r="H170" s="147">
        <v>165</v>
      </c>
      <c r="I170" s="148" t="str">
        <f t="shared" si="13"/>
        <v/>
      </c>
      <c r="J170" s="147" t="e">
        <f t="shared" si="14"/>
        <v>#NUM!</v>
      </c>
      <c r="K170" s="147" t="e">
        <f t="shared" si="11"/>
        <v>#NUM!</v>
      </c>
      <c r="L170" s="147"/>
      <c r="M170" s="149">
        <f t="shared" si="12"/>
        <v>0</v>
      </c>
    </row>
    <row r="171" spans="1:13" x14ac:dyDescent="0.25">
      <c r="A171" s="163"/>
      <c r="G171" s="133"/>
      <c r="H171" s="147">
        <v>166</v>
      </c>
      <c r="I171" s="148" t="str">
        <f t="shared" si="13"/>
        <v/>
      </c>
      <c r="J171" s="147" t="e">
        <f t="shared" si="14"/>
        <v>#NUM!</v>
      </c>
      <c r="K171" s="147" t="e">
        <f t="shared" si="11"/>
        <v>#NUM!</v>
      </c>
      <c r="L171" s="147"/>
      <c r="M171" s="149">
        <f t="shared" si="12"/>
        <v>0</v>
      </c>
    </row>
    <row r="172" spans="1:13" x14ac:dyDescent="0.25">
      <c r="A172" s="163"/>
      <c r="G172" s="133"/>
      <c r="H172" s="147">
        <v>167</v>
      </c>
      <c r="I172" s="148" t="str">
        <f t="shared" si="13"/>
        <v/>
      </c>
      <c r="J172" s="147" t="e">
        <f t="shared" si="14"/>
        <v>#NUM!</v>
      </c>
      <c r="K172" s="147" t="e">
        <f t="shared" si="11"/>
        <v>#NUM!</v>
      </c>
      <c r="L172" s="147"/>
      <c r="M172" s="149">
        <f t="shared" si="12"/>
        <v>0</v>
      </c>
    </row>
    <row r="173" spans="1:13" x14ac:dyDescent="0.25">
      <c r="A173" s="163"/>
      <c r="G173" s="133"/>
      <c r="H173" s="147">
        <v>168</v>
      </c>
      <c r="I173" s="148" t="str">
        <f t="shared" si="13"/>
        <v/>
      </c>
      <c r="J173" s="147" t="e">
        <f t="shared" si="14"/>
        <v>#NUM!</v>
      </c>
      <c r="K173" s="147" t="e">
        <f t="shared" si="11"/>
        <v>#NUM!</v>
      </c>
      <c r="L173" s="147"/>
      <c r="M173" s="149">
        <f t="shared" si="12"/>
        <v>0</v>
      </c>
    </row>
    <row r="174" spans="1:13" x14ac:dyDescent="0.25">
      <c r="A174" s="163"/>
      <c r="G174" s="133"/>
      <c r="H174" s="147">
        <v>169</v>
      </c>
      <c r="I174" s="148" t="str">
        <f t="shared" si="13"/>
        <v/>
      </c>
      <c r="J174" s="147" t="e">
        <f t="shared" si="14"/>
        <v>#NUM!</v>
      </c>
      <c r="K174" s="147" t="e">
        <f t="shared" si="11"/>
        <v>#NUM!</v>
      </c>
      <c r="L174" s="147"/>
      <c r="M174" s="149">
        <f t="shared" si="12"/>
        <v>0</v>
      </c>
    </row>
    <row r="175" spans="1:13" x14ac:dyDescent="0.25">
      <c r="A175" s="163"/>
      <c r="G175" s="133"/>
      <c r="H175" s="147">
        <v>170</v>
      </c>
      <c r="I175" s="148" t="str">
        <f t="shared" si="13"/>
        <v/>
      </c>
      <c r="J175" s="147" t="e">
        <f t="shared" si="14"/>
        <v>#NUM!</v>
      </c>
      <c r="K175" s="147" t="e">
        <f t="shared" si="11"/>
        <v>#NUM!</v>
      </c>
      <c r="L175" s="147"/>
      <c r="M175" s="149">
        <f t="shared" si="12"/>
        <v>0</v>
      </c>
    </row>
    <row r="176" spans="1:13" x14ac:dyDescent="0.25">
      <c r="A176" s="163"/>
      <c r="G176" s="133"/>
      <c r="H176" s="147">
        <v>171</v>
      </c>
      <c r="I176" s="148" t="str">
        <f t="shared" si="13"/>
        <v/>
      </c>
      <c r="J176" s="147" t="e">
        <f t="shared" si="14"/>
        <v>#NUM!</v>
      </c>
      <c r="K176" s="147" t="e">
        <f t="shared" si="11"/>
        <v>#NUM!</v>
      </c>
      <c r="L176" s="147"/>
      <c r="M176" s="149">
        <f t="shared" si="12"/>
        <v>0</v>
      </c>
    </row>
    <row r="177" spans="1:13" x14ac:dyDescent="0.25">
      <c r="A177" s="163"/>
      <c r="G177" s="133"/>
      <c r="H177" s="147">
        <v>172</v>
      </c>
      <c r="I177" s="148" t="str">
        <f t="shared" si="13"/>
        <v/>
      </c>
      <c r="J177" s="147" t="e">
        <f t="shared" si="14"/>
        <v>#NUM!</v>
      </c>
      <c r="K177" s="147" t="e">
        <f t="shared" si="11"/>
        <v>#NUM!</v>
      </c>
      <c r="L177" s="147"/>
      <c r="M177" s="149">
        <f t="shared" si="12"/>
        <v>0</v>
      </c>
    </row>
    <row r="178" spans="1:13" x14ac:dyDescent="0.25">
      <c r="A178" s="163"/>
      <c r="G178" s="133"/>
      <c r="H178" s="147">
        <v>173</v>
      </c>
      <c r="I178" s="148" t="str">
        <f t="shared" si="13"/>
        <v/>
      </c>
      <c r="J178" s="147" t="e">
        <f t="shared" si="14"/>
        <v>#NUM!</v>
      </c>
      <c r="K178" s="147" t="e">
        <f t="shared" si="11"/>
        <v>#NUM!</v>
      </c>
      <c r="L178" s="147"/>
      <c r="M178" s="149">
        <f t="shared" si="12"/>
        <v>0</v>
      </c>
    </row>
    <row r="179" spans="1:13" x14ac:dyDescent="0.25">
      <c r="A179" s="163"/>
      <c r="G179" s="133"/>
      <c r="H179" s="147">
        <v>174</v>
      </c>
      <c r="I179" s="148" t="str">
        <f t="shared" si="13"/>
        <v/>
      </c>
      <c r="J179" s="147" t="e">
        <f t="shared" si="14"/>
        <v>#NUM!</v>
      </c>
      <c r="K179" s="147" t="e">
        <f t="shared" si="11"/>
        <v>#NUM!</v>
      </c>
      <c r="L179" s="147"/>
      <c r="M179" s="149">
        <f t="shared" si="12"/>
        <v>0</v>
      </c>
    </row>
    <row r="180" spans="1:13" x14ac:dyDescent="0.25">
      <c r="A180" s="163"/>
      <c r="G180" s="133"/>
      <c r="H180" s="147">
        <v>175</v>
      </c>
      <c r="I180" s="148" t="str">
        <f t="shared" si="13"/>
        <v/>
      </c>
      <c r="J180" s="147" t="e">
        <f t="shared" si="14"/>
        <v>#NUM!</v>
      </c>
      <c r="K180" s="147" t="e">
        <f t="shared" si="11"/>
        <v>#NUM!</v>
      </c>
      <c r="L180" s="147"/>
      <c r="M180" s="149">
        <f t="shared" si="12"/>
        <v>0</v>
      </c>
    </row>
    <row r="181" spans="1:13" x14ac:dyDescent="0.25">
      <c r="A181" s="163"/>
      <c r="G181" s="133"/>
      <c r="H181" s="147">
        <v>176</v>
      </c>
      <c r="I181" s="148" t="str">
        <f t="shared" si="13"/>
        <v/>
      </c>
      <c r="J181" s="147" t="e">
        <f t="shared" si="14"/>
        <v>#NUM!</v>
      </c>
      <c r="K181" s="147" t="e">
        <f t="shared" si="11"/>
        <v>#NUM!</v>
      </c>
      <c r="L181" s="147"/>
      <c r="M181" s="149">
        <f t="shared" si="12"/>
        <v>0</v>
      </c>
    </row>
    <row r="182" spans="1:13" x14ac:dyDescent="0.25">
      <c r="A182" s="163"/>
      <c r="G182" s="133"/>
      <c r="H182" s="147">
        <v>177</v>
      </c>
      <c r="I182" s="148" t="str">
        <f t="shared" si="13"/>
        <v/>
      </c>
      <c r="J182" s="147" t="e">
        <f t="shared" si="14"/>
        <v>#NUM!</v>
      </c>
      <c r="K182" s="147" t="e">
        <f t="shared" si="11"/>
        <v>#NUM!</v>
      </c>
      <c r="L182" s="147"/>
      <c r="M182" s="149">
        <f t="shared" si="12"/>
        <v>0</v>
      </c>
    </row>
    <row r="183" spans="1:13" x14ac:dyDescent="0.25">
      <c r="A183" s="163"/>
      <c r="G183" s="133"/>
      <c r="H183" s="147">
        <v>178</v>
      </c>
      <c r="I183" s="148" t="str">
        <f t="shared" si="13"/>
        <v/>
      </c>
      <c r="J183" s="147" t="e">
        <f t="shared" si="14"/>
        <v>#NUM!</v>
      </c>
      <c r="K183" s="147" t="e">
        <f t="shared" si="11"/>
        <v>#NUM!</v>
      </c>
      <c r="L183" s="147"/>
      <c r="M183" s="149">
        <f t="shared" si="12"/>
        <v>0</v>
      </c>
    </row>
    <row r="184" spans="1:13" x14ac:dyDescent="0.25">
      <c r="A184" s="163"/>
      <c r="G184" s="133"/>
      <c r="H184" s="147">
        <v>179</v>
      </c>
      <c r="I184" s="148" t="str">
        <f t="shared" si="13"/>
        <v/>
      </c>
      <c r="J184" s="147" t="e">
        <f t="shared" si="14"/>
        <v>#NUM!</v>
      </c>
      <c r="K184" s="147" t="e">
        <f t="shared" si="11"/>
        <v>#NUM!</v>
      </c>
      <c r="L184" s="147"/>
      <c r="M184" s="149">
        <f t="shared" si="12"/>
        <v>0</v>
      </c>
    </row>
    <row r="185" spans="1:13" x14ac:dyDescent="0.25">
      <c r="A185" s="163"/>
      <c r="G185" s="133"/>
      <c r="H185" s="147">
        <v>180</v>
      </c>
      <c r="I185" s="148" t="str">
        <f t="shared" si="13"/>
        <v/>
      </c>
      <c r="J185" s="147" t="e">
        <f t="shared" si="14"/>
        <v>#NUM!</v>
      </c>
      <c r="K185" s="147" t="e">
        <f t="shared" si="11"/>
        <v>#NUM!</v>
      </c>
      <c r="L185" s="147"/>
      <c r="M185" s="149">
        <f t="shared" si="12"/>
        <v>0</v>
      </c>
    </row>
    <row r="186" spans="1:13" x14ac:dyDescent="0.25">
      <c r="A186" s="163"/>
      <c r="G186" s="133"/>
      <c r="H186" s="147">
        <v>181</v>
      </c>
      <c r="I186" s="148" t="str">
        <f t="shared" si="13"/>
        <v/>
      </c>
      <c r="J186" s="147" t="e">
        <f t="shared" si="14"/>
        <v>#NUM!</v>
      </c>
      <c r="K186" s="147" t="e">
        <f t="shared" si="11"/>
        <v>#NUM!</v>
      </c>
      <c r="L186" s="147"/>
      <c r="M186" s="149">
        <f t="shared" si="12"/>
        <v>0</v>
      </c>
    </row>
    <row r="187" spans="1:13" x14ac:dyDescent="0.25">
      <c r="A187" s="163"/>
      <c r="G187" s="133"/>
      <c r="H187" s="147">
        <v>182</v>
      </c>
      <c r="I187" s="148" t="str">
        <f t="shared" si="13"/>
        <v/>
      </c>
      <c r="J187" s="147" t="e">
        <f t="shared" si="14"/>
        <v>#NUM!</v>
      </c>
      <c r="K187" s="147" t="e">
        <f t="shared" si="11"/>
        <v>#NUM!</v>
      </c>
      <c r="L187" s="147"/>
      <c r="M187" s="149">
        <f t="shared" si="12"/>
        <v>0</v>
      </c>
    </row>
    <row r="188" spans="1:13" x14ac:dyDescent="0.25">
      <c r="A188" s="163"/>
      <c r="G188" s="133"/>
      <c r="H188" s="147">
        <v>183</v>
      </c>
      <c r="I188" s="148" t="str">
        <f t="shared" si="13"/>
        <v/>
      </c>
      <c r="J188" s="147" t="e">
        <f t="shared" si="14"/>
        <v>#NUM!</v>
      </c>
      <c r="K188" s="147" t="e">
        <f t="shared" si="11"/>
        <v>#NUM!</v>
      </c>
      <c r="L188" s="147"/>
      <c r="M188" s="149">
        <f t="shared" si="12"/>
        <v>0</v>
      </c>
    </row>
    <row r="189" spans="1:13" x14ac:dyDescent="0.25">
      <c r="A189" s="163"/>
      <c r="G189" s="133"/>
      <c r="H189" s="147">
        <v>184</v>
      </c>
      <c r="I189" s="148" t="str">
        <f t="shared" si="13"/>
        <v/>
      </c>
      <c r="J189" s="147" t="e">
        <f t="shared" si="14"/>
        <v>#NUM!</v>
      </c>
      <c r="K189" s="147" t="e">
        <f t="shared" si="11"/>
        <v>#NUM!</v>
      </c>
      <c r="L189" s="147"/>
      <c r="M189" s="149">
        <f t="shared" si="12"/>
        <v>0</v>
      </c>
    </row>
    <row r="190" spans="1:13" x14ac:dyDescent="0.25">
      <c r="A190" s="163"/>
      <c r="G190" s="133"/>
      <c r="H190" s="147">
        <v>185</v>
      </c>
      <c r="I190" s="148" t="str">
        <f t="shared" si="13"/>
        <v/>
      </c>
      <c r="J190" s="147" t="e">
        <f t="shared" si="14"/>
        <v>#NUM!</v>
      </c>
      <c r="K190" s="147" t="e">
        <f t="shared" si="11"/>
        <v>#NUM!</v>
      </c>
      <c r="L190" s="147"/>
      <c r="M190" s="149">
        <f t="shared" si="12"/>
        <v>0</v>
      </c>
    </row>
    <row r="191" spans="1:13" x14ac:dyDescent="0.25">
      <c r="A191" s="163"/>
      <c r="G191" s="133"/>
      <c r="H191" s="147">
        <v>186</v>
      </c>
      <c r="I191" s="148" t="str">
        <f t="shared" si="13"/>
        <v/>
      </c>
      <c r="J191" s="147" t="e">
        <f t="shared" si="14"/>
        <v>#NUM!</v>
      </c>
      <c r="K191" s="147" t="e">
        <f t="shared" si="11"/>
        <v>#NUM!</v>
      </c>
      <c r="L191" s="147"/>
      <c r="M191" s="149">
        <f t="shared" si="12"/>
        <v>0</v>
      </c>
    </row>
    <row r="192" spans="1:13" x14ac:dyDescent="0.25">
      <c r="A192" s="163"/>
      <c r="G192" s="133"/>
      <c r="H192" s="147">
        <v>187</v>
      </c>
      <c r="I192" s="148" t="str">
        <f t="shared" si="13"/>
        <v/>
      </c>
      <c r="J192" s="147" t="e">
        <f t="shared" si="14"/>
        <v>#NUM!</v>
      </c>
      <c r="K192" s="147" t="e">
        <f t="shared" si="11"/>
        <v>#NUM!</v>
      </c>
      <c r="L192" s="147"/>
      <c r="M192" s="149">
        <f t="shared" si="12"/>
        <v>0</v>
      </c>
    </row>
    <row r="193" spans="1:13" x14ac:dyDescent="0.25">
      <c r="A193" s="163"/>
      <c r="G193" s="133"/>
      <c r="H193" s="147">
        <v>188</v>
      </c>
      <c r="I193" s="148" t="str">
        <f t="shared" si="13"/>
        <v/>
      </c>
      <c r="J193" s="147" t="e">
        <f t="shared" si="14"/>
        <v>#NUM!</v>
      </c>
      <c r="K193" s="147" t="e">
        <f t="shared" si="11"/>
        <v>#NUM!</v>
      </c>
      <c r="L193" s="147"/>
      <c r="M193" s="149">
        <f t="shared" si="12"/>
        <v>0</v>
      </c>
    </row>
    <row r="194" spans="1:13" x14ac:dyDescent="0.25">
      <c r="A194" s="163"/>
      <c r="G194" s="133"/>
      <c r="H194" s="147">
        <v>189</v>
      </c>
      <c r="I194" s="148" t="str">
        <f t="shared" si="13"/>
        <v/>
      </c>
      <c r="J194" s="147" t="e">
        <f t="shared" si="14"/>
        <v>#NUM!</v>
      </c>
      <c r="K194" s="147" t="e">
        <f t="shared" si="11"/>
        <v>#NUM!</v>
      </c>
      <c r="L194" s="147"/>
      <c r="M194" s="149">
        <f t="shared" si="12"/>
        <v>0</v>
      </c>
    </row>
    <row r="195" spans="1:13" x14ac:dyDescent="0.25">
      <c r="A195" s="163"/>
      <c r="G195" s="133"/>
      <c r="H195" s="147">
        <v>190</v>
      </c>
      <c r="I195" s="148" t="str">
        <f t="shared" si="13"/>
        <v/>
      </c>
      <c r="J195" s="147" t="e">
        <f t="shared" si="14"/>
        <v>#NUM!</v>
      </c>
      <c r="K195" s="147" t="e">
        <f t="shared" si="11"/>
        <v>#NUM!</v>
      </c>
      <c r="L195" s="147"/>
      <c r="M195" s="149">
        <f t="shared" si="12"/>
        <v>0</v>
      </c>
    </row>
    <row r="196" spans="1:13" x14ac:dyDescent="0.25">
      <c r="A196" s="163"/>
      <c r="G196" s="133"/>
      <c r="H196" s="147">
        <v>191</v>
      </c>
      <c r="I196" s="148" t="str">
        <f t="shared" si="13"/>
        <v/>
      </c>
      <c r="J196" s="147" t="e">
        <f t="shared" si="14"/>
        <v>#NUM!</v>
      </c>
      <c r="K196" s="147" t="e">
        <f t="shared" si="11"/>
        <v>#NUM!</v>
      </c>
      <c r="L196" s="147"/>
      <c r="M196" s="149">
        <f t="shared" si="12"/>
        <v>0</v>
      </c>
    </row>
    <row r="197" spans="1:13" x14ac:dyDescent="0.25">
      <c r="A197" s="163"/>
      <c r="G197" s="133"/>
      <c r="H197" s="147">
        <v>192</v>
      </c>
      <c r="I197" s="148" t="str">
        <f t="shared" si="13"/>
        <v/>
      </c>
      <c r="J197" s="147" t="e">
        <f t="shared" si="14"/>
        <v>#NUM!</v>
      </c>
      <c r="K197" s="147" t="e">
        <f t="shared" si="11"/>
        <v>#NUM!</v>
      </c>
      <c r="L197" s="147"/>
      <c r="M197" s="149">
        <f t="shared" si="12"/>
        <v>0</v>
      </c>
    </row>
    <row r="198" spans="1:13" x14ac:dyDescent="0.25">
      <c r="A198" s="163"/>
      <c r="G198" s="133"/>
      <c r="H198" s="147">
        <v>193</v>
      </c>
      <c r="I198" s="148" t="str">
        <f t="shared" si="13"/>
        <v/>
      </c>
      <c r="J198" s="147" t="e">
        <f t="shared" si="14"/>
        <v>#NUM!</v>
      </c>
      <c r="K198" s="147" t="e">
        <f t="shared" ref="K198:K261" si="15">J198*$J$2</f>
        <v>#NUM!</v>
      </c>
      <c r="L198" s="147"/>
      <c r="M198" s="149">
        <f t="shared" ref="M198:M261" si="16">IF(I198&lt;&gt;"",K198+I198+L198,0)</f>
        <v>0</v>
      </c>
    </row>
    <row r="199" spans="1:13" x14ac:dyDescent="0.25">
      <c r="A199" s="163"/>
      <c r="G199" s="133"/>
      <c r="H199" s="147">
        <v>194</v>
      </c>
      <c r="I199" s="148" t="str">
        <f t="shared" ref="I199:I262" si="17">IF(H199&lt;$H$2+1,($I$2-($I$2-1)*(LOG(H199)/LOG($H$2))),"")</f>
        <v/>
      </c>
      <c r="J199" s="147" t="e">
        <f t="shared" ref="J199:J262" si="18">INT(LOG($H$2,2))-ROUNDUP(LOG(H199,2),0)+IF(OR($H$2=1,$H$2=2,$H$2=4,$H$2=8,$H$2=16,$H$2=32,$H$2=64,$H$2=128,$H$2=256),0,1)</f>
        <v>#NUM!</v>
      </c>
      <c r="K199" s="147" t="e">
        <f t="shared" si="15"/>
        <v>#NUM!</v>
      </c>
      <c r="L199" s="147"/>
      <c r="M199" s="149">
        <f t="shared" si="16"/>
        <v>0</v>
      </c>
    </row>
    <row r="200" spans="1:13" x14ac:dyDescent="0.25">
      <c r="A200" s="163"/>
      <c r="G200" s="133"/>
      <c r="H200" s="147">
        <v>195</v>
      </c>
      <c r="I200" s="148" t="str">
        <f t="shared" si="17"/>
        <v/>
      </c>
      <c r="J200" s="147" t="e">
        <f t="shared" si="18"/>
        <v>#NUM!</v>
      </c>
      <c r="K200" s="147" t="e">
        <f t="shared" si="15"/>
        <v>#NUM!</v>
      </c>
      <c r="L200" s="147"/>
      <c r="M200" s="149">
        <f t="shared" si="16"/>
        <v>0</v>
      </c>
    </row>
    <row r="201" spans="1:13" x14ac:dyDescent="0.25">
      <c r="A201" s="163"/>
      <c r="G201" s="133"/>
      <c r="H201" s="147">
        <v>196</v>
      </c>
      <c r="I201" s="148" t="str">
        <f t="shared" si="17"/>
        <v/>
      </c>
      <c r="J201" s="147" t="e">
        <f t="shared" si="18"/>
        <v>#NUM!</v>
      </c>
      <c r="K201" s="147" t="e">
        <f t="shared" si="15"/>
        <v>#NUM!</v>
      </c>
      <c r="L201" s="147"/>
      <c r="M201" s="149">
        <f t="shared" si="16"/>
        <v>0</v>
      </c>
    </row>
    <row r="202" spans="1:13" x14ac:dyDescent="0.25">
      <c r="A202" s="163"/>
      <c r="G202" s="133"/>
      <c r="H202" s="147">
        <v>197</v>
      </c>
      <c r="I202" s="148" t="str">
        <f t="shared" si="17"/>
        <v/>
      </c>
      <c r="J202" s="147" t="e">
        <f t="shared" si="18"/>
        <v>#NUM!</v>
      </c>
      <c r="K202" s="147" t="e">
        <f t="shared" si="15"/>
        <v>#NUM!</v>
      </c>
      <c r="L202" s="147"/>
      <c r="M202" s="149">
        <f t="shared" si="16"/>
        <v>0</v>
      </c>
    </row>
    <row r="203" spans="1:13" x14ac:dyDescent="0.25">
      <c r="A203" s="163"/>
      <c r="G203" s="133"/>
      <c r="H203" s="147">
        <v>198</v>
      </c>
      <c r="I203" s="148" t="str">
        <f t="shared" si="17"/>
        <v/>
      </c>
      <c r="J203" s="147" t="e">
        <f t="shared" si="18"/>
        <v>#NUM!</v>
      </c>
      <c r="K203" s="147" t="e">
        <f t="shared" si="15"/>
        <v>#NUM!</v>
      </c>
      <c r="L203" s="147"/>
      <c r="M203" s="149">
        <f t="shared" si="16"/>
        <v>0</v>
      </c>
    </row>
    <row r="204" spans="1:13" x14ac:dyDescent="0.25">
      <c r="A204" s="163"/>
      <c r="G204" s="133"/>
      <c r="H204" s="147">
        <v>199</v>
      </c>
      <c r="I204" s="148" t="str">
        <f t="shared" si="17"/>
        <v/>
      </c>
      <c r="J204" s="147" t="e">
        <f t="shared" si="18"/>
        <v>#NUM!</v>
      </c>
      <c r="K204" s="147" t="e">
        <f t="shared" si="15"/>
        <v>#NUM!</v>
      </c>
      <c r="L204" s="147"/>
      <c r="M204" s="149">
        <f t="shared" si="16"/>
        <v>0</v>
      </c>
    </row>
    <row r="205" spans="1:13" x14ac:dyDescent="0.25">
      <c r="A205" s="163"/>
      <c r="G205" s="133"/>
      <c r="H205" s="147">
        <v>200</v>
      </c>
      <c r="I205" s="148" t="str">
        <f t="shared" si="17"/>
        <v/>
      </c>
      <c r="J205" s="147" t="e">
        <f t="shared" si="18"/>
        <v>#NUM!</v>
      </c>
      <c r="K205" s="147" t="e">
        <f t="shared" si="15"/>
        <v>#NUM!</v>
      </c>
      <c r="L205" s="147"/>
      <c r="M205" s="149">
        <f t="shared" si="16"/>
        <v>0</v>
      </c>
    </row>
    <row r="206" spans="1:13" x14ac:dyDescent="0.25">
      <c r="A206" s="163"/>
      <c r="G206" s="133"/>
      <c r="H206" s="147">
        <v>201</v>
      </c>
      <c r="I206" s="148" t="str">
        <f t="shared" si="17"/>
        <v/>
      </c>
      <c r="J206" s="147" t="e">
        <f t="shared" si="18"/>
        <v>#NUM!</v>
      </c>
      <c r="K206" s="147" t="e">
        <f t="shared" si="15"/>
        <v>#NUM!</v>
      </c>
      <c r="L206" s="147"/>
      <c r="M206" s="149">
        <f t="shared" si="16"/>
        <v>0</v>
      </c>
    </row>
    <row r="207" spans="1:13" x14ac:dyDescent="0.25">
      <c r="A207" s="163"/>
      <c r="G207" s="133"/>
      <c r="H207" s="147">
        <v>202</v>
      </c>
      <c r="I207" s="148" t="str">
        <f t="shared" si="17"/>
        <v/>
      </c>
      <c r="J207" s="147" t="e">
        <f t="shared" si="18"/>
        <v>#NUM!</v>
      </c>
      <c r="K207" s="147" t="e">
        <f t="shared" si="15"/>
        <v>#NUM!</v>
      </c>
      <c r="L207" s="147"/>
      <c r="M207" s="149">
        <f t="shared" si="16"/>
        <v>0</v>
      </c>
    </row>
    <row r="208" spans="1:13" x14ac:dyDescent="0.25">
      <c r="A208" s="163"/>
      <c r="G208" s="133"/>
      <c r="H208" s="147">
        <v>203</v>
      </c>
      <c r="I208" s="148" t="str">
        <f t="shared" si="17"/>
        <v/>
      </c>
      <c r="J208" s="147" t="e">
        <f t="shared" si="18"/>
        <v>#NUM!</v>
      </c>
      <c r="K208" s="147" t="e">
        <f t="shared" si="15"/>
        <v>#NUM!</v>
      </c>
      <c r="L208" s="147"/>
      <c r="M208" s="149">
        <f t="shared" si="16"/>
        <v>0</v>
      </c>
    </row>
    <row r="209" spans="1:13" x14ac:dyDescent="0.25">
      <c r="A209" s="163"/>
      <c r="G209" s="133"/>
      <c r="H209" s="147">
        <v>204</v>
      </c>
      <c r="I209" s="148" t="str">
        <f t="shared" si="17"/>
        <v/>
      </c>
      <c r="J209" s="147" t="e">
        <f t="shared" si="18"/>
        <v>#NUM!</v>
      </c>
      <c r="K209" s="147" t="e">
        <f t="shared" si="15"/>
        <v>#NUM!</v>
      </c>
      <c r="L209" s="147"/>
      <c r="M209" s="149">
        <f t="shared" si="16"/>
        <v>0</v>
      </c>
    </row>
    <row r="210" spans="1:13" x14ac:dyDescent="0.25">
      <c r="A210" s="163"/>
      <c r="G210" s="133"/>
      <c r="H210" s="147">
        <v>205</v>
      </c>
      <c r="I210" s="148" t="str">
        <f t="shared" si="17"/>
        <v/>
      </c>
      <c r="J210" s="147" t="e">
        <f t="shared" si="18"/>
        <v>#NUM!</v>
      </c>
      <c r="K210" s="147" t="e">
        <f t="shared" si="15"/>
        <v>#NUM!</v>
      </c>
      <c r="L210" s="147"/>
      <c r="M210" s="149">
        <f t="shared" si="16"/>
        <v>0</v>
      </c>
    </row>
    <row r="211" spans="1:13" x14ac:dyDescent="0.25">
      <c r="A211" s="163"/>
      <c r="G211" s="133"/>
      <c r="H211" s="147">
        <v>206</v>
      </c>
      <c r="I211" s="148" t="str">
        <f t="shared" si="17"/>
        <v/>
      </c>
      <c r="J211" s="147" t="e">
        <f t="shared" si="18"/>
        <v>#NUM!</v>
      </c>
      <c r="K211" s="147" t="e">
        <f t="shared" si="15"/>
        <v>#NUM!</v>
      </c>
      <c r="L211" s="147"/>
      <c r="M211" s="149">
        <f t="shared" si="16"/>
        <v>0</v>
      </c>
    </row>
    <row r="212" spans="1:13" x14ac:dyDescent="0.25">
      <c r="A212" s="163"/>
      <c r="G212" s="133"/>
      <c r="H212" s="147">
        <v>207</v>
      </c>
      <c r="I212" s="148" t="str">
        <f t="shared" si="17"/>
        <v/>
      </c>
      <c r="J212" s="147" t="e">
        <f t="shared" si="18"/>
        <v>#NUM!</v>
      </c>
      <c r="K212" s="147" t="e">
        <f t="shared" si="15"/>
        <v>#NUM!</v>
      </c>
      <c r="L212" s="147"/>
      <c r="M212" s="149">
        <f t="shared" si="16"/>
        <v>0</v>
      </c>
    </row>
    <row r="213" spans="1:13" x14ac:dyDescent="0.25">
      <c r="A213" s="163"/>
      <c r="G213" s="133"/>
      <c r="H213" s="147">
        <v>208</v>
      </c>
      <c r="I213" s="148" t="str">
        <f t="shared" si="17"/>
        <v/>
      </c>
      <c r="J213" s="147" t="e">
        <f t="shared" si="18"/>
        <v>#NUM!</v>
      </c>
      <c r="K213" s="147" t="e">
        <f t="shared" si="15"/>
        <v>#NUM!</v>
      </c>
      <c r="L213" s="147"/>
      <c r="M213" s="149">
        <f t="shared" si="16"/>
        <v>0</v>
      </c>
    </row>
    <row r="214" spans="1:13" x14ac:dyDescent="0.25">
      <c r="A214" s="163"/>
      <c r="G214" s="133"/>
      <c r="H214" s="147">
        <v>209</v>
      </c>
      <c r="I214" s="148" t="str">
        <f t="shared" si="17"/>
        <v/>
      </c>
      <c r="J214" s="147" t="e">
        <f t="shared" si="18"/>
        <v>#NUM!</v>
      </c>
      <c r="K214" s="147" t="e">
        <f t="shared" si="15"/>
        <v>#NUM!</v>
      </c>
      <c r="L214" s="147"/>
      <c r="M214" s="149">
        <f t="shared" si="16"/>
        <v>0</v>
      </c>
    </row>
    <row r="215" spans="1:13" x14ac:dyDescent="0.25">
      <c r="A215" s="163"/>
      <c r="G215" s="133"/>
      <c r="H215" s="147">
        <v>210</v>
      </c>
      <c r="I215" s="148" t="str">
        <f t="shared" si="17"/>
        <v/>
      </c>
      <c r="J215" s="147" t="e">
        <f t="shared" si="18"/>
        <v>#NUM!</v>
      </c>
      <c r="K215" s="147" t="e">
        <f t="shared" si="15"/>
        <v>#NUM!</v>
      </c>
      <c r="L215" s="147"/>
      <c r="M215" s="149">
        <f t="shared" si="16"/>
        <v>0</v>
      </c>
    </row>
    <row r="216" spans="1:13" x14ac:dyDescent="0.25">
      <c r="A216" s="163"/>
      <c r="G216" s="133"/>
      <c r="H216" s="147">
        <v>211</v>
      </c>
      <c r="I216" s="148" t="str">
        <f t="shared" si="17"/>
        <v/>
      </c>
      <c r="J216" s="147" t="e">
        <f t="shared" si="18"/>
        <v>#NUM!</v>
      </c>
      <c r="K216" s="147" t="e">
        <f t="shared" si="15"/>
        <v>#NUM!</v>
      </c>
      <c r="L216" s="147"/>
      <c r="M216" s="149">
        <f t="shared" si="16"/>
        <v>0</v>
      </c>
    </row>
    <row r="217" spans="1:13" x14ac:dyDescent="0.25">
      <c r="A217" s="163"/>
      <c r="G217" s="133"/>
      <c r="H217" s="147">
        <v>212</v>
      </c>
      <c r="I217" s="148" t="str">
        <f t="shared" si="17"/>
        <v/>
      </c>
      <c r="J217" s="147" t="e">
        <f t="shared" si="18"/>
        <v>#NUM!</v>
      </c>
      <c r="K217" s="147" t="e">
        <f t="shared" si="15"/>
        <v>#NUM!</v>
      </c>
      <c r="L217" s="147"/>
      <c r="M217" s="149">
        <f t="shared" si="16"/>
        <v>0</v>
      </c>
    </row>
    <row r="218" spans="1:13" x14ac:dyDescent="0.25">
      <c r="A218" s="163"/>
      <c r="G218" s="133"/>
      <c r="H218" s="147">
        <v>213</v>
      </c>
      <c r="I218" s="148" t="str">
        <f t="shared" si="17"/>
        <v/>
      </c>
      <c r="J218" s="147" t="e">
        <f t="shared" si="18"/>
        <v>#NUM!</v>
      </c>
      <c r="K218" s="147" t="e">
        <f t="shared" si="15"/>
        <v>#NUM!</v>
      </c>
      <c r="L218" s="147"/>
      <c r="M218" s="149">
        <f t="shared" si="16"/>
        <v>0</v>
      </c>
    </row>
    <row r="219" spans="1:13" x14ac:dyDescent="0.25">
      <c r="A219" s="163"/>
      <c r="G219" s="133"/>
      <c r="H219" s="147">
        <v>214</v>
      </c>
      <c r="I219" s="148" t="str">
        <f t="shared" si="17"/>
        <v/>
      </c>
      <c r="J219" s="147" t="e">
        <f t="shared" si="18"/>
        <v>#NUM!</v>
      </c>
      <c r="K219" s="147" t="e">
        <f t="shared" si="15"/>
        <v>#NUM!</v>
      </c>
      <c r="L219" s="147"/>
      <c r="M219" s="149">
        <f t="shared" si="16"/>
        <v>0</v>
      </c>
    </row>
    <row r="220" spans="1:13" x14ac:dyDescent="0.25">
      <c r="A220" s="163"/>
      <c r="G220" s="133"/>
      <c r="H220" s="147">
        <v>215</v>
      </c>
      <c r="I220" s="148" t="str">
        <f t="shared" si="17"/>
        <v/>
      </c>
      <c r="J220" s="147" t="e">
        <f t="shared" si="18"/>
        <v>#NUM!</v>
      </c>
      <c r="K220" s="147" t="e">
        <f t="shared" si="15"/>
        <v>#NUM!</v>
      </c>
      <c r="L220" s="147"/>
      <c r="M220" s="149">
        <f t="shared" si="16"/>
        <v>0</v>
      </c>
    </row>
    <row r="221" spans="1:13" x14ac:dyDescent="0.25">
      <c r="A221" s="163"/>
      <c r="G221" s="133"/>
      <c r="H221" s="147">
        <v>216</v>
      </c>
      <c r="I221" s="148" t="str">
        <f t="shared" si="17"/>
        <v/>
      </c>
      <c r="J221" s="147" t="e">
        <f t="shared" si="18"/>
        <v>#NUM!</v>
      </c>
      <c r="K221" s="147" t="e">
        <f t="shared" si="15"/>
        <v>#NUM!</v>
      </c>
      <c r="L221" s="147"/>
      <c r="M221" s="149">
        <f t="shared" si="16"/>
        <v>0</v>
      </c>
    </row>
    <row r="222" spans="1:13" x14ac:dyDescent="0.25">
      <c r="A222" s="163"/>
      <c r="G222" s="133"/>
      <c r="H222" s="147">
        <v>217</v>
      </c>
      <c r="I222" s="148" t="str">
        <f t="shared" si="17"/>
        <v/>
      </c>
      <c r="J222" s="147" t="e">
        <f t="shared" si="18"/>
        <v>#NUM!</v>
      </c>
      <c r="K222" s="147" t="e">
        <f t="shared" si="15"/>
        <v>#NUM!</v>
      </c>
      <c r="L222" s="147"/>
      <c r="M222" s="149">
        <f t="shared" si="16"/>
        <v>0</v>
      </c>
    </row>
    <row r="223" spans="1:13" x14ac:dyDescent="0.25">
      <c r="A223" s="163"/>
      <c r="G223" s="133"/>
      <c r="H223" s="147">
        <v>218</v>
      </c>
      <c r="I223" s="148" t="str">
        <f t="shared" si="17"/>
        <v/>
      </c>
      <c r="J223" s="147" t="e">
        <f t="shared" si="18"/>
        <v>#NUM!</v>
      </c>
      <c r="K223" s="147" t="e">
        <f t="shared" si="15"/>
        <v>#NUM!</v>
      </c>
      <c r="L223" s="147"/>
      <c r="M223" s="149">
        <f t="shared" si="16"/>
        <v>0</v>
      </c>
    </row>
    <row r="224" spans="1:13" x14ac:dyDescent="0.25">
      <c r="A224" s="163"/>
      <c r="G224" s="133"/>
      <c r="H224" s="147">
        <v>219</v>
      </c>
      <c r="I224" s="148" t="str">
        <f t="shared" si="17"/>
        <v/>
      </c>
      <c r="J224" s="147" t="e">
        <f t="shared" si="18"/>
        <v>#NUM!</v>
      </c>
      <c r="K224" s="147" t="e">
        <f t="shared" si="15"/>
        <v>#NUM!</v>
      </c>
      <c r="L224" s="147"/>
      <c r="M224" s="149">
        <f t="shared" si="16"/>
        <v>0</v>
      </c>
    </row>
    <row r="225" spans="1:13" x14ac:dyDescent="0.25">
      <c r="A225" s="163"/>
      <c r="G225" s="133"/>
      <c r="H225" s="147">
        <v>220</v>
      </c>
      <c r="I225" s="148" t="str">
        <f t="shared" si="17"/>
        <v/>
      </c>
      <c r="J225" s="147" t="e">
        <f t="shared" si="18"/>
        <v>#NUM!</v>
      </c>
      <c r="K225" s="147" t="e">
        <f t="shared" si="15"/>
        <v>#NUM!</v>
      </c>
      <c r="L225" s="147"/>
      <c r="M225" s="149">
        <f t="shared" si="16"/>
        <v>0</v>
      </c>
    </row>
    <row r="226" spans="1:13" x14ac:dyDescent="0.25">
      <c r="A226" s="163"/>
      <c r="G226" s="133"/>
      <c r="H226" s="147">
        <v>221</v>
      </c>
      <c r="I226" s="148" t="str">
        <f t="shared" si="17"/>
        <v/>
      </c>
      <c r="J226" s="147" t="e">
        <f t="shared" si="18"/>
        <v>#NUM!</v>
      </c>
      <c r="K226" s="147" t="e">
        <f t="shared" si="15"/>
        <v>#NUM!</v>
      </c>
      <c r="L226" s="147"/>
      <c r="M226" s="149">
        <f t="shared" si="16"/>
        <v>0</v>
      </c>
    </row>
    <row r="227" spans="1:13" x14ac:dyDescent="0.25">
      <c r="A227" s="163"/>
      <c r="G227" s="133"/>
      <c r="H227" s="147">
        <v>222</v>
      </c>
      <c r="I227" s="148" t="str">
        <f t="shared" si="17"/>
        <v/>
      </c>
      <c r="J227" s="147" t="e">
        <f t="shared" si="18"/>
        <v>#NUM!</v>
      </c>
      <c r="K227" s="147" t="e">
        <f t="shared" si="15"/>
        <v>#NUM!</v>
      </c>
      <c r="L227" s="147"/>
      <c r="M227" s="149">
        <f t="shared" si="16"/>
        <v>0</v>
      </c>
    </row>
    <row r="228" spans="1:13" x14ac:dyDescent="0.25">
      <c r="A228" s="163"/>
      <c r="G228" s="133"/>
      <c r="H228" s="147">
        <v>223</v>
      </c>
      <c r="I228" s="148" t="str">
        <f t="shared" si="17"/>
        <v/>
      </c>
      <c r="J228" s="147" t="e">
        <f t="shared" si="18"/>
        <v>#NUM!</v>
      </c>
      <c r="K228" s="147" t="e">
        <f t="shared" si="15"/>
        <v>#NUM!</v>
      </c>
      <c r="L228" s="147"/>
      <c r="M228" s="149">
        <f t="shared" si="16"/>
        <v>0</v>
      </c>
    </row>
    <row r="229" spans="1:13" x14ac:dyDescent="0.25">
      <c r="A229" s="163"/>
      <c r="G229" s="133"/>
      <c r="H229" s="147">
        <v>224</v>
      </c>
      <c r="I229" s="148" t="str">
        <f t="shared" si="17"/>
        <v/>
      </c>
      <c r="J229" s="147" t="e">
        <f t="shared" si="18"/>
        <v>#NUM!</v>
      </c>
      <c r="K229" s="147" t="e">
        <f t="shared" si="15"/>
        <v>#NUM!</v>
      </c>
      <c r="L229" s="147"/>
      <c r="M229" s="149">
        <f t="shared" si="16"/>
        <v>0</v>
      </c>
    </row>
    <row r="230" spans="1:13" x14ac:dyDescent="0.25">
      <c r="A230" s="163"/>
      <c r="G230" s="133"/>
      <c r="H230" s="147">
        <v>225</v>
      </c>
      <c r="I230" s="148" t="str">
        <f t="shared" si="17"/>
        <v/>
      </c>
      <c r="J230" s="147" t="e">
        <f t="shared" si="18"/>
        <v>#NUM!</v>
      </c>
      <c r="K230" s="147" t="e">
        <f t="shared" si="15"/>
        <v>#NUM!</v>
      </c>
      <c r="L230" s="147"/>
      <c r="M230" s="149">
        <f t="shared" si="16"/>
        <v>0</v>
      </c>
    </row>
    <row r="231" spans="1:13" x14ac:dyDescent="0.25">
      <c r="A231" s="163"/>
      <c r="G231" s="133"/>
      <c r="H231" s="147">
        <v>226</v>
      </c>
      <c r="I231" s="148" t="str">
        <f t="shared" si="17"/>
        <v/>
      </c>
      <c r="J231" s="147" t="e">
        <f t="shared" si="18"/>
        <v>#NUM!</v>
      </c>
      <c r="K231" s="147" t="e">
        <f t="shared" si="15"/>
        <v>#NUM!</v>
      </c>
      <c r="L231" s="147"/>
      <c r="M231" s="149">
        <f t="shared" si="16"/>
        <v>0</v>
      </c>
    </row>
    <row r="232" spans="1:13" x14ac:dyDescent="0.25">
      <c r="A232" s="163"/>
      <c r="G232" s="133"/>
      <c r="H232" s="147">
        <v>227</v>
      </c>
      <c r="I232" s="148" t="str">
        <f t="shared" si="17"/>
        <v/>
      </c>
      <c r="J232" s="147" t="e">
        <f t="shared" si="18"/>
        <v>#NUM!</v>
      </c>
      <c r="K232" s="147" t="e">
        <f t="shared" si="15"/>
        <v>#NUM!</v>
      </c>
      <c r="L232" s="147"/>
      <c r="M232" s="149">
        <f t="shared" si="16"/>
        <v>0</v>
      </c>
    </row>
    <row r="233" spans="1:13" x14ac:dyDescent="0.25">
      <c r="A233" s="163"/>
      <c r="G233" s="133"/>
      <c r="H233" s="147">
        <v>228</v>
      </c>
      <c r="I233" s="148" t="str">
        <f t="shared" si="17"/>
        <v/>
      </c>
      <c r="J233" s="147" t="e">
        <f t="shared" si="18"/>
        <v>#NUM!</v>
      </c>
      <c r="K233" s="147" t="e">
        <f t="shared" si="15"/>
        <v>#NUM!</v>
      </c>
      <c r="L233" s="147"/>
      <c r="M233" s="149">
        <f t="shared" si="16"/>
        <v>0</v>
      </c>
    </row>
    <row r="234" spans="1:13" x14ac:dyDescent="0.25">
      <c r="A234" s="163"/>
      <c r="G234" s="133"/>
      <c r="H234" s="147">
        <v>229</v>
      </c>
      <c r="I234" s="148" t="str">
        <f t="shared" si="17"/>
        <v/>
      </c>
      <c r="J234" s="147" t="e">
        <f t="shared" si="18"/>
        <v>#NUM!</v>
      </c>
      <c r="K234" s="147" t="e">
        <f t="shared" si="15"/>
        <v>#NUM!</v>
      </c>
      <c r="L234" s="147"/>
      <c r="M234" s="149">
        <f t="shared" si="16"/>
        <v>0</v>
      </c>
    </row>
    <row r="235" spans="1:13" x14ac:dyDescent="0.25">
      <c r="A235" s="163"/>
      <c r="G235" s="133"/>
      <c r="H235" s="147">
        <v>230</v>
      </c>
      <c r="I235" s="148" t="str">
        <f t="shared" si="17"/>
        <v/>
      </c>
      <c r="J235" s="147" t="e">
        <f t="shared" si="18"/>
        <v>#NUM!</v>
      </c>
      <c r="K235" s="147" t="e">
        <f t="shared" si="15"/>
        <v>#NUM!</v>
      </c>
      <c r="L235" s="147"/>
      <c r="M235" s="149">
        <f t="shared" si="16"/>
        <v>0</v>
      </c>
    </row>
    <row r="236" spans="1:13" x14ac:dyDescent="0.25">
      <c r="A236" s="163"/>
      <c r="G236" s="133"/>
      <c r="H236" s="147">
        <v>231</v>
      </c>
      <c r="I236" s="148" t="str">
        <f t="shared" si="17"/>
        <v/>
      </c>
      <c r="J236" s="147" t="e">
        <f t="shared" si="18"/>
        <v>#NUM!</v>
      </c>
      <c r="K236" s="147" t="e">
        <f t="shared" si="15"/>
        <v>#NUM!</v>
      </c>
      <c r="L236" s="147"/>
      <c r="M236" s="149">
        <f t="shared" si="16"/>
        <v>0</v>
      </c>
    </row>
    <row r="237" spans="1:13" x14ac:dyDescent="0.25">
      <c r="A237" s="163"/>
      <c r="G237" s="133"/>
      <c r="H237" s="147">
        <v>232</v>
      </c>
      <c r="I237" s="148" t="str">
        <f t="shared" si="17"/>
        <v/>
      </c>
      <c r="J237" s="147" t="e">
        <f t="shared" si="18"/>
        <v>#NUM!</v>
      </c>
      <c r="K237" s="147" t="e">
        <f t="shared" si="15"/>
        <v>#NUM!</v>
      </c>
      <c r="L237" s="147"/>
      <c r="M237" s="149">
        <f t="shared" si="16"/>
        <v>0</v>
      </c>
    </row>
    <row r="238" spans="1:13" x14ac:dyDescent="0.25">
      <c r="A238" s="163"/>
      <c r="G238" s="133"/>
      <c r="H238" s="147">
        <v>233</v>
      </c>
      <c r="I238" s="148" t="str">
        <f t="shared" si="17"/>
        <v/>
      </c>
      <c r="J238" s="147" t="e">
        <f t="shared" si="18"/>
        <v>#NUM!</v>
      </c>
      <c r="K238" s="147" t="e">
        <f t="shared" si="15"/>
        <v>#NUM!</v>
      </c>
      <c r="L238" s="147"/>
      <c r="M238" s="149">
        <f t="shared" si="16"/>
        <v>0</v>
      </c>
    </row>
    <row r="239" spans="1:13" x14ac:dyDescent="0.25">
      <c r="A239" s="163"/>
      <c r="G239" s="133"/>
      <c r="H239" s="147">
        <v>234</v>
      </c>
      <c r="I239" s="148" t="str">
        <f t="shared" si="17"/>
        <v/>
      </c>
      <c r="J239" s="147" t="e">
        <f t="shared" si="18"/>
        <v>#NUM!</v>
      </c>
      <c r="K239" s="147" t="e">
        <f t="shared" si="15"/>
        <v>#NUM!</v>
      </c>
      <c r="L239" s="147"/>
      <c r="M239" s="149">
        <f t="shared" si="16"/>
        <v>0</v>
      </c>
    </row>
    <row r="240" spans="1:13" x14ac:dyDescent="0.25">
      <c r="A240" s="163"/>
      <c r="G240" s="133"/>
      <c r="H240" s="147">
        <v>235</v>
      </c>
      <c r="I240" s="148" t="str">
        <f t="shared" si="17"/>
        <v/>
      </c>
      <c r="J240" s="147" t="e">
        <f t="shared" si="18"/>
        <v>#NUM!</v>
      </c>
      <c r="K240" s="147" t="e">
        <f t="shared" si="15"/>
        <v>#NUM!</v>
      </c>
      <c r="L240" s="147"/>
      <c r="M240" s="149">
        <f t="shared" si="16"/>
        <v>0</v>
      </c>
    </row>
    <row r="241" spans="1:13" x14ac:dyDescent="0.25">
      <c r="A241" s="163"/>
      <c r="G241" s="133"/>
      <c r="H241" s="147">
        <v>236</v>
      </c>
      <c r="I241" s="148" t="str">
        <f t="shared" si="17"/>
        <v/>
      </c>
      <c r="J241" s="147" t="e">
        <f t="shared" si="18"/>
        <v>#NUM!</v>
      </c>
      <c r="K241" s="147" t="e">
        <f t="shared" si="15"/>
        <v>#NUM!</v>
      </c>
      <c r="L241" s="147"/>
      <c r="M241" s="149">
        <f t="shared" si="16"/>
        <v>0</v>
      </c>
    </row>
    <row r="242" spans="1:13" x14ac:dyDescent="0.25">
      <c r="A242" s="163"/>
      <c r="G242" s="133"/>
      <c r="H242" s="147">
        <v>237</v>
      </c>
      <c r="I242" s="148" t="str">
        <f t="shared" si="17"/>
        <v/>
      </c>
      <c r="J242" s="147" t="e">
        <f t="shared" si="18"/>
        <v>#NUM!</v>
      </c>
      <c r="K242" s="147" t="e">
        <f t="shared" si="15"/>
        <v>#NUM!</v>
      </c>
      <c r="L242" s="147"/>
      <c r="M242" s="149">
        <f t="shared" si="16"/>
        <v>0</v>
      </c>
    </row>
    <row r="243" spans="1:13" x14ac:dyDescent="0.25">
      <c r="A243" s="163"/>
      <c r="G243" s="133"/>
      <c r="H243" s="147">
        <v>238</v>
      </c>
      <c r="I243" s="148" t="str">
        <f t="shared" si="17"/>
        <v/>
      </c>
      <c r="J243" s="147" t="e">
        <f t="shared" si="18"/>
        <v>#NUM!</v>
      </c>
      <c r="K243" s="147" t="e">
        <f t="shared" si="15"/>
        <v>#NUM!</v>
      </c>
      <c r="L243" s="147"/>
      <c r="M243" s="149">
        <f t="shared" si="16"/>
        <v>0</v>
      </c>
    </row>
    <row r="244" spans="1:13" x14ac:dyDescent="0.25">
      <c r="A244" s="163"/>
      <c r="G244" s="133"/>
      <c r="H244" s="147">
        <v>239</v>
      </c>
      <c r="I244" s="148" t="str">
        <f t="shared" si="17"/>
        <v/>
      </c>
      <c r="J244" s="147" t="e">
        <f t="shared" si="18"/>
        <v>#NUM!</v>
      </c>
      <c r="K244" s="147" t="e">
        <f t="shared" si="15"/>
        <v>#NUM!</v>
      </c>
      <c r="L244" s="147"/>
      <c r="M244" s="149">
        <f t="shared" si="16"/>
        <v>0</v>
      </c>
    </row>
    <row r="245" spans="1:13" x14ac:dyDescent="0.25">
      <c r="A245" s="163"/>
      <c r="G245" s="133"/>
      <c r="H245" s="147">
        <v>240</v>
      </c>
      <c r="I245" s="148" t="str">
        <f t="shared" si="17"/>
        <v/>
      </c>
      <c r="J245" s="147" t="e">
        <f t="shared" si="18"/>
        <v>#NUM!</v>
      </c>
      <c r="K245" s="147" t="e">
        <f t="shared" si="15"/>
        <v>#NUM!</v>
      </c>
      <c r="L245" s="147"/>
      <c r="M245" s="149">
        <f t="shared" si="16"/>
        <v>0</v>
      </c>
    </row>
    <row r="246" spans="1:13" x14ac:dyDescent="0.25">
      <c r="A246" s="163"/>
      <c r="G246" s="133"/>
      <c r="H246" s="147">
        <v>241</v>
      </c>
      <c r="I246" s="148" t="str">
        <f t="shared" si="17"/>
        <v/>
      </c>
      <c r="J246" s="147" t="e">
        <f t="shared" si="18"/>
        <v>#NUM!</v>
      </c>
      <c r="K246" s="147" t="e">
        <f t="shared" si="15"/>
        <v>#NUM!</v>
      </c>
      <c r="L246" s="147"/>
      <c r="M246" s="149">
        <f t="shared" si="16"/>
        <v>0</v>
      </c>
    </row>
    <row r="247" spans="1:13" x14ac:dyDescent="0.25">
      <c r="A247" s="163"/>
      <c r="G247" s="133"/>
      <c r="H247" s="147">
        <v>242</v>
      </c>
      <c r="I247" s="148" t="str">
        <f t="shared" si="17"/>
        <v/>
      </c>
      <c r="J247" s="147" t="e">
        <f t="shared" si="18"/>
        <v>#NUM!</v>
      </c>
      <c r="K247" s="147" t="e">
        <f t="shared" si="15"/>
        <v>#NUM!</v>
      </c>
      <c r="L247" s="147"/>
      <c r="M247" s="149">
        <f t="shared" si="16"/>
        <v>0</v>
      </c>
    </row>
    <row r="248" spans="1:13" x14ac:dyDescent="0.25">
      <c r="A248" s="163"/>
      <c r="G248" s="133"/>
      <c r="H248" s="147">
        <v>243</v>
      </c>
      <c r="I248" s="148" t="str">
        <f t="shared" si="17"/>
        <v/>
      </c>
      <c r="J248" s="147" t="e">
        <f t="shared" si="18"/>
        <v>#NUM!</v>
      </c>
      <c r="K248" s="147" t="e">
        <f t="shared" si="15"/>
        <v>#NUM!</v>
      </c>
      <c r="L248" s="147"/>
      <c r="M248" s="149">
        <f t="shared" si="16"/>
        <v>0</v>
      </c>
    </row>
    <row r="249" spans="1:13" x14ac:dyDescent="0.25">
      <c r="A249" s="163"/>
      <c r="G249" s="133"/>
      <c r="H249" s="147">
        <v>244</v>
      </c>
      <c r="I249" s="148" t="str">
        <f t="shared" si="17"/>
        <v/>
      </c>
      <c r="J249" s="147" t="e">
        <f t="shared" si="18"/>
        <v>#NUM!</v>
      </c>
      <c r="K249" s="147" t="e">
        <f t="shared" si="15"/>
        <v>#NUM!</v>
      </c>
      <c r="L249" s="147"/>
      <c r="M249" s="149">
        <f t="shared" si="16"/>
        <v>0</v>
      </c>
    </row>
    <row r="250" spans="1:13" x14ac:dyDescent="0.25">
      <c r="A250" s="163"/>
      <c r="G250" s="133"/>
      <c r="H250" s="147">
        <v>245</v>
      </c>
      <c r="I250" s="148" t="str">
        <f t="shared" si="17"/>
        <v/>
      </c>
      <c r="J250" s="147" t="e">
        <f t="shared" si="18"/>
        <v>#NUM!</v>
      </c>
      <c r="K250" s="147" t="e">
        <f t="shared" si="15"/>
        <v>#NUM!</v>
      </c>
      <c r="L250" s="147"/>
      <c r="M250" s="149">
        <f t="shared" si="16"/>
        <v>0</v>
      </c>
    </row>
    <row r="251" spans="1:13" x14ac:dyDescent="0.25">
      <c r="A251" s="163"/>
      <c r="G251" s="133"/>
      <c r="H251" s="147">
        <v>246</v>
      </c>
      <c r="I251" s="148" t="str">
        <f t="shared" si="17"/>
        <v/>
      </c>
      <c r="J251" s="147" t="e">
        <f t="shared" si="18"/>
        <v>#NUM!</v>
      </c>
      <c r="K251" s="147" t="e">
        <f t="shared" si="15"/>
        <v>#NUM!</v>
      </c>
      <c r="L251" s="147"/>
      <c r="M251" s="149">
        <f t="shared" si="16"/>
        <v>0</v>
      </c>
    </row>
    <row r="252" spans="1:13" x14ac:dyDescent="0.25">
      <c r="A252" s="163"/>
      <c r="G252" s="133"/>
      <c r="H252" s="147">
        <v>247</v>
      </c>
      <c r="I252" s="148" t="str">
        <f t="shared" si="17"/>
        <v/>
      </c>
      <c r="J252" s="147" t="e">
        <f t="shared" si="18"/>
        <v>#NUM!</v>
      </c>
      <c r="K252" s="147" t="e">
        <f t="shared" si="15"/>
        <v>#NUM!</v>
      </c>
      <c r="L252" s="147"/>
      <c r="M252" s="149">
        <f t="shared" si="16"/>
        <v>0</v>
      </c>
    </row>
    <row r="253" spans="1:13" x14ac:dyDescent="0.25">
      <c r="A253" s="163"/>
      <c r="G253" s="133"/>
      <c r="H253" s="147">
        <v>248</v>
      </c>
      <c r="I253" s="148" t="str">
        <f t="shared" si="17"/>
        <v/>
      </c>
      <c r="J253" s="147" t="e">
        <f t="shared" si="18"/>
        <v>#NUM!</v>
      </c>
      <c r="K253" s="147" t="e">
        <f t="shared" si="15"/>
        <v>#NUM!</v>
      </c>
      <c r="L253" s="147"/>
      <c r="M253" s="149">
        <f t="shared" si="16"/>
        <v>0</v>
      </c>
    </row>
    <row r="254" spans="1:13" x14ac:dyDescent="0.25">
      <c r="A254" s="163"/>
      <c r="G254" s="133"/>
      <c r="H254" s="147">
        <v>249</v>
      </c>
      <c r="I254" s="148" t="str">
        <f t="shared" si="17"/>
        <v/>
      </c>
      <c r="J254" s="147" t="e">
        <f t="shared" si="18"/>
        <v>#NUM!</v>
      </c>
      <c r="K254" s="147" t="e">
        <f t="shared" si="15"/>
        <v>#NUM!</v>
      </c>
      <c r="L254" s="147"/>
      <c r="M254" s="149">
        <f t="shared" si="16"/>
        <v>0</v>
      </c>
    </row>
    <row r="255" spans="1:13" x14ac:dyDescent="0.25">
      <c r="A255" s="163"/>
      <c r="G255" s="133"/>
      <c r="H255" s="147">
        <v>250</v>
      </c>
      <c r="I255" s="148" t="str">
        <f t="shared" si="17"/>
        <v/>
      </c>
      <c r="J255" s="147" t="e">
        <f t="shared" si="18"/>
        <v>#NUM!</v>
      </c>
      <c r="K255" s="147" t="e">
        <f t="shared" si="15"/>
        <v>#NUM!</v>
      </c>
      <c r="L255" s="147"/>
      <c r="M255" s="149">
        <f t="shared" si="16"/>
        <v>0</v>
      </c>
    </row>
    <row r="256" spans="1:13" x14ac:dyDescent="0.25">
      <c r="A256" s="163"/>
      <c r="G256" s="133"/>
      <c r="H256" s="147">
        <v>251</v>
      </c>
      <c r="I256" s="148" t="str">
        <f t="shared" si="17"/>
        <v/>
      </c>
      <c r="J256" s="147" t="e">
        <f t="shared" si="18"/>
        <v>#NUM!</v>
      </c>
      <c r="K256" s="147" t="e">
        <f t="shared" si="15"/>
        <v>#NUM!</v>
      </c>
      <c r="L256" s="147"/>
      <c r="M256" s="149">
        <f t="shared" si="16"/>
        <v>0</v>
      </c>
    </row>
    <row r="257" spans="1:13" x14ac:dyDescent="0.25">
      <c r="A257" s="163"/>
      <c r="G257" s="133"/>
      <c r="H257" s="147">
        <v>252</v>
      </c>
      <c r="I257" s="148" t="str">
        <f t="shared" si="17"/>
        <v/>
      </c>
      <c r="J257" s="147" t="e">
        <f t="shared" si="18"/>
        <v>#NUM!</v>
      </c>
      <c r="K257" s="147" t="e">
        <f t="shared" si="15"/>
        <v>#NUM!</v>
      </c>
      <c r="L257" s="147"/>
      <c r="M257" s="149">
        <f t="shared" si="16"/>
        <v>0</v>
      </c>
    </row>
    <row r="258" spans="1:13" x14ac:dyDescent="0.25">
      <c r="A258" s="163"/>
      <c r="G258" s="133"/>
      <c r="H258" s="147">
        <v>253</v>
      </c>
      <c r="I258" s="148" t="str">
        <f t="shared" si="17"/>
        <v/>
      </c>
      <c r="J258" s="147" t="e">
        <f t="shared" si="18"/>
        <v>#NUM!</v>
      </c>
      <c r="K258" s="147" t="e">
        <f t="shared" si="15"/>
        <v>#NUM!</v>
      </c>
      <c r="L258" s="147"/>
      <c r="M258" s="149">
        <f t="shared" si="16"/>
        <v>0</v>
      </c>
    </row>
    <row r="259" spans="1:13" x14ac:dyDescent="0.25">
      <c r="A259" s="163"/>
      <c r="G259" s="133"/>
      <c r="H259" s="147">
        <v>254</v>
      </c>
      <c r="I259" s="148" t="str">
        <f t="shared" si="17"/>
        <v/>
      </c>
      <c r="J259" s="147" t="e">
        <f t="shared" si="18"/>
        <v>#NUM!</v>
      </c>
      <c r="K259" s="147" t="e">
        <f t="shared" si="15"/>
        <v>#NUM!</v>
      </c>
      <c r="L259" s="147"/>
      <c r="M259" s="149">
        <f t="shared" si="16"/>
        <v>0</v>
      </c>
    </row>
    <row r="260" spans="1:13" x14ac:dyDescent="0.25">
      <c r="A260" s="163"/>
      <c r="G260" s="133"/>
      <c r="H260" s="147">
        <v>255</v>
      </c>
      <c r="I260" s="148" t="str">
        <f t="shared" si="17"/>
        <v/>
      </c>
      <c r="J260" s="147" t="e">
        <f t="shared" si="18"/>
        <v>#NUM!</v>
      </c>
      <c r="K260" s="147" t="e">
        <f t="shared" si="15"/>
        <v>#NUM!</v>
      </c>
      <c r="L260" s="147"/>
      <c r="M260" s="149">
        <f t="shared" si="16"/>
        <v>0</v>
      </c>
    </row>
    <row r="261" spans="1:13" x14ac:dyDescent="0.25">
      <c r="A261" s="163"/>
      <c r="G261" s="133"/>
      <c r="H261" s="147">
        <v>256</v>
      </c>
      <c r="I261" s="148" t="str">
        <f t="shared" si="17"/>
        <v/>
      </c>
      <c r="J261" s="147" t="e">
        <f t="shared" si="18"/>
        <v>#NUM!</v>
      </c>
      <c r="K261" s="147" t="e">
        <f t="shared" si="15"/>
        <v>#NUM!</v>
      </c>
      <c r="L261" s="147"/>
      <c r="M261" s="149">
        <f t="shared" si="16"/>
        <v>0</v>
      </c>
    </row>
    <row r="262" spans="1:13" x14ac:dyDescent="0.25">
      <c r="A262" s="163"/>
      <c r="G262" s="133"/>
      <c r="H262" s="147">
        <v>257</v>
      </c>
      <c r="I262" s="148" t="str">
        <f t="shared" si="17"/>
        <v/>
      </c>
      <c r="J262" s="147" t="e">
        <f t="shared" si="18"/>
        <v>#NUM!</v>
      </c>
      <c r="K262" s="147" t="e">
        <f t="shared" ref="K262:K305" si="19">J262*$J$2</f>
        <v>#NUM!</v>
      </c>
      <c r="L262" s="147"/>
      <c r="M262" s="149">
        <f t="shared" ref="M262:M305" si="20">IF(I262&lt;&gt;"",K262+I262+L262,0)</f>
        <v>0</v>
      </c>
    </row>
    <row r="263" spans="1:13" x14ac:dyDescent="0.25">
      <c r="A263" s="163"/>
      <c r="G263" s="133"/>
      <c r="H263" s="147">
        <v>258</v>
      </c>
      <c r="I263" s="148" t="str">
        <f t="shared" ref="I263:I305" si="21">IF(H263&lt;$H$2+1,($I$2-($I$2-1)*(LOG(H263)/LOG($H$2))),"")</f>
        <v/>
      </c>
      <c r="J263" s="147" t="e">
        <f t="shared" ref="J263:J305" si="22">INT(LOG($H$2,2))-ROUNDUP(LOG(H263,2),0)+IF(OR($H$2=1,$H$2=2,$H$2=4,$H$2=8,$H$2=16,$H$2=32,$H$2=64,$H$2=128,$H$2=256),0,1)</f>
        <v>#NUM!</v>
      </c>
      <c r="K263" s="147" t="e">
        <f t="shared" si="19"/>
        <v>#NUM!</v>
      </c>
      <c r="L263" s="147"/>
      <c r="M263" s="149">
        <f t="shared" si="20"/>
        <v>0</v>
      </c>
    </row>
    <row r="264" spans="1:13" x14ac:dyDescent="0.25">
      <c r="A264" s="163"/>
      <c r="G264" s="133"/>
      <c r="H264" s="147">
        <v>259</v>
      </c>
      <c r="I264" s="148" t="str">
        <f t="shared" si="21"/>
        <v/>
      </c>
      <c r="J264" s="147" t="e">
        <f t="shared" si="22"/>
        <v>#NUM!</v>
      </c>
      <c r="K264" s="147" t="e">
        <f t="shared" si="19"/>
        <v>#NUM!</v>
      </c>
      <c r="L264" s="147"/>
      <c r="M264" s="149">
        <f t="shared" si="20"/>
        <v>0</v>
      </c>
    </row>
    <row r="265" spans="1:13" x14ac:dyDescent="0.25">
      <c r="A265" s="163"/>
      <c r="G265" s="133"/>
      <c r="H265" s="147">
        <v>260</v>
      </c>
      <c r="I265" s="148" t="str">
        <f t="shared" si="21"/>
        <v/>
      </c>
      <c r="J265" s="147" t="e">
        <f t="shared" si="22"/>
        <v>#NUM!</v>
      </c>
      <c r="K265" s="147" t="e">
        <f t="shared" si="19"/>
        <v>#NUM!</v>
      </c>
      <c r="L265" s="147"/>
      <c r="M265" s="149">
        <f t="shared" si="20"/>
        <v>0</v>
      </c>
    </row>
    <row r="266" spans="1:13" x14ac:dyDescent="0.25">
      <c r="A266" s="163"/>
      <c r="G266" s="133"/>
      <c r="H266" s="147">
        <v>261</v>
      </c>
      <c r="I266" s="148" t="str">
        <f t="shared" si="21"/>
        <v/>
      </c>
      <c r="J266" s="147" t="e">
        <f t="shared" si="22"/>
        <v>#NUM!</v>
      </c>
      <c r="K266" s="147" t="e">
        <f t="shared" si="19"/>
        <v>#NUM!</v>
      </c>
      <c r="L266" s="147"/>
      <c r="M266" s="149">
        <f t="shared" si="20"/>
        <v>0</v>
      </c>
    </row>
    <row r="267" spans="1:13" x14ac:dyDescent="0.25">
      <c r="A267" s="163"/>
      <c r="G267" s="133"/>
      <c r="H267" s="147">
        <v>262</v>
      </c>
      <c r="I267" s="148" t="str">
        <f t="shared" si="21"/>
        <v/>
      </c>
      <c r="J267" s="147" t="e">
        <f t="shared" si="22"/>
        <v>#NUM!</v>
      </c>
      <c r="K267" s="147" t="e">
        <f t="shared" si="19"/>
        <v>#NUM!</v>
      </c>
      <c r="L267" s="147"/>
      <c r="M267" s="149">
        <f t="shared" si="20"/>
        <v>0</v>
      </c>
    </row>
    <row r="268" spans="1:13" x14ac:dyDescent="0.25">
      <c r="A268" s="163"/>
      <c r="G268" s="133"/>
      <c r="H268" s="147">
        <v>263</v>
      </c>
      <c r="I268" s="148" t="str">
        <f t="shared" si="21"/>
        <v/>
      </c>
      <c r="J268" s="147" t="e">
        <f t="shared" si="22"/>
        <v>#NUM!</v>
      </c>
      <c r="K268" s="147" t="e">
        <f t="shared" si="19"/>
        <v>#NUM!</v>
      </c>
      <c r="L268" s="147"/>
      <c r="M268" s="149">
        <f t="shared" si="20"/>
        <v>0</v>
      </c>
    </row>
    <row r="269" spans="1:13" x14ac:dyDescent="0.25">
      <c r="A269" s="163"/>
      <c r="G269" s="133"/>
      <c r="H269" s="147">
        <v>264</v>
      </c>
      <c r="I269" s="148" t="str">
        <f t="shared" si="21"/>
        <v/>
      </c>
      <c r="J269" s="147" t="e">
        <f t="shared" si="22"/>
        <v>#NUM!</v>
      </c>
      <c r="K269" s="147" t="e">
        <f t="shared" si="19"/>
        <v>#NUM!</v>
      </c>
      <c r="L269" s="147"/>
      <c r="M269" s="149">
        <f t="shared" si="20"/>
        <v>0</v>
      </c>
    </row>
    <row r="270" spans="1:13" x14ac:dyDescent="0.25">
      <c r="A270" s="163"/>
      <c r="G270" s="133"/>
      <c r="H270" s="147">
        <v>265</v>
      </c>
      <c r="I270" s="148" t="str">
        <f t="shared" si="21"/>
        <v/>
      </c>
      <c r="J270" s="147" t="e">
        <f t="shared" si="22"/>
        <v>#NUM!</v>
      </c>
      <c r="K270" s="147" t="e">
        <f t="shared" si="19"/>
        <v>#NUM!</v>
      </c>
      <c r="L270" s="147"/>
      <c r="M270" s="149">
        <f t="shared" si="20"/>
        <v>0</v>
      </c>
    </row>
    <row r="271" spans="1:13" x14ac:dyDescent="0.25">
      <c r="A271" s="163"/>
      <c r="G271" s="133"/>
      <c r="H271" s="147">
        <v>266</v>
      </c>
      <c r="I271" s="148" t="str">
        <f t="shared" si="21"/>
        <v/>
      </c>
      <c r="J271" s="147" t="e">
        <f t="shared" si="22"/>
        <v>#NUM!</v>
      </c>
      <c r="K271" s="147" t="e">
        <f t="shared" si="19"/>
        <v>#NUM!</v>
      </c>
      <c r="L271" s="147"/>
      <c r="M271" s="149">
        <f t="shared" si="20"/>
        <v>0</v>
      </c>
    </row>
    <row r="272" spans="1:13" x14ac:dyDescent="0.25">
      <c r="A272" s="163"/>
      <c r="G272" s="133"/>
      <c r="H272" s="147">
        <v>267</v>
      </c>
      <c r="I272" s="148" t="str">
        <f t="shared" si="21"/>
        <v/>
      </c>
      <c r="J272" s="147" t="e">
        <f t="shared" si="22"/>
        <v>#NUM!</v>
      </c>
      <c r="K272" s="147" t="e">
        <f t="shared" si="19"/>
        <v>#NUM!</v>
      </c>
      <c r="L272" s="147"/>
      <c r="M272" s="149">
        <f t="shared" si="20"/>
        <v>0</v>
      </c>
    </row>
    <row r="273" spans="1:13" x14ac:dyDescent="0.25">
      <c r="A273" s="163"/>
      <c r="G273" s="133"/>
      <c r="H273" s="147">
        <v>268</v>
      </c>
      <c r="I273" s="148" t="str">
        <f t="shared" si="21"/>
        <v/>
      </c>
      <c r="J273" s="147" t="e">
        <f t="shared" si="22"/>
        <v>#NUM!</v>
      </c>
      <c r="K273" s="147" t="e">
        <f t="shared" si="19"/>
        <v>#NUM!</v>
      </c>
      <c r="L273" s="147"/>
      <c r="M273" s="149">
        <f t="shared" si="20"/>
        <v>0</v>
      </c>
    </row>
    <row r="274" spans="1:13" x14ac:dyDescent="0.25">
      <c r="A274" s="163"/>
      <c r="G274" s="133"/>
      <c r="H274" s="147">
        <v>269</v>
      </c>
      <c r="I274" s="148" t="str">
        <f t="shared" si="21"/>
        <v/>
      </c>
      <c r="J274" s="147" t="e">
        <f t="shared" si="22"/>
        <v>#NUM!</v>
      </c>
      <c r="K274" s="147" t="e">
        <f t="shared" si="19"/>
        <v>#NUM!</v>
      </c>
      <c r="L274" s="147"/>
      <c r="M274" s="149">
        <f t="shared" si="20"/>
        <v>0</v>
      </c>
    </row>
    <row r="275" spans="1:13" x14ac:dyDescent="0.25">
      <c r="A275" s="163"/>
      <c r="G275" s="133"/>
      <c r="H275" s="147">
        <v>270</v>
      </c>
      <c r="I275" s="148" t="str">
        <f t="shared" si="21"/>
        <v/>
      </c>
      <c r="J275" s="147" t="e">
        <f t="shared" si="22"/>
        <v>#NUM!</v>
      </c>
      <c r="K275" s="147" t="e">
        <f t="shared" si="19"/>
        <v>#NUM!</v>
      </c>
      <c r="L275" s="147"/>
      <c r="M275" s="149">
        <f t="shared" si="20"/>
        <v>0</v>
      </c>
    </row>
    <row r="276" spans="1:13" x14ac:dyDescent="0.25">
      <c r="A276" s="163"/>
      <c r="G276" s="133"/>
      <c r="H276" s="147">
        <v>271</v>
      </c>
      <c r="I276" s="148" t="str">
        <f t="shared" si="21"/>
        <v/>
      </c>
      <c r="J276" s="147" t="e">
        <f t="shared" si="22"/>
        <v>#NUM!</v>
      </c>
      <c r="K276" s="147" t="e">
        <f t="shared" si="19"/>
        <v>#NUM!</v>
      </c>
      <c r="L276" s="147"/>
      <c r="M276" s="149">
        <f t="shared" si="20"/>
        <v>0</v>
      </c>
    </row>
    <row r="277" spans="1:13" x14ac:dyDescent="0.25">
      <c r="A277" s="163"/>
      <c r="G277" s="133"/>
      <c r="H277" s="147">
        <v>272</v>
      </c>
      <c r="I277" s="148" t="str">
        <f t="shared" si="21"/>
        <v/>
      </c>
      <c r="J277" s="147" t="e">
        <f t="shared" si="22"/>
        <v>#NUM!</v>
      </c>
      <c r="K277" s="147" t="e">
        <f t="shared" si="19"/>
        <v>#NUM!</v>
      </c>
      <c r="L277" s="147"/>
      <c r="M277" s="149">
        <f t="shared" si="20"/>
        <v>0</v>
      </c>
    </row>
    <row r="278" spans="1:13" x14ac:dyDescent="0.25">
      <c r="A278" s="163"/>
      <c r="G278" s="133"/>
      <c r="H278" s="147">
        <v>273</v>
      </c>
      <c r="I278" s="148" t="str">
        <f t="shared" si="21"/>
        <v/>
      </c>
      <c r="J278" s="147" t="e">
        <f t="shared" si="22"/>
        <v>#NUM!</v>
      </c>
      <c r="K278" s="147" t="e">
        <f t="shared" si="19"/>
        <v>#NUM!</v>
      </c>
      <c r="L278" s="147"/>
      <c r="M278" s="149">
        <f t="shared" si="20"/>
        <v>0</v>
      </c>
    </row>
    <row r="279" spans="1:13" x14ac:dyDescent="0.25">
      <c r="A279" s="163"/>
      <c r="G279" s="133"/>
      <c r="H279" s="147">
        <v>274</v>
      </c>
      <c r="I279" s="148" t="str">
        <f t="shared" si="21"/>
        <v/>
      </c>
      <c r="J279" s="147" t="e">
        <f t="shared" si="22"/>
        <v>#NUM!</v>
      </c>
      <c r="K279" s="147" t="e">
        <f t="shared" si="19"/>
        <v>#NUM!</v>
      </c>
      <c r="L279" s="147"/>
      <c r="M279" s="149">
        <f t="shared" si="20"/>
        <v>0</v>
      </c>
    </row>
    <row r="280" spans="1:13" x14ac:dyDescent="0.25">
      <c r="A280" s="163"/>
      <c r="G280" s="133"/>
      <c r="H280" s="147">
        <v>275</v>
      </c>
      <c r="I280" s="148" t="str">
        <f t="shared" si="21"/>
        <v/>
      </c>
      <c r="J280" s="147" t="e">
        <f t="shared" si="22"/>
        <v>#NUM!</v>
      </c>
      <c r="K280" s="147" t="e">
        <f t="shared" si="19"/>
        <v>#NUM!</v>
      </c>
      <c r="L280" s="147"/>
      <c r="M280" s="149">
        <f t="shared" si="20"/>
        <v>0</v>
      </c>
    </row>
    <row r="281" spans="1:13" x14ac:dyDescent="0.25">
      <c r="A281" s="163"/>
      <c r="G281" s="133"/>
      <c r="H281" s="147">
        <v>276</v>
      </c>
      <c r="I281" s="148" t="str">
        <f t="shared" si="21"/>
        <v/>
      </c>
      <c r="J281" s="147" t="e">
        <f t="shared" si="22"/>
        <v>#NUM!</v>
      </c>
      <c r="K281" s="147" t="e">
        <f t="shared" si="19"/>
        <v>#NUM!</v>
      </c>
      <c r="L281" s="147"/>
      <c r="M281" s="149">
        <f t="shared" si="20"/>
        <v>0</v>
      </c>
    </row>
    <row r="282" spans="1:13" x14ac:dyDescent="0.25">
      <c r="A282" s="163"/>
      <c r="G282" s="133"/>
      <c r="H282" s="147">
        <v>277</v>
      </c>
      <c r="I282" s="148" t="str">
        <f t="shared" si="21"/>
        <v/>
      </c>
      <c r="J282" s="147" t="e">
        <f t="shared" si="22"/>
        <v>#NUM!</v>
      </c>
      <c r="K282" s="147" t="e">
        <f t="shared" si="19"/>
        <v>#NUM!</v>
      </c>
      <c r="L282" s="147"/>
      <c r="M282" s="149">
        <f t="shared" si="20"/>
        <v>0</v>
      </c>
    </row>
    <row r="283" spans="1:13" x14ac:dyDescent="0.25">
      <c r="A283" s="163"/>
      <c r="G283" s="133"/>
      <c r="H283" s="147">
        <v>278</v>
      </c>
      <c r="I283" s="148" t="str">
        <f t="shared" si="21"/>
        <v/>
      </c>
      <c r="J283" s="147" t="e">
        <f t="shared" si="22"/>
        <v>#NUM!</v>
      </c>
      <c r="K283" s="147" t="e">
        <f t="shared" si="19"/>
        <v>#NUM!</v>
      </c>
      <c r="L283" s="147"/>
      <c r="M283" s="149">
        <f t="shared" si="20"/>
        <v>0</v>
      </c>
    </row>
    <row r="284" spans="1:13" x14ac:dyDescent="0.25">
      <c r="A284" s="163"/>
      <c r="G284" s="133"/>
      <c r="H284" s="147">
        <v>279</v>
      </c>
      <c r="I284" s="148" t="str">
        <f t="shared" si="21"/>
        <v/>
      </c>
      <c r="J284" s="147" t="e">
        <f t="shared" si="22"/>
        <v>#NUM!</v>
      </c>
      <c r="K284" s="147" t="e">
        <f t="shared" si="19"/>
        <v>#NUM!</v>
      </c>
      <c r="L284" s="147"/>
      <c r="M284" s="149">
        <f t="shared" si="20"/>
        <v>0</v>
      </c>
    </row>
    <row r="285" spans="1:13" x14ac:dyDescent="0.25">
      <c r="A285" s="163"/>
      <c r="G285" s="133"/>
      <c r="H285" s="147">
        <v>280</v>
      </c>
      <c r="I285" s="148" t="str">
        <f t="shared" si="21"/>
        <v/>
      </c>
      <c r="J285" s="147" t="e">
        <f t="shared" si="22"/>
        <v>#NUM!</v>
      </c>
      <c r="K285" s="147" t="e">
        <f t="shared" si="19"/>
        <v>#NUM!</v>
      </c>
      <c r="L285" s="147"/>
      <c r="M285" s="149">
        <f t="shared" si="20"/>
        <v>0</v>
      </c>
    </row>
    <row r="286" spans="1:13" x14ac:dyDescent="0.25">
      <c r="A286" s="163"/>
      <c r="G286" s="133"/>
      <c r="H286" s="147">
        <v>281</v>
      </c>
      <c r="I286" s="148" t="str">
        <f t="shared" si="21"/>
        <v/>
      </c>
      <c r="J286" s="147" t="e">
        <f t="shared" si="22"/>
        <v>#NUM!</v>
      </c>
      <c r="K286" s="147" t="e">
        <f t="shared" si="19"/>
        <v>#NUM!</v>
      </c>
      <c r="L286" s="147"/>
      <c r="M286" s="149">
        <f t="shared" si="20"/>
        <v>0</v>
      </c>
    </row>
    <row r="287" spans="1:13" x14ac:dyDescent="0.25">
      <c r="A287" s="163"/>
      <c r="G287" s="133"/>
      <c r="H287" s="147">
        <v>282</v>
      </c>
      <c r="I287" s="148" t="str">
        <f t="shared" si="21"/>
        <v/>
      </c>
      <c r="J287" s="147" t="e">
        <f t="shared" si="22"/>
        <v>#NUM!</v>
      </c>
      <c r="K287" s="147" t="e">
        <f t="shared" si="19"/>
        <v>#NUM!</v>
      </c>
      <c r="L287" s="147"/>
      <c r="M287" s="149">
        <f t="shared" si="20"/>
        <v>0</v>
      </c>
    </row>
    <row r="288" spans="1:13" x14ac:dyDescent="0.25">
      <c r="A288" s="163"/>
      <c r="G288" s="133"/>
      <c r="H288" s="147">
        <v>283</v>
      </c>
      <c r="I288" s="148" t="str">
        <f t="shared" si="21"/>
        <v/>
      </c>
      <c r="J288" s="147" t="e">
        <f t="shared" si="22"/>
        <v>#NUM!</v>
      </c>
      <c r="K288" s="147" t="e">
        <f t="shared" si="19"/>
        <v>#NUM!</v>
      </c>
      <c r="L288" s="147"/>
      <c r="M288" s="149">
        <f t="shared" si="20"/>
        <v>0</v>
      </c>
    </row>
    <row r="289" spans="1:13" x14ac:dyDescent="0.25">
      <c r="A289" s="163"/>
      <c r="G289" s="133"/>
      <c r="H289" s="147">
        <v>284</v>
      </c>
      <c r="I289" s="148" t="str">
        <f t="shared" si="21"/>
        <v/>
      </c>
      <c r="J289" s="147" t="e">
        <f t="shared" si="22"/>
        <v>#NUM!</v>
      </c>
      <c r="K289" s="147" t="e">
        <f t="shared" si="19"/>
        <v>#NUM!</v>
      </c>
      <c r="L289" s="147"/>
      <c r="M289" s="149">
        <f t="shared" si="20"/>
        <v>0</v>
      </c>
    </row>
    <row r="290" spans="1:13" x14ac:dyDescent="0.25">
      <c r="A290" s="163"/>
      <c r="G290" s="133"/>
      <c r="H290" s="147">
        <v>285</v>
      </c>
      <c r="I290" s="148" t="str">
        <f t="shared" si="21"/>
        <v/>
      </c>
      <c r="J290" s="147" t="e">
        <f t="shared" si="22"/>
        <v>#NUM!</v>
      </c>
      <c r="K290" s="147" t="e">
        <f t="shared" si="19"/>
        <v>#NUM!</v>
      </c>
      <c r="L290" s="147"/>
      <c r="M290" s="149">
        <f t="shared" si="20"/>
        <v>0</v>
      </c>
    </row>
    <row r="291" spans="1:13" x14ac:dyDescent="0.25">
      <c r="A291" s="163"/>
      <c r="G291" s="133"/>
      <c r="H291" s="147">
        <v>286</v>
      </c>
      <c r="I291" s="148" t="str">
        <f t="shared" si="21"/>
        <v/>
      </c>
      <c r="J291" s="147" t="e">
        <f t="shared" si="22"/>
        <v>#NUM!</v>
      </c>
      <c r="K291" s="147" t="e">
        <f t="shared" si="19"/>
        <v>#NUM!</v>
      </c>
      <c r="L291" s="147"/>
      <c r="M291" s="149">
        <f t="shared" si="20"/>
        <v>0</v>
      </c>
    </row>
    <row r="292" spans="1:13" x14ac:dyDescent="0.25">
      <c r="A292" s="163"/>
      <c r="G292" s="133"/>
      <c r="H292" s="147">
        <v>287</v>
      </c>
      <c r="I292" s="148" t="str">
        <f t="shared" si="21"/>
        <v/>
      </c>
      <c r="J292" s="147" t="e">
        <f t="shared" si="22"/>
        <v>#NUM!</v>
      </c>
      <c r="K292" s="147" t="e">
        <f t="shared" si="19"/>
        <v>#NUM!</v>
      </c>
      <c r="L292" s="147"/>
      <c r="M292" s="149">
        <f t="shared" si="20"/>
        <v>0</v>
      </c>
    </row>
    <row r="293" spans="1:13" x14ac:dyDescent="0.25">
      <c r="A293" s="163"/>
      <c r="G293" s="133"/>
      <c r="H293" s="147">
        <v>288</v>
      </c>
      <c r="I293" s="148" t="str">
        <f t="shared" si="21"/>
        <v/>
      </c>
      <c r="J293" s="147" t="e">
        <f t="shared" si="22"/>
        <v>#NUM!</v>
      </c>
      <c r="K293" s="147" t="e">
        <f t="shared" si="19"/>
        <v>#NUM!</v>
      </c>
      <c r="L293" s="147"/>
      <c r="M293" s="149">
        <f t="shared" si="20"/>
        <v>0</v>
      </c>
    </row>
    <row r="294" spans="1:13" x14ac:dyDescent="0.25">
      <c r="A294" s="163"/>
      <c r="G294" s="133"/>
      <c r="H294" s="147">
        <v>289</v>
      </c>
      <c r="I294" s="148" t="str">
        <f t="shared" si="21"/>
        <v/>
      </c>
      <c r="J294" s="147" t="e">
        <f t="shared" si="22"/>
        <v>#NUM!</v>
      </c>
      <c r="K294" s="147" t="e">
        <f t="shared" si="19"/>
        <v>#NUM!</v>
      </c>
      <c r="L294" s="147"/>
      <c r="M294" s="149">
        <f t="shared" si="20"/>
        <v>0</v>
      </c>
    </row>
    <row r="295" spans="1:13" x14ac:dyDescent="0.25">
      <c r="A295" s="163"/>
      <c r="G295" s="133"/>
      <c r="H295" s="147">
        <v>290</v>
      </c>
      <c r="I295" s="148" t="str">
        <f t="shared" si="21"/>
        <v/>
      </c>
      <c r="J295" s="147" t="e">
        <f t="shared" si="22"/>
        <v>#NUM!</v>
      </c>
      <c r="K295" s="147" t="e">
        <f t="shared" si="19"/>
        <v>#NUM!</v>
      </c>
      <c r="L295" s="147"/>
      <c r="M295" s="149">
        <f t="shared" si="20"/>
        <v>0</v>
      </c>
    </row>
    <row r="296" spans="1:13" x14ac:dyDescent="0.25">
      <c r="A296" s="163"/>
      <c r="G296" s="133"/>
      <c r="H296" s="147">
        <v>291</v>
      </c>
      <c r="I296" s="148" t="str">
        <f t="shared" si="21"/>
        <v/>
      </c>
      <c r="J296" s="147" t="e">
        <f t="shared" si="22"/>
        <v>#NUM!</v>
      </c>
      <c r="K296" s="147" t="e">
        <f t="shared" si="19"/>
        <v>#NUM!</v>
      </c>
      <c r="L296" s="147"/>
      <c r="M296" s="149">
        <f t="shared" si="20"/>
        <v>0</v>
      </c>
    </row>
    <row r="297" spans="1:13" x14ac:dyDescent="0.25">
      <c r="A297" s="163"/>
      <c r="G297" s="133"/>
      <c r="H297" s="147">
        <v>292</v>
      </c>
      <c r="I297" s="148" t="str">
        <f t="shared" si="21"/>
        <v/>
      </c>
      <c r="J297" s="147" t="e">
        <f t="shared" si="22"/>
        <v>#NUM!</v>
      </c>
      <c r="K297" s="147" t="e">
        <f t="shared" si="19"/>
        <v>#NUM!</v>
      </c>
      <c r="L297" s="147"/>
      <c r="M297" s="149">
        <f t="shared" si="20"/>
        <v>0</v>
      </c>
    </row>
    <row r="298" spans="1:13" x14ac:dyDescent="0.25">
      <c r="A298" s="163"/>
      <c r="G298" s="133"/>
      <c r="H298" s="147">
        <v>293</v>
      </c>
      <c r="I298" s="148" t="str">
        <f t="shared" si="21"/>
        <v/>
      </c>
      <c r="J298" s="147" t="e">
        <f t="shared" si="22"/>
        <v>#NUM!</v>
      </c>
      <c r="K298" s="147" t="e">
        <f t="shared" si="19"/>
        <v>#NUM!</v>
      </c>
      <c r="L298" s="147"/>
      <c r="M298" s="149">
        <f t="shared" si="20"/>
        <v>0</v>
      </c>
    </row>
    <row r="299" spans="1:13" x14ac:dyDescent="0.25">
      <c r="A299" s="163"/>
      <c r="G299" s="133"/>
      <c r="H299" s="147">
        <v>294</v>
      </c>
      <c r="I299" s="148" t="str">
        <f t="shared" si="21"/>
        <v/>
      </c>
      <c r="J299" s="147" t="e">
        <f t="shared" si="22"/>
        <v>#NUM!</v>
      </c>
      <c r="K299" s="147" t="e">
        <f t="shared" si="19"/>
        <v>#NUM!</v>
      </c>
      <c r="L299" s="147"/>
      <c r="M299" s="149">
        <f t="shared" si="20"/>
        <v>0</v>
      </c>
    </row>
    <row r="300" spans="1:13" x14ac:dyDescent="0.25">
      <c r="A300" s="163"/>
      <c r="G300" s="133"/>
      <c r="H300" s="147">
        <v>295</v>
      </c>
      <c r="I300" s="148" t="str">
        <f t="shared" si="21"/>
        <v/>
      </c>
      <c r="J300" s="147" t="e">
        <f t="shared" si="22"/>
        <v>#NUM!</v>
      </c>
      <c r="K300" s="147" t="e">
        <f t="shared" si="19"/>
        <v>#NUM!</v>
      </c>
      <c r="L300" s="147"/>
      <c r="M300" s="149">
        <f t="shared" si="20"/>
        <v>0</v>
      </c>
    </row>
    <row r="301" spans="1:13" x14ac:dyDescent="0.25">
      <c r="A301" s="163"/>
      <c r="G301" s="133"/>
      <c r="H301" s="147">
        <v>296</v>
      </c>
      <c r="I301" s="148" t="str">
        <f t="shared" si="21"/>
        <v/>
      </c>
      <c r="J301" s="147" t="e">
        <f t="shared" si="22"/>
        <v>#NUM!</v>
      </c>
      <c r="K301" s="147" t="e">
        <f t="shared" si="19"/>
        <v>#NUM!</v>
      </c>
      <c r="L301" s="147"/>
      <c r="M301" s="149">
        <f t="shared" si="20"/>
        <v>0</v>
      </c>
    </row>
    <row r="302" spans="1:13" x14ac:dyDescent="0.25">
      <c r="A302" s="163"/>
      <c r="G302" s="133"/>
      <c r="H302" s="147">
        <v>297</v>
      </c>
      <c r="I302" s="148" t="str">
        <f t="shared" si="21"/>
        <v/>
      </c>
      <c r="J302" s="147" t="e">
        <f t="shared" si="22"/>
        <v>#NUM!</v>
      </c>
      <c r="K302" s="147" t="e">
        <f t="shared" si="19"/>
        <v>#NUM!</v>
      </c>
      <c r="L302" s="147"/>
      <c r="M302" s="149">
        <f t="shared" si="20"/>
        <v>0</v>
      </c>
    </row>
    <row r="303" spans="1:13" x14ac:dyDescent="0.25">
      <c r="A303" s="163"/>
      <c r="G303" s="133"/>
      <c r="H303" s="147">
        <v>298</v>
      </c>
      <c r="I303" s="148" t="str">
        <f t="shared" si="21"/>
        <v/>
      </c>
      <c r="J303" s="147" t="e">
        <f t="shared" si="22"/>
        <v>#NUM!</v>
      </c>
      <c r="K303" s="147" t="e">
        <f t="shared" si="19"/>
        <v>#NUM!</v>
      </c>
      <c r="L303" s="147"/>
      <c r="M303" s="149">
        <f t="shared" si="20"/>
        <v>0</v>
      </c>
    </row>
    <row r="304" spans="1:13" x14ac:dyDescent="0.25">
      <c r="A304" s="163"/>
      <c r="G304" s="133"/>
      <c r="H304" s="147">
        <v>299</v>
      </c>
      <c r="I304" s="148" t="str">
        <f t="shared" si="21"/>
        <v/>
      </c>
      <c r="J304" s="147" t="e">
        <f t="shared" si="22"/>
        <v>#NUM!</v>
      </c>
      <c r="K304" s="147" t="e">
        <f t="shared" si="19"/>
        <v>#NUM!</v>
      </c>
      <c r="L304" s="147"/>
      <c r="M304" s="149">
        <f t="shared" si="20"/>
        <v>0</v>
      </c>
    </row>
    <row r="305" spans="1:16" x14ac:dyDescent="0.25">
      <c r="A305" s="163"/>
      <c r="G305" s="133"/>
      <c r="H305" s="147">
        <v>300</v>
      </c>
      <c r="I305" s="148" t="str">
        <f t="shared" si="21"/>
        <v/>
      </c>
      <c r="J305" s="147" t="e">
        <f t="shared" si="22"/>
        <v>#NUM!</v>
      </c>
      <c r="K305" s="147" t="e">
        <f t="shared" si="19"/>
        <v>#NUM!</v>
      </c>
      <c r="L305" s="147"/>
      <c r="M305" s="149">
        <f t="shared" si="20"/>
        <v>0</v>
      </c>
    </row>
    <row r="306" spans="1:16" x14ac:dyDescent="0.25">
      <c r="A306" s="165"/>
    </row>
    <row r="314" spans="1:16" x14ac:dyDescent="0.25">
      <c r="L314" s="168"/>
      <c r="P314" s="158"/>
    </row>
    <row r="315" spans="1:16" x14ac:dyDescent="0.25">
      <c r="L315" s="168"/>
      <c r="P315" s="158"/>
    </row>
    <row r="316" spans="1:16" x14ac:dyDescent="0.25">
      <c r="L316" s="168"/>
      <c r="P316" s="158"/>
    </row>
    <row r="317" spans="1:16" x14ac:dyDescent="0.25">
      <c r="L317" s="168"/>
      <c r="P317" s="158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AB6B9925-89C3-4318-B269-83D4414F9B65}">
      <formula1>#REF!</formula1>
    </dataValidation>
  </dataValidations>
  <hyperlinks>
    <hyperlink ref="C2:D2" r:id="rId1" location="today" display="KRAKÓW" xr:uid="{B6DD4CF3-3CAF-46FD-9444-0482A36A76D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901B-ABAF-4CC4-B833-B3214DD2F4C9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64" customWidth="1"/>
    <col min="2" max="2" width="8.25" style="164" customWidth="1"/>
    <col min="3" max="3" width="34.75" style="164" customWidth="1"/>
    <col min="4" max="4" width="11.25" style="164" customWidth="1"/>
    <col min="5" max="6" width="8.875" style="164"/>
    <col min="7" max="7" width="0.875" style="164" customWidth="1"/>
    <col min="8" max="8" width="8.875" style="166"/>
    <col min="9" max="9" width="11" style="166" customWidth="1"/>
    <col min="10" max="10" width="15.25" style="166" customWidth="1"/>
    <col min="11" max="11" width="8.75" style="166" customWidth="1"/>
    <col min="12" max="12" width="11" style="166" customWidth="1"/>
    <col min="13" max="13" width="11.75" style="167" customWidth="1"/>
    <col min="14" max="15" width="13.875" style="133" customWidth="1"/>
    <col min="16" max="18" width="8.875" style="133"/>
    <col min="19" max="20" width="8.875" style="138"/>
    <col min="21" max="21" width="12.125" style="138" customWidth="1"/>
    <col min="22" max="22" width="27.375" style="138" customWidth="1"/>
    <col min="23" max="38" width="8.875" style="138"/>
    <col min="39" max="16384" width="8.875" style="164"/>
  </cols>
  <sheetData>
    <row r="1" spans="1:36" x14ac:dyDescent="0.25">
      <c r="A1" s="133"/>
      <c r="B1" s="133"/>
      <c r="C1" s="133"/>
      <c r="D1" s="133"/>
      <c r="E1" s="133"/>
      <c r="F1" s="133"/>
      <c r="G1" s="133"/>
      <c r="H1" s="134" t="s">
        <v>22</v>
      </c>
      <c r="I1" s="135" t="s">
        <v>23</v>
      </c>
      <c r="J1" s="135" t="s">
        <v>24</v>
      </c>
      <c r="K1" s="136" t="s">
        <v>25</v>
      </c>
      <c r="L1" s="137"/>
      <c r="M1" s="137"/>
    </row>
    <row r="2" spans="1:36" ht="14.45" customHeight="1" x14ac:dyDescent="0.25">
      <c r="A2" s="133"/>
      <c r="B2" s="22" t="s">
        <v>26</v>
      </c>
      <c r="C2" s="266" t="s">
        <v>62</v>
      </c>
      <c r="D2" s="266"/>
      <c r="E2" s="23"/>
      <c r="F2" s="23"/>
      <c r="G2" s="23"/>
      <c r="H2" s="139">
        <v>0</v>
      </c>
      <c r="I2" s="140">
        <v>50</v>
      </c>
      <c r="J2" s="140">
        <v>10</v>
      </c>
      <c r="K2" s="141">
        <f>3*H2^(1/3)</f>
        <v>0</v>
      </c>
      <c r="L2" s="137"/>
      <c r="M2" s="137"/>
    </row>
    <row r="3" spans="1:36" ht="14.45" customHeight="1" x14ac:dyDescent="0.25">
      <c r="A3" s="133"/>
      <c r="B3" s="142" t="s">
        <v>28</v>
      </c>
      <c r="C3" s="267" t="s">
        <v>63</v>
      </c>
      <c r="D3" s="267"/>
      <c r="E3" s="28"/>
      <c r="F3" s="28"/>
      <c r="G3" s="28"/>
      <c r="H3" s="137"/>
      <c r="I3" s="137"/>
      <c r="J3" s="143"/>
      <c r="K3" s="137"/>
      <c r="L3" s="137"/>
      <c r="M3" s="137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37"/>
      <c r="I4" s="137"/>
      <c r="J4" s="143"/>
      <c r="K4" s="137"/>
      <c r="L4" s="137"/>
      <c r="M4" s="137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44" t="s">
        <v>36</v>
      </c>
      <c r="I5" s="145" t="s">
        <v>37</v>
      </c>
      <c r="J5" s="146" t="s">
        <v>38</v>
      </c>
      <c r="K5" s="145" t="s">
        <v>39</v>
      </c>
      <c r="L5" s="145" t="s">
        <v>40</v>
      </c>
      <c r="M5" s="144" t="s">
        <v>41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147">
        <v>1</v>
      </c>
      <c r="I6" s="148" t="str">
        <f>IF(H2=1,50,IF(H6&lt;$H$2+1,($I$2-($I$2-1)*(LOG(H6)/LOG($H$2))),""))</f>
        <v/>
      </c>
      <c r="J6" s="147" t="e">
        <f>INT(LOG($H$2,2))-ROUNDUP(LOG(H6,2),0)+IF(OR($H$2=1,$H$2=2,$H$2=4,$H$2=8,$H$2=16,$H$2=32,$H$2=64,$H$2=128,$H$2=256),0,1)</f>
        <v>#NUM!</v>
      </c>
      <c r="K6" s="147" t="e">
        <f t="shared" ref="K6:K69" si="1">J6*$J$2</f>
        <v>#NUM!</v>
      </c>
      <c r="L6" s="149">
        <f>3*K2</f>
        <v>0</v>
      </c>
      <c r="M6" s="149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150">
        <v>2</v>
      </c>
      <c r="I7" s="151" t="str">
        <f t="shared" ref="I7:I70" si="4">IF(H7&lt;$H$2+1,($I$2-($I$2-1)*(LOG(H7)/LOG($H$2))),"")</f>
        <v/>
      </c>
      <c r="J7" s="150" t="e">
        <f t="shared" ref="J7:J70" si="5">INT(LOG($H$2,2))-ROUNDUP(LOG(H7,2),0)+IF(OR($H$2=1,$H$2=2,$H$2=4,$H$2=8,$H$2=16,$H$2=32,$H$2=64,$H$2=128,$H$2=256),0,1)</f>
        <v>#NUM!</v>
      </c>
      <c r="K7" s="150" t="e">
        <f t="shared" si="1"/>
        <v>#NUM!</v>
      </c>
      <c r="L7" s="152">
        <f>2*K2</f>
        <v>0</v>
      </c>
      <c r="M7" s="152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47">
        <v>3</v>
      </c>
      <c r="I8" s="148" t="str">
        <f t="shared" si="4"/>
        <v/>
      </c>
      <c r="J8" s="147" t="e">
        <f t="shared" si="5"/>
        <v>#NUM!</v>
      </c>
      <c r="K8" s="147" t="e">
        <f t="shared" si="1"/>
        <v>#NUM!</v>
      </c>
      <c r="L8" s="149">
        <f>K2</f>
        <v>0</v>
      </c>
      <c r="M8" s="149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50">
        <v>4</v>
      </c>
      <c r="I9" s="151" t="str">
        <f t="shared" si="4"/>
        <v/>
      </c>
      <c r="J9" s="150" t="e">
        <f t="shared" si="5"/>
        <v>#NUM!</v>
      </c>
      <c r="K9" s="150" t="e">
        <f t="shared" si="1"/>
        <v>#NUM!</v>
      </c>
      <c r="L9" s="152"/>
      <c r="M9" s="152">
        <f t="shared" si="2"/>
        <v>0</v>
      </c>
      <c r="V9" s="153"/>
      <c r="Z9" s="154"/>
      <c r="AA9" s="154"/>
      <c r="AG9" s="155"/>
      <c r="AH9" s="138" t="s">
        <v>42</v>
      </c>
      <c r="AI9" s="138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47">
        <v>5</v>
      </c>
      <c r="I10" s="148" t="str">
        <f t="shared" si="4"/>
        <v/>
      </c>
      <c r="J10" s="147" t="e">
        <f t="shared" si="5"/>
        <v>#NUM!</v>
      </c>
      <c r="K10" s="147" t="e">
        <f t="shared" si="1"/>
        <v>#NUM!</v>
      </c>
      <c r="L10" s="147"/>
      <c r="M10" s="149">
        <f t="shared" si="2"/>
        <v>0</v>
      </c>
      <c r="V10" s="153"/>
      <c r="Z10" s="154"/>
      <c r="AA10" s="154"/>
      <c r="AG10" s="155"/>
      <c r="AH10" s="138" t="s">
        <v>43</v>
      </c>
      <c r="AI10" s="138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50">
        <v>6</v>
      </c>
      <c r="I11" s="151" t="str">
        <f t="shared" si="4"/>
        <v/>
      </c>
      <c r="J11" s="150" t="e">
        <f t="shared" si="5"/>
        <v>#NUM!</v>
      </c>
      <c r="K11" s="150" t="e">
        <f t="shared" si="1"/>
        <v>#NUM!</v>
      </c>
      <c r="L11" s="150"/>
      <c r="M11" s="152">
        <f t="shared" si="2"/>
        <v>0</v>
      </c>
      <c r="V11" s="156"/>
      <c r="Z11" s="154"/>
      <c r="AA11" s="154"/>
      <c r="AG11" s="155"/>
      <c r="AH11" s="138" t="s">
        <v>44</v>
      </c>
      <c r="AI11" s="138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47">
        <v>7</v>
      </c>
      <c r="I12" s="148" t="str">
        <f t="shared" si="4"/>
        <v/>
      </c>
      <c r="J12" s="147" t="e">
        <f t="shared" si="5"/>
        <v>#NUM!</v>
      </c>
      <c r="K12" s="147" t="e">
        <f t="shared" si="1"/>
        <v>#NUM!</v>
      </c>
      <c r="L12" s="147"/>
      <c r="M12" s="149">
        <f t="shared" si="2"/>
        <v>0</v>
      </c>
      <c r="Z12" s="154"/>
      <c r="AA12" s="154"/>
      <c r="AG12" s="155"/>
      <c r="AH12" s="138" t="s">
        <v>45</v>
      </c>
      <c r="AI12" s="138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50">
        <v>8</v>
      </c>
      <c r="I13" s="151" t="str">
        <f t="shared" si="4"/>
        <v/>
      </c>
      <c r="J13" s="150" t="e">
        <f t="shared" si="5"/>
        <v>#NUM!</v>
      </c>
      <c r="K13" s="150" t="e">
        <f t="shared" si="1"/>
        <v>#NUM!</v>
      </c>
      <c r="L13" s="150"/>
      <c r="M13" s="152">
        <f t="shared" si="2"/>
        <v>0</v>
      </c>
      <c r="X13" s="153"/>
      <c r="AG13" s="155"/>
      <c r="AH13" s="138" t="s">
        <v>46</v>
      </c>
      <c r="AI13" s="138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47">
        <v>9</v>
      </c>
      <c r="I14" s="148" t="str">
        <f t="shared" si="4"/>
        <v/>
      </c>
      <c r="J14" s="147" t="e">
        <f t="shared" si="5"/>
        <v>#NUM!</v>
      </c>
      <c r="K14" s="147" t="e">
        <f t="shared" si="1"/>
        <v>#NUM!</v>
      </c>
      <c r="L14" s="147"/>
      <c r="M14" s="149">
        <f t="shared" si="2"/>
        <v>0</v>
      </c>
      <c r="X14" s="157"/>
      <c r="Z14" s="154"/>
      <c r="AA14" s="154"/>
      <c r="AG14" s="155"/>
      <c r="AH14" s="138" t="s">
        <v>47</v>
      </c>
      <c r="AI14" s="138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50">
        <v>10</v>
      </c>
      <c r="I15" s="151" t="str">
        <f t="shared" si="4"/>
        <v/>
      </c>
      <c r="J15" s="150" t="e">
        <f t="shared" si="5"/>
        <v>#NUM!</v>
      </c>
      <c r="K15" s="150" t="e">
        <f t="shared" si="1"/>
        <v>#NUM!</v>
      </c>
      <c r="L15" s="150"/>
      <c r="M15" s="152">
        <f t="shared" si="2"/>
        <v>0</v>
      </c>
      <c r="X15" s="153"/>
      <c r="Z15" s="154"/>
      <c r="AA15" s="154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47">
        <v>11</v>
      </c>
      <c r="I16" s="148" t="str">
        <f t="shared" si="4"/>
        <v/>
      </c>
      <c r="J16" s="147" t="e">
        <f t="shared" si="5"/>
        <v>#NUM!</v>
      </c>
      <c r="K16" s="147" t="e">
        <f t="shared" si="1"/>
        <v>#NUM!</v>
      </c>
      <c r="L16" s="147"/>
      <c r="M16" s="149">
        <f t="shared" si="2"/>
        <v>0</v>
      </c>
      <c r="R16" s="158"/>
      <c r="Z16" s="154"/>
      <c r="AA16" s="154"/>
      <c r="AH16" s="159" t="s">
        <v>48</v>
      </c>
      <c r="AI16" s="138">
        <f>AI11-AI12*AI13/AI14</f>
        <v>9.6393909380186855</v>
      </c>
      <c r="AJ16" s="138" t="s">
        <v>49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50">
        <v>12</v>
      </c>
      <c r="I17" s="151" t="str">
        <f t="shared" si="4"/>
        <v/>
      </c>
      <c r="J17" s="150" t="e">
        <f t="shared" si="5"/>
        <v>#NUM!</v>
      </c>
      <c r="K17" s="150" t="e">
        <f t="shared" si="1"/>
        <v>#NUM!</v>
      </c>
      <c r="L17" s="150"/>
      <c r="M17" s="152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47">
        <v>13</v>
      </c>
      <c r="I18" s="148" t="str">
        <f t="shared" si="4"/>
        <v/>
      </c>
      <c r="J18" s="147" t="e">
        <f t="shared" si="5"/>
        <v>#NUM!</v>
      </c>
      <c r="K18" s="147" t="e">
        <f t="shared" si="1"/>
        <v>#NUM!</v>
      </c>
      <c r="L18" s="147"/>
      <c r="M18" s="149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50">
        <v>14</v>
      </c>
      <c r="I19" s="151" t="str">
        <f t="shared" si="4"/>
        <v/>
      </c>
      <c r="J19" s="150" t="e">
        <f t="shared" si="5"/>
        <v>#NUM!</v>
      </c>
      <c r="K19" s="150" t="e">
        <f t="shared" si="1"/>
        <v>#NUM!</v>
      </c>
      <c r="L19" s="150"/>
      <c r="M19" s="152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47">
        <v>15</v>
      </c>
      <c r="I20" s="148" t="str">
        <f t="shared" si="4"/>
        <v/>
      </c>
      <c r="J20" s="147" t="e">
        <f t="shared" si="5"/>
        <v>#NUM!</v>
      </c>
      <c r="K20" s="147" t="e">
        <f t="shared" si="1"/>
        <v>#NUM!</v>
      </c>
      <c r="L20" s="147"/>
      <c r="M20" s="149">
        <f t="shared" si="2"/>
        <v>0</v>
      </c>
      <c r="R20" s="160"/>
      <c r="S20" s="161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50">
        <v>16</v>
      </c>
      <c r="I21" s="151" t="str">
        <f t="shared" si="4"/>
        <v/>
      </c>
      <c r="J21" s="150" t="e">
        <f t="shared" si="5"/>
        <v>#NUM!</v>
      </c>
      <c r="K21" s="150" t="e">
        <f t="shared" si="1"/>
        <v>#NUM!</v>
      </c>
      <c r="L21" s="150"/>
      <c r="M21" s="152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47">
        <v>17</v>
      </c>
      <c r="I22" s="148" t="str">
        <f t="shared" si="4"/>
        <v/>
      </c>
      <c r="J22" s="147" t="e">
        <f t="shared" si="5"/>
        <v>#NUM!</v>
      </c>
      <c r="K22" s="147" t="e">
        <f t="shared" si="1"/>
        <v>#NUM!</v>
      </c>
      <c r="L22" s="147"/>
      <c r="M22" s="149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50">
        <v>18</v>
      </c>
      <c r="I23" s="151" t="str">
        <f t="shared" si="4"/>
        <v/>
      </c>
      <c r="J23" s="150" t="e">
        <f t="shared" si="5"/>
        <v>#NUM!</v>
      </c>
      <c r="K23" s="150" t="e">
        <f t="shared" si="1"/>
        <v>#NUM!</v>
      </c>
      <c r="L23" s="150"/>
      <c r="M23" s="152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47">
        <v>19</v>
      </c>
      <c r="I24" s="148" t="str">
        <f t="shared" si="4"/>
        <v/>
      </c>
      <c r="J24" s="147" t="e">
        <f t="shared" si="5"/>
        <v>#NUM!</v>
      </c>
      <c r="K24" s="147" t="e">
        <f t="shared" si="1"/>
        <v>#NUM!</v>
      </c>
      <c r="L24" s="147"/>
      <c r="M24" s="149">
        <f t="shared" si="2"/>
        <v>0</v>
      </c>
      <c r="R24" s="160"/>
      <c r="S24" s="161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50">
        <v>20</v>
      </c>
      <c r="I25" s="151" t="str">
        <f t="shared" si="4"/>
        <v/>
      </c>
      <c r="J25" s="150" t="e">
        <f t="shared" si="5"/>
        <v>#NUM!</v>
      </c>
      <c r="K25" s="150" t="e">
        <f t="shared" si="1"/>
        <v>#NUM!</v>
      </c>
      <c r="L25" s="150"/>
      <c r="M25" s="152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47">
        <v>21</v>
      </c>
      <c r="I26" s="148" t="str">
        <f t="shared" si="4"/>
        <v/>
      </c>
      <c r="J26" s="147" t="e">
        <f t="shared" si="5"/>
        <v>#NUM!</v>
      </c>
      <c r="K26" s="147" t="e">
        <f t="shared" si="1"/>
        <v>#NUM!</v>
      </c>
      <c r="L26" s="147"/>
      <c r="M26" s="149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50">
        <v>22</v>
      </c>
      <c r="I27" s="151" t="str">
        <f t="shared" si="4"/>
        <v/>
      </c>
      <c r="J27" s="150" t="e">
        <f t="shared" si="5"/>
        <v>#NUM!</v>
      </c>
      <c r="K27" s="150" t="e">
        <f t="shared" si="1"/>
        <v>#NUM!</v>
      </c>
      <c r="L27" s="150"/>
      <c r="M27" s="152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47">
        <v>23</v>
      </c>
      <c r="I28" s="148" t="str">
        <f t="shared" si="4"/>
        <v/>
      </c>
      <c r="J28" s="147" t="e">
        <f t="shared" si="5"/>
        <v>#NUM!</v>
      </c>
      <c r="K28" s="147" t="e">
        <f t="shared" si="1"/>
        <v>#NUM!</v>
      </c>
      <c r="L28" s="147"/>
      <c r="M28" s="149">
        <f t="shared" si="2"/>
        <v>0</v>
      </c>
      <c r="R28" s="160"/>
      <c r="S28" s="161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33"/>
      <c r="H29" s="150">
        <v>24</v>
      </c>
      <c r="I29" s="151" t="str">
        <f t="shared" si="4"/>
        <v/>
      </c>
      <c r="J29" s="150" t="e">
        <f t="shared" si="5"/>
        <v>#NUM!</v>
      </c>
      <c r="K29" s="150" t="e">
        <f t="shared" si="1"/>
        <v>#NUM!</v>
      </c>
      <c r="L29" s="150"/>
      <c r="M29" s="152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33"/>
      <c r="H30" s="147">
        <v>25</v>
      </c>
      <c r="I30" s="148" t="str">
        <f t="shared" si="4"/>
        <v/>
      </c>
      <c r="J30" s="147" t="e">
        <f t="shared" si="5"/>
        <v>#NUM!</v>
      </c>
      <c r="K30" s="147" t="e">
        <f t="shared" si="1"/>
        <v>#NUM!</v>
      </c>
      <c r="L30" s="147"/>
      <c r="M30" s="149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33"/>
      <c r="H31" s="150">
        <v>26</v>
      </c>
      <c r="I31" s="151" t="str">
        <f t="shared" si="4"/>
        <v/>
      </c>
      <c r="J31" s="150" t="e">
        <f t="shared" si="5"/>
        <v>#NUM!</v>
      </c>
      <c r="K31" s="150" t="e">
        <f t="shared" si="1"/>
        <v>#NUM!</v>
      </c>
      <c r="L31" s="150"/>
      <c r="M31" s="152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33"/>
      <c r="H32" s="147">
        <v>27</v>
      </c>
      <c r="I32" s="148" t="str">
        <f t="shared" si="4"/>
        <v/>
      </c>
      <c r="J32" s="147" t="e">
        <f t="shared" si="5"/>
        <v>#NUM!</v>
      </c>
      <c r="K32" s="147" t="e">
        <f t="shared" si="1"/>
        <v>#NUM!</v>
      </c>
      <c r="L32" s="147"/>
      <c r="M32" s="149">
        <f t="shared" si="2"/>
        <v>0</v>
      </c>
      <c r="R32" s="160"/>
      <c r="S32" s="161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33"/>
      <c r="H33" s="150">
        <v>28</v>
      </c>
      <c r="I33" s="151" t="str">
        <f t="shared" si="4"/>
        <v/>
      </c>
      <c r="J33" s="150" t="e">
        <f t="shared" si="5"/>
        <v>#NUM!</v>
      </c>
      <c r="K33" s="150" t="e">
        <f t="shared" si="1"/>
        <v>#NUM!</v>
      </c>
      <c r="L33" s="150"/>
      <c r="M33" s="152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33"/>
      <c r="H34" s="147">
        <v>29</v>
      </c>
      <c r="I34" s="148" t="str">
        <f t="shared" si="4"/>
        <v/>
      </c>
      <c r="J34" s="147" t="e">
        <f t="shared" si="5"/>
        <v>#NUM!</v>
      </c>
      <c r="K34" s="147" t="e">
        <f t="shared" si="1"/>
        <v>#NUM!</v>
      </c>
      <c r="L34" s="147"/>
      <c r="M34" s="149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33"/>
      <c r="H35" s="150">
        <v>30</v>
      </c>
      <c r="I35" s="151" t="str">
        <f t="shared" si="4"/>
        <v/>
      </c>
      <c r="J35" s="150" t="e">
        <f t="shared" si="5"/>
        <v>#NUM!</v>
      </c>
      <c r="K35" s="150" t="e">
        <f t="shared" si="1"/>
        <v>#NUM!</v>
      </c>
      <c r="L35" s="150"/>
      <c r="M35" s="152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33"/>
      <c r="H36" s="147">
        <v>31</v>
      </c>
      <c r="I36" s="148" t="str">
        <f t="shared" si="4"/>
        <v/>
      </c>
      <c r="J36" s="147" t="e">
        <f t="shared" si="5"/>
        <v>#NUM!</v>
      </c>
      <c r="K36" s="147" t="e">
        <f t="shared" si="1"/>
        <v>#NUM!</v>
      </c>
      <c r="L36" s="147"/>
      <c r="M36" s="149">
        <f t="shared" si="2"/>
        <v>0</v>
      </c>
      <c r="R36" s="160"/>
      <c r="S36" s="161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33"/>
      <c r="H37" s="150">
        <v>32</v>
      </c>
      <c r="I37" s="151" t="str">
        <f t="shared" si="4"/>
        <v/>
      </c>
      <c r="J37" s="150" t="e">
        <f t="shared" si="5"/>
        <v>#NUM!</v>
      </c>
      <c r="K37" s="150" t="e">
        <f t="shared" si="1"/>
        <v>#NUM!</v>
      </c>
      <c r="L37" s="150"/>
      <c r="M37" s="152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33"/>
      <c r="H38" s="147">
        <v>33</v>
      </c>
      <c r="I38" s="148" t="str">
        <f t="shared" si="4"/>
        <v/>
      </c>
      <c r="J38" s="147" t="e">
        <f t="shared" si="5"/>
        <v>#NUM!</v>
      </c>
      <c r="K38" s="147" t="e">
        <f t="shared" si="1"/>
        <v>#NUM!</v>
      </c>
      <c r="L38" s="147"/>
      <c r="M38" s="149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33"/>
      <c r="H39" s="150">
        <v>34</v>
      </c>
      <c r="I39" s="151" t="str">
        <f t="shared" si="4"/>
        <v/>
      </c>
      <c r="J39" s="150" t="e">
        <f t="shared" si="5"/>
        <v>#NUM!</v>
      </c>
      <c r="K39" s="150" t="e">
        <f t="shared" si="1"/>
        <v>#NUM!</v>
      </c>
      <c r="L39" s="150"/>
      <c r="M39" s="152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33"/>
      <c r="H40" s="147">
        <v>35</v>
      </c>
      <c r="I40" s="148" t="str">
        <f t="shared" si="4"/>
        <v/>
      </c>
      <c r="J40" s="147" t="e">
        <f t="shared" si="5"/>
        <v>#NUM!</v>
      </c>
      <c r="K40" s="147" t="e">
        <f t="shared" si="1"/>
        <v>#NUM!</v>
      </c>
      <c r="L40" s="147"/>
      <c r="M40" s="149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33"/>
      <c r="H41" s="150">
        <v>36</v>
      </c>
      <c r="I41" s="151" t="str">
        <f t="shared" si="4"/>
        <v/>
      </c>
      <c r="J41" s="150" t="e">
        <f t="shared" si="5"/>
        <v>#NUM!</v>
      </c>
      <c r="K41" s="150" t="e">
        <f t="shared" si="1"/>
        <v>#NUM!</v>
      </c>
      <c r="L41" s="150"/>
      <c r="M41" s="152">
        <f t="shared" si="2"/>
        <v>0</v>
      </c>
      <c r="S41" s="162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33"/>
      <c r="H42" s="147">
        <v>37</v>
      </c>
      <c r="I42" s="148" t="str">
        <f t="shared" si="4"/>
        <v/>
      </c>
      <c r="J42" s="147" t="e">
        <f t="shared" si="5"/>
        <v>#NUM!</v>
      </c>
      <c r="K42" s="147" t="e">
        <f t="shared" si="1"/>
        <v>#NUM!</v>
      </c>
      <c r="L42" s="147"/>
      <c r="M42" s="149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33"/>
      <c r="H43" s="150">
        <v>38</v>
      </c>
      <c r="I43" s="151" t="str">
        <f t="shared" si="4"/>
        <v/>
      </c>
      <c r="J43" s="150" t="e">
        <f t="shared" si="5"/>
        <v>#NUM!</v>
      </c>
      <c r="K43" s="150" t="e">
        <f t="shared" si="1"/>
        <v>#NUM!</v>
      </c>
      <c r="L43" s="150"/>
      <c r="M43" s="152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33"/>
      <c r="H44" s="147">
        <v>39</v>
      </c>
      <c r="I44" s="148" t="str">
        <f t="shared" si="4"/>
        <v/>
      </c>
      <c r="J44" s="147" t="e">
        <f t="shared" si="5"/>
        <v>#NUM!</v>
      </c>
      <c r="K44" s="147" t="e">
        <f t="shared" si="1"/>
        <v>#NUM!</v>
      </c>
      <c r="L44" s="147"/>
      <c r="M44" s="149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33"/>
      <c r="H45" s="150">
        <v>40</v>
      </c>
      <c r="I45" s="151" t="str">
        <f t="shared" si="4"/>
        <v/>
      </c>
      <c r="J45" s="150" t="e">
        <f t="shared" si="5"/>
        <v>#NUM!</v>
      </c>
      <c r="K45" s="150" t="e">
        <f t="shared" si="1"/>
        <v>#NUM!</v>
      </c>
      <c r="L45" s="150"/>
      <c r="M45" s="152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33"/>
      <c r="H46" s="147">
        <v>41</v>
      </c>
      <c r="I46" s="148" t="str">
        <f t="shared" si="4"/>
        <v/>
      </c>
      <c r="J46" s="147" t="e">
        <f t="shared" si="5"/>
        <v>#NUM!</v>
      </c>
      <c r="K46" s="147" t="e">
        <f t="shared" si="1"/>
        <v>#NUM!</v>
      </c>
      <c r="L46" s="147"/>
      <c r="M46" s="149">
        <f t="shared" si="2"/>
        <v>0</v>
      </c>
      <c r="R46" s="133" t="e">
        <f>LOG($H$2,2)</f>
        <v>#NUM!</v>
      </c>
      <c r="T46" s="138">
        <f>LOG(H38,2)</f>
        <v>5.0443941193584534</v>
      </c>
      <c r="U46" s="138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33"/>
      <c r="H47" s="150">
        <v>42</v>
      </c>
      <c r="I47" s="151" t="str">
        <f t="shared" si="4"/>
        <v/>
      </c>
      <c r="J47" s="150" t="e">
        <f t="shared" si="5"/>
        <v>#NUM!</v>
      </c>
      <c r="K47" s="150" t="e">
        <f t="shared" si="1"/>
        <v>#NUM!</v>
      </c>
      <c r="L47" s="150"/>
      <c r="M47" s="152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33"/>
      <c r="H48" s="147">
        <v>43</v>
      </c>
      <c r="I48" s="148" t="str">
        <f t="shared" si="4"/>
        <v/>
      </c>
      <c r="J48" s="147" t="e">
        <f t="shared" si="5"/>
        <v>#NUM!</v>
      </c>
      <c r="K48" s="147" t="e">
        <f t="shared" si="1"/>
        <v>#NUM!</v>
      </c>
      <c r="L48" s="147"/>
      <c r="M48" s="149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33"/>
      <c r="H49" s="150">
        <v>44</v>
      </c>
      <c r="I49" s="151" t="str">
        <f t="shared" si="4"/>
        <v/>
      </c>
      <c r="J49" s="150" t="e">
        <f t="shared" si="5"/>
        <v>#NUM!</v>
      </c>
      <c r="K49" s="150" t="e">
        <f t="shared" si="1"/>
        <v>#NUM!</v>
      </c>
      <c r="L49" s="150"/>
      <c r="M49" s="152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33"/>
      <c r="H50" s="147">
        <v>45</v>
      </c>
      <c r="I50" s="148" t="str">
        <f t="shared" si="4"/>
        <v/>
      </c>
      <c r="J50" s="147" t="e">
        <f t="shared" si="5"/>
        <v>#NUM!</v>
      </c>
      <c r="K50" s="147" t="e">
        <f t="shared" si="1"/>
        <v>#NUM!</v>
      </c>
      <c r="L50" s="147"/>
      <c r="M50" s="149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33"/>
      <c r="H51" s="150">
        <v>46</v>
      </c>
      <c r="I51" s="151" t="str">
        <f t="shared" si="4"/>
        <v/>
      </c>
      <c r="J51" s="150" t="e">
        <f t="shared" si="5"/>
        <v>#NUM!</v>
      </c>
      <c r="K51" s="150" t="e">
        <f t="shared" si="1"/>
        <v>#NUM!</v>
      </c>
      <c r="L51" s="150"/>
      <c r="M51" s="152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33"/>
      <c r="H52" s="147">
        <v>47</v>
      </c>
      <c r="I52" s="148" t="str">
        <f t="shared" si="4"/>
        <v/>
      </c>
      <c r="J52" s="147" t="e">
        <f t="shared" si="5"/>
        <v>#NUM!</v>
      </c>
      <c r="K52" s="147" t="e">
        <f t="shared" si="1"/>
        <v>#NUM!</v>
      </c>
      <c r="L52" s="147"/>
      <c r="M52" s="149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33"/>
      <c r="H53" s="150">
        <v>48</v>
      </c>
      <c r="I53" s="151" t="str">
        <f t="shared" si="4"/>
        <v/>
      </c>
      <c r="J53" s="150" t="e">
        <f t="shared" si="5"/>
        <v>#NUM!</v>
      </c>
      <c r="K53" s="150" t="e">
        <f t="shared" si="1"/>
        <v>#NUM!</v>
      </c>
      <c r="L53" s="150"/>
      <c r="M53" s="152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33"/>
      <c r="H54" s="147">
        <v>49</v>
      </c>
      <c r="I54" s="148" t="str">
        <f t="shared" si="4"/>
        <v/>
      </c>
      <c r="J54" s="147" t="e">
        <f t="shared" si="5"/>
        <v>#NUM!</v>
      </c>
      <c r="K54" s="147" t="e">
        <f t="shared" si="1"/>
        <v>#NUM!</v>
      </c>
      <c r="L54" s="147"/>
      <c r="M54" s="149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33"/>
      <c r="H55" s="150">
        <v>50</v>
      </c>
      <c r="I55" s="151" t="str">
        <f t="shared" si="4"/>
        <v/>
      </c>
      <c r="J55" s="150" t="e">
        <f t="shared" si="5"/>
        <v>#NUM!</v>
      </c>
      <c r="K55" s="150" t="e">
        <f t="shared" si="1"/>
        <v>#NUM!</v>
      </c>
      <c r="L55" s="150"/>
      <c r="M55" s="152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33"/>
      <c r="H56" s="147">
        <v>51</v>
      </c>
      <c r="I56" s="148" t="str">
        <f t="shared" si="4"/>
        <v/>
      </c>
      <c r="J56" s="147" t="e">
        <f t="shared" si="5"/>
        <v>#NUM!</v>
      </c>
      <c r="K56" s="147" t="e">
        <f t="shared" si="1"/>
        <v>#NUM!</v>
      </c>
      <c r="L56" s="147"/>
      <c r="M56" s="149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33"/>
      <c r="H57" s="150">
        <v>52</v>
      </c>
      <c r="I57" s="151" t="str">
        <f t="shared" si="4"/>
        <v/>
      </c>
      <c r="J57" s="150" t="e">
        <f t="shared" si="5"/>
        <v>#NUM!</v>
      </c>
      <c r="K57" s="150" t="e">
        <f t="shared" si="1"/>
        <v>#NUM!</v>
      </c>
      <c r="L57" s="150"/>
      <c r="M57" s="152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33"/>
      <c r="H58" s="147">
        <v>53</v>
      </c>
      <c r="I58" s="148" t="str">
        <f t="shared" si="4"/>
        <v/>
      </c>
      <c r="J58" s="147" t="e">
        <f t="shared" si="5"/>
        <v>#NUM!</v>
      </c>
      <c r="K58" s="147" t="e">
        <f t="shared" si="1"/>
        <v>#NUM!</v>
      </c>
      <c r="L58" s="147"/>
      <c r="M58" s="149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33"/>
      <c r="H59" s="150">
        <v>54</v>
      </c>
      <c r="I59" s="151" t="str">
        <f t="shared" si="4"/>
        <v/>
      </c>
      <c r="J59" s="150" t="e">
        <f t="shared" si="5"/>
        <v>#NUM!</v>
      </c>
      <c r="K59" s="150" t="e">
        <f t="shared" si="1"/>
        <v>#NUM!</v>
      </c>
      <c r="L59" s="150"/>
      <c r="M59" s="152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33"/>
      <c r="H60" s="147">
        <v>55</v>
      </c>
      <c r="I60" s="148" t="str">
        <f t="shared" si="4"/>
        <v/>
      </c>
      <c r="J60" s="147" t="e">
        <f t="shared" si="5"/>
        <v>#NUM!</v>
      </c>
      <c r="K60" s="147" t="e">
        <f t="shared" si="1"/>
        <v>#NUM!</v>
      </c>
      <c r="L60" s="147"/>
      <c r="M60" s="149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33"/>
      <c r="H61" s="150">
        <v>56</v>
      </c>
      <c r="I61" s="151" t="str">
        <f t="shared" si="4"/>
        <v/>
      </c>
      <c r="J61" s="150" t="e">
        <f t="shared" si="5"/>
        <v>#NUM!</v>
      </c>
      <c r="K61" s="150" t="e">
        <f t="shared" si="1"/>
        <v>#NUM!</v>
      </c>
      <c r="L61" s="150"/>
      <c r="M61" s="152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33"/>
      <c r="H62" s="147">
        <v>57</v>
      </c>
      <c r="I62" s="148" t="str">
        <f t="shared" si="4"/>
        <v/>
      </c>
      <c r="J62" s="147" t="e">
        <f t="shared" si="5"/>
        <v>#NUM!</v>
      </c>
      <c r="K62" s="147" t="e">
        <f t="shared" si="1"/>
        <v>#NUM!</v>
      </c>
      <c r="L62" s="147"/>
      <c r="M62" s="149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33"/>
      <c r="H63" s="150">
        <v>58</v>
      </c>
      <c r="I63" s="151" t="str">
        <f t="shared" si="4"/>
        <v/>
      </c>
      <c r="J63" s="150" t="e">
        <f t="shared" si="5"/>
        <v>#NUM!</v>
      </c>
      <c r="K63" s="150" t="e">
        <f t="shared" si="1"/>
        <v>#NUM!</v>
      </c>
      <c r="L63" s="150"/>
      <c r="M63" s="152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33"/>
      <c r="H64" s="147">
        <v>59</v>
      </c>
      <c r="I64" s="148" t="str">
        <f t="shared" si="4"/>
        <v/>
      </c>
      <c r="J64" s="147" t="e">
        <f t="shared" si="5"/>
        <v>#NUM!</v>
      </c>
      <c r="K64" s="147" t="e">
        <f t="shared" si="1"/>
        <v>#NUM!</v>
      </c>
      <c r="L64" s="147"/>
      <c r="M64" s="149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33"/>
      <c r="H65" s="150">
        <v>60</v>
      </c>
      <c r="I65" s="151" t="str">
        <f t="shared" si="4"/>
        <v/>
      </c>
      <c r="J65" s="150" t="e">
        <f t="shared" si="5"/>
        <v>#NUM!</v>
      </c>
      <c r="K65" s="150" t="e">
        <f t="shared" si="1"/>
        <v>#NUM!</v>
      </c>
      <c r="L65" s="150"/>
      <c r="M65" s="152">
        <f t="shared" si="2"/>
        <v>0</v>
      </c>
    </row>
    <row r="66" spans="1:13" x14ac:dyDescent="0.25">
      <c r="A66" s="163"/>
      <c r="B66" s="36"/>
      <c r="G66" s="133"/>
      <c r="H66" s="147">
        <v>61</v>
      </c>
      <c r="I66" s="148" t="str">
        <f t="shared" si="4"/>
        <v/>
      </c>
      <c r="J66" s="147" t="e">
        <f t="shared" si="5"/>
        <v>#NUM!</v>
      </c>
      <c r="K66" s="147" t="e">
        <f t="shared" si="1"/>
        <v>#NUM!</v>
      </c>
      <c r="L66" s="147"/>
      <c r="M66" s="149">
        <f t="shared" si="2"/>
        <v>0</v>
      </c>
    </row>
    <row r="67" spans="1:13" x14ac:dyDescent="0.25">
      <c r="A67" s="163"/>
      <c r="B67" s="42"/>
      <c r="G67" s="133"/>
      <c r="H67" s="147">
        <v>62</v>
      </c>
      <c r="I67" s="148" t="str">
        <f t="shared" si="4"/>
        <v/>
      </c>
      <c r="J67" s="147" t="e">
        <f t="shared" si="5"/>
        <v>#NUM!</v>
      </c>
      <c r="K67" s="147" t="e">
        <f t="shared" si="1"/>
        <v>#NUM!</v>
      </c>
      <c r="L67" s="147"/>
      <c r="M67" s="149">
        <f t="shared" si="2"/>
        <v>0</v>
      </c>
    </row>
    <row r="68" spans="1:13" x14ac:dyDescent="0.25">
      <c r="A68" s="163"/>
      <c r="B68" s="36"/>
      <c r="G68" s="133"/>
      <c r="H68" s="147">
        <v>63</v>
      </c>
      <c r="I68" s="148" t="str">
        <f t="shared" si="4"/>
        <v/>
      </c>
      <c r="J68" s="147" t="e">
        <f t="shared" si="5"/>
        <v>#NUM!</v>
      </c>
      <c r="K68" s="147" t="e">
        <f t="shared" si="1"/>
        <v>#NUM!</v>
      </c>
      <c r="L68" s="147"/>
      <c r="M68" s="149">
        <f t="shared" si="2"/>
        <v>0</v>
      </c>
    </row>
    <row r="69" spans="1:13" x14ac:dyDescent="0.25">
      <c r="A69" s="163"/>
      <c r="B69" s="42"/>
      <c r="G69" s="133"/>
      <c r="H69" s="147">
        <v>64</v>
      </c>
      <c r="I69" s="148" t="str">
        <f t="shared" si="4"/>
        <v/>
      </c>
      <c r="J69" s="147" t="e">
        <f t="shared" si="5"/>
        <v>#NUM!</v>
      </c>
      <c r="K69" s="147" t="e">
        <f t="shared" si="1"/>
        <v>#NUM!</v>
      </c>
      <c r="L69" s="147"/>
      <c r="M69" s="149">
        <f t="shared" si="2"/>
        <v>0</v>
      </c>
    </row>
    <row r="70" spans="1:13" x14ac:dyDescent="0.25">
      <c r="A70" s="163"/>
      <c r="G70" s="133"/>
      <c r="H70" s="147">
        <v>65</v>
      </c>
      <c r="I70" s="148" t="str">
        <f t="shared" si="4"/>
        <v/>
      </c>
      <c r="J70" s="147" t="e">
        <f t="shared" si="5"/>
        <v>#NUM!</v>
      </c>
      <c r="K70" s="147" t="e">
        <f t="shared" ref="K70:K133" si="7">J70*$J$2</f>
        <v>#NUM!</v>
      </c>
      <c r="L70" s="147"/>
      <c r="M70" s="149">
        <f t="shared" ref="M70:M133" si="8">IF(I70&lt;&gt;"",K70+I70+L70,0)</f>
        <v>0</v>
      </c>
    </row>
    <row r="71" spans="1:13" x14ac:dyDescent="0.25">
      <c r="A71" s="163"/>
      <c r="G71" s="133"/>
      <c r="H71" s="147">
        <v>66</v>
      </c>
      <c r="I71" s="148" t="str">
        <f t="shared" ref="I71:I134" si="9">IF(H71&lt;$H$2+1,($I$2-($I$2-1)*(LOG(H71)/LOG($H$2))),"")</f>
        <v/>
      </c>
      <c r="J71" s="147" t="e">
        <f t="shared" ref="J71:J134" si="10">INT(LOG($H$2,2))-ROUNDUP(LOG(H71,2),0)+IF(OR($H$2=1,$H$2=2,$H$2=4,$H$2=8,$H$2=16,$H$2=32,$H$2=64,$H$2=128,$H$2=256),0,1)</f>
        <v>#NUM!</v>
      </c>
      <c r="K71" s="147" t="e">
        <f t="shared" si="7"/>
        <v>#NUM!</v>
      </c>
      <c r="L71" s="147"/>
      <c r="M71" s="149">
        <f t="shared" si="8"/>
        <v>0</v>
      </c>
    </row>
    <row r="72" spans="1:13" x14ac:dyDescent="0.25">
      <c r="A72" s="163"/>
      <c r="G72" s="133"/>
      <c r="H72" s="147">
        <v>67</v>
      </c>
      <c r="I72" s="148" t="str">
        <f t="shared" si="9"/>
        <v/>
      </c>
      <c r="J72" s="147" t="e">
        <f t="shared" si="10"/>
        <v>#NUM!</v>
      </c>
      <c r="K72" s="147" t="e">
        <f t="shared" si="7"/>
        <v>#NUM!</v>
      </c>
      <c r="L72" s="147"/>
      <c r="M72" s="149">
        <f t="shared" si="8"/>
        <v>0</v>
      </c>
    </row>
    <row r="73" spans="1:13" x14ac:dyDescent="0.25">
      <c r="A73" s="163"/>
      <c r="G73" s="133"/>
      <c r="H73" s="147">
        <v>68</v>
      </c>
      <c r="I73" s="148" t="str">
        <f t="shared" si="9"/>
        <v/>
      </c>
      <c r="J73" s="147" t="e">
        <f t="shared" si="10"/>
        <v>#NUM!</v>
      </c>
      <c r="K73" s="147" t="e">
        <f t="shared" si="7"/>
        <v>#NUM!</v>
      </c>
      <c r="L73" s="147"/>
      <c r="M73" s="149">
        <f t="shared" si="8"/>
        <v>0</v>
      </c>
    </row>
    <row r="74" spans="1:13" x14ac:dyDescent="0.25">
      <c r="A74" s="163"/>
      <c r="G74" s="133"/>
      <c r="H74" s="147">
        <v>69</v>
      </c>
      <c r="I74" s="148" t="str">
        <f t="shared" si="9"/>
        <v/>
      </c>
      <c r="J74" s="147" t="e">
        <f t="shared" si="10"/>
        <v>#NUM!</v>
      </c>
      <c r="K74" s="147" t="e">
        <f t="shared" si="7"/>
        <v>#NUM!</v>
      </c>
      <c r="L74" s="147"/>
      <c r="M74" s="149">
        <f t="shared" si="8"/>
        <v>0</v>
      </c>
    </row>
    <row r="75" spans="1:13" x14ac:dyDescent="0.25">
      <c r="A75" s="163"/>
      <c r="G75" s="133"/>
      <c r="H75" s="147">
        <v>70</v>
      </c>
      <c r="I75" s="148" t="str">
        <f t="shared" si="9"/>
        <v/>
      </c>
      <c r="J75" s="147" t="e">
        <f t="shared" si="10"/>
        <v>#NUM!</v>
      </c>
      <c r="K75" s="147" t="e">
        <f t="shared" si="7"/>
        <v>#NUM!</v>
      </c>
      <c r="L75" s="147"/>
      <c r="M75" s="149">
        <f t="shared" si="8"/>
        <v>0</v>
      </c>
    </row>
    <row r="76" spans="1:13" x14ac:dyDescent="0.25">
      <c r="A76" s="163"/>
      <c r="G76" s="133"/>
      <c r="H76" s="147">
        <v>71</v>
      </c>
      <c r="I76" s="148" t="str">
        <f t="shared" si="9"/>
        <v/>
      </c>
      <c r="J76" s="147" t="e">
        <f t="shared" si="10"/>
        <v>#NUM!</v>
      </c>
      <c r="K76" s="147" t="e">
        <f t="shared" si="7"/>
        <v>#NUM!</v>
      </c>
      <c r="L76" s="147"/>
      <c r="M76" s="149">
        <f t="shared" si="8"/>
        <v>0</v>
      </c>
    </row>
    <row r="77" spans="1:13" x14ac:dyDescent="0.25">
      <c r="A77" s="163"/>
      <c r="G77" s="133"/>
      <c r="H77" s="147">
        <v>72</v>
      </c>
      <c r="I77" s="148" t="str">
        <f t="shared" si="9"/>
        <v/>
      </c>
      <c r="J77" s="147" t="e">
        <f t="shared" si="10"/>
        <v>#NUM!</v>
      </c>
      <c r="K77" s="147" t="e">
        <f t="shared" si="7"/>
        <v>#NUM!</v>
      </c>
      <c r="L77" s="147"/>
      <c r="M77" s="149">
        <f t="shared" si="8"/>
        <v>0</v>
      </c>
    </row>
    <row r="78" spans="1:13" x14ac:dyDescent="0.25">
      <c r="A78" s="163"/>
      <c r="G78" s="133"/>
      <c r="H78" s="147">
        <v>73</v>
      </c>
      <c r="I78" s="148" t="str">
        <f t="shared" si="9"/>
        <v/>
      </c>
      <c r="J78" s="147" t="e">
        <f t="shared" si="10"/>
        <v>#NUM!</v>
      </c>
      <c r="K78" s="147" t="e">
        <f t="shared" si="7"/>
        <v>#NUM!</v>
      </c>
      <c r="L78" s="147"/>
      <c r="M78" s="149">
        <f t="shared" si="8"/>
        <v>0</v>
      </c>
    </row>
    <row r="79" spans="1:13" x14ac:dyDescent="0.25">
      <c r="A79" s="163"/>
      <c r="G79" s="133"/>
      <c r="H79" s="147">
        <v>74</v>
      </c>
      <c r="I79" s="148" t="str">
        <f t="shared" si="9"/>
        <v/>
      </c>
      <c r="J79" s="147" t="e">
        <f t="shared" si="10"/>
        <v>#NUM!</v>
      </c>
      <c r="K79" s="147" t="e">
        <f t="shared" si="7"/>
        <v>#NUM!</v>
      </c>
      <c r="L79" s="147"/>
      <c r="M79" s="149">
        <f t="shared" si="8"/>
        <v>0</v>
      </c>
    </row>
    <row r="80" spans="1:13" x14ac:dyDescent="0.25">
      <c r="A80" s="163"/>
      <c r="G80" s="133"/>
      <c r="H80" s="147">
        <v>75</v>
      </c>
      <c r="I80" s="148" t="str">
        <f t="shared" si="9"/>
        <v/>
      </c>
      <c r="J80" s="147" t="e">
        <f t="shared" si="10"/>
        <v>#NUM!</v>
      </c>
      <c r="K80" s="147" t="e">
        <f t="shared" si="7"/>
        <v>#NUM!</v>
      </c>
      <c r="L80" s="147"/>
      <c r="M80" s="149">
        <f t="shared" si="8"/>
        <v>0</v>
      </c>
    </row>
    <row r="81" spans="1:13" x14ac:dyDescent="0.25">
      <c r="A81" s="163"/>
      <c r="G81" s="133"/>
      <c r="H81" s="147">
        <v>76</v>
      </c>
      <c r="I81" s="148" t="str">
        <f t="shared" si="9"/>
        <v/>
      </c>
      <c r="J81" s="147" t="e">
        <f t="shared" si="10"/>
        <v>#NUM!</v>
      </c>
      <c r="K81" s="147" t="e">
        <f t="shared" si="7"/>
        <v>#NUM!</v>
      </c>
      <c r="L81" s="147"/>
      <c r="M81" s="149">
        <f t="shared" si="8"/>
        <v>0</v>
      </c>
    </row>
    <row r="82" spans="1:13" x14ac:dyDescent="0.25">
      <c r="A82" s="163"/>
      <c r="G82" s="133"/>
      <c r="H82" s="147">
        <v>77</v>
      </c>
      <c r="I82" s="148" t="str">
        <f t="shared" si="9"/>
        <v/>
      </c>
      <c r="J82" s="147" t="e">
        <f t="shared" si="10"/>
        <v>#NUM!</v>
      </c>
      <c r="K82" s="147" t="e">
        <f t="shared" si="7"/>
        <v>#NUM!</v>
      </c>
      <c r="L82" s="147"/>
      <c r="M82" s="149">
        <f t="shared" si="8"/>
        <v>0</v>
      </c>
    </row>
    <row r="83" spans="1:13" x14ac:dyDescent="0.25">
      <c r="A83" s="163"/>
      <c r="G83" s="133"/>
      <c r="H83" s="147">
        <v>78</v>
      </c>
      <c r="I83" s="148" t="str">
        <f t="shared" si="9"/>
        <v/>
      </c>
      <c r="J83" s="147" t="e">
        <f t="shared" si="10"/>
        <v>#NUM!</v>
      </c>
      <c r="K83" s="147" t="e">
        <f t="shared" si="7"/>
        <v>#NUM!</v>
      </c>
      <c r="L83" s="147"/>
      <c r="M83" s="149">
        <f t="shared" si="8"/>
        <v>0</v>
      </c>
    </row>
    <row r="84" spans="1:13" x14ac:dyDescent="0.25">
      <c r="A84" s="163"/>
      <c r="G84" s="133"/>
      <c r="H84" s="147">
        <v>79</v>
      </c>
      <c r="I84" s="148" t="str">
        <f t="shared" si="9"/>
        <v/>
      </c>
      <c r="J84" s="147" t="e">
        <f t="shared" si="10"/>
        <v>#NUM!</v>
      </c>
      <c r="K84" s="147" t="e">
        <f t="shared" si="7"/>
        <v>#NUM!</v>
      </c>
      <c r="L84" s="147"/>
      <c r="M84" s="149">
        <f t="shared" si="8"/>
        <v>0</v>
      </c>
    </row>
    <row r="85" spans="1:13" x14ac:dyDescent="0.25">
      <c r="A85" s="163"/>
      <c r="G85" s="133"/>
      <c r="H85" s="147">
        <v>80</v>
      </c>
      <c r="I85" s="148" t="str">
        <f t="shared" si="9"/>
        <v/>
      </c>
      <c r="J85" s="147" t="e">
        <f t="shared" si="10"/>
        <v>#NUM!</v>
      </c>
      <c r="K85" s="147" t="e">
        <f t="shared" si="7"/>
        <v>#NUM!</v>
      </c>
      <c r="L85" s="147"/>
      <c r="M85" s="149">
        <f t="shared" si="8"/>
        <v>0</v>
      </c>
    </row>
    <row r="86" spans="1:13" x14ac:dyDescent="0.25">
      <c r="A86" s="163"/>
      <c r="G86" s="133"/>
      <c r="H86" s="147">
        <v>81</v>
      </c>
      <c r="I86" s="148" t="str">
        <f t="shared" si="9"/>
        <v/>
      </c>
      <c r="J86" s="147" t="e">
        <f t="shared" si="10"/>
        <v>#NUM!</v>
      </c>
      <c r="K86" s="147" t="e">
        <f t="shared" si="7"/>
        <v>#NUM!</v>
      </c>
      <c r="L86" s="147"/>
      <c r="M86" s="149">
        <f t="shared" si="8"/>
        <v>0</v>
      </c>
    </row>
    <row r="87" spans="1:13" x14ac:dyDescent="0.25">
      <c r="A87" s="163"/>
      <c r="G87" s="133"/>
      <c r="H87" s="147">
        <v>82</v>
      </c>
      <c r="I87" s="148" t="str">
        <f t="shared" si="9"/>
        <v/>
      </c>
      <c r="J87" s="147" t="e">
        <f t="shared" si="10"/>
        <v>#NUM!</v>
      </c>
      <c r="K87" s="147" t="e">
        <f t="shared" si="7"/>
        <v>#NUM!</v>
      </c>
      <c r="L87" s="147"/>
      <c r="M87" s="149">
        <f t="shared" si="8"/>
        <v>0</v>
      </c>
    </row>
    <row r="88" spans="1:13" x14ac:dyDescent="0.25">
      <c r="A88" s="163"/>
      <c r="G88" s="133"/>
      <c r="H88" s="147">
        <v>83</v>
      </c>
      <c r="I88" s="148" t="str">
        <f t="shared" si="9"/>
        <v/>
      </c>
      <c r="J88" s="147" t="e">
        <f t="shared" si="10"/>
        <v>#NUM!</v>
      </c>
      <c r="K88" s="147" t="e">
        <f t="shared" si="7"/>
        <v>#NUM!</v>
      </c>
      <c r="L88" s="147"/>
      <c r="M88" s="149">
        <f t="shared" si="8"/>
        <v>0</v>
      </c>
    </row>
    <row r="89" spans="1:13" x14ac:dyDescent="0.25">
      <c r="A89" s="163"/>
      <c r="G89" s="133"/>
      <c r="H89" s="147">
        <v>84</v>
      </c>
      <c r="I89" s="148" t="str">
        <f t="shared" si="9"/>
        <v/>
      </c>
      <c r="J89" s="147" t="e">
        <f t="shared" si="10"/>
        <v>#NUM!</v>
      </c>
      <c r="K89" s="147" t="e">
        <f t="shared" si="7"/>
        <v>#NUM!</v>
      </c>
      <c r="L89" s="147"/>
      <c r="M89" s="149">
        <f t="shared" si="8"/>
        <v>0</v>
      </c>
    </row>
    <row r="90" spans="1:13" x14ac:dyDescent="0.25">
      <c r="A90" s="163"/>
      <c r="G90" s="133"/>
      <c r="H90" s="147">
        <v>85</v>
      </c>
      <c r="I90" s="148" t="str">
        <f t="shared" si="9"/>
        <v/>
      </c>
      <c r="J90" s="147" t="e">
        <f t="shared" si="10"/>
        <v>#NUM!</v>
      </c>
      <c r="K90" s="147" t="e">
        <f t="shared" si="7"/>
        <v>#NUM!</v>
      </c>
      <c r="L90" s="147"/>
      <c r="M90" s="149">
        <f t="shared" si="8"/>
        <v>0</v>
      </c>
    </row>
    <row r="91" spans="1:13" x14ac:dyDescent="0.25">
      <c r="A91" s="163"/>
      <c r="G91" s="133"/>
      <c r="H91" s="147">
        <v>86</v>
      </c>
      <c r="I91" s="148" t="str">
        <f t="shared" si="9"/>
        <v/>
      </c>
      <c r="J91" s="147" t="e">
        <f t="shared" si="10"/>
        <v>#NUM!</v>
      </c>
      <c r="K91" s="147" t="e">
        <f t="shared" si="7"/>
        <v>#NUM!</v>
      </c>
      <c r="L91" s="147"/>
      <c r="M91" s="149">
        <f t="shared" si="8"/>
        <v>0</v>
      </c>
    </row>
    <row r="92" spans="1:13" x14ac:dyDescent="0.25">
      <c r="A92" s="163"/>
      <c r="G92" s="133"/>
      <c r="H92" s="147">
        <v>87</v>
      </c>
      <c r="I92" s="148" t="str">
        <f t="shared" si="9"/>
        <v/>
      </c>
      <c r="J92" s="147" t="e">
        <f t="shared" si="10"/>
        <v>#NUM!</v>
      </c>
      <c r="K92" s="147" t="e">
        <f t="shared" si="7"/>
        <v>#NUM!</v>
      </c>
      <c r="L92" s="147"/>
      <c r="M92" s="149">
        <f t="shared" si="8"/>
        <v>0</v>
      </c>
    </row>
    <row r="93" spans="1:13" x14ac:dyDescent="0.25">
      <c r="A93" s="163"/>
      <c r="G93" s="133"/>
      <c r="H93" s="147">
        <v>88</v>
      </c>
      <c r="I93" s="148" t="str">
        <f t="shared" si="9"/>
        <v/>
      </c>
      <c r="J93" s="147" t="e">
        <f t="shared" si="10"/>
        <v>#NUM!</v>
      </c>
      <c r="K93" s="147" t="e">
        <f t="shared" si="7"/>
        <v>#NUM!</v>
      </c>
      <c r="L93" s="147"/>
      <c r="M93" s="149">
        <f t="shared" si="8"/>
        <v>0</v>
      </c>
    </row>
    <row r="94" spans="1:13" x14ac:dyDescent="0.25">
      <c r="A94" s="163"/>
      <c r="G94" s="133"/>
      <c r="H94" s="147">
        <v>89</v>
      </c>
      <c r="I94" s="148" t="str">
        <f t="shared" si="9"/>
        <v/>
      </c>
      <c r="J94" s="147" t="e">
        <f t="shared" si="10"/>
        <v>#NUM!</v>
      </c>
      <c r="K94" s="147" t="e">
        <f t="shared" si="7"/>
        <v>#NUM!</v>
      </c>
      <c r="L94" s="147"/>
      <c r="M94" s="149">
        <f t="shared" si="8"/>
        <v>0</v>
      </c>
    </row>
    <row r="95" spans="1:13" x14ac:dyDescent="0.25">
      <c r="A95" s="163"/>
      <c r="G95" s="133"/>
      <c r="H95" s="147">
        <v>90</v>
      </c>
      <c r="I95" s="148" t="str">
        <f t="shared" si="9"/>
        <v/>
      </c>
      <c r="J95" s="147" t="e">
        <f t="shared" si="10"/>
        <v>#NUM!</v>
      </c>
      <c r="K95" s="147" t="e">
        <f t="shared" si="7"/>
        <v>#NUM!</v>
      </c>
      <c r="L95" s="147"/>
      <c r="M95" s="149">
        <f t="shared" si="8"/>
        <v>0</v>
      </c>
    </row>
    <row r="96" spans="1:13" x14ac:dyDescent="0.25">
      <c r="A96" s="163"/>
      <c r="G96" s="133"/>
      <c r="H96" s="147">
        <v>91</v>
      </c>
      <c r="I96" s="148" t="str">
        <f t="shared" si="9"/>
        <v/>
      </c>
      <c r="J96" s="147" t="e">
        <f t="shared" si="10"/>
        <v>#NUM!</v>
      </c>
      <c r="K96" s="147" t="e">
        <f t="shared" si="7"/>
        <v>#NUM!</v>
      </c>
      <c r="L96" s="147"/>
      <c r="M96" s="149">
        <f t="shared" si="8"/>
        <v>0</v>
      </c>
    </row>
    <row r="97" spans="1:13" x14ac:dyDescent="0.25">
      <c r="A97" s="163"/>
      <c r="G97" s="133"/>
      <c r="H97" s="147">
        <v>92</v>
      </c>
      <c r="I97" s="148" t="str">
        <f t="shared" si="9"/>
        <v/>
      </c>
      <c r="J97" s="147" t="e">
        <f t="shared" si="10"/>
        <v>#NUM!</v>
      </c>
      <c r="K97" s="147" t="e">
        <f t="shared" si="7"/>
        <v>#NUM!</v>
      </c>
      <c r="L97" s="147"/>
      <c r="M97" s="149">
        <f t="shared" si="8"/>
        <v>0</v>
      </c>
    </row>
    <row r="98" spans="1:13" x14ac:dyDescent="0.25">
      <c r="A98" s="163"/>
      <c r="G98" s="133"/>
      <c r="H98" s="147">
        <v>93</v>
      </c>
      <c r="I98" s="148" t="str">
        <f t="shared" si="9"/>
        <v/>
      </c>
      <c r="J98" s="147" t="e">
        <f t="shared" si="10"/>
        <v>#NUM!</v>
      </c>
      <c r="K98" s="147" t="e">
        <f t="shared" si="7"/>
        <v>#NUM!</v>
      </c>
      <c r="L98" s="147"/>
      <c r="M98" s="149">
        <f t="shared" si="8"/>
        <v>0</v>
      </c>
    </row>
    <row r="99" spans="1:13" x14ac:dyDescent="0.25">
      <c r="A99" s="163"/>
      <c r="G99" s="133"/>
      <c r="H99" s="147">
        <v>94</v>
      </c>
      <c r="I99" s="148" t="str">
        <f t="shared" si="9"/>
        <v/>
      </c>
      <c r="J99" s="147" t="e">
        <f t="shared" si="10"/>
        <v>#NUM!</v>
      </c>
      <c r="K99" s="147" t="e">
        <f t="shared" si="7"/>
        <v>#NUM!</v>
      </c>
      <c r="L99" s="147"/>
      <c r="M99" s="149">
        <f t="shared" si="8"/>
        <v>0</v>
      </c>
    </row>
    <row r="100" spans="1:13" x14ac:dyDescent="0.25">
      <c r="A100" s="163"/>
      <c r="G100" s="133"/>
      <c r="H100" s="147">
        <v>95</v>
      </c>
      <c r="I100" s="148" t="str">
        <f t="shared" si="9"/>
        <v/>
      </c>
      <c r="J100" s="147" t="e">
        <f t="shared" si="10"/>
        <v>#NUM!</v>
      </c>
      <c r="K100" s="147" t="e">
        <f t="shared" si="7"/>
        <v>#NUM!</v>
      </c>
      <c r="L100" s="147"/>
      <c r="M100" s="149">
        <f t="shared" si="8"/>
        <v>0</v>
      </c>
    </row>
    <row r="101" spans="1:13" x14ac:dyDescent="0.25">
      <c r="A101" s="163"/>
      <c r="G101" s="133"/>
      <c r="H101" s="147">
        <v>96</v>
      </c>
      <c r="I101" s="148" t="str">
        <f t="shared" si="9"/>
        <v/>
      </c>
      <c r="J101" s="147" t="e">
        <f t="shared" si="10"/>
        <v>#NUM!</v>
      </c>
      <c r="K101" s="147" t="e">
        <f t="shared" si="7"/>
        <v>#NUM!</v>
      </c>
      <c r="L101" s="147"/>
      <c r="M101" s="149">
        <f t="shared" si="8"/>
        <v>0</v>
      </c>
    </row>
    <row r="102" spans="1:13" x14ac:dyDescent="0.25">
      <c r="A102" s="163"/>
      <c r="G102" s="133"/>
      <c r="H102" s="147">
        <v>97</v>
      </c>
      <c r="I102" s="148" t="str">
        <f t="shared" si="9"/>
        <v/>
      </c>
      <c r="J102" s="147" t="e">
        <f t="shared" si="10"/>
        <v>#NUM!</v>
      </c>
      <c r="K102" s="147" t="e">
        <f t="shared" si="7"/>
        <v>#NUM!</v>
      </c>
      <c r="L102" s="147"/>
      <c r="M102" s="149">
        <f t="shared" si="8"/>
        <v>0</v>
      </c>
    </row>
    <row r="103" spans="1:13" x14ac:dyDescent="0.25">
      <c r="A103" s="163"/>
      <c r="G103" s="133"/>
      <c r="H103" s="147">
        <v>98</v>
      </c>
      <c r="I103" s="148" t="str">
        <f t="shared" si="9"/>
        <v/>
      </c>
      <c r="J103" s="147" t="e">
        <f t="shared" si="10"/>
        <v>#NUM!</v>
      </c>
      <c r="K103" s="147" t="e">
        <f t="shared" si="7"/>
        <v>#NUM!</v>
      </c>
      <c r="L103" s="147"/>
      <c r="M103" s="149">
        <f t="shared" si="8"/>
        <v>0</v>
      </c>
    </row>
    <row r="104" spans="1:13" x14ac:dyDescent="0.25">
      <c r="A104" s="163"/>
      <c r="G104" s="133"/>
      <c r="H104" s="147">
        <v>99</v>
      </c>
      <c r="I104" s="148" t="str">
        <f t="shared" si="9"/>
        <v/>
      </c>
      <c r="J104" s="147" t="e">
        <f t="shared" si="10"/>
        <v>#NUM!</v>
      </c>
      <c r="K104" s="147" t="e">
        <f t="shared" si="7"/>
        <v>#NUM!</v>
      </c>
      <c r="L104" s="147"/>
      <c r="M104" s="149">
        <f t="shared" si="8"/>
        <v>0</v>
      </c>
    </row>
    <row r="105" spans="1:13" x14ac:dyDescent="0.25">
      <c r="A105" s="163"/>
      <c r="G105" s="133"/>
      <c r="H105" s="147">
        <v>100</v>
      </c>
      <c r="I105" s="148" t="str">
        <f t="shared" si="9"/>
        <v/>
      </c>
      <c r="J105" s="147" t="e">
        <f t="shared" si="10"/>
        <v>#NUM!</v>
      </c>
      <c r="K105" s="147" t="e">
        <f t="shared" si="7"/>
        <v>#NUM!</v>
      </c>
      <c r="L105" s="147"/>
      <c r="M105" s="149">
        <f t="shared" si="8"/>
        <v>0</v>
      </c>
    </row>
    <row r="106" spans="1:13" x14ac:dyDescent="0.25">
      <c r="A106" s="163"/>
      <c r="G106" s="133"/>
      <c r="H106" s="147">
        <v>101</v>
      </c>
      <c r="I106" s="148" t="str">
        <f t="shared" si="9"/>
        <v/>
      </c>
      <c r="J106" s="147" t="e">
        <f t="shared" si="10"/>
        <v>#NUM!</v>
      </c>
      <c r="K106" s="147" t="e">
        <f t="shared" si="7"/>
        <v>#NUM!</v>
      </c>
      <c r="L106" s="147"/>
      <c r="M106" s="149">
        <f t="shared" si="8"/>
        <v>0</v>
      </c>
    </row>
    <row r="107" spans="1:13" x14ac:dyDescent="0.25">
      <c r="A107" s="163"/>
      <c r="G107" s="133"/>
      <c r="H107" s="147">
        <v>102</v>
      </c>
      <c r="I107" s="148" t="str">
        <f t="shared" si="9"/>
        <v/>
      </c>
      <c r="J107" s="147" t="e">
        <f t="shared" si="10"/>
        <v>#NUM!</v>
      </c>
      <c r="K107" s="147" t="e">
        <f t="shared" si="7"/>
        <v>#NUM!</v>
      </c>
      <c r="L107" s="147"/>
      <c r="M107" s="149">
        <f t="shared" si="8"/>
        <v>0</v>
      </c>
    </row>
    <row r="108" spans="1:13" x14ac:dyDescent="0.25">
      <c r="A108" s="163"/>
      <c r="G108" s="133"/>
      <c r="H108" s="147">
        <v>103</v>
      </c>
      <c r="I108" s="148" t="str">
        <f t="shared" si="9"/>
        <v/>
      </c>
      <c r="J108" s="147" t="e">
        <f t="shared" si="10"/>
        <v>#NUM!</v>
      </c>
      <c r="K108" s="147" t="e">
        <f t="shared" si="7"/>
        <v>#NUM!</v>
      </c>
      <c r="L108" s="147"/>
      <c r="M108" s="149">
        <f t="shared" si="8"/>
        <v>0</v>
      </c>
    </row>
    <row r="109" spans="1:13" x14ac:dyDescent="0.25">
      <c r="A109" s="163"/>
      <c r="G109" s="133"/>
      <c r="H109" s="147">
        <v>104</v>
      </c>
      <c r="I109" s="148" t="str">
        <f t="shared" si="9"/>
        <v/>
      </c>
      <c r="J109" s="147" t="e">
        <f t="shared" si="10"/>
        <v>#NUM!</v>
      </c>
      <c r="K109" s="147" t="e">
        <f t="shared" si="7"/>
        <v>#NUM!</v>
      </c>
      <c r="L109" s="147"/>
      <c r="M109" s="149">
        <f t="shared" si="8"/>
        <v>0</v>
      </c>
    </row>
    <row r="110" spans="1:13" x14ac:dyDescent="0.25">
      <c r="A110" s="163"/>
      <c r="G110" s="133"/>
      <c r="H110" s="147">
        <v>105</v>
      </c>
      <c r="I110" s="148" t="str">
        <f t="shared" si="9"/>
        <v/>
      </c>
      <c r="J110" s="147" t="e">
        <f t="shared" si="10"/>
        <v>#NUM!</v>
      </c>
      <c r="K110" s="147" t="e">
        <f t="shared" si="7"/>
        <v>#NUM!</v>
      </c>
      <c r="L110" s="147"/>
      <c r="M110" s="149">
        <f t="shared" si="8"/>
        <v>0</v>
      </c>
    </row>
    <row r="111" spans="1:13" x14ac:dyDescent="0.25">
      <c r="A111" s="163"/>
      <c r="G111" s="133"/>
      <c r="H111" s="147">
        <v>106</v>
      </c>
      <c r="I111" s="148" t="str">
        <f t="shared" si="9"/>
        <v/>
      </c>
      <c r="J111" s="147" t="e">
        <f t="shared" si="10"/>
        <v>#NUM!</v>
      </c>
      <c r="K111" s="147" t="e">
        <f t="shared" si="7"/>
        <v>#NUM!</v>
      </c>
      <c r="L111" s="147"/>
      <c r="M111" s="149">
        <f t="shared" si="8"/>
        <v>0</v>
      </c>
    </row>
    <row r="112" spans="1:13" x14ac:dyDescent="0.25">
      <c r="A112" s="163"/>
      <c r="G112" s="133"/>
      <c r="H112" s="147">
        <v>107</v>
      </c>
      <c r="I112" s="148" t="str">
        <f t="shared" si="9"/>
        <v/>
      </c>
      <c r="J112" s="147" t="e">
        <f t="shared" si="10"/>
        <v>#NUM!</v>
      </c>
      <c r="K112" s="147" t="e">
        <f t="shared" si="7"/>
        <v>#NUM!</v>
      </c>
      <c r="L112" s="147"/>
      <c r="M112" s="149">
        <f t="shared" si="8"/>
        <v>0</v>
      </c>
    </row>
    <row r="113" spans="1:13" x14ac:dyDescent="0.25">
      <c r="A113" s="163"/>
      <c r="G113" s="133"/>
      <c r="H113" s="147">
        <v>108</v>
      </c>
      <c r="I113" s="148" t="str">
        <f t="shared" si="9"/>
        <v/>
      </c>
      <c r="J113" s="147" t="e">
        <f t="shared" si="10"/>
        <v>#NUM!</v>
      </c>
      <c r="K113" s="147" t="e">
        <f t="shared" si="7"/>
        <v>#NUM!</v>
      </c>
      <c r="L113" s="147"/>
      <c r="M113" s="149">
        <f t="shared" si="8"/>
        <v>0</v>
      </c>
    </row>
    <row r="114" spans="1:13" x14ac:dyDescent="0.25">
      <c r="A114" s="163"/>
      <c r="G114" s="133"/>
      <c r="H114" s="147">
        <v>109</v>
      </c>
      <c r="I114" s="148" t="str">
        <f t="shared" si="9"/>
        <v/>
      </c>
      <c r="J114" s="147" t="e">
        <f t="shared" si="10"/>
        <v>#NUM!</v>
      </c>
      <c r="K114" s="147" t="e">
        <f t="shared" si="7"/>
        <v>#NUM!</v>
      </c>
      <c r="L114" s="147"/>
      <c r="M114" s="149">
        <f t="shared" si="8"/>
        <v>0</v>
      </c>
    </row>
    <row r="115" spans="1:13" x14ac:dyDescent="0.25">
      <c r="A115" s="163"/>
      <c r="G115" s="133"/>
      <c r="H115" s="147">
        <v>110</v>
      </c>
      <c r="I115" s="148" t="str">
        <f t="shared" si="9"/>
        <v/>
      </c>
      <c r="J115" s="147" t="e">
        <f t="shared" si="10"/>
        <v>#NUM!</v>
      </c>
      <c r="K115" s="147" t="e">
        <f t="shared" si="7"/>
        <v>#NUM!</v>
      </c>
      <c r="L115" s="147"/>
      <c r="M115" s="149">
        <f t="shared" si="8"/>
        <v>0</v>
      </c>
    </row>
    <row r="116" spans="1:13" x14ac:dyDescent="0.25">
      <c r="A116" s="163"/>
      <c r="G116" s="133"/>
      <c r="H116" s="147">
        <v>111</v>
      </c>
      <c r="I116" s="148" t="str">
        <f t="shared" si="9"/>
        <v/>
      </c>
      <c r="J116" s="147" t="e">
        <f t="shared" si="10"/>
        <v>#NUM!</v>
      </c>
      <c r="K116" s="147" t="e">
        <f t="shared" si="7"/>
        <v>#NUM!</v>
      </c>
      <c r="L116" s="147"/>
      <c r="M116" s="149">
        <f t="shared" si="8"/>
        <v>0</v>
      </c>
    </row>
    <row r="117" spans="1:13" x14ac:dyDescent="0.25">
      <c r="A117" s="163"/>
      <c r="G117" s="133"/>
      <c r="H117" s="147">
        <v>112</v>
      </c>
      <c r="I117" s="148" t="str">
        <f t="shared" si="9"/>
        <v/>
      </c>
      <c r="J117" s="147" t="e">
        <f t="shared" si="10"/>
        <v>#NUM!</v>
      </c>
      <c r="K117" s="147" t="e">
        <f t="shared" si="7"/>
        <v>#NUM!</v>
      </c>
      <c r="L117" s="147"/>
      <c r="M117" s="149">
        <f t="shared" si="8"/>
        <v>0</v>
      </c>
    </row>
    <row r="118" spans="1:13" x14ac:dyDescent="0.25">
      <c r="A118" s="163"/>
      <c r="G118" s="133"/>
      <c r="H118" s="147">
        <v>113</v>
      </c>
      <c r="I118" s="148" t="str">
        <f t="shared" si="9"/>
        <v/>
      </c>
      <c r="J118" s="147" t="e">
        <f t="shared" si="10"/>
        <v>#NUM!</v>
      </c>
      <c r="K118" s="147" t="e">
        <f t="shared" si="7"/>
        <v>#NUM!</v>
      </c>
      <c r="L118" s="147"/>
      <c r="M118" s="149">
        <f t="shared" si="8"/>
        <v>0</v>
      </c>
    </row>
    <row r="119" spans="1:13" x14ac:dyDescent="0.25">
      <c r="A119" s="163"/>
      <c r="G119" s="133"/>
      <c r="H119" s="147">
        <v>114</v>
      </c>
      <c r="I119" s="148" t="str">
        <f t="shared" si="9"/>
        <v/>
      </c>
      <c r="J119" s="147" t="e">
        <f t="shared" si="10"/>
        <v>#NUM!</v>
      </c>
      <c r="K119" s="147" t="e">
        <f t="shared" si="7"/>
        <v>#NUM!</v>
      </c>
      <c r="L119" s="147"/>
      <c r="M119" s="149">
        <f t="shared" si="8"/>
        <v>0</v>
      </c>
    </row>
    <row r="120" spans="1:13" x14ac:dyDescent="0.25">
      <c r="A120" s="163"/>
      <c r="G120" s="133"/>
      <c r="H120" s="147">
        <v>115</v>
      </c>
      <c r="I120" s="148" t="str">
        <f t="shared" si="9"/>
        <v/>
      </c>
      <c r="J120" s="147" t="e">
        <f t="shared" si="10"/>
        <v>#NUM!</v>
      </c>
      <c r="K120" s="147" t="e">
        <f t="shared" si="7"/>
        <v>#NUM!</v>
      </c>
      <c r="L120" s="147"/>
      <c r="M120" s="149">
        <f t="shared" si="8"/>
        <v>0</v>
      </c>
    </row>
    <row r="121" spans="1:13" x14ac:dyDescent="0.25">
      <c r="A121" s="163"/>
      <c r="G121" s="133"/>
      <c r="H121" s="147">
        <v>116</v>
      </c>
      <c r="I121" s="148" t="str">
        <f t="shared" si="9"/>
        <v/>
      </c>
      <c r="J121" s="147" t="e">
        <f t="shared" si="10"/>
        <v>#NUM!</v>
      </c>
      <c r="K121" s="147" t="e">
        <f t="shared" si="7"/>
        <v>#NUM!</v>
      </c>
      <c r="L121" s="147"/>
      <c r="M121" s="149">
        <f t="shared" si="8"/>
        <v>0</v>
      </c>
    </row>
    <row r="122" spans="1:13" x14ac:dyDescent="0.25">
      <c r="A122" s="163"/>
      <c r="G122" s="133"/>
      <c r="H122" s="147">
        <v>117</v>
      </c>
      <c r="I122" s="148" t="str">
        <f t="shared" si="9"/>
        <v/>
      </c>
      <c r="J122" s="147" t="e">
        <f t="shared" si="10"/>
        <v>#NUM!</v>
      </c>
      <c r="K122" s="147" t="e">
        <f t="shared" si="7"/>
        <v>#NUM!</v>
      </c>
      <c r="L122" s="147"/>
      <c r="M122" s="149">
        <f t="shared" si="8"/>
        <v>0</v>
      </c>
    </row>
    <row r="123" spans="1:13" x14ac:dyDescent="0.25">
      <c r="A123" s="163"/>
      <c r="G123" s="133"/>
      <c r="H123" s="147">
        <v>118</v>
      </c>
      <c r="I123" s="148" t="str">
        <f t="shared" si="9"/>
        <v/>
      </c>
      <c r="J123" s="147" t="e">
        <f t="shared" si="10"/>
        <v>#NUM!</v>
      </c>
      <c r="K123" s="147" t="e">
        <f t="shared" si="7"/>
        <v>#NUM!</v>
      </c>
      <c r="L123" s="147"/>
      <c r="M123" s="149">
        <f t="shared" si="8"/>
        <v>0</v>
      </c>
    </row>
    <row r="124" spans="1:13" x14ac:dyDescent="0.25">
      <c r="A124" s="163"/>
      <c r="G124" s="133"/>
      <c r="H124" s="147">
        <v>119</v>
      </c>
      <c r="I124" s="148" t="str">
        <f t="shared" si="9"/>
        <v/>
      </c>
      <c r="J124" s="147" t="e">
        <f t="shared" si="10"/>
        <v>#NUM!</v>
      </c>
      <c r="K124" s="147" t="e">
        <f t="shared" si="7"/>
        <v>#NUM!</v>
      </c>
      <c r="L124" s="147"/>
      <c r="M124" s="149">
        <f t="shared" si="8"/>
        <v>0</v>
      </c>
    </row>
    <row r="125" spans="1:13" x14ac:dyDescent="0.25">
      <c r="A125" s="163"/>
      <c r="G125" s="133"/>
      <c r="H125" s="147">
        <v>120</v>
      </c>
      <c r="I125" s="148" t="str">
        <f t="shared" si="9"/>
        <v/>
      </c>
      <c r="J125" s="147" t="e">
        <f t="shared" si="10"/>
        <v>#NUM!</v>
      </c>
      <c r="K125" s="147" t="e">
        <f t="shared" si="7"/>
        <v>#NUM!</v>
      </c>
      <c r="L125" s="147"/>
      <c r="M125" s="149">
        <f t="shared" si="8"/>
        <v>0</v>
      </c>
    </row>
    <row r="126" spans="1:13" x14ac:dyDescent="0.25">
      <c r="A126" s="163"/>
      <c r="G126" s="133"/>
      <c r="H126" s="147">
        <v>121</v>
      </c>
      <c r="I126" s="148" t="str">
        <f t="shared" si="9"/>
        <v/>
      </c>
      <c r="J126" s="147" t="e">
        <f t="shared" si="10"/>
        <v>#NUM!</v>
      </c>
      <c r="K126" s="147" t="e">
        <f t="shared" si="7"/>
        <v>#NUM!</v>
      </c>
      <c r="L126" s="147"/>
      <c r="M126" s="149">
        <f t="shared" si="8"/>
        <v>0</v>
      </c>
    </row>
    <row r="127" spans="1:13" x14ac:dyDescent="0.25">
      <c r="A127" s="163"/>
      <c r="G127" s="133"/>
      <c r="H127" s="147">
        <v>122</v>
      </c>
      <c r="I127" s="148" t="str">
        <f t="shared" si="9"/>
        <v/>
      </c>
      <c r="J127" s="147" t="e">
        <f t="shared" si="10"/>
        <v>#NUM!</v>
      </c>
      <c r="K127" s="147" t="e">
        <f t="shared" si="7"/>
        <v>#NUM!</v>
      </c>
      <c r="L127" s="147"/>
      <c r="M127" s="149">
        <f t="shared" si="8"/>
        <v>0</v>
      </c>
    </row>
    <row r="128" spans="1:13" x14ac:dyDescent="0.25">
      <c r="A128" s="163"/>
      <c r="G128" s="133"/>
      <c r="H128" s="147">
        <v>123</v>
      </c>
      <c r="I128" s="148" t="str">
        <f t="shared" si="9"/>
        <v/>
      </c>
      <c r="J128" s="147" t="e">
        <f t="shared" si="10"/>
        <v>#NUM!</v>
      </c>
      <c r="K128" s="147" t="e">
        <f t="shared" si="7"/>
        <v>#NUM!</v>
      </c>
      <c r="L128" s="147"/>
      <c r="M128" s="149">
        <f t="shared" si="8"/>
        <v>0</v>
      </c>
    </row>
    <row r="129" spans="1:13" x14ac:dyDescent="0.25">
      <c r="A129" s="163"/>
      <c r="G129" s="133"/>
      <c r="H129" s="147">
        <v>124</v>
      </c>
      <c r="I129" s="148" t="str">
        <f t="shared" si="9"/>
        <v/>
      </c>
      <c r="J129" s="147" t="e">
        <f t="shared" si="10"/>
        <v>#NUM!</v>
      </c>
      <c r="K129" s="147" t="e">
        <f t="shared" si="7"/>
        <v>#NUM!</v>
      </c>
      <c r="L129" s="147"/>
      <c r="M129" s="149">
        <f t="shared" si="8"/>
        <v>0</v>
      </c>
    </row>
    <row r="130" spans="1:13" x14ac:dyDescent="0.25">
      <c r="A130" s="163"/>
      <c r="G130" s="133"/>
      <c r="H130" s="147">
        <v>125</v>
      </c>
      <c r="I130" s="148" t="str">
        <f t="shared" si="9"/>
        <v/>
      </c>
      <c r="J130" s="147" t="e">
        <f t="shared" si="10"/>
        <v>#NUM!</v>
      </c>
      <c r="K130" s="147" t="e">
        <f t="shared" si="7"/>
        <v>#NUM!</v>
      </c>
      <c r="L130" s="147"/>
      <c r="M130" s="149">
        <f t="shared" si="8"/>
        <v>0</v>
      </c>
    </row>
    <row r="131" spans="1:13" x14ac:dyDescent="0.25">
      <c r="A131" s="163"/>
      <c r="G131" s="133"/>
      <c r="H131" s="147">
        <v>126</v>
      </c>
      <c r="I131" s="148" t="str">
        <f t="shared" si="9"/>
        <v/>
      </c>
      <c r="J131" s="147" t="e">
        <f t="shared" si="10"/>
        <v>#NUM!</v>
      </c>
      <c r="K131" s="147" t="e">
        <f t="shared" si="7"/>
        <v>#NUM!</v>
      </c>
      <c r="L131" s="147"/>
      <c r="M131" s="149">
        <f t="shared" si="8"/>
        <v>0</v>
      </c>
    </row>
    <row r="132" spans="1:13" x14ac:dyDescent="0.25">
      <c r="A132" s="163"/>
      <c r="G132" s="133"/>
      <c r="H132" s="147">
        <v>127</v>
      </c>
      <c r="I132" s="148" t="str">
        <f t="shared" si="9"/>
        <v/>
      </c>
      <c r="J132" s="147" t="e">
        <f t="shared" si="10"/>
        <v>#NUM!</v>
      </c>
      <c r="K132" s="147" t="e">
        <f t="shared" si="7"/>
        <v>#NUM!</v>
      </c>
      <c r="L132" s="147"/>
      <c r="M132" s="149">
        <f t="shared" si="8"/>
        <v>0</v>
      </c>
    </row>
    <row r="133" spans="1:13" x14ac:dyDescent="0.25">
      <c r="A133" s="163"/>
      <c r="G133" s="133"/>
      <c r="H133" s="147">
        <v>128</v>
      </c>
      <c r="I133" s="148" t="str">
        <f t="shared" si="9"/>
        <v/>
      </c>
      <c r="J133" s="147" t="e">
        <f t="shared" si="10"/>
        <v>#NUM!</v>
      </c>
      <c r="K133" s="147" t="e">
        <f t="shared" si="7"/>
        <v>#NUM!</v>
      </c>
      <c r="L133" s="147"/>
      <c r="M133" s="149">
        <f t="shared" si="8"/>
        <v>0</v>
      </c>
    </row>
    <row r="134" spans="1:13" x14ac:dyDescent="0.25">
      <c r="A134" s="163"/>
      <c r="G134" s="133"/>
      <c r="H134" s="147">
        <v>129</v>
      </c>
      <c r="I134" s="148" t="str">
        <f t="shared" si="9"/>
        <v/>
      </c>
      <c r="J134" s="147" t="e">
        <f t="shared" si="10"/>
        <v>#NUM!</v>
      </c>
      <c r="K134" s="147" t="e">
        <f t="shared" ref="K134:K197" si="11">J134*$J$2</f>
        <v>#NUM!</v>
      </c>
      <c r="L134" s="147"/>
      <c r="M134" s="149">
        <f t="shared" ref="M134:M197" si="12">IF(I134&lt;&gt;"",K134+I134+L134,0)</f>
        <v>0</v>
      </c>
    </row>
    <row r="135" spans="1:13" x14ac:dyDescent="0.25">
      <c r="A135" s="163"/>
      <c r="G135" s="133"/>
      <c r="H135" s="147">
        <v>130</v>
      </c>
      <c r="I135" s="148" t="str">
        <f t="shared" ref="I135:I198" si="13">IF(H135&lt;$H$2+1,($I$2-($I$2-1)*(LOG(H135)/LOG($H$2))),"")</f>
        <v/>
      </c>
      <c r="J135" s="147" t="e">
        <f t="shared" ref="J135:J198" si="14">INT(LOG($H$2,2))-ROUNDUP(LOG(H135,2),0)+IF(OR($H$2=1,$H$2=2,$H$2=4,$H$2=8,$H$2=16,$H$2=32,$H$2=64,$H$2=128,$H$2=256),0,1)</f>
        <v>#NUM!</v>
      </c>
      <c r="K135" s="147" t="e">
        <f t="shared" si="11"/>
        <v>#NUM!</v>
      </c>
      <c r="L135" s="147"/>
      <c r="M135" s="149">
        <f t="shared" si="12"/>
        <v>0</v>
      </c>
    </row>
    <row r="136" spans="1:13" x14ac:dyDescent="0.25">
      <c r="A136" s="163"/>
      <c r="G136" s="133"/>
      <c r="H136" s="147">
        <v>131</v>
      </c>
      <c r="I136" s="148" t="str">
        <f t="shared" si="13"/>
        <v/>
      </c>
      <c r="J136" s="147" t="e">
        <f t="shared" si="14"/>
        <v>#NUM!</v>
      </c>
      <c r="K136" s="147" t="e">
        <f t="shared" si="11"/>
        <v>#NUM!</v>
      </c>
      <c r="L136" s="147"/>
      <c r="M136" s="149">
        <f t="shared" si="12"/>
        <v>0</v>
      </c>
    </row>
    <row r="137" spans="1:13" x14ac:dyDescent="0.25">
      <c r="A137" s="163"/>
      <c r="G137" s="133"/>
      <c r="H137" s="147">
        <v>132</v>
      </c>
      <c r="I137" s="148" t="str">
        <f t="shared" si="13"/>
        <v/>
      </c>
      <c r="J137" s="147" t="e">
        <f t="shared" si="14"/>
        <v>#NUM!</v>
      </c>
      <c r="K137" s="147" t="e">
        <f t="shared" si="11"/>
        <v>#NUM!</v>
      </c>
      <c r="L137" s="147"/>
      <c r="M137" s="149">
        <f t="shared" si="12"/>
        <v>0</v>
      </c>
    </row>
    <row r="138" spans="1:13" x14ac:dyDescent="0.25">
      <c r="A138" s="163"/>
      <c r="G138" s="133"/>
      <c r="H138" s="147">
        <v>133</v>
      </c>
      <c r="I138" s="148" t="str">
        <f t="shared" si="13"/>
        <v/>
      </c>
      <c r="J138" s="147" t="e">
        <f t="shared" si="14"/>
        <v>#NUM!</v>
      </c>
      <c r="K138" s="147" t="e">
        <f t="shared" si="11"/>
        <v>#NUM!</v>
      </c>
      <c r="L138" s="147"/>
      <c r="M138" s="149">
        <f t="shared" si="12"/>
        <v>0</v>
      </c>
    </row>
    <row r="139" spans="1:13" x14ac:dyDescent="0.25">
      <c r="A139" s="163"/>
      <c r="G139" s="133"/>
      <c r="H139" s="147">
        <v>134</v>
      </c>
      <c r="I139" s="148" t="str">
        <f t="shared" si="13"/>
        <v/>
      </c>
      <c r="J139" s="147" t="e">
        <f t="shared" si="14"/>
        <v>#NUM!</v>
      </c>
      <c r="K139" s="147" t="e">
        <f t="shared" si="11"/>
        <v>#NUM!</v>
      </c>
      <c r="L139" s="147"/>
      <c r="M139" s="149">
        <f t="shared" si="12"/>
        <v>0</v>
      </c>
    </row>
    <row r="140" spans="1:13" x14ac:dyDescent="0.25">
      <c r="A140" s="163"/>
      <c r="G140" s="133"/>
      <c r="H140" s="147">
        <v>135</v>
      </c>
      <c r="I140" s="148" t="str">
        <f t="shared" si="13"/>
        <v/>
      </c>
      <c r="J140" s="147" t="e">
        <f t="shared" si="14"/>
        <v>#NUM!</v>
      </c>
      <c r="K140" s="147" t="e">
        <f t="shared" si="11"/>
        <v>#NUM!</v>
      </c>
      <c r="L140" s="147"/>
      <c r="M140" s="149">
        <f t="shared" si="12"/>
        <v>0</v>
      </c>
    </row>
    <row r="141" spans="1:13" x14ac:dyDescent="0.25">
      <c r="A141" s="163"/>
      <c r="G141" s="133"/>
      <c r="H141" s="147">
        <v>136</v>
      </c>
      <c r="I141" s="148" t="str">
        <f t="shared" si="13"/>
        <v/>
      </c>
      <c r="J141" s="147" t="e">
        <f t="shared" si="14"/>
        <v>#NUM!</v>
      </c>
      <c r="K141" s="147" t="e">
        <f t="shared" si="11"/>
        <v>#NUM!</v>
      </c>
      <c r="L141" s="147"/>
      <c r="M141" s="149">
        <f t="shared" si="12"/>
        <v>0</v>
      </c>
    </row>
    <row r="142" spans="1:13" x14ac:dyDescent="0.25">
      <c r="A142" s="163"/>
      <c r="G142" s="133"/>
      <c r="H142" s="147">
        <v>137</v>
      </c>
      <c r="I142" s="148" t="str">
        <f t="shared" si="13"/>
        <v/>
      </c>
      <c r="J142" s="147" t="e">
        <f t="shared" si="14"/>
        <v>#NUM!</v>
      </c>
      <c r="K142" s="147" t="e">
        <f t="shared" si="11"/>
        <v>#NUM!</v>
      </c>
      <c r="L142" s="147"/>
      <c r="M142" s="149">
        <f t="shared" si="12"/>
        <v>0</v>
      </c>
    </row>
    <row r="143" spans="1:13" x14ac:dyDescent="0.25">
      <c r="A143" s="163"/>
      <c r="G143" s="133"/>
      <c r="H143" s="147">
        <v>138</v>
      </c>
      <c r="I143" s="148" t="str">
        <f t="shared" si="13"/>
        <v/>
      </c>
      <c r="J143" s="147" t="e">
        <f t="shared" si="14"/>
        <v>#NUM!</v>
      </c>
      <c r="K143" s="147" t="e">
        <f t="shared" si="11"/>
        <v>#NUM!</v>
      </c>
      <c r="L143" s="147"/>
      <c r="M143" s="149">
        <f t="shared" si="12"/>
        <v>0</v>
      </c>
    </row>
    <row r="144" spans="1:13" x14ac:dyDescent="0.25">
      <c r="A144" s="163"/>
      <c r="G144" s="133"/>
      <c r="H144" s="147">
        <v>139</v>
      </c>
      <c r="I144" s="148" t="str">
        <f t="shared" si="13"/>
        <v/>
      </c>
      <c r="J144" s="147" t="e">
        <f t="shared" si="14"/>
        <v>#NUM!</v>
      </c>
      <c r="K144" s="147" t="e">
        <f t="shared" si="11"/>
        <v>#NUM!</v>
      </c>
      <c r="L144" s="147"/>
      <c r="M144" s="149">
        <f t="shared" si="12"/>
        <v>0</v>
      </c>
    </row>
    <row r="145" spans="1:13" x14ac:dyDescent="0.25">
      <c r="A145" s="163"/>
      <c r="G145" s="133"/>
      <c r="H145" s="147">
        <v>140</v>
      </c>
      <c r="I145" s="148" t="str">
        <f t="shared" si="13"/>
        <v/>
      </c>
      <c r="J145" s="147" t="e">
        <f t="shared" si="14"/>
        <v>#NUM!</v>
      </c>
      <c r="K145" s="147" t="e">
        <f t="shared" si="11"/>
        <v>#NUM!</v>
      </c>
      <c r="L145" s="147"/>
      <c r="M145" s="149">
        <f t="shared" si="12"/>
        <v>0</v>
      </c>
    </row>
    <row r="146" spans="1:13" x14ac:dyDescent="0.25">
      <c r="A146" s="163"/>
      <c r="G146" s="133"/>
      <c r="H146" s="147">
        <v>141</v>
      </c>
      <c r="I146" s="148" t="str">
        <f t="shared" si="13"/>
        <v/>
      </c>
      <c r="J146" s="147" t="e">
        <f t="shared" si="14"/>
        <v>#NUM!</v>
      </c>
      <c r="K146" s="147" t="e">
        <f t="shared" si="11"/>
        <v>#NUM!</v>
      </c>
      <c r="L146" s="147"/>
      <c r="M146" s="149">
        <f t="shared" si="12"/>
        <v>0</v>
      </c>
    </row>
    <row r="147" spans="1:13" x14ac:dyDescent="0.25">
      <c r="A147" s="163"/>
      <c r="G147" s="133"/>
      <c r="H147" s="147">
        <v>142</v>
      </c>
      <c r="I147" s="148" t="str">
        <f t="shared" si="13"/>
        <v/>
      </c>
      <c r="J147" s="147" t="e">
        <f t="shared" si="14"/>
        <v>#NUM!</v>
      </c>
      <c r="K147" s="147" t="e">
        <f t="shared" si="11"/>
        <v>#NUM!</v>
      </c>
      <c r="L147" s="147"/>
      <c r="M147" s="149">
        <f t="shared" si="12"/>
        <v>0</v>
      </c>
    </row>
    <row r="148" spans="1:13" x14ac:dyDescent="0.25">
      <c r="A148" s="163"/>
      <c r="G148" s="133"/>
      <c r="H148" s="147">
        <v>143</v>
      </c>
      <c r="I148" s="148" t="str">
        <f t="shared" si="13"/>
        <v/>
      </c>
      <c r="J148" s="147" t="e">
        <f t="shared" si="14"/>
        <v>#NUM!</v>
      </c>
      <c r="K148" s="147" t="e">
        <f t="shared" si="11"/>
        <v>#NUM!</v>
      </c>
      <c r="L148" s="147"/>
      <c r="M148" s="149">
        <f t="shared" si="12"/>
        <v>0</v>
      </c>
    </row>
    <row r="149" spans="1:13" x14ac:dyDescent="0.25">
      <c r="A149" s="163"/>
      <c r="G149" s="133"/>
      <c r="H149" s="147">
        <v>144</v>
      </c>
      <c r="I149" s="148" t="str">
        <f t="shared" si="13"/>
        <v/>
      </c>
      <c r="J149" s="147" t="e">
        <f t="shared" si="14"/>
        <v>#NUM!</v>
      </c>
      <c r="K149" s="147" t="e">
        <f t="shared" si="11"/>
        <v>#NUM!</v>
      </c>
      <c r="L149" s="147"/>
      <c r="M149" s="149">
        <f t="shared" si="12"/>
        <v>0</v>
      </c>
    </row>
    <row r="150" spans="1:13" x14ac:dyDescent="0.25">
      <c r="A150" s="163"/>
      <c r="G150" s="133"/>
      <c r="H150" s="147">
        <v>145</v>
      </c>
      <c r="I150" s="148" t="str">
        <f t="shared" si="13"/>
        <v/>
      </c>
      <c r="J150" s="147" t="e">
        <f t="shared" si="14"/>
        <v>#NUM!</v>
      </c>
      <c r="K150" s="147" t="e">
        <f t="shared" si="11"/>
        <v>#NUM!</v>
      </c>
      <c r="L150" s="147"/>
      <c r="M150" s="149">
        <f t="shared" si="12"/>
        <v>0</v>
      </c>
    </row>
    <row r="151" spans="1:13" x14ac:dyDescent="0.25">
      <c r="A151" s="163"/>
      <c r="G151" s="133"/>
      <c r="H151" s="147">
        <v>146</v>
      </c>
      <c r="I151" s="148" t="str">
        <f t="shared" si="13"/>
        <v/>
      </c>
      <c r="J151" s="147" t="e">
        <f t="shared" si="14"/>
        <v>#NUM!</v>
      </c>
      <c r="K151" s="147" t="e">
        <f t="shared" si="11"/>
        <v>#NUM!</v>
      </c>
      <c r="L151" s="147"/>
      <c r="M151" s="149">
        <f t="shared" si="12"/>
        <v>0</v>
      </c>
    </row>
    <row r="152" spans="1:13" x14ac:dyDescent="0.25">
      <c r="A152" s="163"/>
      <c r="G152" s="133"/>
      <c r="H152" s="147">
        <v>147</v>
      </c>
      <c r="I152" s="148" t="str">
        <f t="shared" si="13"/>
        <v/>
      </c>
      <c r="J152" s="147" t="e">
        <f t="shared" si="14"/>
        <v>#NUM!</v>
      </c>
      <c r="K152" s="147" t="e">
        <f t="shared" si="11"/>
        <v>#NUM!</v>
      </c>
      <c r="L152" s="147"/>
      <c r="M152" s="149">
        <f t="shared" si="12"/>
        <v>0</v>
      </c>
    </row>
    <row r="153" spans="1:13" x14ac:dyDescent="0.25">
      <c r="A153" s="163"/>
      <c r="G153" s="133"/>
      <c r="H153" s="147">
        <v>148</v>
      </c>
      <c r="I153" s="148" t="str">
        <f t="shared" si="13"/>
        <v/>
      </c>
      <c r="J153" s="147" t="e">
        <f t="shared" si="14"/>
        <v>#NUM!</v>
      </c>
      <c r="K153" s="147" t="e">
        <f t="shared" si="11"/>
        <v>#NUM!</v>
      </c>
      <c r="L153" s="147"/>
      <c r="M153" s="149">
        <f t="shared" si="12"/>
        <v>0</v>
      </c>
    </row>
    <row r="154" spans="1:13" x14ac:dyDescent="0.25">
      <c r="A154" s="163"/>
      <c r="G154" s="133"/>
      <c r="H154" s="147">
        <v>149</v>
      </c>
      <c r="I154" s="148" t="str">
        <f t="shared" si="13"/>
        <v/>
      </c>
      <c r="J154" s="147" t="e">
        <f t="shared" si="14"/>
        <v>#NUM!</v>
      </c>
      <c r="K154" s="147" t="e">
        <f t="shared" si="11"/>
        <v>#NUM!</v>
      </c>
      <c r="L154" s="147"/>
      <c r="M154" s="149">
        <f t="shared" si="12"/>
        <v>0</v>
      </c>
    </row>
    <row r="155" spans="1:13" x14ac:dyDescent="0.25">
      <c r="A155" s="163"/>
      <c r="G155" s="133"/>
      <c r="H155" s="147">
        <v>150</v>
      </c>
      <c r="I155" s="148" t="str">
        <f t="shared" si="13"/>
        <v/>
      </c>
      <c r="J155" s="147" t="e">
        <f t="shared" si="14"/>
        <v>#NUM!</v>
      </c>
      <c r="K155" s="147" t="e">
        <f t="shared" si="11"/>
        <v>#NUM!</v>
      </c>
      <c r="L155" s="147"/>
      <c r="M155" s="149">
        <f t="shared" si="12"/>
        <v>0</v>
      </c>
    </row>
    <row r="156" spans="1:13" x14ac:dyDescent="0.25">
      <c r="A156" s="163"/>
      <c r="G156" s="133"/>
      <c r="H156" s="147">
        <v>151</v>
      </c>
      <c r="I156" s="148" t="str">
        <f t="shared" si="13"/>
        <v/>
      </c>
      <c r="J156" s="147" t="e">
        <f t="shared" si="14"/>
        <v>#NUM!</v>
      </c>
      <c r="K156" s="147" t="e">
        <f t="shared" si="11"/>
        <v>#NUM!</v>
      </c>
      <c r="L156" s="147"/>
      <c r="M156" s="149">
        <f t="shared" si="12"/>
        <v>0</v>
      </c>
    </row>
    <row r="157" spans="1:13" x14ac:dyDescent="0.25">
      <c r="A157" s="163"/>
      <c r="G157" s="133"/>
      <c r="H157" s="147">
        <v>152</v>
      </c>
      <c r="I157" s="148" t="str">
        <f t="shared" si="13"/>
        <v/>
      </c>
      <c r="J157" s="147" t="e">
        <f t="shared" si="14"/>
        <v>#NUM!</v>
      </c>
      <c r="K157" s="147" t="e">
        <f t="shared" si="11"/>
        <v>#NUM!</v>
      </c>
      <c r="L157" s="147"/>
      <c r="M157" s="149">
        <f t="shared" si="12"/>
        <v>0</v>
      </c>
    </row>
    <row r="158" spans="1:13" x14ac:dyDescent="0.25">
      <c r="A158" s="163"/>
      <c r="G158" s="133"/>
      <c r="H158" s="147">
        <v>153</v>
      </c>
      <c r="I158" s="148" t="str">
        <f t="shared" si="13"/>
        <v/>
      </c>
      <c r="J158" s="147" t="e">
        <f t="shared" si="14"/>
        <v>#NUM!</v>
      </c>
      <c r="K158" s="147" t="e">
        <f t="shared" si="11"/>
        <v>#NUM!</v>
      </c>
      <c r="L158" s="147"/>
      <c r="M158" s="149">
        <f t="shared" si="12"/>
        <v>0</v>
      </c>
    </row>
    <row r="159" spans="1:13" x14ac:dyDescent="0.25">
      <c r="A159" s="163"/>
      <c r="G159" s="133"/>
      <c r="H159" s="147">
        <v>154</v>
      </c>
      <c r="I159" s="148" t="str">
        <f t="shared" si="13"/>
        <v/>
      </c>
      <c r="J159" s="147" t="e">
        <f t="shared" si="14"/>
        <v>#NUM!</v>
      </c>
      <c r="K159" s="147" t="e">
        <f t="shared" si="11"/>
        <v>#NUM!</v>
      </c>
      <c r="L159" s="147"/>
      <c r="M159" s="149">
        <f t="shared" si="12"/>
        <v>0</v>
      </c>
    </row>
    <row r="160" spans="1:13" x14ac:dyDescent="0.25">
      <c r="A160" s="163"/>
      <c r="G160" s="133"/>
      <c r="H160" s="147">
        <v>155</v>
      </c>
      <c r="I160" s="148" t="str">
        <f t="shared" si="13"/>
        <v/>
      </c>
      <c r="J160" s="147" t="e">
        <f t="shared" si="14"/>
        <v>#NUM!</v>
      </c>
      <c r="K160" s="147" t="e">
        <f t="shared" si="11"/>
        <v>#NUM!</v>
      </c>
      <c r="L160" s="147"/>
      <c r="M160" s="149">
        <f t="shared" si="12"/>
        <v>0</v>
      </c>
    </row>
    <row r="161" spans="1:13" x14ac:dyDescent="0.25">
      <c r="A161" s="163"/>
      <c r="G161" s="133"/>
      <c r="H161" s="147">
        <v>156</v>
      </c>
      <c r="I161" s="148" t="str">
        <f t="shared" si="13"/>
        <v/>
      </c>
      <c r="J161" s="147" t="e">
        <f t="shared" si="14"/>
        <v>#NUM!</v>
      </c>
      <c r="K161" s="147" t="e">
        <f t="shared" si="11"/>
        <v>#NUM!</v>
      </c>
      <c r="L161" s="147"/>
      <c r="M161" s="149">
        <f t="shared" si="12"/>
        <v>0</v>
      </c>
    </row>
    <row r="162" spans="1:13" x14ac:dyDescent="0.25">
      <c r="A162" s="163"/>
      <c r="G162" s="133"/>
      <c r="H162" s="147">
        <v>157</v>
      </c>
      <c r="I162" s="148" t="str">
        <f t="shared" si="13"/>
        <v/>
      </c>
      <c r="J162" s="147" t="e">
        <f t="shared" si="14"/>
        <v>#NUM!</v>
      </c>
      <c r="K162" s="147" t="e">
        <f t="shared" si="11"/>
        <v>#NUM!</v>
      </c>
      <c r="L162" s="147"/>
      <c r="M162" s="149">
        <f t="shared" si="12"/>
        <v>0</v>
      </c>
    </row>
    <row r="163" spans="1:13" x14ac:dyDescent="0.25">
      <c r="A163" s="163"/>
      <c r="G163" s="133"/>
      <c r="H163" s="147">
        <v>158</v>
      </c>
      <c r="I163" s="148" t="str">
        <f t="shared" si="13"/>
        <v/>
      </c>
      <c r="J163" s="147" t="e">
        <f t="shared" si="14"/>
        <v>#NUM!</v>
      </c>
      <c r="K163" s="147" t="e">
        <f t="shared" si="11"/>
        <v>#NUM!</v>
      </c>
      <c r="L163" s="147"/>
      <c r="M163" s="149">
        <f t="shared" si="12"/>
        <v>0</v>
      </c>
    </row>
    <row r="164" spans="1:13" x14ac:dyDescent="0.25">
      <c r="A164" s="163"/>
      <c r="G164" s="133"/>
      <c r="H164" s="147">
        <v>159</v>
      </c>
      <c r="I164" s="148" t="str">
        <f t="shared" si="13"/>
        <v/>
      </c>
      <c r="J164" s="147" t="e">
        <f t="shared" si="14"/>
        <v>#NUM!</v>
      </c>
      <c r="K164" s="147" t="e">
        <f t="shared" si="11"/>
        <v>#NUM!</v>
      </c>
      <c r="L164" s="147"/>
      <c r="M164" s="149">
        <f t="shared" si="12"/>
        <v>0</v>
      </c>
    </row>
    <row r="165" spans="1:13" x14ac:dyDescent="0.25">
      <c r="A165" s="163"/>
      <c r="G165" s="133"/>
      <c r="H165" s="147">
        <v>160</v>
      </c>
      <c r="I165" s="148" t="str">
        <f t="shared" si="13"/>
        <v/>
      </c>
      <c r="J165" s="147" t="e">
        <f t="shared" si="14"/>
        <v>#NUM!</v>
      </c>
      <c r="K165" s="147" t="e">
        <f t="shared" si="11"/>
        <v>#NUM!</v>
      </c>
      <c r="L165" s="147"/>
      <c r="M165" s="149">
        <f t="shared" si="12"/>
        <v>0</v>
      </c>
    </row>
    <row r="166" spans="1:13" x14ac:dyDescent="0.25">
      <c r="A166" s="163"/>
      <c r="G166" s="133"/>
      <c r="H166" s="147">
        <v>161</v>
      </c>
      <c r="I166" s="148" t="str">
        <f t="shared" si="13"/>
        <v/>
      </c>
      <c r="J166" s="147" t="e">
        <f t="shared" si="14"/>
        <v>#NUM!</v>
      </c>
      <c r="K166" s="147" t="e">
        <f t="shared" si="11"/>
        <v>#NUM!</v>
      </c>
      <c r="L166" s="147"/>
      <c r="M166" s="149">
        <f t="shared" si="12"/>
        <v>0</v>
      </c>
    </row>
    <row r="167" spans="1:13" x14ac:dyDescent="0.25">
      <c r="A167" s="163"/>
      <c r="G167" s="133"/>
      <c r="H167" s="147">
        <v>162</v>
      </c>
      <c r="I167" s="148" t="str">
        <f t="shared" si="13"/>
        <v/>
      </c>
      <c r="J167" s="147" t="e">
        <f t="shared" si="14"/>
        <v>#NUM!</v>
      </c>
      <c r="K167" s="147" t="e">
        <f t="shared" si="11"/>
        <v>#NUM!</v>
      </c>
      <c r="L167" s="147"/>
      <c r="M167" s="149">
        <f t="shared" si="12"/>
        <v>0</v>
      </c>
    </row>
    <row r="168" spans="1:13" x14ac:dyDescent="0.25">
      <c r="A168" s="163"/>
      <c r="G168" s="133"/>
      <c r="H168" s="147">
        <v>163</v>
      </c>
      <c r="I168" s="148" t="str">
        <f t="shared" si="13"/>
        <v/>
      </c>
      <c r="J168" s="147" t="e">
        <f t="shared" si="14"/>
        <v>#NUM!</v>
      </c>
      <c r="K168" s="147" t="e">
        <f t="shared" si="11"/>
        <v>#NUM!</v>
      </c>
      <c r="L168" s="147"/>
      <c r="M168" s="149">
        <f t="shared" si="12"/>
        <v>0</v>
      </c>
    </row>
    <row r="169" spans="1:13" x14ac:dyDescent="0.25">
      <c r="A169" s="163"/>
      <c r="G169" s="133"/>
      <c r="H169" s="147">
        <v>164</v>
      </c>
      <c r="I169" s="148" t="str">
        <f t="shared" si="13"/>
        <v/>
      </c>
      <c r="J169" s="147" t="e">
        <f t="shared" si="14"/>
        <v>#NUM!</v>
      </c>
      <c r="K169" s="147" t="e">
        <f t="shared" si="11"/>
        <v>#NUM!</v>
      </c>
      <c r="L169" s="147"/>
      <c r="M169" s="149">
        <f t="shared" si="12"/>
        <v>0</v>
      </c>
    </row>
    <row r="170" spans="1:13" x14ac:dyDescent="0.25">
      <c r="A170" s="163"/>
      <c r="G170" s="133"/>
      <c r="H170" s="147">
        <v>165</v>
      </c>
      <c r="I170" s="148" t="str">
        <f t="shared" si="13"/>
        <v/>
      </c>
      <c r="J170" s="147" t="e">
        <f t="shared" si="14"/>
        <v>#NUM!</v>
      </c>
      <c r="K170" s="147" t="e">
        <f t="shared" si="11"/>
        <v>#NUM!</v>
      </c>
      <c r="L170" s="147"/>
      <c r="M170" s="149">
        <f t="shared" si="12"/>
        <v>0</v>
      </c>
    </row>
    <row r="171" spans="1:13" x14ac:dyDescent="0.25">
      <c r="A171" s="163"/>
      <c r="G171" s="133"/>
      <c r="H171" s="147">
        <v>166</v>
      </c>
      <c r="I171" s="148" t="str">
        <f t="shared" si="13"/>
        <v/>
      </c>
      <c r="J171" s="147" t="e">
        <f t="shared" si="14"/>
        <v>#NUM!</v>
      </c>
      <c r="K171" s="147" t="e">
        <f t="shared" si="11"/>
        <v>#NUM!</v>
      </c>
      <c r="L171" s="147"/>
      <c r="M171" s="149">
        <f t="shared" si="12"/>
        <v>0</v>
      </c>
    </row>
    <row r="172" spans="1:13" x14ac:dyDescent="0.25">
      <c r="A172" s="163"/>
      <c r="G172" s="133"/>
      <c r="H172" s="147">
        <v>167</v>
      </c>
      <c r="I172" s="148" t="str">
        <f t="shared" si="13"/>
        <v/>
      </c>
      <c r="J172" s="147" t="e">
        <f t="shared" si="14"/>
        <v>#NUM!</v>
      </c>
      <c r="K172" s="147" t="e">
        <f t="shared" si="11"/>
        <v>#NUM!</v>
      </c>
      <c r="L172" s="147"/>
      <c r="M172" s="149">
        <f t="shared" si="12"/>
        <v>0</v>
      </c>
    </row>
    <row r="173" spans="1:13" x14ac:dyDescent="0.25">
      <c r="A173" s="163"/>
      <c r="G173" s="133"/>
      <c r="H173" s="147">
        <v>168</v>
      </c>
      <c r="I173" s="148" t="str">
        <f t="shared" si="13"/>
        <v/>
      </c>
      <c r="J173" s="147" t="e">
        <f t="shared" si="14"/>
        <v>#NUM!</v>
      </c>
      <c r="K173" s="147" t="e">
        <f t="shared" si="11"/>
        <v>#NUM!</v>
      </c>
      <c r="L173" s="147"/>
      <c r="M173" s="149">
        <f t="shared" si="12"/>
        <v>0</v>
      </c>
    </row>
    <row r="174" spans="1:13" x14ac:dyDescent="0.25">
      <c r="A174" s="163"/>
      <c r="G174" s="133"/>
      <c r="H174" s="147">
        <v>169</v>
      </c>
      <c r="I174" s="148" t="str">
        <f t="shared" si="13"/>
        <v/>
      </c>
      <c r="J174" s="147" t="e">
        <f t="shared" si="14"/>
        <v>#NUM!</v>
      </c>
      <c r="K174" s="147" t="e">
        <f t="shared" si="11"/>
        <v>#NUM!</v>
      </c>
      <c r="L174" s="147"/>
      <c r="M174" s="149">
        <f t="shared" si="12"/>
        <v>0</v>
      </c>
    </row>
    <row r="175" spans="1:13" x14ac:dyDescent="0.25">
      <c r="A175" s="163"/>
      <c r="G175" s="133"/>
      <c r="H175" s="147">
        <v>170</v>
      </c>
      <c r="I175" s="148" t="str">
        <f t="shared" si="13"/>
        <v/>
      </c>
      <c r="J175" s="147" t="e">
        <f t="shared" si="14"/>
        <v>#NUM!</v>
      </c>
      <c r="K175" s="147" t="e">
        <f t="shared" si="11"/>
        <v>#NUM!</v>
      </c>
      <c r="L175" s="147"/>
      <c r="M175" s="149">
        <f t="shared" si="12"/>
        <v>0</v>
      </c>
    </row>
    <row r="176" spans="1:13" x14ac:dyDescent="0.25">
      <c r="A176" s="163"/>
      <c r="G176" s="133"/>
      <c r="H176" s="147">
        <v>171</v>
      </c>
      <c r="I176" s="148" t="str">
        <f t="shared" si="13"/>
        <v/>
      </c>
      <c r="J176" s="147" t="e">
        <f t="shared" si="14"/>
        <v>#NUM!</v>
      </c>
      <c r="K176" s="147" t="e">
        <f t="shared" si="11"/>
        <v>#NUM!</v>
      </c>
      <c r="L176" s="147"/>
      <c r="M176" s="149">
        <f t="shared" si="12"/>
        <v>0</v>
      </c>
    </row>
    <row r="177" spans="1:13" x14ac:dyDescent="0.25">
      <c r="A177" s="163"/>
      <c r="G177" s="133"/>
      <c r="H177" s="147">
        <v>172</v>
      </c>
      <c r="I177" s="148" t="str">
        <f t="shared" si="13"/>
        <v/>
      </c>
      <c r="J177" s="147" t="e">
        <f t="shared" si="14"/>
        <v>#NUM!</v>
      </c>
      <c r="K177" s="147" t="e">
        <f t="shared" si="11"/>
        <v>#NUM!</v>
      </c>
      <c r="L177" s="147"/>
      <c r="M177" s="149">
        <f t="shared" si="12"/>
        <v>0</v>
      </c>
    </row>
    <row r="178" spans="1:13" x14ac:dyDescent="0.25">
      <c r="A178" s="163"/>
      <c r="G178" s="133"/>
      <c r="H178" s="147">
        <v>173</v>
      </c>
      <c r="I178" s="148" t="str">
        <f t="shared" si="13"/>
        <v/>
      </c>
      <c r="J178" s="147" t="e">
        <f t="shared" si="14"/>
        <v>#NUM!</v>
      </c>
      <c r="K178" s="147" t="e">
        <f t="shared" si="11"/>
        <v>#NUM!</v>
      </c>
      <c r="L178" s="147"/>
      <c r="M178" s="149">
        <f t="shared" si="12"/>
        <v>0</v>
      </c>
    </row>
    <row r="179" spans="1:13" x14ac:dyDescent="0.25">
      <c r="A179" s="163"/>
      <c r="G179" s="133"/>
      <c r="H179" s="147">
        <v>174</v>
      </c>
      <c r="I179" s="148" t="str">
        <f t="shared" si="13"/>
        <v/>
      </c>
      <c r="J179" s="147" t="e">
        <f t="shared" si="14"/>
        <v>#NUM!</v>
      </c>
      <c r="K179" s="147" t="e">
        <f t="shared" si="11"/>
        <v>#NUM!</v>
      </c>
      <c r="L179" s="147"/>
      <c r="M179" s="149">
        <f t="shared" si="12"/>
        <v>0</v>
      </c>
    </row>
    <row r="180" spans="1:13" x14ac:dyDescent="0.25">
      <c r="A180" s="163"/>
      <c r="G180" s="133"/>
      <c r="H180" s="147">
        <v>175</v>
      </c>
      <c r="I180" s="148" t="str">
        <f t="shared" si="13"/>
        <v/>
      </c>
      <c r="J180" s="147" t="e">
        <f t="shared" si="14"/>
        <v>#NUM!</v>
      </c>
      <c r="K180" s="147" t="e">
        <f t="shared" si="11"/>
        <v>#NUM!</v>
      </c>
      <c r="L180" s="147"/>
      <c r="M180" s="149">
        <f t="shared" si="12"/>
        <v>0</v>
      </c>
    </row>
    <row r="181" spans="1:13" x14ac:dyDescent="0.25">
      <c r="A181" s="163"/>
      <c r="G181" s="133"/>
      <c r="H181" s="147">
        <v>176</v>
      </c>
      <c r="I181" s="148" t="str">
        <f t="shared" si="13"/>
        <v/>
      </c>
      <c r="J181" s="147" t="e">
        <f t="shared" si="14"/>
        <v>#NUM!</v>
      </c>
      <c r="K181" s="147" t="e">
        <f t="shared" si="11"/>
        <v>#NUM!</v>
      </c>
      <c r="L181" s="147"/>
      <c r="M181" s="149">
        <f t="shared" si="12"/>
        <v>0</v>
      </c>
    </row>
    <row r="182" spans="1:13" x14ac:dyDescent="0.25">
      <c r="A182" s="163"/>
      <c r="G182" s="133"/>
      <c r="H182" s="147">
        <v>177</v>
      </c>
      <c r="I182" s="148" t="str">
        <f t="shared" si="13"/>
        <v/>
      </c>
      <c r="J182" s="147" t="e">
        <f t="shared" si="14"/>
        <v>#NUM!</v>
      </c>
      <c r="K182" s="147" t="e">
        <f t="shared" si="11"/>
        <v>#NUM!</v>
      </c>
      <c r="L182" s="147"/>
      <c r="M182" s="149">
        <f t="shared" si="12"/>
        <v>0</v>
      </c>
    </row>
    <row r="183" spans="1:13" x14ac:dyDescent="0.25">
      <c r="A183" s="163"/>
      <c r="G183" s="133"/>
      <c r="H183" s="147">
        <v>178</v>
      </c>
      <c r="I183" s="148" t="str">
        <f t="shared" si="13"/>
        <v/>
      </c>
      <c r="J183" s="147" t="e">
        <f t="shared" si="14"/>
        <v>#NUM!</v>
      </c>
      <c r="K183" s="147" t="e">
        <f t="shared" si="11"/>
        <v>#NUM!</v>
      </c>
      <c r="L183" s="147"/>
      <c r="M183" s="149">
        <f t="shared" si="12"/>
        <v>0</v>
      </c>
    </row>
    <row r="184" spans="1:13" x14ac:dyDescent="0.25">
      <c r="A184" s="163"/>
      <c r="G184" s="133"/>
      <c r="H184" s="147">
        <v>179</v>
      </c>
      <c r="I184" s="148" t="str">
        <f t="shared" si="13"/>
        <v/>
      </c>
      <c r="J184" s="147" t="e">
        <f t="shared" si="14"/>
        <v>#NUM!</v>
      </c>
      <c r="K184" s="147" t="e">
        <f t="shared" si="11"/>
        <v>#NUM!</v>
      </c>
      <c r="L184" s="147"/>
      <c r="M184" s="149">
        <f t="shared" si="12"/>
        <v>0</v>
      </c>
    </row>
    <row r="185" spans="1:13" x14ac:dyDescent="0.25">
      <c r="A185" s="163"/>
      <c r="G185" s="133"/>
      <c r="H185" s="147">
        <v>180</v>
      </c>
      <c r="I185" s="148" t="str">
        <f t="shared" si="13"/>
        <v/>
      </c>
      <c r="J185" s="147" t="e">
        <f t="shared" si="14"/>
        <v>#NUM!</v>
      </c>
      <c r="K185" s="147" t="e">
        <f t="shared" si="11"/>
        <v>#NUM!</v>
      </c>
      <c r="L185" s="147"/>
      <c r="M185" s="149">
        <f t="shared" si="12"/>
        <v>0</v>
      </c>
    </row>
    <row r="186" spans="1:13" x14ac:dyDescent="0.25">
      <c r="A186" s="163"/>
      <c r="G186" s="133"/>
      <c r="H186" s="147">
        <v>181</v>
      </c>
      <c r="I186" s="148" t="str">
        <f t="shared" si="13"/>
        <v/>
      </c>
      <c r="J186" s="147" t="e">
        <f t="shared" si="14"/>
        <v>#NUM!</v>
      </c>
      <c r="K186" s="147" t="e">
        <f t="shared" si="11"/>
        <v>#NUM!</v>
      </c>
      <c r="L186" s="147"/>
      <c r="M186" s="149">
        <f t="shared" si="12"/>
        <v>0</v>
      </c>
    </row>
    <row r="187" spans="1:13" x14ac:dyDescent="0.25">
      <c r="A187" s="163"/>
      <c r="G187" s="133"/>
      <c r="H187" s="147">
        <v>182</v>
      </c>
      <c r="I187" s="148" t="str">
        <f t="shared" si="13"/>
        <v/>
      </c>
      <c r="J187" s="147" t="e">
        <f t="shared" si="14"/>
        <v>#NUM!</v>
      </c>
      <c r="K187" s="147" t="e">
        <f t="shared" si="11"/>
        <v>#NUM!</v>
      </c>
      <c r="L187" s="147"/>
      <c r="M187" s="149">
        <f t="shared" si="12"/>
        <v>0</v>
      </c>
    </row>
    <row r="188" spans="1:13" x14ac:dyDescent="0.25">
      <c r="A188" s="163"/>
      <c r="G188" s="133"/>
      <c r="H188" s="147">
        <v>183</v>
      </c>
      <c r="I188" s="148" t="str">
        <f t="shared" si="13"/>
        <v/>
      </c>
      <c r="J188" s="147" t="e">
        <f t="shared" si="14"/>
        <v>#NUM!</v>
      </c>
      <c r="K188" s="147" t="e">
        <f t="shared" si="11"/>
        <v>#NUM!</v>
      </c>
      <c r="L188" s="147"/>
      <c r="M188" s="149">
        <f t="shared" si="12"/>
        <v>0</v>
      </c>
    </row>
    <row r="189" spans="1:13" x14ac:dyDescent="0.25">
      <c r="A189" s="163"/>
      <c r="G189" s="133"/>
      <c r="H189" s="147">
        <v>184</v>
      </c>
      <c r="I189" s="148" t="str">
        <f t="shared" si="13"/>
        <v/>
      </c>
      <c r="J189" s="147" t="e">
        <f t="shared" si="14"/>
        <v>#NUM!</v>
      </c>
      <c r="K189" s="147" t="e">
        <f t="shared" si="11"/>
        <v>#NUM!</v>
      </c>
      <c r="L189" s="147"/>
      <c r="M189" s="149">
        <f t="shared" si="12"/>
        <v>0</v>
      </c>
    </row>
    <row r="190" spans="1:13" x14ac:dyDescent="0.25">
      <c r="A190" s="163"/>
      <c r="G190" s="133"/>
      <c r="H190" s="147">
        <v>185</v>
      </c>
      <c r="I190" s="148" t="str">
        <f t="shared" si="13"/>
        <v/>
      </c>
      <c r="J190" s="147" t="e">
        <f t="shared" si="14"/>
        <v>#NUM!</v>
      </c>
      <c r="K190" s="147" t="e">
        <f t="shared" si="11"/>
        <v>#NUM!</v>
      </c>
      <c r="L190" s="147"/>
      <c r="M190" s="149">
        <f t="shared" si="12"/>
        <v>0</v>
      </c>
    </row>
    <row r="191" spans="1:13" x14ac:dyDescent="0.25">
      <c r="A191" s="163"/>
      <c r="G191" s="133"/>
      <c r="H191" s="147">
        <v>186</v>
      </c>
      <c r="I191" s="148" t="str">
        <f t="shared" si="13"/>
        <v/>
      </c>
      <c r="J191" s="147" t="e">
        <f t="shared" si="14"/>
        <v>#NUM!</v>
      </c>
      <c r="K191" s="147" t="e">
        <f t="shared" si="11"/>
        <v>#NUM!</v>
      </c>
      <c r="L191" s="147"/>
      <c r="M191" s="149">
        <f t="shared" si="12"/>
        <v>0</v>
      </c>
    </row>
    <row r="192" spans="1:13" x14ac:dyDescent="0.25">
      <c r="A192" s="163"/>
      <c r="G192" s="133"/>
      <c r="H192" s="147">
        <v>187</v>
      </c>
      <c r="I192" s="148" t="str">
        <f t="shared" si="13"/>
        <v/>
      </c>
      <c r="J192" s="147" t="e">
        <f t="shared" si="14"/>
        <v>#NUM!</v>
      </c>
      <c r="K192" s="147" t="e">
        <f t="shared" si="11"/>
        <v>#NUM!</v>
      </c>
      <c r="L192" s="147"/>
      <c r="M192" s="149">
        <f t="shared" si="12"/>
        <v>0</v>
      </c>
    </row>
    <row r="193" spans="1:13" x14ac:dyDescent="0.25">
      <c r="A193" s="163"/>
      <c r="G193" s="133"/>
      <c r="H193" s="147">
        <v>188</v>
      </c>
      <c r="I193" s="148" t="str">
        <f t="shared" si="13"/>
        <v/>
      </c>
      <c r="J193" s="147" t="e">
        <f t="shared" si="14"/>
        <v>#NUM!</v>
      </c>
      <c r="K193" s="147" t="e">
        <f t="shared" si="11"/>
        <v>#NUM!</v>
      </c>
      <c r="L193" s="147"/>
      <c r="M193" s="149">
        <f t="shared" si="12"/>
        <v>0</v>
      </c>
    </row>
    <row r="194" spans="1:13" x14ac:dyDescent="0.25">
      <c r="A194" s="163"/>
      <c r="G194" s="133"/>
      <c r="H194" s="147">
        <v>189</v>
      </c>
      <c r="I194" s="148" t="str">
        <f t="shared" si="13"/>
        <v/>
      </c>
      <c r="J194" s="147" t="e">
        <f t="shared" si="14"/>
        <v>#NUM!</v>
      </c>
      <c r="K194" s="147" t="e">
        <f t="shared" si="11"/>
        <v>#NUM!</v>
      </c>
      <c r="L194" s="147"/>
      <c r="M194" s="149">
        <f t="shared" si="12"/>
        <v>0</v>
      </c>
    </row>
    <row r="195" spans="1:13" x14ac:dyDescent="0.25">
      <c r="A195" s="163"/>
      <c r="G195" s="133"/>
      <c r="H195" s="147">
        <v>190</v>
      </c>
      <c r="I195" s="148" t="str">
        <f t="shared" si="13"/>
        <v/>
      </c>
      <c r="J195" s="147" t="e">
        <f t="shared" si="14"/>
        <v>#NUM!</v>
      </c>
      <c r="K195" s="147" t="e">
        <f t="shared" si="11"/>
        <v>#NUM!</v>
      </c>
      <c r="L195" s="147"/>
      <c r="M195" s="149">
        <f t="shared" si="12"/>
        <v>0</v>
      </c>
    </row>
    <row r="196" spans="1:13" x14ac:dyDescent="0.25">
      <c r="A196" s="163"/>
      <c r="G196" s="133"/>
      <c r="H196" s="147">
        <v>191</v>
      </c>
      <c r="I196" s="148" t="str">
        <f t="shared" si="13"/>
        <v/>
      </c>
      <c r="J196" s="147" t="e">
        <f t="shared" si="14"/>
        <v>#NUM!</v>
      </c>
      <c r="K196" s="147" t="e">
        <f t="shared" si="11"/>
        <v>#NUM!</v>
      </c>
      <c r="L196" s="147"/>
      <c r="M196" s="149">
        <f t="shared" si="12"/>
        <v>0</v>
      </c>
    </row>
    <row r="197" spans="1:13" x14ac:dyDescent="0.25">
      <c r="A197" s="163"/>
      <c r="G197" s="133"/>
      <c r="H197" s="147">
        <v>192</v>
      </c>
      <c r="I197" s="148" t="str">
        <f t="shared" si="13"/>
        <v/>
      </c>
      <c r="J197" s="147" t="e">
        <f t="shared" si="14"/>
        <v>#NUM!</v>
      </c>
      <c r="K197" s="147" t="e">
        <f t="shared" si="11"/>
        <v>#NUM!</v>
      </c>
      <c r="L197" s="147"/>
      <c r="M197" s="149">
        <f t="shared" si="12"/>
        <v>0</v>
      </c>
    </row>
    <row r="198" spans="1:13" x14ac:dyDescent="0.25">
      <c r="A198" s="163"/>
      <c r="G198" s="133"/>
      <c r="H198" s="147">
        <v>193</v>
      </c>
      <c r="I198" s="148" t="str">
        <f t="shared" si="13"/>
        <v/>
      </c>
      <c r="J198" s="147" t="e">
        <f t="shared" si="14"/>
        <v>#NUM!</v>
      </c>
      <c r="K198" s="147" t="e">
        <f t="shared" ref="K198:K261" si="15">J198*$J$2</f>
        <v>#NUM!</v>
      </c>
      <c r="L198" s="147"/>
      <c r="M198" s="149">
        <f t="shared" ref="M198:M261" si="16">IF(I198&lt;&gt;"",K198+I198+L198,0)</f>
        <v>0</v>
      </c>
    </row>
    <row r="199" spans="1:13" x14ac:dyDescent="0.25">
      <c r="A199" s="163"/>
      <c r="G199" s="133"/>
      <c r="H199" s="147">
        <v>194</v>
      </c>
      <c r="I199" s="148" t="str">
        <f t="shared" ref="I199:I262" si="17">IF(H199&lt;$H$2+1,($I$2-($I$2-1)*(LOG(H199)/LOG($H$2))),"")</f>
        <v/>
      </c>
      <c r="J199" s="147" t="e">
        <f t="shared" ref="J199:J262" si="18">INT(LOG($H$2,2))-ROUNDUP(LOG(H199,2),0)+IF(OR($H$2=1,$H$2=2,$H$2=4,$H$2=8,$H$2=16,$H$2=32,$H$2=64,$H$2=128,$H$2=256),0,1)</f>
        <v>#NUM!</v>
      </c>
      <c r="K199" s="147" t="e">
        <f t="shared" si="15"/>
        <v>#NUM!</v>
      </c>
      <c r="L199" s="147"/>
      <c r="M199" s="149">
        <f t="shared" si="16"/>
        <v>0</v>
      </c>
    </row>
    <row r="200" spans="1:13" x14ac:dyDescent="0.25">
      <c r="A200" s="163"/>
      <c r="G200" s="133"/>
      <c r="H200" s="147">
        <v>195</v>
      </c>
      <c r="I200" s="148" t="str">
        <f t="shared" si="17"/>
        <v/>
      </c>
      <c r="J200" s="147" t="e">
        <f t="shared" si="18"/>
        <v>#NUM!</v>
      </c>
      <c r="K200" s="147" t="e">
        <f t="shared" si="15"/>
        <v>#NUM!</v>
      </c>
      <c r="L200" s="147"/>
      <c r="M200" s="149">
        <f t="shared" si="16"/>
        <v>0</v>
      </c>
    </row>
    <row r="201" spans="1:13" x14ac:dyDescent="0.25">
      <c r="A201" s="163"/>
      <c r="G201" s="133"/>
      <c r="H201" s="147">
        <v>196</v>
      </c>
      <c r="I201" s="148" t="str">
        <f t="shared" si="17"/>
        <v/>
      </c>
      <c r="J201" s="147" t="e">
        <f t="shared" si="18"/>
        <v>#NUM!</v>
      </c>
      <c r="K201" s="147" t="e">
        <f t="shared" si="15"/>
        <v>#NUM!</v>
      </c>
      <c r="L201" s="147"/>
      <c r="M201" s="149">
        <f t="shared" si="16"/>
        <v>0</v>
      </c>
    </row>
    <row r="202" spans="1:13" x14ac:dyDescent="0.25">
      <c r="A202" s="163"/>
      <c r="G202" s="133"/>
      <c r="H202" s="147">
        <v>197</v>
      </c>
      <c r="I202" s="148" t="str">
        <f t="shared" si="17"/>
        <v/>
      </c>
      <c r="J202" s="147" t="e">
        <f t="shared" si="18"/>
        <v>#NUM!</v>
      </c>
      <c r="K202" s="147" t="e">
        <f t="shared" si="15"/>
        <v>#NUM!</v>
      </c>
      <c r="L202" s="147"/>
      <c r="M202" s="149">
        <f t="shared" si="16"/>
        <v>0</v>
      </c>
    </row>
    <row r="203" spans="1:13" x14ac:dyDescent="0.25">
      <c r="A203" s="163"/>
      <c r="G203" s="133"/>
      <c r="H203" s="147">
        <v>198</v>
      </c>
      <c r="I203" s="148" t="str">
        <f t="shared" si="17"/>
        <v/>
      </c>
      <c r="J203" s="147" t="e">
        <f t="shared" si="18"/>
        <v>#NUM!</v>
      </c>
      <c r="K203" s="147" t="e">
        <f t="shared" si="15"/>
        <v>#NUM!</v>
      </c>
      <c r="L203" s="147"/>
      <c r="M203" s="149">
        <f t="shared" si="16"/>
        <v>0</v>
      </c>
    </row>
    <row r="204" spans="1:13" x14ac:dyDescent="0.25">
      <c r="A204" s="163"/>
      <c r="G204" s="133"/>
      <c r="H204" s="147">
        <v>199</v>
      </c>
      <c r="I204" s="148" t="str">
        <f t="shared" si="17"/>
        <v/>
      </c>
      <c r="J204" s="147" t="e">
        <f t="shared" si="18"/>
        <v>#NUM!</v>
      </c>
      <c r="K204" s="147" t="e">
        <f t="shared" si="15"/>
        <v>#NUM!</v>
      </c>
      <c r="L204" s="147"/>
      <c r="M204" s="149">
        <f t="shared" si="16"/>
        <v>0</v>
      </c>
    </row>
    <row r="205" spans="1:13" x14ac:dyDescent="0.25">
      <c r="A205" s="163"/>
      <c r="G205" s="133"/>
      <c r="H205" s="147">
        <v>200</v>
      </c>
      <c r="I205" s="148" t="str">
        <f t="shared" si="17"/>
        <v/>
      </c>
      <c r="J205" s="147" t="e">
        <f t="shared" si="18"/>
        <v>#NUM!</v>
      </c>
      <c r="K205" s="147" t="e">
        <f t="shared" si="15"/>
        <v>#NUM!</v>
      </c>
      <c r="L205" s="147"/>
      <c r="M205" s="149">
        <f t="shared" si="16"/>
        <v>0</v>
      </c>
    </row>
    <row r="206" spans="1:13" x14ac:dyDescent="0.25">
      <c r="A206" s="163"/>
      <c r="G206" s="133"/>
      <c r="H206" s="147">
        <v>201</v>
      </c>
      <c r="I206" s="148" t="str">
        <f t="shared" si="17"/>
        <v/>
      </c>
      <c r="J206" s="147" t="e">
        <f t="shared" si="18"/>
        <v>#NUM!</v>
      </c>
      <c r="K206" s="147" t="e">
        <f t="shared" si="15"/>
        <v>#NUM!</v>
      </c>
      <c r="L206" s="147"/>
      <c r="M206" s="149">
        <f t="shared" si="16"/>
        <v>0</v>
      </c>
    </row>
    <row r="207" spans="1:13" x14ac:dyDescent="0.25">
      <c r="A207" s="163"/>
      <c r="G207" s="133"/>
      <c r="H207" s="147">
        <v>202</v>
      </c>
      <c r="I207" s="148" t="str">
        <f t="shared" si="17"/>
        <v/>
      </c>
      <c r="J207" s="147" t="e">
        <f t="shared" si="18"/>
        <v>#NUM!</v>
      </c>
      <c r="K207" s="147" t="e">
        <f t="shared" si="15"/>
        <v>#NUM!</v>
      </c>
      <c r="L207" s="147"/>
      <c r="M207" s="149">
        <f t="shared" si="16"/>
        <v>0</v>
      </c>
    </row>
    <row r="208" spans="1:13" x14ac:dyDescent="0.25">
      <c r="A208" s="163"/>
      <c r="G208" s="133"/>
      <c r="H208" s="147">
        <v>203</v>
      </c>
      <c r="I208" s="148" t="str">
        <f t="shared" si="17"/>
        <v/>
      </c>
      <c r="J208" s="147" t="e">
        <f t="shared" si="18"/>
        <v>#NUM!</v>
      </c>
      <c r="K208" s="147" t="e">
        <f t="shared" si="15"/>
        <v>#NUM!</v>
      </c>
      <c r="L208" s="147"/>
      <c r="M208" s="149">
        <f t="shared" si="16"/>
        <v>0</v>
      </c>
    </row>
    <row r="209" spans="1:13" x14ac:dyDescent="0.25">
      <c r="A209" s="163"/>
      <c r="G209" s="133"/>
      <c r="H209" s="147">
        <v>204</v>
      </c>
      <c r="I209" s="148" t="str">
        <f t="shared" si="17"/>
        <v/>
      </c>
      <c r="J209" s="147" t="e">
        <f t="shared" si="18"/>
        <v>#NUM!</v>
      </c>
      <c r="K209" s="147" t="e">
        <f t="shared" si="15"/>
        <v>#NUM!</v>
      </c>
      <c r="L209" s="147"/>
      <c r="M209" s="149">
        <f t="shared" si="16"/>
        <v>0</v>
      </c>
    </row>
    <row r="210" spans="1:13" x14ac:dyDescent="0.25">
      <c r="A210" s="163"/>
      <c r="G210" s="133"/>
      <c r="H210" s="147">
        <v>205</v>
      </c>
      <c r="I210" s="148" t="str">
        <f t="shared" si="17"/>
        <v/>
      </c>
      <c r="J210" s="147" t="e">
        <f t="shared" si="18"/>
        <v>#NUM!</v>
      </c>
      <c r="K210" s="147" t="e">
        <f t="shared" si="15"/>
        <v>#NUM!</v>
      </c>
      <c r="L210" s="147"/>
      <c r="M210" s="149">
        <f t="shared" si="16"/>
        <v>0</v>
      </c>
    </row>
    <row r="211" spans="1:13" x14ac:dyDescent="0.25">
      <c r="A211" s="163"/>
      <c r="G211" s="133"/>
      <c r="H211" s="147">
        <v>206</v>
      </c>
      <c r="I211" s="148" t="str">
        <f t="shared" si="17"/>
        <v/>
      </c>
      <c r="J211" s="147" t="e">
        <f t="shared" si="18"/>
        <v>#NUM!</v>
      </c>
      <c r="K211" s="147" t="e">
        <f t="shared" si="15"/>
        <v>#NUM!</v>
      </c>
      <c r="L211" s="147"/>
      <c r="M211" s="149">
        <f t="shared" si="16"/>
        <v>0</v>
      </c>
    </row>
    <row r="212" spans="1:13" x14ac:dyDescent="0.25">
      <c r="A212" s="163"/>
      <c r="G212" s="133"/>
      <c r="H212" s="147">
        <v>207</v>
      </c>
      <c r="I212" s="148" t="str">
        <f t="shared" si="17"/>
        <v/>
      </c>
      <c r="J212" s="147" t="e">
        <f t="shared" si="18"/>
        <v>#NUM!</v>
      </c>
      <c r="K212" s="147" t="e">
        <f t="shared" si="15"/>
        <v>#NUM!</v>
      </c>
      <c r="L212" s="147"/>
      <c r="M212" s="149">
        <f t="shared" si="16"/>
        <v>0</v>
      </c>
    </row>
    <row r="213" spans="1:13" x14ac:dyDescent="0.25">
      <c r="A213" s="163"/>
      <c r="G213" s="133"/>
      <c r="H213" s="147">
        <v>208</v>
      </c>
      <c r="I213" s="148" t="str">
        <f t="shared" si="17"/>
        <v/>
      </c>
      <c r="J213" s="147" t="e">
        <f t="shared" si="18"/>
        <v>#NUM!</v>
      </c>
      <c r="K213" s="147" t="e">
        <f t="shared" si="15"/>
        <v>#NUM!</v>
      </c>
      <c r="L213" s="147"/>
      <c r="M213" s="149">
        <f t="shared" si="16"/>
        <v>0</v>
      </c>
    </row>
    <row r="214" spans="1:13" x14ac:dyDescent="0.25">
      <c r="A214" s="163"/>
      <c r="G214" s="133"/>
      <c r="H214" s="147">
        <v>209</v>
      </c>
      <c r="I214" s="148" t="str">
        <f t="shared" si="17"/>
        <v/>
      </c>
      <c r="J214" s="147" t="e">
        <f t="shared" si="18"/>
        <v>#NUM!</v>
      </c>
      <c r="K214" s="147" t="e">
        <f t="shared" si="15"/>
        <v>#NUM!</v>
      </c>
      <c r="L214" s="147"/>
      <c r="M214" s="149">
        <f t="shared" si="16"/>
        <v>0</v>
      </c>
    </row>
    <row r="215" spans="1:13" x14ac:dyDescent="0.25">
      <c r="A215" s="163"/>
      <c r="G215" s="133"/>
      <c r="H215" s="147">
        <v>210</v>
      </c>
      <c r="I215" s="148" t="str">
        <f t="shared" si="17"/>
        <v/>
      </c>
      <c r="J215" s="147" t="e">
        <f t="shared" si="18"/>
        <v>#NUM!</v>
      </c>
      <c r="K215" s="147" t="e">
        <f t="shared" si="15"/>
        <v>#NUM!</v>
      </c>
      <c r="L215" s="147"/>
      <c r="M215" s="149">
        <f t="shared" si="16"/>
        <v>0</v>
      </c>
    </row>
    <row r="216" spans="1:13" x14ac:dyDescent="0.25">
      <c r="A216" s="163"/>
      <c r="G216" s="133"/>
      <c r="H216" s="147">
        <v>211</v>
      </c>
      <c r="I216" s="148" t="str">
        <f t="shared" si="17"/>
        <v/>
      </c>
      <c r="J216" s="147" t="e">
        <f t="shared" si="18"/>
        <v>#NUM!</v>
      </c>
      <c r="K216" s="147" t="e">
        <f t="shared" si="15"/>
        <v>#NUM!</v>
      </c>
      <c r="L216" s="147"/>
      <c r="M216" s="149">
        <f t="shared" si="16"/>
        <v>0</v>
      </c>
    </row>
    <row r="217" spans="1:13" x14ac:dyDescent="0.25">
      <c r="A217" s="163"/>
      <c r="G217" s="133"/>
      <c r="H217" s="147">
        <v>212</v>
      </c>
      <c r="I217" s="148" t="str">
        <f t="shared" si="17"/>
        <v/>
      </c>
      <c r="J217" s="147" t="e">
        <f t="shared" si="18"/>
        <v>#NUM!</v>
      </c>
      <c r="K217" s="147" t="e">
        <f t="shared" si="15"/>
        <v>#NUM!</v>
      </c>
      <c r="L217" s="147"/>
      <c r="M217" s="149">
        <f t="shared" si="16"/>
        <v>0</v>
      </c>
    </row>
    <row r="218" spans="1:13" x14ac:dyDescent="0.25">
      <c r="A218" s="163"/>
      <c r="G218" s="133"/>
      <c r="H218" s="147">
        <v>213</v>
      </c>
      <c r="I218" s="148" t="str">
        <f t="shared" si="17"/>
        <v/>
      </c>
      <c r="J218" s="147" t="e">
        <f t="shared" si="18"/>
        <v>#NUM!</v>
      </c>
      <c r="K218" s="147" t="e">
        <f t="shared" si="15"/>
        <v>#NUM!</v>
      </c>
      <c r="L218" s="147"/>
      <c r="M218" s="149">
        <f t="shared" si="16"/>
        <v>0</v>
      </c>
    </row>
    <row r="219" spans="1:13" x14ac:dyDescent="0.25">
      <c r="A219" s="163"/>
      <c r="G219" s="133"/>
      <c r="H219" s="147">
        <v>214</v>
      </c>
      <c r="I219" s="148" t="str">
        <f t="shared" si="17"/>
        <v/>
      </c>
      <c r="J219" s="147" t="e">
        <f t="shared" si="18"/>
        <v>#NUM!</v>
      </c>
      <c r="K219" s="147" t="e">
        <f t="shared" si="15"/>
        <v>#NUM!</v>
      </c>
      <c r="L219" s="147"/>
      <c r="M219" s="149">
        <f t="shared" si="16"/>
        <v>0</v>
      </c>
    </row>
    <row r="220" spans="1:13" x14ac:dyDescent="0.25">
      <c r="A220" s="163"/>
      <c r="G220" s="133"/>
      <c r="H220" s="147">
        <v>215</v>
      </c>
      <c r="I220" s="148" t="str">
        <f t="shared" si="17"/>
        <v/>
      </c>
      <c r="J220" s="147" t="e">
        <f t="shared" si="18"/>
        <v>#NUM!</v>
      </c>
      <c r="K220" s="147" t="e">
        <f t="shared" si="15"/>
        <v>#NUM!</v>
      </c>
      <c r="L220" s="147"/>
      <c r="M220" s="149">
        <f t="shared" si="16"/>
        <v>0</v>
      </c>
    </row>
    <row r="221" spans="1:13" x14ac:dyDescent="0.25">
      <c r="A221" s="163"/>
      <c r="G221" s="133"/>
      <c r="H221" s="147">
        <v>216</v>
      </c>
      <c r="I221" s="148" t="str">
        <f t="shared" si="17"/>
        <v/>
      </c>
      <c r="J221" s="147" t="e">
        <f t="shared" si="18"/>
        <v>#NUM!</v>
      </c>
      <c r="K221" s="147" t="e">
        <f t="shared" si="15"/>
        <v>#NUM!</v>
      </c>
      <c r="L221" s="147"/>
      <c r="M221" s="149">
        <f t="shared" si="16"/>
        <v>0</v>
      </c>
    </row>
    <row r="222" spans="1:13" x14ac:dyDescent="0.25">
      <c r="A222" s="163"/>
      <c r="G222" s="133"/>
      <c r="H222" s="147">
        <v>217</v>
      </c>
      <c r="I222" s="148" t="str">
        <f t="shared" si="17"/>
        <v/>
      </c>
      <c r="J222" s="147" t="e">
        <f t="shared" si="18"/>
        <v>#NUM!</v>
      </c>
      <c r="K222" s="147" t="e">
        <f t="shared" si="15"/>
        <v>#NUM!</v>
      </c>
      <c r="L222" s="147"/>
      <c r="M222" s="149">
        <f t="shared" si="16"/>
        <v>0</v>
      </c>
    </row>
    <row r="223" spans="1:13" x14ac:dyDescent="0.25">
      <c r="A223" s="163"/>
      <c r="G223" s="133"/>
      <c r="H223" s="147">
        <v>218</v>
      </c>
      <c r="I223" s="148" t="str">
        <f t="shared" si="17"/>
        <v/>
      </c>
      <c r="J223" s="147" t="e">
        <f t="shared" si="18"/>
        <v>#NUM!</v>
      </c>
      <c r="K223" s="147" t="e">
        <f t="shared" si="15"/>
        <v>#NUM!</v>
      </c>
      <c r="L223" s="147"/>
      <c r="M223" s="149">
        <f t="shared" si="16"/>
        <v>0</v>
      </c>
    </row>
    <row r="224" spans="1:13" x14ac:dyDescent="0.25">
      <c r="A224" s="163"/>
      <c r="G224" s="133"/>
      <c r="H224" s="147">
        <v>219</v>
      </c>
      <c r="I224" s="148" t="str">
        <f t="shared" si="17"/>
        <v/>
      </c>
      <c r="J224" s="147" t="e">
        <f t="shared" si="18"/>
        <v>#NUM!</v>
      </c>
      <c r="K224" s="147" t="e">
        <f t="shared" si="15"/>
        <v>#NUM!</v>
      </c>
      <c r="L224" s="147"/>
      <c r="M224" s="149">
        <f t="shared" si="16"/>
        <v>0</v>
      </c>
    </row>
    <row r="225" spans="1:13" x14ac:dyDescent="0.25">
      <c r="A225" s="163"/>
      <c r="G225" s="133"/>
      <c r="H225" s="147">
        <v>220</v>
      </c>
      <c r="I225" s="148" t="str">
        <f t="shared" si="17"/>
        <v/>
      </c>
      <c r="J225" s="147" t="e">
        <f t="shared" si="18"/>
        <v>#NUM!</v>
      </c>
      <c r="K225" s="147" t="e">
        <f t="shared" si="15"/>
        <v>#NUM!</v>
      </c>
      <c r="L225" s="147"/>
      <c r="M225" s="149">
        <f t="shared" si="16"/>
        <v>0</v>
      </c>
    </row>
    <row r="226" spans="1:13" x14ac:dyDescent="0.25">
      <c r="A226" s="163"/>
      <c r="G226" s="133"/>
      <c r="H226" s="147">
        <v>221</v>
      </c>
      <c r="I226" s="148" t="str">
        <f t="shared" si="17"/>
        <v/>
      </c>
      <c r="J226" s="147" t="e">
        <f t="shared" si="18"/>
        <v>#NUM!</v>
      </c>
      <c r="K226" s="147" t="e">
        <f t="shared" si="15"/>
        <v>#NUM!</v>
      </c>
      <c r="L226" s="147"/>
      <c r="M226" s="149">
        <f t="shared" si="16"/>
        <v>0</v>
      </c>
    </row>
    <row r="227" spans="1:13" x14ac:dyDescent="0.25">
      <c r="A227" s="163"/>
      <c r="G227" s="133"/>
      <c r="H227" s="147">
        <v>222</v>
      </c>
      <c r="I227" s="148" t="str">
        <f t="shared" si="17"/>
        <v/>
      </c>
      <c r="J227" s="147" t="e">
        <f t="shared" si="18"/>
        <v>#NUM!</v>
      </c>
      <c r="K227" s="147" t="e">
        <f t="shared" si="15"/>
        <v>#NUM!</v>
      </c>
      <c r="L227" s="147"/>
      <c r="M227" s="149">
        <f t="shared" si="16"/>
        <v>0</v>
      </c>
    </row>
    <row r="228" spans="1:13" x14ac:dyDescent="0.25">
      <c r="A228" s="163"/>
      <c r="G228" s="133"/>
      <c r="H228" s="147">
        <v>223</v>
      </c>
      <c r="I228" s="148" t="str">
        <f t="shared" si="17"/>
        <v/>
      </c>
      <c r="J228" s="147" t="e">
        <f t="shared" si="18"/>
        <v>#NUM!</v>
      </c>
      <c r="K228" s="147" t="e">
        <f t="shared" si="15"/>
        <v>#NUM!</v>
      </c>
      <c r="L228" s="147"/>
      <c r="M228" s="149">
        <f t="shared" si="16"/>
        <v>0</v>
      </c>
    </row>
    <row r="229" spans="1:13" x14ac:dyDescent="0.25">
      <c r="A229" s="163"/>
      <c r="G229" s="133"/>
      <c r="H229" s="147">
        <v>224</v>
      </c>
      <c r="I229" s="148" t="str">
        <f t="shared" si="17"/>
        <v/>
      </c>
      <c r="J229" s="147" t="e">
        <f t="shared" si="18"/>
        <v>#NUM!</v>
      </c>
      <c r="K229" s="147" t="e">
        <f t="shared" si="15"/>
        <v>#NUM!</v>
      </c>
      <c r="L229" s="147"/>
      <c r="M229" s="149">
        <f t="shared" si="16"/>
        <v>0</v>
      </c>
    </row>
    <row r="230" spans="1:13" x14ac:dyDescent="0.25">
      <c r="A230" s="163"/>
      <c r="G230" s="133"/>
      <c r="H230" s="147">
        <v>225</v>
      </c>
      <c r="I230" s="148" t="str">
        <f t="shared" si="17"/>
        <v/>
      </c>
      <c r="J230" s="147" t="e">
        <f t="shared" si="18"/>
        <v>#NUM!</v>
      </c>
      <c r="K230" s="147" t="e">
        <f t="shared" si="15"/>
        <v>#NUM!</v>
      </c>
      <c r="L230" s="147"/>
      <c r="M230" s="149">
        <f t="shared" si="16"/>
        <v>0</v>
      </c>
    </row>
    <row r="231" spans="1:13" x14ac:dyDescent="0.25">
      <c r="A231" s="163"/>
      <c r="G231" s="133"/>
      <c r="H231" s="147">
        <v>226</v>
      </c>
      <c r="I231" s="148" t="str">
        <f t="shared" si="17"/>
        <v/>
      </c>
      <c r="J231" s="147" t="e">
        <f t="shared" si="18"/>
        <v>#NUM!</v>
      </c>
      <c r="K231" s="147" t="e">
        <f t="shared" si="15"/>
        <v>#NUM!</v>
      </c>
      <c r="L231" s="147"/>
      <c r="M231" s="149">
        <f t="shared" si="16"/>
        <v>0</v>
      </c>
    </row>
    <row r="232" spans="1:13" x14ac:dyDescent="0.25">
      <c r="A232" s="163"/>
      <c r="G232" s="133"/>
      <c r="H232" s="147">
        <v>227</v>
      </c>
      <c r="I232" s="148" t="str">
        <f t="shared" si="17"/>
        <v/>
      </c>
      <c r="J232" s="147" t="e">
        <f t="shared" si="18"/>
        <v>#NUM!</v>
      </c>
      <c r="K232" s="147" t="e">
        <f t="shared" si="15"/>
        <v>#NUM!</v>
      </c>
      <c r="L232" s="147"/>
      <c r="M232" s="149">
        <f t="shared" si="16"/>
        <v>0</v>
      </c>
    </row>
    <row r="233" spans="1:13" x14ac:dyDescent="0.25">
      <c r="A233" s="163"/>
      <c r="G233" s="133"/>
      <c r="H233" s="147">
        <v>228</v>
      </c>
      <c r="I233" s="148" t="str">
        <f t="shared" si="17"/>
        <v/>
      </c>
      <c r="J233" s="147" t="e">
        <f t="shared" si="18"/>
        <v>#NUM!</v>
      </c>
      <c r="K233" s="147" t="e">
        <f t="shared" si="15"/>
        <v>#NUM!</v>
      </c>
      <c r="L233" s="147"/>
      <c r="M233" s="149">
        <f t="shared" si="16"/>
        <v>0</v>
      </c>
    </row>
    <row r="234" spans="1:13" x14ac:dyDescent="0.25">
      <c r="A234" s="163"/>
      <c r="G234" s="133"/>
      <c r="H234" s="147">
        <v>229</v>
      </c>
      <c r="I234" s="148" t="str">
        <f t="shared" si="17"/>
        <v/>
      </c>
      <c r="J234" s="147" t="e">
        <f t="shared" si="18"/>
        <v>#NUM!</v>
      </c>
      <c r="K234" s="147" t="e">
        <f t="shared" si="15"/>
        <v>#NUM!</v>
      </c>
      <c r="L234" s="147"/>
      <c r="M234" s="149">
        <f t="shared" si="16"/>
        <v>0</v>
      </c>
    </row>
    <row r="235" spans="1:13" x14ac:dyDescent="0.25">
      <c r="A235" s="163"/>
      <c r="G235" s="133"/>
      <c r="H235" s="147">
        <v>230</v>
      </c>
      <c r="I235" s="148" t="str">
        <f t="shared" si="17"/>
        <v/>
      </c>
      <c r="J235" s="147" t="e">
        <f t="shared" si="18"/>
        <v>#NUM!</v>
      </c>
      <c r="K235" s="147" t="e">
        <f t="shared" si="15"/>
        <v>#NUM!</v>
      </c>
      <c r="L235" s="147"/>
      <c r="M235" s="149">
        <f t="shared" si="16"/>
        <v>0</v>
      </c>
    </row>
    <row r="236" spans="1:13" x14ac:dyDescent="0.25">
      <c r="A236" s="163"/>
      <c r="G236" s="133"/>
      <c r="H236" s="147">
        <v>231</v>
      </c>
      <c r="I236" s="148" t="str">
        <f t="shared" si="17"/>
        <v/>
      </c>
      <c r="J236" s="147" t="e">
        <f t="shared" si="18"/>
        <v>#NUM!</v>
      </c>
      <c r="K236" s="147" t="e">
        <f t="shared" si="15"/>
        <v>#NUM!</v>
      </c>
      <c r="L236" s="147"/>
      <c r="M236" s="149">
        <f t="shared" si="16"/>
        <v>0</v>
      </c>
    </row>
    <row r="237" spans="1:13" x14ac:dyDescent="0.25">
      <c r="A237" s="163"/>
      <c r="G237" s="133"/>
      <c r="H237" s="147">
        <v>232</v>
      </c>
      <c r="I237" s="148" t="str">
        <f t="shared" si="17"/>
        <v/>
      </c>
      <c r="J237" s="147" t="e">
        <f t="shared" si="18"/>
        <v>#NUM!</v>
      </c>
      <c r="K237" s="147" t="e">
        <f t="shared" si="15"/>
        <v>#NUM!</v>
      </c>
      <c r="L237" s="147"/>
      <c r="M237" s="149">
        <f t="shared" si="16"/>
        <v>0</v>
      </c>
    </row>
    <row r="238" spans="1:13" x14ac:dyDescent="0.25">
      <c r="A238" s="163"/>
      <c r="G238" s="133"/>
      <c r="H238" s="147">
        <v>233</v>
      </c>
      <c r="I238" s="148" t="str">
        <f t="shared" si="17"/>
        <v/>
      </c>
      <c r="J238" s="147" t="e">
        <f t="shared" si="18"/>
        <v>#NUM!</v>
      </c>
      <c r="K238" s="147" t="e">
        <f t="shared" si="15"/>
        <v>#NUM!</v>
      </c>
      <c r="L238" s="147"/>
      <c r="M238" s="149">
        <f t="shared" si="16"/>
        <v>0</v>
      </c>
    </row>
    <row r="239" spans="1:13" x14ac:dyDescent="0.25">
      <c r="A239" s="163"/>
      <c r="G239" s="133"/>
      <c r="H239" s="147">
        <v>234</v>
      </c>
      <c r="I239" s="148" t="str">
        <f t="shared" si="17"/>
        <v/>
      </c>
      <c r="J239" s="147" t="e">
        <f t="shared" si="18"/>
        <v>#NUM!</v>
      </c>
      <c r="K239" s="147" t="e">
        <f t="shared" si="15"/>
        <v>#NUM!</v>
      </c>
      <c r="L239" s="147"/>
      <c r="M239" s="149">
        <f t="shared" si="16"/>
        <v>0</v>
      </c>
    </row>
    <row r="240" spans="1:13" x14ac:dyDescent="0.25">
      <c r="A240" s="163"/>
      <c r="G240" s="133"/>
      <c r="H240" s="147">
        <v>235</v>
      </c>
      <c r="I240" s="148" t="str">
        <f t="shared" si="17"/>
        <v/>
      </c>
      <c r="J240" s="147" t="e">
        <f t="shared" si="18"/>
        <v>#NUM!</v>
      </c>
      <c r="K240" s="147" t="e">
        <f t="shared" si="15"/>
        <v>#NUM!</v>
      </c>
      <c r="L240" s="147"/>
      <c r="M240" s="149">
        <f t="shared" si="16"/>
        <v>0</v>
      </c>
    </row>
    <row r="241" spans="1:13" x14ac:dyDescent="0.25">
      <c r="A241" s="163"/>
      <c r="G241" s="133"/>
      <c r="H241" s="147">
        <v>236</v>
      </c>
      <c r="I241" s="148" t="str">
        <f t="shared" si="17"/>
        <v/>
      </c>
      <c r="J241" s="147" t="e">
        <f t="shared" si="18"/>
        <v>#NUM!</v>
      </c>
      <c r="K241" s="147" t="e">
        <f t="shared" si="15"/>
        <v>#NUM!</v>
      </c>
      <c r="L241" s="147"/>
      <c r="M241" s="149">
        <f t="shared" si="16"/>
        <v>0</v>
      </c>
    </row>
    <row r="242" spans="1:13" x14ac:dyDescent="0.25">
      <c r="A242" s="163"/>
      <c r="G242" s="133"/>
      <c r="H242" s="147">
        <v>237</v>
      </c>
      <c r="I242" s="148" t="str">
        <f t="shared" si="17"/>
        <v/>
      </c>
      <c r="J242" s="147" t="e">
        <f t="shared" si="18"/>
        <v>#NUM!</v>
      </c>
      <c r="K242" s="147" t="e">
        <f t="shared" si="15"/>
        <v>#NUM!</v>
      </c>
      <c r="L242" s="147"/>
      <c r="M242" s="149">
        <f t="shared" si="16"/>
        <v>0</v>
      </c>
    </row>
    <row r="243" spans="1:13" x14ac:dyDescent="0.25">
      <c r="A243" s="163"/>
      <c r="G243" s="133"/>
      <c r="H243" s="147">
        <v>238</v>
      </c>
      <c r="I243" s="148" t="str">
        <f t="shared" si="17"/>
        <v/>
      </c>
      <c r="J243" s="147" t="e">
        <f t="shared" si="18"/>
        <v>#NUM!</v>
      </c>
      <c r="K243" s="147" t="e">
        <f t="shared" si="15"/>
        <v>#NUM!</v>
      </c>
      <c r="L243" s="147"/>
      <c r="M243" s="149">
        <f t="shared" si="16"/>
        <v>0</v>
      </c>
    </row>
    <row r="244" spans="1:13" x14ac:dyDescent="0.25">
      <c r="A244" s="163"/>
      <c r="G244" s="133"/>
      <c r="H244" s="147">
        <v>239</v>
      </c>
      <c r="I244" s="148" t="str">
        <f t="shared" si="17"/>
        <v/>
      </c>
      <c r="J244" s="147" t="e">
        <f t="shared" si="18"/>
        <v>#NUM!</v>
      </c>
      <c r="K244" s="147" t="e">
        <f t="shared" si="15"/>
        <v>#NUM!</v>
      </c>
      <c r="L244" s="147"/>
      <c r="M244" s="149">
        <f t="shared" si="16"/>
        <v>0</v>
      </c>
    </row>
    <row r="245" spans="1:13" x14ac:dyDescent="0.25">
      <c r="A245" s="163"/>
      <c r="G245" s="133"/>
      <c r="H245" s="147">
        <v>240</v>
      </c>
      <c r="I245" s="148" t="str">
        <f t="shared" si="17"/>
        <v/>
      </c>
      <c r="J245" s="147" t="e">
        <f t="shared" si="18"/>
        <v>#NUM!</v>
      </c>
      <c r="K245" s="147" t="e">
        <f t="shared" si="15"/>
        <v>#NUM!</v>
      </c>
      <c r="L245" s="147"/>
      <c r="M245" s="149">
        <f t="shared" si="16"/>
        <v>0</v>
      </c>
    </row>
    <row r="246" spans="1:13" x14ac:dyDescent="0.25">
      <c r="A246" s="163"/>
      <c r="G246" s="133"/>
      <c r="H246" s="147">
        <v>241</v>
      </c>
      <c r="I246" s="148" t="str">
        <f t="shared" si="17"/>
        <v/>
      </c>
      <c r="J246" s="147" t="e">
        <f t="shared" si="18"/>
        <v>#NUM!</v>
      </c>
      <c r="K246" s="147" t="e">
        <f t="shared" si="15"/>
        <v>#NUM!</v>
      </c>
      <c r="L246" s="147"/>
      <c r="M246" s="149">
        <f t="shared" si="16"/>
        <v>0</v>
      </c>
    </row>
    <row r="247" spans="1:13" x14ac:dyDescent="0.25">
      <c r="A247" s="163"/>
      <c r="G247" s="133"/>
      <c r="H247" s="147">
        <v>242</v>
      </c>
      <c r="I247" s="148" t="str">
        <f t="shared" si="17"/>
        <v/>
      </c>
      <c r="J247" s="147" t="e">
        <f t="shared" si="18"/>
        <v>#NUM!</v>
      </c>
      <c r="K247" s="147" t="e">
        <f t="shared" si="15"/>
        <v>#NUM!</v>
      </c>
      <c r="L247" s="147"/>
      <c r="M247" s="149">
        <f t="shared" si="16"/>
        <v>0</v>
      </c>
    </row>
    <row r="248" spans="1:13" x14ac:dyDescent="0.25">
      <c r="A248" s="163"/>
      <c r="G248" s="133"/>
      <c r="H248" s="147">
        <v>243</v>
      </c>
      <c r="I248" s="148" t="str">
        <f t="shared" si="17"/>
        <v/>
      </c>
      <c r="J248" s="147" t="e">
        <f t="shared" si="18"/>
        <v>#NUM!</v>
      </c>
      <c r="K248" s="147" t="e">
        <f t="shared" si="15"/>
        <v>#NUM!</v>
      </c>
      <c r="L248" s="147"/>
      <c r="M248" s="149">
        <f t="shared" si="16"/>
        <v>0</v>
      </c>
    </row>
    <row r="249" spans="1:13" x14ac:dyDescent="0.25">
      <c r="A249" s="163"/>
      <c r="G249" s="133"/>
      <c r="H249" s="147">
        <v>244</v>
      </c>
      <c r="I249" s="148" t="str">
        <f t="shared" si="17"/>
        <v/>
      </c>
      <c r="J249" s="147" t="e">
        <f t="shared" si="18"/>
        <v>#NUM!</v>
      </c>
      <c r="K249" s="147" t="e">
        <f t="shared" si="15"/>
        <v>#NUM!</v>
      </c>
      <c r="L249" s="147"/>
      <c r="M249" s="149">
        <f t="shared" si="16"/>
        <v>0</v>
      </c>
    </row>
    <row r="250" spans="1:13" x14ac:dyDescent="0.25">
      <c r="A250" s="163"/>
      <c r="G250" s="133"/>
      <c r="H250" s="147">
        <v>245</v>
      </c>
      <c r="I250" s="148" t="str">
        <f t="shared" si="17"/>
        <v/>
      </c>
      <c r="J250" s="147" t="e">
        <f t="shared" si="18"/>
        <v>#NUM!</v>
      </c>
      <c r="K250" s="147" t="e">
        <f t="shared" si="15"/>
        <v>#NUM!</v>
      </c>
      <c r="L250" s="147"/>
      <c r="M250" s="149">
        <f t="shared" si="16"/>
        <v>0</v>
      </c>
    </row>
    <row r="251" spans="1:13" x14ac:dyDescent="0.25">
      <c r="A251" s="163"/>
      <c r="G251" s="133"/>
      <c r="H251" s="147">
        <v>246</v>
      </c>
      <c r="I251" s="148" t="str">
        <f t="shared" si="17"/>
        <v/>
      </c>
      <c r="J251" s="147" t="e">
        <f t="shared" si="18"/>
        <v>#NUM!</v>
      </c>
      <c r="K251" s="147" t="e">
        <f t="shared" si="15"/>
        <v>#NUM!</v>
      </c>
      <c r="L251" s="147"/>
      <c r="M251" s="149">
        <f t="shared" si="16"/>
        <v>0</v>
      </c>
    </row>
    <row r="252" spans="1:13" x14ac:dyDescent="0.25">
      <c r="A252" s="163"/>
      <c r="G252" s="133"/>
      <c r="H252" s="147">
        <v>247</v>
      </c>
      <c r="I252" s="148" t="str">
        <f t="shared" si="17"/>
        <v/>
      </c>
      <c r="J252" s="147" t="e">
        <f t="shared" si="18"/>
        <v>#NUM!</v>
      </c>
      <c r="K252" s="147" t="e">
        <f t="shared" si="15"/>
        <v>#NUM!</v>
      </c>
      <c r="L252" s="147"/>
      <c r="M252" s="149">
        <f t="shared" si="16"/>
        <v>0</v>
      </c>
    </row>
    <row r="253" spans="1:13" x14ac:dyDescent="0.25">
      <c r="A253" s="163"/>
      <c r="G253" s="133"/>
      <c r="H253" s="147">
        <v>248</v>
      </c>
      <c r="I253" s="148" t="str">
        <f t="shared" si="17"/>
        <v/>
      </c>
      <c r="J253" s="147" t="e">
        <f t="shared" si="18"/>
        <v>#NUM!</v>
      </c>
      <c r="K253" s="147" t="e">
        <f t="shared" si="15"/>
        <v>#NUM!</v>
      </c>
      <c r="L253" s="147"/>
      <c r="M253" s="149">
        <f t="shared" si="16"/>
        <v>0</v>
      </c>
    </row>
    <row r="254" spans="1:13" x14ac:dyDescent="0.25">
      <c r="A254" s="163"/>
      <c r="G254" s="133"/>
      <c r="H254" s="147">
        <v>249</v>
      </c>
      <c r="I254" s="148" t="str">
        <f t="shared" si="17"/>
        <v/>
      </c>
      <c r="J254" s="147" t="e">
        <f t="shared" si="18"/>
        <v>#NUM!</v>
      </c>
      <c r="K254" s="147" t="e">
        <f t="shared" si="15"/>
        <v>#NUM!</v>
      </c>
      <c r="L254" s="147"/>
      <c r="M254" s="149">
        <f t="shared" si="16"/>
        <v>0</v>
      </c>
    </row>
    <row r="255" spans="1:13" x14ac:dyDescent="0.25">
      <c r="A255" s="163"/>
      <c r="G255" s="133"/>
      <c r="H255" s="147">
        <v>250</v>
      </c>
      <c r="I255" s="148" t="str">
        <f t="shared" si="17"/>
        <v/>
      </c>
      <c r="J255" s="147" t="e">
        <f t="shared" si="18"/>
        <v>#NUM!</v>
      </c>
      <c r="K255" s="147" t="e">
        <f t="shared" si="15"/>
        <v>#NUM!</v>
      </c>
      <c r="L255" s="147"/>
      <c r="M255" s="149">
        <f t="shared" si="16"/>
        <v>0</v>
      </c>
    </row>
    <row r="256" spans="1:13" x14ac:dyDescent="0.25">
      <c r="A256" s="163"/>
      <c r="G256" s="133"/>
      <c r="H256" s="147">
        <v>251</v>
      </c>
      <c r="I256" s="148" t="str">
        <f t="shared" si="17"/>
        <v/>
      </c>
      <c r="J256" s="147" t="e">
        <f t="shared" si="18"/>
        <v>#NUM!</v>
      </c>
      <c r="K256" s="147" t="e">
        <f t="shared" si="15"/>
        <v>#NUM!</v>
      </c>
      <c r="L256" s="147"/>
      <c r="M256" s="149">
        <f t="shared" si="16"/>
        <v>0</v>
      </c>
    </row>
    <row r="257" spans="1:13" x14ac:dyDescent="0.25">
      <c r="A257" s="163"/>
      <c r="G257" s="133"/>
      <c r="H257" s="147">
        <v>252</v>
      </c>
      <c r="I257" s="148" t="str">
        <f t="shared" si="17"/>
        <v/>
      </c>
      <c r="J257" s="147" t="e">
        <f t="shared" si="18"/>
        <v>#NUM!</v>
      </c>
      <c r="K257" s="147" t="e">
        <f t="shared" si="15"/>
        <v>#NUM!</v>
      </c>
      <c r="L257" s="147"/>
      <c r="M257" s="149">
        <f t="shared" si="16"/>
        <v>0</v>
      </c>
    </row>
    <row r="258" spans="1:13" x14ac:dyDescent="0.25">
      <c r="A258" s="163"/>
      <c r="G258" s="133"/>
      <c r="H258" s="147">
        <v>253</v>
      </c>
      <c r="I258" s="148" t="str">
        <f t="shared" si="17"/>
        <v/>
      </c>
      <c r="J258" s="147" t="e">
        <f t="shared" si="18"/>
        <v>#NUM!</v>
      </c>
      <c r="K258" s="147" t="e">
        <f t="shared" si="15"/>
        <v>#NUM!</v>
      </c>
      <c r="L258" s="147"/>
      <c r="M258" s="149">
        <f t="shared" si="16"/>
        <v>0</v>
      </c>
    </row>
    <row r="259" spans="1:13" x14ac:dyDescent="0.25">
      <c r="A259" s="163"/>
      <c r="G259" s="133"/>
      <c r="H259" s="147">
        <v>254</v>
      </c>
      <c r="I259" s="148" t="str">
        <f t="shared" si="17"/>
        <v/>
      </c>
      <c r="J259" s="147" t="e">
        <f t="shared" si="18"/>
        <v>#NUM!</v>
      </c>
      <c r="K259" s="147" t="e">
        <f t="shared" si="15"/>
        <v>#NUM!</v>
      </c>
      <c r="L259" s="147"/>
      <c r="M259" s="149">
        <f t="shared" si="16"/>
        <v>0</v>
      </c>
    </row>
    <row r="260" spans="1:13" x14ac:dyDescent="0.25">
      <c r="A260" s="163"/>
      <c r="G260" s="133"/>
      <c r="H260" s="147">
        <v>255</v>
      </c>
      <c r="I260" s="148" t="str">
        <f t="shared" si="17"/>
        <v/>
      </c>
      <c r="J260" s="147" t="e">
        <f t="shared" si="18"/>
        <v>#NUM!</v>
      </c>
      <c r="K260" s="147" t="e">
        <f t="shared" si="15"/>
        <v>#NUM!</v>
      </c>
      <c r="L260" s="147"/>
      <c r="M260" s="149">
        <f t="shared" si="16"/>
        <v>0</v>
      </c>
    </row>
    <row r="261" spans="1:13" x14ac:dyDescent="0.25">
      <c r="A261" s="163"/>
      <c r="G261" s="133"/>
      <c r="H261" s="147">
        <v>256</v>
      </c>
      <c r="I261" s="148" t="str">
        <f t="shared" si="17"/>
        <v/>
      </c>
      <c r="J261" s="147" t="e">
        <f t="shared" si="18"/>
        <v>#NUM!</v>
      </c>
      <c r="K261" s="147" t="e">
        <f t="shared" si="15"/>
        <v>#NUM!</v>
      </c>
      <c r="L261" s="147"/>
      <c r="M261" s="149">
        <f t="shared" si="16"/>
        <v>0</v>
      </c>
    </row>
    <row r="262" spans="1:13" x14ac:dyDescent="0.25">
      <c r="A262" s="163"/>
      <c r="G262" s="133"/>
      <c r="H262" s="147">
        <v>257</v>
      </c>
      <c r="I262" s="148" t="str">
        <f t="shared" si="17"/>
        <v/>
      </c>
      <c r="J262" s="147" t="e">
        <f t="shared" si="18"/>
        <v>#NUM!</v>
      </c>
      <c r="K262" s="147" t="e">
        <f t="shared" ref="K262:K305" si="19">J262*$J$2</f>
        <v>#NUM!</v>
      </c>
      <c r="L262" s="147"/>
      <c r="M262" s="149">
        <f t="shared" ref="M262:M305" si="20">IF(I262&lt;&gt;"",K262+I262+L262,0)</f>
        <v>0</v>
      </c>
    </row>
    <row r="263" spans="1:13" x14ac:dyDescent="0.25">
      <c r="A263" s="163"/>
      <c r="G263" s="133"/>
      <c r="H263" s="147">
        <v>258</v>
      </c>
      <c r="I263" s="148" t="str">
        <f t="shared" ref="I263:I305" si="21">IF(H263&lt;$H$2+1,($I$2-($I$2-1)*(LOG(H263)/LOG($H$2))),"")</f>
        <v/>
      </c>
      <c r="J263" s="147" t="e">
        <f t="shared" ref="J263:J305" si="22">INT(LOG($H$2,2))-ROUNDUP(LOG(H263,2),0)+IF(OR($H$2=1,$H$2=2,$H$2=4,$H$2=8,$H$2=16,$H$2=32,$H$2=64,$H$2=128,$H$2=256),0,1)</f>
        <v>#NUM!</v>
      </c>
      <c r="K263" s="147" t="e">
        <f t="shared" si="19"/>
        <v>#NUM!</v>
      </c>
      <c r="L263" s="147"/>
      <c r="M263" s="149">
        <f t="shared" si="20"/>
        <v>0</v>
      </c>
    </row>
    <row r="264" spans="1:13" x14ac:dyDescent="0.25">
      <c r="A264" s="163"/>
      <c r="G264" s="133"/>
      <c r="H264" s="147">
        <v>259</v>
      </c>
      <c r="I264" s="148" t="str">
        <f t="shared" si="21"/>
        <v/>
      </c>
      <c r="J264" s="147" t="e">
        <f t="shared" si="22"/>
        <v>#NUM!</v>
      </c>
      <c r="K264" s="147" t="e">
        <f t="shared" si="19"/>
        <v>#NUM!</v>
      </c>
      <c r="L264" s="147"/>
      <c r="M264" s="149">
        <f t="shared" si="20"/>
        <v>0</v>
      </c>
    </row>
    <row r="265" spans="1:13" x14ac:dyDescent="0.25">
      <c r="A265" s="163"/>
      <c r="G265" s="133"/>
      <c r="H265" s="147">
        <v>260</v>
      </c>
      <c r="I265" s="148" t="str">
        <f t="shared" si="21"/>
        <v/>
      </c>
      <c r="J265" s="147" t="e">
        <f t="shared" si="22"/>
        <v>#NUM!</v>
      </c>
      <c r="K265" s="147" t="e">
        <f t="shared" si="19"/>
        <v>#NUM!</v>
      </c>
      <c r="L265" s="147"/>
      <c r="M265" s="149">
        <f t="shared" si="20"/>
        <v>0</v>
      </c>
    </row>
    <row r="266" spans="1:13" x14ac:dyDescent="0.25">
      <c r="A266" s="163"/>
      <c r="G266" s="133"/>
      <c r="H266" s="147">
        <v>261</v>
      </c>
      <c r="I266" s="148" t="str">
        <f t="shared" si="21"/>
        <v/>
      </c>
      <c r="J266" s="147" t="e">
        <f t="shared" si="22"/>
        <v>#NUM!</v>
      </c>
      <c r="K266" s="147" t="e">
        <f t="shared" si="19"/>
        <v>#NUM!</v>
      </c>
      <c r="L266" s="147"/>
      <c r="M266" s="149">
        <f t="shared" si="20"/>
        <v>0</v>
      </c>
    </row>
    <row r="267" spans="1:13" x14ac:dyDescent="0.25">
      <c r="A267" s="163"/>
      <c r="G267" s="133"/>
      <c r="H267" s="147">
        <v>262</v>
      </c>
      <c r="I267" s="148" t="str">
        <f t="shared" si="21"/>
        <v/>
      </c>
      <c r="J267" s="147" t="e">
        <f t="shared" si="22"/>
        <v>#NUM!</v>
      </c>
      <c r="K267" s="147" t="e">
        <f t="shared" si="19"/>
        <v>#NUM!</v>
      </c>
      <c r="L267" s="147"/>
      <c r="M267" s="149">
        <f t="shared" si="20"/>
        <v>0</v>
      </c>
    </row>
    <row r="268" spans="1:13" x14ac:dyDescent="0.25">
      <c r="A268" s="163"/>
      <c r="G268" s="133"/>
      <c r="H268" s="147">
        <v>263</v>
      </c>
      <c r="I268" s="148" t="str">
        <f t="shared" si="21"/>
        <v/>
      </c>
      <c r="J268" s="147" t="e">
        <f t="shared" si="22"/>
        <v>#NUM!</v>
      </c>
      <c r="K268" s="147" t="e">
        <f t="shared" si="19"/>
        <v>#NUM!</v>
      </c>
      <c r="L268" s="147"/>
      <c r="M268" s="149">
        <f t="shared" si="20"/>
        <v>0</v>
      </c>
    </row>
    <row r="269" spans="1:13" x14ac:dyDescent="0.25">
      <c r="A269" s="163"/>
      <c r="G269" s="133"/>
      <c r="H269" s="147">
        <v>264</v>
      </c>
      <c r="I269" s="148" t="str">
        <f t="shared" si="21"/>
        <v/>
      </c>
      <c r="J269" s="147" t="e">
        <f t="shared" si="22"/>
        <v>#NUM!</v>
      </c>
      <c r="K269" s="147" t="e">
        <f t="shared" si="19"/>
        <v>#NUM!</v>
      </c>
      <c r="L269" s="147"/>
      <c r="M269" s="149">
        <f t="shared" si="20"/>
        <v>0</v>
      </c>
    </row>
    <row r="270" spans="1:13" x14ac:dyDescent="0.25">
      <c r="A270" s="163"/>
      <c r="G270" s="133"/>
      <c r="H270" s="147">
        <v>265</v>
      </c>
      <c r="I270" s="148" t="str">
        <f t="shared" si="21"/>
        <v/>
      </c>
      <c r="J270" s="147" t="e">
        <f t="shared" si="22"/>
        <v>#NUM!</v>
      </c>
      <c r="K270" s="147" t="e">
        <f t="shared" si="19"/>
        <v>#NUM!</v>
      </c>
      <c r="L270" s="147"/>
      <c r="M270" s="149">
        <f t="shared" si="20"/>
        <v>0</v>
      </c>
    </row>
    <row r="271" spans="1:13" x14ac:dyDescent="0.25">
      <c r="A271" s="163"/>
      <c r="G271" s="133"/>
      <c r="H271" s="147">
        <v>266</v>
      </c>
      <c r="I271" s="148" t="str">
        <f t="shared" si="21"/>
        <v/>
      </c>
      <c r="J271" s="147" t="e">
        <f t="shared" si="22"/>
        <v>#NUM!</v>
      </c>
      <c r="K271" s="147" t="e">
        <f t="shared" si="19"/>
        <v>#NUM!</v>
      </c>
      <c r="L271" s="147"/>
      <c r="M271" s="149">
        <f t="shared" si="20"/>
        <v>0</v>
      </c>
    </row>
    <row r="272" spans="1:13" x14ac:dyDescent="0.25">
      <c r="A272" s="163"/>
      <c r="G272" s="133"/>
      <c r="H272" s="147">
        <v>267</v>
      </c>
      <c r="I272" s="148" t="str">
        <f t="shared" si="21"/>
        <v/>
      </c>
      <c r="J272" s="147" t="e">
        <f t="shared" si="22"/>
        <v>#NUM!</v>
      </c>
      <c r="K272" s="147" t="e">
        <f t="shared" si="19"/>
        <v>#NUM!</v>
      </c>
      <c r="L272" s="147"/>
      <c r="M272" s="149">
        <f t="shared" si="20"/>
        <v>0</v>
      </c>
    </row>
    <row r="273" spans="1:13" x14ac:dyDescent="0.25">
      <c r="A273" s="163"/>
      <c r="G273" s="133"/>
      <c r="H273" s="147">
        <v>268</v>
      </c>
      <c r="I273" s="148" t="str">
        <f t="shared" si="21"/>
        <v/>
      </c>
      <c r="J273" s="147" t="e">
        <f t="shared" si="22"/>
        <v>#NUM!</v>
      </c>
      <c r="K273" s="147" t="e">
        <f t="shared" si="19"/>
        <v>#NUM!</v>
      </c>
      <c r="L273" s="147"/>
      <c r="M273" s="149">
        <f t="shared" si="20"/>
        <v>0</v>
      </c>
    </row>
    <row r="274" spans="1:13" x14ac:dyDescent="0.25">
      <c r="A274" s="163"/>
      <c r="G274" s="133"/>
      <c r="H274" s="147">
        <v>269</v>
      </c>
      <c r="I274" s="148" t="str">
        <f t="shared" si="21"/>
        <v/>
      </c>
      <c r="J274" s="147" t="e">
        <f t="shared" si="22"/>
        <v>#NUM!</v>
      </c>
      <c r="K274" s="147" t="e">
        <f t="shared" si="19"/>
        <v>#NUM!</v>
      </c>
      <c r="L274" s="147"/>
      <c r="M274" s="149">
        <f t="shared" si="20"/>
        <v>0</v>
      </c>
    </row>
    <row r="275" spans="1:13" x14ac:dyDescent="0.25">
      <c r="A275" s="163"/>
      <c r="G275" s="133"/>
      <c r="H275" s="147">
        <v>270</v>
      </c>
      <c r="I275" s="148" t="str">
        <f t="shared" si="21"/>
        <v/>
      </c>
      <c r="J275" s="147" t="e">
        <f t="shared" si="22"/>
        <v>#NUM!</v>
      </c>
      <c r="K275" s="147" t="e">
        <f t="shared" si="19"/>
        <v>#NUM!</v>
      </c>
      <c r="L275" s="147"/>
      <c r="M275" s="149">
        <f t="shared" si="20"/>
        <v>0</v>
      </c>
    </row>
    <row r="276" spans="1:13" x14ac:dyDescent="0.25">
      <c r="A276" s="163"/>
      <c r="G276" s="133"/>
      <c r="H276" s="147">
        <v>271</v>
      </c>
      <c r="I276" s="148" t="str">
        <f t="shared" si="21"/>
        <v/>
      </c>
      <c r="J276" s="147" t="e">
        <f t="shared" si="22"/>
        <v>#NUM!</v>
      </c>
      <c r="K276" s="147" t="e">
        <f t="shared" si="19"/>
        <v>#NUM!</v>
      </c>
      <c r="L276" s="147"/>
      <c r="M276" s="149">
        <f t="shared" si="20"/>
        <v>0</v>
      </c>
    </row>
    <row r="277" spans="1:13" x14ac:dyDescent="0.25">
      <c r="A277" s="163"/>
      <c r="G277" s="133"/>
      <c r="H277" s="147">
        <v>272</v>
      </c>
      <c r="I277" s="148" t="str">
        <f t="shared" si="21"/>
        <v/>
      </c>
      <c r="J277" s="147" t="e">
        <f t="shared" si="22"/>
        <v>#NUM!</v>
      </c>
      <c r="K277" s="147" t="e">
        <f t="shared" si="19"/>
        <v>#NUM!</v>
      </c>
      <c r="L277" s="147"/>
      <c r="M277" s="149">
        <f t="shared" si="20"/>
        <v>0</v>
      </c>
    </row>
    <row r="278" spans="1:13" x14ac:dyDescent="0.25">
      <c r="A278" s="163"/>
      <c r="G278" s="133"/>
      <c r="H278" s="147">
        <v>273</v>
      </c>
      <c r="I278" s="148" t="str">
        <f t="shared" si="21"/>
        <v/>
      </c>
      <c r="J278" s="147" t="e">
        <f t="shared" si="22"/>
        <v>#NUM!</v>
      </c>
      <c r="K278" s="147" t="e">
        <f t="shared" si="19"/>
        <v>#NUM!</v>
      </c>
      <c r="L278" s="147"/>
      <c r="M278" s="149">
        <f t="shared" si="20"/>
        <v>0</v>
      </c>
    </row>
    <row r="279" spans="1:13" x14ac:dyDescent="0.25">
      <c r="A279" s="163"/>
      <c r="G279" s="133"/>
      <c r="H279" s="147">
        <v>274</v>
      </c>
      <c r="I279" s="148" t="str">
        <f t="shared" si="21"/>
        <v/>
      </c>
      <c r="J279" s="147" t="e">
        <f t="shared" si="22"/>
        <v>#NUM!</v>
      </c>
      <c r="K279" s="147" t="e">
        <f t="shared" si="19"/>
        <v>#NUM!</v>
      </c>
      <c r="L279" s="147"/>
      <c r="M279" s="149">
        <f t="shared" si="20"/>
        <v>0</v>
      </c>
    </row>
    <row r="280" spans="1:13" x14ac:dyDescent="0.25">
      <c r="A280" s="163"/>
      <c r="G280" s="133"/>
      <c r="H280" s="147">
        <v>275</v>
      </c>
      <c r="I280" s="148" t="str">
        <f t="shared" si="21"/>
        <v/>
      </c>
      <c r="J280" s="147" t="e">
        <f t="shared" si="22"/>
        <v>#NUM!</v>
      </c>
      <c r="K280" s="147" t="e">
        <f t="shared" si="19"/>
        <v>#NUM!</v>
      </c>
      <c r="L280" s="147"/>
      <c r="M280" s="149">
        <f t="shared" si="20"/>
        <v>0</v>
      </c>
    </row>
    <row r="281" spans="1:13" x14ac:dyDescent="0.25">
      <c r="A281" s="163"/>
      <c r="G281" s="133"/>
      <c r="H281" s="147">
        <v>276</v>
      </c>
      <c r="I281" s="148" t="str">
        <f t="shared" si="21"/>
        <v/>
      </c>
      <c r="J281" s="147" t="e">
        <f t="shared" si="22"/>
        <v>#NUM!</v>
      </c>
      <c r="K281" s="147" t="e">
        <f t="shared" si="19"/>
        <v>#NUM!</v>
      </c>
      <c r="L281" s="147"/>
      <c r="M281" s="149">
        <f t="shared" si="20"/>
        <v>0</v>
      </c>
    </row>
    <row r="282" spans="1:13" x14ac:dyDescent="0.25">
      <c r="A282" s="163"/>
      <c r="G282" s="133"/>
      <c r="H282" s="147">
        <v>277</v>
      </c>
      <c r="I282" s="148" t="str">
        <f t="shared" si="21"/>
        <v/>
      </c>
      <c r="J282" s="147" t="e">
        <f t="shared" si="22"/>
        <v>#NUM!</v>
      </c>
      <c r="K282" s="147" t="e">
        <f t="shared" si="19"/>
        <v>#NUM!</v>
      </c>
      <c r="L282" s="147"/>
      <c r="M282" s="149">
        <f t="shared" si="20"/>
        <v>0</v>
      </c>
    </row>
    <row r="283" spans="1:13" x14ac:dyDescent="0.25">
      <c r="A283" s="163"/>
      <c r="G283" s="133"/>
      <c r="H283" s="147">
        <v>278</v>
      </c>
      <c r="I283" s="148" t="str">
        <f t="shared" si="21"/>
        <v/>
      </c>
      <c r="J283" s="147" t="e">
        <f t="shared" si="22"/>
        <v>#NUM!</v>
      </c>
      <c r="K283" s="147" t="e">
        <f t="shared" si="19"/>
        <v>#NUM!</v>
      </c>
      <c r="L283" s="147"/>
      <c r="M283" s="149">
        <f t="shared" si="20"/>
        <v>0</v>
      </c>
    </row>
    <row r="284" spans="1:13" x14ac:dyDescent="0.25">
      <c r="A284" s="163"/>
      <c r="G284" s="133"/>
      <c r="H284" s="147">
        <v>279</v>
      </c>
      <c r="I284" s="148" t="str">
        <f t="shared" si="21"/>
        <v/>
      </c>
      <c r="J284" s="147" t="e">
        <f t="shared" si="22"/>
        <v>#NUM!</v>
      </c>
      <c r="K284" s="147" t="e">
        <f t="shared" si="19"/>
        <v>#NUM!</v>
      </c>
      <c r="L284" s="147"/>
      <c r="M284" s="149">
        <f t="shared" si="20"/>
        <v>0</v>
      </c>
    </row>
    <row r="285" spans="1:13" x14ac:dyDescent="0.25">
      <c r="A285" s="163"/>
      <c r="G285" s="133"/>
      <c r="H285" s="147">
        <v>280</v>
      </c>
      <c r="I285" s="148" t="str">
        <f t="shared" si="21"/>
        <v/>
      </c>
      <c r="J285" s="147" t="e">
        <f t="shared" si="22"/>
        <v>#NUM!</v>
      </c>
      <c r="K285" s="147" t="e">
        <f t="shared" si="19"/>
        <v>#NUM!</v>
      </c>
      <c r="L285" s="147"/>
      <c r="M285" s="149">
        <f t="shared" si="20"/>
        <v>0</v>
      </c>
    </row>
    <row r="286" spans="1:13" x14ac:dyDescent="0.25">
      <c r="A286" s="163"/>
      <c r="G286" s="133"/>
      <c r="H286" s="147">
        <v>281</v>
      </c>
      <c r="I286" s="148" t="str">
        <f t="shared" si="21"/>
        <v/>
      </c>
      <c r="J286" s="147" t="e">
        <f t="shared" si="22"/>
        <v>#NUM!</v>
      </c>
      <c r="K286" s="147" t="e">
        <f t="shared" si="19"/>
        <v>#NUM!</v>
      </c>
      <c r="L286" s="147"/>
      <c r="M286" s="149">
        <f t="shared" si="20"/>
        <v>0</v>
      </c>
    </row>
    <row r="287" spans="1:13" x14ac:dyDescent="0.25">
      <c r="A287" s="163"/>
      <c r="G287" s="133"/>
      <c r="H287" s="147">
        <v>282</v>
      </c>
      <c r="I287" s="148" t="str">
        <f t="shared" si="21"/>
        <v/>
      </c>
      <c r="J287" s="147" t="e">
        <f t="shared" si="22"/>
        <v>#NUM!</v>
      </c>
      <c r="K287" s="147" t="e">
        <f t="shared" si="19"/>
        <v>#NUM!</v>
      </c>
      <c r="L287" s="147"/>
      <c r="M287" s="149">
        <f t="shared" si="20"/>
        <v>0</v>
      </c>
    </row>
    <row r="288" spans="1:13" x14ac:dyDescent="0.25">
      <c r="A288" s="163"/>
      <c r="G288" s="133"/>
      <c r="H288" s="147">
        <v>283</v>
      </c>
      <c r="I288" s="148" t="str">
        <f t="shared" si="21"/>
        <v/>
      </c>
      <c r="J288" s="147" t="e">
        <f t="shared" si="22"/>
        <v>#NUM!</v>
      </c>
      <c r="K288" s="147" t="e">
        <f t="shared" si="19"/>
        <v>#NUM!</v>
      </c>
      <c r="L288" s="147"/>
      <c r="M288" s="149">
        <f t="shared" si="20"/>
        <v>0</v>
      </c>
    </row>
    <row r="289" spans="1:13" x14ac:dyDescent="0.25">
      <c r="A289" s="163"/>
      <c r="G289" s="133"/>
      <c r="H289" s="147">
        <v>284</v>
      </c>
      <c r="I289" s="148" t="str">
        <f t="shared" si="21"/>
        <v/>
      </c>
      <c r="J289" s="147" t="e">
        <f t="shared" si="22"/>
        <v>#NUM!</v>
      </c>
      <c r="K289" s="147" t="e">
        <f t="shared" si="19"/>
        <v>#NUM!</v>
      </c>
      <c r="L289" s="147"/>
      <c r="M289" s="149">
        <f t="shared" si="20"/>
        <v>0</v>
      </c>
    </row>
    <row r="290" spans="1:13" x14ac:dyDescent="0.25">
      <c r="A290" s="163"/>
      <c r="G290" s="133"/>
      <c r="H290" s="147">
        <v>285</v>
      </c>
      <c r="I290" s="148" t="str">
        <f t="shared" si="21"/>
        <v/>
      </c>
      <c r="J290" s="147" t="e">
        <f t="shared" si="22"/>
        <v>#NUM!</v>
      </c>
      <c r="K290" s="147" t="e">
        <f t="shared" si="19"/>
        <v>#NUM!</v>
      </c>
      <c r="L290" s="147"/>
      <c r="M290" s="149">
        <f t="shared" si="20"/>
        <v>0</v>
      </c>
    </row>
    <row r="291" spans="1:13" x14ac:dyDescent="0.25">
      <c r="A291" s="163"/>
      <c r="G291" s="133"/>
      <c r="H291" s="147">
        <v>286</v>
      </c>
      <c r="I291" s="148" t="str">
        <f t="shared" si="21"/>
        <v/>
      </c>
      <c r="J291" s="147" t="e">
        <f t="shared" si="22"/>
        <v>#NUM!</v>
      </c>
      <c r="K291" s="147" t="e">
        <f t="shared" si="19"/>
        <v>#NUM!</v>
      </c>
      <c r="L291" s="147"/>
      <c r="M291" s="149">
        <f t="shared" si="20"/>
        <v>0</v>
      </c>
    </row>
    <row r="292" spans="1:13" x14ac:dyDescent="0.25">
      <c r="A292" s="163"/>
      <c r="G292" s="133"/>
      <c r="H292" s="147">
        <v>287</v>
      </c>
      <c r="I292" s="148" t="str">
        <f t="shared" si="21"/>
        <v/>
      </c>
      <c r="J292" s="147" t="e">
        <f t="shared" si="22"/>
        <v>#NUM!</v>
      </c>
      <c r="K292" s="147" t="e">
        <f t="shared" si="19"/>
        <v>#NUM!</v>
      </c>
      <c r="L292" s="147"/>
      <c r="M292" s="149">
        <f t="shared" si="20"/>
        <v>0</v>
      </c>
    </row>
    <row r="293" spans="1:13" x14ac:dyDescent="0.25">
      <c r="A293" s="163"/>
      <c r="G293" s="133"/>
      <c r="H293" s="147">
        <v>288</v>
      </c>
      <c r="I293" s="148" t="str">
        <f t="shared" si="21"/>
        <v/>
      </c>
      <c r="J293" s="147" t="e">
        <f t="shared" si="22"/>
        <v>#NUM!</v>
      </c>
      <c r="K293" s="147" t="e">
        <f t="shared" si="19"/>
        <v>#NUM!</v>
      </c>
      <c r="L293" s="147"/>
      <c r="M293" s="149">
        <f t="shared" si="20"/>
        <v>0</v>
      </c>
    </row>
    <row r="294" spans="1:13" x14ac:dyDescent="0.25">
      <c r="A294" s="163"/>
      <c r="G294" s="133"/>
      <c r="H294" s="147">
        <v>289</v>
      </c>
      <c r="I294" s="148" t="str">
        <f t="shared" si="21"/>
        <v/>
      </c>
      <c r="J294" s="147" t="e">
        <f t="shared" si="22"/>
        <v>#NUM!</v>
      </c>
      <c r="K294" s="147" t="e">
        <f t="shared" si="19"/>
        <v>#NUM!</v>
      </c>
      <c r="L294" s="147"/>
      <c r="M294" s="149">
        <f t="shared" si="20"/>
        <v>0</v>
      </c>
    </row>
    <row r="295" spans="1:13" x14ac:dyDescent="0.25">
      <c r="A295" s="163"/>
      <c r="G295" s="133"/>
      <c r="H295" s="147">
        <v>290</v>
      </c>
      <c r="I295" s="148" t="str">
        <f t="shared" si="21"/>
        <v/>
      </c>
      <c r="J295" s="147" t="e">
        <f t="shared" si="22"/>
        <v>#NUM!</v>
      </c>
      <c r="K295" s="147" t="e">
        <f t="shared" si="19"/>
        <v>#NUM!</v>
      </c>
      <c r="L295" s="147"/>
      <c r="M295" s="149">
        <f t="shared" si="20"/>
        <v>0</v>
      </c>
    </row>
    <row r="296" spans="1:13" x14ac:dyDescent="0.25">
      <c r="A296" s="163"/>
      <c r="G296" s="133"/>
      <c r="H296" s="147">
        <v>291</v>
      </c>
      <c r="I296" s="148" t="str">
        <f t="shared" si="21"/>
        <v/>
      </c>
      <c r="J296" s="147" t="e">
        <f t="shared" si="22"/>
        <v>#NUM!</v>
      </c>
      <c r="K296" s="147" t="e">
        <f t="shared" si="19"/>
        <v>#NUM!</v>
      </c>
      <c r="L296" s="147"/>
      <c r="M296" s="149">
        <f t="shared" si="20"/>
        <v>0</v>
      </c>
    </row>
    <row r="297" spans="1:13" x14ac:dyDescent="0.25">
      <c r="A297" s="163"/>
      <c r="G297" s="133"/>
      <c r="H297" s="147">
        <v>292</v>
      </c>
      <c r="I297" s="148" t="str">
        <f t="shared" si="21"/>
        <v/>
      </c>
      <c r="J297" s="147" t="e">
        <f t="shared" si="22"/>
        <v>#NUM!</v>
      </c>
      <c r="K297" s="147" t="e">
        <f t="shared" si="19"/>
        <v>#NUM!</v>
      </c>
      <c r="L297" s="147"/>
      <c r="M297" s="149">
        <f t="shared" si="20"/>
        <v>0</v>
      </c>
    </row>
    <row r="298" spans="1:13" x14ac:dyDescent="0.25">
      <c r="A298" s="163"/>
      <c r="G298" s="133"/>
      <c r="H298" s="147">
        <v>293</v>
      </c>
      <c r="I298" s="148" t="str">
        <f t="shared" si="21"/>
        <v/>
      </c>
      <c r="J298" s="147" t="e">
        <f t="shared" si="22"/>
        <v>#NUM!</v>
      </c>
      <c r="K298" s="147" t="e">
        <f t="shared" si="19"/>
        <v>#NUM!</v>
      </c>
      <c r="L298" s="147"/>
      <c r="M298" s="149">
        <f t="shared" si="20"/>
        <v>0</v>
      </c>
    </row>
    <row r="299" spans="1:13" x14ac:dyDescent="0.25">
      <c r="A299" s="163"/>
      <c r="G299" s="133"/>
      <c r="H299" s="147">
        <v>294</v>
      </c>
      <c r="I299" s="148" t="str">
        <f t="shared" si="21"/>
        <v/>
      </c>
      <c r="J299" s="147" t="e">
        <f t="shared" si="22"/>
        <v>#NUM!</v>
      </c>
      <c r="K299" s="147" t="e">
        <f t="shared" si="19"/>
        <v>#NUM!</v>
      </c>
      <c r="L299" s="147"/>
      <c r="M299" s="149">
        <f t="shared" si="20"/>
        <v>0</v>
      </c>
    </row>
    <row r="300" spans="1:13" x14ac:dyDescent="0.25">
      <c r="A300" s="163"/>
      <c r="G300" s="133"/>
      <c r="H300" s="147">
        <v>295</v>
      </c>
      <c r="I300" s="148" t="str">
        <f t="shared" si="21"/>
        <v/>
      </c>
      <c r="J300" s="147" t="e">
        <f t="shared" si="22"/>
        <v>#NUM!</v>
      </c>
      <c r="K300" s="147" t="e">
        <f t="shared" si="19"/>
        <v>#NUM!</v>
      </c>
      <c r="L300" s="147"/>
      <c r="M300" s="149">
        <f t="shared" si="20"/>
        <v>0</v>
      </c>
    </row>
    <row r="301" spans="1:13" x14ac:dyDescent="0.25">
      <c r="A301" s="163"/>
      <c r="G301" s="133"/>
      <c r="H301" s="147">
        <v>296</v>
      </c>
      <c r="I301" s="148" t="str">
        <f t="shared" si="21"/>
        <v/>
      </c>
      <c r="J301" s="147" t="e">
        <f t="shared" si="22"/>
        <v>#NUM!</v>
      </c>
      <c r="K301" s="147" t="e">
        <f t="shared" si="19"/>
        <v>#NUM!</v>
      </c>
      <c r="L301" s="147"/>
      <c r="M301" s="149">
        <f t="shared" si="20"/>
        <v>0</v>
      </c>
    </row>
    <row r="302" spans="1:13" x14ac:dyDescent="0.25">
      <c r="A302" s="163"/>
      <c r="G302" s="133"/>
      <c r="H302" s="147">
        <v>297</v>
      </c>
      <c r="I302" s="148" t="str">
        <f t="shared" si="21"/>
        <v/>
      </c>
      <c r="J302" s="147" t="e">
        <f t="shared" si="22"/>
        <v>#NUM!</v>
      </c>
      <c r="K302" s="147" t="e">
        <f t="shared" si="19"/>
        <v>#NUM!</v>
      </c>
      <c r="L302" s="147"/>
      <c r="M302" s="149">
        <f t="shared" si="20"/>
        <v>0</v>
      </c>
    </row>
    <row r="303" spans="1:13" x14ac:dyDescent="0.25">
      <c r="A303" s="163"/>
      <c r="G303" s="133"/>
      <c r="H303" s="147">
        <v>298</v>
      </c>
      <c r="I303" s="148" t="str">
        <f t="shared" si="21"/>
        <v/>
      </c>
      <c r="J303" s="147" t="e">
        <f t="shared" si="22"/>
        <v>#NUM!</v>
      </c>
      <c r="K303" s="147" t="e">
        <f t="shared" si="19"/>
        <v>#NUM!</v>
      </c>
      <c r="L303" s="147"/>
      <c r="M303" s="149">
        <f t="shared" si="20"/>
        <v>0</v>
      </c>
    </row>
    <row r="304" spans="1:13" x14ac:dyDescent="0.25">
      <c r="A304" s="163"/>
      <c r="G304" s="133"/>
      <c r="H304" s="147">
        <v>299</v>
      </c>
      <c r="I304" s="148" t="str">
        <f t="shared" si="21"/>
        <v/>
      </c>
      <c r="J304" s="147" t="e">
        <f t="shared" si="22"/>
        <v>#NUM!</v>
      </c>
      <c r="K304" s="147" t="e">
        <f t="shared" si="19"/>
        <v>#NUM!</v>
      </c>
      <c r="L304" s="147"/>
      <c r="M304" s="149">
        <f t="shared" si="20"/>
        <v>0</v>
      </c>
    </row>
    <row r="305" spans="1:16" x14ac:dyDescent="0.25">
      <c r="A305" s="163"/>
      <c r="G305" s="133"/>
      <c r="H305" s="147">
        <v>300</v>
      </c>
      <c r="I305" s="148" t="str">
        <f t="shared" si="21"/>
        <v/>
      </c>
      <c r="J305" s="147" t="e">
        <f t="shared" si="22"/>
        <v>#NUM!</v>
      </c>
      <c r="K305" s="147" t="e">
        <f t="shared" si="19"/>
        <v>#NUM!</v>
      </c>
      <c r="L305" s="147"/>
      <c r="M305" s="149">
        <f t="shared" si="20"/>
        <v>0</v>
      </c>
    </row>
    <row r="306" spans="1:16" x14ac:dyDescent="0.25">
      <c r="A306" s="165"/>
    </row>
    <row r="314" spans="1:16" x14ac:dyDescent="0.25">
      <c r="L314" s="168"/>
      <c r="P314" s="158"/>
    </row>
    <row r="315" spans="1:16" x14ac:dyDescent="0.25">
      <c r="L315" s="168"/>
      <c r="P315" s="158"/>
    </row>
    <row r="316" spans="1:16" x14ac:dyDescent="0.25">
      <c r="L316" s="168"/>
      <c r="P316" s="158"/>
    </row>
    <row r="317" spans="1:16" x14ac:dyDescent="0.25">
      <c r="L317" s="168"/>
      <c r="P317" s="158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CFADC13F-A7B3-47E1-BDEB-3BDAAC791040}">
      <formula1>#REF!</formula1>
    </dataValidation>
  </dataValidations>
  <hyperlinks>
    <hyperlink ref="C2:D2" r:id="rId1" location="today" display="TBD" xr:uid="{33A7F9DA-49AA-49D2-8DFF-6CF36FC2297E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2307-4D9F-4AD4-AC02-73173D82A84F}">
  <sheetPr>
    <tabColor rgb="FF92D050"/>
  </sheetPr>
  <dimension ref="A1:AL317"/>
  <sheetViews>
    <sheetView workbookViewId="0">
      <selection activeCell="F16" sqref="F16"/>
    </sheetView>
  </sheetViews>
  <sheetFormatPr defaultColWidth="8.875" defaultRowHeight="14.3" x14ac:dyDescent="0.25"/>
  <cols>
    <col min="1" max="1" width="8" style="164" customWidth="1"/>
    <col min="2" max="2" width="8.25" style="164" customWidth="1"/>
    <col min="3" max="3" width="34.75" style="164" customWidth="1"/>
    <col min="4" max="4" width="11.25" style="164" customWidth="1"/>
    <col min="5" max="6" width="8.875" style="164"/>
    <col min="7" max="7" width="0.875" style="164" customWidth="1"/>
    <col min="8" max="8" width="8.875" style="166"/>
    <col min="9" max="9" width="11" style="166" customWidth="1"/>
    <col min="10" max="10" width="15.25" style="166" customWidth="1"/>
    <col min="11" max="11" width="8.75" style="166" customWidth="1"/>
    <col min="12" max="12" width="11" style="166" customWidth="1"/>
    <col min="13" max="13" width="11.75" style="167" customWidth="1"/>
    <col min="14" max="15" width="13.875" style="133" customWidth="1"/>
    <col min="16" max="18" width="8.875" style="133"/>
    <col min="19" max="20" width="8.875" style="138"/>
    <col min="21" max="21" width="12.125" style="138" customWidth="1"/>
    <col min="22" max="22" width="27.375" style="138" customWidth="1"/>
    <col min="23" max="38" width="8.875" style="138"/>
    <col min="39" max="16384" width="8.875" style="164"/>
  </cols>
  <sheetData>
    <row r="1" spans="1:36" x14ac:dyDescent="0.25">
      <c r="A1" s="133"/>
      <c r="B1" s="133"/>
      <c r="C1" s="133"/>
      <c r="D1" s="133"/>
      <c r="E1" s="133"/>
      <c r="F1" s="133"/>
      <c r="G1" s="133"/>
      <c r="H1" s="134" t="s">
        <v>22</v>
      </c>
      <c r="I1" s="135" t="s">
        <v>23</v>
      </c>
      <c r="J1" s="135" t="s">
        <v>24</v>
      </c>
      <c r="K1" s="136" t="s">
        <v>25</v>
      </c>
      <c r="L1" s="137"/>
      <c r="M1" s="137"/>
    </row>
    <row r="2" spans="1:36" ht="14.45" customHeight="1" x14ac:dyDescent="0.25">
      <c r="A2" s="133"/>
      <c r="B2" s="22" t="s">
        <v>26</v>
      </c>
      <c r="C2" s="268" t="s">
        <v>52</v>
      </c>
      <c r="D2" s="268"/>
      <c r="E2" s="23"/>
      <c r="F2" s="23"/>
      <c r="G2" s="23"/>
      <c r="H2" s="139">
        <v>0</v>
      </c>
      <c r="I2" s="140">
        <v>50</v>
      </c>
      <c r="J2" s="140">
        <v>10</v>
      </c>
      <c r="K2" s="141">
        <f>3*H2^(1/3)</f>
        <v>0</v>
      </c>
      <c r="L2" s="137"/>
      <c r="M2" s="137"/>
    </row>
    <row r="3" spans="1:36" ht="14.45" customHeight="1" x14ac:dyDescent="0.25">
      <c r="A3" s="133"/>
      <c r="B3" s="142" t="s">
        <v>28</v>
      </c>
      <c r="C3" s="291">
        <v>45466</v>
      </c>
      <c r="D3" s="290"/>
      <c r="E3" s="28"/>
      <c r="F3" s="28"/>
      <c r="G3" s="28"/>
      <c r="H3" s="137"/>
      <c r="I3" s="137"/>
      <c r="J3" s="143"/>
      <c r="K3" s="137"/>
      <c r="L3" s="137"/>
      <c r="M3" s="137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37"/>
      <c r="I4" s="137"/>
      <c r="J4" s="143"/>
      <c r="K4" s="137"/>
      <c r="L4" s="137"/>
      <c r="M4" s="137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44" t="s">
        <v>36</v>
      </c>
      <c r="I5" s="145" t="s">
        <v>37</v>
      </c>
      <c r="J5" s="146" t="s">
        <v>38</v>
      </c>
      <c r="K5" s="145" t="s">
        <v>39</v>
      </c>
      <c r="L5" s="145" t="s">
        <v>40</v>
      </c>
      <c r="M5" s="144" t="s">
        <v>41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147">
        <v>1</v>
      </c>
      <c r="I6" s="148" t="str">
        <f>IF(H2=1,50,IF(H6&lt;$H$2+1,($I$2-($I$2-1)*(LOG(H6)/LOG($H$2))),""))</f>
        <v/>
      </c>
      <c r="J6" s="147" t="e">
        <f>INT(LOG($H$2,2))-ROUNDUP(LOG(H6,2),0)+IF(OR($H$2=1,$H$2=2,$H$2=4,$H$2=8,$H$2=16,$H$2=32,$H$2=64,$H$2=128,$H$2=256),0,1)</f>
        <v>#NUM!</v>
      </c>
      <c r="K6" s="147" t="e">
        <f t="shared" ref="K6:K69" si="1">J6*$J$2</f>
        <v>#NUM!</v>
      </c>
      <c r="L6" s="149">
        <f>3*K2</f>
        <v>0</v>
      </c>
      <c r="M6" s="149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150">
        <v>2</v>
      </c>
      <c r="I7" s="151" t="str">
        <f t="shared" ref="I7:I70" si="4">IF(H7&lt;$H$2+1,($I$2-($I$2-1)*(LOG(H7)/LOG($H$2))),"")</f>
        <v/>
      </c>
      <c r="J7" s="150" t="e">
        <f t="shared" ref="J7:J70" si="5">INT(LOG($H$2,2))-ROUNDUP(LOG(H7,2),0)+IF(OR($H$2=1,$H$2=2,$H$2=4,$H$2=8,$H$2=16,$H$2=32,$H$2=64,$H$2=128,$H$2=256),0,1)</f>
        <v>#NUM!</v>
      </c>
      <c r="K7" s="150" t="e">
        <f t="shared" si="1"/>
        <v>#NUM!</v>
      </c>
      <c r="L7" s="152">
        <f>2*K2</f>
        <v>0</v>
      </c>
      <c r="M7" s="152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47">
        <v>3</v>
      </c>
      <c r="I8" s="148" t="str">
        <f t="shared" si="4"/>
        <v/>
      </c>
      <c r="J8" s="147" t="e">
        <f t="shared" si="5"/>
        <v>#NUM!</v>
      </c>
      <c r="K8" s="147" t="e">
        <f t="shared" si="1"/>
        <v>#NUM!</v>
      </c>
      <c r="L8" s="149">
        <f>K2</f>
        <v>0</v>
      </c>
      <c r="M8" s="149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50">
        <v>4</v>
      </c>
      <c r="I9" s="151" t="str">
        <f t="shared" si="4"/>
        <v/>
      </c>
      <c r="J9" s="150" t="e">
        <f t="shared" si="5"/>
        <v>#NUM!</v>
      </c>
      <c r="K9" s="150" t="e">
        <f t="shared" si="1"/>
        <v>#NUM!</v>
      </c>
      <c r="L9" s="152"/>
      <c r="M9" s="152">
        <f t="shared" si="2"/>
        <v>0</v>
      </c>
      <c r="V9" s="153"/>
      <c r="Z9" s="154"/>
      <c r="AA9" s="154"/>
      <c r="AG9" s="155"/>
      <c r="AH9" s="138" t="s">
        <v>42</v>
      </c>
      <c r="AI9" s="138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47">
        <v>5</v>
      </c>
      <c r="I10" s="148" t="str">
        <f t="shared" si="4"/>
        <v/>
      </c>
      <c r="J10" s="147" t="e">
        <f t="shared" si="5"/>
        <v>#NUM!</v>
      </c>
      <c r="K10" s="147" t="e">
        <f t="shared" si="1"/>
        <v>#NUM!</v>
      </c>
      <c r="L10" s="147"/>
      <c r="M10" s="149">
        <f t="shared" si="2"/>
        <v>0</v>
      </c>
      <c r="V10" s="153"/>
      <c r="Z10" s="154"/>
      <c r="AA10" s="154"/>
      <c r="AG10" s="155"/>
      <c r="AH10" s="138" t="s">
        <v>43</v>
      </c>
      <c r="AI10" s="138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50">
        <v>6</v>
      </c>
      <c r="I11" s="151" t="str">
        <f t="shared" si="4"/>
        <v/>
      </c>
      <c r="J11" s="150" t="e">
        <f t="shared" si="5"/>
        <v>#NUM!</v>
      </c>
      <c r="K11" s="150" t="e">
        <f t="shared" si="1"/>
        <v>#NUM!</v>
      </c>
      <c r="L11" s="150"/>
      <c r="M11" s="152">
        <f t="shared" si="2"/>
        <v>0</v>
      </c>
      <c r="V11" s="156"/>
      <c r="Z11" s="154"/>
      <c r="AA11" s="154"/>
      <c r="AG11" s="155"/>
      <c r="AH11" s="138" t="s">
        <v>44</v>
      </c>
      <c r="AI11" s="138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47">
        <v>7</v>
      </c>
      <c r="I12" s="148" t="str">
        <f t="shared" si="4"/>
        <v/>
      </c>
      <c r="J12" s="147" t="e">
        <f t="shared" si="5"/>
        <v>#NUM!</v>
      </c>
      <c r="K12" s="147" t="e">
        <f t="shared" si="1"/>
        <v>#NUM!</v>
      </c>
      <c r="L12" s="147"/>
      <c r="M12" s="149">
        <f t="shared" si="2"/>
        <v>0</v>
      </c>
      <c r="Z12" s="154"/>
      <c r="AA12" s="154"/>
      <c r="AG12" s="155"/>
      <c r="AH12" s="138" t="s">
        <v>45</v>
      </c>
      <c r="AI12" s="138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50">
        <v>8</v>
      </c>
      <c r="I13" s="151" t="str">
        <f t="shared" si="4"/>
        <v/>
      </c>
      <c r="J13" s="150" t="e">
        <f t="shared" si="5"/>
        <v>#NUM!</v>
      </c>
      <c r="K13" s="150" t="e">
        <f t="shared" si="1"/>
        <v>#NUM!</v>
      </c>
      <c r="L13" s="150"/>
      <c r="M13" s="152">
        <f t="shared" si="2"/>
        <v>0</v>
      </c>
      <c r="X13" s="153"/>
      <c r="AG13" s="155"/>
      <c r="AH13" s="138" t="s">
        <v>46</v>
      </c>
      <c r="AI13" s="138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47">
        <v>9</v>
      </c>
      <c r="I14" s="148" t="str">
        <f t="shared" si="4"/>
        <v/>
      </c>
      <c r="J14" s="147" t="e">
        <f t="shared" si="5"/>
        <v>#NUM!</v>
      </c>
      <c r="K14" s="147" t="e">
        <f t="shared" si="1"/>
        <v>#NUM!</v>
      </c>
      <c r="L14" s="147"/>
      <c r="M14" s="149">
        <f t="shared" si="2"/>
        <v>0</v>
      </c>
      <c r="X14" s="157"/>
      <c r="Z14" s="154"/>
      <c r="AA14" s="154"/>
      <c r="AG14" s="155"/>
      <c r="AH14" s="138" t="s">
        <v>47</v>
      </c>
      <c r="AI14" s="138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50">
        <v>10</v>
      </c>
      <c r="I15" s="151" t="str">
        <f t="shared" si="4"/>
        <v/>
      </c>
      <c r="J15" s="150" t="e">
        <f t="shared" si="5"/>
        <v>#NUM!</v>
      </c>
      <c r="K15" s="150" t="e">
        <f t="shared" si="1"/>
        <v>#NUM!</v>
      </c>
      <c r="L15" s="150"/>
      <c r="M15" s="152">
        <f t="shared" si="2"/>
        <v>0</v>
      </c>
      <c r="X15" s="153"/>
      <c r="Z15" s="154"/>
      <c r="AA15" s="154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47">
        <v>11</v>
      </c>
      <c r="I16" s="148" t="str">
        <f t="shared" si="4"/>
        <v/>
      </c>
      <c r="J16" s="147" t="e">
        <f t="shared" si="5"/>
        <v>#NUM!</v>
      </c>
      <c r="K16" s="147" t="e">
        <f t="shared" si="1"/>
        <v>#NUM!</v>
      </c>
      <c r="L16" s="147"/>
      <c r="M16" s="149">
        <f t="shared" si="2"/>
        <v>0</v>
      </c>
      <c r="R16" s="158"/>
      <c r="Z16" s="154"/>
      <c r="AA16" s="154"/>
      <c r="AH16" s="159" t="s">
        <v>48</v>
      </c>
      <c r="AI16" s="138">
        <f>AI11-AI12*AI13/AI14</f>
        <v>9.6393909380186855</v>
      </c>
      <c r="AJ16" s="138" t="s">
        <v>49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50">
        <v>12</v>
      </c>
      <c r="I17" s="151" t="str">
        <f t="shared" si="4"/>
        <v/>
      </c>
      <c r="J17" s="150" t="e">
        <f t="shared" si="5"/>
        <v>#NUM!</v>
      </c>
      <c r="K17" s="150" t="e">
        <f t="shared" si="1"/>
        <v>#NUM!</v>
      </c>
      <c r="L17" s="150"/>
      <c r="M17" s="152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47">
        <v>13</v>
      </c>
      <c r="I18" s="148" t="str">
        <f t="shared" si="4"/>
        <v/>
      </c>
      <c r="J18" s="147" t="e">
        <f t="shared" si="5"/>
        <v>#NUM!</v>
      </c>
      <c r="K18" s="147" t="e">
        <f t="shared" si="1"/>
        <v>#NUM!</v>
      </c>
      <c r="L18" s="147"/>
      <c r="M18" s="149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50">
        <v>14</v>
      </c>
      <c r="I19" s="151" t="str">
        <f t="shared" si="4"/>
        <v/>
      </c>
      <c r="J19" s="150" t="e">
        <f t="shared" si="5"/>
        <v>#NUM!</v>
      </c>
      <c r="K19" s="150" t="e">
        <f t="shared" si="1"/>
        <v>#NUM!</v>
      </c>
      <c r="L19" s="150"/>
      <c r="M19" s="152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47">
        <v>15</v>
      </c>
      <c r="I20" s="148" t="str">
        <f t="shared" si="4"/>
        <v/>
      </c>
      <c r="J20" s="147" t="e">
        <f t="shared" si="5"/>
        <v>#NUM!</v>
      </c>
      <c r="K20" s="147" t="e">
        <f t="shared" si="1"/>
        <v>#NUM!</v>
      </c>
      <c r="L20" s="147"/>
      <c r="M20" s="149">
        <f t="shared" si="2"/>
        <v>0</v>
      </c>
      <c r="R20" s="160"/>
      <c r="S20" s="161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50">
        <v>16</v>
      </c>
      <c r="I21" s="151" t="str">
        <f t="shared" si="4"/>
        <v/>
      </c>
      <c r="J21" s="150" t="e">
        <f t="shared" si="5"/>
        <v>#NUM!</v>
      </c>
      <c r="K21" s="150" t="e">
        <f t="shared" si="1"/>
        <v>#NUM!</v>
      </c>
      <c r="L21" s="150"/>
      <c r="M21" s="152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47">
        <v>17</v>
      </c>
      <c r="I22" s="148" t="str">
        <f t="shared" si="4"/>
        <v/>
      </c>
      <c r="J22" s="147" t="e">
        <f t="shared" si="5"/>
        <v>#NUM!</v>
      </c>
      <c r="K22" s="147" t="e">
        <f t="shared" si="1"/>
        <v>#NUM!</v>
      </c>
      <c r="L22" s="147"/>
      <c r="M22" s="149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50">
        <v>18</v>
      </c>
      <c r="I23" s="151" t="str">
        <f t="shared" si="4"/>
        <v/>
      </c>
      <c r="J23" s="150" t="e">
        <f t="shared" si="5"/>
        <v>#NUM!</v>
      </c>
      <c r="K23" s="150" t="e">
        <f t="shared" si="1"/>
        <v>#NUM!</v>
      </c>
      <c r="L23" s="150"/>
      <c r="M23" s="152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47">
        <v>19</v>
      </c>
      <c r="I24" s="148" t="str">
        <f t="shared" si="4"/>
        <v/>
      </c>
      <c r="J24" s="147" t="e">
        <f t="shared" si="5"/>
        <v>#NUM!</v>
      </c>
      <c r="K24" s="147" t="e">
        <f t="shared" si="1"/>
        <v>#NUM!</v>
      </c>
      <c r="L24" s="147"/>
      <c r="M24" s="149">
        <f t="shared" si="2"/>
        <v>0</v>
      </c>
      <c r="R24" s="160"/>
      <c r="S24" s="161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50">
        <v>20</v>
      </c>
      <c r="I25" s="151" t="str">
        <f t="shared" si="4"/>
        <v/>
      </c>
      <c r="J25" s="150" t="e">
        <f t="shared" si="5"/>
        <v>#NUM!</v>
      </c>
      <c r="K25" s="150" t="e">
        <f t="shared" si="1"/>
        <v>#NUM!</v>
      </c>
      <c r="L25" s="150"/>
      <c r="M25" s="152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47">
        <v>21</v>
      </c>
      <c r="I26" s="148" t="str">
        <f t="shared" si="4"/>
        <v/>
      </c>
      <c r="J26" s="147" t="e">
        <f t="shared" si="5"/>
        <v>#NUM!</v>
      </c>
      <c r="K26" s="147" t="e">
        <f t="shared" si="1"/>
        <v>#NUM!</v>
      </c>
      <c r="L26" s="147"/>
      <c r="M26" s="149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50">
        <v>22</v>
      </c>
      <c r="I27" s="151" t="str">
        <f t="shared" si="4"/>
        <v/>
      </c>
      <c r="J27" s="150" t="e">
        <f t="shared" si="5"/>
        <v>#NUM!</v>
      </c>
      <c r="K27" s="150" t="e">
        <f t="shared" si="1"/>
        <v>#NUM!</v>
      </c>
      <c r="L27" s="150"/>
      <c r="M27" s="152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47">
        <v>23</v>
      </c>
      <c r="I28" s="148" t="str">
        <f t="shared" si="4"/>
        <v/>
      </c>
      <c r="J28" s="147" t="e">
        <f t="shared" si="5"/>
        <v>#NUM!</v>
      </c>
      <c r="K28" s="147" t="e">
        <f t="shared" si="1"/>
        <v>#NUM!</v>
      </c>
      <c r="L28" s="147"/>
      <c r="M28" s="149">
        <f t="shared" si="2"/>
        <v>0</v>
      </c>
      <c r="R28" s="160"/>
      <c r="S28" s="161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33"/>
      <c r="H29" s="150">
        <v>24</v>
      </c>
      <c r="I29" s="151" t="str">
        <f t="shared" si="4"/>
        <v/>
      </c>
      <c r="J29" s="150" t="e">
        <f t="shared" si="5"/>
        <v>#NUM!</v>
      </c>
      <c r="K29" s="150" t="e">
        <f t="shared" si="1"/>
        <v>#NUM!</v>
      </c>
      <c r="L29" s="150"/>
      <c r="M29" s="152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33"/>
      <c r="H30" s="147">
        <v>25</v>
      </c>
      <c r="I30" s="148" t="str">
        <f t="shared" si="4"/>
        <v/>
      </c>
      <c r="J30" s="147" t="e">
        <f t="shared" si="5"/>
        <v>#NUM!</v>
      </c>
      <c r="K30" s="147" t="e">
        <f t="shared" si="1"/>
        <v>#NUM!</v>
      </c>
      <c r="L30" s="147"/>
      <c r="M30" s="149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33"/>
      <c r="H31" s="150">
        <v>26</v>
      </c>
      <c r="I31" s="151" t="str">
        <f t="shared" si="4"/>
        <v/>
      </c>
      <c r="J31" s="150" t="e">
        <f t="shared" si="5"/>
        <v>#NUM!</v>
      </c>
      <c r="K31" s="150" t="e">
        <f t="shared" si="1"/>
        <v>#NUM!</v>
      </c>
      <c r="L31" s="150"/>
      <c r="M31" s="152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33"/>
      <c r="H32" s="147">
        <v>27</v>
      </c>
      <c r="I32" s="148" t="str">
        <f t="shared" si="4"/>
        <v/>
      </c>
      <c r="J32" s="147" t="e">
        <f t="shared" si="5"/>
        <v>#NUM!</v>
      </c>
      <c r="K32" s="147" t="e">
        <f t="shared" si="1"/>
        <v>#NUM!</v>
      </c>
      <c r="L32" s="147"/>
      <c r="M32" s="149">
        <f t="shared" si="2"/>
        <v>0</v>
      </c>
      <c r="R32" s="160"/>
      <c r="S32" s="161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33"/>
      <c r="H33" s="150">
        <v>28</v>
      </c>
      <c r="I33" s="151" t="str">
        <f t="shared" si="4"/>
        <v/>
      </c>
      <c r="J33" s="150" t="e">
        <f t="shared" si="5"/>
        <v>#NUM!</v>
      </c>
      <c r="K33" s="150" t="e">
        <f t="shared" si="1"/>
        <v>#NUM!</v>
      </c>
      <c r="L33" s="150"/>
      <c r="M33" s="152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33"/>
      <c r="H34" s="147">
        <v>29</v>
      </c>
      <c r="I34" s="148" t="str">
        <f t="shared" si="4"/>
        <v/>
      </c>
      <c r="J34" s="147" t="e">
        <f t="shared" si="5"/>
        <v>#NUM!</v>
      </c>
      <c r="K34" s="147" t="e">
        <f t="shared" si="1"/>
        <v>#NUM!</v>
      </c>
      <c r="L34" s="147"/>
      <c r="M34" s="149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33"/>
      <c r="H35" s="150">
        <v>30</v>
      </c>
      <c r="I35" s="151" t="str">
        <f t="shared" si="4"/>
        <v/>
      </c>
      <c r="J35" s="150" t="e">
        <f t="shared" si="5"/>
        <v>#NUM!</v>
      </c>
      <c r="K35" s="150" t="e">
        <f t="shared" si="1"/>
        <v>#NUM!</v>
      </c>
      <c r="L35" s="150"/>
      <c r="M35" s="152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33"/>
      <c r="H36" s="147">
        <v>31</v>
      </c>
      <c r="I36" s="148" t="str">
        <f t="shared" si="4"/>
        <v/>
      </c>
      <c r="J36" s="147" t="e">
        <f t="shared" si="5"/>
        <v>#NUM!</v>
      </c>
      <c r="K36" s="147" t="e">
        <f t="shared" si="1"/>
        <v>#NUM!</v>
      </c>
      <c r="L36" s="147"/>
      <c r="M36" s="149">
        <f t="shared" si="2"/>
        <v>0</v>
      </c>
      <c r="R36" s="160"/>
      <c r="S36" s="161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33"/>
      <c r="H37" s="150">
        <v>32</v>
      </c>
      <c r="I37" s="151" t="str">
        <f t="shared" si="4"/>
        <v/>
      </c>
      <c r="J37" s="150" t="e">
        <f t="shared" si="5"/>
        <v>#NUM!</v>
      </c>
      <c r="K37" s="150" t="e">
        <f t="shared" si="1"/>
        <v>#NUM!</v>
      </c>
      <c r="L37" s="150"/>
      <c r="M37" s="152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33"/>
      <c r="H38" s="147">
        <v>33</v>
      </c>
      <c r="I38" s="148" t="str">
        <f t="shared" si="4"/>
        <v/>
      </c>
      <c r="J38" s="147" t="e">
        <f t="shared" si="5"/>
        <v>#NUM!</v>
      </c>
      <c r="K38" s="147" t="e">
        <f t="shared" si="1"/>
        <v>#NUM!</v>
      </c>
      <c r="L38" s="147"/>
      <c r="M38" s="149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33"/>
      <c r="H39" s="150">
        <v>34</v>
      </c>
      <c r="I39" s="151" t="str">
        <f t="shared" si="4"/>
        <v/>
      </c>
      <c r="J39" s="150" t="e">
        <f t="shared" si="5"/>
        <v>#NUM!</v>
      </c>
      <c r="K39" s="150" t="e">
        <f t="shared" si="1"/>
        <v>#NUM!</v>
      </c>
      <c r="L39" s="150"/>
      <c r="M39" s="152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33"/>
      <c r="H40" s="147">
        <v>35</v>
      </c>
      <c r="I40" s="148" t="str">
        <f t="shared" si="4"/>
        <v/>
      </c>
      <c r="J40" s="147" t="e">
        <f t="shared" si="5"/>
        <v>#NUM!</v>
      </c>
      <c r="K40" s="147" t="e">
        <f t="shared" si="1"/>
        <v>#NUM!</v>
      </c>
      <c r="L40" s="147"/>
      <c r="M40" s="149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33"/>
      <c r="H41" s="150">
        <v>36</v>
      </c>
      <c r="I41" s="151" t="str">
        <f t="shared" si="4"/>
        <v/>
      </c>
      <c r="J41" s="150" t="e">
        <f t="shared" si="5"/>
        <v>#NUM!</v>
      </c>
      <c r="K41" s="150" t="e">
        <f t="shared" si="1"/>
        <v>#NUM!</v>
      </c>
      <c r="L41" s="150"/>
      <c r="M41" s="152">
        <f t="shared" si="2"/>
        <v>0</v>
      </c>
      <c r="S41" s="162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33"/>
      <c r="H42" s="147">
        <v>37</v>
      </c>
      <c r="I42" s="148" t="str">
        <f t="shared" si="4"/>
        <v/>
      </c>
      <c r="J42" s="147" t="e">
        <f t="shared" si="5"/>
        <v>#NUM!</v>
      </c>
      <c r="K42" s="147" t="e">
        <f t="shared" si="1"/>
        <v>#NUM!</v>
      </c>
      <c r="L42" s="147"/>
      <c r="M42" s="149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33"/>
      <c r="H43" s="150">
        <v>38</v>
      </c>
      <c r="I43" s="151" t="str">
        <f t="shared" si="4"/>
        <v/>
      </c>
      <c r="J43" s="150" t="e">
        <f t="shared" si="5"/>
        <v>#NUM!</v>
      </c>
      <c r="K43" s="150" t="e">
        <f t="shared" si="1"/>
        <v>#NUM!</v>
      </c>
      <c r="L43" s="150"/>
      <c r="M43" s="152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33"/>
      <c r="H44" s="147">
        <v>39</v>
      </c>
      <c r="I44" s="148" t="str">
        <f t="shared" si="4"/>
        <v/>
      </c>
      <c r="J44" s="147" t="e">
        <f t="shared" si="5"/>
        <v>#NUM!</v>
      </c>
      <c r="K44" s="147" t="e">
        <f t="shared" si="1"/>
        <v>#NUM!</v>
      </c>
      <c r="L44" s="147"/>
      <c r="M44" s="149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33"/>
      <c r="H45" s="150">
        <v>40</v>
      </c>
      <c r="I45" s="151" t="str">
        <f t="shared" si="4"/>
        <v/>
      </c>
      <c r="J45" s="150" t="e">
        <f t="shared" si="5"/>
        <v>#NUM!</v>
      </c>
      <c r="K45" s="150" t="e">
        <f t="shared" si="1"/>
        <v>#NUM!</v>
      </c>
      <c r="L45" s="150"/>
      <c r="M45" s="152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33"/>
      <c r="H46" s="147">
        <v>41</v>
      </c>
      <c r="I46" s="148" t="str">
        <f t="shared" si="4"/>
        <v/>
      </c>
      <c r="J46" s="147" t="e">
        <f t="shared" si="5"/>
        <v>#NUM!</v>
      </c>
      <c r="K46" s="147" t="e">
        <f t="shared" si="1"/>
        <v>#NUM!</v>
      </c>
      <c r="L46" s="147"/>
      <c r="M46" s="149">
        <f t="shared" si="2"/>
        <v>0</v>
      </c>
      <c r="R46" s="133" t="e">
        <f>LOG($H$2,2)</f>
        <v>#NUM!</v>
      </c>
      <c r="T46" s="138">
        <f>LOG(H38,2)</f>
        <v>5.0443941193584534</v>
      </c>
      <c r="U46" s="138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33"/>
      <c r="H47" s="150">
        <v>42</v>
      </c>
      <c r="I47" s="151" t="str">
        <f t="shared" si="4"/>
        <v/>
      </c>
      <c r="J47" s="150" t="e">
        <f t="shared" si="5"/>
        <v>#NUM!</v>
      </c>
      <c r="K47" s="150" t="e">
        <f t="shared" si="1"/>
        <v>#NUM!</v>
      </c>
      <c r="L47" s="150"/>
      <c r="M47" s="152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33"/>
      <c r="H48" s="147">
        <v>43</v>
      </c>
      <c r="I48" s="148" t="str">
        <f t="shared" si="4"/>
        <v/>
      </c>
      <c r="J48" s="147" t="e">
        <f t="shared" si="5"/>
        <v>#NUM!</v>
      </c>
      <c r="K48" s="147" t="e">
        <f t="shared" si="1"/>
        <v>#NUM!</v>
      </c>
      <c r="L48" s="147"/>
      <c r="M48" s="149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33"/>
      <c r="H49" s="150">
        <v>44</v>
      </c>
      <c r="I49" s="151" t="str">
        <f t="shared" si="4"/>
        <v/>
      </c>
      <c r="J49" s="150" t="e">
        <f t="shared" si="5"/>
        <v>#NUM!</v>
      </c>
      <c r="K49" s="150" t="e">
        <f t="shared" si="1"/>
        <v>#NUM!</v>
      </c>
      <c r="L49" s="150"/>
      <c r="M49" s="152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33"/>
      <c r="H50" s="147">
        <v>45</v>
      </c>
      <c r="I50" s="148" t="str">
        <f t="shared" si="4"/>
        <v/>
      </c>
      <c r="J50" s="147" t="e">
        <f t="shared" si="5"/>
        <v>#NUM!</v>
      </c>
      <c r="K50" s="147" t="e">
        <f t="shared" si="1"/>
        <v>#NUM!</v>
      </c>
      <c r="L50" s="147"/>
      <c r="M50" s="149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33"/>
      <c r="H51" s="150">
        <v>46</v>
      </c>
      <c r="I51" s="151" t="str">
        <f t="shared" si="4"/>
        <v/>
      </c>
      <c r="J51" s="150" t="e">
        <f t="shared" si="5"/>
        <v>#NUM!</v>
      </c>
      <c r="K51" s="150" t="e">
        <f t="shared" si="1"/>
        <v>#NUM!</v>
      </c>
      <c r="L51" s="150"/>
      <c r="M51" s="152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33"/>
      <c r="H52" s="147">
        <v>47</v>
      </c>
      <c r="I52" s="148" t="str">
        <f t="shared" si="4"/>
        <v/>
      </c>
      <c r="J52" s="147" t="e">
        <f t="shared" si="5"/>
        <v>#NUM!</v>
      </c>
      <c r="K52" s="147" t="e">
        <f t="shared" si="1"/>
        <v>#NUM!</v>
      </c>
      <c r="L52" s="147"/>
      <c r="M52" s="149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33"/>
      <c r="H53" s="150">
        <v>48</v>
      </c>
      <c r="I53" s="151" t="str">
        <f t="shared" si="4"/>
        <v/>
      </c>
      <c r="J53" s="150" t="e">
        <f t="shared" si="5"/>
        <v>#NUM!</v>
      </c>
      <c r="K53" s="150" t="e">
        <f t="shared" si="1"/>
        <v>#NUM!</v>
      </c>
      <c r="L53" s="150"/>
      <c r="M53" s="152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33"/>
      <c r="H54" s="147">
        <v>49</v>
      </c>
      <c r="I54" s="148" t="str">
        <f t="shared" si="4"/>
        <v/>
      </c>
      <c r="J54" s="147" t="e">
        <f t="shared" si="5"/>
        <v>#NUM!</v>
      </c>
      <c r="K54" s="147" t="e">
        <f t="shared" si="1"/>
        <v>#NUM!</v>
      </c>
      <c r="L54" s="147"/>
      <c r="M54" s="149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33"/>
      <c r="H55" s="150">
        <v>50</v>
      </c>
      <c r="I55" s="151" t="str">
        <f t="shared" si="4"/>
        <v/>
      </c>
      <c r="J55" s="150" t="e">
        <f t="shared" si="5"/>
        <v>#NUM!</v>
      </c>
      <c r="K55" s="150" t="e">
        <f t="shared" si="1"/>
        <v>#NUM!</v>
      </c>
      <c r="L55" s="150"/>
      <c r="M55" s="152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33"/>
      <c r="H56" s="147">
        <v>51</v>
      </c>
      <c r="I56" s="148" t="str">
        <f t="shared" si="4"/>
        <v/>
      </c>
      <c r="J56" s="147" t="e">
        <f t="shared" si="5"/>
        <v>#NUM!</v>
      </c>
      <c r="K56" s="147" t="e">
        <f t="shared" si="1"/>
        <v>#NUM!</v>
      </c>
      <c r="L56" s="147"/>
      <c r="M56" s="149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33"/>
      <c r="H57" s="150">
        <v>52</v>
      </c>
      <c r="I57" s="151" t="str">
        <f t="shared" si="4"/>
        <v/>
      </c>
      <c r="J57" s="150" t="e">
        <f t="shared" si="5"/>
        <v>#NUM!</v>
      </c>
      <c r="K57" s="150" t="e">
        <f t="shared" si="1"/>
        <v>#NUM!</v>
      </c>
      <c r="L57" s="150"/>
      <c r="M57" s="152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33"/>
      <c r="H58" s="147">
        <v>53</v>
      </c>
      <c r="I58" s="148" t="str">
        <f t="shared" si="4"/>
        <v/>
      </c>
      <c r="J58" s="147" t="e">
        <f t="shared" si="5"/>
        <v>#NUM!</v>
      </c>
      <c r="K58" s="147" t="e">
        <f t="shared" si="1"/>
        <v>#NUM!</v>
      </c>
      <c r="L58" s="147"/>
      <c r="M58" s="149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33"/>
      <c r="H59" s="150">
        <v>54</v>
      </c>
      <c r="I59" s="151" t="str">
        <f t="shared" si="4"/>
        <v/>
      </c>
      <c r="J59" s="150" t="e">
        <f t="shared" si="5"/>
        <v>#NUM!</v>
      </c>
      <c r="K59" s="150" t="e">
        <f t="shared" si="1"/>
        <v>#NUM!</v>
      </c>
      <c r="L59" s="150"/>
      <c r="M59" s="152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33"/>
      <c r="H60" s="147">
        <v>55</v>
      </c>
      <c r="I60" s="148" t="str">
        <f t="shared" si="4"/>
        <v/>
      </c>
      <c r="J60" s="147" t="e">
        <f t="shared" si="5"/>
        <v>#NUM!</v>
      </c>
      <c r="K60" s="147" t="e">
        <f t="shared" si="1"/>
        <v>#NUM!</v>
      </c>
      <c r="L60" s="147"/>
      <c r="M60" s="149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33"/>
      <c r="H61" s="150">
        <v>56</v>
      </c>
      <c r="I61" s="151" t="str">
        <f t="shared" si="4"/>
        <v/>
      </c>
      <c r="J61" s="150" t="e">
        <f t="shared" si="5"/>
        <v>#NUM!</v>
      </c>
      <c r="K61" s="150" t="e">
        <f t="shared" si="1"/>
        <v>#NUM!</v>
      </c>
      <c r="L61" s="150"/>
      <c r="M61" s="152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33"/>
      <c r="H62" s="147">
        <v>57</v>
      </c>
      <c r="I62" s="148" t="str">
        <f t="shared" si="4"/>
        <v/>
      </c>
      <c r="J62" s="147" t="e">
        <f t="shared" si="5"/>
        <v>#NUM!</v>
      </c>
      <c r="K62" s="147" t="e">
        <f t="shared" si="1"/>
        <v>#NUM!</v>
      </c>
      <c r="L62" s="147"/>
      <c r="M62" s="149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33"/>
      <c r="H63" s="150">
        <v>58</v>
      </c>
      <c r="I63" s="151" t="str">
        <f t="shared" si="4"/>
        <v/>
      </c>
      <c r="J63" s="150" t="e">
        <f t="shared" si="5"/>
        <v>#NUM!</v>
      </c>
      <c r="K63" s="150" t="e">
        <f t="shared" si="1"/>
        <v>#NUM!</v>
      </c>
      <c r="L63" s="150"/>
      <c r="M63" s="152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33"/>
      <c r="H64" s="147">
        <v>59</v>
      </c>
      <c r="I64" s="148" t="str">
        <f t="shared" si="4"/>
        <v/>
      </c>
      <c r="J64" s="147" t="e">
        <f t="shared" si="5"/>
        <v>#NUM!</v>
      </c>
      <c r="K64" s="147" t="e">
        <f t="shared" si="1"/>
        <v>#NUM!</v>
      </c>
      <c r="L64" s="147"/>
      <c r="M64" s="149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33"/>
      <c r="H65" s="150">
        <v>60</v>
      </c>
      <c r="I65" s="151" t="str">
        <f t="shared" si="4"/>
        <v/>
      </c>
      <c r="J65" s="150" t="e">
        <f t="shared" si="5"/>
        <v>#NUM!</v>
      </c>
      <c r="K65" s="150" t="e">
        <f t="shared" si="1"/>
        <v>#NUM!</v>
      </c>
      <c r="L65" s="150"/>
      <c r="M65" s="152">
        <f t="shared" si="2"/>
        <v>0</v>
      </c>
    </row>
    <row r="66" spans="1:13" x14ac:dyDescent="0.25">
      <c r="A66" s="163"/>
      <c r="B66" s="36"/>
      <c r="G66" s="133"/>
      <c r="H66" s="147">
        <v>61</v>
      </c>
      <c r="I66" s="148" t="str">
        <f t="shared" si="4"/>
        <v/>
      </c>
      <c r="J66" s="147" t="e">
        <f t="shared" si="5"/>
        <v>#NUM!</v>
      </c>
      <c r="K66" s="147" t="e">
        <f t="shared" si="1"/>
        <v>#NUM!</v>
      </c>
      <c r="L66" s="147"/>
      <c r="M66" s="149">
        <f t="shared" si="2"/>
        <v>0</v>
      </c>
    </row>
    <row r="67" spans="1:13" x14ac:dyDescent="0.25">
      <c r="A67" s="163"/>
      <c r="B67" s="42"/>
      <c r="G67" s="133"/>
      <c r="H67" s="147">
        <v>62</v>
      </c>
      <c r="I67" s="148" t="str">
        <f t="shared" si="4"/>
        <v/>
      </c>
      <c r="J67" s="147" t="e">
        <f t="shared" si="5"/>
        <v>#NUM!</v>
      </c>
      <c r="K67" s="147" t="e">
        <f t="shared" si="1"/>
        <v>#NUM!</v>
      </c>
      <c r="L67" s="147"/>
      <c r="M67" s="149">
        <f t="shared" si="2"/>
        <v>0</v>
      </c>
    </row>
    <row r="68" spans="1:13" x14ac:dyDescent="0.25">
      <c r="A68" s="163"/>
      <c r="B68" s="36"/>
      <c r="G68" s="133"/>
      <c r="H68" s="147">
        <v>63</v>
      </c>
      <c r="I68" s="148" t="str">
        <f t="shared" si="4"/>
        <v/>
      </c>
      <c r="J68" s="147" t="e">
        <f t="shared" si="5"/>
        <v>#NUM!</v>
      </c>
      <c r="K68" s="147" t="e">
        <f t="shared" si="1"/>
        <v>#NUM!</v>
      </c>
      <c r="L68" s="147"/>
      <c r="M68" s="149">
        <f t="shared" si="2"/>
        <v>0</v>
      </c>
    </row>
    <row r="69" spans="1:13" x14ac:dyDescent="0.25">
      <c r="A69" s="163"/>
      <c r="B69" s="42"/>
      <c r="G69" s="133"/>
      <c r="H69" s="147">
        <v>64</v>
      </c>
      <c r="I69" s="148" t="str">
        <f t="shared" si="4"/>
        <v/>
      </c>
      <c r="J69" s="147" t="e">
        <f t="shared" si="5"/>
        <v>#NUM!</v>
      </c>
      <c r="K69" s="147" t="e">
        <f t="shared" si="1"/>
        <v>#NUM!</v>
      </c>
      <c r="L69" s="147"/>
      <c r="M69" s="149">
        <f t="shared" si="2"/>
        <v>0</v>
      </c>
    </row>
    <row r="70" spans="1:13" x14ac:dyDescent="0.25">
      <c r="A70" s="163"/>
      <c r="G70" s="133"/>
      <c r="H70" s="147">
        <v>65</v>
      </c>
      <c r="I70" s="148" t="str">
        <f t="shared" si="4"/>
        <v/>
      </c>
      <c r="J70" s="147" t="e">
        <f t="shared" si="5"/>
        <v>#NUM!</v>
      </c>
      <c r="K70" s="147" t="e">
        <f t="shared" ref="K70:K133" si="7">J70*$J$2</f>
        <v>#NUM!</v>
      </c>
      <c r="L70" s="147"/>
      <c r="M70" s="149">
        <f t="shared" ref="M70:M133" si="8">IF(I70&lt;&gt;"",K70+I70+L70,0)</f>
        <v>0</v>
      </c>
    </row>
    <row r="71" spans="1:13" x14ac:dyDescent="0.25">
      <c r="A71" s="163"/>
      <c r="G71" s="133"/>
      <c r="H71" s="147">
        <v>66</v>
      </c>
      <c r="I71" s="148" t="str">
        <f t="shared" ref="I71:I134" si="9">IF(H71&lt;$H$2+1,($I$2-($I$2-1)*(LOG(H71)/LOG($H$2))),"")</f>
        <v/>
      </c>
      <c r="J71" s="147" t="e">
        <f t="shared" ref="J71:J134" si="10">INT(LOG($H$2,2))-ROUNDUP(LOG(H71,2),0)+IF(OR($H$2=1,$H$2=2,$H$2=4,$H$2=8,$H$2=16,$H$2=32,$H$2=64,$H$2=128,$H$2=256),0,1)</f>
        <v>#NUM!</v>
      </c>
      <c r="K71" s="147" t="e">
        <f t="shared" si="7"/>
        <v>#NUM!</v>
      </c>
      <c r="L71" s="147"/>
      <c r="M71" s="149">
        <f t="shared" si="8"/>
        <v>0</v>
      </c>
    </row>
    <row r="72" spans="1:13" x14ac:dyDescent="0.25">
      <c r="A72" s="163"/>
      <c r="G72" s="133"/>
      <c r="H72" s="147">
        <v>67</v>
      </c>
      <c r="I72" s="148" t="str">
        <f t="shared" si="9"/>
        <v/>
      </c>
      <c r="J72" s="147" t="e">
        <f t="shared" si="10"/>
        <v>#NUM!</v>
      </c>
      <c r="K72" s="147" t="e">
        <f t="shared" si="7"/>
        <v>#NUM!</v>
      </c>
      <c r="L72" s="147"/>
      <c r="M72" s="149">
        <f t="shared" si="8"/>
        <v>0</v>
      </c>
    </row>
    <row r="73" spans="1:13" x14ac:dyDescent="0.25">
      <c r="A73" s="163"/>
      <c r="G73" s="133"/>
      <c r="H73" s="147">
        <v>68</v>
      </c>
      <c r="I73" s="148" t="str">
        <f t="shared" si="9"/>
        <v/>
      </c>
      <c r="J73" s="147" t="e">
        <f t="shared" si="10"/>
        <v>#NUM!</v>
      </c>
      <c r="K73" s="147" t="e">
        <f t="shared" si="7"/>
        <v>#NUM!</v>
      </c>
      <c r="L73" s="147"/>
      <c r="M73" s="149">
        <f t="shared" si="8"/>
        <v>0</v>
      </c>
    </row>
    <row r="74" spans="1:13" x14ac:dyDescent="0.25">
      <c r="A74" s="163"/>
      <c r="G74" s="133"/>
      <c r="H74" s="147">
        <v>69</v>
      </c>
      <c r="I74" s="148" t="str">
        <f t="shared" si="9"/>
        <v/>
      </c>
      <c r="J74" s="147" t="e">
        <f t="shared" si="10"/>
        <v>#NUM!</v>
      </c>
      <c r="K74" s="147" t="e">
        <f t="shared" si="7"/>
        <v>#NUM!</v>
      </c>
      <c r="L74" s="147"/>
      <c r="M74" s="149">
        <f t="shared" si="8"/>
        <v>0</v>
      </c>
    </row>
    <row r="75" spans="1:13" x14ac:dyDescent="0.25">
      <c r="A75" s="163"/>
      <c r="G75" s="133"/>
      <c r="H75" s="147">
        <v>70</v>
      </c>
      <c r="I75" s="148" t="str">
        <f t="shared" si="9"/>
        <v/>
      </c>
      <c r="J75" s="147" t="e">
        <f t="shared" si="10"/>
        <v>#NUM!</v>
      </c>
      <c r="K75" s="147" t="e">
        <f t="shared" si="7"/>
        <v>#NUM!</v>
      </c>
      <c r="L75" s="147"/>
      <c r="M75" s="149">
        <f t="shared" si="8"/>
        <v>0</v>
      </c>
    </row>
    <row r="76" spans="1:13" x14ac:dyDescent="0.25">
      <c r="A76" s="163"/>
      <c r="G76" s="133"/>
      <c r="H76" s="147">
        <v>71</v>
      </c>
      <c r="I76" s="148" t="str">
        <f t="shared" si="9"/>
        <v/>
      </c>
      <c r="J76" s="147" t="e">
        <f t="shared" si="10"/>
        <v>#NUM!</v>
      </c>
      <c r="K76" s="147" t="e">
        <f t="shared" si="7"/>
        <v>#NUM!</v>
      </c>
      <c r="L76" s="147"/>
      <c r="M76" s="149">
        <f t="shared" si="8"/>
        <v>0</v>
      </c>
    </row>
    <row r="77" spans="1:13" x14ac:dyDescent="0.25">
      <c r="A77" s="163"/>
      <c r="G77" s="133"/>
      <c r="H77" s="147">
        <v>72</v>
      </c>
      <c r="I77" s="148" t="str">
        <f t="shared" si="9"/>
        <v/>
      </c>
      <c r="J77" s="147" t="e">
        <f t="shared" si="10"/>
        <v>#NUM!</v>
      </c>
      <c r="K77" s="147" t="e">
        <f t="shared" si="7"/>
        <v>#NUM!</v>
      </c>
      <c r="L77" s="147"/>
      <c r="M77" s="149">
        <f t="shared" si="8"/>
        <v>0</v>
      </c>
    </row>
    <row r="78" spans="1:13" x14ac:dyDescent="0.25">
      <c r="A78" s="163"/>
      <c r="G78" s="133"/>
      <c r="H78" s="147">
        <v>73</v>
      </c>
      <c r="I78" s="148" t="str">
        <f t="shared" si="9"/>
        <v/>
      </c>
      <c r="J78" s="147" t="e">
        <f t="shared" si="10"/>
        <v>#NUM!</v>
      </c>
      <c r="K78" s="147" t="e">
        <f t="shared" si="7"/>
        <v>#NUM!</v>
      </c>
      <c r="L78" s="147"/>
      <c r="M78" s="149">
        <f t="shared" si="8"/>
        <v>0</v>
      </c>
    </row>
    <row r="79" spans="1:13" x14ac:dyDescent="0.25">
      <c r="A79" s="163"/>
      <c r="G79" s="133"/>
      <c r="H79" s="147">
        <v>74</v>
      </c>
      <c r="I79" s="148" t="str">
        <f t="shared" si="9"/>
        <v/>
      </c>
      <c r="J79" s="147" t="e">
        <f t="shared" si="10"/>
        <v>#NUM!</v>
      </c>
      <c r="K79" s="147" t="e">
        <f t="shared" si="7"/>
        <v>#NUM!</v>
      </c>
      <c r="L79" s="147"/>
      <c r="M79" s="149">
        <f t="shared" si="8"/>
        <v>0</v>
      </c>
    </row>
    <row r="80" spans="1:13" x14ac:dyDescent="0.25">
      <c r="A80" s="163"/>
      <c r="G80" s="133"/>
      <c r="H80" s="147">
        <v>75</v>
      </c>
      <c r="I80" s="148" t="str">
        <f t="shared" si="9"/>
        <v/>
      </c>
      <c r="J80" s="147" t="e">
        <f t="shared" si="10"/>
        <v>#NUM!</v>
      </c>
      <c r="K80" s="147" t="e">
        <f t="shared" si="7"/>
        <v>#NUM!</v>
      </c>
      <c r="L80" s="147"/>
      <c r="M80" s="149">
        <f t="shared" si="8"/>
        <v>0</v>
      </c>
    </row>
    <row r="81" spans="1:13" x14ac:dyDescent="0.25">
      <c r="A81" s="163"/>
      <c r="G81" s="133"/>
      <c r="H81" s="147">
        <v>76</v>
      </c>
      <c r="I81" s="148" t="str">
        <f t="shared" si="9"/>
        <v/>
      </c>
      <c r="J81" s="147" t="e">
        <f t="shared" si="10"/>
        <v>#NUM!</v>
      </c>
      <c r="K81" s="147" t="e">
        <f t="shared" si="7"/>
        <v>#NUM!</v>
      </c>
      <c r="L81" s="147"/>
      <c r="M81" s="149">
        <f t="shared" si="8"/>
        <v>0</v>
      </c>
    </row>
    <row r="82" spans="1:13" x14ac:dyDescent="0.25">
      <c r="A82" s="163"/>
      <c r="G82" s="133"/>
      <c r="H82" s="147">
        <v>77</v>
      </c>
      <c r="I82" s="148" t="str">
        <f t="shared" si="9"/>
        <v/>
      </c>
      <c r="J82" s="147" t="e">
        <f t="shared" si="10"/>
        <v>#NUM!</v>
      </c>
      <c r="K82" s="147" t="e">
        <f t="shared" si="7"/>
        <v>#NUM!</v>
      </c>
      <c r="L82" s="147"/>
      <c r="M82" s="149">
        <f t="shared" si="8"/>
        <v>0</v>
      </c>
    </row>
    <row r="83" spans="1:13" x14ac:dyDescent="0.25">
      <c r="A83" s="163"/>
      <c r="G83" s="133"/>
      <c r="H83" s="147">
        <v>78</v>
      </c>
      <c r="I83" s="148" t="str">
        <f t="shared" si="9"/>
        <v/>
      </c>
      <c r="J83" s="147" t="e">
        <f t="shared" si="10"/>
        <v>#NUM!</v>
      </c>
      <c r="K83" s="147" t="e">
        <f t="shared" si="7"/>
        <v>#NUM!</v>
      </c>
      <c r="L83" s="147"/>
      <c r="M83" s="149">
        <f t="shared" si="8"/>
        <v>0</v>
      </c>
    </row>
    <row r="84" spans="1:13" x14ac:dyDescent="0.25">
      <c r="A84" s="163"/>
      <c r="G84" s="133"/>
      <c r="H84" s="147">
        <v>79</v>
      </c>
      <c r="I84" s="148" t="str">
        <f t="shared" si="9"/>
        <v/>
      </c>
      <c r="J84" s="147" t="e">
        <f t="shared" si="10"/>
        <v>#NUM!</v>
      </c>
      <c r="K84" s="147" t="e">
        <f t="shared" si="7"/>
        <v>#NUM!</v>
      </c>
      <c r="L84" s="147"/>
      <c r="M84" s="149">
        <f t="shared" si="8"/>
        <v>0</v>
      </c>
    </row>
    <row r="85" spans="1:13" x14ac:dyDescent="0.25">
      <c r="A85" s="163"/>
      <c r="G85" s="133"/>
      <c r="H85" s="147">
        <v>80</v>
      </c>
      <c r="I85" s="148" t="str">
        <f t="shared" si="9"/>
        <v/>
      </c>
      <c r="J85" s="147" t="e">
        <f t="shared" si="10"/>
        <v>#NUM!</v>
      </c>
      <c r="K85" s="147" t="e">
        <f t="shared" si="7"/>
        <v>#NUM!</v>
      </c>
      <c r="L85" s="147"/>
      <c r="M85" s="149">
        <f t="shared" si="8"/>
        <v>0</v>
      </c>
    </row>
    <row r="86" spans="1:13" x14ac:dyDescent="0.25">
      <c r="A86" s="163"/>
      <c r="G86" s="133"/>
      <c r="H86" s="147">
        <v>81</v>
      </c>
      <c r="I86" s="148" t="str">
        <f t="shared" si="9"/>
        <v/>
      </c>
      <c r="J86" s="147" t="e">
        <f t="shared" si="10"/>
        <v>#NUM!</v>
      </c>
      <c r="K86" s="147" t="e">
        <f t="shared" si="7"/>
        <v>#NUM!</v>
      </c>
      <c r="L86" s="147"/>
      <c r="M86" s="149">
        <f t="shared" si="8"/>
        <v>0</v>
      </c>
    </row>
    <row r="87" spans="1:13" x14ac:dyDescent="0.25">
      <c r="A87" s="163"/>
      <c r="G87" s="133"/>
      <c r="H87" s="147">
        <v>82</v>
      </c>
      <c r="I87" s="148" t="str">
        <f t="shared" si="9"/>
        <v/>
      </c>
      <c r="J87" s="147" t="e">
        <f t="shared" si="10"/>
        <v>#NUM!</v>
      </c>
      <c r="K87" s="147" t="e">
        <f t="shared" si="7"/>
        <v>#NUM!</v>
      </c>
      <c r="L87" s="147"/>
      <c r="M87" s="149">
        <f t="shared" si="8"/>
        <v>0</v>
      </c>
    </row>
    <row r="88" spans="1:13" x14ac:dyDescent="0.25">
      <c r="A88" s="163"/>
      <c r="G88" s="133"/>
      <c r="H88" s="147">
        <v>83</v>
      </c>
      <c r="I88" s="148" t="str">
        <f t="shared" si="9"/>
        <v/>
      </c>
      <c r="J88" s="147" t="e">
        <f t="shared" si="10"/>
        <v>#NUM!</v>
      </c>
      <c r="K88" s="147" t="e">
        <f t="shared" si="7"/>
        <v>#NUM!</v>
      </c>
      <c r="L88" s="147"/>
      <c r="M88" s="149">
        <f t="shared" si="8"/>
        <v>0</v>
      </c>
    </row>
    <row r="89" spans="1:13" x14ac:dyDescent="0.25">
      <c r="A89" s="163"/>
      <c r="G89" s="133"/>
      <c r="H89" s="147">
        <v>84</v>
      </c>
      <c r="I89" s="148" t="str">
        <f t="shared" si="9"/>
        <v/>
      </c>
      <c r="J89" s="147" t="e">
        <f t="shared" si="10"/>
        <v>#NUM!</v>
      </c>
      <c r="K89" s="147" t="e">
        <f t="shared" si="7"/>
        <v>#NUM!</v>
      </c>
      <c r="L89" s="147"/>
      <c r="M89" s="149">
        <f t="shared" si="8"/>
        <v>0</v>
      </c>
    </row>
    <row r="90" spans="1:13" x14ac:dyDescent="0.25">
      <c r="A90" s="163"/>
      <c r="G90" s="133"/>
      <c r="H90" s="147">
        <v>85</v>
      </c>
      <c r="I90" s="148" t="str">
        <f t="shared" si="9"/>
        <v/>
      </c>
      <c r="J90" s="147" t="e">
        <f t="shared" si="10"/>
        <v>#NUM!</v>
      </c>
      <c r="K90" s="147" t="e">
        <f t="shared" si="7"/>
        <v>#NUM!</v>
      </c>
      <c r="L90" s="147"/>
      <c r="M90" s="149">
        <f t="shared" si="8"/>
        <v>0</v>
      </c>
    </row>
    <row r="91" spans="1:13" x14ac:dyDescent="0.25">
      <c r="A91" s="163"/>
      <c r="G91" s="133"/>
      <c r="H91" s="147">
        <v>86</v>
      </c>
      <c r="I91" s="148" t="str">
        <f t="shared" si="9"/>
        <v/>
      </c>
      <c r="J91" s="147" t="e">
        <f t="shared" si="10"/>
        <v>#NUM!</v>
      </c>
      <c r="K91" s="147" t="e">
        <f t="shared" si="7"/>
        <v>#NUM!</v>
      </c>
      <c r="L91" s="147"/>
      <c r="M91" s="149">
        <f t="shared" si="8"/>
        <v>0</v>
      </c>
    </row>
    <row r="92" spans="1:13" x14ac:dyDescent="0.25">
      <c r="A92" s="163"/>
      <c r="G92" s="133"/>
      <c r="H92" s="147">
        <v>87</v>
      </c>
      <c r="I92" s="148" t="str">
        <f t="shared" si="9"/>
        <v/>
      </c>
      <c r="J92" s="147" t="e">
        <f t="shared" si="10"/>
        <v>#NUM!</v>
      </c>
      <c r="K92" s="147" t="e">
        <f t="shared" si="7"/>
        <v>#NUM!</v>
      </c>
      <c r="L92" s="147"/>
      <c r="M92" s="149">
        <f t="shared" si="8"/>
        <v>0</v>
      </c>
    </row>
    <row r="93" spans="1:13" x14ac:dyDescent="0.25">
      <c r="A93" s="163"/>
      <c r="G93" s="133"/>
      <c r="H93" s="147">
        <v>88</v>
      </c>
      <c r="I93" s="148" t="str">
        <f t="shared" si="9"/>
        <v/>
      </c>
      <c r="J93" s="147" t="e">
        <f t="shared" si="10"/>
        <v>#NUM!</v>
      </c>
      <c r="K93" s="147" t="e">
        <f t="shared" si="7"/>
        <v>#NUM!</v>
      </c>
      <c r="L93" s="147"/>
      <c r="M93" s="149">
        <f t="shared" si="8"/>
        <v>0</v>
      </c>
    </row>
    <row r="94" spans="1:13" x14ac:dyDescent="0.25">
      <c r="A94" s="163"/>
      <c r="G94" s="133"/>
      <c r="H94" s="147">
        <v>89</v>
      </c>
      <c r="I94" s="148" t="str">
        <f t="shared" si="9"/>
        <v/>
      </c>
      <c r="J94" s="147" t="e">
        <f t="shared" si="10"/>
        <v>#NUM!</v>
      </c>
      <c r="K94" s="147" t="e">
        <f t="shared" si="7"/>
        <v>#NUM!</v>
      </c>
      <c r="L94" s="147"/>
      <c r="M94" s="149">
        <f t="shared" si="8"/>
        <v>0</v>
      </c>
    </row>
    <row r="95" spans="1:13" x14ac:dyDescent="0.25">
      <c r="A95" s="163"/>
      <c r="G95" s="133"/>
      <c r="H95" s="147">
        <v>90</v>
      </c>
      <c r="I95" s="148" t="str">
        <f t="shared" si="9"/>
        <v/>
      </c>
      <c r="J95" s="147" t="e">
        <f t="shared" si="10"/>
        <v>#NUM!</v>
      </c>
      <c r="K95" s="147" t="e">
        <f t="shared" si="7"/>
        <v>#NUM!</v>
      </c>
      <c r="L95" s="147"/>
      <c r="M95" s="149">
        <f t="shared" si="8"/>
        <v>0</v>
      </c>
    </row>
    <row r="96" spans="1:13" x14ac:dyDescent="0.25">
      <c r="A96" s="163"/>
      <c r="G96" s="133"/>
      <c r="H96" s="147">
        <v>91</v>
      </c>
      <c r="I96" s="148" t="str">
        <f t="shared" si="9"/>
        <v/>
      </c>
      <c r="J96" s="147" t="e">
        <f t="shared" si="10"/>
        <v>#NUM!</v>
      </c>
      <c r="K96" s="147" t="e">
        <f t="shared" si="7"/>
        <v>#NUM!</v>
      </c>
      <c r="L96" s="147"/>
      <c r="M96" s="149">
        <f t="shared" si="8"/>
        <v>0</v>
      </c>
    </row>
    <row r="97" spans="1:13" x14ac:dyDescent="0.25">
      <c r="A97" s="163"/>
      <c r="G97" s="133"/>
      <c r="H97" s="147">
        <v>92</v>
      </c>
      <c r="I97" s="148" t="str">
        <f t="shared" si="9"/>
        <v/>
      </c>
      <c r="J97" s="147" t="e">
        <f t="shared" si="10"/>
        <v>#NUM!</v>
      </c>
      <c r="K97" s="147" t="e">
        <f t="shared" si="7"/>
        <v>#NUM!</v>
      </c>
      <c r="L97" s="147"/>
      <c r="M97" s="149">
        <f t="shared" si="8"/>
        <v>0</v>
      </c>
    </row>
    <row r="98" spans="1:13" x14ac:dyDescent="0.25">
      <c r="A98" s="163"/>
      <c r="G98" s="133"/>
      <c r="H98" s="147">
        <v>93</v>
      </c>
      <c r="I98" s="148" t="str">
        <f t="shared" si="9"/>
        <v/>
      </c>
      <c r="J98" s="147" t="e">
        <f t="shared" si="10"/>
        <v>#NUM!</v>
      </c>
      <c r="K98" s="147" t="e">
        <f t="shared" si="7"/>
        <v>#NUM!</v>
      </c>
      <c r="L98" s="147"/>
      <c r="M98" s="149">
        <f t="shared" si="8"/>
        <v>0</v>
      </c>
    </row>
    <row r="99" spans="1:13" x14ac:dyDescent="0.25">
      <c r="A99" s="163"/>
      <c r="G99" s="133"/>
      <c r="H99" s="147">
        <v>94</v>
      </c>
      <c r="I99" s="148" t="str">
        <f t="shared" si="9"/>
        <v/>
      </c>
      <c r="J99" s="147" t="e">
        <f t="shared" si="10"/>
        <v>#NUM!</v>
      </c>
      <c r="K99" s="147" t="e">
        <f t="shared" si="7"/>
        <v>#NUM!</v>
      </c>
      <c r="L99" s="147"/>
      <c r="M99" s="149">
        <f t="shared" si="8"/>
        <v>0</v>
      </c>
    </row>
    <row r="100" spans="1:13" x14ac:dyDescent="0.25">
      <c r="A100" s="163"/>
      <c r="G100" s="133"/>
      <c r="H100" s="147">
        <v>95</v>
      </c>
      <c r="I100" s="148" t="str">
        <f t="shared" si="9"/>
        <v/>
      </c>
      <c r="J100" s="147" t="e">
        <f t="shared" si="10"/>
        <v>#NUM!</v>
      </c>
      <c r="K100" s="147" t="e">
        <f t="shared" si="7"/>
        <v>#NUM!</v>
      </c>
      <c r="L100" s="147"/>
      <c r="M100" s="149">
        <f t="shared" si="8"/>
        <v>0</v>
      </c>
    </row>
    <row r="101" spans="1:13" x14ac:dyDescent="0.25">
      <c r="A101" s="163"/>
      <c r="G101" s="133"/>
      <c r="H101" s="147">
        <v>96</v>
      </c>
      <c r="I101" s="148" t="str">
        <f t="shared" si="9"/>
        <v/>
      </c>
      <c r="J101" s="147" t="e">
        <f t="shared" si="10"/>
        <v>#NUM!</v>
      </c>
      <c r="K101" s="147" t="e">
        <f t="shared" si="7"/>
        <v>#NUM!</v>
      </c>
      <c r="L101" s="147"/>
      <c r="M101" s="149">
        <f t="shared" si="8"/>
        <v>0</v>
      </c>
    </row>
    <row r="102" spans="1:13" x14ac:dyDescent="0.25">
      <c r="A102" s="163"/>
      <c r="G102" s="133"/>
      <c r="H102" s="147">
        <v>97</v>
      </c>
      <c r="I102" s="148" t="str">
        <f t="shared" si="9"/>
        <v/>
      </c>
      <c r="J102" s="147" t="e">
        <f t="shared" si="10"/>
        <v>#NUM!</v>
      </c>
      <c r="K102" s="147" t="e">
        <f t="shared" si="7"/>
        <v>#NUM!</v>
      </c>
      <c r="L102" s="147"/>
      <c r="M102" s="149">
        <f t="shared" si="8"/>
        <v>0</v>
      </c>
    </row>
    <row r="103" spans="1:13" x14ac:dyDescent="0.25">
      <c r="A103" s="163"/>
      <c r="G103" s="133"/>
      <c r="H103" s="147">
        <v>98</v>
      </c>
      <c r="I103" s="148" t="str">
        <f t="shared" si="9"/>
        <v/>
      </c>
      <c r="J103" s="147" t="e">
        <f t="shared" si="10"/>
        <v>#NUM!</v>
      </c>
      <c r="K103" s="147" t="e">
        <f t="shared" si="7"/>
        <v>#NUM!</v>
      </c>
      <c r="L103" s="147"/>
      <c r="M103" s="149">
        <f t="shared" si="8"/>
        <v>0</v>
      </c>
    </row>
    <row r="104" spans="1:13" x14ac:dyDescent="0.25">
      <c r="A104" s="163"/>
      <c r="G104" s="133"/>
      <c r="H104" s="147">
        <v>99</v>
      </c>
      <c r="I104" s="148" t="str">
        <f t="shared" si="9"/>
        <v/>
      </c>
      <c r="J104" s="147" t="e">
        <f t="shared" si="10"/>
        <v>#NUM!</v>
      </c>
      <c r="K104" s="147" t="e">
        <f t="shared" si="7"/>
        <v>#NUM!</v>
      </c>
      <c r="L104" s="147"/>
      <c r="M104" s="149">
        <f t="shared" si="8"/>
        <v>0</v>
      </c>
    </row>
    <row r="105" spans="1:13" x14ac:dyDescent="0.25">
      <c r="A105" s="163"/>
      <c r="G105" s="133"/>
      <c r="H105" s="147">
        <v>100</v>
      </c>
      <c r="I105" s="148" t="str">
        <f t="shared" si="9"/>
        <v/>
      </c>
      <c r="J105" s="147" t="e">
        <f t="shared" si="10"/>
        <v>#NUM!</v>
      </c>
      <c r="K105" s="147" t="e">
        <f t="shared" si="7"/>
        <v>#NUM!</v>
      </c>
      <c r="L105" s="147"/>
      <c r="M105" s="149">
        <f t="shared" si="8"/>
        <v>0</v>
      </c>
    </row>
    <row r="106" spans="1:13" x14ac:dyDescent="0.25">
      <c r="A106" s="163"/>
      <c r="G106" s="133"/>
      <c r="H106" s="147">
        <v>101</v>
      </c>
      <c r="I106" s="148" t="str">
        <f t="shared" si="9"/>
        <v/>
      </c>
      <c r="J106" s="147" t="e">
        <f t="shared" si="10"/>
        <v>#NUM!</v>
      </c>
      <c r="K106" s="147" t="e">
        <f t="shared" si="7"/>
        <v>#NUM!</v>
      </c>
      <c r="L106" s="147"/>
      <c r="M106" s="149">
        <f t="shared" si="8"/>
        <v>0</v>
      </c>
    </row>
    <row r="107" spans="1:13" x14ac:dyDescent="0.25">
      <c r="A107" s="163"/>
      <c r="G107" s="133"/>
      <c r="H107" s="147">
        <v>102</v>
      </c>
      <c r="I107" s="148" t="str">
        <f t="shared" si="9"/>
        <v/>
      </c>
      <c r="J107" s="147" t="e">
        <f t="shared" si="10"/>
        <v>#NUM!</v>
      </c>
      <c r="K107" s="147" t="e">
        <f t="shared" si="7"/>
        <v>#NUM!</v>
      </c>
      <c r="L107" s="147"/>
      <c r="M107" s="149">
        <f t="shared" si="8"/>
        <v>0</v>
      </c>
    </row>
    <row r="108" spans="1:13" x14ac:dyDescent="0.25">
      <c r="A108" s="163"/>
      <c r="G108" s="133"/>
      <c r="H108" s="147">
        <v>103</v>
      </c>
      <c r="I108" s="148" t="str">
        <f t="shared" si="9"/>
        <v/>
      </c>
      <c r="J108" s="147" t="e">
        <f t="shared" si="10"/>
        <v>#NUM!</v>
      </c>
      <c r="K108" s="147" t="e">
        <f t="shared" si="7"/>
        <v>#NUM!</v>
      </c>
      <c r="L108" s="147"/>
      <c r="M108" s="149">
        <f t="shared" si="8"/>
        <v>0</v>
      </c>
    </row>
    <row r="109" spans="1:13" x14ac:dyDescent="0.25">
      <c r="A109" s="163"/>
      <c r="G109" s="133"/>
      <c r="H109" s="147">
        <v>104</v>
      </c>
      <c r="I109" s="148" t="str">
        <f t="shared" si="9"/>
        <v/>
      </c>
      <c r="J109" s="147" t="e">
        <f t="shared" si="10"/>
        <v>#NUM!</v>
      </c>
      <c r="K109" s="147" t="e">
        <f t="shared" si="7"/>
        <v>#NUM!</v>
      </c>
      <c r="L109" s="147"/>
      <c r="M109" s="149">
        <f t="shared" si="8"/>
        <v>0</v>
      </c>
    </row>
    <row r="110" spans="1:13" x14ac:dyDescent="0.25">
      <c r="A110" s="163"/>
      <c r="G110" s="133"/>
      <c r="H110" s="147">
        <v>105</v>
      </c>
      <c r="I110" s="148" t="str">
        <f t="shared" si="9"/>
        <v/>
      </c>
      <c r="J110" s="147" t="e">
        <f t="shared" si="10"/>
        <v>#NUM!</v>
      </c>
      <c r="K110" s="147" t="e">
        <f t="shared" si="7"/>
        <v>#NUM!</v>
      </c>
      <c r="L110" s="147"/>
      <c r="M110" s="149">
        <f t="shared" si="8"/>
        <v>0</v>
      </c>
    </row>
    <row r="111" spans="1:13" x14ac:dyDescent="0.25">
      <c r="A111" s="163"/>
      <c r="G111" s="133"/>
      <c r="H111" s="147">
        <v>106</v>
      </c>
      <c r="I111" s="148" t="str">
        <f t="shared" si="9"/>
        <v/>
      </c>
      <c r="J111" s="147" t="e">
        <f t="shared" si="10"/>
        <v>#NUM!</v>
      </c>
      <c r="K111" s="147" t="e">
        <f t="shared" si="7"/>
        <v>#NUM!</v>
      </c>
      <c r="L111" s="147"/>
      <c r="M111" s="149">
        <f t="shared" si="8"/>
        <v>0</v>
      </c>
    </row>
    <row r="112" spans="1:13" x14ac:dyDescent="0.25">
      <c r="A112" s="163"/>
      <c r="G112" s="133"/>
      <c r="H112" s="147">
        <v>107</v>
      </c>
      <c r="I112" s="148" t="str">
        <f t="shared" si="9"/>
        <v/>
      </c>
      <c r="J112" s="147" t="e">
        <f t="shared" si="10"/>
        <v>#NUM!</v>
      </c>
      <c r="K112" s="147" t="e">
        <f t="shared" si="7"/>
        <v>#NUM!</v>
      </c>
      <c r="L112" s="147"/>
      <c r="M112" s="149">
        <f t="shared" si="8"/>
        <v>0</v>
      </c>
    </row>
    <row r="113" spans="1:13" x14ac:dyDescent="0.25">
      <c r="A113" s="163"/>
      <c r="G113" s="133"/>
      <c r="H113" s="147">
        <v>108</v>
      </c>
      <c r="I113" s="148" t="str">
        <f t="shared" si="9"/>
        <v/>
      </c>
      <c r="J113" s="147" t="e">
        <f t="shared" si="10"/>
        <v>#NUM!</v>
      </c>
      <c r="K113" s="147" t="e">
        <f t="shared" si="7"/>
        <v>#NUM!</v>
      </c>
      <c r="L113" s="147"/>
      <c r="M113" s="149">
        <f t="shared" si="8"/>
        <v>0</v>
      </c>
    </row>
    <row r="114" spans="1:13" x14ac:dyDescent="0.25">
      <c r="A114" s="163"/>
      <c r="G114" s="133"/>
      <c r="H114" s="147">
        <v>109</v>
      </c>
      <c r="I114" s="148" t="str">
        <f t="shared" si="9"/>
        <v/>
      </c>
      <c r="J114" s="147" t="e">
        <f t="shared" si="10"/>
        <v>#NUM!</v>
      </c>
      <c r="K114" s="147" t="e">
        <f t="shared" si="7"/>
        <v>#NUM!</v>
      </c>
      <c r="L114" s="147"/>
      <c r="M114" s="149">
        <f t="shared" si="8"/>
        <v>0</v>
      </c>
    </row>
    <row r="115" spans="1:13" x14ac:dyDescent="0.25">
      <c r="A115" s="163"/>
      <c r="G115" s="133"/>
      <c r="H115" s="147">
        <v>110</v>
      </c>
      <c r="I115" s="148" t="str">
        <f t="shared" si="9"/>
        <v/>
      </c>
      <c r="J115" s="147" t="e">
        <f t="shared" si="10"/>
        <v>#NUM!</v>
      </c>
      <c r="K115" s="147" t="e">
        <f t="shared" si="7"/>
        <v>#NUM!</v>
      </c>
      <c r="L115" s="147"/>
      <c r="M115" s="149">
        <f t="shared" si="8"/>
        <v>0</v>
      </c>
    </row>
    <row r="116" spans="1:13" x14ac:dyDescent="0.25">
      <c r="A116" s="163"/>
      <c r="G116" s="133"/>
      <c r="H116" s="147">
        <v>111</v>
      </c>
      <c r="I116" s="148" t="str">
        <f t="shared" si="9"/>
        <v/>
      </c>
      <c r="J116" s="147" t="e">
        <f t="shared" si="10"/>
        <v>#NUM!</v>
      </c>
      <c r="K116" s="147" t="e">
        <f t="shared" si="7"/>
        <v>#NUM!</v>
      </c>
      <c r="L116" s="147"/>
      <c r="M116" s="149">
        <f t="shared" si="8"/>
        <v>0</v>
      </c>
    </row>
    <row r="117" spans="1:13" x14ac:dyDescent="0.25">
      <c r="A117" s="163"/>
      <c r="G117" s="133"/>
      <c r="H117" s="147">
        <v>112</v>
      </c>
      <c r="I117" s="148" t="str">
        <f t="shared" si="9"/>
        <v/>
      </c>
      <c r="J117" s="147" t="e">
        <f t="shared" si="10"/>
        <v>#NUM!</v>
      </c>
      <c r="K117" s="147" t="e">
        <f t="shared" si="7"/>
        <v>#NUM!</v>
      </c>
      <c r="L117" s="147"/>
      <c r="M117" s="149">
        <f t="shared" si="8"/>
        <v>0</v>
      </c>
    </row>
    <row r="118" spans="1:13" x14ac:dyDescent="0.25">
      <c r="A118" s="163"/>
      <c r="G118" s="133"/>
      <c r="H118" s="147">
        <v>113</v>
      </c>
      <c r="I118" s="148" t="str">
        <f t="shared" si="9"/>
        <v/>
      </c>
      <c r="J118" s="147" t="e">
        <f t="shared" si="10"/>
        <v>#NUM!</v>
      </c>
      <c r="K118" s="147" t="e">
        <f t="shared" si="7"/>
        <v>#NUM!</v>
      </c>
      <c r="L118" s="147"/>
      <c r="M118" s="149">
        <f t="shared" si="8"/>
        <v>0</v>
      </c>
    </row>
    <row r="119" spans="1:13" x14ac:dyDescent="0.25">
      <c r="A119" s="163"/>
      <c r="G119" s="133"/>
      <c r="H119" s="147">
        <v>114</v>
      </c>
      <c r="I119" s="148" t="str">
        <f t="shared" si="9"/>
        <v/>
      </c>
      <c r="J119" s="147" t="e">
        <f t="shared" si="10"/>
        <v>#NUM!</v>
      </c>
      <c r="K119" s="147" t="e">
        <f t="shared" si="7"/>
        <v>#NUM!</v>
      </c>
      <c r="L119" s="147"/>
      <c r="M119" s="149">
        <f t="shared" si="8"/>
        <v>0</v>
      </c>
    </row>
    <row r="120" spans="1:13" x14ac:dyDescent="0.25">
      <c r="A120" s="163"/>
      <c r="G120" s="133"/>
      <c r="H120" s="147">
        <v>115</v>
      </c>
      <c r="I120" s="148" t="str">
        <f t="shared" si="9"/>
        <v/>
      </c>
      <c r="J120" s="147" t="e">
        <f t="shared" si="10"/>
        <v>#NUM!</v>
      </c>
      <c r="K120" s="147" t="e">
        <f t="shared" si="7"/>
        <v>#NUM!</v>
      </c>
      <c r="L120" s="147"/>
      <c r="M120" s="149">
        <f t="shared" si="8"/>
        <v>0</v>
      </c>
    </row>
    <row r="121" spans="1:13" x14ac:dyDescent="0.25">
      <c r="A121" s="163"/>
      <c r="G121" s="133"/>
      <c r="H121" s="147">
        <v>116</v>
      </c>
      <c r="I121" s="148" t="str">
        <f t="shared" si="9"/>
        <v/>
      </c>
      <c r="J121" s="147" t="e">
        <f t="shared" si="10"/>
        <v>#NUM!</v>
      </c>
      <c r="K121" s="147" t="e">
        <f t="shared" si="7"/>
        <v>#NUM!</v>
      </c>
      <c r="L121" s="147"/>
      <c r="M121" s="149">
        <f t="shared" si="8"/>
        <v>0</v>
      </c>
    </row>
    <row r="122" spans="1:13" x14ac:dyDescent="0.25">
      <c r="A122" s="163"/>
      <c r="G122" s="133"/>
      <c r="H122" s="147">
        <v>117</v>
      </c>
      <c r="I122" s="148" t="str">
        <f t="shared" si="9"/>
        <v/>
      </c>
      <c r="J122" s="147" t="e">
        <f t="shared" si="10"/>
        <v>#NUM!</v>
      </c>
      <c r="K122" s="147" t="e">
        <f t="shared" si="7"/>
        <v>#NUM!</v>
      </c>
      <c r="L122" s="147"/>
      <c r="M122" s="149">
        <f t="shared" si="8"/>
        <v>0</v>
      </c>
    </row>
    <row r="123" spans="1:13" x14ac:dyDescent="0.25">
      <c r="A123" s="163"/>
      <c r="G123" s="133"/>
      <c r="H123" s="147">
        <v>118</v>
      </c>
      <c r="I123" s="148" t="str">
        <f t="shared" si="9"/>
        <v/>
      </c>
      <c r="J123" s="147" t="e">
        <f t="shared" si="10"/>
        <v>#NUM!</v>
      </c>
      <c r="K123" s="147" t="e">
        <f t="shared" si="7"/>
        <v>#NUM!</v>
      </c>
      <c r="L123" s="147"/>
      <c r="M123" s="149">
        <f t="shared" si="8"/>
        <v>0</v>
      </c>
    </row>
    <row r="124" spans="1:13" x14ac:dyDescent="0.25">
      <c r="A124" s="163"/>
      <c r="G124" s="133"/>
      <c r="H124" s="147">
        <v>119</v>
      </c>
      <c r="I124" s="148" t="str">
        <f t="shared" si="9"/>
        <v/>
      </c>
      <c r="J124" s="147" t="e">
        <f t="shared" si="10"/>
        <v>#NUM!</v>
      </c>
      <c r="K124" s="147" t="e">
        <f t="shared" si="7"/>
        <v>#NUM!</v>
      </c>
      <c r="L124" s="147"/>
      <c r="M124" s="149">
        <f t="shared" si="8"/>
        <v>0</v>
      </c>
    </row>
    <row r="125" spans="1:13" x14ac:dyDescent="0.25">
      <c r="A125" s="163"/>
      <c r="G125" s="133"/>
      <c r="H125" s="147">
        <v>120</v>
      </c>
      <c r="I125" s="148" t="str">
        <f t="shared" si="9"/>
        <v/>
      </c>
      <c r="J125" s="147" t="e">
        <f t="shared" si="10"/>
        <v>#NUM!</v>
      </c>
      <c r="K125" s="147" t="e">
        <f t="shared" si="7"/>
        <v>#NUM!</v>
      </c>
      <c r="L125" s="147"/>
      <c r="M125" s="149">
        <f t="shared" si="8"/>
        <v>0</v>
      </c>
    </row>
    <row r="126" spans="1:13" x14ac:dyDescent="0.25">
      <c r="A126" s="163"/>
      <c r="G126" s="133"/>
      <c r="H126" s="147">
        <v>121</v>
      </c>
      <c r="I126" s="148" t="str">
        <f t="shared" si="9"/>
        <v/>
      </c>
      <c r="J126" s="147" t="e">
        <f t="shared" si="10"/>
        <v>#NUM!</v>
      </c>
      <c r="K126" s="147" t="e">
        <f t="shared" si="7"/>
        <v>#NUM!</v>
      </c>
      <c r="L126" s="147"/>
      <c r="M126" s="149">
        <f t="shared" si="8"/>
        <v>0</v>
      </c>
    </row>
    <row r="127" spans="1:13" x14ac:dyDescent="0.25">
      <c r="A127" s="163"/>
      <c r="G127" s="133"/>
      <c r="H127" s="147">
        <v>122</v>
      </c>
      <c r="I127" s="148" t="str">
        <f t="shared" si="9"/>
        <v/>
      </c>
      <c r="J127" s="147" t="e">
        <f t="shared" si="10"/>
        <v>#NUM!</v>
      </c>
      <c r="K127" s="147" t="e">
        <f t="shared" si="7"/>
        <v>#NUM!</v>
      </c>
      <c r="L127" s="147"/>
      <c r="M127" s="149">
        <f t="shared" si="8"/>
        <v>0</v>
      </c>
    </row>
    <row r="128" spans="1:13" x14ac:dyDescent="0.25">
      <c r="A128" s="163"/>
      <c r="G128" s="133"/>
      <c r="H128" s="147">
        <v>123</v>
      </c>
      <c r="I128" s="148" t="str">
        <f t="shared" si="9"/>
        <v/>
      </c>
      <c r="J128" s="147" t="e">
        <f t="shared" si="10"/>
        <v>#NUM!</v>
      </c>
      <c r="K128" s="147" t="e">
        <f t="shared" si="7"/>
        <v>#NUM!</v>
      </c>
      <c r="L128" s="147"/>
      <c r="M128" s="149">
        <f t="shared" si="8"/>
        <v>0</v>
      </c>
    </row>
    <row r="129" spans="1:13" x14ac:dyDescent="0.25">
      <c r="A129" s="163"/>
      <c r="G129" s="133"/>
      <c r="H129" s="147">
        <v>124</v>
      </c>
      <c r="I129" s="148" t="str">
        <f t="shared" si="9"/>
        <v/>
      </c>
      <c r="J129" s="147" t="e">
        <f t="shared" si="10"/>
        <v>#NUM!</v>
      </c>
      <c r="K129" s="147" t="e">
        <f t="shared" si="7"/>
        <v>#NUM!</v>
      </c>
      <c r="L129" s="147"/>
      <c r="M129" s="149">
        <f t="shared" si="8"/>
        <v>0</v>
      </c>
    </row>
    <row r="130" spans="1:13" x14ac:dyDescent="0.25">
      <c r="A130" s="163"/>
      <c r="G130" s="133"/>
      <c r="H130" s="147">
        <v>125</v>
      </c>
      <c r="I130" s="148" t="str">
        <f t="shared" si="9"/>
        <v/>
      </c>
      <c r="J130" s="147" t="e">
        <f t="shared" si="10"/>
        <v>#NUM!</v>
      </c>
      <c r="K130" s="147" t="e">
        <f t="shared" si="7"/>
        <v>#NUM!</v>
      </c>
      <c r="L130" s="147"/>
      <c r="M130" s="149">
        <f t="shared" si="8"/>
        <v>0</v>
      </c>
    </row>
    <row r="131" spans="1:13" x14ac:dyDescent="0.25">
      <c r="A131" s="163"/>
      <c r="G131" s="133"/>
      <c r="H131" s="147">
        <v>126</v>
      </c>
      <c r="I131" s="148" t="str">
        <f t="shared" si="9"/>
        <v/>
      </c>
      <c r="J131" s="147" t="e">
        <f t="shared" si="10"/>
        <v>#NUM!</v>
      </c>
      <c r="K131" s="147" t="e">
        <f t="shared" si="7"/>
        <v>#NUM!</v>
      </c>
      <c r="L131" s="147"/>
      <c r="M131" s="149">
        <f t="shared" si="8"/>
        <v>0</v>
      </c>
    </row>
    <row r="132" spans="1:13" x14ac:dyDescent="0.25">
      <c r="A132" s="163"/>
      <c r="G132" s="133"/>
      <c r="H132" s="147">
        <v>127</v>
      </c>
      <c r="I132" s="148" t="str">
        <f t="shared" si="9"/>
        <v/>
      </c>
      <c r="J132" s="147" t="e">
        <f t="shared" si="10"/>
        <v>#NUM!</v>
      </c>
      <c r="K132" s="147" t="e">
        <f t="shared" si="7"/>
        <v>#NUM!</v>
      </c>
      <c r="L132" s="147"/>
      <c r="M132" s="149">
        <f t="shared" si="8"/>
        <v>0</v>
      </c>
    </row>
    <row r="133" spans="1:13" x14ac:dyDescent="0.25">
      <c r="A133" s="163"/>
      <c r="G133" s="133"/>
      <c r="H133" s="147">
        <v>128</v>
      </c>
      <c r="I133" s="148" t="str">
        <f t="shared" si="9"/>
        <v/>
      </c>
      <c r="J133" s="147" t="e">
        <f t="shared" si="10"/>
        <v>#NUM!</v>
      </c>
      <c r="K133" s="147" t="e">
        <f t="shared" si="7"/>
        <v>#NUM!</v>
      </c>
      <c r="L133" s="147"/>
      <c r="M133" s="149">
        <f t="shared" si="8"/>
        <v>0</v>
      </c>
    </row>
    <row r="134" spans="1:13" x14ac:dyDescent="0.25">
      <c r="A134" s="163"/>
      <c r="G134" s="133"/>
      <c r="H134" s="147">
        <v>129</v>
      </c>
      <c r="I134" s="148" t="str">
        <f t="shared" si="9"/>
        <v/>
      </c>
      <c r="J134" s="147" t="e">
        <f t="shared" si="10"/>
        <v>#NUM!</v>
      </c>
      <c r="K134" s="147" t="e">
        <f t="shared" ref="K134:K197" si="11">J134*$J$2</f>
        <v>#NUM!</v>
      </c>
      <c r="L134" s="147"/>
      <c r="M134" s="149">
        <f t="shared" ref="M134:M197" si="12">IF(I134&lt;&gt;"",K134+I134+L134,0)</f>
        <v>0</v>
      </c>
    </row>
    <row r="135" spans="1:13" x14ac:dyDescent="0.25">
      <c r="A135" s="163"/>
      <c r="G135" s="133"/>
      <c r="H135" s="147">
        <v>130</v>
      </c>
      <c r="I135" s="148" t="str">
        <f t="shared" ref="I135:I198" si="13">IF(H135&lt;$H$2+1,($I$2-($I$2-1)*(LOG(H135)/LOG($H$2))),"")</f>
        <v/>
      </c>
      <c r="J135" s="147" t="e">
        <f t="shared" ref="J135:J198" si="14">INT(LOG($H$2,2))-ROUNDUP(LOG(H135,2),0)+IF(OR($H$2=1,$H$2=2,$H$2=4,$H$2=8,$H$2=16,$H$2=32,$H$2=64,$H$2=128,$H$2=256),0,1)</f>
        <v>#NUM!</v>
      </c>
      <c r="K135" s="147" t="e">
        <f t="shared" si="11"/>
        <v>#NUM!</v>
      </c>
      <c r="L135" s="147"/>
      <c r="M135" s="149">
        <f t="shared" si="12"/>
        <v>0</v>
      </c>
    </row>
    <row r="136" spans="1:13" x14ac:dyDescent="0.25">
      <c r="A136" s="163"/>
      <c r="G136" s="133"/>
      <c r="H136" s="147">
        <v>131</v>
      </c>
      <c r="I136" s="148" t="str">
        <f t="shared" si="13"/>
        <v/>
      </c>
      <c r="J136" s="147" t="e">
        <f t="shared" si="14"/>
        <v>#NUM!</v>
      </c>
      <c r="K136" s="147" t="e">
        <f t="shared" si="11"/>
        <v>#NUM!</v>
      </c>
      <c r="L136" s="147"/>
      <c r="M136" s="149">
        <f t="shared" si="12"/>
        <v>0</v>
      </c>
    </row>
    <row r="137" spans="1:13" x14ac:dyDescent="0.25">
      <c r="A137" s="163"/>
      <c r="G137" s="133"/>
      <c r="H137" s="147">
        <v>132</v>
      </c>
      <c r="I137" s="148" t="str">
        <f t="shared" si="13"/>
        <v/>
      </c>
      <c r="J137" s="147" t="e">
        <f t="shared" si="14"/>
        <v>#NUM!</v>
      </c>
      <c r="K137" s="147" t="e">
        <f t="shared" si="11"/>
        <v>#NUM!</v>
      </c>
      <c r="L137" s="147"/>
      <c r="M137" s="149">
        <f t="shared" si="12"/>
        <v>0</v>
      </c>
    </row>
    <row r="138" spans="1:13" x14ac:dyDescent="0.25">
      <c r="A138" s="163"/>
      <c r="G138" s="133"/>
      <c r="H138" s="147">
        <v>133</v>
      </c>
      <c r="I138" s="148" t="str">
        <f t="shared" si="13"/>
        <v/>
      </c>
      <c r="J138" s="147" t="e">
        <f t="shared" si="14"/>
        <v>#NUM!</v>
      </c>
      <c r="K138" s="147" t="e">
        <f t="shared" si="11"/>
        <v>#NUM!</v>
      </c>
      <c r="L138" s="147"/>
      <c r="M138" s="149">
        <f t="shared" si="12"/>
        <v>0</v>
      </c>
    </row>
    <row r="139" spans="1:13" x14ac:dyDescent="0.25">
      <c r="A139" s="163"/>
      <c r="G139" s="133"/>
      <c r="H139" s="147">
        <v>134</v>
      </c>
      <c r="I139" s="148" t="str">
        <f t="shared" si="13"/>
        <v/>
      </c>
      <c r="J139" s="147" t="e">
        <f t="shared" si="14"/>
        <v>#NUM!</v>
      </c>
      <c r="K139" s="147" t="e">
        <f t="shared" si="11"/>
        <v>#NUM!</v>
      </c>
      <c r="L139" s="147"/>
      <c r="M139" s="149">
        <f t="shared" si="12"/>
        <v>0</v>
      </c>
    </row>
    <row r="140" spans="1:13" x14ac:dyDescent="0.25">
      <c r="A140" s="163"/>
      <c r="G140" s="133"/>
      <c r="H140" s="147">
        <v>135</v>
      </c>
      <c r="I140" s="148" t="str">
        <f t="shared" si="13"/>
        <v/>
      </c>
      <c r="J140" s="147" t="e">
        <f t="shared" si="14"/>
        <v>#NUM!</v>
      </c>
      <c r="K140" s="147" t="e">
        <f t="shared" si="11"/>
        <v>#NUM!</v>
      </c>
      <c r="L140" s="147"/>
      <c r="M140" s="149">
        <f t="shared" si="12"/>
        <v>0</v>
      </c>
    </row>
    <row r="141" spans="1:13" x14ac:dyDescent="0.25">
      <c r="A141" s="163"/>
      <c r="G141" s="133"/>
      <c r="H141" s="147">
        <v>136</v>
      </c>
      <c r="I141" s="148" t="str">
        <f t="shared" si="13"/>
        <v/>
      </c>
      <c r="J141" s="147" t="e">
        <f t="shared" si="14"/>
        <v>#NUM!</v>
      </c>
      <c r="K141" s="147" t="e">
        <f t="shared" si="11"/>
        <v>#NUM!</v>
      </c>
      <c r="L141" s="147"/>
      <c r="M141" s="149">
        <f t="shared" si="12"/>
        <v>0</v>
      </c>
    </row>
    <row r="142" spans="1:13" x14ac:dyDescent="0.25">
      <c r="A142" s="163"/>
      <c r="G142" s="133"/>
      <c r="H142" s="147">
        <v>137</v>
      </c>
      <c r="I142" s="148" t="str">
        <f t="shared" si="13"/>
        <v/>
      </c>
      <c r="J142" s="147" t="e">
        <f t="shared" si="14"/>
        <v>#NUM!</v>
      </c>
      <c r="K142" s="147" t="e">
        <f t="shared" si="11"/>
        <v>#NUM!</v>
      </c>
      <c r="L142" s="147"/>
      <c r="M142" s="149">
        <f t="shared" si="12"/>
        <v>0</v>
      </c>
    </row>
    <row r="143" spans="1:13" x14ac:dyDescent="0.25">
      <c r="A143" s="163"/>
      <c r="G143" s="133"/>
      <c r="H143" s="147">
        <v>138</v>
      </c>
      <c r="I143" s="148" t="str">
        <f t="shared" si="13"/>
        <v/>
      </c>
      <c r="J143" s="147" t="e">
        <f t="shared" si="14"/>
        <v>#NUM!</v>
      </c>
      <c r="K143" s="147" t="e">
        <f t="shared" si="11"/>
        <v>#NUM!</v>
      </c>
      <c r="L143" s="147"/>
      <c r="M143" s="149">
        <f t="shared" si="12"/>
        <v>0</v>
      </c>
    </row>
    <row r="144" spans="1:13" x14ac:dyDescent="0.25">
      <c r="A144" s="163"/>
      <c r="G144" s="133"/>
      <c r="H144" s="147">
        <v>139</v>
      </c>
      <c r="I144" s="148" t="str">
        <f t="shared" si="13"/>
        <v/>
      </c>
      <c r="J144" s="147" t="e">
        <f t="shared" si="14"/>
        <v>#NUM!</v>
      </c>
      <c r="K144" s="147" t="e">
        <f t="shared" si="11"/>
        <v>#NUM!</v>
      </c>
      <c r="L144" s="147"/>
      <c r="M144" s="149">
        <f t="shared" si="12"/>
        <v>0</v>
      </c>
    </row>
    <row r="145" spans="1:13" x14ac:dyDescent="0.25">
      <c r="A145" s="163"/>
      <c r="G145" s="133"/>
      <c r="H145" s="147">
        <v>140</v>
      </c>
      <c r="I145" s="148" t="str">
        <f t="shared" si="13"/>
        <v/>
      </c>
      <c r="J145" s="147" t="e">
        <f t="shared" si="14"/>
        <v>#NUM!</v>
      </c>
      <c r="K145" s="147" t="e">
        <f t="shared" si="11"/>
        <v>#NUM!</v>
      </c>
      <c r="L145" s="147"/>
      <c r="M145" s="149">
        <f t="shared" si="12"/>
        <v>0</v>
      </c>
    </row>
    <row r="146" spans="1:13" x14ac:dyDescent="0.25">
      <c r="A146" s="163"/>
      <c r="G146" s="133"/>
      <c r="H146" s="147">
        <v>141</v>
      </c>
      <c r="I146" s="148" t="str">
        <f t="shared" si="13"/>
        <v/>
      </c>
      <c r="J146" s="147" t="e">
        <f t="shared" si="14"/>
        <v>#NUM!</v>
      </c>
      <c r="K146" s="147" t="e">
        <f t="shared" si="11"/>
        <v>#NUM!</v>
      </c>
      <c r="L146" s="147"/>
      <c r="M146" s="149">
        <f t="shared" si="12"/>
        <v>0</v>
      </c>
    </row>
    <row r="147" spans="1:13" x14ac:dyDescent="0.25">
      <c r="A147" s="163"/>
      <c r="G147" s="133"/>
      <c r="H147" s="147">
        <v>142</v>
      </c>
      <c r="I147" s="148" t="str">
        <f t="shared" si="13"/>
        <v/>
      </c>
      <c r="J147" s="147" t="e">
        <f t="shared" si="14"/>
        <v>#NUM!</v>
      </c>
      <c r="K147" s="147" t="e">
        <f t="shared" si="11"/>
        <v>#NUM!</v>
      </c>
      <c r="L147" s="147"/>
      <c r="M147" s="149">
        <f t="shared" si="12"/>
        <v>0</v>
      </c>
    </row>
    <row r="148" spans="1:13" x14ac:dyDescent="0.25">
      <c r="A148" s="163"/>
      <c r="G148" s="133"/>
      <c r="H148" s="147">
        <v>143</v>
      </c>
      <c r="I148" s="148" t="str">
        <f t="shared" si="13"/>
        <v/>
      </c>
      <c r="J148" s="147" t="e">
        <f t="shared" si="14"/>
        <v>#NUM!</v>
      </c>
      <c r="K148" s="147" t="e">
        <f t="shared" si="11"/>
        <v>#NUM!</v>
      </c>
      <c r="L148" s="147"/>
      <c r="M148" s="149">
        <f t="shared" si="12"/>
        <v>0</v>
      </c>
    </row>
    <row r="149" spans="1:13" x14ac:dyDescent="0.25">
      <c r="A149" s="163"/>
      <c r="G149" s="133"/>
      <c r="H149" s="147">
        <v>144</v>
      </c>
      <c r="I149" s="148" t="str">
        <f t="shared" si="13"/>
        <v/>
      </c>
      <c r="J149" s="147" t="e">
        <f t="shared" si="14"/>
        <v>#NUM!</v>
      </c>
      <c r="K149" s="147" t="e">
        <f t="shared" si="11"/>
        <v>#NUM!</v>
      </c>
      <c r="L149" s="147"/>
      <c r="M149" s="149">
        <f t="shared" si="12"/>
        <v>0</v>
      </c>
    </row>
    <row r="150" spans="1:13" x14ac:dyDescent="0.25">
      <c r="A150" s="163"/>
      <c r="G150" s="133"/>
      <c r="H150" s="147">
        <v>145</v>
      </c>
      <c r="I150" s="148" t="str">
        <f t="shared" si="13"/>
        <v/>
      </c>
      <c r="J150" s="147" t="e">
        <f t="shared" si="14"/>
        <v>#NUM!</v>
      </c>
      <c r="K150" s="147" t="e">
        <f t="shared" si="11"/>
        <v>#NUM!</v>
      </c>
      <c r="L150" s="147"/>
      <c r="M150" s="149">
        <f t="shared" si="12"/>
        <v>0</v>
      </c>
    </row>
    <row r="151" spans="1:13" x14ac:dyDescent="0.25">
      <c r="A151" s="163"/>
      <c r="G151" s="133"/>
      <c r="H151" s="147">
        <v>146</v>
      </c>
      <c r="I151" s="148" t="str">
        <f t="shared" si="13"/>
        <v/>
      </c>
      <c r="J151" s="147" t="e">
        <f t="shared" si="14"/>
        <v>#NUM!</v>
      </c>
      <c r="K151" s="147" t="e">
        <f t="shared" si="11"/>
        <v>#NUM!</v>
      </c>
      <c r="L151" s="147"/>
      <c r="M151" s="149">
        <f t="shared" si="12"/>
        <v>0</v>
      </c>
    </row>
    <row r="152" spans="1:13" x14ac:dyDescent="0.25">
      <c r="A152" s="163"/>
      <c r="G152" s="133"/>
      <c r="H152" s="147">
        <v>147</v>
      </c>
      <c r="I152" s="148" t="str">
        <f t="shared" si="13"/>
        <v/>
      </c>
      <c r="J152" s="147" t="e">
        <f t="shared" si="14"/>
        <v>#NUM!</v>
      </c>
      <c r="K152" s="147" t="e">
        <f t="shared" si="11"/>
        <v>#NUM!</v>
      </c>
      <c r="L152" s="147"/>
      <c r="M152" s="149">
        <f t="shared" si="12"/>
        <v>0</v>
      </c>
    </row>
    <row r="153" spans="1:13" x14ac:dyDescent="0.25">
      <c r="A153" s="163"/>
      <c r="G153" s="133"/>
      <c r="H153" s="147">
        <v>148</v>
      </c>
      <c r="I153" s="148" t="str">
        <f t="shared" si="13"/>
        <v/>
      </c>
      <c r="J153" s="147" t="e">
        <f t="shared" si="14"/>
        <v>#NUM!</v>
      </c>
      <c r="K153" s="147" t="e">
        <f t="shared" si="11"/>
        <v>#NUM!</v>
      </c>
      <c r="L153" s="147"/>
      <c r="M153" s="149">
        <f t="shared" si="12"/>
        <v>0</v>
      </c>
    </row>
    <row r="154" spans="1:13" x14ac:dyDescent="0.25">
      <c r="A154" s="163"/>
      <c r="G154" s="133"/>
      <c r="H154" s="147">
        <v>149</v>
      </c>
      <c r="I154" s="148" t="str">
        <f t="shared" si="13"/>
        <v/>
      </c>
      <c r="J154" s="147" t="e">
        <f t="shared" si="14"/>
        <v>#NUM!</v>
      </c>
      <c r="K154" s="147" t="e">
        <f t="shared" si="11"/>
        <v>#NUM!</v>
      </c>
      <c r="L154" s="147"/>
      <c r="M154" s="149">
        <f t="shared" si="12"/>
        <v>0</v>
      </c>
    </row>
    <row r="155" spans="1:13" x14ac:dyDescent="0.25">
      <c r="A155" s="163"/>
      <c r="G155" s="133"/>
      <c r="H155" s="147">
        <v>150</v>
      </c>
      <c r="I155" s="148" t="str">
        <f t="shared" si="13"/>
        <v/>
      </c>
      <c r="J155" s="147" t="e">
        <f t="shared" si="14"/>
        <v>#NUM!</v>
      </c>
      <c r="K155" s="147" t="e">
        <f t="shared" si="11"/>
        <v>#NUM!</v>
      </c>
      <c r="L155" s="147"/>
      <c r="M155" s="149">
        <f t="shared" si="12"/>
        <v>0</v>
      </c>
    </row>
    <row r="156" spans="1:13" x14ac:dyDescent="0.25">
      <c r="A156" s="163"/>
      <c r="G156" s="133"/>
      <c r="H156" s="147">
        <v>151</v>
      </c>
      <c r="I156" s="148" t="str">
        <f t="shared" si="13"/>
        <v/>
      </c>
      <c r="J156" s="147" t="e">
        <f t="shared" si="14"/>
        <v>#NUM!</v>
      </c>
      <c r="K156" s="147" t="e">
        <f t="shared" si="11"/>
        <v>#NUM!</v>
      </c>
      <c r="L156" s="147"/>
      <c r="M156" s="149">
        <f t="shared" si="12"/>
        <v>0</v>
      </c>
    </row>
    <row r="157" spans="1:13" x14ac:dyDescent="0.25">
      <c r="A157" s="163"/>
      <c r="G157" s="133"/>
      <c r="H157" s="147">
        <v>152</v>
      </c>
      <c r="I157" s="148" t="str">
        <f t="shared" si="13"/>
        <v/>
      </c>
      <c r="J157" s="147" t="e">
        <f t="shared" si="14"/>
        <v>#NUM!</v>
      </c>
      <c r="K157" s="147" t="e">
        <f t="shared" si="11"/>
        <v>#NUM!</v>
      </c>
      <c r="L157" s="147"/>
      <c r="M157" s="149">
        <f t="shared" si="12"/>
        <v>0</v>
      </c>
    </row>
    <row r="158" spans="1:13" x14ac:dyDescent="0.25">
      <c r="A158" s="163"/>
      <c r="G158" s="133"/>
      <c r="H158" s="147">
        <v>153</v>
      </c>
      <c r="I158" s="148" t="str">
        <f t="shared" si="13"/>
        <v/>
      </c>
      <c r="J158" s="147" t="e">
        <f t="shared" si="14"/>
        <v>#NUM!</v>
      </c>
      <c r="K158" s="147" t="e">
        <f t="shared" si="11"/>
        <v>#NUM!</v>
      </c>
      <c r="L158" s="147"/>
      <c r="M158" s="149">
        <f t="shared" si="12"/>
        <v>0</v>
      </c>
    </row>
    <row r="159" spans="1:13" x14ac:dyDescent="0.25">
      <c r="A159" s="163"/>
      <c r="G159" s="133"/>
      <c r="H159" s="147">
        <v>154</v>
      </c>
      <c r="I159" s="148" t="str">
        <f t="shared" si="13"/>
        <v/>
      </c>
      <c r="J159" s="147" t="e">
        <f t="shared" si="14"/>
        <v>#NUM!</v>
      </c>
      <c r="K159" s="147" t="e">
        <f t="shared" si="11"/>
        <v>#NUM!</v>
      </c>
      <c r="L159" s="147"/>
      <c r="M159" s="149">
        <f t="shared" si="12"/>
        <v>0</v>
      </c>
    </row>
    <row r="160" spans="1:13" x14ac:dyDescent="0.25">
      <c r="A160" s="163"/>
      <c r="G160" s="133"/>
      <c r="H160" s="147">
        <v>155</v>
      </c>
      <c r="I160" s="148" t="str">
        <f t="shared" si="13"/>
        <v/>
      </c>
      <c r="J160" s="147" t="e">
        <f t="shared" si="14"/>
        <v>#NUM!</v>
      </c>
      <c r="K160" s="147" t="e">
        <f t="shared" si="11"/>
        <v>#NUM!</v>
      </c>
      <c r="L160" s="147"/>
      <c r="M160" s="149">
        <f t="shared" si="12"/>
        <v>0</v>
      </c>
    </row>
    <row r="161" spans="1:13" x14ac:dyDescent="0.25">
      <c r="A161" s="163"/>
      <c r="G161" s="133"/>
      <c r="H161" s="147">
        <v>156</v>
      </c>
      <c r="I161" s="148" t="str">
        <f t="shared" si="13"/>
        <v/>
      </c>
      <c r="J161" s="147" t="e">
        <f t="shared" si="14"/>
        <v>#NUM!</v>
      </c>
      <c r="K161" s="147" t="e">
        <f t="shared" si="11"/>
        <v>#NUM!</v>
      </c>
      <c r="L161" s="147"/>
      <c r="M161" s="149">
        <f t="shared" si="12"/>
        <v>0</v>
      </c>
    </row>
    <row r="162" spans="1:13" x14ac:dyDescent="0.25">
      <c r="A162" s="163"/>
      <c r="G162" s="133"/>
      <c r="H162" s="147">
        <v>157</v>
      </c>
      <c r="I162" s="148" t="str">
        <f t="shared" si="13"/>
        <v/>
      </c>
      <c r="J162" s="147" t="e">
        <f t="shared" si="14"/>
        <v>#NUM!</v>
      </c>
      <c r="K162" s="147" t="e">
        <f t="shared" si="11"/>
        <v>#NUM!</v>
      </c>
      <c r="L162" s="147"/>
      <c r="M162" s="149">
        <f t="shared" si="12"/>
        <v>0</v>
      </c>
    </row>
    <row r="163" spans="1:13" x14ac:dyDescent="0.25">
      <c r="A163" s="163"/>
      <c r="G163" s="133"/>
      <c r="H163" s="147">
        <v>158</v>
      </c>
      <c r="I163" s="148" t="str">
        <f t="shared" si="13"/>
        <v/>
      </c>
      <c r="J163" s="147" t="e">
        <f t="shared" si="14"/>
        <v>#NUM!</v>
      </c>
      <c r="K163" s="147" t="e">
        <f t="shared" si="11"/>
        <v>#NUM!</v>
      </c>
      <c r="L163" s="147"/>
      <c r="M163" s="149">
        <f t="shared" si="12"/>
        <v>0</v>
      </c>
    </row>
    <row r="164" spans="1:13" x14ac:dyDescent="0.25">
      <c r="A164" s="163"/>
      <c r="G164" s="133"/>
      <c r="H164" s="147">
        <v>159</v>
      </c>
      <c r="I164" s="148" t="str">
        <f t="shared" si="13"/>
        <v/>
      </c>
      <c r="J164" s="147" t="e">
        <f t="shared" si="14"/>
        <v>#NUM!</v>
      </c>
      <c r="K164" s="147" t="e">
        <f t="shared" si="11"/>
        <v>#NUM!</v>
      </c>
      <c r="L164" s="147"/>
      <c r="M164" s="149">
        <f t="shared" si="12"/>
        <v>0</v>
      </c>
    </row>
    <row r="165" spans="1:13" x14ac:dyDescent="0.25">
      <c r="A165" s="163"/>
      <c r="G165" s="133"/>
      <c r="H165" s="147">
        <v>160</v>
      </c>
      <c r="I165" s="148" t="str">
        <f t="shared" si="13"/>
        <v/>
      </c>
      <c r="J165" s="147" t="e">
        <f t="shared" si="14"/>
        <v>#NUM!</v>
      </c>
      <c r="K165" s="147" t="e">
        <f t="shared" si="11"/>
        <v>#NUM!</v>
      </c>
      <c r="L165" s="147"/>
      <c r="M165" s="149">
        <f t="shared" si="12"/>
        <v>0</v>
      </c>
    </row>
    <row r="166" spans="1:13" x14ac:dyDescent="0.25">
      <c r="A166" s="163"/>
      <c r="G166" s="133"/>
      <c r="H166" s="147">
        <v>161</v>
      </c>
      <c r="I166" s="148" t="str">
        <f t="shared" si="13"/>
        <v/>
      </c>
      <c r="J166" s="147" t="e">
        <f t="shared" si="14"/>
        <v>#NUM!</v>
      </c>
      <c r="K166" s="147" t="e">
        <f t="shared" si="11"/>
        <v>#NUM!</v>
      </c>
      <c r="L166" s="147"/>
      <c r="M166" s="149">
        <f t="shared" si="12"/>
        <v>0</v>
      </c>
    </row>
    <row r="167" spans="1:13" x14ac:dyDescent="0.25">
      <c r="A167" s="163"/>
      <c r="G167" s="133"/>
      <c r="H167" s="147">
        <v>162</v>
      </c>
      <c r="I167" s="148" t="str">
        <f t="shared" si="13"/>
        <v/>
      </c>
      <c r="J167" s="147" t="e">
        <f t="shared" si="14"/>
        <v>#NUM!</v>
      </c>
      <c r="K167" s="147" t="e">
        <f t="shared" si="11"/>
        <v>#NUM!</v>
      </c>
      <c r="L167" s="147"/>
      <c r="M167" s="149">
        <f t="shared" si="12"/>
        <v>0</v>
      </c>
    </row>
    <row r="168" spans="1:13" x14ac:dyDescent="0.25">
      <c r="A168" s="163"/>
      <c r="G168" s="133"/>
      <c r="H168" s="147">
        <v>163</v>
      </c>
      <c r="I168" s="148" t="str">
        <f t="shared" si="13"/>
        <v/>
      </c>
      <c r="J168" s="147" t="e">
        <f t="shared" si="14"/>
        <v>#NUM!</v>
      </c>
      <c r="K168" s="147" t="e">
        <f t="shared" si="11"/>
        <v>#NUM!</v>
      </c>
      <c r="L168" s="147"/>
      <c r="M168" s="149">
        <f t="shared" si="12"/>
        <v>0</v>
      </c>
    </row>
    <row r="169" spans="1:13" x14ac:dyDescent="0.25">
      <c r="A169" s="163"/>
      <c r="G169" s="133"/>
      <c r="H169" s="147">
        <v>164</v>
      </c>
      <c r="I169" s="148" t="str">
        <f t="shared" si="13"/>
        <v/>
      </c>
      <c r="J169" s="147" t="e">
        <f t="shared" si="14"/>
        <v>#NUM!</v>
      </c>
      <c r="K169" s="147" t="e">
        <f t="shared" si="11"/>
        <v>#NUM!</v>
      </c>
      <c r="L169" s="147"/>
      <c r="M169" s="149">
        <f t="shared" si="12"/>
        <v>0</v>
      </c>
    </row>
    <row r="170" spans="1:13" x14ac:dyDescent="0.25">
      <c r="A170" s="163"/>
      <c r="G170" s="133"/>
      <c r="H170" s="147">
        <v>165</v>
      </c>
      <c r="I170" s="148" t="str">
        <f t="shared" si="13"/>
        <v/>
      </c>
      <c r="J170" s="147" t="e">
        <f t="shared" si="14"/>
        <v>#NUM!</v>
      </c>
      <c r="K170" s="147" t="e">
        <f t="shared" si="11"/>
        <v>#NUM!</v>
      </c>
      <c r="L170" s="147"/>
      <c r="M170" s="149">
        <f t="shared" si="12"/>
        <v>0</v>
      </c>
    </row>
    <row r="171" spans="1:13" x14ac:dyDescent="0.25">
      <c r="A171" s="163"/>
      <c r="G171" s="133"/>
      <c r="H171" s="147">
        <v>166</v>
      </c>
      <c r="I171" s="148" t="str">
        <f t="shared" si="13"/>
        <v/>
      </c>
      <c r="J171" s="147" t="e">
        <f t="shared" si="14"/>
        <v>#NUM!</v>
      </c>
      <c r="K171" s="147" t="e">
        <f t="shared" si="11"/>
        <v>#NUM!</v>
      </c>
      <c r="L171" s="147"/>
      <c r="M171" s="149">
        <f t="shared" si="12"/>
        <v>0</v>
      </c>
    </row>
    <row r="172" spans="1:13" x14ac:dyDescent="0.25">
      <c r="A172" s="163"/>
      <c r="G172" s="133"/>
      <c r="H172" s="147">
        <v>167</v>
      </c>
      <c r="I172" s="148" t="str">
        <f t="shared" si="13"/>
        <v/>
      </c>
      <c r="J172" s="147" t="e">
        <f t="shared" si="14"/>
        <v>#NUM!</v>
      </c>
      <c r="K172" s="147" t="e">
        <f t="shared" si="11"/>
        <v>#NUM!</v>
      </c>
      <c r="L172" s="147"/>
      <c r="M172" s="149">
        <f t="shared" si="12"/>
        <v>0</v>
      </c>
    </row>
    <row r="173" spans="1:13" x14ac:dyDescent="0.25">
      <c r="A173" s="163"/>
      <c r="G173" s="133"/>
      <c r="H173" s="147">
        <v>168</v>
      </c>
      <c r="I173" s="148" t="str">
        <f t="shared" si="13"/>
        <v/>
      </c>
      <c r="J173" s="147" t="e">
        <f t="shared" si="14"/>
        <v>#NUM!</v>
      </c>
      <c r="K173" s="147" t="e">
        <f t="shared" si="11"/>
        <v>#NUM!</v>
      </c>
      <c r="L173" s="147"/>
      <c r="M173" s="149">
        <f t="shared" si="12"/>
        <v>0</v>
      </c>
    </row>
    <row r="174" spans="1:13" x14ac:dyDescent="0.25">
      <c r="A174" s="163"/>
      <c r="G174" s="133"/>
      <c r="H174" s="147">
        <v>169</v>
      </c>
      <c r="I174" s="148" t="str">
        <f t="shared" si="13"/>
        <v/>
      </c>
      <c r="J174" s="147" t="e">
        <f t="shared" si="14"/>
        <v>#NUM!</v>
      </c>
      <c r="K174" s="147" t="e">
        <f t="shared" si="11"/>
        <v>#NUM!</v>
      </c>
      <c r="L174" s="147"/>
      <c r="M174" s="149">
        <f t="shared" si="12"/>
        <v>0</v>
      </c>
    </row>
    <row r="175" spans="1:13" x14ac:dyDescent="0.25">
      <c r="A175" s="163"/>
      <c r="G175" s="133"/>
      <c r="H175" s="147">
        <v>170</v>
      </c>
      <c r="I175" s="148" t="str">
        <f t="shared" si="13"/>
        <v/>
      </c>
      <c r="J175" s="147" t="e">
        <f t="shared" si="14"/>
        <v>#NUM!</v>
      </c>
      <c r="K175" s="147" t="e">
        <f t="shared" si="11"/>
        <v>#NUM!</v>
      </c>
      <c r="L175" s="147"/>
      <c r="M175" s="149">
        <f t="shared" si="12"/>
        <v>0</v>
      </c>
    </row>
    <row r="176" spans="1:13" x14ac:dyDescent="0.25">
      <c r="A176" s="163"/>
      <c r="G176" s="133"/>
      <c r="H176" s="147">
        <v>171</v>
      </c>
      <c r="I176" s="148" t="str">
        <f t="shared" si="13"/>
        <v/>
      </c>
      <c r="J176" s="147" t="e">
        <f t="shared" si="14"/>
        <v>#NUM!</v>
      </c>
      <c r="K176" s="147" t="e">
        <f t="shared" si="11"/>
        <v>#NUM!</v>
      </c>
      <c r="L176" s="147"/>
      <c r="M176" s="149">
        <f t="shared" si="12"/>
        <v>0</v>
      </c>
    </row>
    <row r="177" spans="1:13" x14ac:dyDescent="0.25">
      <c r="A177" s="163"/>
      <c r="G177" s="133"/>
      <c r="H177" s="147">
        <v>172</v>
      </c>
      <c r="I177" s="148" t="str">
        <f t="shared" si="13"/>
        <v/>
      </c>
      <c r="J177" s="147" t="e">
        <f t="shared" si="14"/>
        <v>#NUM!</v>
      </c>
      <c r="K177" s="147" t="e">
        <f t="shared" si="11"/>
        <v>#NUM!</v>
      </c>
      <c r="L177" s="147"/>
      <c r="M177" s="149">
        <f t="shared" si="12"/>
        <v>0</v>
      </c>
    </row>
    <row r="178" spans="1:13" x14ac:dyDescent="0.25">
      <c r="A178" s="163"/>
      <c r="G178" s="133"/>
      <c r="H178" s="147">
        <v>173</v>
      </c>
      <c r="I178" s="148" t="str">
        <f t="shared" si="13"/>
        <v/>
      </c>
      <c r="J178" s="147" t="e">
        <f t="shared" si="14"/>
        <v>#NUM!</v>
      </c>
      <c r="K178" s="147" t="e">
        <f t="shared" si="11"/>
        <v>#NUM!</v>
      </c>
      <c r="L178" s="147"/>
      <c r="M178" s="149">
        <f t="shared" si="12"/>
        <v>0</v>
      </c>
    </row>
    <row r="179" spans="1:13" x14ac:dyDescent="0.25">
      <c r="A179" s="163"/>
      <c r="G179" s="133"/>
      <c r="H179" s="147">
        <v>174</v>
      </c>
      <c r="I179" s="148" t="str">
        <f t="shared" si="13"/>
        <v/>
      </c>
      <c r="J179" s="147" t="e">
        <f t="shared" si="14"/>
        <v>#NUM!</v>
      </c>
      <c r="K179" s="147" t="e">
        <f t="shared" si="11"/>
        <v>#NUM!</v>
      </c>
      <c r="L179" s="147"/>
      <c r="M179" s="149">
        <f t="shared" si="12"/>
        <v>0</v>
      </c>
    </row>
    <row r="180" spans="1:13" x14ac:dyDescent="0.25">
      <c r="A180" s="163"/>
      <c r="G180" s="133"/>
      <c r="H180" s="147">
        <v>175</v>
      </c>
      <c r="I180" s="148" t="str">
        <f t="shared" si="13"/>
        <v/>
      </c>
      <c r="J180" s="147" t="e">
        <f t="shared" si="14"/>
        <v>#NUM!</v>
      </c>
      <c r="K180" s="147" t="e">
        <f t="shared" si="11"/>
        <v>#NUM!</v>
      </c>
      <c r="L180" s="147"/>
      <c r="M180" s="149">
        <f t="shared" si="12"/>
        <v>0</v>
      </c>
    </row>
    <row r="181" spans="1:13" x14ac:dyDescent="0.25">
      <c r="A181" s="163"/>
      <c r="G181" s="133"/>
      <c r="H181" s="147">
        <v>176</v>
      </c>
      <c r="I181" s="148" t="str">
        <f t="shared" si="13"/>
        <v/>
      </c>
      <c r="J181" s="147" t="e">
        <f t="shared" si="14"/>
        <v>#NUM!</v>
      </c>
      <c r="K181" s="147" t="e">
        <f t="shared" si="11"/>
        <v>#NUM!</v>
      </c>
      <c r="L181" s="147"/>
      <c r="M181" s="149">
        <f t="shared" si="12"/>
        <v>0</v>
      </c>
    </row>
    <row r="182" spans="1:13" x14ac:dyDescent="0.25">
      <c r="A182" s="163"/>
      <c r="G182" s="133"/>
      <c r="H182" s="147">
        <v>177</v>
      </c>
      <c r="I182" s="148" t="str">
        <f t="shared" si="13"/>
        <v/>
      </c>
      <c r="J182" s="147" t="e">
        <f t="shared" si="14"/>
        <v>#NUM!</v>
      </c>
      <c r="K182" s="147" t="e">
        <f t="shared" si="11"/>
        <v>#NUM!</v>
      </c>
      <c r="L182" s="147"/>
      <c r="M182" s="149">
        <f t="shared" si="12"/>
        <v>0</v>
      </c>
    </row>
    <row r="183" spans="1:13" x14ac:dyDescent="0.25">
      <c r="A183" s="163"/>
      <c r="G183" s="133"/>
      <c r="H183" s="147">
        <v>178</v>
      </c>
      <c r="I183" s="148" t="str">
        <f t="shared" si="13"/>
        <v/>
      </c>
      <c r="J183" s="147" t="e">
        <f t="shared" si="14"/>
        <v>#NUM!</v>
      </c>
      <c r="K183" s="147" t="e">
        <f t="shared" si="11"/>
        <v>#NUM!</v>
      </c>
      <c r="L183" s="147"/>
      <c r="M183" s="149">
        <f t="shared" si="12"/>
        <v>0</v>
      </c>
    </row>
    <row r="184" spans="1:13" x14ac:dyDescent="0.25">
      <c r="A184" s="163"/>
      <c r="G184" s="133"/>
      <c r="H184" s="147">
        <v>179</v>
      </c>
      <c r="I184" s="148" t="str">
        <f t="shared" si="13"/>
        <v/>
      </c>
      <c r="J184" s="147" t="e">
        <f t="shared" si="14"/>
        <v>#NUM!</v>
      </c>
      <c r="K184" s="147" t="e">
        <f t="shared" si="11"/>
        <v>#NUM!</v>
      </c>
      <c r="L184" s="147"/>
      <c r="M184" s="149">
        <f t="shared" si="12"/>
        <v>0</v>
      </c>
    </row>
    <row r="185" spans="1:13" x14ac:dyDescent="0.25">
      <c r="A185" s="163"/>
      <c r="G185" s="133"/>
      <c r="H185" s="147">
        <v>180</v>
      </c>
      <c r="I185" s="148" t="str">
        <f t="shared" si="13"/>
        <v/>
      </c>
      <c r="J185" s="147" t="e">
        <f t="shared" si="14"/>
        <v>#NUM!</v>
      </c>
      <c r="K185" s="147" t="e">
        <f t="shared" si="11"/>
        <v>#NUM!</v>
      </c>
      <c r="L185" s="147"/>
      <c r="M185" s="149">
        <f t="shared" si="12"/>
        <v>0</v>
      </c>
    </row>
    <row r="186" spans="1:13" x14ac:dyDescent="0.25">
      <c r="A186" s="163"/>
      <c r="G186" s="133"/>
      <c r="H186" s="147">
        <v>181</v>
      </c>
      <c r="I186" s="148" t="str">
        <f t="shared" si="13"/>
        <v/>
      </c>
      <c r="J186" s="147" t="e">
        <f t="shared" si="14"/>
        <v>#NUM!</v>
      </c>
      <c r="K186" s="147" t="e">
        <f t="shared" si="11"/>
        <v>#NUM!</v>
      </c>
      <c r="L186" s="147"/>
      <c r="M186" s="149">
        <f t="shared" si="12"/>
        <v>0</v>
      </c>
    </row>
    <row r="187" spans="1:13" x14ac:dyDescent="0.25">
      <c r="A187" s="163"/>
      <c r="G187" s="133"/>
      <c r="H187" s="147">
        <v>182</v>
      </c>
      <c r="I187" s="148" t="str">
        <f t="shared" si="13"/>
        <v/>
      </c>
      <c r="J187" s="147" t="e">
        <f t="shared" si="14"/>
        <v>#NUM!</v>
      </c>
      <c r="K187" s="147" t="e">
        <f t="shared" si="11"/>
        <v>#NUM!</v>
      </c>
      <c r="L187" s="147"/>
      <c r="M187" s="149">
        <f t="shared" si="12"/>
        <v>0</v>
      </c>
    </row>
    <row r="188" spans="1:13" x14ac:dyDescent="0.25">
      <c r="A188" s="163"/>
      <c r="G188" s="133"/>
      <c r="H188" s="147">
        <v>183</v>
      </c>
      <c r="I188" s="148" t="str">
        <f t="shared" si="13"/>
        <v/>
      </c>
      <c r="J188" s="147" t="e">
        <f t="shared" si="14"/>
        <v>#NUM!</v>
      </c>
      <c r="K188" s="147" t="e">
        <f t="shared" si="11"/>
        <v>#NUM!</v>
      </c>
      <c r="L188" s="147"/>
      <c r="M188" s="149">
        <f t="shared" si="12"/>
        <v>0</v>
      </c>
    </row>
    <row r="189" spans="1:13" x14ac:dyDescent="0.25">
      <c r="A189" s="163"/>
      <c r="G189" s="133"/>
      <c r="H189" s="147">
        <v>184</v>
      </c>
      <c r="I189" s="148" t="str">
        <f t="shared" si="13"/>
        <v/>
      </c>
      <c r="J189" s="147" t="e">
        <f t="shared" si="14"/>
        <v>#NUM!</v>
      </c>
      <c r="K189" s="147" t="e">
        <f t="shared" si="11"/>
        <v>#NUM!</v>
      </c>
      <c r="L189" s="147"/>
      <c r="M189" s="149">
        <f t="shared" si="12"/>
        <v>0</v>
      </c>
    </row>
    <row r="190" spans="1:13" x14ac:dyDescent="0.25">
      <c r="A190" s="163"/>
      <c r="G190" s="133"/>
      <c r="H190" s="147">
        <v>185</v>
      </c>
      <c r="I190" s="148" t="str">
        <f t="shared" si="13"/>
        <v/>
      </c>
      <c r="J190" s="147" t="e">
        <f t="shared" si="14"/>
        <v>#NUM!</v>
      </c>
      <c r="K190" s="147" t="e">
        <f t="shared" si="11"/>
        <v>#NUM!</v>
      </c>
      <c r="L190" s="147"/>
      <c r="M190" s="149">
        <f t="shared" si="12"/>
        <v>0</v>
      </c>
    </row>
    <row r="191" spans="1:13" x14ac:dyDescent="0.25">
      <c r="A191" s="163"/>
      <c r="G191" s="133"/>
      <c r="H191" s="147">
        <v>186</v>
      </c>
      <c r="I191" s="148" t="str">
        <f t="shared" si="13"/>
        <v/>
      </c>
      <c r="J191" s="147" t="e">
        <f t="shared" si="14"/>
        <v>#NUM!</v>
      </c>
      <c r="K191" s="147" t="e">
        <f t="shared" si="11"/>
        <v>#NUM!</v>
      </c>
      <c r="L191" s="147"/>
      <c r="M191" s="149">
        <f t="shared" si="12"/>
        <v>0</v>
      </c>
    </row>
    <row r="192" spans="1:13" x14ac:dyDescent="0.25">
      <c r="A192" s="163"/>
      <c r="G192" s="133"/>
      <c r="H192" s="147">
        <v>187</v>
      </c>
      <c r="I192" s="148" t="str">
        <f t="shared" si="13"/>
        <v/>
      </c>
      <c r="J192" s="147" t="e">
        <f t="shared" si="14"/>
        <v>#NUM!</v>
      </c>
      <c r="K192" s="147" t="e">
        <f t="shared" si="11"/>
        <v>#NUM!</v>
      </c>
      <c r="L192" s="147"/>
      <c r="M192" s="149">
        <f t="shared" si="12"/>
        <v>0</v>
      </c>
    </row>
    <row r="193" spans="1:13" x14ac:dyDescent="0.25">
      <c r="A193" s="163"/>
      <c r="G193" s="133"/>
      <c r="H193" s="147">
        <v>188</v>
      </c>
      <c r="I193" s="148" t="str">
        <f t="shared" si="13"/>
        <v/>
      </c>
      <c r="J193" s="147" t="e">
        <f t="shared" si="14"/>
        <v>#NUM!</v>
      </c>
      <c r="K193" s="147" t="e">
        <f t="shared" si="11"/>
        <v>#NUM!</v>
      </c>
      <c r="L193" s="147"/>
      <c r="M193" s="149">
        <f t="shared" si="12"/>
        <v>0</v>
      </c>
    </row>
    <row r="194" spans="1:13" x14ac:dyDescent="0.25">
      <c r="A194" s="163"/>
      <c r="G194" s="133"/>
      <c r="H194" s="147">
        <v>189</v>
      </c>
      <c r="I194" s="148" t="str">
        <f t="shared" si="13"/>
        <v/>
      </c>
      <c r="J194" s="147" t="e">
        <f t="shared" si="14"/>
        <v>#NUM!</v>
      </c>
      <c r="K194" s="147" t="e">
        <f t="shared" si="11"/>
        <v>#NUM!</v>
      </c>
      <c r="L194" s="147"/>
      <c r="M194" s="149">
        <f t="shared" si="12"/>
        <v>0</v>
      </c>
    </row>
    <row r="195" spans="1:13" x14ac:dyDescent="0.25">
      <c r="A195" s="163"/>
      <c r="G195" s="133"/>
      <c r="H195" s="147">
        <v>190</v>
      </c>
      <c r="I195" s="148" t="str">
        <f t="shared" si="13"/>
        <v/>
      </c>
      <c r="J195" s="147" t="e">
        <f t="shared" si="14"/>
        <v>#NUM!</v>
      </c>
      <c r="K195" s="147" t="e">
        <f t="shared" si="11"/>
        <v>#NUM!</v>
      </c>
      <c r="L195" s="147"/>
      <c r="M195" s="149">
        <f t="shared" si="12"/>
        <v>0</v>
      </c>
    </row>
    <row r="196" spans="1:13" x14ac:dyDescent="0.25">
      <c r="A196" s="163"/>
      <c r="G196" s="133"/>
      <c r="H196" s="147">
        <v>191</v>
      </c>
      <c r="I196" s="148" t="str">
        <f t="shared" si="13"/>
        <v/>
      </c>
      <c r="J196" s="147" t="e">
        <f t="shared" si="14"/>
        <v>#NUM!</v>
      </c>
      <c r="K196" s="147" t="e">
        <f t="shared" si="11"/>
        <v>#NUM!</v>
      </c>
      <c r="L196" s="147"/>
      <c r="M196" s="149">
        <f t="shared" si="12"/>
        <v>0</v>
      </c>
    </row>
    <row r="197" spans="1:13" x14ac:dyDescent="0.25">
      <c r="A197" s="163"/>
      <c r="G197" s="133"/>
      <c r="H197" s="147">
        <v>192</v>
      </c>
      <c r="I197" s="148" t="str">
        <f t="shared" si="13"/>
        <v/>
      </c>
      <c r="J197" s="147" t="e">
        <f t="shared" si="14"/>
        <v>#NUM!</v>
      </c>
      <c r="K197" s="147" t="e">
        <f t="shared" si="11"/>
        <v>#NUM!</v>
      </c>
      <c r="L197" s="147"/>
      <c r="M197" s="149">
        <f t="shared" si="12"/>
        <v>0</v>
      </c>
    </row>
    <row r="198" spans="1:13" x14ac:dyDescent="0.25">
      <c r="A198" s="163"/>
      <c r="G198" s="133"/>
      <c r="H198" s="147">
        <v>193</v>
      </c>
      <c r="I198" s="148" t="str">
        <f t="shared" si="13"/>
        <v/>
      </c>
      <c r="J198" s="147" t="e">
        <f t="shared" si="14"/>
        <v>#NUM!</v>
      </c>
      <c r="K198" s="147" t="e">
        <f t="shared" ref="K198:K261" si="15">J198*$J$2</f>
        <v>#NUM!</v>
      </c>
      <c r="L198" s="147"/>
      <c r="M198" s="149">
        <f t="shared" ref="M198:M261" si="16">IF(I198&lt;&gt;"",K198+I198+L198,0)</f>
        <v>0</v>
      </c>
    </row>
    <row r="199" spans="1:13" x14ac:dyDescent="0.25">
      <c r="A199" s="163"/>
      <c r="G199" s="133"/>
      <c r="H199" s="147">
        <v>194</v>
      </c>
      <c r="I199" s="148" t="str">
        <f t="shared" ref="I199:I262" si="17">IF(H199&lt;$H$2+1,($I$2-($I$2-1)*(LOG(H199)/LOG($H$2))),"")</f>
        <v/>
      </c>
      <c r="J199" s="147" t="e">
        <f t="shared" ref="J199:J262" si="18">INT(LOG($H$2,2))-ROUNDUP(LOG(H199,2),0)+IF(OR($H$2=1,$H$2=2,$H$2=4,$H$2=8,$H$2=16,$H$2=32,$H$2=64,$H$2=128,$H$2=256),0,1)</f>
        <v>#NUM!</v>
      </c>
      <c r="K199" s="147" t="e">
        <f t="shared" si="15"/>
        <v>#NUM!</v>
      </c>
      <c r="L199" s="147"/>
      <c r="M199" s="149">
        <f t="shared" si="16"/>
        <v>0</v>
      </c>
    </row>
    <row r="200" spans="1:13" x14ac:dyDescent="0.25">
      <c r="A200" s="163"/>
      <c r="G200" s="133"/>
      <c r="H200" s="147">
        <v>195</v>
      </c>
      <c r="I200" s="148" t="str">
        <f t="shared" si="17"/>
        <v/>
      </c>
      <c r="J200" s="147" t="e">
        <f t="shared" si="18"/>
        <v>#NUM!</v>
      </c>
      <c r="K200" s="147" t="e">
        <f t="shared" si="15"/>
        <v>#NUM!</v>
      </c>
      <c r="L200" s="147"/>
      <c r="M200" s="149">
        <f t="shared" si="16"/>
        <v>0</v>
      </c>
    </row>
    <row r="201" spans="1:13" x14ac:dyDescent="0.25">
      <c r="A201" s="163"/>
      <c r="G201" s="133"/>
      <c r="H201" s="147">
        <v>196</v>
      </c>
      <c r="I201" s="148" t="str">
        <f t="shared" si="17"/>
        <v/>
      </c>
      <c r="J201" s="147" t="e">
        <f t="shared" si="18"/>
        <v>#NUM!</v>
      </c>
      <c r="K201" s="147" t="e">
        <f t="shared" si="15"/>
        <v>#NUM!</v>
      </c>
      <c r="L201" s="147"/>
      <c r="M201" s="149">
        <f t="shared" si="16"/>
        <v>0</v>
      </c>
    </row>
    <row r="202" spans="1:13" x14ac:dyDescent="0.25">
      <c r="A202" s="163"/>
      <c r="G202" s="133"/>
      <c r="H202" s="147">
        <v>197</v>
      </c>
      <c r="I202" s="148" t="str">
        <f t="shared" si="17"/>
        <v/>
      </c>
      <c r="J202" s="147" t="e">
        <f t="shared" si="18"/>
        <v>#NUM!</v>
      </c>
      <c r="K202" s="147" t="e">
        <f t="shared" si="15"/>
        <v>#NUM!</v>
      </c>
      <c r="L202" s="147"/>
      <c r="M202" s="149">
        <f t="shared" si="16"/>
        <v>0</v>
      </c>
    </row>
    <row r="203" spans="1:13" x14ac:dyDescent="0.25">
      <c r="A203" s="163"/>
      <c r="G203" s="133"/>
      <c r="H203" s="147">
        <v>198</v>
      </c>
      <c r="I203" s="148" t="str">
        <f t="shared" si="17"/>
        <v/>
      </c>
      <c r="J203" s="147" t="e">
        <f t="shared" si="18"/>
        <v>#NUM!</v>
      </c>
      <c r="K203" s="147" t="e">
        <f t="shared" si="15"/>
        <v>#NUM!</v>
      </c>
      <c r="L203" s="147"/>
      <c r="M203" s="149">
        <f t="shared" si="16"/>
        <v>0</v>
      </c>
    </row>
    <row r="204" spans="1:13" x14ac:dyDescent="0.25">
      <c r="A204" s="163"/>
      <c r="G204" s="133"/>
      <c r="H204" s="147">
        <v>199</v>
      </c>
      <c r="I204" s="148" t="str">
        <f t="shared" si="17"/>
        <v/>
      </c>
      <c r="J204" s="147" t="e">
        <f t="shared" si="18"/>
        <v>#NUM!</v>
      </c>
      <c r="K204" s="147" t="e">
        <f t="shared" si="15"/>
        <v>#NUM!</v>
      </c>
      <c r="L204" s="147"/>
      <c r="M204" s="149">
        <f t="shared" si="16"/>
        <v>0</v>
      </c>
    </row>
    <row r="205" spans="1:13" x14ac:dyDescent="0.25">
      <c r="A205" s="163"/>
      <c r="G205" s="133"/>
      <c r="H205" s="147">
        <v>200</v>
      </c>
      <c r="I205" s="148" t="str">
        <f t="shared" si="17"/>
        <v/>
      </c>
      <c r="J205" s="147" t="e">
        <f t="shared" si="18"/>
        <v>#NUM!</v>
      </c>
      <c r="K205" s="147" t="e">
        <f t="shared" si="15"/>
        <v>#NUM!</v>
      </c>
      <c r="L205" s="147"/>
      <c r="M205" s="149">
        <f t="shared" si="16"/>
        <v>0</v>
      </c>
    </row>
    <row r="206" spans="1:13" x14ac:dyDescent="0.25">
      <c r="A206" s="163"/>
      <c r="G206" s="133"/>
      <c r="H206" s="147">
        <v>201</v>
      </c>
      <c r="I206" s="148" t="str">
        <f t="shared" si="17"/>
        <v/>
      </c>
      <c r="J206" s="147" t="e">
        <f t="shared" si="18"/>
        <v>#NUM!</v>
      </c>
      <c r="K206" s="147" t="e">
        <f t="shared" si="15"/>
        <v>#NUM!</v>
      </c>
      <c r="L206" s="147"/>
      <c r="M206" s="149">
        <f t="shared" si="16"/>
        <v>0</v>
      </c>
    </row>
    <row r="207" spans="1:13" x14ac:dyDescent="0.25">
      <c r="A207" s="163"/>
      <c r="G207" s="133"/>
      <c r="H207" s="147">
        <v>202</v>
      </c>
      <c r="I207" s="148" t="str">
        <f t="shared" si="17"/>
        <v/>
      </c>
      <c r="J207" s="147" t="e">
        <f t="shared" si="18"/>
        <v>#NUM!</v>
      </c>
      <c r="K207" s="147" t="e">
        <f t="shared" si="15"/>
        <v>#NUM!</v>
      </c>
      <c r="L207" s="147"/>
      <c r="M207" s="149">
        <f t="shared" si="16"/>
        <v>0</v>
      </c>
    </row>
    <row r="208" spans="1:13" x14ac:dyDescent="0.25">
      <c r="A208" s="163"/>
      <c r="G208" s="133"/>
      <c r="H208" s="147">
        <v>203</v>
      </c>
      <c r="I208" s="148" t="str">
        <f t="shared" si="17"/>
        <v/>
      </c>
      <c r="J208" s="147" t="e">
        <f t="shared" si="18"/>
        <v>#NUM!</v>
      </c>
      <c r="K208" s="147" t="e">
        <f t="shared" si="15"/>
        <v>#NUM!</v>
      </c>
      <c r="L208" s="147"/>
      <c r="M208" s="149">
        <f t="shared" si="16"/>
        <v>0</v>
      </c>
    </row>
    <row r="209" spans="1:13" x14ac:dyDescent="0.25">
      <c r="A209" s="163"/>
      <c r="G209" s="133"/>
      <c r="H209" s="147">
        <v>204</v>
      </c>
      <c r="I209" s="148" t="str">
        <f t="shared" si="17"/>
        <v/>
      </c>
      <c r="J209" s="147" t="e">
        <f t="shared" si="18"/>
        <v>#NUM!</v>
      </c>
      <c r="K209" s="147" t="e">
        <f t="shared" si="15"/>
        <v>#NUM!</v>
      </c>
      <c r="L209" s="147"/>
      <c r="M209" s="149">
        <f t="shared" si="16"/>
        <v>0</v>
      </c>
    </row>
    <row r="210" spans="1:13" x14ac:dyDescent="0.25">
      <c r="A210" s="163"/>
      <c r="G210" s="133"/>
      <c r="H210" s="147">
        <v>205</v>
      </c>
      <c r="I210" s="148" t="str">
        <f t="shared" si="17"/>
        <v/>
      </c>
      <c r="J210" s="147" t="e">
        <f t="shared" si="18"/>
        <v>#NUM!</v>
      </c>
      <c r="K210" s="147" t="e">
        <f t="shared" si="15"/>
        <v>#NUM!</v>
      </c>
      <c r="L210" s="147"/>
      <c r="M210" s="149">
        <f t="shared" si="16"/>
        <v>0</v>
      </c>
    </row>
    <row r="211" spans="1:13" x14ac:dyDescent="0.25">
      <c r="A211" s="163"/>
      <c r="G211" s="133"/>
      <c r="H211" s="147">
        <v>206</v>
      </c>
      <c r="I211" s="148" t="str">
        <f t="shared" si="17"/>
        <v/>
      </c>
      <c r="J211" s="147" t="e">
        <f t="shared" si="18"/>
        <v>#NUM!</v>
      </c>
      <c r="K211" s="147" t="e">
        <f t="shared" si="15"/>
        <v>#NUM!</v>
      </c>
      <c r="L211" s="147"/>
      <c r="M211" s="149">
        <f t="shared" si="16"/>
        <v>0</v>
      </c>
    </row>
    <row r="212" spans="1:13" x14ac:dyDescent="0.25">
      <c r="A212" s="163"/>
      <c r="G212" s="133"/>
      <c r="H212" s="147">
        <v>207</v>
      </c>
      <c r="I212" s="148" t="str">
        <f t="shared" si="17"/>
        <v/>
      </c>
      <c r="J212" s="147" t="e">
        <f t="shared" si="18"/>
        <v>#NUM!</v>
      </c>
      <c r="K212" s="147" t="e">
        <f t="shared" si="15"/>
        <v>#NUM!</v>
      </c>
      <c r="L212" s="147"/>
      <c r="M212" s="149">
        <f t="shared" si="16"/>
        <v>0</v>
      </c>
    </row>
    <row r="213" spans="1:13" x14ac:dyDescent="0.25">
      <c r="A213" s="163"/>
      <c r="G213" s="133"/>
      <c r="H213" s="147">
        <v>208</v>
      </c>
      <c r="I213" s="148" t="str">
        <f t="shared" si="17"/>
        <v/>
      </c>
      <c r="J213" s="147" t="e">
        <f t="shared" si="18"/>
        <v>#NUM!</v>
      </c>
      <c r="K213" s="147" t="e">
        <f t="shared" si="15"/>
        <v>#NUM!</v>
      </c>
      <c r="L213" s="147"/>
      <c r="M213" s="149">
        <f t="shared" si="16"/>
        <v>0</v>
      </c>
    </row>
    <row r="214" spans="1:13" x14ac:dyDescent="0.25">
      <c r="A214" s="163"/>
      <c r="G214" s="133"/>
      <c r="H214" s="147">
        <v>209</v>
      </c>
      <c r="I214" s="148" t="str">
        <f t="shared" si="17"/>
        <v/>
      </c>
      <c r="J214" s="147" t="e">
        <f t="shared" si="18"/>
        <v>#NUM!</v>
      </c>
      <c r="K214" s="147" t="e">
        <f t="shared" si="15"/>
        <v>#NUM!</v>
      </c>
      <c r="L214" s="147"/>
      <c r="M214" s="149">
        <f t="shared" si="16"/>
        <v>0</v>
      </c>
    </row>
    <row r="215" spans="1:13" x14ac:dyDescent="0.25">
      <c r="A215" s="163"/>
      <c r="G215" s="133"/>
      <c r="H215" s="147">
        <v>210</v>
      </c>
      <c r="I215" s="148" t="str">
        <f t="shared" si="17"/>
        <v/>
      </c>
      <c r="J215" s="147" t="e">
        <f t="shared" si="18"/>
        <v>#NUM!</v>
      </c>
      <c r="K215" s="147" t="e">
        <f t="shared" si="15"/>
        <v>#NUM!</v>
      </c>
      <c r="L215" s="147"/>
      <c r="M215" s="149">
        <f t="shared" si="16"/>
        <v>0</v>
      </c>
    </row>
    <row r="216" spans="1:13" x14ac:dyDescent="0.25">
      <c r="A216" s="163"/>
      <c r="G216" s="133"/>
      <c r="H216" s="147">
        <v>211</v>
      </c>
      <c r="I216" s="148" t="str">
        <f t="shared" si="17"/>
        <v/>
      </c>
      <c r="J216" s="147" t="e">
        <f t="shared" si="18"/>
        <v>#NUM!</v>
      </c>
      <c r="K216" s="147" t="e">
        <f t="shared" si="15"/>
        <v>#NUM!</v>
      </c>
      <c r="L216" s="147"/>
      <c r="M216" s="149">
        <f t="shared" si="16"/>
        <v>0</v>
      </c>
    </row>
    <row r="217" spans="1:13" x14ac:dyDescent="0.25">
      <c r="A217" s="163"/>
      <c r="G217" s="133"/>
      <c r="H217" s="147">
        <v>212</v>
      </c>
      <c r="I217" s="148" t="str">
        <f t="shared" si="17"/>
        <v/>
      </c>
      <c r="J217" s="147" t="e">
        <f t="shared" si="18"/>
        <v>#NUM!</v>
      </c>
      <c r="K217" s="147" t="e">
        <f t="shared" si="15"/>
        <v>#NUM!</v>
      </c>
      <c r="L217" s="147"/>
      <c r="M217" s="149">
        <f t="shared" si="16"/>
        <v>0</v>
      </c>
    </row>
    <row r="218" spans="1:13" x14ac:dyDescent="0.25">
      <c r="A218" s="163"/>
      <c r="G218" s="133"/>
      <c r="H218" s="147">
        <v>213</v>
      </c>
      <c r="I218" s="148" t="str">
        <f t="shared" si="17"/>
        <v/>
      </c>
      <c r="J218" s="147" t="e">
        <f t="shared" si="18"/>
        <v>#NUM!</v>
      </c>
      <c r="K218" s="147" t="e">
        <f t="shared" si="15"/>
        <v>#NUM!</v>
      </c>
      <c r="L218" s="147"/>
      <c r="M218" s="149">
        <f t="shared" si="16"/>
        <v>0</v>
      </c>
    </row>
    <row r="219" spans="1:13" x14ac:dyDescent="0.25">
      <c r="A219" s="163"/>
      <c r="G219" s="133"/>
      <c r="H219" s="147">
        <v>214</v>
      </c>
      <c r="I219" s="148" t="str">
        <f t="shared" si="17"/>
        <v/>
      </c>
      <c r="J219" s="147" t="e">
        <f t="shared" si="18"/>
        <v>#NUM!</v>
      </c>
      <c r="K219" s="147" t="e">
        <f t="shared" si="15"/>
        <v>#NUM!</v>
      </c>
      <c r="L219" s="147"/>
      <c r="M219" s="149">
        <f t="shared" si="16"/>
        <v>0</v>
      </c>
    </row>
    <row r="220" spans="1:13" x14ac:dyDescent="0.25">
      <c r="A220" s="163"/>
      <c r="G220" s="133"/>
      <c r="H220" s="147">
        <v>215</v>
      </c>
      <c r="I220" s="148" t="str">
        <f t="shared" si="17"/>
        <v/>
      </c>
      <c r="J220" s="147" t="e">
        <f t="shared" si="18"/>
        <v>#NUM!</v>
      </c>
      <c r="K220" s="147" t="e">
        <f t="shared" si="15"/>
        <v>#NUM!</v>
      </c>
      <c r="L220" s="147"/>
      <c r="M220" s="149">
        <f t="shared" si="16"/>
        <v>0</v>
      </c>
    </row>
    <row r="221" spans="1:13" x14ac:dyDescent="0.25">
      <c r="A221" s="163"/>
      <c r="G221" s="133"/>
      <c r="H221" s="147">
        <v>216</v>
      </c>
      <c r="I221" s="148" t="str">
        <f t="shared" si="17"/>
        <v/>
      </c>
      <c r="J221" s="147" t="e">
        <f t="shared" si="18"/>
        <v>#NUM!</v>
      </c>
      <c r="K221" s="147" t="e">
        <f t="shared" si="15"/>
        <v>#NUM!</v>
      </c>
      <c r="L221" s="147"/>
      <c r="M221" s="149">
        <f t="shared" si="16"/>
        <v>0</v>
      </c>
    </row>
    <row r="222" spans="1:13" x14ac:dyDescent="0.25">
      <c r="A222" s="163"/>
      <c r="G222" s="133"/>
      <c r="H222" s="147">
        <v>217</v>
      </c>
      <c r="I222" s="148" t="str">
        <f t="shared" si="17"/>
        <v/>
      </c>
      <c r="J222" s="147" t="e">
        <f t="shared" si="18"/>
        <v>#NUM!</v>
      </c>
      <c r="K222" s="147" t="e">
        <f t="shared" si="15"/>
        <v>#NUM!</v>
      </c>
      <c r="L222" s="147"/>
      <c r="M222" s="149">
        <f t="shared" si="16"/>
        <v>0</v>
      </c>
    </row>
    <row r="223" spans="1:13" x14ac:dyDescent="0.25">
      <c r="A223" s="163"/>
      <c r="G223" s="133"/>
      <c r="H223" s="147">
        <v>218</v>
      </c>
      <c r="I223" s="148" t="str">
        <f t="shared" si="17"/>
        <v/>
      </c>
      <c r="J223" s="147" t="e">
        <f t="shared" si="18"/>
        <v>#NUM!</v>
      </c>
      <c r="K223" s="147" t="e">
        <f t="shared" si="15"/>
        <v>#NUM!</v>
      </c>
      <c r="L223" s="147"/>
      <c r="M223" s="149">
        <f t="shared" si="16"/>
        <v>0</v>
      </c>
    </row>
    <row r="224" spans="1:13" x14ac:dyDescent="0.25">
      <c r="A224" s="163"/>
      <c r="G224" s="133"/>
      <c r="H224" s="147">
        <v>219</v>
      </c>
      <c r="I224" s="148" t="str">
        <f t="shared" si="17"/>
        <v/>
      </c>
      <c r="J224" s="147" t="e">
        <f t="shared" si="18"/>
        <v>#NUM!</v>
      </c>
      <c r="K224" s="147" t="e">
        <f t="shared" si="15"/>
        <v>#NUM!</v>
      </c>
      <c r="L224" s="147"/>
      <c r="M224" s="149">
        <f t="shared" si="16"/>
        <v>0</v>
      </c>
    </row>
    <row r="225" spans="1:13" x14ac:dyDescent="0.25">
      <c r="A225" s="163"/>
      <c r="G225" s="133"/>
      <c r="H225" s="147">
        <v>220</v>
      </c>
      <c r="I225" s="148" t="str">
        <f t="shared" si="17"/>
        <v/>
      </c>
      <c r="J225" s="147" t="e">
        <f t="shared" si="18"/>
        <v>#NUM!</v>
      </c>
      <c r="K225" s="147" t="e">
        <f t="shared" si="15"/>
        <v>#NUM!</v>
      </c>
      <c r="L225" s="147"/>
      <c r="M225" s="149">
        <f t="shared" si="16"/>
        <v>0</v>
      </c>
    </row>
    <row r="226" spans="1:13" x14ac:dyDescent="0.25">
      <c r="A226" s="163"/>
      <c r="G226" s="133"/>
      <c r="H226" s="147">
        <v>221</v>
      </c>
      <c r="I226" s="148" t="str">
        <f t="shared" si="17"/>
        <v/>
      </c>
      <c r="J226" s="147" t="e">
        <f t="shared" si="18"/>
        <v>#NUM!</v>
      </c>
      <c r="K226" s="147" t="e">
        <f t="shared" si="15"/>
        <v>#NUM!</v>
      </c>
      <c r="L226" s="147"/>
      <c r="M226" s="149">
        <f t="shared" si="16"/>
        <v>0</v>
      </c>
    </row>
    <row r="227" spans="1:13" x14ac:dyDescent="0.25">
      <c r="A227" s="163"/>
      <c r="G227" s="133"/>
      <c r="H227" s="147">
        <v>222</v>
      </c>
      <c r="I227" s="148" t="str">
        <f t="shared" si="17"/>
        <v/>
      </c>
      <c r="J227" s="147" t="e">
        <f t="shared" si="18"/>
        <v>#NUM!</v>
      </c>
      <c r="K227" s="147" t="e">
        <f t="shared" si="15"/>
        <v>#NUM!</v>
      </c>
      <c r="L227" s="147"/>
      <c r="M227" s="149">
        <f t="shared" si="16"/>
        <v>0</v>
      </c>
    </row>
    <row r="228" spans="1:13" x14ac:dyDescent="0.25">
      <c r="A228" s="163"/>
      <c r="G228" s="133"/>
      <c r="H228" s="147">
        <v>223</v>
      </c>
      <c r="I228" s="148" t="str">
        <f t="shared" si="17"/>
        <v/>
      </c>
      <c r="J228" s="147" t="e">
        <f t="shared" si="18"/>
        <v>#NUM!</v>
      </c>
      <c r="K228" s="147" t="e">
        <f t="shared" si="15"/>
        <v>#NUM!</v>
      </c>
      <c r="L228" s="147"/>
      <c r="M228" s="149">
        <f t="shared" si="16"/>
        <v>0</v>
      </c>
    </row>
    <row r="229" spans="1:13" x14ac:dyDescent="0.25">
      <c r="A229" s="163"/>
      <c r="G229" s="133"/>
      <c r="H229" s="147">
        <v>224</v>
      </c>
      <c r="I229" s="148" t="str">
        <f t="shared" si="17"/>
        <v/>
      </c>
      <c r="J229" s="147" t="e">
        <f t="shared" si="18"/>
        <v>#NUM!</v>
      </c>
      <c r="K229" s="147" t="e">
        <f t="shared" si="15"/>
        <v>#NUM!</v>
      </c>
      <c r="L229" s="147"/>
      <c r="M229" s="149">
        <f t="shared" si="16"/>
        <v>0</v>
      </c>
    </row>
    <row r="230" spans="1:13" x14ac:dyDescent="0.25">
      <c r="A230" s="163"/>
      <c r="G230" s="133"/>
      <c r="H230" s="147">
        <v>225</v>
      </c>
      <c r="I230" s="148" t="str">
        <f t="shared" si="17"/>
        <v/>
      </c>
      <c r="J230" s="147" t="e">
        <f t="shared" si="18"/>
        <v>#NUM!</v>
      </c>
      <c r="K230" s="147" t="e">
        <f t="shared" si="15"/>
        <v>#NUM!</v>
      </c>
      <c r="L230" s="147"/>
      <c r="M230" s="149">
        <f t="shared" si="16"/>
        <v>0</v>
      </c>
    </row>
    <row r="231" spans="1:13" x14ac:dyDescent="0.25">
      <c r="A231" s="163"/>
      <c r="G231" s="133"/>
      <c r="H231" s="147">
        <v>226</v>
      </c>
      <c r="I231" s="148" t="str">
        <f t="shared" si="17"/>
        <v/>
      </c>
      <c r="J231" s="147" t="e">
        <f t="shared" si="18"/>
        <v>#NUM!</v>
      </c>
      <c r="K231" s="147" t="e">
        <f t="shared" si="15"/>
        <v>#NUM!</v>
      </c>
      <c r="L231" s="147"/>
      <c r="M231" s="149">
        <f t="shared" si="16"/>
        <v>0</v>
      </c>
    </row>
    <row r="232" spans="1:13" x14ac:dyDescent="0.25">
      <c r="A232" s="163"/>
      <c r="G232" s="133"/>
      <c r="H232" s="147">
        <v>227</v>
      </c>
      <c r="I232" s="148" t="str">
        <f t="shared" si="17"/>
        <v/>
      </c>
      <c r="J232" s="147" t="e">
        <f t="shared" si="18"/>
        <v>#NUM!</v>
      </c>
      <c r="K232" s="147" t="e">
        <f t="shared" si="15"/>
        <v>#NUM!</v>
      </c>
      <c r="L232" s="147"/>
      <c r="M232" s="149">
        <f t="shared" si="16"/>
        <v>0</v>
      </c>
    </row>
    <row r="233" spans="1:13" x14ac:dyDescent="0.25">
      <c r="A233" s="163"/>
      <c r="G233" s="133"/>
      <c r="H233" s="147">
        <v>228</v>
      </c>
      <c r="I233" s="148" t="str">
        <f t="shared" si="17"/>
        <v/>
      </c>
      <c r="J233" s="147" t="e">
        <f t="shared" si="18"/>
        <v>#NUM!</v>
      </c>
      <c r="K233" s="147" t="e">
        <f t="shared" si="15"/>
        <v>#NUM!</v>
      </c>
      <c r="L233" s="147"/>
      <c r="M233" s="149">
        <f t="shared" si="16"/>
        <v>0</v>
      </c>
    </row>
    <row r="234" spans="1:13" x14ac:dyDescent="0.25">
      <c r="A234" s="163"/>
      <c r="G234" s="133"/>
      <c r="H234" s="147">
        <v>229</v>
      </c>
      <c r="I234" s="148" t="str">
        <f t="shared" si="17"/>
        <v/>
      </c>
      <c r="J234" s="147" t="e">
        <f t="shared" si="18"/>
        <v>#NUM!</v>
      </c>
      <c r="K234" s="147" t="e">
        <f t="shared" si="15"/>
        <v>#NUM!</v>
      </c>
      <c r="L234" s="147"/>
      <c r="M234" s="149">
        <f t="shared" si="16"/>
        <v>0</v>
      </c>
    </row>
    <row r="235" spans="1:13" x14ac:dyDescent="0.25">
      <c r="A235" s="163"/>
      <c r="G235" s="133"/>
      <c r="H235" s="147">
        <v>230</v>
      </c>
      <c r="I235" s="148" t="str">
        <f t="shared" si="17"/>
        <v/>
      </c>
      <c r="J235" s="147" t="e">
        <f t="shared" si="18"/>
        <v>#NUM!</v>
      </c>
      <c r="K235" s="147" t="e">
        <f t="shared" si="15"/>
        <v>#NUM!</v>
      </c>
      <c r="L235" s="147"/>
      <c r="M235" s="149">
        <f t="shared" si="16"/>
        <v>0</v>
      </c>
    </row>
    <row r="236" spans="1:13" x14ac:dyDescent="0.25">
      <c r="A236" s="163"/>
      <c r="G236" s="133"/>
      <c r="H236" s="147">
        <v>231</v>
      </c>
      <c r="I236" s="148" t="str">
        <f t="shared" si="17"/>
        <v/>
      </c>
      <c r="J236" s="147" t="e">
        <f t="shared" si="18"/>
        <v>#NUM!</v>
      </c>
      <c r="K236" s="147" t="e">
        <f t="shared" si="15"/>
        <v>#NUM!</v>
      </c>
      <c r="L236" s="147"/>
      <c r="M236" s="149">
        <f t="shared" si="16"/>
        <v>0</v>
      </c>
    </row>
    <row r="237" spans="1:13" x14ac:dyDescent="0.25">
      <c r="A237" s="163"/>
      <c r="G237" s="133"/>
      <c r="H237" s="147">
        <v>232</v>
      </c>
      <c r="I237" s="148" t="str">
        <f t="shared" si="17"/>
        <v/>
      </c>
      <c r="J237" s="147" t="e">
        <f t="shared" si="18"/>
        <v>#NUM!</v>
      </c>
      <c r="K237" s="147" t="e">
        <f t="shared" si="15"/>
        <v>#NUM!</v>
      </c>
      <c r="L237" s="147"/>
      <c r="M237" s="149">
        <f t="shared" si="16"/>
        <v>0</v>
      </c>
    </row>
    <row r="238" spans="1:13" x14ac:dyDescent="0.25">
      <c r="A238" s="163"/>
      <c r="G238" s="133"/>
      <c r="H238" s="147">
        <v>233</v>
      </c>
      <c r="I238" s="148" t="str">
        <f t="shared" si="17"/>
        <v/>
      </c>
      <c r="J238" s="147" t="e">
        <f t="shared" si="18"/>
        <v>#NUM!</v>
      </c>
      <c r="K238" s="147" t="e">
        <f t="shared" si="15"/>
        <v>#NUM!</v>
      </c>
      <c r="L238" s="147"/>
      <c r="M238" s="149">
        <f t="shared" si="16"/>
        <v>0</v>
      </c>
    </row>
    <row r="239" spans="1:13" x14ac:dyDescent="0.25">
      <c r="A239" s="163"/>
      <c r="G239" s="133"/>
      <c r="H239" s="147">
        <v>234</v>
      </c>
      <c r="I239" s="148" t="str">
        <f t="shared" si="17"/>
        <v/>
      </c>
      <c r="J239" s="147" t="e">
        <f t="shared" si="18"/>
        <v>#NUM!</v>
      </c>
      <c r="K239" s="147" t="e">
        <f t="shared" si="15"/>
        <v>#NUM!</v>
      </c>
      <c r="L239" s="147"/>
      <c r="M239" s="149">
        <f t="shared" si="16"/>
        <v>0</v>
      </c>
    </row>
    <row r="240" spans="1:13" x14ac:dyDescent="0.25">
      <c r="A240" s="163"/>
      <c r="G240" s="133"/>
      <c r="H240" s="147">
        <v>235</v>
      </c>
      <c r="I240" s="148" t="str">
        <f t="shared" si="17"/>
        <v/>
      </c>
      <c r="J240" s="147" t="e">
        <f t="shared" si="18"/>
        <v>#NUM!</v>
      </c>
      <c r="K240" s="147" t="e">
        <f t="shared" si="15"/>
        <v>#NUM!</v>
      </c>
      <c r="L240" s="147"/>
      <c r="M240" s="149">
        <f t="shared" si="16"/>
        <v>0</v>
      </c>
    </row>
    <row r="241" spans="1:13" x14ac:dyDescent="0.25">
      <c r="A241" s="163"/>
      <c r="G241" s="133"/>
      <c r="H241" s="147">
        <v>236</v>
      </c>
      <c r="I241" s="148" t="str">
        <f t="shared" si="17"/>
        <v/>
      </c>
      <c r="J241" s="147" t="e">
        <f t="shared" si="18"/>
        <v>#NUM!</v>
      </c>
      <c r="K241" s="147" t="e">
        <f t="shared" si="15"/>
        <v>#NUM!</v>
      </c>
      <c r="L241" s="147"/>
      <c r="M241" s="149">
        <f t="shared" si="16"/>
        <v>0</v>
      </c>
    </row>
    <row r="242" spans="1:13" x14ac:dyDescent="0.25">
      <c r="A242" s="163"/>
      <c r="G242" s="133"/>
      <c r="H242" s="147">
        <v>237</v>
      </c>
      <c r="I242" s="148" t="str">
        <f t="shared" si="17"/>
        <v/>
      </c>
      <c r="J242" s="147" t="e">
        <f t="shared" si="18"/>
        <v>#NUM!</v>
      </c>
      <c r="K242" s="147" t="e">
        <f t="shared" si="15"/>
        <v>#NUM!</v>
      </c>
      <c r="L242" s="147"/>
      <c r="M242" s="149">
        <f t="shared" si="16"/>
        <v>0</v>
      </c>
    </row>
    <row r="243" spans="1:13" x14ac:dyDescent="0.25">
      <c r="A243" s="163"/>
      <c r="G243" s="133"/>
      <c r="H243" s="147">
        <v>238</v>
      </c>
      <c r="I243" s="148" t="str">
        <f t="shared" si="17"/>
        <v/>
      </c>
      <c r="J243" s="147" t="e">
        <f t="shared" si="18"/>
        <v>#NUM!</v>
      </c>
      <c r="K243" s="147" t="e">
        <f t="shared" si="15"/>
        <v>#NUM!</v>
      </c>
      <c r="L243" s="147"/>
      <c r="M243" s="149">
        <f t="shared" si="16"/>
        <v>0</v>
      </c>
    </row>
    <row r="244" spans="1:13" x14ac:dyDescent="0.25">
      <c r="A244" s="163"/>
      <c r="G244" s="133"/>
      <c r="H244" s="147">
        <v>239</v>
      </c>
      <c r="I244" s="148" t="str">
        <f t="shared" si="17"/>
        <v/>
      </c>
      <c r="J244" s="147" t="e">
        <f t="shared" si="18"/>
        <v>#NUM!</v>
      </c>
      <c r="K244" s="147" t="e">
        <f t="shared" si="15"/>
        <v>#NUM!</v>
      </c>
      <c r="L244" s="147"/>
      <c r="M244" s="149">
        <f t="shared" si="16"/>
        <v>0</v>
      </c>
    </row>
    <row r="245" spans="1:13" x14ac:dyDescent="0.25">
      <c r="A245" s="163"/>
      <c r="G245" s="133"/>
      <c r="H245" s="147">
        <v>240</v>
      </c>
      <c r="I245" s="148" t="str">
        <f t="shared" si="17"/>
        <v/>
      </c>
      <c r="J245" s="147" t="e">
        <f t="shared" si="18"/>
        <v>#NUM!</v>
      </c>
      <c r="K245" s="147" t="e">
        <f t="shared" si="15"/>
        <v>#NUM!</v>
      </c>
      <c r="L245" s="147"/>
      <c r="M245" s="149">
        <f t="shared" si="16"/>
        <v>0</v>
      </c>
    </row>
    <row r="246" spans="1:13" x14ac:dyDescent="0.25">
      <c r="A246" s="163"/>
      <c r="G246" s="133"/>
      <c r="H246" s="147">
        <v>241</v>
      </c>
      <c r="I246" s="148" t="str">
        <f t="shared" si="17"/>
        <v/>
      </c>
      <c r="J246" s="147" t="e">
        <f t="shared" si="18"/>
        <v>#NUM!</v>
      </c>
      <c r="K246" s="147" t="e">
        <f t="shared" si="15"/>
        <v>#NUM!</v>
      </c>
      <c r="L246" s="147"/>
      <c r="M246" s="149">
        <f t="shared" si="16"/>
        <v>0</v>
      </c>
    </row>
    <row r="247" spans="1:13" x14ac:dyDescent="0.25">
      <c r="A247" s="163"/>
      <c r="G247" s="133"/>
      <c r="H247" s="147">
        <v>242</v>
      </c>
      <c r="I247" s="148" t="str">
        <f t="shared" si="17"/>
        <v/>
      </c>
      <c r="J247" s="147" t="e">
        <f t="shared" si="18"/>
        <v>#NUM!</v>
      </c>
      <c r="K247" s="147" t="e">
        <f t="shared" si="15"/>
        <v>#NUM!</v>
      </c>
      <c r="L247" s="147"/>
      <c r="M247" s="149">
        <f t="shared" si="16"/>
        <v>0</v>
      </c>
    </row>
    <row r="248" spans="1:13" x14ac:dyDescent="0.25">
      <c r="A248" s="163"/>
      <c r="G248" s="133"/>
      <c r="H248" s="147">
        <v>243</v>
      </c>
      <c r="I248" s="148" t="str">
        <f t="shared" si="17"/>
        <v/>
      </c>
      <c r="J248" s="147" t="e">
        <f t="shared" si="18"/>
        <v>#NUM!</v>
      </c>
      <c r="K248" s="147" t="e">
        <f t="shared" si="15"/>
        <v>#NUM!</v>
      </c>
      <c r="L248" s="147"/>
      <c r="M248" s="149">
        <f t="shared" si="16"/>
        <v>0</v>
      </c>
    </row>
    <row r="249" spans="1:13" x14ac:dyDescent="0.25">
      <c r="A249" s="163"/>
      <c r="G249" s="133"/>
      <c r="H249" s="147">
        <v>244</v>
      </c>
      <c r="I249" s="148" t="str">
        <f t="shared" si="17"/>
        <v/>
      </c>
      <c r="J249" s="147" t="e">
        <f t="shared" si="18"/>
        <v>#NUM!</v>
      </c>
      <c r="K249" s="147" t="e">
        <f t="shared" si="15"/>
        <v>#NUM!</v>
      </c>
      <c r="L249" s="147"/>
      <c r="M249" s="149">
        <f t="shared" si="16"/>
        <v>0</v>
      </c>
    </row>
    <row r="250" spans="1:13" x14ac:dyDescent="0.25">
      <c r="A250" s="163"/>
      <c r="G250" s="133"/>
      <c r="H250" s="147">
        <v>245</v>
      </c>
      <c r="I250" s="148" t="str">
        <f t="shared" si="17"/>
        <v/>
      </c>
      <c r="J250" s="147" t="e">
        <f t="shared" si="18"/>
        <v>#NUM!</v>
      </c>
      <c r="K250" s="147" t="e">
        <f t="shared" si="15"/>
        <v>#NUM!</v>
      </c>
      <c r="L250" s="147"/>
      <c r="M250" s="149">
        <f t="shared" si="16"/>
        <v>0</v>
      </c>
    </row>
    <row r="251" spans="1:13" x14ac:dyDescent="0.25">
      <c r="A251" s="163"/>
      <c r="G251" s="133"/>
      <c r="H251" s="147">
        <v>246</v>
      </c>
      <c r="I251" s="148" t="str">
        <f t="shared" si="17"/>
        <v/>
      </c>
      <c r="J251" s="147" t="e">
        <f t="shared" si="18"/>
        <v>#NUM!</v>
      </c>
      <c r="K251" s="147" t="e">
        <f t="shared" si="15"/>
        <v>#NUM!</v>
      </c>
      <c r="L251" s="147"/>
      <c r="M251" s="149">
        <f t="shared" si="16"/>
        <v>0</v>
      </c>
    </row>
    <row r="252" spans="1:13" x14ac:dyDescent="0.25">
      <c r="A252" s="163"/>
      <c r="G252" s="133"/>
      <c r="H252" s="147">
        <v>247</v>
      </c>
      <c r="I252" s="148" t="str">
        <f t="shared" si="17"/>
        <v/>
      </c>
      <c r="J252" s="147" t="e">
        <f t="shared" si="18"/>
        <v>#NUM!</v>
      </c>
      <c r="K252" s="147" t="e">
        <f t="shared" si="15"/>
        <v>#NUM!</v>
      </c>
      <c r="L252" s="147"/>
      <c r="M252" s="149">
        <f t="shared" si="16"/>
        <v>0</v>
      </c>
    </row>
    <row r="253" spans="1:13" x14ac:dyDescent="0.25">
      <c r="A253" s="163"/>
      <c r="G253" s="133"/>
      <c r="H253" s="147">
        <v>248</v>
      </c>
      <c r="I253" s="148" t="str">
        <f t="shared" si="17"/>
        <v/>
      </c>
      <c r="J253" s="147" t="e">
        <f t="shared" si="18"/>
        <v>#NUM!</v>
      </c>
      <c r="K253" s="147" t="e">
        <f t="shared" si="15"/>
        <v>#NUM!</v>
      </c>
      <c r="L253" s="147"/>
      <c r="M253" s="149">
        <f t="shared" si="16"/>
        <v>0</v>
      </c>
    </row>
    <row r="254" spans="1:13" x14ac:dyDescent="0.25">
      <c r="A254" s="163"/>
      <c r="G254" s="133"/>
      <c r="H254" s="147">
        <v>249</v>
      </c>
      <c r="I254" s="148" t="str">
        <f t="shared" si="17"/>
        <v/>
      </c>
      <c r="J254" s="147" t="e">
        <f t="shared" si="18"/>
        <v>#NUM!</v>
      </c>
      <c r="K254" s="147" t="e">
        <f t="shared" si="15"/>
        <v>#NUM!</v>
      </c>
      <c r="L254" s="147"/>
      <c r="M254" s="149">
        <f t="shared" si="16"/>
        <v>0</v>
      </c>
    </row>
    <row r="255" spans="1:13" x14ac:dyDescent="0.25">
      <c r="A255" s="163"/>
      <c r="G255" s="133"/>
      <c r="H255" s="147">
        <v>250</v>
      </c>
      <c r="I255" s="148" t="str">
        <f t="shared" si="17"/>
        <v/>
      </c>
      <c r="J255" s="147" t="e">
        <f t="shared" si="18"/>
        <v>#NUM!</v>
      </c>
      <c r="K255" s="147" t="e">
        <f t="shared" si="15"/>
        <v>#NUM!</v>
      </c>
      <c r="L255" s="147"/>
      <c r="M255" s="149">
        <f t="shared" si="16"/>
        <v>0</v>
      </c>
    </row>
    <row r="256" spans="1:13" x14ac:dyDescent="0.25">
      <c r="A256" s="163"/>
      <c r="G256" s="133"/>
      <c r="H256" s="147">
        <v>251</v>
      </c>
      <c r="I256" s="148" t="str">
        <f t="shared" si="17"/>
        <v/>
      </c>
      <c r="J256" s="147" t="e">
        <f t="shared" si="18"/>
        <v>#NUM!</v>
      </c>
      <c r="K256" s="147" t="e">
        <f t="shared" si="15"/>
        <v>#NUM!</v>
      </c>
      <c r="L256" s="147"/>
      <c r="M256" s="149">
        <f t="shared" si="16"/>
        <v>0</v>
      </c>
    </row>
    <row r="257" spans="1:13" x14ac:dyDescent="0.25">
      <c r="A257" s="163"/>
      <c r="G257" s="133"/>
      <c r="H257" s="147">
        <v>252</v>
      </c>
      <c r="I257" s="148" t="str">
        <f t="shared" si="17"/>
        <v/>
      </c>
      <c r="J257" s="147" t="e">
        <f t="shared" si="18"/>
        <v>#NUM!</v>
      </c>
      <c r="K257" s="147" t="e">
        <f t="shared" si="15"/>
        <v>#NUM!</v>
      </c>
      <c r="L257" s="147"/>
      <c r="M257" s="149">
        <f t="shared" si="16"/>
        <v>0</v>
      </c>
    </row>
    <row r="258" spans="1:13" x14ac:dyDescent="0.25">
      <c r="A258" s="163"/>
      <c r="G258" s="133"/>
      <c r="H258" s="147">
        <v>253</v>
      </c>
      <c r="I258" s="148" t="str">
        <f t="shared" si="17"/>
        <v/>
      </c>
      <c r="J258" s="147" t="e">
        <f t="shared" si="18"/>
        <v>#NUM!</v>
      </c>
      <c r="K258" s="147" t="e">
        <f t="shared" si="15"/>
        <v>#NUM!</v>
      </c>
      <c r="L258" s="147"/>
      <c r="M258" s="149">
        <f t="shared" si="16"/>
        <v>0</v>
      </c>
    </row>
    <row r="259" spans="1:13" x14ac:dyDescent="0.25">
      <c r="A259" s="163"/>
      <c r="G259" s="133"/>
      <c r="H259" s="147">
        <v>254</v>
      </c>
      <c r="I259" s="148" t="str">
        <f t="shared" si="17"/>
        <v/>
      </c>
      <c r="J259" s="147" t="e">
        <f t="shared" si="18"/>
        <v>#NUM!</v>
      </c>
      <c r="K259" s="147" t="e">
        <f t="shared" si="15"/>
        <v>#NUM!</v>
      </c>
      <c r="L259" s="147"/>
      <c r="M259" s="149">
        <f t="shared" si="16"/>
        <v>0</v>
      </c>
    </row>
    <row r="260" spans="1:13" x14ac:dyDescent="0.25">
      <c r="A260" s="163"/>
      <c r="G260" s="133"/>
      <c r="H260" s="147">
        <v>255</v>
      </c>
      <c r="I260" s="148" t="str">
        <f t="shared" si="17"/>
        <v/>
      </c>
      <c r="J260" s="147" t="e">
        <f t="shared" si="18"/>
        <v>#NUM!</v>
      </c>
      <c r="K260" s="147" t="e">
        <f t="shared" si="15"/>
        <v>#NUM!</v>
      </c>
      <c r="L260" s="147"/>
      <c r="M260" s="149">
        <f t="shared" si="16"/>
        <v>0</v>
      </c>
    </row>
    <row r="261" spans="1:13" x14ac:dyDescent="0.25">
      <c r="A261" s="163"/>
      <c r="G261" s="133"/>
      <c r="H261" s="147">
        <v>256</v>
      </c>
      <c r="I261" s="148" t="str">
        <f t="shared" si="17"/>
        <v/>
      </c>
      <c r="J261" s="147" t="e">
        <f t="shared" si="18"/>
        <v>#NUM!</v>
      </c>
      <c r="K261" s="147" t="e">
        <f t="shared" si="15"/>
        <v>#NUM!</v>
      </c>
      <c r="L261" s="147"/>
      <c r="M261" s="149">
        <f t="shared" si="16"/>
        <v>0</v>
      </c>
    </row>
    <row r="262" spans="1:13" x14ac:dyDescent="0.25">
      <c r="A262" s="163"/>
      <c r="G262" s="133"/>
      <c r="H262" s="147">
        <v>257</v>
      </c>
      <c r="I262" s="148" t="str">
        <f t="shared" si="17"/>
        <v/>
      </c>
      <c r="J262" s="147" t="e">
        <f t="shared" si="18"/>
        <v>#NUM!</v>
      </c>
      <c r="K262" s="147" t="e">
        <f t="shared" ref="K262:K305" si="19">J262*$J$2</f>
        <v>#NUM!</v>
      </c>
      <c r="L262" s="147"/>
      <c r="M262" s="149">
        <f t="shared" ref="M262:M305" si="20">IF(I262&lt;&gt;"",K262+I262+L262,0)</f>
        <v>0</v>
      </c>
    </row>
    <row r="263" spans="1:13" x14ac:dyDescent="0.25">
      <c r="A263" s="163"/>
      <c r="G263" s="133"/>
      <c r="H263" s="147">
        <v>258</v>
      </c>
      <c r="I263" s="148" t="str">
        <f t="shared" ref="I263:I305" si="21">IF(H263&lt;$H$2+1,($I$2-($I$2-1)*(LOG(H263)/LOG($H$2))),"")</f>
        <v/>
      </c>
      <c r="J263" s="147" t="e">
        <f t="shared" ref="J263:J305" si="22">INT(LOG($H$2,2))-ROUNDUP(LOG(H263,2),0)+IF(OR($H$2=1,$H$2=2,$H$2=4,$H$2=8,$H$2=16,$H$2=32,$H$2=64,$H$2=128,$H$2=256),0,1)</f>
        <v>#NUM!</v>
      </c>
      <c r="K263" s="147" t="e">
        <f t="shared" si="19"/>
        <v>#NUM!</v>
      </c>
      <c r="L263" s="147"/>
      <c r="M263" s="149">
        <f t="shared" si="20"/>
        <v>0</v>
      </c>
    </row>
    <row r="264" spans="1:13" x14ac:dyDescent="0.25">
      <c r="A264" s="163"/>
      <c r="G264" s="133"/>
      <c r="H264" s="147">
        <v>259</v>
      </c>
      <c r="I264" s="148" t="str">
        <f t="shared" si="21"/>
        <v/>
      </c>
      <c r="J264" s="147" t="e">
        <f t="shared" si="22"/>
        <v>#NUM!</v>
      </c>
      <c r="K264" s="147" t="e">
        <f t="shared" si="19"/>
        <v>#NUM!</v>
      </c>
      <c r="L264" s="147"/>
      <c r="M264" s="149">
        <f t="shared" si="20"/>
        <v>0</v>
      </c>
    </row>
    <row r="265" spans="1:13" x14ac:dyDescent="0.25">
      <c r="A265" s="163"/>
      <c r="G265" s="133"/>
      <c r="H265" s="147">
        <v>260</v>
      </c>
      <c r="I265" s="148" t="str">
        <f t="shared" si="21"/>
        <v/>
      </c>
      <c r="J265" s="147" t="e">
        <f t="shared" si="22"/>
        <v>#NUM!</v>
      </c>
      <c r="K265" s="147" t="e">
        <f t="shared" si="19"/>
        <v>#NUM!</v>
      </c>
      <c r="L265" s="147"/>
      <c r="M265" s="149">
        <f t="shared" si="20"/>
        <v>0</v>
      </c>
    </row>
    <row r="266" spans="1:13" x14ac:dyDescent="0.25">
      <c r="A266" s="163"/>
      <c r="G266" s="133"/>
      <c r="H266" s="147">
        <v>261</v>
      </c>
      <c r="I266" s="148" t="str">
        <f t="shared" si="21"/>
        <v/>
      </c>
      <c r="J266" s="147" t="e">
        <f t="shared" si="22"/>
        <v>#NUM!</v>
      </c>
      <c r="K266" s="147" t="e">
        <f t="shared" si="19"/>
        <v>#NUM!</v>
      </c>
      <c r="L266" s="147"/>
      <c r="M266" s="149">
        <f t="shared" si="20"/>
        <v>0</v>
      </c>
    </row>
    <row r="267" spans="1:13" x14ac:dyDescent="0.25">
      <c r="A267" s="163"/>
      <c r="G267" s="133"/>
      <c r="H267" s="147">
        <v>262</v>
      </c>
      <c r="I267" s="148" t="str">
        <f t="shared" si="21"/>
        <v/>
      </c>
      <c r="J267" s="147" t="e">
        <f t="shared" si="22"/>
        <v>#NUM!</v>
      </c>
      <c r="K267" s="147" t="e">
        <f t="shared" si="19"/>
        <v>#NUM!</v>
      </c>
      <c r="L267" s="147"/>
      <c r="M267" s="149">
        <f t="shared" si="20"/>
        <v>0</v>
      </c>
    </row>
    <row r="268" spans="1:13" x14ac:dyDescent="0.25">
      <c r="A268" s="163"/>
      <c r="G268" s="133"/>
      <c r="H268" s="147">
        <v>263</v>
      </c>
      <c r="I268" s="148" t="str">
        <f t="shared" si="21"/>
        <v/>
      </c>
      <c r="J268" s="147" t="e">
        <f t="shared" si="22"/>
        <v>#NUM!</v>
      </c>
      <c r="K268" s="147" t="e">
        <f t="shared" si="19"/>
        <v>#NUM!</v>
      </c>
      <c r="L268" s="147"/>
      <c r="M268" s="149">
        <f t="shared" si="20"/>
        <v>0</v>
      </c>
    </row>
    <row r="269" spans="1:13" x14ac:dyDescent="0.25">
      <c r="A269" s="163"/>
      <c r="G269" s="133"/>
      <c r="H269" s="147">
        <v>264</v>
      </c>
      <c r="I269" s="148" t="str">
        <f t="shared" si="21"/>
        <v/>
      </c>
      <c r="J269" s="147" t="e">
        <f t="shared" si="22"/>
        <v>#NUM!</v>
      </c>
      <c r="K269" s="147" t="e">
        <f t="shared" si="19"/>
        <v>#NUM!</v>
      </c>
      <c r="L269" s="147"/>
      <c r="M269" s="149">
        <f t="shared" si="20"/>
        <v>0</v>
      </c>
    </row>
    <row r="270" spans="1:13" x14ac:dyDescent="0.25">
      <c r="A270" s="163"/>
      <c r="G270" s="133"/>
      <c r="H270" s="147">
        <v>265</v>
      </c>
      <c r="I270" s="148" t="str">
        <f t="shared" si="21"/>
        <v/>
      </c>
      <c r="J270" s="147" t="e">
        <f t="shared" si="22"/>
        <v>#NUM!</v>
      </c>
      <c r="K270" s="147" t="e">
        <f t="shared" si="19"/>
        <v>#NUM!</v>
      </c>
      <c r="L270" s="147"/>
      <c r="M270" s="149">
        <f t="shared" si="20"/>
        <v>0</v>
      </c>
    </row>
    <row r="271" spans="1:13" x14ac:dyDescent="0.25">
      <c r="A271" s="163"/>
      <c r="G271" s="133"/>
      <c r="H271" s="147">
        <v>266</v>
      </c>
      <c r="I271" s="148" t="str">
        <f t="shared" si="21"/>
        <v/>
      </c>
      <c r="J271" s="147" t="e">
        <f t="shared" si="22"/>
        <v>#NUM!</v>
      </c>
      <c r="K271" s="147" t="e">
        <f t="shared" si="19"/>
        <v>#NUM!</v>
      </c>
      <c r="L271" s="147"/>
      <c r="M271" s="149">
        <f t="shared" si="20"/>
        <v>0</v>
      </c>
    </row>
    <row r="272" spans="1:13" x14ac:dyDescent="0.25">
      <c r="A272" s="163"/>
      <c r="G272" s="133"/>
      <c r="H272" s="147">
        <v>267</v>
      </c>
      <c r="I272" s="148" t="str">
        <f t="shared" si="21"/>
        <v/>
      </c>
      <c r="J272" s="147" t="e">
        <f t="shared" si="22"/>
        <v>#NUM!</v>
      </c>
      <c r="K272" s="147" t="e">
        <f t="shared" si="19"/>
        <v>#NUM!</v>
      </c>
      <c r="L272" s="147"/>
      <c r="M272" s="149">
        <f t="shared" si="20"/>
        <v>0</v>
      </c>
    </row>
    <row r="273" spans="1:13" x14ac:dyDescent="0.25">
      <c r="A273" s="163"/>
      <c r="G273" s="133"/>
      <c r="H273" s="147">
        <v>268</v>
      </c>
      <c r="I273" s="148" t="str">
        <f t="shared" si="21"/>
        <v/>
      </c>
      <c r="J273" s="147" t="e">
        <f t="shared" si="22"/>
        <v>#NUM!</v>
      </c>
      <c r="K273" s="147" t="e">
        <f t="shared" si="19"/>
        <v>#NUM!</v>
      </c>
      <c r="L273" s="147"/>
      <c r="M273" s="149">
        <f t="shared" si="20"/>
        <v>0</v>
      </c>
    </row>
    <row r="274" spans="1:13" x14ac:dyDescent="0.25">
      <c r="A274" s="163"/>
      <c r="G274" s="133"/>
      <c r="H274" s="147">
        <v>269</v>
      </c>
      <c r="I274" s="148" t="str">
        <f t="shared" si="21"/>
        <v/>
      </c>
      <c r="J274" s="147" t="e">
        <f t="shared" si="22"/>
        <v>#NUM!</v>
      </c>
      <c r="K274" s="147" t="e">
        <f t="shared" si="19"/>
        <v>#NUM!</v>
      </c>
      <c r="L274" s="147"/>
      <c r="M274" s="149">
        <f t="shared" si="20"/>
        <v>0</v>
      </c>
    </row>
    <row r="275" spans="1:13" x14ac:dyDescent="0.25">
      <c r="A275" s="163"/>
      <c r="G275" s="133"/>
      <c r="H275" s="147">
        <v>270</v>
      </c>
      <c r="I275" s="148" t="str">
        <f t="shared" si="21"/>
        <v/>
      </c>
      <c r="J275" s="147" t="e">
        <f t="shared" si="22"/>
        <v>#NUM!</v>
      </c>
      <c r="K275" s="147" t="e">
        <f t="shared" si="19"/>
        <v>#NUM!</v>
      </c>
      <c r="L275" s="147"/>
      <c r="M275" s="149">
        <f t="shared" si="20"/>
        <v>0</v>
      </c>
    </row>
    <row r="276" spans="1:13" x14ac:dyDescent="0.25">
      <c r="A276" s="163"/>
      <c r="G276" s="133"/>
      <c r="H276" s="147">
        <v>271</v>
      </c>
      <c r="I276" s="148" t="str">
        <f t="shared" si="21"/>
        <v/>
      </c>
      <c r="J276" s="147" t="e">
        <f t="shared" si="22"/>
        <v>#NUM!</v>
      </c>
      <c r="K276" s="147" t="e">
        <f t="shared" si="19"/>
        <v>#NUM!</v>
      </c>
      <c r="L276" s="147"/>
      <c r="M276" s="149">
        <f t="shared" si="20"/>
        <v>0</v>
      </c>
    </row>
    <row r="277" spans="1:13" x14ac:dyDescent="0.25">
      <c r="A277" s="163"/>
      <c r="G277" s="133"/>
      <c r="H277" s="147">
        <v>272</v>
      </c>
      <c r="I277" s="148" t="str">
        <f t="shared" si="21"/>
        <v/>
      </c>
      <c r="J277" s="147" t="e">
        <f t="shared" si="22"/>
        <v>#NUM!</v>
      </c>
      <c r="K277" s="147" t="e">
        <f t="shared" si="19"/>
        <v>#NUM!</v>
      </c>
      <c r="L277" s="147"/>
      <c r="M277" s="149">
        <f t="shared" si="20"/>
        <v>0</v>
      </c>
    </row>
    <row r="278" spans="1:13" x14ac:dyDescent="0.25">
      <c r="A278" s="163"/>
      <c r="G278" s="133"/>
      <c r="H278" s="147">
        <v>273</v>
      </c>
      <c r="I278" s="148" t="str">
        <f t="shared" si="21"/>
        <v/>
      </c>
      <c r="J278" s="147" t="e">
        <f t="shared" si="22"/>
        <v>#NUM!</v>
      </c>
      <c r="K278" s="147" t="e">
        <f t="shared" si="19"/>
        <v>#NUM!</v>
      </c>
      <c r="L278" s="147"/>
      <c r="M278" s="149">
        <f t="shared" si="20"/>
        <v>0</v>
      </c>
    </row>
    <row r="279" spans="1:13" x14ac:dyDescent="0.25">
      <c r="A279" s="163"/>
      <c r="G279" s="133"/>
      <c r="H279" s="147">
        <v>274</v>
      </c>
      <c r="I279" s="148" t="str">
        <f t="shared" si="21"/>
        <v/>
      </c>
      <c r="J279" s="147" t="e">
        <f t="shared" si="22"/>
        <v>#NUM!</v>
      </c>
      <c r="K279" s="147" t="e">
        <f t="shared" si="19"/>
        <v>#NUM!</v>
      </c>
      <c r="L279" s="147"/>
      <c r="M279" s="149">
        <f t="shared" si="20"/>
        <v>0</v>
      </c>
    </row>
    <row r="280" spans="1:13" x14ac:dyDescent="0.25">
      <c r="A280" s="163"/>
      <c r="G280" s="133"/>
      <c r="H280" s="147">
        <v>275</v>
      </c>
      <c r="I280" s="148" t="str">
        <f t="shared" si="21"/>
        <v/>
      </c>
      <c r="J280" s="147" t="e">
        <f t="shared" si="22"/>
        <v>#NUM!</v>
      </c>
      <c r="K280" s="147" t="e">
        <f t="shared" si="19"/>
        <v>#NUM!</v>
      </c>
      <c r="L280" s="147"/>
      <c r="M280" s="149">
        <f t="shared" si="20"/>
        <v>0</v>
      </c>
    </row>
    <row r="281" spans="1:13" x14ac:dyDescent="0.25">
      <c r="A281" s="163"/>
      <c r="G281" s="133"/>
      <c r="H281" s="147">
        <v>276</v>
      </c>
      <c r="I281" s="148" t="str">
        <f t="shared" si="21"/>
        <v/>
      </c>
      <c r="J281" s="147" t="e">
        <f t="shared" si="22"/>
        <v>#NUM!</v>
      </c>
      <c r="K281" s="147" t="e">
        <f t="shared" si="19"/>
        <v>#NUM!</v>
      </c>
      <c r="L281" s="147"/>
      <c r="M281" s="149">
        <f t="shared" si="20"/>
        <v>0</v>
      </c>
    </row>
    <row r="282" spans="1:13" x14ac:dyDescent="0.25">
      <c r="A282" s="163"/>
      <c r="G282" s="133"/>
      <c r="H282" s="147">
        <v>277</v>
      </c>
      <c r="I282" s="148" t="str">
        <f t="shared" si="21"/>
        <v/>
      </c>
      <c r="J282" s="147" t="e">
        <f t="shared" si="22"/>
        <v>#NUM!</v>
      </c>
      <c r="K282" s="147" t="e">
        <f t="shared" si="19"/>
        <v>#NUM!</v>
      </c>
      <c r="L282" s="147"/>
      <c r="M282" s="149">
        <f t="shared" si="20"/>
        <v>0</v>
      </c>
    </row>
    <row r="283" spans="1:13" x14ac:dyDescent="0.25">
      <c r="A283" s="163"/>
      <c r="G283" s="133"/>
      <c r="H283" s="147">
        <v>278</v>
      </c>
      <c r="I283" s="148" t="str">
        <f t="shared" si="21"/>
        <v/>
      </c>
      <c r="J283" s="147" t="e">
        <f t="shared" si="22"/>
        <v>#NUM!</v>
      </c>
      <c r="K283" s="147" t="e">
        <f t="shared" si="19"/>
        <v>#NUM!</v>
      </c>
      <c r="L283" s="147"/>
      <c r="M283" s="149">
        <f t="shared" si="20"/>
        <v>0</v>
      </c>
    </row>
    <row r="284" spans="1:13" x14ac:dyDescent="0.25">
      <c r="A284" s="163"/>
      <c r="G284" s="133"/>
      <c r="H284" s="147">
        <v>279</v>
      </c>
      <c r="I284" s="148" t="str">
        <f t="shared" si="21"/>
        <v/>
      </c>
      <c r="J284" s="147" t="e">
        <f t="shared" si="22"/>
        <v>#NUM!</v>
      </c>
      <c r="K284" s="147" t="e">
        <f t="shared" si="19"/>
        <v>#NUM!</v>
      </c>
      <c r="L284" s="147"/>
      <c r="M284" s="149">
        <f t="shared" si="20"/>
        <v>0</v>
      </c>
    </row>
    <row r="285" spans="1:13" x14ac:dyDescent="0.25">
      <c r="A285" s="163"/>
      <c r="G285" s="133"/>
      <c r="H285" s="147">
        <v>280</v>
      </c>
      <c r="I285" s="148" t="str">
        <f t="shared" si="21"/>
        <v/>
      </c>
      <c r="J285" s="147" t="e">
        <f t="shared" si="22"/>
        <v>#NUM!</v>
      </c>
      <c r="K285" s="147" t="e">
        <f t="shared" si="19"/>
        <v>#NUM!</v>
      </c>
      <c r="L285" s="147"/>
      <c r="M285" s="149">
        <f t="shared" si="20"/>
        <v>0</v>
      </c>
    </row>
    <row r="286" spans="1:13" x14ac:dyDescent="0.25">
      <c r="A286" s="163"/>
      <c r="G286" s="133"/>
      <c r="H286" s="147">
        <v>281</v>
      </c>
      <c r="I286" s="148" t="str">
        <f t="shared" si="21"/>
        <v/>
      </c>
      <c r="J286" s="147" t="e">
        <f t="shared" si="22"/>
        <v>#NUM!</v>
      </c>
      <c r="K286" s="147" t="e">
        <f t="shared" si="19"/>
        <v>#NUM!</v>
      </c>
      <c r="L286" s="147"/>
      <c r="M286" s="149">
        <f t="shared" si="20"/>
        <v>0</v>
      </c>
    </row>
    <row r="287" spans="1:13" x14ac:dyDescent="0.25">
      <c r="A287" s="163"/>
      <c r="G287" s="133"/>
      <c r="H287" s="147">
        <v>282</v>
      </c>
      <c r="I287" s="148" t="str">
        <f t="shared" si="21"/>
        <v/>
      </c>
      <c r="J287" s="147" t="e">
        <f t="shared" si="22"/>
        <v>#NUM!</v>
      </c>
      <c r="K287" s="147" t="e">
        <f t="shared" si="19"/>
        <v>#NUM!</v>
      </c>
      <c r="L287" s="147"/>
      <c r="M287" s="149">
        <f t="shared" si="20"/>
        <v>0</v>
      </c>
    </row>
    <row r="288" spans="1:13" x14ac:dyDescent="0.25">
      <c r="A288" s="163"/>
      <c r="G288" s="133"/>
      <c r="H288" s="147">
        <v>283</v>
      </c>
      <c r="I288" s="148" t="str">
        <f t="shared" si="21"/>
        <v/>
      </c>
      <c r="J288" s="147" t="e">
        <f t="shared" si="22"/>
        <v>#NUM!</v>
      </c>
      <c r="K288" s="147" t="e">
        <f t="shared" si="19"/>
        <v>#NUM!</v>
      </c>
      <c r="L288" s="147"/>
      <c r="M288" s="149">
        <f t="shared" si="20"/>
        <v>0</v>
      </c>
    </row>
    <row r="289" spans="1:13" x14ac:dyDescent="0.25">
      <c r="A289" s="163"/>
      <c r="G289" s="133"/>
      <c r="H289" s="147">
        <v>284</v>
      </c>
      <c r="I289" s="148" t="str">
        <f t="shared" si="21"/>
        <v/>
      </c>
      <c r="J289" s="147" t="e">
        <f t="shared" si="22"/>
        <v>#NUM!</v>
      </c>
      <c r="K289" s="147" t="e">
        <f t="shared" si="19"/>
        <v>#NUM!</v>
      </c>
      <c r="L289" s="147"/>
      <c r="M289" s="149">
        <f t="shared" si="20"/>
        <v>0</v>
      </c>
    </row>
    <row r="290" spans="1:13" x14ac:dyDescent="0.25">
      <c r="A290" s="163"/>
      <c r="G290" s="133"/>
      <c r="H290" s="147">
        <v>285</v>
      </c>
      <c r="I290" s="148" t="str">
        <f t="shared" si="21"/>
        <v/>
      </c>
      <c r="J290" s="147" t="e">
        <f t="shared" si="22"/>
        <v>#NUM!</v>
      </c>
      <c r="K290" s="147" t="e">
        <f t="shared" si="19"/>
        <v>#NUM!</v>
      </c>
      <c r="L290" s="147"/>
      <c r="M290" s="149">
        <f t="shared" si="20"/>
        <v>0</v>
      </c>
    </row>
    <row r="291" spans="1:13" x14ac:dyDescent="0.25">
      <c r="A291" s="163"/>
      <c r="G291" s="133"/>
      <c r="H291" s="147">
        <v>286</v>
      </c>
      <c r="I291" s="148" t="str">
        <f t="shared" si="21"/>
        <v/>
      </c>
      <c r="J291" s="147" t="e">
        <f t="shared" si="22"/>
        <v>#NUM!</v>
      </c>
      <c r="K291" s="147" t="e">
        <f t="shared" si="19"/>
        <v>#NUM!</v>
      </c>
      <c r="L291" s="147"/>
      <c r="M291" s="149">
        <f t="shared" si="20"/>
        <v>0</v>
      </c>
    </row>
    <row r="292" spans="1:13" x14ac:dyDescent="0.25">
      <c r="A292" s="163"/>
      <c r="G292" s="133"/>
      <c r="H292" s="147">
        <v>287</v>
      </c>
      <c r="I292" s="148" t="str">
        <f t="shared" si="21"/>
        <v/>
      </c>
      <c r="J292" s="147" t="e">
        <f t="shared" si="22"/>
        <v>#NUM!</v>
      </c>
      <c r="K292" s="147" t="e">
        <f t="shared" si="19"/>
        <v>#NUM!</v>
      </c>
      <c r="L292" s="147"/>
      <c r="M292" s="149">
        <f t="shared" si="20"/>
        <v>0</v>
      </c>
    </row>
    <row r="293" spans="1:13" x14ac:dyDescent="0.25">
      <c r="A293" s="163"/>
      <c r="G293" s="133"/>
      <c r="H293" s="147">
        <v>288</v>
      </c>
      <c r="I293" s="148" t="str">
        <f t="shared" si="21"/>
        <v/>
      </c>
      <c r="J293" s="147" t="e">
        <f t="shared" si="22"/>
        <v>#NUM!</v>
      </c>
      <c r="K293" s="147" t="e">
        <f t="shared" si="19"/>
        <v>#NUM!</v>
      </c>
      <c r="L293" s="147"/>
      <c r="M293" s="149">
        <f t="shared" si="20"/>
        <v>0</v>
      </c>
    </row>
    <row r="294" spans="1:13" x14ac:dyDescent="0.25">
      <c r="A294" s="163"/>
      <c r="G294" s="133"/>
      <c r="H294" s="147">
        <v>289</v>
      </c>
      <c r="I294" s="148" t="str">
        <f t="shared" si="21"/>
        <v/>
      </c>
      <c r="J294" s="147" t="e">
        <f t="shared" si="22"/>
        <v>#NUM!</v>
      </c>
      <c r="K294" s="147" t="e">
        <f t="shared" si="19"/>
        <v>#NUM!</v>
      </c>
      <c r="L294" s="147"/>
      <c r="M294" s="149">
        <f t="shared" si="20"/>
        <v>0</v>
      </c>
    </row>
    <row r="295" spans="1:13" x14ac:dyDescent="0.25">
      <c r="A295" s="163"/>
      <c r="G295" s="133"/>
      <c r="H295" s="147">
        <v>290</v>
      </c>
      <c r="I295" s="148" t="str">
        <f t="shared" si="21"/>
        <v/>
      </c>
      <c r="J295" s="147" t="e">
        <f t="shared" si="22"/>
        <v>#NUM!</v>
      </c>
      <c r="K295" s="147" t="e">
        <f t="shared" si="19"/>
        <v>#NUM!</v>
      </c>
      <c r="L295" s="147"/>
      <c r="M295" s="149">
        <f t="shared" si="20"/>
        <v>0</v>
      </c>
    </row>
    <row r="296" spans="1:13" x14ac:dyDescent="0.25">
      <c r="A296" s="163"/>
      <c r="G296" s="133"/>
      <c r="H296" s="147">
        <v>291</v>
      </c>
      <c r="I296" s="148" t="str">
        <f t="shared" si="21"/>
        <v/>
      </c>
      <c r="J296" s="147" t="e">
        <f t="shared" si="22"/>
        <v>#NUM!</v>
      </c>
      <c r="K296" s="147" t="e">
        <f t="shared" si="19"/>
        <v>#NUM!</v>
      </c>
      <c r="L296" s="147"/>
      <c r="M296" s="149">
        <f t="shared" si="20"/>
        <v>0</v>
      </c>
    </row>
    <row r="297" spans="1:13" x14ac:dyDescent="0.25">
      <c r="A297" s="163"/>
      <c r="G297" s="133"/>
      <c r="H297" s="147">
        <v>292</v>
      </c>
      <c r="I297" s="148" t="str">
        <f t="shared" si="21"/>
        <v/>
      </c>
      <c r="J297" s="147" t="e">
        <f t="shared" si="22"/>
        <v>#NUM!</v>
      </c>
      <c r="K297" s="147" t="e">
        <f t="shared" si="19"/>
        <v>#NUM!</v>
      </c>
      <c r="L297" s="147"/>
      <c r="M297" s="149">
        <f t="shared" si="20"/>
        <v>0</v>
      </c>
    </row>
    <row r="298" spans="1:13" x14ac:dyDescent="0.25">
      <c r="A298" s="163"/>
      <c r="G298" s="133"/>
      <c r="H298" s="147">
        <v>293</v>
      </c>
      <c r="I298" s="148" t="str">
        <f t="shared" si="21"/>
        <v/>
      </c>
      <c r="J298" s="147" t="e">
        <f t="shared" si="22"/>
        <v>#NUM!</v>
      </c>
      <c r="K298" s="147" t="e">
        <f t="shared" si="19"/>
        <v>#NUM!</v>
      </c>
      <c r="L298" s="147"/>
      <c r="M298" s="149">
        <f t="shared" si="20"/>
        <v>0</v>
      </c>
    </row>
    <row r="299" spans="1:13" x14ac:dyDescent="0.25">
      <c r="A299" s="163"/>
      <c r="G299" s="133"/>
      <c r="H299" s="147">
        <v>294</v>
      </c>
      <c r="I299" s="148" t="str">
        <f t="shared" si="21"/>
        <v/>
      </c>
      <c r="J299" s="147" t="e">
        <f t="shared" si="22"/>
        <v>#NUM!</v>
      </c>
      <c r="K299" s="147" t="e">
        <f t="shared" si="19"/>
        <v>#NUM!</v>
      </c>
      <c r="L299" s="147"/>
      <c r="M299" s="149">
        <f t="shared" si="20"/>
        <v>0</v>
      </c>
    </row>
    <row r="300" spans="1:13" x14ac:dyDescent="0.25">
      <c r="A300" s="163"/>
      <c r="G300" s="133"/>
      <c r="H300" s="147">
        <v>295</v>
      </c>
      <c r="I300" s="148" t="str">
        <f t="shared" si="21"/>
        <v/>
      </c>
      <c r="J300" s="147" t="e">
        <f t="shared" si="22"/>
        <v>#NUM!</v>
      </c>
      <c r="K300" s="147" t="e">
        <f t="shared" si="19"/>
        <v>#NUM!</v>
      </c>
      <c r="L300" s="147"/>
      <c r="M300" s="149">
        <f t="shared" si="20"/>
        <v>0</v>
      </c>
    </row>
    <row r="301" spans="1:13" x14ac:dyDescent="0.25">
      <c r="A301" s="163"/>
      <c r="G301" s="133"/>
      <c r="H301" s="147">
        <v>296</v>
      </c>
      <c r="I301" s="148" t="str">
        <f t="shared" si="21"/>
        <v/>
      </c>
      <c r="J301" s="147" t="e">
        <f t="shared" si="22"/>
        <v>#NUM!</v>
      </c>
      <c r="K301" s="147" t="e">
        <f t="shared" si="19"/>
        <v>#NUM!</v>
      </c>
      <c r="L301" s="147"/>
      <c r="M301" s="149">
        <f t="shared" si="20"/>
        <v>0</v>
      </c>
    </row>
    <row r="302" spans="1:13" x14ac:dyDescent="0.25">
      <c r="A302" s="163"/>
      <c r="G302" s="133"/>
      <c r="H302" s="147">
        <v>297</v>
      </c>
      <c r="I302" s="148" t="str">
        <f t="shared" si="21"/>
        <v/>
      </c>
      <c r="J302" s="147" t="e">
        <f t="shared" si="22"/>
        <v>#NUM!</v>
      </c>
      <c r="K302" s="147" t="e">
        <f t="shared" si="19"/>
        <v>#NUM!</v>
      </c>
      <c r="L302" s="147"/>
      <c r="M302" s="149">
        <f t="shared" si="20"/>
        <v>0</v>
      </c>
    </row>
    <row r="303" spans="1:13" x14ac:dyDescent="0.25">
      <c r="A303" s="163"/>
      <c r="G303" s="133"/>
      <c r="H303" s="147">
        <v>298</v>
      </c>
      <c r="I303" s="148" t="str">
        <f t="shared" si="21"/>
        <v/>
      </c>
      <c r="J303" s="147" t="e">
        <f t="shared" si="22"/>
        <v>#NUM!</v>
      </c>
      <c r="K303" s="147" t="e">
        <f t="shared" si="19"/>
        <v>#NUM!</v>
      </c>
      <c r="L303" s="147"/>
      <c r="M303" s="149">
        <f t="shared" si="20"/>
        <v>0</v>
      </c>
    </row>
    <row r="304" spans="1:13" x14ac:dyDescent="0.25">
      <c r="A304" s="163"/>
      <c r="G304" s="133"/>
      <c r="H304" s="147">
        <v>299</v>
      </c>
      <c r="I304" s="148" t="str">
        <f t="shared" si="21"/>
        <v/>
      </c>
      <c r="J304" s="147" t="e">
        <f t="shared" si="22"/>
        <v>#NUM!</v>
      </c>
      <c r="K304" s="147" t="e">
        <f t="shared" si="19"/>
        <v>#NUM!</v>
      </c>
      <c r="L304" s="147"/>
      <c r="M304" s="149">
        <f t="shared" si="20"/>
        <v>0</v>
      </c>
    </row>
    <row r="305" spans="1:16" x14ac:dyDescent="0.25">
      <c r="A305" s="163"/>
      <c r="G305" s="133"/>
      <c r="H305" s="147">
        <v>300</v>
      </c>
      <c r="I305" s="148" t="str">
        <f t="shared" si="21"/>
        <v/>
      </c>
      <c r="J305" s="147" t="e">
        <f t="shared" si="22"/>
        <v>#NUM!</v>
      </c>
      <c r="K305" s="147" t="e">
        <f t="shared" si="19"/>
        <v>#NUM!</v>
      </c>
      <c r="L305" s="147"/>
      <c r="M305" s="149">
        <f t="shared" si="20"/>
        <v>0</v>
      </c>
    </row>
    <row r="306" spans="1:16" x14ac:dyDescent="0.25">
      <c r="A306" s="165"/>
    </row>
    <row r="314" spans="1:16" x14ac:dyDescent="0.25">
      <c r="L314" s="168"/>
      <c r="P314" s="158"/>
    </row>
    <row r="315" spans="1:16" x14ac:dyDescent="0.25">
      <c r="L315" s="168"/>
      <c r="P315" s="158"/>
    </row>
    <row r="316" spans="1:16" x14ac:dyDescent="0.25">
      <c r="L316" s="168"/>
      <c r="P316" s="158"/>
    </row>
    <row r="317" spans="1:16" x14ac:dyDescent="0.25">
      <c r="L317" s="168"/>
      <c r="P317" s="158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983D60C1-3E45-47E5-BB77-A0ED92711A16}">
      <formula1>#REF!</formula1>
    </dataValidation>
  </dataValidations>
  <hyperlinks>
    <hyperlink ref="C2" r:id="rId1" xr:uid="{425EC7A4-7064-46E4-BE4D-712306B1DB81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E19" sqref="E19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5.25" style="62" customWidth="1"/>
    <col min="11" max="11" width="8.75" style="62" customWidth="1"/>
    <col min="12" max="12" width="11" style="62" customWidth="1"/>
    <col min="13" max="13" width="11.75" style="62" customWidth="1"/>
    <col min="14" max="14" width="11.75" style="63" customWidth="1"/>
    <col min="15" max="16" width="13.875" style="16" customWidth="1"/>
    <col min="17" max="19" width="8.875" style="16"/>
    <col min="20" max="21" width="8.875" style="21"/>
    <col min="22" max="22" width="12.125" style="21" customWidth="1"/>
    <col min="23" max="23" width="27.375" style="21" customWidth="1"/>
    <col min="24" max="39" width="8.875" style="21"/>
    <col min="40" max="16384" width="8.875" style="60"/>
  </cols>
  <sheetData>
    <row r="1" spans="1:37" x14ac:dyDescent="0.25">
      <c r="A1" s="16"/>
      <c r="B1" s="16"/>
      <c r="C1" s="16"/>
      <c r="D1" s="16"/>
      <c r="E1" s="16"/>
      <c r="F1" s="16"/>
      <c r="G1" s="16"/>
      <c r="H1" s="17" t="s">
        <v>22</v>
      </c>
      <c r="I1" s="18" t="s">
        <v>23</v>
      </c>
      <c r="J1" s="18" t="s">
        <v>24</v>
      </c>
      <c r="K1" s="19" t="s">
        <v>64</v>
      </c>
      <c r="L1" s="65" t="s">
        <v>65</v>
      </c>
      <c r="M1" s="66"/>
      <c r="N1" s="20"/>
    </row>
    <row r="2" spans="1:37" x14ac:dyDescent="0.25">
      <c r="A2" s="16"/>
      <c r="B2" s="22" t="s">
        <v>26</v>
      </c>
      <c r="C2" s="266" t="s">
        <v>66</v>
      </c>
      <c r="D2" s="266"/>
      <c r="E2" s="23"/>
      <c r="F2" s="23"/>
      <c r="G2" s="23"/>
      <c r="H2" s="24">
        <v>3</v>
      </c>
      <c r="I2" s="25">
        <v>50</v>
      </c>
      <c r="J2" s="25">
        <v>10</v>
      </c>
      <c r="K2" s="26">
        <f>3*H2^(1/3)</f>
        <v>4.3267487109222245</v>
      </c>
      <c r="L2" s="67">
        <f>1.2</f>
        <v>1.2</v>
      </c>
      <c r="M2" s="20"/>
      <c r="N2" s="20"/>
    </row>
    <row r="3" spans="1:37" x14ac:dyDescent="0.25">
      <c r="A3" s="16"/>
      <c r="B3" s="27" t="s">
        <v>28</v>
      </c>
      <c r="C3" s="267" t="s">
        <v>67</v>
      </c>
      <c r="D3" s="267"/>
      <c r="E3" s="28"/>
      <c r="F3" s="28"/>
      <c r="G3" s="28"/>
      <c r="H3" s="20"/>
      <c r="I3" s="20"/>
      <c r="J3" s="29"/>
      <c r="K3" s="20"/>
      <c r="L3" s="20"/>
      <c r="M3" s="20"/>
      <c r="N3" s="20"/>
    </row>
    <row r="4" spans="1:37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N4" s="20"/>
    </row>
    <row r="5" spans="1:37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32" t="s">
        <v>36</v>
      </c>
      <c r="I5" s="33" t="s">
        <v>37</v>
      </c>
      <c r="J5" s="34" t="s">
        <v>38</v>
      </c>
      <c r="K5" s="33" t="s">
        <v>39</v>
      </c>
      <c r="L5" s="33" t="s">
        <v>40</v>
      </c>
      <c r="M5" s="32" t="s">
        <v>41</v>
      </c>
      <c r="N5" s="32" t="s">
        <v>68</v>
      </c>
      <c r="P5" s="246" t="s">
        <v>69</v>
      </c>
      <c r="Q5" s="247" t="s">
        <v>70</v>
      </c>
      <c r="R5" s="246" t="s">
        <v>71</v>
      </c>
      <c r="S5" s="246" t="s">
        <v>72</v>
      </c>
    </row>
    <row r="6" spans="1:37" ht="14.45" customHeight="1" x14ac:dyDescent="0.25">
      <c r="A6" s="35">
        <v>71</v>
      </c>
      <c r="B6" s="36">
        <f t="shared" ref="B6:B13" si="0">IF(H6&gt;$H$2,"",(ROW()-5))</f>
        <v>1</v>
      </c>
      <c r="C6" s="37" t="s">
        <v>20</v>
      </c>
      <c r="D6" s="37"/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1">J6*$J$2</f>
        <v>20</v>
      </c>
      <c r="L6" s="40">
        <f>3*K2</f>
        <v>12.980246132766673</v>
      </c>
      <c r="M6" s="40">
        <f t="shared" ref="M6:M69" si="2">IF(I6&lt;&gt;"",K6+I6+L6,0)</f>
        <v>82.980246132766666</v>
      </c>
      <c r="N6" s="40">
        <f t="shared" ref="N6:N69" si="3">IF(I6&lt;&gt;"",M6*L$2,0)</f>
        <v>99.57629535932</v>
      </c>
      <c r="P6" s="248">
        <v>1</v>
      </c>
      <c r="Q6" s="247" t="s">
        <v>73</v>
      </c>
      <c r="R6" s="248">
        <v>4</v>
      </c>
      <c r="S6" s="248">
        <v>40</v>
      </c>
    </row>
    <row r="7" spans="1:37" ht="14.45" customHeight="1" x14ac:dyDescent="0.25">
      <c r="A7" s="41">
        <f t="shared" ref="A7:A70" si="4">N7</f>
        <v>45.285527396211648</v>
      </c>
      <c r="B7" s="42">
        <f t="shared" si="0"/>
        <v>2</v>
      </c>
      <c r="C7" s="43" t="s">
        <v>19</v>
      </c>
      <c r="D7" s="43"/>
      <c r="E7" s="43"/>
      <c r="F7" s="43"/>
      <c r="G7" s="30"/>
      <c r="H7" s="44">
        <v>2</v>
      </c>
      <c r="I7" s="45">
        <f t="shared" ref="I7:I69" si="5">IF(H7&lt;$H$2+1,($I$2-($I$2-1)*(LOG(H7)/LOG($H$2))),"")</f>
        <v>19.084442074998588</v>
      </c>
      <c r="J7" s="44">
        <f t="shared" ref="J7:J70" si="6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8.6534974218444489</v>
      </c>
      <c r="M7" s="46">
        <f t="shared" si="2"/>
        <v>37.73793949684304</v>
      </c>
      <c r="N7" s="46">
        <f t="shared" si="3"/>
        <v>45.285527396211648</v>
      </c>
      <c r="P7" s="248">
        <v>2</v>
      </c>
      <c r="Q7" s="247" t="s">
        <v>74</v>
      </c>
      <c r="R7" s="248">
        <v>3</v>
      </c>
      <c r="S7" s="248">
        <v>30</v>
      </c>
    </row>
    <row r="8" spans="1:37" ht="14.45" customHeight="1" x14ac:dyDescent="0.25">
      <c r="A8" s="35">
        <f t="shared" si="4"/>
        <v>18.392098453106669</v>
      </c>
      <c r="B8" s="36">
        <f t="shared" si="0"/>
        <v>3</v>
      </c>
      <c r="C8" s="37" t="s">
        <v>21</v>
      </c>
      <c r="D8" s="37"/>
      <c r="E8" s="37"/>
      <c r="F8" s="37"/>
      <c r="G8" s="30"/>
      <c r="H8" s="38">
        <v>3</v>
      </c>
      <c r="I8" s="39">
        <f t="shared" si="5"/>
        <v>1</v>
      </c>
      <c r="J8" s="249">
        <v>1</v>
      </c>
      <c r="K8" s="38">
        <f t="shared" si="1"/>
        <v>10</v>
      </c>
      <c r="L8" s="40">
        <f>K2</f>
        <v>4.3267487109222245</v>
      </c>
      <c r="M8" s="40">
        <f t="shared" si="2"/>
        <v>15.326748710922224</v>
      </c>
      <c r="N8" s="40">
        <f t="shared" si="3"/>
        <v>18.392098453106669</v>
      </c>
      <c r="P8" s="248">
        <v>3</v>
      </c>
      <c r="Q8" s="247" t="s">
        <v>75</v>
      </c>
      <c r="R8" s="248">
        <v>2</v>
      </c>
      <c r="S8" s="248">
        <v>20</v>
      </c>
    </row>
    <row r="9" spans="1:37" ht="14.45" customHeight="1" x14ac:dyDescent="0.25">
      <c r="A9" s="41">
        <f t="shared" si="4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5"/>
        <v/>
      </c>
      <c r="J9" s="44">
        <f t="shared" si="6"/>
        <v>0</v>
      </c>
      <c r="K9" s="44">
        <f t="shared" si="1"/>
        <v>0</v>
      </c>
      <c r="L9" s="46"/>
      <c r="M9" s="46">
        <f t="shared" si="2"/>
        <v>0</v>
      </c>
      <c r="N9" s="46">
        <f t="shared" si="3"/>
        <v>0</v>
      </c>
      <c r="P9" s="248">
        <v>4</v>
      </c>
      <c r="Q9" s="247" t="s">
        <v>76</v>
      </c>
      <c r="R9" s="248">
        <v>2</v>
      </c>
      <c r="S9" s="248">
        <v>20</v>
      </c>
      <c r="W9" s="47"/>
      <c r="AA9" s="48"/>
      <c r="AB9" s="48"/>
      <c r="AH9" s="49"/>
      <c r="AI9" s="21" t="s">
        <v>42</v>
      </c>
      <c r="AJ9" s="21">
        <v>23</v>
      </c>
    </row>
    <row r="10" spans="1:37" ht="14.45" customHeight="1" x14ac:dyDescent="0.25">
      <c r="A10" s="35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5"/>
        <v/>
      </c>
      <c r="J10" s="38">
        <f t="shared" si="6"/>
        <v>-1</v>
      </c>
      <c r="K10" s="38">
        <f t="shared" si="1"/>
        <v>-10</v>
      </c>
      <c r="L10" s="38"/>
      <c r="M10" s="40">
        <f t="shared" si="2"/>
        <v>0</v>
      </c>
      <c r="N10" s="40">
        <f t="shared" si="3"/>
        <v>0</v>
      </c>
      <c r="P10" s="248">
        <v>5</v>
      </c>
      <c r="Q10" s="247" t="s">
        <v>77</v>
      </c>
      <c r="R10" s="248">
        <v>1</v>
      </c>
      <c r="S10" s="248">
        <v>10</v>
      </c>
      <c r="W10" s="47"/>
      <c r="AA10" s="48"/>
      <c r="AB10" s="48"/>
      <c r="AH10" s="49"/>
      <c r="AI10" s="21" t="s">
        <v>43</v>
      </c>
      <c r="AJ10" s="21">
        <v>45</v>
      </c>
    </row>
    <row r="11" spans="1:37" ht="14.45" customHeight="1" x14ac:dyDescent="0.25">
      <c r="A11" s="41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5"/>
        <v/>
      </c>
      <c r="J11" s="44">
        <f t="shared" si="6"/>
        <v>-1</v>
      </c>
      <c r="K11" s="44">
        <f t="shared" si="1"/>
        <v>-10</v>
      </c>
      <c r="L11" s="44"/>
      <c r="M11" s="46">
        <f t="shared" si="2"/>
        <v>0</v>
      </c>
      <c r="N11" s="46">
        <f t="shared" si="3"/>
        <v>0</v>
      </c>
      <c r="P11" s="248">
        <v>6</v>
      </c>
      <c r="Q11" s="247" t="s">
        <v>78</v>
      </c>
      <c r="R11" s="248">
        <v>1</v>
      </c>
      <c r="S11" s="248">
        <v>10</v>
      </c>
      <c r="W11" s="50"/>
      <c r="AA11" s="48"/>
      <c r="AB11" s="48"/>
      <c r="AH11" s="49"/>
      <c r="AI11" s="21" t="s">
        <v>44</v>
      </c>
      <c r="AJ11" s="21">
        <v>50</v>
      </c>
    </row>
    <row r="12" spans="1:37" ht="14.45" customHeight="1" x14ac:dyDescent="0.25">
      <c r="A12" s="35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5"/>
        <v/>
      </c>
      <c r="J12" s="38">
        <f t="shared" si="6"/>
        <v>-1</v>
      </c>
      <c r="K12" s="38">
        <f t="shared" si="1"/>
        <v>-10</v>
      </c>
      <c r="L12" s="38"/>
      <c r="M12" s="40">
        <f t="shared" si="2"/>
        <v>0</v>
      </c>
      <c r="N12" s="40">
        <f t="shared" si="3"/>
        <v>0</v>
      </c>
      <c r="P12" s="248">
        <v>7</v>
      </c>
      <c r="Q12" s="247" t="s">
        <v>79</v>
      </c>
      <c r="R12" s="248">
        <v>1</v>
      </c>
      <c r="S12" s="248">
        <v>10</v>
      </c>
      <c r="AA12" s="48"/>
      <c r="AB12" s="48"/>
      <c r="AH12" s="49"/>
      <c r="AI12" s="21" t="s">
        <v>45</v>
      </c>
      <c r="AJ12" s="21">
        <f>AJ11-1</f>
        <v>49</v>
      </c>
    </row>
    <row r="13" spans="1:37" ht="14.45" customHeight="1" x14ac:dyDescent="0.25">
      <c r="A13" s="51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5"/>
        <v/>
      </c>
      <c r="J13" s="44">
        <f t="shared" si="6"/>
        <v>-1</v>
      </c>
      <c r="K13" s="44">
        <f t="shared" si="1"/>
        <v>-10</v>
      </c>
      <c r="L13" s="44"/>
      <c r="M13" s="46">
        <f t="shared" si="2"/>
        <v>0</v>
      </c>
      <c r="N13" s="46">
        <f t="shared" si="3"/>
        <v>0</v>
      </c>
      <c r="P13" s="248">
        <v>8</v>
      </c>
      <c r="Q13" s="247" t="s">
        <v>80</v>
      </c>
      <c r="R13" s="248">
        <v>1</v>
      </c>
      <c r="S13" s="248">
        <v>10</v>
      </c>
      <c r="Y13" s="47"/>
      <c r="AH13" s="49"/>
      <c r="AI13" s="21" t="s">
        <v>46</v>
      </c>
      <c r="AJ13" s="21">
        <f>LOG(AJ9)</f>
        <v>1.3617278360175928</v>
      </c>
    </row>
    <row r="14" spans="1:37" x14ac:dyDescent="0.25">
      <c r="A14" s="52">
        <f t="shared" si="4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5"/>
        <v/>
      </c>
      <c r="J14" s="38">
        <f t="shared" si="6"/>
        <v>-2</v>
      </c>
      <c r="K14" s="38">
        <f t="shared" si="1"/>
        <v>-20</v>
      </c>
      <c r="L14" s="38"/>
      <c r="M14" s="40">
        <f t="shared" si="2"/>
        <v>0</v>
      </c>
      <c r="N14" s="40">
        <f t="shared" si="3"/>
        <v>0</v>
      </c>
      <c r="P14" s="248">
        <v>9</v>
      </c>
      <c r="Q14" s="247" t="s">
        <v>81</v>
      </c>
      <c r="R14" s="248">
        <v>0</v>
      </c>
      <c r="S14" s="248">
        <v>0</v>
      </c>
      <c r="Y14" s="53"/>
      <c r="AA14" s="48"/>
      <c r="AB14" s="48"/>
      <c r="AH14" s="49"/>
      <c r="AI14" s="21" t="s">
        <v>47</v>
      </c>
      <c r="AJ14" s="21">
        <f>LOG(AJ10)</f>
        <v>1.6532125137753437</v>
      </c>
    </row>
    <row r="15" spans="1:37" x14ac:dyDescent="0.25">
      <c r="A15" s="51">
        <f t="shared" si="4"/>
        <v>0</v>
      </c>
      <c r="B15" s="42" t="str">
        <f t="shared" ref="B15:B65" si="7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5"/>
        <v/>
      </c>
      <c r="J15" s="44">
        <f t="shared" si="6"/>
        <v>-2</v>
      </c>
      <c r="K15" s="44">
        <f t="shared" si="1"/>
        <v>-20</v>
      </c>
      <c r="L15" s="44"/>
      <c r="M15" s="46">
        <f t="shared" si="2"/>
        <v>0</v>
      </c>
      <c r="N15" s="46">
        <f t="shared" si="3"/>
        <v>0</v>
      </c>
      <c r="Y15" s="47"/>
      <c r="AA15" s="48"/>
      <c r="AB15" s="48"/>
    </row>
    <row r="16" spans="1:37" x14ac:dyDescent="0.25">
      <c r="A16" s="52">
        <f t="shared" si="4"/>
        <v>0</v>
      </c>
      <c r="B16" s="36" t="str">
        <f t="shared" si="7"/>
        <v/>
      </c>
      <c r="C16" s="37"/>
      <c r="D16" s="37"/>
      <c r="E16" s="37"/>
      <c r="F16" s="37"/>
      <c r="G16" s="30"/>
      <c r="H16" s="38">
        <v>11</v>
      </c>
      <c r="I16" s="39" t="str">
        <f t="shared" si="5"/>
        <v/>
      </c>
      <c r="J16" s="38">
        <f t="shared" si="6"/>
        <v>-2</v>
      </c>
      <c r="K16" s="38">
        <f t="shared" si="1"/>
        <v>-20</v>
      </c>
      <c r="L16" s="38"/>
      <c r="M16" s="40">
        <f t="shared" si="2"/>
        <v>0</v>
      </c>
      <c r="N16" s="40">
        <f t="shared" si="3"/>
        <v>0</v>
      </c>
      <c r="S16" s="54"/>
      <c r="AA16" s="48"/>
      <c r="AB16" s="48"/>
      <c r="AI16" s="55" t="s">
        <v>48</v>
      </c>
      <c r="AJ16" s="21">
        <f>AJ11-AJ12*AJ13/AJ14</f>
        <v>9.6393909380186855</v>
      </c>
      <c r="AK16" s="21" t="s">
        <v>49</v>
      </c>
    </row>
    <row r="17" spans="1:20" x14ac:dyDescent="0.25">
      <c r="A17" s="51">
        <f t="shared" si="4"/>
        <v>0</v>
      </c>
      <c r="B17" s="42" t="str">
        <f t="shared" si="7"/>
        <v/>
      </c>
      <c r="C17" s="43"/>
      <c r="D17" s="43"/>
      <c r="E17" s="43"/>
      <c r="F17" s="43"/>
      <c r="G17" s="30"/>
      <c r="H17" s="44">
        <v>12</v>
      </c>
      <c r="I17" s="45" t="str">
        <f t="shared" si="5"/>
        <v/>
      </c>
      <c r="J17" s="44">
        <f t="shared" si="6"/>
        <v>-2</v>
      </c>
      <c r="K17" s="44">
        <f t="shared" si="1"/>
        <v>-20</v>
      </c>
      <c r="L17" s="44"/>
      <c r="M17" s="46">
        <f t="shared" si="2"/>
        <v>0</v>
      </c>
      <c r="N17" s="46">
        <f t="shared" si="3"/>
        <v>0</v>
      </c>
    </row>
    <row r="18" spans="1:20" x14ac:dyDescent="0.25">
      <c r="A18" s="52">
        <f t="shared" si="4"/>
        <v>0</v>
      </c>
      <c r="B18" s="36" t="str">
        <f t="shared" si="7"/>
        <v/>
      </c>
      <c r="C18" s="37"/>
      <c r="D18" s="37"/>
      <c r="E18" s="37"/>
      <c r="F18" s="37"/>
      <c r="G18" s="30"/>
      <c r="H18" s="38">
        <v>13</v>
      </c>
      <c r="I18" s="39" t="str">
        <f t="shared" si="5"/>
        <v/>
      </c>
      <c r="J18" s="38">
        <f t="shared" si="6"/>
        <v>-2</v>
      </c>
      <c r="K18" s="38">
        <f t="shared" si="1"/>
        <v>-20</v>
      </c>
      <c r="L18" s="38"/>
      <c r="M18" s="40">
        <f t="shared" si="2"/>
        <v>0</v>
      </c>
      <c r="N18" s="40">
        <f t="shared" si="3"/>
        <v>0</v>
      </c>
    </row>
    <row r="19" spans="1:20" x14ac:dyDescent="0.25">
      <c r="A19" s="51">
        <f t="shared" si="4"/>
        <v>0</v>
      </c>
      <c r="B19" s="42" t="str">
        <f t="shared" si="7"/>
        <v/>
      </c>
      <c r="C19" s="43"/>
      <c r="D19" s="43"/>
      <c r="E19" s="43"/>
      <c r="F19" s="43"/>
      <c r="G19" s="30"/>
      <c r="H19" s="44">
        <v>14</v>
      </c>
      <c r="I19" s="45" t="str">
        <f t="shared" si="5"/>
        <v/>
      </c>
      <c r="J19" s="44">
        <f t="shared" si="6"/>
        <v>-2</v>
      </c>
      <c r="K19" s="44">
        <f t="shared" si="1"/>
        <v>-20</v>
      </c>
      <c r="L19" s="44"/>
      <c r="M19" s="46">
        <f t="shared" si="2"/>
        <v>0</v>
      </c>
      <c r="N19" s="46">
        <f t="shared" si="3"/>
        <v>0</v>
      </c>
    </row>
    <row r="20" spans="1:20" x14ac:dyDescent="0.25">
      <c r="A20" s="52">
        <f t="shared" si="4"/>
        <v>0</v>
      </c>
      <c r="B20" s="36" t="str">
        <f t="shared" si="7"/>
        <v/>
      </c>
      <c r="C20" s="37"/>
      <c r="D20" s="37"/>
      <c r="E20" s="37"/>
      <c r="F20" s="37"/>
      <c r="G20" s="30"/>
      <c r="H20" s="38">
        <v>15</v>
      </c>
      <c r="I20" s="39" t="str">
        <f t="shared" si="5"/>
        <v/>
      </c>
      <c r="J20" s="38">
        <f t="shared" si="6"/>
        <v>-2</v>
      </c>
      <c r="K20" s="38">
        <f t="shared" si="1"/>
        <v>-20</v>
      </c>
      <c r="L20" s="38"/>
      <c r="M20" s="40">
        <f t="shared" si="2"/>
        <v>0</v>
      </c>
      <c r="N20" s="40">
        <f t="shared" si="3"/>
        <v>0</v>
      </c>
      <c r="S20" s="56"/>
      <c r="T20" s="57"/>
    </row>
    <row r="21" spans="1:20" x14ac:dyDescent="0.25">
      <c r="A21" s="51">
        <f t="shared" si="4"/>
        <v>0</v>
      </c>
      <c r="B21" s="42" t="str">
        <f t="shared" si="7"/>
        <v/>
      </c>
      <c r="C21" s="43"/>
      <c r="D21" s="43"/>
      <c r="E21" s="43"/>
      <c r="F21" s="43"/>
      <c r="G21" s="30"/>
      <c r="H21" s="44">
        <v>16</v>
      </c>
      <c r="I21" s="45" t="str">
        <f t="shared" si="5"/>
        <v/>
      </c>
      <c r="J21" s="44">
        <f t="shared" si="6"/>
        <v>-2</v>
      </c>
      <c r="K21" s="44">
        <f t="shared" si="1"/>
        <v>-20</v>
      </c>
      <c r="L21" s="44"/>
      <c r="M21" s="46">
        <f t="shared" si="2"/>
        <v>0</v>
      </c>
      <c r="N21" s="46">
        <f t="shared" si="3"/>
        <v>0</v>
      </c>
    </row>
    <row r="22" spans="1:20" x14ac:dyDescent="0.25">
      <c r="A22" s="52">
        <f t="shared" si="4"/>
        <v>0</v>
      </c>
      <c r="B22" s="36" t="str">
        <f t="shared" si="7"/>
        <v/>
      </c>
      <c r="C22" s="37"/>
      <c r="D22" s="37"/>
      <c r="E22" s="37"/>
      <c r="F22" s="37"/>
      <c r="G22" s="30"/>
      <c r="H22" s="38">
        <v>17</v>
      </c>
      <c r="I22" s="39" t="str">
        <f t="shared" si="5"/>
        <v/>
      </c>
      <c r="J22" s="38">
        <f t="shared" si="6"/>
        <v>-3</v>
      </c>
      <c r="K22" s="38">
        <f t="shared" si="1"/>
        <v>-30</v>
      </c>
      <c r="L22" s="38"/>
      <c r="M22" s="40">
        <f t="shared" si="2"/>
        <v>0</v>
      </c>
      <c r="N22" s="40">
        <f t="shared" si="3"/>
        <v>0</v>
      </c>
    </row>
    <row r="23" spans="1:20" x14ac:dyDescent="0.25">
      <c r="A23" s="51">
        <f t="shared" si="4"/>
        <v>0</v>
      </c>
      <c r="B23" s="42" t="str">
        <f t="shared" si="7"/>
        <v/>
      </c>
      <c r="C23" s="43"/>
      <c r="D23" s="43"/>
      <c r="E23" s="43"/>
      <c r="F23" s="43"/>
      <c r="G23" s="30"/>
      <c r="H23" s="44">
        <v>18</v>
      </c>
      <c r="I23" s="45" t="str">
        <f t="shared" si="5"/>
        <v/>
      </c>
      <c r="J23" s="44">
        <f t="shared" si="6"/>
        <v>-3</v>
      </c>
      <c r="K23" s="44">
        <f t="shared" si="1"/>
        <v>-30</v>
      </c>
      <c r="L23" s="44"/>
      <c r="M23" s="46">
        <f t="shared" si="2"/>
        <v>0</v>
      </c>
      <c r="N23" s="46">
        <f t="shared" si="3"/>
        <v>0</v>
      </c>
    </row>
    <row r="24" spans="1:20" x14ac:dyDescent="0.25">
      <c r="A24" s="52">
        <f t="shared" si="4"/>
        <v>0</v>
      </c>
      <c r="B24" s="36" t="str">
        <f t="shared" si="7"/>
        <v/>
      </c>
      <c r="C24" s="37"/>
      <c r="D24" s="37"/>
      <c r="E24" s="37"/>
      <c r="F24" s="37"/>
      <c r="G24" s="30"/>
      <c r="H24" s="38">
        <v>19</v>
      </c>
      <c r="I24" s="39" t="str">
        <f t="shared" si="5"/>
        <v/>
      </c>
      <c r="J24" s="38">
        <f t="shared" si="6"/>
        <v>-3</v>
      </c>
      <c r="K24" s="38">
        <f t="shared" si="1"/>
        <v>-30</v>
      </c>
      <c r="L24" s="38"/>
      <c r="M24" s="40">
        <f t="shared" si="2"/>
        <v>0</v>
      </c>
      <c r="N24" s="40">
        <f t="shared" si="3"/>
        <v>0</v>
      </c>
      <c r="S24" s="56"/>
      <c r="T24" s="57"/>
    </row>
    <row r="25" spans="1:20" x14ac:dyDescent="0.25">
      <c r="A25" s="51">
        <f t="shared" si="4"/>
        <v>0</v>
      </c>
      <c r="B25" s="42" t="str">
        <f t="shared" si="7"/>
        <v/>
      </c>
      <c r="C25" s="43"/>
      <c r="D25" s="43"/>
      <c r="E25" s="43"/>
      <c r="F25" s="43"/>
      <c r="G25" s="30"/>
      <c r="H25" s="44">
        <v>20</v>
      </c>
      <c r="I25" s="45" t="str">
        <f t="shared" si="5"/>
        <v/>
      </c>
      <c r="J25" s="44">
        <f t="shared" si="6"/>
        <v>-3</v>
      </c>
      <c r="K25" s="44">
        <f t="shared" si="1"/>
        <v>-30</v>
      </c>
      <c r="L25" s="44"/>
      <c r="M25" s="46">
        <f t="shared" si="2"/>
        <v>0</v>
      </c>
      <c r="N25" s="46">
        <f t="shared" si="3"/>
        <v>0</v>
      </c>
    </row>
    <row r="26" spans="1:20" x14ac:dyDescent="0.25">
      <c r="A26" s="52">
        <f t="shared" si="4"/>
        <v>0</v>
      </c>
      <c r="B26" s="36" t="str">
        <f t="shared" si="7"/>
        <v/>
      </c>
      <c r="C26" s="37"/>
      <c r="D26" s="37"/>
      <c r="E26" s="37"/>
      <c r="F26" s="37"/>
      <c r="G26" s="30"/>
      <c r="H26" s="38">
        <v>21</v>
      </c>
      <c r="I26" s="39" t="str">
        <f t="shared" si="5"/>
        <v/>
      </c>
      <c r="J26" s="38">
        <f t="shared" si="6"/>
        <v>-3</v>
      </c>
      <c r="K26" s="38">
        <f t="shared" si="1"/>
        <v>-30</v>
      </c>
      <c r="L26" s="38"/>
      <c r="M26" s="40">
        <f t="shared" si="2"/>
        <v>0</v>
      </c>
      <c r="N26" s="40">
        <f t="shared" si="3"/>
        <v>0</v>
      </c>
    </row>
    <row r="27" spans="1:20" x14ac:dyDescent="0.25">
      <c r="A27" s="51">
        <f t="shared" si="4"/>
        <v>0</v>
      </c>
      <c r="B27" s="42" t="str">
        <f t="shared" si="7"/>
        <v/>
      </c>
      <c r="C27" s="43"/>
      <c r="D27" s="43"/>
      <c r="E27" s="43"/>
      <c r="F27" s="43"/>
      <c r="G27" s="30"/>
      <c r="H27" s="44">
        <v>22</v>
      </c>
      <c r="I27" s="45" t="str">
        <f t="shared" si="5"/>
        <v/>
      </c>
      <c r="J27" s="44">
        <f t="shared" si="6"/>
        <v>-3</v>
      </c>
      <c r="K27" s="44">
        <f t="shared" si="1"/>
        <v>-30</v>
      </c>
      <c r="L27" s="44"/>
      <c r="M27" s="46">
        <f t="shared" si="2"/>
        <v>0</v>
      </c>
      <c r="N27" s="46">
        <f t="shared" si="3"/>
        <v>0</v>
      </c>
    </row>
    <row r="28" spans="1:20" x14ac:dyDescent="0.25">
      <c r="A28" s="52">
        <f t="shared" si="4"/>
        <v>0</v>
      </c>
      <c r="B28" s="36" t="str">
        <f t="shared" si="7"/>
        <v/>
      </c>
      <c r="C28" s="37"/>
      <c r="D28" s="37"/>
      <c r="E28" s="37"/>
      <c r="F28" s="37"/>
      <c r="G28" s="30"/>
      <c r="H28" s="38">
        <v>23</v>
      </c>
      <c r="I28" s="39" t="str">
        <f t="shared" si="5"/>
        <v/>
      </c>
      <c r="J28" s="38">
        <f t="shared" si="6"/>
        <v>-3</v>
      </c>
      <c r="K28" s="38">
        <f t="shared" si="1"/>
        <v>-30</v>
      </c>
      <c r="L28" s="38"/>
      <c r="M28" s="40">
        <f t="shared" si="2"/>
        <v>0</v>
      </c>
      <c r="N28" s="40">
        <f t="shared" si="3"/>
        <v>0</v>
      </c>
      <c r="S28" s="56"/>
      <c r="T28" s="57"/>
    </row>
    <row r="29" spans="1:20" x14ac:dyDescent="0.25">
      <c r="A29" s="51">
        <f t="shared" si="4"/>
        <v>0</v>
      </c>
      <c r="B29" s="42" t="str">
        <f t="shared" si="7"/>
        <v/>
      </c>
      <c r="C29" s="43"/>
      <c r="D29" s="43"/>
      <c r="E29" s="43"/>
      <c r="F29" s="43"/>
      <c r="G29" s="16"/>
      <c r="H29" s="44">
        <v>24</v>
      </c>
      <c r="I29" s="45" t="str">
        <f t="shared" si="5"/>
        <v/>
      </c>
      <c r="J29" s="44">
        <f t="shared" si="6"/>
        <v>-3</v>
      </c>
      <c r="K29" s="44">
        <f t="shared" si="1"/>
        <v>-30</v>
      </c>
      <c r="L29" s="44"/>
      <c r="M29" s="46">
        <f t="shared" si="2"/>
        <v>0</v>
      </c>
      <c r="N29" s="46">
        <f t="shared" si="3"/>
        <v>0</v>
      </c>
    </row>
    <row r="30" spans="1:20" x14ac:dyDescent="0.25">
      <c r="A30" s="52">
        <f t="shared" si="4"/>
        <v>0</v>
      </c>
      <c r="B30" s="36" t="str">
        <f t="shared" si="7"/>
        <v/>
      </c>
      <c r="C30" s="37"/>
      <c r="D30" s="37"/>
      <c r="E30" s="37"/>
      <c r="F30" s="37"/>
      <c r="G30" s="16"/>
      <c r="H30" s="38">
        <v>25</v>
      </c>
      <c r="I30" s="39" t="str">
        <f t="shared" si="5"/>
        <v/>
      </c>
      <c r="J30" s="38">
        <f t="shared" si="6"/>
        <v>-3</v>
      </c>
      <c r="K30" s="38">
        <f t="shared" si="1"/>
        <v>-30</v>
      </c>
      <c r="L30" s="38"/>
      <c r="M30" s="40">
        <f t="shared" si="2"/>
        <v>0</v>
      </c>
      <c r="N30" s="40">
        <f t="shared" si="3"/>
        <v>0</v>
      </c>
    </row>
    <row r="31" spans="1:20" x14ac:dyDescent="0.25">
      <c r="A31" s="51">
        <f t="shared" si="4"/>
        <v>0</v>
      </c>
      <c r="B31" s="42" t="str">
        <f t="shared" si="7"/>
        <v/>
      </c>
      <c r="C31" s="43"/>
      <c r="D31" s="43"/>
      <c r="E31" s="43"/>
      <c r="F31" s="43"/>
      <c r="G31" s="16"/>
      <c r="H31" s="44">
        <v>26</v>
      </c>
      <c r="I31" s="45" t="str">
        <f t="shared" si="5"/>
        <v/>
      </c>
      <c r="J31" s="44">
        <f t="shared" si="6"/>
        <v>-3</v>
      </c>
      <c r="K31" s="44">
        <f t="shared" si="1"/>
        <v>-30</v>
      </c>
      <c r="L31" s="44"/>
      <c r="M31" s="46">
        <f t="shared" si="2"/>
        <v>0</v>
      </c>
      <c r="N31" s="46">
        <f t="shared" si="3"/>
        <v>0</v>
      </c>
    </row>
    <row r="32" spans="1:20" x14ac:dyDescent="0.25">
      <c r="A32" s="52">
        <f t="shared" si="4"/>
        <v>0</v>
      </c>
      <c r="B32" s="36" t="str">
        <f t="shared" si="7"/>
        <v/>
      </c>
      <c r="C32" s="37"/>
      <c r="D32" s="37"/>
      <c r="E32" s="37"/>
      <c r="F32" s="37"/>
      <c r="G32" s="16"/>
      <c r="H32" s="38">
        <v>27</v>
      </c>
      <c r="I32" s="39" t="str">
        <f t="shared" si="5"/>
        <v/>
      </c>
      <c r="J32" s="38">
        <f t="shared" si="6"/>
        <v>-3</v>
      </c>
      <c r="K32" s="38">
        <f t="shared" si="1"/>
        <v>-30</v>
      </c>
      <c r="L32" s="38"/>
      <c r="M32" s="40">
        <f t="shared" si="2"/>
        <v>0</v>
      </c>
      <c r="N32" s="40">
        <f t="shared" si="3"/>
        <v>0</v>
      </c>
      <c r="S32" s="56"/>
      <c r="T32" s="57"/>
    </row>
    <row r="33" spans="1:22" x14ac:dyDescent="0.25">
      <c r="A33" s="51">
        <f t="shared" si="4"/>
        <v>0</v>
      </c>
      <c r="B33" s="42" t="str">
        <f t="shared" si="7"/>
        <v/>
      </c>
      <c r="C33" s="43"/>
      <c r="D33" s="43"/>
      <c r="E33" s="43"/>
      <c r="F33" s="43"/>
      <c r="G33" s="16"/>
      <c r="H33" s="44">
        <v>28</v>
      </c>
      <c r="I33" s="45" t="str">
        <f t="shared" si="5"/>
        <v/>
      </c>
      <c r="J33" s="44">
        <f t="shared" si="6"/>
        <v>-3</v>
      </c>
      <c r="K33" s="44">
        <f t="shared" si="1"/>
        <v>-30</v>
      </c>
      <c r="L33" s="44"/>
      <c r="M33" s="46">
        <f t="shared" si="2"/>
        <v>0</v>
      </c>
      <c r="N33" s="46">
        <f t="shared" si="3"/>
        <v>0</v>
      </c>
    </row>
    <row r="34" spans="1:22" x14ac:dyDescent="0.25">
      <c r="A34" s="52">
        <f t="shared" si="4"/>
        <v>0</v>
      </c>
      <c r="B34" s="36" t="str">
        <f t="shared" si="7"/>
        <v/>
      </c>
      <c r="C34" s="37"/>
      <c r="D34" s="37"/>
      <c r="E34" s="37"/>
      <c r="F34" s="37"/>
      <c r="G34" s="16"/>
      <c r="H34" s="38">
        <v>29</v>
      </c>
      <c r="I34" s="39" t="str">
        <f t="shared" si="5"/>
        <v/>
      </c>
      <c r="J34" s="38">
        <f t="shared" si="6"/>
        <v>-3</v>
      </c>
      <c r="K34" s="38">
        <f t="shared" si="1"/>
        <v>-30</v>
      </c>
      <c r="L34" s="38"/>
      <c r="M34" s="40">
        <f t="shared" si="2"/>
        <v>0</v>
      </c>
      <c r="N34" s="40">
        <f t="shared" si="3"/>
        <v>0</v>
      </c>
    </row>
    <row r="35" spans="1:22" x14ac:dyDescent="0.25">
      <c r="A35" s="51">
        <f t="shared" si="4"/>
        <v>0</v>
      </c>
      <c r="B35" s="42" t="str">
        <f t="shared" si="7"/>
        <v/>
      </c>
      <c r="C35" s="43"/>
      <c r="D35" s="43"/>
      <c r="E35" s="43"/>
      <c r="F35" s="43"/>
      <c r="G35" s="16"/>
      <c r="H35" s="44">
        <v>30</v>
      </c>
      <c r="I35" s="45" t="str">
        <f t="shared" si="5"/>
        <v/>
      </c>
      <c r="J35" s="44">
        <f t="shared" si="6"/>
        <v>-3</v>
      </c>
      <c r="K35" s="44">
        <f t="shared" si="1"/>
        <v>-30</v>
      </c>
      <c r="L35" s="44"/>
      <c r="M35" s="46">
        <f t="shared" si="2"/>
        <v>0</v>
      </c>
      <c r="N35" s="46">
        <f t="shared" si="3"/>
        <v>0</v>
      </c>
    </row>
    <row r="36" spans="1:22" x14ac:dyDescent="0.25">
      <c r="A36" s="52">
        <f t="shared" si="4"/>
        <v>0</v>
      </c>
      <c r="B36" s="36" t="str">
        <f t="shared" si="7"/>
        <v/>
      </c>
      <c r="C36" s="37"/>
      <c r="D36" s="37"/>
      <c r="E36" s="37"/>
      <c r="F36" s="37"/>
      <c r="G36" s="16"/>
      <c r="H36" s="38">
        <v>31</v>
      </c>
      <c r="I36" s="39" t="str">
        <f t="shared" si="5"/>
        <v/>
      </c>
      <c r="J36" s="38">
        <f t="shared" si="6"/>
        <v>-3</v>
      </c>
      <c r="K36" s="38">
        <f t="shared" si="1"/>
        <v>-30</v>
      </c>
      <c r="L36" s="38"/>
      <c r="M36" s="40">
        <f t="shared" si="2"/>
        <v>0</v>
      </c>
      <c r="N36" s="40">
        <f t="shared" si="3"/>
        <v>0</v>
      </c>
      <c r="S36" s="56"/>
      <c r="T36" s="57"/>
    </row>
    <row r="37" spans="1:22" x14ac:dyDescent="0.25">
      <c r="A37" s="51">
        <f t="shared" si="4"/>
        <v>0</v>
      </c>
      <c r="B37" s="42" t="str">
        <f t="shared" si="7"/>
        <v/>
      </c>
      <c r="C37" s="43"/>
      <c r="D37" s="43"/>
      <c r="E37" s="43"/>
      <c r="F37" s="43"/>
      <c r="G37" s="16"/>
      <c r="H37" s="44">
        <v>32</v>
      </c>
      <c r="I37" s="45" t="str">
        <f t="shared" si="5"/>
        <v/>
      </c>
      <c r="J37" s="44">
        <f t="shared" si="6"/>
        <v>-3</v>
      </c>
      <c r="K37" s="44">
        <f t="shared" si="1"/>
        <v>-30</v>
      </c>
      <c r="L37" s="44"/>
      <c r="M37" s="46">
        <f t="shared" si="2"/>
        <v>0</v>
      </c>
      <c r="N37" s="46">
        <f t="shared" si="3"/>
        <v>0</v>
      </c>
    </row>
    <row r="38" spans="1:22" x14ac:dyDescent="0.25">
      <c r="A38" s="52">
        <f t="shared" si="4"/>
        <v>0</v>
      </c>
      <c r="B38" s="36" t="str">
        <f t="shared" si="7"/>
        <v/>
      </c>
      <c r="C38" s="37"/>
      <c r="D38" s="37"/>
      <c r="E38" s="37"/>
      <c r="F38" s="37"/>
      <c r="G38" s="16"/>
      <c r="H38" s="38">
        <v>33</v>
      </c>
      <c r="I38" s="39" t="str">
        <f t="shared" si="5"/>
        <v/>
      </c>
      <c r="J38" s="38">
        <f t="shared" si="6"/>
        <v>-4</v>
      </c>
      <c r="K38" s="38">
        <f t="shared" si="1"/>
        <v>-40</v>
      </c>
      <c r="L38" s="38"/>
      <c r="M38" s="40">
        <f t="shared" si="2"/>
        <v>0</v>
      </c>
      <c r="N38" s="40">
        <f t="shared" si="3"/>
        <v>0</v>
      </c>
    </row>
    <row r="39" spans="1:22" x14ac:dyDescent="0.25">
      <c r="A39" s="51">
        <f t="shared" si="4"/>
        <v>0</v>
      </c>
      <c r="B39" s="42" t="str">
        <f t="shared" si="7"/>
        <v/>
      </c>
      <c r="C39" s="43"/>
      <c r="D39" s="43"/>
      <c r="E39" s="43"/>
      <c r="F39" s="43"/>
      <c r="G39" s="16"/>
      <c r="H39" s="44">
        <v>34</v>
      </c>
      <c r="I39" s="45" t="str">
        <f t="shared" si="5"/>
        <v/>
      </c>
      <c r="J39" s="44">
        <f t="shared" si="6"/>
        <v>-4</v>
      </c>
      <c r="K39" s="44">
        <f t="shared" si="1"/>
        <v>-40</v>
      </c>
      <c r="L39" s="44"/>
      <c r="M39" s="46">
        <f t="shared" si="2"/>
        <v>0</v>
      </c>
      <c r="N39" s="46">
        <f t="shared" si="3"/>
        <v>0</v>
      </c>
    </row>
    <row r="40" spans="1:22" x14ac:dyDescent="0.25">
      <c r="A40" s="52">
        <f t="shared" si="4"/>
        <v>0</v>
      </c>
      <c r="B40" s="36" t="str">
        <f t="shared" si="7"/>
        <v/>
      </c>
      <c r="C40" s="37"/>
      <c r="D40" s="37"/>
      <c r="E40" s="37"/>
      <c r="F40" s="37"/>
      <c r="G40" s="16"/>
      <c r="H40" s="38">
        <v>35</v>
      </c>
      <c r="I40" s="39" t="str">
        <f t="shared" si="5"/>
        <v/>
      </c>
      <c r="J40" s="38">
        <f t="shared" si="6"/>
        <v>-4</v>
      </c>
      <c r="K40" s="38">
        <f t="shared" si="1"/>
        <v>-40</v>
      </c>
      <c r="L40" s="38"/>
      <c r="M40" s="40">
        <f t="shared" si="2"/>
        <v>0</v>
      </c>
      <c r="N40" s="40">
        <f t="shared" si="3"/>
        <v>0</v>
      </c>
    </row>
    <row r="41" spans="1:22" x14ac:dyDescent="0.25">
      <c r="A41" s="51">
        <f t="shared" si="4"/>
        <v>0</v>
      </c>
      <c r="B41" s="42" t="str">
        <f t="shared" si="7"/>
        <v/>
      </c>
      <c r="C41" s="43"/>
      <c r="D41" s="43"/>
      <c r="E41" s="43"/>
      <c r="F41" s="43"/>
      <c r="G41" s="16"/>
      <c r="H41" s="44">
        <v>36</v>
      </c>
      <c r="I41" s="45" t="str">
        <f t="shared" si="5"/>
        <v/>
      </c>
      <c r="J41" s="44">
        <f t="shared" si="6"/>
        <v>-4</v>
      </c>
      <c r="K41" s="44">
        <f t="shared" si="1"/>
        <v>-40</v>
      </c>
      <c r="L41" s="44"/>
      <c r="M41" s="46">
        <f t="shared" si="2"/>
        <v>0</v>
      </c>
      <c r="N41" s="46">
        <f t="shared" si="3"/>
        <v>0</v>
      </c>
      <c r="T41" s="58"/>
    </row>
    <row r="42" spans="1:22" x14ac:dyDescent="0.25">
      <c r="A42" s="52">
        <f t="shared" si="4"/>
        <v>0</v>
      </c>
      <c r="B42" s="36" t="str">
        <f t="shared" si="7"/>
        <v/>
      </c>
      <c r="C42" s="37"/>
      <c r="D42" s="37"/>
      <c r="E42" s="37"/>
      <c r="F42" s="37"/>
      <c r="G42" s="16"/>
      <c r="H42" s="38">
        <v>37</v>
      </c>
      <c r="I42" s="39" t="str">
        <f t="shared" si="5"/>
        <v/>
      </c>
      <c r="J42" s="38">
        <f t="shared" si="6"/>
        <v>-4</v>
      </c>
      <c r="K42" s="38">
        <f t="shared" si="1"/>
        <v>-40</v>
      </c>
      <c r="L42" s="38"/>
      <c r="M42" s="40">
        <f t="shared" si="2"/>
        <v>0</v>
      </c>
      <c r="N42" s="40">
        <f t="shared" si="3"/>
        <v>0</v>
      </c>
    </row>
    <row r="43" spans="1:22" x14ac:dyDescent="0.25">
      <c r="A43" s="51">
        <f t="shared" si="4"/>
        <v>0</v>
      </c>
      <c r="B43" s="42" t="str">
        <f t="shared" si="7"/>
        <v/>
      </c>
      <c r="C43" s="43"/>
      <c r="D43" s="43"/>
      <c r="E43" s="43"/>
      <c r="F43" s="43"/>
      <c r="G43" s="16"/>
      <c r="H43" s="44">
        <v>38</v>
      </c>
      <c r="I43" s="45" t="str">
        <f t="shared" si="5"/>
        <v/>
      </c>
      <c r="J43" s="44">
        <f t="shared" si="6"/>
        <v>-4</v>
      </c>
      <c r="K43" s="44">
        <f t="shared" si="1"/>
        <v>-40</v>
      </c>
      <c r="L43" s="44"/>
      <c r="M43" s="46">
        <f t="shared" si="2"/>
        <v>0</v>
      </c>
      <c r="N43" s="46">
        <f t="shared" si="3"/>
        <v>0</v>
      </c>
    </row>
    <row r="44" spans="1:22" x14ac:dyDescent="0.25">
      <c r="A44" s="52">
        <f t="shared" si="4"/>
        <v>0</v>
      </c>
      <c r="B44" s="36" t="str">
        <f t="shared" si="7"/>
        <v/>
      </c>
      <c r="C44" s="37"/>
      <c r="D44" s="37"/>
      <c r="E44" s="37"/>
      <c r="F44" s="37"/>
      <c r="G44" s="16"/>
      <c r="H44" s="38">
        <v>39</v>
      </c>
      <c r="I44" s="39" t="str">
        <f t="shared" si="5"/>
        <v/>
      </c>
      <c r="J44" s="38">
        <f t="shared" si="6"/>
        <v>-4</v>
      </c>
      <c r="K44" s="38">
        <f t="shared" si="1"/>
        <v>-40</v>
      </c>
      <c r="L44" s="38"/>
      <c r="M44" s="40">
        <f t="shared" si="2"/>
        <v>0</v>
      </c>
      <c r="N44" s="40">
        <f t="shared" si="3"/>
        <v>0</v>
      </c>
    </row>
    <row r="45" spans="1:22" x14ac:dyDescent="0.25">
      <c r="A45" s="51">
        <f t="shared" si="4"/>
        <v>0</v>
      </c>
      <c r="B45" s="42" t="str">
        <f t="shared" si="7"/>
        <v/>
      </c>
      <c r="C45" s="43"/>
      <c r="D45" s="43"/>
      <c r="E45" s="43"/>
      <c r="F45" s="43"/>
      <c r="G45" s="16"/>
      <c r="H45" s="44">
        <v>40</v>
      </c>
      <c r="I45" s="45" t="str">
        <f t="shared" si="5"/>
        <v/>
      </c>
      <c r="J45" s="44">
        <f t="shared" si="6"/>
        <v>-4</v>
      </c>
      <c r="K45" s="44">
        <f t="shared" si="1"/>
        <v>-40</v>
      </c>
      <c r="L45" s="44"/>
      <c r="M45" s="46">
        <f t="shared" si="2"/>
        <v>0</v>
      </c>
      <c r="N45" s="46">
        <f t="shared" si="3"/>
        <v>0</v>
      </c>
    </row>
    <row r="46" spans="1:22" x14ac:dyDescent="0.25">
      <c r="A46" s="52">
        <f t="shared" si="4"/>
        <v>0</v>
      </c>
      <c r="B46" s="36" t="str">
        <f t="shared" si="7"/>
        <v/>
      </c>
      <c r="C46" s="37"/>
      <c r="D46" s="37"/>
      <c r="E46" s="37"/>
      <c r="F46" s="37"/>
      <c r="G46" s="16"/>
      <c r="H46" s="38">
        <v>41</v>
      </c>
      <c r="I46" s="39" t="str">
        <f t="shared" si="5"/>
        <v/>
      </c>
      <c r="J46" s="38">
        <f t="shared" si="6"/>
        <v>-4</v>
      </c>
      <c r="K46" s="38">
        <f t="shared" si="1"/>
        <v>-40</v>
      </c>
      <c r="L46" s="38"/>
      <c r="M46" s="40">
        <f t="shared" si="2"/>
        <v>0</v>
      </c>
      <c r="N46" s="40">
        <f t="shared" si="3"/>
        <v>0</v>
      </c>
      <c r="S46" s="16">
        <f>LOG($H$2,2)</f>
        <v>1.5849625007211563</v>
      </c>
      <c r="U46" s="21">
        <f>LOG(H38,2)</f>
        <v>5.0443941193584534</v>
      </c>
      <c r="V46" s="21">
        <f>S46-U46</f>
        <v>-3.4594316186372973</v>
      </c>
    </row>
    <row r="47" spans="1:22" x14ac:dyDescent="0.25">
      <c r="A47" s="51">
        <f t="shared" si="4"/>
        <v>0</v>
      </c>
      <c r="B47" s="42" t="str">
        <f t="shared" si="7"/>
        <v/>
      </c>
      <c r="C47" s="43"/>
      <c r="D47" s="43"/>
      <c r="E47" s="43"/>
      <c r="F47" s="43"/>
      <c r="G47" s="16"/>
      <c r="H47" s="44">
        <v>42</v>
      </c>
      <c r="I47" s="45" t="str">
        <f t="shared" si="5"/>
        <v/>
      </c>
      <c r="J47" s="44">
        <f t="shared" si="6"/>
        <v>-4</v>
      </c>
      <c r="K47" s="44">
        <f t="shared" si="1"/>
        <v>-40</v>
      </c>
      <c r="L47" s="44"/>
      <c r="M47" s="46">
        <f t="shared" si="2"/>
        <v>0</v>
      </c>
      <c r="N47" s="46">
        <f t="shared" si="3"/>
        <v>0</v>
      </c>
    </row>
    <row r="48" spans="1:22" x14ac:dyDescent="0.25">
      <c r="A48" s="52">
        <f t="shared" si="4"/>
        <v>0</v>
      </c>
      <c r="B48" s="36" t="str">
        <f t="shared" si="7"/>
        <v/>
      </c>
      <c r="C48" s="37"/>
      <c r="D48" s="37"/>
      <c r="E48" s="37"/>
      <c r="F48" s="37"/>
      <c r="G48" s="16"/>
      <c r="H48" s="38">
        <v>43</v>
      </c>
      <c r="I48" s="39" t="str">
        <f t="shared" si="5"/>
        <v/>
      </c>
      <c r="J48" s="38">
        <f t="shared" si="6"/>
        <v>-4</v>
      </c>
      <c r="K48" s="38">
        <f t="shared" si="1"/>
        <v>-40</v>
      </c>
      <c r="L48" s="38"/>
      <c r="M48" s="40">
        <f t="shared" si="2"/>
        <v>0</v>
      </c>
      <c r="N48" s="40">
        <f t="shared" si="3"/>
        <v>0</v>
      </c>
    </row>
    <row r="49" spans="1:14" x14ac:dyDescent="0.25">
      <c r="A49" s="51">
        <f t="shared" si="4"/>
        <v>0</v>
      </c>
      <c r="B49" s="42" t="str">
        <f t="shared" si="7"/>
        <v/>
      </c>
      <c r="C49" s="43"/>
      <c r="D49" s="43"/>
      <c r="E49" s="43"/>
      <c r="F49" s="43"/>
      <c r="G49" s="16"/>
      <c r="H49" s="44">
        <v>44</v>
      </c>
      <c r="I49" s="45" t="str">
        <f t="shared" si="5"/>
        <v/>
      </c>
      <c r="J49" s="44">
        <f t="shared" si="6"/>
        <v>-4</v>
      </c>
      <c r="K49" s="44">
        <f t="shared" si="1"/>
        <v>-40</v>
      </c>
      <c r="L49" s="44"/>
      <c r="M49" s="46">
        <f t="shared" si="2"/>
        <v>0</v>
      </c>
      <c r="N49" s="46">
        <f t="shared" si="3"/>
        <v>0</v>
      </c>
    </row>
    <row r="50" spans="1:14" x14ac:dyDescent="0.25">
      <c r="A50" s="52">
        <f t="shared" si="4"/>
        <v>0</v>
      </c>
      <c r="B50" s="36" t="str">
        <f t="shared" si="7"/>
        <v/>
      </c>
      <c r="C50" s="37"/>
      <c r="D50" s="37"/>
      <c r="E50" s="37"/>
      <c r="F50" s="37"/>
      <c r="G50" s="16"/>
      <c r="H50" s="38">
        <v>45</v>
      </c>
      <c r="I50" s="39" t="str">
        <f t="shared" si="5"/>
        <v/>
      </c>
      <c r="J50" s="38">
        <f t="shared" si="6"/>
        <v>-4</v>
      </c>
      <c r="K50" s="38">
        <f t="shared" si="1"/>
        <v>-40</v>
      </c>
      <c r="L50" s="38"/>
      <c r="M50" s="40">
        <f t="shared" si="2"/>
        <v>0</v>
      </c>
      <c r="N50" s="40">
        <f t="shared" si="3"/>
        <v>0</v>
      </c>
    </row>
    <row r="51" spans="1:14" x14ac:dyDescent="0.25">
      <c r="A51" s="51">
        <f t="shared" si="4"/>
        <v>0</v>
      </c>
      <c r="B51" s="42" t="str">
        <f t="shared" si="7"/>
        <v/>
      </c>
      <c r="C51" s="43"/>
      <c r="D51" s="43"/>
      <c r="E51" s="43"/>
      <c r="F51" s="43"/>
      <c r="G51" s="16"/>
      <c r="H51" s="44">
        <v>46</v>
      </c>
      <c r="I51" s="45" t="str">
        <f t="shared" si="5"/>
        <v/>
      </c>
      <c r="J51" s="44">
        <f t="shared" si="6"/>
        <v>-4</v>
      </c>
      <c r="K51" s="44">
        <f t="shared" si="1"/>
        <v>-40</v>
      </c>
      <c r="L51" s="44"/>
      <c r="M51" s="46">
        <f t="shared" si="2"/>
        <v>0</v>
      </c>
      <c r="N51" s="46">
        <f t="shared" si="3"/>
        <v>0</v>
      </c>
    </row>
    <row r="52" spans="1:14" x14ac:dyDescent="0.25">
      <c r="A52" s="52">
        <f t="shared" si="4"/>
        <v>0</v>
      </c>
      <c r="B52" s="36" t="str">
        <f t="shared" si="7"/>
        <v/>
      </c>
      <c r="C52" s="37"/>
      <c r="D52" s="37"/>
      <c r="E52" s="37"/>
      <c r="F52" s="37"/>
      <c r="G52" s="16"/>
      <c r="H52" s="38">
        <v>47</v>
      </c>
      <c r="I52" s="39" t="str">
        <f t="shared" si="5"/>
        <v/>
      </c>
      <c r="J52" s="38">
        <f t="shared" si="6"/>
        <v>-4</v>
      </c>
      <c r="K52" s="38">
        <f t="shared" si="1"/>
        <v>-40</v>
      </c>
      <c r="L52" s="38"/>
      <c r="M52" s="40">
        <f t="shared" si="2"/>
        <v>0</v>
      </c>
      <c r="N52" s="40">
        <f t="shared" si="3"/>
        <v>0</v>
      </c>
    </row>
    <row r="53" spans="1:14" x14ac:dyDescent="0.25">
      <c r="A53" s="51">
        <f t="shared" si="4"/>
        <v>0</v>
      </c>
      <c r="B53" s="42" t="str">
        <f t="shared" si="7"/>
        <v/>
      </c>
      <c r="C53" s="43"/>
      <c r="D53" s="43"/>
      <c r="E53" s="43"/>
      <c r="F53" s="43"/>
      <c r="G53" s="16"/>
      <c r="H53" s="44">
        <v>48</v>
      </c>
      <c r="I53" s="45" t="str">
        <f t="shared" si="5"/>
        <v/>
      </c>
      <c r="J53" s="44">
        <f t="shared" si="6"/>
        <v>-4</v>
      </c>
      <c r="K53" s="44">
        <f t="shared" si="1"/>
        <v>-40</v>
      </c>
      <c r="L53" s="44"/>
      <c r="M53" s="46">
        <f t="shared" si="2"/>
        <v>0</v>
      </c>
      <c r="N53" s="46">
        <f t="shared" si="3"/>
        <v>0</v>
      </c>
    </row>
    <row r="54" spans="1:14" x14ac:dyDescent="0.25">
      <c r="A54" s="52">
        <f t="shared" si="4"/>
        <v>0</v>
      </c>
      <c r="B54" s="36" t="str">
        <f t="shared" si="7"/>
        <v/>
      </c>
      <c r="C54" s="37"/>
      <c r="D54" s="37"/>
      <c r="E54" s="37"/>
      <c r="F54" s="37"/>
      <c r="G54" s="16"/>
      <c r="H54" s="38">
        <v>49</v>
      </c>
      <c r="I54" s="39" t="str">
        <f t="shared" si="5"/>
        <v/>
      </c>
      <c r="J54" s="38">
        <f t="shared" si="6"/>
        <v>-4</v>
      </c>
      <c r="K54" s="38">
        <f t="shared" si="1"/>
        <v>-40</v>
      </c>
      <c r="L54" s="38"/>
      <c r="M54" s="40">
        <f t="shared" si="2"/>
        <v>0</v>
      </c>
      <c r="N54" s="40">
        <f t="shared" si="3"/>
        <v>0</v>
      </c>
    </row>
    <row r="55" spans="1:14" x14ac:dyDescent="0.25">
      <c r="A55" s="51">
        <f t="shared" si="4"/>
        <v>0</v>
      </c>
      <c r="B55" s="42" t="str">
        <f t="shared" si="7"/>
        <v/>
      </c>
      <c r="C55" s="43"/>
      <c r="D55" s="43"/>
      <c r="E55" s="43"/>
      <c r="F55" s="43"/>
      <c r="G55" s="16"/>
      <c r="H55" s="44">
        <v>50</v>
      </c>
      <c r="I55" s="45" t="str">
        <f t="shared" si="5"/>
        <v/>
      </c>
      <c r="J55" s="44">
        <f t="shared" si="6"/>
        <v>-4</v>
      </c>
      <c r="K55" s="44">
        <f t="shared" si="1"/>
        <v>-40</v>
      </c>
      <c r="L55" s="44"/>
      <c r="M55" s="46">
        <f t="shared" si="2"/>
        <v>0</v>
      </c>
      <c r="N55" s="46">
        <f t="shared" si="3"/>
        <v>0</v>
      </c>
    </row>
    <row r="56" spans="1:14" x14ac:dyDescent="0.25">
      <c r="A56" s="52">
        <f t="shared" si="4"/>
        <v>0</v>
      </c>
      <c r="B56" s="36" t="str">
        <f t="shared" si="7"/>
        <v/>
      </c>
      <c r="C56" s="37"/>
      <c r="D56" s="37"/>
      <c r="E56" s="37"/>
      <c r="F56" s="37"/>
      <c r="G56" s="16"/>
      <c r="H56" s="38">
        <v>51</v>
      </c>
      <c r="I56" s="39" t="str">
        <f t="shared" si="5"/>
        <v/>
      </c>
      <c r="J56" s="38">
        <f t="shared" si="6"/>
        <v>-4</v>
      </c>
      <c r="K56" s="38">
        <f t="shared" si="1"/>
        <v>-40</v>
      </c>
      <c r="L56" s="38"/>
      <c r="M56" s="40">
        <f t="shared" si="2"/>
        <v>0</v>
      </c>
      <c r="N56" s="40">
        <f t="shared" si="3"/>
        <v>0</v>
      </c>
    </row>
    <row r="57" spans="1:14" x14ac:dyDescent="0.25">
      <c r="A57" s="51">
        <f t="shared" si="4"/>
        <v>0</v>
      </c>
      <c r="B57" s="42" t="str">
        <f t="shared" si="7"/>
        <v/>
      </c>
      <c r="C57" s="43"/>
      <c r="D57" s="43"/>
      <c r="E57" s="43"/>
      <c r="F57" s="43"/>
      <c r="G57" s="16"/>
      <c r="H57" s="44">
        <v>52</v>
      </c>
      <c r="I57" s="45" t="str">
        <f t="shared" si="5"/>
        <v/>
      </c>
      <c r="J57" s="44">
        <f t="shared" si="6"/>
        <v>-4</v>
      </c>
      <c r="K57" s="44">
        <f t="shared" si="1"/>
        <v>-40</v>
      </c>
      <c r="L57" s="44"/>
      <c r="M57" s="46">
        <f t="shared" si="2"/>
        <v>0</v>
      </c>
      <c r="N57" s="46">
        <f t="shared" si="3"/>
        <v>0</v>
      </c>
    </row>
    <row r="58" spans="1:14" x14ac:dyDescent="0.25">
      <c r="A58" s="52">
        <f t="shared" si="4"/>
        <v>0</v>
      </c>
      <c r="B58" s="36" t="str">
        <f t="shared" si="7"/>
        <v/>
      </c>
      <c r="C58" s="37"/>
      <c r="D58" s="37"/>
      <c r="E58" s="37"/>
      <c r="F58" s="37"/>
      <c r="G58" s="16"/>
      <c r="H58" s="38">
        <v>53</v>
      </c>
      <c r="I58" s="39" t="str">
        <f t="shared" si="5"/>
        <v/>
      </c>
      <c r="J58" s="38">
        <f t="shared" si="6"/>
        <v>-4</v>
      </c>
      <c r="K58" s="38">
        <f t="shared" si="1"/>
        <v>-40</v>
      </c>
      <c r="L58" s="38"/>
      <c r="M58" s="40">
        <f t="shared" si="2"/>
        <v>0</v>
      </c>
      <c r="N58" s="40">
        <f t="shared" si="3"/>
        <v>0</v>
      </c>
    </row>
    <row r="59" spans="1:14" x14ac:dyDescent="0.25">
      <c r="A59" s="51">
        <f t="shared" si="4"/>
        <v>0</v>
      </c>
      <c r="B59" s="42" t="str">
        <f t="shared" si="7"/>
        <v/>
      </c>
      <c r="C59" s="43"/>
      <c r="D59" s="43"/>
      <c r="E59" s="43"/>
      <c r="F59" s="43"/>
      <c r="G59" s="16"/>
      <c r="H59" s="44">
        <v>54</v>
      </c>
      <c r="I59" s="45" t="str">
        <f t="shared" si="5"/>
        <v/>
      </c>
      <c r="J59" s="44">
        <f t="shared" si="6"/>
        <v>-4</v>
      </c>
      <c r="K59" s="44">
        <f t="shared" si="1"/>
        <v>-40</v>
      </c>
      <c r="L59" s="44"/>
      <c r="M59" s="46">
        <f t="shared" si="2"/>
        <v>0</v>
      </c>
      <c r="N59" s="46">
        <f t="shared" si="3"/>
        <v>0</v>
      </c>
    </row>
    <row r="60" spans="1:14" x14ac:dyDescent="0.25">
      <c r="A60" s="52">
        <f t="shared" si="4"/>
        <v>0</v>
      </c>
      <c r="B60" s="36" t="str">
        <f t="shared" si="7"/>
        <v/>
      </c>
      <c r="C60" s="37"/>
      <c r="D60" s="37"/>
      <c r="E60" s="37"/>
      <c r="F60" s="37"/>
      <c r="G60" s="16"/>
      <c r="H60" s="38">
        <v>55</v>
      </c>
      <c r="I60" s="39" t="str">
        <f t="shared" si="5"/>
        <v/>
      </c>
      <c r="J60" s="38">
        <f t="shared" si="6"/>
        <v>-4</v>
      </c>
      <c r="K60" s="38">
        <f t="shared" si="1"/>
        <v>-40</v>
      </c>
      <c r="L60" s="38"/>
      <c r="M60" s="40">
        <f t="shared" si="2"/>
        <v>0</v>
      </c>
      <c r="N60" s="40">
        <f t="shared" si="3"/>
        <v>0</v>
      </c>
    </row>
    <row r="61" spans="1:14" x14ac:dyDescent="0.25">
      <c r="A61" s="51">
        <f t="shared" si="4"/>
        <v>0</v>
      </c>
      <c r="B61" s="42" t="str">
        <f t="shared" si="7"/>
        <v/>
      </c>
      <c r="C61" s="43"/>
      <c r="D61" s="43"/>
      <c r="E61" s="43"/>
      <c r="F61" s="43"/>
      <c r="G61" s="16"/>
      <c r="H61" s="44">
        <v>56</v>
      </c>
      <c r="I61" s="45" t="str">
        <f t="shared" si="5"/>
        <v/>
      </c>
      <c r="J61" s="44">
        <f t="shared" si="6"/>
        <v>-4</v>
      </c>
      <c r="K61" s="44">
        <f t="shared" si="1"/>
        <v>-40</v>
      </c>
      <c r="L61" s="44"/>
      <c r="M61" s="46">
        <f t="shared" si="2"/>
        <v>0</v>
      </c>
      <c r="N61" s="46">
        <f t="shared" si="3"/>
        <v>0</v>
      </c>
    </row>
    <row r="62" spans="1:14" x14ac:dyDescent="0.25">
      <c r="A62" s="52">
        <f t="shared" si="4"/>
        <v>0</v>
      </c>
      <c r="B62" s="36" t="str">
        <f t="shared" si="7"/>
        <v/>
      </c>
      <c r="C62" s="37"/>
      <c r="D62" s="37"/>
      <c r="E62" s="37"/>
      <c r="F62" s="37"/>
      <c r="G62" s="16"/>
      <c r="H62" s="38">
        <v>57</v>
      </c>
      <c r="I62" s="39" t="str">
        <f t="shared" si="5"/>
        <v/>
      </c>
      <c r="J62" s="38">
        <f t="shared" si="6"/>
        <v>-4</v>
      </c>
      <c r="K62" s="38">
        <f t="shared" si="1"/>
        <v>-40</v>
      </c>
      <c r="L62" s="38"/>
      <c r="M62" s="40">
        <f t="shared" si="2"/>
        <v>0</v>
      </c>
      <c r="N62" s="40">
        <f t="shared" si="3"/>
        <v>0</v>
      </c>
    </row>
    <row r="63" spans="1:14" x14ac:dyDescent="0.25">
      <c r="A63" s="51">
        <f t="shared" si="4"/>
        <v>0</v>
      </c>
      <c r="B63" s="42" t="str">
        <f t="shared" si="7"/>
        <v/>
      </c>
      <c r="C63" s="43"/>
      <c r="D63" s="43"/>
      <c r="E63" s="43"/>
      <c r="F63" s="43"/>
      <c r="G63" s="16"/>
      <c r="H63" s="44">
        <v>58</v>
      </c>
      <c r="I63" s="45" t="str">
        <f t="shared" si="5"/>
        <v/>
      </c>
      <c r="J63" s="44">
        <f t="shared" si="6"/>
        <v>-4</v>
      </c>
      <c r="K63" s="44">
        <f t="shared" si="1"/>
        <v>-40</v>
      </c>
      <c r="L63" s="44"/>
      <c r="M63" s="46">
        <f t="shared" si="2"/>
        <v>0</v>
      </c>
      <c r="N63" s="46">
        <f t="shared" si="3"/>
        <v>0</v>
      </c>
    </row>
    <row r="64" spans="1:14" x14ac:dyDescent="0.25">
      <c r="A64" s="52">
        <f t="shared" si="4"/>
        <v>0</v>
      </c>
      <c r="B64" s="36" t="str">
        <f t="shared" si="7"/>
        <v/>
      </c>
      <c r="C64" s="37"/>
      <c r="D64" s="37"/>
      <c r="E64" s="37"/>
      <c r="F64" s="37"/>
      <c r="G64" s="16"/>
      <c r="H64" s="38">
        <v>59</v>
      </c>
      <c r="I64" s="39" t="str">
        <f t="shared" si="5"/>
        <v/>
      </c>
      <c r="J64" s="38">
        <f t="shared" si="6"/>
        <v>-4</v>
      </c>
      <c r="K64" s="38">
        <f t="shared" si="1"/>
        <v>-40</v>
      </c>
      <c r="L64" s="38"/>
      <c r="M64" s="40">
        <f t="shared" si="2"/>
        <v>0</v>
      </c>
      <c r="N64" s="40">
        <f t="shared" si="3"/>
        <v>0</v>
      </c>
    </row>
    <row r="65" spans="1:14" x14ac:dyDescent="0.25">
      <c r="A65" s="51">
        <f t="shared" si="4"/>
        <v>0</v>
      </c>
      <c r="B65" s="42" t="str">
        <f t="shared" si="7"/>
        <v/>
      </c>
      <c r="C65" s="43"/>
      <c r="D65" s="43"/>
      <c r="E65" s="43"/>
      <c r="F65" s="43"/>
      <c r="G65" s="16"/>
      <c r="H65" s="44">
        <v>60</v>
      </c>
      <c r="I65" s="45" t="str">
        <f t="shared" si="5"/>
        <v/>
      </c>
      <c r="J65" s="44">
        <f t="shared" si="6"/>
        <v>-4</v>
      </c>
      <c r="K65" s="44">
        <f t="shared" si="1"/>
        <v>-40</v>
      </c>
      <c r="L65" s="44"/>
      <c r="M65" s="46">
        <f t="shared" si="2"/>
        <v>0</v>
      </c>
      <c r="N65" s="46">
        <f t="shared" si="3"/>
        <v>0</v>
      </c>
    </row>
    <row r="66" spans="1:14" x14ac:dyDescent="0.25">
      <c r="A66" s="59">
        <f t="shared" si="4"/>
        <v>0</v>
      </c>
      <c r="B66" s="36"/>
      <c r="G66" s="16"/>
      <c r="H66" s="38">
        <v>61</v>
      </c>
      <c r="I66" s="39" t="str">
        <f t="shared" si="5"/>
        <v/>
      </c>
      <c r="J66" s="38">
        <f t="shared" si="6"/>
        <v>-4</v>
      </c>
      <c r="K66" s="38">
        <f t="shared" si="1"/>
        <v>-40</v>
      </c>
      <c r="L66" s="38"/>
      <c r="M66" s="40">
        <f t="shared" si="2"/>
        <v>0</v>
      </c>
      <c r="N66" s="40">
        <f t="shared" si="3"/>
        <v>0</v>
      </c>
    </row>
    <row r="67" spans="1:14" x14ac:dyDescent="0.25">
      <c r="A67" s="59">
        <f t="shared" si="4"/>
        <v>0</v>
      </c>
      <c r="B67" s="42"/>
      <c r="G67" s="16"/>
      <c r="H67" s="38">
        <v>62</v>
      </c>
      <c r="I67" s="39" t="str">
        <f t="shared" si="5"/>
        <v/>
      </c>
      <c r="J67" s="38">
        <f t="shared" si="6"/>
        <v>-4</v>
      </c>
      <c r="K67" s="38">
        <f t="shared" si="1"/>
        <v>-40</v>
      </c>
      <c r="L67" s="38"/>
      <c r="M67" s="40">
        <f t="shared" si="2"/>
        <v>0</v>
      </c>
      <c r="N67" s="40">
        <f t="shared" si="3"/>
        <v>0</v>
      </c>
    </row>
    <row r="68" spans="1:14" x14ac:dyDescent="0.25">
      <c r="A68" s="59">
        <f t="shared" si="4"/>
        <v>0</v>
      </c>
      <c r="B68" s="36"/>
      <c r="G68" s="16"/>
      <c r="H68" s="38">
        <v>63</v>
      </c>
      <c r="I68" s="39" t="str">
        <f t="shared" si="5"/>
        <v/>
      </c>
      <c r="J68" s="38">
        <f t="shared" si="6"/>
        <v>-4</v>
      </c>
      <c r="K68" s="38">
        <f t="shared" si="1"/>
        <v>-40</v>
      </c>
      <c r="L68" s="38"/>
      <c r="M68" s="40">
        <f t="shared" si="2"/>
        <v>0</v>
      </c>
      <c r="N68" s="40">
        <f t="shared" si="3"/>
        <v>0</v>
      </c>
    </row>
    <row r="69" spans="1:14" x14ac:dyDescent="0.25">
      <c r="A69" s="59">
        <f t="shared" si="4"/>
        <v>0</v>
      </c>
      <c r="B69" s="42"/>
      <c r="G69" s="16"/>
      <c r="H69" s="38">
        <v>64</v>
      </c>
      <c r="I69" s="39" t="str">
        <f t="shared" si="5"/>
        <v/>
      </c>
      <c r="J69" s="38">
        <f t="shared" si="6"/>
        <v>-4</v>
      </c>
      <c r="K69" s="38">
        <f t="shared" si="1"/>
        <v>-40</v>
      </c>
      <c r="L69" s="38"/>
      <c r="M69" s="40">
        <f t="shared" si="2"/>
        <v>0</v>
      </c>
      <c r="N69" s="40">
        <f t="shared" si="3"/>
        <v>0</v>
      </c>
    </row>
    <row r="70" spans="1:14" x14ac:dyDescent="0.25">
      <c r="A70" s="59">
        <f t="shared" si="4"/>
        <v>0</v>
      </c>
      <c r="G70" s="16"/>
      <c r="H70" s="38">
        <v>65</v>
      </c>
      <c r="I70" s="39" t="str">
        <f t="shared" ref="I70:I133" si="8">IF(H70&lt;$H$2+1,($I$2-($I$2-1)*(LOG(H70)/LOG($H$2))),"")</f>
        <v/>
      </c>
      <c r="J70" s="38">
        <f t="shared" si="6"/>
        <v>-5</v>
      </c>
      <c r="K70" s="38">
        <f t="shared" ref="K70:K133" si="9">J70*$J$2</f>
        <v>-50</v>
      </c>
      <c r="L70" s="38"/>
      <c r="M70" s="40">
        <f t="shared" ref="M70:M133" si="10">IF(I70&lt;&gt;"",K70+I70+L70,0)</f>
        <v>0</v>
      </c>
      <c r="N70" s="40">
        <f t="shared" ref="N70:N133" si="11">IF(I70&lt;&gt;"",M70*L$2,0)</f>
        <v>0</v>
      </c>
    </row>
    <row r="71" spans="1:14" x14ac:dyDescent="0.25">
      <c r="A71" s="59">
        <f t="shared" ref="A71:A134" si="12">N71</f>
        <v>0</v>
      </c>
      <c r="G71" s="16"/>
      <c r="H71" s="38">
        <v>66</v>
      </c>
      <c r="I71" s="39" t="str">
        <f t="shared" si="8"/>
        <v/>
      </c>
      <c r="J71" s="38">
        <f t="shared" ref="J71:J134" si="13">INT(LOG($H$2,2))-ROUNDUP(LOG(H71,2),0)+IF(OR($H$2=1,$H$2=2,$H$2=4,$H$2=8,$H$2=16,$H$2=32,$H$2=64,$H$2=128,$H$2=256),0,1)</f>
        <v>-5</v>
      </c>
      <c r="K71" s="38">
        <f t="shared" si="9"/>
        <v>-50</v>
      </c>
      <c r="L71" s="38"/>
      <c r="M71" s="40">
        <f t="shared" si="10"/>
        <v>0</v>
      </c>
      <c r="N71" s="40">
        <f t="shared" si="11"/>
        <v>0</v>
      </c>
    </row>
    <row r="72" spans="1:14" x14ac:dyDescent="0.25">
      <c r="A72" s="59">
        <f t="shared" si="12"/>
        <v>0</v>
      </c>
      <c r="G72" s="16"/>
      <c r="H72" s="38">
        <v>67</v>
      </c>
      <c r="I72" s="39" t="str">
        <f t="shared" si="8"/>
        <v/>
      </c>
      <c r="J72" s="38">
        <f t="shared" si="13"/>
        <v>-5</v>
      </c>
      <c r="K72" s="38">
        <f t="shared" si="9"/>
        <v>-50</v>
      </c>
      <c r="L72" s="38"/>
      <c r="M72" s="40">
        <f t="shared" si="10"/>
        <v>0</v>
      </c>
      <c r="N72" s="40">
        <f t="shared" si="11"/>
        <v>0</v>
      </c>
    </row>
    <row r="73" spans="1:14" x14ac:dyDescent="0.25">
      <c r="A73" s="59">
        <f t="shared" si="12"/>
        <v>0</v>
      </c>
      <c r="G73" s="16"/>
      <c r="H73" s="38">
        <v>68</v>
      </c>
      <c r="I73" s="39" t="str">
        <f t="shared" si="8"/>
        <v/>
      </c>
      <c r="J73" s="38">
        <f t="shared" si="13"/>
        <v>-5</v>
      </c>
      <c r="K73" s="38">
        <f t="shared" si="9"/>
        <v>-50</v>
      </c>
      <c r="L73" s="38"/>
      <c r="M73" s="40">
        <f t="shared" si="10"/>
        <v>0</v>
      </c>
      <c r="N73" s="40">
        <f t="shared" si="11"/>
        <v>0</v>
      </c>
    </row>
    <row r="74" spans="1:14" x14ac:dyDescent="0.25">
      <c r="A74" s="59">
        <f t="shared" si="12"/>
        <v>0</v>
      </c>
      <c r="G74" s="16"/>
      <c r="H74" s="38">
        <v>69</v>
      </c>
      <c r="I74" s="39" t="str">
        <f t="shared" si="8"/>
        <v/>
      </c>
      <c r="J74" s="38">
        <f t="shared" si="13"/>
        <v>-5</v>
      </c>
      <c r="K74" s="38">
        <f t="shared" si="9"/>
        <v>-50</v>
      </c>
      <c r="L74" s="38"/>
      <c r="M74" s="40">
        <f t="shared" si="10"/>
        <v>0</v>
      </c>
      <c r="N74" s="40">
        <f t="shared" si="11"/>
        <v>0</v>
      </c>
    </row>
    <row r="75" spans="1:14" x14ac:dyDescent="0.25">
      <c r="A75" s="59">
        <f t="shared" si="12"/>
        <v>0</v>
      </c>
      <c r="G75" s="16"/>
      <c r="H75" s="38">
        <v>70</v>
      </c>
      <c r="I75" s="39" t="str">
        <f t="shared" si="8"/>
        <v/>
      </c>
      <c r="J75" s="38">
        <f t="shared" si="13"/>
        <v>-5</v>
      </c>
      <c r="K75" s="38">
        <f t="shared" si="9"/>
        <v>-50</v>
      </c>
      <c r="L75" s="38"/>
      <c r="M75" s="40">
        <f t="shared" si="10"/>
        <v>0</v>
      </c>
      <c r="N75" s="40">
        <f t="shared" si="11"/>
        <v>0</v>
      </c>
    </row>
    <row r="76" spans="1:14" x14ac:dyDescent="0.25">
      <c r="A76" s="59">
        <f t="shared" si="12"/>
        <v>0</v>
      </c>
      <c r="G76" s="16"/>
      <c r="H76" s="38">
        <v>71</v>
      </c>
      <c r="I76" s="39" t="str">
        <f t="shared" si="8"/>
        <v/>
      </c>
      <c r="J76" s="38">
        <f t="shared" si="13"/>
        <v>-5</v>
      </c>
      <c r="K76" s="38">
        <f t="shared" si="9"/>
        <v>-50</v>
      </c>
      <c r="L76" s="38"/>
      <c r="M76" s="40">
        <f t="shared" si="10"/>
        <v>0</v>
      </c>
      <c r="N76" s="40">
        <f t="shared" si="11"/>
        <v>0</v>
      </c>
    </row>
    <row r="77" spans="1:14" x14ac:dyDescent="0.25">
      <c r="A77" s="59">
        <f t="shared" si="12"/>
        <v>0</v>
      </c>
      <c r="G77" s="16"/>
      <c r="H77" s="38">
        <v>72</v>
      </c>
      <c r="I77" s="39" t="str">
        <f t="shared" si="8"/>
        <v/>
      </c>
      <c r="J77" s="38">
        <f t="shared" si="13"/>
        <v>-5</v>
      </c>
      <c r="K77" s="38">
        <f t="shared" si="9"/>
        <v>-50</v>
      </c>
      <c r="L77" s="38"/>
      <c r="M77" s="40">
        <f t="shared" si="10"/>
        <v>0</v>
      </c>
      <c r="N77" s="40">
        <f t="shared" si="11"/>
        <v>0</v>
      </c>
    </row>
    <row r="78" spans="1:14" x14ac:dyDescent="0.25">
      <c r="A78" s="59">
        <f t="shared" si="12"/>
        <v>0</v>
      </c>
      <c r="G78" s="16"/>
      <c r="H78" s="38">
        <v>73</v>
      </c>
      <c r="I78" s="39" t="str">
        <f t="shared" si="8"/>
        <v/>
      </c>
      <c r="J78" s="38">
        <f t="shared" si="13"/>
        <v>-5</v>
      </c>
      <c r="K78" s="38">
        <f t="shared" si="9"/>
        <v>-50</v>
      </c>
      <c r="L78" s="38"/>
      <c r="M78" s="40">
        <f t="shared" si="10"/>
        <v>0</v>
      </c>
      <c r="N78" s="40">
        <f t="shared" si="11"/>
        <v>0</v>
      </c>
    </row>
    <row r="79" spans="1:14" x14ac:dyDescent="0.25">
      <c r="A79" s="59">
        <f t="shared" si="12"/>
        <v>0</v>
      </c>
      <c r="G79" s="16"/>
      <c r="H79" s="38">
        <v>74</v>
      </c>
      <c r="I79" s="39" t="str">
        <f t="shared" si="8"/>
        <v/>
      </c>
      <c r="J79" s="38">
        <f t="shared" si="13"/>
        <v>-5</v>
      </c>
      <c r="K79" s="38">
        <f t="shared" si="9"/>
        <v>-50</v>
      </c>
      <c r="L79" s="38"/>
      <c r="M79" s="40">
        <f t="shared" si="10"/>
        <v>0</v>
      </c>
      <c r="N79" s="40">
        <f t="shared" si="11"/>
        <v>0</v>
      </c>
    </row>
    <row r="80" spans="1:14" x14ac:dyDescent="0.25">
      <c r="A80" s="59">
        <f t="shared" si="12"/>
        <v>0</v>
      </c>
      <c r="G80" s="16"/>
      <c r="H80" s="38">
        <v>75</v>
      </c>
      <c r="I80" s="39" t="str">
        <f t="shared" si="8"/>
        <v/>
      </c>
      <c r="J80" s="38">
        <f t="shared" si="13"/>
        <v>-5</v>
      </c>
      <c r="K80" s="38">
        <f t="shared" si="9"/>
        <v>-50</v>
      </c>
      <c r="L80" s="38"/>
      <c r="M80" s="40">
        <f t="shared" si="10"/>
        <v>0</v>
      </c>
      <c r="N80" s="40">
        <f t="shared" si="11"/>
        <v>0</v>
      </c>
    </row>
    <row r="81" spans="1:14" x14ac:dyDescent="0.25">
      <c r="A81" s="59">
        <f t="shared" si="12"/>
        <v>0</v>
      </c>
      <c r="G81" s="16"/>
      <c r="H81" s="38">
        <v>76</v>
      </c>
      <c r="I81" s="39" t="str">
        <f t="shared" si="8"/>
        <v/>
      </c>
      <c r="J81" s="38">
        <f t="shared" si="13"/>
        <v>-5</v>
      </c>
      <c r="K81" s="38">
        <f t="shared" si="9"/>
        <v>-50</v>
      </c>
      <c r="L81" s="38"/>
      <c r="M81" s="40">
        <f t="shared" si="10"/>
        <v>0</v>
      </c>
      <c r="N81" s="40">
        <f t="shared" si="11"/>
        <v>0</v>
      </c>
    </row>
    <row r="82" spans="1:14" x14ac:dyDescent="0.25">
      <c r="A82" s="59">
        <f t="shared" si="12"/>
        <v>0</v>
      </c>
      <c r="G82" s="16"/>
      <c r="H82" s="38">
        <v>77</v>
      </c>
      <c r="I82" s="39" t="str">
        <f t="shared" si="8"/>
        <v/>
      </c>
      <c r="J82" s="38">
        <f t="shared" si="13"/>
        <v>-5</v>
      </c>
      <c r="K82" s="38">
        <f t="shared" si="9"/>
        <v>-50</v>
      </c>
      <c r="L82" s="38"/>
      <c r="M82" s="40">
        <f t="shared" si="10"/>
        <v>0</v>
      </c>
      <c r="N82" s="40">
        <f t="shared" si="11"/>
        <v>0</v>
      </c>
    </row>
    <row r="83" spans="1:14" x14ac:dyDescent="0.25">
      <c r="A83" s="59">
        <f t="shared" si="12"/>
        <v>0</v>
      </c>
      <c r="G83" s="16"/>
      <c r="H83" s="38">
        <v>78</v>
      </c>
      <c r="I83" s="39" t="str">
        <f t="shared" si="8"/>
        <v/>
      </c>
      <c r="J83" s="38">
        <f t="shared" si="13"/>
        <v>-5</v>
      </c>
      <c r="K83" s="38">
        <f t="shared" si="9"/>
        <v>-50</v>
      </c>
      <c r="L83" s="38"/>
      <c r="M83" s="40">
        <f t="shared" si="10"/>
        <v>0</v>
      </c>
      <c r="N83" s="40">
        <f t="shared" si="11"/>
        <v>0</v>
      </c>
    </row>
    <row r="84" spans="1:14" x14ac:dyDescent="0.25">
      <c r="A84" s="59">
        <f t="shared" si="12"/>
        <v>0</v>
      </c>
      <c r="G84" s="16"/>
      <c r="H84" s="38">
        <v>79</v>
      </c>
      <c r="I84" s="39" t="str">
        <f t="shared" si="8"/>
        <v/>
      </c>
      <c r="J84" s="38">
        <f t="shared" si="13"/>
        <v>-5</v>
      </c>
      <c r="K84" s="38">
        <f t="shared" si="9"/>
        <v>-50</v>
      </c>
      <c r="L84" s="38"/>
      <c r="M84" s="40">
        <f t="shared" si="10"/>
        <v>0</v>
      </c>
      <c r="N84" s="40">
        <f t="shared" si="11"/>
        <v>0</v>
      </c>
    </row>
    <row r="85" spans="1:14" x14ac:dyDescent="0.25">
      <c r="A85" s="59">
        <f t="shared" si="12"/>
        <v>0</v>
      </c>
      <c r="G85" s="16"/>
      <c r="H85" s="38">
        <v>80</v>
      </c>
      <c r="I85" s="39" t="str">
        <f t="shared" si="8"/>
        <v/>
      </c>
      <c r="J85" s="38">
        <f t="shared" si="13"/>
        <v>-5</v>
      </c>
      <c r="K85" s="38">
        <f t="shared" si="9"/>
        <v>-50</v>
      </c>
      <c r="L85" s="38"/>
      <c r="M85" s="40">
        <f t="shared" si="10"/>
        <v>0</v>
      </c>
      <c r="N85" s="40">
        <f t="shared" si="11"/>
        <v>0</v>
      </c>
    </row>
    <row r="86" spans="1:14" x14ac:dyDescent="0.25">
      <c r="A86" s="59">
        <f t="shared" si="12"/>
        <v>0</v>
      </c>
      <c r="G86" s="16"/>
      <c r="H86" s="38">
        <v>81</v>
      </c>
      <c r="I86" s="39" t="str">
        <f t="shared" si="8"/>
        <v/>
      </c>
      <c r="J86" s="38">
        <f t="shared" si="13"/>
        <v>-5</v>
      </c>
      <c r="K86" s="38">
        <f t="shared" si="9"/>
        <v>-50</v>
      </c>
      <c r="L86" s="38"/>
      <c r="M86" s="40">
        <f t="shared" si="10"/>
        <v>0</v>
      </c>
      <c r="N86" s="40">
        <f t="shared" si="11"/>
        <v>0</v>
      </c>
    </row>
    <row r="87" spans="1:14" x14ac:dyDescent="0.25">
      <c r="A87" s="59">
        <f t="shared" si="12"/>
        <v>0</v>
      </c>
      <c r="G87" s="16"/>
      <c r="H87" s="38">
        <v>82</v>
      </c>
      <c r="I87" s="39" t="str">
        <f t="shared" si="8"/>
        <v/>
      </c>
      <c r="J87" s="38">
        <f t="shared" si="13"/>
        <v>-5</v>
      </c>
      <c r="K87" s="38">
        <f t="shared" si="9"/>
        <v>-50</v>
      </c>
      <c r="L87" s="38"/>
      <c r="M87" s="40">
        <f t="shared" si="10"/>
        <v>0</v>
      </c>
      <c r="N87" s="40">
        <f t="shared" si="11"/>
        <v>0</v>
      </c>
    </row>
    <row r="88" spans="1:14" x14ac:dyDescent="0.25">
      <c r="A88" s="59">
        <f t="shared" si="12"/>
        <v>0</v>
      </c>
      <c r="G88" s="16"/>
      <c r="H88" s="38">
        <v>83</v>
      </c>
      <c r="I88" s="39" t="str">
        <f t="shared" si="8"/>
        <v/>
      </c>
      <c r="J88" s="38">
        <f t="shared" si="13"/>
        <v>-5</v>
      </c>
      <c r="K88" s="38">
        <f t="shared" si="9"/>
        <v>-50</v>
      </c>
      <c r="L88" s="38"/>
      <c r="M88" s="40">
        <f t="shared" si="10"/>
        <v>0</v>
      </c>
      <c r="N88" s="40">
        <f t="shared" si="11"/>
        <v>0</v>
      </c>
    </row>
    <row r="89" spans="1:14" x14ac:dyDescent="0.25">
      <c r="A89" s="59">
        <f t="shared" si="12"/>
        <v>0</v>
      </c>
      <c r="G89" s="16"/>
      <c r="H89" s="38">
        <v>84</v>
      </c>
      <c r="I89" s="39" t="str">
        <f t="shared" si="8"/>
        <v/>
      </c>
      <c r="J89" s="38">
        <f t="shared" si="13"/>
        <v>-5</v>
      </c>
      <c r="K89" s="38">
        <f t="shared" si="9"/>
        <v>-50</v>
      </c>
      <c r="L89" s="38"/>
      <c r="M89" s="40">
        <f t="shared" si="10"/>
        <v>0</v>
      </c>
      <c r="N89" s="40">
        <f t="shared" si="11"/>
        <v>0</v>
      </c>
    </row>
    <row r="90" spans="1:14" x14ac:dyDescent="0.25">
      <c r="A90" s="59">
        <f t="shared" si="12"/>
        <v>0</v>
      </c>
      <c r="G90" s="16"/>
      <c r="H90" s="38">
        <v>85</v>
      </c>
      <c r="I90" s="39" t="str">
        <f t="shared" si="8"/>
        <v/>
      </c>
      <c r="J90" s="38">
        <f t="shared" si="13"/>
        <v>-5</v>
      </c>
      <c r="K90" s="38">
        <f t="shared" si="9"/>
        <v>-50</v>
      </c>
      <c r="L90" s="38"/>
      <c r="M90" s="40">
        <f t="shared" si="10"/>
        <v>0</v>
      </c>
      <c r="N90" s="40">
        <f t="shared" si="11"/>
        <v>0</v>
      </c>
    </row>
    <row r="91" spans="1:14" x14ac:dyDescent="0.25">
      <c r="A91" s="59">
        <f t="shared" si="12"/>
        <v>0</v>
      </c>
      <c r="G91" s="16"/>
      <c r="H91" s="38">
        <v>86</v>
      </c>
      <c r="I91" s="39" t="str">
        <f t="shared" si="8"/>
        <v/>
      </c>
      <c r="J91" s="38">
        <f t="shared" si="13"/>
        <v>-5</v>
      </c>
      <c r="K91" s="38">
        <f t="shared" si="9"/>
        <v>-50</v>
      </c>
      <c r="L91" s="38"/>
      <c r="M91" s="40">
        <f t="shared" si="10"/>
        <v>0</v>
      </c>
      <c r="N91" s="40">
        <f t="shared" si="11"/>
        <v>0</v>
      </c>
    </row>
    <row r="92" spans="1:14" x14ac:dyDescent="0.25">
      <c r="A92" s="59">
        <f t="shared" si="12"/>
        <v>0</v>
      </c>
      <c r="G92" s="16"/>
      <c r="H92" s="38">
        <v>87</v>
      </c>
      <c r="I92" s="39" t="str">
        <f t="shared" si="8"/>
        <v/>
      </c>
      <c r="J92" s="38">
        <f t="shared" si="13"/>
        <v>-5</v>
      </c>
      <c r="K92" s="38">
        <f t="shared" si="9"/>
        <v>-50</v>
      </c>
      <c r="L92" s="38"/>
      <c r="M92" s="40">
        <f t="shared" si="10"/>
        <v>0</v>
      </c>
      <c r="N92" s="40">
        <f t="shared" si="11"/>
        <v>0</v>
      </c>
    </row>
    <row r="93" spans="1:14" x14ac:dyDescent="0.25">
      <c r="A93" s="59">
        <f t="shared" si="12"/>
        <v>0</v>
      </c>
      <c r="G93" s="16"/>
      <c r="H93" s="38">
        <v>88</v>
      </c>
      <c r="I93" s="39" t="str">
        <f t="shared" si="8"/>
        <v/>
      </c>
      <c r="J93" s="38">
        <f t="shared" si="13"/>
        <v>-5</v>
      </c>
      <c r="K93" s="38">
        <f t="shared" si="9"/>
        <v>-50</v>
      </c>
      <c r="L93" s="38"/>
      <c r="M93" s="40">
        <f t="shared" si="10"/>
        <v>0</v>
      </c>
      <c r="N93" s="40">
        <f t="shared" si="11"/>
        <v>0</v>
      </c>
    </row>
    <row r="94" spans="1:14" x14ac:dyDescent="0.25">
      <c r="A94" s="59">
        <f t="shared" si="12"/>
        <v>0</v>
      </c>
      <c r="G94" s="16"/>
      <c r="H94" s="38">
        <v>89</v>
      </c>
      <c r="I94" s="39" t="str">
        <f t="shared" si="8"/>
        <v/>
      </c>
      <c r="J94" s="38">
        <f t="shared" si="13"/>
        <v>-5</v>
      </c>
      <c r="K94" s="38">
        <f t="shared" si="9"/>
        <v>-50</v>
      </c>
      <c r="L94" s="38"/>
      <c r="M94" s="40">
        <f t="shared" si="10"/>
        <v>0</v>
      </c>
      <c r="N94" s="40">
        <f t="shared" si="11"/>
        <v>0</v>
      </c>
    </row>
    <row r="95" spans="1:14" x14ac:dyDescent="0.25">
      <c r="A95" s="59">
        <f t="shared" si="12"/>
        <v>0</v>
      </c>
      <c r="G95" s="16"/>
      <c r="H95" s="38">
        <v>90</v>
      </c>
      <c r="I95" s="39" t="str">
        <f t="shared" si="8"/>
        <v/>
      </c>
      <c r="J95" s="38">
        <f t="shared" si="13"/>
        <v>-5</v>
      </c>
      <c r="K95" s="38">
        <f t="shared" si="9"/>
        <v>-50</v>
      </c>
      <c r="L95" s="38"/>
      <c r="M95" s="40">
        <f t="shared" si="10"/>
        <v>0</v>
      </c>
      <c r="N95" s="40">
        <f t="shared" si="11"/>
        <v>0</v>
      </c>
    </row>
    <row r="96" spans="1:14" x14ac:dyDescent="0.25">
      <c r="A96" s="59">
        <f t="shared" si="12"/>
        <v>0</v>
      </c>
      <c r="G96" s="16"/>
      <c r="H96" s="38">
        <v>91</v>
      </c>
      <c r="I96" s="39" t="str">
        <f t="shared" si="8"/>
        <v/>
      </c>
      <c r="J96" s="38">
        <f t="shared" si="13"/>
        <v>-5</v>
      </c>
      <c r="K96" s="38">
        <f t="shared" si="9"/>
        <v>-50</v>
      </c>
      <c r="L96" s="38"/>
      <c r="M96" s="40">
        <f t="shared" si="10"/>
        <v>0</v>
      </c>
      <c r="N96" s="40">
        <f t="shared" si="11"/>
        <v>0</v>
      </c>
    </row>
    <row r="97" spans="1:14" x14ac:dyDescent="0.25">
      <c r="A97" s="59">
        <f t="shared" si="12"/>
        <v>0</v>
      </c>
      <c r="G97" s="16"/>
      <c r="H97" s="38">
        <v>92</v>
      </c>
      <c r="I97" s="39" t="str">
        <f t="shared" si="8"/>
        <v/>
      </c>
      <c r="J97" s="38">
        <f t="shared" si="13"/>
        <v>-5</v>
      </c>
      <c r="K97" s="38">
        <f t="shared" si="9"/>
        <v>-50</v>
      </c>
      <c r="L97" s="38"/>
      <c r="M97" s="40">
        <f t="shared" si="10"/>
        <v>0</v>
      </c>
      <c r="N97" s="40">
        <f t="shared" si="11"/>
        <v>0</v>
      </c>
    </row>
    <row r="98" spans="1:14" x14ac:dyDescent="0.25">
      <c r="A98" s="59">
        <f t="shared" si="12"/>
        <v>0</v>
      </c>
      <c r="G98" s="16"/>
      <c r="H98" s="38">
        <v>93</v>
      </c>
      <c r="I98" s="39" t="str">
        <f t="shared" si="8"/>
        <v/>
      </c>
      <c r="J98" s="38">
        <f t="shared" si="13"/>
        <v>-5</v>
      </c>
      <c r="K98" s="38">
        <f t="shared" si="9"/>
        <v>-50</v>
      </c>
      <c r="L98" s="38"/>
      <c r="M98" s="40">
        <f t="shared" si="10"/>
        <v>0</v>
      </c>
      <c r="N98" s="40">
        <f t="shared" si="11"/>
        <v>0</v>
      </c>
    </row>
    <row r="99" spans="1:14" x14ac:dyDescent="0.25">
      <c r="A99" s="59">
        <f t="shared" si="12"/>
        <v>0</v>
      </c>
      <c r="G99" s="16"/>
      <c r="H99" s="38">
        <v>94</v>
      </c>
      <c r="I99" s="39" t="str">
        <f t="shared" si="8"/>
        <v/>
      </c>
      <c r="J99" s="38">
        <f t="shared" si="13"/>
        <v>-5</v>
      </c>
      <c r="K99" s="38">
        <f t="shared" si="9"/>
        <v>-50</v>
      </c>
      <c r="L99" s="38"/>
      <c r="M99" s="40">
        <f t="shared" si="10"/>
        <v>0</v>
      </c>
      <c r="N99" s="40">
        <f t="shared" si="11"/>
        <v>0</v>
      </c>
    </row>
    <row r="100" spans="1:14" x14ac:dyDescent="0.25">
      <c r="A100" s="59">
        <f t="shared" si="12"/>
        <v>0</v>
      </c>
      <c r="G100" s="16"/>
      <c r="H100" s="38">
        <v>95</v>
      </c>
      <c r="I100" s="39" t="str">
        <f t="shared" si="8"/>
        <v/>
      </c>
      <c r="J100" s="38">
        <f t="shared" si="13"/>
        <v>-5</v>
      </c>
      <c r="K100" s="38">
        <f t="shared" si="9"/>
        <v>-50</v>
      </c>
      <c r="L100" s="38"/>
      <c r="M100" s="40">
        <f t="shared" si="10"/>
        <v>0</v>
      </c>
      <c r="N100" s="40">
        <f t="shared" si="11"/>
        <v>0</v>
      </c>
    </row>
    <row r="101" spans="1:14" x14ac:dyDescent="0.25">
      <c r="A101" s="59">
        <f t="shared" si="12"/>
        <v>0</v>
      </c>
      <c r="G101" s="16"/>
      <c r="H101" s="38">
        <v>96</v>
      </c>
      <c r="I101" s="39" t="str">
        <f t="shared" si="8"/>
        <v/>
      </c>
      <c r="J101" s="38">
        <f t="shared" si="13"/>
        <v>-5</v>
      </c>
      <c r="K101" s="38">
        <f t="shared" si="9"/>
        <v>-50</v>
      </c>
      <c r="L101" s="38"/>
      <c r="M101" s="40">
        <f t="shared" si="10"/>
        <v>0</v>
      </c>
      <c r="N101" s="40">
        <f t="shared" si="11"/>
        <v>0</v>
      </c>
    </row>
    <row r="102" spans="1:14" x14ac:dyDescent="0.25">
      <c r="A102" s="59">
        <f t="shared" si="12"/>
        <v>0</v>
      </c>
      <c r="G102" s="16"/>
      <c r="H102" s="38">
        <v>97</v>
      </c>
      <c r="I102" s="39" t="str">
        <f t="shared" si="8"/>
        <v/>
      </c>
      <c r="J102" s="38">
        <f t="shared" si="13"/>
        <v>-5</v>
      </c>
      <c r="K102" s="38">
        <f t="shared" si="9"/>
        <v>-50</v>
      </c>
      <c r="L102" s="38"/>
      <c r="M102" s="40">
        <f t="shared" si="10"/>
        <v>0</v>
      </c>
      <c r="N102" s="40">
        <f t="shared" si="11"/>
        <v>0</v>
      </c>
    </row>
    <row r="103" spans="1:14" x14ac:dyDescent="0.25">
      <c r="A103" s="59">
        <f t="shared" si="12"/>
        <v>0</v>
      </c>
      <c r="G103" s="16"/>
      <c r="H103" s="38">
        <v>98</v>
      </c>
      <c r="I103" s="39" t="str">
        <f t="shared" si="8"/>
        <v/>
      </c>
      <c r="J103" s="38">
        <f t="shared" si="13"/>
        <v>-5</v>
      </c>
      <c r="K103" s="38">
        <f t="shared" si="9"/>
        <v>-50</v>
      </c>
      <c r="L103" s="38"/>
      <c r="M103" s="40">
        <f t="shared" si="10"/>
        <v>0</v>
      </c>
      <c r="N103" s="40">
        <f t="shared" si="11"/>
        <v>0</v>
      </c>
    </row>
    <row r="104" spans="1:14" x14ac:dyDescent="0.25">
      <c r="A104" s="59">
        <f t="shared" si="12"/>
        <v>0</v>
      </c>
      <c r="G104" s="16"/>
      <c r="H104" s="38">
        <v>99</v>
      </c>
      <c r="I104" s="39" t="str">
        <f t="shared" si="8"/>
        <v/>
      </c>
      <c r="J104" s="38">
        <f t="shared" si="13"/>
        <v>-5</v>
      </c>
      <c r="K104" s="38">
        <f t="shared" si="9"/>
        <v>-50</v>
      </c>
      <c r="L104" s="38"/>
      <c r="M104" s="40">
        <f t="shared" si="10"/>
        <v>0</v>
      </c>
      <c r="N104" s="40">
        <f t="shared" si="11"/>
        <v>0</v>
      </c>
    </row>
    <row r="105" spans="1:14" x14ac:dyDescent="0.25">
      <c r="A105" s="59">
        <f t="shared" si="12"/>
        <v>0</v>
      </c>
      <c r="G105" s="16"/>
      <c r="H105" s="38">
        <v>100</v>
      </c>
      <c r="I105" s="39" t="str">
        <f t="shared" si="8"/>
        <v/>
      </c>
      <c r="J105" s="38">
        <f t="shared" si="13"/>
        <v>-5</v>
      </c>
      <c r="K105" s="38">
        <f t="shared" si="9"/>
        <v>-50</v>
      </c>
      <c r="L105" s="38"/>
      <c r="M105" s="40">
        <f t="shared" si="10"/>
        <v>0</v>
      </c>
      <c r="N105" s="40">
        <f t="shared" si="11"/>
        <v>0</v>
      </c>
    </row>
    <row r="106" spans="1:14" x14ac:dyDescent="0.25">
      <c r="A106" s="59">
        <f t="shared" si="12"/>
        <v>0</v>
      </c>
      <c r="G106" s="16"/>
      <c r="H106" s="38">
        <v>101</v>
      </c>
      <c r="I106" s="39" t="str">
        <f t="shared" si="8"/>
        <v/>
      </c>
      <c r="J106" s="38">
        <f t="shared" si="13"/>
        <v>-5</v>
      </c>
      <c r="K106" s="38">
        <f t="shared" si="9"/>
        <v>-50</v>
      </c>
      <c r="L106" s="38"/>
      <c r="M106" s="40">
        <f t="shared" si="10"/>
        <v>0</v>
      </c>
      <c r="N106" s="40">
        <f t="shared" si="11"/>
        <v>0</v>
      </c>
    </row>
    <row r="107" spans="1:14" x14ac:dyDescent="0.25">
      <c r="A107" s="59">
        <f t="shared" si="12"/>
        <v>0</v>
      </c>
      <c r="G107" s="16"/>
      <c r="H107" s="38">
        <v>102</v>
      </c>
      <c r="I107" s="39" t="str">
        <f t="shared" si="8"/>
        <v/>
      </c>
      <c r="J107" s="38">
        <f t="shared" si="13"/>
        <v>-5</v>
      </c>
      <c r="K107" s="38">
        <f t="shared" si="9"/>
        <v>-50</v>
      </c>
      <c r="L107" s="38"/>
      <c r="M107" s="40">
        <f t="shared" si="10"/>
        <v>0</v>
      </c>
      <c r="N107" s="40">
        <f t="shared" si="11"/>
        <v>0</v>
      </c>
    </row>
    <row r="108" spans="1:14" x14ac:dyDescent="0.25">
      <c r="A108" s="59">
        <f t="shared" si="12"/>
        <v>0</v>
      </c>
      <c r="G108" s="16"/>
      <c r="H108" s="38">
        <v>103</v>
      </c>
      <c r="I108" s="39" t="str">
        <f t="shared" si="8"/>
        <v/>
      </c>
      <c r="J108" s="38">
        <f t="shared" si="13"/>
        <v>-5</v>
      </c>
      <c r="K108" s="38">
        <f t="shared" si="9"/>
        <v>-50</v>
      </c>
      <c r="L108" s="38"/>
      <c r="M108" s="40">
        <f t="shared" si="10"/>
        <v>0</v>
      </c>
      <c r="N108" s="40">
        <f t="shared" si="11"/>
        <v>0</v>
      </c>
    </row>
    <row r="109" spans="1:14" x14ac:dyDescent="0.25">
      <c r="A109" s="59">
        <f t="shared" si="12"/>
        <v>0</v>
      </c>
      <c r="G109" s="16"/>
      <c r="H109" s="38">
        <v>104</v>
      </c>
      <c r="I109" s="39" t="str">
        <f t="shared" si="8"/>
        <v/>
      </c>
      <c r="J109" s="38">
        <f t="shared" si="13"/>
        <v>-5</v>
      </c>
      <c r="K109" s="38">
        <f t="shared" si="9"/>
        <v>-50</v>
      </c>
      <c r="L109" s="38"/>
      <c r="M109" s="40">
        <f t="shared" si="10"/>
        <v>0</v>
      </c>
      <c r="N109" s="40">
        <f t="shared" si="11"/>
        <v>0</v>
      </c>
    </row>
    <row r="110" spans="1:14" x14ac:dyDescent="0.25">
      <c r="A110" s="59">
        <f t="shared" si="12"/>
        <v>0</v>
      </c>
      <c r="G110" s="16"/>
      <c r="H110" s="38">
        <v>105</v>
      </c>
      <c r="I110" s="39" t="str">
        <f t="shared" si="8"/>
        <v/>
      </c>
      <c r="J110" s="38">
        <f t="shared" si="13"/>
        <v>-5</v>
      </c>
      <c r="K110" s="38">
        <f t="shared" si="9"/>
        <v>-50</v>
      </c>
      <c r="L110" s="38"/>
      <c r="M110" s="40">
        <f t="shared" si="10"/>
        <v>0</v>
      </c>
      <c r="N110" s="40">
        <f t="shared" si="11"/>
        <v>0</v>
      </c>
    </row>
    <row r="111" spans="1:14" x14ac:dyDescent="0.25">
      <c r="A111" s="59">
        <f t="shared" si="12"/>
        <v>0</v>
      </c>
      <c r="G111" s="16"/>
      <c r="H111" s="38">
        <v>106</v>
      </c>
      <c r="I111" s="39" t="str">
        <f t="shared" si="8"/>
        <v/>
      </c>
      <c r="J111" s="38">
        <f t="shared" si="13"/>
        <v>-5</v>
      </c>
      <c r="K111" s="38">
        <f t="shared" si="9"/>
        <v>-50</v>
      </c>
      <c r="L111" s="38"/>
      <c r="M111" s="40">
        <f t="shared" si="10"/>
        <v>0</v>
      </c>
      <c r="N111" s="40">
        <f t="shared" si="11"/>
        <v>0</v>
      </c>
    </row>
    <row r="112" spans="1:14" x14ac:dyDescent="0.25">
      <c r="A112" s="59">
        <f t="shared" si="12"/>
        <v>0</v>
      </c>
      <c r="G112" s="16"/>
      <c r="H112" s="38">
        <v>107</v>
      </c>
      <c r="I112" s="39" t="str">
        <f t="shared" si="8"/>
        <v/>
      </c>
      <c r="J112" s="38">
        <f t="shared" si="13"/>
        <v>-5</v>
      </c>
      <c r="K112" s="38">
        <f t="shared" si="9"/>
        <v>-50</v>
      </c>
      <c r="L112" s="38"/>
      <c r="M112" s="40">
        <f t="shared" si="10"/>
        <v>0</v>
      </c>
      <c r="N112" s="40">
        <f t="shared" si="11"/>
        <v>0</v>
      </c>
    </row>
    <row r="113" spans="1:14" x14ac:dyDescent="0.25">
      <c r="A113" s="59">
        <f t="shared" si="12"/>
        <v>0</v>
      </c>
      <c r="G113" s="16"/>
      <c r="H113" s="38">
        <v>108</v>
      </c>
      <c r="I113" s="39" t="str">
        <f t="shared" si="8"/>
        <v/>
      </c>
      <c r="J113" s="38">
        <f t="shared" si="13"/>
        <v>-5</v>
      </c>
      <c r="K113" s="38">
        <f t="shared" si="9"/>
        <v>-50</v>
      </c>
      <c r="L113" s="38"/>
      <c r="M113" s="40">
        <f t="shared" si="10"/>
        <v>0</v>
      </c>
      <c r="N113" s="40">
        <f t="shared" si="11"/>
        <v>0</v>
      </c>
    </row>
    <row r="114" spans="1:14" x14ac:dyDescent="0.25">
      <c r="A114" s="59">
        <f t="shared" si="12"/>
        <v>0</v>
      </c>
      <c r="G114" s="16"/>
      <c r="H114" s="38">
        <v>109</v>
      </c>
      <c r="I114" s="39" t="str">
        <f t="shared" si="8"/>
        <v/>
      </c>
      <c r="J114" s="38">
        <f t="shared" si="13"/>
        <v>-5</v>
      </c>
      <c r="K114" s="38">
        <f t="shared" si="9"/>
        <v>-50</v>
      </c>
      <c r="L114" s="38"/>
      <c r="M114" s="40">
        <f t="shared" si="10"/>
        <v>0</v>
      </c>
      <c r="N114" s="40">
        <f t="shared" si="11"/>
        <v>0</v>
      </c>
    </row>
    <row r="115" spans="1:14" x14ac:dyDescent="0.25">
      <c r="A115" s="59">
        <f t="shared" si="12"/>
        <v>0</v>
      </c>
      <c r="G115" s="16"/>
      <c r="H115" s="38">
        <v>110</v>
      </c>
      <c r="I115" s="39" t="str">
        <f t="shared" si="8"/>
        <v/>
      </c>
      <c r="J115" s="38">
        <f t="shared" si="13"/>
        <v>-5</v>
      </c>
      <c r="K115" s="38">
        <f t="shared" si="9"/>
        <v>-50</v>
      </c>
      <c r="L115" s="38"/>
      <c r="M115" s="40">
        <f t="shared" si="10"/>
        <v>0</v>
      </c>
      <c r="N115" s="40">
        <f t="shared" si="11"/>
        <v>0</v>
      </c>
    </row>
    <row r="116" spans="1:14" x14ac:dyDescent="0.25">
      <c r="A116" s="59">
        <f t="shared" si="12"/>
        <v>0</v>
      </c>
      <c r="G116" s="16"/>
      <c r="H116" s="38">
        <v>111</v>
      </c>
      <c r="I116" s="39" t="str">
        <f t="shared" si="8"/>
        <v/>
      </c>
      <c r="J116" s="38">
        <f t="shared" si="13"/>
        <v>-5</v>
      </c>
      <c r="K116" s="38">
        <f t="shared" si="9"/>
        <v>-50</v>
      </c>
      <c r="L116" s="38"/>
      <c r="M116" s="40">
        <f t="shared" si="10"/>
        <v>0</v>
      </c>
      <c r="N116" s="40">
        <f t="shared" si="11"/>
        <v>0</v>
      </c>
    </row>
    <row r="117" spans="1:14" x14ac:dyDescent="0.25">
      <c r="A117" s="59">
        <f t="shared" si="12"/>
        <v>0</v>
      </c>
      <c r="G117" s="16"/>
      <c r="H117" s="38">
        <v>112</v>
      </c>
      <c r="I117" s="39" t="str">
        <f t="shared" si="8"/>
        <v/>
      </c>
      <c r="J117" s="38">
        <f t="shared" si="13"/>
        <v>-5</v>
      </c>
      <c r="K117" s="38">
        <f t="shared" si="9"/>
        <v>-50</v>
      </c>
      <c r="L117" s="38"/>
      <c r="M117" s="40">
        <f t="shared" si="10"/>
        <v>0</v>
      </c>
      <c r="N117" s="40">
        <f t="shared" si="11"/>
        <v>0</v>
      </c>
    </row>
    <row r="118" spans="1:14" x14ac:dyDescent="0.25">
      <c r="A118" s="59">
        <f t="shared" si="12"/>
        <v>0</v>
      </c>
      <c r="G118" s="16"/>
      <c r="H118" s="38">
        <v>113</v>
      </c>
      <c r="I118" s="39" t="str">
        <f t="shared" si="8"/>
        <v/>
      </c>
      <c r="J118" s="38">
        <f t="shared" si="13"/>
        <v>-5</v>
      </c>
      <c r="K118" s="38">
        <f t="shared" si="9"/>
        <v>-50</v>
      </c>
      <c r="L118" s="38"/>
      <c r="M118" s="40">
        <f t="shared" si="10"/>
        <v>0</v>
      </c>
      <c r="N118" s="40">
        <f t="shared" si="11"/>
        <v>0</v>
      </c>
    </row>
    <row r="119" spans="1:14" x14ac:dyDescent="0.25">
      <c r="A119" s="59">
        <f t="shared" si="12"/>
        <v>0</v>
      </c>
      <c r="G119" s="16"/>
      <c r="H119" s="38">
        <v>114</v>
      </c>
      <c r="I119" s="39" t="str">
        <f t="shared" si="8"/>
        <v/>
      </c>
      <c r="J119" s="38">
        <f t="shared" si="13"/>
        <v>-5</v>
      </c>
      <c r="K119" s="38">
        <f t="shared" si="9"/>
        <v>-50</v>
      </c>
      <c r="L119" s="38"/>
      <c r="M119" s="40">
        <f t="shared" si="10"/>
        <v>0</v>
      </c>
      <c r="N119" s="40">
        <f t="shared" si="11"/>
        <v>0</v>
      </c>
    </row>
    <row r="120" spans="1:14" x14ac:dyDescent="0.25">
      <c r="A120" s="59">
        <f t="shared" si="12"/>
        <v>0</v>
      </c>
      <c r="G120" s="16"/>
      <c r="H120" s="38">
        <v>115</v>
      </c>
      <c r="I120" s="39" t="str">
        <f t="shared" si="8"/>
        <v/>
      </c>
      <c r="J120" s="38">
        <f t="shared" si="13"/>
        <v>-5</v>
      </c>
      <c r="K120" s="38">
        <f t="shared" si="9"/>
        <v>-50</v>
      </c>
      <c r="L120" s="38"/>
      <c r="M120" s="40">
        <f t="shared" si="10"/>
        <v>0</v>
      </c>
      <c r="N120" s="40">
        <f t="shared" si="11"/>
        <v>0</v>
      </c>
    </row>
    <row r="121" spans="1:14" x14ac:dyDescent="0.25">
      <c r="A121" s="59">
        <f t="shared" si="12"/>
        <v>0</v>
      </c>
      <c r="G121" s="16"/>
      <c r="H121" s="38">
        <v>116</v>
      </c>
      <c r="I121" s="39" t="str">
        <f t="shared" si="8"/>
        <v/>
      </c>
      <c r="J121" s="38">
        <f t="shared" si="13"/>
        <v>-5</v>
      </c>
      <c r="K121" s="38">
        <f t="shared" si="9"/>
        <v>-50</v>
      </c>
      <c r="L121" s="38"/>
      <c r="M121" s="40">
        <f t="shared" si="10"/>
        <v>0</v>
      </c>
      <c r="N121" s="40">
        <f t="shared" si="11"/>
        <v>0</v>
      </c>
    </row>
    <row r="122" spans="1:14" x14ac:dyDescent="0.25">
      <c r="A122" s="59">
        <f t="shared" si="12"/>
        <v>0</v>
      </c>
      <c r="G122" s="16"/>
      <c r="H122" s="38">
        <v>117</v>
      </c>
      <c r="I122" s="39" t="str">
        <f t="shared" si="8"/>
        <v/>
      </c>
      <c r="J122" s="38">
        <f t="shared" si="13"/>
        <v>-5</v>
      </c>
      <c r="K122" s="38">
        <f t="shared" si="9"/>
        <v>-50</v>
      </c>
      <c r="L122" s="38"/>
      <c r="M122" s="40">
        <f t="shared" si="10"/>
        <v>0</v>
      </c>
      <c r="N122" s="40">
        <f t="shared" si="11"/>
        <v>0</v>
      </c>
    </row>
    <row r="123" spans="1:14" x14ac:dyDescent="0.25">
      <c r="A123" s="59">
        <f t="shared" si="12"/>
        <v>0</v>
      </c>
      <c r="G123" s="16"/>
      <c r="H123" s="38">
        <v>118</v>
      </c>
      <c r="I123" s="39" t="str">
        <f t="shared" si="8"/>
        <v/>
      </c>
      <c r="J123" s="38">
        <f t="shared" si="13"/>
        <v>-5</v>
      </c>
      <c r="K123" s="38">
        <f t="shared" si="9"/>
        <v>-50</v>
      </c>
      <c r="L123" s="38"/>
      <c r="M123" s="40">
        <f t="shared" si="10"/>
        <v>0</v>
      </c>
      <c r="N123" s="40">
        <f t="shared" si="11"/>
        <v>0</v>
      </c>
    </row>
    <row r="124" spans="1:14" x14ac:dyDescent="0.25">
      <c r="A124" s="59">
        <f t="shared" si="12"/>
        <v>0</v>
      </c>
      <c r="G124" s="16"/>
      <c r="H124" s="38">
        <v>119</v>
      </c>
      <c r="I124" s="39" t="str">
        <f t="shared" si="8"/>
        <v/>
      </c>
      <c r="J124" s="38">
        <f t="shared" si="13"/>
        <v>-5</v>
      </c>
      <c r="K124" s="38">
        <f t="shared" si="9"/>
        <v>-50</v>
      </c>
      <c r="L124" s="38"/>
      <c r="M124" s="40">
        <f t="shared" si="10"/>
        <v>0</v>
      </c>
      <c r="N124" s="40">
        <f t="shared" si="11"/>
        <v>0</v>
      </c>
    </row>
    <row r="125" spans="1:14" x14ac:dyDescent="0.25">
      <c r="A125" s="59">
        <f t="shared" si="12"/>
        <v>0</v>
      </c>
      <c r="G125" s="16"/>
      <c r="H125" s="38">
        <v>120</v>
      </c>
      <c r="I125" s="39" t="str">
        <f t="shared" si="8"/>
        <v/>
      </c>
      <c r="J125" s="38">
        <f t="shared" si="13"/>
        <v>-5</v>
      </c>
      <c r="K125" s="38">
        <f t="shared" si="9"/>
        <v>-50</v>
      </c>
      <c r="L125" s="38"/>
      <c r="M125" s="40">
        <f t="shared" si="10"/>
        <v>0</v>
      </c>
      <c r="N125" s="40">
        <f t="shared" si="11"/>
        <v>0</v>
      </c>
    </row>
    <row r="126" spans="1:14" x14ac:dyDescent="0.25">
      <c r="A126" s="59">
        <f t="shared" si="12"/>
        <v>0</v>
      </c>
      <c r="G126" s="16"/>
      <c r="H126" s="38">
        <v>121</v>
      </c>
      <c r="I126" s="39" t="str">
        <f t="shared" si="8"/>
        <v/>
      </c>
      <c r="J126" s="38">
        <f t="shared" si="13"/>
        <v>-5</v>
      </c>
      <c r="K126" s="38">
        <f t="shared" si="9"/>
        <v>-50</v>
      </c>
      <c r="L126" s="38"/>
      <c r="M126" s="40">
        <f t="shared" si="10"/>
        <v>0</v>
      </c>
      <c r="N126" s="40">
        <f t="shared" si="11"/>
        <v>0</v>
      </c>
    </row>
    <row r="127" spans="1:14" x14ac:dyDescent="0.25">
      <c r="A127" s="59">
        <f t="shared" si="12"/>
        <v>0</v>
      </c>
      <c r="G127" s="16"/>
      <c r="H127" s="38">
        <v>122</v>
      </c>
      <c r="I127" s="39" t="str">
        <f t="shared" si="8"/>
        <v/>
      </c>
      <c r="J127" s="38">
        <f t="shared" si="13"/>
        <v>-5</v>
      </c>
      <c r="K127" s="38">
        <f t="shared" si="9"/>
        <v>-50</v>
      </c>
      <c r="L127" s="38"/>
      <c r="M127" s="40">
        <f t="shared" si="10"/>
        <v>0</v>
      </c>
      <c r="N127" s="40">
        <f t="shared" si="11"/>
        <v>0</v>
      </c>
    </row>
    <row r="128" spans="1:14" x14ac:dyDescent="0.25">
      <c r="A128" s="59">
        <f t="shared" si="12"/>
        <v>0</v>
      </c>
      <c r="G128" s="16"/>
      <c r="H128" s="38">
        <v>123</v>
      </c>
      <c r="I128" s="39" t="str">
        <f t="shared" si="8"/>
        <v/>
      </c>
      <c r="J128" s="38">
        <f t="shared" si="13"/>
        <v>-5</v>
      </c>
      <c r="K128" s="38">
        <f t="shared" si="9"/>
        <v>-50</v>
      </c>
      <c r="L128" s="38"/>
      <c r="M128" s="40">
        <f t="shared" si="10"/>
        <v>0</v>
      </c>
      <c r="N128" s="40">
        <f t="shared" si="11"/>
        <v>0</v>
      </c>
    </row>
    <row r="129" spans="1:14" x14ac:dyDescent="0.25">
      <c r="A129" s="59">
        <f t="shared" si="12"/>
        <v>0</v>
      </c>
      <c r="G129" s="16"/>
      <c r="H129" s="38">
        <v>124</v>
      </c>
      <c r="I129" s="39" t="str">
        <f t="shared" si="8"/>
        <v/>
      </c>
      <c r="J129" s="38">
        <f t="shared" si="13"/>
        <v>-5</v>
      </c>
      <c r="K129" s="38">
        <f t="shared" si="9"/>
        <v>-50</v>
      </c>
      <c r="L129" s="38"/>
      <c r="M129" s="40">
        <f t="shared" si="10"/>
        <v>0</v>
      </c>
      <c r="N129" s="40">
        <f t="shared" si="11"/>
        <v>0</v>
      </c>
    </row>
    <row r="130" spans="1:14" x14ac:dyDescent="0.25">
      <c r="A130" s="59">
        <f t="shared" si="12"/>
        <v>0</v>
      </c>
      <c r="G130" s="16"/>
      <c r="H130" s="38">
        <v>125</v>
      </c>
      <c r="I130" s="39" t="str">
        <f t="shared" si="8"/>
        <v/>
      </c>
      <c r="J130" s="38">
        <f t="shared" si="13"/>
        <v>-5</v>
      </c>
      <c r="K130" s="38">
        <f t="shared" si="9"/>
        <v>-50</v>
      </c>
      <c r="L130" s="38"/>
      <c r="M130" s="40">
        <f t="shared" si="10"/>
        <v>0</v>
      </c>
      <c r="N130" s="40">
        <f t="shared" si="11"/>
        <v>0</v>
      </c>
    </row>
    <row r="131" spans="1:14" x14ac:dyDescent="0.25">
      <c r="A131" s="59">
        <f t="shared" si="12"/>
        <v>0</v>
      </c>
      <c r="G131" s="16"/>
      <c r="H131" s="38">
        <v>126</v>
      </c>
      <c r="I131" s="39" t="str">
        <f t="shared" si="8"/>
        <v/>
      </c>
      <c r="J131" s="38">
        <f t="shared" si="13"/>
        <v>-5</v>
      </c>
      <c r="K131" s="38">
        <f t="shared" si="9"/>
        <v>-50</v>
      </c>
      <c r="L131" s="38"/>
      <c r="M131" s="40">
        <f t="shared" si="10"/>
        <v>0</v>
      </c>
      <c r="N131" s="40">
        <f t="shared" si="11"/>
        <v>0</v>
      </c>
    </row>
    <row r="132" spans="1:14" x14ac:dyDescent="0.25">
      <c r="A132" s="59">
        <f t="shared" si="12"/>
        <v>0</v>
      </c>
      <c r="G132" s="16"/>
      <c r="H132" s="38">
        <v>127</v>
      </c>
      <c r="I132" s="39" t="str">
        <f t="shared" si="8"/>
        <v/>
      </c>
      <c r="J132" s="38">
        <f t="shared" si="13"/>
        <v>-5</v>
      </c>
      <c r="K132" s="38">
        <f t="shared" si="9"/>
        <v>-50</v>
      </c>
      <c r="L132" s="38"/>
      <c r="M132" s="40">
        <f t="shared" si="10"/>
        <v>0</v>
      </c>
      <c r="N132" s="40">
        <f t="shared" si="11"/>
        <v>0</v>
      </c>
    </row>
    <row r="133" spans="1:14" x14ac:dyDescent="0.25">
      <c r="A133" s="59">
        <f t="shared" si="12"/>
        <v>0</v>
      </c>
      <c r="G133" s="16"/>
      <c r="H133" s="38">
        <v>128</v>
      </c>
      <c r="I133" s="39" t="str">
        <f t="shared" si="8"/>
        <v/>
      </c>
      <c r="J133" s="38">
        <f t="shared" si="13"/>
        <v>-5</v>
      </c>
      <c r="K133" s="38">
        <f t="shared" si="9"/>
        <v>-50</v>
      </c>
      <c r="L133" s="38"/>
      <c r="M133" s="40">
        <f t="shared" si="10"/>
        <v>0</v>
      </c>
      <c r="N133" s="40">
        <f t="shared" si="11"/>
        <v>0</v>
      </c>
    </row>
    <row r="134" spans="1:14" x14ac:dyDescent="0.25">
      <c r="A134" s="59">
        <f t="shared" si="12"/>
        <v>0</v>
      </c>
      <c r="G134" s="16"/>
      <c r="H134" s="38">
        <v>129</v>
      </c>
      <c r="I134" s="39" t="str">
        <f t="shared" ref="I134:I197" si="14">IF(H134&lt;$H$2+1,($I$2-($I$2-1)*(LOG(H134)/LOG($H$2))),"")</f>
        <v/>
      </c>
      <c r="J134" s="38">
        <f t="shared" si="13"/>
        <v>-6</v>
      </c>
      <c r="K134" s="38">
        <f t="shared" ref="K134:K197" si="15">J134*$J$2</f>
        <v>-60</v>
      </c>
      <c r="L134" s="38"/>
      <c r="M134" s="40">
        <f t="shared" ref="M134:M197" si="16">IF(I134&lt;&gt;"",K134+I134+L134,0)</f>
        <v>0</v>
      </c>
      <c r="N134" s="40">
        <f t="shared" ref="N134:N197" si="17">IF(I134&lt;&gt;"",M134*L$2,0)</f>
        <v>0</v>
      </c>
    </row>
    <row r="135" spans="1:14" x14ac:dyDescent="0.25">
      <c r="A135" s="59">
        <f t="shared" ref="A135:A198" si="18">N135</f>
        <v>0</v>
      </c>
      <c r="G135" s="16"/>
      <c r="H135" s="38">
        <v>130</v>
      </c>
      <c r="I135" s="39" t="str">
        <f t="shared" si="14"/>
        <v/>
      </c>
      <c r="J135" s="38">
        <f t="shared" ref="J135:J198" si="19">INT(LOG($H$2,2))-ROUNDUP(LOG(H135,2),0)+IF(OR($H$2=1,$H$2=2,$H$2=4,$H$2=8,$H$2=16,$H$2=32,$H$2=64,$H$2=128,$H$2=256),0,1)</f>
        <v>-6</v>
      </c>
      <c r="K135" s="38">
        <f t="shared" si="15"/>
        <v>-60</v>
      </c>
      <c r="L135" s="38"/>
      <c r="M135" s="40">
        <f t="shared" si="16"/>
        <v>0</v>
      </c>
      <c r="N135" s="40">
        <f t="shared" si="17"/>
        <v>0</v>
      </c>
    </row>
    <row r="136" spans="1:14" x14ac:dyDescent="0.25">
      <c r="A136" s="59">
        <f t="shared" si="18"/>
        <v>0</v>
      </c>
      <c r="G136" s="16"/>
      <c r="H136" s="38">
        <v>131</v>
      </c>
      <c r="I136" s="39" t="str">
        <f t="shared" si="14"/>
        <v/>
      </c>
      <c r="J136" s="38">
        <f t="shared" si="19"/>
        <v>-6</v>
      </c>
      <c r="K136" s="38">
        <f t="shared" si="15"/>
        <v>-60</v>
      </c>
      <c r="L136" s="38"/>
      <c r="M136" s="40">
        <f t="shared" si="16"/>
        <v>0</v>
      </c>
      <c r="N136" s="40">
        <f t="shared" si="17"/>
        <v>0</v>
      </c>
    </row>
    <row r="137" spans="1:14" x14ac:dyDescent="0.25">
      <c r="A137" s="59">
        <f t="shared" si="18"/>
        <v>0</v>
      </c>
      <c r="G137" s="16"/>
      <c r="H137" s="38">
        <v>132</v>
      </c>
      <c r="I137" s="39" t="str">
        <f t="shared" si="14"/>
        <v/>
      </c>
      <c r="J137" s="38">
        <f t="shared" si="19"/>
        <v>-6</v>
      </c>
      <c r="K137" s="38">
        <f t="shared" si="15"/>
        <v>-60</v>
      </c>
      <c r="L137" s="38"/>
      <c r="M137" s="40">
        <f t="shared" si="16"/>
        <v>0</v>
      </c>
      <c r="N137" s="40">
        <f t="shared" si="17"/>
        <v>0</v>
      </c>
    </row>
    <row r="138" spans="1:14" x14ac:dyDescent="0.25">
      <c r="A138" s="59">
        <f t="shared" si="18"/>
        <v>0</v>
      </c>
      <c r="G138" s="16"/>
      <c r="H138" s="38">
        <v>133</v>
      </c>
      <c r="I138" s="39" t="str">
        <f t="shared" si="14"/>
        <v/>
      </c>
      <c r="J138" s="38">
        <f t="shared" si="19"/>
        <v>-6</v>
      </c>
      <c r="K138" s="38">
        <f t="shared" si="15"/>
        <v>-60</v>
      </c>
      <c r="L138" s="38"/>
      <c r="M138" s="40">
        <f t="shared" si="16"/>
        <v>0</v>
      </c>
      <c r="N138" s="40">
        <f t="shared" si="17"/>
        <v>0</v>
      </c>
    </row>
    <row r="139" spans="1:14" x14ac:dyDescent="0.25">
      <c r="A139" s="59">
        <f t="shared" si="18"/>
        <v>0</v>
      </c>
      <c r="G139" s="16"/>
      <c r="H139" s="38">
        <v>134</v>
      </c>
      <c r="I139" s="39" t="str">
        <f t="shared" si="14"/>
        <v/>
      </c>
      <c r="J139" s="38">
        <f t="shared" si="19"/>
        <v>-6</v>
      </c>
      <c r="K139" s="38">
        <f t="shared" si="15"/>
        <v>-60</v>
      </c>
      <c r="L139" s="38"/>
      <c r="M139" s="40">
        <f t="shared" si="16"/>
        <v>0</v>
      </c>
      <c r="N139" s="40">
        <f t="shared" si="17"/>
        <v>0</v>
      </c>
    </row>
    <row r="140" spans="1:14" x14ac:dyDescent="0.25">
      <c r="A140" s="59">
        <f t="shared" si="18"/>
        <v>0</v>
      </c>
      <c r="G140" s="16"/>
      <c r="H140" s="38">
        <v>135</v>
      </c>
      <c r="I140" s="39" t="str">
        <f t="shared" si="14"/>
        <v/>
      </c>
      <c r="J140" s="38">
        <f t="shared" si="19"/>
        <v>-6</v>
      </c>
      <c r="K140" s="38">
        <f t="shared" si="15"/>
        <v>-60</v>
      </c>
      <c r="L140" s="38"/>
      <c r="M140" s="40">
        <f t="shared" si="16"/>
        <v>0</v>
      </c>
      <c r="N140" s="40">
        <f t="shared" si="17"/>
        <v>0</v>
      </c>
    </row>
    <row r="141" spans="1:14" x14ac:dyDescent="0.25">
      <c r="A141" s="59">
        <f t="shared" si="18"/>
        <v>0</v>
      </c>
      <c r="G141" s="16"/>
      <c r="H141" s="38">
        <v>136</v>
      </c>
      <c r="I141" s="39" t="str">
        <f t="shared" si="14"/>
        <v/>
      </c>
      <c r="J141" s="38">
        <f t="shared" si="19"/>
        <v>-6</v>
      </c>
      <c r="K141" s="38">
        <f t="shared" si="15"/>
        <v>-60</v>
      </c>
      <c r="L141" s="38"/>
      <c r="M141" s="40">
        <f t="shared" si="16"/>
        <v>0</v>
      </c>
      <c r="N141" s="40">
        <f t="shared" si="17"/>
        <v>0</v>
      </c>
    </row>
    <row r="142" spans="1:14" x14ac:dyDescent="0.25">
      <c r="A142" s="59">
        <f t="shared" si="18"/>
        <v>0</v>
      </c>
      <c r="G142" s="16"/>
      <c r="H142" s="38">
        <v>137</v>
      </c>
      <c r="I142" s="39" t="str">
        <f t="shared" si="14"/>
        <v/>
      </c>
      <c r="J142" s="38">
        <f t="shared" si="19"/>
        <v>-6</v>
      </c>
      <c r="K142" s="38">
        <f t="shared" si="15"/>
        <v>-60</v>
      </c>
      <c r="L142" s="38"/>
      <c r="M142" s="40">
        <f t="shared" si="16"/>
        <v>0</v>
      </c>
      <c r="N142" s="40">
        <f t="shared" si="17"/>
        <v>0</v>
      </c>
    </row>
    <row r="143" spans="1:14" x14ac:dyDescent="0.25">
      <c r="A143" s="59">
        <f t="shared" si="18"/>
        <v>0</v>
      </c>
      <c r="G143" s="16"/>
      <c r="H143" s="38">
        <v>138</v>
      </c>
      <c r="I143" s="39" t="str">
        <f t="shared" si="14"/>
        <v/>
      </c>
      <c r="J143" s="38">
        <f t="shared" si="19"/>
        <v>-6</v>
      </c>
      <c r="K143" s="38">
        <f t="shared" si="15"/>
        <v>-60</v>
      </c>
      <c r="L143" s="38"/>
      <c r="M143" s="40">
        <f t="shared" si="16"/>
        <v>0</v>
      </c>
      <c r="N143" s="40">
        <f t="shared" si="17"/>
        <v>0</v>
      </c>
    </row>
    <row r="144" spans="1:14" x14ac:dyDescent="0.25">
      <c r="A144" s="59">
        <f t="shared" si="18"/>
        <v>0</v>
      </c>
      <c r="G144" s="16"/>
      <c r="H144" s="38">
        <v>139</v>
      </c>
      <c r="I144" s="39" t="str">
        <f t="shared" si="14"/>
        <v/>
      </c>
      <c r="J144" s="38">
        <f t="shared" si="19"/>
        <v>-6</v>
      </c>
      <c r="K144" s="38">
        <f t="shared" si="15"/>
        <v>-60</v>
      </c>
      <c r="L144" s="38"/>
      <c r="M144" s="40">
        <f t="shared" si="16"/>
        <v>0</v>
      </c>
      <c r="N144" s="40">
        <f t="shared" si="17"/>
        <v>0</v>
      </c>
    </row>
    <row r="145" spans="1:14" x14ac:dyDescent="0.25">
      <c r="A145" s="59">
        <f t="shared" si="18"/>
        <v>0</v>
      </c>
      <c r="G145" s="16"/>
      <c r="H145" s="38">
        <v>140</v>
      </c>
      <c r="I145" s="39" t="str">
        <f t="shared" si="14"/>
        <v/>
      </c>
      <c r="J145" s="38">
        <f t="shared" si="19"/>
        <v>-6</v>
      </c>
      <c r="K145" s="38">
        <f t="shared" si="15"/>
        <v>-60</v>
      </c>
      <c r="L145" s="38"/>
      <c r="M145" s="40">
        <f t="shared" si="16"/>
        <v>0</v>
      </c>
      <c r="N145" s="40">
        <f t="shared" si="17"/>
        <v>0</v>
      </c>
    </row>
    <row r="146" spans="1:14" x14ac:dyDescent="0.25">
      <c r="A146" s="59">
        <f t="shared" si="18"/>
        <v>0</v>
      </c>
      <c r="G146" s="16"/>
      <c r="H146" s="38">
        <v>141</v>
      </c>
      <c r="I146" s="39" t="str">
        <f t="shared" si="14"/>
        <v/>
      </c>
      <c r="J146" s="38">
        <f t="shared" si="19"/>
        <v>-6</v>
      </c>
      <c r="K146" s="38">
        <f t="shared" si="15"/>
        <v>-60</v>
      </c>
      <c r="L146" s="38"/>
      <c r="M146" s="40">
        <f t="shared" si="16"/>
        <v>0</v>
      </c>
      <c r="N146" s="40">
        <f t="shared" si="17"/>
        <v>0</v>
      </c>
    </row>
    <row r="147" spans="1:14" x14ac:dyDescent="0.25">
      <c r="A147" s="59">
        <f t="shared" si="18"/>
        <v>0</v>
      </c>
      <c r="G147" s="16"/>
      <c r="H147" s="38">
        <v>142</v>
      </c>
      <c r="I147" s="39" t="str">
        <f t="shared" si="14"/>
        <v/>
      </c>
      <c r="J147" s="38">
        <f t="shared" si="19"/>
        <v>-6</v>
      </c>
      <c r="K147" s="38">
        <f t="shared" si="15"/>
        <v>-60</v>
      </c>
      <c r="L147" s="38"/>
      <c r="M147" s="40">
        <f t="shared" si="16"/>
        <v>0</v>
      </c>
      <c r="N147" s="40">
        <f t="shared" si="17"/>
        <v>0</v>
      </c>
    </row>
    <row r="148" spans="1:14" x14ac:dyDescent="0.25">
      <c r="A148" s="59">
        <f t="shared" si="18"/>
        <v>0</v>
      </c>
      <c r="G148" s="16"/>
      <c r="H148" s="38">
        <v>143</v>
      </c>
      <c r="I148" s="39" t="str">
        <f t="shared" si="14"/>
        <v/>
      </c>
      <c r="J148" s="38">
        <f t="shared" si="19"/>
        <v>-6</v>
      </c>
      <c r="K148" s="38">
        <f t="shared" si="15"/>
        <v>-60</v>
      </c>
      <c r="L148" s="38"/>
      <c r="M148" s="40">
        <f t="shared" si="16"/>
        <v>0</v>
      </c>
      <c r="N148" s="40">
        <f t="shared" si="17"/>
        <v>0</v>
      </c>
    </row>
    <row r="149" spans="1:14" x14ac:dyDescent="0.25">
      <c r="A149" s="59">
        <f t="shared" si="18"/>
        <v>0</v>
      </c>
      <c r="G149" s="16"/>
      <c r="H149" s="38">
        <v>144</v>
      </c>
      <c r="I149" s="39" t="str">
        <f t="shared" si="14"/>
        <v/>
      </c>
      <c r="J149" s="38">
        <f t="shared" si="19"/>
        <v>-6</v>
      </c>
      <c r="K149" s="38">
        <f t="shared" si="15"/>
        <v>-60</v>
      </c>
      <c r="L149" s="38"/>
      <c r="M149" s="40">
        <f t="shared" si="16"/>
        <v>0</v>
      </c>
      <c r="N149" s="40">
        <f t="shared" si="17"/>
        <v>0</v>
      </c>
    </row>
    <row r="150" spans="1:14" x14ac:dyDescent="0.25">
      <c r="A150" s="59">
        <f t="shared" si="18"/>
        <v>0</v>
      </c>
      <c r="G150" s="16"/>
      <c r="H150" s="38">
        <v>145</v>
      </c>
      <c r="I150" s="39" t="str">
        <f t="shared" si="14"/>
        <v/>
      </c>
      <c r="J150" s="38">
        <f t="shared" si="19"/>
        <v>-6</v>
      </c>
      <c r="K150" s="38">
        <f t="shared" si="15"/>
        <v>-60</v>
      </c>
      <c r="L150" s="38"/>
      <c r="M150" s="40">
        <f t="shared" si="16"/>
        <v>0</v>
      </c>
      <c r="N150" s="40">
        <f t="shared" si="17"/>
        <v>0</v>
      </c>
    </row>
    <row r="151" spans="1:14" x14ac:dyDescent="0.25">
      <c r="A151" s="59">
        <f t="shared" si="18"/>
        <v>0</v>
      </c>
      <c r="G151" s="16"/>
      <c r="H151" s="38">
        <v>146</v>
      </c>
      <c r="I151" s="39" t="str">
        <f t="shared" si="14"/>
        <v/>
      </c>
      <c r="J151" s="38">
        <f t="shared" si="19"/>
        <v>-6</v>
      </c>
      <c r="K151" s="38">
        <f t="shared" si="15"/>
        <v>-60</v>
      </c>
      <c r="L151" s="38"/>
      <c r="M151" s="40">
        <f t="shared" si="16"/>
        <v>0</v>
      </c>
      <c r="N151" s="40">
        <f t="shared" si="17"/>
        <v>0</v>
      </c>
    </row>
    <row r="152" spans="1:14" x14ac:dyDescent="0.25">
      <c r="A152" s="59">
        <f t="shared" si="18"/>
        <v>0</v>
      </c>
      <c r="G152" s="16"/>
      <c r="H152" s="38">
        <v>147</v>
      </c>
      <c r="I152" s="39" t="str">
        <f t="shared" si="14"/>
        <v/>
      </c>
      <c r="J152" s="38">
        <f t="shared" si="19"/>
        <v>-6</v>
      </c>
      <c r="K152" s="38">
        <f t="shared" si="15"/>
        <v>-60</v>
      </c>
      <c r="L152" s="38"/>
      <c r="M152" s="40">
        <f t="shared" si="16"/>
        <v>0</v>
      </c>
      <c r="N152" s="40">
        <f t="shared" si="17"/>
        <v>0</v>
      </c>
    </row>
    <row r="153" spans="1:14" x14ac:dyDescent="0.25">
      <c r="A153" s="59">
        <f t="shared" si="18"/>
        <v>0</v>
      </c>
      <c r="G153" s="16"/>
      <c r="H153" s="38">
        <v>148</v>
      </c>
      <c r="I153" s="39" t="str">
        <f t="shared" si="14"/>
        <v/>
      </c>
      <c r="J153" s="38">
        <f t="shared" si="19"/>
        <v>-6</v>
      </c>
      <c r="K153" s="38">
        <f t="shared" si="15"/>
        <v>-60</v>
      </c>
      <c r="L153" s="38"/>
      <c r="M153" s="40">
        <f t="shared" si="16"/>
        <v>0</v>
      </c>
      <c r="N153" s="40">
        <f t="shared" si="17"/>
        <v>0</v>
      </c>
    </row>
    <row r="154" spans="1:14" x14ac:dyDescent="0.25">
      <c r="A154" s="59">
        <f t="shared" si="18"/>
        <v>0</v>
      </c>
      <c r="G154" s="16"/>
      <c r="H154" s="38">
        <v>149</v>
      </c>
      <c r="I154" s="39" t="str">
        <f t="shared" si="14"/>
        <v/>
      </c>
      <c r="J154" s="38">
        <f t="shared" si="19"/>
        <v>-6</v>
      </c>
      <c r="K154" s="38">
        <f t="shared" si="15"/>
        <v>-60</v>
      </c>
      <c r="L154" s="38"/>
      <c r="M154" s="40">
        <f t="shared" si="16"/>
        <v>0</v>
      </c>
      <c r="N154" s="40">
        <f t="shared" si="17"/>
        <v>0</v>
      </c>
    </row>
    <row r="155" spans="1:14" x14ac:dyDescent="0.25">
      <c r="A155" s="59">
        <f t="shared" si="18"/>
        <v>0</v>
      </c>
      <c r="G155" s="16"/>
      <c r="H155" s="38">
        <v>150</v>
      </c>
      <c r="I155" s="39" t="str">
        <f t="shared" si="14"/>
        <v/>
      </c>
      <c r="J155" s="38">
        <f t="shared" si="19"/>
        <v>-6</v>
      </c>
      <c r="K155" s="38">
        <f t="shared" si="15"/>
        <v>-60</v>
      </c>
      <c r="L155" s="38"/>
      <c r="M155" s="40">
        <f t="shared" si="16"/>
        <v>0</v>
      </c>
      <c r="N155" s="40">
        <f t="shared" si="17"/>
        <v>0</v>
      </c>
    </row>
    <row r="156" spans="1:14" x14ac:dyDescent="0.25">
      <c r="A156" s="59">
        <f t="shared" si="18"/>
        <v>0</v>
      </c>
      <c r="G156" s="16"/>
      <c r="H156" s="38">
        <v>151</v>
      </c>
      <c r="I156" s="39" t="str">
        <f t="shared" si="14"/>
        <v/>
      </c>
      <c r="J156" s="38">
        <f t="shared" si="19"/>
        <v>-6</v>
      </c>
      <c r="K156" s="38">
        <f t="shared" si="15"/>
        <v>-60</v>
      </c>
      <c r="L156" s="38"/>
      <c r="M156" s="40">
        <f t="shared" si="16"/>
        <v>0</v>
      </c>
      <c r="N156" s="40">
        <f t="shared" si="17"/>
        <v>0</v>
      </c>
    </row>
    <row r="157" spans="1:14" x14ac:dyDescent="0.25">
      <c r="A157" s="59">
        <f t="shared" si="18"/>
        <v>0</v>
      </c>
      <c r="G157" s="16"/>
      <c r="H157" s="38">
        <v>152</v>
      </c>
      <c r="I157" s="39" t="str">
        <f t="shared" si="14"/>
        <v/>
      </c>
      <c r="J157" s="38">
        <f t="shared" si="19"/>
        <v>-6</v>
      </c>
      <c r="K157" s="38">
        <f t="shared" si="15"/>
        <v>-60</v>
      </c>
      <c r="L157" s="38"/>
      <c r="M157" s="40">
        <f t="shared" si="16"/>
        <v>0</v>
      </c>
      <c r="N157" s="40">
        <f t="shared" si="17"/>
        <v>0</v>
      </c>
    </row>
    <row r="158" spans="1:14" x14ac:dyDescent="0.25">
      <c r="A158" s="59">
        <f t="shared" si="18"/>
        <v>0</v>
      </c>
      <c r="G158" s="16"/>
      <c r="H158" s="38">
        <v>153</v>
      </c>
      <c r="I158" s="39" t="str">
        <f t="shared" si="14"/>
        <v/>
      </c>
      <c r="J158" s="38">
        <f t="shared" si="19"/>
        <v>-6</v>
      </c>
      <c r="K158" s="38">
        <f t="shared" si="15"/>
        <v>-60</v>
      </c>
      <c r="L158" s="38"/>
      <c r="M158" s="40">
        <f t="shared" si="16"/>
        <v>0</v>
      </c>
      <c r="N158" s="40">
        <f t="shared" si="17"/>
        <v>0</v>
      </c>
    </row>
    <row r="159" spans="1:14" x14ac:dyDescent="0.25">
      <c r="A159" s="59">
        <f t="shared" si="18"/>
        <v>0</v>
      </c>
      <c r="G159" s="16"/>
      <c r="H159" s="38">
        <v>154</v>
      </c>
      <c r="I159" s="39" t="str">
        <f t="shared" si="14"/>
        <v/>
      </c>
      <c r="J159" s="38">
        <f t="shared" si="19"/>
        <v>-6</v>
      </c>
      <c r="K159" s="38">
        <f t="shared" si="15"/>
        <v>-60</v>
      </c>
      <c r="L159" s="38"/>
      <c r="M159" s="40">
        <f t="shared" si="16"/>
        <v>0</v>
      </c>
      <c r="N159" s="40">
        <f t="shared" si="17"/>
        <v>0</v>
      </c>
    </row>
    <row r="160" spans="1:14" x14ac:dyDescent="0.25">
      <c r="A160" s="59">
        <f t="shared" si="18"/>
        <v>0</v>
      </c>
      <c r="G160" s="16"/>
      <c r="H160" s="38">
        <v>155</v>
      </c>
      <c r="I160" s="39" t="str">
        <f t="shared" si="14"/>
        <v/>
      </c>
      <c r="J160" s="38">
        <f t="shared" si="19"/>
        <v>-6</v>
      </c>
      <c r="K160" s="38">
        <f t="shared" si="15"/>
        <v>-60</v>
      </c>
      <c r="L160" s="38"/>
      <c r="M160" s="40">
        <f t="shared" si="16"/>
        <v>0</v>
      </c>
      <c r="N160" s="40">
        <f t="shared" si="17"/>
        <v>0</v>
      </c>
    </row>
    <row r="161" spans="1:14" x14ac:dyDescent="0.25">
      <c r="A161" s="59">
        <f t="shared" si="18"/>
        <v>0</v>
      </c>
      <c r="G161" s="16"/>
      <c r="H161" s="38">
        <v>156</v>
      </c>
      <c r="I161" s="39" t="str">
        <f t="shared" si="14"/>
        <v/>
      </c>
      <c r="J161" s="38">
        <f t="shared" si="19"/>
        <v>-6</v>
      </c>
      <c r="K161" s="38">
        <f t="shared" si="15"/>
        <v>-60</v>
      </c>
      <c r="L161" s="38"/>
      <c r="M161" s="40">
        <f t="shared" si="16"/>
        <v>0</v>
      </c>
      <c r="N161" s="40">
        <f t="shared" si="17"/>
        <v>0</v>
      </c>
    </row>
    <row r="162" spans="1:14" x14ac:dyDescent="0.25">
      <c r="A162" s="59">
        <f t="shared" si="18"/>
        <v>0</v>
      </c>
      <c r="G162" s="16"/>
      <c r="H162" s="38">
        <v>157</v>
      </c>
      <c r="I162" s="39" t="str">
        <f t="shared" si="14"/>
        <v/>
      </c>
      <c r="J162" s="38">
        <f t="shared" si="19"/>
        <v>-6</v>
      </c>
      <c r="K162" s="38">
        <f t="shared" si="15"/>
        <v>-60</v>
      </c>
      <c r="L162" s="38"/>
      <c r="M162" s="40">
        <f t="shared" si="16"/>
        <v>0</v>
      </c>
      <c r="N162" s="40">
        <f t="shared" si="17"/>
        <v>0</v>
      </c>
    </row>
    <row r="163" spans="1:14" x14ac:dyDescent="0.25">
      <c r="A163" s="59">
        <f t="shared" si="18"/>
        <v>0</v>
      </c>
      <c r="G163" s="16"/>
      <c r="H163" s="38">
        <v>158</v>
      </c>
      <c r="I163" s="39" t="str">
        <f t="shared" si="14"/>
        <v/>
      </c>
      <c r="J163" s="38">
        <f t="shared" si="19"/>
        <v>-6</v>
      </c>
      <c r="K163" s="38">
        <f t="shared" si="15"/>
        <v>-60</v>
      </c>
      <c r="L163" s="38"/>
      <c r="M163" s="40">
        <f t="shared" si="16"/>
        <v>0</v>
      </c>
      <c r="N163" s="40">
        <f t="shared" si="17"/>
        <v>0</v>
      </c>
    </row>
    <row r="164" spans="1:14" x14ac:dyDescent="0.25">
      <c r="A164" s="59">
        <f t="shared" si="18"/>
        <v>0</v>
      </c>
      <c r="G164" s="16"/>
      <c r="H164" s="38">
        <v>159</v>
      </c>
      <c r="I164" s="39" t="str">
        <f t="shared" si="14"/>
        <v/>
      </c>
      <c r="J164" s="38">
        <f t="shared" si="19"/>
        <v>-6</v>
      </c>
      <c r="K164" s="38">
        <f t="shared" si="15"/>
        <v>-60</v>
      </c>
      <c r="L164" s="38"/>
      <c r="M164" s="40">
        <f t="shared" si="16"/>
        <v>0</v>
      </c>
      <c r="N164" s="40">
        <f t="shared" si="17"/>
        <v>0</v>
      </c>
    </row>
    <row r="165" spans="1:14" x14ac:dyDescent="0.25">
      <c r="A165" s="59">
        <f t="shared" si="18"/>
        <v>0</v>
      </c>
      <c r="G165" s="16"/>
      <c r="H165" s="38">
        <v>160</v>
      </c>
      <c r="I165" s="39" t="str">
        <f t="shared" si="14"/>
        <v/>
      </c>
      <c r="J165" s="38">
        <f t="shared" si="19"/>
        <v>-6</v>
      </c>
      <c r="K165" s="38">
        <f t="shared" si="15"/>
        <v>-60</v>
      </c>
      <c r="L165" s="38"/>
      <c r="M165" s="40">
        <f t="shared" si="16"/>
        <v>0</v>
      </c>
      <c r="N165" s="40">
        <f t="shared" si="17"/>
        <v>0</v>
      </c>
    </row>
    <row r="166" spans="1:14" x14ac:dyDescent="0.25">
      <c r="A166" s="59">
        <f t="shared" si="18"/>
        <v>0</v>
      </c>
      <c r="G166" s="16"/>
      <c r="H166" s="38">
        <v>161</v>
      </c>
      <c r="I166" s="39" t="str">
        <f t="shared" si="14"/>
        <v/>
      </c>
      <c r="J166" s="38">
        <f t="shared" si="19"/>
        <v>-6</v>
      </c>
      <c r="K166" s="38">
        <f t="shared" si="15"/>
        <v>-60</v>
      </c>
      <c r="L166" s="38"/>
      <c r="M166" s="40">
        <f t="shared" si="16"/>
        <v>0</v>
      </c>
      <c r="N166" s="40">
        <f t="shared" si="17"/>
        <v>0</v>
      </c>
    </row>
    <row r="167" spans="1:14" x14ac:dyDescent="0.25">
      <c r="A167" s="59">
        <f t="shared" si="18"/>
        <v>0</v>
      </c>
      <c r="G167" s="16"/>
      <c r="H167" s="38">
        <v>162</v>
      </c>
      <c r="I167" s="39" t="str">
        <f t="shared" si="14"/>
        <v/>
      </c>
      <c r="J167" s="38">
        <f t="shared" si="19"/>
        <v>-6</v>
      </c>
      <c r="K167" s="38">
        <f t="shared" si="15"/>
        <v>-60</v>
      </c>
      <c r="L167" s="38"/>
      <c r="M167" s="40">
        <f t="shared" si="16"/>
        <v>0</v>
      </c>
      <c r="N167" s="40">
        <f t="shared" si="17"/>
        <v>0</v>
      </c>
    </row>
    <row r="168" spans="1:14" x14ac:dyDescent="0.25">
      <c r="A168" s="59">
        <f t="shared" si="18"/>
        <v>0</v>
      </c>
      <c r="G168" s="16"/>
      <c r="H168" s="38">
        <v>163</v>
      </c>
      <c r="I168" s="39" t="str">
        <f t="shared" si="14"/>
        <v/>
      </c>
      <c r="J168" s="38">
        <f t="shared" si="19"/>
        <v>-6</v>
      </c>
      <c r="K168" s="38">
        <f t="shared" si="15"/>
        <v>-60</v>
      </c>
      <c r="L168" s="38"/>
      <c r="M168" s="40">
        <f t="shared" si="16"/>
        <v>0</v>
      </c>
      <c r="N168" s="40">
        <f t="shared" si="17"/>
        <v>0</v>
      </c>
    </row>
    <row r="169" spans="1:14" x14ac:dyDescent="0.25">
      <c r="A169" s="59">
        <f t="shared" si="18"/>
        <v>0</v>
      </c>
      <c r="G169" s="16"/>
      <c r="H169" s="38">
        <v>164</v>
      </c>
      <c r="I169" s="39" t="str">
        <f t="shared" si="14"/>
        <v/>
      </c>
      <c r="J169" s="38">
        <f t="shared" si="19"/>
        <v>-6</v>
      </c>
      <c r="K169" s="38">
        <f t="shared" si="15"/>
        <v>-60</v>
      </c>
      <c r="L169" s="38"/>
      <c r="M169" s="40">
        <f t="shared" si="16"/>
        <v>0</v>
      </c>
      <c r="N169" s="40">
        <f t="shared" si="17"/>
        <v>0</v>
      </c>
    </row>
    <row r="170" spans="1:14" x14ac:dyDescent="0.25">
      <c r="A170" s="59">
        <f t="shared" si="18"/>
        <v>0</v>
      </c>
      <c r="G170" s="16"/>
      <c r="H170" s="38">
        <v>165</v>
      </c>
      <c r="I170" s="39" t="str">
        <f t="shared" si="14"/>
        <v/>
      </c>
      <c r="J170" s="38">
        <f t="shared" si="19"/>
        <v>-6</v>
      </c>
      <c r="K170" s="38">
        <f t="shared" si="15"/>
        <v>-60</v>
      </c>
      <c r="L170" s="38"/>
      <c r="M170" s="40">
        <f t="shared" si="16"/>
        <v>0</v>
      </c>
      <c r="N170" s="40">
        <f t="shared" si="17"/>
        <v>0</v>
      </c>
    </row>
    <row r="171" spans="1:14" x14ac:dyDescent="0.25">
      <c r="A171" s="59">
        <f t="shared" si="18"/>
        <v>0</v>
      </c>
      <c r="G171" s="16"/>
      <c r="H171" s="38">
        <v>166</v>
      </c>
      <c r="I171" s="39" t="str">
        <f t="shared" si="14"/>
        <v/>
      </c>
      <c r="J171" s="38">
        <f t="shared" si="19"/>
        <v>-6</v>
      </c>
      <c r="K171" s="38">
        <f t="shared" si="15"/>
        <v>-60</v>
      </c>
      <c r="L171" s="38"/>
      <c r="M171" s="40">
        <f t="shared" si="16"/>
        <v>0</v>
      </c>
      <c r="N171" s="40">
        <f t="shared" si="17"/>
        <v>0</v>
      </c>
    </row>
    <row r="172" spans="1:14" x14ac:dyDescent="0.25">
      <c r="A172" s="59">
        <f t="shared" si="18"/>
        <v>0</v>
      </c>
      <c r="G172" s="16"/>
      <c r="H172" s="38">
        <v>167</v>
      </c>
      <c r="I172" s="39" t="str">
        <f t="shared" si="14"/>
        <v/>
      </c>
      <c r="J172" s="38">
        <f t="shared" si="19"/>
        <v>-6</v>
      </c>
      <c r="K172" s="38">
        <f t="shared" si="15"/>
        <v>-60</v>
      </c>
      <c r="L172" s="38"/>
      <c r="M172" s="40">
        <f t="shared" si="16"/>
        <v>0</v>
      </c>
      <c r="N172" s="40">
        <f t="shared" si="17"/>
        <v>0</v>
      </c>
    </row>
    <row r="173" spans="1:14" x14ac:dyDescent="0.25">
      <c r="A173" s="59">
        <f t="shared" si="18"/>
        <v>0</v>
      </c>
      <c r="G173" s="16"/>
      <c r="H173" s="38">
        <v>168</v>
      </c>
      <c r="I173" s="39" t="str">
        <f t="shared" si="14"/>
        <v/>
      </c>
      <c r="J173" s="38">
        <f t="shared" si="19"/>
        <v>-6</v>
      </c>
      <c r="K173" s="38">
        <f t="shared" si="15"/>
        <v>-60</v>
      </c>
      <c r="L173" s="38"/>
      <c r="M173" s="40">
        <f t="shared" si="16"/>
        <v>0</v>
      </c>
      <c r="N173" s="40">
        <f t="shared" si="17"/>
        <v>0</v>
      </c>
    </row>
    <row r="174" spans="1:14" x14ac:dyDescent="0.25">
      <c r="A174" s="59">
        <f t="shared" si="18"/>
        <v>0</v>
      </c>
      <c r="G174" s="16"/>
      <c r="H174" s="38">
        <v>169</v>
      </c>
      <c r="I174" s="39" t="str">
        <f t="shared" si="14"/>
        <v/>
      </c>
      <c r="J174" s="38">
        <f t="shared" si="19"/>
        <v>-6</v>
      </c>
      <c r="K174" s="38">
        <f t="shared" si="15"/>
        <v>-60</v>
      </c>
      <c r="L174" s="38"/>
      <c r="M174" s="40">
        <f t="shared" si="16"/>
        <v>0</v>
      </c>
      <c r="N174" s="40">
        <f t="shared" si="17"/>
        <v>0</v>
      </c>
    </row>
    <row r="175" spans="1:14" x14ac:dyDescent="0.25">
      <c r="A175" s="59">
        <f t="shared" si="18"/>
        <v>0</v>
      </c>
      <c r="G175" s="16"/>
      <c r="H175" s="38">
        <v>170</v>
      </c>
      <c r="I175" s="39" t="str">
        <f t="shared" si="14"/>
        <v/>
      </c>
      <c r="J175" s="38">
        <f t="shared" si="19"/>
        <v>-6</v>
      </c>
      <c r="K175" s="38">
        <f t="shared" si="15"/>
        <v>-60</v>
      </c>
      <c r="L175" s="38"/>
      <c r="M175" s="40">
        <f t="shared" si="16"/>
        <v>0</v>
      </c>
      <c r="N175" s="40">
        <f t="shared" si="17"/>
        <v>0</v>
      </c>
    </row>
    <row r="176" spans="1:14" x14ac:dyDescent="0.25">
      <c r="A176" s="59">
        <f t="shared" si="18"/>
        <v>0</v>
      </c>
      <c r="G176" s="16"/>
      <c r="H176" s="38">
        <v>171</v>
      </c>
      <c r="I176" s="39" t="str">
        <f t="shared" si="14"/>
        <v/>
      </c>
      <c r="J176" s="38">
        <f t="shared" si="19"/>
        <v>-6</v>
      </c>
      <c r="K176" s="38">
        <f t="shared" si="15"/>
        <v>-60</v>
      </c>
      <c r="L176" s="38"/>
      <c r="M176" s="40">
        <f t="shared" si="16"/>
        <v>0</v>
      </c>
      <c r="N176" s="40">
        <f t="shared" si="17"/>
        <v>0</v>
      </c>
    </row>
    <row r="177" spans="1:14" x14ac:dyDescent="0.25">
      <c r="A177" s="59">
        <f t="shared" si="18"/>
        <v>0</v>
      </c>
      <c r="G177" s="16"/>
      <c r="H177" s="38">
        <v>172</v>
      </c>
      <c r="I177" s="39" t="str">
        <f t="shared" si="14"/>
        <v/>
      </c>
      <c r="J177" s="38">
        <f t="shared" si="19"/>
        <v>-6</v>
      </c>
      <c r="K177" s="38">
        <f t="shared" si="15"/>
        <v>-60</v>
      </c>
      <c r="L177" s="38"/>
      <c r="M177" s="40">
        <f t="shared" si="16"/>
        <v>0</v>
      </c>
      <c r="N177" s="40">
        <f t="shared" si="17"/>
        <v>0</v>
      </c>
    </row>
    <row r="178" spans="1:14" x14ac:dyDescent="0.25">
      <c r="A178" s="59">
        <f t="shared" si="18"/>
        <v>0</v>
      </c>
      <c r="G178" s="16"/>
      <c r="H178" s="38">
        <v>173</v>
      </c>
      <c r="I178" s="39" t="str">
        <f t="shared" si="14"/>
        <v/>
      </c>
      <c r="J178" s="38">
        <f t="shared" si="19"/>
        <v>-6</v>
      </c>
      <c r="K178" s="38">
        <f t="shared" si="15"/>
        <v>-60</v>
      </c>
      <c r="L178" s="38"/>
      <c r="M178" s="40">
        <f t="shared" si="16"/>
        <v>0</v>
      </c>
      <c r="N178" s="40">
        <f t="shared" si="17"/>
        <v>0</v>
      </c>
    </row>
    <row r="179" spans="1:14" x14ac:dyDescent="0.25">
      <c r="A179" s="59">
        <f t="shared" si="18"/>
        <v>0</v>
      </c>
      <c r="G179" s="16"/>
      <c r="H179" s="38">
        <v>174</v>
      </c>
      <c r="I179" s="39" t="str">
        <f t="shared" si="14"/>
        <v/>
      </c>
      <c r="J179" s="38">
        <f t="shared" si="19"/>
        <v>-6</v>
      </c>
      <c r="K179" s="38">
        <f t="shared" si="15"/>
        <v>-60</v>
      </c>
      <c r="L179" s="38"/>
      <c r="M179" s="40">
        <f t="shared" si="16"/>
        <v>0</v>
      </c>
      <c r="N179" s="40">
        <f t="shared" si="17"/>
        <v>0</v>
      </c>
    </row>
    <row r="180" spans="1:14" x14ac:dyDescent="0.25">
      <c r="A180" s="59">
        <f t="shared" si="18"/>
        <v>0</v>
      </c>
      <c r="G180" s="16"/>
      <c r="H180" s="38">
        <v>175</v>
      </c>
      <c r="I180" s="39" t="str">
        <f t="shared" si="14"/>
        <v/>
      </c>
      <c r="J180" s="38">
        <f t="shared" si="19"/>
        <v>-6</v>
      </c>
      <c r="K180" s="38">
        <f t="shared" si="15"/>
        <v>-60</v>
      </c>
      <c r="L180" s="38"/>
      <c r="M180" s="40">
        <f t="shared" si="16"/>
        <v>0</v>
      </c>
      <c r="N180" s="40">
        <f t="shared" si="17"/>
        <v>0</v>
      </c>
    </row>
    <row r="181" spans="1:14" x14ac:dyDescent="0.25">
      <c r="A181" s="59">
        <f t="shared" si="18"/>
        <v>0</v>
      </c>
      <c r="G181" s="16"/>
      <c r="H181" s="38">
        <v>176</v>
      </c>
      <c r="I181" s="39" t="str">
        <f t="shared" si="14"/>
        <v/>
      </c>
      <c r="J181" s="38">
        <f t="shared" si="19"/>
        <v>-6</v>
      </c>
      <c r="K181" s="38">
        <f t="shared" si="15"/>
        <v>-60</v>
      </c>
      <c r="L181" s="38"/>
      <c r="M181" s="40">
        <f t="shared" si="16"/>
        <v>0</v>
      </c>
      <c r="N181" s="40">
        <f t="shared" si="17"/>
        <v>0</v>
      </c>
    </row>
    <row r="182" spans="1:14" x14ac:dyDescent="0.25">
      <c r="A182" s="59">
        <f t="shared" si="18"/>
        <v>0</v>
      </c>
      <c r="G182" s="16"/>
      <c r="H182" s="38">
        <v>177</v>
      </c>
      <c r="I182" s="39" t="str">
        <f t="shared" si="14"/>
        <v/>
      </c>
      <c r="J182" s="38">
        <f t="shared" si="19"/>
        <v>-6</v>
      </c>
      <c r="K182" s="38">
        <f t="shared" si="15"/>
        <v>-60</v>
      </c>
      <c r="L182" s="38"/>
      <c r="M182" s="40">
        <f t="shared" si="16"/>
        <v>0</v>
      </c>
      <c r="N182" s="40">
        <f t="shared" si="17"/>
        <v>0</v>
      </c>
    </row>
    <row r="183" spans="1:14" x14ac:dyDescent="0.25">
      <c r="A183" s="59">
        <f t="shared" si="18"/>
        <v>0</v>
      </c>
      <c r="G183" s="16"/>
      <c r="H183" s="38">
        <v>178</v>
      </c>
      <c r="I183" s="39" t="str">
        <f t="shared" si="14"/>
        <v/>
      </c>
      <c r="J183" s="38">
        <f t="shared" si="19"/>
        <v>-6</v>
      </c>
      <c r="K183" s="38">
        <f t="shared" si="15"/>
        <v>-60</v>
      </c>
      <c r="L183" s="38"/>
      <c r="M183" s="40">
        <f t="shared" si="16"/>
        <v>0</v>
      </c>
      <c r="N183" s="40">
        <f t="shared" si="17"/>
        <v>0</v>
      </c>
    </row>
    <row r="184" spans="1:14" x14ac:dyDescent="0.25">
      <c r="A184" s="59">
        <f t="shared" si="18"/>
        <v>0</v>
      </c>
      <c r="G184" s="16"/>
      <c r="H184" s="38">
        <v>179</v>
      </c>
      <c r="I184" s="39" t="str">
        <f t="shared" si="14"/>
        <v/>
      </c>
      <c r="J184" s="38">
        <f t="shared" si="19"/>
        <v>-6</v>
      </c>
      <c r="K184" s="38">
        <f t="shared" si="15"/>
        <v>-60</v>
      </c>
      <c r="L184" s="38"/>
      <c r="M184" s="40">
        <f t="shared" si="16"/>
        <v>0</v>
      </c>
      <c r="N184" s="40">
        <f t="shared" si="17"/>
        <v>0</v>
      </c>
    </row>
    <row r="185" spans="1:14" x14ac:dyDescent="0.25">
      <c r="A185" s="59">
        <f t="shared" si="18"/>
        <v>0</v>
      </c>
      <c r="G185" s="16"/>
      <c r="H185" s="38">
        <v>180</v>
      </c>
      <c r="I185" s="39" t="str">
        <f t="shared" si="14"/>
        <v/>
      </c>
      <c r="J185" s="38">
        <f t="shared" si="19"/>
        <v>-6</v>
      </c>
      <c r="K185" s="38">
        <f t="shared" si="15"/>
        <v>-60</v>
      </c>
      <c r="L185" s="38"/>
      <c r="M185" s="40">
        <f t="shared" si="16"/>
        <v>0</v>
      </c>
      <c r="N185" s="40">
        <f t="shared" si="17"/>
        <v>0</v>
      </c>
    </row>
    <row r="186" spans="1:14" x14ac:dyDescent="0.25">
      <c r="A186" s="59">
        <f t="shared" si="18"/>
        <v>0</v>
      </c>
      <c r="G186" s="16"/>
      <c r="H186" s="38">
        <v>181</v>
      </c>
      <c r="I186" s="39" t="str">
        <f t="shared" si="14"/>
        <v/>
      </c>
      <c r="J186" s="38">
        <f t="shared" si="19"/>
        <v>-6</v>
      </c>
      <c r="K186" s="38">
        <f t="shared" si="15"/>
        <v>-60</v>
      </c>
      <c r="L186" s="38"/>
      <c r="M186" s="40">
        <f t="shared" si="16"/>
        <v>0</v>
      </c>
      <c r="N186" s="40">
        <f t="shared" si="17"/>
        <v>0</v>
      </c>
    </row>
    <row r="187" spans="1:14" x14ac:dyDescent="0.25">
      <c r="A187" s="59">
        <f t="shared" si="18"/>
        <v>0</v>
      </c>
      <c r="G187" s="16"/>
      <c r="H187" s="38">
        <v>182</v>
      </c>
      <c r="I187" s="39" t="str">
        <f t="shared" si="14"/>
        <v/>
      </c>
      <c r="J187" s="38">
        <f t="shared" si="19"/>
        <v>-6</v>
      </c>
      <c r="K187" s="38">
        <f t="shared" si="15"/>
        <v>-60</v>
      </c>
      <c r="L187" s="38"/>
      <c r="M187" s="40">
        <f t="shared" si="16"/>
        <v>0</v>
      </c>
      <c r="N187" s="40">
        <f t="shared" si="17"/>
        <v>0</v>
      </c>
    </row>
    <row r="188" spans="1:14" x14ac:dyDescent="0.25">
      <c r="A188" s="59">
        <f t="shared" si="18"/>
        <v>0</v>
      </c>
      <c r="G188" s="16"/>
      <c r="H188" s="38">
        <v>183</v>
      </c>
      <c r="I188" s="39" t="str">
        <f t="shared" si="14"/>
        <v/>
      </c>
      <c r="J188" s="38">
        <f t="shared" si="19"/>
        <v>-6</v>
      </c>
      <c r="K188" s="38">
        <f t="shared" si="15"/>
        <v>-60</v>
      </c>
      <c r="L188" s="38"/>
      <c r="M188" s="40">
        <f t="shared" si="16"/>
        <v>0</v>
      </c>
      <c r="N188" s="40">
        <f t="shared" si="17"/>
        <v>0</v>
      </c>
    </row>
    <row r="189" spans="1:14" x14ac:dyDescent="0.25">
      <c r="A189" s="59">
        <f t="shared" si="18"/>
        <v>0</v>
      </c>
      <c r="G189" s="16"/>
      <c r="H189" s="38">
        <v>184</v>
      </c>
      <c r="I189" s="39" t="str">
        <f t="shared" si="14"/>
        <v/>
      </c>
      <c r="J189" s="38">
        <f t="shared" si="19"/>
        <v>-6</v>
      </c>
      <c r="K189" s="38">
        <f t="shared" si="15"/>
        <v>-60</v>
      </c>
      <c r="L189" s="38"/>
      <c r="M189" s="40">
        <f t="shared" si="16"/>
        <v>0</v>
      </c>
      <c r="N189" s="40">
        <f t="shared" si="17"/>
        <v>0</v>
      </c>
    </row>
    <row r="190" spans="1:14" x14ac:dyDescent="0.25">
      <c r="A190" s="59">
        <f t="shared" si="18"/>
        <v>0</v>
      </c>
      <c r="G190" s="16"/>
      <c r="H190" s="38">
        <v>185</v>
      </c>
      <c r="I190" s="39" t="str">
        <f t="shared" si="14"/>
        <v/>
      </c>
      <c r="J190" s="38">
        <f t="shared" si="19"/>
        <v>-6</v>
      </c>
      <c r="K190" s="38">
        <f t="shared" si="15"/>
        <v>-60</v>
      </c>
      <c r="L190" s="38"/>
      <c r="M190" s="40">
        <f t="shared" si="16"/>
        <v>0</v>
      </c>
      <c r="N190" s="40">
        <f t="shared" si="17"/>
        <v>0</v>
      </c>
    </row>
    <row r="191" spans="1:14" x14ac:dyDescent="0.25">
      <c r="A191" s="59">
        <f t="shared" si="18"/>
        <v>0</v>
      </c>
      <c r="G191" s="16"/>
      <c r="H191" s="38">
        <v>186</v>
      </c>
      <c r="I191" s="39" t="str">
        <f t="shared" si="14"/>
        <v/>
      </c>
      <c r="J191" s="38">
        <f t="shared" si="19"/>
        <v>-6</v>
      </c>
      <c r="K191" s="38">
        <f t="shared" si="15"/>
        <v>-60</v>
      </c>
      <c r="L191" s="38"/>
      <c r="M191" s="40">
        <f t="shared" si="16"/>
        <v>0</v>
      </c>
      <c r="N191" s="40">
        <f t="shared" si="17"/>
        <v>0</v>
      </c>
    </row>
    <row r="192" spans="1:14" x14ac:dyDescent="0.25">
      <c r="A192" s="59">
        <f t="shared" si="18"/>
        <v>0</v>
      </c>
      <c r="G192" s="16"/>
      <c r="H192" s="38">
        <v>187</v>
      </c>
      <c r="I192" s="39" t="str">
        <f t="shared" si="14"/>
        <v/>
      </c>
      <c r="J192" s="38">
        <f t="shared" si="19"/>
        <v>-6</v>
      </c>
      <c r="K192" s="38">
        <f t="shared" si="15"/>
        <v>-60</v>
      </c>
      <c r="L192" s="38"/>
      <c r="M192" s="40">
        <f t="shared" si="16"/>
        <v>0</v>
      </c>
      <c r="N192" s="40">
        <f t="shared" si="17"/>
        <v>0</v>
      </c>
    </row>
    <row r="193" spans="1:14" x14ac:dyDescent="0.25">
      <c r="A193" s="59">
        <f t="shared" si="18"/>
        <v>0</v>
      </c>
      <c r="G193" s="16"/>
      <c r="H193" s="38">
        <v>188</v>
      </c>
      <c r="I193" s="39" t="str">
        <f t="shared" si="14"/>
        <v/>
      </c>
      <c r="J193" s="38">
        <f t="shared" si="19"/>
        <v>-6</v>
      </c>
      <c r="K193" s="38">
        <f t="shared" si="15"/>
        <v>-60</v>
      </c>
      <c r="L193" s="38"/>
      <c r="M193" s="40">
        <f t="shared" si="16"/>
        <v>0</v>
      </c>
      <c r="N193" s="40">
        <f t="shared" si="17"/>
        <v>0</v>
      </c>
    </row>
    <row r="194" spans="1:14" x14ac:dyDescent="0.25">
      <c r="A194" s="59">
        <f t="shared" si="18"/>
        <v>0</v>
      </c>
      <c r="G194" s="16"/>
      <c r="H194" s="38">
        <v>189</v>
      </c>
      <c r="I194" s="39" t="str">
        <f t="shared" si="14"/>
        <v/>
      </c>
      <c r="J194" s="38">
        <f t="shared" si="19"/>
        <v>-6</v>
      </c>
      <c r="K194" s="38">
        <f t="shared" si="15"/>
        <v>-60</v>
      </c>
      <c r="L194" s="38"/>
      <c r="M194" s="40">
        <f t="shared" si="16"/>
        <v>0</v>
      </c>
      <c r="N194" s="40">
        <f t="shared" si="17"/>
        <v>0</v>
      </c>
    </row>
    <row r="195" spans="1:14" x14ac:dyDescent="0.25">
      <c r="A195" s="59">
        <f t="shared" si="18"/>
        <v>0</v>
      </c>
      <c r="G195" s="16"/>
      <c r="H195" s="38">
        <v>190</v>
      </c>
      <c r="I195" s="39" t="str">
        <f t="shared" si="14"/>
        <v/>
      </c>
      <c r="J195" s="38">
        <f t="shared" si="19"/>
        <v>-6</v>
      </c>
      <c r="K195" s="38">
        <f t="shared" si="15"/>
        <v>-60</v>
      </c>
      <c r="L195" s="38"/>
      <c r="M195" s="40">
        <f t="shared" si="16"/>
        <v>0</v>
      </c>
      <c r="N195" s="40">
        <f t="shared" si="17"/>
        <v>0</v>
      </c>
    </row>
    <row r="196" spans="1:14" x14ac:dyDescent="0.25">
      <c r="A196" s="59">
        <f t="shared" si="18"/>
        <v>0</v>
      </c>
      <c r="G196" s="16"/>
      <c r="H196" s="38">
        <v>191</v>
      </c>
      <c r="I196" s="39" t="str">
        <f t="shared" si="14"/>
        <v/>
      </c>
      <c r="J196" s="38">
        <f t="shared" si="19"/>
        <v>-6</v>
      </c>
      <c r="K196" s="38">
        <f t="shared" si="15"/>
        <v>-60</v>
      </c>
      <c r="L196" s="38"/>
      <c r="M196" s="40">
        <f t="shared" si="16"/>
        <v>0</v>
      </c>
      <c r="N196" s="40">
        <f t="shared" si="17"/>
        <v>0</v>
      </c>
    </row>
    <row r="197" spans="1:14" x14ac:dyDescent="0.25">
      <c r="A197" s="59">
        <f t="shared" si="18"/>
        <v>0</v>
      </c>
      <c r="G197" s="16"/>
      <c r="H197" s="38">
        <v>192</v>
      </c>
      <c r="I197" s="39" t="str">
        <f t="shared" si="14"/>
        <v/>
      </c>
      <c r="J197" s="38">
        <f t="shared" si="19"/>
        <v>-6</v>
      </c>
      <c r="K197" s="38">
        <f t="shared" si="15"/>
        <v>-60</v>
      </c>
      <c r="L197" s="38"/>
      <c r="M197" s="40">
        <f t="shared" si="16"/>
        <v>0</v>
      </c>
      <c r="N197" s="40">
        <f t="shared" si="17"/>
        <v>0</v>
      </c>
    </row>
    <row r="198" spans="1:14" x14ac:dyDescent="0.25">
      <c r="A198" s="59">
        <f t="shared" si="18"/>
        <v>0</v>
      </c>
      <c r="G198" s="16"/>
      <c r="H198" s="38">
        <v>193</v>
      </c>
      <c r="I198" s="39" t="str">
        <f t="shared" ref="I198:I261" si="20">IF(H198&lt;$H$2+1,($I$2-($I$2-1)*(LOG(H198)/LOG($H$2))),"")</f>
        <v/>
      </c>
      <c r="J198" s="38">
        <f t="shared" si="19"/>
        <v>-6</v>
      </c>
      <c r="K198" s="38">
        <f t="shared" ref="K198:K261" si="21">J198*$J$2</f>
        <v>-60</v>
      </c>
      <c r="L198" s="38"/>
      <c r="M198" s="40">
        <f t="shared" ref="M198:M261" si="22">IF(I198&lt;&gt;"",K198+I198+L198,0)</f>
        <v>0</v>
      </c>
      <c r="N198" s="40">
        <f t="shared" ref="N198:N261" si="23">IF(I198&lt;&gt;"",M198*L$2,0)</f>
        <v>0</v>
      </c>
    </row>
    <row r="199" spans="1:14" x14ac:dyDescent="0.25">
      <c r="A199" s="59">
        <f t="shared" ref="A199:A262" si="24">N199</f>
        <v>0</v>
      </c>
      <c r="G199" s="16"/>
      <c r="H199" s="38">
        <v>194</v>
      </c>
      <c r="I199" s="39" t="str">
        <f t="shared" si="20"/>
        <v/>
      </c>
      <c r="J199" s="38">
        <f t="shared" ref="J199:J262" si="25">INT(LOG($H$2,2))-ROUNDUP(LOG(H199,2),0)+IF(OR($H$2=1,$H$2=2,$H$2=4,$H$2=8,$H$2=16,$H$2=32,$H$2=64,$H$2=128,$H$2=256),0,1)</f>
        <v>-6</v>
      </c>
      <c r="K199" s="38">
        <f t="shared" si="21"/>
        <v>-60</v>
      </c>
      <c r="L199" s="38"/>
      <c r="M199" s="40">
        <f t="shared" si="22"/>
        <v>0</v>
      </c>
      <c r="N199" s="40">
        <f t="shared" si="23"/>
        <v>0</v>
      </c>
    </row>
    <row r="200" spans="1:14" x14ac:dyDescent="0.25">
      <c r="A200" s="59">
        <f t="shared" si="24"/>
        <v>0</v>
      </c>
      <c r="G200" s="16"/>
      <c r="H200" s="38">
        <v>195</v>
      </c>
      <c r="I200" s="39" t="str">
        <f t="shared" si="20"/>
        <v/>
      </c>
      <c r="J200" s="38">
        <f t="shared" si="25"/>
        <v>-6</v>
      </c>
      <c r="K200" s="38">
        <f t="shared" si="21"/>
        <v>-60</v>
      </c>
      <c r="L200" s="38"/>
      <c r="M200" s="40">
        <f t="shared" si="22"/>
        <v>0</v>
      </c>
      <c r="N200" s="40">
        <f t="shared" si="23"/>
        <v>0</v>
      </c>
    </row>
    <row r="201" spans="1:14" x14ac:dyDescent="0.25">
      <c r="A201" s="59">
        <f t="shared" si="24"/>
        <v>0</v>
      </c>
      <c r="G201" s="16"/>
      <c r="H201" s="38">
        <v>196</v>
      </c>
      <c r="I201" s="39" t="str">
        <f t="shared" si="20"/>
        <v/>
      </c>
      <c r="J201" s="38">
        <f t="shared" si="25"/>
        <v>-6</v>
      </c>
      <c r="K201" s="38">
        <f t="shared" si="21"/>
        <v>-60</v>
      </c>
      <c r="L201" s="38"/>
      <c r="M201" s="40">
        <f t="shared" si="22"/>
        <v>0</v>
      </c>
      <c r="N201" s="40">
        <f t="shared" si="23"/>
        <v>0</v>
      </c>
    </row>
    <row r="202" spans="1:14" x14ac:dyDescent="0.25">
      <c r="A202" s="59">
        <f t="shared" si="24"/>
        <v>0</v>
      </c>
      <c r="G202" s="16"/>
      <c r="H202" s="38">
        <v>197</v>
      </c>
      <c r="I202" s="39" t="str">
        <f t="shared" si="20"/>
        <v/>
      </c>
      <c r="J202" s="38">
        <f t="shared" si="25"/>
        <v>-6</v>
      </c>
      <c r="K202" s="38">
        <f t="shared" si="21"/>
        <v>-60</v>
      </c>
      <c r="L202" s="38"/>
      <c r="M202" s="40">
        <f t="shared" si="22"/>
        <v>0</v>
      </c>
      <c r="N202" s="40">
        <f t="shared" si="23"/>
        <v>0</v>
      </c>
    </row>
    <row r="203" spans="1:14" x14ac:dyDescent="0.25">
      <c r="A203" s="59">
        <f t="shared" si="24"/>
        <v>0</v>
      </c>
      <c r="G203" s="16"/>
      <c r="H203" s="38">
        <v>198</v>
      </c>
      <c r="I203" s="39" t="str">
        <f t="shared" si="20"/>
        <v/>
      </c>
      <c r="J203" s="38">
        <f t="shared" si="25"/>
        <v>-6</v>
      </c>
      <c r="K203" s="38">
        <f t="shared" si="21"/>
        <v>-60</v>
      </c>
      <c r="L203" s="38"/>
      <c r="M203" s="40">
        <f t="shared" si="22"/>
        <v>0</v>
      </c>
      <c r="N203" s="40">
        <f t="shared" si="23"/>
        <v>0</v>
      </c>
    </row>
    <row r="204" spans="1:14" x14ac:dyDescent="0.25">
      <c r="A204" s="59">
        <f t="shared" si="24"/>
        <v>0</v>
      </c>
      <c r="G204" s="16"/>
      <c r="H204" s="38">
        <v>199</v>
      </c>
      <c r="I204" s="39" t="str">
        <f t="shared" si="20"/>
        <v/>
      </c>
      <c r="J204" s="38">
        <f t="shared" si="25"/>
        <v>-6</v>
      </c>
      <c r="K204" s="38">
        <f t="shared" si="21"/>
        <v>-60</v>
      </c>
      <c r="L204" s="38"/>
      <c r="M204" s="40">
        <f t="shared" si="22"/>
        <v>0</v>
      </c>
      <c r="N204" s="40">
        <f t="shared" si="23"/>
        <v>0</v>
      </c>
    </row>
    <row r="205" spans="1:14" x14ac:dyDescent="0.25">
      <c r="A205" s="59">
        <f t="shared" si="24"/>
        <v>0</v>
      </c>
      <c r="G205" s="16"/>
      <c r="H205" s="38">
        <v>200</v>
      </c>
      <c r="I205" s="39" t="str">
        <f t="shared" si="20"/>
        <v/>
      </c>
      <c r="J205" s="38">
        <f t="shared" si="25"/>
        <v>-6</v>
      </c>
      <c r="K205" s="38">
        <f t="shared" si="21"/>
        <v>-60</v>
      </c>
      <c r="L205" s="38"/>
      <c r="M205" s="40">
        <f t="shared" si="22"/>
        <v>0</v>
      </c>
      <c r="N205" s="40">
        <f t="shared" si="23"/>
        <v>0</v>
      </c>
    </row>
    <row r="206" spans="1:14" x14ac:dyDescent="0.25">
      <c r="A206" s="59">
        <f t="shared" si="24"/>
        <v>0</v>
      </c>
      <c r="G206" s="16"/>
      <c r="H206" s="38">
        <v>201</v>
      </c>
      <c r="I206" s="39" t="str">
        <f t="shared" si="20"/>
        <v/>
      </c>
      <c r="J206" s="38">
        <f t="shared" si="25"/>
        <v>-6</v>
      </c>
      <c r="K206" s="38">
        <f t="shared" si="21"/>
        <v>-60</v>
      </c>
      <c r="L206" s="38"/>
      <c r="M206" s="40">
        <f t="shared" si="22"/>
        <v>0</v>
      </c>
      <c r="N206" s="40">
        <f t="shared" si="23"/>
        <v>0</v>
      </c>
    </row>
    <row r="207" spans="1:14" x14ac:dyDescent="0.25">
      <c r="A207" s="59">
        <f t="shared" si="24"/>
        <v>0</v>
      </c>
      <c r="G207" s="16"/>
      <c r="H207" s="38">
        <v>202</v>
      </c>
      <c r="I207" s="39" t="str">
        <f t="shared" si="20"/>
        <v/>
      </c>
      <c r="J207" s="38">
        <f t="shared" si="25"/>
        <v>-6</v>
      </c>
      <c r="K207" s="38">
        <f t="shared" si="21"/>
        <v>-60</v>
      </c>
      <c r="L207" s="38"/>
      <c r="M207" s="40">
        <f t="shared" si="22"/>
        <v>0</v>
      </c>
      <c r="N207" s="40">
        <f t="shared" si="23"/>
        <v>0</v>
      </c>
    </row>
    <row r="208" spans="1:14" x14ac:dyDescent="0.25">
      <c r="A208" s="59">
        <f t="shared" si="24"/>
        <v>0</v>
      </c>
      <c r="G208" s="16"/>
      <c r="H208" s="38">
        <v>203</v>
      </c>
      <c r="I208" s="39" t="str">
        <f t="shared" si="20"/>
        <v/>
      </c>
      <c r="J208" s="38">
        <f t="shared" si="25"/>
        <v>-6</v>
      </c>
      <c r="K208" s="38">
        <f t="shared" si="21"/>
        <v>-60</v>
      </c>
      <c r="L208" s="38"/>
      <c r="M208" s="40">
        <f t="shared" si="22"/>
        <v>0</v>
      </c>
      <c r="N208" s="40">
        <f t="shared" si="23"/>
        <v>0</v>
      </c>
    </row>
    <row r="209" spans="1:14" x14ac:dyDescent="0.25">
      <c r="A209" s="59">
        <f t="shared" si="24"/>
        <v>0</v>
      </c>
      <c r="G209" s="16"/>
      <c r="H209" s="38">
        <v>204</v>
      </c>
      <c r="I209" s="39" t="str">
        <f t="shared" si="20"/>
        <v/>
      </c>
      <c r="J209" s="38">
        <f t="shared" si="25"/>
        <v>-6</v>
      </c>
      <c r="K209" s="38">
        <f t="shared" si="21"/>
        <v>-60</v>
      </c>
      <c r="L209" s="38"/>
      <c r="M209" s="40">
        <f t="shared" si="22"/>
        <v>0</v>
      </c>
      <c r="N209" s="40">
        <f t="shared" si="23"/>
        <v>0</v>
      </c>
    </row>
    <row r="210" spans="1:14" x14ac:dyDescent="0.25">
      <c r="A210" s="59">
        <f t="shared" si="24"/>
        <v>0</v>
      </c>
      <c r="G210" s="16"/>
      <c r="H210" s="38">
        <v>205</v>
      </c>
      <c r="I210" s="39" t="str">
        <f t="shared" si="20"/>
        <v/>
      </c>
      <c r="J210" s="38">
        <f t="shared" si="25"/>
        <v>-6</v>
      </c>
      <c r="K210" s="38">
        <f t="shared" si="21"/>
        <v>-60</v>
      </c>
      <c r="L210" s="38"/>
      <c r="M210" s="40">
        <f t="shared" si="22"/>
        <v>0</v>
      </c>
      <c r="N210" s="40">
        <f t="shared" si="23"/>
        <v>0</v>
      </c>
    </row>
    <row r="211" spans="1:14" x14ac:dyDescent="0.25">
      <c r="A211" s="59">
        <f t="shared" si="24"/>
        <v>0</v>
      </c>
      <c r="G211" s="16"/>
      <c r="H211" s="38">
        <v>206</v>
      </c>
      <c r="I211" s="39" t="str">
        <f t="shared" si="20"/>
        <v/>
      </c>
      <c r="J211" s="38">
        <f t="shared" si="25"/>
        <v>-6</v>
      </c>
      <c r="K211" s="38">
        <f t="shared" si="21"/>
        <v>-60</v>
      </c>
      <c r="L211" s="38"/>
      <c r="M211" s="40">
        <f t="shared" si="22"/>
        <v>0</v>
      </c>
      <c r="N211" s="40">
        <f t="shared" si="23"/>
        <v>0</v>
      </c>
    </row>
    <row r="212" spans="1:14" x14ac:dyDescent="0.25">
      <c r="A212" s="59">
        <f t="shared" si="24"/>
        <v>0</v>
      </c>
      <c r="G212" s="16"/>
      <c r="H212" s="38">
        <v>207</v>
      </c>
      <c r="I212" s="39" t="str">
        <f t="shared" si="20"/>
        <v/>
      </c>
      <c r="J212" s="38">
        <f t="shared" si="25"/>
        <v>-6</v>
      </c>
      <c r="K212" s="38">
        <f t="shared" si="21"/>
        <v>-60</v>
      </c>
      <c r="L212" s="38"/>
      <c r="M212" s="40">
        <f t="shared" si="22"/>
        <v>0</v>
      </c>
      <c r="N212" s="40">
        <f t="shared" si="23"/>
        <v>0</v>
      </c>
    </row>
    <row r="213" spans="1:14" x14ac:dyDescent="0.25">
      <c r="A213" s="59">
        <f t="shared" si="24"/>
        <v>0</v>
      </c>
      <c r="G213" s="16"/>
      <c r="H213" s="38">
        <v>208</v>
      </c>
      <c r="I213" s="39" t="str">
        <f t="shared" si="20"/>
        <v/>
      </c>
      <c r="J213" s="38">
        <f t="shared" si="25"/>
        <v>-6</v>
      </c>
      <c r="K213" s="38">
        <f t="shared" si="21"/>
        <v>-60</v>
      </c>
      <c r="L213" s="38"/>
      <c r="M213" s="40">
        <f t="shared" si="22"/>
        <v>0</v>
      </c>
      <c r="N213" s="40">
        <f t="shared" si="23"/>
        <v>0</v>
      </c>
    </row>
    <row r="214" spans="1:14" x14ac:dyDescent="0.25">
      <c r="A214" s="59">
        <f t="shared" si="24"/>
        <v>0</v>
      </c>
      <c r="G214" s="16"/>
      <c r="H214" s="38">
        <v>209</v>
      </c>
      <c r="I214" s="39" t="str">
        <f t="shared" si="20"/>
        <v/>
      </c>
      <c r="J214" s="38">
        <f t="shared" si="25"/>
        <v>-6</v>
      </c>
      <c r="K214" s="38">
        <f t="shared" si="21"/>
        <v>-60</v>
      </c>
      <c r="L214" s="38"/>
      <c r="M214" s="40">
        <f t="shared" si="22"/>
        <v>0</v>
      </c>
      <c r="N214" s="40">
        <f t="shared" si="23"/>
        <v>0</v>
      </c>
    </row>
    <row r="215" spans="1:14" x14ac:dyDescent="0.25">
      <c r="A215" s="59">
        <f t="shared" si="24"/>
        <v>0</v>
      </c>
      <c r="G215" s="16"/>
      <c r="H215" s="38">
        <v>210</v>
      </c>
      <c r="I215" s="39" t="str">
        <f t="shared" si="20"/>
        <v/>
      </c>
      <c r="J215" s="38">
        <f t="shared" si="25"/>
        <v>-6</v>
      </c>
      <c r="K215" s="38">
        <f t="shared" si="21"/>
        <v>-60</v>
      </c>
      <c r="L215" s="38"/>
      <c r="M215" s="40">
        <f t="shared" si="22"/>
        <v>0</v>
      </c>
      <c r="N215" s="40">
        <f t="shared" si="23"/>
        <v>0</v>
      </c>
    </row>
    <row r="216" spans="1:14" x14ac:dyDescent="0.25">
      <c r="A216" s="59">
        <f t="shared" si="24"/>
        <v>0</v>
      </c>
      <c r="G216" s="16"/>
      <c r="H216" s="38">
        <v>211</v>
      </c>
      <c r="I216" s="39" t="str">
        <f t="shared" si="20"/>
        <v/>
      </c>
      <c r="J216" s="38">
        <f t="shared" si="25"/>
        <v>-6</v>
      </c>
      <c r="K216" s="38">
        <f t="shared" si="21"/>
        <v>-60</v>
      </c>
      <c r="L216" s="38"/>
      <c r="M216" s="40">
        <f t="shared" si="22"/>
        <v>0</v>
      </c>
      <c r="N216" s="40">
        <f t="shared" si="23"/>
        <v>0</v>
      </c>
    </row>
    <row r="217" spans="1:14" x14ac:dyDescent="0.25">
      <c r="A217" s="59">
        <f t="shared" si="24"/>
        <v>0</v>
      </c>
      <c r="G217" s="16"/>
      <c r="H217" s="38">
        <v>212</v>
      </c>
      <c r="I217" s="39" t="str">
        <f t="shared" si="20"/>
        <v/>
      </c>
      <c r="J217" s="38">
        <f t="shared" si="25"/>
        <v>-6</v>
      </c>
      <c r="K217" s="38">
        <f t="shared" si="21"/>
        <v>-60</v>
      </c>
      <c r="L217" s="38"/>
      <c r="M217" s="40">
        <f t="shared" si="22"/>
        <v>0</v>
      </c>
      <c r="N217" s="40">
        <f t="shared" si="23"/>
        <v>0</v>
      </c>
    </row>
    <row r="218" spans="1:14" x14ac:dyDescent="0.25">
      <c r="A218" s="59">
        <f t="shared" si="24"/>
        <v>0</v>
      </c>
      <c r="G218" s="16"/>
      <c r="H218" s="38">
        <v>213</v>
      </c>
      <c r="I218" s="39" t="str">
        <f t="shared" si="20"/>
        <v/>
      </c>
      <c r="J218" s="38">
        <f t="shared" si="25"/>
        <v>-6</v>
      </c>
      <c r="K218" s="38">
        <f t="shared" si="21"/>
        <v>-60</v>
      </c>
      <c r="L218" s="38"/>
      <c r="M218" s="40">
        <f t="shared" si="22"/>
        <v>0</v>
      </c>
      <c r="N218" s="40">
        <f t="shared" si="23"/>
        <v>0</v>
      </c>
    </row>
    <row r="219" spans="1:14" x14ac:dyDescent="0.25">
      <c r="A219" s="59">
        <f t="shared" si="24"/>
        <v>0</v>
      </c>
      <c r="G219" s="16"/>
      <c r="H219" s="38">
        <v>214</v>
      </c>
      <c r="I219" s="39" t="str">
        <f t="shared" si="20"/>
        <v/>
      </c>
      <c r="J219" s="38">
        <f t="shared" si="25"/>
        <v>-6</v>
      </c>
      <c r="K219" s="38">
        <f t="shared" si="21"/>
        <v>-60</v>
      </c>
      <c r="L219" s="38"/>
      <c r="M219" s="40">
        <f t="shared" si="22"/>
        <v>0</v>
      </c>
      <c r="N219" s="40">
        <f t="shared" si="23"/>
        <v>0</v>
      </c>
    </row>
    <row r="220" spans="1:14" x14ac:dyDescent="0.25">
      <c r="A220" s="59">
        <f t="shared" si="24"/>
        <v>0</v>
      </c>
      <c r="G220" s="16"/>
      <c r="H220" s="38">
        <v>215</v>
      </c>
      <c r="I220" s="39" t="str">
        <f t="shared" si="20"/>
        <v/>
      </c>
      <c r="J220" s="38">
        <f t="shared" si="25"/>
        <v>-6</v>
      </c>
      <c r="K220" s="38">
        <f t="shared" si="21"/>
        <v>-60</v>
      </c>
      <c r="L220" s="38"/>
      <c r="M220" s="40">
        <f t="shared" si="22"/>
        <v>0</v>
      </c>
      <c r="N220" s="40">
        <f t="shared" si="23"/>
        <v>0</v>
      </c>
    </row>
    <row r="221" spans="1:14" x14ac:dyDescent="0.25">
      <c r="A221" s="59">
        <f t="shared" si="24"/>
        <v>0</v>
      </c>
      <c r="G221" s="16"/>
      <c r="H221" s="38">
        <v>216</v>
      </c>
      <c r="I221" s="39" t="str">
        <f t="shared" si="20"/>
        <v/>
      </c>
      <c r="J221" s="38">
        <f t="shared" si="25"/>
        <v>-6</v>
      </c>
      <c r="K221" s="38">
        <f t="shared" si="21"/>
        <v>-60</v>
      </c>
      <c r="L221" s="38"/>
      <c r="M221" s="40">
        <f t="shared" si="22"/>
        <v>0</v>
      </c>
      <c r="N221" s="40">
        <f t="shared" si="23"/>
        <v>0</v>
      </c>
    </row>
    <row r="222" spans="1:14" x14ac:dyDescent="0.25">
      <c r="A222" s="59">
        <f t="shared" si="24"/>
        <v>0</v>
      </c>
      <c r="G222" s="16"/>
      <c r="H222" s="38">
        <v>217</v>
      </c>
      <c r="I222" s="39" t="str">
        <f t="shared" si="20"/>
        <v/>
      </c>
      <c r="J222" s="38">
        <f t="shared" si="25"/>
        <v>-6</v>
      </c>
      <c r="K222" s="38">
        <f t="shared" si="21"/>
        <v>-60</v>
      </c>
      <c r="L222" s="38"/>
      <c r="M222" s="40">
        <f t="shared" si="22"/>
        <v>0</v>
      </c>
      <c r="N222" s="40">
        <f t="shared" si="23"/>
        <v>0</v>
      </c>
    </row>
    <row r="223" spans="1:14" x14ac:dyDescent="0.25">
      <c r="A223" s="59">
        <f t="shared" si="24"/>
        <v>0</v>
      </c>
      <c r="G223" s="16"/>
      <c r="H223" s="38">
        <v>218</v>
      </c>
      <c r="I223" s="39" t="str">
        <f t="shared" si="20"/>
        <v/>
      </c>
      <c r="J223" s="38">
        <f t="shared" si="25"/>
        <v>-6</v>
      </c>
      <c r="K223" s="38">
        <f t="shared" si="21"/>
        <v>-60</v>
      </c>
      <c r="L223" s="38"/>
      <c r="M223" s="40">
        <f t="shared" si="22"/>
        <v>0</v>
      </c>
      <c r="N223" s="40">
        <f t="shared" si="23"/>
        <v>0</v>
      </c>
    </row>
    <row r="224" spans="1:14" x14ac:dyDescent="0.25">
      <c r="A224" s="59">
        <f t="shared" si="24"/>
        <v>0</v>
      </c>
      <c r="G224" s="16"/>
      <c r="H224" s="38">
        <v>219</v>
      </c>
      <c r="I224" s="39" t="str">
        <f t="shared" si="20"/>
        <v/>
      </c>
      <c r="J224" s="38">
        <f t="shared" si="25"/>
        <v>-6</v>
      </c>
      <c r="K224" s="38">
        <f t="shared" si="21"/>
        <v>-60</v>
      </c>
      <c r="L224" s="38"/>
      <c r="M224" s="40">
        <f t="shared" si="22"/>
        <v>0</v>
      </c>
      <c r="N224" s="40">
        <f t="shared" si="23"/>
        <v>0</v>
      </c>
    </row>
    <row r="225" spans="1:14" x14ac:dyDescent="0.25">
      <c r="A225" s="59">
        <f t="shared" si="24"/>
        <v>0</v>
      </c>
      <c r="G225" s="16"/>
      <c r="H225" s="38">
        <v>220</v>
      </c>
      <c r="I225" s="39" t="str">
        <f t="shared" si="20"/>
        <v/>
      </c>
      <c r="J225" s="38">
        <f t="shared" si="25"/>
        <v>-6</v>
      </c>
      <c r="K225" s="38">
        <f t="shared" si="21"/>
        <v>-60</v>
      </c>
      <c r="L225" s="38"/>
      <c r="M225" s="40">
        <f t="shared" si="22"/>
        <v>0</v>
      </c>
      <c r="N225" s="40">
        <f t="shared" si="23"/>
        <v>0</v>
      </c>
    </row>
    <row r="226" spans="1:14" x14ac:dyDescent="0.25">
      <c r="A226" s="59">
        <f t="shared" si="24"/>
        <v>0</v>
      </c>
      <c r="G226" s="16"/>
      <c r="H226" s="38">
        <v>221</v>
      </c>
      <c r="I226" s="39" t="str">
        <f t="shared" si="20"/>
        <v/>
      </c>
      <c r="J226" s="38">
        <f t="shared" si="25"/>
        <v>-6</v>
      </c>
      <c r="K226" s="38">
        <f t="shared" si="21"/>
        <v>-60</v>
      </c>
      <c r="L226" s="38"/>
      <c r="M226" s="40">
        <f t="shared" si="22"/>
        <v>0</v>
      </c>
      <c r="N226" s="40">
        <f t="shared" si="23"/>
        <v>0</v>
      </c>
    </row>
    <row r="227" spans="1:14" x14ac:dyDescent="0.25">
      <c r="A227" s="59">
        <f t="shared" si="24"/>
        <v>0</v>
      </c>
      <c r="G227" s="16"/>
      <c r="H227" s="38">
        <v>222</v>
      </c>
      <c r="I227" s="39" t="str">
        <f t="shared" si="20"/>
        <v/>
      </c>
      <c r="J227" s="38">
        <f t="shared" si="25"/>
        <v>-6</v>
      </c>
      <c r="K227" s="38">
        <f t="shared" si="21"/>
        <v>-60</v>
      </c>
      <c r="L227" s="38"/>
      <c r="M227" s="40">
        <f t="shared" si="22"/>
        <v>0</v>
      </c>
      <c r="N227" s="40">
        <f t="shared" si="23"/>
        <v>0</v>
      </c>
    </row>
    <row r="228" spans="1:14" x14ac:dyDescent="0.25">
      <c r="A228" s="59">
        <f t="shared" si="24"/>
        <v>0</v>
      </c>
      <c r="G228" s="16"/>
      <c r="H228" s="38">
        <v>223</v>
      </c>
      <c r="I228" s="39" t="str">
        <f t="shared" si="20"/>
        <v/>
      </c>
      <c r="J228" s="38">
        <f t="shared" si="25"/>
        <v>-6</v>
      </c>
      <c r="K228" s="38">
        <f t="shared" si="21"/>
        <v>-60</v>
      </c>
      <c r="L228" s="38"/>
      <c r="M228" s="40">
        <f t="shared" si="22"/>
        <v>0</v>
      </c>
      <c r="N228" s="40">
        <f t="shared" si="23"/>
        <v>0</v>
      </c>
    </row>
    <row r="229" spans="1:14" x14ac:dyDescent="0.25">
      <c r="A229" s="59">
        <f t="shared" si="24"/>
        <v>0</v>
      </c>
      <c r="G229" s="16"/>
      <c r="H229" s="38">
        <v>224</v>
      </c>
      <c r="I229" s="39" t="str">
        <f t="shared" si="20"/>
        <v/>
      </c>
      <c r="J229" s="38">
        <f t="shared" si="25"/>
        <v>-6</v>
      </c>
      <c r="K229" s="38">
        <f t="shared" si="21"/>
        <v>-60</v>
      </c>
      <c r="L229" s="38"/>
      <c r="M229" s="40">
        <f t="shared" si="22"/>
        <v>0</v>
      </c>
      <c r="N229" s="40">
        <f t="shared" si="23"/>
        <v>0</v>
      </c>
    </row>
    <row r="230" spans="1:14" x14ac:dyDescent="0.25">
      <c r="A230" s="59">
        <f t="shared" si="24"/>
        <v>0</v>
      </c>
      <c r="G230" s="16"/>
      <c r="H230" s="38">
        <v>225</v>
      </c>
      <c r="I230" s="39" t="str">
        <f t="shared" si="20"/>
        <v/>
      </c>
      <c r="J230" s="38">
        <f t="shared" si="25"/>
        <v>-6</v>
      </c>
      <c r="K230" s="38">
        <f t="shared" si="21"/>
        <v>-60</v>
      </c>
      <c r="L230" s="38"/>
      <c r="M230" s="40">
        <f t="shared" si="22"/>
        <v>0</v>
      </c>
      <c r="N230" s="40">
        <f t="shared" si="23"/>
        <v>0</v>
      </c>
    </row>
    <row r="231" spans="1:14" x14ac:dyDescent="0.25">
      <c r="A231" s="59">
        <f t="shared" si="24"/>
        <v>0</v>
      </c>
      <c r="G231" s="16"/>
      <c r="H231" s="38">
        <v>226</v>
      </c>
      <c r="I231" s="39" t="str">
        <f t="shared" si="20"/>
        <v/>
      </c>
      <c r="J231" s="38">
        <f t="shared" si="25"/>
        <v>-6</v>
      </c>
      <c r="K231" s="38">
        <f t="shared" si="21"/>
        <v>-60</v>
      </c>
      <c r="L231" s="38"/>
      <c r="M231" s="40">
        <f t="shared" si="22"/>
        <v>0</v>
      </c>
      <c r="N231" s="40">
        <f t="shared" si="23"/>
        <v>0</v>
      </c>
    </row>
    <row r="232" spans="1:14" x14ac:dyDescent="0.25">
      <c r="A232" s="59">
        <f t="shared" si="24"/>
        <v>0</v>
      </c>
      <c r="G232" s="16"/>
      <c r="H232" s="38">
        <v>227</v>
      </c>
      <c r="I232" s="39" t="str">
        <f t="shared" si="20"/>
        <v/>
      </c>
      <c r="J232" s="38">
        <f t="shared" si="25"/>
        <v>-6</v>
      </c>
      <c r="K232" s="38">
        <f t="shared" si="21"/>
        <v>-60</v>
      </c>
      <c r="L232" s="38"/>
      <c r="M232" s="40">
        <f t="shared" si="22"/>
        <v>0</v>
      </c>
      <c r="N232" s="40">
        <f t="shared" si="23"/>
        <v>0</v>
      </c>
    </row>
    <row r="233" spans="1:14" x14ac:dyDescent="0.25">
      <c r="A233" s="59">
        <f t="shared" si="24"/>
        <v>0</v>
      </c>
      <c r="G233" s="16"/>
      <c r="H233" s="38">
        <v>228</v>
      </c>
      <c r="I233" s="39" t="str">
        <f t="shared" si="20"/>
        <v/>
      </c>
      <c r="J233" s="38">
        <f t="shared" si="25"/>
        <v>-6</v>
      </c>
      <c r="K233" s="38">
        <f t="shared" si="21"/>
        <v>-60</v>
      </c>
      <c r="L233" s="38"/>
      <c r="M233" s="40">
        <f t="shared" si="22"/>
        <v>0</v>
      </c>
      <c r="N233" s="40">
        <f t="shared" si="23"/>
        <v>0</v>
      </c>
    </row>
    <row r="234" spans="1:14" x14ac:dyDescent="0.25">
      <c r="A234" s="59">
        <f t="shared" si="24"/>
        <v>0</v>
      </c>
      <c r="G234" s="16"/>
      <c r="H234" s="38">
        <v>229</v>
      </c>
      <c r="I234" s="39" t="str">
        <f t="shared" si="20"/>
        <v/>
      </c>
      <c r="J234" s="38">
        <f t="shared" si="25"/>
        <v>-6</v>
      </c>
      <c r="K234" s="38">
        <f t="shared" si="21"/>
        <v>-60</v>
      </c>
      <c r="L234" s="38"/>
      <c r="M234" s="40">
        <f t="shared" si="22"/>
        <v>0</v>
      </c>
      <c r="N234" s="40">
        <f t="shared" si="23"/>
        <v>0</v>
      </c>
    </row>
    <row r="235" spans="1:14" x14ac:dyDescent="0.25">
      <c r="A235" s="59">
        <f t="shared" si="24"/>
        <v>0</v>
      </c>
      <c r="G235" s="16"/>
      <c r="H235" s="38">
        <v>230</v>
      </c>
      <c r="I235" s="39" t="str">
        <f t="shared" si="20"/>
        <v/>
      </c>
      <c r="J235" s="38">
        <f t="shared" si="25"/>
        <v>-6</v>
      </c>
      <c r="K235" s="38">
        <f t="shared" si="21"/>
        <v>-60</v>
      </c>
      <c r="L235" s="38"/>
      <c r="M235" s="40">
        <f t="shared" si="22"/>
        <v>0</v>
      </c>
      <c r="N235" s="40">
        <f t="shared" si="23"/>
        <v>0</v>
      </c>
    </row>
    <row r="236" spans="1:14" x14ac:dyDescent="0.25">
      <c r="A236" s="59">
        <f t="shared" si="24"/>
        <v>0</v>
      </c>
      <c r="G236" s="16"/>
      <c r="H236" s="38">
        <v>231</v>
      </c>
      <c r="I236" s="39" t="str">
        <f t="shared" si="20"/>
        <v/>
      </c>
      <c r="J236" s="38">
        <f t="shared" si="25"/>
        <v>-6</v>
      </c>
      <c r="K236" s="38">
        <f t="shared" si="21"/>
        <v>-60</v>
      </c>
      <c r="L236" s="38"/>
      <c r="M236" s="40">
        <f t="shared" si="22"/>
        <v>0</v>
      </c>
      <c r="N236" s="40">
        <f t="shared" si="23"/>
        <v>0</v>
      </c>
    </row>
    <row r="237" spans="1:14" x14ac:dyDescent="0.25">
      <c r="A237" s="59">
        <f t="shared" si="24"/>
        <v>0</v>
      </c>
      <c r="G237" s="16"/>
      <c r="H237" s="38">
        <v>232</v>
      </c>
      <c r="I237" s="39" t="str">
        <f t="shared" si="20"/>
        <v/>
      </c>
      <c r="J237" s="38">
        <f t="shared" si="25"/>
        <v>-6</v>
      </c>
      <c r="K237" s="38">
        <f t="shared" si="21"/>
        <v>-60</v>
      </c>
      <c r="L237" s="38"/>
      <c r="M237" s="40">
        <f t="shared" si="22"/>
        <v>0</v>
      </c>
      <c r="N237" s="40">
        <f t="shared" si="23"/>
        <v>0</v>
      </c>
    </row>
    <row r="238" spans="1:14" x14ac:dyDescent="0.25">
      <c r="A238" s="59">
        <f t="shared" si="24"/>
        <v>0</v>
      </c>
      <c r="G238" s="16"/>
      <c r="H238" s="38">
        <v>233</v>
      </c>
      <c r="I238" s="39" t="str">
        <f t="shared" si="20"/>
        <v/>
      </c>
      <c r="J238" s="38">
        <f t="shared" si="25"/>
        <v>-6</v>
      </c>
      <c r="K238" s="38">
        <f t="shared" si="21"/>
        <v>-60</v>
      </c>
      <c r="L238" s="38"/>
      <c r="M238" s="40">
        <f t="shared" si="22"/>
        <v>0</v>
      </c>
      <c r="N238" s="40">
        <f t="shared" si="23"/>
        <v>0</v>
      </c>
    </row>
    <row r="239" spans="1:14" x14ac:dyDescent="0.25">
      <c r="A239" s="59">
        <f t="shared" si="24"/>
        <v>0</v>
      </c>
      <c r="G239" s="16"/>
      <c r="H239" s="38">
        <v>234</v>
      </c>
      <c r="I239" s="39" t="str">
        <f t="shared" si="20"/>
        <v/>
      </c>
      <c r="J239" s="38">
        <f t="shared" si="25"/>
        <v>-6</v>
      </c>
      <c r="K239" s="38">
        <f t="shared" si="21"/>
        <v>-60</v>
      </c>
      <c r="L239" s="38"/>
      <c r="M239" s="40">
        <f t="shared" si="22"/>
        <v>0</v>
      </c>
      <c r="N239" s="40">
        <f t="shared" si="23"/>
        <v>0</v>
      </c>
    </row>
    <row r="240" spans="1:14" x14ac:dyDescent="0.25">
      <c r="A240" s="59">
        <f t="shared" si="24"/>
        <v>0</v>
      </c>
      <c r="G240" s="16"/>
      <c r="H240" s="38">
        <v>235</v>
      </c>
      <c r="I240" s="39" t="str">
        <f t="shared" si="20"/>
        <v/>
      </c>
      <c r="J240" s="38">
        <f t="shared" si="25"/>
        <v>-6</v>
      </c>
      <c r="K240" s="38">
        <f t="shared" si="21"/>
        <v>-60</v>
      </c>
      <c r="L240" s="38"/>
      <c r="M240" s="40">
        <f t="shared" si="22"/>
        <v>0</v>
      </c>
      <c r="N240" s="40">
        <f t="shared" si="23"/>
        <v>0</v>
      </c>
    </row>
    <row r="241" spans="1:14" x14ac:dyDescent="0.25">
      <c r="A241" s="59">
        <f t="shared" si="24"/>
        <v>0</v>
      </c>
      <c r="G241" s="16"/>
      <c r="H241" s="38">
        <v>236</v>
      </c>
      <c r="I241" s="39" t="str">
        <f t="shared" si="20"/>
        <v/>
      </c>
      <c r="J241" s="38">
        <f t="shared" si="25"/>
        <v>-6</v>
      </c>
      <c r="K241" s="38">
        <f t="shared" si="21"/>
        <v>-60</v>
      </c>
      <c r="L241" s="38"/>
      <c r="M241" s="40">
        <f t="shared" si="22"/>
        <v>0</v>
      </c>
      <c r="N241" s="40">
        <f t="shared" si="23"/>
        <v>0</v>
      </c>
    </row>
    <row r="242" spans="1:14" x14ac:dyDescent="0.25">
      <c r="A242" s="59">
        <f t="shared" si="24"/>
        <v>0</v>
      </c>
      <c r="G242" s="16"/>
      <c r="H242" s="38">
        <v>237</v>
      </c>
      <c r="I242" s="39" t="str">
        <f t="shared" si="20"/>
        <v/>
      </c>
      <c r="J242" s="38">
        <f t="shared" si="25"/>
        <v>-6</v>
      </c>
      <c r="K242" s="38">
        <f t="shared" si="21"/>
        <v>-60</v>
      </c>
      <c r="L242" s="38"/>
      <c r="M242" s="40">
        <f t="shared" si="22"/>
        <v>0</v>
      </c>
      <c r="N242" s="40">
        <f t="shared" si="23"/>
        <v>0</v>
      </c>
    </row>
    <row r="243" spans="1:14" x14ac:dyDescent="0.25">
      <c r="A243" s="59">
        <f t="shared" si="24"/>
        <v>0</v>
      </c>
      <c r="G243" s="16"/>
      <c r="H243" s="38">
        <v>238</v>
      </c>
      <c r="I243" s="39" t="str">
        <f t="shared" si="20"/>
        <v/>
      </c>
      <c r="J243" s="38">
        <f t="shared" si="25"/>
        <v>-6</v>
      </c>
      <c r="K243" s="38">
        <f t="shared" si="21"/>
        <v>-60</v>
      </c>
      <c r="L243" s="38"/>
      <c r="M243" s="40">
        <f t="shared" si="22"/>
        <v>0</v>
      </c>
      <c r="N243" s="40">
        <f t="shared" si="23"/>
        <v>0</v>
      </c>
    </row>
    <row r="244" spans="1:14" x14ac:dyDescent="0.25">
      <c r="A244" s="59">
        <f t="shared" si="24"/>
        <v>0</v>
      </c>
      <c r="G244" s="16"/>
      <c r="H244" s="38">
        <v>239</v>
      </c>
      <c r="I244" s="39" t="str">
        <f t="shared" si="20"/>
        <v/>
      </c>
      <c r="J244" s="38">
        <f t="shared" si="25"/>
        <v>-6</v>
      </c>
      <c r="K244" s="38">
        <f t="shared" si="21"/>
        <v>-60</v>
      </c>
      <c r="L244" s="38"/>
      <c r="M244" s="40">
        <f t="shared" si="22"/>
        <v>0</v>
      </c>
      <c r="N244" s="40">
        <f t="shared" si="23"/>
        <v>0</v>
      </c>
    </row>
    <row r="245" spans="1:14" x14ac:dyDescent="0.25">
      <c r="A245" s="59">
        <f t="shared" si="24"/>
        <v>0</v>
      </c>
      <c r="G245" s="16"/>
      <c r="H245" s="38">
        <v>240</v>
      </c>
      <c r="I245" s="39" t="str">
        <f t="shared" si="20"/>
        <v/>
      </c>
      <c r="J245" s="38">
        <f t="shared" si="25"/>
        <v>-6</v>
      </c>
      <c r="K245" s="38">
        <f t="shared" si="21"/>
        <v>-60</v>
      </c>
      <c r="L245" s="38"/>
      <c r="M245" s="40">
        <f t="shared" si="22"/>
        <v>0</v>
      </c>
      <c r="N245" s="40">
        <f t="shared" si="23"/>
        <v>0</v>
      </c>
    </row>
    <row r="246" spans="1:14" x14ac:dyDescent="0.25">
      <c r="A246" s="59">
        <f t="shared" si="24"/>
        <v>0</v>
      </c>
      <c r="G246" s="16"/>
      <c r="H246" s="38">
        <v>241</v>
      </c>
      <c r="I246" s="39" t="str">
        <f t="shared" si="20"/>
        <v/>
      </c>
      <c r="J246" s="38">
        <f t="shared" si="25"/>
        <v>-6</v>
      </c>
      <c r="K246" s="38">
        <f t="shared" si="21"/>
        <v>-60</v>
      </c>
      <c r="L246" s="38"/>
      <c r="M246" s="40">
        <f t="shared" si="22"/>
        <v>0</v>
      </c>
      <c r="N246" s="40">
        <f t="shared" si="23"/>
        <v>0</v>
      </c>
    </row>
    <row r="247" spans="1:14" x14ac:dyDescent="0.25">
      <c r="A247" s="59">
        <f t="shared" si="24"/>
        <v>0</v>
      </c>
      <c r="G247" s="16"/>
      <c r="H247" s="38">
        <v>242</v>
      </c>
      <c r="I247" s="39" t="str">
        <f t="shared" si="20"/>
        <v/>
      </c>
      <c r="J247" s="38">
        <f t="shared" si="25"/>
        <v>-6</v>
      </c>
      <c r="K247" s="38">
        <f t="shared" si="21"/>
        <v>-60</v>
      </c>
      <c r="L247" s="38"/>
      <c r="M247" s="40">
        <f t="shared" si="22"/>
        <v>0</v>
      </c>
      <c r="N247" s="40">
        <f t="shared" si="23"/>
        <v>0</v>
      </c>
    </row>
    <row r="248" spans="1:14" x14ac:dyDescent="0.25">
      <c r="A248" s="59">
        <f t="shared" si="24"/>
        <v>0</v>
      </c>
      <c r="G248" s="16"/>
      <c r="H248" s="38">
        <v>243</v>
      </c>
      <c r="I248" s="39" t="str">
        <f t="shared" si="20"/>
        <v/>
      </c>
      <c r="J248" s="38">
        <f t="shared" si="25"/>
        <v>-6</v>
      </c>
      <c r="K248" s="38">
        <f t="shared" si="21"/>
        <v>-60</v>
      </c>
      <c r="L248" s="38"/>
      <c r="M248" s="40">
        <f t="shared" si="22"/>
        <v>0</v>
      </c>
      <c r="N248" s="40">
        <f t="shared" si="23"/>
        <v>0</v>
      </c>
    </row>
    <row r="249" spans="1:14" x14ac:dyDescent="0.25">
      <c r="A249" s="59">
        <f t="shared" si="24"/>
        <v>0</v>
      </c>
      <c r="G249" s="16"/>
      <c r="H249" s="38">
        <v>244</v>
      </c>
      <c r="I249" s="39" t="str">
        <f t="shared" si="20"/>
        <v/>
      </c>
      <c r="J249" s="38">
        <f t="shared" si="25"/>
        <v>-6</v>
      </c>
      <c r="K249" s="38">
        <f t="shared" si="21"/>
        <v>-60</v>
      </c>
      <c r="L249" s="38"/>
      <c r="M249" s="40">
        <f t="shared" si="22"/>
        <v>0</v>
      </c>
      <c r="N249" s="40">
        <f t="shared" si="23"/>
        <v>0</v>
      </c>
    </row>
    <row r="250" spans="1:14" x14ac:dyDescent="0.25">
      <c r="A250" s="59">
        <f t="shared" si="24"/>
        <v>0</v>
      </c>
      <c r="G250" s="16"/>
      <c r="H250" s="38">
        <v>245</v>
      </c>
      <c r="I250" s="39" t="str">
        <f t="shared" si="20"/>
        <v/>
      </c>
      <c r="J250" s="38">
        <f t="shared" si="25"/>
        <v>-6</v>
      </c>
      <c r="K250" s="38">
        <f t="shared" si="21"/>
        <v>-60</v>
      </c>
      <c r="L250" s="38"/>
      <c r="M250" s="40">
        <f t="shared" si="22"/>
        <v>0</v>
      </c>
      <c r="N250" s="40">
        <f t="shared" si="23"/>
        <v>0</v>
      </c>
    </row>
    <row r="251" spans="1:14" x14ac:dyDescent="0.25">
      <c r="A251" s="59">
        <f t="shared" si="24"/>
        <v>0</v>
      </c>
      <c r="G251" s="16"/>
      <c r="H251" s="38">
        <v>246</v>
      </c>
      <c r="I251" s="39" t="str">
        <f t="shared" si="20"/>
        <v/>
      </c>
      <c r="J251" s="38">
        <f t="shared" si="25"/>
        <v>-6</v>
      </c>
      <c r="K251" s="38">
        <f t="shared" si="21"/>
        <v>-60</v>
      </c>
      <c r="L251" s="38"/>
      <c r="M251" s="40">
        <f t="shared" si="22"/>
        <v>0</v>
      </c>
      <c r="N251" s="40">
        <f t="shared" si="23"/>
        <v>0</v>
      </c>
    </row>
    <row r="252" spans="1:14" x14ac:dyDescent="0.25">
      <c r="A252" s="59">
        <f t="shared" si="24"/>
        <v>0</v>
      </c>
      <c r="G252" s="16"/>
      <c r="H252" s="38">
        <v>247</v>
      </c>
      <c r="I252" s="39" t="str">
        <f t="shared" si="20"/>
        <v/>
      </c>
      <c r="J252" s="38">
        <f t="shared" si="25"/>
        <v>-6</v>
      </c>
      <c r="K252" s="38">
        <f t="shared" si="21"/>
        <v>-60</v>
      </c>
      <c r="L252" s="38"/>
      <c r="M252" s="40">
        <f t="shared" si="22"/>
        <v>0</v>
      </c>
      <c r="N252" s="40">
        <f t="shared" si="23"/>
        <v>0</v>
      </c>
    </row>
    <row r="253" spans="1:14" x14ac:dyDescent="0.25">
      <c r="A253" s="59">
        <f t="shared" si="24"/>
        <v>0</v>
      </c>
      <c r="G253" s="16"/>
      <c r="H253" s="38">
        <v>248</v>
      </c>
      <c r="I253" s="39" t="str">
        <f t="shared" si="20"/>
        <v/>
      </c>
      <c r="J253" s="38">
        <f t="shared" si="25"/>
        <v>-6</v>
      </c>
      <c r="K253" s="38">
        <f t="shared" si="21"/>
        <v>-60</v>
      </c>
      <c r="L253" s="38"/>
      <c r="M253" s="40">
        <f t="shared" si="22"/>
        <v>0</v>
      </c>
      <c r="N253" s="40">
        <f t="shared" si="23"/>
        <v>0</v>
      </c>
    </row>
    <row r="254" spans="1:14" x14ac:dyDescent="0.25">
      <c r="A254" s="59">
        <f t="shared" si="24"/>
        <v>0</v>
      </c>
      <c r="G254" s="16"/>
      <c r="H254" s="38">
        <v>249</v>
      </c>
      <c r="I254" s="39" t="str">
        <f t="shared" si="20"/>
        <v/>
      </c>
      <c r="J254" s="38">
        <f t="shared" si="25"/>
        <v>-6</v>
      </c>
      <c r="K254" s="38">
        <f t="shared" si="21"/>
        <v>-60</v>
      </c>
      <c r="L254" s="38"/>
      <c r="M254" s="40">
        <f t="shared" si="22"/>
        <v>0</v>
      </c>
      <c r="N254" s="40">
        <f t="shared" si="23"/>
        <v>0</v>
      </c>
    </row>
    <row r="255" spans="1:14" x14ac:dyDescent="0.25">
      <c r="A255" s="59">
        <f t="shared" si="24"/>
        <v>0</v>
      </c>
      <c r="G255" s="16"/>
      <c r="H255" s="38">
        <v>250</v>
      </c>
      <c r="I255" s="39" t="str">
        <f t="shared" si="20"/>
        <v/>
      </c>
      <c r="J255" s="38">
        <f t="shared" si="25"/>
        <v>-6</v>
      </c>
      <c r="K255" s="38">
        <f t="shared" si="21"/>
        <v>-60</v>
      </c>
      <c r="L255" s="38"/>
      <c r="M255" s="40">
        <f t="shared" si="22"/>
        <v>0</v>
      </c>
      <c r="N255" s="40">
        <f t="shared" si="23"/>
        <v>0</v>
      </c>
    </row>
    <row r="256" spans="1:14" x14ac:dyDescent="0.25">
      <c r="A256" s="59">
        <f t="shared" si="24"/>
        <v>0</v>
      </c>
      <c r="G256" s="16"/>
      <c r="H256" s="38">
        <v>251</v>
      </c>
      <c r="I256" s="39" t="str">
        <f t="shared" si="20"/>
        <v/>
      </c>
      <c r="J256" s="38">
        <f t="shared" si="25"/>
        <v>-6</v>
      </c>
      <c r="K256" s="38">
        <f t="shared" si="21"/>
        <v>-60</v>
      </c>
      <c r="L256" s="38"/>
      <c r="M256" s="40">
        <f t="shared" si="22"/>
        <v>0</v>
      </c>
      <c r="N256" s="40">
        <f t="shared" si="23"/>
        <v>0</v>
      </c>
    </row>
    <row r="257" spans="1:14" x14ac:dyDescent="0.25">
      <c r="A257" s="59">
        <f t="shared" si="24"/>
        <v>0</v>
      </c>
      <c r="G257" s="16"/>
      <c r="H257" s="38">
        <v>252</v>
      </c>
      <c r="I257" s="39" t="str">
        <f t="shared" si="20"/>
        <v/>
      </c>
      <c r="J257" s="38">
        <f t="shared" si="25"/>
        <v>-6</v>
      </c>
      <c r="K257" s="38">
        <f t="shared" si="21"/>
        <v>-60</v>
      </c>
      <c r="L257" s="38"/>
      <c r="M257" s="40">
        <f t="shared" si="22"/>
        <v>0</v>
      </c>
      <c r="N257" s="40">
        <f t="shared" si="23"/>
        <v>0</v>
      </c>
    </row>
    <row r="258" spans="1:14" x14ac:dyDescent="0.25">
      <c r="A258" s="59">
        <f t="shared" si="24"/>
        <v>0</v>
      </c>
      <c r="G258" s="16"/>
      <c r="H258" s="38">
        <v>253</v>
      </c>
      <c r="I258" s="39" t="str">
        <f t="shared" si="20"/>
        <v/>
      </c>
      <c r="J258" s="38">
        <f t="shared" si="25"/>
        <v>-6</v>
      </c>
      <c r="K258" s="38">
        <f t="shared" si="21"/>
        <v>-60</v>
      </c>
      <c r="L258" s="38"/>
      <c r="M258" s="40">
        <f t="shared" si="22"/>
        <v>0</v>
      </c>
      <c r="N258" s="40">
        <f t="shared" si="23"/>
        <v>0</v>
      </c>
    </row>
    <row r="259" spans="1:14" x14ac:dyDescent="0.25">
      <c r="A259" s="59">
        <f t="shared" si="24"/>
        <v>0</v>
      </c>
      <c r="G259" s="16"/>
      <c r="H259" s="38">
        <v>254</v>
      </c>
      <c r="I259" s="39" t="str">
        <f t="shared" si="20"/>
        <v/>
      </c>
      <c r="J259" s="38">
        <f t="shared" si="25"/>
        <v>-6</v>
      </c>
      <c r="K259" s="38">
        <f t="shared" si="21"/>
        <v>-60</v>
      </c>
      <c r="L259" s="38"/>
      <c r="M259" s="40">
        <f t="shared" si="22"/>
        <v>0</v>
      </c>
      <c r="N259" s="40">
        <f t="shared" si="23"/>
        <v>0</v>
      </c>
    </row>
    <row r="260" spans="1:14" x14ac:dyDescent="0.25">
      <c r="A260" s="59">
        <f t="shared" si="24"/>
        <v>0</v>
      </c>
      <c r="G260" s="16"/>
      <c r="H260" s="38">
        <v>255</v>
      </c>
      <c r="I260" s="39" t="str">
        <f t="shared" si="20"/>
        <v/>
      </c>
      <c r="J260" s="38">
        <f t="shared" si="25"/>
        <v>-6</v>
      </c>
      <c r="K260" s="38">
        <f t="shared" si="21"/>
        <v>-60</v>
      </c>
      <c r="L260" s="38"/>
      <c r="M260" s="40">
        <f t="shared" si="22"/>
        <v>0</v>
      </c>
      <c r="N260" s="40">
        <f t="shared" si="23"/>
        <v>0</v>
      </c>
    </row>
    <row r="261" spans="1:14" x14ac:dyDescent="0.25">
      <c r="A261" s="59">
        <f t="shared" si="24"/>
        <v>0</v>
      </c>
      <c r="G261" s="16"/>
      <c r="H261" s="38">
        <v>256</v>
      </c>
      <c r="I261" s="39" t="str">
        <f t="shared" si="20"/>
        <v/>
      </c>
      <c r="J261" s="38">
        <f t="shared" si="25"/>
        <v>-6</v>
      </c>
      <c r="K261" s="38">
        <f t="shared" si="21"/>
        <v>-60</v>
      </c>
      <c r="L261" s="38"/>
      <c r="M261" s="40">
        <f t="shared" si="22"/>
        <v>0</v>
      </c>
      <c r="N261" s="40">
        <f t="shared" si="23"/>
        <v>0</v>
      </c>
    </row>
    <row r="262" spans="1:14" x14ac:dyDescent="0.25">
      <c r="A262" s="59">
        <f t="shared" si="24"/>
        <v>0</v>
      </c>
      <c r="G262" s="16"/>
      <c r="H262" s="38">
        <v>257</v>
      </c>
      <c r="I262" s="39" t="str">
        <f t="shared" ref="I262:I305" si="26">IF(H262&lt;$H$2+1,($I$2-($I$2-1)*(LOG(H262)/LOG($H$2))),"")</f>
        <v/>
      </c>
      <c r="J262" s="38">
        <f t="shared" si="25"/>
        <v>-7</v>
      </c>
      <c r="K262" s="38">
        <f t="shared" ref="K262:K305" si="27">J262*$J$2</f>
        <v>-70</v>
      </c>
      <c r="L262" s="38"/>
      <c r="M262" s="40">
        <f t="shared" ref="M262:M305" si="28">IF(I262&lt;&gt;"",K262+I262+L262,0)</f>
        <v>0</v>
      </c>
      <c r="N262" s="40">
        <f t="shared" ref="N262:N305" si="29">IF(I262&lt;&gt;"",M262*L$2,0)</f>
        <v>0</v>
      </c>
    </row>
    <row r="263" spans="1:14" x14ac:dyDescent="0.25">
      <c r="A263" s="59">
        <f t="shared" ref="A263:A305" si="30">N263</f>
        <v>0</v>
      </c>
      <c r="G263" s="16"/>
      <c r="H263" s="38">
        <v>258</v>
      </c>
      <c r="I263" s="39" t="str">
        <f t="shared" si="26"/>
        <v/>
      </c>
      <c r="J263" s="38">
        <f t="shared" ref="J263:J305" si="31">INT(LOG($H$2,2))-ROUNDUP(LOG(H263,2),0)+IF(OR($H$2=1,$H$2=2,$H$2=4,$H$2=8,$H$2=16,$H$2=32,$H$2=64,$H$2=128,$H$2=256),0,1)</f>
        <v>-7</v>
      </c>
      <c r="K263" s="38">
        <f t="shared" si="27"/>
        <v>-70</v>
      </c>
      <c r="L263" s="38"/>
      <c r="M263" s="40">
        <f t="shared" si="28"/>
        <v>0</v>
      </c>
      <c r="N263" s="40">
        <f t="shared" si="29"/>
        <v>0</v>
      </c>
    </row>
    <row r="264" spans="1:14" x14ac:dyDescent="0.25">
      <c r="A264" s="59">
        <f t="shared" si="30"/>
        <v>0</v>
      </c>
      <c r="G264" s="16"/>
      <c r="H264" s="38">
        <v>259</v>
      </c>
      <c r="I264" s="39" t="str">
        <f t="shared" si="26"/>
        <v/>
      </c>
      <c r="J264" s="38">
        <f t="shared" si="31"/>
        <v>-7</v>
      </c>
      <c r="K264" s="38">
        <f t="shared" si="27"/>
        <v>-70</v>
      </c>
      <c r="L264" s="38"/>
      <c r="M264" s="40">
        <f t="shared" si="28"/>
        <v>0</v>
      </c>
      <c r="N264" s="40">
        <f t="shared" si="29"/>
        <v>0</v>
      </c>
    </row>
    <row r="265" spans="1:14" x14ac:dyDescent="0.25">
      <c r="A265" s="59">
        <f t="shared" si="30"/>
        <v>0</v>
      </c>
      <c r="G265" s="16"/>
      <c r="H265" s="38">
        <v>260</v>
      </c>
      <c r="I265" s="39" t="str">
        <f t="shared" si="26"/>
        <v/>
      </c>
      <c r="J265" s="38">
        <f t="shared" si="31"/>
        <v>-7</v>
      </c>
      <c r="K265" s="38">
        <f t="shared" si="27"/>
        <v>-70</v>
      </c>
      <c r="L265" s="38"/>
      <c r="M265" s="40">
        <f t="shared" si="28"/>
        <v>0</v>
      </c>
      <c r="N265" s="40">
        <f t="shared" si="29"/>
        <v>0</v>
      </c>
    </row>
    <row r="266" spans="1:14" x14ac:dyDescent="0.25">
      <c r="A266" s="59">
        <f t="shared" si="30"/>
        <v>0</v>
      </c>
      <c r="G266" s="16"/>
      <c r="H266" s="38">
        <v>261</v>
      </c>
      <c r="I266" s="39" t="str">
        <f t="shared" si="26"/>
        <v/>
      </c>
      <c r="J266" s="38">
        <f t="shared" si="31"/>
        <v>-7</v>
      </c>
      <c r="K266" s="38">
        <f t="shared" si="27"/>
        <v>-70</v>
      </c>
      <c r="L266" s="38"/>
      <c r="M266" s="40">
        <f t="shared" si="28"/>
        <v>0</v>
      </c>
      <c r="N266" s="40">
        <f t="shared" si="29"/>
        <v>0</v>
      </c>
    </row>
    <row r="267" spans="1:14" x14ac:dyDescent="0.25">
      <c r="A267" s="59">
        <f t="shared" si="30"/>
        <v>0</v>
      </c>
      <c r="G267" s="16"/>
      <c r="H267" s="38">
        <v>262</v>
      </c>
      <c r="I267" s="39" t="str">
        <f t="shared" si="26"/>
        <v/>
      </c>
      <c r="J267" s="38">
        <f t="shared" si="31"/>
        <v>-7</v>
      </c>
      <c r="K267" s="38">
        <f t="shared" si="27"/>
        <v>-70</v>
      </c>
      <c r="L267" s="38"/>
      <c r="M267" s="40">
        <f t="shared" si="28"/>
        <v>0</v>
      </c>
      <c r="N267" s="40">
        <f t="shared" si="29"/>
        <v>0</v>
      </c>
    </row>
    <row r="268" spans="1:14" x14ac:dyDescent="0.25">
      <c r="A268" s="59">
        <f t="shared" si="30"/>
        <v>0</v>
      </c>
      <c r="G268" s="16"/>
      <c r="H268" s="38">
        <v>263</v>
      </c>
      <c r="I268" s="39" t="str">
        <f t="shared" si="26"/>
        <v/>
      </c>
      <c r="J268" s="38">
        <f t="shared" si="31"/>
        <v>-7</v>
      </c>
      <c r="K268" s="38">
        <f t="shared" si="27"/>
        <v>-70</v>
      </c>
      <c r="L268" s="38"/>
      <c r="M268" s="40">
        <f t="shared" si="28"/>
        <v>0</v>
      </c>
      <c r="N268" s="40">
        <f t="shared" si="29"/>
        <v>0</v>
      </c>
    </row>
    <row r="269" spans="1:14" x14ac:dyDescent="0.25">
      <c r="A269" s="59">
        <f t="shared" si="30"/>
        <v>0</v>
      </c>
      <c r="G269" s="16"/>
      <c r="H269" s="38">
        <v>264</v>
      </c>
      <c r="I269" s="39" t="str">
        <f t="shared" si="26"/>
        <v/>
      </c>
      <c r="J269" s="38">
        <f t="shared" si="31"/>
        <v>-7</v>
      </c>
      <c r="K269" s="38">
        <f t="shared" si="27"/>
        <v>-70</v>
      </c>
      <c r="L269" s="38"/>
      <c r="M269" s="40">
        <f t="shared" si="28"/>
        <v>0</v>
      </c>
      <c r="N269" s="40">
        <f t="shared" si="29"/>
        <v>0</v>
      </c>
    </row>
    <row r="270" spans="1:14" x14ac:dyDescent="0.25">
      <c r="A270" s="59">
        <f t="shared" si="30"/>
        <v>0</v>
      </c>
      <c r="G270" s="16"/>
      <c r="H270" s="38">
        <v>265</v>
      </c>
      <c r="I270" s="39" t="str">
        <f t="shared" si="26"/>
        <v/>
      </c>
      <c r="J270" s="38">
        <f t="shared" si="31"/>
        <v>-7</v>
      </c>
      <c r="K270" s="38">
        <f t="shared" si="27"/>
        <v>-70</v>
      </c>
      <c r="L270" s="38"/>
      <c r="M270" s="40">
        <f t="shared" si="28"/>
        <v>0</v>
      </c>
      <c r="N270" s="40">
        <f t="shared" si="29"/>
        <v>0</v>
      </c>
    </row>
    <row r="271" spans="1:14" x14ac:dyDescent="0.25">
      <c r="A271" s="59">
        <f t="shared" si="30"/>
        <v>0</v>
      </c>
      <c r="G271" s="16"/>
      <c r="H271" s="38">
        <v>266</v>
      </c>
      <c r="I271" s="39" t="str">
        <f t="shared" si="26"/>
        <v/>
      </c>
      <c r="J271" s="38">
        <f t="shared" si="31"/>
        <v>-7</v>
      </c>
      <c r="K271" s="38">
        <f t="shared" si="27"/>
        <v>-70</v>
      </c>
      <c r="L271" s="38"/>
      <c r="M271" s="40">
        <f t="shared" si="28"/>
        <v>0</v>
      </c>
      <c r="N271" s="40">
        <f t="shared" si="29"/>
        <v>0</v>
      </c>
    </row>
    <row r="272" spans="1:14" x14ac:dyDescent="0.25">
      <c r="A272" s="59">
        <f t="shared" si="30"/>
        <v>0</v>
      </c>
      <c r="G272" s="16"/>
      <c r="H272" s="38">
        <v>267</v>
      </c>
      <c r="I272" s="39" t="str">
        <f t="shared" si="26"/>
        <v/>
      </c>
      <c r="J272" s="38">
        <f t="shared" si="31"/>
        <v>-7</v>
      </c>
      <c r="K272" s="38">
        <f t="shared" si="27"/>
        <v>-70</v>
      </c>
      <c r="L272" s="38"/>
      <c r="M272" s="40">
        <f t="shared" si="28"/>
        <v>0</v>
      </c>
      <c r="N272" s="40">
        <f t="shared" si="29"/>
        <v>0</v>
      </c>
    </row>
    <row r="273" spans="1:14" x14ac:dyDescent="0.25">
      <c r="A273" s="59">
        <f t="shared" si="30"/>
        <v>0</v>
      </c>
      <c r="G273" s="16"/>
      <c r="H273" s="38">
        <v>268</v>
      </c>
      <c r="I273" s="39" t="str">
        <f t="shared" si="26"/>
        <v/>
      </c>
      <c r="J273" s="38">
        <f t="shared" si="31"/>
        <v>-7</v>
      </c>
      <c r="K273" s="38">
        <f t="shared" si="27"/>
        <v>-70</v>
      </c>
      <c r="L273" s="38"/>
      <c r="M273" s="40">
        <f t="shared" si="28"/>
        <v>0</v>
      </c>
      <c r="N273" s="40">
        <f t="shared" si="29"/>
        <v>0</v>
      </c>
    </row>
    <row r="274" spans="1:14" x14ac:dyDescent="0.25">
      <c r="A274" s="59">
        <f t="shared" si="30"/>
        <v>0</v>
      </c>
      <c r="G274" s="16"/>
      <c r="H274" s="38">
        <v>269</v>
      </c>
      <c r="I274" s="39" t="str">
        <f t="shared" si="26"/>
        <v/>
      </c>
      <c r="J274" s="38">
        <f t="shared" si="31"/>
        <v>-7</v>
      </c>
      <c r="K274" s="38">
        <f t="shared" si="27"/>
        <v>-70</v>
      </c>
      <c r="L274" s="38"/>
      <c r="M274" s="40">
        <f t="shared" si="28"/>
        <v>0</v>
      </c>
      <c r="N274" s="40">
        <f t="shared" si="29"/>
        <v>0</v>
      </c>
    </row>
    <row r="275" spans="1:14" x14ac:dyDescent="0.25">
      <c r="A275" s="59">
        <f t="shared" si="30"/>
        <v>0</v>
      </c>
      <c r="G275" s="16"/>
      <c r="H275" s="38">
        <v>270</v>
      </c>
      <c r="I275" s="39" t="str">
        <f t="shared" si="26"/>
        <v/>
      </c>
      <c r="J275" s="38">
        <f t="shared" si="31"/>
        <v>-7</v>
      </c>
      <c r="K275" s="38">
        <f t="shared" si="27"/>
        <v>-70</v>
      </c>
      <c r="L275" s="38"/>
      <c r="M275" s="40">
        <f t="shared" si="28"/>
        <v>0</v>
      </c>
      <c r="N275" s="40">
        <f t="shared" si="29"/>
        <v>0</v>
      </c>
    </row>
    <row r="276" spans="1:14" x14ac:dyDescent="0.25">
      <c r="A276" s="59">
        <f t="shared" si="30"/>
        <v>0</v>
      </c>
      <c r="G276" s="16"/>
      <c r="H276" s="38">
        <v>271</v>
      </c>
      <c r="I276" s="39" t="str">
        <f t="shared" si="26"/>
        <v/>
      </c>
      <c r="J276" s="38">
        <f t="shared" si="31"/>
        <v>-7</v>
      </c>
      <c r="K276" s="38">
        <f t="shared" si="27"/>
        <v>-70</v>
      </c>
      <c r="L276" s="38"/>
      <c r="M276" s="40">
        <f t="shared" si="28"/>
        <v>0</v>
      </c>
      <c r="N276" s="40">
        <f t="shared" si="29"/>
        <v>0</v>
      </c>
    </row>
    <row r="277" spans="1:14" x14ac:dyDescent="0.25">
      <c r="A277" s="59">
        <f t="shared" si="30"/>
        <v>0</v>
      </c>
      <c r="G277" s="16"/>
      <c r="H277" s="38">
        <v>272</v>
      </c>
      <c r="I277" s="39" t="str">
        <f t="shared" si="26"/>
        <v/>
      </c>
      <c r="J277" s="38">
        <f t="shared" si="31"/>
        <v>-7</v>
      </c>
      <c r="K277" s="38">
        <f t="shared" si="27"/>
        <v>-70</v>
      </c>
      <c r="L277" s="38"/>
      <c r="M277" s="40">
        <f t="shared" si="28"/>
        <v>0</v>
      </c>
      <c r="N277" s="40">
        <f t="shared" si="29"/>
        <v>0</v>
      </c>
    </row>
    <row r="278" spans="1:14" x14ac:dyDescent="0.25">
      <c r="A278" s="59">
        <f t="shared" si="30"/>
        <v>0</v>
      </c>
      <c r="G278" s="16"/>
      <c r="H278" s="38">
        <v>273</v>
      </c>
      <c r="I278" s="39" t="str">
        <f t="shared" si="26"/>
        <v/>
      </c>
      <c r="J278" s="38">
        <f t="shared" si="31"/>
        <v>-7</v>
      </c>
      <c r="K278" s="38">
        <f t="shared" si="27"/>
        <v>-70</v>
      </c>
      <c r="L278" s="38"/>
      <c r="M278" s="40">
        <f t="shared" si="28"/>
        <v>0</v>
      </c>
      <c r="N278" s="40">
        <f t="shared" si="29"/>
        <v>0</v>
      </c>
    </row>
    <row r="279" spans="1:14" x14ac:dyDescent="0.25">
      <c r="A279" s="59">
        <f t="shared" si="30"/>
        <v>0</v>
      </c>
      <c r="G279" s="16"/>
      <c r="H279" s="38">
        <v>274</v>
      </c>
      <c r="I279" s="39" t="str">
        <f t="shared" si="26"/>
        <v/>
      </c>
      <c r="J279" s="38">
        <f t="shared" si="31"/>
        <v>-7</v>
      </c>
      <c r="K279" s="38">
        <f t="shared" si="27"/>
        <v>-70</v>
      </c>
      <c r="L279" s="38"/>
      <c r="M279" s="40">
        <f t="shared" si="28"/>
        <v>0</v>
      </c>
      <c r="N279" s="40">
        <f t="shared" si="29"/>
        <v>0</v>
      </c>
    </row>
    <row r="280" spans="1:14" x14ac:dyDescent="0.25">
      <c r="A280" s="59">
        <f t="shared" si="30"/>
        <v>0</v>
      </c>
      <c r="G280" s="16"/>
      <c r="H280" s="38">
        <v>275</v>
      </c>
      <c r="I280" s="39" t="str">
        <f t="shared" si="26"/>
        <v/>
      </c>
      <c r="J280" s="38">
        <f t="shared" si="31"/>
        <v>-7</v>
      </c>
      <c r="K280" s="38">
        <f t="shared" si="27"/>
        <v>-70</v>
      </c>
      <c r="L280" s="38"/>
      <c r="M280" s="40">
        <f t="shared" si="28"/>
        <v>0</v>
      </c>
      <c r="N280" s="40">
        <f t="shared" si="29"/>
        <v>0</v>
      </c>
    </row>
    <row r="281" spans="1:14" x14ac:dyDescent="0.25">
      <c r="A281" s="59">
        <f t="shared" si="30"/>
        <v>0</v>
      </c>
      <c r="G281" s="16"/>
      <c r="H281" s="38">
        <v>276</v>
      </c>
      <c r="I281" s="39" t="str">
        <f t="shared" si="26"/>
        <v/>
      </c>
      <c r="J281" s="38">
        <f t="shared" si="31"/>
        <v>-7</v>
      </c>
      <c r="K281" s="38">
        <f t="shared" si="27"/>
        <v>-70</v>
      </c>
      <c r="L281" s="38"/>
      <c r="M281" s="40">
        <f t="shared" si="28"/>
        <v>0</v>
      </c>
      <c r="N281" s="40">
        <f t="shared" si="29"/>
        <v>0</v>
      </c>
    </row>
    <row r="282" spans="1:14" x14ac:dyDescent="0.25">
      <c r="A282" s="59">
        <f t="shared" si="30"/>
        <v>0</v>
      </c>
      <c r="G282" s="16"/>
      <c r="H282" s="38">
        <v>277</v>
      </c>
      <c r="I282" s="39" t="str">
        <f t="shared" si="26"/>
        <v/>
      </c>
      <c r="J282" s="38">
        <f t="shared" si="31"/>
        <v>-7</v>
      </c>
      <c r="K282" s="38">
        <f t="shared" si="27"/>
        <v>-70</v>
      </c>
      <c r="L282" s="38"/>
      <c r="M282" s="40">
        <f t="shared" si="28"/>
        <v>0</v>
      </c>
      <c r="N282" s="40">
        <f t="shared" si="29"/>
        <v>0</v>
      </c>
    </row>
    <row r="283" spans="1:14" x14ac:dyDescent="0.25">
      <c r="A283" s="59">
        <f t="shared" si="30"/>
        <v>0</v>
      </c>
      <c r="G283" s="16"/>
      <c r="H283" s="38">
        <v>278</v>
      </c>
      <c r="I283" s="39" t="str">
        <f t="shared" si="26"/>
        <v/>
      </c>
      <c r="J283" s="38">
        <f t="shared" si="31"/>
        <v>-7</v>
      </c>
      <c r="K283" s="38">
        <f t="shared" si="27"/>
        <v>-70</v>
      </c>
      <c r="L283" s="38"/>
      <c r="M283" s="40">
        <f t="shared" si="28"/>
        <v>0</v>
      </c>
      <c r="N283" s="40">
        <f t="shared" si="29"/>
        <v>0</v>
      </c>
    </row>
    <row r="284" spans="1:14" x14ac:dyDescent="0.25">
      <c r="A284" s="59">
        <f t="shared" si="30"/>
        <v>0</v>
      </c>
      <c r="G284" s="16"/>
      <c r="H284" s="38">
        <v>279</v>
      </c>
      <c r="I284" s="39" t="str">
        <f t="shared" si="26"/>
        <v/>
      </c>
      <c r="J284" s="38">
        <f t="shared" si="31"/>
        <v>-7</v>
      </c>
      <c r="K284" s="38">
        <f t="shared" si="27"/>
        <v>-70</v>
      </c>
      <c r="L284" s="38"/>
      <c r="M284" s="40">
        <f t="shared" si="28"/>
        <v>0</v>
      </c>
      <c r="N284" s="40">
        <f t="shared" si="29"/>
        <v>0</v>
      </c>
    </row>
    <row r="285" spans="1:14" x14ac:dyDescent="0.25">
      <c r="A285" s="59">
        <f t="shared" si="30"/>
        <v>0</v>
      </c>
      <c r="G285" s="16"/>
      <c r="H285" s="38">
        <v>280</v>
      </c>
      <c r="I285" s="39" t="str">
        <f t="shared" si="26"/>
        <v/>
      </c>
      <c r="J285" s="38">
        <f t="shared" si="31"/>
        <v>-7</v>
      </c>
      <c r="K285" s="38">
        <f t="shared" si="27"/>
        <v>-70</v>
      </c>
      <c r="L285" s="38"/>
      <c r="M285" s="40">
        <f t="shared" si="28"/>
        <v>0</v>
      </c>
      <c r="N285" s="40">
        <f t="shared" si="29"/>
        <v>0</v>
      </c>
    </row>
    <row r="286" spans="1:14" x14ac:dyDescent="0.25">
      <c r="A286" s="59">
        <f t="shared" si="30"/>
        <v>0</v>
      </c>
      <c r="G286" s="16"/>
      <c r="H286" s="38">
        <v>281</v>
      </c>
      <c r="I286" s="39" t="str">
        <f t="shared" si="26"/>
        <v/>
      </c>
      <c r="J286" s="38">
        <f t="shared" si="31"/>
        <v>-7</v>
      </c>
      <c r="K286" s="38">
        <f t="shared" si="27"/>
        <v>-70</v>
      </c>
      <c r="L286" s="38"/>
      <c r="M286" s="40">
        <f t="shared" si="28"/>
        <v>0</v>
      </c>
      <c r="N286" s="40">
        <f t="shared" si="29"/>
        <v>0</v>
      </c>
    </row>
    <row r="287" spans="1:14" x14ac:dyDescent="0.25">
      <c r="A287" s="59">
        <f t="shared" si="30"/>
        <v>0</v>
      </c>
      <c r="G287" s="16"/>
      <c r="H287" s="38">
        <v>282</v>
      </c>
      <c r="I287" s="39" t="str">
        <f t="shared" si="26"/>
        <v/>
      </c>
      <c r="J287" s="38">
        <f t="shared" si="31"/>
        <v>-7</v>
      </c>
      <c r="K287" s="38">
        <f t="shared" si="27"/>
        <v>-70</v>
      </c>
      <c r="L287" s="38"/>
      <c r="M287" s="40">
        <f t="shared" si="28"/>
        <v>0</v>
      </c>
      <c r="N287" s="40">
        <f t="shared" si="29"/>
        <v>0</v>
      </c>
    </row>
    <row r="288" spans="1:14" x14ac:dyDescent="0.25">
      <c r="A288" s="59">
        <f t="shared" si="30"/>
        <v>0</v>
      </c>
      <c r="G288" s="16"/>
      <c r="H288" s="38">
        <v>283</v>
      </c>
      <c r="I288" s="39" t="str">
        <f t="shared" si="26"/>
        <v/>
      </c>
      <c r="J288" s="38">
        <f t="shared" si="31"/>
        <v>-7</v>
      </c>
      <c r="K288" s="38">
        <f t="shared" si="27"/>
        <v>-70</v>
      </c>
      <c r="L288" s="38"/>
      <c r="M288" s="40">
        <f t="shared" si="28"/>
        <v>0</v>
      </c>
      <c r="N288" s="40">
        <f t="shared" si="29"/>
        <v>0</v>
      </c>
    </row>
    <row r="289" spans="1:14" x14ac:dyDescent="0.25">
      <c r="A289" s="59">
        <f t="shared" si="30"/>
        <v>0</v>
      </c>
      <c r="G289" s="16"/>
      <c r="H289" s="38">
        <v>284</v>
      </c>
      <c r="I289" s="39" t="str">
        <f t="shared" si="26"/>
        <v/>
      </c>
      <c r="J289" s="38">
        <f t="shared" si="31"/>
        <v>-7</v>
      </c>
      <c r="K289" s="38">
        <f t="shared" si="27"/>
        <v>-70</v>
      </c>
      <c r="L289" s="38"/>
      <c r="M289" s="40">
        <f t="shared" si="28"/>
        <v>0</v>
      </c>
      <c r="N289" s="40">
        <f t="shared" si="29"/>
        <v>0</v>
      </c>
    </row>
    <row r="290" spans="1:14" x14ac:dyDescent="0.25">
      <c r="A290" s="59">
        <f t="shared" si="30"/>
        <v>0</v>
      </c>
      <c r="G290" s="16"/>
      <c r="H290" s="38">
        <v>285</v>
      </c>
      <c r="I290" s="39" t="str">
        <f t="shared" si="26"/>
        <v/>
      </c>
      <c r="J290" s="38">
        <f t="shared" si="31"/>
        <v>-7</v>
      </c>
      <c r="K290" s="38">
        <f t="shared" si="27"/>
        <v>-70</v>
      </c>
      <c r="L290" s="38"/>
      <c r="M290" s="40">
        <f t="shared" si="28"/>
        <v>0</v>
      </c>
      <c r="N290" s="40">
        <f t="shared" si="29"/>
        <v>0</v>
      </c>
    </row>
    <row r="291" spans="1:14" x14ac:dyDescent="0.25">
      <c r="A291" s="59">
        <f t="shared" si="30"/>
        <v>0</v>
      </c>
      <c r="G291" s="16"/>
      <c r="H291" s="38">
        <v>286</v>
      </c>
      <c r="I291" s="39" t="str">
        <f t="shared" si="26"/>
        <v/>
      </c>
      <c r="J291" s="38">
        <f t="shared" si="31"/>
        <v>-7</v>
      </c>
      <c r="K291" s="38">
        <f t="shared" si="27"/>
        <v>-70</v>
      </c>
      <c r="L291" s="38"/>
      <c r="M291" s="40">
        <f t="shared" si="28"/>
        <v>0</v>
      </c>
      <c r="N291" s="40">
        <f t="shared" si="29"/>
        <v>0</v>
      </c>
    </row>
    <row r="292" spans="1:14" x14ac:dyDescent="0.25">
      <c r="A292" s="59">
        <f t="shared" si="30"/>
        <v>0</v>
      </c>
      <c r="G292" s="16"/>
      <c r="H292" s="38">
        <v>287</v>
      </c>
      <c r="I292" s="39" t="str">
        <f t="shared" si="26"/>
        <v/>
      </c>
      <c r="J292" s="38">
        <f t="shared" si="31"/>
        <v>-7</v>
      </c>
      <c r="K292" s="38">
        <f t="shared" si="27"/>
        <v>-70</v>
      </c>
      <c r="L292" s="38"/>
      <c r="M292" s="40">
        <f t="shared" si="28"/>
        <v>0</v>
      </c>
      <c r="N292" s="40">
        <f t="shared" si="29"/>
        <v>0</v>
      </c>
    </row>
    <row r="293" spans="1:14" x14ac:dyDescent="0.25">
      <c r="A293" s="59">
        <f t="shared" si="30"/>
        <v>0</v>
      </c>
      <c r="G293" s="16"/>
      <c r="H293" s="38">
        <v>288</v>
      </c>
      <c r="I293" s="39" t="str">
        <f t="shared" si="26"/>
        <v/>
      </c>
      <c r="J293" s="38">
        <f t="shared" si="31"/>
        <v>-7</v>
      </c>
      <c r="K293" s="38">
        <f t="shared" si="27"/>
        <v>-70</v>
      </c>
      <c r="L293" s="38"/>
      <c r="M293" s="40">
        <f t="shared" si="28"/>
        <v>0</v>
      </c>
      <c r="N293" s="40">
        <f t="shared" si="29"/>
        <v>0</v>
      </c>
    </row>
    <row r="294" spans="1:14" x14ac:dyDescent="0.25">
      <c r="A294" s="59">
        <f t="shared" si="30"/>
        <v>0</v>
      </c>
      <c r="G294" s="16"/>
      <c r="H294" s="38">
        <v>289</v>
      </c>
      <c r="I294" s="39" t="str">
        <f t="shared" si="26"/>
        <v/>
      </c>
      <c r="J294" s="38">
        <f t="shared" si="31"/>
        <v>-7</v>
      </c>
      <c r="K294" s="38">
        <f t="shared" si="27"/>
        <v>-70</v>
      </c>
      <c r="L294" s="38"/>
      <c r="M294" s="40">
        <f t="shared" si="28"/>
        <v>0</v>
      </c>
      <c r="N294" s="40">
        <f t="shared" si="29"/>
        <v>0</v>
      </c>
    </row>
    <row r="295" spans="1:14" x14ac:dyDescent="0.25">
      <c r="A295" s="59">
        <f t="shared" si="30"/>
        <v>0</v>
      </c>
      <c r="G295" s="16"/>
      <c r="H295" s="38">
        <v>290</v>
      </c>
      <c r="I295" s="39" t="str">
        <f t="shared" si="26"/>
        <v/>
      </c>
      <c r="J295" s="38">
        <f t="shared" si="31"/>
        <v>-7</v>
      </c>
      <c r="K295" s="38">
        <f t="shared" si="27"/>
        <v>-70</v>
      </c>
      <c r="L295" s="38"/>
      <c r="M295" s="40">
        <f t="shared" si="28"/>
        <v>0</v>
      </c>
      <c r="N295" s="40">
        <f t="shared" si="29"/>
        <v>0</v>
      </c>
    </row>
    <row r="296" spans="1:14" x14ac:dyDescent="0.25">
      <c r="A296" s="59">
        <f t="shared" si="30"/>
        <v>0</v>
      </c>
      <c r="G296" s="16"/>
      <c r="H296" s="38">
        <v>291</v>
      </c>
      <c r="I296" s="39" t="str">
        <f t="shared" si="26"/>
        <v/>
      </c>
      <c r="J296" s="38">
        <f t="shared" si="31"/>
        <v>-7</v>
      </c>
      <c r="K296" s="38">
        <f t="shared" si="27"/>
        <v>-70</v>
      </c>
      <c r="L296" s="38"/>
      <c r="M296" s="40">
        <f t="shared" si="28"/>
        <v>0</v>
      </c>
      <c r="N296" s="40">
        <f t="shared" si="29"/>
        <v>0</v>
      </c>
    </row>
    <row r="297" spans="1:14" x14ac:dyDescent="0.25">
      <c r="A297" s="59">
        <f t="shared" si="30"/>
        <v>0</v>
      </c>
      <c r="G297" s="16"/>
      <c r="H297" s="38">
        <v>292</v>
      </c>
      <c r="I297" s="39" t="str">
        <f t="shared" si="26"/>
        <v/>
      </c>
      <c r="J297" s="38">
        <f t="shared" si="31"/>
        <v>-7</v>
      </c>
      <c r="K297" s="38">
        <f t="shared" si="27"/>
        <v>-70</v>
      </c>
      <c r="L297" s="38"/>
      <c r="M297" s="40">
        <f t="shared" si="28"/>
        <v>0</v>
      </c>
      <c r="N297" s="40">
        <f t="shared" si="29"/>
        <v>0</v>
      </c>
    </row>
    <row r="298" spans="1:14" x14ac:dyDescent="0.25">
      <c r="A298" s="59">
        <f t="shared" si="30"/>
        <v>0</v>
      </c>
      <c r="G298" s="16"/>
      <c r="H298" s="38">
        <v>293</v>
      </c>
      <c r="I298" s="39" t="str">
        <f t="shared" si="26"/>
        <v/>
      </c>
      <c r="J298" s="38">
        <f t="shared" si="31"/>
        <v>-7</v>
      </c>
      <c r="K298" s="38">
        <f t="shared" si="27"/>
        <v>-70</v>
      </c>
      <c r="L298" s="38"/>
      <c r="M298" s="40">
        <f t="shared" si="28"/>
        <v>0</v>
      </c>
      <c r="N298" s="40">
        <f t="shared" si="29"/>
        <v>0</v>
      </c>
    </row>
    <row r="299" spans="1:14" x14ac:dyDescent="0.25">
      <c r="A299" s="59">
        <f t="shared" si="30"/>
        <v>0</v>
      </c>
      <c r="G299" s="16"/>
      <c r="H299" s="38">
        <v>294</v>
      </c>
      <c r="I299" s="39" t="str">
        <f t="shared" si="26"/>
        <v/>
      </c>
      <c r="J299" s="38">
        <f t="shared" si="31"/>
        <v>-7</v>
      </c>
      <c r="K299" s="38">
        <f t="shared" si="27"/>
        <v>-70</v>
      </c>
      <c r="L299" s="38"/>
      <c r="M299" s="40">
        <f t="shared" si="28"/>
        <v>0</v>
      </c>
      <c r="N299" s="40">
        <f t="shared" si="29"/>
        <v>0</v>
      </c>
    </row>
    <row r="300" spans="1:14" x14ac:dyDescent="0.25">
      <c r="A300" s="59">
        <f t="shared" si="30"/>
        <v>0</v>
      </c>
      <c r="G300" s="16"/>
      <c r="H300" s="38">
        <v>295</v>
      </c>
      <c r="I300" s="39" t="str">
        <f t="shared" si="26"/>
        <v/>
      </c>
      <c r="J300" s="38">
        <f t="shared" si="31"/>
        <v>-7</v>
      </c>
      <c r="K300" s="38">
        <f t="shared" si="27"/>
        <v>-70</v>
      </c>
      <c r="L300" s="38"/>
      <c r="M300" s="40">
        <f t="shared" si="28"/>
        <v>0</v>
      </c>
      <c r="N300" s="40">
        <f t="shared" si="29"/>
        <v>0</v>
      </c>
    </row>
    <row r="301" spans="1:14" x14ac:dyDescent="0.25">
      <c r="A301" s="59">
        <f t="shared" si="30"/>
        <v>0</v>
      </c>
      <c r="G301" s="16"/>
      <c r="H301" s="38">
        <v>296</v>
      </c>
      <c r="I301" s="39" t="str">
        <f t="shared" si="26"/>
        <v/>
      </c>
      <c r="J301" s="38">
        <f t="shared" si="31"/>
        <v>-7</v>
      </c>
      <c r="K301" s="38">
        <f t="shared" si="27"/>
        <v>-70</v>
      </c>
      <c r="L301" s="38"/>
      <c r="M301" s="40">
        <f t="shared" si="28"/>
        <v>0</v>
      </c>
      <c r="N301" s="40">
        <f t="shared" si="29"/>
        <v>0</v>
      </c>
    </row>
    <row r="302" spans="1:14" x14ac:dyDescent="0.25">
      <c r="A302" s="59">
        <f t="shared" si="30"/>
        <v>0</v>
      </c>
      <c r="G302" s="16"/>
      <c r="H302" s="38">
        <v>297</v>
      </c>
      <c r="I302" s="39" t="str">
        <f t="shared" si="26"/>
        <v/>
      </c>
      <c r="J302" s="38">
        <f t="shared" si="31"/>
        <v>-7</v>
      </c>
      <c r="K302" s="38">
        <f t="shared" si="27"/>
        <v>-70</v>
      </c>
      <c r="L302" s="38"/>
      <c r="M302" s="40">
        <f t="shared" si="28"/>
        <v>0</v>
      </c>
      <c r="N302" s="40">
        <f t="shared" si="29"/>
        <v>0</v>
      </c>
    </row>
    <row r="303" spans="1:14" x14ac:dyDescent="0.25">
      <c r="A303" s="59">
        <f t="shared" si="30"/>
        <v>0</v>
      </c>
      <c r="G303" s="16"/>
      <c r="H303" s="38">
        <v>298</v>
      </c>
      <c r="I303" s="39" t="str">
        <f t="shared" si="26"/>
        <v/>
      </c>
      <c r="J303" s="38">
        <f t="shared" si="31"/>
        <v>-7</v>
      </c>
      <c r="K303" s="38">
        <f t="shared" si="27"/>
        <v>-70</v>
      </c>
      <c r="L303" s="38"/>
      <c r="M303" s="40">
        <f t="shared" si="28"/>
        <v>0</v>
      </c>
      <c r="N303" s="40">
        <f t="shared" si="29"/>
        <v>0</v>
      </c>
    </row>
    <row r="304" spans="1:14" x14ac:dyDescent="0.25">
      <c r="A304" s="59">
        <f t="shared" si="30"/>
        <v>0</v>
      </c>
      <c r="G304" s="16"/>
      <c r="H304" s="38">
        <v>299</v>
      </c>
      <c r="I304" s="39" t="str">
        <f t="shared" si="26"/>
        <v/>
      </c>
      <c r="J304" s="38">
        <f t="shared" si="31"/>
        <v>-7</v>
      </c>
      <c r="K304" s="38">
        <f t="shared" si="27"/>
        <v>-70</v>
      </c>
      <c r="L304" s="38"/>
      <c r="M304" s="40">
        <f t="shared" si="28"/>
        <v>0</v>
      </c>
      <c r="N304" s="40">
        <f t="shared" si="29"/>
        <v>0</v>
      </c>
    </row>
    <row r="305" spans="1:17" x14ac:dyDescent="0.25">
      <c r="A305" s="59">
        <f t="shared" si="30"/>
        <v>0</v>
      </c>
      <c r="G305" s="16"/>
      <c r="H305" s="38">
        <v>300</v>
      </c>
      <c r="I305" s="39" t="str">
        <f t="shared" si="26"/>
        <v/>
      </c>
      <c r="J305" s="38">
        <f t="shared" si="31"/>
        <v>-7</v>
      </c>
      <c r="K305" s="38">
        <f t="shared" si="27"/>
        <v>-70</v>
      </c>
      <c r="L305" s="38"/>
      <c r="M305" s="40">
        <f t="shared" si="28"/>
        <v>0</v>
      </c>
      <c r="N305" s="40">
        <f t="shared" si="29"/>
        <v>0</v>
      </c>
    </row>
    <row r="306" spans="1:17" x14ac:dyDescent="0.25">
      <c r="A306" s="61"/>
    </row>
    <row r="314" spans="1:17" x14ac:dyDescent="0.25">
      <c r="L314" s="64"/>
      <c r="M314" s="64"/>
      <c r="Q314" s="54"/>
    </row>
    <row r="315" spans="1:17" x14ac:dyDescent="0.25">
      <c r="L315" s="64"/>
      <c r="M315" s="64"/>
      <c r="Q315" s="54"/>
    </row>
    <row r="316" spans="1:17" x14ac:dyDescent="0.25">
      <c r="L316" s="64"/>
      <c r="M316" s="64"/>
      <c r="Q316" s="54"/>
    </row>
    <row r="317" spans="1:17" x14ac:dyDescent="0.25">
      <c r="L317" s="64"/>
      <c r="M317" s="64"/>
      <c r="Q317" s="54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WARSZAWA" xr:uid="{E097F985-0D3A-4D53-8586-DD95417B71F9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540A-DBE1-47AB-8FBC-DB0FC074ECE1}">
  <dimension ref="A1:BG39"/>
  <sheetViews>
    <sheetView workbookViewId="0">
      <selection activeCell="F25" sqref="F25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4"/>
      <c r="B1" s="4"/>
      <c r="C1" s="4"/>
      <c r="D1" s="280" t="s">
        <v>82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X1" s="269" t="s">
        <v>83</v>
      </c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1"/>
    </row>
    <row r="2" spans="1:59" ht="13.75" customHeight="1" x14ac:dyDescent="0.2">
      <c r="A2" s="4"/>
      <c r="B2" s="5" t="s">
        <v>0</v>
      </c>
      <c r="C2" s="4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X2" s="272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4"/>
    </row>
    <row r="3" spans="1:59" ht="13.75" customHeight="1" thickBot="1" x14ac:dyDescent="0.3">
      <c r="A3" s="4"/>
      <c r="B3" s="4"/>
      <c r="C3" s="4"/>
      <c r="D3" s="83" t="s">
        <v>84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75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/>
      <c r="AJ3" s="276"/>
      <c r="AK3" s="276"/>
      <c r="AL3" s="276"/>
      <c r="AM3" s="276"/>
      <c r="AN3" s="276"/>
      <c r="AO3" s="276"/>
      <c r="AP3" s="276"/>
      <c r="AQ3" s="276"/>
      <c r="AR3" s="276"/>
      <c r="AS3" s="276"/>
      <c r="AT3" s="276"/>
      <c r="AU3" s="276"/>
      <c r="AV3" s="276"/>
      <c r="AW3" s="276"/>
      <c r="AX3" s="276"/>
      <c r="AY3" s="276"/>
      <c r="AZ3" s="276"/>
      <c r="BA3" s="277"/>
    </row>
    <row r="4" spans="1:59" ht="24.8" customHeight="1" thickTop="1" x14ac:dyDescent="0.2">
      <c r="A4" s="283" t="s">
        <v>4</v>
      </c>
      <c r="B4" s="285" t="s">
        <v>5</v>
      </c>
      <c r="C4" s="285" t="s">
        <v>6</v>
      </c>
      <c r="D4" s="285" t="s">
        <v>7</v>
      </c>
      <c r="E4" s="281" t="s">
        <v>8</v>
      </c>
      <c r="F4" s="282"/>
      <c r="G4" s="281" t="s">
        <v>9</v>
      </c>
      <c r="H4" s="282"/>
      <c r="I4" s="281" t="s">
        <v>10</v>
      </c>
      <c r="J4" s="282"/>
      <c r="K4" s="281" t="s">
        <v>11</v>
      </c>
      <c r="L4" s="282"/>
      <c r="M4" s="281" t="s">
        <v>12</v>
      </c>
      <c r="N4" s="282"/>
      <c r="O4" s="250" t="s">
        <v>13</v>
      </c>
      <c r="P4" s="251"/>
      <c r="Q4" s="250" t="s">
        <v>14</v>
      </c>
      <c r="R4" s="251"/>
      <c r="S4" s="250" t="s">
        <v>15</v>
      </c>
      <c r="T4" s="251"/>
      <c r="U4" s="281" t="s">
        <v>16</v>
      </c>
      <c r="V4" s="282"/>
      <c r="X4" s="278" t="s">
        <v>85</v>
      </c>
      <c r="Y4" s="279"/>
      <c r="Z4" s="278" t="s">
        <v>86</v>
      </c>
      <c r="AA4" s="279"/>
      <c r="AB4" s="278" t="s">
        <v>87</v>
      </c>
      <c r="AC4" s="279"/>
      <c r="AD4" s="278" t="s">
        <v>88</v>
      </c>
      <c r="AE4" s="279"/>
      <c r="AF4" s="278" t="s">
        <v>89</v>
      </c>
      <c r="AG4" s="279"/>
      <c r="AH4" s="278" t="s">
        <v>90</v>
      </c>
      <c r="AI4" s="279"/>
      <c r="AJ4" s="278" t="s">
        <v>91</v>
      </c>
      <c r="AK4" s="279"/>
      <c r="AL4" s="278" t="s">
        <v>92</v>
      </c>
      <c r="AM4" s="279"/>
      <c r="AN4" s="278" t="s">
        <v>93</v>
      </c>
      <c r="AO4" s="279"/>
      <c r="AP4" s="278" t="s">
        <v>94</v>
      </c>
      <c r="AQ4" s="279"/>
      <c r="AR4" s="278" t="s">
        <v>95</v>
      </c>
      <c r="AS4" s="279"/>
      <c r="AT4" s="278" t="s">
        <v>96</v>
      </c>
      <c r="AU4" s="279"/>
      <c r="AV4" s="278" t="s">
        <v>97</v>
      </c>
      <c r="AW4" s="279"/>
      <c r="AX4" s="278" t="s">
        <v>98</v>
      </c>
      <c r="AY4" s="279"/>
    </row>
    <row r="5" spans="1:59" ht="18" customHeight="1" x14ac:dyDescent="0.2">
      <c r="A5" s="284"/>
      <c r="B5" s="286"/>
      <c r="C5" s="286"/>
      <c r="D5" s="287"/>
      <c r="E5" s="82" t="s">
        <v>17</v>
      </c>
      <c r="F5" s="82" t="s">
        <v>18</v>
      </c>
      <c r="G5" s="82" t="s">
        <v>17</v>
      </c>
      <c r="H5" s="82" t="s">
        <v>18</v>
      </c>
      <c r="I5" s="82" t="s">
        <v>17</v>
      </c>
      <c r="J5" s="82" t="s">
        <v>18</v>
      </c>
      <c r="K5" s="82" t="s">
        <v>17</v>
      </c>
      <c r="L5" s="82" t="s">
        <v>18</v>
      </c>
      <c r="M5" s="82" t="s">
        <v>17</v>
      </c>
      <c r="N5" s="81" t="s">
        <v>18</v>
      </c>
      <c r="O5" s="3" t="s">
        <v>17</v>
      </c>
      <c r="P5" s="8" t="s">
        <v>18</v>
      </c>
      <c r="Q5" s="3" t="s">
        <v>17</v>
      </c>
      <c r="R5" s="8" t="s">
        <v>18</v>
      </c>
      <c r="S5" s="3" t="s">
        <v>17</v>
      </c>
      <c r="T5" s="8" t="s">
        <v>18</v>
      </c>
      <c r="U5" s="82" t="s">
        <v>17</v>
      </c>
      <c r="V5" s="81" t="s">
        <v>18</v>
      </c>
      <c r="X5" s="80" t="s">
        <v>17</v>
      </c>
      <c r="Y5" s="80" t="s">
        <v>18</v>
      </c>
      <c r="Z5" s="80" t="s">
        <v>17</v>
      </c>
      <c r="AA5" s="80" t="s">
        <v>18</v>
      </c>
      <c r="AB5" s="80" t="s">
        <v>17</v>
      </c>
      <c r="AC5" s="80" t="s">
        <v>18</v>
      </c>
      <c r="AD5" s="80" t="s">
        <v>17</v>
      </c>
      <c r="AE5" s="80" t="s">
        <v>18</v>
      </c>
      <c r="AF5" s="80" t="s">
        <v>17</v>
      </c>
      <c r="AG5" s="80" t="s">
        <v>18</v>
      </c>
      <c r="AH5" s="80" t="s">
        <v>17</v>
      </c>
      <c r="AI5" s="79" t="s">
        <v>18</v>
      </c>
      <c r="AJ5" s="80" t="s">
        <v>17</v>
      </c>
      <c r="AK5" s="79" t="s">
        <v>18</v>
      </c>
      <c r="AL5" s="80" t="s">
        <v>17</v>
      </c>
      <c r="AM5" s="79" t="s">
        <v>18</v>
      </c>
      <c r="AN5" s="80" t="s">
        <v>17</v>
      </c>
      <c r="AO5" s="79" t="s">
        <v>18</v>
      </c>
      <c r="AP5" s="80" t="s">
        <v>17</v>
      </c>
      <c r="AQ5" s="79" t="s">
        <v>18</v>
      </c>
      <c r="AR5" s="80" t="s">
        <v>17</v>
      </c>
      <c r="AS5" s="79" t="s">
        <v>18</v>
      </c>
      <c r="AT5" s="80" t="s">
        <v>17</v>
      </c>
      <c r="AU5" s="79" t="s">
        <v>18</v>
      </c>
      <c r="AV5" s="80" t="s">
        <v>17</v>
      </c>
      <c r="AW5" s="79" t="s">
        <v>18</v>
      </c>
      <c r="AX5" s="80" t="s">
        <v>17</v>
      </c>
      <c r="AY5" s="79" t="s">
        <v>18</v>
      </c>
    </row>
    <row r="6" spans="1:59" ht="14.8" customHeight="1" x14ac:dyDescent="0.25">
      <c r="A6" s="9">
        <f t="shared" ref="A6:A29" si="0">ROW()-5</f>
        <v>1</v>
      </c>
      <c r="B6" s="10" t="s">
        <v>19</v>
      </c>
      <c r="C6" s="11"/>
      <c r="D6" s="78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104.28552739621165</v>
      </c>
      <c r="E6" s="12" t="str">
        <f>_xlfn.XLOOKUP($B6,'GP1'!$C$6:$C$101,'GP1'!$B$6:$B$101,"")</f>
        <v/>
      </c>
      <c r="F6" s="77">
        <f>_xlfn.XLOOKUP(E6,'GP1'!$B$6:$B$55,'GP1'!$A$6:$A$55,0)</f>
        <v>0</v>
      </c>
      <c r="G6" s="12" t="str">
        <f>_xlfn.XLOOKUP($B6,'GP2'!$C$6:$C$101,'GP2'!$B$6:$B$101,"")</f>
        <v/>
      </c>
      <c r="H6" s="77">
        <f>_xlfn.XLOOKUP(G6,'GP2'!$B$6:$B$55,'GP2'!$A$6:$A$55,0)</f>
        <v>0</v>
      </c>
      <c r="I6" s="12">
        <f>_xlfn.XLOOKUP($B6,'GP3'!$C$6:$C$101,'GP3'!$B$6:$B$101,"")</f>
        <v>1</v>
      </c>
      <c r="J6" s="77">
        <f>_xlfn.XLOOKUP(I6,'GP3'!$B$6:$B$55,'GP3'!$A$6:$A$55,0)</f>
        <v>59</v>
      </c>
      <c r="K6" s="12" t="str">
        <f>_xlfn.XLOOKUP($B6,'GP4'!$C$6:$C$101,'GP4'!$B$6:$B$101,"")</f>
        <v/>
      </c>
      <c r="L6" s="77">
        <f>_xlfn.XLOOKUP(K6,'GP4'!$B$6:$B$55,'GP4'!$A$6:$A$55,0)</f>
        <v>0</v>
      </c>
      <c r="M6" s="12" t="str">
        <f>_xlfn.XLOOKUP($B6,'GP5'!$C$6:$C$101,'GP5'!$B$6:$B$101,"")</f>
        <v/>
      </c>
      <c r="N6" s="77">
        <f>_xlfn.XLOOKUP(M6,'GP5'!$B$6:$B$55,'GP5'!$A$6:$A$55,0)</f>
        <v>0</v>
      </c>
      <c r="O6" s="12" t="str">
        <f>_xlfn.XLOOKUP($B6,'GP6'!$C$6:$C$101,'GP6'!$B$6:$B$101,"")</f>
        <v/>
      </c>
      <c r="P6" s="77">
        <f>_xlfn.XLOOKUP(O6,'GP6'!$B$6:$B$55,'GP6'!$A$6:$A$55,0)</f>
        <v>0</v>
      </c>
      <c r="Q6" s="12" t="str">
        <f>_xlfn.XLOOKUP($B6,'GP7'!$C$6:$C$101,'GP7'!$B$6:$B$101,"")</f>
        <v/>
      </c>
      <c r="R6" s="77">
        <f>_xlfn.XLOOKUP(Q6,'GP7'!$B$6:$B$55,'GP7'!$A$6:$A$55,0)</f>
        <v>0</v>
      </c>
      <c r="S6" s="12" t="str">
        <f>_xlfn.XLOOKUP($B6,'GP8'!$C$6:$C$101,'GP8'!$B$6:$B$101,"")</f>
        <v/>
      </c>
      <c r="T6" s="77">
        <f>_xlfn.XLOOKUP(S6,'GP8'!$B$6:$B$55,'GP8'!$A$6:$A$55,0)</f>
        <v>0</v>
      </c>
      <c r="U6" s="12">
        <f>_xlfn.XLOOKUP(B6,MPW!C$6:C$101,MPW!B$6:B$101,"")</f>
        <v>2</v>
      </c>
      <c r="V6" s="76">
        <f>_xlfn.XLOOKUP(U6,MPW!$B$6:$B$55,MPW!$A$6:$A$55,0)</f>
        <v>45.285527396211648</v>
      </c>
      <c r="X6" s="12" t="str">
        <f>_xlfn.XLOOKUP($B6,'PEW1'!$C$6:$C$201,'PEW1'!$B$6:$B$201,"")</f>
        <v/>
      </c>
      <c r="Y6" s="75">
        <f>_xlfn.XLOOKUP(X6,'PEW1'!$B$6:$B$201,'PEW1'!$A$6:$A$201,0)</f>
        <v>0</v>
      </c>
      <c r="Z6" s="12" t="str">
        <f>_xlfn.XLOOKUP($B6,'PEW2'!$C$6:$C$201,'PEW2'!$B$6:$B$201,"")</f>
        <v/>
      </c>
      <c r="AA6" s="75">
        <f>_xlfn.XLOOKUP(Z6,'PEW2'!$B$6:$B$201,'PEW2'!$A$6:$A$201,0)</f>
        <v>0</v>
      </c>
      <c r="AB6" s="12" t="str">
        <f>_xlfn.XLOOKUP($B6,VFC!$C$6:$C$201,VFC!$B$6:$B$201,"")</f>
        <v/>
      </c>
      <c r="AC6" s="75">
        <f>_xlfn.XLOOKUP(AB6,VFC!$B$6:$B$201,VFC!$A$6:$A$201,0)</f>
        <v>0</v>
      </c>
      <c r="AD6" s="12" t="str">
        <f>_xlfn.XLOOKUP($B6,'PEW3'!$C$6:$C$201,'PEW3'!$B$6:$B$201,"")</f>
        <v/>
      </c>
      <c r="AE6" s="75">
        <f>_xlfn.XLOOKUP(AD6,'PEW3'!$B$6:$B$201,'PEW3'!$A$6:$A$201,0)</f>
        <v>0</v>
      </c>
      <c r="AF6" s="12" t="str">
        <f>_xlfn.XLOOKUP($B6,'PEW4'!$C$6:$C$201,'PEW4'!$B$6:$B$201,"")</f>
        <v/>
      </c>
      <c r="AG6" s="75">
        <f>_xlfn.XLOOKUP(AF6,'PEW4'!$B$6:$B$201,'PEW4'!$A$6:$A$201,0)</f>
        <v>0</v>
      </c>
      <c r="AH6" s="12" t="str">
        <f>_xlfn.XLOOKUP($B6,'PEW5'!$C$6:$C$201,'PEW5'!$B$6:$B$201,"")</f>
        <v/>
      </c>
      <c r="AI6" s="75">
        <f>_xlfn.XLOOKUP(AH6,'PEW5'!$B$6:$B$201,'PEW5'!$A$6:$A$201,0)</f>
        <v>0</v>
      </c>
      <c r="AJ6" s="12" t="str">
        <f>_xlfn.XLOOKUP($B6,'PEW6'!$C$6:$C$201,'PEW6'!$B$6:$B$201,"")</f>
        <v/>
      </c>
      <c r="AK6" s="75">
        <f>_xlfn.XLOOKUP(AJ6,'PEW6'!$B$6:$B$201,'PEW6'!$A$6:$A$201,0)</f>
        <v>0</v>
      </c>
      <c r="AL6" s="12" t="str">
        <f>_xlfn.XLOOKUP($B6,'PEW7'!$C$6:$C$201,'PEW7'!$B$6:$B$201,"")</f>
        <v/>
      </c>
      <c r="AM6" s="75">
        <f>_xlfn.XLOOKUP(AL6,'PEW7'!$B$6:$B$201,'PEW7'!$A$6:$A$201,0)</f>
        <v>0</v>
      </c>
      <c r="AN6" s="12" t="str">
        <f>_xlfn.XLOOKUP($B6,'PEW8'!$C$6:$C$201,'PEW8'!$B$6:$B$201,"")</f>
        <v/>
      </c>
      <c r="AO6" s="75">
        <f>_xlfn.XLOOKUP(AN6,'PEW8'!$B$6:$B$201,'PEW8'!$A$6:$A$201,0)</f>
        <v>0</v>
      </c>
      <c r="AP6" s="12" t="str">
        <f>_xlfn.XLOOKUP($B6,'PEW9'!$C$6:$C$201,'PEW9'!$B$6:$B$201,"")</f>
        <v/>
      </c>
      <c r="AQ6" s="75">
        <f>_xlfn.XLOOKUP(AP6,'PEW9'!$B$6:$B$201,'PEW9'!$A$6:$A$201,0)</f>
        <v>0</v>
      </c>
      <c r="AR6" s="12" t="str">
        <f>_xlfn.XLOOKUP($B6,'PEW10'!$C$6:$C$201,'PEW10'!$B$6:$B$201,"")</f>
        <v/>
      </c>
      <c r="AS6" s="75">
        <f>_xlfn.XLOOKUP(AR6,'PEW10'!$B$6:$B$201,'PEW10'!$A$6:$A$201,0)</f>
        <v>0</v>
      </c>
      <c r="AT6" s="12" t="str">
        <f>_xlfn.XLOOKUP($B6,'PEW11'!$C$6:$C$201,'PEW11'!$B$6:$B$201,"")</f>
        <v/>
      </c>
      <c r="AU6" s="75">
        <f>_xlfn.XLOOKUP(AT6,'PEW11'!$B$6:$B$201,'PEW11'!$A$6:$A$201,0)</f>
        <v>0</v>
      </c>
      <c r="AV6" s="12" t="str">
        <f>_xlfn.XLOOKUP($B6,'PEW12'!$C$6:$C$201,'PEW12'!$B$6:$B$201,"")</f>
        <v/>
      </c>
      <c r="AW6" s="75">
        <f>_xlfn.XLOOKUP(AV6,'PEW12'!$B$6:$B$201,'PEW12'!$A$6:$A$201,0)</f>
        <v>0</v>
      </c>
      <c r="AX6" s="12" t="str" cm="1">
        <f t="array" ref="AX6">_xlfn.XLOOKUP($B6,IMEW!C$6:C$201,IMEW!$B$6:B$201,"")</f>
        <v/>
      </c>
      <c r="AY6" s="74">
        <f>_xlfn.XLOOKUP(AX6,IMEW!$B$6:$B$201,IMEW!$A$6:$A$201,0)</f>
        <v>0</v>
      </c>
      <c r="BA6" s="73">
        <f t="shared" ref="BA6:BA29" si="1">Y6</f>
        <v>0</v>
      </c>
      <c r="BB6" s="73">
        <f t="shared" ref="BB6:BB29" si="2">AA6</f>
        <v>0</v>
      </c>
      <c r="BC6" s="73">
        <f t="shared" ref="BC6:BC29" si="3">AC6</f>
        <v>0</v>
      </c>
      <c r="BD6" s="73">
        <f t="shared" ref="BD6:BD29" si="4">AG6</f>
        <v>0</v>
      </c>
      <c r="BE6" s="73">
        <f t="shared" ref="BE6:BE29" si="5">AI6</f>
        <v>0</v>
      </c>
      <c r="BF6" s="73">
        <f t="shared" ref="BF6:BF29" si="6">AK6</f>
        <v>0</v>
      </c>
      <c r="BG6" s="73">
        <f t="shared" ref="BG6:BG29" si="7">AM6</f>
        <v>0</v>
      </c>
    </row>
    <row r="7" spans="1:59" ht="14.8" customHeight="1" x14ac:dyDescent="0.25">
      <c r="A7" s="9">
        <f t="shared" si="0"/>
        <v>2</v>
      </c>
      <c r="B7" s="13" t="s">
        <v>20</v>
      </c>
      <c r="C7" s="14"/>
      <c r="D7" s="78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71</v>
      </c>
      <c r="E7" s="12" t="str">
        <f>_xlfn.XLOOKUP($B7,'GP1'!$C$6:$C$101,'GP1'!$B$6:$B$101,"")</f>
        <v/>
      </c>
      <c r="F7" s="77">
        <f>_xlfn.XLOOKUP(E7,'GP1'!$B$6:$B$55,'GP1'!$A$6:$A$55,0)</f>
        <v>0</v>
      </c>
      <c r="G7" s="12" t="str">
        <f>_xlfn.XLOOKUP($B7,'GP2'!$C$6:$C$101,'GP2'!$B$6:$B$101,"")</f>
        <v/>
      </c>
      <c r="H7" s="77">
        <f>_xlfn.XLOOKUP(G7,'GP2'!$B$6:$B$55,'GP2'!$A$6:$A$55,0)</f>
        <v>0</v>
      </c>
      <c r="I7" s="12" t="str">
        <f>_xlfn.XLOOKUP($B7,'GP3'!$C$6:$C$101,'GP3'!$B$6:$B$101,"")</f>
        <v/>
      </c>
      <c r="J7" s="77">
        <f>_xlfn.XLOOKUP(I7,'GP3'!$B$6:$B$55,'GP3'!$A$6:$A$55,0)</f>
        <v>0</v>
      </c>
      <c r="K7" s="12" t="str">
        <f>_xlfn.XLOOKUP($B7,'GP4'!$C$6:$C$101,'GP4'!$B$6:$B$101,"")</f>
        <v/>
      </c>
      <c r="L7" s="77">
        <f>_xlfn.XLOOKUP(K7,'GP4'!$B$6:$B$55,'GP4'!$A$6:$A$55,0)</f>
        <v>0</v>
      </c>
      <c r="M7" s="12" t="str">
        <f>_xlfn.XLOOKUP($B7,'GP5'!$C$6:$C$101,'GP5'!$B$6:$B$101,"")</f>
        <v/>
      </c>
      <c r="N7" s="77">
        <f>_xlfn.XLOOKUP(M7,'GP5'!$B$6:$B$55,'GP5'!$A$6:$A$55,0)</f>
        <v>0</v>
      </c>
      <c r="O7" s="12" t="str">
        <f>_xlfn.XLOOKUP($B7,'GP6'!$C$6:$C$101,'GP6'!$B$6:$B$101,"")</f>
        <v/>
      </c>
      <c r="P7" s="77">
        <f>_xlfn.XLOOKUP(O7,'GP6'!$B$6:$B$55,'GP6'!$A$6:$A$55,0)</f>
        <v>0</v>
      </c>
      <c r="Q7" s="12" t="str">
        <f>_xlfn.XLOOKUP($B7,'GP7'!$C$6:$C$101,'GP7'!$B$6:$B$101,"")</f>
        <v/>
      </c>
      <c r="R7" s="77">
        <f>_xlfn.XLOOKUP(Q7,'GP7'!$B$6:$B$55,'GP7'!$A$6:$A$55,0)</f>
        <v>0</v>
      </c>
      <c r="S7" s="12" t="str">
        <f>_xlfn.XLOOKUP($B7,'GP8'!$C$6:$C$101,'GP8'!$B$6:$B$101,"")</f>
        <v/>
      </c>
      <c r="T7" s="77">
        <f>_xlfn.XLOOKUP(S7,'GP8'!$B$6:$B$55,'GP8'!$A$6:$A$55,0)</f>
        <v>0</v>
      </c>
      <c r="U7" s="12">
        <f>_xlfn.XLOOKUP(B7,MPW!C$6:C$101,MPW!B$6:B$101,"")</f>
        <v>1</v>
      </c>
      <c r="V7" s="76">
        <f>_xlfn.XLOOKUP(U7,MPW!$B$6:$B$55,MPW!$A$6:$A$55,0)</f>
        <v>71</v>
      </c>
      <c r="X7" s="12" t="str">
        <f>_xlfn.XLOOKUP($B7,'PEW1'!$C$6:$C$201,'PEW1'!$B$6:$B$201,"")</f>
        <v/>
      </c>
      <c r="Y7" s="75">
        <f>_xlfn.XLOOKUP(X7,'PEW1'!$B$6:$B$201,'PEW1'!$A$6:$A$201,0)</f>
        <v>0</v>
      </c>
      <c r="Z7" s="12" t="str">
        <f>_xlfn.XLOOKUP($B7,'PEW2'!$C$6:$C$201,'PEW2'!$B$6:$B$201,"")</f>
        <v/>
      </c>
      <c r="AA7" s="75">
        <f>_xlfn.XLOOKUP(Z7,'PEW2'!$B$6:$B$201,'PEW2'!$A$6:$A$201,0)</f>
        <v>0</v>
      </c>
      <c r="AB7" s="12" t="str">
        <f>_xlfn.XLOOKUP($B7,VFC!$C$6:$C$201,VFC!$B$6:$B$201,"")</f>
        <v/>
      </c>
      <c r="AC7" s="75">
        <f>_xlfn.XLOOKUP(AB7,VFC!$B$6:$B$201,VFC!$A$6:$A$201,0)</f>
        <v>0</v>
      </c>
      <c r="AD7" s="12" t="str">
        <f>_xlfn.XLOOKUP($B7,'PEW3'!$C$6:$C$201,'PEW3'!$B$6:$B$201,"")</f>
        <v/>
      </c>
      <c r="AE7" s="75">
        <f>_xlfn.XLOOKUP(AD7,'PEW3'!$B$6:$B$201,'PEW3'!$A$6:$A$201,0)</f>
        <v>0</v>
      </c>
      <c r="AF7" s="12" t="str">
        <f>_xlfn.XLOOKUP($B7,'PEW4'!$C$6:$C$201,'PEW4'!$B$6:$B$201,"")</f>
        <v/>
      </c>
      <c r="AG7" s="75">
        <f>_xlfn.XLOOKUP(AF7,'PEW4'!$B$6:$B$201,'PEW4'!$A$6:$A$201,0)</f>
        <v>0</v>
      </c>
      <c r="AH7" s="12" t="str">
        <f>_xlfn.XLOOKUP($B7,'PEW5'!$C$6:$C$201,'PEW5'!$B$6:$B$201,"")</f>
        <v/>
      </c>
      <c r="AI7" s="75">
        <f>_xlfn.XLOOKUP(AH7,'PEW5'!$B$6:$B$201,'PEW5'!$A$6:$A$201,0)</f>
        <v>0</v>
      </c>
      <c r="AJ7" s="12" t="str">
        <f>_xlfn.XLOOKUP($B7,'PEW6'!$C$6:$C$201,'PEW6'!$B$6:$B$201,"")</f>
        <v/>
      </c>
      <c r="AK7" s="75">
        <f>_xlfn.XLOOKUP(AJ7,'PEW6'!$B$6:$B$201,'PEW6'!$A$6:$A$201,0)</f>
        <v>0</v>
      </c>
      <c r="AL7" s="12" t="str">
        <f>_xlfn.XLOOKUP($B7,'PEW7'!$C$6:$C$201,'PEW7'!$B$6:$B$201,"")</f>
        <v/>
      </c>
      <c r="AM7" s="75">
        <f>_xlfn.XLOOKUP(AL7,'PEW7'!$B$6:$B$201,'PEW7'!$A$6:$A$201,0)</f>
        <v>0</v>
      </c>
      <c r="AN7" s="12" t="str">
        <f>_xlfn.XLOOKUP($B7,'PEW8'!$C$6:$C$201,'PEW8'!$B$6:$B$201,"")</f>
        <v/>
      </c>
      <c r="AO7" s="75">
        <f>_xlfn.XLOOKUP(AN7,'PEW8'!$B$6:$B$201,'PEW8'!$A$6:$A$201,0)</f>
        <v>0</v>
      </c>
      <c r="AP7" s="12" t="str">
        <f>_xlfn.XLOOKUP($B7,'PEW9'!$C$6:$C$201,'PEW9'!$B$6:$B$201,"")</f>
        <v/>
      </c>
      <c r="AQ7" s="75">
        <f>_xlfn.XLOOKUP(AP7,'PEW9'!$B$6:$B$201,'PEW9'!$A$6:$A$201,0)</f>
        <v>0</v>
      </c>
      <c r="AR7" s="12" t="str">
        <f>_xlfn.XLOOKUP($B7,'PEW10'!$C$6:$C$201,'PEW10'!$B$6:$B$201,"")</f>
        <v/>
      </c>
      <c r="AS7" s="75">
        <f>_xlfn.XLOOKUP(AR7,'PEW10'!$B$6:$B$201,'PEW10'!$A$6:$A$201,0)</f>
        <v>0</v>
      </c>
      <c r="AT7" s="12" t="str">
        <f>_xlfn.XLOOKUP($B7,'PEW11'!$C$6:$C$201,'PEW11'!$B$6:$B$201,"")</f>
        <v/>
      </c>
      <c r="AU7" s="75">
        <f>_xlfn.XLOOKUP(AT7,'PEW11'!$B$6:$B$201,'PEW11'!$A$6:$A$201,0)</f>
        <v>0</v>
      </c>
      <c r="AV7" s="12" t="str">
        <f>_xlfn.XLOOKUP($B7,'PEW12'!$C$6:$C$201,'PEW12'!$B$6:$B$201,"")</f>
        <v/>
      </c>
      <c r="AW7" s="75">
        <f>_xlfn.XLOOKUP(AV7,'PEW12'!$B$6:$B$201,'PEW12'!$A$6:$A$201,0)</f>
        <v>0</v>
      </c>
      <c r="AX7" s="12" t="str" cm="1">
        <f t="array" ref="AX7">_xlfn.XLOOKUP($B7,IMEW!C$6:C$201,IMEW!$B$6:B$201,"")</f>
        <v/>
      </c>
      <c r="AY7" s="74">
        <f>_xlfn.XLOOKUP(AX7,IMEW!$B$6:$B$201,IMEW!$A$6:$A$201,0)</f>
        <v>0</v>
      </c>
      <c r="BA7" s="73">
        <f t="shared" si="1"/>
        <v>0</v>
      </c>
      <c r="BB7" s="73">
        <f t="shared" si="2"/>
        <v>0</v>
      </c>
      <c r="BC7" s="73">
        <f t="shared" si="3"/>
        <v>0</v>
      </c>
      <c r="BD7" s="73">
        <f t="shared" si="4"/>
        <v>0</v>
      </c>
      <c r="BE7" s="73">
        <f t="shared" si="5"/>
        <v>0</v>
      </c>
      <c r="BF7" s="73">
        <f t="shared" si="6"/>
        <v>0</v>
      </c>
      <c r="BG7" s="73">
        <f t="shared" si="7"/>
        <v>0</v>
      </c>
    </row>
    <row r="8" spans="1:59" ht="15.8" customHeight="1" x14ac:dyDescent="0.25">
      <c r="A8" s="9">
        <f t="shared" si="0"/>
        <v>3</v>
      </c>
      <c r="B8" s="13" t="s">
        <v>21</v>
      </c>
      <c r="C8" s="14"/>
      <c r="D8" s="78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18.392098453106669</v>
      </c>
      <c r="E8" s="12" t="str">
        <f>_xlfn.XLOOKUP($B8,'GP1'!$C$6:$C$101,'GP1'!$B$6:$B$101,"")</f>
        <v/>
      </c>
      <c r="F8" s="77">
        <f>_xlfn.XLOOKUP(E8,'GP1'!$B$6:$B$55,'GP1'!$A$6:$A$55,0)</f>
        <v>0</v>
      </c>
      <c r="G8" s="12" t="str">
        <f>_xlfn.XLOOKUP($B8,'GP2'!$C$6:$C$101,'GP2'!$B$6:$B$101,"")</f>
        <v/>
      </c>
      <c r="H8" s="77">
        <f>_xlfn.XLOOKUP(G8,'GP2'!$B$6:$B$55,'GP2'!$A$6:$A$55,0)</f>
        <v>0</v>
      </c>
      <c r="I8" s="12" t="str">
        <f>_xlfn.XLOOKUP($B8,'GP3'!$C$6:$C$101,'GP3'!$B$6:$B$101,"")</f>
        <v/>
      </c>
      <c r="J8" s="77">
        <f>_xlfn.XLOOKUP(I8,'GP3'!$B$6:$B$55,'GP3'!$A$6:$A$55,0)</f>
        <v>0</v>
      </c>
      <c r="K8" s="12" t="str">
        <f>_xlfn.XLOOKUP($B8,'GP4'!$C$6:$C$101,'GP4'!$B$6:$B$101,"")</f>
        <v/>
      </c>
      <c r="L8" s="77">
        <f>_xlfn.XLOOKUP(K8,'GP4'!$B$6:$B$55,'GP4'!$A$6:$A$55,0)</f>
        <v>0</v>
      </c>
      <c r="M8" s="12" t="str">
        <f>_xlfn.XLOOKUP($B8,'GP5'!$C$6:$C$101,'GP5'!$B$6:$B$101,"")</f>
        <v/>
      </c>
      <c r="N8" s="77">
        <f>_xlfn.XLOOKUP(M8,'GP5'!$B$6:$B$55,'GP5'!$A$6:$A$55,0)</f>
        <v>0</v>
      </c>
      <c r="O8" s="12" t="str">
        <f>_xlfn.XLOOKUP($B8,'GP6'!$C$6:$C$101,'GP6'!$B$6:$B$101,"")</f>
        <v/>
      </c>
      <c r="P8" s="77">
        <f>_xlfn.XLOOKUP(O8,'GP6'!$B$6:$B$55,'GP6'!$A$6:$A$55,0)</f>
        <v>0</v>
      </c>
      <c r="Q8" s="12" t="str">
        <f>_xlfn.XLOOKUP($B8,'GP7'!$C$6:$C$101,'GP7'!$B$6:$B$101,"")</f>
        <v/>
      </c>
      <c r="R8" s="77">
        <f>_xlfn.XLOOKUP(Q8,'GP7'!$B$6:$B$55,'GP7'!$A$6:$A$55,0)</f>
        <v>0</v>
      </c>
      <c r="S8" s="12" t="str">
        <f>_xlfn.XLOOKUP($B8,'GP8'!$C$6:$C$101,'GP8'!$B$6:$B$101,"")</f>
        <v/>
      </c>
      <c r="T8" s="77">
        <f>_xlfn.XLOOKUP(S8,'GP8'!$B$6:$B$55,'GP8'!$A$6:$A$55,0)</f>
        <v>0</v>
      </c>
      <c r="U8" s="12">
        <f>_xlfn.XLOOKUP(B8,MPW!C$6:C$101,MPW!B$6:B$101,"")</f>
        <v>3</v>
      </c>
      <c r="V8" s="76">
        <f>_xlfn.XLOOKUP(U8,MPW!$B$6:$B$55,MPW!$A$6:$A$55,0)</f>
        <v>18.392098453106669</v>
      </c>
      <c r="X8" s="12" t="str">
        <f>_xlfn.XLOOKUP($B8,'PEW1'!$C$6:$C$201,'PEW1'!$B$6:$B$201,"")</f>
        <v/>
      </c>
      <c r="Y8" s="75">
        <f>_xlfn.XLOOKUP(X8,'PEW1'!$B$6:$B$201,'PEW1'!$A$6:$A$201,0)</f>
        <v>0</v>
      </c>
      <c r="Z8" s="12" t="str">
        <f>_xlfn.XLOOKUP($B8,'PEW2'!$C$6:$C$201,'PEW2'!$B$6:$B$201,"")</f>
        <v/>
      </c>
      <c r="AA8" s="75">
        <f>_xlfn.XLOOKUP(Z8,'PEW2'!$B$6:$B$201,'PEW2'!$A$6:$A$201,0)</f>
        <v>0</v>
      </c>
      <c r="AB8" s="12" t="str">
        <f>_xlfn.XLOOKUP($B8,VFC!$C$6:$C$201,VFC!$B$6:$B$201,"")</f>
        <v/>
      </c>
      <c r="AC8" s="75">
        <f>_xlfn.XLOOKUP(AB8,VFC!$B$6:$B$201,VFC!$A$6:$A$201,0)</f>
        <v>0</v>
      </c>
      <c r="AD8" s="12" t="str">
        <f>_xlfn.XLOOKUP($B8,'PEW3'!$C$6:$C$201,'PEW3'!$B$6:$B$201,"")</f>
        <v/>
      </c>
      <c r="AE8" s="75">
        <f>_xlfn.XLOOKUP(AD8,'PEW3'!$B$6:$B$201,'PEW3'!$A$6:$A$201,0)</f>
        <v>0</v>
      </c>
      <c r="AF8" s="12" t="str">
        <f>_xlfn.XLOOKUP($B8,'PEW4'!$C$6:$C$201,'PEW4'!$B$6:$B$201,"")</f>
        <v/>
      </c>
      <c r="AG8" s="75">
        <f>_xlfn.XLOOKUP(AF8,'PEW4'!$B$6:$B$201,'PEW4'!$A$6:$A$201,0)</f>
        <v>0</v>
      </c>
      <c r="AH8" s="12" t="str">
        <f>_xlfn.XLOOKUP($B8,'PEW5'!$C$6:$C$201,'PEW5'!$B$6:$B$201,"")</f>
        <v/>
      </c>
      <c r="AI8" s="75">
        <f>_xlfn.XLOOKUP(AH8,'PEW5'!$B$6:$B$201,'PEW5'!$A$6:$A$201,0)</f>
        <v>0</v>
      </c>
      <c r="AJ8" s="12" t="str">
        <f>_xlfn.XLOOKUP($B8,'PEW6'!$C$6:$C$201,'PEW6'!$B$6:$B$201,"")</f>
        <v/>
      </c>
      <c r="AK8" s="75">
        <f>_xlfn.XLOOKUP(AJ8,'PEW6'!$B$6:$B$201,'PEW6'!$A$6:$A$201,0)</f>
        <v>0</v>
      </c>
      <c r="AL8" s="12" t="str">
        <f>_xlfn.XLOOKUP($B8,'PEW7'!$C$6:$C$201,'PEW7'!$B$6:$B$201,"")</f>
        <v/>
      </c>
      <c r="AM8" s="75">
        <f>_xlfn.XLOOKUP(AL8,'PEW7'!$B$6:$B$201,'PEW7'!$A$6:$A$201,0)</f>
        <v>0</v>
      </c>
      <c r="AN8" s="12" t="str">
        <f>_xlfn.XLOOKUP($B8,'PEW8'!$C$6:$C$201,'PEW8'!$B$6:$B$201,"")</f>
        <v/>
      </c>
      <c r="AO8" s="75">
        <f>_xlfn.XLOOKUP(AN8,'PEW8'!$B$6:$B$201,'PEW8'!$A$6:$A$201,0)</f>
        <v>0</v>
      </c>
      <c r="AP8" s="12" t="str">
        <f>_xlfn.XLOOKUP($B8,'PEW9'!$C$6:$C$201,'PEW9'!$B$6:$B$201,"")</f>
        <v/>
      </c>
      <c r="AQ8" s="75">
        <f>_xlfn.XLOOKUP(AP8,'PEW9'!$B$6:$B$201,'PEW9'!$A$6:$A$201,0)</f>
        <v>0</v>
      </c>
      <c r="AR8" s="12" t="str">
        <f>_xlfn.XLOOKUP($B8,'PEW10'!$C$6:$C$201,'PEW10'!$B$6:$B$201,"")</f>
        <v/>
      </c>
      <c r="AS8" s="75">
        <f>_xlfn.XLOOKUP(AR8,'PEW10'!$B$6:$B$201,'PEW10'!$A$6:$A$201,0)</f>
        <v>0</v>
      </c>
      <c r="AT8" s="12" t="str">
        <f>_xlfn.XLOOKUP($B8,'PEW11'!$C$6:$C$201,'PEW11'!$B$6:$B$201,"")</f>
        <v/>
      </c>
      <c r="AU8" s="75">
        <f>_xlfn.XLOOKUP(AT8,'PEW11'!$B$6:$B$201,'PEW11'!$A$6:$A$201,0)</f>
        <v>0</v>
      </c>
      <c r="AV8" s="12" t="str">
        <f>_xlfn.XLOOKUP($B8,'PEW12'!$C$6:$C$201,'PEW12'!$B$6:$B$201,"")</f>
        <v/>
      </c>
      <c r="AW8" s="75">
        <f>_xlfn.XLOOKUP(AV8,'PEW12'!$B$6:$B$201,'PEW12'!$A$6:$A$201,0)</f>
        <v>0</v>
      </c>
      <c r="AX8" s="12" t="str" cm="1">
        <f t="array" ref="AX8">_xlfn.XLOOKUP($B8,IMEW!C$6:C$201,IMEW!$B$6:B$201,"")</f>
        <v/>
      </c>
      <c r="AY8" s="74">
        <f>_xlfn.XLOOKUP(AX8,IMEW!$B$6:$B$201,IMEW!$A$6:$A$201,0)</f>
        <v>0</v>
      </c>
      <c r="BA8" s="73">
        <f t="shared" si="1"/>
        <v>0</v>
      </c>
      <c r="BB8" s="73">
        <f t="shared" si="2"/>
        <v>0</v>
      </c>
      <c r="BC8" s="73">
        <f t="shared" si="3"/>
        <v>0</v>
      </c>
      <c r="BD8" s="73">
        <f t="shared" si="4"/>
        <v>0</v>
      </c>
      <c r="BE8" s="73">
        <f t="shared" si="5"/>
        <v>0</v>
      </c>
      <c r="BF8" s="73">
        <f t="shared" si="6"/>
        <v>0</v>
      </c>
      <c r="BG8" s="73">
        <f t="shared" si="7"/>
        <v>0</v>
      </c>
    </row>
    <row r="9" spans="1:59" ht="14.8" customHeight="1" x14ac:dyDescent="0.25">
      <c r="A9" s="9">
        <f t="shared" si="0"/>
        <v>4</v>
      </c>
      <c r="B9" s="13"/>
      <c r="C9" s="14"/>
      <c r="D9" s="78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2">
        <f>_xlfn.XLOOKUP($B9,'GP1'!$C$6:$C$101,'GP1'!$B$6:$B$101,"")</f>
        <v>0</v>
      </c>
      <c r="F9" s="77">
        <f>_xlfn.XLOOKUP(E9,'GP1'!$B$6:$B$55,'GP1'!$A$6:$A$55,0)</f>
        <v>0</v>
      </c>
      <c r="G9" s="12">
        <f>_xlfn.XLOOKUP($B9,'GP2'!$C$6:$C$101,'GP2'!$B$6:$B$101,"")</f>
        <v>0</v>
      </c>
      <c r="H9" s="77">
        <f>_xlfn.XLOOKUP(G9,'GP2'!$B$6:$B$55,'GP2'!$A$6:$A$55,0)</f>
        <v>0</v>
      </c>
      <c r="I9" s="12" t="str">
        <f>_xlfn.XLOOKUP($B9,'GP3'!$C$6:$C$101,'GP3'!$B$6:$B$101,"")</f>
        <v/>
      </c>
      <c r="J9" s="77">
        <f>_xlfn.XLOOKUP(I9,'GP3'!$B$6:$B$55,'GP3'!$A$6:$A$55,0)</f>
        <v>0</v>
      </c>
      <c r="K9" s="12" t="str">
        <f>_xlfn.XLOOKUP($B9,'GP4'!$C$6:$C$101,'GP4'!$B$6:$B$101,"")</f>
        <v/>
      </c>
      <c r="L9" s="77">
        <f>_xlfn.XLOOKUP(K9,'GP4'!$B$6:$B$55,'GP4'!$A$6:$A$55,0)</f>
        <v>0</v>
      </c>
      <c r="M9" s="12" t="str">
        <f>_xlfn.XLOOKUP($B9,'GP5'!$C$6:$C$101,'GP5'!$B$6:$B$101,"")</f>
        <v/>
      </c>
      <c r="N9" s="77">
        <f>_xlfn.XLOOKUP(M9,'GP5'!$B$6:$B$55,'GP5'!$A$6:$A$55,0)</f>
        <v>0</v>
      </c>
      <c r="O9" s="12" t="str">
        <f>_xlfn.XLOOKUP($B9,'GP6'!$C$6:$C$101,'GP6'!$B$6:$B$101,"")</f>
        <v/>
      </c>
      <c r="P9" s="77">
        <f>_xlfn.XLOOKUP(O9,'GP6'!$B$6:$B$55,'GP6'!$A$6:$A$55,0)</f>
        <v>0</v>
      </c>
      <c r="Q9" s="12" t="str">
        <f>_xlfn.XLOOKUP($B9,'GP7'!$C$6:$C$101,'GP7'!$B$6:$B$101,"")</f>
        <v/>
      </c>
      <c r="R9" s="77">
        <f>_xlfn.XLOOKUP(Q9,'GP7'!$B$6:$B$55,'GP7'!$A$6:$A$55,0)</f>
        <v>0</v>
      </c>
      <c r="S9" s="12" t="str">
        <f>_xlfn.XLOOKUP($B9,'GP8'!$C$6:$C$101,'GP8'!$B$6:$B$101,"")</f>
        <v/>
      </c>
      <c r="T9" s="77">
        <f>_xlfn.XLOOKUP(S9,'GP8'!$B$6:$B$55,'GP8'!$A$6:$A$55,0)</f>
        <v>0</v>
      </c>
      <c r="U9" s="12" t="str">
        <f>_xlfn.XLOOKUP(B9,MPW!C$6:C$101,MPW!B$6:B$101,"")</f>
        <v/>
      </c>
      <c r="V9" s="76">
        <f>_xlfn.XLOOKUP(U9,MPW!$B$6:$B$55,MPW!$A$6:$A$55,0)</f>
        <v>0</v>
      </c>
      <c r="X9" s="12" t="str">
        <f>_xlfn.XLOOKUP($B9,'PEW1'!$C$6:$C$201,'PEW1'!$B$6:$B$201,"")</f>
        <v/>
      </c>
      <c r="Y9" s="75">
        <f>_xlfn.XLOOKUP(X9,'PEW1'!$B$6:$B$201,'PEW1'!$A$6:$A$201,0)</f>
        <v>0</v>
      </c>
      <c r="Z9" s="12" t="str">
        <f>_xlfn.XLOOKUP($B9,'PEW2'!$C$6:$C$201,'PEW2'!$B$6:$B$201,"")</f>
        <v/>
      </c>
      <c r="AA9" s="75">
        <f>_xlfn.XLOOKUP(Z9,'PEW2'!$B$6:$B$201,'PEW2'!$A$6:$A$201,0)</f>
        <v>0</v>
      </c>
      <c r="AB9" s="12" t="str">
        <f>_xlfn.XLOOKUP($B9,VFC!$C$6:$C$201,VFC!$B$6:$B$201,"")</f>
        <v/>
      </c>
      <c r="AC9" s="75">
        <f>_xlfn.XLOOKUP(AB9,VFC!$B$6:$B$201,VFC!$A$6:$A$201,0)</f>
        <v>0</v>
      </c>
      <c r="AD9" s="12" t="str">
        <f>_xlfn.XLOOKUP($B9,'PEW3'!$C$6:$C$201,'PEW3'!$B$6:$B$201,"")</f>
        <v/>
      </c>
      <c r="AE9" s="75">
        <f>_xlfn.XLOOKUP(AD9,'PEW3'!$B$6:$B$201,'PEW3'!$A$6:$A$201,0)</f>
        <v>0</v>
      </c>
      <c r="AF9" s="12" t="str">
        <f>_xlfn.XLOOKUP($B9,'PEW4'!$C$6:$C$201,'PEW4'!$B$6:$B$201,"")</f>
        <v/>
      </c>
      <c r="AG9" s="75">
        <f>_xlfn.XLOOKUP(AF9,'PEW4'!$B$6:$B$201,'PEW4'!$A$6:$A$201,0)</f>
        <v>0</v>
      </c>
      <c r="AH9" s="12" t="str">
        <f>_xlfn.XLOOKUP($B9,'PEW5'!$C$6:$C$201,'PEW5'!$B$6:$B$201,"")</f>
        <v/>
      </c>
      <c r="AI9" s="75">
        <f>_xlfn.XLOOKUP(AH9,'PEW5'!$B$6:$B$201,'PEW5'!$A$6:$A$201,0)</f>
        <v>0</v>
      </c>
      <c r="AJ9" s="12" t="str">
        <f>_xlfn.XLOOKUP($B9,'PEW6'!$C$6:$C$201,'PEW6'!$B$6:$B$201,"")</f>
        <v/>
      </c>
      <c r="AK9" s="75">
        <f>_xlfn.XLOOKUP(AJ9,'PEW6'!$B$6:$B$201,'PEW6'!$A$6:$A$201,0)</f>
        <v>0</v>
      </c>
      <c r="AL9" s="12" t="str">
        <f>_xlfn.XLOOKUP($B9,'PEW7'!$C$6:$C$201,'PEW7'!$B$6:$B$201,"")</f>
        <v/>
      </c>
      <c r="AM9" s="75">
        <f>_xlfn.XLOOKUP(AL9,'PEW7'!$B$6:$B$201,'PEW7'!$A$6:$A$201,0)</f>
        <v>0</v>
      </c>
      <c r="AN9" s="12" t="str">
        <f>_xlfn.XLOOKUP($B9,'PEW8'!$C$6:$C$201,'PEW8'!$B$6:$B$201,"")</f>
        <v/>
      </c>
      <c r="AO9" s="75">
        <f>_xlfn.XLOOKUP(AN9,'PEW8'!$B$6:$B$201,'PEW8'!$A$6:$A$201,0)</f>
        <v>0</v>
      </c>
      <c r="AP9" s="12" t="str">
        <f>_xlfn.XLOOKUP($B9,'PEW9'!$C$6:$C$201,'PEW9'!$B$6:$B$201,"")</f>
        <v/>
      </c>
      <c r="AQ9" s="75">
        <f>_xlfn.XLOOKUP(AP9,'PEW9'!$B$6:$B$201,'PEW9'!$A$6:$A$201,0)</f>
        <v>0</v>
      </c>
      <c r="AR9" s="12" t="str">
        <f>_xlfn.XLOOKUP($B9,'PEW10'!$C$6:$C$201,'PEW10'!$B$6:$B$201,"")</f>
        <v/>
      </c>
      <c r="AS9" s="75">
        <f>_xlfn.XLOOKUP(AR9,'PEW10'!$B$6:$B$201,'PEW10'!$A$6:$A$201,0)</f>
        <v>0</v>
      </c>
      <c r="AT9" s="12" t="str">
        <f>_xlfn.XLOOKUP($B9,'PEW11'!$C$6:$C$201,'PEW11'!$B$6:$B$201,"")</f>
        <v/>
      </c>
      <c r="AU9" s="75">
        <f>_xlfn.XLOOKUP(AT9,'PEW11'!$B$6:$B$201,'PEW11'!$A$6:$A$201,0)</f>
        <v>0</v>
      </c>
      <c r="AV9" s="12" t="str">
        <f>_xlfn.XLOOKUP($B9,'PEW12'!$C$6:$C$201,'PEW12'!$B$6:$B$201,"")</f>
        <v/>
      </c>
      <c r="AW9" s="75">
        <f>_xlfn.XLOOKUP(AV9,'PEW12'!$B$6:$B$201,'PEW12'!$A$6:$A$201,0)</f>
        <v>0</v>
      </c>
      <c r="AX9" s="12" t="str" cm="1">
        <f t="array" ref="AX9">_xlfn.XLOOKUP($B9,IMEW!C$6:C$201,IMEW!$B$6:B$201,"")</f>
        <v/>
      </c>
      <c r="AY9" s="74">
        <f>_xlfn.XLOOKUP(AX9,IMEW!$B$6:$B$201,IMEW!$A$6:$A$201,0)</f>
        <v>0</v>
      </c>
      <c r="BA9" s="73">
        <f t="shared" si="1"/>
        <v>0</v>
      </c>
      <c r="BB9" s="73">
        <f t="shared" si="2"/>
        <v>0</v>
      </c>
      <c r="BC9" s="73">
        <f t="shared" si="3"/>
        <v>0</v>
      </c>
      <c r="BD9" s="73">
        <f t="shared" si="4"/>
        <v>0</v>
      </c>
      <c r="BE9" s="73">
        <f t="shared" si="5"/>
        <v>0</v>
      </c>
      <c r="BF9" s="73">
        <f t="shared" si="6"/>
        <v>0</v>
      </c>
      <c r="BG9" s="73">
        <f t="shared" si="7"/>
        <v>0</v>
      </c>
    </row>
    <row r="10" spans="1:59" ht="14.8" customHeight="1" x14ac:dyDescent="0.25">
      <c r="A10" s="9">
        <f t="shared" si="0"/>
        <v>5</v>
      </c>
      <c r="B10" s="13"/>
      <c r="C10" s="14"/>
      <c r="D10" s="78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2">
        <f>_xlfn.XLOOKUP($B10,'GP1'!$C$6:$C$101,'GP1'!$B$6:$B$101,"")</f>
        <v>0</v>
      </c>
      <c r="F10" s="77">
        <f>_xlfn.XLOOKUP(E10,'GP1'!$B$6:$B$55,'GP1'!$A$6:$A$55,0)</f>
        <v>0</v>
      </c>
      <c r="G10" s="12">
        <f>_xlfn.XLOOKUP($B10,'GP2'!$C$6:$C$101,'GP2'!$B$6:$B$101,"")</f>
        <v>0</v>
      </c>
      <c r="H10" s="77">
        <f>_xlfn.XLOOKUP(G10,'GP2'!$B$6:$B$55,'GP2'!$A$6:$A$55,0)</f>
        <v>0</v>
      </c>
      <c r="I10" s="12" t="str">
        <f>_xlfn.XLOOKUP($B10,'GP3'!$C$6:$C$101,'GP3'!$B$6:$B$101,"")</f>
        <v/>
      </c>
      <c r="J10" s="77">
        <f>_xlfn.XLOOKUP(I10,'GP3'!$B$6:$B$55,'GP3'!$A$6:$A$55,0)</f>
        <v>0</v>
      </c>
      <c r="K10" s="12" t="str">
        <f>_xlfn.XLOOKUP($B10,'GP4'!$C$6:$C$101,'GP4'!$B$6:$B$101,"")</f>
        <v/>
      </c>
      <c r="L10" s="77">
        <f>_xlfn.XLOOKUP(K10,'GP4'!$B$6:$B$55,'GP4'!$A$6:$A$55,0)</f>
        <v>0</v>
      </c>
      <c r="M10" s="12" t="str">
        <f>_xlfn.XLOOKUP($B10,'GP5'!$C$6:$C$101,'GP5'!$B$6:$B$101,"")</f>
        <v/>
      </c>
      <c r="N10" s="77">
        <f>_xlfn.XLOOKUP(M10,'GP5'!$B$6:$B$55,'GP5'!$A$6:$A$55,0)</f>
        <v>0</v>
      </c>
      <c r="O10" s="12" t="str">
        <f>_xlfn.XLOOKUP($B10,'GP6'!$C$6:$C$101,'GP6'!$B$6:$B$101,"")</f>
        <v/>
      </c>
      <c r="P10" s="77">
        <f>_xlfn.XLOOKUP(O10,'GP6'!$B$6:$B$55,'GP6'!$A$6:$A$55,0)</f>
        <v>0</v>
      </c>
      <c r="Q10" s="12" t="str">
        <f>_xlfn.XLOOKUP($B10,'GP7'!$C$6:$C$101,'GP7'!$B$6:$B$101,"")</f>
        <v/>
      </c>
      <c r="R10" s="77">
        <f>_xlfn.XLOOKUP(Q10,'GP7'!$B$6:$B$55,'GP7'!$A$6:$A$55,0)</f>
        <v>0</v>
      </c>
      <c r="S10" s="12" t="str">
        <f>_xlfn.XLOOKUP($B10,'GP8'!$C$6:$C$101,'GP8'!$B$6:$B$101,"")</f>
        <v/>
      </c>
      <c r="T10" s="77">
        <f>_xlfn.XLOOKUP(S10,'GP8'!$B$6:$B$55,'GP8'!$A$6:$A$55,0)</f>
        <v>0</v>
      </c>
      <c r="U10" s="12" t="str">
        <f>_xlfn.XLOOKUP(B10,MPW!C$6:C$101,MPW!B$6:B$101,"")</f>
        <v/>
      </c>
      <c r="V10" s="76">
        <f>_xlfn.XLOOKUP(U10,MPW!$B$6:$B$55,MPW!$A$6:$A$55,0)</f>
        <v>0</v>
      </c>
      <c r="X10" s="12" t="str">
        <f>_xlfn.XLOOKUP($B10,'PEW1'!$C$6:$C$201,'PEW1'!$B$6:$B$201,"")</f>
        <v/>
      </c>
      <c r="Y10" s="75">
        <f>_xlfn.XLOOKUP(X10,'PEW1'!$B$6:$B$201,'PEW1'!$A$6:$A$201,0)</f>
        <v>0</v>
      </c>
      <c r="Z10" s="12" t="str">
        <f>_xlfn.XLOOKUP($B10,'PEW2'!$C$6:$C$201,'PEW2'!$B$6:$B$201,"")</f>
        <v/>
      </c>
      <c r="AA10" s="75">
        <f>_xlfn.XLOOKUP(Z10,'PEW2'!$B$6:$B$201,'PEW2'!$A$6:$A$201,0)</f>
        <v>0</v>
      </c>
      <c r="AB10" s="12" t="str">
        <f>_xlfn.XLOOKUP($B10,VFC!$C$6:$C$201,VFC!$B$6:$B$201,"")</f>
        <v/>
      </c>
      <c r="AC10" s="75">
        <f>_xlfn.XLOOKUP(AB10,VFC!$B$6:$B$201,VFC!$A$6:$A$201,0)</f>
        <v>0</v>
      </c>
      <c r="AD10" s="12" t="str">
        <f>_xlfn.XLOOKUP($B10,'PEW3'!$C$6:$C$201,'PEW3'!$B$6:$B$201,"")</f>
        <v/>
      </c>
      <c r="AE10" s="75">
        <f>_xlfn.XLOOKUP(AD10,'PEW3'!$B$6:$B$201,'PEW3'!$A$6:$A$201,0)</f>
        <v>0</v>
      </c>
      <c r="AF10" s="12" t="str">
        <f>_xlfn.XLOOKUP($B10,'PEW4'!$C$6:$C$201,'PEW4'!$B$6:$B$201,"")</f>
        <v/>
      </c>
      <c r="AG10" s="75">
        <f>_xlfn.XLOOKUP(AF10,'PEW4'!$B$6:$B$201,'PEW4'!$A$6:$A$201,0)</f>
        <v>0</v>
      </c>
      <c r="AH10" s="12" t="str">
        <f>_xlfn.XLOOKUP($B10,'PEW5'!$C$6:$C$201,'PEW5'!$B$6:$B$201,"")</f>
        <v/>
      </c>
      <c r="AI10" s="75">
        <f>_xlfn.XLOOKUP(AH10,'PEW5'!$B$6:$B$201,'PEW5'!$A$6:$A$201,0)</f>
        <v>0</v>
      </c>
      <c r="AJ10" s="12" t="str">
        <f>_xlfn.XLOOKUP($B10,'PEW6'!$C$6:$C$201,'PEW6'!$B$6:$B$201,"")</f>
        <v/>
      </c>
      <c r="AK10" s="75">
        <f>_xlfn.XLOOKUP(AJ10,'PEW6'!$B$6:$B$201,'PEW6'!$A$6:$A$201,0)</f>
        <v>0</v>
      </c>
      <c r="AL10" s="12" t="str">
        <f>_xlfn.XLOOKUP($B10,'PEW7'!$C$6:$C$201,'PEW7'!$B$6:$B$201,"")</f>
        <v/>
      </c>
      <c r="AM10" s="75">
        <f>_xlfn.XLOOKUP(AL10,'PEW7'!$B$6:$B$201,'PEW7'!$A$6:$A$201,0)</f>
        <v>0</v>
      </c>
      <c r="AN10" s="12" t="str">
        <f>_xlfn.XLOOKUP($B10,'PEW8'!$C$6:$C$201,'PEW8'!$B$6:$B$201,"")</f>
        <v/>
      </c>
      <c r="AO10" s="75">
        <f>_xlfn.XLOOKUP(AN10,'PEW8'!$B$6:$B$201,'PEW8'!$A$6:$A$201,0)</f>
        <v>0</v>
      </c>
      <c r="AP10" s="12" t="str">
        <f>_xlfn.XLOOKUP($B10,'PEW9'!$C$6:$C$201,'PEW9'!$B$6:$B$201,"")</f>
        <v/>
      </c>
      <c r="AQ10" s="75">
        <f>_xlfn.XLOOKUP(AP10,'PEW9'!$B$6:$B$201,'PEW9'!$A$6:$A$201,0)</f>
        <v>0</v>
      </c>
      <c r="AR10" s="12" t="str">
        <f>_xlfn.XLOOKUP($B10,'PEW10'!$C$6:$C$201,'PEW10'!$B$6:$B$201,"")</f>
        <v/>
      </c>
      <c r="AS10" s="75">
        <f>_xlfn.XLOOKUP(AR10,'PEW10'!$B$6:$B$201,'PEW10'!$A$6:$A$201,0)</f>
        <v>0</v>
      </c>
      <c r="AT10" s="12" t="str">
        <f>_xlfn.XLOOKUP($B10,'PEW11'!$C$6:$C$201,'PEW11'!$B$6:$B$201,"")</f>
        <v/>
      </c>
      <c r="AU10" s="75">
        <f>_xlfn.XLOOKUP(AT10,'PEW11'!$B$6:$B$201,'PEW11'!$A$6:$A$201,0)</f>
        <v>0</v>
      </c>
      <c r="AV10" s="12" t="str">
        <f>_xlfn.XLOOKUP($B10,'PEW12'!$C$6:$C$201,'PEW12'!$B$6:$B$201,"")</f>
        <v/>
      </c>
      <c r="AW10" s="75">
        <f>_xlfn.XLOOKUP(AV10,'PEW12'!$B$6:$B$201,'PEW12'!$A$6:$A$201,0)</f>
        <v>0</v>
      </c>
      <c r="AX10" s="12" t="str" cm="1">
        <f t="array" ref="AX10">_xlfn.XLOOKUP($B10,IMEW!C$6:C$201,IMEW!$B$6:B$201,"")</f>
        <v/>
      </c>
      <c r="AY10" s="74">
        <f>_xlfn.XLOOKUP(AX10,IMEW!$B$6:$B$201,IMEW!$A$6:$A$201,0)</f>
        <v>0</v>
      </c>
      <c r="BA10" s="73">
        <f t="shared" si="1"/>
        <v>0</v>
      </c>
      <c r="BB10" s="73">
        <f t="shared" si="2"/>
        <v>0</v>
      </c>
      <c r="BC10" s="73">
        <f t="shared" si="3"/>
        <v>0</v>
      </c>
      <c r="BD10" s="73">
        <f t="shared" si="4"/>
        <v>0</v>
      </c>
      <c r="BE10" s="73">
        <f t="shared" si="5"/>
        <v>0</v>
      </c>
      <c r="BF10" s="73">
        <f t="shared" si="6"/>
        <v>0</v>
      </c>
      <c r="BG10" s="73">
        <f t="shared" si="7"/>
        <v>0</v>
      </c>
    </row>
    <row r="11" spans="1:59" ht="14.8" customHeight="1" x14ac:dyDescent="0.25">
      <c r="A11" s="9">
        <f t="shared" si="0"/>
        <v>6</v>
      </c>
      <c r="B11" s="13"/>
      <c r="C11" s="14"/>
      <c r="D11" s="78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2">
        <f>_xlfn.XLOOKUP($B11,'GP1'!$C$6:$C$101,'GP1'!$B$6:$B$101,"")</f>
        <v>0</v>
      </c>
      <c r="F11" s="77">
        <f>_xlfn.XLOOKUP(E11,'GP1'!$B$6:$B$55,'GP1'!$A$6:$A$55,0)</f>
        <v>0</v>
      </c>
      <c r="G11" s="12">
        <f>_xlfn.XLOOKUP($B11,'GP2'!$C$6:$C$101,'GP2'!$B$6:$B$101,"")</f>
        <v>0</v>
      </c>
      <c r="H11" s="77">
        <f>_xlfn.XLOOKUP(G11,'GP2'!$B$6:$B$55,'GP2'!$A$6:$A$55,0)</f>
        <v>0</v>
      </c>
      <c r="I11" s="12" t="str">
        <f>_xlfn.XLOOKUP($B11,'GP3'!$C$6:$C$101,'GP3'!$B$6:$B$101,"")</f>
        <v/>
      </c>
      <c r="J11" s="77">
        <f>_xlfn.XLOOKUP(I11,'GP3'!$B$6:$B$55,'GP3'!$A$6:$A$55,0)</f>
        <v>0</v>
      </c>
      <c r="K11" s="12" t="str">
        <f>_xlfn.XLOOKUP($B11,'GP4'!$C$6:$C$101,'GP4'!$B$6:$B$101,"")</f>
        <v/>
      </c>
      <c r="L11" s="77">
        <f>_xlfn.XLOOKUP(K11,'GP4'!$B$6:$B$55,'GP4'!$A$6:$A$55,0)</f>
        <v>0</v>
      </c>
      <c r="M11" s="12" t="str">
        <f>_xlfn.XLOOKUP($B11,'GP5'!$C$6:$C$101,'GP5'!$B$6:$B$101,"")</f>
        <v/>
      </c>
      <c r="N11" s="77">
        <f>_xlfn.XLOOKUP(M11,'GP5'!$B$6:$B$55,'GP5'!$A$6:$A$55,0)</f>
        <v>0</v>
      </c>
      <c r="O11" s="12" t="str">
        <f>_xlfn.XLOOKUP($B11,'GP6'!$C$6:$C$101,'GP6'!$B$6:$B$101,"")</f>
        <v/>
      </c>
      <c r="P11" s="77">
        <f>_xlfn.XLOOKUP(O11,'GP6'!$B$6:$B$55,'GP6'!$A$6:$A$55,0)</f>
        <v>0</v>
      </c>
      <c r="Q11" s="12" t="str">
        <f>_xlfn.XLOOKUP($B11,'GP7'!$C$6:$C$101,'GP7'!$B$6:$B$101,"")</f>
        <v/>
      </c>
      <c r="R11" s="77">
        <f>_xlfn.XLOOKUP(Q11,'GP7'!$B$6:$B$55,'GP7'!$A$6:$A$55,0)</f>
        <v>0</v>
      </c>
      <c r="S11" s="12" t="str">
        <f>_xlfn.XLOOKUP($B11,'GP8'!$C$6:$C$101,'GP8'!$B$6:$B$101,"")</f>
        <v/>
      </c>
      <c r="T11" s="77">
        <f>_xlfn.XLOOKUP(S11,'GP8'!$B$6:$B$55,'GP8'!$A$6:$A$55,0)</f>
        <v>0</v>
      </c>
      <c r="U11" s="12" t="str">
        <f>_xlfn.XLOOKUP(B11,MPW!C$6:C$101,MPW!B$6:B$101,"")</f>
        <v/>
      </c>
      <c r="V11" s="76">
        <f>_xlfn.XLOOKUP(U11,MPW!$B$6:$B$55,MPW!$A$6:$A$55,0)</f>
        <v>0</v>
      </c>
      <c r="X11" s="12" t="str">
        <f>_xlfn.XLOOKUP($B11,'PEW1'!$C$6:$C$201,'PEW1'!$B$6:$B$201,"")</f>
        <v/>
      </c>
      <c r="Y11" s="75">
        <f>_xlfn.XLOOKUP(X11,'PEW1'!$B$6:$B$201,'PEW1'!$A$6:$A$201,0)</f>
        <v>0</v>
      </c>
      <c r="Z11" s="12" t="str">
        <f>_xlfn.XLOOKUP($B11,'PEW2'!$C$6:$C$201,'PEW2'!$B$6:$B$201,"")</f>
        <v/>
      </c>
      <c r="AA11" s="75">
        <f>_xlfn.XLOOKUP(Z11,'PEW2'!$B$6:$B$201,'PEW2'!$A$6:$A$201,0)</f>
        <v>0</v>
      </c>
      <c r="AB11" s="12" t="str">
        <f>_xlfn.XLOOKUP($B11,VFC!$C$6:$C$201,VFC!$B$6:$B$201,"")</f>
        <v/>
      </c>
      <c r="AC11" s="75">
        <f>_xlfn.XLOOKUP(AB11,VFC!$B$6:$B$201,VFC!$A$6:$A$201,0)</f>
        <v>0</v>
      </c>
      <c r="AD11" s="12" t="str">
        <f>_xlfn.XLOOKUP($B11,'PEW3'!$C$6:$C$201,'PEW3'!$B$6:$B$201,"")</f>
        <v/>
      </c>
      <c r="AE11" s="75">
        <f>_xlfn.XLOOKUP(AD11,'PEW3'!$B$6:$B$201,'PEW3'!$A$6:$A$201,0)</f>
        <v>0</v>
      </c>
      <c r="AF11" s="12" t="str">
        <f>_xlfn.XLOOKUP($B11,'PEW4'!$C$6:$C$201,'PEW4'!$B$6:$B$201,"")</f>
        <v/>
      </c>
      <c r="AG11" s="75">
        <f>_xlfn.XLOOKUP(AF11,'PEW4'!$B$6:$B$201,'PEW4'!$A$6:$A$201,0)</f>
        <v>0</v>
      </c>
      <c r="AH11" s="12" t="str">
        <f>_xlfn.XLOOKUP($B11,'PEW5'!$C$6:$C$201,'PEW5'!$B$6:$B$201,"")</f>
        <v/>
      </c>
      <c r="AI11" s="75">
        <f>_xlfn.XLOOKUP(AH11,'PEW5'!$B$6:$B$201,'PEW5'!$A$6:$A$201,0)</f>
        <v>0</v>
      </c>
      <c r="AJ11" s="12" t="str">
        <f>_xlfn.XLOOKUP($B11,'PEW6'!$C$6:$C$201,'PEW6'!$B$6:$B$201,"")</f>
        <v/>
      </c>
      <c r="AK11" s="75">
        <f>_xlfn.XLOOKUP(AJ11,'PEW6'!$B$6:$B$201,'PEW6'!$A$6:$A$201,0)</f>
        <v>0</v>
      </c>
      <c r="AL11" s="12" t="str">
        <f>_xlfn.XLOOKUP($B11,'PEW7'!$C$6:$C$201,'PEW7'!$B$6:$B$201,"")</f>
        <v/>
      </c>
      <c r="AM11" s="75">
        <f>_xlfn.XLOOKUP(AL11,'PEW7'!$B$6:$B$201,'PEW7'!$A$6:$A$201,0)</f>
        <v>0</v>
      </c>
      <c r="AN11" s="12" t="str">
        <f>_xlfn.XLOOKUP($B11,'PEW8'!$C$6:$C$201,'PEW8'!$B$6:$B$201,"")</f>
        <v/>
      </c>
      <c r="AO11" s="75">
        <f>_xlfn.XLOOKUP(AN11,'PEW8'!$B$6:$B$201,'PEW8'!$A$6:$A$201,0)</f>
        <v>0</v>
      </c>
      <c r="AP11" s="12" t="str">
        <f>_xlfn.XLOOKUP($B11,'PEW9'!$C$6:$C$201,'PEW9'!$B$6:$B$201,"")</f>
        <v/>
      </c>
      <c r="AQ11" s="75">
        <f>_xlfn.XLOOKUP(AP11,'PEW9'!$B$6:$B$201,'PEW9'!$A$6:$A$201,0)</f>
        <v>0</v>
      </c>
      <c r="AR11" s="12" t="str">
        <f>_xlfn.XLOOKUP($B11,'PEW10'!$C$6:$C$201,'PEW10'!$B$6:$B$201,"")</f>
        <v/>
      </c>
      <c r="AS11" s="75">
        <f>_xlfn.XLOOKUP(AR11,'PEW10'!$B$6:$B$201,'PEW10'!$A$6:$A$201,0)</f>
        <v>0</v>
      </c>
      <c r="AT11" s="12" t="str">
        <f>_xlfn.XLOOKUP($B11,'PEW11'!$C$6:$C$201,'PEW11'!$B$6:$B$201,"")</f>
        <v/>
      </c>
      <c r="AU11" s="75">
        <f>_xlfn.XLOOKUP(AT11,'PEW11'!$B$6:$B$201,'PEW11'!$A$6:$A$201,0)</f>
        <v>0</v>
      </c>
      <c r="AV11" s="12" t="str">
        <f>_xlfn.XLOOKUP($B11,'PEW12'!$C$6:$C$201,'PEW12'!$B$6:$B$201,"")</f>
        <v/>
      </c>
      <c r="AW11" s="75">
        <f>_xlfn.XLOOKUP(AV11,'PEW12'!$B$6:$B$201,'PEW12'!$A$6:$A$201,0)</f>
        <v>0</v>
      </c>
      <c r="AX11" s="12" t="str" cm="1">
        <f t="array" ref="AX11">_xlfn.XLOOKUP($B11,IMEW!C$6:C$201,IMEW!$B$6:B$201,"")</f>
        <v/>
      </c>
      <c r="AY11" s="74">
        <f>_xlfn.XLOOKUP(AX11,IMEW!$B$6:$B$201,IMEW!$A$6:$A$201,0)</f>
        <v>0</v>
      </c>
      <c r="BA11" s="73">
        <f t="shared" si="1"/>
        <v>0</v>
      </c>
      <c r="BB11" s="73">
        <f t="shared" si="2"/>
        <v>0</v>
      </c>
      <c r="BC11" s="73">
        <f t="shared" si="3"/>
        <v>0</v>
      </c>
      <c r="BD11" s="73">
        <f t="shared" si="4"/>
        <v>0</v>
      </c>
      <c r="BE11" s="73">
        <f t="shared" si="5"/>
        <v>0</v>
      </c>
      <c r="BF11" s="73">
        <f t="shared" si="6"/>
        <v>0</v>
      </c>
      <c r="BG11" s="73">
        <f t="shared" si="7"/>
        <v>0</v>
      </c>
    </row>
    <row r="12" spans="1:59" ht="14.8" customHeight="1" x14ac:dyDescent="0.25">
      <c r="A12" s="9">
        <f t="shared" si="0"/>
        <v>7</v>
      </c>
      <c r="B12" s="13"/>
      <c r="C12" s="14"/>
      <c r="D12" s="78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2">
        <f>_xlfn.XLOOKUP($B12,'GP1'!$C$6:$C$101,'GP1'!$B$6:$B$101,"")</f>
        <v>0</v>
      </c>
      <c r="F12" s="77">
        <f>_xlfn.XLOOKUP(E12,'GP1'!$B$6:$B$55,'GP1'!$A$6:$A$55,0)</f>
        <v>0</v>
      </c>
      <c r="G12" s="12">
        <f>_xlfn.XLOOKUP($B12,'GP2'!$C$6:$C$101,'GP2'!$B$6:$B$101,"")</f>
        <v>0</v>
      </c>
      <c r="H12" s="77">
        <f>_xlfn.XLOOKUP(G12,'GP2'!$B$6:$B$55,'GP2'!$A$6:$A$55,0)</f>
        <v>0</v>
      </c>
      <c r="I12" s="12" t="str">
        <f>_xlfn.XLOOKUP($B12,'GP3'!$C$6:$C$101,'GP3'!$B$6:$B$101,"")</f>
        <v/>
      </c>
      <c r="J12" s="77">
        <f>_xlfn.XLOOKUP(I12,'GP3'!$B$6:$B$55,'GP3'!$A$6:$A$55,0)</f>
        <v>0</v>
      </c>
      <c r="K12" s="12" t="str">
        <f>_xlfn.XLOOKUP($B12,'GP4'!$C$6:$C$101,'GP4'!$B$6:$B$101,"")</f>
        <v/>
      </c>
      <c r="L12" s="77">
        <f>_xlfn.XLOOKUP(K12,'GP4'!$B$6:$B$55,'GP4'!$A$6:$A$55,0)</f>
        <v>0</v>
      </c>
      <c r="M12" s="12" t="str">
        <f>_xlfn.XLOOKUP($B12,'GP5'!$C$6:$C$101,'GP5'!$B$6:$B$101,"")</f>
        <v/>
      </c>
      <c r="N12" s="77">
        <f>_xlfn.XLOOKUP(M12,'GP5'!$B$6:$B$55,'GP5'!$A$6:$A$55,0)</f>
        <v>0</v>
      </c>
      <c r="O12" s="12" t="str">
        <f>_xlfn.XLOOKUP($B12,'GP6'!$C$6:$C$101,'GP6'!$B$6:$B$101,"")</f>
        <v/>
      </c>
      <c r="P12" s="77">
        <f>_xlfn.XLOOKUP(O12,'GP6'!$B$6:$B$55,'GP6'!$A$6:$A$55,0)</f>
        <v>0</v>
      </c>
      <c r="Q12" s="12" t="str">
        <f>_xlfn.XLOOKUP($B12,'GP7'!$C$6:$C$101,'GP7'!$B$6:$B$101,"")</f>
        <v/>
      </c>
      <c r="R12" s="77">
        <f>_xlfn.XLOOKUP(Q12,'GP7'!$B$6:$B$55,'GP7'!$A$6:$A$55,0)</f>
        <v>0</v>
      </c>
      <c r="S12" s="12" t="str">
        <f>_xlfn.XLOOKUP($B12,'GP8'!$C$6:$C$101,'GP8'!$B$6:$B$101,"")</f>
        <v/>
      </c>
      <c r="T12" s="77">
        <f>_xlfn.XLOOKUP(S12,'GP8'!$B$6:$B$55,'GP8'!$A$6:$A$55,0)</f>
        <v>0</v>
      </c>
      <c r="U12" s="12" t="str">
        <f>_xlfn.XLOOKUP(B12,MPW!C$6:C$101,MPW!B$6:B$101,"")</f>
        <v/>
      </c>
      <c r="V12" s="76">
        <f>_xlfn.XLOOKUP(U12,MPW!$B$6:$B$55,MPW!$A$6:$A$55,0)</f>
        <v>0</v>
      </c>
      <c r="X12" s="12" t="str">
        <f>_xlfn.XLOOKUP($B12,'PEW1'!$C$6:$C$201,'PEW1'!$B$6:$B$201,"")</f>
        <v/>
      </c>
      <c r="Y12" s="75">
        <f>_xlfn.XLOOKUP(X12,'PEW1'!$B$6:$B$201,'PEW1'!$A$6:$A$201,0)</f>
        <v>0</v>
      </c>
      <c r="Z12" s="12" t="str">
        <f>_xlfn.XLOOKUP($B12,'PEW2'!$C$6:$C$201,'PEW2'!$B$6:$B$201,"")</f>
        <v/>
      </c>
      <c r="AA12" s="75">
        <f>_xlfn.XLOOKUP(Z12,'PEW2'!$B$6:$B$201,'PEW2'!$A$6:$A$201,0)</f>
        <v>0</v>
      </c>
      <c r="AB12" s="12" t="str">
        <f>_xlfn.XLOOKUP($B12,VFC!$C$6:$C$201,VFC!$B$6:$B$201,"")</f>
        <v/>
      </c>
      <c r="AC12" s="75">
        <f>_xlfn.XLOOKUP(AB12,VFC!$B$6:$B$201,VFC!$A$6:$A$201,0)</f>
        <v>0</v>
      </c>
      <c r="AD12" s="12" t="str">
        <f>_xlfn.XLOOKUP($B12,'PEW3'!$C$6:$C$201,'PEW3'!$B$6:$B$201,"")</f>
        <v/>
      </c>
      <c r="AE12" s="75">
        <f>_xlfn.XLOOKUP(AD12,'PEW3'!$B$6:$B$201,'PEW3'!$A$6:$A$201,0)</f>
        <v>0</v>
      </c>
      <c r="AF12" s="12" t="str">
        <f>_xlfn.XLOOKUP($B12,'PEW4'!$C$6:$C$201,'PEW4'!$B$6:$B$201,"")</f>
        <v/>
      </c>
      <c r="AG12" s="75">
        <f>_xlfn.XLOOKUP(AF12,'PEW4'!$B$6:$B$201,'PEW4'!$A$6:$A$201,0)</f>
        <v>0</v>
      </c>
      <c r="AH12" s="12" t="str">
        <f>_xlfn.XLOOKUP($B12,'PEW5'!$C$6:$C$201,'PEW5'!$B$6:$B$201,"")</f>
        <v/>
      </c>
      <c r="AI12" s="75">
        <f>_xlfn.XLOOKUP(AH12,'PEW5'!$B$6:$B$201,'PEW5'!$A$6:$A$201,0)</f>
        <v>0</v>
      </c>
      <c r="AJ12" s="12" t="str">
        <f>_xlfn.XLOOKUP($B12,'PEW6'!$C$6:$C$201,'PEW6'!$B$6:$B$201,"")</f>
        <v/>
      </c>
      <c r="AK12" s="75">
        <f>_xlfn.XLOOKUP(AJ12,'PEW6'!$B$6:$B$201,'PEW6'!$A$6:$A$201,0)</f>
        <v>0</v>
      </c>
      <c r="AL12" s="12" t="str">
        <f>_xlfn.XLOOKUP($B12,'PEW7'!$C$6:$C$201,'PEW7'!$B$6:$B$201,"")</f>
        <v/>
      </c>
      <c r="AM12" s="75">
        <f>_xlfn.XLOOKUP(AL12,'PEW7'!$B$6:$B$201,'PEW7'!$A$6:$A$201,0)</f>
        <v>0</v>
      </c>
      <c r="AN12" s="12" t="str">
        <f>_xlfn.XLOOKUP($B12,'PEW8'!$C$6:$C$201,'PEW8'!$B$6:$B$201,"")</f>
        <v/>
      </c>
      <c r="AO12" s="75">
        <f>_xlfn.XLOOKUP(AN12,'PEW8'!$B$6:$B$201,'PEW8'!$A$6:$A$201,0)</f>
        <v>0</v>
      </c>
      <c r="AP12" s="12" t="str">
        <f>_xlfn.XLOOKUP($B12,'PEW9'!$C$6:$C$201,'PEW9'!$B$6:$B$201,"")</f>
        <v/>
      </c>
      <c r="AQ12" s="75">
        <f>_xlfn.XLOOKUP(AP12,'PEW9'!$B$6:$B$201,'PEW9'!$A$6:$A$201,0)</f>
        <v>0</v>
      </c>
      <c r="AR12" s="12" t="str">
        <f>_xlfn.XLOOKUP($B12,'PEW10'!$C$6:$C$201,'PEW10'!$B$6:$B$201,"")</f>
        <v/>
      </c>
      <c r="AS12" s="75">
        <f>_xlfn.XLOOKUP(AR12,'PEW10'!$B$6:$B$201,'PEW10'!$A$6:$A$201,0)</f>
        <v>0</v>
      </c>
      <c r="AT12" s="12" t="str">
        <f>_xlfn.XLOOKUP($B12,'PEW11'!$C$6:$C$201,'PEW11'!$B$6:$B$201,"")</f>
        <v/>
      </c>
      <c r="AU12" s="75">
        <f>_xlfn.XLOOKUP(AT12,'PEW11'!$B$6:$B$201,'PEW11'!$A$6:$A$201,0)</f>
        <v>0</v>
      </c>
      <c r="AV12" s="12" t="str">
        <f>_xlfn.XLOOKUP($B12,'PEW12'!$C$6:$C$201,'PEW12'!$B$6:$B$201,"")</f>
        <v/>
      </c>
      <c r="AW12" s="75">
        <f>_xlfn.XLOOKUP(AV12,'PEW12'!$B$6:$B$201,'PEW12'!$A$6:$A$201,0)</f>
        <v>0</v>
      </c>
      <c r="AX12" s="12" t="str" cm="1">
        <f t="array" ref="AX12">_xlfn.XLOOKUP($B12,IMEW!C$6:C$201,IMEW!$B$6:B$201,"")</f>
        <v/>
      </c>
      <c r="AY12" s="74">
        <f>_xlfn.XLOOKUP(AX12,IMEW!$B$6:$B$201,IMEW!$A$6:$A$201,0)</f>
        <v>0</v>
      </c>
      <c r="BA12" s="73">
        <f t="shared" si="1"/>
        <v>0</v>
      </c>
      <c r="BB12" s="73">
        <f t="shared" si="2"/>
        <v>0</v>
      </c>
      <c r="BC12" s="73">
        <f t="shared" si="3"/>
        <v>0</v>
      </c>
      <c r="BD12" s="73">
        <f t="shared" si="4"/>
        <v>0</v>
      </c>
      <c r="BE12" s="73">
        <f t="shared" si="5"/>
        <v>0</v>
      </c>
      <c r="BF12" s="73">
        <f t="shared" si="6"/>
        <v>0</v>
      </c>
      <c r="BG12" s="73">
        <f t="shared" si="7"/>
        <v>0</v>
      </c>
    </row>
    <row r="13" spans="1:59" ht="14.8" customHeight="1" x14ac:dyDescent="0.25">
      <c r="A13" s="9">
        <f t="shared" si="0"/>
        <v>8</v>
      </c>
      <c r="B13" s="13"/>
      <c r="C13" s="14"/>
      <c r="D13" s="78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2">
        <f>_xlfn.XLOOKUP($B13,'GP1'!$C$6:$C$101,'GP1'!$B$6:$B$101,"")</f>
        <v>0</v>
      </c>
      <c r="F13" s="77">
        <f>_xlfn.XLOOKUP(E13,'GP1'!$B$6:$B$55,'GP1'!$A$6:$A$55,0)</f>
        <v>0</v>
      </c>
      <c r="G13" s="12">
        <f>_xlfn.XLOOKUP($B13,'GP2'!$C$6:$C$101,'GP2'!$B$6:$B$101,"")</f>
        <v>0</v>
      </c>
      <c r="H13" s="77">
        <f>_xlfn.XLOOKUP(G13,'GP2'!$B$6:$B$55,'GP2'!$A$6:$A$55,0)</f>
        <v>0</v>
      </c>
      <c r="I13" s="12" t="str">
        <f>_xlfn.XLOOKUP($B13,'GP3'!$C$6:$C$101,'GP3'!$B$6:$B$101,"")</f>
        <v/>
      </c>
      <c r="J13" s="77">
        <f>_xlfn.XLOOKUP(I13,'GP3'!$B$6:$B$55,'GP3'!$A$6:$A$55,0)</f>
        <v>0</v>
      </c>
      <c r="K13" s="12" t="str">
        <f>_xlfn.XLOOKUP($B13,'GP4'!$C$6:$C$101,'GP4'!$B$6:$B$101,"")</f>
        <v/>
      </c>
      <c r="L13" s="77">
        <f>_xlfn.XLOOKUP(K13,'GP4'!$B$6:$B$55,'GP4'!$A$6:$A$55,0)</f>
        <v>0</v>
      </c>
      <c r="M13" s="12" t="str">
        <f>_xlfn.XLOOKUP($B13,'GP5'!$C$6:$C$101,'GP5'!$B$6:$B$101,"")</f>
        <v/>
      </c>
      <c r="N13" s="77">
        <f>_xlfn.XLOOKUP(M13,'GP5'!$B$6:$B$55,'GP5'!$A$6:$A$55,0)</f>
        <v>0</v>
      </c>
      <c r="O13" s="12" t="str">
        <f>_xlfn.XLOOKUP($B13,'GP6'!$C$6:$C$101,'GP6'!$B$6:$B$101,"")</f>
        <v/>
      </c>
      <c r="P13" s="77">
        <f>_xlfn.XLOOKUP(O13,'GP6'!$B$6:$B$55,'GP6'!$A$6:$A$55,0)</f>
        <v>0</v>
      </c>
      <c r="Q13" s="12" t="str">
        <f>_xlfn.XLOOKUP($B13,'GP7'!$C$6:$C$101,'GP7'!$B$6:$B$101,"")</f>
        <v/>
      </c>
      <c r="R13" s="77">
        <f>_xlfn.XLOOKUP(Q13,'GP7'!$B$6:$B$55,'GP7'!$A$6:$A$55,0)</f>
        <v>0</v>
      </c>
      <c r="S13" s="12" t="str">
        <f>_xlfn.XLOOKUP($B13,'GP8'!$C$6:$C$101,'GP8'!$B$6:$B$101,"")</f>
        <v/>
      </c>
      <c r="T13" s="77">
        <f>_xlfn.XLOOKUP(S13,'GP8'!$B$6:$B$55,'GP8'!$A$6:$A$55,0)</f>
        <v>0</v>
      </c>
      <c r="U13" s="12" t="str">
        <f>_xlfn.XLOOKUP(B13,MPW!C$6:C$101,MPW!B$6:B$101,"")</f>
        <v/>
      </c>
      <c r="V13" s="76">
        <f>_xlfn.XLOOKUP(U13,MPW!$B$6:$B$55,MPW!$A$6:$A$55,0)</f>
        <v>0</v>
      </c>
      <c r="X13" s="12" t="str">
        <f>_xlfn.XLOOKUP($B13,'PEW1'!$C$6:$C$201,'PEW1'!$B$6:$B$201,"")</f>
        <v/>
      </c>
      <c r="Y13" s="75">
        <f>_xlfn.XLOOKUP(X13,'PEW1'!$B$6:$B$201,'PEW1'!$A$6:$A$201,0)</f>
        <v>0</v>
      </c>
      <c r="Z13" s="12" t="str">
        <f>_xlfn.XLOOKUP($B13,'PEW2'!$C$6:$C$201,'PEW2'!$B$6:$B$201,"")</f>
        <v/>
      </c>
      <c r="AA13" s="75">
        <f>_xlfn.XLOOKUP(Z13,'PEW2'!$B$6:$B$201,'PEW2'!$A$6:$A$201,0)</f>
        <v>0</v>
      </c>
      <c r="AB13" s="12" t="str">
        <f>_xlfn.XLOOKUP($B13,VFC!$C$6:$C$201,VFC!$B$6:$B$201,"")</f>
        <v/>
      </c>
      <c r="AC13" s="75">
        <f>_xlfn.XLOOKUP(AB13,VFC!$B$6:$B$201,VFC!$A$6:$A$201,0)</f>
        <v>0</v>
      </c>
      <c r="AD13" s="12" t="str">
        <f>_xlfn.XLOOKUP($B13,'PEW3'!$C$6:$C$201,'PEW3'!$B$6:$B$201,"")</f>
        <v/>
      </c>
      <c r="AE13" s="75">
        <f>_xlfn.XLOOKUP(AD13,'PEW3'!$B$6:$B$201,'PEW3'!$A$6:$A$201,0)</f>
        <v>0</v>
      </c>
      <c r="AF13" s="12" t="str">
        <f>_xlfn.XLOOKUP($B13,'PEW4'!$C$6:$C$201,'PEW4'!$B$6:$B$201,"")</f>
        <v/>
      </c>
      <c r="AG13" s="75">
        <f>_xlfn.XLOOKUP(AF13,'PEW4'!$B$6:$B$201,'PEW4'!$A$6:$A$201,0)</f>
        <v>0</v>
      </c>
      <c r="AH13" s="12" t="str">
        <f>_xlfn.XLOOKUP($B13,'PEW5'!$C$6:$C$201,'PEW5'!$B$6:$B$201,"")</f>
        <v/>
      </c>
      <c r="AI13" s="75">
        <f>_xlfn.XLOOKUP(AH13,'PEW5'!$B$6:$B$201,'PEW5'!$A$6:$A$201,0)</f>
        <v>0</v>
      </c>
      <c r="AJ13" s="12" t="str">
        <f>_xlfn.XLOOKUP($B13,'PEW6'!$C$6:$C$201,'PEW6'!$B$6:$B$201,"")</f>
        <v/>
      </c>
      <c r="AK13" s="75">
        <f>_xlfn.XLOOKUP(AJ13,'PEW6'!$B$6:$B$201,'PEW6'!$A$6:$A$201,0)</f>
        <v>0</v>
      </c>
      <c r="AL13" s="12" t="str">
        <f>_xlfn.XLOOKUP($B13,'PEW7'!$C$6:$C$201,'PEW7'!$B$6:$B$201,"")</f>
        <v/>
      </c>
      <c r="AM13" s="75">
        <f>_xlfn.XLOOKUP(AL13,'PEW7'!$B$6:$B$201,'PEW7'!$A$6:$A$201,0)</f>
        <v>0</v>
      </c>
      <c r="AN13" s="12" t="str">
        <f>_xlfn.XLOOKUP($B13,'PEW8'!$C$6:$C$201,'PEW8'!$B$6:$B$201,"")</f>
        <v/>
      </c>
      <c r="AO13" s="75">
        <f>_xlfn.XLOOKUP(AN13,'PEW8'!$B$6:$B$201,'PEW8'!$A$6:$A$201,0)</f>
        <v>0</v>
      </c>
      <c r="AP13" s="12" t="str">
        <f>_xlfn.XLOOKUP($B13,'PEW9'!$C$6:$C$201,'PEW9'!$B$6:$B$201,"")</f>
        <v/>
      </c>
      <c r="AQ13" s="75">
        <f>_xlfn.XLOOKUP(AP13,'PEW9'!$B$6:$B$201,'PEW9'!$A$6:$A$201,0)</f>
        <v>0</v>
      </c>
      <c r="AR13" s="12" t="str">
        <f>_xlfn.XLOOKUP($B13,'PEW10'!$C$6:$C$201,'PEW10'!$B$6:$B$201,"")</f>
        <v/>
      </c>
      <c r="AS13" s="75">
        <f>_xlfn.XLOOKUP(AR13,'PEW10'!$B$6:$B$201,'PEW10'!$A$6:$A$201,0)</f>
        <v>0</v>
      </c>
      <c r="AT13" s="12" t="str">
        <f>_xlfn.XLOOKUP($B13,'PEW11'!$C$6:$C$201,'PEW11'!$B$6:$B$201,"")</f>
        <v/>
      </c>
      <c r="AU13" s="75">
        <f>_xlfn.XLOOKUP(AT13,'PEW11'!$B$6:$B$201,'PEW11'!$A$6:$A$201,0)</f>
        <v>0</v>
      </c>
      <c r="AV13" s="12" t="str">
        <f>_xlfn.XLOOKUP($B13,'PEW12'!$C$6:$C$201,'PEW12'!$B$6:$B$201,"")</f>
        <v/>
      </c>
      <c r="AW13" s="75">
        <f>_xlfn.XLOOKUP(AV13,'PEW12'!$B$6:$B$201,'PEW12'!$A$6:$A$201,0)</f>
        <v>0</v>
      </c>
      <c r="AX13" s="12" t="str" cm="1">
        <f t="array" ref="AX13">_xlfn.XLOOKUP($B13,IMEW!C$6:C$201,IMEW!$B$6:B$201,"")</f>
        <v/>
      </c>
      <c r="AY13" s="74">
        <f>_xlfn.XLOOKUP(AX13,IMEW!$B$6:$B$201,IMEW!$A$6:$A$201,0)</f>
        <v>0</v>
      </c>
      <c r="BA13" s="73">
        <f t="shared" si="1"/>
        <v>0</v>
      </c>
      <c r="BB13" s="73">
        <f t="shared" si="2"/>
        <v>0</v>
      </c>
      <c r="BC13" s="73">
        <f t="shared" si="3"/>
        <v>0</v>
      </c>
      <c r="BD13" s="73">
        <f t="shared" si="4"/>
        <v>0</v>
      </c>
      <c r="BE13" s="73">
        <f t="shared" si="5"/>
        <v>0</v>
      </c>
      <c r="BF13" s="73">
        <f t="shared" si="6"/>
        <v>0</v>
      </c>
      <c r="BG13" s="73">
        <f t="shared" si="7"/>
        <v>0</v>
      </c>
    </row>
    <row r="14" spans="1:59" ht="14.8" customHeight="1" x14ac:dyDescent="0.25">
      <c r="A14" s="9">
        <f t="shared" si="0"/>
        <v>9</v>
      </c>
      <c r="B14" s="13"/>
      <c r="C14" s="14"/>
      <c r="D14" s="78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2">
        <f>_xlfn.XLOOKUP($B14,'GP1'!$C$6:$C$101,'GP1'!$B$6:$B$101,"")</f>
        <v>0</v>
      </c>
      <c r="F14" s="77">
        <f>_xlfn.XLOOKUP(E14,'GP1'!$B$6:$B$55,'GP1'!$A$6:$A$55,0)</f>
        <v>0</v>
      </c>
      <c r="G14" s="12">
        <f>_xlfn.XLOOKUP($B14,'GP2'!$C$6:$C$101,'GP2'!$B$6:$B$101,"")</f>
        <v>0</v>
      </c>
      <c r="H14" s="77">
        <f>_xlfn.XLOOKUP(G14,'GP2'!$B$6:$B$55,'GP2'!$A$6:$A$55,0)</f>
        <v>0</v>
      </c>
      <c r="I14" s="12" t="str">
        <f>_xlfn.XLOOKUP($B14,'GP3'!$C$6:$C$101,'GP3'!$B$6:$B$101,"")</f>
        <v/>
      </c>
      <c r="J14" s="77">
        <f>_xlfn.XLOOKUP(I14,'GP3'!$B$6:$B$55,'GP3'!$A$6:$A$55,0)</f>
        <v>0</v>
      </c>
      <c r="K14" s="12" t="str">
        <f>_xlfn.XLOOKUP($B14,'GP4'!$C$6:$C$101,'GP4'!$B$6:$B$101,"")</f>
        <v/>
      </c>
      <c r="L14" s="77">
        <f>_xlfn.XLOOKUP(K14,'GP4'!$B$6:$B$55,'GP4'!$A$6:$A$55,0)</f>
        <v>0</v>
      </c>
      <c r="M14" s="12" t="str">
        <f>_xlfn.XLOOKUP($B14,'GP5'!$C$6:$C$101,'GP5'!$B$6:$B$101,"")</f>
        <v/>
      </c>
      <c r="N14" s="77">
        <f>_xlfn.XLOOKUP(M14,'GP5'!$B$6:$B$55,'GP5'!$A$6:$A$55,0)</f>
        <v>0</v>
      </c>
      <c r="O14" s="12" t="str">
        <f>_xlfn.XLOOKUP($B14,'GP6'!$C$6:$C$101,'GP6'!$B$6:$B$101,"")</f>
        <v/>
      </c>
      <c r="P14" s="77">
        <f>_xlfn.XLOOKUP(O14,'GP6'!$B$6:$B$55,'GP6'!$A$6:$A$55,0)</f>
        <v>0</v>
      </c>
      <c r="Q14" s="12" t="str">
        <f>_xlfn.XLOOKUP($B14,'GP7'!$C$6:$C$101,'GP7'!$B$6:$B$101,"")</f>
        <v/>
      </c>
      <c r="R14" s="77">
        <f>_xlfn.XLOOKUP(Q14,'GP7'!$B$6:$B$55,'GP7'!$A$6:$A$55,0)</f>
        <v>0</v>
      </c>
      <c r="S14" s="12" t="str">
        <f>_xlfn.XLOOKUP($B14,'GP8'!$C$6:$C$101,'GP8'!$B$6:$B$101,"")</f>
        <v/>
      </c>
      <c r="T14" s="77">
        <f>_xlfn.XLOOKUP(S14,'GP8'!$B$6:$B$55,'GP8'!$A$6:$A$55,0)</f>
        <v>0</v>
      </c>
      <c r="U14" s="12" t="str">
        <f>_xlfn.XLOOKUP(B14,MPW!C$6:C$101,MPW!B$6:B$101,"")</f>
        <v/>
      </c>
      <c r="V14" s="76">
        <f>_xlfn.XLOOKUP(U14,MPW!$B$6:$B$55,MPW!$A$6:$A$55,0)</f>
        <v>0</v>
      </c>
      <c r="X14" s="12" t="str">
        <f>_xlfn.XLOOKUP($B14,'PEW1'!$C$6:$C$201,'PEW1'!$B$6:$B$201,"")</f>
        <v/>
      </c>
      <c r="Y14" s="75">
        <f>_xlfn.XLOOKUP(X14,'PEW1'!$B$6:$B$201,'PEW1'!$A$6:$A$201,0)</f>
        <v>0</v>
      </c>
      <c r="Z14" s="12" t="str">
        <f>_xlfn.XLOOKUP($B14,'PEW2'!$C$6:$C$201,'PEW2'!$B$6:$B$201,"")</f>
        <v/>
      </c>
      <c r="AA14" s="75">
        <f>_xlfn.XLOOKUP(Z14,'PEW2'!$B$6:$B$201,'PEW2'!$A$6:$A$201,0)</f>
        <v>0</v>
      </c>
      <c r="AB14" s="12" t="str">
        <f>_xlfn.XLOOKUP($B14,VFC!$C$6:$C$201,VFC!$B$6:$B$201,"")</f>
        <v/>
      </c>
      <c r="AC14" s="75">
        <f>_xlfn.XLOOKUP(AB14,VFC!$B$6:$B$201,VFC!$A$6:$A$201,0)</f>
        <v>0</v>
      </c>
      <c r="AD14" s="12" t="str">
        <f>_xlfn.XLOOKUP($B14,'PEW3'!$C$6:$C$201,'PEW3'!$B$6:$B$201,"")</f>
        <v/>
      </c>
      <c r="AE14" s="75">
        <f>_xlfn.XLOOKUP(AD14,'PEW3'!$B$6:$B$201,'PEW3'!$A$6:$A$201,0)</f>
        <v>0</v>
      </c>
      <c r="AF14" s="12" t="str">
        <f>_xlfn.XLOOKUP($B14,'PEW4'!$C$6:$C$201,'PEW4'!$B$6:$B$201,"")</f>
        <v/>
      </c>
      <c r="AG14" s="75">
        <f>_xlfn.XLOOKUP(AF14,'PEW4'!$B$6:$B$201,'PEW4'!$A$6:$A$201,0)</f>
        <v>0</v>
      </c>
      <c r="AH14" s="12" t="str">
        <f>_xlfn.XLOOKUP($B14,'PEW5'!$C$6:$C$201,'PEW5'!$B$6:$B$201,"")</f>
        <v/>
      </c>
      <c r="AI14" s="75">
        <f>_xlfn.XLOOKUP(AH14,'PEW5'!$B$6:$B$201,'PEW5'!$A$6:$A$201,0)</f>
        <v>0</v>
      </c>
      <c r="AJ14" s="12" t="str">
        <f>_xlfn.XLOOKUP($B14,'PEW6'!$C$6:$C$201,'PEW6'!$B$6:$B$201,"")</f>
        <v/>
      </c>
      <c r="AK14" s="75">
        <f>_xlfn.XLOOKUP(AJ14,'PEW6'!$B$6:$B$201,'PEW6'!$A$6:$A$201,0)</f>
        <v>0</v>
      </c>
      <c r="AL14" s="12" t="str">
        <f>_xlfn.XLOOKUP($B14,'PEW7'!$C$6:$C$201,'PEW7'!$B$6:$B$201,"")</f>
        <v/>
      </c>
      <c r="AM14" s="75">
        <f>_xlfn.XLOOKUP(AL14,'PEW7'!$B$6:$B$201,'PEW7'!$A$6:$A$201,0)</f>
        <v>0</v>
      </c>
      <c r="AN14" s="12" t="str">
        <f>_xlfn.XLOOKUP($B14,'PEW8'!$C$6:$C$201,'PEW8'!$B$6:$B$201,"")</f>
        <v/>
      </c>
      <c r="AO14" s="75">
        <f>_xlfn.XLOOKUP(AN14,'PEW8'!$B$6:$B$201,'PEW8'!$A$6:$A$201,0)</f>
        <v>0</v>
      </c>
      <c r="AP14" s="12" t="str">
        <f>_xlfn.XLOOKUP($B14,'PEW9'!$C$6:$C$201,'PEW9'!$B$6:$B$201,"")</f>
        <v/>
      </c>
      <c r="AQ14" s="75">
        <f>_xlfn.XLOOKUP(AP14,'PEW9'!$B$6:$B$201,'PEW9'!$A$6:$A$201,0)</f>
        <v>0</v>
      </c>
      <c r="AR14" s="12" t="str">
        <f>_xlfn.XLOOKUP($B14,'PEW10'!$C$6:$C$201,'PEW10'!$B$6:$B$201,"")</f>
        <v/>
      </c>
      <c r="AS14" s="75">
        <f>_xlfn.XLOOKUP(AR14,'PEW10'!$B$6:$B$201,'PEW10'!$A$6:$A$201,0)</f>
        <v>0</v>
      </c>
      <c r="AT14" s="12" t="str">
        <f>_xlfn.XLOOKUP($B14,'PEW11'!$C$6:$C$201,'PEW11'!$B$6:$B$201,"")</f>
        <v/>
      </c>
      <c r="AU14" s="75">
        <f>_xlfn.XLOOKUP(AT14,'PEW11'!$B$6:$B$201,'PEW11'!$A$6:$A$201,0)</f>
        <v>0</v>
      </c>
      <c r="AV14" s="12" t="str">
        <f>_xlfn.XLOOKUP($B14,'PEW12'!$C$6:$C$201,'PEW12'!$B$6:$B$201,"")</f>
        <v/>
      </c>
      <c r="AW14" s="75">
        <f>_xlfn.XLOOKUP(AV14,'PEW12'!$B$6:$B$201,'PEW12'!$A$6:$A$201,0)</f>
        <v>0</v>
      </c>
      <c r="AX14" s="12" t="str" cm="1">
        <f t="array" ref="AX14">_xlfn.XLOOKUP($B14,IMEW!C$6:C$201,IMEW!$B$6:B$201,"")</f>
        <v/>
      </c>
      <c r="AY14" s="74">
        <f>_xlfn.XLOOKUP(AX14,IMEW!$B$6:$B$201,IMEW!$A$6:$A$201,0)</f>
        <v>0</v>
      </c>
      <c r="BA14" s="73">
        <f t="shared" si="1"/>
        <v>0</v>
      </c>
      <c r="BB14" s="73">
        <f t="shared" si="2"/>
        <v>0</v>
      </c>
      <c r="BC14" s="73">
        <f t="shared" si="3"/>
        <v>0</v>
      </c>
      <c r="BD14" s="73">
        <f t="shared" si="4"/>
        <v>0</v>
      </c>
      <c r="BE14" s="73">
        <f t="shared" si="5"/>
        <v>0</v>
      </c>
      <c r="BF14" s="73">
        <f t="shared" si="6"/>
        <v>0</v>
      </c>
      <c r="BG14" s="73">
        <f t="shared" si="7"/>
        <v>0</v>
      </c>
    </row>
    <row r="15" spans="1:59" ht="14.8" customHeight="1" x14ac:dyDescent="0.25">
      <c r="A15" s="9">
        <f t="shared" si="0"/>
        <v>10</v>
      </c>
      <c r="B15" s="13"/>
      <c r="C15" s="14"/>
      <c r="D15" s="78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2">
        <f>_xlfn.XLOOKUP($B15,'GP1'!$C$6:$C$101,'GP1'!$B$6:$B$101,"")</f>
        <v>0</v>
      </c>
      <c r="F15" s="77">
        <f>_xlfn.XLOOKUP(E15,'GP1'!$B$6:$B$55,'GP1'!$A$6:$A$55,0)</f>
        <v>0</v>
      </c>
      <c r="G15" s="12">
        <f>_xlfn.XLOOKUP($B15,'GP2'!$C$6:$C$101,'GP2'!$B$6:$B$101,"")</f>
        <v>0</v>
      </c>
      <c r="H15" s="77">
        <f>_xlfn.XLOOKUP(G15,'GP2'!$B$6:$B$55,'GP2'!$A$6:$A$55,0)</f>
        <v>0</v>
      </c>
      <c r="I15" s="12" t="str">
        <f>_xlfn.XLOOKUP($B15,'GP3'!$C$6:$C$101,'GP3'!$B$6:$B$101,"")</f>
        <v/>
      </c>
      <c r="J15" s="77">
        <f>_xlfn.XLOOKUP(I15,'GP3'!$B$6:$B$55,'GP3'!$A$6:$A$55,0)</f>
        <v>0</v>
      </c>
      <c r="K15" s="12" t="str">
        <f>_xlfn.XLOOKUP($B15,'GP4'!$C$6:$C$101,'GP4'!$B$6:$B$101,"")</f>
        <v/>
      </c>
      <c r="L15" s="77">
        <f>_xlfn.XLOOKUP(K15,'GP4'!$B$6:$B$55,'GP4'!$A$6:$A$55,0)</f>
        <v>0</v>
      </c>
      <c r="M15" s="12" t="str">
        <f>_xlfn.XLOOKUP($B15,'GP5'!$C$6:$C$101,'GP5'!$B$6:$B$101,"")</f>
        <v/>
      </c>
      <c r="N15" s="77">
        <f>_xlfn.XLOOKUP(M15,'GP5'!$B$6:$B$55,'GP5'!$A$6:$A$55,0)</f>
        <v>0</v>
      </c>
      <c r="O15" s="12" t="str">
        <f>_xlfn.XLOOKUP($B15,'GP6'!$C$6:$C$101,'GP6'!$B$6:$B$101,"")</f>
        <v/>
      </c>
      <c r="P15" s="77">
        <f>_xlfn.XLOOKUP(O15,'GP6'!$B$6:$B$55,'GP6'!$A$6:$A$55,0)</f>
        <v>0</v>
      </c>
      <c r="Q15" s="12" t="str">
        <f>_xlfn.XLOOKUP($B15,'GP7'!$C$6:$C$101,'GP7'!$B$6:$B$101,"")</f>
        <v/>
      </c>
      <c r="R15" s="77">
        <f>_xlfn.XLOOKUP(Q15,'GP7'!$B$6:$B$55,'GP7'!$A$6:$A$55,0)</f>
        <v>0</v>
      </c>
      <c r="S15" s="12" t="str">
        <f>_xlfn.XLOOKUP($B15,'GP8'!$C$6:$C$101,'GP8'!$B$6:$B$101,"")</f>
        <v/>
      </c>
      <c r="T15" s="77">
        <f>_xlfn.XLOOKUP(S15,'GP8'!$B$6:$B$55,'GP8'!$A$6:$A$55,0)</f>
        <v>0</v>
      </c>
      <c r="U15" s="12" t="str">
        <f>_xlfn.XLOOKUP(B15,MPW!C$6:C$101,MPW!B$6:B$101,"")</f>
        <v/>
      </c>
      <c r="V15" s="76">
        <f>_xlfn.XLOOKUP(U15,MPW!$B$6:$B$55,MPW!$A$6:$A$55,0)</f>
        <v>0</v>
      </c>
      <c r="X15" s="12" t="str">
        <f>_xlfn.XLOOKUP($B15,'PEW1'!$C$6:$C$201,'PEW1'!$B$6:$B$201,"")</f>
        <v/>
      </c>
      <c r="Y15" s="75">
        <f>_xlfn.XLOOKUP(X15,'PEW1'!$B$6:$B$201,'PEW1'!$A$6:$A$201,0)</f>
        <v>0</v>
      </c>
      <c r="Z15" s="12" t="str">
        <f>_xlfn.XLOOKUP($B15,'PEW2'!$C$6:$C$201,'PEW2'!$B$6:$B$201,"")</f>
        <v/>
      </c>
      <c r="AA15" s="75">
        <f>_xlfn.XLOOKUP(Z15,'PEW2'!$B$6:$B$201,'PEW2'!$A$6:$A$201,0)</f>
        <v>0</v>
      </c>
      <c r="AB15" s="12" t="str">
        <f>_xlfn.XLOOKUP($B15,VFC!$C$6:$C$201,VFC!$B$6:$B$201,"")</f>
        <v/>
      </c>
      <c r="AC15" s="75">
        <f>_xlfn.XLOOKUP(AB15,VFC!$B$6:$B$201,VFC!$A$6:$A$201,0)</f>
        <v>0</v>
      </c>
      <c r="AD15" s="12" t="str">
        <f>_xlfn.XLOOKUP($B15,'PEW3'!$C$6:$C$201,'PEW3'!$B$6:$B$201,"")</f>
        <v/>
      </c>
      <c r="AE15" s="75">
        <f>_xlfn.XLOOKUP(AD15,'PEW3'!$B$6:$B$201,'PEW3'!$A$6:$A$201,0)</f>
        <v>0</v>
      </c>
      <c r="AF15" s="12" t="str">
        <f>_xlfn.XLOOKUP($B15,'PEW4'!$C$6:$C$201,'PEW4'!$B$6:$B$201,"")</f>
        <v/>
      </c>
      <c r="AG15" s="75">
        <f>_xlfn.XLOOKUP(AF15,'PEW4'!$B$6:$B$201,'PEW4'!$A$6:$A$201,0)</f>
        <v>0</v>
      </c>
      <c r="AH15" s="12" t="str">
        <f>_xlfn.XLOOKUP($B15,'PEW5'!$C$6:$C$201,'PEW5'!$B$6:$B$201,"")</f>
        <v/>
      </c>
      <c r="AI15" s="75">
        <f>_xlfn.XLOOKUP(AH15,'PEW5'!$B$6:$B$201,'PEW5'!$A$6:$A$201,0)</f>
        <v>0</v>
      </c>
      <c r="AJ15" s="12" t="str">
        <f>_xlfn.XLOOKUP($B15,'PEW6'!$C$6:$C$201,'PEW6'!$B$6:$B$201,"")</f>
        <v/>
      </c>
      <c r="AK15" s="75">
        <f>_xlfn.XLOOKUP(AJ15,'PEW6'!$B$6:$B$201,'PEW6'!$A$6:$A$201,0)</f>
        <v>0</v>
      </c>
      <c r="AL15" s="12" t="str">
        <f>_xlfn.XLOOKUP($B15,'PEW7'!$C$6:$C$201,'PEW7'!$B$6:$B$201,"")</f>
        <v/>
      </c>
      <c r="AM15" s="75">
        <f>_xlfn.XLOOKUP(AL15,'PEW7'!$B$6:$B$201,'PEW7'!$A$6:$A$201,0)</f>
        <v>0</v>
      </c>
      <c r="AN15" s="12" t="str">
        <f>_xlfn.XLOOKUP($B15,'PEW8'!$C$6:$C$201,'PEW8'!$B$6:$B$201,"")</f>
        <v/>
      </c>
      <c r="AO15" s="75">
        <f>_xlfn.XLOOKUP(AN15,'PEW8'!$B$6:$B$201,'PEW8'!$A$6:$A$201,0)</f>
        <v>0</v>
      </c>
      <c r="AP15" s="12" t="str">
        <f>_xlfn.XLOOKUP($B15,'PEW9'!$C$6:$C$201,'PEW9'!$B$6:$B$201,"")</f>
        <v/>
      </c>
      <c r="AQ15" s="75">
        <f>_xlfn.XLOOKUP(AP15,'PEW9'!$B$6:$B$201,'PEW9'!$A$6:$A$201,0)</f>
        <v>0</v>
      </c>
      <c r="AR15" s="12" t="str">
        <f>_xlfn.XLOOKUP($B15,'PEW10'!$C$6:$C$201,'PEW10'!$B$6:$B$201,"")</f>
        <v/>
      </c>
      <c r="AS15" s="75">
        <f>_xlfn.XLOOKUP(AR15,'PEW10'!$B$6:$B$201,'PEW10'!$A$6:$A$201,0)</f>
        <v>0</v>
      </c>
      <c r="AT15" s="12" t="str">
        <f>_xlfn.XLOOKUP($B15,'PEW11'!$C$6:$C$201,'PEW11'!$B$6:$B$201,"")</f>
        <v/>
      </c>
      <c r="AU15" s="75">
        <f>_xlfn.XLOOKUP(AT15,'PEW11'!$B$6:$B$201,'PEW11'!$A$6:$A$201,0)</f>
        <v>0</v>
      </c>
      <c r="AV15" s="12" t="str">
        <f>_xlfn.XLOOKUP($B15,'PEW12'!$C$6:$C$201,'PEW12'!$B$6:$B$201,"")</f>
        <v/>
      </c>
      <c r="AW15" s="75">
        <f>_xlfn.XLOOKUP(AV15,'PEW12'!$B$6:$B$201,'PEW12'!$A$6:$A$201,0)</f>
        <v>0</v>
      </c>
      <c r="AX15" s="12" t="str" cm="1">
        <f t="array" ref="AX15">_xlfn.XLOOKUP($B15,IMEW!C$6:C$201,IMEW!$B$6:B$201,"")</f>
        <v/>
      </c>
      <c r="AY15" s="74">
        <f>_xlfn.XLOOKUP(AX15,IMEW!$B$6:$B$201,IMEW!$A$6:$A$201,0)</f>
        <v>0</v>
      </c>
      <c r="BA15" s="73">
        <f t="shared" si="1"/>
        <v>0</v>
      </c>
      <c r="BB15" s="73">
        <f t="shared" si="2"/>
        <v>0</v>
      </c>
      <c r="BC15" s="73">
        <f t="shared" si="3"/>
        <v>0</v>
      </c>
      <c r="BD15" s="73">
        <f t="shared" si="4"/>
        <v>0</v>
      </c>
      <c r="BE15" s="73">
        <f t="shared" si="5"/>
        <v>0</v>
      </c>
      <c r="BF15" s="73">
        <f t="shared" si="6"/>
        <v>0</v>
      </c>
      <c r="BG15" s="73">
        <f t="shared" si="7"/>
        <v>0</v>
      </c>
    </row>
    <row r="16" spans="1:59" ht="14.8" customHeight="1" x14ac:dyDescent="0.25">
      <c r="A16" s="9">
        <f t="shared" si="0"/>
        <v>11</v>
      </c>
      <c r="B16" s="13"/>
      <c r="C16" s="14"/>
      <c r="D16" s="78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2">
        <f>_xlfn.XLOOKUP($B16,'GP1'!$C$6:$C$101,'GP1'!$B$6:$B$101,"")</f>
        <v>0</v>
      </c>
      <c r="F16" s="77">
        <f>_xlfn.XLOOKUP(E16,'GP1'!$B$6:$B$55,'GP1'!$A$6:$A$55,0)</f>
        <v>0</v>
      </c>
      <c r="G16" s="12">
        <f>_xlfn.XLOOKUP($B16,'GP2'!$C$6:$C$101,'GP2'!$B$6:$B$101,"")</f>
        <v>0</v>
      </c>
      <c r="H16" s="77">
        <f>_xlfn.XLOOKUP(G16,'GP2'!$B$6:$B$55,'GP2'!$A$6:$A$55,0)</f>
        <v>0</v>
      </c>
      <c r="I16" s="12" t="str">
        <f>_xlfn.XLOOKUP($B16,'GP3'!$C$6:$C$101,'GP3'!$B$6:$B$101,"")</f>
        <v/>
      </c>
      <c r="J16" s="77">
        <f>_xlfn.XLOOKUP(I16,'GP3'!$B$6:$B$55,'GP3'!$A$6:$A$55,0)</f>
        <v>0</v>
      </c>
      <c r="K16" s="12" t="str">
        <f>_xlfn.XLOOKUP($B16,'GP4'!$C$6:$C$101,'GP4'!$B$6:$B$101,"")</f>
        <v/>
      </c>
      <c r="L16" s="77">
        <f>_xlfn.XLOOKUP(K16,'GP4'!$B$6:$B$55,'GP4'!$A$6:$A$55,0)</f>
        <v>0</v>
      </c>
      <c r="M16" s="12" t="str">
        <f>_xlfn.XLOOKUP($B16,'GP5'!$C$6:$C$101,'GP5'!$B$6:$B$101,"")</f>
        <v/>
      </c>
      <c r="N16" s="77">
        <f>_xlfn.XLOOKUP(M16,'GP5'!$B$6:$B$55,'GP5'!$A$6:$A$55,0)</f>
        <v>0</v>
      </c>
      <c r="O16" s="12" t="str">
        <f>_xlfn.XLOOKUP($B16,'GP6'!$C$6:$C$101,'GP6'!$B$6:$B$101,"")</f>
        <v/>
      </c>
      <c r="P16" s="77">
        <f>_xlfn.XLOOKUP(O16,'GP6'!$B$6:$B$55,'GP6'!$A$6:$A$55,0)</f>
        <v>0</v>
      </c>
      <c r="Q16" s="12" t="str">
        <f>_xlfn.XLOOKUP($B16,'GP7'!$C$6:$C$101,'GP7'!$B$6:$B$101,"")</f>
        <v/>
      </c>
      <c r="R16" s="77">
        <f>_xlfn.XLOOKUP(Q16,'GP7'!$B$6:$B$55,'GP7'!$A$6:$A$55,0)</f>
        <v>0</v>
      </c>
      <c r="S16" s="12" t="str">
        <f>_xlfn.XLOOKUP($B16,'GP8'!$C$6:$C$101,'GP8'!$B$6:$B$101,"")</f>
        <v/>
      </c>
      <c r="T16" s="77">
        <f>_xlfn.XLOOKUP(S16,'GP8'!$B$6:$B$55,'GP8'!$A$6:$A$55,0)</f>
        <v>0</v>
      </c>
      <c r="U16" s="12" t="str">
        <f>_xlfn.XLOOKUP(B16,MPW!C$6:C$101,MPW!B$6:B$101,"")</f>
        <v/>
      </c>
      <c r="V16" s="76">
        <f>_xlfn.XLOOKUP(U16,MPW!$B$6:$B$55,MPW!$A$6:$A$55,0)</f>
        <v>0</v>
      </c>
      <c r="X16" s="12" t="str">
        <f>_xlfn.XLOOKUP($B16,'PEW1'!$C$6:$C$201,'PEW1'!$B$6:$B$201,"")</f>
        <v/>
      </c>
      <c r="Y16" s="75">
        <f>_xlfn.XLOOKUP(X16,'PEW1'!$B$6:$B$201,'PEW1'!$A$6:$A$201,0)</f>
        <v>0</v>
      </c>
      <c r="Z16" s="12" t="str">
        <f>_xlfn.XLOOKUP($B16,'PEW2'!$C$6:$C$201,'PEW2'!$B$6:$B$201,"")</f>
        <v/>
      </c>
      <c r="AA16" s="75">
        <f>_xlfn.XLOOKUP(Z16,'PEW2'!$B$6:$B$201,'PEW2'!$A$6:$A$201,0)</f>
        <v>0</v>
      </c>
      <c r="AB16" s="12" t="str">
        <f>_xlfn.XLOOKUP($B16,VFC!$C$6:$C$201,VFC!$B$6:$B$201,"")</f>
        <v/>
      </c>
      <c r="AC16" s="75">
        <f>_xlfn.XLOOKUP(AB16,VFC!$B$6:$B$201,VFC!$A$6:$A$201,0)</f>
        <v>0</v>
      </c>
      <c r="AD16" s="12" t="str">
        <f>_xlfn.XLOOKUP($B16,'PEW3'!$C$6:$C$201,'PEW3'!$B$6:$B$201,"")</f>
        <v/>
      </c>
      <c r="AE16" s="75">
        <f>_xlfn.XLOOKUP(AD16,'PEW3'!$B$6:$B$201,'PEW3'!$A$6:$A$201,0)</f>
        <v>0</v>
      </c>
      <c r="AF16" s="12" t="str">
        <f>_xlfn.XLOOKUP($B16,'PEW4'!$C$6:$C$201,'PEW4'!$B$6:$B$201,"")</f>
        <v/>
      </c>
      <c r="AG16" s="75">
        <f>_xlfn.XLOOKUP(AF16,'PEW4'!$B$6:$B$201,'PEW4'!$A$6:$A$201,0)</f>
        <v>0</v>
      </c>
      <c r="AH16" s="12" t="str">
        <f>_xlfn.XLOOKUP($B16,'PEW5'!$C$6:$C$201,'PEW5'!$B$6:$B$201,"")</f>
        <v/>
      </c>
      <c r="AI16" s="75">
        <f>_xlfn.XLOOKUP(AH16,'PEW5'!$B$6:$B$201,'PEW5'!$A$6:$A$201,0)</f>
        <v>0</v>
      </c>
      <c r="AJ16" s="12" t="str">
        <f>_xlfn.XLOOKUP($B16,'PEW6'!$C$6:$C$201,'PEW6'!$B$6:$B$201,"")</f>
        <v/>
      </c>
      <c r="AK16" s="75">
        <f>_xlfn.XLOOKUP(AJ16,'PEW6'!$B$6:$B$201,'PEW6'!$A$6:$A$201,0)</f>
        <v>0</v>
      </c>
      <c r="AL16" s="12" t="str">
        <f>_xlfn.XLOOKUP($B16,'PEW7'!$C$6:$C$201,'PEW7'!$B$6:$B$201,"")</f>
        <v/>
      </c>
      <c r="AM16" s="75">
        <f>_xlfn.XLOOKUP(AL16,'PEW7'!$B$6:$B$201,'PEW7'!$A$6:$A$201,0)</f>
        <v>0</v>
      </c>
      <c r="AN16" s="12" t="str">
        <f>_xlfn.XLOOKUP($B16,'PEW8'!$C$6:$C$201,'PEW8'!$B$6:$B$201,"")</f>
        <v/>
      </c>
      <c r="AO16" s="75">
        <f>_xlfn.XLOOKUP(AN16,'PEW8'!$B$6:$B$201,'PEW8'!$A$6:$A$201,0)</f>
        <v>0</v>
      </c>
      <c r="AP16" s="12" t="str">
        <f>_xlfn.XLOOKUP($B16,'PEW9'!$C$6:$C$201,'PEW9'!$B$6:$B$201,"")</f>
        <v/>
      </c>
      <c r="AQ16" s="75">
        <f>_xlfn.XLOOKUP(AP16,'PEW9'!$B$6:$B$201,'PEW9'!$A$6:$A$201,0)</f>
        <v>0</v>
      </c>
      <c r="AR16" s="12" t="str">
        <f>_xlfn.XLOOKUP($B16,'PEW10'!$C$6:$C$201,'PEW10'!$B$6:$B$201,"")</f>
        <v/>
      </c>
      <c r="AS16" s="75">
        <f>_xlfn.XLOOKUP(AR16,'PEW10'!$B$6:$B$201,'PEW10'!$A$6:$A$201,0)</f>
        <v>0</v>
      </c>
      <c r="AT16" s="12" t="str">
        <f>_xlfn.XLOOKUP($B16,'PEW11'!$C$6:$C$201,'PEW11'!$B$6:$B$201,"")</f>
        <v/>
      </c>
      <c r="AU16" s="75">
        <f>_xlfn.XLOOKUP(AT16,'PEW11'!$B$6:$B$201,'PEW11'!$A$6:$A$201,0)</f>
        <v>0</v>
      </c>
      <c r="AV16" s="12" t="str">
        <f>_xlfn.XLOOKUP($B16,'PEW12'!$C$6:$C$201,'PEW12'!$B$6:$B$201,"")</f>
        <v/>
      </c>
      <c r="AW16" s="75">
        <f>_xlfn.XLOOKUP(AV16,'PEW12'!$B$6:$B$201,'PEW12'!$A$6:$A$201,0)</f>
        <v>0</v>
      </c>
      <c r="AX16" s="12" t="str" cm="1">
        <f t="array" ref="AX16">_xlfn.XLOOKUP($B16,IMEW!C$6:C$201,IMEW!$B$6:B$201,"")</f>
        <v/>
      </c>
      <c r="AY16" s="74">
        <f>_xlfn.XLOOKUP(AX16,IMEW!$B$6:$B$201,IMEW!$A$6:$A$201,0)</f>
        <v>0</v>
      </c>
      <c r="BA16" s="73">
        <f t="shared" si="1"/>
        <v>0</v>
      </c>
      <c r="BB16" s="73">
        <f t="shared" si="2"/>
        <v>0</v>
      </c>
      <c r="BC16" s="73">
        <f t="shared" si="3"/>
        <v>0</v>
      </c>
      <c r="BD16" s="73">
        <f t="shared" si="4"/>
        <v>0</v>
      </c>
      <c r="BE16" s="73">
        <f t="shared" si="5"/>
        <v>0</v>
      </c>
      <c r="BF16" s="73">
        <f t="shared" si="6"/>
        <v>0</v>
      </c>
      <c r="BG16" s="73">
        <f t="shared" si="7"/>
        <v>0</v>
      </c>
    </row>
    <row r="17" spans="1:59" ht="14.8" customHeight="1" x14ac:dyDescent="0.25">
      <c r="A17" s="9">
        <f t="shared" si="0"/>
        <v>12</v>
      </c>
      <c r="B17" s="13"/>
      <c r="C17" s="14"/>
      <c r="D17" s="78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2">
        <f>_xlfn.XLOOKUP($B17,'GP1'!$C$6:$C$101,'GP1'!$B$6:$B$101,"")</f>
        <v>0</v>
      </c>
      <c r="F17" s="77">
        <f>_xlfn.XLOOKUP(E17,'GP1'!$B$6:$B$55,'GP1'!$A$6:$A$55,0)</f>
        <v>0</v>
      </c>
      <c r="G17" s="12">
        <f>_xlfn.XLOOKUP($B17,'GP2'!$C$6:$C$101,'GP2'!$B$6:$B$101,"")</f>
        <v>0</v>
      </c>
      <c r="H17" s="77">
        <f>_xlfn.XLOOKUP(G17,'GP2'!$B$6:$B$55,'GP2'!$A$6:$A$55,0)</f>
        <v>0</v>
      </c>
      <c r="I17" s="12" t="str">
        <f>_xlfn.XLOOKUP($B17,'GP3'!$C$6:$C$101,'GP3'!$B$6:$B$101,"")</f>
        <v/>
      </c>
      <c r="J17" s="77">
        <f>_xlfn.XLOOKUP(I17,'GP3'!$B$6:$B$55,'GP3'!$A$6:$A$55,0)</f>
        <v>0</v>
      </c>
      <c r="K17" s="12" t="str">
        <f>_xlfn.XLOOKUP($B17,'GP4'!$C$6:$C$101,'GP4'!$B$6:$B$101,"")</f>
        <v/>
      </c>
      <c r="L17" s="77">
        <f>_xlfn.XLOOKUP(K17,'GP4'!$B$6:$B$55,'GP4'!$A$6:$A$55,0)</f>
        <v>0</v>
      </c>
      <c r="M17" s="12" t="str">
        <f>_xlfn.XLOOKUP($B17,'GP5'!$C$6:$C$101,'GP5'!$B$6:$B$101,"")</f>
        <v/>
      </c>
      <c r="N17" s="77">
        <f>_xlfn.XLOOKUP(M17,'GP5'!$B$6:$B$55,'GP5'!$A$6:$A$55,0)</f>
        <v>0</v>
      </c>
      <c r="O17" s="12" t="str">
        <f>_xlfn.XLOOKUP($B17,'GP6'!$C$6:$C$101,'GP6'!$B$6:$B$101,"")</f>
        <v/>
      </c>
      <c r="P17" s="77">
        <f>_xlfn.XLOOKUP(O17,'GP6'!$B$6:$B$55,'GP6'!$A$6:$A$55,0)</f>
        <v>0</v>
      </c>
      <c r="Q17" s="12" t="str">
        <f>_xlfn.XLOOKUP($B17,'GP7'!$C$6:$C$101,'GP7'!$B$6:$B$101,"")</f>
        <v/>
      </c>
      <c r="R17" s="77">
        <f>_xlfn.XLOOKUP(Q17,'GP7'!$B$6:$B$55,'GP7'!$A$6:$A$55,0)</f>
        <v>0</v>
      </c>
      <c r="S17" s="12" t="str">
        <f>_xlfn.XLOOKUP($B17,'GP8'!$C$6:$C$101,'GP8'!$B$6:$B$101,"")</f>
        <v/>
      </c>
      <c r="T17" s="77">
        <f>_xlfn.XLOOKUP(S17,'GP8'!$B$6:$B$55,'GP8'!$A$6:$A$55,0)</f>
        <v>0</v>
      </c>
      <c r="U17" s="12" t="str">
        <f>_xlfn.XLOOKUP(B17,MPW!C$6:C$101,MPW!B$6:B$101,"")</f>
        <v/>
      </c>
      <c r="V17" s="76">
        <f>_xlfn.XLOOKUP(U17,MPW!$B$6:$B$55,MPW!$A$6:$A$55,0)</f>
        <v>0</v>
      </c>
      <c r="X17" s="12" t="str">
        <f>_xlfn.XLOOKUP($B17,'PEW1'!$C$6:$C$201,'PEW1'!$B$6:$B$201,"")</f>
        <v/>
      </c>
      <c r="Y17" s="75">
        <f>_xlfn.XLOOKUP(X17,'PEW1'!$B$6:$B$201,'PEW1'!$A$6:$A$201,0)</f>
        <v>0</v>
      </c>
      <c r="Z17" s="12" t="str">
        <f>_xlfn.XLOOKUP($B17,'PEW2'!$C$6:$C$201,'PEW2'!$B$6:$B$201,"")</f>
        <v/>
      </c>
      <c r="AA17" s="75">
        <f>_xlfn.XLOOKUP(Z17,'PEW2'!$B$6:$B$201,'PEW2'!$A$6:$A$201,0)</f>
        <v>0</v>
      </c>
      <c r="AB17" s="12" t="str">
        <f>_xlfn.XLOOKUP($B17,VFC!$C$6:$C$201,VFC!$B$6:$B$201,"")</f>
        <v/>
      </c>
      <c r="AC17" s="75">
        <f>_xlfn.XLOOKUP(AB17,VFC!$B$6:$B$201,VFC!$A$6:$A$201,0)</f>
        <v>0</v>
      </c>
      <c r="AD17" s="12" t="str">
        <f>_xlfn.XLOOKUP($B17,'PEW3'!$C$6:$C$201,'PEW3'!$B$6:$B$201,"")</f>
        <v/>
      </c>
      <c r="AE17" s="75">
        <f>_xlfn.XLOOKUP(AD17,'PEW3'!$B$6:$B$201,'PEW3'!$A$6:$A$201,0)</f>
        <v>0</v>
      </c>
      <c r="AF17" s="12" t="str">
        <f>_xlfn.XLOOKUP($B17,'PEW4'!$C$6:$C$201,'PEW4'!$B$6:$B$201,"")</f>
        <v/>
      </c>
      <c r="AG17" s="75">
        <f>_xlfn.XLOOKUP(AF17,'PEW4'!$B$6:$B$201,'PEW4'!$A$6:$A$201,0)</f>
        <v>0</v>
      </c>
      <c r="AH17" s="12" t="str">
        <f>_xlfn.XLOOKUP($B17,'PEW5'!$C$6:$C$201,'PEW5'!$B$6:$B$201,"")</f>
        <v/>
      </c>
      <c r="AI17" s="75">
        <f>_xlfn.XLOOKUP(AH17,'PEW5'!$B$6:$B$201,'PEW5'!$A$6:$A$201,0)</f>
        <v>0</v>
      </c>
      <c r="AJ17" s="12" t="str">
        <f>_xlfn.XLOOKUP($B17,'PEW6'!$C$6:$C$201,'PEW6'!$B$6:$B$201,"")</f>
        <v/>
      </c>
      <c r="AK17" s="75">
        <f>_xlfn.XLOOKUP(AJ17,'PEW6'!$B$6:$B$201,'PEW6'!$A$6:$A$201,0)</f>
        <v>0</v>
      </c>
      <c r="AL17" s="12" t="str">
        <f>_xlfn.XLOOKUP($B17,'PEW7'!$C$6:$C$201,'PEW7'!$B$6:$B$201,"")</f>
        <v/>
      </c>
      <c r="AM17" s="75">
        <f>_xlfn.XLOOKUP(AL17,'PEW7'!$B$6:$B$201,'PEW7'!$A$6:$A$201,0)</f>
        <v>0</v>
      </c>
      <c r="AN17" s="12" t="str">
        <f>_xlfn.XLOOKUP($B17,'PEW8'!$C$6:$C$201,'PEW8'!$B$6:$B$201,"")</f>
        <v/>
      </c>
      <c r="AO17" s="75">
        <f>_xlfn.XLOOKUP(AN17,'PEW8'!$B$6:$B$201,'PEW8'!$A$6:$A$201,0)</f>
        <v>0</v>
      </c>
      <c r="AP17" s="12" t="str">
        <f>_xlfn.XLOOKUP($B17,'PEW9'!$C$6:$C$201,'PEW9'!$B$6:$B$201,"")</f>
        <v/>
      </c>
      <c r="AQ17" s="75">
        <f>_xlfn.XLOOKUP(AP17,'PEW9'!$B$6:$B$201,'PEW9'!$A$6:$A$201,0)</f>
        <v>0</v>
      </c>
      <c r="AR17" s="12" t="str">
        <f>_xlfn.XLOOKUP($B17,'PEW10'!$C$6:$C$201,'PEW10'!$B$6:$B$201,"")</f>
        <v/>
      </c>
      <c r="AS17" s="75">
        <f>_xlfn.XLOOKUP(AR17,'PEW10'!$B$6:$B$201,'PEW10'!$A$6:$A$201,0)</f>
        <v>0</v>
      </c>
      <c r="AT17" s="12" t="str">
        <f>_xlfn.XLOOKUP($B17,'PEW11'!$C$6:$C$201,'PEW11'!$B$6:$B$201,"")</f>
        <v/>
      </c>
      <c r="AU17" s="75">
        <f>_xlfn.XLOOKUP(AT17,'PEW11'!$B$6:$B$201,'PEW11'!$A$6:$A$201,0)</f>
        <v>0</v>
      </c>
      <c r="AV17" s="12" t="str">
        <f>_xlfn.XLOOKUP($B17,'PEW12'!$C$6:$C$201,'PEW12'!$B$6:$B$201,"")</f>
        <v/>
      </c>
      <c r="AW17" s="75">
        <f>_xlfn.XLOOKUP(AV17,'PEW12'!$B$6:$B$201,'PEW12'!$A$6:$A$201,0)</f>
        <v>0</v>
      </c>
      <c r="AX17" s="12" t="str" cm="1">
        <f t="array" ref="AX17">_xlfn.XLOOKUP($B17,IMEW!C$6:C$201,IMEW!$B$6:B$201,"")</f>
        <v/>
      </c>
      <c r="AY17" s="74">
        <f>_xlfn.XLOOKUP(AX17,IMEW!$B$6:$B$201,IMEW!$A$6:$A$201,0)</f>
        <v>0</v>
      </c>
      <c r="BA17" s="73">
        <f t="shared" si="1"/>
        <v>0</v>
      </c>
      <c r="BB17" s="73">
        <f t="shared" si="2"/>
        <v>0</v>
      </c>
      <c r="BC17" s="73">
        <f t="shared" si="3"/>
        <v>0</v>
      </c>
      <c r="BD17" s="73">
        <f t="shared" si="4"/>
        <v>0</v>
      </c>
      <c r="BE17" s="73">
        <f t="shared" si="5"/>
        <v>0</v>
      </c>
      <c r="BF17" s="73">
        <f t="shared" si="6"/>
        <v>0</v>
      </c>
      <c r="BG17" s="73">
        <f t="shared" si="7"/>
        <v>0</v>
      </c>
    </row>
    <row r="18" spans="1:59" ht="14.8" customHeight="1" x14ac:dyDescent="0.25">
      <c r="A18" s="9">
        <f t="shared" si="0"/>
        <v>13</v>
      </c>
      <c r="B18" s="13"/>
      <c r="C18" s="14"/>
      <c r="D18" s="78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2">
        <f>_xlfn.XLOOKUP($B18,'GP1'!$C$6:$C$101,'GP1'!$B$6:$B$101,"")</f>
        <v>0</v>
      </c>
      <c r="F18" s="77">
        <f>_xlfn.XLOOKUP(E18,'GP1'!$B$6:$B$55,'GP1'!$A$6:$A$55,0)</f>
        <v>0</v>
      </c>
      <c r="G18" s="12">
        <f>_xlfn.XLOOKUP($B18,'GP2'!$C$6:$C$101,'GP2'!$B$6:$B$101,"")</f>
        <v>0</v>
      </c>
      <c r="H18" s="77">
        <f>_xlfn.XLOOKUP(G18,'GP2'!$B$6:$B$55,'GP2'!$A$6:$A$55,0)</f>
        <v>0</v>
      </c>
      <c r="I18" s="12" t="str">
        <f>_xlfn.XLOOKUP($B18,'GP3'!$C$6:$C$101,'GP3'!$B$6:$B$101,"")</f>
        <v/>
      </c>
      <c r="J18" s="77">
        <f>_xlfn.XLOOKUP(I18,'GP3'!$B$6:$B$55,'GP3'!$A$6:$A$55,0)</f>
        <v>0</v>
      </c>
      <c r="K18" s="12" t="str">
        <f>_xlfn.XLOOKUP($B18,'GP4'!$C$6:$C$101,'GP4'!$B$6:$B$101,"")</f>
        <v/>
      </c>
      <c r="L18" s="77">
        <f>_xlfn.XLOOKUP(K18,'GP4'!$B$6:$B$55,'GP4'!$A$6:$A$55,0)</f>
        <v>0</v>
      </c>
      <c r="M18" s="12" t="str">
        <f>_xlfn.XLOOKUP($B18,'GP5'!$C$6:$C$101,'GP5'!$B$6:$B$101,"")</f>
        <v/>
      </c>
      <c r="N18" s="77">
        <f>_xlfn.XLOOKUP(M18,'GP5'!$B$6:$B$55,'GP5'!$A$6:$A$55,0)</f>
        <v>0</v>
      </c>
      <c r="O18" s="12" t="str">
        <f>_xlfn.XLOOKUP($B18,'GP6'!$C$6:$C$101,'GP6'!$B$6:$B$101,"")</f>
        <v/>
      </c>
      <c r="P18" s="77">
        <f>_xlfn.XLOOKUP(O18,'GP6'!$B$6:$B$55,'GP6'!$A$6:$A$55,0)</f>
        <v>0</v>
      </c>
      <c r="Q18" s="12" t="str">
        <f>_xlfn.XLOOKUP($B18,'GP7'!$C$6:$C$101,'GP7'!$B$6:$B$101,"")</f>
        <v/>
      </c>
      <c r="R18" s="77">
        <f>_xlfn.XLOOKUP(Q18,'GP7'!$B$6:$B$55,'GP7'!$A$6:$A$55,0)</f>
        <v>0</v>
      </c>
      <c r="S18" s="12" t="str">
        <f>_xlfn.XLOOKUP($B18,'GP8'!$C$6:$C$101,'GP8'!$B$6:$B$101,"")</f>
        <v/>
      </c>
      <c r="T18" s="77">
        <f>_xlfn.XLOOKUP(S18,'GP8'!$B$6:$B$55,'GP8'!$A$6:$A$55,0)</f>
        <v>0</v>
      </c>
      <c r="U18" s="12" t="str">
        <f>_xlfn.XLOOKUP(B18,MPW!C$6:C$101,MPW!B$6:B$101,"")</f>
        <v/>
      </c>
      <c r="V18" s="76">
        <f>_xlfn.XLOOKUP(U18,MPW!$B$6:$B$55,MPW!$A$6:$A$55,0)</f>
        <v>0</v>
      </c>
      <c r="X18" s="12" t="str">
        <f>_xlfn.XLOOKUP($B18,'PEW1'!$C$6:$C$201,'PEW1'!$B$6:$B$201,"")</f>
        <v/>
      </c>
      <c r="Y18" s="75">
        <f>_xlfn.XLOOKUP(X18,'PEW1'!$B$6:$B$201,'PEW1'!$A$6:$A$201,0)</f>
        <v>0</v>
      </c>
      <c r="Z18" s="12" t="str">
        <f>_xlfn.XLOOKUP($B18,'PEW2'!$C$6:$C$201,'PEW2'!$B$6:$B$201,"")</f>
        <v/>
      </c>
      <c r="AA18" s="75">
        <f>_xlfn.XLOOKUP(Z18,'PEW2'!$B$6:$B$201,'PEW2'!$A$6:$A$201,0)</f>
        <v>0</v>
      </c>
      <c r="AB18" s="12" t="str">
        <f>_xlfn.XLOOKUP($B18,VFC!$C$6:$C$201,VFC!$B$6:$B$201,"")</f>
        <v/>
      </c>
      <c r="AC18" s="75">
        <f>_xlfn.XLOOKUP(AB18,VFC!$B$6:$B$201,VFC!$A$6:$A$201,0)</f>
        <v>0</v>
      </c>
      <c r="AD18" s="12" t="str">
        <f>_xlfn.XLOOKUP($B18,'PEW3'!$C$6:$C$201,'PEW3'!$B$6:$B$201,"")</f>
        <v/>
      </c>
      <c r="AE18" s="75">
        <f>_xlfn.XLOOKUP(AD18,'PEW3'!$B$6:$B$201,'PEW3'!$A$6:$A$201,0)</f>
        <v>0</v>
      </c>
      <c r="AF18" s="12" t="str">
        <f>_xlfn.XLOOKUP($B18,'PEW4'!$C$6:$C$201,'PEW4'!$B$6:$B$201,"")</f>
        <v/>
      </c>
      <c r="AG18" s="75">
        <f>_xlfn.XLOOKUP(AF18,'PEW4'!$B$6:$B$201,'PEW4'!$A$6:$A$201,0)</f>
        <v>0</v>
      </c>
      <c r="AH18" s="12" t="str">
        <f>_xlfn.XLOOKUP($B18,'PEW5'!$C$6:$C$201,'PEW5'!$B$6:$B$201,"")</f>
        <v/>
      </c>
      <c r="AI18" s="75">
        <f>_xlfn.XLOOKUP(AH18,'PEW5'!$B$6:$B$201,'PEW5'!$A$6:$A$201,0)</f>
        <v>0</v>
      </c>
      <c r="AJ18" s="12" t="str">
        <f>_xlfn.XLOOKUP($B18,'PEW6'!$C$6:$C$201,'PEW6'!$B$6:$B$201,"")</f>
        <v/>
      </c>
      <c r="AK18" s="75">
        <f>_xlfn.XLOOKUP(AJ18,'PEW6'!$B$6:$B$201,'PEW6'!$A$6:$A$201,0)</f>
        <v>0</v>
      </c>
      <c r="AL18" s="12" t="str">
        <f>_xlfn.XLOOKUP($B18,'PEW7'!$C$6:$C$201,'PEW7'!$B$6:$B$201,"")</f>
        <v/>
      </c>
      <c r="AM18" s="75">
        <f>_xlfn.XLOOKUP(AL18,'PEW7'!$B$6:$B$201,'PEW7'!$A$6:$A$201,0)</f>
        <v>0</v>
      </c>
      <c r="AN18" s="12" t="str">
        <f>_xlfn.XLOOKUP($B18,'PEW8'!$C$6:$C$201,'PEW8'!$B$6:$B$201,"")</f>
        <v/>
      </c>
      <c r="AO18" s="75">
        <f>_xlfn.XLOOKUP(AN18,'PEW8'!$B$6:$B$201,'PEW8'!$A$6:$A$201,0)</f>
        <v>0</v>
      </c>
      <c r="AP18" s="12" t="str">
        <f>_xlfn.XLOOKUP($B18,'PEW9'!$C$6:$C$201,'PEW9'!$B$6:$B$201,"")</f>
        <v/>
      </c>
      <c r="AQ18" s="75">
        <f>_xlfn.XLOOKUP(AP18,'PEW9'!$B$6:$B$201,'PEW9'!$A$6:$A$201,0)</f>
        <v>0</v>
      </c>
      <c r="AR18" s="12" t="str">
        <f>_xlfn.XLOOKUP($B18,'PEW10'!$C$6:$C$201,'PEW10'!$B$6:$B$201,"")</f>
        <v/>
      </c>
      <c r="AS18" s="75">
        <f>_xlfn.XLOOKUP(AR18,'PEW10'!$B$6:$B$201,'PEW10'!$A$6:$A$201,0)</f>
        <v>0</v>
      </c>
      <c r="AT18" s="12" t="str">
        <f>_xlfn.XLOOKUP($B18,'PEW11'!$C$6:$C$201,'PEW11'!$B$6:$B$201,"")</f>
        <v/>
      </c>
      <c r="AU18" s="75">
        <f>_xlfn.XLOOKUP(AT18,'PEW11'!$B$6:$B$201,'PEW11'!$A$6:$A$201,0)</f>
        <v>0</v>
      </c>
      <c r="AV18" s="12" t="str">
        <f>_xlfn.XLOOKUP($B18,'PEW12'!$C$6:$C$201,'PEW12'!$B$6:$B$201,"")</f>
        <v/>
      </c>
      <c r="AW18" s="75">
        <f>_xlfn.XLOOKUP(AV18,'PEW12'!$B$6:$B$201,'PEW12'!$A$6:$A$201,0)</f>
        <v>0</v>
      </c>
      <c r="AX18" s="12" t="str" cm="1">
        <f t="array" ref="AX18">_xlfn.XLOOKUP($B18,IMEW!C$6:C$201,IMEW!$B$6:B$201,"")</f>
        <v/>
      </c>
      <c r="AY18" s="74">
        <f>_xlfn.XLOOKUP(AX18,IMEW!$B$6:$B$201,IMEW!$A$6:$A$201,0)</f>
        <v>0</v>
      </c>
      <c r="BA18" s="73">
        <f t="shared" si="1"/>
        <v>0</v>
      </c>
      <c r="BB18" s="73">
        <f t="shared" si="2"/>
        <v>0</v>
      </c>
      <c r="BC18" s="73">
        <f t="shared" si="3"/>
        <v>0</v>
      </c>
      <c r="BD18" s="73">
        <f t="shared" si="4"/>
        <v>0</v>
      </c>
      <c r="BE18" s="73">
        <f t="shared" si="5"/>
        <v>0</v>
      </c>
      <c r="BF18" s="73">
        <f t="shared" si="6"/>
        <v>0</v>
      </c>
      <c r="BG18" s="73">
        <f t="shared" si="7"/>
        <v>0</v>
      </c>
    </row>
    <row r="19" spans="1:59" ht="14.8" customHeight="1" x14ac:dyDescent="0.25">
      <c r="A19" s="9">
        <f t="shared" si="0"/>
        <v>14</v>
      </c>
      <c r="B19" s="13"/>
      <c r="C19" s="14"/>
      <c r="D19" s="78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2">
        <f>_xlfn.XLOOKUP($B19,'GP1'!$C$6:$C$101,'GP1'!$B$6:$B$101,"")</f>
        <v>0</v>
      </c>
      <c r="F19" s="77">
        <f>_xlfn.XLOOKUP(E19,'GP1'!$B$6:$B$55,'GP1'!$A$6:$A$55,0)</f>
        <v>0</v>
      </c>
      <c r="G19" s="12">
        <f>_xlfn.XLOOKUP($B19,'GP2'!$C$6:$C$101,'GP2'!$B$6:$B$101,"")</f>
        <v>0</v>
      </c>
      <c r="H19" s="77">
        <f>_xlfn.XLOOKUP(G19,'GP2'!$B$6:$B$55,'GP2'!$A$6:$A$55,0)</f>
        <v>0</v>
      </c>
      <c r="I19" s="12" t="str">
        <f>_xlfn.XLOOKUP($B19,'GP3'!$C$6:$C$101,'GP3'!$B$6:$B$101,"")</f>
        <v/>
      </c>
      <c r="J19" s="77">
        <f>_xlfn.XLOOKUP(I19,'GP3'!$B$6:$B$55,'GP3'!$A$6:$A$55,0)</f>
        <v>0</v>
      </c>
      <c r="K19" s="12" t="str">
        <f>_xlfn.XLOOKUP($B19,'GP4'!$C$6:$C$101,'GP4'!$B$6:$B$101,"")</f>
        <v/>
      </c>
      <c r="L19" s="77">
        <f>_xlfn.XLOOKUP(K19,'GP4'!$B$6:$B$55,'GP4'!$A$6:$A$55,0)</f>
        <v>0</v>
      </c>
      <c r="M19" s="12" t="str">
        <f>_xlfn.XLOOKUP($B19,'GP5'!$C$6:$C$101,'GP5'!$B$6:$B$101,"")</f>
        <v/>
      </c>
      <c r="N19" s="77">
        <f>_xlfn.XLOOKUP(M19,'GP5'!$B$6:$B$55,'GP5'!$A$6:$A$55,0)</f>
        <v>0</v>
      </c>
      <c r="O19" s="12" t="str">
        <f>_xlfn.XLOOKUP($B19,'GP6'!$C$6:$C$101,'GP6'!$B$6:$B$101,"")</f>
        <v/>
      </c>
      <c r="P19" s="77">
        <f>_xlfn.XLOOKUP(O19,'GP6'!$B$6:$B$55,'GP6'!$A$6:$A$55,0)</f>
        <v>0</v>
      </c>
      <c r="Q19" s="12" t="str">
        <f>_xlfn.XLOOKUP($B19,'GP7'!$C$6:$C$101,'GP7'!$B$6:$B$101,"")</f>
        <v/>
      </c>
      <c r="R19" s="77">
        <f>_xlfn.XLOOKUP(Q19,'GP7'!$B$6:$B$55,'GP7'!$A$6:$A$55,0)</f>
        <v>0</v>
      </c>
      <c r="S19" s="12" t="str">
        <f>_xlfn.XLOOKUP($B19,'GP8'!$C$6:$C$101,'GP8'!$B$6:$B$101,"")</f>
        <v/>
      </c>
      <c r="T19" s="77">
        <f>_xlfn.XLOOKUP(S19,'GP8'!$B$6:$B$55,'GP8'!$A$6:$A$55,0)</f>
        <v>0</v>
      </c>
      <c r="U19" s="12" t="str">
        <f>_xlfn.XLOOKUP(B19,MPW!C$6:C$101,MPW!B$6:B$101,"")</f>
        <v/>
      </c>
      <c r="V19" s="76">
        <f>_xlfn.XLOOKUP(U19,MPW!$B$6:$B$55,MPW!$A$6:$A$55,0)</f>
        <v>0</v>
      </c>
      <c r="X19" s="12" t="str">
        <f>_xlfn.XLOOKUP($B19,'PEW1'!$C$6:$C$201,'PEW1'!$B$6:$B$201,"")</f>
        <v/>
      </c>
      <c r="Y19" s="75">
        <f>_xlfn.XLOOKUP(X19,'PEW1'!$B$6:$B$201,'PEW1'!$A$6:$A$201,0)</f>
        <v>0</v>
      </c>
      <c r="Z19" s="12" t="str">
        <f>_xlfn.XLOOKUP($B19,'PEW2'!$C$6:$C$201,'PEW2'!$B$6:$B$201,"")</f>
        <v/>
      </c>
      <c r="AA19" s="75">
        <f>_xlfn.XLOOKUP(Z19,'PEW2'!$B$6:$B$201,'PEW2'!$A$6:$A$201,0)</f>
        <v>0</v>
      </c>
      <c r="AB19" s="12" t="str">
        <f>_xlfn.XLOOKUP($B19,VFC!$C$6:$C$201,VFC!$B$6:$B$201,"")</f>
        <v/>
      </c>
      <c r="AC19" s="75">
        <f>_xlfn.XLOOKUP(AB19,VFC!$B$6:$B$201,VFC!$A$6:$A$201,0)</f>
        <v>0</v>
      </c>
      <c r="AD19" s="12" t="str">
        <f>_xlfn.XLOOKUP($B19,'PEW3'!$C$6:$C$201,'PEW3'!$B$6:$B$201,"")</f>
        <v/>
      </c>
      <c r="AE19" s="75">
        <f>_xlfn.XLOOKUP(AD19,'PEW3'!$B$6:$B$201,'PEW3'!$A$6:$A$201,0)</f>
        <v>0</v>
      </c>
      <c r="AF19" s="12" t="str">
        <f>_xlfn.XLOOKUP($B19,'PEW4'!$C$6:$C$201,'PEW4'!$B$6:$B$201,"")</f>
        <v/>
      </c>
      <c r="AG19" s="75">
        <f>_xlfn.XLOOKUP(AF19,'PEW4'!$B$6:$B$201,'PEW4'!$A$6:$A$201,0)</f>
        <v>0</v>
      </c>
      <c r="AH19" s="12" t="str">
        <f>_xlfn.XLOOKUP($B19,'PEW5'!$C$6:$C$201,'PEW5'!$B$6:$B$201,"")</f>
        <v/>
      </c>
      <c r="AI19" s="75">
        <f>_xlfn.XLOOKUP(AH19,'PEW5'!$B$6:$B$201,'PEW5'!$A$6:$A$201,0)</f>
        <v>0</v>
      </c>
      <c r="AJ19" s="12" t="str">
        <f>_xlfn.XLOOKUP($B19,'PEW6'!$C$6:$C$201,'PEW6'!$B$6:$B$201,"")</f>
        <v/>
      </c>
      <c r="AK19" s="75">
        <f>_xlfn.XLOOKUP(AJ19,'PEW6'!$B$6:$B$201,'PEW6'!$A$6:$A$201,0)</f>
        <v>0</v>
      </c>
      <c r="AL19" s="12" t="str">
        <f>_xlfn.XLOOKUP($B19,'PEW7'!$C$6:$C$201,'PEW7'!$B$6:$B$201,"")</f>
        <v/>
      </c>
      <c r="AM19" s="75">
        <f>_xlfn.XLOOKUP(AL19,'PEW7'!$B$6:$B$201,'PEW7'!$A$6:$A$201,0)</f>
        <v>0</v>
      </c>
      <c r="AN19" s="12" t="str">
        <f>_xlfn.XLOOKUP($B19,'PEW8'!$C$6:$C$201,'PEW8'!$B$6:$B$201,"")</f>
        <v/>
      </c>
      <c r="AO19" s="75">
        <f>_xlfn.XLOOKUP(AN19,'PEW8'!$B$6:$B$201,'PEW8'!$A$6:$A$201,0)</f>
        <v>0</v>
      </c>
      <c r="AP19" s="12" t="str">
        <f>_xlfn.XLOOKUP($B19,'PEW9'!$C$6:$C$201,'PEW9'!$B$6:$B$201,"")</f>
        <v/>
      </c>
      <c r="AQ19" s="75">
        <f>_xlfn.XLOOKUP(AP19,'PEW9'!$B$6:$B$201,'PEW9'!$A$6:$A$201,0)</f>
        <v>0</v>
      </c>
      <c r="AR19" s="12" t="str">
        <f>_xlfn.XLOOKUP($B19,'PEW10'!$C$6:$C$201,'PEW10'!$B$6:$B$201,"")</f>
        <v/>
      </c>
      <c r="AS19" s="75">
        <f>_xlfn.XLOOKUP(AR19,'PEW10'!$B$6:$B$201,'PEW10'!$A$6:$A$201,0)</f>
        <v>0</v>
      </c>
      <c r="AT19" s="12" t="str">
        <f>_xlfn.XLOOKUP($B19,'PEW11'!$C$6:$C$201,'PEW11'!$B$6:$B$201,"")</f>
        <v/>
      </c>
      <c r="AU19" s="75">
        <f>_xlfn.XLOOKUP(AT19,'PEW11'!$B$6:$B$201,'PEW11'!$A$6:$A$201,0)</f>
        <v>0</v>
      </c>
      <c r="AV19" s="12" t="str">
        <f>_xlfn.XLOOKUP($B19,'PEW12'!$C$6:$C$201,'PEW12'!$B$6:$B$201,"")</f>
        <v/>
      </c>
      <c r="AW19" s="75">
        <f>_xlfn.XLOOKUP(AV19,'PEW12'!$B$6:$B$201,'PEW12'!$A$6:$A$201,0)</f>
        <v>0</v>
      </c>
      <c r="AX19" s="12" t="str" cm="1">
        <f t="array" ref="AX19">_xlfn.XLOOKUP($B19,IMEW!C$6:C$201,IMEW!$B$6:B$201,"")</f>
        <v/>
      </c>
      <c r="AY19" s="74">
        <f>_xlfn.XLOOKUP(AX19,IMEW!$B$6:$B$201,IMEW!$A$6:$A$201,0)</f>
        <v>0</v>
      </c>
      <c r="BA19" s="73">
        <f t="shared" si="1"/>
        <v>0</v>
      </c>
      <c r="BB19" s="73">
        <f t="shared" si="2"/>
        <v>0</v>
      </c>
      <c r="BC19" s="73">
        <f t="shared" si="3"/>
        <v>0</v>
      </c>
      <c r="BD19" s="73">
        <f t="shared" si="4"/>
        <v>0</v>
      </c>
      <c r="BE19" s="73">
        <f t="shared" si="5"/>
        <v>0</v>
      </c>
      <c r="BF19" s="73">
        <f t="shared" si="6"/>
        <v>0</v>
      </c>
      <c r="BG19" s="73">
        <f t="shared" si="7"/>
        <v>0</v>
      </c>
    </row>
    <row r="20" spans="1:59" ht="14.8" customHeight="1" x14ac:dyDescent="0.25">
      <c r="A20" s="9">
        <f t="shared" si="0"/>
        <v>15</v>
      </c>
      <c r="B20" s="13"/>
      <c r="C20" s="14"/>
      <c r="D20" s="78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2">
        <f>_xlfn.XLOOKUP($B20,'GP1'!$C$6:$C$101,'GP1'!$B$6:$B$101,"")</f>
        <v>0</v>
      </c>
      <c r="F20" s="77">
        <f>_xlfn.XLOOKUP(E20,'GP1'!$B$6:$B$55,'GP1'!$A$6:$A$55,0)</f>
        <v>0</v>
      </c>
      <c r="G20" s="12">
        <f>_xlfn.XLOOKUP($B20,'GP2'!$C$6:$C$101,'GP2'!$B$6:$B$101,"")</f>
        <v>0</v>
      </c>
      <c r="H20" s="77">
        <f>_xlfn.XLOOKUP(G20,'GP2'!$B$6:$B$55,'GP2'!$A$6:$A$55,0)</f>
        <v>0</v>
      </c>
      <c r="I20" s="12" t="str">
        <f>_xlfn.XLOOKUP($B20,'GP3'!$C$6:$C$101,'GP3'!$B$6:$B$101,"")</f>
        <v/>
      </c>
      <c r="J20" s="77">
        <f>_xlfn.XLOOKUP(I20,'GP3'!$B$6:$B$55,'GP3'!$A$6:$A$55,0)</f>
        <v>0</v>
      </c>
      <c r="K20" s="12" t="str">
        <f>_xlfn.XLOOKUP($B20,'GP4'!$C$6:$C$101,'GP4'!$B$6:$B$101,"")</f>
        <v/>
      </c>
      <c r="L20" s="77">
        <f>_xlfn.XLOOKUP(K20,'GP4'!$B$6:$B$55,'GP4'!$A$6:$A$55,0)</f>
        <v>0</v>
      </c>
      <c r="M20" s="12" t="str">
        <f>_xlfn.XLOOKUP($B20,'GP5'!$C$6:$C$101,'GP5'!$B$6:$B$101,"")</f>
        <v/>
      </c>
      <c r="N20" s="77">
        <f>_xlfn.XLOOKUP(M20,'GP5'!$B$6:$B$55,'GP5'!$A$6:$A$55,0)</f>
        <v>0</v>
      </c>
      <c r="O20" s="12" t="str">
        <f>_xlfn.XLOOKUP($B20,'GP6'!$C$6:$C$101,'GP6'!$B$6:$B$101,"")</f>
        <v/>
      </c>
      <c r="P20" s="77">
        <f>_xlfn.XLOOKUP(O20,'GP6'!$B$6:$B$55,'GP6'!$A$6:$A$55,0)</f>
        <v>0</v>
      </c>
      <c r="Q20" s="12" t="str">
        <f>_xlfn.XLOOKUP($B20,'GP7'!$C$6:$C$101,'GP7'!$B$6:$B$101,"")</f>
        <v/>
      </c>
      <c r="R20" s="77">
        <f>_xlfn.XLOOKUP(Q20,'GP7'!$B$6:$B$55,'GP7'!$A$6:$A$55,0)</f>
        <v>0</v>
      </c>
      <c r="S20" s="12" t="str">
        <f>_xlfn.XLOOKUP($B20,'GP8'!$C$6:$C$101,'GP8'!$B$6:$B$101,"")</f>
        <v/>
      </c>
      <c r="T20" s="77">
        <f>_xlfn.XLOOKUP(S20,'GP8'!$B$6:$B$55,'GP8'!$A$6:$A$55,0)</f>
        <v>0</v>
      </c>
      <c r="U20" s="12" t="str">
        <f>_xlfn.XLOOKUP(B20,MPW!C$6:C$101,MPW!B$6:B$101,"")</f>
        <v/>
      </c>
      <c r="V20" s="76">
        <f>_xlfn.XLOOKUP(U20,MPW!$B$6:$B$55,MPW!$A$6:$A$55,0)</f>
        <v>0</v>
      </c>
      <c r="X20" s="12" t="str">
        <f>_xlfn.XLOOKUP($B20,'PEW1'!$C$6:$C$201,'PEW1'!$B$6:$B$201,"")</f>
        <v/>
      </c>
      <c r="Y20" s="75">
        <f>_xlfn.XLOOKUP(X20,'PEW1'!$B$6:$B$201,'PEW1'!$A$6:$A$201,0)</f>
        <v>0</v>
      </c>
      <c r="Z20" s="12" t="str">
        <f>_xlfn.XLOOKUP($B20,'PEW2'!$C$6:$C$201,'PEW2'!$B$6:$B$201,"")</f>
        <v/>
      </c>
      <c r="AA20" s="75">
        <f>_xlfn.XLOOKUP(Z20,'PEW2'!$B$6:$B$201,'PEW2'!$A$6:$A$201,0)</f>
        <v>0</v>
      </c>
      <c r="AB20" s="12" t="str">
        <f>_xlfn.XLOOKUP($B20,VFC!$C$6:$C$201,VFC!$B$6:$B$201,"")</f>
        <v/>
      </c>
      <c r="AC20" s="75">
        <f>_xlfn.XLOOKUP(AB20,VFC!$B$6:$B$201,VFC!$A$6:$A$201,0)</f>
        <v>0</v>
      </c>
      <c r="AD20" s="12" t="str">
        <f>_xlfn.XLOOKUP($B20,'PEW3'!$C$6:$C$201,'PEW3'!$B$6:$B$201,"")</f>
        <v/>
      </c>
      <c r="AE20" s="75">
        <f>_xlfn.XLOOKUP(AD20,'PEW3'!$B$6:$B$201,'PEW3'!$A$6:$A$201,0)</f>
        <v>0</v>
      </c>
      <c r="AF20" s="12" t="str">
        <f>_xlfn.XLOOKUP($B20,'PEW4'!$C$6:$C$201,'PEW4'!$B$6:$B$201,"")</f>
        <v/>
      </c>
      <c r="AG20" s="75">
        <f>_xlfn.XLOOKUP(AF20,'PEW4'!$B$6:$B$201,'PEW4'!$A$6:$A$201,0)</f>
        <v>0</v>
      </c>
      <c r="AH20" s="12" t="str">
        <f>_xlfn.XLOOKUP($B20,'PEW5'!$C$6:$C$201,'PEW5'!$B$6:$B$201,"")</f>
        <v/>
      </c>
      <c r="AI20" s="75">
        <f>_xlfn.XLOOKUP(AH20,'PEW5'!$B$6:$B$201,'PEW5'!$A$6:$A$201,0)</f>
        <v>0</v>
      </c>
      <c r="AJ20" s="12" t="str">
        <f>_xlfn.XLOOKUP($B20,'PEW6'!$C$6:$C$201,'PEW6'!$B$6:$B$201,"")</f>
        <v/>
      </c>
      <c r="AK20" s="75">
        <f>_xlfn.XLOOKUP(AJ20,'PEW6'!$B$6:$B$201,'PEW6'!$A$6:$A$201,0)</f>
        <v>0</v>
      </c>
      <c r="AL20" s="12" t="str">
        <f>_xlfn.XLOOKUP($B20,'PEW7'!$C$6:$C$201,'PEW7'!$B$6:$B$201,"")</f>
        <v/>
      </c>
      <c r="AM20" s="75">
        <f>_xlfn.XLOOKUP(AL20,'PEW7'!$B$6:$B$201,'PEW7'!$A$6:$A$201,0)</f>
        <v>0</v>
      </c>
      <c r="AN20" s="12" t="str">
        <f>_xlfn.XLOOKUP($B20,'PEW8'!$C$6:$C$201,'PEW8'!$B$6:$B$201,"")</f>
        <v/>
      </c>
      <c r="AO20" s="75">
        <f>_xlfn.XLOOKUP(AN20,'PEW8'!$B$6:$B$201,'PEW8'!$A$6:$A$201,0)</f>
        <v>0</v>
      </c>
      <c r="AP20" s="12" t="str">
        <f>_xlfn.XLOOKUP($B20,'PEW9'!$C$6:$C$201,'PEW9'!$B$6:$B$201,"")</f>
        <v/>
      </c>
      <c r="AQ20" s="75">
        <f>_xlfn.XLOOKUP(AP20,'PEW9'!$B$6:$B$201,'PEW9'!$A$6:$A$201,0)</f>
        <v>0</v>
      </c>
      <c r="AR20" s="12" t="str">
        <f>_xlfn.XLOOKUP($B20,'PEW10'!$C$6:$C$201,'PEW10'!$B$6:$B$201,"")</f>
        <v/>
      </c>
      <c r="AS20" s="75">
        <f>_xlfn.XLOOKUP(AR20,'PEW10'!$B$6:$B$201,'PEW10'!$A$6:$A$201,0)</f>
        <v>0</v>
      </c>
      <c r="AT20" s="12" t="str">
        <f>_xlfn.XLOOKUP($B20,'PEW11'!$C$6:$C$201,'PEW11'!$B$6:$B$201,"")</f>
        <v/>
      </c>
      <c r="AU20" s="75">
        <f>_xlfn.XLOOKUP(AT20,'PEW11'!$B$6:$B$201,'PEW11'!$A$6:$A$201,0)</f>
        <v>0</v>
      </c>
      <c r="AV20" s="12" t="str">
        <f>_xlfn.XLOOKUP($B20,'PEW12'!$C$6:$C$201,'PEW12'!$B$6:$B$201,"")</f>
        <v/>
      </c>
      <c r="AW20" s="75">
        <f>_xlfn.XLOOKUP(AV20,'PEW12'!$B$6:$B$201,'PEW12'!$A$6:$A$201,0)</f>
        <v>0</v>
      </c>
      <c r="AX20" s="12" t="str" cm="1">
        <f t="array" ref="AX20">_xlfn.XLOOKUP($B20,IMEW!C$6:C$201,IMEW!$B$6:B$201,"")</f>
        <v/>
      </c>
      <c r="AY20" s="74">
        <f>_xlfn.XLOOKUP(AX20,IMEW!$B$6:$B$201,IMEW!$A$6:$A$201,0)</f>
        <v>0</v>
      </c>
      <c r="BA20" s="73">
        <f t="shared" si="1"/>
        <v>0</v>
      </c>
      <c r="BB20" s="73">
        <f t="shared" si="2"/>
        <v>0</v>
      </c>
      <c r="BC20" s="73">
        <f t="shared" si="3"/>
        <v>0</v>
      </c>
      <c r="BD20" s="73">
        <f t="shared" si="4"/>
        <v>0</v>
      </c>
      <c r="BE20" s="73">
        <f t="shared" si="5"/>
        <v>0</v>
      </c>
      <c r="BF20" s="73">
        <f t="shared" si="6"/>
        <v>0</v>
      </c>
      <c r="BG20" s="73">
        <f t="shared" si="7"/>
        <v>0</v>
      </c>
    </row>
    <row r="21" spans="1:59" ht="14.8" customHeight="1" x14ac:dyDescent="0.25">
      <c r="A21" s="9">
        <f t="shared" si="0"/>
        <v>16</v>
      </c>
      <c r="B21" s="13"/>
      <c r="C21" s="14"/>
      <c r="D21" s="78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2">
        <f>_xlfn.XLOOKUP($B21,'GP1'!$C$6:$C$101,'GP1'!$B$6:$B$101,"")</f>
        <v>0</v>
      </c>
      <c r="F21" s="77">
        <f>_xlfn.XLOOKUP(E21,'GP1'!$B$6:$B$55,'GP1'!$A$6:$A$55,0)</f>
        <v>0</v>
      </c>
      <c r="G21" s="12">
        <f>_xlfn.XLOOKUP($B21,'GP2'!$C$6:$C$101,'GP2'!$B$6:$B$101,"")</f>
        <v>0</v>
      </c>
      <c r="H21" s="77">
        <f>_xlfn.XLOOKUP(G21,'GP2'!$B$6:$B$55,'GP2'!$A$6:$A$55,0)</f>
        <v>0</v>
      </c>
      <c r="I21" s="12" t="str">
        <f>_xlfn.XLOOKUP($B21,'GP3'!$C$6:$C$101,'GP3'!$B$6:$B$101,"")</f>
        <v/>
      </c>
      <c r="J21" s="77">
        <f>_xlfn.XLOOKUP(I21,'GP3'!$B$6:$B$55,'GP3'!$A$6:$A$55,0)</f>
        <v>0</v>
      </c>
      <c r="K21" s="12" t="str">
        <f>_xlfn.XLOOKUP($B21,'GP4'!$C$6:$C$101,'GP4'!$B$6:$B$101,"")</f>
        <v/>
      </c>
      <c r="L21" s="77">
        <f>_xlfn.XLOOKUP(K21,'GP4'!$B$6:$B$55,'GP4'!$A$6:$A$55,0)</f>
        <v>0</v>
      </c>
      <c r="M21" s="12" t="str">
        <f>_xlfn.XLOOKUP($B21,'GP5'!$C$6:$C$101,'GP5'!$B$6:$B$101,"")</f>
        <v/>
      </c>
      <c r="N21" s="77">
        <f>_xlfn.XLOOKUP(M21,'GP5'!$B$6:$B$55,'GP5'!$A$6:$A$55,0)</f>
        <v>0</v>
      </c>
      <c r="O21" s="12" t="str">
        <f>_xlfn.XLOOKUP($B21,'GP6'!$C$6:$C$101,'GP6'!$B$6:$B$101,"")</f>
        <v/>
      </c>
      <c r="P21" s="77">
        <f>_xlfn.XLOOKUP(O21,'GP6'!$B$6:$B$55,'GP6'!$A$6:$A$55,0)</f>
        <v>0</v>
      </c>
      <c r="Q21" s="12" t="str">
        <f>_xlfn.XLOOKUP($B21,'GP7'!$C$6:$C$101,'GP7'!$B$6:$B$101,"")</f>
        <v/>
      </c>
      <c r="R21" s="77">
        <f>_xlfn.XLOOKUP(Q21,'GP7'!$B$6:$B$55,'GP7'!$A$6:$A$55,0)</f>
        <v>0</v>
      </c>
      <c r="S21" s="12" t="str">
        <f>_xlfn.XLOOKUP($B21,'GP8'!$C$6:$C$101,'GP8'!$B$6:$B$101,"")</f>
        <v/>
      </c>
      <c r="T21" s="77">
        <f>_xlfn.XLOOKUP(S21,'GP8'!$B$6:$B$55,'GP8'!$A$6:$A$55,0)</f>
        <v>0</v>
      </c>
      <c r="U21" s="12" t="str">
        <f>_xlfn.XLOOKUP(B21,MPW!C$6:C$101,MPW!B$6:B$101,"")</f>
        <v/>
      </c>
      <c r="V21" s="76">
        <f>_xlfn.XLOOKUP(U21,MPW!$B$6:$B$55,MPW!$A$6:$A$55,0)</f>
        <v>0</v>
      </c>
      <c r="X21" s="12" t="str">
        <f>_xlfn.XLOOKUP($B21,'PEW1'!$C$6:$C$201,'PEW1'!$B$6:$B$201,"")</f>
        <v/>
      </c>
      <c r="Y21" s="75">
        <f>_xlfn.XLOOKUP(X21,'PEW1'!$B$6:$B$201,'PEW1'!$A$6:$A$201,0)</f>
        <v>0</v>
      </c>
      <c r="Z21" s="12" t="str">
        <f>_xlfn.XLOOKUP($B21,'PEW2'!$C$6:$C$201,'PEW2'!$B$6:$B$201,"")</f>
        <v/>
      </c>
      <c r="AA21" s="75">
        <f>_xlfn.XLOOKUP(Z21,'PEW2'!$B$6:$B$201,'PEW2'!$A$6:$A$201,0)</f>
        <v>0</v>
      </c>
      <c r="AB21" s="12" t="str">
        <f>_xlfn.XLOOKUP($B21,VFC!$C$6:$C$201,VFC!$B$6:$B$201,"")</f>
        <v/>
      </c>
      <c r="AC21" s="75">
        <f>_xlfn.XLOOKUP(AB21,VFC!$B$6:$B$201,VFC!$A$6:$A$201,0)</f>
        <v>0</v>
      </c>
      <c r="AD21" s="12" t="str">
        <f>_xlfn.XLOOKUP($B21,'PEW3'!$C$6:$C$201,'PEW3'!$B$6:$B$201,"")</f>
        <v/>
      </c>
      <c r="AE21" s="75">
        <f>_xlfn.XLOOKUP(AD21,'PEW3'!$B$6:$B$201,'PEW3'!$A$6:$A$201,0)</f>
        <v>0</v>
      </c>
      <c r="AF21" s="12" t="str">
        <f>_xlfn.XLOOKUP($B21,'PEW4'!$C$6:$C$201,'PEW4'!$B$6:$B$201,"")</f>
        <v/>
      </c>
      <c r="AG21" s="75">
        <f>_xlfn.XLOOKUP(AF21,'PEW4'!$B$6:$B$201,'PEW4'!$A$6:$A$201,0)</f>
        <v>0</v>
      </c>
      <c r="AH21" s="12" t="str">
        <f>_xlfn.XLOOKUP($B21,'PEW5'!$C$6:$C$201,'PEW5'!$B$6:$B$201,"")</f>
        <v/>
      </c>
      <c r="AI21" s="75">
        <f>_xlfn.XLOOKUP(AH21,'PEW5'!$B$6:$B$201,'PEW5'!$A$6:$A$201,0)</f>
        <v>0</v>
      </c>
      <c r="AJ21" s="12" t="str">
        <f>_xlfn.XLOOKUP($B21,'PEW6'!$C$6:$C$201,'PEW6'!$B$6:$B$201,"")</f>
        <v/>
      </c>
      <c r="AK21" s="75">
        <f>_xlfn.XLOOKUP(AJ21,'PEW6'!$B$6:$B$201,'PEW6'!$A$6:$A$201,0)</f>
        <v>0</v>
      </c>
      <c r="AL21" s="12" t="str">
        <f>_xlfn.XLOOKUP($B21,'PEW7'!$C$6:$C$201,'PEW7'!$B$6:$B$201,"")</f>
        <v/>
      </c>
      <c r="AM21" s="75">
        <f>_xlfn.XLOOKUP(AL21,'PEW7'!$B$6:$B$201,'PEW7'!$A$6:$A$201,0)</f>
        <v>0</v>
      </c>
      <c r="AN21" s="12" t="str">
        <f>_xlfn.XLOOKUP($B21,'PEW8'!$C$6:$C$201,'PEW8'!$B$6:$B$201,"")</f>
        <v/>
      </c>
      <c r="AO21" s="75">
        <f>_xlfn.XLOOKUP(AN21,'PEW8'!$B$6:$B$201,'PEW8'!$A$6:$A$201,0)</f>
        <v>0</v>
      </c>
      <c r="AP21" s="12" t="str">
        <f>_xlfn.XLOOKUP($B21,'PEW9'!$C$6:$C$201,'PEW9'!$B$6:$B$201,"")</f>
        <v/>
      </c>
      <c r="AQ21" s="75">
        <f>_xlfn.XLOOKUP(AP21,'PEW9'!$B$6:$B$201,'PEW9'!$A$6:$A$201,0)</f>
        <v>0</v>
      </c>
      <c r="AR21" s="12" t="str">
        <f>_xlfn.XLOOKUP($B21,'PEW10'!$C$6:$C$201,'PEW10'!$B$6:$B$201,"")</f>
        <v/>
      </c>
      <c r="AS21" s="75">
        <f>_xlfn.XLOOKUP(AR21,'PEW10'!$B$6:$B$201,'PEW10'!$A$6:$A$201,0)</f>
        <v>0</v>
      </c>
      <c r="AT21" s="12" t="str">
        <f>_xlfn.XLOOKUP($B21,'PEW11'!$C$6:$C$201,'PEW11'!$B$6:$B$201,"")</f>
        <v/>
      </c>
      <c r="AU21" s="75">
        <f>_xlfn.XLOOKUP(AT21,'PEW11'!$B$6:$B$201,'PEW11'!$A$6:$A$201,0)</f>
        <v>0</v>
      </c>
      <c r="AV21" s="12" t="str">
        <f>_xlfn.XLOOKUP($B21,'PEW12'!$C$6:$C$201,'PEW12'!$B$6:$B$201,"")</f>
        <v/>
      </c>
      <c r="AW21" s="75">
        <f>_xlfn.XLOOKUP(AV21,'PEW12'!$B$6:$B$201,'PEW12'!$A$6:$A$201,0)</f>
        <v>0</v>
      </c>
      <c r="AX21" s="12" t="str" cm="1">
        <f t="array" ref="AX21">_xlfn.XLOOKUP($B21,IMEW!C$6:C$201,IMEW!$B$6:B$201,"")</f>
        <v/>
      </c>
      <c r="AY21" s="74">
        <f>_xlfn.XLOOKUP(AX21,IMEW!$B$6:$B$201,IMEW!$A$6:$A$201,0)</f>
        <v>0</v>
      </c>
      <c r="BA21" s="73">
        <f t="shared" si="1"/>
        <v>0</v>
      </c>
      <c r="BB21" s="73">
        <f t="shared" si="2"/>
        <v>0</v>
      </c>
      <c r="BC21" s="73">
        <f t="shared" si="3"/>
        <v>0</v>
      </c>
      <c r="BD21" s="73">
        <f t="shared" si="4"/>
        <v>0</v>
      </c>
      <c r="BE21" s="73">
        <f t="shared" si="5"/>
        <v>0</v>
      </c>
      <c r="BF21" s="73">
        <f t="shared" si="6"/>
        <v>0</v>
      </c>
      <c r="BG21" s="73">
        <f t="shared" si="7"/>
        <v>0</v>
      </c>
    </row>
    <row r="22" spans="1:59" ht="14.8" customHeight="1" x14ac:dyDescent="0.25">
      <c r="A22" s="9">
        <f t="shared" si="0"/>
        <v>17</v>
      </c>
      <c r="B22" s="13"/>
      <c r="C22" s="14"/>
      <c r="D22" s="78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2">
        <f>_xlfn.XLOOKUP($B22,'GP1'!$C$6:$C$101,'GP1'!$B$6:$B$101,"")</f>
        <v>0</v>
      </c>
      <c r="F22" s="77">
        <f>_xlfn.XLOOKUP(E22,'GP1'!$B$6:$B$55,'GP1'!$A$6:$A$55,0)</f>
        <v>0</v>
      </c>
      <c r="G22" s="12">
        <f>_xlfn.XLOOKUP($B22,'GP2'!$C$6:$C$101,'GP2'!$B$6:$B$101,"")</f>
        <v>0</v>
      </c>
      <c r="H22" s="77">
        <f>_xlfn.XLOOKUP(G22,'GP2'!$B$6:$B$55,'GP2'!$A$6:$A$55,0)</f>
        <v>0</v>
      </c>
      <c r="I22" s="12" t="str">
        <f>_xlfn.XLOOKUP($B22,'GP3'!$C$6:$C$101,'GP3'!$B$6:$B$101,"")</f>
        <v/>
      </c>
      <c r="J22" s="77">
        <f>_xlfn.XLOOKUP(I22,'GP3'!$B$6:$B$55,'GP3'!$A$6:$A$55,0)</f>
        <v>0</v>
      </c>
      <c r="K22" s="12" t="str">
        <f>_xlfn.XLOOKUP($B22,'GP4'!$C$6:$C$101,'GP4'!$B$6:$B$101,"")</f>
        <v/>
      </c>
      <c r="L22" s="77">
        <f>_xlfn.XLOOKUP(K22,'GP4'!$B$6:$B$55,'GP4'!$A$6:$A$55,0)</f>
        <v>0</v>
      </c>
      <c r="M22" s="12" t="str">
        <f>_xlfn.XLOOKUP($B22,'GP5'!$C$6:$C$101,'GP5'!$B$6:$B$101,"")</f>
        <v/>
      </c>
      <c r="N22" s="77">
        <f>_xlfn.XLOOKUP(M22,'GP5'!$B$6:$B$55,'GP5'!$A$6:$A$55,0)</f>
        <v>0</v>
      </c>
      <c r="O22" s="12" t="str">
        <f>_xlfn.XLOOKUP($B22,'GP6'!$C$6:$C$101,'GP6'!$B$6:$B$101,"")</f>
        <v/>
      </c>
      <c r="P22" s="77">
        <f>_xlfn.XLOOKUP(O22,'GP6'!$B$6:$B$55,'GP6'!$A$6:$A$55,0)</f>
        <v>0</v>
      </c>
      <c r="Q22" s="12" t="str">
        <f>_xlfn.XLOOKUP($B22,'GP7'!$C$6:$C$101,'GP7'!$B$6:$B$101,"")</f>
        <v/>
      </c>
      <c r="R22" s="77">
        <f>_xlfn.XLOOKUP(Q22,'GP7'!$B$6:$B$55,'GP7'!$A$6:$A$55,0)</f>
        <v>0</v>
      </c>
      <c r="S22" s="12" t="str">
        <f>_xlfn.XLOOKUP($B22,'GP8'!$C$6:$C$101,'GP8'!$B$6:$B$101,"")</f>
        <v/>
      </c>
      <c r="T22" s="77">
        <f>_xlfn.XLOOKUP(S22,'GP8'!$B$6:$B$55,'GP8'!$A$6:$A$55,0)</f>
        <v>0</v>
      </c>
      <c r="U22" s="12" t="str">
        <f>_xlfn.XLOOKUP(B22,MPW!C$6:C$101,MPW!B$6:B$101,"")</f>
        <v/>
      </c>
      <c r="V22" s="76">
        <f>_xlfn.XLOOKUP(U22,MPW!$B$6:$B$55,MPW!$A$6:$A$55,0)</f>
        <v>0</v>
      </c>
      <c r="X22" s="12" t="str">
        <f>_xlfn.XLOOKUP($B22,'PEW1'!$C$6:$C$201,'PEW1'!$B$6:$B$201,"")</f>
        <v/>
      </c>
      <c r="Y22" s="75">
        <f>_xlfn.XLOOKUP(X22,'PEW1'!$B$6:$B$201,'PEW1'!$A$6:$A$201,0)</f>
        <v>0</v>
      </c>
      <c r="Z22" s="12" t="str">
        <f>_xlfn.XLOOKUP($B22,'PEW2'!$C$6:$C$201,'PEW2'!$B$6:$B$201,"")</f>
        <v/>
      </c>
      <c r="AA22" s="75">
        <f>_xlfn.XLOOKUP(Z22,'PEW2'!$B$6:$B$201,'PEW2'!$A$6:$A$201,0)</f>
        <v>0</v>
      </c>
      <c r="AB22" s="12" t="str">
        <f>_xlfn.XLOOKUP($B22,VFC!$C$6:$C$201,VFC!$B$6:$B$201,"")</f>
        <v/>
      </c>
      <c r="AC22" s="75">
        <f>_xlfn.XLOOKUP(AB22,VFC!$B$6:$B$201,VFC!$A$6:$A$201,0)</f>
        <v>0</v>
      </c>
      <c r="AD22" s="12" t="str">
        <f>_xlfn.XLOOKUP($B22,'PEW3'!$C$6:$C$201,'PEW3'!$B$6:$B$201,"")</f>
        <v/>
      </c>
      <c r="AE22" s="75">
        <f>_xlfn.XLOOKUP(AD22,'PEW3'!$B$6:$B$201,'PEW3'!$A$6:$A$201,0)</f>
        <v>0</v>
      </c>
      <c r="AF22" s="12" t="str">
        <f>_xlfn.XLOOKUP($B22,'PEW4'!$C$6:$C$201,'PEW4'!$B$6:$B$201,"")</f>
        <v/>
      </c>
      <c r="AG22" s="75">
        <f>_xlfn.XLOOKUP(AF22,'PEW4'!$B$6:$B$201,'PEW4'!$A$6:$A$201,0)</f>
        <v>0</v>
      </c>
      <c r="AH22" s="12" t="str">
        <f>_xlfn.XLOOKUP($B22,'PEW5'!$C$6:$C$201,'PEW5'!$B$6:$B$201,"")</f>
        <v/>
      </c>
      <c r="AI22" s="75">
        <f>_xlfn.XLOOKUP(AH22,'PEW5'!$B$6:$B$201,'PEW5'!$A$6:$A$201,0)</f>
        <v>0</v>
      </c>
      <c r="AJ22" s="12" t="str">
        <f>_xlfn.XLOOKUP($B22,'PEW6'!$C$6:$C$201,'PEW6'!$B$6:$B$201,"")</f>
        <v/>
      </c>
      <c r="AK22" s="75">
        <f>_xlfn.XLOOKUP(AJ22,'PEW6'!$B$6:$B$201,'PEW6'!$A$6:$A$201,0)</f>
        <v>0</v>
      </c>
      <c r="AL22" s="12" t="str">
        <f>_xlfn.XLOOKUP($B22,'PEW7'!$C$6:$C$201,'PEW7'!$B$6:$B$201,"")</f>
        <v/>
      </c>
      <c r="AM22" s="75">
        <f>_xlfn.XLOOKUP(AL22,'PEW7'!$B$6:$B$201,'PEW7'!$A$6:$A$201,0)</f>
        <v>0</v>
      </c>
      <c r="AN22" s="12" t="str">
        <f>_xlfn.XLOOKUP($B22,'PEW8'!$C$6:$C$201,'PEW8'!$B$6:$B$201,"")</f>
        <v/>
      </c>
      <c r="AO22" s="75">
        <f>_xlfn.XLOOKUP(AN22,'PEW8'!$B$6:$B$201,'PEW8'!$A$6:$A$201,0)</f>
        <v>0</v>
      </c>
      <c r="AP22" s="12" t="str">
        <f>_xlfn.XLOOKUP($B22,'PEW9'!$C$6:$C$201,'PEW9'!$B$6:$B$201,"")</f>
        <v/>
      </c>
      <c r="AQ22" s="75">
        <f>_xlfn.XLOOKUP(AP22,'PEW9'!$B$6:$B$201,'PEW9'!$A$6:$A$201,0)</f>
        <v>0</v>
      </c>
      <c r="AR22" s="12" t="str">
        <f>_xlfn.XLOOKUP($B22,'PEW10'!$C$6:$C$201,'PEW10'!$B$6:$B$201,"")</f>
        <v/>
      </c>
      <c r="AS22" s="75">
        <f>_xlfn.XLOOKUP(AR22,'PEW10'!$B$6:$B$201,'PEW10'!$A$6:$A$201,0)</f>
        <v>0</v>
      </c>
      <c r="AT22" s="12" t="str">
        <f>_xlfn.XLOOKUP($B22,'PEW11'!$C$6:$C$201,'PEW11'!$B$6:$B$201,"")</f>
        <v/>
      </c>
      <c r="AU22" s="75">
        <f>_xlfn.XLOOKUP(AT22,'PEW11'!$B$6:$B$201,'PEW11'!$A$6:$A$201,0)</f>
        <v>0</v>
      </c>
      <c r="AV22" s="12" t="str">
        <f>_xlfn.XLOOKUP($B22,'PEW12'!$C$6:$C$201,'PEW12'!$B$6:$B$201,"")</f>
        <v/>
      </c>
      <c r="AW22" s="75">
        <f>_xlfn.XLOOKUP(AV22,'PEW12'!$B$6:$B$201,'PEW12'!$A$6:$A$201,0)</f>
        <v>0</v>
      </c>
      <c r="AX22" s="12" t="str" cm="1">
        <f t="array" ref="AX22">_xlfn.XLOOKUP($B22,IMEW!C$6:C$201,IMEW!$B$6:B$201,"")</f>
        <v/>
      </c>
      <c r="AY22" s="74">
        <f>_xlfn.XLOOKUP(AX22,IMEW!$B$6:$B$201,IMEW!$A$6:$A$201,0)</f>
        <v>0</v>
      </c>
      <c r="BA22" s="73">
        <f t="shared" si="1"/>
        <v>0</v>
      </c>
      <c r="BB22" s="73">
        <f t="shared" si="2"/>
        <v>0</v>
      </c>
      <c r="BC22" s="73">
        <f t="shared" si="3"/>
        <v>0</v>
      </c>
      <c r="BD22" s="73">
        <f t="shared" si="4"/>
        <v>0</v>
      </c>
      <c r="BE22" s="73">
        <f t="shared" si="5"/>
        <v>0</v>
      </c>
      <c r="BF22" s="73">
        <f t="shared" si="6"/>
        <v>0</v>
      </c>
      <c r="BG22" s="73">
        <f t="shared" si="7"/>
        <v>0</v>
      </c>
    </row>
    <row r="23" spans="1:59" ht="14.8" customHeight="1" x14ac:dyDescent="0.25">
      <c r="A23" s="9">
        <f t="shared" si="0"/>
        <v>18</v>
      </c>
      <c r="B23" s="13"/>
      <c r="C23" s="14"/>
      <c r="D23" s="78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2">
        <f>_xlfn.XLOOKUP($B23,'GP1'!$C$6:$C$101,'GP1'!$B$6:$B$101,"")</f>
        <v>0</v>
      </c>
      <c r="F23" s="77">
        <f>_xlfn.XLOOKUP(E23,'GP1'!$B$6:$B$55,'GP1'!$A$6:$A$55,0)</f>
        <v>0</v>
      </c>
      <c r="G23" s="12">
        <f>_xlfn.XLOOKUP($B23,'GP2'!$C$6:$C$101,'GP2'!$B$6:$B$101,"")</f>
        <v>0</v>
      </c>
      <c r="H23" s="77">
        <f>_xlfn.XLOOKUP(G23,'GP2'!$B$6:$B$55,'GP2'!$A$6:$A$55,0)</f>
        <v>0</v>
      </c>
      <c r="I23" s="12" t="str">
        <f>_xlfn.XLOOKUP($B23,'GP3'!$C$6:$C$101,'GP3'!$B$6:$B$101,"")</f>
        <v/>
      </c>
      <c r="J23" s="77">
        <f>_xlfn.XLOOKUP(I23,'GP3'!$B$6:$B$55,'GP3'!$A$6:$A$55,0)</f>
        <v>0</v>
      </c>
      <c r="K23" s="12" t="str">
        <f>_xlfn.XLOOKUP($B23,'GP4'!$C$6:$C$101,'GP4'!$B$6:$B$101,"")</f>
        <v/>
      </c>
      <c r="L23" s="77">
        <f>_xlfn.XLOOKUP(K23,'GP4'!$B$6:$B$55,'GP4'!$A$6:$A$55,0)</f>
        <v>0</v>
      </c>
      <c r="M23" s="12" t="str">
        <f>_xlfn.XLOOKUP($B23,'GP5'!$C$6:$C$101,'GP5'!$B$6:$B$101,"")</f>
        <v/>
      </c>
      <c r="N23" s="77">
        <f>_xlfn.XLOOKUP(M23,'GP5'!$B$6:$B$55,'GP5'!$A$6:$A$55,0)</f>
        <v>0</v>
      </c>
      <c r="O23" s="12" t="str">
        <f>_xlfn.XLOOKUP($B23,'GP6'!$C$6:$C$101,'GP6'!$B$6:$B$101,"")</f>
        <v/>
      </c>
      <c r="P23" s="77">
        <f>_xlfn.XLOOKUP(O23,'GP6'!$B$6:$B$55,'GP6'!$A$6:$A$55,0)</f>
        <v>0</v>
      </c>
      <c r="Q23" s="12" t="str">
        <f>_xlfn.XLOOKUP($B23,'GP7'!$C$6:$C$101,'GP7'!$B$6:$B$101,"")</f>
        <v/>
      </c>
      <c r="R23" s="77">
        <f>_xlfn.XLOOKUP(Q23,'GP7'!$B$6:$B$55,'GP7'!$A$6:$A$55,0)</f>
        <v>0</v>
      </c>
      <c r="S23" s="12" t="str">
        <f>_xlfn.XLOOKUP($B23,'GP8'!$C$6:$C$101,'GP8'!$B$6:$B$101,"")</f>
        <v/>
      </c>
      <c r="T23" s="77">
        <f>_xlfn.XLOOKUP(S23,'GP8'!$B$6:$B$55,'GP8'!$A$6:$A$55,0)</f>
        <v>0</v>
      </c>
      <c r="U23" s="12" t="str">
        <f>_xlfn.XLOOKUP(B23,MPW!C$6:C$101,MPW!B$6:B$101,"")</f>
        <v/>
      </c>
      <c r="V23" s="76">
        <f>_xlfn.XLOOKUP(U23,MPW!$B$6:$B$55,MPW!$A$6:$A$55,0)</f>
        <v>0</v>
      </c>
      <c r="X23" s="12" t="str">
        <f>_xlfn.XLOOKUP($B23,'PEW1'!$C$6:$C$201,'PEW1'!$B$6:$B$201,"")</f>
        <v/>
      </c>
      <c r="Y23" s="75">
        <f>_xlfn.XLOOKUP(X23,'PEW1'!$B$6:$B$201,'PEW1'!$A$6:$A$201,0)</f>
        <v>0</v>
      </c>
      <c r="Z23" s="12" t="str">
        <f>_xlfn.XLOOKUP($B23,'PEW2'!$C$6:$C$201,'PEW2'!$B$6:$B$201,"")</f>
        <v/>
      </c>
      <c r="AA23" s="75">
        <f>_xlfn.XLOOKUP(Z23,'PEW2'!$B$6:$B$201,'PEW2'!$A$6:$A$201,0)</f>
        <v>0</v>
      </c>
      <c r="AB23" s="12" t="str">
        <f>_xlfn.XLOOKUP($B23,VFC!$C$6:$C$201,VFC!$B$6:$B$201,"")</f>
        <v/>
      </c>
      <c r="AC23" s="75">
        <f>_xlfn.XLOOKUP(AB23,VFC!$B$6:$B$201,VFC!$A$6:$A$201,0)</f>
        <v>0</v>
      </c>
      <c r="AD23" s="12" t="str">
        <f>_xlfn.XLOOKUP($B23,'PEW3'!$C$6:$C$201,'PEW3'!$B$6:$B$201,"")</f>
        <v/>
      </c>
      <c r="AE23" s="75">
        <f>_xlfn.XLOOKUP(AD23,'PEW3'!$B$6:$B$201,'PEW3'!$A$6:$A$201,0)</f>
        <v>0</v>
      </c>
      <c r="AF23" s="12" t="str">
        <f>_xlfn.XLOOKUP($B23,'PEW4'!$C$6:$C$201,'PEW4'!$B$6:$B$201,"")</f>
        <v/>
      </c>
      <c r="AG23" s="75">
        <f>_xlfn.XLOOKUP(AF23,'PEW4'!$B$6:$B$201,'PEW4'!$A$6:$A$201,0)</f>
        <v>0</v>
      </c>
      <c r="AH23" s="12" t="str">
        <f>_xlfn.XLOOKUP($B23,'PEW5'!$C$6:$C$201,'PEW5'!$B$6:$B$201,"")</f>
        <v/>
      </c>
      <c r="AI23" s="75">
        <f>_xlfn.XLOOKUP(AH23,'PEW5'!$B$6:$B$201,'PEW5'!$A$6:$A$201,0)</f>
        <v>0</v>
      </c>
      <c r="AJ23" s="12" t="str">
        <f>_xlfn.XLOOKUP($B23,'PEW6'!$C$6:$C$201,'PEW6'!$B$6:$B$201,"")</f>
        <v/>
      </c>
      <c r="AK23" s="75">
        <f>_xlfn.XLOOKUP(AJ23,'PEW6'!$B$6:$B$201,'PEW6'!$A$6:$A$201,0)</f>
        <v>0</v>
      </c>
      <c r="AL23" s="12" t="str">
        <f>_xlfn.XLOOKUP($B23,'PEW7'!$C$6:$C$201,'PEW7'!$B$6:$B$201,"")</f>
        <v/>
      </c>
      <c r="AM23" s="75">
        <f>_xlfn.XLOOKUP(AL23,'PEW7'!$B$6:$B$201,'PEW7'!$A$6:$A$201,0)</f>
        <v>0</v>
      </c>
      <c r="AN23" s="12" t="str">
        <f>_xlfn.XLOOKUP($B23,'PEW8'!$C$6:$C$201,'PEW8'!$B$6:$B$201,"")</f>
        <v/>
      </c>
      <c r="AO23" s="75">
        <f>_xlfn.XLOOKUP(AN23,'PEW8'!$B$6:$B$201,'PEW8'!$A$6:$A$201,0)</f>
        <v>0</v>
      </c>
      <c r="AP23" s="12" t="str">
        <f>_xlfn.XLOOKUP($B23,'PEW9'!$C$6:$C$201,'PEW9'!$B$6:$B$201,"")</f>
        <v/>
      </c>
      <c r="AQ23" s="75">
        <f>_xlfn.XLOOKUP(AP23,'PEW9'!$B$6:$B$201,'PEW9'!$A$6:$A$201,0)</f>
        <v>0</v>
      </c>
      <c r="AR23" s="12" t="str">
        <f>_xlfn.XLOOKUP($B23,'PEW10'!$C$6:$C$201,'PEW10'!$B$6:$B$201,"")</f>
        <v/>
      </c>
      <c r="AS23" s="75">
        <f>_xlfn.XLOOKUP(AR23,'PEW10'!$B$6:$B$201,'PEW10'!$A$6:$A$201,0)</f>
        <v>0</v>
      </c>
      <c r="AT23" s="12" t="str">
        <f>_xlfn.XLOOKUP($B23,'PEW11'!$C$6:$C$201,'PEW11'!$B$6:$B$201,"")</f>
        <v/>
      </c>
      <c r="AU23" s="75">
        <f>_xlfn.XLOOKUP(AT23,'PEW11'!$B$6:$B$201,'PEW11'!$A$6:$A$201,0)</f>
        <v>0</v>
      </c>
      <c r="AV23" s="12" t="str">
        <f>_xlfn.XLOOKUP($B23,'PEW12'!$C$6:$C$201,'PEW12'!$B$6:$B$201,"")</f>
        <v/>
      </c>
      <c r="AW23" s="75">
        <f>_xlfn.XLOOKUP(AV23,'PEW12'!$B$6:$B$201,'PEW12'!$A$6:$A$201,0)</f>
        <v>0</v>
      </c>
      <c r="AX23" s="12" t="str" cm="1">
        <f t="array" ref="AX23">_xlfn.XLOOKUP($B23,IMEW!C$6:C$201,IMEW!$B$6:B$201,"")</f>
        <v/>
      </c>
      <c r="AY23" s="74">
        <f>_xlfn.XLOOKUP(AX23,IMEW!$B$6:$B$201,IMEW!$A$6:$A$201,0)</f>
        <v>0</v>
      </c>
      <c r="BA23" s="73">
        <f t="shared" si="1"/>
        <v>0</v>
      </c>
      <c r="BB23" s="73">
        <f t="shared" si="2"/>
        <v>0</v>
      </c>
      <c r="BC23" s="73">
        <f t="shared" si="3"/>
        <v>0</v>
      </c>
      <c r="BD23" s="73">
        <f t="shared" si="4"/>
        <v>0</v>
      </c>
      <c r="BE23" s="73">
        <f t="shared" si="5"/>
        <v>0</v>
      </c>
      <c r="BF23" s="73">
        <f t="shared" si="6"/>
        <v>0</v>
      </c>
      <c r="BG23" s="73">
        <f t="shared" si="7"/>
        <v>0</v>
      </c>
    </row>
    <row r="24" spans="1:59" ht="14.3" x14ac:dyDescent="0.25">
      <c r="A24" s="9">
        <f t="shared" si="0"/>
        <v>19</v>
      </c>
      <c r="B24" s="13"/>
      <c r="C24" s="14"/>
      <c r="D24" s="78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2">
        <f>_xlfn.XLOOKUP($B24,'GP1'!$C$6:$C$101,'GP1'!$B$6:$B$101,"")</f>
        <v>0</v>
      </c>
      <c r="F24" s="77">
        <f>_xlfn.XLOOKUP(E24,'GP1'!$B$6:$B$55,'GP1'!$A$6:$A$55,0)</f>
        <v>0</v>
      </c>
      <c r="G24" s="12">
        <f>_xlfn.XLOOKUP($B24,'GP2'!$C$6:$C$101,'GP2'!$B$6:$B$101,"")</f>
        <v>0</v>
      </c>
      <c r="H24" s="77">
        <f>_xlfn.XLOOKUP(G24,'GP2'!$B$6:$B$55,'GP2'!$A$6:$A$55,0)</f>
        <v>0</v>
      </c>
      <c r="I24" s="12" t="str">
        <f>_xlfn.XLOOKUP($B24,'GP3'!$C$6:$C$101,'GP3'!$B$6:$B$101,"")</f>
        <v/>
      </c>
      <c r="J24" s="77">
        <f>_xlfn.XLOOKUP(I24,'GP3'!$B$6:$B$55,'GP3'!$A$6:$A$55,0)</f>
        <v>0</v>
      </c>
      <c r="K24" s="12" t="str">
        <f>_xlfn.XLOOKUP($B24,'GP4'!$C$6:$C$101,'GP4'!$B$6:$B$101,"")</f>
        <v/>
      </c>
      <c r="L24" s="77">
        <f>_xlfn.XLOOKUP(K24,'GP4'!$B$6:$B$55,'GP4'!$A$6:$A$55,0)</f>
        <v>0</v>
      </c>
      <c r="M24" s="12" t="str">
        <f>_xlfn.XLOOKUP($B24,'GP5'!$C$6:$C$101,'GP5'!$B$6:$B$101,"")</f>
        <v/>
      </c>
      <c r="N24" s="77">
        <f>_xlfn.XLOOKUP(M24,'GP5'!$B$6:$B$55,'GP5'!$A$6:$A$55,0)</f>
        <v>0</v>
      </c>
      <c r="O24" s="12" t="str">
        <f>_xlfn.XLOOKUP($B24,'GP6'!$C$6:$C$101,'GP6'!$B$6:$B$101,"")</f>
        <v/>
      </c>
      <c r="P24" s="77">
        <f>_xlfn.XLOOKUP(O24,'GP6'!$B$6:$B$55,'GP6'!$A$6:$A$55,0)</f>
        <v>0</v>
      </c>
      <c r="Q24" s="12" t="str">
        <f>_xlfn.XLOOKUP($B24,'GP7'!$C$6:$C$101,'GP7'!$B$6:$B$101,"")</f>
        <v/>
      </c>
      <c r="R24" s="77">
        <f>_xlfn.XLOOKUP(Q24,'GP7'!$B$6:$B$55,'GP7'!$A$6:$A$55,0)</f>
        <v>0</v>
      </c>
      <c r="S24" s="12" t="str">
        <f>_xlfn.XLOOKUP($B24,'GP8'!$C$6:$C$101,'GP8'!$B$6:$B$101,"")</f>
        <v/>
      </c>
      <c r="T24" s="77">
        <f>_xlfn.XLOOKUP(S24,'GP8'!$B$6:$B$55,'GP8'!$A$6:$A$55,0)</f>
        <v>0</v>
      </c>
      <c r="U24" s="12" t="str">
        <f>_xlfn.XLOOKUP(B24,MPW!C$6:C$101,MPW!B$6:B$101,"")</f>
        <v/>
      </c>
      <c r="V24" s="76">
        <f>_xlfn.XLOOKUP(U24,MPW!$B$6:$B$55,MPW!$A$6:$A$55,0)</f>
        <v>0</v>
      </c>
      <c r="X24" s="12" t="str">
        <f>_xlfn.XLOOKUP($B24,'PEW1'!$C$6:$C$201,'PEW1'!$B$6:$B$201,"")</f>
        <v/>
      </c>
      <c r="Y24" s="75">
        <f>_xlfn.XLOOKUP(X24,'PEW1'!$B$6:$B$201,'PEW1'!$A$6:$A$201,0)</f>
        <v>0</v>
      </c>
      <c r="Z24" s="12" t="str">
        <f>_xlfn.XLOOKUP($B24,'PEW2'!$C$6:$C$201,'PEW2'!$B$6:$B$201,"")</f>
        <v/>
      </c>
      <c r="AA24" s="75">
        <f>_xlfn.XLOOKUP(Z24,'PEW2'!$B$6:$B$201,'PEW2'!$A$6:$A$201,0)</f>
        <v>0</v>
      </c>
      <c r="AB24" s="12" t="str">
        <f>_xlfn.XLOOKUP($B24,VFC!$C$6:$C$201,VFC!$B$6:$B$201,"")</f>
        <v/>
      </c>
      <c r="AC24" s="75">
        <f>_xlfn.XLOOKUP(AB24,VFC!$B$6:$B$201,VFC!$A$6:$A$201,0)</f>
        <v>0</v>
      </c>
      <c r="AD24" s="12" t="str">
        <f>_xlfn.XLOOKUP($B24,'PEW3'!$C$6:$C$201,'PEW3'!$B$6:$B$201,"")</f>
        <v/>
      </c>
      <c r="AE24" s="75">
        <f>_xlfn.XLOOKUP(AD24,'PEW3'!$B$6:$B$201,'PEW3'!$A$6:$A$201,0)</f>
        <v>0</v>
      </c>
      <c r="AF24" s="12" t="str">
        <f>_xlfn.XLOOKUP($B24,'PEW4'!$C$6:$C$201,'PEW4'!$B$6:$B$201,"")</f>
        <v/>
      </c>
      <c r="AG24" s="75">
        <f>_xlfn.XLOOKUP(AF24,'PEW4'!$B$6:$B$201,'PEW4'!$A$6:$A$201,0)</f>
        <v>0</v>
      </c>
      <c r="AH24" s="12" t="str">
        <f>_xlfn.XLOOKUP($B24,'PEW5'!$C$6:$C$201,'PEW5'!$B$6:$B$201,"")</f>
        <v/>
      </c>
      <c r="AI24" s="75">
        <f>_xlfn.XLOOKUP(AH24,'PEW5'!$B$6:$B$201,'PEW5'!$A$6:$A$201,0)</f>
        <v>0</v>
      </c>
      <c r="AJ24" s="12" t="str">
        <f>_xlfn.XLOOKUP($B24,'PEW6'!$C$6:$C$201,'PEW6'!$B$6:$B$201,"")</f>
        <v/>
      </c>
      <c r="AK24" s="75">
        <f>_xlfn.XLOOKUP(AJ24,'PEW6'!$B$6:$B$201,'PEW6'!$A$6:$A$201,0)</f>
        <v>0</v>
      </c>
      <c r="AL24" s="12" t="str">
        <f>_xlfn.XLOOKUP($B24,'PEW7'!$C$6:$C$201,'PEW7'!$B$6:$B$201,"")</f>
        <v/>
      </c>
      <c r="AM24" s="75">
        <f>_xlfn.XLOOKUP(AL24,'PEW7'!$B$6:$B$201,'PEW7'!$A$6:$A$201,0)</f>
        <v>0</v>
      </c>
      <c r="AN24" s="12" t="str">
        <f>_xlfn.XLOOKUP($B24,'PEW8'!$C$6:$C$201,'PEW8'!$B$6:$B$201,"")</f>
        <v/>
      </c>
      <c r="AO24" s="75">
        <f>_xlfn.XLOOKUP(AN24,'PEW8'!$B$6:$B$201,'PEW8'!$A$6:$A$201,0)</f>
        <v>0</v>
      </c>
      <c r="AP24" s="12" t="str">
        <f>_xlfn.XLOOKUP($B24,'PEW9'!$C$6:$C$201,'PEW9'!$B$6:$B$201,"")</f>
        <v/>
      </c>
      <c r="AQ24" s="75">
        <f>_xlfn.XLOOKUP(AP24,'PEW9'!$B$6:$B$201,'PEW9'!$A$6:$A$201,0)</f>
        <v>0</v>
      </c>
      <c r="AR24" s="12" t="str">
        <f>_xlfn.XLOOKUP($B24,'PEW10'!$C$6:$C$201,'PEW10'!$B$6:$B$201,"")</f>
        <v/>
      </c>
      <c r="AS24" s="75">
        <f>_xlfn.XLOOKUP(AR24,'PEW10'!$B$6:$B$201,'PEW10'!$A$6:$A$201,0)</f>
        <v>0</v>
      </c>
      <c r="AT24" s="12" t="str">
        <f>_xlfn.XLOOKUP($B24,'PEW11'!$C$6:$C$201,'PEW11'!$B$6:$B$201,"")</f>
        <v/>
      </c>
      <c r="AU24" s="75">
        <f>_xlfn.XLOOKUP(AT24,'PEW11'!$B$6:$B$201,'PEW11'!$A$6:$A$201,0)</f>
        <v>0</v>
      </c>
      <c r="AV24" s="12" t="str">
        <f>_xlfn.XLOOKUP($B24,'PEW12'!$C$6:$C$201,'PEW12'!$B$6:$B$201,"")</f>
        <v/>
      </c>
      <c r="AW24" s="75">
        <f>_xlfn.XLOOKUP(AV24,'PEW12'!$B$6:$B$201,'PEW12'!$A$6:$A$201,0)</f>
        <v>0</v>
      </c>
      <c r="AX24" s="12" t="str" cm="1">
        <f t="array" ref="AX24">_xlfn.XLOOKUP($B24,IMEW!C$6:C$201,IMEW!$B$6:B$201,"")</f>
        <v/>
      </c>
      <c r="AY24" s="74">
        <f>_xlfn.XLOOKUP(AX24,IMEW!$B$6:$B$201,IMEW!$A$6:$A$201,0)</f>
        <v>0</v>
      </c>
      <c r="BA24" s="73">
        <f t="shared" si="1"/>
        <v>0</v>
      </c>
      <c r="BB24" s="73">
        <f t="shared" si="2"/>
        <v>0</v>
      </c>
      <c r="BC24" s="73">
        <f t="shared" si="3"/>
        <v>0</v>
      </c>
      <c r="BD24" s="73">
        <f t="shared" si="4"/>
        <v>0</v>
      </c>
      <c r="BE24" s="73">
        <f t="shared" si="5"/>
        <v>0</v>
      </c>
      <c r="BF24" s="73">
        <f t="shared" si="6"/>
        <v>0</v>
      </c>
      <c r="BG24" s="73">
        <f t="shared" si="7"/>
        <v>0</v>
      </c>
    </row>
    <row r="25" spans="1:59" ht="14.3" x14ac:dyDescent="0.25">
      <c r="A25" s="9">
        <f t="shared" si="0"/>
        <v>20</v>
      </c>
      <c r="B25" s="13"/>
      <c r="C25" s="14"/>
      <c r="D25" s="78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2">
        <f>_xlfn.XLOOKUP($B25,'GP1'!$C$6:$C$101,'GP1'!$B$6:$B$101,"")</f>
        <v>0</v>
      </c>
      <c r="F25" s="77">
        <f>_xlfn.XLOOKUP(E25,'GP1'!$B$6:$B$55,'GP1'!$A$6:$A$55,0)</f>
        <v>0</v>
      </c>
      <c r="G25" s="12">
        <f>_xlfn.XLOOKUP($B25,'GP2'!$C$6:$C$101,'GP2'!$B$6:$B$101,"")</f>
        <v>0</v>
      </c>
      <c r="H25" s="77">
        <f>_xlfn.XLOOKUP(G25,'GP2'!$B$6:$B$55,'GP2'!$A$6:$A$55,0)</f>
        <v>0</v>
      </c>
      <c r="I25" s="12" t="str">
        <f>_xlfn.XLOOKUP($B25,'GP3'!$C$6:$C$101,'GP3'!$B$6:$B$101,"")</f>
        <v/>
      </c>
      <c r="J25" s="77">
        <f>_xlfn.XLOOKUP(I25,'GP3'!$B$6:$B$55,'GP3'!$A$6:$A$55,0)</f>
        <v>0</v>
      </c>
      <c r="K25" s="12" t="str">
        <f>_xlfn.XLOOKUP($B25,'GP4'!$C$6:$C$101,'GP4'!$B$6:$B$101,"")</f>
        <v/>
      </c>
      <c r="L25" s="77">
        <f>_xlfn.XLOOKUP(K25,'GP4'!$B$6:$B$55,'GP4'!$A$6:$A$55,0)</f>
        <v>0</v>
      </c>
      <c r="M25" s="12" t="str">
        <f>_xlfn.XLOOKUP($B25,'GP5'!$C$6:$C$101,'GP5'!$B$6:$B$101,"")</f>
        <v/>
      </c>
      <c r="N25" s="77">
        <f>_xlfn.XLOOKUP(M25,'GP5'!$B$6:$B$55,'GP5'!$A$6:$A$55,0)</f>
        <v>0</v>
      </c>
      <c r="O25" s="12" t="str">
        <f>_xlfn.XLOOKUP($B25,'GP6'!$C$6:$C$101,'GP6'!$B$6:$B$101,"")</f>
        <v/>
      </c>
      <c r="P25" s="77">
        <f>_xlfn.XLOOKUP(O25,'GP6'!$B$6:$B$55,'GP6'!$A$6:$A$55,0)</f>
        <v>0</v>
      </c>
      <c r="Q25" s="12" t="str">
        <f>_xlfn.XLOOKUP($B25,'GP7'!$C$6:$C$101,'GP7'!$B$6:$B$101,"")</f>
        <v/>
      </c>
      <c r="R25" s="77">
        <f>_xlfn.XLOOKUP(Q25,'GP7'!$B$6:$B$55,'GP7'!$A$6:$A$55,0)</f>
        <v>0</v>
      </c>
      <c r="S25" s="12" t="str">
        <f>_xlfn.XLOOKUP($B25,'GP8'!$C$6:$C$101,'GP8'!$B$6:$B$101,"")</f>
        <v/>
      </c>
      <c r="T25" s="77">
        <f>_xlfn.XLOOKUP(S25,'GP8'!$B$6:$B$55,'GP8'!$A$6:$A$55,0)</f>
        <v>0</v>
      </c>
      <c r="U25" s="12" t="str">
        <f>_xlfn.XLOOKUP(B25,MPW!C$6:C$101,MPW!B$6:B$101,"")</f>
        <v/>
      </c>
      <c r="V25" s="76">
        <f>_xlfn.XLOOKUP(U25,MPW!$B$6:$B$55,MPW!$A$6:$A$55,0)</f>
        <v>0</v>
      </c>
      <c r="X25" s="12" t="str">
        <f>_xlfn.XLOOKUP($B25,'PEW1'!$C$6:$C$201,'PEW1'!$B$6:$B$201,"")</f>
        <v/>
      </c>
      <c r="Y25" s="75">
        <f>_xlfn.XLOOKUP(X25,'PEW1'!$B$6:$B$201,'PEW1'!$A$6:$A$201,0)</f>
        <v>0</v>
      </c>
      <c r="Z25" s="12" t="str">
        <f>_xlfn.XLOOKUP($B25,'PEW2'!$C$6:$C$201,'PEW2'!$B$6:$B$201,"")</f>
        <v/>
      </c>
      <c r="AA25" s="75">
        <f>_xlfn.XLOOKUP(Z25,'PEW2'!$B$6:$B$201,'PEW2'!$A$6:$A$201,0)</f>
        <v>0</v>
      </c>
      <c r="AB25" s="12" t="str">
        <f>_xlfn.XLOOKUP($B25,VFC!$C$6:$C$201,VFC!$B$6:$B$201,"")</f>
        <v/>
      </c>
      <c r="AC25" s="75">
        <f>_xlfn.XLOOKUP(AB25,VFC!$B$6:$B$201,VFC!$A$6:$A$201,0)</f>
        <v>0</v>
      </c>
      <c r="AD25" s="12" t="str">
        <f>_xlfn.XLOOKUP($B25,'PEW3'!$C$6:$C$201,'PEW3'!$B$6:$B$201,"")</f>
        <v/>
      </c>
      <c r="AE25" s="75">
        <f>_xlfn.XLOOKUP(AD25,'PEW3'!$B$6:$B$201,'PEW3'!$A$6:$A$201,0)</f>
        <v>0</v>
      </c>
      <c r="AF25" s="12" t="str">
        <f>_xlfn.XLOOKUP($B25,'PEW4'!$C$6:$C$201,'PEW4'!$B$6:$B$201,"")</f>
        <v/>
      </c>
      <c r="AG25" s="75">
        <f>_xlfn.XLOOKUP(AF25,'PEW4'!$B$6:$B$201,'PEW4'!$A$6:$A$201,0)</f>
        <v>0</v>
      </c>
      <c r="AH25" s="12" t="str">
        <f>_xlfn.XLOOKUP($B25,'PEW5'!$C$6:$C$201,'PEW5'!$B$6:$B$201,"")</f>
        <v/>
      </c>
      <c r="AI25" s="75">
        <f>_xlfn.XLOOKUP(AH25,'PEW5'!$B$6:$B$201,'PEW5'!$A$6:$A$201,0)</f>
        <v>0</v>
      </c>
      <c r="AJ25" s="12" t="str">
        <f>_xlfn.XLOOKUP($B25,'PEW6'!$C$6:$C$201,'PEW6'!$B$6:$B$201,"")</f>
        <v/>
      </c>
      <c r="AK25" s="75">
        <f>_xlfn.XLOOKUP(AJ25,'PEW6'!$B$6:$B$201,'PEW6'!$A$6:$A$201,0)</f>
        <v>0</v>
      </c>
      <c r="AL25" s="12" t="str">
        <f>_xlfn.XLOOKUP($B25,'PEW7'!$C$6:$C$201,'PEW7'!$B$6:$B$201,"")</f>
        <v/>
      </c>
      <c r="AM25" s="75">
        <f>_xlfn.XLOOKUP(AL25,'PEW7'!$B$6:$B$201,'PEW7'!$A$6:$A$201,0)</f>
        <v>0</v>
      </c>
      <c r="AN25" s="12" t="str">
        <f>_xlfn.XLOOKUP($B25,'PEW8'!$C$6:$C$201,'PEW8'!$B$6:$B$201,"")</f>
        <v/>
      </c>
      <c r="AO25" s="75">
        <f>_xlfn.XLOOKUP(AN25,'PEW8'!$B$6:$B$201,'PEW8'!$A$6:$A$201,0)</f>
        <v>0</v>
      </c>
      <c r="AP25" s="12" t="str">
        <f>_xlfn.XLOOKUP($B25,'PEW9'!$C$6:$C$201,'PEW9'!$B$6:$B$201,"")</f>
        <v/>
      </c>
      <c r="AQ25" s="75">
        <f>_xlfn.XLOOKUP(AP25,'PEW9'!$B$6:$B$201,'PEW9'!$A$6:$A$201,0)</f>
        <v>0</v>
      </c>
      <c r="AR25" s="12" t="str">
        <f>_xlfn.XLOOKUP($B25,'PEW10'!$C$6:$C$201,'PEW10'!$B$6:$B$201,"")</f>
        <v/>
      </c>
      <c r="AS25" s="75">
        <f>_xlfn.XLOOKUP(AR25,'PEW10'!$B$6:$B$201,'PEW10'!$A$6:$A$201,0)</f>
        <v>0</v>
      </c>
      <c r="AT25" s="12" t="str">
        <f>_xlfn.XLOOKUP($B25,'PEW11'!$C$6:$C$201,'PEW11'!$B$6:$B$201,"")</f>
        <v/>
      </c>
      <c r="AU25" s="75">
        <f>_xlfn.XLOOKUP(AT25,'PEW11'!$B$6:$B$201,'PEW11'!$A$6:$A$201,0)</f>
        <v>0</v>
      </c>
      <c r="AV25" s="12" t="str">
        <f>_xlfn.XLOOKUP($B25,'PEW12'!$C$6:$C$201,'PEW12'!$B$6:$B$201,"")</f>
        <v/>
      </c>
      <c r="AW25" s="75">
        <f>_xlfn.XLOOKUP(AV25,'PEW12'!$B$6:$B$201,'PEW12'!$A$6:$A$201,0)</f>
        <v>0</v>
      </c>
      <c r="AX25" s="12" t="str" cm="1">
        <f t="array" ref="AX25">_xlfn.XLOOKUP($B25,IMEW!C$6:C$201,IMEW!$B$6:B$201,"")</f>
        <v/>
      </c>
      <c r="AY25" s="74">
        <f>_xlfn.XLOOKUP(AX25,IMEW!$B$6:$B$201,IMEW!$A$6:$A$201,0)</f>
        <v>0</v>
      </c>
      <c r="BA25" s="73">
        <f t="shared" si="1"/>
        <v>0</v>
      </c>
      <c r="BB25" s="73">
        <f t="shared" si="2"/>
        <v>0</v>
      </c>
      <c r="BC25" s="73">
        <f t="shared" si="3"/>
        <v>0</v>
      </c>
      <c r="BD25" s="73">
        <f t="shared" si="4"/>
        <v>0</v>
      </c>
      <c r="BE25" s="73">
        <f t="shared" si="5"/>
        <v>0</v>
      </c>
      <c r="BF25" s="73">
        <f t="shared" si="6"/>
        <v>0</v>
      </c>
      <c r="BG25" s="73">
        <f t="shared" si="7"/>
        <v>0</v>
      </c>
    </row>
    <row r="26" spans="1:59" ht="14.3" x14ac:dyDescent="0.25">
      <c r="A26" s="9">
        <f t="shared" si="0"/>
        <v>21</v>
      </c>
      <c r="B26" s="13"/>
      <c r="C26" s="14"/>
      <c r="D26" s="78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2">
        <f>_xlfn.XLOOKUP($B26,'GP1'!$C$6:$C$101,'GP1'!$B$6:$B$101,"")</f>
        <v>0</v>
      </c>
      <c r="F26" s="77">
        <f>_xlfn.XLOOKUP(E26,'GP1'!$B$6:$B$55,'GP1'!$A$6:$A$55,0)</f>
        <v>0</v>
      </c>
      <c r="G26" s="12">
        <f>_xlfn.XLOOKUP($B26,'GP2'!$C$6:$C$101,'GP2'!$B$6:$B$101,"")</f>
        <v>0</v>
      </c>
      <c r="H26" s="77">
        <f>_xlfn.XLOOKUP(G26,'GP2'!$B$6:$B$55,'GP2'!$A$6:$A$55,0)</f>
        <v>0</v>
      </c>
      <c r="I26" s="12" t="str">
        <f>_xlfn.XLOOKUP($B26,'GP3'!$C$6:$C$101,'GP3'!$B$6:$B$101,"")</f>
        <v/>
      </c>
      <c r="J26" s="77">
        <f>_xlfn.XLOOKUP(I26,'GP3'!$B$6:$B$55,'GP3'!$A$6:$A$55,0)</f>
        <v>0</v>
      </c>
      <c r="K26" s="12" t="str">
        <f>_xlfn.XLOOKUP($B26,'GP4'!$C$6:$C$101,'GP4'!$B$6:$B$101,"")</f>
        <v/>
      </c>
      <c r="L26" s="77">
        <f>_xlfn.XLOOKUP(K26,'GP4'!$B$6:$B$55,'GP4'!$A$6:$A$55,0)</f>
        <v>0</v>
      </c>
      <c r="M26" s="12" t="str">
        <f>_xlfn.XLOOKUP($B26,'GP5'!$C$6:$C$101,'GP5'!$B$6:$B$101,"")</f>
        <v/>
      </c>
      <c r="N26" s="77">
        <f>_xlfn.XLOOKUP(M26,'GP5'!$B$6:$B$55,'GP5'!$A$6:$A$55,0)</f>
        <v>0</v>
      </c>
      <c r="O26" s="12" t="str">
        <f>_xlfn.XLOOKUP($B26,'GP6'!$C$6:$C$101,'GP6'!$B$6:$B$101,"")</f>
        <v/>
      </c>
      <c r="P26" s="77">
        <f>_xlfn.XLOOKUP(O26,'GP6'!$B$6:$B$55,'GP6'!$A$6:$A$55,0)</f>
        <v>0</v>
      </c>
      <c r="Q26" s="12" t="str">
        <f>_xlfn.XLOOKUP($B26,'GP7'!$C$6:$C$101,'GP7'!$B$6:$B$101,"")</f>
        <v/>
      </c>
      <c r="R26" s="77">
        <f>_xlfn.XLOOKUP(Q26,'GP7'!$B$6:$B$55,'GP7'!$A$6:$A$55,0)</f>
        <v>0</v>
      </c>
      <c r="S26" s="12" t="str">
        <f>_xlfn.XLOOKUP($B26,'GP8'!$C$6:$C$101,'GP8'!$B$6:$B$101,"")</f>
        <v/>
      </c>
      <c r="T26" s="77">
        <f>_xlfn.XLOOKUP(S26,'GP8'!$B$6:$B$55,'GP8'!$A$6:$A$55,0)</f>
        <v>0</v>
      </c>
      <c r="U26" s="12" t="str">
        <f>_xlfn.XLOOKUP(B26,MPW!C$6:C$101,MPW!B$6:B$101,"")</f>
        <v/>
      </c>
      <c r="V26" s="76">
        <f>_xlfn.XLOOKUP(U26,MPW!$B$6:$B$55,MPW!$A$6:$A$55,0)</f>
        <v>0</v>
      </c>
      <c r="X26" s="12" t="str">
        <f>_xlfn.XLOOKUP($B26,'PEW1'!$C$6:$C$201,'PEW1'!$B$6:$B$201,"")</f>
        <v/>
      </c>
      <c r="Y26" s="75">
        <f>_xlfn.XLOOKUP(X26,'PEW1'!$B$6:$B$201,'PEW1'!$A$6:$A$201,0)</f>
        <v>0</v>
      </c>
      <c r="Z26" s="12" t="str">
        <f>_xlfn.XLOOKUP($B26,'PEW2'!$C$6:$C$201,'PEW2'!$B$6:$B$201,"")</f>
        <v/>
      </c>
      <c r="AA26" s="75">
        <f>_xlfn.XLOOKUP(Z26,'PEW2'!$B$6:$B$201,'PEW2'!$A$6:$A$201,0)</f>
        <v>0</v>
      </c>
      <c r="AB26" s="12" t="str">
        <f>_xlfn.XLOOKUP($B26,VFC!$C$6:$C$201,VFC!$B$6:$B$201,"")</f>
        <v/>
      </c>
      <c r="AC26" s="75">
        <f>_xlfn.XLOOKUP(AB26,VFC!$B$6:$B$201,VFC!$A$6:$A$201,0)</f>
        <v>0</v>
      </c>
      <c r="AD26" s="12" t="str">
        <f>_xlfn.XLOOKUP($B26,'PEW3'!$C$6:$C$201,'PEW3'!$B$6:$B$201,"")</f>
        <v/>
      </c>
      <c r="AE26" s="75">
        <f>_xlfn.XLOOKUP(AD26,'PEW3'!$B$6:$B$201,'PEW3'!$A$6:$A$201,0)</f>
        <v>0</v>
      </c>
      <c r="AF26" s="12" t="str">
        <f>_xlfn.XLOOKUP($B26,'PEW4'!$C$6:$C$201,'PEW4'!$B$6:$B$201,"")</f>
        <v/>
      </c>
      <c r="AG26" s="75">
        <f>_xlfn.XLOOKUP(AF26,'PEW4'!$B$6:$B$201,'PEW4'!$A$6:$A$201,0)</f>
        <v>0</v>
      </c>
      <c r="AH26" s="12" t="str">
        <f>_xlfn.XLOOKUP($B26,'PEW5'!$C$6:$C$201,'PEW5'!$B$6:$B$201,"")</f>
        <v/>
      </c>
      <c r="AI26" s="75">
        <f>_xlfn.XLOOKUP(AH26,'PEW5'!$B$6:$B$201,'PEW5'!$A$6:$A$201,0)</f>
        <v>0</v>
      </c>
      <c r="AJ26" s="12" t="str">
        <f>_xlfn.XLOOKUP($B26,'PEW6'!$C$6:$C$201,'PEW6'!$B$6:$B$201,"")</f>
        <v/>
      </c>
      <c r="AK26" s="75">
        <f>_xlfn.XLOOKUP(AJ26,'PEW6'!$B$6:$B$201,'PEW6'!$A$6:$A$201,0)</f>
        <v>0</v>
      </c>
      <c r="AL26" s="12" t="str">
        <f>_xlfn.XLOOKUP($B26,'PEW7'!$C$6:$C$201,'PEW7'!$B$6:$B$201,"")</f>
        <v/>
      </c>
      <c r="AM26" s="75">
        <f>_xlfn.XLOOKUP(AL26,'PEW7'!$B$6:$B$201,'PEW7'!$A$6:$A$201,0)</f>
        <v>0</v>
      </c>
      <c r="AN26" s="12" t="str">
        <f>_xlfn.XLOOKUP($B26,'PEW8'!$C$6:$C$201,'PEW8'!$B$6:$B$201,"")</f>
        <v/>
      </c>
      <c r="AO26" s="75">
        <f>_xlfn.XLOOKUP(AN26,'PEW8'!$B$6:$B$201,'PEW8'!$A$6:$A$201,0)</f>
        <v>0</v>
      </c>
      <c r="AP26" s="12" t="str">
        <f>_xlfn.XLOOKUP($B26,'PEW9'!$C$6:$C$201,'PEW9'!$B$6:$B$201,"")</f>
        <v/>
      </c>
      <c r="AQ26" s="75">
        <f>_xlfn.XLOOKUP(AP26,'PEW9'!$B$6:$B$201,'PEW9'!$A$6:$A$201,0)</f>
        <v>0</v>
      </c>
      <c r="AR26" s="12" t="str">
        <f>_xlfn.XLOOKUP($B26,'PEW10'!$C$6:$C$201,'PEW10'!$B$6:$B$201,"")</f>
        <v/>
      </c>
      <c r="AS26" s="75">
        <f>_xlfn.XLOOKUP(AR26,'PEW10'!$B$6:$B$201,'PEW10'!$A$6:$A$201,0)</f>
        <v>0</v>
      </c>
      <c r="AT26" s="12" t="str">
        <f>_xlfn.XLOOKUP($B26,'PEW11'!$C$6:$C$201,'PEW11'!$B$6:$B$201,"")</f>
        <v/>
      </c>
      <c r="AU26" s="75">
        <f>_xlfn.XLOOKUP(AT26,'PEW11'!$B$6:$B$201,'PEW11'!$A$6:$A$201,0)</f>
        <v>0</v>
      </c>
      <c r="AV26" s="12" t="str">
        <f>_xlfn.XLOOKUP($B26,'PEW12'!$C$6:$C$201,'PEW12'!$B$6:$B$201,"")</f>
        <v/>
      </c>
      <c r="AW26" s="75">
        <f>_xlfn.XLOOKUP(AV26,'PEW12'!$B$6:$B$201,'PEW12'!$A$6:$A$201,0)</f>
        <v>0</v>
      </c>
      <c r="AX26" s="12" t="str" cm="1">
        <f t="array" ref="AX26">_xlfn.XLOOKUP($B26,IMEW!C$6:C$201,IMEW!$B$6:B$201,"")</f>
        <v/>
      </c>
      <c r="AY26" s="74">
        <f>_xlfn.XLOOKUP(AX26,IMEW!$B$6:$B$201,IMEW!$A$6:$A$201,0)</f>
        <v>0</v>
      </c>
      <c r="BA26" s="73">
        <f t="shared" si="1"/>
        <v>0</v>
      </c>
      <c r="BB26" s="73">
        <f t="shared" si="2"/>
        <v>0</v>
      </c>
      <c r="BC26" s="73">
        <f t="shared" si="3"/>
        <v>0</v>
      </c>
      <c r="BD26" s="73">
        <f t="shared" si="4"/>
        <v>0</v>
      </c>
      <c r="BE26" s="73">
        <f t="shared" si="5"/>
        <v>0</v>
      </c>
      <c r="BF26" s="73">
        <f t="shared" si="6"/>
        <v>0</v>
      </c>
      <c r="BG26" s="73">
        <f t="shared" si="7"/>
        <v>0</v>
      </c>
    </row>
    <row r="27" spans="1:59" ht="14.3" x14ac:dyDescent="0.25">
      <c r="A27" s="9">
        <f t="shared" si="0"/>
        <v>22</v>
      </c>
      <c r="B27" s="13"/>
      <c r="C27" s="14"/>
      <c r="D27" s="78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2">
        <f>_xlfn.XLOOKUP($B27,'GP1'!$C$6:$C$101,'GP1'!$B$6:$B$101,"")</f>
        <v>0</v>
      </c>
      <c r="F27" s="77">
        <f>_xlfn.XLOOKUP(E27,'GP1'!$B$6:$B$55,'GP1'!$A$6:$A$55,0)</f>
        <v>0</v>
      </c>
      <c r="G27" s="12">
        <f>_xlfn.XLOOKUP($B27,'GP2'!$C$6:$C$101,'GP2'!$B$6:$B$101,"")</f>
        <v>0</v>
      </c>
      <c r="H27" s="77">
        <f>_xlfn.XLOOKUP(G27,'GP2'!$B$6:$B$55,'GP2'!$A$6:$A$55,0)</f>
        <v>0</v>
      </c>
      <c r="I27" s="12" t="str">
        <f>_xlfn.XLOOKUP($B27,'GP3'!$C$6:$C$101,'GP3'!$B$6:$B$101,"")</f>
        <v/>
      </c>
      <c r="J27" s="77">
        <f>_xlfn.XLOOKUP(I27,'GP3'!$B$6:$B$55,'GP3'!$A$6:$A$55,0)</f>
        <v>0</v>
      </c>
      <c r="K27" s="12" t="str">
        <f>_xlfn.XLOOKUP($B27,'GP4'!$C$6:$C$101,'GP4'!$B$6:$B$101,"")</f>
        <v/>
      </c>
      <c r="L27" s="77">
        <f>_xlfn.XLOOKUP(K27,'GP4'!$B$6:$B$55,'GP4'!$A$6:$A$55,0)</f>
        <v>0</v>
      </c>
      <c r="M27" s="12" t="str">
        <f>_xlfn.XLOOKUP($B27,'GP5'!$C$6:$C$101,'GP5'!$B$6:$B$101,"")</f>
        <v/>
      </c>
      <c r="N27" s="77">
        <f>_xlfn.XLOOKUP(M27,'GP5'!$B$6:$B$55,'GP5'!$A$6:$A$55,0)</f>
        <v>0</v>
      </c>
      <c r="O27" s="12" t="str">
        <f>_xlfn.XLOOKUP($B27,'GP6'!$C$6:$C$101,'GP6'!$B$6:$B$101,"")</f>
        <v/>
      </c>
      <c r="P27" s="77">
        <f>_xlfn.XLOOKUP(O27,'GP6'!$B$6:$B$55,'GP6'!$A$6:$A$55,0)</f>
        <v>0</v>
      </c>
      <c r="Q27" s="12" t="str">
        <f>_xlfn.XLOOKUP($B27,'GP7'!$C$6:$C$101,'GP7'!$B$6:$B$101,"")</f>
        <v/>
      </c>
      <c r="R27" s="77">
        <f>_xlfn.XLOOKUP(Q27,'GP7'!$B$6:$B$55,'GP7'!$A$6:$A$55,0)</f>
        <v>0</v>
      </c>
      <c r="S27" s="12" t="str">
        <f>_xlfn.XLOOKUP($B27,'GP8'!$C$6:$C$101,'GP8'!$B$6:$B$101,"")</f>
        <v/>
      </c>
      <c r="T27" s="77">
        <f>_xlfn.XLOOKUP(S27,'GP8'!$B$6:$B$55,'GP8'!$A$6:$A$55,0)</f>
        <v>0</v>
      </c>
      <c r="U27" s="12" t="str">
        <f>_xlfn.XLOOKUP(B27,MPW!C$6:C$101,MPW!B$6:B$101,"")</f>
        <v/>
      </c>
      <c r="V27" s="76">
        <f>_xlfn.XLOOKUP(U27,MPW!$B$6:$B$55,MPW!$A$6:$A$55,0)</f>
        <v>0</v>
      </c>
      <c r="X27" s="12" t="str">
        <f>_xlfn.XLOOKUP($B27,'PEW1'!$C$6:$C$201,'PEW1'!$B$6:$B$201,"")</f>
        <v/>
      </c>
      <c r="Y27" s="75">
        <f>_xlfn.XLOOKUP(X27,'PEW1'!$B$6:$B$201,'PEW1'!$A$6:$A$201,0)</f>
        <v>0</v>
      </c>
      <c r="Z27" s="12" t="str">
        <f>_xlfn.XLOOKUP($B27,'PEW2'!$C$6:$C$201,'PEW2'!$B$6:$B$201,"")</f>
        <v/>
      </c>
      <c r="AA27" s="75">
        <f>_xlfn.XLOOKUP(Z27,'PEW2'!$B$6:$B$201,'PEW2'!$A$6:$A$201,0)</f>
        <v>0</v>
      </c>
      <c r="AB27" s="12" t="str">
        <f>_xlfn.XLOOKUP($B27,VFC!$C$6:$C$201,VFC!$B$6:$B$201,"")</f>
        <v/>
      </c>
      <c r="AC27" s="75">
        <f>_xlfn.XLOOKUP(AB27,VFC!$B$6:$B$201,VFC!$A$6:$A$201,0)</f>
        <v>0</v>
      </c>
      <c r="AD27" s="12" t="str">
        <f>_xlfn.XLOOKUP($B27,'PEW3'!$C$6:$C$201,'PEW3'!$B$6:$B$201,"")</f>
        <v/>
      </c>
      <c r="AE27" s="75">
        <f>_xlfn.XLOOKUP(AD27,'PEW3'!$B$6:$B$201,'PEW3'!$A$6:$A$201,0)</f>
        <v>0</v>
      </c>
      <c r="AF27" s="12" t="str">
        <f>_xlfn.XLOOKUP($B27,'PEW4'!$C$6:$C$201,'PEW4'!$B$6:$B$201,"")</f>
        <v/>
      </c>
      <c r="AG27" s="75">
        <f>_xlfn.XLOOKUP(AF27,'PEW4'!$B$6:$B$201,'PEW4'!$A$6:$A$201,0)</f>
        <v>0</v>
      </c>
      <c r="AH27" s="12" t="str">
        <f>_xlfn.XLOOKUP($B27,'PEW5'!$C$6:$C$201,'PEW5'!$B$6:$B$201,"")</f>
        <v/>
      </c>
      <c r="AI27" s="75">
        <f>_xlfn.XLOOKUP(AH27,'PEW5'!$B$6:$B$201,'PEW5'!$A$6:$A$201,0)</f>
        <v>0</v>
      </c>
      <c r="AJ27" s="12" t="str">
        <f>_xlfn.XLOOKUP($B27,'PEW6'!$C$6:$C$201,'PEW6'!$B$6:$B$201,"")</f>
        <v/>
      </c>
      <c r="AK27" s="75">
        <f>_xlfn.XLOOKUP(AJ27,'PEW6'!$B$6:$B$201,'PEW6'!$A$6:$A$201,0)</f>
        <v>0</v>
      </c>
      <c r="AL27" s="12" t="str">
        <f>_xlfn.XLOOKUP($B27,'PEW7'!$C$6:$C$201,'PEW7'!$B$6:$B$201,"")</f>
        <v/>
      </c>
      <c r="AM27" s="75">
        <f>_xlfn.XLOOKUP(AL27,'PEW7'!$B$6:$B$201,'PEW7'!$A$6:$A$201,0)</f>
        <v>0</v>
      </c>
      <c r="AN27" s="12" t="str">
        <f>_xlfn.XLOOKUP($B27,'PEW8'!$C$6:$C$201,'PEW8'!$B$6:$B$201,"")</f>
        <v/>
      </c>
      <c r="AO27" s="75">
        <f>_xlfn.XLOOKUP(AN27,'PEW8'!$B$6:$B$201,'PEW8'!$A$6:$A$201,0)</f>
        <v>0</v>
      </c>
      <c r="AP27" s="12" t="str">
        <f>_xlfn.XLOOKUP($B27,'PEW9'!$C$6:$C$201,'PEW9'!$B$6:$B$201,"")</f>
        <v/>
      </c>
      <c r="AQ27" s="75">
        <f>_xlfn.XLOOKUP(AP27,'PEW9'!$B$6:$B$201,'PEW9'!$A$6:$A$201,0)</f>
        <v>0</v>
      </c>
      <c r="AR27" s="12" t="str">
        <f>_xlfn.XLOOKUP($B27,'PEW10'!$C$6:$C$201,'PEW10'!$B$6:$B$201,"")</f>
        <v/>
      </c>
      <c r="AS27" s="75">
        <f>_xlfn.XLOOKUP(AR27,'PEW10'!$B$6:$B$201,'PEW10'!$A$6:$A$201,0)</f>
        <v>0</v>
      </c>
      <c r="AT27" s="12" t="str">
        <f>_xlfn.XLOOKUP($B27,'PEW11'!$C$6:$C$201,'PEW11'!$B$6:$B$201,"")</f>
        <v/>
      </c>
      <c r="AU27" s="75">
        <f>_xlfn.XLOOKUP(AT27,'PEW11'!$B$6:$B$201,'PEW11'!$A$6:$A$201,0)</f>
        <v>0</v>
      </c>
      <c r="AV27" s="12" t="str">
        <f>_xlfn.XLOOKUP($B27,'PEW12'!$C$6:$C$201,'PEW12'!$B$6:$B$201,"")</f>
        <v/>
      </c>
      <c r="AW27" s="75">
        <f>_xlfn.XLOOKUP(AV27,'PEW12'!$B$6:$B$201,'PEW12'!$A$6:$A$201,0)</f>
        <v>0</v>
      </c>
      <c r="AX27" s="12" t="str" cm="1">
        <f t="array" ref="AX27">_xlfn.XLOOKUP($B27,IMEW!C$6:C$201,IMEW!$B$6:B$201,"")</f>
        <v/>
      </c>
      <c r="AY27" s="74">
        <f>_xlfn.XLOOKUP(AX27,IMEW!$B$6:$B$201,IMEW!$A$6:$A$201,0)</f>
        <v>0</v>
      </c>
      <c r="BA27" s="73">
        <f t="shared" si="1"/>
        <v>0</v>
      </c>
      <c r="BB27" s="73">
        <f t="shared" si="2"/>
        <v>0</v>
      </c>
      <c r="BC27" s="73">
        <f t="shared" si="3"/>
        <v>0</v>
      </c>
      <c r="BD27" s="73">
        <f t="shared" si="4"/>
        <v>0</v>
      </c>
      <c r="BE27" s="73">
        <f t="shared" si="5"/>
        <v>0</v>
      </c>
      <c r="BF27" s="73">
        <f t="shared" si="6"/>
        <v>0</v>
      </c>
      <c r="BG27" s="73">
        <f t="shared" si="7"/>
        <v>0</v>
      </c>
    </row>
    <row r="28" spans="1:59" ht="14.3" x14ac:dyDescent="0.25">
      <c r="A28" s="9">
        <f t="shared" si="0"/>
        <v>23</v>
      </c>
      <c r="B28" s="13"/>
      <c r="C28" s="14"/>
      <c r="D28" s="78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2">
        <f>_xlfn.XLOOKUP($B28,'GP1'!$C$6:$C$101,'GP1'!$B$6:$B$101,"")</f>
        <v>0</v>
      </c>
      <c r="F28" s="77">
        <f>_xlfn.XLOOKUP(E28,'GP1'!$B$6:$B$55,'GP1'!$A$6:$A$55,0)</f>
        <v>0</v>
      </c>
      <c r="G28" s="12">
        <f>_xlfn.XLOOKUP($B28,'GP2'!$C$6:$C$101,'GP2'!$B$6:$B$101,"")</f>
        <v>0</v>
      </c>
      <c r="H28" s="77">
        <f>_xlfn.XLOOKUP(G28,'GP2'!$B$6:$B$55,'GP2'!$A$6:$A$55,0)</f>
        <v>0</v>
      </c>
      <c r="I28" s="12" t="str">
        <f>_xlfn.XLOOKUP($B28,'GP3'!$C$6:$C$101,'GP3'!$B$6:$B$101,"")</f>
        <v/>
      </c>
      <c r="J28" s="77">
        <f>_xlfn.XLOOKUP(I28,'GP3'!$B$6:$B$55,'GP3'!$A$6:$A$55,0)</f>
        <v>0</v>
      </c>
      <c r="K28" s="12" t="str">
        <f>_xlfn.XLOOKUP($B28,'GP4'!$C$6:$C$101,'GP4'!$B$6:$B$101,"")</f>
        <v/>
      </c>
      <c r="L28" s="77">
        <f>_xlfn.XLOOKUP(K28,'GP4'!$B$6:$B$55,'GP4'!$A$6:$A$55,0)</f>
        <v>0</v>
      </c>
      <c r="M28" s="12" t="str">
        <f>_xlfn.XLOOKUP($B28,'GP5'!$C$6:$C$101,'GP5'!$B$6:$B$101,"")</f>
        <v/>
      </c>
      <c r="N28" s="77">
        <f>_xlfn.XLOOKUP(M28,'GP5'!$B$6:$B$55,'GP5'!$A$6:$A$55,0)</f>
        <v>0</v>
      </c>
      <c r="O28" s="12" t="str">
        <f>_xlfn.XLOOKUP($B28,'GP6'!$C$6:$C$101,'GP6'!$B$6:$B$101,"")</f>
        <v/>
      </c>
      <c r="P28" s="77">
        <f>_xlfn.XLOOKUP(O28,'GP6'!$B$6:$B$55,'GP6'!$A$6:$A$55,0)</f>
        <v>0</v>
      </c>
      <c r="Q28" s="12" t="str">
        <f>_xlfn.XLOOKUP($B28,'GP7'!$C$6:$C$101,'GP7'!$B$6:$B$101,"")</f>
        <v/>
      </c>
      <c r="R28" s="77">
        <f>_xlfn.XLOOKUP(Q28,'GP7'!$B$6:$B$55,'GP7'!$A$6:$A$55,0)</f>
        <v>0</v>
      </c>
      <c r="S28" s="12" t="str">
        <f>_xlfn.XLOOKUP($B28,'GP8'!$C$6:$C$101,'GP8'!$B$6:$B$101,"")</f>
        <v/>
      </c>
      <c r="T28" s="77">
        <f>_xlfn.XLOOKUP(S28,'GP8'!$B$6:$B$55,'GP8'!$A$6:$A$55,0)</f>
        <v>0</v>
      </c>
      <c r="U28" s="12" t="str">
        <f>_xlfn.XLOOKUP(B28,MPW!C$6:C$101,MPW!B$6:B$101,"")</f>
        <v/>
      </c>
      <c r="V28" s="76">
        <f>_xlfn.XLOOKUP(U28,MPW!$B$6:$B$55,MPW!$A$6:$A$55,0)</f>
        <v>0</v>
      </c>
      <c r="X28" s="12" t="str">
        <f>_xlfn.XLOOKUP($B28,'PEW1'!$C$6:$C$201,'PEW1'!$B$6:$B$201,"")</f>
        <v/>
      </c>
      <c r="Y28" s="75">
        <f>_xlfn.XLOOKUP(X28,'PEW1'!$B$6:$B$201,'PEW1'!$A$6:$A$201,0)</f>
        <v>0</v>
      </c>
      <c r="Z28" s="12" t="str">
        <f>_xlfn.XLOOKUP($B28,'PEW2'!$C$6:$C$201,'PEW2'!$B$6:$B$201,"")</f>
        <v/>
      </c>
      <c r="AA28" s="75">
        <f>_xlfn.XLOOKUP(Z28,'PEW2'!$B$6:$B$201,'PEW2'!$A$6:$A$201,0)</f>
        <v>0</v>
      </c>
      <c r="AB28" s="12" t="str">
        <f>_xlfn.XLOOKUP($B28,VFC!$C$6:$C$201,VFC!$B$6:$B$201,"")</f>
        <v/>
      </c>
      <c r="AC28" s="75">
        <f>_xlfn.XLOOKUP(AB28,VFC!$B$6:$B$201,VFC!$A$6:$A$201,0)</f>
        <v>0</v>
      </c>
      <c r="AD28" s="12" t="str">
        <f>_xlfn.XLOOKUP($B28,'PEW3'!$C$6:$C$201,'PEW3'!$B$6:$B$201,"")</f>
        <v/>
      </c>
      <c r="AE28" s="75">
        <f>_xlfn.XLOOKUP(AD28,'PEW3'!$B$6:$B$201,'PEW3'!$A$6:$A$201,0)</f>
        <v>0</v>
      </c>
      <c r="AF28" s="12" t="str">
        <f>_xlfn.XLOOKUP($B28,'PEW4'!$C$6:$C$201,'PEW4'!$B$6:$B$201,"")</f>
        <v/>
      </c>
      <c r="AG28" s="75">
        <f>_xlfn.XLOOKUP(AF28,'PEW4'!$B$6:$B$201,'PEW4'!$A$6:$A$201,0)</f>
        <v>0</v>
      </c>
      <c r="AH28" s="12" t="str">
        <f>_xlfn.XLOOKUP($B28,'PEW5'!$C$6:$C$201,'PEW5'!$B$6:$B$201,"")</f>
        <v/>
      </c>
      <c r="AI28" s="75">
        <f>_xlfn.XLOOKUP(AH28,'PEW5'!$B$6:$B$201,'PEW5'!$A$6:$A$201,0)</f>
        <v>0</v>
      </c>
      <c r="AJ28" s="12" t="str">
        <f>_xlfn.XLOOKUP($B28,'PEW6'!$C$6:$C$201,'PEW6'!$B$6:$B$201,"")</f>
        <v/>
      </c>
      <c r="AK28" s="75">
        <f>_xlfn.XLOOKUP(AJ28,'PEW6'!$B$6:$B$201,'PEW6'!$A$6:$A$201,0)</f>
        <v>0</v>
      </c>
      <c r="AL28" s="12" t="str">
        <f>_xlfn.XLOOKUP($B28,'PEW7'!$C$6:$C$201,'PEW7'!$B$6:$B$201,"")</f>
        <v/>
      </c>
      <c r="AM28" s="75">
        <f>_xlfn.XLOOKUP(AL28,'PEW7'!$B$6:$B$201,'PEW7'!$A$6:$A$201,0)</f>
        <v>0</v>
      </c>
      <c r="AN28" s="12" t="str">
        <f>_xlfn.XLOOKUP($B28,'PEW8'!$C$6:$C$201,'PEW8'!$B$6:$B$201,"")</f>
        <v/>
      </c>
      <c r="AO28" s="75">
        <f>_xlfn.XLOOKUP(AN28,'PEW8'!$B$6:$B$201,'PEW8'!$A$6:$A$201,0)</f>
        <v>0</v>
      </c>
      <c r="AP28" s="12" t="str">
        <f>_xlfn.XLOOKUP($B28,'PEW9'!$C$6:$C$201,'PEW9'!$B$6:$B$201,"")</f>
        <v/>
      </c>
      <c r="AQ28" s="75">
        <f>_xlfn.XLOOKUP(AP28,'PEW9'!$B$6:$B$201,'PEW9'!$A$6:$A$201,0)</f>
        <v>0</v>
      </c>
      <c r="AR28" s="12" t="str">
        <f>_xlfn.XLOOKUP($B28,'PEW10'!$C$6:$C$201,'PEW10'!$B$6:$B$201,"")</f>
        <v/>
      </c>
      <c r="AS28" s="75">
        <f>_xlfn.XLOOKUP(AR28,'PEW10'!$B$6:$B$201,'PEW10'!$A$6:$A$201,0)</f>
        <v>0</v>
      </c>
      <c r="AT28" s="12" t="str">
        <f>_xlfn.XLOOKUP($B28,'PEW11'!$C$6:$C$201,'PEW11'!$B$6:$B$201,"")</f>
        <v/>
      </c>
      <c r="AU28" s="75">
        <f>_xlfn.XLOOKUP(AT28,'PEW11'!$B$6:$B$201,'PEW11'!$A$6:$A$201,0)</f>
        <v>0</v>
      </c>
      <c r="AV28" s="12" t="str">
        <f>_xlfn.XLOOKUP($B28,'PEW12'!$C$6:$C$201,'PEW12'!$B$6:$B$201,"")</f>
        <v/>
      </c>
      <c r="AW28" s="75">
        <f>_xlfn.XLOOKUP(AV28,'PEW12'!$B$6:$B$201,'PEW12'!$A$6:$A$201,0)</f>
        <v>0</v>
      </c>
      <c r="AX28" s="12" t="str" cm="1">
        <f t="array" ref="AX28">_xlfn.XLOOKUP($B28,IMEW!C$6:C$201,IMEW!$B$6:B$201,"")</f>
        <v/>
      </c>
      <c r="AY28" s="74">
        <f>_xlfn.XLOOKUP(AX28,IMEW!$B$6:$B$201,IMEW!$A$6:$A$201,0)</f>
        <v>0</v>
      </c>
      <c r="BA28" s="73">
        <f t="shared" si="1"/>
        <v>0</v>
      </c>
      <c r="BB28" s="73">
        <f t="shared" si="2"/>
        <v>0</v>
      </c>
      <c r="BC28" s="73">
        <f t="shared" si="3"/>
        <v>0</v>
      </c>
      <c r="BD28" s="73">
        <f t="shared" si="4"/>
        <v>0</v>
      </c>
      <c r="BE28" s="73">
        <f t="shared" si="5"/>
        <v>0</v>
      </c>
      <c r="BF28" s="73">
        <f t="shared" si="6"/>
        <v>0</v>
      </c>
      <c r="BG28" s="73">
        <f t="shared" si="7"/>
        <v>0</v>
      </c>
    </row>
    <row r="29" spans="1:59" ht="14.3" x14ac:dyDescent="0.25">
      <c r="A29" s="9">
        <f t="shared" si="0"/>
        <v>24</v>
      </c>
      <c r="B29" s="13"/>
      <c r="C29" s="14"/>
      <c r="D29" s="78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2">
        <f>_xlfn.XLOOKUP($B29,'GP1'!$C$6:$C$101,'GP1'!$B$6:$B$101,"")</f>
        <v>0</v>
      </c>
      <c r="F29" s="77">
        <f>_xlfn.XLOOKUP(E29,'GP1'!$B$6:$B$55,'GP1'!$A$6:$A$55,0)</f>
        <v>0</v>
      </c>
      <c r="G29" s="12">
        <f>_xlfn.XLOOKUP($B29,'GP2'!$C$6:$C$101,'GP2'!$B$6:$B$101,"")</f>
        <v>0</v>
      </c>
      <c r="H29" s="77">
        <f>_xlfn.XLOOKUP(G29,'GP2'!$B$6:$B$55,'GP2'!$A$6:$A$55,0)</f>
        <v>0</v>
      </c>
      <c r="I29" s="12" t="str">
        <f>_xlfn.XLOOKUP($B29,'GP3'!$C$6:$C$101,'GP3'!$B$6:$B$101,"")</f>
        <v/>
      </c>
      <c r="J29" s="77">
        <f>_xlfn.XLOOKUP(I29,'GP3'!$B$6:$B$55,'GP3'!$A$6:$A$55,0)</f>
        <v>0</v>
      </c>
      <c r="K29" s="12" t="str">
        <f>_xlfn.XLOOKUP($B29,'GP4'!$C$6:$C$101,'GP4'!$B$6:$B$101,"")</f>
        <v/>
      </c>
      <c r="L29" s="77">
        <f>_xlfn.XLOOKUP(K29,'GP4'!$B$6:$B$55,'GP4'!$A$6:$A$55,0)</f>
        <v>0</v>
      </c>
      <c r="M29" s="12" t="str">
        <f>_xlfn.XLOOKUP($B29,'GP5'!$C$6:$C$101,'GP5'!$B$6:$B$101,"")</f>
        <v/>
      </c>
      <c r="N29" s="77">
        <f>_xlfn.XLOOKUP(M29,'GP5'!$B$6:$B$55,'GP5'!$A$6:$A$55,0)</f>
        <v>0</v>
      </c>
      <c r="O29" s="12" t="str">
        <f>_xlfn.XLOOKUP($B29,'GP6'!$C$6:$C$101,'GP6'!$B$6:$B$101,"")</f>
        <v/>
      </c>
      <c r="P29" s="77">
        <f>_xlfn.XLOOKUP(O29,'GP6'!$B$6:$B$55,'GP6'!$A$6:$A$55,0)</f>
        <v>0</v>
      </c>
      <c r="Q29" s="12" t="str">
        <f>_xlfn.XLOOKUP($B29,'GP7'!$C$6:$C$101,'GP7'!$B$6:$B$101,"")</f>
        <v/>
      </c>
      <c r="R29" s="77">
        <f>_xlfn.XLOOKUP(Q29,'GP7'!$B$6:$B$55,'GP7'!$A$6:$A$55,0)</f>
        <v>0</v>
      </c>
      <c r="S29" s="12" t="str">
        <f>_xlfn.XLOOKUP($B29,'GP8'!$C$6:$C$101,'GP8'!$B$6:$B$101,"")</f>
        <v/>
      </c>
      <c r="T29" s="77">
        <f>_xlfn.XLOOKUP(S29,'GP8'!$B$6:$B$55,'GP8'!$A$6:$A$55,0)</f>
        <v>0</v>
      </c>
      <c r="U29" s="12" t="str">
        <f>_xlfn.XLOOKUP(B29,MPW!C$6:C$101,MPW!B$6:B$101,"")</f>
        <v/>
      </c>
      <c r="V29" s="76">
        <f>_xlfn.XLOOKUP(U29,MPW!$B$6:$B$55,MPW!$A$6:$A$55,0)</f>
        <v>0</v>
      </c>
      <c r="X29" s="12" t="str">
        <f>_xlfn.XLOOKUP($B29,'PEW1'!$C$6:$C$201,'PEW1'!$B$6:$B$201,"")</f>
        <v/>
      </c>
      <c r="Y29" s="75">
        <f>_xlfn.XLOOKUP(X29,'PEW1'!$B$6:$B$201,'PEW1'!$A$6:$A$201,0)</f>
        <v>0</v>
      </c>
      <c r="Z29" s="12" t="str">
        <f>_xlfn.XLOOKUP($B29,'PEW2'!$C$6:$C$201,'PEW2'!$B$6:$B$201,"")</f>
        <v/>
      </c>
      <c r="AA29" s="75">
        <f>_xlfn.XLOOKUP(Z29,'PEW2'!$B$6:$B$201,'PEW2'!$A$6:$A$201,0)</f>
        <v>0</v>
      </c>
      <c r="AB29" s="12" t="str">
        <f>_xlfn.XLOOKUP($B29,VFC!$C$6:$C$201,VFC!$B$6:$B$201,"")</f>
        <v/>
      </c>
      <c r="AC29" s="75">
        <f>_xlfn.XLOOKUP(AB29,VFC!$B$6:$B$201,VFC!$A$6:$A$201,0)</f>
        <v>0</v>
      </c>
      <c r="AD29" s="12" t="str">
        <f>_xlfn.XLOOKUP($B29,'PEW3'!$C$6:$C$201,'PEW3'!$B$6:$B$201,"")</f>
        <v/>
      </c>
      <c r="AE29" s="75">
        <f>_xlfn.XLOOKUP(AD29,'PEW3'!$B$6:$B$201,'PEW3'!$A$6:$A$201,0)</f>
        <v>0</v>
      </c>
      <c r="AF29" s="12" t="str">
        <f>_xlfn.XLOOKUP($B29,'PEW4'!$C$6:$C$201,'PEW4'!$B$6:$B$201,"")</f>
        <v/>
      </c>
      <c r="AG29" s="75">
        <f>_xlfn.XLOOKUP(AF29,'PEW4'!$B$6:$B$201,'PEW4'!$A$6:$A$201,0)</f>
        <v>0</v>
      </c>
      <c r="AH29" s="12" t="str">
        <f>_xlfn.XLOOKUP($B29,'PEW5'!$C$6:$C$201,'PEW5'!$B$6:$B$201,"")</f>
        <v/>
      </c>
      <c r="AI29" s="75">
        <f>_xlfn.XLOOKUP(AH29,'PEW5'!$B$6:$B$201,'PEW5'!$A$6:$A$201,0)</f>
        <v>0</v>
      </c>
      <c r="AJ29" s="12" t="str">
        <f>_xlfn.XLOOKUP($B29,'PEW6'!$C$6:$C$201,'PEW6'!$B$6:$B$201,"")</f>
        <v/>
      </c>
      <c r="AK29" s="75">
        <f>_xlfn.XLOOKUP(AJ29,'PEW6'!$B$6:$B$201,'PEW6'!$A$6:$A$201,0)</f>
        <v>0</v>
      </c>
      <c r="AL29" s="12" t="str">
        <f>_xlfn.XLOOKUP($B29,'PEW7'!$C$6:$C$201,'PEW7'!$B$6:$B$201,"")</f>
        <v/>
      </c>
      <c r="AM29" s="75">
        <f>_xlfn.XLOOKUP(AL29,'PEW7'!$B$6:$B$201,'PEW7'!$A$6:$A$201,0)</f>
        <v>0</v>
      </c>
      <c r="AN29" s="12" t="str">
        <f>_xlfn.XLOOKUP($B29,'PEW8'!$C$6:$C$201,'PEW8'!$B$6:$B$201,"")</f>
        <v/>
      </c>
      <c r="AO29" s="75">
        <f>_xlfn.XLOOKUP(AN29,'PEW8'!$B$6:$B$201,'PEW8'!$A$6:$A$201,0)</f>
        <v>0</v>
      </c>
      <c r="AP29" s="12" t="str">
        <f>_xlfn.XLOOKUP($B29,'PEW9'!$C$6:$C$201,'PEW9'!$B$6:$B$201,"")</f>
        <v/>
      </c>
      <c r="AQ29" s="75">
        <f>_xlfn.XLOOKUP(AP29,'PEW9'!$B$6:$B$201,'PEW9'!$A$6:$A$201,0)</f>
        <v>0</v>
      </c>
      <c r="AR29" s="12" t="str">
        <f>_xlfn.XLOOKUP($B29,'PEW10'!$C$6:$C$201,'PEW10'!$B$6:$B$201,"")</f>
        <v/>
      </c>
      <c r="AS29" s="75">
        <f>_xlfn.XLOOKUP(AR29,'PEW10'!$B$6:$B$201,'PEW10'!$A$6:$A$201,0)</f>
        <v>0</v>
      </c>
      <c r="AT29" s="12" t="str">
        <f>_xlfn.XLOOKUP($B29,'PEW11'!$C$6:$C$201,'PEW11'!$B$6:$B$201,"")</f>
        <v/>
      </c>
      <c r="AU29" s="75">
        <f>_xlfn.XLOOKUP(AT29,'PEW11'!$B$6:$B$201,'PEW11'!$A$6:$A$201,0)</f>
        <v>0</v>
      </c>
      <c r="AV29" s="12" t="str">
        <f>_xlfn.XLOOKUP($B29,'PEW12'!$C$6:$C$201,'PEW12'!$B$6:$B$201,"")</f>
        <v/>
      </c>
      <c r="AW29" s="75">
        <f>_xlfn.XLOOKUP(AV29,'PEW12'!$B$6:$B$201,'PEW12'!$A$6:$A$201,0)</f>
        <v>0</v>
      </c>
      <c r="AX29" s="12" t="str" cm="1">
        <f t="array" ref="AX29">_xlfn.XLOOKUP($B29,IMEW!C$6:C$201,IMEW!$B$6:B$201,"")</f>
        <v/>
      </c>
      <c r="AY29" s="74">
        <f>_xlfn.XLOOKUP(AX29,IMEW!$B$6:$B$201,IMEW!$A$6:$A$201,0)</f>
        <v>0</v>
      </c>
      <c r="BA29" s="73">
        <f t="shared" si="1"/>
        <v>0</v>
      </c>
      <c r="BB29" s="73">
        <f t="shared" si="2"/>
        <v>0</v>
      </c>
      <c r="BC29" s="73">
        <f t="shared" si="3"/>
        <v>0</v>
      </c>
      <c r="BD29" s="73">
        <f t="shared" si="4"/>
        <v>0</v>
      </c>
      <c r="BE29" s="73">
        <f t="shared" si="5"/>
        <v>0</v>
      </c>
      <c r="BF29" s="73">
        <f t="shared" si="6"/>
        <v>0</v>
      </c>
      <c r="BG29" s="73">
        <f t="shared" si="7"/>
        <v>0</v>
      </c>
    </row>
    <row r="30" spans="1:59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59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59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N4:AO4"/>
    <mergeCell ref="AP4:AQ4"/>
    <mergeCell ref="AR4:AS4"/>
    <mergeCell ref="X4:Y4"/>
    <mergeCell ref="Z4:AA4"/>
    <mergeCell ref="AB4:AC4"/>
    <mergeCell ref="AF4:AG4"/>
    <mergeCell ref="S4:T4"/>
    <mergeCell ref="A4:A5"/>
    <mergeCell ref="B4:B5"/>
    <mergeCell ref="C4:C5"/>
    <mergeCell ref="D4:D5"/>
    <mergeCell ref="E4:F4"/>
    <mergeCell ref="X1:BA3"/>
    <mergeCell ref="AD4:AE4"/>
    <mergeCell ref="D1:V2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</mergeCells>
  <conditionalFormatting sqref="A6:A29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B6C4-F408-46C3-AD57-1E147458CFD4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.25" style="88" customWidth="1"/>
    <col min="11" max="11" width="8.75" style="88" customWidth="1"/>
    <col min="12" max="12" width="11" style="88" customWidth="1"/>
    <col min="13" max="13" width="12.2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x14ac:dyDescent="0.25">
      <c r="A2" s="86"/>
      <c r="B2" s="22" t="s">
        <v>26</v>
      </c>
      <c r="C2" s="130" t="s">
        <v>100</v>
      </c>
      <c r="D2" s="70"/>
      <c r="E2" s="23"/>
      <c r="F2" s="23"/>
      <c r="G2" s="23"/>
      <c r="H2" s="121">
        <v>0</v>
      </c>
      <c r="I2" s="120">
        <v>50</v>
      </c>
      <c r="J2" s="120">
        <v>10</v>
      </c>
      <c r="K2" s="119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x14ac:dyDescent="0.25">
      <c r="A3" s="86"/>
      <c r="B3" s="118" t="s">
        <v>28</v>
      </c>
      <c r="C3" s="71" t="s">
        <v>101</v>
      </c>
      <c r="D3" s="71"/>
      <c r="E3" s="28"/>
      <c r="F3" s="28"/>
      <c r="G3" s="28"/>
      <c r="H3" s="116"/>
      <c r="I3" s="116"/>
      <c r="J3" s="117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7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5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 t="s">
        <v>102</v>
      </c>
      <c r="G6" s="30"/>
      <c r="H6" s="93">
        <v>1</v>
      </c>
      <c r="I6" s="94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3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 t="s">
        <v>102</v>
      </c>
      <c r="G7" s="30"/>
      <c r="H7" s="98">
        <v>2</v>
      </c>
      <c r="I7" s="99" t="str">
        <f t="shared" si="1"/>
        <v/>
      </c>
      <c r="J7" s="98" t="e">
        <f t="shared" si="2"/>
        <v>#NUM!</v>
      </c>
      <c r="K7" s="98" t="e">
        <f t="shared" si="3"/>
        <v>#NUM!</v>
      </c>
      <c r="L7" s="97">
        <f>2*K2</f>
        <v>0</v>
      </c>
      <c r="M7" s="97">
        <f t="shared" si="4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 t="s">
        <v>102</v>
      </c>
      <c r="G8" s="30"/>
      <c r="H8" s="93">
        <v>3</v>
      </c>
      <c r="I8" s="94" t="str">
        <f t="shared" si="1"/>
        <v/>
      </c>
      <c r="J8" s="93" t="e">
        <f t="shared" si="2"/>
        <v>#NUM!</v>
      </c>
      <c r="K8" s="93" t="e">
        <f t="shared" si="3"/>
        <v>#NUM!</v>
      </c>
      <c r="L8" s="92">
        <f>K2</f>
        <v>0</v>
      </c>
      <c r="M8" s="92">
        <f t="shared" si="4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 t="e">
        <f t="shared" si="2"/>
        <v>#NUM!</v>
      </c>
      <c r="K9" s="98" t="e">
        <f t="shared" si="3"/>
        <v>#NUM!</v>
      </c>
      <c r="L9" s="97">
        <f>K2</f>
        <v>0</v>
      </c>
      <c r="M9" s="97">
        <f t="shared" si="4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5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3" t="e">
        <f t="shared" si="2"/>
        <v>#NUM!</v>
      </c>
      <c r="K10" s="93" t="e">
        <f t="shared" si="3"/>
        <v>#NUM!</v>
      </c>
      <c r="L10" s="93"/>
      <c r="M10" s="92">
        <f t="shared" si="4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8" t="e">
        <f t="shared" si="2"/>
        <v>#NUM!</v>
      </c>
      <c r="K11" s="98" t="e">
        <f t="shared" si="3"/>
        <v>#NUM!</v>
      </c>
      <c r="L11" s="98"/>
      <c r="M11" s="97">
        <f t="shared" si="4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3" t="e">
        <f t="shared" si="2"/>
        <v>#NUM!</v>
      </c>
      <c r="K12" s="93" t="e">
        <f t="shared" si="3"/>
        <v>#NUM!</v>
      </c>
      <c r="L12" s="93"/>
      <c r="M12" s="92">
        <f t="shared" si="4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8" t="e">
        <f t="shared" si="2"/>
        <v>#NUM!</v>
      </c>
      <c r="K13" s="98" t="e">
        <f t="shared" si="3"/>
        <v>#NUM!</v>
      </c>
      <c r="L13" s="98"/>
      <c r="M13" s="97">
        <f t="shared" si="4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3" t="e">
        <f t="shared" si="2"/>
        <v>#NUM!</v>
      </c>
      <c r="K14" s="93" t="e">
        <f t="shared" si="3"/>
        <v>#NUM!</v>
      </c>
      <c r="L14" s="93"/>
      <c r="M14" s="92">
        <f t="shared" si="4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8" t="e">
        <f t="shared" si="2"/>
        <v>#NUM!</v>
      </c>
      <c r="K15" s="98" t="e">
        <f t="shared" si="3"/>
        <v>#NUM!</v>
      </c>
      <c r="L15" s="98"/>
      <c r="M15" s="97">
        <f t="shared" si="4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3" t="e">
        <f t="shared" si="2"/>
        <v>#NUM!</v>
      </c>
      <c r="K16" s="93" t="e">
        <f t="shared" si="3"/>
        <v>#NUM!</v>
      </c>
      <c r="L16" s="93"/>
      <c r="M16" s="92">
        <f t="shared" si="4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8" t="e">
        <f t="shared" si="2"/>
        <v>#NUM!</v>
      </c>
      <c r="K17" s="98" t="e">
        <f t="shared" si="3"/>
        <v>#NUM!</v>
      </c>
      <c r="L17" s="98"/>
      <c r="M17" s="97">
        <f t="shared" si="4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93">
        <v>13</v>
      </c>
      <c r="I18" s="94" t="str">
        <f t="shared" si="1"/>
        <v/>
      </c>
      <c r="J18" s="93" t="e">
        <f t="shared" si="2"/>
        <v>#NUM!</v>
      </c>
      <c r="K18" s="93" t="e">
        <f t="shared" si="3"/>
        <v>#NUM!</v>
      </c>
      <c r="L18" s="93"/>
      <c r="M18" s="92">
        <f t="shared" si="4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8" t="e">
        <f t="shared" si="2"/>
        <v>#NUM!</v>
      </c>
      <c r="K19" s="98" t="e">
        <f t="shared" si="3"/>
        <v>#NUM!</v>
      </c>
      <c r="L19" s="98"/>
      <c r="M19" s="97">
        <f t="shared" si="4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3" t="e">
        <f t="shared" si="2"/>
        <v>#NUM!</v>
      </c>
      <c r="K20" s="93" t="e">
        <f t="shared" si="3"/>
        <v>#NUM!</v>
      </c>
      <c r="L20" s="93"/>
      <c r="M20" s="92">
        <f t="shared" si="4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8" t="e">
        <f t="shared" si="2"/>
        <v>#NUM!</v>
      </c>
      <c r="K21" s="98" t="e">
        <f t="shared" si="3"/>
        <v>#NUM!</v>
      </c>
      <c r="L21" s="98"/>
      <c r="M21" s="97">
        <f t="shared" si="4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3" t="e">
        <f t="shared" si="2"/>
        <v>#NUM!</v>
      </c>
      <c r="K22" s="93" t="e">
        <f t="shared" si="3"/>
        <v>#NUM!</v>
      </c>
      <c r="L22" s="93"/>
      <c r="M22" s="92">
        <f t="shared" si="4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8" t="e">
        <f t="shared" si="2"/>
        <v>#NUM!</v>
      </c>
      <c r="K23" s="98" t="e">
        <f t="shared" si="3"/>
        <v>#NUM!</v>
      </c>
      <c r="L23" s="98"/>
      <c r="M23" s="97">
        <f t="shared" si="4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3" t="e">
        <f t="shared" si="2"/>
        <v>#NUM!</v>
      </c>
      <c r="K24" s="93" t="e">
        <f t="shared" si="3"/>
        <v>#NUM!</v>
      </c>
      <c r="L24" s="93"/>
      <c r="M24" s="92">
        <f t="shared" si="4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8" t="e">
        <f t="shared" si="2"/>
        <v>#NUM!</v>
      </c>
      <c r="K25" s="98" t="e">
        <f t="shared" si="3"/>
        <v>#NUM!</v>
      </c>
      <c r="L25" s="98"/>
      <c r="M25" s="97">
        <f t="shared" si="4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3" t="e">
        <f t="shared" si="2"/>
        <v>#NUM!</v>
      </c>
      <c r="K26" s="93" t="e">
        <f t="shared" si="3"/>
        <v>#NUM!</v>
      </c>
      <c r="L26" s="93"/>
      <c r="M26" s="92">
        <f t="shared" si="4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8" t="e">
        <f t="shared" si="2"/>
        <v>#NUM!</v>
      </c>
      <c r="K27" s="98" t="e">
        <f t="shared" si="3"/>
        <v>#NUM!</v>
      </c>
      <c r="L27" s="98"/>
      <c r="M27" s="97">
        <f t="shared" si="4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3" t="e">
        <f t="shared" si="2"/>
        <v>#NUM!</v>
      </c>
      <c r="K28" s="93" t="e">
        <f t="shared" si="3"/>
        <v>#NUM!</v>
      </c>
      <c r="L28" s="93"/>
      <c r="M28" s="92">
        <f t="shared" si="4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5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8" t="e">
        <f t="shared" si="2"/>
        <v>#NUM!</v>
      </c>
      <c r="K29" s="98" t="e">
        <f t="shared" si="3"/>
        <v>#NUM!</v>
      </c>
      <c r="L29" s="98"/>
      <c r="M29" s="97">
        <f t="shared" si="4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5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3" t="e">
        <f t="shared" si="2"/>
        <v>#NUM!</v>
      </c>
      <c r="K30" s="93" t="e">
        <f t="shared" si="3"/>
        <v>#NUM!</v>
      </c>
      <c r="L30" s="93"/>
      <c r="M30" s="92">
        <f t="shared" si="4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5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8" t="e">
        <f t="shared" si="2"/>
        <v>#NUM!</v>
      </c>
      <c r="K31" s="98" t="e">
        <f t="shared" si="3"/>
        <v>#NUM!</v>
      </c>
      <c r="L31" s="98"/>
      <c r="M31" s="97">
        <f t="shared" si="4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5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3" t="e">
        <f t="shared" si="2"/>
        <v>#NUM!</v>
      </c>
      <c r="K32" s="93" t="e">
        <f t="shared" si="3"/>
        <v>#NUM!</v>
      </c>
      <c r="L32" s="93"/>
      <c r="M32" s="92">
        <f t="shared" si="4"/>
        <v>0</v>
      </c>
      <c r="N32" s="86"/>
      <c r="O32" s="86"/>
      <c r="P32" s="86"/>
      <c r="Q32" s="86"/>
      <c r="R32" s="106"/>
      <c r="S32" s="105"/>
    </row>
    <row r="33" spans="1:21" s="85" customFormat="1" x14ac:dyDescent="0.25">
      <c r="A33" s="102">
        <f t="shared" si="0"/>
        <v>0</v>
      </c>
      <c r="B33" s="42" t="str">
        <f t="shared" si="5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8" t="e">
        <f t="shared" si="2"/>
        <v>#NUM!</v>
      </c>
      <c r="K33" s="98" t="e">
        <f t="shared" si="3"/>
        <v>#NUM!</v>
      </c>
      <c r="L33" s="98"/>
      <c r="M33" s="97">
        <f t="shared" si="4"/>
        <v>0</v>
      </c>
      <c r="N33" s="86"/>
      <c r="O33" s="86"/>
      <c r="P33" s="86"/>
      <c r="Q33" s="86"/>
      <c r="R33" s="86"/>
    </row>
    <row r="34" spans="1:21" s="85" customFormat="1" x14ac:dyDescent="0.25">
      <c r="A34" s="103">
        <f t="shared" si="0"/>
        <v>0</v>
      </c>
      <c r="B34" s="36" t="str">
        <f t="shared" si="5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3" t="e">
        <f t="shared" si="2"/>
        <v>#NUM!</v>
      </c>
      <c r="K34" s="93" t="e">
        <f t="shared" si="3"/>
        <v>#NUM!</v>
      </c>
      <c r="L34" s="93"/>
      <c r="M34" s="92">
        <f t="shared" si="4"/>
        <v>0</v>
      </c>
      <c r="N34" s="86"/>
      <c r="O34" s="86"/>
      <c r="P34" s="86"/>
      <c r="Q34" s="86"/>
      <c r="R34" s="86"/>
    </row>
    <row r="35" spans="1:21" s="85" customFormat="1" x14ac:dyDescent="0.25">
      <c r="A35" s="102">
        <f t="shared" si="0"/>
        <v>0</v>
      </c>
      <c r="B35" s="42" t="str">
        <f t="shared" si="5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8" t="e">
        <f t="shared" si="2"/>
        <v>#NUM!</v>
      </c>
      <c r="K35" s="98" t="e">
        <f t="shared" si="3"/>
        <v>#NUM!</v>
      </c>
      <c r="L35" s="98"/>
      <c r="M35" s="97">
        <f t="shared" si="4"/>
        <v>0</v>
      </c>
      <c r="N35" s="86"/>
      <c r="O35" s="86"/>
      <c r="P35" s="86"/>
      <c r="Q35" s="86"/>
      <c r="R35" s="86"/>
    </row>
    <row r="36" spans="1:21" s="85" customFormat="1" x14ac:dyDescent="0.25">
      <c r="A36" s="103">
        <f t="shared" si="0"/>
        <v>0</v>
      </c>
      <c r="B36" s="36" t="str">
        <f t="shared" si="5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3" t="e">
        <f t="shared" si="2"/>
        <v>#NUM!</v>
      </c>
      <c r="K36" s="93" t="e">
        <f t="shared" si="3"/>
        <v>#NUM!</v>
      </c>
      <c r="L36" s="93"/>
      <c r="M36" s="92">
        <f t="shared" si="4"/>
        <v>0</v>
      </c>
      <c r="N36" s="86"/>
      <c r="O36" s="86"/>
      <c r="P36" s="86"/>
      <c r="Q36" s="86"/>
      <c r="R36" s="106"/>
      <c r="S36" s="105"/>
    </row>
    <row r="37" spans="1:21" s="85" customFormat="1" x14ac:dyDescent="0.25">
      <c r="A37" s="102">
        <f t="shared" si="0"/>
        <v>0</v>
      </c>
      <c r="B37" s="42" t="str">
        <f t="shared" si="5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8" t="e">
        <f t="shared" si="2"/>
        <v>#NUM!</v>
      </c>
      <c r="K37" s="98" t="e">
        <f t="shared" si="3"/>
        <v>#NUM!</v>
      </c>
      <c r="L37" s="98"/>
      <c r="M37" s="97">
        <f t="shared" si="4"/>
        <v>0</v>
      </c>
      <c r="N37" s="86"/>
      <c r="O37" s="86"/>
      <c r="P37" s="86"/>
      <c r="Q37" s="86"/>
      <c r="R37" s="86"/>
    </row>
    <row r="38" spans="1:21" s="85" customFormat="1" x14ac:dyDescent="0.25">
      <c r="A38" s="103"/>
      <c r="B38" s="36" t="str">
        <f t="shared" si="5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3" t="e">
        <f t="shared" si="2"/>
        <v>#NUM!</v>
      </c>
      <c r="K38" s="93" t="e">
        <f t="shared" si="3"/>
        <v>#NUM!</v>
      </c>
      <c r="L38" s="93"/>
      <c r="M38" s="92">
        <f t="shared" si="4"/>
        <v>0</v>
      </c>
      <c r="N38" s="86"/>
      <c r="O38" s="86"/>
      <c r="P38" s="86"/>
      <c r="Q38" s="86"/>
      <c r="R38" s="86"/>
    </row>
    <row r="39" spans="1:21" s="85" customFormat="1" x14ac:dyDescent="0.25">
      <c r="A39" s="102"/>
      <c r="B39" s="42" t="str">
        <f t="shared" si="5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8" t="e">
        <f t="shared" si="2"/>
        <v>#NUM!</v>
      </c>
      <c r="K39" s="98" t="e">
        <f t="shared" si="3"/>
        <v>#NUM!</v>
      </c>
      <c r="L39" s="98"/>
      <c r="M39" s="97">
        <f t="shared" si="4"/>
        <v>0</v>
      </c>
      <c r="N39" s="86"/>
      <c r="O39" s="86"/>
      <c r="P39" s="86"/>
      <c r="Q39" s="86"/>
      <c r="R39" s="86"/>
    </row>
    <row r="40" spans="1:21" s="85" customFormat="1" x14ac:dyDescent="0.25">
      <c r="A40" s="103"/>
      <c r="B40" s="36" t="str">
        <f t="shared" si="5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3" t="e">
        <f t="shared" si="2"/>
        <v>#NUM!</v>
      </c>
      <c r="K40" s="93" t="e">
        <f t="shared" si="3"/>
        <v>#NUM!</v>
      </c>
      <c r="L40" s="93"/>
      <c r="M40" s="92">
        <f t="shared" si="4"/>
        <v>0</v>
      </c>
      <c r="N40" s="86"/>
      <c r="O40" s="86"/>
      <c r="P40" s="86"/>
      <c r="Q40" s="86"/>
      <c r="R40" s="86"/>
    </row>
    <row r="41" spans="1:21" s="85" customFormat="1" x14ac:dyDescent="0.25">
      <c r="A41" s="102"/>
      <c r="B41" s="42" t="str">
        <f t="shared" si="5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8" t="e">
        <f t="shared" si="2"/>
        <v>#NUM!</v>
      </c>
      <c r="K41" s="98" t="e">
        <f t="shared" si="3"/>
        <v>#NUM!</v>
      </c>
      <c r="L41" s="98"/>
      <c r="M41" s="97">
        <f t="shared" si="4"/>
        <v>0</v>
      </c>
      <c r="N41" s="86"/>
      <c r="O41" s="86"/>
      <c r="P41" s="86"/>
      <c r="Q41" s="86"/>
      <c r="R41" s="86"/>
      <c r="S41" s="104"/>
    </row>
    <row r="42" spans="1:21" s="85" customFormat="1" x14ac:dyDescent="0.25">
      <c r="A42" s="103"/>
      <c r="B42" s="36" t="str">
        <f t="shared" ref="B42:B65" si="6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3" t="e">
        <f t="shared" si="2"/>
        <v>#NUM!</v>
      </c>
      <c r="K42" s="93" t="e">
        <f t="shared" si="3"/>
        <v>#NUM!</v>
      </c>
      <c r="L42" s="93"/>
      <c r="M42" s="92">
        <f t="shared" si="4"/>
        <v>0</v>
      </c>
      <c r="N42" s="86"/>
      <c r="O42" s="86"/>
      <c r="P42" s="86"/>
      <c r="Q42" s="86"/>
      <c r="R42" s="86"/>
    </row>
    <row r="43" spans="1:21" s="85" customFormat="1" x14ac:dyDescent="0.25">
      <c r="A43" s="102"/>
      <c r="B43" s="42" t="str">
        <f t="shared" si="6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8" t="e">
        <f t="shared" si="2"/>
        <v>#NUM!</v>
      </c>
      <c r="K43" s="98" t="e">
        <f t="shared" si="3"/>
        <v>#NUM!</v>
      </c>
      <c r="L43" s="98"/>
      <c r="M43" s="97">
        <f t="shared" si="4"/>
        <v>0</v>
      </c>
      <c r="N43" s="86"/>
      <c r="O43" s="86"/>
      <c r="P43" s="86"/>
      <c r="Q43" s="86"/>
      <c r="R43" s="86"/>
    </row>
    <row r="44" spans="1:21" s="85" customFormat="1" x14ac:dyDescent="0.25">
      <c r="A44" s="103"/>
      <c r="B44" s="36" t="str">
        <f t="shared" si="6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3" t="e">
        <f t="shared" si="2"/>
        <v>#NUM!</v>
      </c>
      <c r="K44" s="93" t="e">
        <f t="shared" si="3"/>
        <v>#NUM!</v>
      </c>
      <c r="L44" s="93"/>
      <c r="M44" s="92">
        <f t="shared" si="4"/>
        <v>0</v>
      </c>
      <c r="N44" s="86"/>
      <c r="O44" s="86"/>
      <c r="P44" s="86"/>
      <c r="Q44" s="86"/>
      <c r="R44" s="86"/>
    </row>
    <row r="45" spans="1:21" s="85" customFormat="1" x14ac:dyDescent="0.25">
      <c r="A45" s="102"/>
      <c r="B45" s="42" t="str">
        <f t="shared" si="6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8" t="e">
        <f t="shared" si="2"/>
        <v>#NUM!</v>
      </c>
      <c r="K45" s="98" t="e">
        <f t="shared" si="3"/>
        <v>#NUM!</v>
      </c>
      <c r="L45" s="98"/>
      <c r="M45" s="97">
        <f t="shared" si="4"/>
        <v>0</v>
      </c>
      <c r="N45" s="86"/>
      <c r="O45" s="86"/>
      <c r="P45" s="86"/>
      <c r="Q45" s="86"/>
      <c r="R45" s="86"/>
    </row>
    <row r="46" spans="1:21" s="85" customFormat="1" x14ac:dyDescent="0.25">
      <c r="A46" s="103"/>
      <c r="B46" s="36" t="str">
        <f t="shared" si="6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3" t="e">
        <f t="shared" si="2"/>
        <v>#NUM!</v>
      </c>
      <c r="K46" s="93" t="e">
        <f t="shared" si="3"/>
        <v>#NUM!</v>
      </c>
      <c r="L46" s="93"/>
      <c r="M46" s="92">
        <f t="shared" si="4"/>
        <v>0</v>
      </c>
      <c r="N46" s="86"/>
      <c r="O46" s="86"/>
      <c r="P46" s="86"/>
      <c r="Q46" s="86"/>
      <c r="R46" s="86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102"/>
      <c r="B47" s="42" t="str">
        <f t="shared" si="6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8" t="e">
        <f t="shared" si="2"/>
        <v>#NUM!</v>
      </c>
      <c r="K47" s="98" t="e">
        <f t="shared" si="3"/>
        <v>#NUM!</v>
      </c>
      <c r="L47" s="98"/>
      <c r="M47" s="97">
        <f t="shared" si="4"/>
        <v>0</v>
      </c>
      <c r="N47" s="86"/>
      <c r="O47" s="86"/>
      <c r="P47" s="86"/>
      <c r="Q47" s="86"/>
      <c r="R47" s="86"/>
    </row>
    <row r="48" spans="1:21" s="85" customFormat="1" x14ac:dyDescent="0.25">
      <c r="A48" s="103"/>
      <c r="B48" s="36" t="str">
        <f t="shared" si="6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3" t="e">
        <f t="shared" si="2"/>
        <v>#NUM!</v>
      </c>
      <c r="K48" s="93" t="e">
        <f t="shared" si="3"/>
        <v>#NUM!</v>
      </c>
      <c r="L48" s="93"/>
      <c r="M48" s="92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2"/>
      <c r="B49" s="42" t="str">
        <f t="shared" si="6"/>
        <v/>
      </c>
      <c r="C49" s="43"/>
      <c r="D49" s="43"/>
      <c r="E49" s="43"/>
      <c r="F49" s="43"/>
      <c r="H49" s="98">
        <v>44</v>
      </c>
      <c r="I49" s="99" t="str">
        <f t="shared" si="1"/>
        <v/>
      </c>
      <c r="J49" s="98" t="e">
        <f t="shared" si="2"/>
        <v>#NUM!</v>
      </c>
      <c r="K49" s="98" t="e">
        <f t="shared" si="3"/>
        <v>#NUM!</v>
      </c>
      <c r="L49" s="98"/>
      <c r="M49" s="97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6" customFormat="1" x14ac:dyDescent="0.25">
      <c r="A50" s="103"/>
      <c r="B50" s="36" t="str">
        <f t="shared" si="6"/>
        <v/>
      </c>
      <c r="C50" s="37"/>
      <c r="D50" s="37"/>
      <c r="E50" s="37"/>
      <c r="F50" s="37"/>
      <c r="H50" s="93">
        <v>45</v>
      </c>
      <c r="I50" s="94" t="str">
        <f t="shared" si="1"/>
        <v/>
      </c>
      <c r="J50" s="93" t="e">
        <f t="shared" si="2"/>
        <v>#NUM!</v>
      </c>
      <c r="K50" s="93" t="e">
        <f t="shared" si="3"/>
        <v>#NUM!</v>
      </c>
      <c r="L50" s="93"/>
      <c r="M50" s="92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6" customFormat="1" x14ac:dyDescent="0.25">
      <c r="A51" s="102"/>
      <c r="B51" s="42" t="str">
        <f t="shared" si="6"/>
        <v/>
      </c>
      <c r="C51" s="43"/>
      <c r="D51" s="43"/>
      <c r="E51" s="43"/>
      <c r="F51" s="43"/>
      <c r="H51" s="98">
        <v>46</v>
      </c>
      <c r="I51" s="99" t="str">
        <f t="shared" si="1"/>
        <v/>
      </c>
      <c r="J51" s="98" t="e">
        <f t="shared" si="2"/>
        <v>#NUM!</v>
      </c>
      <c r="K51" s="98" t="e">
        <f t="shared" si="3"/>
        <v>#NUM!</v>
      </c>
      <c r="L51" s="98"/>
      <c r="M51" s="97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6" customFormat="1" x14ac:dyDescent="0.25">
      <c r="A52" s="101"/>
      <c r="B52" s="36" t="str">
        <f t="shared" si="6"/>
        <v/>
      </c>
      <c r="C52" s="37"/>
      <c r="D52" s="37"/>
      <c r="E52" s="37"/>
      <c r="F52" s="37"/>
      <c r="H52" s="93">
        <v>47</v>
      </c>
      <c r="I52" s="94" t="str">
        <f t="shared" si="1"/>
        <v/>
      </c>
      <c r="J52" s="93" t="e">
        <f t="shared" si="2"/>
        <v>#NUM!</v>
      </c>
      <c r="K52" s="93" t="e">
        <f t="shared" si="3"/>
        <v>#NUM!</v>
      </c>
      <c r="L52" s="93"/>
      <c r="M52" s="92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6" customFormat="1" x14ac:dyDescent="0.25">
      <c r="A53" s="100"/>
      <c r="B53" s="42" t="str">
        <f t="shared" si="6"/>
        <v/>
      </c>
      <c r="C53" s="43"/>
      <c r="D53" s="43"/>
      <c r="E53" s="43"/>
      <c r="F53" s="43"/>
      <c r="H53" s="98">
        <v>48</v>
      </c>
      <c r="I53" s="99" t="str">
        <f t="shared" si="1"/>
        <v/>
      </c>
      <c r="J53" s="98" t="e">
        <f t="shared" si="2"/>
        <v>#NUM!</v>
      </c>
      <c r="K53" s="98" t="e">
        <f t="shared" si="3"/>
        <v>#NUM!</v>
      </c>
      <c r="L53" s="98"/>
      <c r="M53" s="97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6" customFormat="1" x14ac:dyDescent="0.25">
      <c r="A54" s="101"/>
      <c r="B54" s="36" t="str">
        <f t="shared" si="6"/>
        <v/>
      </c>
      <c r="C54" s="37"/>
      <c r="D54" s="37"/>
      <c r="E54" s="37"/>
      <c r="F54" s="37"/>
      <c r="H54" s="93">
        <v>49</v>
      </c>
      <c r="I54" s="94" t="str">
        <f t="shared" si="1"/>
        <v/>
      </c>
      <c r="J54" s="93" t="e">
        <f t="shared" si="2"/>
        <v>#NUM!</v>
      </c>
      <c r="K54" s="93" t="e">
        <f t="shared" si="3"/>
        <v>#NUM!</v>
      </c>
      <c r="L54" s="93"/>
      <c r="M54" s="92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6" customFormat="1" x14ac:dyDescent="0.25">
      <c r="A55" s="100"/>
      <c r="B55" s="42" t="str">
        <f t="shared" si="6"/>
        <v/>
      </c>
      <c r="C55" s="43"/>
      <c r="D55" s="43"/>
      <c r="E55" s="43"/>
      <c r="F55" s="43"/>
      <c r="H55" s="98">
        <v>50</v>
      </c>
      <c r="I55" s="99" t="str">
        <f t="shared" si="1"/>
        <v/>
      </c>
      <c r="J55" s="98" t="e">
        <f t="shared" si="2"/>
        <v>#NUM!</v>
      </c>
      <c r="K55" s="98" t="e">
        <f t="shared" si="3"/>
        <v>#NUM!</v>
      </c>
      <c r="L55" s="98"/>
      <c r="M55" s="97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6" customFormat="1" x14ac:dyDescent="0.25">
      <c r="A56" s="101"/>
      <c r="B56" s="36" t="str">
        <f t="shared" si="6"/>
        <v/>
      </c>
      <c r="C56" s="37"/>
      <c r="D56" s="37"/>
      <c r="E56" s="37"/>
      <c r="F56" s="37"/>
      <c r="H56" s="93">
        <v>51</v>
      </c>
      <c r="I56" s="94" t="str">
        <f t="shared" si="1"/>
        <v/>
      </c>
      <c r="J56" s="93" t="e">
        <f t="shared" si="2"/>
        <v>#NUM!</v>
      </c>
      <c r="K56" s="93" t="e">
        <f t="shared" si="3"/>
        <v>#NUM!</v>
      </c>
      <c r="L56" s="93"/>
      <c r="M56" s="92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6" customFormat="1" x14ac:dyDescent="0.25">
      <c r="A57" s="100"/>
      <c r="B57" s="42" t="str">
        <f t="shared" si="6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8" t="e">
        <f t="shared" si="2"/>
        <v>#NUM!</v>
      </c>
      <c r="K57" s="98" t="e">
        <f t="shared" si="3"/>
        <v>#NUM!</v>
      </c>
      <c r="L57" s="98"/>
      <c r="M57" s="97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1"/>
      <c r="B58" s="36" t="str">
        <f t="shared" si="6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3" t="e">
        <f t="shared" si="2"/>
        <v>#NUM!</v>
      </c>
      <c r="K58" s="93" t="e">
        <f t="shared" si="3"/>
        <v>#NUM!</v>
      </c>
      <c r="L58" s="93"/>
      <c r="M58" s="92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0"/>
      <c r="B59" s="42" t="str">
        <f t="shared" si="6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8" t="e">
        <f t="shared" si="2"/>
        <v>#NUM!</v>
      </c>
      <c r="K59" s="98" t="e">
        <f t="shared" si="3"/>
        <v>#NUM!</v>
      </c>
      <c r="L59" s="98"/>
      <c r="M59" s="97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1"/>
      <c r="B60" s="36" t="str">
        <f t="shared" si="6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3" t="e">
        <f t="shared" si="2"/>
        <v>#NUM!</v>
      </c>
      <c r="K60" s="93" t="e">
        <f t="shared" si="3"/>
        <v>#NUM!</v>
      </c>
      <c r="L60" s="93"/>
      <c r="M60" s="92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0"/>
      <c r="B61" s="42" t="str">
        <f t="shared" si="6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8" t="e">
        <f t="shared" si="2"/>
        <v>#NUM!</v>
      </c>
      <c r="K61" s="98" t="e">
        <f t="shared" si="3"/>
        <v>#NUM!</v>
      </c>
      <c r="L61" s="98"/>
      <c r="M61" s="97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1"/>
      <c r="B62" s="36" t="str">
        <f t="shared" si="6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3" t="e">
        <f t="shared" si="2"/>
        <v>#NUM!</v>
      </c>
      <c r="K62" s="93" t="e">
        <f t="shared" si="3"/>
        <v>#NUM!</v>
      </c>
      <c r="L62" s="93"/>
      <c r="M62" s="92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0"/>
      <c r="B63" s="42" t="str">
        <f t="shared" si="6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8" t="e">
        <f t="shared" si="2"/>
        <v>#NUM!</v>
      </c>
      <c r="K63" s="98" t="e">
        <f t="shared" si="3"/>
        <v>#NUM!</v>
      </c>
      <c r="L63" s="98"/>
      <c r="M63" s="97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1"/>
      <c r="B64" s="36" t="str">
        <f t="shared" si="6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3" t="e">
        <f t="shared" si="2"/>
        <v>#NUM!</v>
      </c>
      <c r="K64" s="93" t="e">
        <f t="shared" si="3"/>
        <v>#NUM!</v>
      </c>
      <c r="L64" s="93"/>
      <c r="M64" s="92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0"/>
      <c r="B65" s="42" t="str">
        <f t="shared" si="6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8" t="e">
        <f t="shared" si="2"/>
        <v>#NUM!</v>
      </c>
      <c r="K65" s="98" t="e">
        <f t="shared" si="3"/>
        <v>#NUM!</v>
      </c>
      <c r="L65" s="98"/>
      <c r="M65" s="97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96"/>
      <c r="B66" s="36"/>
      <c r="C66" s="84"/>
      <c r="D66" s="84"/>
      <c r="E66" s="84"/>
      <c r="F66" s="84"/>
      <c r="H66" s="93">
        <v>61</v>
      </c>
      <c r="I66" s="94" t="str">
        <f t="shared" si="1"/>
        <v/>
      </c>
      <c r="J66" s="93" t="e">
        <f t="shared" si="2"/>
        <v>#NUM!</v>
      </c>
      <c r="K66" s="93" t="e">
        <f t="shared" si="3"/>
        <v>#NUM!</v>
      </c>
      <c r="L66" s="93"/>
      <c r="M66" s="92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96"/>
      <c r="B67" s="42"/>
      <c r="C67" s="84"/>
      <c r="D67" s="84"/>
      <c r="E67" s="84"/>
      <c r="F67" s="84"/>
      <c r="H67" s="93">
        <v>62</v>
      </c>
      <c r="I67" s="94" t="str">
        <f t="shared" si="1"/>
        <v/>
      </c>
      <c r="J67" s="93" t="e">
        <f t="shared" si="2"/>
        <v>#NUM!</v>
      </c>
      <c r="K67" s="93" t="e">
        <f t="shared" si="3"/>
        <v>#NUM!</v>
      </c>
      <c r="L67" s="93"/>
      <c r="M67" s="92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96"/>
      <c r="B68" s="36"/>
      <c r="C68" s="84"/>
      <c r="D68" s="84"/>
      <c r="E68" s="84"/>
      <c r="F68" s="84"/>
      <c r="H68" s="93">
        <v>63</v>
      </c>
      <c r="I68" s="94" t="str">
        <f t="shared" si="1"/>
        <v/>
      </c>
      <c r="J68" s="93" t="e">
        <f t="shared" si="2"/>
        <v>#NUM!</v>
      </c>
      <c r="K68" s="93" t="e">
        <f t="shared" si="3"/>
        <v>#NUM!</v>
      </c>
      <c r="L68" s="93"/>
      <c r="M68" s="92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96"/>
      <c r="B69" s="42"/>
      <c r="C69" s="84"/>
      <c r="D69" s="84"/>
      <c r="E69" s="84"/>
      <c r="F69" s="84"/>
      <c r="H69" s="93">
        <v>64</v>
      </c>
      <c r="I69" s="94" t="str">
        <f t="shared" si="1"/>
        <v/>
      </c>
      <c r="J69" s="93" t="e">
        <f t="shared" si="2"/>
        <v>#NUM!</v>
      </c>
      <c r="K69" s="93" t="e">
        <f t="shared" si="3"/>
        <v>#NUM!</v>
      </c>
      <c r="L69" s="93"/>
      <c r="M69" s="92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96"/>
      <c r="B70" s="84"/>
      <c r="C70" s="84"/>
      <c r="D70" s="84"/>
      <c r="E70" s="84"/>
      <c r="F70" s="84"/>
      <c r="H70" s="93">
        <v>65</v>
      </c>
      <c r="I70" s="94" t="str">
        <f t="shared" ref="I70:I133" si="7">IF(H70&lt;$H$2+1,($I$2-($I$2-1)*(LOG(H70)/LOG($H$2))),"")</f>
        <v/>
      </c>
      <c r="J70" s="93" t="e">
        <f t="shared" ref="J70:J133" si="8">INT(LOG($H$2,2))-ROUNDUP(LOG(H70,2),0)+IF(OR($H$2=1,$H$2=2,$H$2=4,$H$2=8,$H$2=16,$H$2=32,$H$2=64,$H$2=128,$H$2=256),0,1)</f>
        <v>#NUM!</v>
      </c>
      <c r="K70" s="93" t="e">
        <f t="shared" ref="K70:K133" si="9">J70*$J$2</f>
        <v>#NUM!</v>
      </c>
      <c r="L70" s="93"/>
      <c r="M70" s="92">
        <f t="shared" ref="M70:M133" si="10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96"/>
      <c r="B71" s="84"/>
      <c r="C71" s="84"/>
      <c r="D71" s="84"/>
      <c r="E71" s="84"/>
      <c r="F71" s="84"/>
      <c r="H71" s="93">
        <v>66</v>
      </c>
      <c r="I71" s="94" t="str">
        <f t="shared" si="7"/>
        <v/>
      </c>
      <c r="J71" s="93" t="e">
        <f t="shared" si="8"/>
        <v>#NUM!</v>
      </c>
      <c r="K71" s="93" t="e">
        <f t="shared" si="9"/>
        <v>#NUM!</v>
      </c>
      <c r="L71" s="93"/>
      <c r="M71" s="92">
        <f t="shared" si="10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96"/>
      <c r="B72" s="84"/>
      <c r="C72" s="84"/>
      <c r="D72" s="84"/>
      <c r="E72" s="84"/>
      <c r="F72" s="84"/>
      <c r="H72" s="93">
        <v>67</v>
      </c>
      <c r="I72" s="94" t="str">
        <f t="shared" si="7"/>
        <v/>
      </c>
      <c r="J72" s="93" t="e">
        <f t="shared" si="8"/>
        <v>#NUM!</v>
      </c>
      <c r="K72" s="93" t="e">
        <f t="shared" si="9"/>
        <v>#NUM!</v>
      </c>
      <c r="L72" s="93"/>
      <c r="M72" s="92">
        <f t="shared" si="10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96"/>
      <c r="B73" s="84"/>
      <c r="C73" s="84"/>
      <c r="D73" s="84"/>
      <c r="E73" s="84"/>
      <c r="F73" s="84"/>
      <c r="H73" s="93">
        <v>68</v>
      </c>
      <c r="I73" s="94" t="str">
        <f t="shared" si="7"/>
        <v/>
      </c>
      <c r="J73" s="93" t="e">
        <f t="shared" si="8"/>
        <v>#NUM!</v>
      </c>
      <c r="K73" s="93" t="e">
        <f t="shared" si="9"/>
        <v>#NUM!</v>
      </c>
      <c r="L73" s="93"/>
      <c r="M73" s="92">
        <f t="shared" si="10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96"/>
      <c r="B74" s="84"/>
      <c r="C74" s="84"/>
      <c r="D74" s="84"/>
      <c r="E74" s="84"/>
      <c r="F74" s="84"/>
      <c r="H74" s="93">
        <v>69</v>
      </c>
      <c r="I74" s="94" t="str">
        <f t="shared" si="7"/>
        <v/>
      </c>
      <c r="J74" s="93" t="e">
        <f t="shared" si="8"/>
        <v>#NUM!</v>
      </c>
      <c r="K74" s="93" t="e">
        <f t="shared" si="9"/>
        <v>#NUM!</v>
      </c>
      <c r="L74" s="93"/>
      <c r="M74" s="92">
        <f t="shared" si="10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96"/>
      <c r="B75" s="84"/>
      <c r="C75" s="84"/>
      <c r="D75" s="84"/>
      <c r="E75" s="84"/>
      <c r="F75" s="84"/>
      <c r="H75" s="93">
        <v>70</v>
      </c>
      <c r="I75" s="94" t="str">
        <f t="shared" si="7"/>
        <v/>
      </c>
      <c r="J75" s="93" t="e">
        <f t="shared" si="8"/>
        <v>#NUM!</v>
      </c>
      <c r="K75" s="93" t="e">
        <f t="shared" si="9"/>
        <v>#NUM!</v>
      </c>
      <c r="L75" s="93"/>
      <c r="M75" s="92">
        <f t="shared" si="10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96"/>
      <c r="B76" s="84"/>
      <c r="C76" s="84"/>
      <c r="D76" s="84"/>
      <c r="E76" s="84"/>
      <c r="F76" s="84"/>
      <c r="H76" s="93">
        <v>71</v>
      </c>
      <c r="I76" s="94" t="str">
        <f t="shared" si="7"/>
        <v/>
      </c>
      <c r="J76" s="93" t="e">
        <f t="shared" si="8"/>
        <v>#NUM!</v>
      </c>
      <c r="K76" s="93" t="e">
        <f t="shared" si="9"/>
        <v>#NUM!</v>
      </c>
      <c r="L76" s="93"/>
      <c r="M76" s="92">
        <f t="shared" si="10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96"/>
      <c r="B77" s="84"/>
      <c r="C77" s="84"/>
      <c r="D77" s="84"/>
      <c r="E77" s="84"/>
      <c r="F77" s="84"/>
      <c r="H77" s="93">
        <v>72</v>
      </c>
      <c r="I77" s="94" t="str">
        <f t="shared" si="7"/>
        <v/>
      </c>
      <c r="J77" s="93" t="e">
        <f t="shared" si="8"/>
        <v>#NUM!</v>
      </c>
      <c r="K77" s="93" t="e">
        <f t="shared" si="9"/>
        <v>#NUM!</v>
      </c>
      <c r="L77" s="93"/>
      <c r="M77" s="92">
        <f t="shared" si="10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96"/>
      <c r="B78" s="84"/>
      <c r="C78" s="84"/>
      <c r="D78" s="84"/>
      <c r="E78" s="84"/>
      <c r="F78" s="84"/>
      <c r="H78" s="93">
        <v>73</v>
      </c>
      <c r="I78" s="94" t="str">
        <f t="shared" si="7"/>
        <v/>
      </c>
      <c r="J78" s="93" t="e">
        <f t="shared" si="8"/>
        <v>#NUM!</v>
      </c>
      <c r="K78" s="93" t="e">
        <f t="shared" si="9"/>
        <v>#NUM!</v>
      </c>
      <c r="L78" s="93"/>
      <c r="M78" s="92">
        <f t="shared" si="10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96"/>
      <c r="B79" s="84"/>
      <c r="C79" s="84"/>
      <c r="D79" s="84"/>
      <c r="E79" s="84"/>
      <c r="F79" s="84"/>
      <c r="H79" s="93">
        <v>74</v>
      </c>
      <c r="I79" s="94" t="str">
        <f t="shared" si="7"/>
        <v/>
      </c>
      <c r="J79" s="93" t="e">
        <f t="shared" si="8"/>
        <v>#NUM!</v>
      </c>
      <c r="K79" s="93" t="e">
        <f t="shared" si="9"/>
        <v>#NUM!</v>
      </c>
      <c r="L79" s="93"/>
      <c r="M79" s="92">
        <f t="shared" si="10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96"/>
      <c r="B80" s="84"/>
      <c r="C80" s="84"/>
      <c r="D80" s="84"/>
      <c r="E80" s="84"/>
      <c r="F80" s="84"/>
      <c r="H80" s="93">
        <v>75</v>
      </c>
      <c r="I80" s="94" t="str">
        <f t="shared" si="7"/>
        <v/>
      </c>
      <c r="J80" s="93" t="e">
        <f t="shared" si="8"/>
        <v>#NUM!</v>
      </c>
      <c r="K80" s="93" t="e">
        <f t="shared" si="9"/>
        <v>#NUM!</v>
      </c>
      <c r="L80" s="93"/>
      <c r="M80" s="92">
        <f t="shared" si="10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96"/>
      <c r="B81" s="84"/>
      <c r="C81" s="84"/>
      <c r="D81" s="84"/>
      <c r="E81" s="84"/>
      <c r="F81" s="84"/>
      <c r="H81" s="93">
        <v>76</v>
      </c>
      <c r="I81" s="94" t="str">
        <f t="shared" si="7"/>
        <v/>
      </c>
      <c r="J81" s="93" t="e">
        <f t="shared" si="8"/>
        <v>#NUM!</v>
      </c>
      <c r="K81" s="93" t="e">
        <f t="shared" si="9"/>
        <v>#NUM!</v>
      </c>
      <c r="L81" s="93"/>
      <c r="M81" s="92">
        <f t="shared" si="10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96"/>
      <c r="B82" s="84"/>
      <c r="C82" s="84"/>
      <c r="D82" s="84"/>
      <c r="E82" s="84"/>
      <c r="F82" s="84"/>
      <c r="H82" s="93">
        <v>77</v>
      </c>
      <c r="I82" s="94" t="str">
        <f t="shared" si="7"/>
        <v/>
      </c>
      <c r="J82" s="93" t="e">
        <f t="shared" si="8"/>
        <v>#NUM!</v>
      </c>
      <c r="K82" s="93" t="e">
        <f t="shared" si="9"/>
        <v>#NUM!</v>
      </c>
      <c r="L82" s="93"/>
      <c r="M82" s="92">
        <f t="shared" si="10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96"/>
      <c r="B83" s="84"/>
      <c r="C83" s="84"/>
      <c r="D83" s="84"/>
      <c r="E83" s="84"/>
      <c r="F83" s="84"/>
      <c r="H83" s="93">
        <v>78</v>
      </c>
      <c r="I83" s="94" t="str">
        <f t="shared" si="7"/>
        <v/>
      </c>
      <c r="J83" s="93" t="e">
        <f t="shared" si="8"/>
        <v>#NUM!</v>
      </c>
      <c r="K83" s="93" t="e">
        <f t="shared" si="9"/>
        <v>#NUM!</v>
      </c>
      <c r="L83" s="93"/>
      <c r="M83" s="92">
        <f t="shared" si="10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96"/>
      <c r="B84" s="84"/>
      <c r="C84" s="84"/>
      <c r="D84" s="84"/>
      <c r="E84" s="84"/>
      <c r="F84" s="84"/>
      <c r="H84" s="93">
        <v>79</v>
      </c>
      <c r="I84" s="94" t="str">
        <f t="shared" si="7"/>
        <v/>
      </c>
      <c r="J84" s="93" t="e">
        <f t="shared" si="8"/>
        <v>#NUM!</v>
      </c>
      <c r="K84" s="93" t="e">
        <f t="shared" si="9"/>
        <v>#NUM!</v>
      </c>
      <c r="L84" s="93"/>
      <c r="M84" s="92">
        <f t="shared" si="10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96"/>
      <c r="B85" s="84"/>
      <c r="C85" s="84"/>
      <c r="D85" s="84"/>
      <c r="E85" s="84"/>
      <c r="F85" s="84"/>
      <c r="H85" s="93">
        <v>80</v>
      </c>
      <c r="I85" s="94" t="str">
        <f t="shared" si="7"/>
        <v/>
      </c>
      <c r="J85" s="93" t="e">
        <f t="shared" si="8"/>
        <v>#NUM!</v>
      </c>
      <c r="K85" s="93" t="e">
        <f t="shared" si="9"/>
        <v>#NUM!</v>
      </c>
      <c r="L85" s="93"/>
      <c r="M85" s="92">
        <f t="shared" si="10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96"/>
      <c r="B86" s="84"/>
      <c r="C86" s="84"/>
      <c r="D86" s="84"/>
      <c r="E86" s="84"/>
      <c r="F86" s="84"/>
      <c r="H86" s="93">
        <v>81</v>
      </c>
      <c r="I86" s="94" t="str">
        <f t="shared" si="7"/>
        <v/>
      </c>
      <c r="J86" s="93" t="e">
        <f t="shared" si="8"/>
        <v>#NUM!</v>
      </c>
      <c r="K86" s="93" t="e">
        <f t="shared" si="9"/>
        <v>#NUM!</v>
      </c>
      <c r="L86" s="93"/>
      <c r="M86" s="92">
        <f t="shared" si="10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96"/>
      <c r="B87" s="84"/>
      <c r="C87" s="84"/>
      <c r="D87" s="84"/>
      <c r="E87" s="84"/>
      <c r="F87" s="84"/>
      <c r="H87" s="93">
        <v>82</v>
      </c>
      <c r="I87" s="94" t="str">
        <f t="shared" si="7"/>
        <v/>
      </c>
      <c r="J87" s="93" t="e">
        <f t="shared" si="8"/>
        <v>#NUM!</v>
      </c>
      <c r="K87" s="93" t="e">
        <f t="shared" si="9"/>
        <v>#NUM!</v>
      </c>
      <c r="L87" s="93"/>
      <c r="M87" s="92">
        <f t="shared" si="10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96"/>
      <c r="B88" s="84"/>
      <c r="C88" s="84"/>
      <c r="D88" s="84"/>
      <c r="E88" s="84"/>
      <c r="F88" s="84"/>
      <c r="H88" s="93">
        <v>83</v>
      </c>
      <c r="I88" s="94" t="str">
        <f t="shared" si="7"/>
        <v/>
      </c>
      <c r="J88" s="93" t="e">
        <f t="shared" si="8"/>
        <v>#NUM!</v>
      </c>
      <c r="K88" s="93" t="e">
        <f t="shared" si="9"/>
        <v>#NUM!</v>
      </c>
      <c r="L88" s="93"/>
      <c r="M88" s="92">
        <f t="shared" si="10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96"/>
      <c r="B89" s="84"/>
      <c r="C89" s="84"/>
      <c r="D89" s="84"/>
      <c r="E89" s="84"/>
      <c r="F89" s="84"/>
      <c r="H89" s="93">
        <v>84</v>
      </c>
      <c r="I89" s="94" t="str">
        <f t="shared" si="7"/>
        <v/>
      </c>
      <c r="J89" s="93" t="e">
        <f t="shared" si="8"/>
        <v>#NUM!</v>
      </c>
      <c r="K89" s="93" t="e">
        <f t="shared" si="9"/>
        <v>#NUM!</v>
      </c>
      <c r="L89" s="93"/>
      <c r="M89" s="92">
        <f t="shared" si="10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96"/>
      <c r="B90" s="84"/>
      <c r="C90" s="84"/>
      <c r="D90" s="84"/>
      <c r="E90" s="84"/>
      <c r="F90" s="84"/>
      <c r="H90" s="93">
        <v>85</v>
      </c>
      <c r="I90" s="94" t="str">
        <f t="shared" si="7"/>
        <v/>
      </c>
      <c r="J90" s="93" t="e">
        <f t="shared" si="8"/>
        <v>#NUM!</v>
      </c>
      <c r="K90" s="93" t="e">
        <f t="shared" si="9"/>
        <v>#NUM!</v>
      </c>
      <c r="L90" s="93"/>
      <c r="M90" s="92">
        <f t="shared" si="10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96"/>
      <c r="B91" s="84"/>
      <c r="C91" s="84"/>
      <c r="D91" s="84"/>
      <c r="E91" s="84"/>
      <c r="F91" s="84"/>
      <c r="H91" s="93">
        <v>86</v>
      </c>
      <c r="I91" s="94" t="str">
        <f t="shared" si="7"/>
        <v/>
      </c>
      <c r="J91" s="93" t="e">
        <f t="shared" si="8"/>
        <v>#NUM!</v>
      </c>
      <c r="K91" s="93" t="e">
        <f t="shared" si="9"/>
        <v>#NUM!</v>
      </c>
      <c r="L91" s="93"/>
      <c r="M91" s="92">
        <f t="shared" si="10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96"/>
      <c r="B92" s="84"/>
      <c r="C92" s="84"/>
      <c r="D92" s="84"/>
      <c r="E92" s="84"/>
      <c r="F92" s="84"/>
      <c r="H92" s="93">
        <v>87</v>
      </c>
      <c r="I92" s="94" t="str">
        <f t="shared" si="7"/>
        <v/>
      </c>
      <c r="J92" s="93" t="e">
        <f t="shared" si="8"/>
        <v>#NUM!</v>
      </c>
      <c r="K92" s="93" t="e">
        <f t="shared" si="9"/>
        <v>#NUM!</v>
      </c>
      <c r="L92" s="93"/>
      <c r="M92" s="92">
        <f t="shared" si="10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96"/>
      <c r="B93" s="84"/>
      <c r="C93" s="84"/>
      <c r="D93" s="84"/>
      <c r="E93" s="84"/>
      <c r="F93" s="84"/>
      <c r="H93" s="93">
        <v>88</v>
      </c>
      <c r="I93" s="94" t="str">
        <f t="shared" si="7"/>
        <v/>
      </c>
      <c r="J93" s="93" t="e">
        <f t="shared" si="8"/>
        <v>#NUM!</v>
      </c>
      <c r="K93" s="93" t="e">
        <f t="shared" si="9"/>
        <v>#NUM!</v>
      </c>
      <c r="L93" s="93"/>
      <c r="M93" s="92">
        <f t="shared" si="10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96"/>
      <c r="B94" s="84"/>
      <c r="C94" s="84"/>
      <c r="D94" s="84"/>
      <c r="E94" s="84"/>
      <c r="F94" s="84"/>
      <c r="H94" s="93">
        <v>89</v>
      </c>
      <c r="I94" s="94" t="str">
        <f t="shared" si="7"/>
        <v/>
      </c>
      <c r="J94" s="93" t="e">
        <f t="shared" si="8"/>
        <v>#NUM!</v>
      </c>
      <c r="K94" s="93" t="e">
        <f t="shared" si="9"/>
        <v>#NUM!</v>
      </c>
      <c r="L94" s="93"/>
      <c r="M94" s="92">
        <f t="shared" si="10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96"/>
      <c r="B95" s="84"/>
      <c r="C95" s="84"/>
      <c r="D95" s="84"/>
      <c r="E95" s="84"/>
      <c r="F95" s="84"/>
      <c r="H95" s="93">
        <v>90</v>
      </c>
      <c r="I95" s="94" t="str">
        <f t="shared" si="7"/>
        <v/>
      </c>
      <c r="J95" s="93" t="e">
        <f t="shared" si="8"/>
        <v>#NUM!</v>
      </c>
      <c r="K95" s="93" t="e">
        <f t="shared" si="9"/>
        <v>#NUM!</v>
      </c>
      <c r="L95" s="93"/>
      <c r="M95" s="92">
        <f t="shared" si="10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96"/>
      <c r="B96" s="84"/>
      <c r="C96" s="84"/>
      <c r="D96" s="84"/>
      <c r="E96" s="84"/>
      <c r="F96" s="84"/>
      <c r="H96" s="93">
        <v>91</v>
      </c>
      <c r="I96" s="94" t="str">
        <f t="shared" si="7"/>
        <v/>
      </c>
      <c r="J96" s="93" t="e">
        <f t="shared" si="8"/>
        <v>#NUM!</v>
      </c>
      <c r="K96" s="93" t="e">
        <f t="shared" si="9"/>
        <v>#NUM!</v>
      </c>
      <c r="L96" s="93"/>
      <c r="M96" s="92">
        <f t="shared" si="10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96"/>
      <c r="B97" s="84"/>
      <c r="C97" s="84"/>
      <c r="D97" s="84"/>
      <c r="E97" s="84"/>
      <c r="F97" s="84"/>
      <c r="H97" s="93">
        <v>92</v>
      </c>
      <c r="I97" s="94" t="str">
        <f t="shared" si="7"/>
        <v/>
      </c>
      <c r="J97" s="93" t="e">
        <f t="shared" si="8"/>
        <v>#NUM!</v>
      </c>
      <c r="K97" s="93" t="e">
        <f t="shared" si="9"/>
        <v>#NUM!</v>
      </c>
      <c r="L97" s="93"/>
      <c r="M97" s="92">
        <f t="shared" si="10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96"/>
      <c r="B98" s="84"/>
      <c r="C98" s="84"/>
      <c r="D98" s="84"/>
      <c r="E98" s="84"/>
      <c r="F98" s="84"/>
      <c r="H98" s="93">
        <v>93</v>
      </c>
      <c r="I98" s="94" t="str">
        <f t="shared" si="7"/>
        <v/>
      </c>
      <c r="J98" s="93" t="e">
        <f t="shared" si="8"/>
        <v>#NUM!</v>
      </c>
      <c r="K98" s="93" t="e">
        <f t="shared" si="9"/>
        <v>#NUM!</v>
      </c>
      <c r="L98" s="93"/>
      <c r="M98" s="92">
        <f t="shared" si="10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96"/>
      <c r="B99" s="84"/>
      <c r="C99" s="84"/>
      <c r="D99" s="84"/>
      <c r="E99" s="84"/>
      <c r="F99" s="84"/>
      <c r="H99" s="93">
        <v>94</v>
      </c>
      <c r="I99" s="94" t="str">
        <f t="shared" si="7"/>
        <v/>
      </c>
      <c r="J99" s="93" t="e">
        <f t="shared" si="8"/>
        <v>#NUM!</v>
      </c>
      <c r="K99" s="93" t="e">
        <f t="shared" si="9"/>
        <v>#NUM!</v>
      </c>
      <c r="L99" s="93"/>
      <c r="M99" s="92">
        <f t="shared" si="10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96"/>
      <c r="B100" s="84"/>
      <c r="C100" s="84"/>
      <c r="D100" s="84"/>
      <c r="E100" s="84"/>
      <c r="F100" s="84"/>
      <c r="H100" s="93">
        <v>95</v>
      </c>
      <c r="I100" s="94" t="str">
        <f t="shared" si="7"/>
        <v/>
      </c>
      <c r="J100" s="93" t="e">
        <f t="shared" si="8"/>
        <v>#NUM!</v>
      </c>
      <c r="K100" s="93" t="e">
        <f t="shared" si="9"/>
        <v>#NUM!</v>
      </c>
      <c r="L100" s="93"/>
      <c r="M100" s="92">
        <f t="shared" si="10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96"/>
      <c r="B101" s="84"/>
      <c r="C101" s="84"/>
      <c r="D101" s="84"/>
      <c r="E101" s="84"/>
      <c r="F101" s="84"/>
      <c r="H101" s="93">
        <v>96</v>
      </c>
      <c r="I101" s="94" t="str">
        <f t="shared" si="7"/>
        <v/>
      </c>
      <c r="J101" s="93" t="e">
        <f t="shared" si="8"/>
        <v>#NUM!</v>
      </c>
      <c r="K101" s="93" t="e">
        <f t="shared" si="9"/>
        <v>#NUM!</v>
      </c>
      <c r="L101" s="93"/>
      <c r="M101" s="92">
        <f t="shared" si="10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96"/>
      <c r="B102" s="84"/>
      <c r="C102" s="84"/>
      <c r="D102" s="84"/>
      <c r="E102" s="84"/>
      <c r="F102" s="84"/>
      <c r="H102" s="93">
        <v>97</v>
      </c>
      <c r="I102" s="94" t="str">
        <f t="shared" si="7"/>
        <v/>
      </c>
      <c r="J102" s="93" t="e">
        <f t="shared" si="8"/>
        <v>#NUM!</v>
      </c>
      <c r="K102" s="93" t="e">
        <f t="shared" si="9"/>
        <v>#NUM!</v>
      </c>
      <c r="L102" s="93"/>
      <c r="M102" s="92">
        <f t="shared" si="10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96"/>
      <c r="B103" s="84"/>
      <c r="C103" s="84"/>
      <c r="D103" s="84"/>
      <c r="E103" s="84"/>
      <c r="F103" s="84"/>
      <c r="H103" s="93">
        <v>98</v>
      </c>
      <c r="I103" s="94" t="str">
        <f t="shared" si="7"/>
        <v/>
      </c>
      <c r="J103" s="93" t="e">
        <f t="shared" si="8"/>
        <v>#NUM!</v>
      </c>
      <c r="K103" s="93" t="e">
        <f t="shared" si="9"/>
        <v>#NUM!</v>
      </c>
      <c r="L103" s="93"/>
      <c r="M103" s="92">
        <f t="shared" si="10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96"/>
      <c r="B104" s="84"/>
      <c r="C104" s="84"/>
      <c r="D104" s="84"/>
      <c r="E104" s="84"/>
      <c r="F104" s="84"/>
      <c r="H104" s="93">
        <v>99</v>
      </c>
      <c r="I104" s="94" t="str">
        <f t="shared" si="7"/>
        <v/>
      </c>
      <c r="J104" s="93" t="e">
        <f t="shared" si="8"/>
        <v>#NUM!</v>
      </c>
      <c r="K104" s="93" t="e">
        <f t="shared" si="9"/>
        <v>#NUM!</v>
      </c>
      <c r="L104" s="93"/>
      <c r="M104" s="92">
        <f t="shared" si="10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96"/>
      <c r="B105" s="84"/>
      <c r="C105" s="84"/>
      <c r="D105" s="84"/>
      <c r="E105" s="84"/>
      <c r="F105" s="84"/>
      <c r="H105" s="93">
        <v>100</v>
      </c>
      <c r="I105" s="94" t="str">
        <f t="shared" si="7"/>
        <v/>
      </c>
      <c r="J105" s="93" t="e">
        <f t="shared" si="8"/>
        <v>#NUM!</v>
      </c>
      <c r="K105" s="93" t="e">
        <f t="shared" si="9"/>
        <v>#NUM!</v>
      </c>
      <c r="L105" s="93"/>
      <c r="M105" s="92">
        <f t="shared" si="10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96"/>
      <c r="B106" s="84"/>
      <c r="C106" s="84"/>
      <c r="D106" s="84"/>
      <c r="E106" s="84"/>
      <c r="F106" s="84"/>
      <c r="H106" s="93">
        <v>101</v>
      </c>
      <c r="I106" s="94" t="str">
        <f t="shared" si="7"/>
        <v/>
      </c>
      <c r="J106" s="93" t="e">
        <f t="shared" si="8"/>
        <v>#NUM!</v>
      </c>
      <c r="K106" s="93" t="e">
        <f t="shared" si="9"/>
        <v>#NUM!</v>
      </c>
      <c r="L106" s="93"/>
      <c r="M106" s="92">
        <f t="shared" si="10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96"/>
      <c r="B107" s="84"/>
      <c r="C107" s="84"/>
      <c r="D107" s="84"/>
      <c r="E107" s="84"/>
      <c r="F107" s="84"/>
      <c r="H107" s="93">
        <v>102</v>
      </c>
      <c r="I107" s="94" t="str">
        <f t="shared" si="7"/>
        <v/>
      </c>
      <c r="J107" s="93" t="e">
        <f t="shared" si="8"/>
        <v>#NUM!</v>
      </c>
      <c r="K107" s="93" t="e">
        <f t="shared" si="9"/>
        <v>#NUM!</v>
      </c>
      <c r="L107" s="93"/>
      <c r="M107" s="92">
        <f t="shared" si="10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96"/>
      <c r="B108" s="84"/>
      <c r="C108" s="84"/>
      <c r="D108" s="84"/>
      <c r="E108" s="84"/>
      <c r="F108" s="84"/>
      <c r="H108" s="93">
        <v>103</v>
      </c>
      <c r="I108" s="94" t="str">
        <f t="shared" si="7"/>
        <v/>
      </c>
      <c r="J108" s="93" t="e">
        <f t="shared" si="8"/>
        <v>#NUM!</v>
      </c>
      <c r="K108" s="93" t="e">
        <f t="shared" si="9"/>
        <v>#NUM!</v>
      </c>
      <c r="L108" s="93"/>
      <c r="M108" s="92">
        <f t="shared" si="10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96"/>
      <c r="B109" s="84"/>
      <c r="C109" s="84"/>
      <c r="D109" s="84"/>
      <c r="E109" s="84"/>
      <c r="F109" s="84"/>
      <c r="H109" s="93">
        <v>104</v>
      </c>
      <c r="I109" s="94" t="str">
        <f t="shared" si="7"/>
        <v/>
      </c>
      <c r="J109" s="93" t="e">
        <f t="shared" si="8"/>
        <v>#NUM!</v>
      </c>
      <c r="K109" s="93" t="e">
        <f t="shared" si="9"/>
        <v>#NUM!</v>
      </c>
      <c r="L109" s="93"/>
      <c r="M109" s="92">
        <f t="shared" si="10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96"/>
      <c r="B110" s="84"/>
      <c r="C110" s="84"/>
      <c r="D110" s="84"/>
      <c r="E110" s="84"/>
      <c r="F110" s="84"/>
      <c r="H110" s="93">
        <v>105</v>
      </c>
      <c r="I110" s="94" t="str">
        <f t="shared" si="7"/>
        <v/>
      </c>
      <c r="J110" s="93" t="e">
        <f t="shared" si="8"/>
        <v>#NUM!</v>
      </c>
      <c r="K110" s="93" t="e">
        <f t="shared" si="9"/>
        <v>#NUM!</v>
      </c>
      <c r="L110" s="93"/>
      <c r="M110" s="92">
        <f t="shared" si="10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96"/>
      <c r="B111" s="84"/>
      <c r="C111" s="84"/>
      <c r="D111" s="84"/>
      <c r="E111" s="84"/>
      <c r="F111" s="84"/>
      <c r="H111" s="93">
        <v>106</v>
      </c>
      <c r="I111" s="94" t="str">
        <f t="shared" si="7"/>
        <v/>
      </c>
      <c r="J111" s="93" t="e">
        <f t="shared" si="8"/>
        <v>#NUM!</v>
      </c>
      <c r="K111" s="93" t="e">
        <f t="shared" si="9"/>
        <v>#NUM!</v>
      </c>
      <c r="L111" s="93"/>
      <c r="M111" s="92">
        <f t="shared" si="10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96"/>
      <c r="B112" s="84"/>
      <c r="C112" s="84"/>
      <c r="D112" s="84"/>
      <c r="E112" s="84"/>
      <c r="F112" s="84"/>
      <c r="H112" s="93">
        <v>107</v>
      </c>
      <c r="I112" s="94" t="str">
        <f t="shared" si="7"/>
        <v/>
      </c>
      <c r="J112" s="93" t="e">
        <f t="shared" si="8"/>
        <v>#NUM!</v>
      </c>
      <c r="K112" s="93" t="e">
        <f t="shared" si="9"/>
        <v>#NUM!</v>
      </c>
      <c r="L112" s="93"/>
      <c r="M112" s="92">
        <f t="shared" si="10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96"/>
      <c r="B113" s="84"/>
      <c r="C113" s="84"/>
      <c r="D113" s="84"/>
      <c r="E113" s="84"/>
      <c r="F113" s="84"/>
      <c r="H113" s="93">
        <v>108</v>
      </c>
      <c r="I113" s="94" t="str">
        <f t="shared" si="7"/>
        <v/>
      </c>
      <c r="J113" s="93" t="e">
        <f t="shared" si="8"/>
        <v>#NUM!</v>
      </c>
      <c r="K113" s="93" t="e">
        <f t="shared" si="9"/>
        <v>#NUM!</v>
      </c>
      <c r="L113" s="93"/>
      <c r="M113" s="92">
        <f t="shared" si="10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96"/>
      <c r="B114" s="84"/>
      <c r="C114" s="84"/>
      <c r="D114" s="84"/>
      <c r="E114" s="84"/>
      <c r="F114" s="84"/>
      <c r="H114" s="93">
        <v>109</v>
      </c>
      <c r="I114" s="94" t="str">
        <f t="shared" si="7"/>
        <v/>
      </c>
      <c r="J114" s="93" t="e">
        <f t="shared" si="8"/>
        <v>#NUM!</v>
      </c>
      <c r="K114" s="93" t="e">
        <f t="shared" si="9"/>
        <v>#NUM!</v>
      </c>
      <c r="L114" s="93"/>
      <c r="M114" s="92">
        <f t="shared" si="10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96"/>
      <c r="B115" s="84"/>
      <c r="C115" s="84"/>
      <c r="D115" s="84"/>
      <c r="E115" s="84"/>
      <c r="F115" s="84"/>
      <c r="H115" s="93">
        <v>110</v>
      </c>
      <c r="I115" s="94" t="str">
        <f t="shared" si="7"/>
        <v/>
      </c>
      <c r="J115" s="93" t="e">
        <f t="shared" si="8"/>
        <v>#NUM!</v>
      </c>
      <c r="K115" s="93" t="e">
        <f t="shared" si="9"/>
        <v>#NUM!</v>
      </c>
      <c r="L115" s="93"/>
      <c r="M115" s="92">
        <f t="shared" si="10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96"/>
      <c r="B116" s="84"/>
      <c r="C116" s="84"/>
      <c r="D116" s="84"/>
      <c r="E116" s="84"/>
      <c r="F116" s="84"/>
      <c r="H116" s="93">
        <v>111</v>
      </c>
      <c r="I116" s="94" t="str">
        <f t="shared" si="7"/>
        <v/>
      </c>
      <c r="J116" s="93" t="e">
        <f t="shared" si="8"/>
        <v>#NUM!</v>
      </c>
      <c r="K116" s="93" t="e">
        <f t="shared" si="9"/>
        <v>#NUM!</v>
      </c>
      <c r="L116" s="93"/>
      <c r="M116" s="92">
        <f t="shared" si="10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96"/>
      <c r="B117" s="84"/>
      <c r="C117" s="84"/>
      <c r="D117" s="84"/>
      <c r="E117" s="84"/>
      <c r="F117" s="84"/>
      <c r="H117" s="93">
        <v>112</v>
      </c>
      <c r="I117" s="94" t="str">
        <f t="shared" si="7"/>
        <v/>
      </c>
      <c r="J117" s="93" t="e">
        <f t="shared" si="8"/>
        <v>#NUM!</v>
      </c>
      <c r="K117" s="93" t="e">
        <f t="shared" si="9"/>
        <v>#NUM!</v>
      </c>
      <c r="L117" s="93"/>
      <c r="M117" s="92">
        <f t="shared" si="10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96"/>
      <c r="B118" s="84"/>
      <c r="C118" s="84"/>
      <c r="D118" s="84"/>
      <c r="E118" s="84"/>
      <c r="F118" s="84"/>
      <c r="H118" s="93">
        <v>113</v>
      </c>
      <c r="I118" s="94" t="str">
        <f t="shared" si="7"/>
        <v/>
      </c>
      <c r="J118" s="93" t="e">
        <f t="shared" si="8"/>
        <v>#NUM!</v>
      </c>
      <c r="K118" s="93" t="e">
        <f t="shared" si="9"/>
        <v>#NUM!</v>
      </c>
      <c r="L118" s="93"/>
      <c r="M118" s="92">
        <f t="shared" si="10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96"/>
      <c r="B119" s="84"/>
      <c r="C119" s="84"/>
      <c r="D119" s="84"/>
      <c r="E119" s="84"/>
      <c r="F119" s="84"/>
      <c r="H119" s="93">
        <v>114</v>
      </c>
      <c r="I119" s="94" t="str">
        <f t="shared" si="7"/>
        <v/>
      </c>
      <c r="J119" s="93" t="e">
        <f t="shared" si="8"/>
        <v>#NUM!</v>
      </c>
      <c r="K119" s="93" t="e">
        <f t="shared" si="9"/>
        <v>#NUM!</v>
      </c>
      <c r="L119" s="93"/>
      <c r="M119" s="92">
        <f t="shared" si="10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96"/>
      <c r="B120" s="84"/>
      <c r="C120" s="84"/>
      <c r="D120" s="84"/>
      <c r="E120" s="84"/>
      <c r="F120" s="84"/>
      <c r="H120" s="93">
        <v>115</v>
      </c>
      <c r="I120" s="94" t="str">
        <f t="shared" si="7"/>
        <v/>
      </c>
      <c r="J120" s="93" t="e">
        <f t="shared" si="8"/>
        <v>#NUM!</v>
      </c>
      <c r="K120" s="93" t="e">
        <f t="shared" si="9"/>
        <v>#NUM!</v>
      </c>
      <c r="L120" s="93"/>
      <c r="M120" s="92">
        <f t="shared" si="10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96"/>
      <c r="B121" s="84"/>
      <c r="C121" s="84"/>
      <c r="D121" s="84"/>
      <c r="E121" s="84"/>
      <c r="F121" s="84"/>
      <c r="H121" s="93">
        <v>116</v>
      </c>
      <c r="I121" s="94" t="str">
        <f t="shared" si="7"/>
        <v/>
      </c>
      <c r="J121" s="93" t="e">
        <f t="shared" si="8"/>
        <v>#NUM!</v>
      </c>
      <c r="K121" s="93" t="e">
        <f t="shared" si="9"/>
        <v>#NUM!</v>
      </c>
      <c r="L121" s="93"/>
      <c r="M121" s="92">
        <f t="shared" si="10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96"/>
      <c r="B122" s="84"/>
      <c r="C122" s="84"/>
      <c r="D122" s="84"/>
      <c r="E122" s="84"/>
      <c r="F122" s="84"/>
      <c r="H122" s="93">
        <v>117</v>
      </c>
      <c r="I122" s="94" t="str">
        <f t="shared" si="7"/>
        <v/>
      </c>
      <c r="J122" s="93" t="e">
        <f t="shared" si="8"/>
        <v>#NUM!</v>
      </c>
      <c r="K122" s="93" t="e">
        <f t="shared" si="9"/>
        <v>#NUM!</v>
      </c>
      <c r="L122" s="93"/>
      <c r="M122" s="92">
        <f t="shared" si="10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96"/>
      <c r="B123" s="84"/>
      <c r="C123" s="84"/>
      <c r="D123" s="84"/>
      <c r="E123" s="84"/>
      <c r="F123" s="84"/>
      <c r="H123" s="93">
        <v>118</v>
      </c>
      <c r="I123" s="94" t="str">
        <f t="shared" si="7"/>
        <v/>
      </c>
      <c r="J123" s="93" t="e">
        <f t="shared" si="8"/>
        <v>#NUM!</v>
      </c>
      <c r="K123" s="93" t="e">
        <f t="shared" si="9"/>
        <v>#NUM!</v>
      </c>
      <c r="L123" s="93"/>
      <c r="M123" s="92">
        <f t="shared" si="10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96"/>
      <c r="B124" s="84"/>
      <c r="C124" s="84"/>
      <c r="D124" s="84"/>
      <c r="E124" s="84"/>
      <c r="F124" s="84"/>
      <c r="H124" s="93">
        <v>119</v>
      </c>
      <c r="I124" s="94" t="str">
        <f t="shared" si="7"/>
        <v/>
      </c>
      <c r="J124" s="93" t="e">
        <f t="shared" si="8"/>
        <v>#NUM!</v>
      </c>
      <c r="K124" s="93" t="e">
        <f t="shared" si="9"/>
        <v>#NUM!</v>
      </c>
      <c r="L124" s="93"/>
      <c r="M124" s="92">
        <f t="shared" si="10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96"/>
      <c r="B125" s="84"/>
      <c r="C125" s="84"/>
      <c r="D125" s="84"/>
      <c r="E125" s="84"/>
      <c r="F125" s="84"/>
      <c r="H125" s="93">
        <v>120</v>
      </c>
      <c r="I125" s="94" t="str">
        <f t="shared" si="7"/>
        <v/>
      </c>
      <c r="J125" s="93" t="e">
        <f t="shared" si="8"/>
        <v>#NUM!</v>
      </c>
      <c r="K125" s="93" t="e">
        <f t="shared" si="9"/>
        <v>#NUM!</v>
      </c>
      <c r="L125" s="93"/>
      <c r="M125" s="92">
        <f t="shared" si="10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96"/>
      <c r="B126" s="84"/>
      <c r="C126" s="84"/>
      <c r="D126" s="84"/>
      <c r="E126" s="84"/>
      <c r="F126" s="84"/>
      <c r="H126" s="93">
        <v>121</v>
      </c>
      <c r="I126" s="94" t="str">
        <f t="shared" si="7"/>
        <v/>
      </c>
      <c r="J126" s="93" t="e">
        <f t="shared" si="8"/>
        <v>#NUM!</v>
      </c>
      <c r="K126" s="93" t="e">
        <f t="shared" si="9"/>
        <v>#NUM!</v>
      </c>
      <c r="L126" s="93"/>
      <c r="M126" s="92">
        <f t="shared" si="10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96"/>
      <c r="B127" s="84"/>
      <c r="C127" s="84"/>
      <c r="D127" s="84"/>
      <c r="E127" s="84"/>
      <c r="F127" s="84"/>
      <c r="H127" s="93">
        <v>122</v>
      </c>
      <c r="I127" s="94" t="str">
        <f t="shared" si="7"/>
        <v/>
      </c>
      <c r="J127" s="93" t="e">
        <f t="shared" si="8"/>
        <v>#NUM!</v>
      </c>
      <c r="K127" s="93" t="e">
        <f t="shared" si="9"/>
        <v>#NUM!</v>
      </c>
      <c r="L127" s="93"/>
      <c r="M127" s="92">
        <f t="shared" si="10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96"/>
      <c r="B128" s="84"/>
      <c r="C128" s="84"/>
      <c r="D128" s="84"/>
      <c r="E128" s="84"/>
      <c r="F128" s="84"/>
      <c r="H128" s="93">
        <v>123</v>
      </c>
      <c r="I128" s="94" t="str">
        <f t="shared" si="7"/>
        <v/>
      </c>
      <c r="J128" s="93" t="e">
        <f t="shared" si="8"/>
        <v>#NUM!</v>
      </c>
      <c r="K128" s="93" t="e">
        <f t="shared" si="9"/>
        <v>#NUM!</v>
      </c>
      <c r="L128" s="93"/>
      <c r="M128" s="92">
        <f t="shared" si="10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96"/>
      <c r="B129" s="84"/>
      <c r="C129" s="84"/>
      <c r="D129" s="84"/>
      <c r="E129" s="84"/>
      <c r="F129" s="84"/>
      <c r="H129" s="93">
        <v>124</v>
      </c>
      <c r="I129" s="94" t="str">
        <f t="shared" si="7"/>
        <v/>
      </c>
      <c r="J129" s="93" t="e">
        <f t="shared" si="8"/>
        <v>#NUM!</v>
      </c>
      <c r="K129" s="93" t="e">
        <f t="shared" si="9"/>
        <v>#NUM!</v>
      </c>
      <c r="L129" s="93"/>
      <c r="M129" s="92">
        <f t="shared" si="10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96"/>
      <c r="B130" s="84"/>
      <c r="C130" s="84"/>
      <c r="D130" s="84"/>
      <c r="E130" s="84"/>
      <c r="F130" s="84"/>
      <c r="H130" s="93">
        <v>125</v>
      </c>
      <c r="I130" s="94" t="str">
        <f t="shared" si="7"/>
        <v/>
      </c>
      <c r="J130" s="93" t="e">
        <f t="shared" si="8"/>
        <v>#NUM!</v>
      </c>
      <c r="K130" s="93" t="e">
        <f t="shared" si="9"/>
        <v>#NUM!</v>
      </c>
      <c r="L130" s="93"/>
      <c r="M130" s="92">
        <f t="shared" si="10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96"/>
      <c r="B131" s="84"/>
      <c r="C131" s="84"/>
      <c r="D131" s="84"/>
      <c r="E131" s="84"/>
      <c r="F131" s="84"/>
      <c r="H131" s="93">
        <v>126</v>
      </c>
      <c r="I131" s="94" t="str">
        <f t="shared" si="7"/>
        <v/>
      </c>
      <c r="J131" s="93" t="e">
        <f t="shared" si="8"/>
        <v>#NUM!</v>
      </c>
      <c r="K131" s="93" t="e">
        <f t="shared" si="9"/>
        <v>#NUM!</v>
      </c>
      <c r="L131" s="93"/>
      <c r="M131" s="92">
        <f t="shared" si="10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96"/>
      <c r="B132" s="84"/>
      <c r="C132" s="84"/>
      <c r="D132" s="84"/>
      <c r="E132" s="84"/>
      <c r="F132" s="84"/>
      <c r="H132" s="93">
        <v>127</v>
      </c>
      <c r="I132" s="94" t="str">
        <f t="shared" si="7"/>
        <v/>
      </c>
      <c r="J132" s="93" t="e">
        <f t="shared" si="8"/>
        <v>#NUM!</v>
      </c>
      <c r="K132" s="93" t="e">
        <f t="shared" si="9"/>
        <v>#NUM!</v>
      </c>
      <c r="L132" s="93"/>
      <c r="M132" s="92">
        <f t="shared" si="10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96"/>
      <c r="B133" s="84"/>
      <c r="C133" s="84"/>
      <c r="D133" s="84"/>
      <c r="E133" s="84"/>
      <c r="F133" s="84"/>
      <c r="H133" s="93">
        <v>128</v>
      </c>
      <c r="I133" s="94" t="str">
        <f t="shared" si="7"/>
        <v/>
      </c>
      <c r="J133" s="93" t="e">
        <f t="shared" si="8"/>
        <v>#NUM!</v>
      </c>
      <c r="K133" s="93" t="e">
        <f t="shared" si="9"/>
        <v>#NUM!</v>
      </c>
      <c r="L133" s="93"/>
      <c r="M133" s="92">
        <f t="shared" si="10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96"/>
      <c r="B134" s="84"/>
      <c r="C134" s="84"/>
      <c r="D134" s="84"/>
      <c r="E134" s="84"/>
      <c r="F134" s="84"/>
      <c r="H134" s="93">
        <v>129</v>
      </c>
      <c r="I134" s="94" t="str">
        <f t="shared" ref="I134:I197" si="11">IF(H134&lt;$H$2+1,($I$2-($I$2-1)*(LOG(H134)/LOG($H$2))),"")</f>
        <v/>
      </c>
      <c r="J134" s="93" t="e">
        <f t="shared" ref="J134:J197" si="12">INT(LOG($H$2,2))-ROUNDUP(LOG(H134,2),0)+IF(OR($H$2=1,$H$2=2,$H$2=4,$H$2=8,$H$2=16,$H$2=32,$H$2=64,$H$2=128,$H$2=256),0,1)</f>
        <v>#NUM!</v>
      </c>
      <c r="K134" s="93" t="e">
        <f t="shared" ref="K134:K197" si="13">J134*$J$2</f>
        <v>#NUM!</v>
      </c>
      <c r="L134" s="93"/>
      <c r="M134" s="92">
        <f t="shared" ref="M134:M197" si="14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96"/>
      <c r="B135" s="84"/>
      <c r="C135" s="84"/>
      <c r="D135" s="84"/>
      <c r="E135" s="84"/>
      <c r="F135" s="84"/>
      <c r="H135" s="93">
        <v>130</v>
      </c>
      <c r="I135" s="94" t="str">
        <f t="shared" si="11"/>
        <v/>
      </c>
      <c r="J135" s="93" t="e">
        <f t="shared" si="12"/>
        <v>#NUM!</v>
      </c>
      <c r="K135" s="93" t="e">
        <f t="shared" si="13"/>
        <v>#NUM!</v>
      </c>
      <c r="L135" s="93"/>
      <c r="M135" s="92">
        <f t="shared" si="14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96"/>
      <c r="B136" s="84"/>
      <c r="C136" s="84"/>
      <c r="D136" s="84"/>
      <c r="E136" s="84"/>
      <c r="F136" s="84"/>
      <c r="H136" s="93">
        <v>131</v>
      </c>
      <c r="I136" s="94" t="str">
        <f t="shared" si="11"/>
        <v/>
      </c>
      <c r="J136" s="93" t="e">
        <f t="shared" si="12"/>
        <v>#NUM!</v>
      </c>
      <c r="K136" s="93" t="e">
        <f t="shared" si="13"/>
        <v>#NUM!</v>
      </c>
      <c r="L136" s="93"/>
      <c r="M136" s="92">
        <f t="shared" si="14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96"/>
      <c r="B137" s="84"/>
      <c r="C137" s="84"/>
      <c r="D137" s="84"/>
      <c r="E137" s="84"/>
      <c r="F137" s="84"/>
      <c r="H137" s="93">
        <v>132</v>
      </c>
      <c r="I137" s="94" t="str">
        <f t="shared" si="11"/>
        <v/>
      </c>
      <c r="J137" s="93" t="e">
        <f t="shared" si="12"/>
        <v>#NUM!</v>
      </c>
      <c r="K137" s="93" t="e">
        <f t="shared" si="13"/>
        <v>#NUM!</v>
      </c>
      <c r="L137" s="93"/>
      <c r="M137" s="92">
        <f t="shared" si="14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96"/>
      <c r="B138" s="84"/>
      <c r="C138" s="84"/>
      <c r="D138" s="84"/>
      <c r="E138" s="84"/>
      <c r="F138" s="84"/>
      <c r="H138" s="93">
        <v>133</v>
      </c>
      <c r="I138" s="94" t="str">
        <f t="shared" si="11"/>
        <v/>
      </c>
      <c r="J138" s="93" t="e">
        <f t="shared" si="12"/>
        <v>#NUM!</v>
      </c>
      <c r="K138" s="93" t="e">
        <f t="shared" si="13"/>
        <v>#NUM!</v>
      </c>
      <c r="L138" s="93"/>
      <c r="M138" s="92">
        <f t="shared" si="14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96"/>
      <c r="B139" s="84"/>
      <c r="C139" s="84"/>
      <c r="D139" s="84"/>
      <c r="E139" s="84"/>
      <c r="F139" s="84"/>
      <c r="H139" s="93">
        <v>134</v>
      </c>
      <c r="I139" s="94" t="str">
        <f t="shared" si="11"/>
        <v/>
      </c>
      <c r="J139" s="93" t="e">
        <f t="shared" si="12"/>
        <v>#NUM!</v>
      </c>
      <c r="K139" s="93" t="e">
        <f t="shared" si="13"/>
        <v>#NUM!</v>
      </c>
      <c r="L139" s="93"/>
      <c r="M139" s="92">
        <f t="shared" si="14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96"/>
      <c r="B140" s="84"/>
      <c r="C140" s="84"/>
      <c r="D140" s="84"/>
      <c r="E140" s="84"/>
      <c r="F140" s="84"/>
      <c r="H140" s="93">
        <v>135</v>
      </c>
      <c r="I140" s="94" t="str">
        <f t="shared" si="11"/>
        <v/>
      </c>
      <c r="J140" s="93" t="e">
        <f t="shared" si="12"/>
        <v>#NUM!</v>
      </c>
      <c r="K140" s="93" t="e">
        <f t="shared" si="13"/>
        <v>#NUM!</v>
      </c>
      <c r="L140" s="93"/>
      <c r="M140" s="92">
        <f t="shared" si="14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6" customFormat="1" x14ac:dyDescent="0.25">
      <c r="A141" s="96"/>
      <c r="B141" s="84"/>
      <c r="C141" s="84"/>
      <c r="D141" s="84"/>
      <c r="E141" s="84"/>
      <c r="F141" s="84"/>
      <c r="H141" s="93">
        <v>136</v>
      </c>
      <c r="I141" s="94" t="str">
        <f t="shared" si="11"/>
        <v/>
      </c>
      <c r="J141" s="93" t="e">
        <f t="shared" si="12"/>
        <v>#NUM!</v>
      </c>
      <c r="K141" s="93" t="e">
        <f t="shared" si="13"/>
        <v>#NUM!</v>
      </c>
      <c r="L141" s="93"/>
      <c r="M141" s="92">
        <f t="shared" si="14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6" customFormat="1" x14ac:dyDescent="0.25">
      <c r="A142" s="96"/>
      <c r="B142" s="84"/>
      <c r="C142" s="84"/>
      <c r="D142" s="84"/>
      <c r="E142" s="84"/>
      <c r="F142" s="84"/>
      <c r="H142" s="93">
        <v>137</v>
      </c>
      <c r="I142" s="94" t="str">
        <f t="shared" si="11"/>
        <v/>
      </c>
      <c r="J142" s="93" t="e">
        <f t="shared" si="12"/>
        <v>#NUM!</v>
      </c>
      <c r="K142" s="93" t="e">
        <f t="shared" si="13"/>
        <v>#NUM!</v>
      </c>
      <c r="L142" s="93"/>
      <c r="M142" s="92">
        <f t="shared" si="14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6" customFormat="1" x14ac:dyDescent="0.25">
      <c r="A143" s="96"/>
      <c r="B143" s="84"/>
      <c r="C143" s="84"/>
      <c r="D143" s="84"/>
      <c r="E143" s="84"/>
      <c r="F143" s="84"/>
      <c r="H143" s="93">
        <v>138</v>
      </c>
      <c r="I143" s="94" t="str">
        <f t="shared" si="11"/>
        <v/>
      </c>
      <c r="J143" s="93" t="e">
        <f t="shared" si="12"/>
        <v>#NUM!</v>
      </c>
      <c r="K143" s="93" t="e">
        <f t="shared" si="13"/>
        <v>#NUM!</v>
      </c>
      <c r="L143" s="93"/>
      <c r="M143" s="92">
        <f t="shared" si="14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6" customFormat="1" x14ac:dyDescent="0.25">
      <c r="A144" s="96"/>
      <c r="B144" s="84"/>
      <c r="C144" s="84"/>
      <c r="D144" s="84"/>
      <c r="E144" s="84"/>
      <c r="F144" s="84"/>
      <c r="H144" s="93">
        <v>139</v>
      </c>
      <c r="I144" s="94" t="str">
        <f t="shared" si="11"/>
        <v/>
      </c>
      <c r="J144" s="93" t="e">
        <f t="shared" si="12"/>
        <v>#NUM!</v>
      </c>
      <c r="K144" s="93" t="e">
        <f t="shared" si="13"/>
        <v>#NUM!</v>
      </c>
      <c r="L144" s="93"/>
      <c r="M144" s="92">
        <f t="shared" si="14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6" customFormat="1" x14ac:dyDescent="0.25">
      <c r="A145" s="96"/>
      <c r="B145" s="84"/>
      <c r="C145" s="84"/>
      <c r="D145" s="84"/>
      <c r="E145" s="84"/>
      <c r="F145" s="84"/>
      <c r="H145" s="93">
        <v>140</v>
      </c>
      <c r="I145" s="94" t="str">
        <f t="shared" si="11"/>
        <v/>
      </c>
      <c r="J145" s="93" t="e">
        <f t="shared" si="12"/>
        <v>#NUM!</v>
      </c>
      <c r="K145" s="93" t="e">
        <f t="shared" si="13"/>
        <v>#NUM!</v>
      </c>
      <c r="L145" s="93"/>
      <c r="M145" s="92">
        <f t="shared" si="14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6"/>
      <c r="B146" s="84"/>
      <c r="C146" s="84"/>
      <c r="D146" s="84"/>
      <c r="E146" s="84"/>
      <c r="F146" s="84"/>
      <c r="H146" s="93">
        <v>141</v>
      </c>
      <c r="I146" s="94" t="str">
        <f t="shared" si="11"/>
        <v/>
      </c>
      <c r="J146" s="93" t="e">
        <f t="shared" si="12"/>
        <v>#NUM!</v>
      </c>
      <c r="K146" s="93" t="e">
        <f t="shared" si="13"/>
        <v>#NUM!</v>
      </c>
      <c r="L146" s="93"/>
      <c r="M146" s="92">
        <f t="shared" si="14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6"/>
      <c r="B147" s="84"/>
      <c r="C147" s="84"/>
      <c r="D147" s="84"/>
      <c r="E147" s="84"/>
      <c r="F147" s="84"/>
      <c r="H147" s="93">
        <v>142</v>
      </c>
      <c r="I147" s="94" t="str">
        <f t="shared" si="11"/>
        <v/>
      </c>
      <c r="J147" s="93" t="e">
        <f t="shared" si="12"/>
        <v>#NUM!</v>
      </c>
      <c r="K147" s="93" t="e">
        <f t="shared" si="13"/>
        <v>#NUM!</v>
      </c>
      <c r="L147" s="93"/>
      <c r="M147" s="92">
        <f t="shared" si="14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6"/>
      <c r="B148" s="84"/>
      <c r="C148" s="84"/>
      <c r="D148" s="84"/>
      <c r="E148" s="84"/>
      <c r="F148" s="84"/>
      <c r="H148" s="93">
        <v>143</v>
      </c>
      <c r="I148" s="94" t="str">
        <f t="shared" si="11"/>
        <v/>
      </c>
      <c r="J148" s="93" t="e">
        <f t="shared" si="12"/>
        <v>#NUM!</v>
      </c>
      <c r="K148" s="93" t="e">
        <f t="shared" si="13"/>
        <v>#NUM!</v>
      </c>
      <c r="L148" s="93"/>
      <c r="M148" s="92">
        <f t="shared" si="14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6"/>
      <c r="B149" s="84"/>
      <c r="C149" s="84"/>
      <c r="D149" s="84"/>
      <c r="E149" s="84"/>
      <c r="F149" s="84"/>
      <c r="H149" s="93">
        <v>144</v>
      </c>
      <c r="I149" s="94" t="str">
        <f t="shared" si="11"/>
        <v/>
      </c>
      <c r="J149" s="93" t="e">
        <f t="shared" si="12"/>
        <v>#NUM!</v>
      </c>
      <c r="K149" s="93" t="e">
        <f t="shared" si="13"/>
        <v>#NUM!</v>
      </c>
      <c r="L149" s="93"/>
      <c r="M149" s="92">
        <f t="shared" si="14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6"/>
      <c r="B150" s="84"/>
      <c r="C150" s="84"/>
      <c r="D150" s="84"/>
      <c r="E150" s="84"/>
      <c r="F150" s="84"/>
      <c r="H150" s="93">
        <v>145</v>
      </c>
      <c r="I150" s="94" t="str">
        <f t="shared" si="11"/>
        <v/>
      </c>
      <c r="J150" s="93" t="e">
        <f t="shared" si="12"/>
        <v>#NUM!</v>
      </c>
      <c r="K150" s="93" t="e">
        <f t="shared" si="13"/>
        <v>#NUM!</v>
      </c>
      <c r="L150" s="93"/>
      <c r="M150" s="92">
        <f t="shared" si="14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6"/>
      <c r="B151" s="84"/>
      <c r="C151" s="84"/>
      <c r="D151" s="84"/>
      <c r="E151" s="84"/>
      <c r="F151" s="84"/>
      <c r="H151" s="93">
        <v>146</v>
      </c>
      <c r="I151" s="94" t="str">
        <f t="shared" si="11"/>
        <v/>
      </c>
      <c r="J151" s="93" t="e">
        <f t="shared" si="12"/>
        <v>#NUM!</v>
      </c>
      <c r="K151" s="93" t="e">
        <f t="shared" si="13"/>
        <v>#NUM!</v>
      </c>
      <c r="L151" s="93"/>
      <c r="M151" s="92">
        <f t="shared" si="14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6"/>
      <c r="B152" s="84"/>
      <c r="C152" s="84"/>
      <c r="D152" s="84"/>
      <c r="E152" s="84"/>
      <c r="F152" s="84"/>
      <c r="H152" s="93">
        <v>147</v>
      </c>
      <c r="I152" s="94" t="str">
        <f t="shared" si="11"/>
        <v/>
      </c>
      <c r="J152" s="93" t="e">
        <f t="shared" si="12"/>
        <v>#NUM!</v>
      </c>
      <c r="K152" s="93" t="e">
        <f t="shared" si="13"/>
        <v>#NUM!</v>
      </c>
      <c r="L152" s="93"/>
      <c r="M152" s="92">
        <f t="shared" si="14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6"/>
      <c r="B153" s="84"/>
      <c r="C153" s="84"/>
      <c r="D153" s="84"/>
      <c r="E153" s="84"/>
      <c r="F153" s="84"/>
      <c r="H153" s="93">
        <v>148</v>
      </c>
      <c r="I153" s="94" t="str">
        <f t="shared" si="11"/>
        <v/>
      </c>
      <c r="J153" s="93" t="e">
        <f t="shared" si="12"/>
        <v>#NUM!</v>
      </c>
      <c r="K153" s="93" t="e">
        <f t="shared" si="13"/>
        <v>#NUM!</v>
      </c>
      <c r="L153" s="93"/>
      <c r="M153" s="92">
        <f t="shared" si="14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6"/>
      <c r="B154" s="84"/>
      <c r="C154" s="84"/>
      <c r="D154" s="84"/>
      <c r="E154" s="84"/>
      <c r="F154" s="84"/>
      <c r="H154" s="93">
        <v>149</v>
      </c>
      <c r="I154" s="94" t="str">
        <f t="shared" si="11"/>
        <v/>
      </c>
      <c r="J154" s="93" t="e">
        <f t="shared" si="12"/>
        <v>#NUM!</v>
      </c>
      <c r="K154" s="93" t="e">
        <f t="shared" si="13"/>
        <v>#NUM!</v>
      </c>
      <c r="L154" s="93"/>
      <c r="M154" s="92">
        <f t="shared" si="14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3">
        <v>150</v>
      </c>
      <c r="I155" s="94" t="str">
        <f t="shared" si="11"/>
        <v/>
      </c>
      <c r="J155" s="93" t="e">
        <f t="shared" si="12"/>
        <v>#NUM!</v>
      </c>
      <c r="K155" s="93" t="e">
        <f t="shared" si="13"/>
        <v>#NUM!</v>
      </c>
      <c r="L155" s="93"/>
      <c r="M155" s="92">
        <f t="shared" si="14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1"/>
        <v/>
      </c>
      <c r="J156" s="93" t="e">
        <f t="shared" si="12"/>
        <v>#NUM!</v>
      </c>
      <c r="K156" s="93" t="e">
        <f t="shared" si="13"/>
        <v>#NUM!</v>
      </c>
      <c r="L156" s="93"/>
      <c r="M156" s="92">
        <f t="shared" si="14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3">
        <v>152</v>
      </c>
      <c r="I157" s="94" t="str">
        <f t="shared" si="11"/>
        <v/>
      </c>
      <c r="J157" s="93" t="e">
        <f t="shared" si="12"/>
        <v>#NUM!</v>
      </c>
      <c r="K157" s="93" t="e">
        <f t="shared" si="13"/>
        <v>#NUM!</v>
      </c>
      <c r="L157" s="93"/>
      <c r="M157" s="92">
        <f t="shared" si="14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1"/>
        <v/>
      </c>
      <c r="J158" s="93" t="e">
        <f t="shared" si="12"/>
        <v>#NUM!</v>
      </c>
      <c r="K158" s="93" t="e">
        <f t="shared" si="13"/>
        <v>#NUM!</v>
      </c>
      <c r="L158" s="93"/>
      <c r="M158" s="92">
        <f t="shared" si="14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3">
        <v>154</v>
      </c>
      <c r="I159" s="94" t="str">
        <f t="shared" si="11"/>
        <v/>
      </c>
      <c r="J159" s="93" t="e">
        <f t="shared" si="12"/>
        <v>#NUM!</v>
      </c>
      <c r="K159" s="93" t="e">
        <f t="shared" si="13"/>
        <v>#NUM!</v>
      </c>
      <c r="L159" s="93"/>
      <c r="M159" s="92">
        <f t="shared" si="14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1"/>
        <v/>
      </c>
      <c r="J160" s="93" t="e">
        <f t="shared" si="12"/>
        <v>#NUM!</v>
      </c>
      <c r="K160" s="93" t="e">
        <f t="shared" si="13"/>
        <v>#NUM!</v>
      </c>
      <c r="L160" s="93"/>
      <c r="M160" s="92">
        <f t="shared" si="14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3">
        <v>156</v>
      </c>
      <c r="I161" s="94" t="str">
        <f t="shared" si="11"/>
        <v/>
      </c>
      <c r="J161" s="93" t="e">
        <f t="shared" si="12"/>
        <v>#NUM!</v>
      </c>
      <c r="K161" s="93" t="e">
        <f t="shared" si="13"/>
        <v>#NUM!</v>
      </c>
      <c r="L161" s="93"/>
      <c r="M161" s="92">
        <f t="shared" si="14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1"/>
        <v/>
      </c>
      <c r="J162" s="93" t="e">
        <f t="shared" si="12"/>
        <v>#NUM!</v>
      </c>
      <c r="K162" s="93" t="e">
        <f t="shared" si="13"/>
        <v>#NUM!</v>
      </c>
      <c r="L162" s="93"/>
      <c r="M162" s="92">
        <f t="shared" si="14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3">
        <v>158</v>
      </c>
      <c r="I163" s="94" t="str">
        <f t="shared" si="11"/>
        <v/>
      </c>
      <c r="J163" s="93" t="e">
        <f t="shared" si="12"/>
        <v>#NUM!</v>
      </c>
      <c r="K163" s="93" t="e">
        <f t="shared" si="13"/>
        <v>#NUM!</v>
      </c>
      <c r="L163" s="93"/>
      <c r="M163" s="92">
        <f t="shared" si="14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1"/>
        <v/>
      </c>
      <c r="J164" s="93" t="e">
        <f t="shared" si="12"/>
        <v>#NUM!</v>
      </c>
      <c r="K164" s="93" t="e">
        <f t="shared" si="13"/>
        <v>#NUM!</v>
      </c>
      <c r="L164" s="93"/>
      <c r="M164" s="92">
        <f t="shared" si="14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3">
        <v>160</v>
      </c>
      <c r="I165" s="94" t="str">
        <f t="shared" si="11"/>
        <v/>
      </c>
      <c r="J165" s="93" t="e">
        <f t="shared" si="12"/>
        <v>#NUM!</v>
      </c>
      <c r="K165" s="93" t="e">
        <f t="shared" si="13"/>
        <v>#NUM!</v>
      </c>
      <c r="L165" s="93"/>
      <c r="M165" s="92">
        <f t="shared" si="14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1"/>
        <v/>
      </c>
      <c r="J166" s="93" t="e">
        <f t="shared" si="12"/>
        <v>#NUM!</v>
      </c>
      <c r="K166" s="93" t="e">
        <f t="shared" si="13"/>
        <v>#NUM!</v>
      </c>
      <c r="L166" s="93"/>
      <c r="M166" s="92">
        <f t="shared" si="14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3">
        <v>162</v>
      </c>
      <c r="I167" s="94" t="str">
        <f t="shared" si="11"/>
        <v/>
      </c>
      <c r="J167" s="93" t="e">
        <f t="shared" si="12"/>
        <v>#NUM!</v>
      </c>
      <c r="K167" s="93" t="e">
        <f t="shared" si="13"/>
        <v>#NUM!</v>
      </c>
      <c r="L167" s="93"/>
      <c r="M167" s="92">
        <f t="shared" si="14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1"/>
        <v/>
      </c>
      <c r="J168" s="93" t="e">
        <f t="shared" si="12"/>
        <v>#NUM!</v>
      </c>
      <c r="K168" s="93" t="e">
        <f t="shared" si="13"/>
        <v>#NUM!</v>
      </c>
      <c r="L168" s="93"/>
      <c r="M168" s="92">
        <f t="shared" si="14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3">
        <v>164</v>
      </c>
      <c r="I169" s="94" t="str">
        <f t="shared" si="11"/>
        <v/>
      </c>
      <c r="J169" s="93" t="e">
        <f t="shared" si="12"/>
        <v>#NUM!</v>
      </c>
      <c r="K169" s="93" t="e">
        <f t="shared" si="13"/>
        <v>#NUM!</v>
      </c>
      <c r="L169" s="93"/>
      <c r="M169" s="92">
        <f t="shared" si="14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1"/>
        <v/>
      </c>
      <c r="J170" s="93" t="e">
        <f t="shared" si="12"/>
        <v>#NUM!</v>
      </c>
      <c r="K170" s="93" t="e">
        <f t="shared" si="13"/>
        <v>#NUM!</v>
      </c>
      <c r="L170" s="93"/>
      <c r="M170" s="92">
        <f t="shared" si="14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3">
        <v>166</v>
      </c>
      <c r="I171" s="94" t="str">
        <f t="shared" si="11"/>
        <v/>
      </c>
      <c r="J171" s="93" t="e">
        <f t="shared" si="12"/>
        <v>#NUM!</v>
      </c>
      <c r="K171" s="93" t="e">
        <f t="shared" si="13"/>
        <v>#NUM!</v>
      </c>
      <c r="L171" s="93"/>
      <c r="M171" s="92">
        <f t="shared" si="14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1"/>
        <v/>
      </c>
      <c r="J172" s="93" t="e">
        <f t="shared" si="12"/>
        <v>#NUM!</v>
      </c>
      <c r="K172" s="93" t="e">
        <f t="shared" si="13"/>
        <v>#NUM!</v>
      </c>
      <c r="L172" s="93"/>
      <c r="M172" s="92">
        <f t="shared" si="14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3">
        <v>168</v>
      </c>
      <c r="I173" s="94" t="str">
        <f t="shared" si="11"/>
        <v/>
      </c>
      <c r="J173" s="93" t="e">
        <f t="shared" si="12"/>
        <v>#NUM!</v>
      </c>
      <c r="K173" s="93" t="e">
        <f t="shared" si="13"/>
        <v>#NUM!</v>
      </c>
      <c r="L173" s="93"/>
      <c r="M173" s="92">
        <f t="shared" si="14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1"/>
        <v/>
      </c>
      <c r="J174" s="93" t="e">
        <f t="shared" si="12"/>
        <v>#NUM!</v>
      </c>
      <c r="K174" s="93" t="e">
        <f t="shared" si="13"/>
        <v>#NUM!</v>
      </c>
      <c r="L174" s="93"/>
      <c r="M174" s="92">
        <f t="shared" si="14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3">
        <v>170</v>
      </c>
      <c r="I175" s="94" t="str">
        <f t="shared" si="11"/>
        <v/>
      </c>
      <c r="J175" s="93" t="e">
        <f t="shared" si="12"/>
        <v>#NUM!</v>
      </c>
      <c r="K175" s="93" t="e">
        <f t="shared" si="13"/>
        <v>#NUM!</v>
      </c>
      <c r="L175" s="93"/>
      <c r="M175" s="92">
        <f t="shared" si="14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1"/>
        <v/>
      </c>
      <c r="J176" s="93" t="e">
        <f t="shared" si="12"/>
        <v>#NUM!</v>
      </c>
      <c r="K176" s="93" t="e">
        <f t="shared" si="13"/>
        <v>#NUM!</v>
      </c>
      <c r="L176" s="93"/>
      <c r="M176" s="92">
        <f t="shared" si="14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3">
        <v>172</v>
      </c>
      <c r="I177" s="94" t="str">
        <f t="shared" si="11"/>
        <v/>
      </c>
      <c r="J177" s="93" t="e">
        <f t="shared" si="12"/>
        <v>#NUM!</v>
      </c>
      <c r="K177" s="93" t="e">
        <f t="shared" si="13"/>
        <v>#NUM!</v>
      </c>
      <c r="L177" s="93"/>
      <c r="M177" s="92">
        <f t="shared" si="14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1"/>
        <v/>
      </c>
      <c r="J178" s="93" t="e">
        <f t="shared" si="12"/>
        <v>#NUM!</v>
      </c>
      <c r="K178" s="93" t="e">
        <f t="shared" si="13"/>
        <v>#NUM!</v>
      </c>
      <c r="L178" s="93"/>
      <c r="M178" s="92">
        <f t="shared" si="14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3">
        <v>174</v>
      </c>
      <c r="I179" s="94" t="str">
        <f t="shared" si="11"/>
        <v/>
      </c>
      <c r="J179" s="93" t="e">
        <f t="shared" si="12"/>
        <v>#NUM!</v>
      </c>
      <c r="K179" s="93" t="e">
        <f t="shared" si="13"/>
        <v>#NUM!</v>
      </c>
      <c r="L179" s="93"/>
      <c r="M179" s="92">
        <f t="shared" si="14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1"/>
        <v/>
      </c>
      <c r="J180" s="93" t="e">
        <f t="shared" si="12"/>
        <v>#NUM!</v>
      </c>
      <c r="K180" s="93" t="e">
        <f t="shared" si="13"/>
        <v>#NUM!</v>
      </c>
      <c r="L180" s="93"/>
      <c r="M180" s="92">
        <f t="shared" si="14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3">
        <v>176</v>
      </c>
      <c r="I181" s="94" t="str">
        <f t="shared" si="11"/>
        <v/>
      </c>
      <c r="J181" s="93" t="e">
        <f t="shared" si="12"/>
        <v>#NUM!</v>
      </c>
      <c r="K181" s="93" t="e">
        <f t="shared" si="13"/>
        <v>#NUM!</v>
      </c>
      <c r="L181" s="93"/>
      <c r="M181" s="92">
        <f t="shared" si="14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1"/>
        <v/>
      </c>
      <c r="J182" s="93" t="e">
        <f t="shared" si="12"/>
        <v>#NUM!</v>
      </c>
      <c r="K182" s="93" t="e">
        <f t="shared" si="13"/>
        <v>#NUM!</v>
      </c>
      <c r="L182" s="93"/>
      <c r="M182" s="92">
        <f t="shared" si="14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3">
        <v>178</v>
      </c>
      <c r="I183" s="94" t="str">
        <f t="shared" si="11"/>
        <v/>
      </c>
      <c r="J183" s="93" t="e">
        <f t="shared" si="12"/>
        <v>#NUM!</v>
      </c>
      <c r="K183" s="93" t="e">
        <f t="shared" si="13"/>
        <v>#NUM!</v>
      </c>
      <c r="L183" s="93"/>
      <c r="M183" s="92">
        <f t="shared" si="14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1"/>
        <v/>
      </c>
      <c r="J184" s="93" t="e">
        <f t="shared" si="12"/>
        <v>#NUM!</v>
      </c>
      <c r="K184" s="93" t="e">
        <f t="shared" si="13"/>
        <v>#NUM!</v>
      </c>
      <c r="L184" s="93"/>
      <c r="M184" s="92">
        <f t="shared" si="14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3">
        <v>180</v>
      </c>
      <c r="I185" s="94" t="str">
        <f t="shared" si="11"/>
        <v/>
      </c>
      <c r="J185" s="93" t="e">
        <f t="shared" si="12"/>
        <v>#NUM!</v>
      </c>
      <c r="K185" s="93" t="e">
        <f t="shared" si="13"/>
        <v>#NUM!</v>
      </c>
      <c r="L185" s="93"/>
      <c r="M185" s="92">
        <f t="shared" si="14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1"/>
        <v/>
      </c>
      <c r="J186" s="93" t="e">
        <f t="shared" si="12"/>
        <v>#NUM!</v>
      </c>
      <c r="K186" s="93" t="e">
        <f t="shared" si="13"/>
        <v>#NUM!</v>
      </c>
      <c r="L186" s="93"/>
      <c r="M186" s="92">
        <f t="shared" si="14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3">
        <v>182</v>
      </c>
      <c r="I187" s="94" t="str">
        <f t="shared" si="11"/>
        <v/>
      </c>
      <c r="J187" s="93" t="e">
        <f t="shared" si="12"/>
        <v>#NUM!</v>
      </c>
      <c r="K187" s="93" t="e">
        <f t="shared" si="13"/>
        <v>#NUM!</v>
      </c>
      <c r="L187" s="93"/>
      <c r="M187" s="92">
        <f t="shared" si="14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1"/>
        <v/>
      </c>
      <c r="J188" s="93" t="e">
        <f t="shared" si="12"/>
        <v>#NUM!</v>
      </c>
      <c r="K188" s="93" t="e">
        <f t="shared" si="13"/>
        <v>#NUM!</v>
      </c>
      <c r="L188" s="93"/>
      <c r="M188" s="92">
        <f t="shared" si="14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3">
        <v>184</v>
      </c>
      <c r="I189" s="94" t="str">
        <f t="shared" si="11"/>
        <v/>
      </c>
      <c r="J189" s="93" t="e">
        <f t="shared" si="12"/>
        <v>#NUM!</v>
      </c>
      <c r="K189" s="93" t="e">
        <f t="shared" si="13"/>
        <v>#NUM!</v>
      </c>
      <c r="L189" s="93"/>
      <c r="M189" s="92">
        <f t="shared" si="14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1"/>
        <v/>
      </c>
      <c r="J190" s="93" t="e">
        <f t="shared" si="12"/>
        <v>#NUM!</v>
      </c>
      <c r="K190" s="93" t="e">
        <f t="shared" si="13"/>
        <v>#NUM!</v>
      </c>
      <c r="L190" s="93"/>
      <c r="M190" s="92">
        <f t="shared" si="14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3">
        <v>186</v>
      </c>
      <c r="I191" s="94" t="str">
        <f t="shared" si="11"/>
        <v/>
      </c>
      <c r="J191" s="93" t="e">
        <f t="shared" si="12"/>
        <v>#NUM!</v>
      </c>
      <c r="K191" s="93" t="e">
        <f t="shared" si="13"/>
        <v>#NUM!</v>
      </c>
      <c r="L191" s="93"/>
      <c r="M191" s="92">
        <f t="shared" si="14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1"/>
        <v/>
      </c>
      <c r="J192" s="93" t="e">
        <f t="shared" si="12"/>
        <v>#NUM!</v>
      </c>
      <c r="K192" s="93" t="e">
        <f t="shared" si="13"/>
        <v>#NUM!</v>
      </c>
      <c r="L192" s="93"/>
      <c r="M192" s="92">
        <f t="shared" si="14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3">
        <v>188</v>
      </c>
      <c r="I193" s="94" t="str">
        <f t="shared" si="11"/>
        <v/>
      </c>
      <c r="J193" s="93" t="e">
        <f t="shared" si="12"/>
        <v>#NUM!</v>
      </c>
      <c r="K193" s="93" t="e">
        <f t="shared" si="13"/>
        <v>#NUM!</v>
      </c>
      <c r="L193" s="93"/>
      <c r="M193" s="92">
        <f t="shared" si="14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1"/>
        <v/>
      </c>
      <c r="J194" s="93" t="e">
        <f t="shared" si="12"/>
        <v>#NUM!</v>
      </c>
      <c r="K194" s="93" t="e">
        <f t="shared" si="13"/>
        <v>#NUM!</v>
      </c>
      <c r="L194" s="93"/>
      <c r="M194" s="92">
        <f t="shared" si="14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3">
        <v>190</v>
      </c>
      <c r="I195" s="94" t="str">
        <f t="shared" si="11"/>
        <v/>
      </c>
      <c r="J195" s="93" t="e">
        <f t="shared" si="12"/>
        <v>#NUM!</v>
      </c>
      <c r="K195" s="93" t="e">
        <f t="shared" si="13"/>
        <v>#NUM!</v>
      </c>
      <c r="L195" s="93"/>
      <c r="M195" s="92">
        <f t="shared" si="14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1"/>
        <v/>
      </c>
      <c r="J196" s="93" t="e">
        <f t="shared" si="12"/>
        <v>#NUM!</v>
      </c>
      <c r="K196" s="93" t="e">
        <f t="shared" si="13"/>
        <v>#NUM!</v>
      </c>
      <c r="L196" s="93"/>
      <c r="M196" s="92">
        <f t="shared" si="14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3">
        <v>192</v>
      </c>
      <c r="I197" s="94" t="str">
        <f t="shared" si="11"/>
        <v/>
      </c>
      <c r="J197" s="93" t="e">
        <f t="shared" si="12"/>
        <v>#NUM!</v>
      </c>
      <c r="K197" s="93" t="e">
        <f t="shared" si="13"/>
        <v>#NUM!</v>
      </c>
      <c r="L197" s="93"/>
      <c r="M197" s="92">
        <f t="shared" si="14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15">IF(H198&lt;$H$2+1,($I$2-($I$2-1)*(LOG(H198)/LOG($H$2))),"")</f>
        <v/>
      </c>
      <c r="J198" s="93" t="e">
        <f t="shared" ref="J198:J261" si="16">INT(LOG($H$2,2))-ROUNDUP(LOG(H198,2),0)+IF(OR($H$2=1,$H$2=2,$H$2=4,$H$2=8,$H$2=16,$H$2=32,$H$2=64,$H$2=128,$H$2=256),0,1)</f>
        <v>#NUM!</v>
      </c>
      <c r="K198" s="93" t="e">
        <f t="shared" ref="K198:K261" si="17">J198*$J$2</f>
        <v>#NUM!</v>
      </c>
      <c r="L198" s="93"/>
      <c r="M198" s="92">
        <f t="shared" ref="M198:M261" si="18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3">
        <v>194</v>
      </c>
      <c r="I199" s="94" t="str">
        <f t="shared" si="15"/>
        <v/>
      </c>
      <c r="J199" s="93" t="e">
        <f t="shared" si="16"/>
        <v>#NUM!</v>
      </c>
      <c r="K199" s="93" t="e">
        <f t="shared" si="17"/>
        <v>#NUM!</v>
      </c>
      <c r="L199" s="93"/>
      <c r="M199" s="92">
        <f t="shared" si="18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15"/>
        <v/>
      </c>
      <c r="J200" s="93" t="e">
        <f t="shared" si="16"/>
        <v>#NUM!</v>
      </c>
      <c r="K200" s="93" t="e">
        <f t="shared" si="17"/>
        <v>#NUM!</v>
      </c>
      <c r="L200" s="93"/>
      <c r="M200" s="92">
        <f t="shared" si="18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3">
        <v>196</v>
      </c>
      <c r="I201" s="94" t="str">
        <f t="shared" si="15"/>
        <v/>
      </c>
      <c r="J201" s="93" t="e">
        <f t="shared" si="16"/>
        <v>#NUM!</v>
      </c>
      <c r="K201" s="93" t="e">
        <f t="shared" si="17"/>
        <v>#NUM!</v>
      </c>
      <c r="L201" s="93"/>
      <c r="M201" s="92">
        <f t="shared" si="18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15"/>
        <v/>
      </c>
      <c r="J202" s="93" t="e">
        <f t="shared" si="16"/>
        <v>#NUM!</v>
      </c>
      <c r="K202" s="93" t="e">
        <f t="shared" si="17"/>
        <v>#NUM!</v>
      </c>
      <c r="L202" s="93"/>
      <c r="M202" s="92">
        <f t="shared" si="18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3">
        <v>198</v>
      </c>
      <c r="I203" s="94" t="str">
        <f t="shared" si="15"/>
        <v/>
      </c>
      <c r="J203" s="93" t="e">
        <f t="shared" si="16"/>
        <v>#NUM!</v>
      </c>
      <c r="K203" s="93" t="e">
        <f t="shared" si="17"/>
        <v>#NUM!</v>
      </c>
      <c r="L203" s="93"/>
      <c r="M203" s="92">
        <f t="shared" si="18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15"/>
        <v/>
      </c>
      <c r="J204" s="93" t="e">
        <f t="shared" si="16"/>
        <v>#NUM!</v>
      </c>
      <c r="K204" s="93" t="e">
        <f t="shared" si="17"/>
        <v>#NUM!</v>
      </c>
      <c r="L204" s="93"/>
      <c r="M204" s="92">
        <f t="shared" si="18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3">
        <v>200</v>
      </c>
      <c r="I205" s="94" t="str">
        <f t="shared" si="15"/>
        <v/>
      </c>
      <c r="J205" s="93" t="e">
        <f t="shared" si="16"/>
        <v>#NUM!</v>
      </c>
      <c r="K205" s="93" t="e">
        <f t="shared" si="17"/>
        <v>#NUM!</v>
      </c>
      <c r="L205" s="93"/>
      <c r="M205" s="92">
        <f t="shared" si="18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15"/>
        <v/>
      </c>
      <c r="J206" s="93" t="e">
        <f t="shared" si="16"/>
        <v>#NUM!</v>
      </c>
      <c r="K206" s="93" t="e">
        <f t="shared" si="17"/>
        <v>#NUM!</v>
      </c>
      <c r="L206" s="93"/>
      <c r="M206" s="92">
        <f t="shared" si="18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3">
        <v>202</v>
      </c>
      <c r="I207" s="94" t="str">
        <f t="shared" si="15"/>
        <v/>
      </c>
      <c r="J207" s="93" t="e">
        <f t="shared" si="16"/>
        <v>#NUM!</v>
      </c>
      <c r="K207" s="93" t="e">
        <f t="shared" si="17"/>
        <v>#NUM!</v>
      </c>
      <c r="L207" s="93"/>
      <c r="M207" s="92">
        <f t="shared" si="18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15"/>
        <v/>
      </c>
      <c r="J208" s="93" t="e">
        <f t="shared" si="16"/>
        <v>#NUM!</v>
      </c>
      <c r="K208" s="93" t="e">
        <f t="shared" si="17"/>
        <v>#NUM!</v>
      </c>
      <c r="L208" s="93"/>
      <c r="M208" s="92">
        <f t="shared" si="18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3">
        <v>204</v>
      </c>
      <c r="I209" s="94" t="str">
        <f t="shared" si="15"/>
        <v/>
      </c>
      <c r="J209" s="93" t="e">
        <f t="shared" si="16"/>
        <v>#NUM!</v>
      </c>
      <c r="K209" s="93" t="e">
        <f t="shared" si="17"/>
        <v>#NUM!</v>
      </c>
      <c r="L209" s="93"/>
      <c r="M209" s="92">
        <f t="shared" si="18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15"/>
        <v/>
      </c>
      <c r="J210" s="93" t="e">
        <f t="shared" si="16"/>
        <v>#NUM!</v>
      </c>
      <c r="K210" s="93" t="e">
        <f t="shared" si="17"/>
        <v>#NUM!</v>
      </c>
      <c r="L210" s="93"/>
      <c r="M210" s="92">
        <f t="shared" si="18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3">
        <v>206</v>
      </c>
      <c r="I211" s="94" t="str">
        <f t="shared" si="15"/>
        <v/>
      </c>
      <c r="J211" s="93" t="e">
        <f t="shared" si="16"/>
        <v>#NUM!</v>
      </c>
      <c r="K211" s="93" t="e">
        <f t="shared" si="17"/>
        <v>#NUM!</v>
      </c>
      <c r="L211" s="93"/>
      <c r="M211" s="92">
        <f t="shared" si="18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15"/>
        <v/>
      </c>
      <c r="J212" s="93" t="e">
        <f t="shared" si="16"/>
        <v>#NUM!</v>
      </c>
      <c r="K212" s="93" t="e">
        <f t="shared" si="17"/>
        <v>#NUM!</v>
      </c>
      <c r="L212" s="93"/>
      <c r="M212" s="92">
        <f t="shared" si="18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3">
        <v>208</v>
      </c>
      <c r="I213" s="94" t="str">
        <f t="shared" si="15"/>
        <v/>
      </c>
      <c r="J213" s="93" t="e">
        <f t="shared" si="16"/>
        <v>#NUM!</v>
      </c>
      <c r="K213" s="93" t="e">
        <f t="shared" si="17"/>
        <v>#NUM!</v>
      </c>
      <c r="L213" s="93"/>
      <c r="M213" s="92">
        <f t="shared" si="18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15"/>
        <v/>
      </c>
      <c r="J214" s="93" t="e">
        <f t="shared" si="16"/>
        <v>#NUM!</v>
      </c>
      <c r="K214" s="93" t="e">
        <f t="shared" si="17"/>
        <v>#NUM!</v>
      </c>
      <c r="L214" s="93"/>
      <c r="M214" s="92">
        <f t="shared" si="18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3">
        <v>210</v>
      </c>
      <c r="I215" s="94" t="str">
        <f t="shared" si="15"/>
        <v/>
      </c>
      <c r="J215" s="93" t="e">
        <f t="shared" si="16"/>
        <v>#NUM!</v>
      </c>
      <c r="K215" s="93" t="e">
        <f t="shared" si="17"/>
        <v>#NUM!</v>
      </c>
      <c r="L215" s="93"/>
      <c r="M215" s="92">
        <f t="shared" si="18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15"/>
        <v/>
      </c>
      <c r="J216" s="93" t="e">
        <f t="shared" si="16"/>
        <v>#NUM!</v>
      </c>
      <c r="K216" s="93" t="e">
        <f t="shared" si="17"/>
        <v>#NUM!</v>
      </c>
      <c r="L216" s="93"/>
      <c r="M216" s="92">
        <f t="shared" si="18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3">
        <v>212</v>
      </c>
      <c r="I217" s="94" t="str">
        <f t="shared" si="15"/>
        <v/>
      </c>
      <c r="J217" s="93" t="e">
        <f t="shared" si="16"/>
        <v>#NUM!</v>
      </c>
      <c r="K217" s="93" t="e">
        <f t="shared" si="17"/>
        <v>#NUM!</v>
      </c>
      <c r="L217" s="93"/>
      <c r="M217" s="92">
        <f t="shared" si="18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15"/>
        <v/>
      </c>
      <c r="J218" s="93" t="e">
        <f t="shared" si="16"/>
        <v>#NUM!</v>
      </c>
      <c r="K218" s="93" t="e">
        <f t="shared" si="17"/>
        <v>#NUM!</v>
      </c>
      <c r="L218" s="93"/>
      <c r="M218" s="92">
        <f t="shared" si="18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3">
        <v>214</v>
      </c>
      <c r="I219" s="94" t="str">
        <f t="shared" si="15"/>
        <v/>
      </c>
      <c r="J219" s="93" t="e">
        <f t="shared" si="16"/>
        <v>#NUM!</v>
      </c>
      <c r="K219" s="93" t="e">
        <f t="shared" si="17"/>
        <v>#NUM!</v>
      </c>
      <c r="L219" s="93"/>
      <c r="M219" s="92">
        <f t="shared" si="18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15"/>
        <v/>
      </c>
      <c r="J220" s="93" t="e">
        <f t="shared" si="16"/>
        <v>#NUM!</v>
      </c>
      <c r="K220" s="93" t="e">
        <f t="shared" si="17"/>
        <v>#NUM!</v>
      </c>
      <c r="L220" s="93"/>
      <c r="M220" s="92">
        <f t="shared" si="18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3">
        <v>216</v>
      </c>
      <c r="I221" s="94" t="str">
        <f t="shared" si="15"/>
        <v/>
      </c>
      <c r="J221" s="93" t="e">
        <f t="shared" si="16"/>
        <v>#NUM!</v>
      </c>
      <c r="K221" s="93" t="e">
        <f t="shared" si="17"/>
        <v>#NUM!</v>
      </c>
      <c r="L221" s="93"/>
      <c r="M221" s="92">
        <f t="shared" si="18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15"/>
        <v/>
      </c>
      <c r="J222" s="93" t="e">
        <f t="shared" si="16"/>
        <v>#NUM!</v>
      </c>
      <c r="K222" s="93" t="e">
        <f t="shared" si="17"/>
        <v>#NUM!</v>
      </c>
      <c r="L222" s="93"/>
      <c r="M222" s="92">
        <f t="shared" si="18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3">
        <v>218</v>
      </c>
      <c r="I223" s="94" t="str">
        <f t="shared" si="15"/>
        <v/>
      </c>
      <c r="J223" s="93" t="e">
        <f t="shared" si="16"/>
        <v>#NUM!</v>
      </c>
      <c r="K223" s="93" t="e">
        <f t="shared" si="17"/>
        <v>#NUM!</v>
      </c>
      <c r="L223" s="93"/>
      <c r="M223" s="92">
        <f t="shared" si="18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15"/>
        <v/>
      </c>
      <c r="J224" s="93" t="e">
        <f t="shared" si="16"/>
        <v>#NUM!</v>
      </c>
      <c r="K224" s="93" t="e">
        <f t="shared" si="17"/>
        <v>#NUM!</v>
      </c>
      <c r="L224" s="93"/>
      <c r="M224" s="92">
        <f t="shared" si="18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3">
        <v>220</v>
      </c>
      <c r="I225" s="94" t="str">
        <f t="shared" si="15"/>
        <v/>
      </c>
      <c r="J225" s="93" t="e">
        <f t="shared" si="16"/>
        <v>#NUM!</v>
      </c>
      <c r="K225" s="93" t="e">
        <f t="shared" si="17"/>
        <v>#NUM!</v>
      </c>
      <c r="L225" s="93"/>
      <c r="M225" s="92">
        <f t="shared" si="18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15"/>
        <v/>
      </c>
      <c r="J226" s="93" t="e">
        <f t="shared" si="16"/>
        <v>#NUM!</v>
      </c>
      <c r="K226" s="93" t="e">
        <f t="shared" si="17"/>
        <v>#NUM!</v>
      </c>
      <c r="L226" s="93"/>
      <c r="M226" s="92">
        <f t="shared" si="18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3">
        <v>222</v>
      </c>
      <c r="I227" s="94" t="str">
        <f t="shared" si="15"/>
        <v/>
      </c>
      <c r="J227" s="93" t="e">
        <f t="shared" si="16"/>
        <v>#NUM!</v>
      </c>
      <c r="K227" s="93" t="e">
        <f t="shared" si="17"/>
        <v>#NUM!</v>
      </c>
      <c r="L227" s="93"/>
      <c r="M227" s="92">
        <f t="shared" si="18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15"/>
        <v/>
      </c>
      <c r="J228" s="93" t="e">
        <f t="shared" si="16"/>
        <v>#NUM!</v>
      </c>
      <c r="K228" s="93" t="e">
        <f t="shared" si="17"/>
        <v>#NUM!</v>
      </c>
      <c r="L228" s="93"/>
      <c r="M228" s="92">
        <f t="shared" si="18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3">
        <v>224</v>
      </c>
      <c r="I229" s="94" t="str">
        <f t="shared" si="15"/>
        <v/>
      </c>
      <c r="J229" s="93" t="e">
        <f t="shared" si="16"/>
        <v>#NUM!</v>
      </c>
      <c r="K229" s="93" t="e">
        <f t="shared" si="17"/>
        <v>#NUM!</v>
      </c>
      <c r="L229" s="93"/>
      <c r="M229" s="92">
        <f t="shared" si="18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15"/>
        <v/>
      </c>
      <c r="J230" s="93" t="e">
        <f t="shared" si="16"/>
        <v>#NUM!</v>
      </c>
      <c r="K230" s="93" t="e">
        <f t="shared" si="17"/>
        <v>#NUM!</v>
      </c>
      <c r="L230" s="93"/>
      <c r="M230" s="92">
        <f t="shared" si="18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3">
        <v>226</v>
      </c>
      <c r="I231" s="94" t="str">
        <f t="shared" si="15"/>
        <v/>
      </c>
      <c r="J231" s="93" t="e">
        <f t="shared" si="16"/>
        <v>#NUM!</v>
      </c>
      <c r="K231" s="93" t="e">
        <f t="shared" si="17"/>
        <v>#NUM!</v>
      </c>
      <c r="L231" s="93"/>
      <c r="M231" s="92">
        <f t="shared" si="18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15"/>
        <v/>
      </c>
      <c r="J232" s="93" t="e">
        <f t="shared" si="16"/>
        <v>#NUM!</v>
      </c>
      <c r="K232" s="93" t="e">
        <f t="shared" si="17"/>
        <v>#NUM!</v>
      </c>
      <c r="L232" s="93"/>
      <c r="M232" s="92">
        <f t="shared" si="18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3">
        <v>228</v>
      </c>
      <c r="I233" s="94" t="str">
        <f t="shared" si="15"/>
        <v/>
      </c>
      <c r="J233" s="93" t="e">
        <f t="shared" si="16"/>
        <v>#NUM!</v>
      </c>
      <c r="K233" s="93" t="e">
        <f t="shared" si="17"/>
        <v>#NUM!</v>
      </c>
      <c r="L233" s="93"/>
      <c r="M233" s="92">
        <f t="shared" si="18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15"/>
        <v/>
      </c>
      <c r="J234" s="93" t="e">
        <f t="shared" si="16"/>
        <v>#NUM!</v>
      </c>
      <c r="K234" s="93" t="e">
        <f t="shared" si="17"/>
        <v>#NUM!</v>
      </c>
      <c r="L234" s="93"/>
      <c r="M234" s="92">
        <f t="shared" si="18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3">
        <v>230</v>
      </c>
      <c r="I235" s="94" t="str">
        <f t="shared" si="15"/>
        <v/>
      </c>
      <c r="J235" s="93" t="e">
        <f t="shared" si="16"/>
        <v>#NUM!</v>
      </c>
      <c r="K235" s="93" t="e">
        <f t="shared" si="17"/>
        <v>#NUM!</v>
      </c>
      <c r="L235" s="93"/>
      <c r="M235" s="92">
        <f t="shared" si="18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15"/>
        <v/>
      </c>
      <c r="J236" s="93" t="e">
        <f t="shared" si="16"/>
        <v>#NUM!</v>
      </c>
      <c r="K236" s="93" t="e">
        <f t="shared" si="17"/>
        <v>#NUM!</v>
      </c>
      <c r="L236" s="93"/>
      <c r="M236" s="92">
        <f t="shared" si="18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3">
        <v>232</v>
      </c>
      <c r="I237" s="94" t="str">
        <f t="shared" si="15"/>
        <v/>
      </c>
      <c r="J237" s="93" t="e">
        <f t="shared" si="16"/>
        <v>#NUM!</v>
      </c>
      <c r="K237" s="93" t="e">
        <f t="shared" si="17"/>
        <v>#NUM!</v>
      </c>
      <c r="L237" s="93"/>
      <c r="M237" s="92">
        <f t="shared" si="18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15"/>
        <v/>
      </c>
      <c r="J238" s="93" t="e">
        <f t="shared" si="16"/>
        <v>#NUM!</v>
      </c>
      <c r="K238" s="93" t="e">
        <f t="shared" si="17"/>
        <v>#NUM!</v>
      </c>
      <c r="L238" s="93"/>
      <c r="M238" s="92">
        <f t="shared" si="18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3">
        <v>234</v>
      </c>
      <c r="I239" s="94" t="str">
        <f t="shared" si="15"/>
        <v/>
      </c>
      <c r="J239" s="93" t="e">
        <f t="shared" si="16"/>
        <v>#NUM!</v>
      </c>
      <c r="K239" s="93" t="e">
        <f t="shared" si="17"/>
        <v>#NUM!</v>
      </c>
      <c r="L239" s="93"/>
      <c r="M239" s="92">
        <f t="shared" si="18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15"/>
        <v/>
      </c>
      <c r="J240" s="93" t="e">
        <f t="shared" si="16"/>
        <v>#NUM!</v>
      </c>
      <c r="K240" s="93" t="e">
        <f t="shared" si="17"/>
        <v>#NUM!</v>
      </c>
      <c r="L240" s="93"/>
      <c r="M240" s="92">
        <f t="shared" si="18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3">
        <v>236</v>
      </c>
      <c r="I241" s="94" t="str">
        <f t="shared" si="15"/>
        <v/>
      </c>
      <c r="J241" s="93" t="e">
        <f t="shared" si="16"/>
        <v>#NUM!</v>
      </c>
      <c r="K241" s="93" t="e">
        <f t="shared" si="17"/>
        <v>#NUM!</v>
      </c>
      <c r="L241" s="93"/>
      <c r="M241" s="92">
        <f t="shared" si="18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15"/>
        <v/>
      </c>
      <c r="J242" s="93" t="e">
        <f t="shared" si="16"/>
        <v>#NUM!</v>
      </c>
      <c r="K242" s="93" t="e">
        <f t="shared" si="17"/>
        <v>#NUM!</v>
      </c>
      <c r="L242" s="93"/>
      <c r="M242" s="92">
        <f t="shared" si="18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3">
        <v>238</v>
      </c>
      <c r="I243" s="94" t="str">
        <f t="shared" si="15"/>
        <v/>
      </c>
      <c r="J243" s="93" t="e">
        <f t="shared" si="16"/>
        <v>#NUM!</v>
      </c>
      <c r="K243" s="93" t="e">
        <f t="shared" si="17"/>
        <v>#NUM!</v>
      </c>
      <c r="L243" s="93"/>
      <c r="M243" s="92">
        <f t="shared" si="18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15"/>
        <v/>
      </c>
      <c r="J244" s="93" t="e">
        <f t="shared" si="16"/>
        <v>#NUM!</v>
      </c>
      <c r="K244" s="93" t="e">
        <f t="shared" si="17"/>
        <v>#NUM!</v>
      </c>
      <c r="L244" s="93"/>
      <c r="M244" s="92">
        <f t="shared" si="18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3">
        <v>240</v>
      </c>
      <c r="I245" s="94" t="str">
        <f t="shared" si="15"/>
        <v/>
      </c>
      <c r="J245" s="93" t="e">
        <f t="shared" si="16"/>
        <v>#NUM!</v>
      </c>
      <c r="K245" s="93" t="e">
        <f t="shared" si="17"/>
        <v>#NUM!</v>
      </c>
      <c r="L245" s="93"/>
      <c r="M245" s="92">
        <f t="shared" si="18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15"/>
        <v/>
      </c>
      <c r="J246" s="93" t="e">
        <f t="shared" si="16"/>
        <v>#NUM!</v>
      </c>
      <c r="K246" s="93" t="e">
        <f t="shared" si="17"/>
        <v>#NUM!</v>
      </c>
      <c r="L246" s="93"/>
      <c r="M246" s="92">
        <f t="shared" si="18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3">
        <v>242</v>
      </c>
      <c r="I247" s="94" t="str">
        <f t="shared" si="15"/>
        <v/>
      </c>
      <c r="J247" s="93" t="e">
        <f t="shared" si="16"/>
        <v>#NUM!</v>
      </c>
      <c r="K247" s="93" t="e">
        <f t="shared" si="17"/>
        <v>#NUM!</v>
      </c>
      <c r="L247" s="93"/>
      <c r="M247" s="92">
        <f t="shared" si="18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15"/>
        <v/>
      </c>
      <c r="J248" s="93" t="e">
        <f t="shared" si="16"/>
        <v>#NUM!</v>
      </c>
      <c r="K248" s="93" t="e">
        <f t="shared" si="17"/>
        <v>#NUM!</v>
      </c>
      <c r="L248" s="93"/>
      <c r="M248" s="92">
        <f t="shared" si="18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3">
        <v>244</v>
      </c>
      <c r="I249" s="94" t="str">
        <f t="shared" si="15"/>
        <v/>
      </c>
      <c r="J249" s="93" t="e">
        <f t="shared" si="16"/>
        <v>#NUM!</v>
      </c>
      <c r="K249" s="93" t="e">
        <f t="shared" si="17"/>
        <v>#NUM!</v>
      </c>
      <c r="L249" s="93"/>
      <c r="M249" s="92">
        <f t="shared" si="18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15"/>
        <v/>
      </c>
      <c r="J250" s="93" t="e">
        <f t="shared" si="16"/>
        <v>#NUM!</v>
      </c>
      <c r="K250" s="93" t="e">
        <f t="shared" si="17"/>
        <v>#NUM!</v>
      </c>
      <c r="L250" s="93"/>
      <c r="M250" s="92">
        <f t="shared" si="18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3">
        <v>246</v>
      </c>
      <c r="I251" s="94" t="str">
        <f t="shared" si="15"/>
        <v/>
      </c>
      <c r="J251" s="93" t="e">
        <f t="shared" si="16"/>
        <v>#NUM!</v>
      </c>
      <c r="K251" s="93" t="e">
        <f t="shared" si="17"/>
        <v>#NUM!</v>
      </c>
      <c r="L251" s="93"/>
      <c r="M251" s="92">
        <f t="shared" si="18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15"/>
        <v/>
      </c>
      <c r="J252" s="93" t="e">
        <f t="shared" si="16"/>
        <v>#NUM!</v>
      </c>
      <c r="K252" s="93" t="e">
        <f t="shared" si="17"/>
        <v>#NUM!</v>
      </c>
      <c r="L252" s="93"/>
      <c r="M252" s="92">
        <f t="shared" si="18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3">
        <v>248</v>
      </c>
      <c r="I253" s="94" t="str">
        <f t="shared" si="15"/>
        <v/>
      </c>
      <c r="J253" s="93" t="e">
        <f t="shared" si="16"/>
        <v>#NUM!</v>
      </c>
      <c r="K253" s="93" t="e">
        <f t="shared" si="17"/>
        <v>#NUM!</v>
      </c>
      <c r="L253" s="93"/>
      <c r="M253" s="92">
        <f t="shared" si="18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15"/>
        <v/>
      </c>
      <c r="J254" s="93" t="e">
        <f t="shared" si="16"/>
        <v>#NUM!</v>
      </c>
      <c r="K254" s="93" t="e">
        <f t="shared" si="17"/>
        <v>#NUM!</v>
      </c>
      <c r="L254" s="93"/>
      <c r="M254" s="92">
        <f t="shared" si="18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3">
        <v>250</v>
      </c>
      <c r="I255" s="94" t="str">
        <f t="shared" si="15"/>
        <v/>
      </c>
      <c r="J255" s="93" t="e">
        <f t="shared" si="16"/>
        <v>#NUM!</v>
      </c>
      <c r="K255" s="93" t="e">
        <f t="shared" si="17"/>
        <v>#NUM!</v>
      </c>
      <c r="L255" s="93"/>
      <c r="M255" s="92">
        <f t="shared" si="18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15"/>
        <v/>
      </c>
      <c r="J256" s="93" t="e">
        <f t="shared" si="16"/>
        <v>#NUM!</v>
      </c>
      <c r="K256" s="93" t="e">
        <f t="shared" si="17"/>
        <v>#NUM!</v>
      </c>
      <c r="L256" s="93"/>
      <c r="M256" s="92">
        <f t="shared" si="18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3">
        <v>252</v>
      </c>
      <c r="I257" s="94" t="str">
        <f t="shared" si="15"/>
        <v/>
      </c>
      <c r="J257" s="93" t="e">
        <f t="shared" si="16"/>
        <v>#NUM!</v>
      </c>
      <c r="K257" s="93" t="e">
        <f t="shared" si="17"/>
        <v>#NUM!</v>
      </c>
      <c r="L257" s="93"/>
      <c r="M257" s="92">
        <f t="shared" si="18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15"/>
        <v/>
      </c>
      <c r="J258" s="93" t="e">
        <f t="shared" si="16"/>
        <v>#NUM!</v>
      </c>
      <c r="K258" s="93" t="e">
        <f t="shared" si="17"/>
        <v>#NUM!</v>
      </c>
      <c r="L258" s="93"/>
      <c r="M258" s="92">
        <f t="shared" si="18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3">
        <v>254</v>
      </c>
      <c r="I259" s="94" t="str">
        <f t="shared" si="15"/>
        <v/>
      </c>
      <c r="J259" s="93" t="e">
        <f t="shared" si="16"/>
        <v>#NUM!</v>
      </c>
      <c r="K259" s="93" t="e">
        <f t="shared" si="17"/>
        <v>#NUM!</v>
      </c>
      <c r="L259" s="93"/>
      <c r="M259" s="92">
        <f t="shared" si="18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15"/>
        <v/>
      </c>
      <c r="J260" s="93" t="e">
        <f t="shared" si="16"/>
        <v>#NUM!</v>
      </c>
      <c r="K260" s="93" t="e">
        <f t="shared" si="17"/>
        <v>#NUM!</v>
      </c>
      <c r="L260" s="93"/>
      <c r="M260" s="92">
        <f t="shared" si="18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3">
        <v>256</v>
      </c>
      <c r="I261" s="94" t="str">
        <f t="shared" si="15"/>
        <v/>
      </c>
      <c r="J261" s="93" t="e">
        <f t="shared" si="16"/>
        <v>#NUM!</v>
      </c>
      <c r="K261" s="93" t="e">
        <f t="shared" si="17"/>
        <v>#NUM!</v>
      </c>
      <c r="L261" s="93"/>
      <c r="M261" s="92">
        <f t="shared" si="18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19">IF(H262&lt;$H$2+1,($I$2-($I$2-1)*(LOG(H262)/LOG($H$2))),"")</f>
        <v/>
      </c>
      <c r="J262" s="93" t="e">
        <f t="shared" ref="J262:J325" si="20">INT(LOG($H$2,2))-ROUNDUP(LOG(H262,2),0)+IF(OR($H$2=1,$H$2=2,$H$2=4,$H$2=8,$H$2=16,$H$2=32,$H$2=64,$H$2=128,$H$2=256),0,1)</f>
        <v>#NUM!</v>
      </c>
      <c r="K262" s="93" t="e">
        <f t="shared" ref="K262:K305" si="21">J262*$J$2</f>
        <v>#NUM!</v>
      </c>
      <c r="L262" s="93"/>
      <c r="M262" s="92">
        <f t="shared" ref="M262:M305" si="22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3">
        <v>258</v>
      </c>
      <c r="I263" s="94" t="str">
        <f t="shared" si="19"/>
        <v/>
      </c>
      <c r="J263" s="93" t="e">
        <f t="shared" si="20"/>
        <v>#NUM!</v>
      </c>
      <c r="K263" s="93" t="e">
        <f t="shared" si="21"/>
        <v>#NUM!</v>
      </c>
      <c r="L263" s="93"/>
      <c r="M263" s="92">
        <f t="shared" si="22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19"/>
        <v/>
      </c>
      <c r="J264" s="93" t="e">
        <f t="shared" si="20"/>
        <v>#NUM!</v>
      </c>
      <c r="K264" s="93" t="e">
        <f t="shared" si="21"/>
        <v>#NUM!</v>
      </c>
      <c r="L264" s="93"/>
      <c r="M264" s="92">
        <f t="shared" si="22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3">
        <v>260</v>
      </c>
      <c r="I265" s="94" t="str">
        <f t="shared" si="19"/>
        <v/>
      </c>
      <c r="J265" s="93" t="e">
        <f t="shared" si="20"/>
        <v>#NUM!</v>
      </c>
      <c r="K265" s="93" t="e">
        <f t="shared" si="21"/>
        <v>#NUM!</v>
      </c>
      <c r="L265" s="93"/>
      <c r="M265" s="92">
        <f t="shared" si="22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19"/>
        <v/>
      </c>
      <c r="J266" s="93" t="e">
        <f t="shared" si="20"/>
        <v>#NUM!</v>
      </c>
      <c r="K266" s="93" t="e">
        <f t="shared" si="21"/>
        <v>#NUM!</v>
      </c>
      <c r="L266" s="93"/>
      <c r="M266" s="92">
        <f t="shared" si="22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3">
        <v>262</v>
      </c>
      <c r="I267" s="94" t="str">
        <f t="shared" si="19"/>
        <v/>
      </c>
      <c r="J267" s="93" t="e">
        <f t="shared" si="20"/>
        <v>#NUM!</v>
      </c>
      <c r="K267" s="93" t="e">
        <f t="shared" si="21"/>
        <v>#NUM!</v>
      </c>
      <c r="L267" s="93"/>
      <c r="M267" s="92">
        <f t="shared" si="22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19"/>
        <v/>
      </c>
      <c r="J268" s="93" t="e">
        <f t="shared" si="20"/>
        <v>#NUM!</v>
      </c>
      <c r="K268" s="93" t="e">
        <f t="shared" si="21"/>
        <v>#NUM!</v>
      </c>
      <c r="L268" s="93"/>
      <c r="M268" s="92">
        <f t="shared" si="22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3">
        <v>264</v>
      </c>
      <c r="I269" s="94" t="str">
        <f t="shared" si="19"/>
        <v/>
      </c>
      <c r="J269" s="93" t="e">
        <f t="shared" si="20"/>
        <v>#NUM!</v>
      </c>
      <c r="K269" s="93" t="e">
        <f t="shared" si="21"/>
        <v>#NUM!</v>
      </c>
      <c r="L269" s="93"/>
      <c r="M269" s="92">
        <f t="shared" si="22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19"/>
        <v/>
      </c>
      <c r="J270" s="93" t="e">
        <f t="shared" si="20"/>
        <v>#NUM!</v>
      </c>
      <c r="K270" s="93" t="e">
        <f t="shared" si="21"/>
        <v>#NUM!</v>
      </c>
      <c r="L270" s="93"/>
      <c r="M270" s="92">
        <f t="shared" si="22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3">
        <v>266</v>
      </c>
      <c r="I271" s="94" t="str">
        <f t="shared" si="19"/>
        <v/>
      </c>
      <c r="J271" s="93" t="e">
        <f t="shared" si="20"/>
        <v>#NUM!</v>
      </c>
      <c r="K271" s="93" t="e">
        <f t="shared" si="21"/>
        <v>#NUM!</v>
      </c>
      <c r="L271" s="93"/>
      <c r="M271" s="92">
        <f t="shared" si="22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19"/>
        <v/>
      </c>
      <c r="J272" s="93" t="e">
        <f t="shared" si="20"/>
        <v>#NUM!</v>
      </c>
      <c r="K272" s="93" t="e">
        <f t="shared" si="21"/>
        <v>#NUM!</v>
      </c>
      <c r="L272" s="93"/>
      <c r="M272" s="92">
        <f t="shared" si="22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3">
        <v>268</v>
      </c>
      <c r="I273" s="94" t="str">
        <f t="shared" si="19"/>
        <v/>
      </c>
      <c r="J273" s="93" t="e">
        <f t="shared" si="20"/>
        <v>#NUM!</v>
      </c>
      <c r="K273" s="93" t="e">
        <f t="shared" si="21"/>
        <v>#NUM!</v>
      </c>
      <c r="L273" s="93"/>
      <c r="M273" s="92">
        <f t="shared" si="22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19"/>
        <v/>
      </c>
      <c r="J274" s="93" t="e">
        <f t="shared" si="20"/>
        <v>#NUM!</v>
      </c>
      <c r="K274" s="93" t="e">
        <f t="shared" si="21"/>
        <v>#NUM!</v>
      </c>
      <c r="L274" s="93"/>
      <c r="M274" s="92">
        <f t="shared" si="22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3">
        <v>270</v>
      </c>
      <c r="I275" s="94" t="str">
        <f t="shared" si="19"/>
        <v/>
      </c>
      <c r="J275" s="93" t="e">
        <f t="shared" si="20"/>
        <v>#NUM!</v>
      </c>
      <c r="K275" s="93" t="e">
        <f t="shared" si="21"/>
        <v>#NUM!</v>
      </c>
      <c r="L275" s="93"/>
      <c r="M275" s="92">
        <f t="shared" si="22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19"/>
        <v/>
      </c>
      <c r="J276" s="93" t="e">
        <f t="shared" si="20"/>
        <v>#NUM!</v>
      </c>
      <c r="K276" s="93" t="e">
        <f t="shared" si="21"/>
        <v>#NUM!</v>
      </c>
      <c r="L276" s="93"/>
      <c r="M276" s="92">
        <f t="shared" si="22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3">
        <v>272</v>
      </c>
      <c r="I277" s="94" t="str">
        <f t="shared" si="19"/>
        <v/>
      </c>
      <c r="J277" s="93" t="e">
        <f t="shared" si="20"/>
        <v>#NUM!</v>
      </c>
      <c r="K277" s="93" t="e">
        <f t="shared" si="21"/>
        <v>#NUM!</v>
      </c>
      <c r="L277" s="93"/>
      <c r="M277" s="92">
        <f t="shared" si="22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19"/>
        <v/>
      </c>
      <c r="J278" s="93" t="e">
        <f t="shared" si="20"/>
        <v>#NUM!</v>
      </c>
      <c r="K278" s="93" t="e">
        <f t="shared" si="21"/>
        <v>#NUM!</v>
      </c>
      <c r="L278" s="93"/>
      <c r="M278" s="92">
        <f t="shared" si="22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3">
        <v>274</v>
      </c>
      <c r="I279" s="94" t="str">
        <f t="shared" si="19"/>
        <v/>
      </c>
      <c r="J279" s="93" t="e">
        <f t="shared" si="20"/>
        <v>#NUM!</v>
      </c>
      <c r="K279" s="93" t="e">
        <f t="shared" si="21"/>
        <v>#NUM!</v>
      </c>
      <c r="L279" s="93"/>
      <c r="M279" s="92">
        <f t="shared" si="22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19"/>
        <v/>
      </c>
      <c r="J280" s="93" t="e">
        <f t="shared" si="20"/>
        <v>#NUM!</v>
      </c>
      <c r="K280" s="93" t="e">
        <f t="shared" si="21"/>
        <v>#NUM!</v>
      </c>
      <c r="L280" s="93"/>
      <c r="M280" s="92">
        <f t="shared" si="22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3">
        <v>276</v>
      </c>
      <c r="I281" s="94" t="str">
        <f t="shared" si="19"/>
        <v/>
      </c>
      <c r="J281" s="93" t="e">
        <f t="shared" si="20"/>
        <v>#NUM!</v>
      </c>
      <c r="K281" s="93" t="e">
        <f t="shared" si="21"/>
        <v>#NUM!</v>
      </c>
      <c r="L281" s="93"/>
      <c r="M281" s="92">
        <f t="shared" si="22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19"/>
        <v/>
      </c>
      <c r="J282" s="93" t="e">
        <f t="shared" si="20"/>
        <v>#NUM!</v>
      </c>
      <c r="K282" s="93" t="e">
        <f t="shared" si="21"/>
        <v>#NUM!</v>
      </c>
      <c r="L282" s="93"/>
      <c r="M282" s="92">
        <f t="shared" si="22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3">
        <v>278</v>
      </c>
      <c r="I283" s="94" t="str">
        <f t="shared" si="19"/>
        <v/>
      </c>
      <c r="J283" s="93" t="e">
        <f t="shared" si="20"/>
        <v>#NUM!</v>
      </c>
      <c r="K283" s="93" t="e">
        <f t="shared" si="21"/>
        <v>#NUM!</v>
      </c>
      <c r="L283" s="93"/>
      <c r="M283" s="92">
        <f t="shared" si="22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19"/>
        <v/>
      </c>
      <c r="J284" s="93" t="e">
        <f t="shared" si="20"/>
        <v>#NUM!</v>
      </c>
      <c r="K284" s="93" t="e">
        <f t="shared" si="21"/>
        <v>#NUM!</v>
      </c>
      <c r="L284" s="93"/>
      <c r="M284" s="92">
        <f t="shared" si="22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3">
        <v>280</v>
      </c>
      <c r="I285" s="94" t="str">
        <f t="shared" si="19"/>
        <v/>
      </c>
      <c r="J285" s="93" t="e">
        <f t="shared" si="20"/>
        <v>#NUM!</v>
      </c>
      <c r="K285" s="93" t="e">
        <f t="shared" si="21"/>
        <v>#NUM!</v>
      </c>
      <c r="L285" s="93"/>
      <c r="M285" s="92">
        <f t="shared" si="22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19"/>
        <v/>
      </c>
      <c r="J286" s="93" t="e">
        <f t="shared" si="20"/>
        <v>#NUM!</v>
      </c>
      <c r="K286" s="93" t="e">
        <f t="shared" si="21"/>
        <v>#NUM!</v>
      </c>
      <c r="L286" s="93"/>
      <c r="M286" s="92">
        <f t="shared" si="22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3">
        <v>282</v>
      </c>
      <c r="I287" s="94" t="str">
        <f t="shared" si="19"/>
        <v/>
      </c>
      <c r="J287" s="93" t="e">
        <f t="shared" si="20"/>
        <v>#NUM!</v>
      </c>
      <c r="K287" s="93" t="e">
        <f t="shared" si="21"/>
        <v>#NUM!</v>
      </c>
      <c r="L287" s="93"/>
      <c r="M287" s="92">
        <f t="shared" si="22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19"/>
        <v/>
      </c>
      <c r="J288" s="93" t="e">
        <f t="shared" si="20"/>
        <v>#NUM!</v>
      </c>
      <c r="K288" s="93" t="e">
        <f t="shared" si="21"/>
        <v>#NUM!</v>
      </c>
      <c r="L288" s="93"/>
      <c r="M288" s="92">
        <f t="shared" si="22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3">
        <v>284</v>
      </c>
      <c r="I289" s="94" t="str">
        <f t="shared" si="19"/>
        <v/>
      </c>
      <c r="J289" s="93" t="e">
        <f t="shared" si="20"/>
        <v>#NUM!</v>
      </c>
      <c r="K289" s="93" t="e">
        <f t="shared" si="21"/>
        <v>#NUM!</v>
      </c>
      <c r="L289" s="93"/>
      <c r="M289" s="92">
        <f t="shared" si="22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19"/>
        <v/>
      </c>
      <c r="J290" s="93" t="e">
        <f t="shared" si="20"/>
        <v>#NUM!</v>
      </c>
      <c r="K290" s="93" t="e">
        <f t="shared" si="21"/>
        <v>#NUM!</v>
      </c>
      <c r="L290" s="93"/>
      <c r="M290" s="92">
        <f t="shared" si="22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3">
        <v>286</v>
      </c>
      <c r="I291" s="94" t="str">
        <f t="shared" si="19"/>
        <v/>
      </c>
      <c r="J291" s="93" t="e">
        <f t="shared" si="20"/>
        <v>#NUM!</v>
      </c>
      <c r="K291" s="93" t="e">
        <f t="shared" si="21"/>
        <v>#NUM!</v>
      </c>
      <c r="L291" s="93"/>
      <c r="M291" s="92">
        <f t="shared" si="22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19"/>
        <v/>
      </c>
      <c r="J292" s="93" t="e">
        <f t="shared" si="20"/>
        <v>#NUM!</v>
      </c>
      <c r="K292" s="93" t="e">
        <f t="shared" si="21"/>
        <v>#NUM!</v>
      </c>
      <c r="L292" s="93"/>
      <c r="M292" s="92">
        <f t="shared" si="22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19"/>
        <v/>
      </c>
      <c r="J293" s="93" t="e">
        <f t="shared" si="20"/>
        <v>#NUM!</v>
      </c>
      <c r="K293" s="93" t="e">
        <f t="shared" si="21"/>
        <v>#NUM!</v>
      </c>
      <c r="L293" s="93"/>
      <c r="M293" s="92">
        <f t="shared" si="22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19"/>
        <v/>
      </c>
      <c r="J294" s="93" t="e">
        <f t="shared" si="20"/>
        <v>#NUM!</v>
      </c>
      <c r="K294" s="93" t="e">
        <f t="shared" si="21"/>
        <v>#NUM!</v>
      </c>
      <c r="L294" s="93"/>
      <c r="M294" s="92">
        <f t="shared" si="22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19"/>
        <v/>
      </c>
      <c r="J295" s="93" t="e">
        <f t="shared" si="20"/>
        <v>#NUM!</v>
      </c>
      <c r="K295" s="93" t="e">
        <f t="shared" si="21"/>
        <v>#NUM!</v>
      </c>
      <c r="L295" s="93"/>
      <c r="M295" s="92">
        <f t="shared" si="22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19"/>
        <v/>
      </c>
      <c r="J296" s="93" t="e">
        <f t="shared" si="20"/>
        <v>#NUM!</v>
      </c>
      <c r="K296" s="93" t="e">
        <f t="shared" si="21"/>
        <v>#NUM!</v>
      </c>
      <c r="L296" s="93"/>
      <c r="M296" s="92">
        <f t="shared" si="22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19"/>
        <v/>
      </c>
      <c r="J297" s="93" t="e">
        <f t="shared" si="20"/>
        <v>#NUM!</v>
      </c>
      <c r="K297" s="93" t="e">
        <f t="shared" si="21"/>
        <v>#NUM!</v>
      </c>
      <c r="L297" s="93"/>
      <c r="M297" s="92">
        <f t="shared" si="22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19"/>
        <v/>
      </c>
      <c r="J298" s="93" t="e">
        <f t="shared" si="20"/>
        <v>#NUM!</v>
      </c>
      <c r="K298" s="93" t="e">
        <f t="shared" si="21"/>
        <v>#NUM!</v>
      </c>
      <c r="L298" s="93"/>
      <c r="M298" s="92">
        <f t="shared" si="22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19"/>
        <v/>
      </c>
      <c r="J299" s="93" t="e">
        <f t="shared" si="20"/>
        <v>#NUM!</v>
      </c>
      <c r="K299" s="93" t="e">
        <f t="shared" si="21"/>
        <v>#NUM!</v>
      </c>
      <c r="L299" s="93"/>
      <c r="M299" s="92">
        <f t="shared" si="22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19"/>
        <v/>
      </c>
      <c r="J300" s="93" t="e">
        <f t="shared" si="20"/>
        <v>#NUM!</v>
      </c>
      <c r="K300" s="93" t="e">
        <f t="shared" si="21"/>
        <v>#NUM!</v>
      </c>
      <c r="L300" s="93"/>
      <c r="M300" s="92">
        <f t="shared" si="22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19"/>
        <v/>
      </c>
      <c r="J301" s="93" t="e">
        <f t="shared" si="20"/>
        <v>#NUM!</v>
      </c>
      <c r="K301" s="93" t="e">
        <f t="shared" si="21"/>
        <v>#NUM!</v>
      </c>
      <c r="L301" s="93"/>
      <c r="M301" s="92">
        <f t="shared" si="22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19"/>
        <v/>
      </c>
      <c r="J302" s="93" t="e">
        <f t="shared" si="20"/>
        <v>#NUM!</v>
      </c>
      <c r="K302" s="93" t="e">
        <f t="shared" si="21"/>
        <v>#NUM!</v>
      </c>
      <c r="L302" s="93"/>
      <c r="M302" s="92">
        <f t="shared" si="22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19"/>
        <v/>
      </c>
      <c r="J303" s="93" t="e">
        <f t="shared" si="20"/>
        <v>#NUM!</v>
      </c>
      <c r="K303" s="93" t="e">
        <f t="shared" si="21"/>
        <v>#NUM!</v>
      </c>
      <c r="L303" s="93"/>
      <c r="M303" s="92">
        <f t="shared" si="22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19"/>
        <v/>
      </c>
      <c r="J304" s="93" t="e">
        <f t="shared" si="20"/>
        <v>#NUM!</v>
      </c>
      <c r="K304" s="93" t="e">
        <f t="shared" si="21"/>
        <v>#NUM!</v>
      </c>
      <c r="L304" s="93"/>
      <c r="M304" s="92">
        <f t="shared" si="22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19"/>
        <v/>
      </c>
      <c r="J305" s="93" t="e">
        <f t="shared" si="20"/>
        <v>#NUM!</v>
      </c>
      <c r="K305" s="93" t="e">
        <f t="shared" si="21"/>
        <v>#NUM!</v>
      </c>
      <c r="L305" s="93"/>
      <c r="M305" s="92">
        <f t="shared" si="22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 t="e">
        <f t="shared" si="20"/>
        <v>#NUM!</v>
      </c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07" spans="1:38" s="86" customFormat="1" x14ac:dyDescent="0.25">
      <c r="A307" s="84"/>
      <c r="B307" s="84"/>
      <c r="C307" s="84"/>
      <c r="D307" s="84"/>
      <c r="E307" s="84"/>
      <c r="F307" s="84"/>
      <c r="G307" s="84"/>
      <c r="H307" s="88"/>
      <c r="I307" s="88"/>
      <c r="J307" s="88" t="e">
        <f t="shared" si="20"/>
        <v>#NUM!</v>
      </c>
      <c r="K307" s="88"/>
      <c r="L307" s="88"/>
      <c r="M307" s="87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</row>
    <row r="308" spans="1:38" s="86" customFormat="1" x14ac:dyDescent="0.25">
      <c r="A308" s="84"/>
      <c r="B308" s="84"/>
      <c r="C308" s="84"/>
      <c r="D308" s="84"/>
      <c r="E308" s="84"/>
      <c r="F308" s="84"/>
      <c r="G308" s="84"/>
      <c r="H308" s="88"/>
      <c r="I308" s="88"/>
      <c r="J308" s="88" t="e">
        <f t="shared" si="20"/>
        <v>#NUM!</v>
      </c>
      <c r="K308" s="88"/>
      <c r="L308" s="88"/>
      <c r="M308" s="87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</row>
    <row r="309" spans="1:38" s="86" customFormat="1" x14ac:dyDescent="0.25">
      <c r="A309" s="84"/>
      <c r="B309" s="84"/>
      <c r="C309" s="84"/>
      <c r="D309" s="84"/>
      <c r="E309" s="84"/>
      <c r="F309" s="84"/>
      <c r="G309" s="84"/>
      <c r="H309" s="88"/>
      <c r="I309" s="88"/>
      <c r="J309" s="88" t="e">
        <f t="shared" si="20"/>
        <v>#NUM!</v>
      </c>
      <c r="K309" s="88"/>
      <c r="L309" s="88"/>
      <c r="M309" s="87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</row>
    <row r="310" spans="1:38" s="86" customFormat="1" x14ac:dyDescent="0.25">
      <c r="A310" s="84"/>
      <c r="B310" s="84"/>
      <c r="C310" s="84"/>
      <c r="D310" s="84"/>
      <c r="E310" s="84"/>
      <c r="F310" s="84"/>
      <c r="G310" s="84"/>
      <c r="H310" s="88"/>
      <c r="I310" s="88"/>
      <c r="J310" s="88" t="e">
        <f t="shared" si="20"/>
        <v>#NUM!</v>
      </c>
      <c r="K310" s="88"/>
      <c r="L310" s="88"/>
      <c r="M310" s="87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</row>
    <row r="311" spans="1:38" s="86" customFormat="1" x14ac:dyDescent="0.25">
      <c r="A311" s="84"/>
      <c r="B311" s="84"/>
      <c r="C311" s="84"/>
      <c r="D311" s="84"/>
      <c r="E311" s="84"/>
      <c r="F311" s="84"/>
      <c r="G311" s="84"/>
      <c r="H311" s="88"/>
      <c r="I311" s="88"/>
      <c r="J311" s="88" t="e">
        <f t="shared" si="20"/>
        <v>#NUM!</v>
      </c>
      <c r="K311" s="88"/>
      <c r="L311" s="88"/>
      <c r="M311" s="87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</row>
    <row r="312" spans="1:38" s="86" customFormat="1" x14ac:dyDescent="0.25">
      <c r="A312" s="84"/>
      <c r="B312" s="84"/>
      <c r="C312" s="84"/>
      <c r="D312" s="84"/>
      <c r="E312" s="84"/>
      <c r="F312" s="84"/>
      <c r="G312" s="84"/>
      <c r="H312" s="88"/>
      <c r="I312" s="88"/>
      <c r="J312" s="88" t="e">
        <f t="shared" si="20"/>
        <v>#NUM!</v>
      </c>
      <c r="K312" s="88"/>
      <c r="L312" s="88"/>
      <c r="M312" s="87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</row>
    <row r="313" spans="1:38" s="86" customFormat="1" x14ac:dyDescent="0.25">
      <c r="A313" s="84"/>
      <c r="B313" s="84"/>
      <c r="C313" s="84"/>
      <c r="D313" s="84"/>
      <c r="E313" s="84"/>
      <c r="F313" s="84"/>
      <c r="G313" s="84"/>
      <c r="H313" s="88"/>
      <c r="I313" s="88"/>
      <c r="J313" s="88" t="e">
        <f t="shared" si="20"/>
        <v>#NUM!</v>
      </c>
      <c r="K313" s="88"/>
      <c r="L313" s="88"/>
      <c r="M313" s="87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 t="e">
        <f t="shared" si="20"/>
        <v>#NUM!</v>
      </c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 t="e">
        <f t="shared" si="20"/>
        <v>#NUM!</v>
      </c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 t="e">
        <f t="shared" si="20"/>
        <v>#NUM!</v>
      </c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 t="e">
        <f t="shared" si="20"/>
        <v>#NUM!</v>
      </c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  <row r="318" spans="1:38" s="86" customFormat="1" x14ac:dyDescent="0.25">
      <c r="A318" s="84"/>
      <c r="B318" s="84"/>
      <c r="C318" s="84"/>
      <c r="D318" s="84"/>
      <c r="E318" s="84"/>
      <c r="F318" s="84"/>
      <c r="G318" s="84"/>
      <c r="H318" s="88"/>
      <c r="I318" s="88"/>
      <c r="J318" s="88" t="e">
        <f t="shared" si="20"/>
        <v>#NUM!</v>
      </c>
      <c r="K318" s="88"/>
      <c r="L318" s="88"/>
      <c r="M318" s="87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</row>
    <row r="319" spans="1:38" s="86" customFormat="1" x14ac:dyDescent="0.25">
      <c r="A319" s="84"/>
      <c r="B319" s="84"/>
      <c r="C319" s="84"/>
      <c r="D319" s="84"/>
      <c r="E319" s="84"/>
      <c r="F319" s="84"/>
      <c r="G319" s="84"/>
      <c r="H319" s="88"/>
      <c r="I319" s="88"/>
      <c r="J319" s="88" t="e">
        <f t="shared" si="20"/>
        <v>#NUM!</v>
      </c>
      <c r="K319" s="88"/>
      <c r="L319" s="88"/>
      <c r="M319" s="87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</row>
    <row r="320" spans="1:38" s="86" customFormat="1" x14ac:dyDescent="0.25">
      <c r="A320" s="84"/>
      <c r="B320" s="84"/>
      <c r="C320" s="84"/>
      <c r="D320" s="84"/>
      <c r="E320" s="84"/>
      <c r="F320" s="84"/>
      <c r="G320" s="84"/>
      <c r="H320" s="88"/>
      <c r="I320" s="88"/>
      <c r="J320" s="88" t="e">
        <f t="shared" si="20"/>
        <v>#NUM!</v>
      </c>
      <c r="K320" s="88"/>
      <c r="L320" s="88"/>
      <c r="M320" s="87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</row>
    <row r="321" spans="10:38" s="88" customFormat="1" x14ac:dyDescent="0.25">
      <c r="J321" s="88" t="e">
        <f t="shared" si="20"/>
        <v>#NUM!</v>
      </c>
      <c r="M321" s="87"/>
      <c r="N321" s="86"/>
      <c r="O321" s="86"/>
      <c r="P321" s="86"/>
      <c r="Q321" s="86"/>
      <c r="R321" s="86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</row>
    <row r="322" spans="10:38" s="88" customFormat="1" x14ac:dyDescent="0.25">
      <c r="J322" s="88" t="e">
        <f t="shared" si="20"/>
        <v>#NUM!</v>
      </c>
      <c r="M322" s="87"/>
      <c r="N322" s="86"/>
      <c r="O322" s="86"/>
      <c r="P322" s="86"/>
      <c r="Q322" s="86"/>
      <c r="R322" s="86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</row>
    <row r="323" spans="10:38" s="88" customFormat="1" x14ac:dyDescent="0.25">
      <c r="J323" s="88" t="e">
        <f t="shared" si="20"/>
        <v>#NUM!</v>
      </c>
      <c r="M323" s="87"/>
      <c r="N323" s="86"/>
      <c r="O323" s="86"/>
      <c r="P323" s="86"/>
      <c r="Q323" s="86"/>
      <c r="R323" s="86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</row>
    <row r="324" spans="10:38" s="88" customFormat="1" x14ac:dyDescent="0.25">
      <c r="J324" s="88" t="e">
        <f t="shared" si="20"/>
        <v>#NUM!</v>
      </c>
      <c r="M324" s="87"/>
      <c r="N324" s="86"/>
      <c r="O324" s="86"/>
      <c r="P324" s="86"/>
      <c r="Q324" s="86"/>
      <c r="R324" s="86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</row>
    <row r="325" spans="10:38" s="88" customFormat="1" x14ac:dyDescent="0.25">
      <c r="J325" s="88" t="e">
        <f t="shared" si="20"/>
        <v>#NUM!</v>
      </c>
      <c r="M325" s="87"/>
      <c r="N325" s="86"/>
      <c r="O325" s="86"/>
      <c r="P325" s="86"/>
      <c r="Q325" s="86"/>
      <c r="R325" s="86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</row>
    <row r="326" spans="10:38" s="88" customFormat="1" x14ac:dyDescent="0.25">
      <c r="J326" s="88" t="e">
        <f t="shared" ref="J326:J374" si="23">INT(LOG($H$2,2))-ROUNDUP(LOG(H326,2),0)+IF(OR($H$2=1,$H$2=2,$H$2=4,$H$2=8,$H$2=16,$H$2=32,$H$2=64,$H$2=128,$H$2=256),0,1)</f>
        <v>#NUM!</v>
      </c>
      <c r="M326" s="87"/>
      <c r="N326" s="86"/>
      <c r="O326" s="86"/>
      <c r="P326" s="86"/>
      <c r="Q326" s="86"/>
      <c r="R326" s="86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</row>
    <row r="327" spans="10:38" s="88" customFormat="1" x14ac:dyDescent="0.25">
      <c r="J327" s="88" t="e">
        <f t="shared" si="23"/>
        <v>#NUM!</v>
      </c>
      <c r="M327" s="87"/>
      <c r="N327" s="86"/>
      <c r="O327" s="86"/>
      <c r="P327" s="86"/>
      <c r="Q327" s="86"/>
      <c r="R327" s="86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</row>
    <row r="328" spans="10:38" s="88" customFormat="1" x14ac:dyDescent="0.25">
      <c r="J328" s="88" t="e">
        <f t="shared" si="23"/>
        <v>#NUM!</v>
      </c>
      <c r="M328" s="87"/>
      <c r="N328" s="86"/>
      <c r="O328" s="86"/>
      <c r="P328" s="86"/>
      <c r="Q328" s="86"/>
      <c r="R328" s="86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</row>
    <row r="329" spans="10:38" s="88" customFormat="1" x14ac:dyDescent="0.25">
      <c r="J329" s="88" t="e">
        <f t="shared" si="23"/>
        <v>#NUM!</v>
      </c>
      <c r="M329" s="87"/>
      <c r="N329" s="86"/>
      <c r="O329" s="86"/>
      <c r="P329" s="86"/>
      <c r="Q329" s="86"/>
      <c r="R329" s="86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</row>
    <row r="330" spans="10:38" s="88" customFormat="1" x14ac:dyDescent="0.25">
      <c r="J330" s="88" t="e">
        <f t="shared" si="23"/>
        <v>#NUM!</v>
      </c>
      <c r="M330" s="87"/>
      <c r="N330" s="86"/>
      <c r="O330" s="86"/>
      <c r="P330" s="86"/>
      <c r="Q330" s="86"/>
      <c r="R330" s="86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</row>
    <row r="331" spans="10:38" s="88" customFormat="1" x14ac:dyDescent="0.25">
      <c r="J331" s="88" t="e">
        <f t="shared" si="23"/>
        <v>#NUM!</v>
      </c>
      <c r="M331" s="87"/>
      <c r="N331" s="86"/>
      <c r="O331" s="86"/>
      <c r="P331" s="86"/>
      <c r="Q331" s="86"/>
      <c r="R331" s="86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</row>
    <row r="332" spans="10:38" s="88" customFormat="1" x14ac:dyDescent="0.25">
      <c r="J332" s="88" t="e">
        <f t="shared" si="23"/>
        <v>#NUM!</v>
      </c>
      <c r="M332" s="87"/>
      <c r="N332" s="86"/>
      <c r="O332" s="86"/>
      <c r="P332" s="86"/>
      <c r="Q332" s="86"/>
      <c r="R332" s="86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</row>
    <row r="333" spans="10:38" s="88" customFormat="1" x14ac:dyDescent="0.25">
      <c r="J333" s="88" t="e">
        <f t="shared" si="23"/>
        <v>#NUM!</v>
      </c>
      <c r="M333" s="87"/>
      <c r="N333" s="86"/>
      <c r="O333" s="86"/>
      <c r="P333" s="86"/>
      <c r="Q333" s="86"/>
      <c r="R333" s="86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</row>
    <row r="334" spans="10:38" s="88" customFormat="1" x14ac:dyDescent="0.25">
      <c r="J334" s="88" t="e">
        <f t="shared" si="23"/>
        <v>#NUM!</v>
      </c>
      <c r="M334" s="87"/>
      <c r="N334" s="86"/>
      <c r="O334" s="86"/>
      <c r="P334" s="86"/>
      <c r="Q334" s="86"/>
      <c r="R334" s="86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</row>
    <row r="335" spans="10:38" s="88" customFormat="1" x14ac:dyDescent="0.25">
      <c r="J335" s="88" t="e">
        <f t="shared" si="23"/>
        <v>#NUM!</v>
      </c>
      <c r="M335" s="87"/>
      <c r="N335" s="86"/>
      <c r="O335" s="86"/>
      <c r="P335" s="86"/>
      <c r="Q335" s="86"/>
      <c r="R335" s="86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</row>
    <row r="336" spans="10:38" s="88" customFormat="1" x14ac:dyDescent="0.25">
      <c r="J336" s="88" t="e">
        <f t="shared" si="23"/>
        <v>#NUM!</v>
      </c>
      <c r="M336" s="87"/>
      <c r="N336" s="86"/>
      <c r="O336" s="86"/>
      <c r="P336" s="86"/>
      <c r="Q336" s="86"/>
      <c r="R336" s="86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</row>
    <row r="337" spans="10:38" s="88" customFormat="1" x14ac:dyDescent="0.25">
      <c r="J337" s="88" t="e">
        <f t="shared" si="23"/>
        <v>#NUM!</v>
      </c>
      <c r="M337" s="87"/>
      <c r="N337" s="86"/>
      <c r="O337" s="86"/>
      <c r="P337" s="86"/>
      <c r="Q337" s="86"/>
      <c r="R337" s="86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</row>
    <row r="338" spans="10:38" s="88" customFormat="1" x14ac:dyDescent="0.25">
      <c r="J338" s="88" t="e">
        <f t="shared" si="23"/>
        <v>#NUM!</v>
      </c>
      <c r="M338" s="87"/>
      <c r="N338" s="86"/>
      <c r="O338" s="86"/>
      <c r="P338" s="86"/>
      <c r="Q338" s="86"/>
      <c r="R338" s="86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</row>
    <row r="339" spans="10:38" s="88" customFormat="1" x14ac:dyDescent="0.25">
      <c r="J339" s="88" t="e">
        <f t="shared" si="23"/>
        <v>#NUM!</v>
      </c>
      <c r="M339" s="87"/>
      <c r="N339" s="86"/>
      <c r="O339" s="86"/>
      <c r="P339" s="86"/>
      <c r="Q339" s="86"/>
      <c r="R339" s="86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</row>
    <row r="340" spans="10:38" s="88" customFormat="1" x14ac:dyDescent="0.25">
      <c r="J340" s="88" t="e">
        <f t="shared" si="23"/>
        <v>#NUM!</v>
      </c>
      <c r="M340" s="87"/>
      <c r="N340" s="86"/>
      <c r="O340" s="86"/>
      <c r="P340" s="86"/>
      <c r="Q340" s="86"/>
      <c r="R340" s="86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</row>
    <row r="341" spans="10:38" s="88" customFormat="1" x14ac:dyDescent="0.25">
      <c r="J341" s="88" t="e">
        <f t="shared" si="23"/>
        <v>#NUM!</v>
      </c>
      <c r="M341" s="87"/>
      <c r="N341" s="86"/>
      <c r="O341" s="86"/>
      <c r="P341" s="86"/>
      <c r="Q341" s="86"/>
      <c r="R341" s="86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</row>
    <row r="342" spans="10:38" s="88" customFormat="1" x14ac:dyDescent="0.25">
      <c r="J342" s="88" t="e">
        <f t="shared" si="23"/>
        <v>#NUM!</v>
      </c>
      <c r="M342" s="87"/>
      <c r="N342" s="86"/>
      <c r="O342" s="86"/>
      <c r="P342" s="86"/>
      <c r="Q342" s="86"/>
      <c r="R342" s="86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</row>
    <row r="343" spans="10:38" s="88" customFormat="1" x14ac:dyDescent="0.25">
      <c r="J343" s="88" t="e">
        <f t="shared" si="23"/>
        <v>#NUM!</v>
      </c>
      <c r="M343" s="87"/>
      <c r="N343" s="86"/>
      <c r="O343" s="86"/>
      <c r="P343" s="86"/>
      <c r="Q343" s="86"/>
      <c r="R343" s="86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</row>
    <row r="344" spans="10:38" s="88" customFormat="1" x14ac:dyDescent="0.25">
      <c r="J344" s="88" t="e">
        <f t="shared" si="23"/>
        <v>#NUM!</v>
      </c>
      <c r="M344" s="87"/>
      <c r="N344" s="86"/>
      <c r="O344" s="86"/>
      <c r="P344" s="86"/>
      <c r="Q344" s="86"/>
      <c r="R344" s="86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</row>
    <row r="345" spans="10:38" s="88" customFormat="1" x14ac:dyDescent="0.25">
      <c r="J345" s="88" t="e">
        <f t="shared" si="23"/>
        <v>#NUM!</v>
      </c>
      <c r="M345" s="87"/>
      <c r="N345" s="86"/>
      <c r="O345" s="86"/>
      <c r="P345" s="86"/>
      <c r="Q345" s="86"/>
      <c r="R345" s="86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</row>
    <row r="346" spans="10:38" s="88" customFormat="1" x14ac:dyDescent="0.25">
      <c r="J346" s="88" t="e">
        <f t="shared" si="23"/>
        <v>#NUM!</v>
      </c>
      <c r="M346" s="87"/>
      <c r="N346" s="86"/>
      <c r="O346" s="86"/>
      <c r="P346" s="86"/>
      <c r="Q346" s="86"/>
      <c r="R346" s="86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</row>
    <row r="347" spans="10:38" s="88" customFormat="1" x14ac:dyDescent="0.25">
      <c r="J347" s="88" t="e">
        <f t="shared" si="23"/>
        <v>#NUM!</v>
      </c>
      <c r="M347" s="87"/>
      <c r="N347" s="86"/>
      <c r="O347" s="86"/>
      <c r="P347" s="86"/>
      <c r="Q347" s="86"/>
      <c r="R347" s="86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</row>
    <row r="348" spans="10:38" s="88" customFormat="1" x14ac:dyDescent="0.25">
      <c r="J348" s="88" t="e">
        <f t="shared" si="23"/>
        <v>#NUM!</v>
      </c>
      <c r="M348" s="87"/>
      <c r="N348" s="86"/>
      <c r="O348" s="86"/>
      <c r="P348" s="86"/>
      <c r="Q348" s="86"/>
      <c r="R348" s="86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</row>
    <row r="349" spans="10:38" s="88" customFormat="1" x14ac:dyDescent="0.25">
      <c r="J349" s="88" t="e">
        <f t="shared" si="23"/>
        <v>#NUM!</v>
      </c>
      <c r="M349" s="87"/>
      <c r="N349" s="86"/>
      <c r="O349" s="86"/>
      <c r="P349" s="86"/>
      <c r="Q349" s="86"/>
      <c r="R349" s="86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</row>
    <row r="350" spans="10:38" s="88" customFormat="1" x14ac:dyDescent="0.25">
      <c r="J350" s="88" t="e">
        <f t="shared" si="23"/>
        <v>#NUM!</v>
      </c>
      <c r="M350" s="87"/>
      <c r="N350" s="86"/>
      <c r="O350" s="86"/>
      <c r="P350" s="86"/>
      <c r="Q350" s="86"/>
      <c r="R350" s="86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</row>
    <row r="351" spans="10:38" s="88" customFormat="1" x14ac:dyDescent="0.25">
      <c r="J351" s="88" t="e">
        <f t="shared" si="23"/>
        <v>#NUM!</v>
      </c>
      <c r="M351" s="87"/>
      <c r="N351" s="86"/>
      <c r="O351" s="86"/>
      <c r="P351" s="86"/>
      <c r="Q351" s="86"/>
      <c r="R351" s="86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</row>
    <row r="352" spans="10:38" s="88" customFormat="1" x14ac:dyDescent="0.25">
      <c r="J352" s="88" t="e">
        <f t="shared" si="23"/>
        <v>#NUM!</v>
      </c>
      <c r="M352" s="87"/>
      <c r="N352" s="86"/>
      <c r="O352" s="86"/>
      <c r="P352" s="86"/>
      <c r="Q352" s="86"/>
      <c r="R352" s="86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</row>
    <row r="353" spans="10:38" s="88" customFormat="1" x14ac:dyDescent="0.25">
      <c r="J353" s="88" t="e">
        <f t="shared" si="23"/>
        <v>#NUM!</v>
      </c>
      <c r="M353" s="87"/>
      <c r="N353" s="86"/>
      <c r="O353" s="86"/>
      <c r="P353" s="86"/>
      <c r="Q353" s="86"/>
      <c r="R353" s="86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</row>
    <row r="354" spans="10:38" s="88" customFormat="1" x14ac:dyDescent="0.25">
      <c r="J354" s="88" t="e">
        <f t="shared" si="23"/>
        <v>#NUM!</v>
      </c>
      <c r="M354" s="87"/>
      <c r="N354" s="86"/>
      <c r="O354" s="86"/>
      <c r="P354" s="86"/>
      <c r="Q354" s="86"/>
      <c r="R354" s="86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</row>
    <row r="355" spans="10:38" s="88" customFormat="1" x14ac:dyDescent="0.25">
      <c r="J355" s="88" t="e">
        <f t="shared" si="23"/>
        <v>#NUM!</v>
      </c>
      <c r="M355" s="87"/>
      <c r="N355" s="86"/>
      <c r="O355" s="86"/>
      <c r="P355" s="86"/>
      <c r="Q355" s="86"/>
      <c r="R355" s="86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</row>
    <row r="356" spans="10:38" s="88" customFormat="1" x14ac:dyDescent="0.25">
      <c r="J356" s="88" t="e">
        <f t="shared" si="23"/>
        <v>#NUM!</v>
      </c>
      <c r="M356" s="87"/>
      <c r="N356" s="86"/>
      <c r="O356" s="86"/>
      <c r="P356" s="86"/>
      <c r="Q356" s="86"/>
      <c r="R356" s="86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</row>
    <row r="357" spans="10:38" s="88" customFormat="1" x14ac:dyDescent="0.25">
      <c r="J357" s="88" t="e">
        <f t="shared" si="23"/>
        <v>#NUM!</v>
      </c>
      <c r="M357" s="87"/>
      <c r="N357" s="86"/>
      <c r="O357" s="86"/>
      <c r="P357" s="86"/>
      <c r="Q357" s="86"/>
      <c r="R357" s="86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</row>
    <row r="358" spans="10:38" s="88" customFormat="1" x14ac:dyDescent="0.25">
      <c r="J358" s="88" t="e">
        <f t="shared" si="23"/>
        <v>#NUM!</v>
      </c>
      <c r="M358" s="87"/>
      <c r="N358" s="86"/>
      <c r="O358" s="86"/>
      <c r="P358" s="86"/>
      <c r="Q358" s="86"/>
      <c r="R358" s="86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</row>
    <row r="359" spans="10:38" s="88" customFormat="1" x14ac:dyDescent="0.25">
      <c r="J359" s="88" t="e">
        <f t="shared" si="23"/>
        <v>#NUM!</v>
      </c>
      <c r="M359" s="87"/>
      <c r="N359" s="86"/>
      <c r="O359" s="86"/>
      <c r="P359" s="86"/>
      <c r="Q359" s="86"/>
      <c r="R359" s="86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</row>
    <row r="360" spans="10:38" s="88" customFormat="1" x14ac:dyDescent="0.25">
      <c r="J360" s="88" t="e">
        <f t="shared" si="23"/>
        <v>#NUM!</v>
      </c>
      <c r="M360" s="87"/>
      <c r="N360" s="86"/>
      <c r="O360" s="86"/>
      <c r="P360" s="86"/>
      <c r="Q360" s="86"/>
      <c r="R360" s="86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</row>
    <row r="361" spans="10:38" s="88" customFormat="1" x14ac:dyDescent="0.25">
      <c r="J361" s="88" t="e">
        <f t="shared" si="23"/>
        <v>#NUM!</v>
      </c>
      <c r="M361" s="87"/>
      <c r="N361" s="86"/>
      <c r="O361" s="86"/>
      <c r="P361" s="86"/>
      <c r="Q361" s="86"/>
      <c r="R361" s="86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</row>
    <row r="362" spans="10:38" s="88" customFormat="1" x14ac:dyDescent="0.25">
      <c r="J362" s="88" t="e">
        <f t="shared" si="23"/>
        <v>#NUM!</v>
      </c>
      <c r="M362" s="87"/>
      <c r="N362" s="86"/>
      <c r="O362" s="86"/>
      <c r="P362" s="86"/>
      <c r="Q362" s="86"/>
      <c r="R362" s="86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</row>
    <row r="363" spans="10:38" s="88" customFormat="1" x14ac:dyDescent="0.25">
      <c r="J363" s="88" t="e">
        <f t="shared" si="23"/>
        <v>#NUM!</v>
      </c>
      <c r="M363" s="87"/>
      <c r="N363" s="86"/>
      <c r="O363" s="86"/>
      <c r="P363" s="86"/>
      <c r="Q363" s="86"/>
      <c r="R363" s="86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</row>
    <row r="364" spans="10:38" s="88" customFormat="1" x14ac:dyDescent="0.25">
      <c r="J364" s="88" t="e">
        <f t="shared" si="23"/>
        <v>#NUM!</v>
      </c>
      <c r="M364" s="87"/>
      <c r="N364" s="86"/>
      <c r="O364" s="86"/>
      <c r="P364" s="86"/>
      <c r="Q364" s="86"/>
      <c r="R364" s="86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</row>
    <row r="365" spans="10:38" s="88" customFormat="1" x14ac:dyDescent="0.25">
      <c r="J365" s="88" t="e">
        <f t="shared" si="23"/>
        <v>#NUM!</v>
      </c>
      <c r="M365" s="87"/>
      <c r="N365" s="86"/>
      <c r="O365" s="86"/>
      <c r="P365" s="86"/>
      <c r="Q365" s="86"/>
      <c r="R365" s="86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</row>
    <row r="366" spans="10:38" s="88" customFormat="1" x14ac:dyDescent="0.25">
      <c r="J366" s="88" t="e">
        <f t="shared" si="23"/>
        <v>#NUM!</v>
      </c>
      <c r="M366" s="87"/>
      <c r="N366" s="86"/>
      <c r="O366" s="86"/>
      <c r="P366" s="86"/>
      <c r="Q366" s="86"/>
      <c r="R366" s="86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</row>
    <row r="367" spans="10:38" s="88" customFormat="1" x14ac:dyDescent="0.25">
      <c r="J367" s="88" t="e">
        <f t="shared" si="23"/>
        <v>#NUM!</v>
      </c>
      <c r="M367" s="87"/>
      <c r="N367" s="86"/>
      <c r="O367" s="86"/>
      <c r="P367" s="86"/>
      <c r="Q367" s="86"/>
      <c r="R367" s="86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</row>
    <row r="368" spans="10:38" s="88" customFormat="1" x14ac:dyDescent="0.25">
      <c r="J368" s="88" t="e">
        <f t="shared" si="23"/>
        <v>#NUM!</v>
      </c>
      <c r="M368" s="87"/>
      <c r="N368" s="86"/>
      <c r="O368" s="86"/>
      <c r="P368" s="86"/>
      <c r="Q368" s="86"/>
      <c r="R368" s="86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</row>
    <row r="369" spans="10:38" s="88" customFormat="1" x14ac:dyDescent="0.25">
      <c r="J369" s="88" t="e">
        <f t="shared" si="23"/>
        <v>#NUM!</v>
      </c>
      <c r="M369" s="87"/>
      <c r="N369" s="86"/>
      <c r="O369" s="86"/>
      <c r="P369" s="86"/>
      <c r="Q369" s="86"/>
      <c r="R369" s="86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</row>
    <row r="370" spans="10:38" s="88" customFormat="1" x14ac:dyDescent="0.25">
      <c r="J370" s="88" t="e">
        <f t="shared" si="23"/>
        <v>#NUM!</v>
      </c>
      <c r="M370" s="87"/>
      <c r="N370" s="86"/>
      <c r="O370" s="86"/>
      <c r="P370" s="86"/>
      <c r="Q370" s="86"/>
      <c r="R370" s="86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</row>
    <row r="371" spans="10:38" s="88" customFormat="1" x14ac:dyDescent="0.25">
      <c r="J371" s="88" t="e">
        <f t="shared" si="23"/>
        <v>#NUM!</v>
      </c>
      <c r="M371" s="87"/>
      <c r="N371" s="86"/>
      <c r="O371" s="86"/>
      <c r="P371" s="86"/>
      <c r="Q371" s="86"/>
      <c r="R371" s="86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</row>
    <row r="372" spans="10:38" s="88" customFormat="1" x14ac:dyDescent="0.25">
      <c r="J372" s="88" t="e">
        <f t="shared" si="23"/>
        <v>#NUM!</v>
      </c>
      <c r="M372" s="87"/>
      <c r="N372" s="86"/>
      <c r="O372" s="86"/>
      <c r="P372" s="86"/>
      <c r="Q372" s="86"/>
      <c r="R372" s="86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</row>
    <row r="373" spans="10:38" s="88" customFormat="1" x14ac:dyDescent="0.25">
      <c r="J373" s="88" t="e">
        <f t="shared" si="23"/>
        <v>#NUM!</v>
      </c>
      <c r="M373" s="87"/>
      <c r="N373" s="86"/>
      <c r="O373" s="86"/>
      <c r="P373" s="86"/>
      <c r="Q373" s="86"/>
      <c r="R373" s="86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</row>
    <row r="374" spans="10:38" s="88" customFormat="1" x14ac:dyDescent="0.25">
      <c r="J374" s="88" t="e">
        <f t="shared" si="23"/>
        <v>#NUM!</v>
      </c>
      <c r="M374" s="87"/>
      <c r="N374" s="86"/>
      <c r="O374" s="86"/>
      <c r="P374" s="86"/>
      <c r="Q374" s="86"/>
      <c r="R374" s="86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</row>
  </sheetData>
  <conditionalFormatting sqref="J9:K305">
    <cfRule type="cellIs" dxfId="19" priority="1" operator="lessThanOrEqual">
      <formula>0</formula>
    </cfRule>
  </conditionalFormatting>
  <hyperlinks>
    <hyperlink ref="C2" r:id="rId1" xr:uid="{E89E02F9-4577-4486-A6CB-9130A1293433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9D18-964D-4FC3-B977-79F14676C062}">
  <sheetPr>
    <tabColor rgb="FF92D050"/>
  </sheetPr>
  <dimension ref="A1:AL374"/>
  <sheetViews>
    <sheetView zoomScaleNormal="100" workbookViewId="0">
      <selection activeCell="D28" sqref="D28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.25" style="88" customWidth="1"/>
    <col min="11" max="11" width="8.75" style="88" customWidth="1"/>
    <col min="12" max="12" width="11" style="88" customWidth="1"/>
    <col min="13" max="13" width="12.2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x14ac:dyDescent="0.25">
      <c r="A2" s="86"/>
      <c r="B2" s="22" t="s">
        <v>26</v>
      </c>
      <c r="C2" s="71" t="s">
        <v>103</v>
      </c>
      <c r="D2" s="70"/>
      <c r="E2" s="23"/>
      <c r="F2" s="23"/>
      <c r="G2" s="23"/>
      <c r="H2" s="121">
        <v>0</v>
      </c>
      <c r="I2" s="120">
        <v>50</v>
      </c>
      <c r="J2" s="120">
        <v>10</v>
      </c>
      <c r="K2" s="119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x14ac:dyDescent="0.25">
      <c r="A3" s="86"/>
      <c r="B3" s="118" t="s">
        <v>28</v>
      </c>
      <c r="C3" s="71" t="s">
        <v>104</v>
      </c>
      <c r="D3" s="71"/>
      <c r="E3" s="28"/>
      <c r="F3" s="28"/>
      <c r="G3" s="28"/>
      <c r="H3" s="116"/>
      <c r="I3" s="116"/>
      <c r="J3" s="117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7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5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 t="s">
        <v>102</v>
      </c>
      <c r="G6" s="30"/>
      <c r="H6" s="93">
        <v>1</v>
      </c>
      <c r="I6" s="94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3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 t="s">
        <v>102</v>
      </c>
      <c r="G7" s="30"/>
      <c r="H7" s="98">
        <v>2</v>
      </c>
      <c r="I7" s="99" t="str">
        <f t="shared" si="1"/>
        <v/>
      </c>
      <c r="J7" s="98" t="e">
        <f t="shared" si="2"/>
        <v>#NUM!</v>
      </c>
      <c r="K7" s="98" t="e">
        <f t="shared" si="3"/>
        <v>#NUM!</v>
      </c>
      <c r="L7" s="97">
        <f>2*K2</f>
        <v>0</v>
      </c>
      <c r="M7" s="97">
        <f t="shared" si="4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 t="s">
        <v>102</v>
      </c>
      <c r="G8" s="30"/>
      <c r="H8" s="93">
        <v>3</v>
      </c>
      <c r="I8" s="94" t="str">
        <f t="shared" si="1"/>
        <v/>
      </c>
      <c r="J8" s="93" t="e">
        <f t="shared" si="2"/>
        <v>#NUM!</v>
      </c>
      <c r="K8" s="93" t="e">
        <f t="shared" si="3"/>
        <v>#NUM!</v>
      </c>
      <c r="L8" s="92">
        <f>K2</f>
        <v>0</v>
      </c>
      <c r="M8" s="92">
        <f t="shared" si="4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 t="e">
        <f t="shared" si="2"/>
        <v>#NUM!</v>
      </c>
      <c r="K9" s="98" t="e">
        <f t="shared" si="3"/>
        <v>#NUM!</v>
      </c>
      <c r="L9" s="97">
        <f>K2</f>
        <v>0</v>
      </c>
      <c r="M9" s="97">
        <f t="shared" si="4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5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3" t="e">
        <f t="shared" si="2"/>
        <v>#NUM!</v>
      </c>
      <c r="K10" s="93" t="e">
        <f t="shared" si="3"/>
        <v>#NUM!</v>
      </c>
      <c r="L10" s="93"/>
      <c r="M10" s="92">
        <f t="shared" si="4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8" t="e">
        <f t="shared" si="2"/>
        <v>#NUM!</v>
      </c>
      <c r="K11" s="98" t="e">
        <f t="shared" si="3"/>
        <v>#NUM!</v>
      </c>
      <c r="L11" s="98"/>
      <c r="M11" s="97">
        <f t="shared" si="4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3" t="e">
        <f t="shared" si="2"/>
        <v>#NUM!</v>
      </c>
      <c r="K12" s="93" t="e">
        <f t="shared" si="3"/>
        <v>#NUM!</v>
      </c>
      <c r="L12" s="93"/>
      <c r="M12" s="92">
        <f t="shared" si="4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8" t="e">
        <f t="shared" si="2"/>
        <v>#NUM!</v>
      </c>
      <c r="K13" s="98" t="e">
        <f t="shared" si="3"/>
        <v>#NUM!</v>
      </c>
      <c r="L13" s="98"/>
      <c r="M13" s="97">
        <f t="shared" si="4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3" t="e">
        <f t="shared" si="2"/>
        <v>#NUM!</v>
      </c>
      <c r="K14" s="93" t="e">
        <f t="shared" si="3"/>
        <v>#NUM!</v>
      </c>
      <c r="L14" s="93"/>
      <c r="M14" s="92">
        <f t="shared" si="4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8" t="e">
        <f t="shared" si="2"/>
        <v>#NUM!</v>
      </c>
      <c r="K15" s="98" t="e">
        <f t="shared" si="3"/>
        <v>#NUM!</v>
      </c>
      <c r="L15" s="98"/>
      <c r="M15" s="97">
        <f t="shared" si="4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3" t="e">
        <f t="shared" si="2"/>
        <v>#NUM!</v>
      </c>
      <c r="K16" s="93" t="e">
        <f t="shared" si="3"/>
        <v>#NUM!</v>
      </c>
      <c r="L16" s="93"/>
      <c r="M16" s="92">
        <f t="shared" si="4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8" t="e">
        <f t="shared" si="2"/>
        <v>#NUM!</v>
      </c>
      <c r="K17" s="98" t="e">
        <f t="shared" si="3"/>
        <v>#NUM!</v>
      </c>
      <c r="L17" s="98"/>
      <c r="M17" s="97">
        <f t="shared" si="4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93">
        <v>13</v>
      </c>
      <c r="I18" s="94" t="str">
        <f t="shared" si="1"/>
        <v/>
      </c>
      <c r="J18" s="93" t="e">
        <f t="shared" si="2"/>
        <v>#NUM!</v>
      </c>
      <c r="K18" s="93" t="e">
        <f t="shared" si="3"/>
        <v>#NUM!</v>
      </c>
      <c r="L18" s="93"/>
      <c r="M18" s="92">
        <f t="shared" si="4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8" t="e">
        <f t="shared" si="2"/>
        <v>#NUM!</v>
      </c>
      <c r="K19" s="98" t="e">
        <f t="shared" si="3"/>
        <v>#NUM!</v>
      </c>
      <c r="L19" s="98"/>
      <c r="M19" s="97">
        <f t="shared" si="4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3" t="e">
        <f t="shared" si="2"/>
        <v>#NUM!</v>
      </c>
      <c r="K20" s="93" t="e">
        <f t="shared" si="3"/>
        <v>#NUM!</v>
      </c>
      <c r="L20" s="93"/>
      <c r="M20" s="92">
        <f t="shared" si="4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8" t="e">
        <f t="shared" si="2"/>
        <v>#NUM!</v>
      </c>
      <c r="K21" s="98" t="e">
        <f t="shared" si="3"/>
        <v>#NUM!</v>
      </c>
      <c r="L21" s="98"/>
      <c r="M21" s="97">
        <f t="shared" si="4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3" t="e">
        <f t="shared" si="2"/>
        <v>#NUM!</v>
      </c>
      <c r="K22" s="93" t="e">
        <f t="shared" si="3"/>
        <v>#NUM!</v>
      </c>
      <c r="L22" s="93"/>
      <c r="M22" s="92">
        <f t="shared" si="4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8" t="e">
        <f t="shared" si="2"/>
        <v>#NUM!</v>
      </c>
      <c r="K23" s="98" t="e">
        <f t="shared" si="3"/>
        <v>#NUM!</v>
      </c>
      <c r="L23" s="98"/>
      <c r="M23" s="97">
        <f t="shared" si="4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3" t="e">
        <f t="shared" si="2"/>
        <v>#NUM!</v>
      </c>
      <c r="K24" s="93" t="e">
        <f t="shared" si="3"/>
        <v>#NUM!</v>
      </c>
      <c r="L24" s="93"/>
      <c r="M24" s="92">
        <f t="shared" si="4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8" t="e">
        <f t="shared" si="2"/>
        <v>#NUM!</v>
      </c>
      <c r="K25" s="98" t="e">
        <f t="shared" si="3"/>
        <v>#NUM!</v>
      </c>
      <c r="L25" s="98"/>
      <c r="M25" s="97">
        <f t="shared" si="4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3" t="e">
        <f t="shared" si="2"/>
        <v>#NUM!</v>
      </c>
      <c r="K26" s="93" t="e">
        <f t="shared" si="3"/>
        <v>#NUM!</v>
      </c>
      <c r="L26" s="93"/>
      <c r="M26" s="92">
        <f t="shared" si="4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8" t="e">
        <f t="shared" si="2"/>
        <v>#NUM!</v>
      </c>
      <c r="K27" s="98" t="e">
        <f t="shared" si="3"/>
        <v>#NUM!</v>
      </c>
      <c r="L27" s="98"/>
      <c r="M27" s="97">
        <f t="shared" si="4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3" t="e">
        <f t="shared" si="2"/>
        <v>#NUM!</v>
      </c>
      <c r="K28" s="93" t="e">
        <f t="shared" si="3"/>
        <v>#NUM!</v>
      </c>
      <c r="L28" s="93"/>
      <c r="M28" s="92">
        <f t="shared" si="4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5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8" t="e">
        <f t="shared" si="2"/>
        <v>#NUM!</v>
      </c>
      <c r="K29" s="98" t="e">
        <f t="shared" si="3"/>
        <v>#NUM!</v>
      </c>
      <c r="L29" s="98"/>
      <c r="M29" s="97">
        <f t="shared" si="4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5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3" t="e">
        <f t="shared" si="2"/>
        <v>#NUM!</v>
      </c>
      <c r="K30" s="93" t="e">
        <f t="shared" si="3"/>
        <v>#NUM!</v>
      </c>
      <c r="L30" s="93"/>
      <c r="M30" s="92">
        <f t="shared" si="4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5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8" t="e">
        <f t="shared" si="2"/>
        <v>#NUM!</v>
      </c>
      <c r="K31" s="98" t="e">
        <f t="shared" si="3"/>
        <v>#NUM!</v>
      </c>
      <c r="L31" s="98"/>
      <c r="M31" s="97">
        <f t="shared" si="4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5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3" t="e">
        <f t="shared" si="2"/>
        <v>#NUM!</v>
      </c>
      <c r="K32" s="93" t="e">
        <f t="shared" si="3"/>
        <v>#NUM!</v>
      </c>
      <c r="L32" s="93"/>
      <c r="M32" s="92">
        <f t="shared" si="4"/>
        <v>0</v>
      </c>
      <c r="N32" s="86"/>
      <c r="O32" s="86"/>
      <c r="P32" s="86"/>
      <c r="Q32" s="86"/>
      <c r="R32" s="106"/>
      <c r="S32" s="105"/>
    </row>
    <row r="33" spans="1:21" s="85" customFormat="1" x14ac:dyDescent="0.25">
      <c r="A33" s="102">
        <f t="shared" si="0"/>
        <v>0</v>
      </c>
      <c r="B33" s="42" t="str">
        <f t="shared" si="5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8" t="e">
        <f t="shared" si="2"/>
        <v>#NUM!</v>
      </c>
      <c r="K33" s="98" t="e">
        <f t="shared" si="3"/>
        <v>#NUM!</v>
      </c>
      <c r="L33" s="98"/>
      <c r="M33" s="97">
        <f t="shared" si="4"/>
        <v>0</v>
      </c>
      <c r="N33" s="86"/>
      <c r="O33" s="86"/>
      <c r="P33" s="86"/>
      <c r="Q33" s="86"/>
      <c r="R33" s="86"/>
    </row>
    <row r="34" spans="1:21" s="85" customFormat="1" x14ac:dyDescent="0.25">
      <c r="A34" s="103">
        <f t="shared" si="0"/>
        <v>0</v>
      </c>
      <c r="B34" s="36" t="str">
        <f t="shared" si="5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3" t="e">
        <f t="shared" si="2"/>
        <v>#NUM!</v>
      </c>
      <c r="K34" s="93" t="e">
        <f t="shared" si="3"/>
        <v>#NUM!</v>
      </c>
      <c r="L34" s="93"/>
      <c r="M34" s="92">
        <f t="shared" si="4"/>
        <v>0</v>
      </c>
      <c r="N34" s="86"/>
      <c r="O34" s="86"/>
      <c r="P34" s="86"/>
      <c r="Q34" s="86"/>
      <c r="R34" s="86"/>
    </row>
    <row r="35" spans="1:21" s="85" customFormat="1" x14ac:dyDescent="0.25">
      <c r="A35" s="102">
        <f t="shared" si="0"/>
        <v>0</v>
      </c>
      <c r="B35" s="42" t="str">
        <f t="shared" si="5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8" t="e">
        <f t="shared" si="2"/>
        <v>#NUM!</v>
      </c>
      <c r="K35" s="98" t="e">
        <f t="shared" si="3"/>
        <v>#NUM!</v>
      </c>
      <c r="L35" s="98"/>
      <c r="M35" s="97">
        <f t="shared" si="4"/>
        <v>0</v>
      </c>
      <c r="N35" s="86"/>
      <c r="O35" s="86"/>
      <c r="P35" s="86"/>
      <c r="Q35" s="86"/>
      <c r="R35" s="86"/>
    </row>
    <row r="36" spans="1:21" s="85" customFormat="1" x14ac:dyDescent="0.25">
      <c r="A36" s="103">
        <f t="shared" si="0"/>
        <v>0</v>
      </c>
      <c r="B36" s="36" t="str">
        <f t="shared" si="5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3" t="e">
        <f t="shared" si="2"/>
        <v>#NUM!</v>
      </c>
      <c r="K36" s="93" t="e">
        <f t="shared" si="3"/>
        <v>#NUM!</v>
      </c>
      <c r="L36" s="93"/>
      <c r="M36" s="92">
        <f t="shared" si="4"/>
        <v>0</v>
      </c>
      <c r="N36" s="86"/>
      <c r="O36" s="86"/>
      <c r="P36" s="86"/>
      <c r="Q36" s="86"/>
      <c r="R36" s="106"/>
      <c r="S36" s="105"/>
    </row>
    <row r="37" spans="1:21" s="85" customFormat="1" x14ac:dyDescent="0.25">
      <c r="A37" s="102">
        <f t="shared" si="0"/>
        <v>0</v>
      </c>
      <c r="B37" s="42" t="str">
        <f t="shared" si="5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8" t="e">
        <f t="shared" si="2"/>
        <v>#NUM!</v>
      </c>
      <c r="K37" s="98" t="e">
        <f t="shared" si="3"/>
        <v>#NUM!</v>
      </c>
      <c r="L37" s="98"/>
      <c r="M37" s="97">
        <f t="shared" si="4"/>
        <v>0</v>
      </c>
      <c r="N37" s="86"/>
      <c r="O37" s="86"/>
      <c r="P37" s="86"/>
      <c r="Q37" s="86"/>
      <c r="R37" s="86"/>
    </row>
    <row r="38" spans="1:21" s="85" customFormat="1" x14ac:dyDescent="0.25">
      <c r="A38" s="103"/>
      <c r="B38" s="36" t="str">
        <f t="shared" si="5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3" t="e">
        <f t="shared" si="2"/>
        <v>#NUM!</v>
      </c>
      <c r="K38" s="93" t="e">
        <f t="shared" si="3"/>
        <v>#NUM!</v>
      </c>
      <c r="L38" s="93"/>
      <c r="M38" s="92">
        <f t="shared" si="4"/>
        <v>0</v>
      </c>
      <c r="N38" s="86"/>
      <c r="O38" s="86"/>
      <c r="P38" s="86"/>
      <c r="Q38" s="86"/>
      <c r="R38" s="86"/>
    </row>
    <row r="39" spans="1:21" s="85" customFormat="1" x14ac:dyDescent="0.25">
      <c r="A39" s="102"/>
      <c r="B39" s="42" t="str">
        <f t="shared" si="5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8" t="e">
        <f t="shared" si="2"/>
        <v>#NUM!</v>
      </c>
      <c r="K39" s="98" t="e">
        <f t="shared" si="3"/>
        <v>#NUM!</v>
      </c>
      <c r="L39" s="98"/>
      <c r="M39" s="97">
        <f t="shared" si="4"/>
        <v>0</v>
      </c>
      <c r="N39" s="86"/>
      <c r="O39" s="86"/>
      <c r="P39" s="86"/>
      <c r="Q39" s="86"/>
      <c r="R39" s="86"/>
    </row>
    <row r="40" spans="1:21" s="85" customFormat="1" x14ac:dyDescent="0.25">
      <c r="A40" s="103"/>
      <c r="B40" s="36" t="str">
        <f t="shared" si="5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3" t="e">
        <f t="shared" si="2"/>
        <v>#NUM!</v>
      </c>
      <c r="K40" s="93" t="e">
        <f t="shared" si="3"/>
        <v>#NUM!</v>
      </c>
      <c r="L40" s="93"/>
      <c r="M40" s="92">
        <f t="shared" si="4"/>
        <v>0</v>
      </c>
      <c r="N40" s="86"/>
      <c r="O40" s="86"/>
      <c r="P40" s="86"/>
      <c r="Q40" s="86"/>
      <c r="R40" s="86"/>
    </row>
    <row r="41" spans="1:21" s="85" customFormat="1" x14ac:dyDescent="0.25">
      <c r="A41" s="102"/>
      <c r="B41" s="42" t="str">
        <f t="shared" si="5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8" t="e">
        <f t="shared" si="2"/>
        <v>#NUM!</v>
      </c>
      <c r="K41" s="98" t="e">
        <f t="shared" si="3"/>
        <v>#NUM!</v>
      </c>
      <c r="L41" s="98"/>
      <c r="M41" s="97">
        <f t="shared" si="4"/>
        <v>0</v>
      </c>
      <c r="N41" s="86"/>
      <c r="O41" s="86"/>
      <c r="P41" s="86"/>
      <c r="Q41" s="86"/>
      <c r="R41" s="86"/>
      <c r="S41" s="104"/>
    </row>
    <row r="42" spans="1:21" s="85" customFormat="1" x14ac:dyDescent="0.25">
      <c r="A42" s="103"/>
      <c r="B42" s="36" t="str">
        <f t="shared" ref="B42:B65" si="6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3" t="e">
        <f t="shared" si="2"/>
        <v>#NUM!</v>
      </c>
      <c r="K42" s="93" t="e">
        <f t="shared" si="3"/>
        <v>#NUM!</v>
      </c>
      <c r="L42" s="93"/>
      <c r="M42" s="92">
        <f t="shared" si="4"/>
        <v>0</v>
      </c>
      <c r="N42" s="86"/>
      <c r="O42" s="86"/>
      <c r="P42" s="86"/>
      <c r="Q42" s="86"/>
      <c r="R42" s="86"/>
    </row>
    <row r="43" spans="1:21" s="85" customFormat="1" x14ac:dyDescent="0.25">
      <c r="A43" s="102"/>
      <c r="B43" s="42" t="str">
        <f t="shared" si="6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8" t="e">
        <f t="shared" si="2"/>
        <v>#NUM!</v>
      </c>
      <c r="K43" s="98" t="e">
        <f t="shared" si="3"/>
        <v>#NUM!</v>
      </c>
      <c r="L43" s="98"/>
      <c r="M43" s="97">
        <f t="shared" si="4"/>
        <v>0</v>
      </c>
      <c r="N43" s="86"/>
      <c r="O43" s="86"/>
      <c r="P43" s="86"/>
      <c r="Q43" s="86"/>
      <c r="R43" s="86"/>
    </row>
    <row r="44" spans="1:21" s="85" customFormat="1" x14ac:dyDescent="0.25">
      <c r="A44" s="103"/>
      <c r="B44" s="36" t="str">
        <f t="shared" si="6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3" t="e">
        <f t="shared" si="2"/>
        <v>#NUM!</v>
      </c>
      <c r="K44" s="93" t="e">
        <f t="shared" si="3"/>
        <v>#NUM!</v>
      </c>
      <c r="L44" s="93"/>
      <c r="M44" s="92">
        <f t="shared" si="4"/>
        <v>0</v>
      </c>
      <c r="N44" s="86"/>
      <c r="O44" s="86"/>
      <c r="P44" s="86"/>
      <c r="Q44" s="86"/>
      <c r="R44" s="86"/>
    </row>
    <row r="45" spans="1:21" s="85" customFormat="1" x14ac:dyDescent="0.25">
      <c r="A45" s="102"/>
      <c r="B45" s="42" t="str">
        <f t="shared" si="6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8" t="e">
        <f t="shared" si="2"/>
        <v>#NUM!</v>
      </c>
      <c r="K45" s="98" t="e">
        <f t="shared" si="3"/>
        <v>#NUM!</v>
      </c>
      <c r="L45" s="98"/>
      <c r="M45" s="97">
        <f t="shared" si="4"/>
        <v>0</v>
      </c>
      <c r="N45" s="86"/>
      <c r="O45" s="86"/>
      <c r="P45" s="86"/>
      <c r="Q45" s="86"/>
      <c r="R45" s="86"/>
    </row>
    <row r="46" spans="1:21" s="85" customFormat="1" x14ac:dyDescent="0.25">
      <c r="A46" s="103"/>
      <c r="B46" s="36" t="str">
        <f t="shared" si="6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3" t="e">
        <f t="shared" si="2"/>
        <v>#NUM!</v>
      </c>
      <c r="K46" s="93" t="e">
        <f t="shared" si="3"/>
        <v>#NUM!</v>
      </c>
      <c r="L46" s="93"/>
      <c r="M46" s="92">
        <f t="shared" si="4"/>
        <v>0</v>
      </c>
      <c r="N46" s="86"/>
      <c r="O46" s="86"/>
      <c r="P46" s="86"/>
      <c r="Q46" s="86"/>
      <c r="R46" s="86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102"/>
      <c r="B47" s="42" t="str">
        <f t="shared" si="6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8" t="e">
        <f t="shared" si="2"/>
        <v>#NUM!</v>
      </c>
      <c r="K47" s="98" t="e">
        <f t="shared" si="3"/>
        <v>#NUM!</v>
      </c>
      <c r="L47" s="98"/>
      <c r="M47" s="97">
        <f t="shared" si="4"/>
        <v>0</v>
      </c>
      <c r="N47" s="86"/>
      <c r="O47" s="86"/>
      <c r="P47" s="86"/>
      <c r="Q47" s="86"/>
      <c r="R47" s="86"/>
    </row>
    <row r="48" spans="1:21" s="85" customFormat="1" x14ac:dyDescent="0.25">
      <c r="A48" s="103"/>
      <c r="B48" s="36" t="str">
        <f t="shared" si="6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3" t="e">
        <f t="shared" si="2"/>
        <v>#NUM!</v>
      </c>
      <c r="K48" s="93" t="e">
        <f t="shared" si="3"/>
        <v>#NUM!</v>
      </c>
      <c r="L48" s="93"/>
      <c r="M48" s="92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2"/>
      <c r="B49" s="42" t="str">
        <f t="shared" si="6"/>
        <v/>
      </c>
      <c r="C49" s="43"/>
      <c r="D49" s="43"/>
      <c r="E49" s="43"/>
      <c r="F49" s="43"/>
      <c r="H49" s="98">
        <v>44</v>
      </c>
      <c r="I49" s="99" t="str">
        <f t="shared" si="1"/>
        <v/>
      </c>
      <c r="J49" s="98" t="e">
        <f t="shared" si="2"/>
        <v>#NUM!</v>
      </c>
      <c r="K49" s="98" t="e">
        <f t="shared" si="3"/>
        <v>#NUM!</v>
      </c>
      <c r="L49" s="98"/>
      <c r="M49" s="97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6" customFormat="1" x14ac:dyDescent="0.25">
      <c r="A50" s="103"/>
      <c r="B50" s="36" t="str">
        <f t="shared" si="6"/>
        <v/>
      </c>
      <c r="C50" s="37"/>
      <c r="D50" s="37"/>
      <c r="E50" s="37"/>
      <c r="F50" s="37"/>
      <c r="H50" s="93">
        <v>45</v>
      </c>
      <c r="I50" s="94" t="str">
        <f t="shared" si="1"/>
        <v/>
      </c>
      <c r="J50" s="93" t="e">
        <f t="shared" si="2"/>
        <v>#NUM!</v>
      </c>
      <c r="K50" s="93" t="e">
        <f t="shared" si="3"/>
        <v>#NUM!</v>
      </c>
      <c r="L50" s="93"/>
      <c r="M50" s="92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6" customFormat="1" x14ac:dyDescent="0.25">
      <c r="A51" s="102"/>
      <c r="B51" s="42" t="str">
        <f t="shared" si="6"/>
        <v/>
      </c>
      <c r="C51" s="43"/>
      <c r="D51" s="43"/>
      <c r="E51" s="43"/>
      <c r="F51" s="43"/>
      <c r="H51" s="98">
        <v>46</v>
      </c>
      <c r="I51" s="99" t="str">
        <f t="shared" si="1"/>
        <v/>
      </c>
      <c r="J51" s="98" t="e">
        <f t="shared" si="2"/>
        <v>#NUM!</v>
      </c>
      <c r="K51" s="98" t="e">
        <f t="shared" si="3"/>
        <v>#NUM!</v>
      </c>
      <c r="L51" s="98"/>
      <c r="M51" s="97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6" customFormat="1" x14ac:dyDescent="0.25">
      <c r="A52" s="103"/>
      <c r="B52" s="36" t="str">
        <f t="shared" si="6"/>
        <v/>
      </c>
      <c r="C52" s="37"/>
      <c r="D52" s="37"/>
      <c r="E52" s="37"/>
      <c r="F52" s="37"/>
      <c r="H52" s="93">
        <v>47</v>
      </c>
      <c r="I52" s="94" t="str">
        <f t="shared" si="1"/>
        <v/>
      </c>
      <c r="J52" s="93" t="e">
        <f t="shared" si="2"/>
        <v>#NUM!</v>
      </c>
      <c r="K52" s="93" t="e">
        <f t="shared" si="3"/>
        <v>#NUM!</v>
      </c>
      <c r="L52" s="93"/>
      <c r="M52" s="92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6" customFormat="1" x14ac:dyDescent="0.25">
      <c r="A53" s="102"/>
      <c r="B53" s="42" t="str">
        <f t="shared" si="6"/>
        <v/>
      </c>
      <c r="C53" s="43"/>
      <c r="D53" s="43"/>
      <c r="E53" s="43"/>
      <c r="F53" s="43"/>
      <c r="H53" s="98">
        <v>48</v>
      </c>
      <c r="I53" s="99" t="str">
        <f t="shared" si="1"/>
        <v/>
      </c>
      <c r="J53" s="98" t="e">
        <f t="shared" si="2"/>
        <v>#NUM!</v>
      </c>
      <c r="K53" s="98" t="e">
        <f t="shared" si="3"/>
        <v>#NUM!</v>
      </c>
      <c r="L53" s="98"/>
      <c r="M53" s="97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6" customFormat="1" x14ac:dyDescent="0.25">
      <c r="A54" s="103"/>
      <c r="B54" s="36" t="str">
        <f t="shared" si="6"/>
        <v/>
      </c>
      <c r="C54" s="37"/>
      <c r="D54" s="37"/>
      <c r="E54" s="37"/>
      <c r="F54" s="37"/>
      <c r="H54" s="93">
        <v>49</v>
      </c>
      <c r="I54" s="94" t="str">
        <f t="shared" si="1"/>
        <v/>
      </c>
      <c r="J54" s="93" t="e">
        <f t="shared" si="2"/>
        <v>#NUM!</v>
      </c>
      <c r="K54" s="93" t="e">
        <f t="shared" si="3"/>
        <v>#NUM!</v>
      </c>
      <c r="L54" s="93"/>
      <c r="M54" s="92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6" customFormat="1" x14ac:dyDescent="0.25">
      <c r="A55" s="102"/>
      <c r="B55" s="42" t="str">
        <f t="shared" si="6"/>
        <v/>
      </c>
      <c r="C55" s="43"/>
      <c r="D55" s="43"/>
      <c r="E55" s="43"/>
      <c r="F55" s="43"/>
      <c r="H55" s="98">
        <v>50</v>
      </c>
      <c r="I55" s="99" t="str">
        <f t="shared" si="1"/>
        <v/>
      </c>
      <c r="J55" s="98" t="e">
        <f t="shared" si="2"/>
        <v>#NUM!</v>
      </c>
      <c r="K55" s="98" t="e">
        <f t="shared" si="3"/>
        <v>#NUM!</v>
      </c>
      <c r="L55" s="98"/>
      <c r="M55" s="97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6" customFormat="1" x14ac:dyDescent="0.25">
      <c r="A56" s="103"/>
      <c r="B56" s="36" t="str">
        <f t="shared" si="6"/>
        <v/>
      </c>
      <c r="C56" s="37"/>
      <c r="D56" s="37"/>
      <c r="E56" s="37"/>
      <c r="F56" s="37"/>
      <c r="H56" s="93">
        <v>51</v>
      </c>
      <c r="I56" s="94" t="str">
        <f t="shared" si="1"/>
        <v/>
      </c>
      <c r="J56" s="93" t="e">
        <f t="shared" si="2"/>
        <v>#NUM!</v>
      </c>
      <c r="K56" s="93" t="e">
        <f t="shared" si="3"/>
        <v>#NUM!</v>
      </c>
      <c r="L56" s="93"/>
      <c r="M56" s="92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6" customFormat="1" x14ac:dyDescent="0.25">
      <c r="A57" s="102"/>
      <c r="B57" s="42" t="str">
        <f t="shared" si="6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8" t="e">
        <f t="shared" si="2"/>
        <v>#NUM!</v>
      </c>
      <c r="K57" s="98" t="e">
        <f t="shared" si="3"/>
        <v>#NUM!</v>
      </c>
      <c r="L57" s="98"/>
      <c r="M57" s="97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3"/>
      <c r="B58" s="36" t="str">
        <f t="shared" si="6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3" t="e">
        <f t="shared" si="2"/>
        <v>#NUM!</v>
      </c>
      <c r="K58" s="93" t="e">
        <f t="shared" si="3"/>
        <v>#NUM!</v>
      </c>
      <c r="L58" s="93"/>
      <c r="M58" s="92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2"/>
      <c r="B59" s="42" t="str">
        <f t="shared" si="6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8" t="e">
        <f t="shared" si="2"/>
        <v>#NUM!</v>
      </c>
      <c r="K59" s="98" t="e">
        <f t="shared" si="3"/>
        <v>#NUM!</v>
      </c>
      <c r="L59" s="98"/>
      <c r="M59" s="97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3"/>
      <c r="B60" s="36" t="str">
        <f t="shared" si="6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3" t="e">
        <f t="shared" si="2"/>
        <v>#NUM!</v>
      </c>
      <c r="K60" s="93" t="e">
        <f t="shared" si="3"/>
        <v>#NUM!</v>
      </c>
      <c r="L60" s="93"/>
      <c r="M60" s="92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2"/>
      <c r="B61" s="42" t="str">
        <f t="shared" si="6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8" t="e">
        <f t="shared" si="2"/>
        <v>#NUM!</v>
      </c>
      <c r="K61" s="98" t="e">
        <f t="shared" si="3"/>
        <v>#NUM!</v>
      </c>
      <c r="L61" s="98"/>
      <c r="M61" s="97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3"/>
      <c r="B62" s="36" t="str">
        <f t="shared" si="6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3" t="e">
        <f t="shared" si="2"/>
        <v>#NUM!</v>
      </c>
      <c r="K62" s="93" t="e">
        <f t="shared" si="3"/>
        <v>#NUM!</v>
      </c>
      <c r="L62" s="93"/>
      <c r="M62" s="92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2"/>
      <c r="B63" s="42" t="str">
        <f t="shared" si="6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8" t="e">
        <f t="shared" si="2"/>
        <v>#NUM!</v>
      </c>
      <c r="K63" s="98" t="e">
        <f t="shared" si="3"/>
        <v>#NUM!</v>
      </c>
      <c r="L63" s="98"/>
      <c r="M63" s="97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3"/>
      <c r="B64" s="36" t="str">
        <f t="shared" si="6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3" t="e">
        <f t="shared" si="2"/>
        <v>#NUM!</v>
      </c>
      <c r="K64" s="93" t="e">
        <f t="shared" si="3"/>
        <v>#NUM!</v>
      </c>
      <c r="L64" s="93"/>
      <c r="M64" s="92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2"/>
      <c r="B65" s="42" t="str">
        <f t="shared" si="6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8" t="e">
        <f t="shared" si="2"/>
        <v>#NUM!</v>
      </c>
      <c r="K65" s="98" t="e">
        <f t="shared" si="3"/>
        <v>#NUM!</v>
      </c>
      <c r="L65" s="98"/>
      <c r="M65" s="97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96"/>
      <c r="B66" s="36"/>
      <c r="C66" s="84"/>
      <c r="D66" s="84"/>
      <c r="E66" s="84"/>
      <c r="F66" s="84"/>
      <c r="H66" s="93">
        <v>61</v>
      </c>
      <c r="I66" s="94" t="str">
        <f t="shared" si="1"/>
        <v/>
      </c>
      <c r="J66" s="93" t="e">
        <f t="shared" si="2"/>
        <v>#NUM!</v>
      </c>
      <c r="K66" s="93" t="e">
        <f t="shared" si="3"/>
        <v>#NUM!</v>
      </c>
      <c r="L66" s="93"/>
      <c r="M66" s="92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96"/>
      <c r="B67" s="42"/>
      <c r="C67" s="84"/>
      <c r="D67" s="84"/>
      <c r="E67" s="84"/>
      <c r="F67" s="84"/>
      <c r="H67" s="93">
        <v>62</v>
      </c>
      <c r="I67" s="94" t="str">
        <f t="shared" si="1"/>
        <v/>
      </c>
      <c r="J67" s="93" t="e">
        <f t="shared" si="2"/>
        <v>#NUM!</v>
      </c>
      <c r="K67" s="93" t="e">
        <f t="shared" si="3"/>
        <v>#NUM!</v>
      </c>
      <c r="L67" s="93"/>
      <c r="M67" s="92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96"/>
      <c r="B68" s="36"/>
      <c r="C68" s="84"/>
      <c r="D68" s="84"/>
      <c r="E68" s="84"/>
      <c r="F68" s="84"/>
      <c r="H68" s="93">
        <v>63</v>
      </c>
      <c r="I68" s="94" t="str">
        <f t="shared" si="1"/>
        <v/>
      </c>
      <c r="J68" s="93" t="e">
        <f t="shared" si="2"/>
        <v>#NUM!</v>
      </c>
      <c r="K68" s="93" t="e">
        <f t="shared" si="3"/>
        <v>#NUM!</v>
      </c>
      <c r="L68" s="93"/>
      <c r="M68" s="92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96"/>
      <c r="B69" s="42"/>
      <c r="C69" s="84"/>
      <c r="D69" s="84"/>
      <c r="E69" s="84"/>
      <c r="F69" s="84"/>
      <c r="H69" s="93">
        <v>64</v>
      </c>
      <c r="I69" s="94" t="str">
        <f t="shared" si="1"/>
        <v/>
      </c>
      <c r="J69" s="93" t="e">
        <f t="shared" si="2"/>
        <v>#NUM!</v>
      </c>
      <c r="K69" s="93" t="e">
        <f t="shared" si="3"/>
        <v>#NUM!</v>
      </c>
      <c r="L69" s="93"/>
      <c r="M69" s="92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96"/>
      <c r="B70" s="84"/>
      <c r="C70" s="84"/>
      <c r="D70" s="84"/>
      <c r="E70" s="84"/>
      <c r="F70" s="84"/>
      <c r="H70" s="93">
        <v>65</v>
      </c>
      <c r="I70" s="94" t="str">
        <f t="shared" ref="I70:I133" si="7">IF(H70&lt;$H$2+1,($I$2-($I$2-1)*(LOG(H70)/LOG($H$2))),"")</f>
        <v/>
      </c>
      <c r="J70" s="93" t="e">
        <f t="shared" ref="J70:J133" si="8">INT(LOG($H$2,2))-ROUNDUP(LOG(H70,2),0)+IF(OR($H$2=1,$H$2=2,$H$2=4,$H$2=8,$H$2=16,$H$2=32,$H$2=64,$H$2=128,$H$2=256),0,1)</f>
        <v>#NUM!</v>
      </c>
      <c r="K70" s="93" t="e">
        <f t="shared" ref="K70:K133" si="9">J70*$J$2</f>
        <v>#NUM!</v>
      </c>
      <c r="L70" s="93"/>
      <c r="M70" s="92">
        <f t="shared" ref="M70:M133" si="10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96"/>
      <c r="B71" s="84"/>
      <c r="C71" s="84"/>
      <c r="D71" s="84"/>
      <c r="E71" s="84"/>
      <c r="F71" s="84"/>
      <c r="H71" s="93">
        <v>66</v>
      </c>
      <c r="I71" s="94" t="str">
        <f t="shared" si="7"/>
        <v/>
      </c>
      <c r="J71" s="93" t="e">
        <f t="shared" si="8"/>
        <v>#NUM!</v>
      </c>
      <c r="K71" s="93" t="e">
        <f t="shared" si="9"/>
        <v>#NUM!</v>
      </c>
      <c r="L71" s="93"/>
      <c r="M71" s="92">
        <f t="shared" si="10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96"/>
      <c r="B72" s="84"/>
      <c r="C72" s="84"/>
      <c r="D72" s="84"/>
      <c r="E72" s="84"/>
      <c r="F72" s="84"/>
      <c r="H72" s="93">
        <v>67</v>
      </c>
      <c r="I72" s="94" t="str">
        <f t="shared" si="7"/>
        <v/>
      </c>
      <c r="J72" s="93" t="e">
        <f t="shared" si="8"/>
        <v>#NUM!</v>
      </c>
      <c r="K72" s="93" t="e">
        <f t="shared" si="9"/>
        <v>#NUM!</v>
      </c>
      <c r="L72" s="93"/>
      <c r="M72" s="92">
        <f t="shared" si="10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96"/>
      <c r="B73" s="84"/>
      <c r="C73" s="84"/>
      <c r="D73" s="84"/>
      <c r="E73" s="84"/>
      <c r="F73" s="84"/>
      <c r="H73" s="93">
        <v>68</v>
      </c>
      <c r="I73" s="94" t="str">
        <f t="shared" si="7"/>
        <v/>
      </c>
      <c r="J73" s="93" t="e">
        <f t="shared" si="8"/>
        <v>#NUM!</v>
      </c>
      <c r="K73" s="93" t="e">
        <f t="shared" si="9"/>
        <v>#NUM!</v>
      </c>
      <c r="L73" s="93"/>
      <c r="M73" s="92">
        <f t="shared" si="10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96"/>
      <c r="B74" s="84"/>
      <c r="C74" s="84"/>
      <c r="D74" s="84"/>
      <c r="E74" s="84"/>
      <c r="F74" s="84"/>
      <c r="H74" s="93">
        <v>69</v>
      </c>
      <c r="I74" s="94" t="str">
        <f t="shared" si="7"/>
        <v/>
      </c>
      <c r="J74" s="93" t="e">
        <f t="shared" si="8"/>
        <v>#NUM!</v>
      </c>
      <c r="K74" s="93" t="e">
        <f t="shared" si="9"/>
        <v>#NUM!</v>
      </c>
      <c r="L74" s="93"/>
      <c r="M74" s="92">
        <f t="shared" si="10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96"/>
      <c r="B75" s="84"/>
      <c r="C75" s="84"/>
      <c r="D75" s="84"/>
      <c r="E75" s="84"/>
      <c r="F75" s="84"/>
      <c r="H75" s="93">
        <v>70</v>
      </c>
      <c r="I75" s="94" t="str">
        <f t="shared" si="7"/>
        <v/>
      </c>
      <c r="J75" s="93" t="e">
        <f t="shared" si="8"/>
        <v>#NUM!</v>
      </c>
      <c r="K75" s="93" t="e">
        <f t="shared" si="9"/>
        <v>#NUM!</v>
      </c>
      <c r="L75" s="93"/>
      <c r="M75" s="92">
        <f t="shared" si="10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96"/>
      <c r="B76" s="84"/>
      <c r="C76" s="84"/>
      <c r="D76" s="84"/>
      <c r="E76" s="84"/>
      <c r="F76" s="84"/>
      <c r="H76" s="93">
        <v>71</v>
      </c>
      <c r="I76" s="94" t="str">
        <f t="shared" si="7"/>
        <v/>
      </c>
      <c r="J76" s="93" t="e">
        <f t="shared" si="8"/>
        <v>#NUM!</v>
      </c>
      <c r="K76" s="93" t="e">
        <f t="shared" si="9"/>
        <v>#NUM!</v>
      </c>
      <c r="L76" s="93"/>
      <c r="M76" s="92">
        <f t="shared" si="10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96"/>
      <c r="B77" s="84"/>
      <c r="C77" s="84"/>
      <c r="D77" s="84"/>
      <c r="E77" s="84"/>
      <c r="F77" s="84"/>
      <c r="H77" s="93">
        <v>72</v>
      </c>
      <c r="I77" s="94" t="str">
        <f t="shared" si="7"/>
        <v/>
      </c>
      <c r="J77" s="93" t="e">
        <f t="shared" si="8"/>
        <v>#NUM!</v>
      </c>
      <c r="K77" s="93" t="e">
        <f t="shared" si="9"/>
        <v>#NUM!</v>
      </c>
      <c r="L77" s="93"/>
      <c r="M77" s="92">
        <f t="shared" si="10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96"/>
      <c r="B78" s="84"/>
      <c r="C78" s="84"/>
      <c r="D78" s="84"/>
      <c r="E78" s="84"/>
      <c r="F78" s="84"/>
      <c r="H78" s="93">
        <v>73</v>
      </c>
      <c r="I78" s="94" t="str">
        <f t="shared" si="7"/>
        <v/>
      </c>
      <c r="J78" s="93" t="e">
        <f t="shared" si="8"/>
        <v>#NUM!</v>
      </c>
      <c r="K78" s="93" t="e">
        <f t="shared" si="9"/>
        <v>#NUM!</v>
      </c>
      <c r="L78" s="93"/>
      <c r="M78" s="92">
        <f t="shared" si="10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96"/>
      <c r="B79" s="84"/>
      <c r="C79" s="84"/>
      <c r="D79" s="84"/>
      <c r="E79" s="84"/>
      <c r="F79" s="84"/>
      <c r="H79" s="93">
        <v>74</v>
      </c>
      <c r="I79" s="94" t="str">
        <f t="shared" si="7"/>
        <v/>
      </c>
      <c r="J79" s="93" t="e">
        <f t="shared" si="8"/>
        <v>#NUM!</v>
      </c>
      <c r="K79" s="93" t="e">
        <f t="shared" si="9"/>
        <v>#NUM!</v>
      </c>
      <c r="L79" s="93"/>
      <c r="M79" s="92">
        <f t="shared" si="10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96"/>
      <c r="B80" s="84"/>
      <c r="C80" s="84"/>
      <c r="D80" s="84"/>
      <c r="E80" s="84"/>
      <c r="F80" s="84"/>
      <c r="H80" s="93">
        <v>75</v>
      </c>
      <c r="I80" s="94" t="str">
        <f t="shared" si="7"/>
        <v/>
      </c>
      <c r="J80" s="93" t="e">
        <f t="shared" si="8"/>
        <v>#NUM!</v>
      </c>
      <c r="K80" s="93" t="e">
        <f t="shared" si="9"/>
        <v>#NUM!</v>
      </c>
      <c r="L80" s="93"/>
      <c r="M80" s="92">
        <f t="shared" si="10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96"/>
      <c r="B81" s="84"/>
      <c r="C81" s="84"/>
      <c r="D81" s="84"/>
      <c r="E81" s="84"/>
      <c r="F81" s="84"/>
      <c r="H81" s="93">
        <v>76</v>
      </c>
      <c r="I81" s="94" t="str">
        <f t="shared" si="7"/>
        <v/>
      </c>
      <c r="J81" s="93" t="e">
        <f t="shared" si="8"/>
        <v>#NUM!</v>
      </c>
      <c r="K81" s="93" t="e">
        <f t="shared" si="9"/>
        <v>#NUM!</v>
      </c>
      <c r="L81" s="93"/>
      <c r="M81" s="92">
        <f t="shared" si="10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96"/>
      <c r="B82" s="84"/>
      <c r="C82" s="84"/>
      <c r="D82" s="84"/>
      <c r="E82" s="84"/>
      <c r="F82" s="84"/>
      <c r="H82" s="93">
        <v>77</v>
      </c>
      <c r="I82" s="94" t="str">
        <f t="shared" si="7"/>
        <v/>
      </c>
      <c r="J82" s="93" t="e">
        <f t="shared" si="8"/>
        <v>#NUM!</v>
      </c>
      <c r="K82" s="93" t="e">
        <f t="shared" si="9"/>
        <v>#NUM!</v>
      </c>
      <c r="L82" s="93"/>
      <c r="M82" s="92">
        <f t="shared" si="10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96"/>
      <c r="B83" s="84"/>
      <c r="C83" s="84"/>
      <c r="D83" s="84"/>
      <c r="E83" s="84"/>
      <c r="F83" s="84"/>
      <c r="H83" s="93">
        <v>78</v>
      </c>
      <c r="I83" s="94" t="str">
        <f t="shared" si="7"/>
        <v/>
      </c>
      <c r="J83" s="93" t="e">
        <f t="shared" si="8"/>
        <v>#NUM!</v>
      </c>
      <c r="K83" s="93" t="e">
        <f t="shared" si="9"/>
        <v>#NUM!</v>
      </c>
      <c r="L83" s="93"/>
      <c r="M83" s="92">
        <f t="shared" si="10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96"/>
      <c r="B84" s="84"/>
      <c r="C84" s="84"/>
      <c r="D84" s="84"/>
      <c r="E84" s="84"/>
      <c r="F84" s="84"/>
      <c r="H84" s="93">
        <v>79</v>
      </c>
      <c r="I84" s="94" t="str">
        <f t="shared" si="7"/>
        <v/>
      </c>
      <c r="J84" s="93" t="e">
        <f t="shared" si="8"/>
        <v>#NUM!</v>
      </c>
      <c r="K84" s="93" t="e">
        <f t="shared" si="9"/>
        <v>#NUM!</v>
      </c>
      <c r="L84" s="93"/>
      <c r="M84" s="92">
        <f t="shared" si="10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96"/>
      <c r="B85" s="84"/>
      <c r="C85" s="84"/>
      <c r="D85" s="84"/>
      <c r="E85" s="84"/>
      <c r="F85" s="84"/>
      <c r="H85" s="93">
        <v>80</v>
      </c>
      <c r="I85" s="94" t="str">
        <f t="shared" si="7"/>
        <v/>
      </c>
      <c r="J85" s="93" t="e">
        <f t="shared" si="8"/>
        <v>#NUM!</v>
      </c>
      <c r="K85" s="93" t="e">
        <f t="shared" si="9"/>
        <v>#NUM!</v>
      </c>
      <c r="L85" s="93"/>
      <c r="M85" s="92">
        <f t="shared" si="10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96"/>
      <c r="B86" s="84"/>
      <c r="C86" s="84"/>
      <c r="D86" s="84"/>
      <c r="E86" s="84"/>
      <c r="F86" s="84"/>
      <c r="H86" s="93">
        <v>81</v>
      </c>
      <c r="I86" s="94" t="str">
        <f t="shared" si="7"/>
        <v/>
      </c>
      <c r="J86" s="93" t="e">
        <f t="shared" si="8"/>
        <v>#NUM!</v>
      </c>
      <c r="K86" s="93" t="e">
        <f t="shared" si="9"/>
        <v>#NUM!</v>
      </c>
      <c r="L86" s="93"/>
      <c r="M86" s="92">
        <f t="shared" si="10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96"/>
      <c r="B87" s="84"/>
      <c r="C87" s="84"/>
      <c r="D87" s="84"/>
      <c r="E87" s="84"/>
      <c r="F87" s="84"/>
      <c r="H87" s="93">
        <v>82</v>
      </c>
      <c r="I87" s="94" t="str">
        <f t="shared" si="7"/>
        <v/>
      </c>
      <c r="J87" s="93" t="e">
        <f t="shared" si="8"/>
        <v>#NUM!</v>
      </c>
      <c r="K87" s="93" t="e">
        <f t="shared" si="9"/>
        <v>#NUM!</v>
      </c>
      <c r="L87" s="93"/>
      <c r="M87" s="92">
        <f t="shared" si="10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96"/>
      <c r="B88" s="84"/>
      <c r="C88" s="84"/>
      <c r="D88" s="84"/>
      <c r="E88" s="84"/>
      <c r="F88" s="84"/>
      <c r="H88" s="93">
        <v>83</v>
      </c>
      <c r="I88" s="94" t="str">
        <f t="shared" si="7"/>
        <v/>
      </c>
      <c r="J88" s="93" t="e">
        <f t="shared" si="8"/>
        <v>#NUM!</v>
      </c>
      <c r="K88" s="93" t="e">
        <f t="shared" si="9"/>
        <v>#NUM!</v>
      </c>
      <c r="L88" s="93"/>
      <c r="M88" s="92">
        <f t="shared" si="10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96"/>
      <c r="B89" s="84"/>
      <c r="C89" s="84"/>
      <c r="D89" s="84"/>
      <c r="E89" s="84"/>
      <c r="F89" s="84"/>
      <c r="H89" s="93">
        <v>84</v>
      </c>
      <c r="I89" s="94" t="str">
        <f t="shared" si="7"/>
        <v/>
      </c>
      <c r="J89" s="93" t="e">
        <f t="shared" si="8"/>
        <v>#NUM!</v>
      </c>
      <c r="K89" s="93" t="e">
        <f t="shared" si="9"/>
        <v>#NUM!</v>
      </c>
      <c r="L89" s="93"/>
      <c r="M89" s="92">
        <f t="shared" si="10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96"/>
      <c r="B90" s="84"/>
      <c r="C90" s="84"/>
      <c r="D90" s="84"/>
      <c r="E90" s="84"/>
      <c r="F90" s="84"/>
      <c r="H90" s="93">
        <v>85</v>
      </c>
      <c r="I90" s="94" t="str">
        <f t="shared" si="7"/>
        <v/>
      </c>
      <c r="J90" s="93" t="e">
        <f t="shared" si="8"/>
        <v>#NUM!</v>
      </c>
      <c r="K90" s="93" t="e">
        <f t="shared" si="9"/>
        <v>#NUM!</v>
      </c>
      <c r="L90" s="93"/>
      <c r="M90" s="92">
        <f t="shared" si="10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96"/>
      <c r="B91" s="84"/>
      <c r="C91" s="84"/>
      <c r="D91" s="84"/>
      <c r="E91" s="84"/>
      <c r="F91" s="84"/>
      <c r="H91" s="93">
        <v>86</v>
      </c>
      <c r="I91" s="94" t="str">
        <f t="shared" si="7"/>
        <v/>
      </c>
      <c r="J91" s="93" t="e">
        <f t="shared" si="8"/>
        <v>#NUM!</v>
      </c>
      <c r="K91" s="93" t="e">
        <f t="shared" si="9"/>
        <v>#NUM!</v>
      </c>
      <c r="L91" s="93"/>
      <c r="M91" s="92">
        <f t="shared" si="10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96"/>
      <c r="B92" s="84"/>
      <c r="C92" s="84"/>
      <c r="D92" s="84"/>
      <c r="E92" s="84"/>
      <c r="F92" s="84"/>
      <c r="H92" s="93">
        <v>87</v>
      </c>
      <c r="I92" s="94" t="str">
        <f t="shared" si="7"/>
        <v/>
      </c>
      <c r="J92" s="93" t="e">
        <f t="shared" si="8"/>
        <v>#NUM!</v>
      </c>
      <c r="K92" s="93" t="e">
        <f t="shared" si="9"/>
        <v>#NUM!</v>
      </c>
      <c r="L92" s="93"/>
      <c r="M92" s="92">
        <f t="shared" si="10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96"/>
      <c r="B93" s="84"/>
      <c r="C93" s="84"/>
      <c r="D93" s="84"/>
      <c r="E93" s="84"/>
      <c r="F93" s="84"/>
      <c r="H93" s="93">
        <v>88</v>
      </c>
      <c r="I93" s="94" t="str">
        <f t="shared" si="7"/>
        <v/>
      </c>
      <c r="J93" s="93" t="e">
        <f t="shared" si="8"/>
        <v>#NUM!</v>
      </c>
      <c r="K93" s="93" t="e">
        <f t="shared" si="9"/>
        <v>#NUM!</v>
      </c>
      <c r="L93" s="93"/>
      <c r="M93" s="92">
        <f t="shared" si="10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96"/>
      <c r="B94" s="84"/>
      <c r="C94" s="84"/>
      <c r="D94" s="84"/>
      <c r="E94" s="84"/>
      <c r="F94" s="84"/>
      <c r="H94" s="93">
        <v>89</v>
      </c>
      <c r="I94" s="94" t="str">
        <f t="shared" si="7"/>
        <v/>
      </c>
      <c r="J94" s="93" t="e">
        <f t="shared" si="8"/>
        <v>#NUM!</v>
      </c>
      <c r="K94" s="93" t="e">
        <f t="shared" si="9"/>
        <v>#NUM!</v>
      </c>
      <c r="L94" s="93"/>
      <c r="M94" s="92">
        <f t="shared" si="10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96"/>
      <c r="B95" s="84"/>
      <c r="C95" s="84"/>
      <c r="D95" s="84"/>
      <c r="E95" s="84"/>
      <c r="F95" s="84"/>
      <c r="H95" s="93">
        <v>90</v>
      </c>
      <c r="I95" s="94" t="str">
        <f t="shared" si="7"/>
        <v/>
      </c>
      <c r="J95" s="93" t="e">
        <f t="shared" si="8"/>
        <v>#NUM!</v>
      </c>
      <c r="K95" s="93" t="e">
        <f t="shared" si="9"/>
        <v>#NUM!</v>
      </c>
      <c r="L95" s="93"/>
      <c r="M95" s="92">
        <f t="shared" si="10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96"/>
      <c r="B96" s="84"/>
      <c r="C96" s="84"/>
      <c r="D96" s="84"/>
      <c r="E96" s="84"/>
      <c r="F96" s="84"/>
      <c r="H96" s="93">
        <v>91</v>
      </c>
      <c r="I96" s="94" t="str">
        <f t="shared" si="7"/>
        <v/>
      </c>
      <c r="J96" s="93" t="e">
        <f t="shared" si="8"/>
        <v>#NUM!</v>
      </c>
      <c r="K96" s="93" t="e">
        <f t="shared" si="9"/>
        <v>#NUM!</v>
      </c>
      <c r="L96" s="93"/>
      <c r="M96" s="92">
        <f t="shared" si="10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96"/>
      <c r="B97" s="84"/>
      <c r="C97" s="84"/>
      <c r="D97" s="84"/>
      <c r="E97" s="84"/>
      <c r="F97" s="84"/>
      <c r="H97" s="93">
        <v>92</v>
      </c>
      <c r="I97" s="94" t="str">
        <f t="shared" si="7"/>
        <v/>
      </c>
      <c r="J97" s="93" t="e">
        <f t="shared" si="8"/>
        <v>#NUM!</v>
      </c>
      <c r="K97" s="93" t="e">
        <f t="shared" si="9"/>
        <v>#NUM!</v>
      </c>
      <c r="L97" s="93"/>
      <c r="M97" s="92">
        <f t="shared" si="10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96"/>
      <c r="B98" s="84"/>
      <c r="C98" s="84"/>
      <c r="D98" s="84"/>
      <c r="E98" s="84"/>
      <c r="F98" s="84"/>
      <c r="H98" s="93">
        <v>93</v>
      </c>
      <c r="I98" s="94" t="str">
        <f t="shared" si="7"/>
        <v/>
      </c>
      <c r="J98" s="93" t="e">
        <f t="shared" si="8"/>
        <v>#NUM!</v>
      </c>
      <c r="K98" s="93" t="e">
        <f t="shared" si="9"/>
        <v>#NUM!</v>
      </c>
      <c r="L98" s="93"/>
      <c r="M98" s="92">
        <f t="shared" si="10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96"/>
      <c r="B99" s="84"/>
      <c r="C99" s="84"/>
      <c r="D99" s="84"/>
      <c r="E99" s="84"/>
      <c r="F99" s="84"/>
      <c r="H99" s="93">
        <v>94</v>
      </c>
      <c r="I99" s="94" t="str">
        <f t="shared" si="7"/>
        <v/>
      </c>
      <c r="J99" s="93" t="e">
        <f t="shared" si="8"/>
        <v>#NUM!</v>
      </c>
      <c r="K99" s="93" t="e">
        <f t="shared" si="9"/>
        <v>#NUM!</v>
      </c>
      <c r="L99" s="93"/>
      <c r="M99" s="92">
        <f t="shared" si="10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96"/>
      <c r="B100" s="84"/>
      <c r="C100" s="84"/>
      <c r="D100" s="84"/>
      <c r="E100" s="84"/>
      <c r="F100" s="84"/>
      <c r="H100" s="93">
        <v>95</v>
      </c>
      <c r="I100" s="94" t="str">
        <f t="shared" si="7"/>
        <v/>
      </c>
      <c r="J100" s="93" t="e">
        <f t="shared" si="8"/>
        <v>#NUM!</v>
      </c>
      <c r="K100" s="93" t="e">
        <f t="shared" si="9"/>
        <v>#NUM!</v>
      </c>
      <c r="L100" s="93"/>
      <c r="M100" s="92">
        <f t="shared" si="10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95"/>
      <c r="B101" s="84"/>
      <c r="C101" s="84"/>
      <c r="D101" s="84"/>
      <c r="E101" s="84"/>
      <c r="F101" s="84"/>
      <c r="H101" s="93">
        <v>96</v>
      </c>
      <c r="I101" s="94" t="str">
        <f t="shared" si="7"/>
        <v/>
      </c>
      <c r="J101" s="93" t="e">
        <f t="shared" si="8"/>
        <v>#NUM!</v>
      </c>
      <c r="K101" s="93" t="e">
        <f t="shared" si="9"/>
        <v>#NUM!</v>
      </c>
      <c r="L101" s="93"/>
      <c r="M101" s="92">
        <f t="shared" si="10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95"/>
      <c r="B102" s="84"/>
      <c r="C102" s="84"/>
      <c r="D102" s="84"/>
      <c r="E102" s="84"/>
      <c r="F102" s="84"/>
      <c r="H102" s="93">
        <v>97</v>
      </c>
      <c r="I102" s="94" t="str">
        <f t="shared" si="7"/>
        <v/>
      </c>
      <c r="J102" s="93" t="e">
        <f t="shared" si="8"/>
        <v>#NUM!</v>
      </c>
      <c r="K102" s="93" t="e">
        <f t="shared" si="9"/>
        <v>#NUM!</v>
      </c>
      <c r="L102" s="93"/>
      <c r="M102" s="92">
        <f t="shared" si="10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95"/>
      <c r="B103" s="84"/>
      <c r="C103" s="84"/>
      <c r="D103" s="84"/>
      <c r="E103" s="84"/>
      <c r="F103" s="84"/>
      <c r="H103" s="93">
        <v>98</v>
      </c>
      <c r="I103" s="94" t="str">
        <f t="shared" si="7"/>
        <v/>
      </c>
      <c r="J103" s="93" t="e">
        <f t="shared" si="8"/>
        <v>#NUM!</v>
      </c>
      <c r="K103" s="93" t="e">
        <f t="shared" si="9"/>
        <v>#NUM!</v>
      </c>
      <c r="L103" s="93"/>
      <c r="M103" s="92">
        <f t="shared" si="10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95"/>
      <c r="B104" s="84"/>
      <c r="C104" s="84"/>
      <c r="D104" s="84"/>
      <c r="E104" s="84"/>
      <c r="F104" s="84"/>
      <c r="H104" s="93">
        <v>99</v>
      </c>
      <c r="I104" s="94" t="str">
        <f t="shared" si="7"/>
        <v/>
      </c>
      <c r="J104" s="93" t="e">
        <f t="shared" si="8"/>
        <v>#NUM!</v>
      </c>
      <c r="K104" s="93" t="e">
        <f t="shared" si="9"/>
        <v>#NUM!</v>
      </c>
      <c r="L104" s="93"/>
      <c r="M104" s="92">
        <f t="shared" si="10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95"/>
      <c r="B105" s="84"/>
      <c r="C105" s="84"/>
      <c r="D105" s="84"/>
      <c r="E105" s="84"/>
      <c r="F105" s="84"/>
      <c r="H105" s="93">
        <v>100</v>
      </c>
      <c r="I105" s="94" t="str">
        <f t="shared" si="7"/>
        <v/>
      </c>
      <c r="J105" s="93" t="e">
        <f t="shared" si="8"/>
        <v>#NUM!</v>
      </c>
      <c r="K105" s="93" t="e">
        <f t="shared" si="9"/>
        <v>#NUM!</v>
      </c>
      <c r="L105" s="93"/>
      <c r="M105" s="92">
        <f t="shared" si="10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95"/>
      <c r="B106" s="84"/>
      <c r="C106" s="84"/>
      <c r="D106" s="84"/>
      <c r="E106" s="84"/>
      <c r="F106" s="84"/>
      <c r="H106" s="93">
        <v>101</v>
      </c>
      <c r="I106" s="94" t="str">
        <f t="shared" si="7"/>
        <v/>
      </c>
      <c r="J106" s="93" t="e">
        <f t="shared" si="8"/>
        <v>#NUM!</v>
      </c>
      <c r="K106" s="93" t="e">
        <f t="shared" si="9"/>
        <v>#NUM!</v>
      </c>
      <c r="L106" s="93"/>
      <c r="M106" s="92">
        <f t="shared" si="10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95"/>
      <c r="B107" s="84"/>
      <c r="C107" s="84"/>
      <c r="D107" s="84"/>
      <c r="E107" s="84"/>
      <c r="F107" s="84"/>
      <c r="H107" s="93">
        <v>102</v>
      </c>
      <c r="I107" s="94" t="str">
        <f t="shared" si="7"/>
        <v/>
      </c>
      <c r="J107" s="93" t="e">
        <f t="shared" si="8"/>
        <v>#NUM!</v>
      </c>
      <c r="K107" s="93" t="e">
        <f t="shared" si="9"/>
        <v>#NUM!</v>
      </c>
      <c r="L107" s="93"/>
      <c r="M107" s="92">
        <f t="shared" si="10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95"/>
      <c r="B108" s="84"/>
      <c r="C108" s="84"/>
      <c r="D108" s="84"/>
      <c r="E108" s="84"/>
      <c r="F108" s="84"/>
      <c r="H108" s="93">
        <v>103</v>
      </c>
      <c r="I108" s="94" t="str">
        <f t="shared" si="7"/>
        <v/>
      </c>
      <c r="J108" s="93" t="e">
        <f t="shared" si="8"/>
        <v>#NUM!</v>
      </c>
      <c r="K108" s="93" t="e">
        <f t="shared" si="9"/>
        <v>#NUM!</v>
      </c>
      <c r="L108" s="93"/>
      <c r="M108" s="92">
        <f t="shared" si="10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95"/>
      <c r="B109" s="84"/>
      <c r="C109" s="84"/>
      <c r="D109" s="84"/>
      <c r="E109" s="84"/>
      <c r="F109" s="84"/>
      <c r="H109" s="93">
        <v>104</v>
      </c>
      <c r="I109" s="94" t="str">
        <f t="shared" si="7"/>
        <v/>
      </c>
      <c r="J109" s="93" t="e">
        <f t="shared" si="8"/>
        <v>#NUM!</v>
      </c>
      <c r="K109" s="93" t="e">
        <f t="shared" si="9"/>
        <v>#NUM!</v>
      </c>
      <c r="L109" s="93"/>
      <c r="M109" s="92">
        <f t="shared" si="10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95"/>
      <c r="B110" s="84"/>
      <c r="C110" s="84"/>
      <c r="D110" s="84"/>
      <c r="E110" s="84"/>
      <c r="F110" s="84"/>
      <c r="H110" s="93">
        <v>105</v>
      </c>
      <c r="I110" s="94" t="str">
        <f t="shared" si="7"/>
        <v/>
      </c>
      <c r="J110" s="93" t="e">
        <f t="shared" si="8"/>
        <v>#NUM!</v>
      </c>
      <c r="K110" s="93" t="e">
        <f t="shared" si="9"/>
        <v>#NUM!</v>
      </c>
      <c r="L110" s="93"/>
      <c r="M110" s="92">
        <f t="shared" si="10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95"/>
      <c r="B111" s="84"/>
      <c r="C111" s="84"/>
      <c r="D111" s="84"/>
      <c r="E111" s="84"/>
      <c r="F111" s="84"/>
      <c r="H111" s="93">
        <v>106</v>
      </c>
      <c r="I111" s="94" t="str">
        <f t="shared" si="7"/>
        <v/>
      </c>
      <c r="J111" s="93" t="e">
        <f t="shared" si="8"/>
        <v>#NUM!</v>
      </c>
      <c r="K111" s="93" t="e">
        <f t="shared" si="9"/>
        <v>#NUM!</v>
      </c>
      <c r="L111" s="93"/>
      <c r="M111" s="92">
        <f t="shared" si="10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95"/>
      <c r="B112" s="84"/>
      <c r="C112" s="84"/>
      <c r="D112" s="84"/>
      <c r="E112" s="84"/>
      <c r="F112" s="84"/>
      <c r="H112" s="93">
        <v>107</v>
      </c>
      <c r="I112" s="94" t="str">
        <f t="shared" si="7"/>
        <v/>
      </c>
      <c r="J112" s="93" t="e">
        <f t="shared" si="8"/>
        <v>#NUM!</v>
      </c>
      <c r="K112" s="93" t="e">
        <f t="shared" si="9"/>
        <v>#NUM!</v>
      </c>
      <c r="L112" s="93"/>
      <c r="M112" s="92">
        <f t="shared" si="10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95"/>
      <c r="B113" s="84"/>
      <c r="C113" s="84"/>
      <c r="D113" s="84"/>
      <c r="E113" s="84"/>
      <c r="F113" s="84"/>
      <c r="H113" s="93">
        <v>108</v>
      </c>
      <c r="I113" s="94" t="str">
        <f t="shared" si="7"/>
        <v/>
      </c>
      <c r="J113" s="93" t="e">
        <f t="shared" si="8"/>
        <v>#NUM!</v>
      </c>
      <c r="K113" s="93" t="e">
        <f t="shared" si="9"/>
        <v>#NUM!</v>
      </c>
      <c r="L113" s="93"/>
      <c r="M113" s="92">
        <f t="shared" si="10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95"/>
      <c r="B114" s="84"/>
      <c r="C114" s="84"/>
      <c r="D114" s="84"/>
      <c r="E114" s="84"/>
      <c r="F114" s="84"/>
      <c r="H114" s="93">
        <v>109</v>
      </c>
      <c r="I114" s="94" t="str">
        <f t="shared" si="7"/>
        <v/>
      </c>
      <c r="J114" s="93" t="e">
        <f t="shared" si="8"/>
        <v>#NUM!</v>
      </c>
      <c r="K114" s="93" t="e">
        <f t="shared" si="9"/>
        <v>#NUM!</v>
      </c>
      <c r="L114" s="93"/>
      <c r="M114" s="92">
        <f t="shared" si="10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95"/>
      <c r="B115" s="84"/>
      <c r="C115" s="84"/>
      <c r="D115" s="84"/>
      <c r="E115" s="84"/>
      <c r="F115" s="84"/>
      <c r="H115" s="93">
        <v>110</v>
      </c>
      <c r="I115" s="94" t="str">
        <f t="shared" si="7"/>
        <v/>
      </c>
      <c r="J115" s="93" t="e">
        <f t="shared" si="8"/>
        <v>#NUM!</v>
      </c>
      <c r="K115" s="93" t="e">
        <f t="shared" si="9"/>
        <v>#NUM!</v>
      </c>
      <c r="L115" s="93"/>
      <c r="M115" s="92">
        <f t="shared" si="10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95"/>
      <c r="B116" s="84"/>
      <c r="C116" s="84"/>
      <c r="D116" s="84"/>
      <c r="E116" s="84"/>
      <c r="F116" s="84"/>
      <c r="H116" s="93">
        <v>111</v>
      </c>
      <c r="I116" s="94" t="str">
        <f t="shared" si="7"/>
        <v/>
      </c>
      <c r="J116" s="93" t="e">
        <f t="shared" si="8"/>
        <v>#NUM!</v>
      </c>
      <c r="K116" s="93" t="e">
        <f t="shared" si="9"/>
        <v>#NUM!</v>
      </c>
      <c r="L116" s="93"/>
      <c r="M116" s="92">
        <f t="shared" si="10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95"/>
      <c r="B117" s="84"/>
      <c r="C117" s="84"/>
      <c r="D117" s="84"/>
      <c r="E117" s="84"/>
      <c r="F117" s="84"/>
      <c r="H117" s="93">
        <v>112</v>
      </c>
      <c r="I117" s="94" t="str">
        <f t="shared" si="7"/>
        <v/>
      </c>
      <c r="J117" s="93" t="e">
        <f t="shared" si="8"/>
        <v>#NUM!</v>
      </c>
      <c r="K117" s="93" t="e">
        <f t="shared" si="9"/>
        <v>#NUM!</v>
      </c>
      <c r="L117" s="93"/>
      <c r="M117" s="92">
        <f t="shared" si="10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95"/>
      <c r="B118" s="84"/>
      <c r="C118" s="84"/>
      <c r="D118" s="84"/>
      <c r="E118" s="84"/>
      <c r="F118" s="84"/>
      <c r="H118" s="93">
        <v>113</v>
      </c>
      <c r="I118" s="94" t="str">
        <f t="shared" si="7"/>
        <v/>
      </c>
      <c r="J118" s="93" t="e">
        <f t="shared" si="8"/>
        <v>#NUM!</v>
      </c>
      <c r="K118" s="93" t="e">
        <f t="shared" si="9"/>
        <v>#NUM!</v>
      </c>
      <c r="L118" s="93"/>
      <c r="M118" s="92">
        <f t="shared" si="10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95"/>
      <c r="B119" s="84"/>
      <c r="C119" s="84"/>
      <c r="D119" s="84"/>
      <c r="E119" s="84"/>
      <c r="F119" s="84"/>
      <c r="H119" s="93">
        <v>114</v>
      </c>
      <c r="I119" s="94" t="str">
        <f t="shared" si="7"/>
        <v/>
      </c>
      <c r="J119" s="93" t="e">
        <f t="shared" si="8"/>
        <v>#NUM!</v>
      </c>
      <c r="K119" s="93" t="e">
        <f t="shared" si="9"/>
        <v>#NUM!</v>
      </c>
      <c r="L119" s="93"/>
      <c r="M119" s="92">
        <f t="shared" si="10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95"/>
      <c r="B120" s="84"/>
      <c r="C120" s="84"/>
      <c r="D120" s="84"/>
      <c r="E120" s="84"/>
      <c r="F120" s="84"/>
      <c r="H120" s="93">
        <v>115</v>
      </c>
      <c r="I120" s="94" t="str">
        <f t="shared" si="7"/>
        <v/>
      </c>
      <c r="J120" s="93" t="e">
        <f t="shared" si="8"/>
        <v>#NUM!</v>
      </c>
      <c r="K120" s="93" t="e">
        <f t="shared" si="9"/>
        <v>#NUM!</v>
      </c>
      <c r="L120" s="93"/>
      <c r="M120" s="92">
        <f t="shared" si="10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95"/>
      <c r="B121" s="84"/>
      <c r="C121" s="84"/>
      <c r="D121" s="84"/>
      <c r="E121" s="84"/>
      <c r="F121" s="84"/>
      <c r="H121" s="93">
        <v>116</v>
      </c>
      <c r="I121" s="94" t="str">
        <f t="shared" si="7"/>
        <v/>
      </c>
      <c r="J121" s="93" t="e">
        <f t="shared" si="8"/>
        <v>#NUM!</v>
      </c>
      <c r="K121" s="93" t="e">
        <f t="shared" si="9"/>
        <v>#NUM!</v>
      </c>
      <c r="L121" s="93"/>
      <c r="M121" s="92">
        <f t="shared" si="10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95"/>
      <c r="B122" s="84"/>
      <c r="C122" s="84"/>
      <c r="D122" s="84"/>
      <c r="E122" s="84"/>
      <c r="F122" s="84"/>
      <c r="H122" s="93">
        <v>117</v>
      </c>
      <c r="I122" s="94" t="str">
        <f t="shared" si="7"/>
        <v/>
      </c>
      <c r="J122" s="93" t="e">
        <f t="shared" si="8"/>
        <v>#NUM!</v>
      </c>
      <c r="K122" s="93" t="e">
        <f t="shared" si="9"/>
        <v>#NUM!</v>
      </c>
      <c r="L122" s="93"/>
      <c r="M122" s="92">
        <f t="shared" si="10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95"/>
      <c r="B123" s="84"/>
      <c r="C123" s="84"/>
      <c r="D123" s="84"/>
      <c r="E123" s="84"/>
      <c r="F123" s="84"/>
      <c r="H123" s="93">
        <v>118</v>
      </c>
      <c r="I123" s="94" t="str">
        <f t="shared" si="7"/>
        <v/>
      </c>
      <c r="J123" s="93" t="e">
        <f t="shared" si="8"/>
        <v>#NUM!</v>
      </c>
      <c r="K123" s="93" t="e">
        <f t="shared" si="9"/>
        <v>#NUM!</v>
      </c>
      <c r="L123" s="93"/>
      <c r="M123" s="92">
        <f t="shared" si="10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95"/>
      <c r="B124" s="84"/>
      <c r="C124" s="84"/>
      <c r="D124" s="84"/>
      <c r="E124" s="84"/>
      <c r="F124" s="84"/>
      <c r="H124" s="93">
        <v>119</v>
      </c>
      <c r="I124" s="94" t="str">
        <f t="shared" si="7"/>
        <v/>
      </c>
      <c r="J124" s="93" t="e">
        <f t="shared" si="8"/>
        <v>#NUM!</v>
      </c>
      <c r="K124" s="93" t="e">
        <f t="shared" si="9"/>
        <v>#NUM!</v>
      </c>
      <c r="L124" s="93"/>
      <c r="M124" s="92">
        <f t="shared" si="10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95"/>
      <c r="B125" s="84"/>
      <c r="C125" s="84"/>
      <c r="D125" s="84"/>
      <c r="E125" s="84"/>
      <c r="F125" s="84"/>
      <c r="H125" s="93">
        <v>120</v>
      </c>
      <c r="I125" s="94" t="str">
        <f t="shared" si="7"/>
        <v/>
      </c>
      <c r="J125" s="93" t="e">
        <f t="shared" si="8"/>
        <v>#NUM!</v>
      </c>
      <c r="K125" s="93" t="e">
        <f t="shared" si="9"/>
        <v>#NUM!</v>
      </c>
      <c r="L125" s="93"/>
      <c r="M125" s="92">
        <f t="shared" si="10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95"/>
      <c r="B126" s="84"/>
      <c r="C126" s="84"/>
      <c r="D126" s="84"/>
      <c r="E126" s="84"/>
      <c r="F126" s="84"/>
      <c r="H126" s="93">
        <v>121</v>
      </c>
      <c r="I126" s="94" t="str">
        <f t="shared" si="7"/>
        <v/>
      </c>
      <c r="J126" s="93" t="e">
        <f t="shared" si="8"/>
        <v>#NUM!</v>
      </c>
      <c r="K126" s="93" t="e">
        <f t="shared" si="9"/>
        <v>#NUM!</v>
      </c>
      <c r="L126" s="93"/>
      <c r="M126" s="92">
        <f t="shared" si="10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95"/>
      <c r="B127" s="84"/>
      <c r="C127" s="84"/>
      <c r="D127" s="84"/>
      <c r="E127" s="84"/>
      <c r="F127" s="84"/>
      <c r="H127" s="93">
        <v>122</v>
      </c>
      <c r="I127" s="94" t="str">
        <f t="shared" si="7"/>
        <v/>
      </c>
      <c r="J127" s="93" t="e">
        <f t="shared" si="8"/>
        <v>#NUM!</v>
      </c>
      <c r="K127" s="93" t="e">
        <f t="shared" si="9"/>
        <v>#NUM!</v>
      </c>
      <c r="L127" s="93"/>
      <c r="M127" s="92">
        <f t="shared" si="10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95"/>
      <c r="B128" s="84"/>
      <c r="C128" s="84"/>
      <c r="D128" s="84"/>
      <c r="E128" s="84"/>
      <c r="F128" s="84"/>
      <c r="H128" s="93">
        <v>123</v>
      </c>
      <c r="I128" s="94" t="str">
        <f t="shared" si="7"/>
        <v/>
      </c>
      <c r="J128" s="93" t="e">
        <f t="shared" si="8"/>
        <v>#NUM!</v>
      </c>
      <c r="K128" s="93" t="e">
        <f t="shared" si="9"/>
        <v>#NUM!</v>
      </c>
      <c r="L128" s="93"/>
      <c r="M128" s="92">
        <f t="shared" si="10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95"/>
      <c r="B129" s="84"/>
      <c r="C129" s="84"/>
      <c r="D129" s="84"/>
      <c r="E129" s="84"/>
      <c r="F129" s="84"/>
      <c r="H129" s="93">
        <v>124</v>
      </c>
      <c r="I129" s="94" t="str">
        <f t="shared" si="7"/>
        <v/>
      </c>
      <c r="J129" s="93" t="e">
        <f t="shared" si="8"/>
        <v>#NUM!</v>
      </c>
      <c r="K129" s="93" t="e">
        <f t="shared" si="9"/>
        <v>#NUM!</v>
      </c>
      <c r="L129" s="93"/>
      <c r="M129" s="92">
        <f t="shared" si="10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95"/>
      <c r="B130" s="84"/>
      <c r="C130" s="84"/>
      <c r="D130" s="84"/>
      <c r="E130" s="84"/>
      <c r="F130" s="84"/>
      <c r="H130" s="93">
        <v>125</v>
      </c>
      <c r="I130" s="94" t="str">
        <f t="shared" si="7"/>
        <v/>
      </c>
      <c r="J130" s="93" t="e">
        <f t="shared" si="8"/>
        <v>#NUM!</v>
      </c>
      <c r="K130" s="93" t="e">
        <f t="shared" si="9"/>
        <v>#NUM!</v>
      </c>
      <c r="L130" s="93"/>
      <c r="M130" s="92">
        <f t="shared" si="10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95"/>
      <c r="B131" s="84"/>
      <c r="C131" s="84"/>
      <c r="D131" s="84"/>
      <c r="E131" s="84"/>
      <c r="F131" s="84"/>
      <c r="H131" s="93">
        <v>126</v>
      </c>
      <c r="I131" s="94" t="str">
        <f t="shared" si="7"/>
        <v/>
      </c>
      <c r="J131" s="93" t="e">
        <f t="shared" si="8"/>
        <v>#NUM!</v>
      </c>
      <c r="K131" s="93" t="e">
        <f t="shared" si="9"/>
        <v>#NUM!</v>
      </c>
      <c r="L131" s="93"/>
      <c r="M131" s="92">
        <f t="shared" si="10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95"/>
      <c r="B132" s="84"/>
      <c r="C132" s="84"/>
      <c r="D132" s="84"/>
      <c r="E132" s="84"/>
      <c r="F132" s="84"/>
      <c r="H132" s="93">
        <v>127</v>
      </c>
      <c r="I132" s="94" t="str">
        <f t="shared" si="7"/>
        <v/>
      </c>
      <c r="J132" s="93" t="e">
        <f t="shared" si="8"/>
        <v>#NUM!</v>
      </c>
      <c r="K132" s="93" t="e">
        <f t="shared" si="9"/>
        <v>#NUM!</v>
      </c>
      <c r="L132" s="93"/>
      <c r="M132" s="92">
        <f t="shared" si="10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95"/>
      <c r="B133" s="84"/>
      <c r="C133" s="84"/>
      <c r="D133" s="84"/>
      <c r="E133" s="84"/>
      <c r="F133" s="84"/>
      <c r="H133" s="93">
        <v>128</v>
      </c>
      <c r="I133" s="94" t="str">
        <f t="shared" si="7"/>
        <v/>
      </c>
      <c r="J133" s="93" t="e">
        <f t="shared" si="8"/>
        <v>#NUM!</v>
      </c>
      <c r="K133" s="93" t="e">
        <f t="shared" si="9"/>
        <v>#NUM!</v>
      </c>
      <c r="L133" s="93"/>
      <c r="M133" s="92">
        <f t="shared" si="10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95"/>
      <c r="B134" s="84"/>
      <c r="C134" s="84"/>
      <c r="D134" s="84"/>
      <c r="E134" s="84"/>
      <c r="F134" s="84"/>
      <c r="H134" s="93">
        <v>129</v>
      </c>
      <c r="I134" s="94" t="str">
        <f t="shared" ref="I134:I197" si="11">IF(H134&lt;$H$2+1,($I$2-($I$2-1)*(LOG(H134)/LOG($H$2))),"")</f>
        <v/>
      </c>
      <c r="J134" s="93" t="e">
        <f t="shared" ref="J134:J197" si="12">INT(LOG($H$2,2))-ROUNDUP(LOG(H134,2),0)+IF(OR($H$2=1,$H$2=2,$H$2=4,$H$2=8,$H$2=16,$H$2=32,$H$2=64,$H$2=128,$H$2=256),0,1)</f>
        <v>#NUM!</v>
      </c>
      <c r="K134" s="93" t="e">
        <f t="shared" ref="K134:K197" si="13">J134*$J$2</f>
        <v>#NUM!</v>
      </c>
      <c r="L134" s="93"/>
      <c r="M134" s="92">
        <f t="shared" ref="M134:M197" si="14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95"/>
      <c r="B135" s="84"/>
      <c r="C135" s="84"/>
      <c r="D135" s="84"/>
      <c r="E135" s="84"/>
      <c r="F135" s="84"/>
      <c r="H135" s="93">
        <v>130</v>
      </c>
      <c r="I135" s="94" t="str">
        <f t="shared" si="11"/>
        <v/>
      </c>
      <c r="J135" s="93" t="e">
        <f t="shared" si="12"/>
        <v>#NUM!</v>
      </c>
      <c r="K135" s="93" t="e">
        <f t="shared" si="13"/>
        <v>#NUM!</v>
      </c>
      <c r="L135" s="93"/>
      <c r="M135" s="92">
        <f t="shared" si="14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95"/>
      <c r="B136" s="84"/>
      <c r="C136" s="84"/>
      <c r="D136" s="84"/>
      <c r="E136" s="84"/>
      <c r="F136" s="84"/>
      <c r="H136" s="93">
        <v>131</v>
      </c>
      <c r="I136" s="94" t="str">
        <f t="shared" si="11"/>
        <v/>
      </c>
      <c r="J136" s="93" t="e">
        <f t="shared" si="12"/>
        <v>#NUM!</v>
      </c>
      <c r="K136" s="93" t="e">
        <f t="shared" si="13"/>
        <v>#NUM!</v>
      </c>
      <c r="L136" s="93"/>
      <c r="M136" s="92">
        <f t="shared" si="14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95"/>
      <c r="B137" s="84"/>
      <c r="C137" s="84"/>
      <c r="D137" s="84"/>
      <c r="E137" s="84"/>
      <c r="F137" s="84"/>
      <c r="H137" s="93">
        <v>132</v>
      </c>
      <c r="I137" s="94" t="str">
        <f t="shared" si="11"/>
        <v/>
      </c>
      <c r="J137" s="93" t="e">
        <f t="shared" si="12"/>
        <v>#NUM!</v>
      </c>
      <c r="K137" s="93" t="e">
        <f t="shared" si="13"/>
        <v>#NUM!</v>
      </c>
      <c r="L137" s="93"/>
      <c r="M137" s="92">
        <f t="shared" si="14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95"/>
      <c r="B138" s="84"/>
      <c r="C138" s="84"/>
      <c r="D138" s="84"/>
      <c r="E138" s="84"/>
      <c r="F138" s="84"/>
      <c r="H138" s="93">
        <v>133</v>
      </c>
      <c r="I138" s="94" t="str">
        <f t="shared" si="11"/>
        <v/>
      </c>
      <c r="J138" s="93" t="e">
        <f t="shared" si="12"/>
        <v>#NUM!</v>
      </c>
      <c r="K138" s="93" t="e">
        <f t="shared" si="13"/>
        <v>#NUM!</v>
      </c>
      <c r="L138" s="93"/>
      <c r="M138" s="92">
        <f t="shared" si="14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95"/>
      <c r="B139" s="84"/>
      <c r="C139" s="84"/>
      <c r="D139" s="84"/>
      <c r="E139" s="84"/>
      <c r="F139" s="84"/>
      <c r="H139" s="93">
        <v>134</v>
      </c>
      <c r="I139" s="94" t="str">
        <f t="shared" si="11"/>
        <v/>
      </c>
      <c r="J139" s="93" t="e">
        <f t="shared" si="12"/>
        <v>#NUM!</v>
      </c>
      <c r="K139" s="93" t="e">
        <f t="shared" si="13"/>
        <v>#NUM!</v>
      </c>
      <c r="L139" s="93"/>
      <c r="M139" s="92">
        <f t="shared" si="14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95"/>
      <c r="B140" s="84"/>
      <c r="C140" s="84"/>
      <c r="D140" s="84"/>
      <c r="E140" s="84"/>
      <c r="F140" s="84"/>
      <c r="H140" s="93">
        <v>135</v>
      </c>
      <c r="I140" s="94" t="str">
        <f t="shared" si="11"/>
        <v/>
      </c>
      <c r="J140" s="93" t="e">
        <f t="shared" si="12"/>
        <v>#NUM!</v>
      </c>
      <c r="K140" s="93" t="e">
        <f t="shared" si="13"/>
        <v>#NUM!</v>
      </c>
      <c r="L140" s="93"/>
      <c r="M140" s="92">
        <f t="shared" si="14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6" customFormat="1" x14ac:dyDescent="0.25">
      <c r="A141" s="95"/>
      <c r="B141" s="84"/>
      <c r="C141" s="84"/>
      <c r="D141" s="84"/>
      <c r="E141" s="84"/>
      <c r="F141" s="84"/>
      <c r="H141" s="93">
        <v>136</v>
      </c>
      <c r="I141" s="94" t="str">
        <f t="shared" si="11"/>
        <v/>
      </c>
      <c r="J141" s="93" t="e">
        <f t="shared" si="12"/>
        <v>#NUM!</v>
      </c>
      <c r="K141" s="93" t="e">
        <f t="shared" si="13"/>
        <v>#NUM!</v>
      </c>
      <c r="L141" s="93"/>
      <c r="M141" s="92">
        <f t="shared" si="14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6" customFormat="1" x14ac:dyDescent="0.25">
      <c r="A142" s="95"/>
      <c r="B142" s="84"/>
      <c r="C142" s="84"/>
      <c r="D142" s="84"/>
      <c r="E142" s="84"/>
      <c r="F142" s="84"/>
      <c r="H142" s="93">
        <v>137</v>
      </c>
      <c r="I142" s="94" t="str">
        <f t="shared" si="11"/>
        <v/>
      </c>
      <c r="J142" s="93" t="e">
        <f t="shared" si="12"/>
        <v>#NUM!</v>
      </c>
      <c r="K142" s="93" t="e">
        <f t="shared" si="13"/>
        <v>#NUM!</v>
      </c>
      <c r="L142" s="93"/>
      <c r="M142" s="92">
        <f t="shared" si="14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6" customFormat="1" x14ac:dyDescent="0.25">
      <c r="A143" s="95"/>
      <c r="B143" s="84"/>
      <c r="C143" s="84"/>
      <c r="D143" s="84"/>
      <c r="E143" s="84"/>
      <c r="F143" s="84"/>
      <c r="H143" s="93">
        <v>138</v>
      </c>
      <c r="I143" s="94" t="str">
        <f t="shared" si="11"/>
        <v/>
      </c>
      <c r="J143" s="93" t="e">
        <f t="shared" si="12"/>
        <v>#NUM!</v>
      </c>
      <c r="K143" s="93" t="e">
        <f t="shared" si="13"/>
        <v>#NUM!</v>
      </c>
      <c r="L143" s="93"/>
      <c r="M143" s="92">
        <f t="shared" si="14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6" customFormat="1" x14ac:dyDescent="0.25">
      <c r="A144" s="95"/>
      <c r="B144" s="84"/>
      <c r="C144" s="84"/>
      <c r="D144" s="84"/>
      <c r="E144" s="84"/>
      <c r="F144" s="84"/>
      <c r="H144" s="93">
        <v>139</v>
      </c>
      <c r="I144" s="94" t="str">
        <f t="shared" si="11"/>
        <v/>
      </c>
      <c r="J144" s="93" t="e">
        <f t="shared" si="12"/>
        <v>#NUM!</v>
      </c>
      <c r="K144" s="93" t="e">
        <f t="shared" si="13"/>
        <v>#NUM!</v>
      </c>
      <c r="L144" s="93"/>
      <c r="M144" s="92">
        <f t="shared" si="14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6" customFormat="1" x14ac:dyDescent="0.25">
      <c r="A145" s="95"/>
      <c r="B145" s="84"/>
      <c r="C145" s="84"/>
      <c r="D145" s="84"/>
      <c r="E145" s="84"/>
      <c r="F145" s="84"/>
      <c r="H145" s="93">
        <v>140</v>
      </c>
      <c r="I145" s="94" t="str">
        <f t="shared" si="11"/>
        <v/>
      </c>
      <c r="J145" s="93" t="e">
        <f t="shared" si="12"/>
        <v>#NUM!</v>
      </c>
      <c r="K145" s="93" t="e">
        <f t="shared" si="13"/>
        <v>#NUM!</v>
      </c>
      <c r="L145" s="93"/>
      <c r="M145" s="92">
        <f t="shared" si="14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5"/>
      <c r="B146" s="84"/>
      <c r="C146" s="84"/>
      <c r="D146" s="84"/>
      <c r="E146" s="84"/>
      <c r="F146" s="84"/>
      <c r="H146" s="93">
        <v>141</v>
      </c>
      <c r="I146" s="94" t="str">
        <f t="shared" si="11"/>
        <v/>
      </c>
      <c r="J146" s="93" t="e">
        <f t="shared" si="12"/>
        <v>#NUM!</v>
      </c>
      <c r="K146" s="93" t="e">
        <f t="shared" si="13"/>
        <v>#NUM!</v>
      </c>
      <c r="L146" s="93"/>
      <c r="M146" s="92">
        <f t="shared" si="14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5"/>
      <c r="B147" s="84"/>
      <c r="C147" s="84"/>
      <c r="D147" s="84"/>
      <c r="E147" s="84"/>
      <c r="F147" s="84"/>
      <c r="H147" s="93">
        <v>142</v>
      </c>
      <c r="I147" s="94" t="str">
        <f t="shared" si="11"/>
        <v/>
      </c>
      <c r="J147" s="93" t="e">
        <f t="shared" si="12"/>
        <v>#NUM!</v>
      </c>
      <c r="K147" s="93" t="e">
        <f t="shared" si="13"/>
        <v>#NUM!</v>
      </c>
      <c r="L147" s="93"/>
      <c r="M147" s="92">
        <f t="shared" si="14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5"/>
      <c r="B148" s="84"/>
      <c r="C148" s="84"/>
      <c r="D148" s="84"/>
      <c r="E148" s="84"/>
      <c r="F148" s="84"/>
      <c r="H148" s="93">
        <v>143</v>
      </c>
      <c r="I148" s="94" t="str">
        <f t="shared" si="11"/>
        <v/>
      </c>
      <c r="J148" s="93" t="e">
        <f t="shared" si="12"/>
        <v>#NUM!</v>
      </c>
      <c r="K148" s="93" t="e">
        <f t="shared" si="13"/>
        <v>#NUM!</v>
      </c>
      <c r="L148" s="93"/>
      <c r="M148" s="92">
        <f t="shared" si="14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5"/>
      <c r="B149" s="84"/>
      <c r="C149" s="84"/>
      <c r="D149" s="84"/>
      <c r="E149" s="84"/>
      <c r="F149" s="84"/>
      <c r="H149" s="93">
        <v>144</v>
      </c>
      <c r="I149" s="94" t="str">
        <f t="shared" si="11"/>
        <v/>
      </c>
      <c r="J149" s="93" t="e">
        <f t="shared" si="12"/>
        <v>#NUM!</v>
      </c>
      <c r="K149" s="93" t="e">
        <f t="shared" si="13"/>
        <v>#NUM!</v>
      </c>
      <c r="L149" s="93"/>
      <c r="M149" s="92">
        <f t="shared" si="14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5"/>
      <c r="B150" s="84"/>
      <c r="C150" s="84"/>
      <c r="D150" s="84"/>
      <c r="E150" s="84"/>
      <c r="F150" s="84"/>
      <c r="H150" s="93">
        <v>145</v>
      </c>
      <c r="I150" s="94" t="str">
        <f t="shared" si="11"/>
        <v/>
      </c>
      <c r="J150" s="93" t="e">
        <f t="shared" si="12"/>
        <v>#NUM!</v>
      </c>
      <c r="K150" s="93" t="e">
        <f t="shared" si="13"/>
        <v>#NUM!</v>
      </c>
      <c r="L150" s="93"/>
      <c r="M150" s="92">
        <f t="shared" si="14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5"/>
      <c r="B151" s="84"/>
      <c r="C151" s="84"/>
      <c r="D151" s="84"/>
      <c r="E151" s="84"/>
      <c r="F151" s="84"/>
      <c r="H151" s="93">
        <v>146</v>
      </c>
      <c r="I151" s="94" t="str">
        <f t="shared" si="11"/>
        <v/>
      </c>
      <c r="J151" s="93" t="e">
        <f t="shared" si="12"/>
        <v>#NUM!</v>
      </c>
      <c r="K151" s="93" t="e">
        <f t="shared" si="13"/>
        <v>#NUM!</v>
      </c>
      <c r="L151" s="93"/>
      <c r="M151" s="92">
        <f t="shared" si="14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5"/>
      <c r="B152" s="84"/>
      <c r="C152" s="84"/>
      <c r="D152" s="84"/>
      <c r="E152" s="84"/>
      <c r="F152" s="84"/>
      <c r="H152" s="93">
        <v>147</v>
      </c>
      <c r="I152" s="94" t="str">
        <f t="shared" si="11"/>
        <v/>
      </c>
      <c r="J152" s="93" t="e">
        <f t="shared" si="12"/>
        <v>#NUM!</v>
      </c>
      <c r="K152" s="93" t="e">
        <f t="shared" si="13"/>
        <v>#NUM!</v>
      </c>
      <c r="L152" s="93"/>
      <c r="M152" s="92">
        <f t="shared" si="14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5"/>
      <c r="B153" s="84"/>
      <c r="C153" s="84"/>
      <c r="D153" s="84"/>
      <c r="E153" s="84"/>
      <c r="F153" s="84"/>
      <c r="H153" s="93">
        <v>148</v>
      </c>
      <c r="I153" s="94" t="str">
        <f t="shared" si="11"/>
        <v/>
      </c>
      <c r="J153" s="93" t="e">
        <f t="shared" si="12"/>
        <v>#NUM!</v>
      </c>
      <c r="K153" s="93" t="e">
        <f t="shared" si="13"/>
        <v>#NUM!</v>
      </c>
      <c r="L153" s="93"/>
      <c r="M153" s="92">
        <f t="shared" si="14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5"/>
      <c r="B154" s="84"/>
      <c r="C154" s="84"/>
      <c r="D154" s="84"/>
      <c r="E154" s="84"/>
      <c r="F154" s="84"/>
      <c r="H154" s="93">
        <v>149</v>
      </c>
      <c r="I154" s="94" t="str">
        <f t="shared" si="11"/>
        <v/>
      </c>
      <c r="J154" s="93" t="e">
        <f t="shared" si="12"/>
        <v>#NUM!</v>
      </c>
      <c r="K154" s="93" t="e">
        <f t="shared" si="13"/>
        <v>#NUM!</v>
      </c>
      <c r="L154" s="93"/>
      <c r="M154" s="92">
        <f t="shared" si="14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3">
        <v>150</v>
      </c>
      <c r="I155" s="94" t="str">
        <f t="shared" si="11"/>
        <v/>
      </c>
      <c r="J155" s="93" t="e">
        <f t="shared" si="12"/>
        <v>#NUM!</v>
      </c>
      <c r="K155" s="93" t="e">
        <f t="shared" si="13"/>
        <v>#NUM!</v>
      </c>
      <c r="L155" s="93"/>
      <c r="M155" s="92">
        <f t="shared" si="14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1"/>
        <v/>
      </c>
      <c r="J156" s="93" t="e">
        <f t="shared" si="12"/>
        <v>#NUM!</v>
      </c>
      <c r="K156" s="93" t="e">
        <f t="shared" si="13"/>
        <v>#NUM!</v>
      </c>
      <c r="L156" s="93"/>
      <c r="M156" s="92">
        <f t="shared" si="14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3">
        <v>152</v>
      </c>
      <c r="I157" s="94" t="str">
        <f t="shared" si="11"/>
        <v/>
      </c>
      <c r="J157" s="93" t="e">
        <f t="shared" si="12"/>
        <v>#NUM!</v>
      </c>
      <c r="K157" s="93" t="e">
        <f t="shared" si="13"/>
        <v>#NUM!</v>
      </c>
      <c r="L157" s="93"/>
      <c r="M157" s="92">
        <f t="shared" si="14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1"/>
        <v/>
      </c>
      <c r="J158" s="93" t="e">
        <f t="shared" si="12"/>
        <v>#NUM!</v>
      </c>
      <c r="K158" s="93" t="e">
        <f t="shared" si="13"/>
        <v>#NUM!</v>
      </c>
      <c r="L158" s="93"/>
      <c r="M158" s="92">
        <f t="shared" si="14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3">
        <v>154</v>
      </c>
      <c r="I159" s="94" t="str">
        <f t="shared" si="11"/>
        <v/>
      </c>
      <c r="J159" s="93" t="e">
        <f t="shared" si="12"/>
        <v>#NUM!</v>
      </c>
      <c r="K159" s="93" t="e">
        <f t="shared" si="13"/>
        <v>#NUM!</v>
      </c>
      <c r="L159" s="93"/>
      <c r="M159" s="92">
        <f t="shared" si="14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1"/>
        <v/>
      </c>
      <c r="J160" s="93" t="e">
        <f t="shared" si="12"/>
        <v>#NUM!</v>
      </c>
      <c r="K160" s="93" t="e">
        <f t="shared" si="13"/>
        <v>#NUM!</v>
      </c>
      <c r="L160" s="93"/>
      <c r="M160" s="92">
        <f t="shared" si="14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3">
        <v>156</v>
      </c>
      <c r="I161" s="94" t="str">
        <f t="shared" si="11"/>
        <v/>
      </c>
      <c r="J161" s="93" t="e">
        <f t="shared" si="12"/>
        <v>#NUM!</v>
      </c>
      <c r="K161" s="93" t="e">
        <f t="shared" si="13"/>
        <v>#NUM!</v>
      </c>
      <c r="L161" s="93"/>
      <c r="M161" s="92">
        <f t="shared" si="14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1"/>
        <v/>
      </c>
      <c r="J162" s="93" t="e">
        <f t="shared" si="12"/>
        <v>#NUM!</v>
      </c>
      <c r="K162" s="93" t="e">
        <f t="shared" si="13"/>
        <v>#NUM!</v>
      </c>
      <c r="L162" s="93"/>
      <c r="M162" s="92">
        <f t="shared" si="14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3">
        <v>158</v>
      </c>
      <c r="I163" s="94" t="str">
        <f t="shared" si="11"/>
        <v/>
      </c>
      <c r="J163" s="93" t="e">
        <f t="shared" si="12"/>
        <v>#NUM!</v>
      </c>
      <c r="K163" s="93" t="e">
        <f t="shared" si="13"/>
        <v>#NUM!</v>
      </c>
      <c r="L163" s="93"/>
      <c r="M163" s="92">
        <f t="shared" si="14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1"/>
        <v/>
      </c>
      <c r="J164" s="93" t="e">
        <f t="shared" si="12"/>
        <v>#NUM!</v>
      </c>
      <c r="K164" s="93" t="e">
        <f t="shared" si="13"/>
        <v>#NUM!</v>
      </c>
      <c r="L164" s="93"/>
      <c r="M164" s="92">
        <f t="shared" si="14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3">
        <v>160</v>
      </c>
      <c r="I165" s="94" t="str">
        <f t="shared" si="11"/>
        <v/>
      </c>
      <c r="J165" s="93" t="e">
        <f t="shared" si="12"/>
        <v>#NUM!</v>
      </c>
      <c r="K165" s="93" t="e">
        <f t="shared" si="13"/>
        <v>#NUM!</v>
      </c>
      <c r="L165" s="93"/>
      <c r="M165" s="92">
        <f t="shared" si="14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1"/>
        <v/>
      </c>
      <c r="J166" s="93" t="e">
        <f t="shared" si="12"/>
        <v>#NUM!</v>
      </c>
      <c r="K166" s="93" t="e">
        <f t="shared" si="13"/>
        <v>#NUM!</v>
      </c>
      <c r="L166" s="93"/>
      <c r="M166" s="92">
        <f t="shared" si="14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3">
        <v>162</v>
      </c>
      <c r="I167" s="94" t="str">
        <f t="shared" si="11"/>
        <v/>
      </c>
      <c r="J167" s="93" t="e">
        <f t="shared" si="12"/>
        <v>#NUM!</v>
      </c>
      <c r="K167" s="93" t="e">
        <f t="shared" si="13"/>
        <v>#NUM!</v>
      </c>
      <c r="L167" s="93"/>
      <c r="M167" s="92">
        <f t="shared" si="14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1"/>
        <v/>
      </c>
      <c r="J168" s="93" t="e">
        <f t="shared" si="12"/>
        <v>#NUM!</v>
      </c>
      <c r="K168" s="93" t="e">
        <f t="shared" si="13"/>
        <v>#NUM!</v>
      </c>
      <c r="L168" s="93"/>
      <c r="M168" s="92">
        <f t="shared" si="14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3">
        <v>164</v>
      </c>
      <c r="I169" s="94" t="str">
        <f t="shared" si="11"/>
        <v/>
      </c>
      <c r="J169" s="93" t="e">
        <f t="shared" si="12"/>
        <v>#NUM!</v>
      </c>
      <c r="K169" s="93" t="e">
        <f t="shared" si="13"/>
        <v>#NUM!</v>
      </c>
      <c r="L169" s="93"/>
      <c r="M169" s="92">
        <f t="shared" si="14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1"/>
        <v/>
      </c>
      <c r="J170" s="93" t="e">
        <f t="shared" si="12"/>
        <v>#NUM!</v>
      </c>
      <c r="K170" s="93" t="e">
        <f t="shared" si="13"/>
        <v>#NUM!</v>
      </c>
      <c r="L170" s="93"/>
      <c r="M170" s="92">
        <f t="shared" si="14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3">
        <v>166</v>
      </c>
      <c r="I171" s="94" t="str">
        <f t="shared" si="11"/>
        <v/>
      </c>
      <c r="J171" s="93" t="e">
        <f t="shared" si="12"/>
        <v>#NUM!</v>
      </c>
      <c r="K171" s="93" t="e">
        <f t="shared" si="13"/>
        <v>#NUM!</v>
      </c>
      <c r="L171" s="93"/>
      <c r="M171" s="92">
        <f t="shared" si="14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1"/>
        <v/>
      </c>
      <c r="J172" s="93" t="e">
        <f t="shared" si="12"/>
        <v>#NUM!</v>
      </c>
      <c r="K172" s="93" t="e">
        <f t="shared" si="13"/>
        <v>#NUM!</v>
      </c>
      <c r="L172" s="93"/>
      <c r="M172" s="92">
        <f t="shared" si="14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3">
        <v>168</v>
      </c>
      <c r="I173" s="94" t="str">
        <f t="shared" si="11"/>
        <v/>
      </c>
      <c r="J173" s="93" t="e">
        <f t="shared" si="12"/>
        <v>#NUM!</v>
      </c>
      <c r="K173" s="93" t="e">
        <f t="shared" si="13"/>
        <v>#NUM!</v>
      </c>
      <c r="L173" s="93"/>
      <c r="M173" s="92">
        <f t="shared" si="14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1"/>
        <v/>
      </c>
      <c r="J174" s="93" t="e">
        <f t="shared" si="12"/>
        <v>#NUM!</v>
      </c>
      <c r="K174" s="93" t="e">
        <f t="shared" si="13"/>
        <v>#NUM!</v>
      </c>
      <c r="L174" s="93"/>
      <c r="M174" s="92">
        <f t="shared" si="14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3">
        <v>170</v>
      </c>
      <c r="I175" s="94" t="str">
        <f t="shared" si="11"/>
        <v/>
      </c>
      <c r="J175" s="93" t="e">
        <f t="shared" si="12"/>
        <v>#NUM!</v>
      </c>
      <c r="K175" s="93" t="e">
        <f t="shared" si="13"/>
        <v>#NUM!</v>
      </c>
      <c r="L175" s="93"/>
      <c r="M175" s="92">
        <f t="shared" si="14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1"/>
        <v/>
      </c>
      <c r="J176" s="93" t="e">
        <f t="shared" si="12"/>
        <v>#NUM!</v>
      </c>
      <c r="K176" s="93" t="e">
        <f t="shared" si="13"/>
        <v>#NUM!</v>
      </c>
      <c r="L176" s="93"/>
      <c r="M176" s="92">
        <f t="shared" si="14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3">
        <v>172</v>
      </c>
      <c r="I177" s="94" t="str">
        <f t="shared" si="11"/>
        <v/>
      </c>
      <c r="J177" s="93" t="e">
        <f t="shared" si="12"/>
        <v>#NUM!</v>
      </c>
      <c r="K177" s="93" t="e">
        <f t="shared" si="13"/>
        <v>#NUM!</v>
      </c>
      <c r="L177" s="93"/>
      <c r="M177" s="92">
        <f t="shared" si="14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1"/>
        <v/>
      </c>
      <c r="J178" s="93" t="e">
        <f t="shared" si="12"/>
        <v>#NUM!</v>
      </c>
      <c r="K178" s="93" t="e">
        <f t="shared" si="13"/>
        <v>#NUM!</v>
      </c>
      <c r="L178" s="93"/>
      <c r="M178" s="92">
        <f t="shared" si="14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3">
        <v>174</v>
      </c>
      <c r="I179" s="94" t="str">
        <f t="shared" si="11"/>
        <v/>
      </c>
      <c r="J179" s="93" t="e">
        <f t="shared" si="12"/>
        <v>#NUM!</v>
      </c>
      <c r="K179" s="93" t="e">
        <f t="shared" si="13"/>
        <v>#NUM!</v>
      </c>
      <c r="L179" s="93"/>
      <c r="M179" s="92">
        <f t="shared" si="14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1"/>
        <v/>
      </c>
      <c r="J180" s="93" t="e">
        <f t="shared" si="12"/>
        <v>#NUM!</v>
      </c>
      <c r="K180" s="93" t="e">
        <f t="shared" si="13"/>
        <v>#NUM!</v>
      </c>
      <c r="L180" s="93"/>
      <c r="M180" s="92">
        <f t="shared" si="14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3">
        <v>176</v>
      </c>
      <c r="I181" s="94" t="str">
        <f t="shared" si="11"/>
        <v/>
      </c>
      <c r="J181" s="93" t="e">
        <f t="shared" si="12"/>
        <v>#NUM!</v>
      </c>
      <c r="K181" s="93" t="e">
        <f t="shared" si="13"/>
        <v>#NUM!</v>
      </c>
      <c r="L181" s="93"/>
      <c r="M181" s="92">
        <f t="shared" si="14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1"/>
        <v/>
      </c>
      <c r="J182" s="93" t="e">
        <f t="shared" si="12"/>
        <v>#NUM!</v>
      </c>
      <c r="K182" s="93" t="e">
        <f t="shared" si="13"/>
        <v>#NUM!</v>
      </c>
      <c r="L182" s="93"/>
      <c r="M182" s="92">
        <f t="shared" si="14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3">
        <v>178</v>
      </c>
      <c r="I183" s="94" t="str">
        <f t="shared" si="11"/>
        <v/>
      </c>
      <c r="J183" s="93" t="e">
        <f t="shared" si="12"/>
        <v>#NUM!</v>
      </c>
      <c r="K183" s="93" t="e">
        <f t="shared" si="13"/>
        <v>#NUM!</v>
      </c>
      <c r="L183" s="93"/>
      <c r="M183" s="92">
        <f t="shared" si="14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1"/>
        <v/>
      </c>
      <c r="J184" s="93" t="e">
        <f t="shared" si="12"/>
        <v>#NUM!</v>
      </c>
      <c r="K184" s="93" t="e">
        <f t="shared" si="13"/>
        <v>#NUM!</v>
      </c>
      <c r="L184" s="93"/>
      <c r="M184" s="92">
        <f t="shared" si="14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3">
        <v>180</v>
      </c>
      <c r="I185" s="94" t="str">
        <f t="shared" si="11"/>
        <v/>
      </c>
      <c r="J185" s="93" t="e">
        <f t="shared" si="12"/>
        <v>#NUM!</v>
      </c>
      <c r="K185" s="93" t="e">
        <f t="shared" si="13"/>
        <v>#NUM!</v>
      </c>
      <c r="L185" s="93"/>
      <c r="M185" s="92">
        <f t="shared" si="14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1"/>
        <v/>
      </c>
      <c r="J186" s="93" t="e">
        <f t="shared" si="12"/>
        <v>#NUM!</v>
      </c>
      <c r="K186" s="93" t="e">
        <f t="shared" si="13"/>
        <v>#NUM!</v>
      </c>
      <c r="L186" s="93"/>
      <c r="M186" s="92">
        <f t="shared" si="14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3">
        <v>182</v>
      </c>
      <c r="I187" s="94" t="str">
        <f t="shared" si="11"/>
        <v/>
      </c>
      <c r="J187" s="93" t="e">
        <f t="shared" si="12"/>
        <v>#NUM!</v>
      </c>
      <c r="K187" s="93" t="e">
        <f t="shared" si="13"/>
        <v>#NUM!</v>
      </c>
      <c r="L187" s="93"/>
      <c r="M187" s="92">
        <f t="shared" si="14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1"/>
        <v/>
      </c>
      <c r="J188" s="93" t="e">
        <f t="shared" si="12"/>
        <v>#NUM!</v>
      </c>
      <c r="K188" s="93" t="e">
        <f t="shared" si="13"/>
        <v>#NUM!</v>
      </c>
      <c r="L188" s="93"/>
      <c r="M188" s="92">
        <f t="shared" si="14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3">
        <v>184</v>
      </c>
      <c r="I189" s="94" t="str">
        <f t="shared" si="11"/>
        <v/>
      </c>
      <c r="J189" s="93" t="e">
        <f t="shared" si="12"/>
        <v>#NUM!</v>
      </c>
      <c r="K189" s="93" t="e">
        <f t="shared" si="13"/>
        <v>#NUM!</v>
      </c>
      <c r="L189" s="93"/>
      <c r="M189" s="92">
        <f t="shared" si="14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1"/>
        <v/>
      </c>
      <c r="J190" s="93" t="e">
        <f t="shared" si="12"/>
        <v>#NUM!</v>
      </c>
      <c r="K190" s="93" t="e">
        <f t="shared" si="13"/>
        <v>#NUM!</v>
      </c>
      <c r="L190" s="93"/>
      <c r="M190" s="92">
        <f t="shared" si="14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3">
        <v>186</v>
      </c>
      <c r="I191" s="94" t="str">
        <f t="shared" si="11"/>
        <v/>
      </c>
      <c r="J191" s="93" t="e">
        <f t="shared" si="12"/>
        <v>#NUM!</v>
      </c>
      <c r="K191" s="93" t="e">
        <f t="shared" si="13"/>
        <v>#NUM!</v>
      </c>
      <c r="L191" s="93"/>
      <c r="M191" s="92">
        <f t="shared" si="14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1"/>
        <v/>
      </c>
      <c r="J192" s="93" t="e">
        <f t="shared" si="12"/>
        <v>#NUM!</v>
      </c>
      <c r="K192" s="93" t="e">
        <f t="shared" si="13"/>
        <v>#NUM!</v>
      </c>
      <c r="L192" s="93"/>
      <c r="M192" s="92">
        <f t="shared" si="14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3">
        <v>188</v>
      </c>
      <c r="I193" s="94" t="str">
        <f t="shared" si="11"/>
        <v/>
      </c>
      <c r="J193" s="93" t="e">
        <f t="shared" si="12"/>
        <v>#NUM!</v>
      </c>
      <c r="K193" s="93" t="e">
        <f t="shared" si="13"/>
        <v>#NUM!</v>
      </c>
      <c r="L193" s="93"/>
      <c r="M193" s="92">
        <f t="shared" si="14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1"/>
        <v/>
      </c>
      <c r="J194" s="93" t="e">
        <f t="shared" si="12"/>
        <v>#NUM!</v>
      </c>
      <c r="K194" s="93" t="e">
        <f t="shared" si="13"/>
        <v>#NUM!</v>
      </c>
      <c r="L194" s="93"/>
      <c r="M194" s="92">
        <f t="shared" si="14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3">
        <v>190</v>
      </c>
      <c r="I195" s="94" t="str">
        <f t="shared" si="11"/>
        <v/>
      </c>
      <c r="J195" s="93" t="e">
        <f t="shared" si="12"/>
        <v>#NUM!</v>
      </c>
      <c r="K195" s="93" t="e">
        <f t="shared" si="13"/>
        <v>#NUM!</v>
      </c>
      <c r="L195" s="93"/>
      <c r="M195" s="92">
        <f t="shared" si="14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1"/>
        <v/>
      </c>
      <c r="J196" s="93" t="e">
        <f t="shared" si="12"/>
        <v>#NUM!</v>
      </c>
      <c r="K196" s="93" t="e">
        <f t="shared" si="13"/>
        <v>#NUM!</v>
      </c>
      <c r="L196" s="93"/>
      <c r="M196" s="92">
        <f t="shared" si="14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3">
        <v>192</v>
      </c>
      <c r="I197" s="94" t="str">
        <f t="shared" si="11"/>
        <v/>
      </c>
      <c r="J197" s="93" t="e">
        <f t="shared" si="12"/>
        <v>#NUM!</v>
      </c>
      <c r="K197" s="93" t="e">
        <f t="shared" si="13"/>
        <v>#NUM!</v>
      </c>
      <c r="L197" s="93"/>
      <c r="M197" s="92">
        <f t="shared" si="14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15">IF(H198&lt;$H$2+1,($I$2-($I$2-1)*(LOG(H198)/LOG($H$2))),"")</f>
        <v/>
      </c>
      <c r="J198" s="93" t="e">
        <f t="shared" ref="J198:J261" si="16">INT(LOG($H$2,2))-ROUNDUP(LOG(H198,2),0)+IF(OR($H$2=1,$H$2=2,$H$2=4,$H$2=8,$H$2=16,$H$2=32,$H$2=64,$H$2=128,$H$2=256),0,1)</f>
        <v>#NUM!</v>
      </c>
      <c r="K198" s="93" t="e">
        <f t="shared" ref="K198:K261" si="17">J198*$J$2</f>
        <v>#NUM!</v>
      </c>
      <c r="L198" s="93"/>
      <c r="M198" s="92">
        <f t="shared" ref="M198:M261" si="18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3">
        <v>194</v>
      </c>
      <c r="I199" s="94" t="str">
        <f t="shared" si="15"/>
        <v/>
      </c>
      <c r="J199" s="93" t="e">
        <f t="shared" si="16"/>
        <v>#NUM!</v>
      </c>
      <c r="K199" s="93" t="e">
        <f t="shared" si="17"/>
        <v>#NUM!</v>
      </c>
      <c r="L199" s="93"/>
      <c r="M199" s="92">
        <f t="shared" si="18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15"/>
        <v/>
      </c>
      <c r="J200" s="93" t="e">
        <f t="shared" si="16"/>
        <v>#NUM!</v>
      </c>
      <c r="K200" s="93" t="e">
        <f t="shared" si="17"/>
        <v>#NUM!</v>
      </c>
      <c r="L200" s="93"/>
      <c r="M200" s="92">
        <f t="shared" si="18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3">
        <v>196</v>
      </c>
      <c r="I201" s="94" t="str">
        <f t="shared" si="15"/>
        <v/>
      </c>
      <c r="J201" s="93" t="e">
        <f t="shared" si="16"/>
        <v>#NUM!</v>
      </c>
      <c r="K201" s="93" t="e">
        <f t="shared" si="17"/>
        <v>#NUM!</v>
      </c>
      <c r="L201" s="93"/>
      <c r="M201" s="92">
        <f t="shared" si="18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15"/>
        <v/>
      </c>
      <c r="J202" s="93" t="e">
        <f t="shared" si="16"/>
        <v>#NUM!</v>
      </c>
      <c r="K202" s="93" t="e">
        <f t="shared" si="17"/>
        <v>#NUM!</v>
      </c>
      <c r="L202" s="93"/>
      <c r="M202" s="92">
        <f t="shared" si="18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3">
        <v>198</v>
      </c>
      <c r="I203" s="94" t="str">
        <f t="shared" si="15"/>
        <v/>
      </c>
      <c r="J203" s="93" t="e">
        <f t="shared" si="16"/>
        <v>#NUM!</v>
      </c>
      <c r="K203" s="93" t="e">
        <f t="shared" si="17"/>
        <v>#NUM!</v>
      </c>
      <c r="L203" s="93"/>
      <c r="M203" s="92">
        <f t="shared" si="18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15"/>
        <v/>
      </c>
      <c r="J204" s="93" t="e">
        <f t="shared" si="16"/>
        <v>#NUM!</v>
      </c>
      <c r="K204" s="93" t="e">
        <f t="shared" si="17"/>
        <v>#NUM!</v>
      </c>
      <c r="L204" s="93"/>
      <c r="M204" s="92">
        <f t="shared" si="18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3">
        <v>200</v>
      </c>
      <c r="I205" s="94" t="str">
        <f t="shared" si="15"/>
        <v/>
      </c>
      <c r="J205" s="93" t="e">
        <f t="shared" si="16"/>
        <v>#NUM!</v>
      </c>
      <c r="K205" s="93" t="e">
        <f t="shared" si="17"/>
        <v>#NUM!</v>
      </c>
      <c r="L205" s="93"/>
      <c r="M205" s="92">
        <f t="shared" si="18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15"/>
        <v/>
      </c>
      <c r="J206" s="93" t="e">
        <f t="shared" si="16"/>
        <v>#NUM!</v>
      </c>
      <c r="K206" s="93" t="e">
        <f t="shared" si="17"/>
        <v>#NUM!</v>
      </c>
      <c r="L206" s="93"/>
      <c r="M206" s="92">
        <f t="shared" si="18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3">
        <v>202</v>
      </c>
      <c r="I207" s="94" t="str">
        <f t="shared" si="15"/>
        <v/>
      </c>
      <c r="J207" s="93" t="e">
        <f t="shared" si="16"/>
        <v>#NUM!</v>
      </c>
      <c r="K207" s="93" t="e">
        <f t="shared" si="17"/>
        <v>#NUM!</v>
      </c>
      <c r="L207" s="93"/>
      <c r="M207" s="92">
        <f t="shared" si="18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15"/>
        <v/>
      </c>
      <c r="J208" s="93" t="e">
        <f t="shared" si="16"/>
        <v>#NUM!</v>
      </c>
      <c r="K208" s="93" t="e">
        <f t="shared" si="17"/>
        <v>#NUM!</v>
      </c>
      <c r="L208" s="93"/>
      <c r="M208" s="92">
        <f t="shared" si="18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3">
        <v>204</v>
      </c>
      <c r="I209" s="94" t="str">
        <f t="shared" si="15"/>
        <v/>
      </c>
      <c r="J209" s="93" t="e">
        <f t="shared" si="16"/>
        <v>#NUM!</v>
      </c>
      <c r="K209" s="93" t="e">
        <f t="shared" si="17"/>
        <v>#NUM!</v>
      </c>
      <c r="L209" s="93"/>
      <c r="M209" s="92">
        <f t="shared" si="18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15"/>
        <v/>
      </c>
      <c r="J210" s="93" t="e">
        <f t="shared" si="16"/>
        <v>#NUM!</v>
      </c>
      <c r="K210" s="93" t="e">
        <f t="shared" si="17"/>
        <v>#NUM!</v>
      </c>
      <c r="L210" s="93"/>
      <c r="M210" s="92">
        <f t="shared" si="18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3">
        <v>206</v>
      </c>
      <c r="I211" s="94" t="str">
        <f t="shared" si="15"/>
        <v/>
      </c>
      <c r="J211" s="93" t="e">
        <f t="shared" si="16"/>
        <v>#NUM!</v>
      </c>
      <c r="K211" s="93" t="e">
        <f t="shared" si="17"/>
        <v>#NUM!</v>
      </c>
      <c r="L211" s="93"/>
      <c r="M211" s="92">
        <f t="shared" si="18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15"/>
        <v/>
      </c>
      <c r="J212" s="93" t="e">
        <f t="shared" si="16"/>
        <v>#NUM!</v>
      </c>
      <c r="K212" s="93" t="e">
        <f t="shared" si="17"/>
        <v>#NUM!</v>
      </c>
      <c r="L212" s="93"/>
      <c r="M212" s="92">
        <f t="shared" si="18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3">
        <v>208</v>
      </c>
      <c r="I213" s="94" t="str">
        <f t="shared" si="15"/>
        <v/>
      </c>
      <c r="J213" s="93" t="e">
        <f t="shared" si="16"/>
        <v>#NUM!</v>
      </c>
      <c r="K213" s="93" t="e">
        <f t="shared" si="17"/>
        <v>#NUM!</v>
      </c>
      <c r="L213" s="93"/>
      <c r="M213" s="92">
        <f t="shared" si="18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15"/>
        <v/>
      </c>
      <c r="J214" s="93" t="e">
        <f t="shared" si="16"/>
        <v>#NUM!</v>
      </c>
      <c r="K214" s="93" t="e">
        <f t="shared" si="17"/>
        <v>#NUM!</v>
      </c>
      <c r="L214" s="93"/>
      <c r="M214" s="92">
        <f t="shared" si="18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3">
        <v>210</v>
      </c>
      <c r="I215" s="94" t="str">
        <f t="shared" si="15"/>
        <v/>
      </c>
      <c r="J215" s="93" t="e">
        <f t="shared" si="16"/>
        <v>#NUM!</v>
      </c>
      <c r="K215" s="93" t="e">
        <f t="shared" si="17"/>
        <v>#NUM!</v>
      </c>
      <c r="L215" s="93"/>
      <c r="M215" s="92">
        <f t="shared" si="18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15"/>
        <v/>
      </c>
      <c r="J216" s="93" t="e">
        <f t="shared" si="16"/>
        <v>#NUM!</v>
      </c>
      <c r="K216" s="93" t="e">
        <f t="shared" si="17"/>
        <v>#NUM!</v>
      </c>
      <c r="L216" s="93"/>
      <c r="M216" s="92">
        <f t="shared" si="18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3">
        <v>212</v>
      </c>
      <c r="I217" s="94" t="str">
        <f t="shared" si="15"/>
        <v/>
      </c>
      <c r="J217" s="93" t="e">
        <f t="shared" si="16"/>
        <v>#NUM!</v>
      </c>
      <c r="K217" s="93" t="e">
        <f t="shared" si="17"/>
        <v>#NUM!</v>
      </c>
      <c r="L217" s="93"/>
      <c r="M217" s="92">
        <f t="shared" si="18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15"/>
        <v/>
      </c>
      <c r="J218" s="93" t="e">
        <f t="shared" si="16"/>
        <v>#NUM!</v>
      </c>
      <c r="K218" s="93" t="e">
        <f t="shared" si="17"/>
        <v>#NUM!</v>
      </c>
      <c r="L218" s="93"/>
      <c r="M218" s="92">
        <f t="shared" si="18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3">
        <v>214</v>
      </c>
      <c r="I219" s="94" t="str">
        <f t="shared" si="15"/>
        <v/>
      </c>
      <c r="J219" s="93" t="e">
        <f t="shared" si="16"/>
        <v>#NUM!</v>
      </c>
      <c r="K219" s="93" t="e">
        <f t="shared" si="17"/>
        <v>#NUM!</v>
      </c>
      <c r="L219" s="93"/>
      <c r="M219" s="92">
        <f t="shared" si="18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15"/>
        <v/>
      </c>
      <c r="J220" s="93" t="e">
        <f t="shared" si="16"/>
        <v>#NUM!</v>
      </c>
      <c r="K220" s="93" t="e">
        <f t="shared" si="17"/>
        <v>#NUM!</v>
      </c>
      <c r="L220" s="93"/>
      <c r="M220" s="92">
        <f t="shared" si="18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3">
        <v>216</v>
      </c>
      <c r="I221" s="94" t="str">
        <f t="shared" si="15"/>
        <v/>
      </c>
      <c r="J221" s="93" t="e">
        <f t="shared" si="16"/>
        <v>#NUM!</v>
      </c>
      <c r="K221" s="93" t="e">
        <f t="shared" si="17"/>
        <v>#NUM!</v>
      </c>
      <c r="L221" s="93"/>
      <c r="M221" s="92">
        <f t="shared" si="18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15"/>
        <v/>
      </c>
      <c r="J222" s="93" t="e">
        <f t="shared" si="16"/>
        <v>#NUM!</v>
      </c>
      <c r="K222" s="93" t="e">
        <f t="shared" si="17"/>
        <v>#NUM!</v>
      </c>
      <c r="L222" s="93"/>
      <c r="M222" s="92">
        <f t="shared" si="18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3">
        <v>218</v>
      </c>
      <c r="I223" s="94" t="str">
        <f t="shared" si="15"/>
        <v/>
      </c>
      <c r="J223" s="93" t="e">
        <f t="shared" si="16"/>
        <v>#NUM!</v>
      </c>
      <c r="K223" s="93" t="e">
        <f t="shared" si="17"/>
        <v>#NUM!</v>
      </c>
      <c r="L223" s="93"/>
      <c r="M223" s="92">
        <f t="shared" si="18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15"/>
        <v/>
      </c>
      <c r="J224" s="93" t="e">
        <f t="shared" si="16"/>
        <v>#NUM!</v>
      </c>
      <c r="K224" s="93" t="e">
        <f t="shared" si="17"/>
        <v>#NUM!</v>
      </c>
      <c r="L224" s="93"/>
      <c r="M224" s="92">
        <f t="shared" si="18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3">
        <v>220</v>
      </c>
      <c r="I225" s="94" t="str">
        <f t="shared" si="15"/>
        <v/>
      </c>
      <c r="J225" s="93" t="e">
        <f t="shared" si="16"/>
        <v>#NUM!</v>
      </c>
      <c r="K225" s="93" t="e">
        <f t="shared" si="17"/>
        <v>#NUM!</v>
      </c>
      <c r="L225" s="93"/>
      <c r="M225" s="92">
        <f t="shared" si="18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15"/>
        <v/>
      </c>
      <c r="J226" s="93" t="e">
        <f t="shared" si="16"/>
        <v>#NUM!</v>
      </c>
      <c r="K226" s="93" t="e">
        <f t="shared" si="17"/>
        <v>#NUM!</v>
      </c>
      <c r="L226" s="93"/>
      <c r="M226" s="92">
        <f t="shared" si="18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3">
        <v>222</v>
      </c>
      <c r="I227" s="94" t="str">
        <f t="shared" si="15"/>
        <v/>
      </c>
      <c r="J227" s="93" t="e">
        <f t="shared" si="16"/>
        <v>#NUM!</v>
      </c>
      <c r="K227" s="93" t="e">
        <f t="shared" si="17"/>
        <v>#NUM!</v>
      </c>
      <c r="L227" s="93"/>
      <c r="M227" s="92">
        <f t="shared" si="18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15"/>
        <v/>
      </c>
      <c r="J228" s="93" t="e">
        <f t="shared" si="16"/>
        <v>#NUM!</v>
      </c>
      <c r="K228" s="93" t="e">
        <f t="shared" si="17"/>
        <v>#NUM!</v>
      </c>
      <c r="L228" s="93"/>
      <c r="M228" s="92">
        <f t="shared" si="18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3">
        <v>224</v>
      </c>
      <c r="I229" s="94" t="str">
        <f t="shared" si="15"/>
        <v/>
      </c>
      <c r="J229" s="93" t="e">
        <f t="shared" si="16"/>
        <v>#NUM!</v>
      </c>
      <c r="K229" s="93" t="e">
        <f t="shared" si="17"/>
        <v>#NUM!</v>
      </c>
      <c r="L229" s="93"/>
      <c r="M229" s="92">
        <f t="shared" si="18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15"/>
        <v/>
      </c>
      <c r="J230" s="93" t="e">
        <f t="shared" si="16"/>
        <v>#NUM!</v>
      </c>
      <c r="K230" s="93" t="e">
        <f t="shared" si="17"/>
        <v>#NUM!</v>
      </c>
      <c r="L230" s="93"/>
      <c r="M230" s="92">
        <f t="shared" si="18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3">
        <v>226</v>
      </c>
      <c r="I231" s="94" t="str">
        <f t="shared" si="15"/>
        <v/>
      </c>
      <c r="J231" s="93" t="e">
        <f t="shared" si="16"/>
        <v>#NUM!</v>
      </c>
      <c r="K231" s="93" t="e">
        <f t="shared" si="17"/>
        <v>#NUM!</v>
      </c>
      <c r="L231" s="93"/>
      <c r="M231" s="92">
        <f t="shared" si="18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15"/>
        <v/>
      </c>
      <c r="J232" s="93" t="e">
        <f t="shared" si="16"/>
        <v>#NUM!</v>
      </c>
      <c r="K232" s="93" t="e">
        <f t="shared" si="17"/>
        <v>#NUM!</v>
      </c>
      <c r="L232" s="93"/>
      <c r="M232" s="92">
        <f t="shared" si="18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3">
        <v>228</v>
      </c>
      <c r="I233" s="94" t="str">
        <f t="shared" si="15"/>
        <v/>
      </c>
      <c r="J233" s="93" t="e">
        <f t="shared" si="16"/>
        <v>#NUM!</v>
      </c>
      <c r="K233" s="93" t="e">
        <f t="shared" si="17"/>
        <v>#NUM!</v>
      </c>
      <c r="L233" s="93"/>
      <c r="M233" s="92">
        <f t="shared" si="18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15"/>
        <v/>
      </c>
      <c r="J234" s="93" t="e">
        <f t="shared" si="16"/>
        <v>#NUM!</v>
      </c>
      <c r="K234" s="93" t="e">
        <f t="shared" si="17"/>
        <v>#NUM!</v>
      </c>
      <c r="L234" s="93"/>
      <c r="M234" s="92">
        <f t="shared" si="18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3">
        <v>230</v>
      </c>
      <c r="I235" s="94" t="str">
        <f t="shared" si="15"/>
        <v/>
      </c>
      <c r="J235" s="93" t="e">
        <f t="shared" si="16"/>
        <v>#NUM!</v>
      </c>
      <c r="K235" s="93" t="e">
        <f t="shared" si="17"/>
        <v>#NUM!</v>
      </c>
      <c r="L235" s="93"/>
      <c r="M235" s="92">
        <f t="shared" si="18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15"/>
        <v/>
      </c>
      <c r="J236" s="93" t="e">
        <f t="shared" si="16"/>
        <v>#NUM!</v>
      </c>
      <c r="K236" s="93" t="e">
        <f t="shared" si="17"/>
        <v>#NUM!</v>
      </c>
      <c r="L236" s="93"/>
      <c r="M236" s="92">
        <f t="shared" si="18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3">
        <v>232</v>
      </c>
      <c r="I237" s="94" t="str">
        <f t="shared" si="15"/>
        <v/>
      </c>
      <c r="J237" s="93" t="e">
        <f t="shared" si="16"/>
        <v>#NUM!</v>
      </c>
      <c r="K237" s="93" t="e">
        <f t="shared" si="17"/>
        <v>#NUM!</v>
      </c>
      <c r="L237" s="93"/>
      <c r="M237" s="92">
        <f t="shared" si="18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15"/>
        <v/>
      </c>
      <c r="J238" s="93" t="e">
        <f t="shared" si="16"/>
        <v>#NUM!</v>
      </c>
      <c r="K238" s="93" t="e">
        <f t="shared" si="17"/>
        <v>#NUM!</v>
      </c>
      <c r="L238" s="93"/>
      <c r="M238" s="92">
        <f t="shared" si="18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3">
        <v>234</v>
      </c>
      <c r="I239" s="94" t="str">
        <f t="shared" si="15"/>
        <v/>
      </c>
      <c r="J239" s="93" t="e">
        <f t="shared" si="16"/>
        <v>#NUM!</v>
      </c>
      <c r="K239" s="93" t="e">
        <f t="shared" si="17"/>
        <v>#NUM!</v>
      </c>
      <c r="L239" s="93"/>
      <c r="M239" s="92">
        <f t="shared" si="18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15"/>
        <v/>
      </c>
      <c r="J240" s="93" t="e">
        <f t="shared" si="16"/>
        <v>#NUM!</v>
      </c>
      <c r="K240" s="93" t="e">
        <f t="shared" si="17"/>
        <v>#NUM!</v>
      </c>
      <c r="L240" s="93"/>
      <c r="M240" s="92">
        <f t="shared" si="18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3">
        <v>236</v>
      </c>
      <c r="I241" s="94" t="str">
        <f t="shared" si="15"/>
        <v/>
      </c>
      <c r="J241" s="93" t="e">
        <f t="shared" si="16"/>
        <v>#NUM!</v>
      </c>
      <c r="K241" s="93" t="e">
        <f t="shared" si="17"/>
        <v>#NUM!</v>
      </c>
      <c r="L241" s="93"/>
      <c r="M241" s="92">
        <f t="shared" si="18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15"/>
        <v/>
      </c>
      <c r="J242" s="93" t="e">
        <f t="shared" si="16"/>
        <v>#NUM!</v>
      </c>
      <c r="K242" s="93" t="e">
        <f t="shared" si="17"/>
        <v>#NUM!</v>
      </c>
      <c r="L242" s="93"/>
      <c r="M242" s="92">
        <f t="shared" si="18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3">
        <v>238</v>
      </c>
      <c r="I243" s="94" t="str">
        <f t="shared" si="15"/>
        <v/>
      </c>
      <c r="J243" s="93" t="e">
        <f t="shared" si="16"/>
        <v>#NUM!</v>
      </c>
      <c r="K243" s="93" t="e">
        <f t="shared" si="17"/>
        <v>#NUM!</v>
      </c>
      <c r="L243" s="93"/>
      <c r="M243" s="92">
        <f t="shared" si="18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15"/>
        <v/>
      </c>
      <c r="J244" s="93" t="e">
        <f t="shared" si="16"/>
        <v>#NUM!</v>
      </c>
      <c r="K244" s="93" t="e">
        <f t="shared" si="17"/>
        <v>#NUM!</v>
      </c>
      <c r="L244" s="93"/>
      <c r="M244" s="92">
        <f t="shared" si="18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3">
        <v>240</v>
      </c>
      <c r="I245" s="94" t="str">
        <f t="shared" si="15"/>
        <v/>
      </c>
      <c r="J245" s="93" t="e">
        <f t="shared" si="16"/>
        <v>#NUM!</v>
      </c>
      <c r="K245" s="93" t="e">
        <f t="shared" si="17"/>
        <v>#NUM!</v>
      </c>
      <c r="L245" s="93"/>
      <c r="M245" s="92">
        <f t="shared" si="18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15"/>
        <v/>
      </c>
      <c r="J246" s="93" t="e">
        <f t="shared" si="16"/>
        <v>#NUM!</v>
      </c>
      <c r="K246" s="93" t="e">
        <f t="shared" si="17"/>
        <v>#NUM!</v>
      </c>
      <c r="L246" s="93"/>
      <c r="M246" s="92">
        <f t="shared" si="18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3">
        <v>242</v>
      </c>
      <c r="I247" s="94" t="str">
        <f t="shared" si="15"/>
        <v/>
      </c>
      <c r="J247" s="93" t="e">
        <f t="shared" si="16"/>
        <v>#NUM!</v>
      </c>
      <c r="K247" s="93" t="e">
        <f t="shared" si="17"/>
        <v>#NUM!</v>
      </c>
      <c r="L247" s="93"/>
      <c r="M247" s="92">
        <f t="shared" si="18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15"/>
        <v/>
      </c>
      <c r="J248" s="93" t="e">
        <f t="shared" si="16"/>
        <v>#NUM!</v>
      </c>
      <c r="K248" s="93" t="e">
        <f t="shared" si="17"/>
        <v>#NUM!</v>
      </c>
      <c r="L248" s="93"/>
      <c r="M248" s="92">
        <f t="shared" si="18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3">
        <v>244</v>
      </c>
      <c r="I249" s="94" t="str">
        <f t="shared" si="15"/>
        <v/>
      </c>
      <c r="J249" s="93" t="e">
        <f t="shared" si="16"/>
        <v>#NUM!</v>
      </c>
      <c r="K249" s="93" t="e">
        <f t="shared" si="17"/>
        <v>#NUM!</v>
      </c>
      <c r="L249" s="93"/>
      <c r="M249" s="92">
        <f t="shared" si="18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15"/>
        <v/>
      </c>
      <c r="J250" s="93" t="e">
        <f t="shared" si="16"/>
        <v>#NUM!</v>
      </c>
      <c r="K250" s="93" t="e">
        <f t="shared" si="17"/>
        <v>#NUM!</v>
      </c>
      <c r="L250" s="93"/>
      <c r="M250" s="92">
        <f t="shared" si="18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3">
        <v>246</v>
      </c>
      <c r="I251" s="94" t="str">
        <f t="shared" si="15"/>
        <v/>
      </c>
      <c r="J251" s="93" t="e">
        <f t="shared" si="16"/>
        <v>#NUM!</v>
      </c>
      <c r="K251" s="93" t="e">
        <f t="shared" si="17"/>
        <v>#NUM!</v>
      </c>
      <c r="L251" s="93"/>
      <c r="M251" s="92">
        <f t="shared" si="18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15"/>
        <v/>
      </c>
      <c r="J252" s="93" t="e">
        <f t="shared" si="16"/>
        <v>#NUM!</v>
      </c>
      <c r="K252" s="93" t="e">
        <f t="shared" si="17"/>
        <v>#NUM!</v>
      </c>
      <c r="L252" s="93"/>
      <c r="M252" s="92">
        <f t="shared" si="18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3">
        <v>248</v>
      </c>
      <c r="I253" s="94" t="str">
        <f t="shared" si="15"/>
        <v/>
      </c>
      <c r="J253" s="93" t="e">
        <f t="shared" si="16"/>
        <v>#NUM!</v>
      </c>
      <c r="K253" s="93" t="e">
        <f t="shared" si="17"/>
        <v>#NUM!</v>
      </c>
      <c r="L253" s="93"/>
      <c r="M253" s="92">
        <f t="shared" si="18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15"/>
        <v/>
      </c>
      <c r="J254" s="93" t="e">
        <f t="shared" si="16"/>
        <v>#NUM!</v>
      </c>
      <c r="K254" s="93" t="e">
        <f t="shared" si="17"/>
        <v>#NUM!</v>
      </c>
      <c r="L254" s="93"/>
      <c r="M254" s="92">
        <f t="shared" si="18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3">
        <v>250</v>
      </c>
      <c r="I255" s="94" t="str">
        <f t="shared" si="15"/>
        <v/>
      </c>
      <c r="J255" s="93" t="e">
        <f t="shared" si="16"/>
        <v>#NUM!</v>
      </c>
      <c r="K255" s="93" t="e">
        <f t="shared" si="17"/>
        <v>#NUM!</v>
      </c>
      <c r="L255" s="93"/>
      <c r="M255" s="92">
        <f t="shared" si="18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15"/>
        <v/>
      </c>
      <c r="J256" s="93" t="e">
        <f t="shared" si="16"/>
        <v>#NUM!</v>
      </c>
      <c r="K256" s="93" t="e">
        <f t="shared" si="17"/>
        <v>#NUM!</v>
      </c>
      <c r="L256" s="93"/>
      <c r="M256" s="92">
        <f t="shared" si="18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3">
        <v>252</v>
      </c>
      <c r="I257" s="94" t="str">
        <f t="shared" si="15"/>
        <v/>
      </c>
      <c r="J257" s="93" t="e">
        <f t="shared" si="16"/>
        <v>#NUM!</v>
      </c>
      <c r="K257" s="93" t="e">
        <f t="shared" si="17"/>
        <v>#NUM!</v>
      </c>
      <c r="L257" s="93"/>
      <c r="M257" s="92">
        <f t="shared" si="18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15"/>
        <v/>
      </c>
      <c r="J258" s="93" t="e">
        <f t="shared" si="16"/>
        <v>#NUM!</v>
      </c>
      <c r="K258" s="93" t="e">
        <f t="shared" si="17"/>
        <v>#NUM!</v>
      </c>
      <c r="L258" s="93"/>
      <c r="M258" s="92">
        <f t="shared" si="18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3">
        <v>254</v>
      </c>
      <c r="I259" s="94" t="str">
        <f t="shared" si="15"/>
        <v/>
      </c>
      <c r="J259" s="93" t="e">
        <f t="shared" si="16"/>
        <v>#NUM!</v>
      </c>
      <c r="K259" s="93" t="e">
        <f t="shared" si="17"/>
        <v>#NUM!</v>
      </c>
      <c r="L259" s="93"/>
      <c r="M259" s="92">
        <f t="shared" si="18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15"/>
        <v/>
      </c>
      <c r="J260" s="93" t="e">
        <f t="shared" si="16"/>
        <v>#NUM!</v>
      </c>
      <c r="K260" s="93" t="e">
        <f t="shared" si="17"/>
        <v>#NUM!</v>
      </c>
      <c r="L260" s="93"/>
      <c r="M260" s="92">
        <f t="shared" si="18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3">
        <v>256</v>
      </c>
      <c r="I261" s="94" t="str">
        <f t="shared" si="15"/>
        <v/>
      </c>
      <c r="J261" s="93" t="e">
        <f t="shared" si="16"/>
        <v>#NUM!</v>
      </c>
      <c r="K261" s="93" t="e">
        <f t="shared" si="17"/>
        <v>#NUM!</v>
      </c>
      <c r="L261" s="93"/>
      <c r="M261" s="92">
        <f t="shared" si="18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19">IF(H262&lt;$H$2+1,($I$2-($I$2-1)*(LOG(H262)/LOG($H$2))),"")</f>
        <v/>
      </c>
      <c r="J262" s="93" t="e">
        <f t="shared" ref="J262:J325" si="20">INT(LOG($H$2,2))-ROUNDUP(LOG(H262,2),0)+IF(OR($H$2=1,$H$2=2,$H$2=4,$H$2=8,$H$2=16,$H$2=32,$H$2=64,$H$2=128,$H$2=256),0,1)</f>
        <v>#NUM!</v>
      </c>
      <c r="K262" s="93" t="e">
        <f t="shared" ref="K262:K305" si="21">J262*$J$2</f>
        <v>#NUM!</v>
      </c>
      <c r="L262" s="93"/>
      <c r="M262" s="92">
        <f t="shared" ref="M262:M305" si="22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3">
        <v>258</v>
      </c>
      <c r="I263" s="94" t="str">
        <f t="shared" si="19"/>
        <v/>
      </c>
      <c r="J263" s="93" t="e">
        <f t="shared" si="20"/>
        <v>#NUM!</v>
      </c>
      <c r="K263" s="93" t="e">
        <f t="shared" si="21"/>
        <v>#NUM!</v>
      </c>
      <c r="L263" s="93"/>
      <c r="M263" s="92">
        <f t="shared" si="22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19"/>
        <v/>
      </c>
      <c r="J264" s="93" t="e">
        <f t="shared" si="20"/>
        <v>#NUM!</v>
      </c>
      <c r="K264" s="93" t="e">
        <f t="shared" si="21"/>
        <v>#NUM!</v>
      </c>
      <c r="L264" s="93"/>
      <c r="M264" s="92">
        <f t="shared" si="22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3">
        <v>260</v>
      </c>
      <c r="I265" s="94" t="str">
        <f t="shared" si="19"/>
        <v/>
      </c>
      <c r="J265" s="93" t="e">
        <f t="shared" si="20"/>
        <v>#NUM!</v>
      </c>
      <c r="K265" s="93" t="e">
        <f t="shared" si="21"/>
        <v>#NUM!</v>
      </c>
      <c r="L265" s="93"/>
      <c r="M265" s="92">
        <f t="shared" si="22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19"/>
        <v/>
      </c>
      <c r="J266" s="93" t="e">
        <f t="shared" si="20"/>
        <v>#NUM!</v>
      </c>
      <c r="K266" s="93" t="e">
        <f t="shared" si="21"/>
        <v>#NUM!</v>
      </c>
      <c r="L266" s="93"/>
      <c r="M266" s="92">
        <f t="shared" si="22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3">
        <v>262</v>
      </c>
      <c r="I267" s="94" t="str">
        <f t="shared" si="19"/>
        <v/>
      </c>
      <c r="J267" s="93" t="e">
        <f t="shared" si="20"/>
        <v>#NUM!</v>
      </c>
      <c r="K267" s="93" t="e">
        <f t="shared" si="21"/>
        <v>#NUM!</v>
      </c>
      <c r="L267" s="93"/>
      <c r="M267" s="92">
        <f t="shared" si="22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19"/>
        <v/>
      </c>
      <c r="J268" s="93" t="e">
        <f t="shared" si="20"/>
        <v>#NUM!</v>
      </c>
      <c r="K268" s="93" t="e">
        <f t="shared" si="21"/>
        <v>#NUM!</v>
      </c>
      <c r="L268" s="93"/>
      <c r="M268" s="92">
        <f t="shared" si="22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3">
        <v>264</v>
      </c>
      <c r="I269" s="94" t="str">
        <f t="shared" si="19"/>
        <v/>
      </c>
      <c r="J269" s="93" t="e">
        <f t="shared" si="20"/>
        <v>#NUM!</v>
      </c>
      <c r="K269" s="93" t="e">
        <f t="shared" si="21"/>
        <v>#NUM!</v>
      </c>
      <c r="L269" s="93"/>
      <c r="M269" s="92">
        <f t="shared" si="22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19"/>
        <v/>
      </c>
      <c r="J270" s="93" t="e">
        <f t="shared" si="20"/>
        <v>#NUM!</v>
      </c>
      <c r="K270" s="93" t="e">
        <f t="shared" si="21"/>
        <v>#NUM!</v>
      </c>
      <c r="L270" s="93"/>
      <c r="M270" s="92">
        <f t="shared" si="22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3">
        <v>266</v>
      </c>
      <c r="I271" s="94" t="str">
        <f t="shared" si="19"/>
        <v/>
      </c>
      <c r="J271" s="93" t="e">
        <f t="shared" si="20"/>
        <v>#NUM!</v>
      </c>
      <c r="K271" s="93" t="e">
        <f t="shared" si="21"/>
        <v>#NUM!</v>
      </c>
      <c r="L271" s="93"/>
      <c r="M271" s="92">
        <f t="shared" si="22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19"/>
        <v/>
      </c>
      <c r="J272" s="93" t="e">
        <f t="shared" si="20"/>
        <v>#NUM!</v>
      </c>
      <c r="K272" s="93" t="e">
        <f t="shared" si="21"/>
        <v>#NUM!</v>
      </c>
      <c r="L272" s="93"/>
      <c r="M272" s="92">
        <f t="shared" si="22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3">
        <v>268</v>
      </c>
      <c r="I273" s="94" t="str">
        <f t="shared" si="19"/>
        <v/>
      </c>
      <c r="J273" s="93" t="e">
        <f t="shared" si="20"/>
        <v>#NUM!</v>
      </c>
      <c r="K273" s="93" t="e">
        <f t="shared" si="21"/>
        <v>#NUM!</v>
      </c>
      <c r="L273" s="93"/>
      <c r="M273" s="92">
        <f t="shared" si="22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19"/>
        <v/>
      </c>
      <c r="J274" s="93" t="e">
        <f t="shared" si="20"/>
        <v>#NUM!</v>
      </c>
      <c r="K274" s="93" t="e">
        <f t="shared" si="21"/>
        <v>#NUM!</v>
      </c>
      <c r="L274" s="93"/>
      <c r="M274" s="92">
        <f t="shared" si="22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3">
        <v>270</v>
      </c>
      <c r="I275" s="94" t="str">
        <f t="shared" si="19"/>
        <v/>
      </c>
      <c r="J275" s="93" t="e">
        <f t="shared" si="20"/>
        <v>#NUM!</v>
      </c>
      <c r="K275" s="93" t="e">
        <f t="shared" si="21"/>
        <v>#NUM!</v>
      </c>
      <c r="L275" s="93"/>
      <c r="M275" s="92">
        <f t="shared" si="22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19"/>
        <v/>
      </c>
      <c r="J276" s="93" t="e">
        <f t="shared" si="20"/>
        <v>#NUM!</v>
      </c>
      <c r="K276" s="93" t="e">
        <f t="shared" si="21"/>
        <v>#NUM!</v>
      </c>
      <c r="L276" s="93"/>
      <c r="M276" s="92">
        <f t="shared" si="22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3">
        <v>272</v>
      </c>
      <c r="I277" s="94" t="str">
        <f t="shared" si="19"/>
        <v/>
      </c>
      <c r="J277" s="93" t="e">
        <f t="shared" si="20"/>
        <v>#NUM!</v>
      </c>
      <c r="K277" s="93" t="e">
        <f t="shared" si="21"/>
        <v>#NUM!</v>
      </c>
      <c r="L277" s="93"/>
      <c r="M277" s="92">
        <f t="shared" si="22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19"/>
        <v/>
      </c>
      <c r="J278" s="93" t="e">
        <f t="shared" si="20"/>
        <v>#NUM!</v>
      </c>
      <c r="K278" s="93" t="e">
        <f t="shared" si="21"/>
        <v>#NUM!</v>
      </c>
      <c r="L278" s="93"/>
      <c r="M278" s="92">
        <f t="shared" si="22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3">
        <v>274</v>
      </c>
      <c r="I279" s="94" t="str">
        <f t="shared" si="19"/>
        <v/>
      </c>
      <c r="J279" s="93" t="e">
        <f t="shared" si="20"/>
        <v>#NUM!</v>
      </c>
      <c r="K279" s="93" t="e">
        <f t="shared" si="21"/>
        <v>#NUM!</v>
      </c>
      <c r="L279" s="93"/>
      <c r="M279" s="92">
        <f t="shared" si="22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19"/>
        <v/>
      </c>
      <c r="J280" s="93" t="e">
        <f t="shared" si="20"/>
        <v>#NUM!</v>
      </c>
      <c r="K280" s="93" t="e">
        <f t="shared" si="21"/>
        <v>#NUM!</v>
      </c>
      <c r="L280" s="93"/>
      <c r="M280" s="92">
        <f t="shared" si="22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3">
        <v>276</v>
      </c>
      <c r="I281" s="94" t="str">
        <f t="shared" si="19"/>
        <v/>
      </c>
      <c r="J281" s="93" t="e">
        <f t="shared" si="20"/>
        <v>#NUM!</v>
      </c>
      <c r="K281" s="93" t="e">
        <f t="shared" si="21"/>
        <v>#NUM!</v>
      </c>
      <c r="L281" s="93"/>
      <c r="M281" s="92">
        <f t="shared" si="22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19"/>
        <v/>
      </c>
      <c r="J282" s="93" t="e">
        <f t="shared" si="20"/>
        <v>#NUM!</v>
      </c>
      <c r="K282" s="93" t="e">
        <f t="shared" si="21"/>
        <v>#NUM!</v>
      </c>
      <c r="L282" s="93"/>
      <c r="M282" s="92">
        <f t="shared" si="22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3">
        <v>278</v>
      </c>
      <c r="I283" s="94" t="str">
        <f t="shared" si="19"/>
        <v/>
      </c>
      <c r="J283" s="93" t="e">
        <f t="shared" si="20"/>
        <v>#NUM!</v>
      </c>
      <c r="K283" s="93" t="e">
        <f t="shared" si="21"/>
        <v>#NUM!</v>
      </c>
      <c r="L283" s="93"/>
      <c r="M283" s="92">
        <f t="shared" si="22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19"/>
        <v/>
      </c>
      <c r="J284" s="93" t="e">
        <f t="shared" si="20"/>
        <v>#NUM!</v>
      </c>
      <c r="K284" s="93" t="e">
        <f t="shared" si="21"/>
        <v>#NUM!</v>
      </c>
      <c r="L284" s="93"/>
      <c r="M284" s="92">
        <f t="shared" si="22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3">
        <v>280</v>
      </c>
      <c r="I285" s="94" t="str">
        <f t="shared" si="19"/>
        <v/>
      </c>
      <c r="J285" s="93" t="e">
        <f t="shared" si="20"/>
        <v>#NUM!</v>
      </c>
      <c r="K285" s="93" t="e">
        <f t="shared" si="21"/>
        <v>#NUM!</v>
      </c>
      <c r="L285" s="93"/>
      <c r="M285" s="92">
        <f t="shared" si="22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19"/>
        <v/>
      </c>
      <c r="J286" s="93" t="e">
        <f t="shared" si="20"/>
        <v>#NUM!</v>
      </c>
      <c r="K286" s="93" t="e">
        <f t="shared" si="21"/>
        <v>#NUM!</v>
      </c>
      <c r="L286" s="93"/>
      <c r="M286" s="92">
        <f t="shared" si="22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3">
        <v>282</v>
      </c>
      <c r="I287" s="94" t="str">
        <f t="shared" si="19"/>
        <v/>
      </c>
      <c r="J287" s="93" t="e">
        <f t="shared" si="20"/>
        <v>#NUM!</v>
      </c>
      <c r="K287" s="93" t="e">
        <f t="shared" si="21"/>
        <v>#NUM!</v>
      </c>
      <c r="L287" s="93"/>
      <c r="M287" s="92">
        <f t="shared" si="22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19"/>
        <v/>
      </c>
      <c r="J288" s="93" t="e">
        <f t="shared" si="20"/>
        <v>#NUM!</v>
      </c>
      <c r="K288" s="93" t="e">
        <f t="shared" si="21"/>
        <v>#NUM!</v>
      </c>
      <c r="L288" s="93"/>
      <c r="M288" s="92">
        <f t="shared" si="22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3">
        <v>284</v>
      </c>
      <c r="I289" s="94" t="str">
        <f t="shared" si="19"/>
        <v/>
      </c>
      <c r="J289" s="93" t="e">
        <f t="shared" si="20"/>
        <v>#NUM!</v>
      </c>
      <c r="K289" s="93" t="e">
        <f t="shared" si="21"/>
        <v>#NUM!</v>
      </c>
      <c r="L289" s="93"/>
      <c r="M289" s="92">
        <f t="shared" si="22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19"/>
        <v/>
      </c>
      <c r="J290" s="93" t="e">
        <f t="shared" si="20"/>
        <v>#NUM!</v>
      </c>
      <c r="K290" s="93" t="e">
        <f t="shared" si="21"/>
        <v>#NUM!</v>
      </c>
      <c r="L290" s="93"/>
      <c r="M290" s="92">
        <f t="shared" si="22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3">
        <v>286</v>
      </c>
      <c r="I291" s="94" t="str">
        <f t="shared" si="19"/>
        <v/>
      </c>
      <c r="J291" s="93" t="e">
        <f t="shared" si="20"/>
        <v>#NUM!</v>
      </c>
      <c r="K291" s="93" t="e">
        <f t="shared" si="21"/>
        <v>#NUM!</v>
      </c>
      <c r="L291" s="93"/>
      <c r="M291" s="92">
        <f t="shared" si="22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19"/>
        <v/>
      </c>
      <c r="J292" s="93" t="e">
        <f t="shared" si="20"/>
        <v>#NUM!</v>
      </c>
      <c r="K292" s="93" t="e">
        <f t="shared" si="21"/>
        <v>#NUM!</v>
      </c>
      <c r="L292" s="93"/>
      <c r="M292" s="92">
        <f t="shared" si="22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19"/>
        <v/>
      </c>
      <c r="J293" s="93" t="e">
        <f t="shared" si="20"/>
        <v>#NUM!</v>
      </c>
      <c r="K293" s="93" t="e">
        <f t="shared" si="21"/>
        <v>#NUM!</v>
      </c>
      <c r="L293" s="93"/>
      <c r="M293" s="92">
        <f t="shared" si="22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19"/>
        <v/>
      </c>
      <c r="J294" s="93" t="e">
        <f t="shared" si="20"/>
        <v>#NUM!</v>
      </c>
      <c r="K294" s="93" t="e">
        <f t="shared" si="21"/>
        <v>#NUM!</v>
      </c>
      <c r="L294" s="93"/>
      <c r="M294" s="92">
        <f t="shared" si="22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19"/>
        <v/>
      </c>
      <c r="J295" s="93" t="e">
        <f t="shared" si="20"/>
        <v>#NUM!</v>
      </c>
      <c r="K295" s="93" t="e">
        <f t="shared" si="21"/>
        <v>#NUM!</v>
      </c>
      <c r="L295" s="93"/>
      <c r="M295" s="92">
        <f t="shared" si="22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19"/>
        <v/>
      </c>
      <c r="J296" s="93" t="e">
        <f t="shared" si="20"/>
        <v>#NUM!</v>
      </c>
      <c r="K296" s="93" t="e">
        <f t="shared" si="21"/>
        <v>#NUM!</v>
      </c>
      <c r="L296" s="93"/>
      <c r="M296" s="92">
        <f t="shared" si="22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19"/>
        <v/>
      </c>
      <c r="J297" s="93" t="e">
        <f t="shared" si="20"/>
        <v>#NUM!</v>
      </c>
      <c r="K297" s="93" t="e">
        <f t="shared" si="21"/>
        <v>#NUM!</v>
      </c>
      <c r="L297" s="93"/>
      <c r="M297" s="92">
        <f t="shared" si="22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19"/>
        <v/>
      </c>
      <c r="J298" s="93" t="e">
        <f t="shared" si="20"/>
        <v>#NUM!</v>
      </c>
      <c r="K298" s="93" t="e">
        <f t="shared" si="21"/>
        <v>#NUM!</v>
      </c>
      <c r="L298" s="93"/>
      <c r="M298" s="92">
        <f t="shared" si="22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19"/>
        <v/>
      </c>
      <c r="J299" s="93" t="e">
        <f t="shared" si="20"/>
        <v>#NUM!</v>
      </c>
      <c r="K299" s="93" t="e">
        <f t="shared" si="21"/>
        <v>#NUM!</v>
      </c>
      <c r="L299" s="93"/>
      <c r="M299" s="92">
        <f t="shared" si="22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19"/>
        <v/>
      </c>
      <c r="J300" s="93" t="e">
        <f t="shared" si="20"/>
        <v>#NUM!</v>
      </c>
      <c r="K300" s="93" t="e">
        <f t="shared" si="21"/>
        <v>#NUM!</v>
      </c>
      <c r="L300" s="93"/>
      <c r="M300" s="92">
        <f t="shared" si="22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19"/>
        <v/>
      </c>
      <c r="J301" s="93" t="e">
        <f t="shared" si="20"/>
        <v>#NUM!</v>
      </c>
      <c r="K301" s="93" t="e">
        <f t="shared" si="21"/>
        <v>#NUM!</v>
      </c>
      <c r="L301" s="93"/>
      <c r="M301" s="92">
        <f t="shared" si="22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19"/>
        <v/>
      </c>
      <c r="J302" s="93" t="e">
        <f t="shared" si="20"/>
        <v>#NUM!</v>
      </c>
      <c r="K302" s="93" t="e">
        <f t="shared" si="21"/>
        <v>#NUM!</v>
      </c>
      <c r="L302" s="93"/>
      <c r="M302" s="92">
        <f t="shared" si="22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19"/>
        <v/>
      </c>
      <c r="J303" s="93" t="e">
        <f t="shared" si="20"/>
        <v>#NUM!</v>
      </c>
      <c r="K303" s="93" t="e">
        <f t="shared" si="21"/>
        <v>#NUM!</v>
      </c>
      <c r="L303" s="93"/>
      <c r="M303" s="92">
        <f t="shared" si="22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19"/>
        <v/>
      </c>
      <c r="J304" s="93" t="e">
        <f t="shared" si="20"/>
        <v>#NUM!</v>
      </c>
      <c r="K304" s="93" t="e">
        <f t="shared" si="21"/>
        <v>#NUM!</v>
      </c>
      <c r="L304" s="93"/>
      <c r="M304" s="92">
        <f t="shared" si="22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19"/>
        <v/>
      </c>
      <c r="J305" s="93" t="e">
        <f t="shared" si="20"/>
        <v>#NUM!</v>
      </c>
      <c r="K305" s="93" t="e">
        <f t="shared" si="21"/>
        <v>#NUM!</v>
      </c>
      <c r="L305" s="93"/>
      <c r="M305" s="92">
        <f t="shared" si="22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 t="e">
        <f t="shared" si="20"/>
        <v>#NUM!</v>
      </c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07" spans="1:38" s="86" customFormat="1" x14ac:dyDescent="0.25">
      <c r="A307" s="84"/>
      <c r="B307" s="84"/>
      <c r="C307" s="84"/>
      <c r="D307" s="84"/>
      <c r="E307" s="84"/>
      <c r="F307" s="84"/>
      <c r="G307" s="84"/>
      <c r="H307" s="88"/>
      <c r="I307" s="88"/>
      <c r="J307" s="88" t="e">
        <f t="shared" si="20"/>
        <v>#NUM!</v>
      </c>
      <c r="K307" s="88"/>
      <c r="L307" s="88"/>
      <c r="M307" s="87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</row>
    <row r="308" spans="1:38" s="86" customFormat="1" x14ac:dyDescent="0.25">
      <c r="A308" s="84"/>
      <c r="B308" s="84"/>
      <c r="C308" s="84"/>
      <c r="D308" s="84"/>
      <c r="E308" s="84"/>
      <c r="F308" s="84"/>
      <c r="G308" s="84"/>
      <c r="H308" s="88"/>
      <c r="I308" s="88"/>
      <c r="J308" s="88" t="e">
        <f t="shared" si="20"/>
        <v>#NUM!</v>
      </c>
      <c r="K308" s="88"/>
      <c r="L308" s="88"/>
      <c r="M308" s="87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</row>
    <row r="309" spans="1:38" s="86" customFormat="1" x14ac:dyDescent="0.25">
      <c r="A309" s="84"/>
      <c r="B309" s="84"/>
      <c r="C309" s="84"/>
      <c r="D309" s="84"/>
      <c r="E309" s="84"/>
      <c r="F309" s="84"/>
      <c r="G309" s="84"/>
      <c r="H309" s="88"/>
      <c r="I309" s="88"/>
      <c r="J309" s="88" t="e">
        <f t="shared" si="20"/>
        <v>#NUM!</v>
      </c>
      <c r="K309" s="88"/>
      <c r="L309" s="88"/>
      <c r="M309" s="87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</row>
    <row r="310" spans="1:38" s="86" customFormat="1" x14ac:dyDescent="0.25">
      <c r="A310" s="84"/>
      <c r="B310" s="84"/>
      <c r="C310" s="84"/>
      <c r="D310" s="84"/>
      <c r="E310" s="84"/>
      <c r="F310" s="84"/>
      <c r="G310" s="84"/>
      <c r="H310" s="88"/>
      <c r="I310" s="88"/>
      <c r="J310" s="88" t="e">
        <f t="shared" si="20"/>
        <v>#NUM!</v>
      </c>
      <c r="K310" s="88"/>
      <c r="L310" s="88"/>
      <c r="M310" s="87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</row>
    <row r="311" spans="1:38" s="86" customFormat="1" x14ac:dyDescent="0.25">
      <c r="A311" s="84"/>
      <c r="B311" s="84"/>
      <c r="C311" s="84"/>
      <c r="D311" s="84"/>
      <c r="E311" s="84"/>
      <c r="F311" s="84"/>
      <c r="G311" s="84"/>
      <c r="H311" s="88"/>
      <c r="I311" s="88"/>
      <c r="J311" s="88" t="e">
        <f t="shared" si="20"/>
        <v>#NUM!</v>
      </c>
      <c r="K311" s="88"/>
      <c r="L311" s="88"/>
      <c r="M311" s="87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</row>
    <row r="312" spans="1:38" s="86" customFormat="1" x14ac:dyDescent="0.25">
      <c r="A312" s="84"/>
      <c r="B312" s="84"/>
      <c r="C312" s="84"/>
      <c r="D312" s="84"/>
      <c r="E312" s="84"/>
      <c r="F312" s="84"/>
      <c r="G312" s="84"/>
      <c r="H312" s="88"/>
      <c r="I312" s="88"/>
      <c r="J312" s="88" t="e">
        <f t="shared" si="20"/>
        <v>#NUM!</v>
      </c>
      <c r="K312" s="88"/>
      <c r="L312" s="88"/>
      <c r="M312" s="87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</row>
    <row r="313" spans="1:38" s="86" customFormat="1" x14ac:dyDescent="0.25">
      <c r="A313" s="84"/>
      <c r="B313" s="84"/>
      <c r="C313" s="84"/>
      <c r="D313" s="84"/>
      <c r="E313" s="84"/>
      <c r="F313" s="84"/>
      <c r="G313" s="84"/>
      <c r="H313" s="88"/>
      <c r="I313" s="88"/>
      <c r="J313" s="88" t="e">
        <f t="shared" si="20"/>
        <v>#NUM!</v>
      </c>
      <c r="K313" s="88"/>
      <c r="L313" s="88"/>
      <c r="M313" s="87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 t="e">
        <f t="shared" si="20"/>
        <v>#NUM!</v>
      </c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 t="e">
        <f t="shared" si="20"/>
        <v>#NUM!</v>
      </c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 t="e">
        <f t="shared" si="20"/>
        <v>#NUM!</v>
      </c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 t="e">
        <f t="shared" si="20"/>
        <v>#NUM!</v>
      </c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  <row r="318" spans="1:38" s="86" customFormat="1" x14ac:dyDescent="0.25">
      <c r="A318" s="84"/>
      <c r="B318" s="84"/>
      <c r="C318" s="84"/>
      <c r="D318" s="84"/>
      <c r="E318" s="84"/>
      <c r="F318" s="84"/>
      <c r="G318" s="84"/>
      <c r="H318" s="88"/>
      <c r="I318" s="88"/>
      <c r="J318" s="88" t="e">
        <f t="shared" si="20"/>
        <v>#NUM!</v>
      </c>
      <c r="K318" s="88"/>
      <c r="L318" s="88"/>
      <c r="M318" s="87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</row>
    <row r="319" spans="1:38" s="86" customFormat="1" x14ac:dyDescent="0.25">
      <c r="A319" s="84"/>
      <c r="B319" s="84"/>
      <c r="C319" s="84"/>
      <c r="D319" s="84"/>
      <c r="E319" s="84"/>
      <c r="F319" s="84"/>
      <c r="G319" s="84"/>
      <c r="H319" s="88"/>
      <c r="I319" s="88"/>
      <c r="J319" s="88" t="e">
        <f t="shared" si="20"/>
        <v>#NUM!</v>
      </c>
      <c r="K319" s="88"/>
      <c r="L319" s="88"/>
      <c r="M319" s="87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</row>
    <row r="320" spans="1:38" s="86" customFormat="1" x14ac:dyDescent="0.25">
      <c r="A320" s="84"/>
      <c r="B320" s="84"/>
      <c r="C320" s="84"/>
      <c r="D320" s="84"/>
      <c r="E320" s="84"/>
      <c r="F320" s="84"/>
      <c r="G320" s="84"/>
      <c r="H320" s="88"/>
      <c r="I320" s="88"/>
      <c r="J320" s="88" t="e">
        <f t="shared" si="20"/>
        <v>#NUM!</v>
      </c>
      <c r="K320" s="88"/>
      <c r="L320" s="88"/>
      <c r="M320" s="87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</row>
    <row r="321" spans="10:38" s="88" customFormat="1" x14ac:dyDescent="0.25">
      <c r="J321" s="88" t="e">
        <f t="shared" si="20"/>
        <v>#NUM!</v>
      </c>
      <c r="M321" s="87"/>
      <c r="N321" s="86"/>
      <c r="O321" s="86"/>
      <c r="P321" s="86"/>
      <c r="Q321" s="86"/>
      <c r="R321" s="86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</row>
    <row r="322" spans="10:38" s="88" customFormat="1" x14ac:dyDescent="0.25">
      <c r="J322" s="88" t="e">
        <f t="shared" si="20"/>
        <v>#NUM!</v>
      </c>
      <c r="M322" s="87"/>
      <c r="N322" s="86"/>
      <c r="O322" s="86"/>
      <c r="P322" s="86"/>
      <c r="Q322" s="86"/>
      <c r="R322" s="86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</row>
    <row r="323" spans="10:38" s="88" customFormat="1" x14ac:dyDescent="0.25">
      <c r="J323" s="88" t="e">
        <f t="shared" si="20"/>
        <v>#NUM!</v>
      </c>
      <c r="M323" s="87"/>
      <c r="N323" s="86"/>
      <c r="O323" s="86"/>
      <c r="P323" s="86"/>
      <c r="Q323" s="86"/>
      <c r="R323" s="86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</row>
    <row r="324" spans="10:38" s="88" customFormat="1" x14ac:dyDescent="0.25">
      <c r="J324" s="88" t="e">
        <f t="shared" si="20"/>
        <v>#NUM!</v>
      </c>
      <c r="M324" s="87"/>
      <c r="N324" s="86"/>
      <c r="O324" s="86"/>
      <c r="P324" s="86"/>
      <c r="Q324" s="86"/>
      <c r="R324" s="86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</row>
    <row r="325" spans="10:38" s="88" customFormat="1" x14ac:dyDescent="0.25">
      <c r="J325" s="88" t="e">
        <f t="shared" si="20"/>
        <v>#NUM!</v>
      </c>
      <c r="M325" s="87"/>
      <c r="N325" s="86"/>
      <c r="O325" s="86"/>
      <c r="P325" s="86"/>
      <c r="Q325" s="86"/>
      <c r="R325" s="86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</row>
    <row r="326" spans="10:38" s="88" customFormat="1" x14ac:dyDescent="0.25">
      <c r="J326" s="88" t="e">
        <f t="shared" ref="J326:J374" si="23">INT(LOG($H$2,2))-ROUNDUP(LOG(H326,2),0)+IF(OR($H$2=1,$H$2=2,$H$2=4,$H$2=8,$H$2=16,$H$2=32,$H$2=64,$H$2=128,$H$2=256),0,1)</f>
        <v>#NUM!</v>
      </c>
      <c r="M326" s="87"/>
      <c r="N326" s="86"/>
      <c r="O326" s="86"/>
      <c r="P326" s="86"/>
      <c r="Q326" s="86"/>
      <c r="R326" s="86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</row>
    <row r="327" spans="10:38" s="88" customFormat="1" x14ac:dyDescent="0.25">
      <c r="J327" s="88" t="e">
        <f t="shared" si="23"/>
        <v>#NUM!</v>
      </c>
      <c r="M327" s="87"/>
      <c r="N327" s="86"/>
      <c r="O327" s="86"/>
      <c r="P327" s="86"/>
      <c r="Q327" s="86"/>
      <c r="R327" s="86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</row>
    <row r="328" spans="10:38" s="88" customFormat="1" x14ac:dyDescent="0.25">
      <c r="J328" s="88" t="e">
        <f t="shared" si="23"/>
        <v>#NUM!</v>
      </c>
      <c r="M328" s="87"/>
      <c r="N328" s="86"/>
      <c r="O328" s="86"/>
      <c r="P328" s="86"/>
      <c r="Q328" s="86"/>
      <c r="R328" s="86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</row>
    <row r="329" spans="10:38" s="88" customFormat="1" x14ac:dyDescent="0.25">
      <c r="J329" s="88" t="e">
        <f t="shared" si="23"/>
        <v>#NUM!</v>
      </c>
      <c r="M329" s="87"/>
      <c r="N329" s="86"/>
      <c r="O329" s="86"/>
      <c r="P329" s="86"/>
      <c r="Q329" s="86"/>
      <c r="R329" s="86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</row>
    <row r="330" spans="10:38" s="88" customFormat="1" x14ac:dyDescent="0.25">
      <c r="J330" s="88" t="e">
        <f t="shared" si="23"/>
        <v>#NUM!</v>
      </c>
      <c r="M330" s="87"/>
      <c r="N330" s="86"/>
      <c r="O330" s="86"/>
      <c r="P330" s="86"/>
      <c r="Q330" s="86"/>
      <c r="R330" s="86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</row>
    <row r="331" spans="10:38" s="88" customFormat="1" x14ac:dyDescent="0.25">
      <c r="J331" s="88" t="e">
        <f t="shared" si="23"/>
        <v>#NUM!</v>
      </c>
      <c r="M331" s="87"/>
      <c r="N331" s="86"/>
      <c r="O331" s="86"/>
      <c r="P331" s="86"/>
      <c r="Q331" s="86"/>
      <c r="R331" s="86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</row>
    <row r="332" spans="10:38" s="88" customFormat="1" x14ac:dyDescent="0.25">
      <c r="J332" s="88" t="e">
        <f t="shared" si="23"/>
        <v>#NUM!</v>
      </c>
      <c r="M332" s="87"/>
      <c r="N332" s="86"/>
      <c r="O332" s="86"/>
      <c r="P332" s="86"/>
      <c r="Q332" s="86"/>
      <c r="R332" s="86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</row>
    <row r="333" spans="10:38" s="88" customFormat="1" x14ac:dyDescent="0.25">
      <c r="J333" s="88" t="e">
        <f t="shared" si="23"/>
        <v>#NUM!</v>
      </c>
      <c r="M333" s="87"/>
      <c r="N333" s="86"/>
      <c r="O333" s="86"/>
      <c r="P333" s="86"/>
      <c r="Q333" s="86"/>
      <c r="R333" s="86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</row>
    <row r="334" spans="10:38" s="88" customFormat="1" x14ac:dyDescent="0.25">
      <c r="J334" s="88" t="e">
        <f t="shared" si="23"/>
        <v>#NUM!</v>
      </c>
      <c r="M334" s="87"/>
      <c r="N334" s="86"/>
      <c r="O334" s="86"/>
      <c r="P334" s="86"/>
      <c r="Q334" s="86"/>
      <c r="R334" s="86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</row>
    <row r="335" spans="10:38" s="88" customFormat="1" x14ac:dyDescent="0.25">
      <c r="J335" s="88" t="e">
        <f t="shared" si="23"/>
        <v>#NUM!</v>
      </c>
      <c r="M335" s="87"/>
      <c r="N335" s="86"/>
      <c r="O335" s="86"/>
      <c r="P335" s="86"/>
      <c r="Q335" s="86"/>
      <c r="R335" s="86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</row>
    <row r="336" spans="10:38" s="88" customFormat="1" x14ac:dyDescent="0.25">
      <c r="J336" s="88" t="e">
        <f t="shared" si="23"/>
        <v>#NUM!</v>
      </c>
      <c r="M336" s="87"/>
      <c r="N336" s="86"/>
      <c r="O336" s="86"/>
      <c r="P336" s="86"/>
      <c r="Q336" s="86"/>
      <c r="R336" s="86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</row>
    <row r="337" spans="10:38" s="88" customFormat="1" x14ac:dyDescent="0.25">
      <c r="J337" s="88" t="e">
        <f t="shared" si="23"/>
        <v>#NUM!</v>
      </c>
      <c r="M337" s="87"/>
      <c r="N337" s="86"/>
      <c r="O337" s="86"/>
      <c r="P337" s="86"/>
      <c r="Q337" s="86"/>
      <c r="R337" s="86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</row>
    <row r="338" spans="10:38" s="88" customFormat="1" x14ac:dyDescent="0.25">
      <c r="J338" s="88" t="e">
        <f t="shared" si="23"/>
        <v>#NUM!</v>
      </c>
      <c r="M338" s="87"/>
      <c r="N338" s="86"/>
      <c r="O338" s="86"/>
      <c r="P338" s="86"/>
      <c r="Q338" s="86"/>
      <c r="R338" s="86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</row>
    <row r="339" spans="10:38" s="88" customFormat="1" x14ac:dyDescent="0.25">
      <c r="J339" s="88" t="e">
        <f t="shared" si="23"/>
        <v>#NUM!</v>
      </c>
      <c r="M339" s="87"/>
      <c r="N339" s="86"/>
      <c r="O339" s="86"/>
      <c r="P339" s="86"/>
      <c r="Q339" s="86"/>
      <c r="R339" s="86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</row>
    <row r="340" spans="10:38" s="88" customFormat="1" x14ac:dyDescent="0.25">
      <c r="J340" s="88" t="e">
        <f t="shared" si="23"/>
        <v>#NUM!</v>
      </c>
      <c r="M340" s="87"/>
      <c r="N340" s="86"/>
      <c r="O340" s="86"/>
      <c r="P340" s="86"/>
      <c r="Q340" s="86"/>
      <c r="R340" s="86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</row>
    <row r="341" spans="10:38" s="88" customFormat="1" x14ac:dyDescent="0.25">
      <c r="J341" s="88" t="e">
        <f t="shared" si="23"/>
        <v>#NUM!</v>
      </c>
      <c r="M341" s="87"/>
      <c r="N341" s="86"/>
      <c r="O341" s="86"/>
      <c r="P341" s="86"/>
      <c r="Q341" s="86"/>
      <c r="R341" s="86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</row>
    <row r="342" spans="10:38" s="88" customFormat="1" x14ac:dyDescent="0.25">
      <c r="J342" s="88" t="e">
        <f t="shared" si="23"/>
        <v>#NUM!</v>
      </c>
      <c r="M342" s="87"/>
      <c r="N342" s="86"/>
      <c r="O342" s="86"/>
      <c r="P342" s="86"/>
      <c r="Q342" s="86"/>
      <c r="R342" s="86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</row>
    <row r="343" spans="10:38" s="88" customFormat="1" x14ac:dyDescent="0.25">
      <c r="J343" s="88" t="e">
        <f t="shared" si="23"/>
        <v>#NUM!</v>
      </c>
      <c r="M343" s="87"/>
      <c r="N343" s="86"/>
      <c r="O343" s="86"/>
      <c r="P343" s="86"/>
      <c r="Q343" s="86"/>
      <c r="R343" s="86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</row>
    <row r="344" spans="10:38" s="88" customFormat="1" x14ac:dyDescent="0.25">
      <c r="J344" s="88" t="e">
        <f t="shared" si="23"/>
        <v>#NUM!</v>
      </c>
      <c r="M344" s="87"/>
      <c r="N344" s="86"/>
      <c r="O344" s="86"/>
      <c r="P344" s="86"/>
      <c r="Q344" s="86"/>
      <c r="R344" s="86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</row>
    <row r="345" spans="10:38" s="88" customFormat="1" x14ac:dyDescent="0.25">
      <c r="J345" s="88" t="e">
        <f t="shared" si="23"/>
        <v>#NUM!</v>
      </c>
      <c r="M345" s="87"/>
      <c r="N345" s="86"/>
      <c r="O345" s="86"/>
      <c r="P345" s="86"/>
      <c r="Q345" s="86"/>
      <c r="R345" s="86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</row>
    <row r="346" spans="10:38" s="88" customFormat="1" x14ac:dyDescent="0.25">
      <c r="J346" s="88" t="e">
        <f t="shared" si="23"/>
        <v>#NUM!</v>
      </c>
      <c r="M346" s="87"/>
      <c r="N346" s="86"/>
      <c r="O346" s="86"/>
      <c r="P346" s="86"/>
      <c r="Q346" s="86"/>
      <c r="R346" s="86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</row>
    <row r="347" spans="10:38" s="88" customFormat="1" x14ac:dyDescent="0.25">
      <c r="J347" s="88" t="e">
        <f t="shared" si="23"/>
        <v>#NUM!</v>
      </c>
      <c r="M347" s="87"/>
      <c r="N347" s="86"/>
      <c r="O347" s="86"/>
      <c r="P347" s="86"/>
      <c r="Q347" s="86"/>
      <c r="R347" s="86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</row>
    <row r="348" spans="10:38" s="88" customFormat="1" x14ac:dyDescent="0.25">
      <c r="J348" s="88" t="e">
        <f t="shared" si="23"/>
        <v>#NUM!</v>
      </c>
      <c r="M348" s="87"/>
      <c r="N348" s="86"/>
      <c r="O348" s="86"/>
      <c r="P348" s="86"/>
      <c r="Q348" s="86"/>
      <c r="R348" s="86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</row>
    <row r="349" spans="10:38" s="88" customFormat="1" x14ac:dyDescent="0.25">
      <c r="J349" s="88" t="e">
        <f t="shared" si="23"/>
        <v>#NUM!</v>
      </c>
      <c r="M349" s="87"/>
      <c r="N349" s="86"/>
      <c r="O349" s="86"/>
      <c r="P349" s="86"/>
      <c r="Q349" s="86"/>
      <c r="R349" s="86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</row>
    <row r="350" spans="10:38" s="88" customFormat="1" x14ac:dyDescent="0.25">
      <c r="J350" s="88" t="e">
        <f t="shared" si="23"/>
        <v>#NUM!</v>
      </c>
      <c r="M350" s="87"/>
      <c r="N350" s="86"/>
      <c r="O350" s="86"/>
      <c r="P350" s="86"/>
      <c r="Q350" s="86"/>
      <c r="R350" s="86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</row>
    <row r="351" spans="10:38" s="88" customFormat="1" x14ac:dyDescent="0.25">
      <c r="J351" s="88" t="e">
        <f t="shared" si="23"/>
        <v>#NUM!</v>
      </c>
      <c r="M351" s="87"/>
      <c r="N351" s="86"/>
      <c r="O351" s="86"/>
      <c r="P351" s="86"/>
      <c r="Q351" s="86"/>
      <c r="R351" s="86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</row>
    <row r="352" spans="10:38" s="88" customFormat="1" x14ac:dyDescent="0.25">
      <c r="J352" s="88" t="e">
        <f t="shared" si="23"/>
        <v>#NUM!</v>
      </c>
      <c r="M352" s="87"/>
      <c r="N352" s="86"/>
      <c r="O352" s="86"/>
      <c r="P352" s="86"/>
      <c r="Q352" s="86"/>
      <c r="R352" s="86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</row>
    <row r="353" spans="10:38" s="88" customFormat="1" x14ac:dyDescent="0.25">
      <c r="J353" s="88" t="e">
        <f t="shared" si="23"/>
        <v>#NUM!</v>
      </c>
      <c r="M353" s="87"/>
      <c r="N353" s="86"/>
      <c r="O353" s="86"/>
      <c r="P353" s="86"/>
      <c r="Q353" s="86"/>
      <c r="R353" s="86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</row>
    <row r="354" spans="10:38" s="88" customFormat="1" x14ac:dyDescent="0.25">
      <c r="J354" s="88" t="e">
        <f t="shared" si="23"/>
        <v>#NUM!</v>
      </c>
      <c r="M354" s="87"/>
      <c r="N354" s="86"/>
      <c r="O354" s="86"/>
      <c r="P354" s="86"/>
      <c r="Q354" s="86"/>
      <c r="R354" s="86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</row>
    <row r="355" spans="10:38" s="88" customFormat="1" x14ac:dyDescent="0.25">
      <c r="J355" s="88" t="e">
        <f t="shared" si="23"/>
        <v>#NUM!</v>
      </c>
      <c r="M355" s="87"/>
      <c r="N355" s="86"/>
      <c r="O355" s="86"/>
      <c r="P355" s="86"/>
      <c r="Q355" s="86"/>
      <c r="R355" s="86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</row>
    <row r="356" spans="10:38" s="88" customFormat="1" x14ac:dyDescent="0.25">
      <c r="J356" s="88" t="e">
        <f t="shared" si="23"/>
        <v>#NUM!</v>
      </c>
      <c r="M356" s="87"/>
      <c r="N356" s="86"/>
      <c r="O356" s="86"/>
      <c r="P356" s="86"/>
      <c r="Q356" s="86"/>
      <c r="R356" s="86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</row>
    <row r="357" spans="10:38" s="88" customFormat="1" x14ac:dyDescent="0.25">
      <c r="J357" s="88" t="e">
        <f t="shared" si="23"/>
        <v>#NUM!</v>
      </c>
      <c r="M357" s="87"/>
      <c r="N357" s="86"/>
      <c r="O357" s="86"/>
      <c r="P357" s="86"/>
      <c r="Q357" s="86"/>
      <c r="R357" s="86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</row>
    <row r="358" spans="10:38" s="88" customFormat="1" x14ac:dyDescent="0.25">
      <c r="J358" s="88" t="e">
        <f t="shared" si="23"/>
        <v>#NUM!</v>
      </c>
      <c r="M358" s="87"/>
      <c r="N358" s="86"/>
      <c r="O358" s="86"/>
      <c r="P358" s="86"/>
      <c r="Q358" s="86"/>
      <c r="R358" s="86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</row>
    <row r="359" spans="10:38" s="88" customFormat="1" x14ac:dyDescent="0.25">
      <c r="J359" s="88" t="e">
        <f t="shared" si="23"/>
        <v>#NUM!</v>
      </c>
      <c r="M359" s="87"/>
      <c r="N359" s="86"/>
      <c r="O359" s="86"/>
      <c r="P359" s="86"/>
      <c r="Q359" s="86"/>
      <c r="R359" s="86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</row>
    <row r="360" spans="10:38" s="88" customFormat="1" x14ac:dyDescent="0.25">
      <c r="J360" s="88" t="e">
        <f t="shared" si="23"/>
        <v>#NUM!</v>
      </c>
      <c r="M360" s="87"/>
      <c r="N360" s="86"/>
      <c r="O360" s="86"/>
      <c r="P360" s="86"/>
      <c r="Q360" s="86"/>
      <c r="R360" s="86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</row>
    <row r="361" spans="10:38" s="88" customFormat="1" x14ac:dyDescent="0.25">
      <c r="J361" s="88" t="e">
        <f t="shared" si="23"/>
        <v>#NUM!</v>
      </c>
      <c r="M361" s="87"/>
      <c r="N361" s="86"/>
      <c r="O361" s="86"/>
      <c r="P361" s="86"/>
      <c r="Q361" s="86"/>
      <c r="R361" s="86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</row>
    <row r="362" spans="10:38" s="88" customFormat="1" x14ac:dyDescent="0.25">
      <c r="J362" s="88" t="e">
        <f t="shared" si="23"/>
        <v>#NUM!</v>
      </c>
      <c r="M362" s="87"/>
      <c r="N362" s="86"/>
      <c r="O362" s="86"/>
      <c r="P362" s="86"/>
      <c r="Q362" s="86"/>
      <c r="R362" s="86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</row>
    <row r="363" spans="10:38" s="88" customFormat="1" x14ac:dyDescent="0.25">
      <c r="J363" s="88" t="e">
        <f t="shared" si="23"/>
        <v>#NUM!</v>
      </c>
      <c r="M363" s="87"/>
      <c r="N363" s="86"/>
      <c r="O363" s="86"/>
      <c r="P363" s="86"/>
      <c r="Q363" s="86"/>
      <c r="R363" s="86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</row>
    <row r="364" spans="10:38" s="88" customFormat="1" x14ac:dyDescent="0.25">
      <c r="J364" s="88" t="e">
        <f t="shared" si="23"/>
        <v>#NUM!</v>
      </c>
      <c r="M364" s="87"/>
      <c r="N364" s="86"/>
      <c r="O364" s="86"/>
      <c r="P364" s="86"/>
      <c r="Q364" s="86"/>
      <c r="R364" s="86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</row>
    <row r="365" spans="10:38" s="88" customFormat="1" x14ac:dyDescent="0.25">
      <c r="J365" s="88" t="e">
        <f t="shared" si="23"/>
        <v>#NUM!</v>
      </c>
      <c r="M365" s="87"/>
      <c r="N365" s="86"/>
      <c r="O365" s="86"/>
      <c r="P365" s="86"/>
      <c r="Q365" s="86"/>
      <c r="R365" s="86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</row>
    <row r="366" spans="10:38" s="88" customFormat="1" x14ac:dyDescent="0.25">
      <c r="J366" s="88" t="e">
        <f t="shared" si="23"/>
        <v>#NUM!</v>
      </c>
      <c r="M366" s="87"/>
      <c r="N366" s="86"/>
      <c r="O366" s="86"/>
      <c r="P366" s="86"/>
      <c r="Q366" s="86"/>
      <c r="R366" s="86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</row>
    <row r="367" spans="10:38" s="88" customFormat="1" x14ac:dyDescent="0.25">
      <c r="J367" s="88" t="e">
        <f t="shared" si="23"/>
        <v>#NUM!</v>
      </c>
      <c r="M367" s="87"/>
      <c r="N367" s="86"/>
      <c r="O367" s="86"/>
      <c r="P367" s="86"/>
      <c r="Q367" s="86"/>
      <c r="R367" s="86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</row>
    <row r="368" spans="10:38" s="88" customFormat="1" x14ac:dyDescent="0.25">
      <c r="J368" s="88" t="e">
        <f t="shared" si="23"/>
        <v>#NUM!</v>
      </c>
      <c r="M368" s="87"/>
      <c r="N368" s="86"/>
      <c r="O368" s="86"/>
      <c r="P368" s="86"/>
      <c r="Q368" s="86"/>
      <c r="R368" s="86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</row>
    <row r="369" spans="10:38" s="88" customFormat="1" x14ac:dyDescent="0.25">
      <c r="J369" s="88" t="e">
        <f t="shared" si="23"/>
        <v>#NUM!</v>
      </c>
      <c r="M369" s="87"/>
      <c r="N369" s="86"/>
      <c r="O369" s="86"/>
      <c r="P369" s="86"/>
      <c r="Q369" s="86"/>
      <c r="R369" s="86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</row>
    <row r="370" spans="10:38" s="88" customFormat="1" x14ac:dyDescent="0.25">
      <c r="J370" s="88" t="e">
        <f t="shared" si="23"/>
        <v>#NUM!</v>
      </c>
      <c r="M370" s="87"/>
      <c r="N370" s="86"/>
      <c r="O370" s="86"/>
      <c r="P370" s="86"/>
      <c r="Q370" s="86"/>
      <c r="R370" s="86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</row>
    <row r="371" spans="10:38" s="88" customFormat="1" x14ac:dyDescent="0.25">
      <c r="J371" s="88" t="e">
        <f t="shared" si="23"/>
        <v>#NUM!</v>
      </c>
      <c r="M371" s="87"/>
      <c r="N371" s="86"/>
      <c r="O371" s="86"/>
      <c r="P371" s="86"/>
      <c r="Q371" s="86"/>
      <c r="R371" s="86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</row>
    <row r="372" spans="10:38" s="88" customFormat="1" x14ac:dyDescent="0.25">
      <c r="J372" s="88" t="e">
        <f t="shared" si="23"/>
        <v>#NUM!</v>
      </c>
      <c r="M372" s="87"/>
      <c r="N372" s="86"/>
      <c r="O372" s="86"/>
      <c r="P372" s="86"/>
      <c r="Q372" s="86"/>
      <c r="R372" s="86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</row>
    <row r="373" spans="10:38" s="88" customFormat="1" x14ac:dyDescent="0.25">
      <c r="J373" s="88" t="e">
        <f t="shared" si="23"/>
        <v>#NUM!</v>
      </c>
      <c r="M373" s="87"/>
      <c r="N373" s="86"/>
      <c r="O373" s="86"/>
      <c r="P373" s="86"/>
      <c r="Q373" s="86"/>
      <c r="R373" s="86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</row>
    <row r="374" spans="10:38" s="88" customFormat="1" x14ac:dyDescent="0.25">
      <c r="J374" s="88" t="e">
        <f t="shared" si="23"/>
        <v>#NUM!</v>
      </c>
      <c r="M374" s="87"/>
      <c r="N374" s="86"/>
      <c r="O374" s="86"/>
      <c r="P374" s="86"/>
      <c r="Q374" s="86"/>
      <c r="R374" s="86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C442-4D89-4C5B-B52F-48C67A0139C7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43.7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.25" style="88" customWidth="1"/>
    <col min="11" max="11" width="8.75" style="88" customWidth="1"/>
    <col min="12" max="12" width="11" style="88" customWidth="1"/>
    <col min="13" max="13" width="12.2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x14ac:dyDescent="0.25">
      <c r="A2" s="86"/>
      <c r="B2" s="22" t="s">
        <v>26</v>
      </c>
      <c r="C2" s="71" t="s">
        <v>105</v>
      </c>
      <c r="D2" s="70"/>
      <c r="E2" s="23"/>
      <c r="F2" s="23"/>
      <c r="G2" s="23"/>
      <c r="H2" s="121">
        <v>0</v>
      </c>
      <c r="I2" s="120">
        <v>50</v>
      </c>
      <c r="J2" s="120">
        <v>10</v>
      </c>
      <c r="K2" s="126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x14ac:dyDescent="0.25">
      <c r="A3" s="86"/>
      <c r="B3" s="118" t="s">
        <v>28</v>
      </c>
      <c r="C3" s="131" t="s">
        <v>106</v>
      </c>
      <c r="D3" s="71"/>
      <c r="E3" s="28"/>
      <c r="F3" s="28"/>
      <c r="G3" s="28"/>
      <c r="H3" s="116"/>
      <c r="I3" s="116"/>
      <c r="J3" s="117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7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5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93">
        <v>1</v>
      </c>
      <c r="I6" s="94" t="str">
        <f t="shared" ref="I6:I69" si="1">IF(H6&lt;$H$2+1,($I$2-($I$2-1)*(LOG(H6)/LOG($H$2))),"")</f>
        <v/>
      </c>
      <c r="J6" s="93">
        <v>4</v>
      </c>
      <c r="K6" s="93">
        <f t="shared" ref="K6:K69" si="2">J6*$J$2</f>
        <v>40</v>
      </c>
      <c r="L6" s="92">
        <f>3*K2</f>
        <v>0</v>
      </c>
      <c r="M6" s="92">
        <f t="shared" ref="M6:M69" si="3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98">
        <v>2</v>
      </c>
      <c r="I7" s="99" t="str">
        <f t="shared" si="1"/>
        <v/>
      </c>
      <c r="J7" s="98">
        <v>3</v>
      </c>
      <c r="K7" s="98">
        <f t="shared" si="2"/>
        <v>30</v>
      </c>
      <c r="L7" s="97">
        <f>2*K2</f>
        <v>0</v>
      </c>
      <c r="M7" s="97">
        <f t="shared" si="3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93">
        <v>3</v>
      </c>
      <c r="I8" s="94" t="str">
        <f t="shared" si="1"/>
        <v/>
      </c>
      <c r="J8" s="93">
        <v>2</v>
      </c>
      <c r="K8" s="93">
        <f t="shared" si="2"/>
        <v>20</v>
      </c>
      <c r="L8" s="92">
        <f>K2</f>
        <v>0</v>
      </c>
      <c r="M8" s="92">
        <f t="shared" si="3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>
        <v>2</v>
      </c>
      <c r="K9" s="98">
        <f t="shared" si="2"/>
        <v>20</v>
      </c>
      <c r="L9" s="97">
        <f>K2</f>
        <v>0</v>
      </c>
      <c r="M9" s="97">
        <f t="shared" si="3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4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3" t="e">
        <f t="shared" ref="J10:J73" si="5">INT(LOG($H$2,2))-ROUNDUP(LOG(H10,2),0)+IF(OR($H$2=1,$H$2=2,$H$2=4,$H$2=8,$H$2=16,$H$2=32,$H$2=64,$H$2=128,$H$2=256),0,1)</f>
        <v>#NUM!</v>
      </c>
      <c r="K10" s="93" t="e">
        <f t="shared" si="2"/>
        <v>#NUM!</v>
      </c>
      <c r="L10" s="93"/>
      <c r="M10" s="92">
        <f t="shared" si="3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4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8" t="e">
        <f t="shared" si="5"/>
        <v>#NUM!</v>
      </c>
      <c r="K11" s="98" t="e">
        <f t="shared" si="2"/>
        <v>#NUM!</v>
      </c>
      <c r="L11" s="98"/>
      <c r="M11" s="97">
        <f t="shared" si="3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4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3" t="e">
        <f t="shared" si="5"/>
        <v>#NUM!</v>
      </c>
      <c r="K12" s="93" t="e">
        <f t="shared" si="2"/>
        <v>#NUM!</v>
      </c>
      <c r="L12" s="93"/>
      <c r="M12" s="92">
        <f t="shared" si="3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4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8" t="e">
        <f t="shared" si="5"/>
        <v>#NUM!</v>
      </c>
      <c r="K13" s="98" t="e">
        <f t="shared" si="2"/>
        <v>#NUM!</v>
      </c>
      <c r="L13" s="98"/>
      <c r="M13" s="97">
        <f t="shared" si="3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4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3" t="e">
        <f t="shared" si="5"/>
        <v>#NUM!</v>
      </c>
      <c r="K14" s="93" t="e">
        <f t="shared" si="2"/>
        <v>#NUM!</v>
      </c>
      <c r="L14" s="93"/>
      <c r="M14" s="92">
        <f t="shared" si="3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4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8" t="e">
        <f t="shared" si="5"/>
        <v>#NUM!</v>
      </c>
      <c r="K15" s="98" t="e">
        <f t="shared" si="2"/>
        <v>#NUM!</v>
      </c>
      <c r="L15" s="98"/>
      <c r="M15" s="97">
        <f t="shared" si="3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4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3" t="e">
        <f t="shared" si="5"/>
        <v>#NUM!</v>
      </c>
      <c r="K16" s="93" t="e">
        <f t="shared" si="2"/>
        <v>#NUM!</v>
      </c>
      <c r="L16" s="93"/>
      <c r="M16" s="92">
        <f t="shared" si="3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4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8" t="e">
        <f t="shared" si="5"/>
        <v>#NUM!</v>
      </c>
      <c r="K17" s="98" t="e">
        <f t="shared" si="2"/>
        <v>#NUM!</v>
      </c>
      <c r="L17" s="98"/>
      <c r="M17" s="97">
        <f t="shared" si="3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4"/>
        <v/>
      </c>
      <c r="C18" s="125"/>
      <c r="D18" s="37"/>
      <c r="E18" s="37"/>
      <c r="F18" s="37"/>
      <c r="G18" s="30"/>
      <c r="H18" s="93">
        <v>13</v>
      </c>
      <c r="I18" s="94" t="str">
        <f t="shared" si="1"/>
        <v/>
      </c>
      <c r="J18" s="93" t="e">
        <f t="shared" si="5"/>
        <v>#NUM!</v>
      </c>
      <c r="K18" s="93" t="e">
        <f t="shared" si="2"/>
        <v>#NUM!</v>
      </c>
      <c r="L18" s="93"/>
      <c r="M18" s="92">
        <f t="shared" si="3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4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8" t="e">
        <f t="shared" si="5"/>
        <v>#NUM!</v>
      </c>
      <c r="K19" s="98" t="e">
        <f t="shared" si="2"/>
        <v>#NUM!</v>
      </c>
      <c r="L19" s="98"/>
      <c r="M19" s="97">
        <f t="shared" si="3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4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3" t="e">
        <f t="shared" si="5"/>
        <v>#NUM!</v>
      </c>
      <c r="K20" s="93" t="e">
        <f t="shared" si="2"/>
        <v>#NUM!</v>
      </c>
      <c r="L20" s="93"/>
      <c r="M20" s="92">
        <f t="shared" si="3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4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8" t="e">
        <f t="shared" si="5"/>
        <v>#NUM!</v>
      </c>
      <c r="K21" s="98" t="e">
        <f t="shared" si="2"/>
        <v>#NUM!</v>
      </c>
      <c r="L21" s="98"/>
      <c r="M21" s="97">
        <f t="shared" si="3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4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3" t="e">
        <f t="shared" si="5"/>
        <v>#NUM!</v>
      </c>
      <c r="K22" s="93" t="e">
        <f t="shared" si="2"/>
        <v>#NUM!</v>
      </c>
      <c r="L22" s="93"/>
      <c r="M22" s="92">
        <f t="shared" si="3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4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8" t="e">
        <f t="shared" si="5"/>
        <v>#NUM!</v>
      </c>
      <c r="K23" s="98" t="e">
        <f t="shared" si="2"/>
        <v>#NUM!</v>
      </c>
      <c r="L23" s="98"/>
      <c r="M23" s="97">
        <f t="shared" si="3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4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3" t="e">
        <f t="shared" si="5"/>
        <v>#NUM!</v>
      </c>
      <c r="K24" s="93" t="e">
        <f t="shared" si="2"/>
        <v>#NUM!</v>
      </c>
      <c r="L24" s="93"/>
      <c r="M24" s="92">
        <f t="shared" si="3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4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8" t="e">
        <f t="shared" si="5"/>
        <v>#NUM!</v>
      </c>
      <c r="K25" s="98" t="e">
        <f t="shared" si="2"/>
        <v>#NUM!</v>
      </c>
      <c r="L25" s="98"/>
      <c r="M25" s="97">
        <f t="shared" si="3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4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3" t="e">
        <f t="shared" si="5"/>
        <v>#NUM!</v>
      </c>
      <c r="K26" s="93" t="e">
        <f t="shared" si="2"/>
        <v>#NUM!</v>
      </c>
      <c r="L26" s="93"/>
      <c r="M26" s="92">
        <f t="shared" si="3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4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8" t="e">
        <f t="shared" si="5"/>
        <v>#NUM!</v>
      </c>
      <c r="K27" s="98" t="e">
        <f t="shared" si="2"/>
        <v>#NUM!</v>
      </c>
      <c r="L27" s="98"/>
      <c r="M27" s="97">
        <f t="shared" si="3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4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3" t="e">
        <f t="shared" si="5"/>
        <v>#NUM!</v>
      </c>
      <c r="K28" s="93" t="e">
        <f t="shared" si="2"/>
        <v>#NUM!</v>
      </c>
      <c r="L28" s="93"/>
      <c r="M28" s="92">
        <f t="shared" si="3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4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8" t="e">
        <f t="shared" si="5"/>
        <v>#NUM!</v>
      </c>
      <c r="K29" s="98" t="e">
        <f t="shared" si="2"/>
        <v>#NUM!</v>
      </c>
      <c r="L29" s="98"/>
      <c r="M29" s="97">
        <f t="shared" si="3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4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3" t="e">
        <f t="shared" si="5"/>
        <v>#NUM!</v>
      </c>
      <c r="K30" s="93" t="e">
        <f t="shared" si="2"/>
        <v>#NUM!</v>
      </c>
      <c r="L30" s="93"/>
      <c r="M30" s="92">
        <f t="shared" si="3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4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8" t="e">
        <f t="shared" si="5"/>
        <v>#NUM!</v>
      </c>
      <c r="K31" s="98" t="e">
        <f t="shared" si="2"/>
        <v>#NUM!</v>
      </c>
      <c r="L31" s="98"/>
      <c r="M31" s="97">
        <f t="shared" si="3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4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3" t="e">
        <f t="shared" si="5"/>
        <v>#NUM!</v>
      </c>
      <c r="K32" s="93" t="e">
        <f t="shared" si="2"/>
        <v>#NUM!</v>
      </c>
      <c r="L32" s="93"/>
      <c r="M32" s="92">
        <f t="shared" si="3"/>
        <v>0</v>
      </c>
      <c r="N32" s="86"/>
      <c r="O32" s="86"/>
      <c r="P32" s="86"/>
      <c r="Q32" s="86"/>
      <c r="R32" s="106"/>
      <c r="S32" s="105"/>
    </row>
    <row r="33" spans="1:21" s="85" customFormat="1" x14ac:dyDescent="0.25">
      <c r="A33" s="102">
        <f t="shared" si="0"/>
        <v>0</v>
      </c>
      <c r="B33" s="42" t="str">
        <f t="shared" si="4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8" t="e">
        <f t="shared" si="5"/>
        <v>#NUM!</v>
      </c>
      <c r="K33" s="98" t="e">
        <f t="shared" si="2"/>
        <v>#NUM!</v>
      </c>
      <c r="L33" s="98"/>
      <c r="M33" s="97">
        <f t="shared" si="3"/>
        <v>0</v>
      </c>
      <c r="N33" s="86"/>
      <c r="O33" s="86"/>
      <c r="P33" s="86"/>
      <c r="Q33" s="86"/>
      <c r="R33" s="86"/>
    </row>
    <row r="34" spans="1:21" s="85" customFormat="1" x14ac:dyDescent="0.25">
      <c r="A34" s="103">
        <f t="shared" si="0"/>
        <v>0</v>
      </c>
      <c r="B34" s="36" t="str">
        <f t="shared" si="4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3" t="e">
        <f t="shared" si="5"/>
        <v>#NUM!</v>
      </c>
      <c r="K34" s="93" t="e">
        <f t="shared" si="2"/>
        <v>#NUM!</v>
      </c>
      <c r="L34" s="93"/>
      <c r="M34" s="92">
        <f t="shared" si="3"/>
        <v>0</v>
      </c>
      <c r="N34" s="86"/>
      <c r="O34" s="86"/>
      <c r="P34" s="86"/>
      <c r="Q34" s="86"/>
      <c r="R34" s="86"/>
    </row>
    <row r="35" spans="1:21" s="85" customFormat="1" x14ac:dyDescent="0.25">
      <c r="A35" s="102">
        <f t="shared" si="0"/>
        <v>0</v>
      </c>
      <c r="B35" s="42" t="str">
        <f t="shared" si="4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8" t="e">
        <f t="shared" si="5"/>
        <v>#NUM!</v>
      </c>
      <c r="K35" s="98" t="e">
        <f t="shared" si="2"/>
        <v>#NUM!</v>
      </c>
      <c r="L35" s="98"/>
      <c r="M35" s="97">
        <f t="shared" si="3"/>
        <v>0</v>
      </c>
      <c r="N35" s="86"/>
      <c r="O35" s="86"/>
      <c r="P35" s="86"/>
      <c r="Q35" s="86"/>
      <c r="R35" s="86"/>
    </row>
    <row r="36" spans="1:21" s="85" customFormat="1" x14ac:dyDescent="0.25">
      <c r="A36" s="103">
        <f t="shared" si="0"/>
        <v>0</v>
      </c>
      <c r="B36" s="36" t="str">
        <f t="shared" si="4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3" t="e">
        <f t="shared" si="5"/>
        <v>#NUM!</v>
      </c>
      <c r="K36" s="93" t="e">
        <f t="shared" si="2"/>
        <v>#NUM!</v>
      </c>
      <c r="L36" s="93"/>
      <c r="M36" s="92">
        <f t="shared" si="3"/>
        <v>0</v>
      </c>
      <c r="N36" s="86"/>
      <c r="O36" s="86"/>
      <c r="P36" s="86"/>
      <c r="Q36" s="86"/>
      <c r="R36" s="106"/>
      <c r="S36" s="105"/>
    </row>
    <row r="37" spans="1:21" s="85" customFormat="1" x14ac:dyDescent="0.25">
      <c r="A37" s="102">
        <f t="shared" si="0"/>
        <v>0</v>
      </c>
      <c r="B37" s="42" t="str">
        <f t="shared" si="4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8" t="e">
        <f t="shared" si="5"/>
        <v>#NUM!</v>
      </c>
      <c r="K37" s="98" t="e">
        <f t="shared" si="2"/>
        <v>#NUM!</v>
      </c>
      <c r="L37" s="98"/>
      <c r="M37" s="97">
        <f t="shared" si="3"/>
        <v>0</v>
      </c>
      <c r="N37" s="86"/>
      <c r="O37" s="86"/>
      <c r="P37" s="86"/>
      <c r="Q37" s="86"/>
      <c r="R37" s="86"/>
    </row>
    <row r="38" spans="1:21" s="85" customFormat="1" x14ac:dyDescent="0.25">
      <c r="A38" s="103"/>
      <c r="B38" s="36" t="str">
        <f t="shared" si="4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3" t="e">
        <f t="shared" si="5"/>
        <v>#NUM!</v>
      </c>
      <c r="K38" s="93" t="e">
        <f t="shared" si="2"/>
        <v>#NUM!</v>
      </c>
      <c r="L38" s="93"/>
      <c r="M38" s="92">
        <f t="shared" si="3"/>
        <v>0</v>
      </c>
      <c r="N38" s="86"/>
      <c r="O38" s="86"/>
      <c r="P38" s="86"/>
      <c r="Q38" s="86"/>
      <c r="R38" s="86"/>
    </row>
    <row r="39" spans="1:21" s="85" customFormat="1" x14ac:dyDescent="0.25">
      <c r="A39" s="102"/>
      <c r="B39" s="42" t="str">
        <f t="shared" si="4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8" t="e">
        <f t="shared" si="5"/>
        <v>#NUM!</v>
      </c>
      <c r="K39" s="98" t="e">
        <f t="shared" si="2"/>
        <v>#NUM!</v>
      </c>
      <c r="L39" s="98"/>
      <c r="M39" s="97">
        <f t="shared" si="3"/>
        <v>0</v>
      </c>
      <c r="N39" s="86"/>
      <c r="O39" s="86"/>
      <c r="P39" s="86"/>
      <c r="Q39" s="86"/>
      <c r="R39" s="86"/>
    </row>
    <row r="40" spans="1:21" s="85" customFormat="1" x14ac:dyDescent="0.25">
      <c r="A40" s="103"/>
      <c r="B40" s="36" t="str">
        <f t="shared" si="4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3" t="e">
        <f t="shared" si="5"/>
        <v>#NUM!</v>
      </c>
      <c r="K40" s="93" t="e">
        <f t="shared" si="2"/>
        <v>#NUM!</v>
      </c>
      <c r="L40" s="93"/>
      <c r="M40" s="92">
        <f t="shared" si="3"/>
        <v>0</v>
      </c>
      <c r="N40" s="86"/>
      <c r="O40" s="86"/>
      <c r="P40" s="86"/>
      <c r="Q40" s="86"/>
      <c r="R40" s="86"/>
    </row>
    <row r="41" spans="1:21" s="85" customFormat="1" x14ac:dyDescent="0.25">
      <c r="A41" s="102"/>
      <c r="B41" s="42" t="str">
        <f t="shared" si="4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8" t="e">
        <f t="shared" si="5"/>
        <v>#NUM!</v>
      </c>
      <c r="K41" s="98" t="e">
        <f t="shared" si="2"/>
        <v>#NUM!</v>
      </c>
      <c r="L41" s="98"/>
      <c r="M41" s="97">
        <f t="shared" si="3"/>
        <v>0</v>
      </c>
      <c r="N41" s="86"/>
      <c r="O41" s="86"/>
      <c r="P41" s="86"/>
      <c r="Q41" s="86"/>
      <c r="R41" s="86"/>
      <c r="S41" s="104"/>
    </row>
    <row r="42" spans="1:21" s="85" customFormat="1" x14ac:dyDescent="0.25">
      <c r="A42" s="103"/>
      <c r="B42" s="36" t="str">
        <f t="shared" ref="B42:B65" si="6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3" t="e">
        <f t="shared" si="5"/>
        <v>#NUM!</v>
      </c>
      <c r="K42" s="93" t="e">
        <f t="shared" si="2"/>
        <v>#NUM!</v>
      </c>
      <c r="L42" s="93"/>
      <c r="M42" s="92">
        <f t="shared" si="3"/>
        <v>0</v>
      </c>
      <c r="N42" s="86"/>
      <c r="O42" s="86"/>
      <c r="P42" s="86"/>
      <c r="Q42" s="86"/>
      <c r="R42" s="86"/>
    </row>
    <row r="43" spans="1:21" s="85" customFormat="1" x14ac:dyDescent="0.25">
      <c r="A43" s="102"/>
      <c r="B43" s="42" t="str">
        <f t="shared" si="6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8" t="e">
        <f t="shared" si="5"/>
        <v>#NUM!</v>
      </c>
      <c r="K43" s="98" t="e">
        <f t="shared" si="2"/>
        <v>#NUM!</v>
      </c>
      <c r="L43" s="98"/>
      <c r="M43" s="97">
        <f t="shared" si="3"/>
        <v>0</v>
      </c>
      <c r="N43" s="86"/>
      <c r="O43" s="86"/>
      <c r="P43" s="86"/>
      <c r="Q43" s="86"/>
      <c r="R43" s="86"/>
    </row>
    <row r="44" spans="1:21" s="85" customFormat="1" x14ac:dyDescent="0.25">
      <c r="A44" s="103"/>
      <c r="B44" s="36" t="str">
        <f t="shared" si="6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3" t="e">
        <f t="shared" si="5"/>
        <v>#NUM!</v>
      </c>
      <c r="K44" s="93" t="e">
        <f t="shared" si="2"/>
        <v>#NUM!</v>
      </c>
      <c r="L44" s="93"/>
      <c r="M44" s="92">
        <f t="shared" si="3"/>
        <v>0</v>
      </c>
      <c r="N44" s="86"/>
      <c r="O44" s="86"/>
      <c r="P44" s="86"/>
      <c r="Q44" s="86"/>
      <c r="R44" s="86"/>
    </row>
    <row r="45" spans="1:21" s="85" customFormat="1" x14ac:dyDescent="0.25">
      <c r="A45" s="102"/>
      <c r="B45" s="42" t="str">
        <f t="shared" si="6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8" t="e">
        <f t="shared" si="5"/>
        <v>#NUM!</v>
      </c>
      <c r="K45" s="98" t="e">
        <f t="shared" si="2"/>
        <v>#NUM!</v>
      </c>
      <c r="L45" s="98"/>
      <c r="M45" s="97">
        <f t="shared" si="3"/>
        <v>0</v>
      </c>
      <c r="N45" s="86"/>
      <c r="O45" s="86"/>
      <c r="P45" s="86"/>
      <c r="Q45" s="86"/>
      <c r="R45" s="86"/>
    </row>
    <row r="46" spans="1:21" s="85" customFormat="1" x14ac:dyDescent="0.25">
      <c r="A46" s="103"/>
      <c r="B46" s="36" t="str">
        <f t="shared" si="6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3" t="e">
        <f t="shared" si="5"/>
        <v>#NUM!</v>
      </c>
      <c r="K46" s="93" t="e">
        <f t="shared" si="2"/>
        <v>#NUM!</v>
      </c>
      <c r="L46" s="93"/>
      <c r="M46" s="92">
        <f t="shared" si="3"/>
        <v>0</v>
      </c>
      <c r="N46" s="86"/>
      <c r="O46" s="86"/>
      <c r="P46" s="86"/>
      <c r="Q46" s="86"/>
      <c r="R46" s="86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102"/>
      <c r="B47" s="42" t="str">
        <f t="shared" si="6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8" t="e">
        <f t="shared" si="5"/>
        <v>#NUM!</v>
      </c>
      <c r="K47" s="98" t="e">
        <f t="shared" si="2"/>
        <v>#NUM!</v>
      </c>
      <c r="L47" s="98"/>
      <c r="M47" s="97">
        <f t="shared" si="3"/>
        <v>0</v>
      </c>
      <c r="N47" s="86"/>
      <c r="O47" s="86"/>
      <c r="P47" s="86"/>
      <c r="Q47" s="86"/>
      <c r="R47" s="86"/>
    </row>
    <row r="48" spans="1:21" s="85" customFormat="1" x14ac:dyDescent="0.25">
      <c r="A48" s="103"/>
      <c r="B48" s="36" t="str">
        <f t="shared" si="6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3" t="e">
        <f t="shared" si="5"/>
        <v>#NUM!</v>
      </c>
      <c r="K48" s="93" t="e">
        <f t="shared" si="2"/>
        <v>#NUM!</v>
      </c>
      <c r="L48" s="93"/>
      <c r="M48" s="92">
        <f t="shared" si="3"/>
        <v>0</v>
      </c>
      <c r="N48" s="86"/>
      <c r="O48" s="86"/>
      <c r="P48" s="86"/>
      <c r="Q48" s="86"/>
      <c r="R48" s="86"/>
    </row>
    <row r="49" spans="1:38" s="86" customFormat="1" x14ac:dyDescent="0.25">
      <c r="A49" s="102"/>
      <c r="B49" s="42" t="str">
        <f t="shared" si="6"/>
        <v/>
      </c>
      <c r="C49" s="43"/>
      <c r="D49" s="43"/>
      <c r="E49" s="43"/>
      <c r="F49" s="43"/>
      <c r="H49" s="98">
        <v>44</v>
      </c>
      <c r="I49" s="99" t="str">
        <f t="shared" si="1"/>
        <v/>
      </c>
      <c r="J49" s="98" t="e">
        <f t="shared" si="5"/>
        <v>#NUM!</v>
      </c>
      <c r="K49" s="98" t="e">
        <f t="shared" si="2"/>
        <v>#NUM!</v>
      </c>
      <c r="L49" s="98"/>
      <c r="M49" s="97">
        <f t="shared" si="3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6" customFormat="1" x14ac:dyDescent="0.25">
      <c r="A50" s="103"/>
      <c r="B50" s="36" t="str">
        <f t="shared" si="6"/>
        <v/>
      </c>
      <c r="C50" s="37"/>
      <c r="D50" s="37"/>
      <c r="E50" s="37"/>
      <c r="F50" s="37"/>
      <c r="H50" s="93">
        <v>45</v>
      </c>
      <c r="I50" s="94" t="str">
        <f t="shared" si="1"/>
        <v/>
      </c>
      <c r="J50" s="93" t="e">
        <f t="shared" si="5"/>
        <v>#NUM!</v>
      </c>
      <c r="K50" s="93" t="e">
        <f t="shared" si="2"/>
        <v>#NUM!</v>
      </c>
      <c r="L50" s="93"/>
      <c r="M50" s="92">
        <f t="shared" si="3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6" customFormat="1" x14ac:dyDescent="0.25">
      <c r="A51" s="102"/>
      <c r="B51" s="42" t="str">
        <f t="shared" si="6"/>
        <v/>
      </c>
      <c r="C51" s="43"/>
      <c r="D51" s="43"/>
      <c r="E51" s="43"/>
      <c r="F51" s="43"/>
      <c r="H51" s="98">
        <v>46</v>
      </c>
      <c r="I51" s="99" t="str">
        <f t="shared" si="1"/>
        <v/>
      </c>
      <c r="J51" s="98" t="e">
        <f t="shared" si="5"/>
        <v>#NUM!</v>
      </c>
      <c r="K51" s="98" t="e">
        <f t="shared" si="2"/>
        <v>#NUM!</v>
      </c>
      <c r="L51" s="98"/>
      <c r="M51" s="97">
        <f t="shared" si="3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6" customFormat="1" x14ac:dyDescent="0.25">
      <c r="A52" s="103"/>
      <c r="B52" s="36" t="str">
        <f t="shared" si="6"/>
        <v/>
      </c>
      <c r="C52" s="37"/>
      <c r="D52" s="37"/>
      <c r="E52" s="37"/>
      <c r="F52" s="37"/>
      <c r="H52" s="93">
        <v>47</v>
      </c>
      <c r="I52" s="94" t="str">
        <f t="shared" si="1"/>
        <v/>
      </c>
      <c r="J52" s="93" t="e">
        <f t="shared" si="5"/>
        <v>#NUM!</v>
      </c>
      <c r="K52" s="93" t="e">
        <f t="shared" si="2"/>
        <v>#NUM!</v>
      </c>
      <c r="L52" s="93"/>
      <c r="M52" s="92">
        <f t="shared" si="3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6" customFormat="1" x14ac:dyDescent="0.25">
      <c r="A53" s="102"/>
      <c r="B53" s="42" t="str">
        <f t="shared" si="6"/>
        <v/>
      </c>
      <c r="C53" s="43"/>
      <c r="D53" s="43"/>
      <c r="E53" s="43"/>
      <c r="F53" s="43"/>
      <c r="H53" s="98">
        <v>48</v>
      </c>
      <c r="I53" s="99" t="str">
        <f t="shared" si="1"/>
        <v/>
      </c>
      <c r="J53" s="98" t="e">
        <f t="shared" si="5"/>
        <v>#NUM!</v>
      </c>
      <c r="K53" s="98" t="e">
        <f t="shared" si="2"/>
        <v>#NUM!</v>
      </c>
      <c r="L53" s="98"/>
      <c r="M53" s="97">
        <f t="shared" si="3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6" customFormat="1" x14ac:dyDescent="0.25">
      <c r="A54" s="103"/>
      <c r="B54" s="36" t="str">
        <f t="shared" si="6"/>
        <v/>
      </c>
      <c r="C54" s="37"/>
      <c r="D54" s="37"/>
      <c r="E54" s="37"/>
      <c r="F54" s="37"/>
      <c r="H54" s="93">
        <v>49</v>
      </c>
      <c r="I54" s="94" t="str">
        <f t="shared" si="1"/>
        <v/>
      </c>
      <c r="J54" s="93" t="e">
        <f t="shared" si="5"/>
        <v>#NUM!</v>
      </c>
      <c r="K54" s="93" t="e">
        <f t="shared" si="2"/>
        <v>#NUM!</v>
      </c>
      <c r="L54" s="93"/>
      <c r="M54" s="92">
        <f t="shared" si="3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6" customFormat="1" x14ac:dyDescent="0.25">
      <c r="A55" s="102"/>
      <c r="B55" s="42" t="str">
        <f t="shared" si="6"/>
        <v/>
      </c>
      <c r="C55" s="43"/>
      <c r="D55" s="43"/>
      <c r="E55" s="43"/>
      <c r="F55" s="43"/>
      <c r="H55" s="98">
        <v>50</v>
      </c>
      <c r="I55" s="99" t="str">
        <f t="shared" si="1"/>
        <v/>
      </c>
      <c r="J55" s="98" t="e">
        <f t="shared" si="5"/>
        <v>#NUM!</v>
      </c>
      <c r="K55" s="98" t="e">
        <f t="shared" si="2"/>
        <v>#NUM!</v>
      </c>
      <c r="L55" s="98"/>
      <c r="M55" s="97">
        <f t="shared" si="3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6" customFormat="1" x14ac:dyDescent="0.25">
      <c r="A56" s="103"/>
      <c r="B56" s="36" t="str">
        <f t="shared" si="6"/>
        <v/>
      </c>
      <c r="C56" s="37"/>
      <c r="D56" s="37"/>
      <c r="E56" s="37"/>
      <c r="F56" s="37"/>
      <c r="H56" s="93">
        <v>51</v>
      </c>
      <c r="I56" s="94" t="str">
        <f t="shared" si="1"/>
        <v/>
      </c>
      <c r="J56" s="93" t="e">
        <f t="shared" si="5"/>
        <v>#NUM!</v>
      </c>
      <c r="K56" s="93" t="e">
        <f t="shared" si="2"/>
        <v>#NUM!</v>
      </c>
      <c r="L56" s="93"/>
      <c r="M56" s="92">
        <f t="shared" si="3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6" customFormat="1" x14ac:dyDescent="0.25">
      <c r="A57" s="102"/>
      <c r="B57" s="42" t="str">
        <f t="shared" si="6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8" t="e">
        <f t="shared" si="5"/>
        <v>#NUM!</v>
      </c>
      <c r="K57" s="98" t="e">
        <f t="shared" si="2"/>
        <v>#NUM!</v>
      </c>
      <c r="L57" s="98"/>
      <c r="M57" s="97">
        <f t="shared" si="3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3"/>
      <c r="B58" s="36" t="str">
        <f t="shared" si="6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3" t="e">
        <f t="shared" si="5"/>
        <v>#NUM!</v>
      </c>
      <c r="K58" s="93" t="e">
        <f t="shared" si="2"/>
        <v>#NUM!</v>
      </c>
      <c r="L58" s="93"/>
      <c r="M58" s="92">
        <f t="shared" si="3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2"/>
      <c r="B59" s="42" t="str">
        <f t="shared" si="6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8" t="e">
        <f t="shared" si="5"/>
        <v>#NUM!</v>
      </c>
      <c r="K59" s="98" t="e">
        <f t="shared" si="2"/>
        <v>#NUM!</v>
      </c>
      <c r="L59" s="98"/>
      <c r="M59" s="97">
        <f t="shared" si="3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3"/>
      <c r="B60" s="36" t="str">
        <f t="shared" si="6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3" t="e">
        <f t="shared" si="5"/>
        <v>#NUM!</v>
      </c>
      <c r="K60" s="93" t="e">
        <f t="shared" si="2"/>
        <v>#NUM!</v>
      </c>
      <c r="L60" s="93"/>
      <c r="M60" s="92">
        <f t="shared" si="3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2"/>
      <c r="B61" s="42" t="str">
        <f t="shared" si="6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8" t="e">
        <f t="shared" si="5"/>
        <v>#NUM!</v>
      </c>
      <c r="K61" s="98" t="e">
        <f t="shared" si="2"/>
        <v>#NUM!</v>
      </c>
      <c r="L61" s="98"/>
      <c r="M61" s="97">
        <f t="shared" si="3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3"/>
      <c r="B62" s="36" t="str">
        <f t="shared" si="6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3" t="e">
        <f t="shared" si="5"/>
        <v>#NUM!</v>
      </c>
      <c r="K62" s="93" t="e">
        <f t="shared" si="2"/>
        <v>#NUM!</v>
      </c>
      <c r="L62" s="93"/>
      <c r="M62" s="92">
        <f t="shared" si="3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2"/>
      <c r="B63" s="42" t="str">
        <f t="shared" si="6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8" t="e">
        <f t="shared" si="5"/>
        <v>#NUM!</v>
      </c>
      <c r="K63" s="98" t="e">
        <f t="shared" si="2"/>
        <v>#NUM!</v>
      </c>
      <c r="L63" s="98"/>
      <c r="M63" s="97">
        <f t="shared" si="3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3"/>
      <c r="B64" s="36" t="str">
        <f t="shared" si="6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3" t="e">
        <f t="shared" si="5"/>
        <v>#NUM!</v>
      </c>
      <c r="K64" s="93" t="e">
        <f t="shared" si="2"/>
        <v>#NUM!</v>
      </c>
      <c r="L64" s="93"/>
      <c r="M64" s="92">
        <f t="shared" si="3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2"/>
      <c r="B65" s="42" t="str">
        <f t="shared" si="6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8" t="e">
        <f t="shared" si="5"/>
        <v>#NUM!</v>
      </c>
      <c r="K65" s="98" t="e">
        <f t="shared" si="2"/>
        <v>#NUM!</v>
      </c>
      <c r="L65" s="98"/>
      <c r="M65" s="97">
        <f t="shared" si="3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103"/>
      <c r="B66" s="36"/>
      <c r="C66" s="84"/>
      <c r="D66" s="84"/>
      <c r="E66" s="84"/>
      <c r="F66" s="84"/>
      <c r="H66" s="93">
        <v>61</v>
      </c>
      <c r="I66" s="94" t="str">
        <f t="shared" si="1"/>
        <v/>
      </c>
      <c r="J66" s="93" t="e">
        <f t="shared" si="5"/>
        <v>#NUM!</v>
      </c>
      <c r="K66" s="93" t="e">
        <f t="shared" si="2"/>
        <v>#NUM!</v>
      </c>
      <c r="L66" s="93"/>
      <c r="M66" s="92">
        <f t="shared" si="3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102"/>
      <c r="B67" s="42"/>
      <c r="C67" s="84"/>
      <c r="D67" s="84"/>
      <c r="E67" s="84"/>
      <c r="F67" s="84"/>
      <c r="H67" s="93">
        <v>62</v>
      </c>
      <c r="I67" s="94" t="str">
        <f t="shared" si="1"/>
        <v/>
      </c>
      <c r="J67" s="93" t="e">
        <f t="shared" si="5"/>
        <v>#NUM!</v>
      </c>
      <c r="K67" s="93" t="e">
        <f t="shared" si="2"/>
        <v>#NUM!</v>
      </c>
      <c r="L67" s="93"/>
      <c r="M67" s="92">
        <f t="shared" si="3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95"/>
      <c r="B68" s="36"/>
      <c r="C68" s="84"/>
      <c r="D68" s="84"/>
      <c r="E68" s="84"/>
      <c r="F68" s="84"/>
      <c r="H68" s="93">
        <v>63</v>
      </c>
      <c r="I68" s="94" t="str">
        <f t="shared" si="1"/>
        <v/>
      </c>
      <c r="J68" s="93" t="e">
        <f t="shared" si="5"/>
        <v>#NUM!</v>
      </c>
      <c r="K68" s="93" t="e">
        <f t="shared" si="2"/>
        <v>#NUM!</v>
      </c>
      <c r="L68" s="93"/>
      <c r="M68" s="92">
        <f t="shared" si="3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95"/>
      <c r="B69" s="42"/>
      <c r="C69" s="84"/>
      <c r="D69" s="84"/>
      <c r="E69" s="84"/>
      <c r="F69" s="84"/>
      <c r="H69" s="93">
        <v>64</v>
      </c>
      <c r="I69" s="94" t="str">
        <f t="shared" si="1"/>
        <v/>
      </c>
      <c r="J69" s="93" t="e">
        <f t="shared" si="5"/>
        <v>#NUM!</v>
      </c>
      <c r="K69" s="93" t="e">
        <f t="shared" si="2"/>
        <v>#NUM!</v>
      </c>
      <c r="L69" s="93"/>
      <c r="M69" s="92">
        <f t="shared" si="3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95"/>
      <c r="B70" s="84"/>
      <c r="C70" s="84"/>
      <c r="D70" s="84"/>
      <c r="E70" s="84"/>
      <c r="F70" s="84"/>
      <c r="H70" s="93">
        <v>65</v>
      </c>
      <c r="I70" s="94" t="str">
        <f t="shared" ref="I70:I133" si="7">IF(H70&lt;$H$2+1,($I$2-($I$2-1)*(LOG(H70)/LOG($H$2))),"")</f>
        <v/>
      </c>
      <c r="J70" s="93" t="e">
        <f t="shared" si="5"/>
        <v>#NUM!</v>
      </c>
      <c r="K70" s="93" t="e">
        <f t="shared" ref="K70:K133" si="8">J70*$J$2</f>
        <v>#NUM!</v>
      </c>
      <c r="L70" s="93"/>
      <c r="M70" s="92">
        <f t="shared" ref="M70:M133" si="9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95"/>
      <c r="B71" s="84"/>
      <c r="C71" s="84"/>
      <c r="D71" s="84"/>
      <c r="E71" s="84"/>
      <c r="F71" s="84"/>
      <c r="H71" s="93">
        <v>66</v>
      </c>
      <c r="I71" s="94" t="str">
        <f t="shared" si="7"/>
        <v/>
      </c>
      <c r="J71" s="93" t="e">
        <f t="shared" si="5"/>
        <v>#NUM!</v>
      </c>
      <c r="K71" s="93" t="e">
        <f t="shared" si="8"/>
        <v>#NUM!</v>
      </c>
      <c r="L71" s="93"/>
      <c r="M71" s="92">
        <f t="shared" si="9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95"/>
      <c r="B72" s="84"/>
      <c r="C72" s="84"/>
      <c r="D72" s="84"/>
      <c r="E72" s="84"/>
      <c r="F72" s="84"/>
      <c r="H72" s="93">
        <v>67</v>
      </c>
      <c r="I72" s="94" t="str">
        <f t="shared" si="7"/>
        <v/>
      </c>
      <c r="J72" s="93" t="e">
        <f t="shared" si="5"/>
        <v>#NUM!</v>
      </c>
      <c r="K72" s="93" t="e">
        <f t="shared" si="8"/>
        <v>#NUM!</v>
      </c>
      <c r="L72" s="93"/>
      <c r="M72" s="92">
        <f t="shared" si="9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95"/>
      <c r="B73" s="84"/>
      <c r="C73" s="84"/>
      <c r="D73" s="84"/>
      <c r="E73" s="84"/>
      <c r="F73" s="84"/>
      <c r="H73" s="93">
        <v>68</v>
      </c>
      <c r="I73" s="94" t="str">
        <f t="shared" si="7"/>
        <v/>
      </c>
      <c r="J73" s="93" t="e">
        <f t="shared" si="5"/>
        <v>#NUM!</v>
      </c>
      <c r="K73" s="93" t="e">
        <f t="shared" si="8"/>
        <v>#NUM!</v>
      </c>
      <c r="L73" s="93"/>
      <c r="M73" s="92">
        <f t="shared" si="9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95"/>
      <c r="B74" s="84"/>
      <c r="C74" s="84"/>
      <c r="D74" s="84"/>
      <c r="E74" s="84"/>
      <c r="F74" s="84"/>
      <c r="H74" s="93">
        <v>69</v>
      </c>
      <c r="I74" s="94" t="str">
        <f t="shared" si="7"/>
        <v/>
      </c>
      <c r="J74" s="93" t="e">
        <f t="shared" ref="J74:J137" si="10">INT(LOG($H$2,2))-ROUNDUP(LOG(H74,2),0)+IF(OR($H$2=1,$H$2=2,$H$2=4,$H$2=8,$H$2=16,$H$2=32,$H$2=64,$H$2=128,$H$2=256),0,1)</f>
        <v>#NUM!</v>
      </c>
      <c r="K74" s="93" t="e">
        <f t="shared" si="8"/>
        <v>#NUM!</v>
      </c>
      <c r="L74" s="93"/>
      <c r="M74" s="92">
        <f t="shared" si="9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95"/>
      <c r="B75" s="84"/>
      <c r="C75" s="84"/>
      <c r="D75" s="84"/>
      <c r="E75" s="84"/>
      <c r="F75" s="84"/>
      <c r="H75" s="93">
        <v>70</v>
      </c>
      <c r="I75" s="94" t="str">
        <f t="shared" si="7"/>
        <v/>
      </c>
      <c r="J75" s="93" t="e">
        <f t="shared" si="10"/>
        <v>#NUM!</v>
      </c>
      <c r="K75" s="93" t="e">
        <f t="shared" si="8"/>
        <v>#NUM!</v>
      </c>
      <c r="L75" s="93"/>
      <c r="M75" s="92">
        <f t="shared" si="9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95"/>
      <c r="B76" s="84"/>
      <c r="C76" s="84"/>
      <c r="D76" s="84"/>
      <c r="E76" s="84"/>
      <c r="F76" s="84"/>
      <c r="H76" s="93">
        <v>71</v>
      </c>
      <c r="I76" s="94" t="str">
        <f t="shared" si="7"/>
        <v/>
      </c>
      <c r="J76" s="93" t="e">
        <f t="shared" si="10"/>
        <v>#NUM!</v>
      </c>
      <c r="K76" s="93" t="e">
        <f t="shared" si="8"/>
        <v>#NUM!</v>
      </c>
      <c r="L76" s="93"/>
      <c r="M76" s="92">
        <f t="shared" si="9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95"/>
      <c r="B77" s="84"/>
      <c r="C77" s="84"/>
      <c r="D77" s="84"/>
      <c r="E77" s="84"/>
      <c r="F77" s="84"/>
      <c r="H77" s="93">
        <v>72</v>
      </c>
      <c r="I77" s="94" t="str">
        <f t="shared" si="7"/>
        <v/>
      </c>
      <c r="J77" s="93" t="e">
        <f t="shared" si="10"/>
        <v>#NUM!</v>
      </c>
      <c r="K77" s="93" t="e">
        <f t="shared" si="8"/>
        <v>#NUM!</v>
      </c>
      <c r="L77" s="93"/>
      <c r="M77" s="92">
        <f t="shared" si="9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95"/>
      <c r="B78" s="84"/>
      <c r="C78" s="84"/>
      <c r="D78" s="84"/>
      <c r="E78" s="84"/>
      <c r="F78" s="84"/>
      <c r="H78" s="93">
        <v>73</v>
      </c>
      <c r="I78" s="94" t="str">
        <f t="shared" si="7"/>
        <v/>
      </c>
      <c r="J78" s="93" t="e">
        <f t="shared" si="10"/>
        <v>#NUM!</v>
      </c>
      <c r="K78" s="93" t="e">
        <f t="shared" si="8"/>
        <v>#NUM!</v>
      </c>
      <c r="L78" s="93"/>
      <c r="M78" s="92">
        <f t="shared" si="9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95"/>
      <c r="B79" s="84"/>
      <c r="C79" s="84"/>
      <c r="D79" s="84"/>
      <c r="E79" s="84"/>
      <c r="F79" s="84"/>
      <c r="H79" s="93">
        <v>74</v>
      </c>
      <c r="I79" s="94" t="str">
        <f t="shared" si="7"/>
        <v/>
      </c>
      <c r="J79" s="93" t="e">
        <f t="shared" si="10"/>
        <v>#NUM!</v>
      </c>
      <c r="K79" s="93" t="e">
        <f t="shared" si="8"/>
        <v>#NUM!</v>
      </c>
      <c r="L79" s="93"/>
      <c r="M79" s="92">
        <f t="shared" si="9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95"/>
      <c r="B80" s="84"/>
      <c r="C80" s="84"/>
      <c r="D80" s="84"/>
      <c r="E80" s="84"/>
      <c r="F80" s="84"/>
      <c r="H80" s="93">
        <v>75</v>
      </c>
      <c r="I80" s="94" t="str">
        <f t="shared" si="7"/>
        <v/>
      </c>
      <c r="J80" s="93" t="e">
        <f t="shared" si="10"/>
        <v>#NUM!</v>
      </c>
      <c r="K80" s="93" t="e">
        <f t="shared" si="8"/>
        <v>#NUM!</v>
      </c>
      <c r="L80" s="93"/>
      <c r="M80" s="92">
        <f t="shared" si="9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95"/>
      <c r="B81" s="84"/>
      <c r="C81" s="84"/>
      <c r="D81" s="84"/>
      <c r="E81" s="84"/>
      <c r="F81" s="84"/>
      <c r="H81" s="93">
        <v>76</v>
      </c>
      <c r="I81" s="94" t="str">
        <f t="shared" si="7"/>
        <v/>
      </c>
      <c r="J81" s="93" t="e">
        <f t="shared" si="10"/>
        <v>#NUM!</v>
      </c>
      <c r="K81" s="93" t="e">
        <f t="shared" si="8"/>
        <v>#NUM!</v>
      </c>
      <c r="L81" s="93"/>
      <c r="M81" s="92">
        <f t="shared" si="9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95"/>
      <c r="B82" s="84"/>
      <c r="C82" s="84"/>
      <c r="D82" s="84"/>
      <c r="E82" s="84"/>
      <c r="F82" s="84"/>
      <c r="H82" s="93">
        <v>77</v>
      </c>
      <c r="I82" s="94" t="str">
        <f t="shared" si="7"/>
        <v/>
      </c>
      <c r="J82" s="93" t="e">
        <f t="shared" si="10"/>
        <v>#NUM!</v>
      </c>
      <c r="K82" s="93" t="e">
        <f t="shared" si="8"/>
        <v>#NUM!</v>
      </c>
      <c r="L82" s="93"/>
      <c r="M82" s="92">
        <f t="shared" si="9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95"/>
      <c r="B83" s="84"/>
      <c r="C83" s="84"/>
      <c r="D83" s="84"/>
      <c r="E83" s="84"/>
      <c r="F83" s="84"/>
      <c r="H83" s="93">
        <v>78</v>
      </c>
      <c r="I83" s="94" t="str">
        <f t="shared" si="7"/>
        <v/>
      </c>
      <c r="J83" s="93" t="e">
        <f t="shared" si="10"/>
        <v>#NUM!</v>
      </c>
      <c r="K83" s="93" t="e">
        <f t="shared" si="8"/>
        <v>#NUM!</v>
      </c>
      <c r="L83" s="93"/>
      <c r="M83" s="92">
        <f t="shared" si="9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95"/>
      <c r="B84" s="84"/>
      <c r="C84" s="84"/>
      <c r="D84" s="84"/>
      <c r="E84" s="84"/>
      <c r="F84" s="84"/>
      <c r="H84" s="93">
        <v>79</v>
      </c>
      <c r="I84" s="94" t="str">
        <f t="shared" si="7"/>
        <v/>
      </c>
      <c r="J84" s="93" t="e">
        <f t="shared" si="10"/>
        <v>#NUM!</v>
      </c>
      <c r="K84" s="93" t="e">
        <f t="shared" si="8"/>
        <v>#NUM!</v>
      </c>
      <c r="L84" s="93"/>
      <c r="M84" s="92">
        <f t="shared" si="9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95"/>
      <c r="B85" s="84"/>
      <c r="C85" s="84"/>
      <c r="D85" s="84"/>
      <c r="E85" s="84"/>
      <c r="F85" s="84"/>
      <c r="H85" s="93">
        <v>80</v>
      </c>
      <c r="I85" s="94" t="str">
        <f t="shared" si="7"/>
        <v/>
      </c>
      <c r="J85" s="93" t="e">
        <f t="shared" si="10"/>
        <v>#NUM!</v>
      </c>
      <c r="K85" s="93" t="e">
        <f t="shared" si="8"/>
        <v>#NUM!</v>
      </c>
      <c r="L85" s="93"/>
      <c r="M85" s="92">
        <f t="shared" si="9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95"/>
      <c r="B86" s="84"/>
      <c r="C86" s="84"/>
      <c r="D86" s="84"/>
      <c r="E86" s="84"/>
      <c r="F86" s="84"/>
      <c r="H86" s="93">
        <v>81</v>
      </c>
      <c r="I86" s="94" t="str">
        <f t="shared" si="7"/>
        <v/>
      </c>
      <c r="J86" s="93" t="e">
        <f t="shared" si="10"/>
        <v>#NUM!</v>
      </c>
      <c r="K86" s="93" t="e">
        <f t="shared" si="8"/>
        <v>#NUM!</v>
      </c>
      <c r="L86" s="93"/>
      <c r="M86" s="92">
        <f t="shared" si="9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95"/>
      <c r="B87" s="84"/>
      <c r="C87" s="84"/>
      <c r="D87" s="84"/>
      <c r="E87" s="84"/>
      <c r="F87" s="84"/>
      <c r="H87" s="93">
        <v>82</v>
      </c>
      <c r="I87" s="94" t="str">
        <f t="shared" si="7"/>
        <v/>
      </c>
      <c r="J87" s="93" t="e">
        <f t="shared" si="10"/>
        <v>#NUM!</v>
      </c>
      <c r="K87" s="93" t="e">
        <f t="shared" si="8"/>
        <v>#NUM!</v>
      </c>
      <c r="L87" s="93"/>
      <c r="M87" s="92">
        <f t="shared" si="9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95"/>
      <c r="B88" s="84"/>
      <c r="C88" s="84"/>
      <c r="D88" s="84"/>
      <c r="E88" s="84"/>
      <c r="F88" s="84"/>
      <c r="H88" s="93">
        <v>83</v>
      </c>
      <c r="I88" s="94" t="str">
        <f t="shared" si="7"/>
        <v/>
      </c>
      <c r="J88" s="93" t="e">
        <f t="shared" si="10"/>
        <v>#NUM!</v>
      </c>
      <c r="K88" s="93" t="e">
        <f t="shared" si="8"/>
        <v>#NUM!</v>
      </c>
      <c r="L88" s="93"/>
      <c r="M88" s="92">
        <f t="shared" si="9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95"/>
      <c r="B89" s="84"/>
      <c r="C89" s="84"/>
      <c r="D89" s="84"/>
      <c r="E89" s="84"/>
      <c r="F89" s="84"/>
      <c r="H89" s="93">
        <v>84</v>
      </c>
      <c r="I89" s="94" t="str">
        <f t="shared" si="7"/>
        <v/>
      </c>
      <c r="J89" s="93" t="e">
        <f t="shared" si="10"/>
        <v>#NUM!</v>
      </c>
      <c r="K89" s="93" t="e">
        <f t="shared" si="8"/>
        <v>#NUM!</v>
      </c>
      <c r="L89" s="93"/>
      <c r="M89" s="92">
        <f t="shared" si="9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95"/>
      <c r="B90" s="84"/>
      <c r="C90" s="84"/>
      <c r="D90" s="84"/>
      <c r="E90" s="84"/>
      <c r="F90" s="84"/>
      <c r="H90" s="93">
        <v>85</v>
      </c>
      <c r="I90" s="94" t="str">
        <f t="shared" si="7"/>
        <v/>
      </c>
      <c r="J90" s="93" t="e">
        <f t="shared" si="10"/>
        <v>#NUM!</v>
      </c>
      <c r="K90" s="93" t="e">
        <f t="shared" si="8"/>
        <v>#NUM!</v>
      </c>
      <c r="L90" s="93"/>
      <c r="M90" s="92">
        <f t="shared" si="9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95"/>
      <c r="B91" s="84"/>
      <c r="C91" s="84"/>
      <c r="D91" s="84"/>
      <c r="E91" s="84"/>
      <c r="F91" s="84"/>
      <c r="H91" s="93">
        <v>86</v>
      </c>
      <c r="I91" s="94" t="str">
        <f t="shared" si="7"/>
        <v/>
      </c>
      <c r="J91" s="93" t="e">
        <f t="shared" si="10"/>
        <v>#NUM!</v>
      </c>
      <c r="K91" s="93" t="e">
        <f t="shared" si="8"/>
        <v>#NUM!</v>
      </c>
      <c r="L91" s="93"/>
      <c r="M91" s="92">
        <f t="shared" si="9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95"/>
      <c r="B92" s="84"/>
      <c r="C92" s="84"/>
      <c r="D92" s="84"/>
      <c r="E92" s="84"/>
      <c r="F92" s="84"/>
      <c r="H92" s="93">
        <v>87</v>
      </c>
      <c r="I92" s="94" t="str">
        <f t="shared" si="7"/>
        <v/>
      </c>
      <c r="J92" s="93" t="e">
        <f t="shared" si="10"/>
        <v>#NUM!</v>
      </c>
      <c r="K92" s="93" t="e">
        <f t="shared" si="8"/>
        <v>#NUM!</v>
      </c>
      <c r="L92" s="93"/>
      <c r="M92" s="92">
        <f t="shared" si="9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95"/>
      <c r="B93" s="84"/>
      <c r="C93" s="84"/>
      <c r="D93" s="84"/>
      <c r="E93" s="84"/>
      <c r="F93" s="84"/>
      <c r="H93" s="93">
        <v>88</v>
      </c>
      <c r="I93" s="94" t="str">
        <f t="shared" si="7"/>
        <v/>
      </c>
      <c r="J93" s="93" t="e">
        <f t="shared" si="10"/>
        <v>#NUM!</v>
      </c>
      <c r="K93" s="93" t="e">
        <f t="shared" si="8"/>
        <v>#NUM!</v>
      </c>
      <c r="L93" s="93"/>
      <c r="M93" s="92">
        <f t="shared" si="9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95"/>
      <c r="B94" s="84"/>
      <c r="C94" s="84"/>
      <c r="D94" s="84"/>
      <c r="E94" s="84"/>
      <c r="F94" s="84"/>
      <c r="H94" s="93">
        <v>89</v>
      </c>
      <c r="I94" s="94" t="str">
        <f t="shared" si="7"/>
        <v/>
      </c>
      <c r="J94" s="93" t="e">
        <f t="shared" si="10"/>
        <v>#NUM!</v>
      </c>
      <c r="K94" s="93" t="e">
        <f t="shared" si="8"/>
        <v>#NUM!</v>
      </c>
      <c r="L94" s="93"/>
      <c r="M94" s="92">
        <f t="shared" si="9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95"/>
      <c r="B95" s="84"/>
      <c r="C95" s="84"/>
      <c r="D95" s="84"/>
      <c r="E95" s="84"/>
      <c r="F95" s="84"/>
      <c r="H95" s="93">
        <v>90</v>
      </c>
      <c r="I95" s="94" t="str">
        <f t="shared" si="7"/>
        <v/>
      </c>
      <c r="J95" s="93" t="e">
        <f t="shared" si="10"/>
        <v>#NUM!</v>
      </c>
      <c r="K95" s="93" t="e">
        <f t="shared" si="8"/>
        <v>#NUM!</v>
      </c>
      <c r="L95" s="93"/>
      <c r="M95" s="92">
        <f t="shared" si="9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95"/>
      <c r="B96" s="84"/>
      <c r="C96" s="84"/>
      <c r="D96" s="84"/>
      <c r="E96" s="84"/>
      <c r="F96" s="84"/>
      <c r="H96" s="93">
        <v>91</v>
      </c>
      <c r="I96" s="94" t="str">
        <f t="shared" si="7"/>
        <v/>
      </c>
      <c r="J96" s="93" t="e">
        <f t="shared" si="10"/>
        <v>#NUM!</v>
      </c>
      <c r="K96" s="93" t="e">
        <f t="shared" si="8"/>
        <v>#NUM!</v>
      </c>
      <c r="L96" s="93"/>
      <c r="M96" s="92">
        <f t="shared" si="9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95"/>
      <c r="B97" s="84"/>
      <c r="C97" s="84"/>
      <c r="D97" s="84"/>
      <c r="E97" s="84"/>
      <c r="F97" s="84"/>
      <c r="H97" s="93">
        <v>92</v>
      </c>
      <c r="I97" s="94" t="str">
        <f t="shared" si="7"/>
        <v/>
      </c>
      <c r="J97" s="93" t="e">
        <f t="shared" si="10"/>
        <v>#NUM!</v>
      </c>
      <c r="K97" s="93" t="e">
        <f t="shared" si="8"/>
        <v>#NUM!</v>
      </c>
      <c r="L97" s="93"/>
      <c r="M97" s="92">
        <f t="shared" si="9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95"/>
      <c r="B98" s="84"/>
      <c r="C98" s="84"/>
      <c r="D98" s="84"/>
      <c r="E98" s="84"/>
      <c r="F98" s="84"/>
      <c r="H98" s="93">
        <v>93</v>
      </c>
      <c r="I98" s="94" t="str">
        <f t="shared" si="7"/>
        <v/>
      </c>
      <c r="J98" s="93" t="e">
        <f t="shared" si="10"/>
        <v>#NUM!</v>
      </c>
      <c r="K98" s="93" t="e">
        <f t="shared" si="8"/>
        <v>#NUM!</v>
      </c>
      <c r="L98" s="93"/>
      <c r="M98" s="92">
        <f t="shared" si="9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95"/>
      <c r="B99" s="84"/>
      <c r="C99" s="84"/>
      <c r="D99" s="84"/>
      <c r="E99" s="84"/>
      <c r="F99" s="84"/>
      <c r="H99" s="93">
        <v>94</v>
      </c>
      <c r="I99" s="94" t="str">
        <f t="shared" si="7"/>
        <v/>
      </c>
      <c r="J99" s="93" t="e">
        <f t="shared" si="10"/>
        <v>#NUM!</v>
      </c>
      <c r="K99" s="93" t="e">
        <f t="shared" si="8"/>
        <v>#NUM!</v>
      </c>
      <c r="L99" s="93"/>
      <c r="M99" s="92">
        <f t="shared" si="9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95"/>
      <c r="B100" s="84"/>
      <c r="C100" s="84"/>
      <c r="D100" s="84"/>
      <c r="E100" s="84"/>
      <c r="F100" s="84"/>
      <c r="H100" s="93">
        <v>95</v>
      </c>
      <c r="I100" s="94" t="str">
        <f t="shared" si="7"/>
        <v/>
      </c>
      <c r="J100" s="93" t="e">
        <f t="shared" si="10"/>
        <v>#NUM!</v>
      </c>
      <c r="K100" s="93" t="e">
        <f t="shared" si="8"/>
        <v>#NUM!</v>
      </c>
      <c r="L100" s="93"/>
      <c r="M100" s="92">
        <f t="shared" si="9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95"/>
      <c r="B101" s="84"/>
      <c r="C101" s="84"/>
      <c r="D101" s="84"/>
      <c r="E101" s="84"/>
      <c r="F101" s="84"/>
      <c r="H101" s="93">
        <v>96</v>
      </c>
      <c r="I101" s="94" t="str">
        <f t="shared" si="7"/>
        <v/>
      </c>
      <c r="J101" s="93" t="e">
        <f t="shared" si="10"/>
        <v>#NUM!</v>
      </c>
      <c r="K101" s="93" t="e">
        <f t="shared" si="8"/>
        <v>#NUM!</v>
      </c>
      <c r="L101" s="93"/>
      <c r="M101" s="92">
        <f t="shared" si="9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95"/>
      <c r="B102" s="84"/>
      <c r="C102" s="84"/>
      <c r="D102" s="84"/>
      <c r="E102" s="84"/>
      <c r="F102" s="84"/>
      <c r="H102" s="93">
        <v>97</v>
      </c>
      <c r="I102" s="94" t="str">
        <f t="shared" si="7"/>
        <v/>
      </c>
      <c r="J102" s="93" t="e">
        <f t="shared" si="10"/>
        <v>#NUM!</v>
      </c>
      <c r="K102" s="93" t="e">
        <f t="shared" si="8"/>
        <v>#NUM!</v>
      </c>
      <c r="L102" s="93"/>
      <c r="M102" s="92">
        <f t="shared" si="9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95"/>
      <c r="B103" s="84"/>
      <c r="C103" s="84"/>
      <c r="D103" s="84"/>
      <c r="E103" s="84"/>
      <c r="F103" s="84"/>
      <c r="H103" s="93">
        <v>98</v>
      </c>
      <c r="I103" s="94" t="str">
        <f t="shared" si="7"/>
        <v/>
      </c>
      <c r="J103" s="93" t="e">
        <f t="shared" si="10"/>
        <v>#NUM!</v>
      </c>
      <c r="K103" s="93" t="e">
        <f t="shared" si="8"/>
        <v>#NUM!</v>
      </c>
      <c r="L103" s="93"/>
      <c r="M103" s="92">
        <f t="shared" si="9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95"/>
      <c r="B104" s="84"/>
      <c r="C104" s="84"/>
      <c r="D104" s="84"/>
      <c r="E104" s="84"/>
      <c r="F104" s="84"/>
      <c r="H104" s="93">
        <v>99</v>
      </c>
      <c r="I104" s="94" t="str">
        <f t="shared" si="7"/>
        <v/>
      </c>
      <c r="J104" s="93" t="e">
        <f t="shared" si="10"/>
        <v>#NUM!</v>
      </c>
      <c r="K104" s="93" t="e">
        <f t="shared" si="8"/>
        <v>#NUM!</v>
      </c>
      <c r="L104" s="93"/>
      <c r="M104" s="92">
        <f t="shared" si="9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95"/>
      <c r="B105" s="84"/>
      <c r="C105" s="84"/>
      <c r="D105" s="84"/>
      <c r="E105" s="84"/>
      <c r="F105" s="84"/>
      <c r="H105" s="93">
        <v>100</v>
      </c>
      <c r="I105" s="94" t="str">
        <f t="shared" si="7"/>
        <v/>
      </c>
      <c r="J105" s="93" t="e">
        <f t="shared" si="10"/>
        <v>#NUM!</v>
      </c>
      <c r="K105" s="93" t="e">
        <f t="shared" si="8"/>
        <v>#NUM!</v>
      </c>
      <c r="L105" s="93"/>
      <c r="M105" s="92">
        <f t="shared" si="9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95"/>
      <c r="B106" s="84"/>
      <c r="C106" s="84"/>
      <c r="D106" s="84"/>
      <c r="E106" s="84"/>
      <c r="F106" s="84"/>
      <c r="H106" s="93">
        <v>101</v>
      </c>
      <c r="I106" s="94" t="str">
        <f t="shared" si="7"/>
        <v/>
      </c>
      <c r="J106" s="93" t="e">
        <f t="shared" si="10"/>
        <v>#NUM!</v>
      </c>
      <c r="K106" s="93" t="e">
        <f t="shared" si="8"/>
        <v>#NUM!</v>
      </c>
      <c r="L106" s="93"/>
      <c r="M106" s="92">
        <f t="shared" si="9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95"/>
      <c r="B107" s="84"/>
      <c r="C107" s="84"/>
      <c r="D107" s="84"/>
      <c r="E107" s="84"/>
      <c r="F107" s="84"/>
      <c r="H107" s="93">
        <v>102</v>
      </c>
      <c r="I107" s="94" t="str">
        <f t="shared" si="7"/>
        <v/>
      </c>
      <c r="J107" s="93" t="e">
        <f t="shared" si="10"/>
        <v>#NUM!</v>
      </c>
      <c r="K107" s="93" t="e">
        <f t="shared" si="8"/>
        <v>#NUM!</v>
      </c>
      <c r="L107" s="93"/>
      <c r="M107" s="92">
        <f t="shared" si="9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95"/>
      <c r="B108" s="84"/>
      <c r="C108" s="84"/>
      <c r="D108" s="84"/>
      <c r="E108" s="84"/>
      <c r="F108" s="84"/>
      <c r="H108" s="93">
        <v>103</v>
      </c>
      <c r="I108" s="94" t="str">
        <f t="shared" si="7"/>
        <v/>
      </c>
      <c r="J108" s="93" t="e">
        <f t="shared" si="10"/>
        <v>#NUM!</v>
      </c>
      <c r="K108" s="93" t="e">
        <f t="shared" si="8"/>
        <v>#NUM!</v>
      </c>
      <c r="L108" s="93"/>
      <c r="M108" s="92">
        <f t="shared" si="9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95"/>
      <c r="B109" s="84"/>
      <c r="C109" s="84"/>
      <c r="D109" s="84"/>
      <c r="E109" s="84"/>
      <c r="F109" s="84"/>
      <c r="H109" s="93">
        <v>104</v>
      </c>
      <c r="I109" s="94" t="str">
        <f t="shared" si="7"/>
        <v/>
      </c>
      <c r="J109" s="93" t="e">
        <f t="shared" si="10"/>
        <v>#NUM!</v>
      </c>
      <c r="K109" s="93" t="e">
        <f t="shared" si="8"/>
        <v>#NUM!</v>
      </c>
      <c r="L109" s="93"/>
      <c r="M109" s="92">
        <f t="shared" si="9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95"/>
      <c r="B110" s="84"/>
      <c r="C110" s="84"/>
      <c r="D110" s="84"/>
      <c r="E110" s="84"/>
      <c r="F110" s="84"/>
      <c r="H110" s="93">
        <v>105</v>
      </c>
      <c r="I110" s="94" t="str">
        <f t="shared" si="7"/>
        <v/>
      </c>
      <c r="J110" s="93" t="e">
        <f t="shared" si="10"/>
        <v>#NUM!</v>
      </c>
      <c r="K110" s="93" t="e">
        <f t="shared" si="8"/>
        <v>#NUM!</v>
      </c>
      <c r="L110" s="93"/>
      <c r="M110" s="92">
        <f t="shared" si="9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95"/>
      <c r="B111" s="84"/>
      <c r="C111" s="84"/>
      <c r="D111" s="84"/>
      <c r="E111" s="84"/>
      <c r="F111" s="84"/>
      <c r="H111" s="93">
        <v>106</v>
      </c>
      <c r="I111" s="94" t="str">
        <f t="shared" si="7"/>
        <v/>
      </c>
      <c r="J111" s="93" t="e">
        <f t="shared" si="10"/>
        <v>#NUM!</v>
      </c>
      <c r="K111" s="93" t="e">
        <f t="shared" si="8"/>
        <v>#NUM!</v>
      </c>
      <c r="L111" s="93"/>
      <c r="M111" s="92">
        <f t="shared" si="9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95"/>
      <c r="B112" s="84"/>
      <c r="C112" s="84"/>
      <c r="D112" s="84"/>
      <c r="E112" s="84"/>
      <c r="F112" s="84"/>
      <c r="H112" s="93">
        <v>107</v>
      </c>
      <c r="I112" s="94" t="str">
        <f t="shared" si="7"/>
        <v/>
      </c>
      <c r="J112" s="93" t="e">
        <f t="shared" si="10"/>
        <v>#NUM!</v>
      </c>
      <c r="K112" s="93" t="e">
        <f t="shared" si="8"/>
        <v>#NUM!</v>
      </c>
      <c r="L112" s="93"/>
      <c r="M112" s="92">
        <f t="shared" si="9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95"/>
      <c r="B113" s="84"/>
      <c r="C113" s="84"/>
      <c r="D113" s="84"/>
      <c r="E113" s="84"/>
      <c r="F113" s="84"/>
      <c r="H113" s="93">
        <v>108</v>
      </c>
      <c r="I113" s="94" t="str">
        <f t="shared" si="7"/>
        <v/>
      </c>
      <c r="J113" s="93" t="e">
        <f t="shared" si="10"/>
        <v>#NUM!</v>
      </c>
      <c r="K113" s="93" t="e">
        <f t="shared" si="8"/>
        <v>#NUM!</v>
      </c>
      <c r="L113" s="93"/>
      <c r="M113" s="92">
        <f t="shared" si="9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95"/>
      <c r="B114" s="84"/>
      <c r="C114" s="84"/>
      <c r="D114" s="84"/>
      <c r="E114" s="84"/>
      <c r="F114" s="84"/>
      <c r="H114" s="93">
        <v>109</v>
      </c>
      <c r="I114" s="94" t="str">
        <f t="shared" si="7"/>
        <v/>
      </c>
      <c r="J114" s="93" t="e">
        <f t="shared" si="10"/>
        <v>#NUM!</v>
      </c>
      <c r="K114" s="93" t="e">
        <f t="shared" si="8"/>
        <v>#NUM!</v>
      </c>
      <c r="L114" s="93"/>
      <c r="M114" s="92">
        <f t="shared" si="9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95"/>
      <c r="B115" s="84"/>
      <c r="C115" s="84"/>
      <c r="D115" s="84"/>
      <c r="E115" s="84"/>
      <c r="F115" s="84"/>
      <c r="H115" s="93">
        <v>110</v>
      </c>
      <c r="I115" s="94" t="str">
        <f t="shared" si="7"/>
        <v/>
      </c>
      <c r="J115" s="93" t="e">
        <f t="shared" si="10"/>
        <v>#NUM!</v>
      </c>
      <c r="K115" s="93" t="e">
        <f t="shared" si="8"/>
        <v>#NUM!</v>
      </c>
      <c r="L115" s="93"/>
      <c r="M115" s="92">
        <f t="shared" si="9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95"/>
      <c r="B116" s="84"/>
      <c r="C116" s="84"/>
      <c r="D116" s="84"/>
      <c r="E116" s="84"/>
      <c r="F116" s="84"/>
      <c r="H116" s="93">
        <v>111</v>
      </c>
      <c r="I116" s="94" t="str">
        <f t="shared" si="7"/>
        <v/>
      </c>
      <c r="J116" s="93" t="e">
        <f t="shared" si="10"/>
        <v>#NUM!</v>
      </c>
      <c r="K116" s="93" t="e">
        <f t="shared" si="8"/>
        <v>#NUM!</v>
      </c>
      <c r="L116" s="93"/>
      <c r="M116" s="92">
        <f t="shared" si="9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95"/>
      <c r="B117" s="84"/>
      <c r="C117" s="84"/>
      <c r="D117" s="84"/>
      <c r="E117" s="84"/>
      <c r="F117" s="84"/>
      <c r="H117" s="93">
        <v>112</v>
      </c>
      <c r="I117" s="94" t="str">
        <f t="shared" si="7"/>
        <v/>
      </c>
      <c r="J117" s="93" t="e">
        <f t="shared" si="10"/>
        <v>#NUM!</v>
      </c>
      <c r="K117" s="93" t="e">
        <f t="shared" si="8"/>
        <v>#NUM!</v>
      </c>
      <c r="L117" s="93"/>
      <c r="M117" s="92">
        <f t="shared" si="9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95"/>
      <c r="B118" s="84"/>
      <c r="C118" s="84"/>
      <c r="D118" s="84"/>
      <c r="E118" s="84"/>
      <c r="F118" s="84"/>
      <c r="H118" s="93">
        <v>113</v>
      </c>
      <c r="I118" s="94" t="str">
        <f t="shared" si="7"/>
        <v/>
      </c>
      <c r="J118" s="93" t="e">
        <f t="shared" si="10"/>
        <v>#NUM!</v>
      </c>
      <c r="K118" s="93" t="e">
        <f t="shared" si="8"/>
        <v>#NUM!</v>
      </c>
      <c r="L118" s="93"/>
      <c r="M118" s="92">
        <f t="shared" si="9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95"/>
      <c r="B119" s="84"/>
      <c r="C119" s="84"/>
      <c r="D119" s="84"/>
      <c r="E119" s="84"/>
      <c r="F119" s="84"/>
      <c r="H119" s="93">
        <v>114</v>
      </c>
      <c r="I119" s="94" t="str">
        <f t="shared" si="7"/>
        <v/>
      </c>
      <c r="J119" s="93" t="e">
        <f t="shared" si="10"/>
        <v>#NUM!</v>
      </c>
      <c r="K119" s="93" t="e">
        <f t="shared" si="8"/>
        <v>#NUM!</v>
      </c>
      <c r="L119" s="93"/>
      <c r="M119" s="92">
        <f t="shared" si="9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95"/>
      <c r="B120" s="84"/>
      <c r="C120" s="84"/>
      <c r="D120" s="84"/>
      <c r="E120" s="84"/>
      <c r="F120" s="84"/>
      <c r="H120" s="93">
        <v>115</v>
      </c>
      <c r="I120" s="94" t="str">
        <f t="shared" si="7"/>
        <v/>
      </c>
      <c r="J120" s="93" t="e">
        <f t="shared" si="10"/>
        <v>#NUM!</v>
      </c>
      <c r="K120" s="93" t="e">
        <f t="shared" si="8"/>
        <v>#NUM!</v>
      </c>
      <c r="L120" s="93"/>
      <c r="M120" s="92">
        <f t="shared" si="9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95"/>
      <c r="B121" s="84"/>
      <c r="C121" s="84"/>
      <c r="D121" s="84"/>
      <c r="E121" s="84"/>
      <c r="F121" s="84"/>
      <c r="H121" s="93">
        <v>116</v>
      </c>
      <c r="I121" s="94" t="str">
        <f t="shared" si="7"/>
        <v/>
      </c>
      <c r="J121" s="93" t="e">
        <f t="shared" si="10"/>
        <v>#NUM!</v>
      </c>
      <c r="K121" s="93" t="e">
        <f t="shared" si="8"/>
        <v>#NUM!</v>
      </c>
      <c r="L121" s="93"/>
      <c r="M121" s="92">
        <f t="shared" si="9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95"/>
      <c r="B122" s="84"/>
      <c r="C122" s="84"/>
      <c r="D122" s="84"/>
      <c r="E122" s="84"/>
      <c r="F122" s="84"/>
      <c r="H122" s="93">
        <v>117</v>
      </c>
      <c r="I122" s="94" t="str">
        <f t="shared" si="7"/>
        <v/>
      </c>
      <c r="J122" s="93" t="e">
        <f t="shared" si="10"/>
        <v>#NUM!</v>
      </c>
      <c r="K122" s="93" t="e">
        <f t="shared" si="8"/>
        <v>#NUM!</v>
      </c>
      <c r="L122" s="93"/>
      <c r="M122" s="92">
        <f t="shared" si="9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95"/>
      <c r="B123" s="84"/>
      <c r="C123" s="84"/>
      <c r="D123" s="84"/>
      <c r="E123" s="84"/>
      <c r="F123" s="84"/>
      <c r="H123" s="93">
        <v>118</v>
      </c>
      <c r="I123" s="94" t="str">
        <f t="shared" si="7"/>
        <v/>
      </c>
      <c r="J123" s="93" t="e">
        <f t="shared" si="10"/>
        <v>#NUM!</v>
      </c>
      <c r="K123" s="93" t="e">
        <f t="shared" si="8"/>
        <v>#NUM!</v>
      </c>
      <c r="L123" s="93"/>
      <c r="M123" s="92">
        <f t="shared" si="9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95"/>
      <c r="B124" s="84"/>
      <c r="C124" s="84"/>
      <c r="D124" s="84"/>
      <c r="E124" s="84"/>
      <c r="F124" s="84"/>
      <c r="H124" s="93">
        <v>119</v>
      </c>
      <c r="I124" s="94" t="str">
        <f t="shared" si="7"/>
        <v/>
      </c>
      <c r="J124" s="93" t="e">
        <f t="shared" si="10"/>
        <v>#NUM!</v>
      </c>
      <c r="K124" s="93" t="e">
        <f t="shared" si="8"/>
        <v>#NUM!</v>
      </c>
      <c r="L124" s="93"/>
      <c r="M124" s="92">
        <f t="shared" si="9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95"/>
      <c r="B125" s="84"/>
      <c r="C125" s="84"/>
      <c r="D125" s="84"/>
      <c r="E125" s="84"/>
      <c r="F125" s="84"/>
      <c r="H125" s="93">
        <v>120</v>
      </c>
      <c r="I125" s="94" t="str">
        <f t="shared" si="7"/>
        <v/>
      </c>
      <c r="J125" s="93" t="e">
        <f t="shared" si="10"/>
        <v>#NUM!</v>
      </c>
      <c r="K125" s="93" t="e">
        <f t="shared" si="8"/>
        <v>#NUM!</v>
      </c>
      <c r="L125" s="93"/>
      <c r="M125" s="92">
        <f t="shared" si="9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95"/>
      <c r="B126" s="84"/>
      <c r="C126" s="84"/>
      <c r="D126" s="84"/>
      <c r="E126" s="84"/>
      <c r="F126" s="84"/>
      <c r="H126" s="93">
        <v>121</v>
      </c>
      <c r="I126" s="94" t="str">
        <f t="shared" si="7"/>
        <v/>
      </c>
      <c r="J126" s="93" t="e">
        <f t="shared" si="10"/>
        <v>#NUM!</v>
      </c>
      <c r="K126" s="93" t="e">
        <f t="shared" si="8"/>
        <v>#NUM!</v>
      </c>
      <c r="L126" s="93"/>
      <c r="M126" s="92">
        <f t="shared" si="9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95"/>
      <c r="B127" s="84"/>
      <c r="C127" s="84"/>
      <c r="D127" s="84"/>
      <c r="E127" s="84"/>
      <c r="F127" s="84"/>
      <c r="H127" s="93">
        <v>122</v>
      </c>
      <c r="I127" s="94" t="str">
        <f t="shared" si="7"/>
        <v/>
      </c>
      <c r="J127" s="93" t="e">
        <f t="shared" si="10"/>
        <v>#NUM!</v>
      </c>
      <c r="K127" s="93" t="e">
        <f t="shared" si="8"/>
        <v>#NUM!</v>
      </c>
      <c r="L127" s="93"/>
      <c r="M127" s="92">
        <f t="shared" si="9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95"/>
      <c r="B128" s="84"/>
      <c r="C128" s="84"/>
      <c r="D128" s="84"/>
      <c r="E128" s="84"/>
      <c r="F128" s="84"/>
      <c r="H128" s="93">
        <v>123</v>
      </c>
      <c r="I128" s="94" t="str">
        <f t="shared" si="7"/>
        <v/>
      </c>
      <c r="J128" s="93" t="e">
        <f t="shared" si="10"/>
        <v>#NUM!</v>
      </c>
      <c r="K128" s="93" t="e">
        <f t="shared" si="8"/>
        <v>#NUM!</v>
      </c>
      <c r="L128" s="93"/>
      <c r="M128" s="92">
        <f t="shared" si="9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95"/>
      <c r="B129" s="84"/>
      <c r="C129" s="84"/>
      <c r="D129" s="84"/>
      <c r="E129" s="84"/>
      <c r="F129" s="84"/>
      <c r="H129" s="93">
        <v>124</v>
      </c>
      <c r="I129" s="94" t="str">
        <f t="shared" si="7"/>
        <v/>
      </c>
      <c r="J129" s="93" t="e">
        <f t="shared" si="10"/>
        <v>#NUM!</v>
      </c>
      <c r="K129" s="93" t="e">
        <f t="shared" si="8"/>
        <v>#NUM!</v>
      </c>
      <c r="L129" s="93"/>
      <c r="M129" s="92">
        <f t="shared" si="9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95"/>
      <c r="B130" s="84"/>
      <c r="C130" s="84"/>
      <c r="D130" s="84"/>
      <c r="E130" s="84"/>
      <c r="F130" s="84"/>
      <c r="H130" s="93">
        <v>125</v>
      </c>
      <c r="I130" s="94" t="str">
        <f t="shared" si="7"/>
        <v/>
      </c>
      <c r="J130" s="93" t="e">
        <f t="shared" si="10"/>
        <v>#NUM!</v>
      </c>
      <c r="K130" s="93" t="e">
        <f t="shared" si="8"/>
        <v>#NUM!</v>
      </c>
      <c r="L130" s="93"/>
      <c r="M130" s="92">
        <f t="shared" si="9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95"/>
      <c r="B131" s="84"/>
      <c r="C131" s="84"/>
      <c r="D131" s="84"/>
      <c r="E131" s="84"/>
      <c r="F131" s="84"/>
      <c r="H131" s="93">
        <v>126</v>
      </c>
      <c r="I131" s="94" t="str">
        <f t="shared" si="7"/>
        <v/>
      </c>
      <c r="J131" s="93" t="e">
        <f t="shared" si="10"/>
        <v>#NUM!</v>
      </c>
      <c r="K131" s="93" t="e">
        <f t="shared" si="8"/>
        <v>#NUM!</v>
      </c>
      <c r="L131" s="93"/>
      <c r="M131" s="92">
        <f t="shared" si="9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95"/>
      <c r="B132" s="84"/>
      <c r="C132" s="84"/>
      <c r="D132" s="84"/>
      <c r="E132" s="84"/>
      <c r="F132" s="84"/>
      <c r="H132" s="93">
        <v>127</v>
      </c>
      <c r="I132" s="94" t="str">
        <f t="shared" si="7"/>
        <v/>
      </c>
      <c r="J132" s="93" t="e">
        <f t="shared" si="10"/>
        <v>#NUM!</v>
      </c>
      <c r="K132" s="93" t="e">
        <f t="shared" si="8"/>
        <v>#NUM!</v>
      </c>
      <c r="L132" s="93"/>
      <c r="M132" s="92">
        <f t="shared" si="9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95"/>
      <c r="B133" s="84"/>
      <c r="C133" s="84"/>
      <c r="D133" s="84"/>
      <c r="E133" s="84"/>
      <c r="F133" s="84"/>
      <c r="H133" s="93">
        <v>128</v>
      </c>
      <c r="I133" s="94" t="str">
        <f t="shared" si="7"/>
        <v/>
      </c>
      <c r="J133" s="93" t="e">
        <f t="shared" si="10"/>
        <v>#NUM!</v>
      </c>
      <c r="K133" s="93" t="e">
        <f t="shared" si="8"/>
        <v>#NUM!</v>
      </c>
      <c r="L133" s="93"/>
      <c r="M133" s="92">
        <f t="shared" si="9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95"/>
      <c r="B134" s="84"/>
      <c r="C134" s="84"/>
      <c r="D134" s="84"/>
      <c r="E134" s="84"/>
      <c r="F134" s="84"/>
      <c r="H134" s="93">
        <v>129</v>
      </c>
      <c r="I134" s="94" t="str">
        <f t="shared" ref="I134:I197" si="11">IF(H134&lt;$H$2+1,($I$2-($I$2-1)*(LOG(H134)/LOG($H$2))),"")</f>
        <v/>
      </c>
      <c r="J134" s="93" t="e">
        <f t="shared" si="10"/>
        <v>#NUM!</v>
      </c>
      <c r="K134" s="93" t="e">
        <f t="shared" ref="K134:K197" si="12">J134*$J$2</f>
        <v>#NUM!</v>
      </c>
      <c r="L134" s="93"/>
      <c r="M134" s="92">
        <f t="shared" ref="M134:M197" si="13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95"/>
      <c r="B135" s="84"/>
      <c r="C135" s="84"/>
      <c r="D135" s="84"/>
      <c r="E135" s="84"/>
      <c r="F135" s="84"/>
      <c r="H135" s="93">
        <v>130</v>
      </c>
      <c r="I135" s="94" t="str">
        <f t="shared" si="11"/>
        <v/>
      </c>
      <c r="J135" s="93" t="e">
        <f t="shared" si="10"/>
        <v>#NUM!</v>
      </c>
      <c r="K135" s="93" t="e">
        <f t="shared" si="12"/>
        <v>#NUM!</v>
      </c>
      <c r="L135" s="93"/>
      <c r="M135" s="92">
        <f t="shared" si="13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95"/>
      <c r="B136" s="84"/>
      <c r="C136" s="84"/>
      <c r="D136" s="84"/>
      <c r="E136" s="84"/>
      <c r="F136" s="84"/>
      <c r="H136" s="93">
        <v>131</v>
      </c>
      <c r="I136" s="94" t="str">
        <f t="shared" si="11"/>
        <v/>
      </c>
      <c r="J136" s="93" t="e">
        <f t="shared" si="10"/>
        <v>#NUM!</v>
      </c>
      <c r="K136" s="93" t="e">
        <f t="shared" si="12"/>
        <v>#NUM!</v>
      </c>
      <c r="L136" s="93"/>
      <c r="M136" s="92">
        <f t="shared" si="13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95"/>
      <c r="B137" s="84"/>
      <c r="C137" s="84"/>
      <c r="D137" s="84"/>
      <c r="E137" s="84"/>
      <c r="F137" s="84"/>
      <c r="H137" s="93">
        <v>132</v>
      </c>
      <c r="I137" s="94" t="str">
        <f t="shared" si="11"/>
        <v/>
      </c>
      <c r="J137" s="93" t="e">
        <f t="shared" si="10"/>
        <v>#NUM!</v>
      </c>
      <c r="K137" s="93" t="e">
        <f t="shared" si="12"/>
        <v>#NUM!</v>
      </c>
      <c r="L137" s="93"/>
      <c r="M137" s="92">
        <f t="shared" si="13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95"/>
      <c r="B138" s="84"/>
      <c r="C138" s="84"/>
      <c r="D138" s="84"/>
      <c r="E138" s="84"/>
      <c r="F138" s="84"/>
      <c r="H138" s="93">
        <v>133</v>
      </c>
      <c r="I138" s="94" t="str">
        <f t="shared" si="11"/>
        <v/>
      </c>
      <c r="J138" s="93" t="e">
        <f t="shared" ref="J138:J201" si="14">INT(LOG($H$2,2))-ROUNDUP(LOG(H138,2),0)+IF(OR($H$2=1,$H$2=2,$H$2=4,$H$2=8,$H$2=16,$H$2=32,$H$2=64,$H$2=128,$H$2=256),0,1)</f>
        <v>#NUM!</v>
      </c>
      <c r="K138" s="93" t="e">
        <f t="shared" si="12"/>
        <v>#NUM!</v>
      </c>
      <c r="L138" s="93"/>
      <c r="M138" s="92">
        <f t="shared" si="13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95"/>
      <c r="B139" s="84"/>
      <c r="C139" s="84"/>
      <c r="D139" s="84"/>
      <c r="E139" s="84"/>
      <c r="F139" s="84"/>
      <c r="H139" s="93">
        <v>134</v>
      </c>
      <c r="I139" s="94" t="str">
        <f t="shared" si="11"/>
        <v/>
      </c>
      <c r="J139" s="93" t="e">
        <f t="shared" si="14"/>
        <v>#NUM!</v>
      </c>
      <c r="K139" s="93" t="e">
        <f t="shared" si="12"/>
        <v>#NUM!</v>
      </c>
      <c r="L139" s="93"/>
      <c r="M139" s="92">
        <f t="shared" si="13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95"/>
      <c r="B140" s="84"/>
      <c r="C140" s="84"/>
      <c r="D140" s="84"/>
      <c r="E140" s="84"/>
      <c r="F140" s="84"/>
      <c r="H140" s="93">
        <v>135</v>
      </c>
      <c r="I140" s="94" t="str">
        <f t="shared" si="11"/>
        <v/>
      </c>
      <c r="J140" s="93" t="e">
        <f t="shared" si="14"/>
        <v>#NUM!</v>
      </c>
      <c r="K140" s="93" t="e">
        <f t="shared" si="12"/>
        <v>#NUM!</v>
      </c>
      <c r="L140" s="93"/>
      <c r="M140" s="92">
        <f t="shared" si="13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6" customFormat="1" x14ac:dyDescent="0.25">
      <c r="A141" s="95"/>
      <c r="B141" s="84"/>
      <c r="C141" s="84"/>
      <c r="D141" s="84"/>
      <c r="E141" s="84"/>
      <c r="F141" s="84"/>
      <c r="H141" s="93">
        <v>136</v>
      </c>
      <c r="I141" s="94" t="str">
        <f t="shared" si="11"/>
        <v/>
      </c>
      <c r="J141" s="93" t="e">
        <f t="shared" si="14"/>
        <v>#NUM!</v>
      </c>
      <c r="K141" s="93" t="e">
        <f t="shared" si="12"/>
        <v>#NUM!</v>
      </c>
      <c r="L141" s="93"/>
      <c r="M141" s="92">
        <f t="shared" si="13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6" customFormat="1" x14ac:dyDescent="0.25">
      <c r="A142" s="95"/>
      <c r="B142" s="84"/>
      <c r="C142" s="84"/>
      <c r="D142" s="84"/>
      <c r="E142" s="84"/>
      <c r="F142" s="84"/>
      <c r="H142" s="93">
        <v>137</v>
      </c>
      <c r="I142" s="94" t="str">
        <f t="shared" si="11"/>
        <v/>
      </c>
      <c r="J142" s="93" t="e">
        <f t="shared" si="14"/>
        <v>#NUM!</v>
      </c>
      <c r="K142" s="93" t="e">
        <f t="shared" si="12"/>
        <v>#NUM!</v>
      </c>
      <c r="L142" s="93"/>
      <c r="M142" s="92">
        <f t="shared" si="13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6" customFormat="1" x14ac:dyDescent="0.25">
      <c r="A143" s="95"/>
      <c r="B143" s="84"/>
      <c r="C143" s="84"/>
      <c r="D143" s="84"/>
      <c r="E143" s="84"/>
      <c r="F143" s="84"/>
      <c r="H143" s="93">
        <v>138</v>
      </c>
      <c r="I143" s="94" t="str">
        <f t="shared" si="11"/>
        <v/>
      </c>
      <c r="J143" s="93" t="e">
        <f t="shared" si="14"/>
        <v>#NUM!</v>
      </c>
      <c r="K143" s="93" t="e">
        <f t="shared" si="12"/>
        <v>#NUM!</v>
      </c>
      <c r="L143" s="93"/>
      <c r="M143" s="92">
        <f t="shared" si="13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6" customFormat="1" x14ac:dyDescent="0.25">
      <c r="A144" s="95"/>
      <c r="B144" s="84"/>
      <c r="C144" s="84"/>
      <c r="D144" s="84"/>
      <c r="E144" s="84"/>
      <c r="F144" s="84"/>
      <c r="H144" s="93">
        <v>139</v>
      </c>
      <c r="I144" s="94" t="str">
        <f t="shared" si="11"/>
        <v/>
      </c>
      <c r="J144" s="93" t="e">
        <f t="shared" si="14"/>
        <v>#NUM!</v>
      </c>
      <c r="K144" s="93" t="e">
        <f t="shared" si="12"/>
        <v>#NUM!</v>
      </c>
      <c r="L144" s="93"/>
      <c r="M144" s="92">
        <f t="shared" si="13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6" customFormat="1" x14ac:dyDescent="0.25">
      <c r="A145" s="95"/>
      <c r="B145" s="84"/>
      <c r="C145" s="84"/>
      <c r="D145" s="84"/>
      <c r="E145" s="84"/>
      <c r="F145" s="84"/>
      <c r="H145" s="93">
        <v>140</v>
      </c>
      <c r="I145" s="94" t="str">
        <f t="shared" si="11"/>
        <v/>
      </c>
      <c r="J145" s="93" t="e">
        <f t="shared" si="14"/>
        <v>#NUM!</v>
      </c>
      <c r="K145" s="93" t="e">
        <f t="shared" si="12"/>
        <v>#NUM!</v>
      </c>
      <c r="L145" s="93"/>
      <c r="M145" s="92">
        <f t="shared" si="13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5"/>
      <c r="B146" s="84"/>
      <c r="C146" s="84"/>
      <c r="D146" s="84"/>
      <c r="E146" s="84"/>
      <c r="F146" s="84"/>
      <c r="H146" s="93">
        <v>141</v>
      </c>
      <c r="I146" s="94" t="str">
        <f t="shared" si="11"/>
        <v/>
      </c>
      <c r="J146" s="93" t="e">
        <f t="shared" si="14"/>
        <v>#NUM!</v>
      </c>
      <c r="K146" s="93" t="e">
        <f t="shared" si="12"/>
        <v>#NUM!</v>
      </c>
      <c r="L146" s="93"/>
      <c r="M146" s="92">
        <f t="shared" si="13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5"/>
      <c r="B147" s="84"/>
      <c r="C147" s="84"/>
      <c r="D147" s="84"/>
      <c r="E147" s="84"/>
      <c r="F147" s="84"/>
      <c r="H147" s="93">
        <v>142</v>
      </c>
      <c r="I147" s="94" t="str">
        <f t="shared" si="11"/>
        <v/>
      </c>
      <c r="J147" s="93" t="e">
        <f t="shared" si="14"/>
        <v>#NUM!</v>
      </c>
      <c r="K147" s="93" t="e">
        <f t="shared" si="12"/>
        <v>#NUM!</v>
      </c>
      <c r="L147" s="93"/>
      <c r="M147" s="92">
        <f t="shared" si="13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5"/>
      <c r="B148" s="84"/>
      <c r="C148" s="84"/>
      <c r="D148" s="84"/>
      <c r="E148" s="84"/>
      <c r="F148" s="84"/>
      <c r="H148" s="93">
        <v>143</v>
      </c>
      <c r="I148" s="94" t="str">
        <f t="shared" si="11"/>
        <v/>
      </c>
      <c r="J148" s="93" t="e">
        <f t="shared" si="14"/>
        <v>#NUM!</v>
      </c>
      <c r="K148" s="93" t="e">
        <f t="shared" si="12"/>
        <v>#NUM!</v>
      </c>
      <c r="L148" s="93"/>
      <c r="M148" s="92">
        <f t="shared" si="13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5"/>
      <c r="B149" s="84"/>
      <c r="C149" s="84"/>
      <c r="D149" s="84"/>
      <c r="E149" s="84"/>
      <c r="F149" s="84"/>
      <c r="H149" s="93">
        <v>144</v>
      </c>
      <c r="I149" s="94" t="str">
        <f t="shared" si="11"/>
        <v/>
      </c>
      <c r="J149" s="93" t="e">
        <f t="shared" si="14"/>
        <v>#NUM!</v>
      </c>
      <c r="K149" s="93" t="e">
        <f t="shared" si="12"/>
        <v>#NUM!</v>
      </c>
      <c r="L149" s="93"/>
      <c r="M149" s="92">
        <f t="shared" si="13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5"/>
      <c r="B150" s="84"/>
      <c r="C150" s="84"/>
      <c r="D150" s="84"/>
      <c r="E150" s="84"/>
      <c r="F150" s="84"/>
      <c r="H150" s="93">
        <v>145</v>
      </c>
      <c r="I150" s="94" t="str">
        <f t="shared" si="11"/>
        <v/>
      </c>
      <c r="J150" s="93" t="e">
        <f t="shared" si="14"/>
        <v>#NUM!</v>
      </c>
      <c r="K150" s="93" t="e">
        <f t="shared" si="12"/>
        <v>#NUM!</v>
      </c>
      <c r="L150" s="93"/>
      <c r="M150" s="92">
        <f t="shared" si="13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5"/>
      <c r="B151" s="84"/>
      <c r="C151" s="84"/>
      <c r="D151" s="84"/>
      <c r="E151" s="84"/>
      <c r="F151" s="84"/>
      <c r="H151" s="93">
        <v>146</v>
      </c>
      <c r="I151" s="94" t="str">
        <f t="shared" si="11"/>
        <v/>
      </c>
      <c r="J151" s="93" t="e">
        <f t="shared" si="14"/>
        <v>#NUM!</v>
      </c>
      <c r="K151" s="93" t="e">
        <f t="shared" si="12"/>
        <v>#NUM!</v>
      </c>
      <c r="L151" s="93"/>
      <c r="M151" s="92">
        <f t="shared" si="13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5"/>
      <c r="B152" s="84"/>
      <c r="C152" s="84"/>
      <c r="D152" s="84"/>
      <c r="E152" s="84"/>
      <c r="F152" s="84"/>
      <c r="H152" s="93">
        <v>147</v>
      </c>
      <c r="I152" s="94" t="str">
        <f t="shared" si="11"/>
        <v/>
      </c>
      <c r="J152" s="93" t="e">
        <f t="shared" si="14"/>
        <v>#NUM!</v>
      </c>
      <c r="K152" s="93" t="e">
        <f t="shared" si="12"/>
        <v>#NUM!</v>
      </c>
      <c r="L152" s="93"/>
      <c r="M152" s="92">
        <f t="shared" si="13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5"/>
      <c r="B153" s="84"/>
      <c r="C153" s="84"/>
      <c r="D153" s="84"/>
      <c r="E153" s="84"/>
      <c r="F153" s="84"/>
      <c r="H153" s="93">
        <v>148</v>
      </c>
      <c r="I153" s="94" t="str">
        <f t="shared" si="11"/>
        <v/>
      </c>
      <c r="J153" s="93" t="e">
        <f t="shared" si="14"/>
        <v>#NUM!</v>
      </c>
      <c r="K153" s="93" t="e">
        <f t="shared" si="12"/>
        <v>#NUM!</v>
      </c>
      <c r="L153" s="93"/>
      <c r="M153" s="92">
        <f t="shared" si="13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5"/>
      <c r="B154" s="84"/>
      <c r="C154" s="84"/>
      <c r="D154" s="84"/>
      <c r="E154" s="84"/>
      <c r="F154" s="84"/>
      <c r="H154" s="93">
        <v>149</v>
      </c>
      <c r="I154" s="94" t="str">
        <f t="shared" si="11"/>
        <v/>
      </c>
      <c r="J154" s="93" t="e">
        <f t="shared" si="14"/>
        <v>#NUM!</v>
      </c>
      <c r="K154" s="93" t="e">
        <f t="shared" si="12"/>
        <v>#NUM!</v>
      </c>
      <c r="L154" s="93"/>
      <c r="M154" s="92">
        <f t="shared" si="13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3">
        <v>150</v>
      </c>
      <c r="I155" s="94" t="str">
        <f t="shared" si="11"/>
        <v/>
      </c>
      <c r="J155" s="93" t="e">
        <f t="shared" si="14"/>
        <v>#NUM!</v>
      </c>
      <c r="K155" s="93" t="e">
        <f t="shared" si="12"/>
        <v>#NUM!</v>
      </c>
      <c r="L155" s="93"/>
      <c r="M155" s="92">
        <f t="shared" si="13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1"/>
        <v/>
      </c>
      <c r="J156" s="93" t="e">
        <f t="shared" si="14"/>
        <v>#NUM!</v>
      </c>
      <c r="K156" s="93" t="e">
        <f t="shared" si="12"/>
        <v>#NUM!</v>
      </c>
      <c r="L156" s="93"/>
      <c r="M156" s="92">
        <f t="shared" si="13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3">
        <v>152</v>
      </c>
      <c r="I157" s="94" t="str">
        <f t="shared" si="11"/>
        <v/>
      </c>
      <c r="J157" s="93" t="e">
        <f t="shared" si="14"/>
        <v>#NUM!</v>
      </c>
      <c r="K157" s="93" t="e">
        <f t="shared" si="12"/>
        <v>#NUM!</v>
      </c>
      <c r="L157" s="93"/>
      <c r="M157" s="92">
        <f t="shared" si="13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1"/>
        <v/>
      </c>
      <c r="J158" s="93" t="e">
        <f t="shared" si="14"/>
        <v>#NUM!</v>
      </c>
      <c r="K158" s="93" t="e">
        <f t="shared" si="12"/>
        <v>#NUM!</v>
      </c>
      <c r="L158" s="93"/>
      <c r="M158" s="92">
        <f t="shared" si="13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3">
        <v>154</v>
      </c>
      <c r="I159" s="94" t="str">
        <f t="shared" si="11"/>
        <v/>
      </c>
      <c r="J159" s="93" t="e">
        <f t="shared" si="14"/>
        <v>#NUM!</v>
      </c>
      <c r="K159" s="93" t="e">
        <f t="shared" si="12"/>
        <v>#NUM!</v>
      </c>
      <c r="L159" s="93"/>
      <c r="M159" s="92">
        <f t="shared" si="13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1"/>
        <v/>
      </c>
      <c r="J160" s="93" t="e">
        <f t="shared" si="14"/>
        <v>#NUM!</v>
      </c>
      <c r="K160" s="93" t="e">
        <f t="shared" si="12"/>
        <v>#NUM!</v>
      </c>
      <c r="L160" s="93"/>
      <c r="M160" s="92">
        <f t="shared" si="13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3">
        <v>156</v>
      </c>
      <c r="I161" s="94" t="str">
        <f t="shared" si="11"/>
        <v/>
      </c>
      <c r="J161" s="93" t="e">
        <f t="shared" si="14"/>
        <v>#NUM!</v>
      </c>
      <c r="K161" s="93" t="e">
        <f t="shared" si="12"/>
        <v>#NUM!</v>
      </c>
      <c r="L161" s="93"/>
      <c r="M161" s="92">
        <f t="shared" si="13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1"/>
        <v/>
      </c>
      <c r="J162" s="93" t="e">
        <f t="shared" si="14"/>
        <v>#NUM!</v>
      </c>
      <c r="K162" s="93" t="e">
        <f t="shared" si="12"/>
        <v>#NUM!</v>
      </c>
      <c r="L162" s="93"/>
      <c r="M162" s="92">
        <f t="shared" si="13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3">
        <v>158</v>
      </c>
      <c r="I163" s="94" t="str">
        <f t="shared" si="11"/>
        <v/>
      </c>
      <c r="J163" s="93" t="e">
        <f t="shared" si="14"/>
        <v>#NUM!</v>
      </c>
      <c r="K163" s="93" t="e">
        <f t="shared" si="12"/>
        <v>#NUM!</v>
      </c>
      <c r="L163" s="93"/>
      <c r="M163" s="92">
        <f t="shared" si="13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1"/>
        <v/>
      </c>
      <c r="J164" s="93" t="e">
        <f t="shared" si="14"/>
        <v>#NUM!</v>
      </c>
      <c r="K164" s="93" t="e">
        <f t="shared" si="12"/>
        <v>#NUM!</v>
      </c>
      <c r="L164" s="93"/>
      <c r="M164" s="92">
        <f t="shared" si="13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3">
        <v>160</v>
      </c>
      <c r="I165" s="94" t="str">
        <f t="shared" si="11"/>
        <v/>
      </c>
      <c r="J165" s="93" t="e">
        <f t="shared" si="14"/>
        <v>#NUM!</v>
      </c>
      <c r="K165" s="93" t="e">
        <f t="shared" si="12"/>
        <v>#NUM!</v>
      </c>
      <c r="L165" s="93"/>
      <c r="M165" s="92">
        <f t="shared" si="13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1"/>
        <v/>
      </c>
      <c r="J166" s="93" t="e">
        <f t="shared" si="14"/>
        <v>#NUM!</v>
      </c>
      <c r="K166" s="93" t="e">
        <f t="shared" si="12"/>
        <v>#NUM!</v>
      </c>
      <c r="L166" s="93"/>
      <c r="M166" s="92">
        <f t="shared" si="13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3">
        <v>162</v>
      </c>
      <c r="I167" s="94" t="str">
        <f t="shared" si="11"/>
        <v/>
      </c>
      <c r="J167" s="93" t="e">
        <f t="shared" si="14"/>
        <v>#NUM!</v>
      </c>
      <c r="K167" s="93" t="e">
        <f t="shared" si="12"/>
        <v>#NUM!</v>
      </c>
      <c r="L167" s="93"/>
      <c r="M167" s="92">
        <f t="shared" si="13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1"/>
        <v/>
      </c>
      <c r="J168" s="93" t="e">
        <f t="shared" si="14"/>
        <v>#NUM!</v>
      </c>
      <c r="K168" s="93" t="e">
        <f t="shared" si="12"/>
        <v>#NUM!</v>
      </c>
      <c r="L168" s="93"/>
      <c r="M168" s="92">
        <f t="shared" si="13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3">
        <v>164</v>
      </c>
      <c r="I169" s="94" t="str">
        <f t="shared" si="11"/>
        <v/>
      </c>
      <c r="J169" s="93" t="e">
        <f t="shared" si="14"/>
        <v>#NUM!</v>
      </c>
      <c r="K169" s="93" t="e">
        <f t="shared" si="12"/>
        <v>#NUM!</v>
      </c>
      <c r="L169" s="93"/>
      <c r="M169" s="92">
        <f t="shared" si="13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1"/>
        <v/>
      </c>
      <c r="J170" s="93" t="e">
        <f t="shared" si="14"/>
        <v>#NUM!</v>
      </c>
      <c r="K170" s="93" t="e">
        <f t="shared" si="12"/>
        <v>#NUM!</v>
      </c>
      <c r="L170" s="93"/>
      <c r="M170" s="92">
        <f t="shared" si="13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3">
        <v>166</v>
      </c>
      <c r="I171" s="94" t="str">
        <f t="shared" si="11"/>
        <v/>
      </c>
      <c r="J171" s="93" t="e">
        <f t="shared" si="14"/>
        <v>#NUM!</v>
      </c>
      <c r="K171" s="93" t="e">
        <f t="shared" si="12"/>
        <v>#NUM!</v>
      </c>
      <c r="L171" s="93"/>
      <c r="M171" s="92">
        <f t="shared" si="13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1"/>
        <v/>
      </c>
      <c r="J172" s="93" t="e">
        <f t="shared" si="14"/>
        <v>#NUM!</v>
      </c>
      <c r="K172" s="93" t="e">
        <f t="shared" si="12"/>
        <v>#NUM!</v>
      </c>
      <c r="L172" s="93"/>
      <c r="M172" s="92">
        <f t="shared" si="13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3">
        <v>168</v>
      </c>
      <c r="I173" s="94" t="str">
        <f t="shared" si="11"/>
        <v/>
      </c>
      <c r="J173" s="93" t="e">
        <f t="shared" si="14"/>
        <v>#NUM!</v>
      </c>
      <c r="K173" s="93" t="e">
        <f t="shared" si="12"/>
        <v>#NUM!</v>
      </c>
      <c r="L173" s="93"/>
      <c r="M173" s="92">
        <f t="shared" si="13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1"/>
        <v/>
      </c>
      <c r="J174" s="93" t="e">
        <f t="shared" si="14"/>
        <v>#NUM!</v>
      </c>
      <c r="K174" s="93" t="e">
        <f t="shared" si="12"/>
        <v>#NUM!</v>
      </c>
      <c r="L174" s="93"/>
      <c r="M174" s="92">
        <f t="shared" si="13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3">
        <v>170</v>
      </c>
      <c r="I175" s="94" t="str">
        <f t="shared" si="11"/>
        <v/>
      </c>
      <c r="J175" s="93" t="e">
        <f t="shared" si="14"/>
        <v>#NUM!</v>
      </c>
      <c r="K175" s="93" t="e">
        <f t="shared" si="12"/>
        <v>#NUM!</v>
      </c>
      <c r="L175" s="93"/>
      <c r="M175" s="92">
        <f t="shared" si="13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1"/>
        <v/>
      </c>
      <c r="J176" s="93" t="e">
        <f t="shared" si="14"/>
        <v>#NUM!</v>
      </c>
      <c r="K176" s="93" t="e">
        <f t="shared" si="12"/>
        <v>#NUM!</v>
      </c>
      <c r="L176" s="93"/>
      <c r="M176" s="92">
        <f t="shared" si="13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3">
        <v>172</v>
      </c>
      <c r="I177" s="94" t="str">
        <f t="shared" si="11"/>
        <v/>
      </c>
      <c r="J177" s="93" t="e">
        <f t="shared" si="14"/>
        <v>#NUM!</v>
      </c>
      <c r="K177" s="93" t="e">
        <f t="shared" si="12"/>
        <v>#NUM!</v>
      </c>
      <c r="L177" s="93"/>
      <c r="M177" s="92">
        <f t="shared" si="13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1"/>
        <v/>
      </c>
      <c r="J178" s="93" t="e">
        <f t="shared" si="14"/>
        <v>#NUM!</v>
      </c>
      <c r="K178" s="93" t="e">
        <f t="shared" si="12"/>
        <v>#NUM!</v>
      </c>
      <c r="L178" s="93"/>
      <c r="M178" s="92">
        <f t="shared" si="13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3">
        <v>174</v>
      </c>
      <c r="I179" s="94" t="str">
        <f t="shared" si="11"/>
        <v/>
      </c>
      <c r="J179" s="93" t="e">
        <f t="shared" si="14"/>
        <v>#NUM!</v>
      </c>
      <c r="K179" s="93" t="e">
        <f t="shared" si="12"/>
        <v>#NUM!</v>
      </c>
      <c r="L179" s="93"/>
      <c r="M179" s="92">
        <f t="shared" si="13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1"/>
        <v/>
      </c>
      <c r="J180" s="93" t="e">
        <f t="shared" si="14"/>
        <v>#NUM!</v>
      </c>
      <c r="K180" s="93" t="e">
        <f t="shared" si="12"/>
        <v>#NUM!</v>
      </c>
      <c r="L180" s="93"/>
      <c r="M180" s="92">
        <f t="shared" si="13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3">
        <v>176</v>
      </c>
      <c r="I181" s="94" t="str">
        <f t="shared" si="11"/>
        <v/>
      </c>
      <c r="J181" s="93" t="e">
        <f t="shared" si="14"/>
        <v>#NUM!</v>
      </c>
      <c r="K181" s="93" t="e">
        <f t="shared" si="12"/>
        <v>#NUM!</v>
      </c>
      <c r="L181" s="93"/>
      <c r="M181" s="92">
        <f t="shared" si="13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1"/>
        <v/>
      </c>
      <c r="J182" s="93" t="e">
        <f t="shared" si="14"/>
        <v>#NUM!</v>
      </c>
      <c r="K182" s="93" t="e">
        <f t="shared" si="12"/>
        <v>#NUM!</v>
      </c>
      <c r="L182" s="93"/>
      <c r="M182" s="92">
        <f t="shared" si="13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3">
        <v>178</v>
      </c>
      <c r="I183" s="94" t="str">
        <f t="shared" si="11"/>
        <v/>
      </c>
      <c r="J183" s="93" t="e">
        <f t="shared" si="14"/>
        <v>#NUM!</v>
      </c>
      <c r="K183" s="93" t="e">
        <f t="shared" si="12"/>
        <v>#NUM!</v>
      </c>
      <c r="L183" s="93"/>
      <c r="M183" s="92">
        <f t="shared" si="13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1"/>
        <v/>
      </c>
      <c r="J184" s="93" t="e">
        <f t="shared" si="14"/>
        <v>#NUM!</v>
      </c>
      <c r="K184" s="93" t="e">
        <f t="shared" si="12"/>
        <v>#NUM!</v>
      </c>
      <c r="L184" s="93"/>
      <c r="M184" s="92">
        <f t="shared" si="13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3">
        <v>180</v>
      </c>
      <c r="I185" s="94" t="str">
        <f t="shared" si="11"/>
        <v/>
      </c>
      <c r="J185" s="93" t="e">
        <f t="shared" si="14"/>
        <v>#NUM!</v>
      </c>
      <c r="K185" s="93" t="e">
        <f t="shared" si="12"/>
        <v>#NUM!</v>
      </c>
      <c r="L185" s="93"/>
      <c r="M185" s="92">
        <f t="shared" si="13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1"/>
        <v/>
      </c>
      <c r="J186" s="93" t="e">
        <f t="shared" si="14"/>
        <v>#NUM!</v>
      </c>
      <c r="K186" s="93" t="e">
        <f t="shared" si="12"/>
        <v>#NUM!</v>
      </c>
      <c r="L186" s="93"/>
      <c r="M186" s="92">
        <f t="shared" si="13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3">
        <v>182</v>
      </c>
      <c r="I187" s="94" t="str">
        <f t="shared" si="11"/>
        <v/>
      </c>
      <c r="J187" s="93" t="e">
        <f t="shared" si="14"/>
        <v>#NUM!</v>
      </c>
      <c r="K187" s="93" t="e">
        <f t="shared" si="12"/>
        <v>#NUM!</v>
      </c>
      <c r="L187" s="93"/>
      <c r="M187" s="92">
        <f t="shared" si="13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1"/>
        <v/>
      </c>
      <c r="J188" s="93" t="e">
        <f t="shared" si="14"/>
        <v>#NUM!</v>
      </c>
      <c r="K188" s="93" t="e">
        <f t="shared" si="12"/>
        <v>#NUM!</v>
      </c>
      <c r="L188" s="93"/>
      <c r="M188" s="92">
        <f t="shared" si="13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3">
        <v>184</v>
      </c>
      <c r="I189" s="94" t="str">
        <f t="shared" si="11"/>
        <v/>
      </c>
      <c r="J189" s="93" t="e">
        <f t="shared" si="14"/>
        <v>#NUM!</v>
      </c>
      <c r="K189" s="93" t="e">
        <f t="shared" si="12"/>
        <v>#NUM!</v>
      </c>
      <c r="L189" s="93"/>
      <c r="M189" s="92">
        <f t="shared" si="13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1"/>
        <v/>
      </c>
      <c r="J190" s="93" t="e">
        <f t="shared" si="14"/>
        <v>#NUM!</v>
      </c>
      <c r="K190" s="93" t="e">
        <f t="shared" si="12"/>
        <v>#NUM!</v>
      </c>
      <c r="L190" s="93"/>
      <c r="M190" s="92">
        <f t="shared" si="13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3">
        <v>186</v>
      </c>
      <c r="I191" s="94" t="str">
        <f t="shared" si="11"/>
        <v/>
      </c>
      <c r="J191" s="93" t="e">
        <f t="shared" si="14"/>
        <v>#NUM!</v>
      </c>
      <c r="K191" s="93" t="e">
        <f t="shared" si="12"/>
        <v>#NUM!</v>
      </c>
      <c r="L191" s="93"/>
      <c r="M191" s="92">
        <f t="shared" si="13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1"/>
        <v/>
      </c>
      <c r="J192" s="93" t="e">
        <f t="shared" si="14"/>
        <v>#NUM!</v>
      </c>
      <c r="K192" s="93" t="e">
        <f t="shared" si="12"/>
        <v>#NUM!</v>
      </c>
      <c r="L192" s="93"/>
      <c r="M192" s="92">
        <f t="shared" si="13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3">
        <v>188</v>
      </c>
      <c r="I193" s="94" t="str">
        <f t="shared" si="11"/>
        <v/>
      </c>
      <c r="J193" s="93" t="e">
        <f t="shared" si="14"/>
        <v>#NUM!</v>
      </c>
      <c r="K193" s="93" t="e">
        <f t="shared" si="12"/>
        <v>#NUM!</v>
      </c>
      <c r="L193" s="93"/>
      <c r="M193" s="92">
        <f t="shared" si="13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1"/>
        <v/>
      </c>
      <c r="J194" s="93" t="e">
        <f t="shared" si="14"/>
        <v>#NUM!</v>
      </c>
      <c r="K194" s="93" t="e">
        <f t="shared" si="12"/>
        <v>#NUM!</v>
      </c>
      <c r="L194" s="93"/>
      <c r="M194" s="92">
        <f t="shared" si="13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3">
        <v>190</v>
      </c>
      <c r="I195" s="94" t="str">
        <f t="shared" si="11"/>
        <v/>
      </c>
      <c r="J195" s="93" t="e">
        <f t="shared" si="14"/>
        <v>#NUM!</v>
      </c>
      <c r="K195" s="93" t="e">
        <f t="shared" si="12"/>
        <v>#NUM!</v>
      </c>
      <c r="L195" s="93"/>
      <c r="M195" s="92">
        <f t="shared" si="13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1"/>
        <v/>
      </c>
      <c r="J196" s="93" t="e">
        <f t="shared" si="14"/>
        <v>#NUM!</v>
      </c>
      <c r="K196" s="93" t="e">
        <f t="shared" si="12"/>
        <v>#NUM!</v>
      </c>
      <c r="L196" s="93"/>
      <c r="M196" s="92">
        <f t="shared" si="13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3">
        <v>192</v>
      </c>
      <c r="I197" s="94" t="str">
        <f t="shared" si="11"/>
        <v/>
      </c>
      <c r="J197" s="93" t="e">
        <f t="shared" si="14"/>
        <v>#NUM!</v>
      </c>
      <c r="K197" s="93" t="e">
        <f t="shared" si="12"/>
        <v>#NUM!</v>
      </c>
      <c r="L197" s="93"/>
      <c r="M197" s="92">
        <f t="shared" si="13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15">IF(H198&lt;$H$2+1,($I$2-($I$2-1)*(LOG(H198)/LOG($H$2))),"")</f>
        <v/>
      </c>
      <c r="J198" s="93" t="e">
        <f t="shared" si="14"/>
        <v>#NUM!</v>
      </c>
      <c r="K198" s="93" t="e">
        <f t="shared" ref="K198:K261" si="16">J198*$J$2</f>
        <v>#NUM!</v>
      </c>
      <c r="L198" s="93"/>
      <c r="M198" s="92">
        <f t="shared" ref="M198:M261" si="17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3">
        <v>194</v>
      </c>
      <c r="I199" s="94" t="str">
        <f t="shared" si="15"/>
        <v/>
      </c>
      <c r="J199" s="93" t="e">
        <f t="shared" si="14"/>
        <v>#NUM!</v>
      </c>
      <c r="K199" s="93" t="e">
        <f t="shared" si="16"/>
        <v>#NUM!</v>
      </c>
      <c r="L199" s="93"/>
      <c r="M199" s="92">
        <f t="shared" si="17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15"/>
        <v/>
      </c>
      <c r="J200" s="93" t="e">
        <f t="shared" si="14"/>
        <v>#NUM!</v>
      </c>
      <c r="K200" s="93" t="e">
        <f t="shared" si="16"/>
        <v>#NUM!</v>
      </c>
      <c r="L200" s="93"/>
      <c r="M200" s="92">
        <f t="shared" si="17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3">
        <v>196</v>
      </c>
      <c r="I201" s="94" t="str">
        <f t="shared" si="15"/>
        <v/>
      </c>
      <c r="J201" s="93" t="e">
        <f t="shared" si="14"/>
        <v>#NUM!</v>
      </c>
      <c r="K201" s="93" t="e">
        <f t="shared" si="16"/>
        <v>#NUM!</v>
      </c>
      <c r="L201" s="93"/>
      <c r="M201" s="92">
        <f t="shared" si="17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15"/>
        <v/>
      </c>
      <c r="J202" s="93" t="e">
        <f t="shared" ref="J202:J265" si="18">INT(LOG($H$2,2))-ROUNDUP(LOG(H202,2),0)+IF(OR($H$2=1,$H$2=2,$H$2=4,$H$2=8,$H$2=16,$H$2=32,$H$2=64,$H$2=128,$H$2=256),0,1)</f>
        <v>#NUM!</v>
      </c>
      <c r="K202" s="93" t="e">
        <f t="shared" si="16"/>
        <v>#NUM!</v>
      </c>
      <c r="L202" s="93"/>
      <c r="M202" s="92">
        <f t="shared" si="17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3">
        <v>198</v>
      </c>
      <c r="I203" s="94" t="str">
        <f t="shared" si="15"/>
        <v/>
      </c>
      <c r="J203" s="93" t="e">
        <f t="shared" si="18"/>
        <v>#NUM!</v>
      </c>
      <c r="K203" s="93" t="e">
        <f t="shared" si="16"/>
        <v>#NUM!</v>
      </c>
      <c r="L203" s="93"/>
      <c r="M203" s="92">
        <f t="shared" si="17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15"/>
        <v/>
      </c>
      <c r="J204" s="93" t="e">
        <f t="shared" si="18"/>
        <v>#NUM!</v>
      </c>
      <c r="K204" s="93" t="e">
        <f t="shared" si="16"/>
        <v>#NUM!</v>
      </c>
      <c r="L204" s="93"/>
      <c r="M204" s="92">
        <f t="shared" si="17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3">
        <v>200</v>
      </c>
      <c r="I205" s="94" t="str">
        <f t="shared" si="15"/>
        <v/>
      </c>
      <c r="J205" s="93" t="e">
        <f t="shared" si="18"/>
        <v>#NUM!</v>
      </c>
      <c r="K205" s="93" t="e">
        <f t="shared" si="16"/>
        <v>#NUM!</v>
      </c>
      <c r="L205" s="93"/>
      <c r="M205" s="92">
        <f t="shared" si="17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15"/>
        <v/>
      </c>
      <c r="J206" s="93" t="e">
        <f t="shared" si="18"/>
        <v>#NUM!</v>
      </c>
      <c r="K206" s="93" t="e">
        <f t="shared" si="16"/>
        <v>#NUM!</v>
      </c>
      <c r="L206" s="93"/>
      <c r="M206" s="92">
        <f t="shared" si="17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3">
        <v>202</v>
      </c>
      <c r="I207" s="94" t="str">
        <f t="shared" si="15"/>
        <v/>
      </c>
      <c r="J207" s="93" t="e">
        <f t="shared" si="18"/>
        <v>#NUM!</v>
      </c>
      <c r="K207" s="93" t="e">
        <f t="shared" si="16"/>
        <v>#NUM!</v>
      </c>
      <c r="L207" s="93"/>
      <c r="M207" s="92">
        <f t="shared" si="17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15"/>
        <v/>
      </c>
      <c r="J208" s="93" t="e">
        <f t="shared" si="18"/>
        <v>#NUM!</v>
      </c>
      <c r="K208" s="93" t="e">
        <f t="shared" si="16"/>
        <v>#NUM!</v>
      </c>
      <c r="L208" s="93"/>
      <c r="M208" s="92">
        <f t="shared" si="17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3">
        <v>204</v>
      </c>
      <c r="I209" s="94" t="str">
        <f t="shared" si="15"/>
        <v/>
      </c>
      <c r="J209" s="93" t="e">
        <f t="shared" si="18"/>
        <v>#NUM!</v>
      </c>
      <c r="K209" s="93" t="e">
        <f t="shared" si="16"/>
        <v>#NUM!</v>
      </c>
      <c r="L209" s="93"/>
      <c r="M209" s="92">
        <f t="shared" si="17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15"/>
        <v/>
      </c>
      <c r="J210" s="93" t="e">
        <f t="shared" si="18"/>
        <v>#NUM!</v>
      </c>
      <c r="K210" s="93" t="e">
        <f t="shared" si="16"/>
        <v>#NUM!</v>
      </c>
      <c r="L210" s="93"/>
      <c r="M210" s="92">
        <f t="shared" si="17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3">
        <v>206</v>
      </c>
      <c r="I211" s="94" t="str">
        <f t="shared" si="15"/>
        <v/>
      </c>
      <c r="J211" s="93" t="e">
        <f t="shared" si="18"/>
        <v>#NUM!</v>
      </c>
      <c r="K211" s="93" t="e">
        <f t="shared" si="16"/>
        <v>#NUM!</v>
      </c>
      <c r="L211" s="93"/>
      <c r="M211" s="92">
        <f t="shared" si="17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15"/>
        <v/>
      </c>
      <c r="J212" s="93" t="e">
        <f t="shared" si="18"/>
        <v>#NUM!</v>
      </c>
      <c r="K212" s="93" t="e">
        <f t="shared" si="16"/>
        <v>#NUM!</v>
      </c>
      <c r="L212" s="93"/>
      <c r="M212" s="92">
        <f t="shared" si="17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3">
        <v>208</v>
      </c>
      <c r="I213" s="94" t="str">
        <f t="shared" si="15"/>
        <v/>
      </c>
      <c r="J213" s="93" t="e">
        <f t="shared" si="18"/>
        <v>#NUM!</v>
      </c>
      <c r="K213" s="93" t="e">
        <f t="shared" si="16"/>
        <v>#NUM!</v>
      </c>
      <c r="L213" s="93"/>
      <c r="M213" s="92">
        <f t="shared" si="17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15"/>
        <v/>
      </c>
      <c r="J214" s="93" t="e">
        <f t="shared" si="18"/>
        <v>#NUM!</v>
      </c>
      <c r="K214" s="93" t="e">
        <f t="shared" si="16"/>
        <v>#NUM!</v>
      </c>
      <c r="L214" s="93"/>
      <c r="M214" s="92">
        <f t="shared" si="17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3">
        <v>210</v>
      </c>
      <c r="I215" s="94" t="str">
        <f t="shared" si="15"/>
        <v/>
      </c>
      <c r="J215" s="93" t="e">
        <f t="shared" si="18"/>
        <v>#NUM!</v>
      </c>
      <c r="K215" s="93" t="e">
        <f t="shared" si="16"/>
        <v>#NUM!</v>
      </c>
      <c r="L215" s="93"/>
      <c r="M215" s="92">
        <f t="shared" si="17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15"/>
        <v/>
      </c>
      <c r="J216" s="93" t="e">
        <f t="shared" si="18"/>
        <v>#NUM!</v>
      </c>
      <c r="K216" s="93" t="e">
        <f t="shared" si="16"/>
        <v>#NUM!</v>
      </c>
      <c r="L216" s="93"/>
      <c r="M216" s="92">
        <f t="shared" si="17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3">
        <v>212</v>
      </c>
      <c r="I217" s="94" t="str">
        <f t="shared" si="15"/>
        <v/>
      </c>
      <c r="J217" s="93" t="e">
        <f t="shared" si="18"/>
        <v>#NUM!</v>
      </c>
      <c r="K217" s="93" t="e">
        <f t="shared" si="16"/>
        <v>#NUM!</v>
      </c>
      <c r="L217" s="93"/>
      <c r="M217" s="92">
        <f t="shared" si="17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15"/>
        <v/>
      </c>
      <c r="J218" s="93" t="e">
        <f t="shared" si="18"/>
        <v>#NUM!</v>
      </c>
      <c r="K218" s="93" t="e">
        <f t="shared" si="16"/>
        <v>#NUM!</v>
      </c>
      <c r="L218" s="93"/>
      <c r="M218" s="92">
        <f t="shared" si="17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3">
        <v>214</v>
      </c>
      <c r="I219" s="94" t="str">
        <f t="shared" si="15"/>
        <v/>
      </c>
      <c r="J219" s="93" t="e">
        <f t="shared" si="18"/>
        <v>#NUM!</v>
      </c>
      <c r="K219" s="93" t="e">
        <f t="shared" si="16"/>
        <v>#NUM!</v>
      </c>
      <c r="L219" s="93"/>
      <c r="M219" s="92">
        <f t="shared" si="17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15"/>
        <v/>
      </c>
      <c r="J220" s="93" t="e">
        <f t="shared" si="18"/>
        <v>#NUM!</v>
      </c>
      <c r="K220" s="93" t="e">
        <f t="shared" si="16"/>
        <v>#NUM!</v>
      </c>
      <c r="L220" s="93"/>
      <c r="M220" s="92">
        <f t="shared" si="17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3">
        <v>216</v>
      </c>
      <c r="I221" s="94" t="str">
        <f t="shared" si="15"/>
        <v/>
      </c>
      <c r="J221" s="93" t="e">
        <f t="shared" si="18"/>
        <v>#NUM!</v>
      </c>
      <c r="K221" s="93" t="e">
        <f t="shared" si="16"/>
        <v>#NUM!</v>
      </c>
      <c r="L221" s="93"/>
      <c r="M221" s="92">
        <f t="shared" si="17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15"/>
        <v/>
      </c>
      <c r="J222" s="93" t="e">
        <f t="shared" si="18"/>
        <v>#NUM!</v>
      </c>
      <c r="K222" s="93" t="e">
        <f t="shared" si="16"/>
        <v>#NUM!</v>
      </c>
      <c r="L222" s="93"/>
      <c r="M222" s="92">
        <f t="shared" si="17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3">
        <v>218</v>
      </c>
      <c r="I223" s="94" t="str">
        <f t="shared" si="15"/>
        <v/>
      </c>
      <c r="J223" s="93" t="e">
        <f t="shared" si="18"/>
        <v>#NUM!</v>
      </c>
      <c r="K223" s="93" t="e">
        <f t="shared" si="16"/>
        <v>#NUM!</v>
      </c>
      <c r="L223" s="93"/>
      <c r="M223" s="92">
        <f t="shared" si="17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15"/>
        <v/>
      </c>
      <c r="J224" s="93" t="e">
        <f t="shared" si="18"/>
        <v>#NUM!</v>
      </c>
      <c r="K224" s="93" t="e">
        <f t="shared" si="16"/>
        <v>#NUM!</v>
      </c>
      <c r="L224" s="93"/>
      <c r="M224" s="92">
        <f t="shared" si="17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3">
        <v>220</v>
      </c>
      <c r="I225" s="94" t="str">
        <f t="shared" si="15"/>
        <v/>
      </c>
      <c r="J225" s="93" t="e">
        <f t="shared" si="18"/>
        <v>#NUM!</v>
      </c>
      <c r="K225" s="93" t="e">
        <f t="shared" si="16"/>
        <v>#NUM!</v>
      </c>
      <c r="L225" s="93"/>
      <c r="M225" s="92">
        <f t="shared" si="17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15"/>
        <v/>
      </c>
      <c r="J226" s="93" t="e">
        <f t="shared" si="18"/>
        <v>#NUM!</v>
      </c>
      <c r="K226" s="93" t="e">
        <f t="shared" si="16"/>
        <v>#NUM!</v>
      </c>
      <c r="L226" s="93"/>
      <c r="M226" s="92">
        <f t="shared" si="17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3">
        <v>222</v>
      </c>
      <c r="I227" s="94" t="str">
        <f t="shared" si="15"/>
        <v/>
      </c>
      <c r="J227" s="93" t="e">
        <f t="shared" si="18"/>
        <v>#NUM!</v>
      </c>
      <c r="K227" s="93" t="e">
        <f t="shared" si="16"/>
        <v>#NUM!</v>
      </c>
      <c r="L227" s="93"/>
      <c r="M227" s="92">
        <f t="shared" si="17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15"/>
        <v/>
      </c>
      <c r="J228" s="93" t="e">
        <f t="shared" si="18"/>
        <v>#NUM!</v>
      </c>
      <c r="K228" s="93" t="e">
        <f t="shared" si="16"/>
        <v>#NUM!</v>
      </c>
      <c r="L228" s="93"/>
      <c r="M228" s="92">
        <f t="shared" si="17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3">
        <v>224</v>
      </c>
      <c r="I229" s="94" t="str">
        <f t="shared" si="15"/>
        <v/>
      </c>
      <c r="J229" s="93" t="e">
        <f t="shared" si="18"/>
        <v>#NUM!</v>
      </c>
      <c r="K229" s="93" t="e">
        <f t="shared" si="16"/>
        <v>#NUM!</v>
      </c>
      <c r="L229" s="93"/>
      <c r="M229" s="92">
        <f t="shared" si="17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15"/>
        <v/>
      </c>
      <c r="J230" s="93" t="e">
        <f t="shared" si="18"/>
        <v>#NUM!</v>
      </c>
      <c r="K230" s="93" t="e">
        <f t="shared" si="16"/>
        <v>#NUM!</v>
      </c>
      <c r="L230" s="93"/>
      <c r="M230" s="92">
        <f t="shared" si="17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3">
        <v>226</v>
      </c>
      <c r="I231" s="94" t="str">
        <f t="shared" si="15"/>
        <v/>
      </c>
      <c r="J231" s="93" t="e">
        <f t="shared" si="18"/>
        <v>#NUM!</v>
      </c>
      <c r="K231" s="93" t="e">
        <f t="shared" si="16"/>
        <v>#NUM!</v>
      </c>
      <c r="L231" s="93"/>
      <c r="M231" s="92">
        <f t="shared" si="17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15"/>
        <v/>
      </c>
      <c r="J232" s="93" t="e">
        <f t="shared" si="18"/>
        <v>#NUM!</v>
      </c>
      <c r="K232" s="93" t="e">
        <f t="shared" si="16"/>
        <v>#NUM!</v>
      </c>
      <c r="L232" s="93"/>
      <c r="M232" s="92">
        <f t="shared" si="17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3">
        <v>228</v>
      </c>
      <c r="I233" s="94" t="str">
        <f t="shared" si="15"/>
        <v/>
      </c>
      <c r="J233" s="93" t="e">
        <f t="shared" si="18"/>
        <v>#NUM!</v>
      </c>
      <c r="K233" s="93" t="e">
        <f t="shared" si="16"/>
        <v>#NUM!</v>
      </c>
      <c r="L233" s="93"/>
      <c r="M233" s="92">
        <f t="shared" si="17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15"/>
        <v/>
      </c>
      <c r="J234" s="93" t="e">
        <f t="shared" si="18"/>
        <v>#NUM!</v>
      </c>
      <c r="K234" s="93" t="e">
        <f t="shared" si="16"/>
        <v>#NUM!</v>
      </c>
      <c r="L234" s="93"/>
      <c r="M234" s="92">
        <f t="shared" si="17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3">
        <v>230</v>
      </c>
      <c r="I235" s="94" t="str">
        <f t="shared" si="15"/>
        <v/>
      </c>
      <c r="J235" s="93" t="e">
        <f t="shared" si="18"/>
        <v>#NUM!</v>
      </c>
      <c r="K235" s="93" t="e">
        <f t="shared" si="16"/>
        <v>#NUM!</v>
      </c>
      <c r="L235" s="93"/>
      <c r="M235" s="92">
        <f t="shared" si="17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15"/>
        <v/>
      </c>
      <c r="J236" s="93" t="e">
        <f t="shared" si="18"/>
        <v>#NUM!</v>
      </c>
      <c r="K236" s="93" t="e">
        <f t="shared" si="16"/>
        <v>#NUM!</v>
      </c>
      <c r="L236" s="93"/>
      <c r="M236" s="92">
        <f t="shared" si="17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3">
        <v>232</v>
      </c>
      <c r="I237" s="94" t="str">
        <f t="shared" si="15"/>
        <v/>
      </c>
      <c r="J237" s="93" t="e">
        <f t="shared" si="18"/>
        <v>#NUM!</v>
      </c>
      <c r="K237" s="93" t="e">
        <f t="shared" si="16"/>
        <v>#NUM!</v>
      </c>
      <c r="L237" s="93"/>
      <c r="M237" s="92">
        <f t="shared" si="17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15"/>
        <v/>
      </c>
      <c r="J238" s="93" t="e">
        <f t="shared" si="18"/>
        <v>#NUM!</v>
      </c>
      <c r="K238" s="93" t="e">
        <f t="shared" si="16"/>
        <v>#NUM!</v>
      </c>
      <c r="L238" s="93"/>
      <c r="M238" s="92">
        <f t="shared" si="17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3">
        <v>234</v>
      </c>
      <c r="I239" s="94" t="str">
        <f t="shared" si="15"/>
        <v/>
      </c>
      <c r="J239" s="93" t="e">
        <f t="shared" si="18"/>
        <v>#NUM!</v>
      </c>
      <c r="K239" s="93" t="e">
        <f t="shared" si="16"/>
        <v>#NUM!</v>
      </c>
      <c r="L239" s="93"/>
      <c r="M239" s="92">
        <f t="shared" si="17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15"/>
        <v/>
      </c>
      <c r="J240" s="93" t="e">
        <f t="shared" si="18"/>
        <v>#NUM!</v>
      </c>
      <c r="K240" s="93" t="e">
        <f t="shared" si="16"/>
        <v>#NUM!</v>
      </c>
      <c r="L240" s="93"/>
      <c r="M240" s="92">
        <f t="shared" si="17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3">
        <v>236</v>
      </c>
      <c r="I241" s="94" t="str">
        <f t="shared" si="15"/>
        <v/>
      </c>
      <c r="J241" s="93" t="e">
        <f t="shared" si="18"/>
        <v>#NUM!</v>
      </c>
      <c r="K241" s="93" t="e">
        <f t="shared" si="16"/>
        <v>#NUM!</v>
      </c>
      <c r="L241" s="93"/>
      <c r="M241" s="92">
        <f t="shared" si="17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15"/>
        <v/>
      </c>
      <c r="J242" s="93" t="e">
        <f t="shared" si="18"/>
        <v>#NUM!</v>
      </c>
      <c r="K242" s="93" t="e">
        <f t="shared" si="16"/>
        <v>#NUM!</v>
      </c>
      <c r="L242" s="93"/>
      <c r="M242" s="92">
        <f t="shared" si="17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3">
        <v>238</v>
      </c>
      <c r="I243" s="94" t="str">
        <f t="shared" si="15"/>
        <v/>
      </c>
      <c r="J243" s="93" t="e">
        <f t="shared" si="18"/>
        <v>#NUM!</v>
      </c>
      <c r="K243" s="93" t="e">
        <f t="shared" si="16"/>
        <v>#NUM!</v>
      </c>
      <c r="L243" s="93"/>
      <c r="M243" s="92">
        <f t="shared" si="17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15"/>
        <v/>
      </c>
      <c r="J244" s="93" t="e">
        <f t="shared" si="18"/>
        <v>#NUM!</v>
      </c>
      <c r="K244" s="93" t="e">
        <f t="shared" si="16"/>
        <v>#NUM!</v>
      </c>
      <c r="L244" s="93"/>
      <c r="M244" s="92">
        <f t="shared" si="17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3">
        <v>240</v>
      </c>
      <c r="I245" s="94" t="str">
        <f t="shared" si="15"/>
        <v/>
      </c>
      <c r="J245" s="93" t="e">
        <f t="shared" si="18"/>
        <v>#NUM!</v>
      </c>
      <c r="K245" s="93" t="e">
        <f t="shared" si="16"/>
        <v>#NUM!</v>
      </c>
      <c r="L245" s="93"/>
      <c r="M245" s="92">
        <f t="shared" si="17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15"/>
        <v/>
      </c>
      <c r="J246" s="93" t="e">
        <f t="shared" si="18"/>
        <v>#NUM!</v>
      </c>
      <c r="K246" s="93" t="e">
        <f t="shared" si="16"/>
        <v>#NUM!</v>
      </c>
      <c r="L246" s="93"/>
      <c r="M246" s="92">
        <f t="shared" si="17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3">
        <v>242</v>
      </c>
      <c r="I247" s="94" t="str">
        <f t="shared" si="15"/>
        <v/>
      </c>
      <c r="J247" s="93" t="e">
        <f t="shared" si="18"/>
        <v>#NUM!</v>
      </c>
      <c r="K247" s="93" t="e">
        <f t="shared" si="16"/>
        <v>#NUM!</v>
      </c>
      <c r="L247" s="93"/>
      <c r="M247" s="92">
        <f t="shared" si="17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15"/>
        <v/>
      </c>
      <c r="J248" s="93" t="e">
        <f t="shared" si="18"/>
        <v>#NUM!</v>
      </c>
      <c r="K248" s="93" t="e">
        <f t="shared" si="16"/>
        <v>#NUM!</v>
      </c>
      <c r="L248" s="93"/>
      <c r="M248" s="92">
        <f t="shared" si="17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3">
        <v>244</v>
      </c>
      <c r="I249" s="94" t="str">
        <f t="shared" si="15"/>
        <v/>
      </c>
      <c r="J249" s="93" t="e">
        <f t="shared" si="18"/>
        <v>#NUM!</v>
      </c>
      <c r="K249" s="93" t="e">
        <f t="shared" si="16"/>
        <v>#NUM!</v>
      </c>
      <c r="L249" s="93"/>
      <c r="M249" s="92">
        <f t="shared" si="17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15"/>
        <v/>
      </c>
      <c r="J250" s="93" t="e">
        <f t="shared" si="18"/>
        <v>#NUM!</v>
      </c>
      <c r="K250" s="93" t="e">
        <f t="shared" si="16"/>
        <v>#NUM!</v>
      </c>
      <c r="L250" s="93"/>
      <c r="M250" s="92">
        <f t="shared" si="17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3">
        <v>246</v>
      </c>
      <c r="I251" s="94" t="str">
        <f t="shared" si="15"/>
        <v/>
      </c>
      <c r="J251" s="93" t="e">
        <f t="shared" si="18"/>
        <v>#NUM!</v>
      </c>
      <c r="K251" s="93" t="e">
        <f t="shared" si="16"/>
        <v>#NUM!</v>
      </c>
      <c r="L251" s="93"/>
      <c r="M251" s="92">
        <f t="shared" si="17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15"/>
        <v/>
      </c>
      <c r="J252" s="93" t="e">
        <f t="shared" si="18"/>
        <v>#NUM!</v>
      </c>
      <c r="K252" s="93" t="e">
        <f t="shared" si="16"/>
        <v>#NUM!</v>
      </c>
      <c r="L252" s="93"/>
      <c r="M252" s="92">
        <f t="shared" si="17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3">
        <v>248</v>
      </c>
      <c r="I253" s="94" t="str">
        <f t="shared" si="15"/>
        <v/>
      </c>
      <c r="J253" s="93" t="e">
        <f t="shared" si="18"/>
        <v>#NUM!</v>
      </c>
      <c r="K253" s="93" t="e">
        <f t="shared" si="16"/>
        <v>#NUM!</v>
      </c>
      <c r="L253" s="93"/>
      <c r="M253" s="92">
        <f t="shared" si="17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15"/>
        <v/>
      </c>
      <c r="J254" s="93" t="e">
        <f t="shared" si="18"/>
        <v>#NUM!</v>
      </c>
      <c r="K254" s="93" t="e">
        <f t="shared" si="16"/>
        <v>#NUM!</v>
      </c>
      <c r="L254" s="93"/>
      <c r="M254" s="92">
        <f t="shared" si="17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3">
        <v>250</v>
      </c>
      <c r="I255" s="94" t="str">
        <f t="shared" si="15"/>
        <v/>
      </c>
      <c r="J255" s="93" t="e">
        <f t="shared" si="18"/>
        <v>#NUM!</v>
      </c>
      <c r="K255" s="93" t="e">
        <f t="shared" si="16"/>
        <v>#NUM!</v>
      </c>
      <c r="L255" s="93"/>
      <c r="M255" s="92">
        <f t="shared" si="17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15"/>
        <v/>
      </c>
      <c r="J256" s="93" t="e">
        <f t="shared" si="18"/>
        <v>#NUM!</v>
      </c>
      <c r="K256" s="93" t="e">
        <f t="shared" si="16"/>
        <v>#NUM!</v>
      </c>
      <c r="L256" s="93"/>
      <c r="M256" s="92">
        <f t="shared" si="17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3">
        <v>252</v>
      </c>
      <c r="I257" s="94" t="str">
        <f t="shared" si="15"/>
        <v/>
      </c>
      <c r="J257" s="93" t="e">
        <f t="shared" si="18"/>
        <v>#NUM!</v>
      </c>
      <c r="K257" s="93" t="e">
        <f t="shared" si="16"/>
        <v>#NUM!</v>
      </c>
      <c r="L257" s="93"/>
      <c r="M257" s="92">
        <f t="shared" si="17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15"/>
        <v/>
      </c>
      <c r="J258" s="93" t="e">
        <f t="shared" si="18"/>
        <v>#NUM!</v>
      </c>
      <c r="K258" s="93" t="e">
        <f t="shared" si="16"/>
        <v>#NUM!</v>
      </c>
      <c r="L258" s="93"/>
      <c r="M258" s="92">
        <f t="shared" si="17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3">
        <v>254</v>
      </c>
      <c r="I259" s="94" t="str">
        <f t="shared" si="15"/>
        <v/>
      </c>
      <c r="J259" s="93" t="e">
        <f t="shared" si="18"/>
        <v>#NUM!</v>
      </c>
      <c r="K259" s="93" t="e">
        <f t="shared" si="16"/>
        <v>#NUM!</v>
      </c>
      <c r="L259" s="93"/>
      <c r="M259" s="92">
        <f t="shared" si="17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15"/>
        <v/>
      </c>
      <c r="J260" s="93" t="e">
        <f t="shared" si="18"/>
        <v>#NUM!</v>
      </c>
      <c r="K260" s="93" t="e">
        <f t="shared" si="16"/>
        <v>#NUM!</v>
      </c>
      <c r="L260" s="93"/>
      <c r="M260" s="92">
        <f t="shared" si="17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3">
        <v>256</v>
      </c>
      <c r="I261" s="94" t="str">
        <f t="shared" si="15"/>
        <v/>
      </c>
      <c r="J261" s="93" t="e">
        <f t="shared" si="18"/>
        <v>#NUM!</v>
      </c>
      <c r="K261" s="93" t="e">
        <f t="shared" si="16"/>
        <v>#NUM!</v>
      </c>
      <c r="L261" s="93"/>
      <c r="M261" s="92">
        <f t="shared" si="17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19">IF(H262&lt;$H$2+1,($I$2-($I$2-1)*(LOG(H262)/LOG($H$2))),"")</f>
        <v/>
      </c>
      <c r="J262" s="93" t="e">
        <f t="shared" si="18"/>
        <v>#NUM!</v>
      </c>
      <c r="K262" s="93" t="e">
        <f t="shared" ref="K262:K305" si="20">J262*$J$2</f>
        <v>#NUM!</v>
      </c>
      <c r="L262" s="93"/>
      <c r="M262" s="92">
        <f t="shared" ref="M262:M305" si="21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3">
        <v>258</v>
      </c>
      <c r="I263" s="94" t="str">
        <f t="shared" si="19"/>
        <v/>
      </c>
      <c r="J263" s="93" t="e">
        <f t="shared" si="18"/>
        <v>#NUM!</v>
      </c>
      <c r="K263" s="93" t="e">
        <f t="shared" si="20"/>
        <v>#NUM!</v>
      </c>
      <c r="L263" s="93"/>
      <c r="M263" s="92">
        <f t="shared" si="21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19"/>
        <v/>
      </c>
      <c r="J264" s="93" t="e">
        <f t="shared" si="18"/>
        <v>#NUM!</v>
      </c>
      <c r="K264" s="93" t="e">
        <f t="shared" si="20"/>
        <v>#NUM!</v>
      </c>
      <c r="L264" s="93"/>
      <c r="M264" s="92">
        <f t="shared" si="21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3">
        <v>260</v>
      </c>
      <c r="I265" s="94" t="str">
        <f t="shared" si="19"/>
        <v/>
      </c>
      <c r="J265" s="93" t="e">
        <f t="shared" si="18"/>
        <v>#NUM!</v>
      </c>
      <c r="K265" s="93" t="e">
        <f t="shared" si="20"/>
        <v>#NUM!</v>
      </c>
      <c r="L265" s="93"/>
      <c r="M265" s="92">
        <f t="shared" si="21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19"/>
        <v/>
      </c>
      <c r="J266" s="93" t="e">
        <f t="shared" ref="J266:J305" si="22">INT(LOG($H$2,2))-ROUNDUP(LOG(H266,2),0)+IF(OR($H$2=1,$H$2=2,$H$2=4,$H$2=8,$H$2=16,$H$2=32,$H$2=64,$H$2=128,$H$2=256),0,1)</f>
        <v>#NUM!</v>
      </c>
      <c r="K266" s="93" t="e">
        <f t="shared" si="20"/>
        <v>#NUM!</v>
      </c>
      <c r="L266" s="93"/>
      <c r="M266" s="92">
        <f t="shared" si="21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3">
        <v>262</v>
      </c>
      <c r="I267" s="94" t="str">
        <f t="shared" si="19"/>
        <v/>
      </c>
      <c r="J267" s="93" t="e">
        <f t="shared" si="22"/>
        <v>#NUM!</v>
      </c>
      <c r="K267" s="93" t="e">
        <f t="shared" si="20"/>
        <v>#NUM!</v>
      </c>
      <c r="L267" s="93"/>
      <c r="M267" s="92">
        <f t="shared" si="21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19"/>
        <v/>
      </c>
      <c r="J268" s="93" t="e">
        <f t="shared" si="22"/>
        <v>#NUM!</v>
      </c>
      <c r="K268" s="93" t="e">
        <f t="shared" si="20"/>
        <v>#NUM!</v>
      </c>
      <c r="L268" s="93"/>
      <c r="M268" s="92">
        <f t="shared" si="21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3">
        <v>264</v>
      </c>
      <c r="I269" s="94" t="str">
        <f t="shared" si="19"/>
        <v/>
      </c>
      <c r="J269" s="93" t="e">
        <f t="shared" si="22"/>
        <v>#NUM!</v>
      </c>
      <c r="K269" s="93" t="e">
        <f t="shared" si="20"/>
        <v>#NUM!</v>
      </c>
      <c r="L269" s="93"/>
      <c r="M269" s="92">
        <f t="shared" si="21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19"/>
        <v/>
      </c>
      <c r="J270" s="93" t="e">
        <f t="shared" si="22"/>
        <v>#NUM!</v>
      </c>
      <c r="K270" s="93" t="e">
        <f t="shared" si="20"/>
        <v>#NUM!</v>
      </c>
      <c r="L270" s="93"/>
      <c r="M270" s="92">
        <f t="shared" si="21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3">
        <v>266</v>
      </c>
      <c r="I271" s="94" t="str">
        <f t="shared" si="19"/>
        <v/>
      </c>
      <c r="J271" s="93" t="e">
        <f t="shared" si="22"/>
        <v>#NUM!</v>
      </c>
      <c r="K271" s="93" t="e">
        <f t="shared" si="20"/>
        <v>#NUM!</v>
      </c>
      <c r="L271" s="93"/>
      <c r="M271" s="92">
        <f t="shared" si="21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19"/>
        <v/>
      </c>
      <c r="J272" s="93" t="e">
        <f t="shared" si="22"/>
        <v>#NUM!</v>
      </c>
      <c r="K272" s="93" t="e">
        <f t="shared" si="20"/>
        <v>#NUM!</v>
      </c>
      <c r="L272" s="93"/>
      <c r="M272" s="92">
        <f t="shared" si="21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3">
        <v>268</v>
      </c>
      <c r="I273" s="94" t="str">
        <f t="shared" si="19"/>
        <v/>
      </c>
      <c r="J273" s="93" t="e">
        <f t="shared" si="22"/>
        <v>#NUM!</v>
      </c>
      <c r="K273" s="93" t="e">
        <f t="shared" si="20"/>
        <v>#NUM!</v>
      </c>
      <c r="L273" s="93"/>
      <c r="M273" s="92">
        <f t="shared" si="21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19"/>
        <v/>
      </c>
      <c r="J274" s="93" t="e">
        <f t="shared" si="22"/>
        <v>#NUM!</v>
      </c>
      <c r="K274" s="93" t="e">
        <f t="shared" si="20"/>
        <v>#NUM!</v>
      </c>
      <c r="L274" s="93"/>
      <c r="M274" s="92">
        <f t="shared" si="21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3">
        <v>270</v>
      </c>
      <c r="I275" s="94" t="str">
        <f t="shared" si="19"/>
        <v/>
      </c>
      <c r="J275" s="93" t="e">
        <f t="shared" si="22"/>
        <v>#NUM!</v>
      </c>
      <c r="K275" s="93" t="e">
        <f t="shared" si="20"/>
        <v>#NUM!</v>
      </c>
      <c r="L275" s="93"/>
      <c r="M275" s="92">
        <f t="shared" si="21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19"/>
        <v/>
      </c>
      <c r="J276" s="93" t="e">
        <f t="shared" si="22"/>
        <v>#NUM!</v>
      </c>
      <c r="K276" s="93" t="e">
        <f t="shared" si="20"/>
        <v>#NUM!</v>
      </c>
      <c r="L276" s="93"/>
      <c r="M276" s="92">
        <f t="shared" si="21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3">
        <v>272</v>
      </c>
      <c r="I277" s="94" t="str">
        <f t="shared" si="19"/>
        <v/>
      </c>
      <c r="J277" s="93" t="e">
        <f t="shared" si="22"/>
        <v>#NUM!</v>
      </c>
      <c r="K277" s="93" t="e">
        <f t="shared" si="20"/>
        <v>#NUM!</v>
      </c>
      <c r="L277" s="93"/>
      <c r="M277" s="92">
        <f t="shared" si="21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19"/>
        <v/>
      </c>
      <c r="J278" s="93" t="e">
        <f t="shared" si="22"/>
        <v>#NUM!</v>
      </c>
      <c r="K278" s="93" t="e">
        <f t="shared" si="20"/>
        <v>#NUM!</v>
      </c>
      <c r="L278" s="93"/>
      <c r="M278" s="92">
        <f t="shared" si="21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3">
        <v>274</v>
      </c>
      <c r="I279" s="94" t="str">
        <f t="shared" si="19"/>
        <v/>
      </c>
      <c r="J279" s="93" t="e">
        <f t="shared" si="22"/>
        <v>#NUM!</v>
      </c>
      <c r="K279" s="93" t="e">
        <f t="shared" si="20"/>
        <v>#NUM!</v>
      </c>
      <c r="L279" s="93"/>
      <c r="M279" s="92">
        <f t="shared" si="21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19"/>
        <v/>
      </c>
      <c r="J280" s="93" t="e">
        <f t="shared" si="22"/>
        <v>#NUM!</v>
      </c>
      <c r="K280" s="93" t="e">
        <f t="shared" si="20"/>
        <v>#NUM!</v>
      </c>
      <c r="L280" s="93"/>
      <c r="M280" s="92">
        <f t="shared" si="21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3">
        <v>276</v>
      </c>
      <c r="I281" s="94" t="str">
        <f t="shared" si="19"/>
        <v/>
      </c>
      <c r="J281" s="93" t="e">
        <f t="shared" si="22"/>
        <v>#NUM!</v>
      </c>
      <c r="K281" s="93" t="e">
        <f t="shared" si="20"/>
        <v>#NUM!</v>
      </c>
      <c r="L281" s="93"/>
      <c r="M281" s="92">
        <f t="shared" si="21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19"/>
        <v/>
      </c>
      <c r="J282" s="93" t="e">
        <f t="shared" si="22"/>
        <v>#NUM!</v>
      </c>
      <c r="K282" s="93" t="e">
        <f t="shared" si="20"/>
        <v>#NUM!</v>
      </c>
      <c r="L282" s="93"/>
      <c r="M282" s="92">
        <f t="shared" si="21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3">
        <v>278</v>
      </c>
      <c r="I283" s="94" t="str">
        <f t="shared" si="19"/>
        <v/>
      </c>
      <c r="J283" s="93" t="e">
        <f t="shared" si="22"/>
        <v>#NUM!</v>
      </c>
      <c r="K283" s="93" t="e">
        <f t="shared" si="20"/>
        <v>#NUM!</v>
      </c>
      <c r="L283" s="93"/>
      <c r="M283" s="92">
        <f t="shared" si="21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19"/>
        <v/>
      </c>
      <c r="J284" s="93" t="e">
        <f t="shared" si="22"/>
        <v>#NUM!</v>
      </c>
      <c r="K284" s="93" t="e">
        <f t="shared" si="20"/>
        <v>#NUM!</v>
      </c>
      <c r="L284" s="93"/>
      <c r="M284" s="92">
        <f t="shared" si="21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3">
        <v>280</v>
      </c>
      <c r="I285" s="94" t="str">
        <f t="shared" si="19"/>
        <v/>
      </c>
      <c r="J285" s="93" t="e">
        <f t="shared" si="22"/>
        <v>#NUM!</v>
      </c>
      <c r="K285" s="93" t="e">
        <f t="shared" si="20"/>
        <v>#NUM!</v>
      </c>
      <c r="L285" s="93"/>
      <c r="M285" s="92">
        <f t="shared" si="21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19"/>
        <v/>
      </c>
      <c r="J286" s="93" t="e">
        <f t="shared" si="22"/>
        <v>#NUM!</v>
      </c>
      <c r="K286" s="93" t="e">
        <f t="shared" si="20"/>
        <v>#NUM!</v>
      </c>
      <c r="L286" s="93"/>
      <c r="M286" s="92">
        <f t="shared" si="21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3">
        <v>282</v>
      </c>
      <c r="I287" s="94" t="str">
        <f t="shared" si="19"/>
        <v/>
      </c>
      <c r="J287" s="93" t="e">
        <f t="shared" si="22"/>
        <v>#NUM!</v>
      </c>
      <c r="K287" s="93" t="e">
        <f t="shared" si="20"/>
        <v>#NUM!</v>
      </c>
      <c r="L287" s="93"/>
      <c r="M287" s="92">
        <f t="shared" si="21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19"/>
        <v/>
      </c>
      <c r="J288" s="93" t="e">
        <f t="shared" si="22"/>
        <v>#NUM!</v>
      </c>
      <c r="K288" s="93" t="e">
        <f t="shared" si="20"/>
        <v>#NUM!</v>
      </c>
      <c r="L288" s="93"/>
      <c r="M288" s="92">
        <f t="shared" si="21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3">
        <v>284</v>
      </c>
      <c r="I289" s="94" t="str">
        <f t="shared" si="19"/>
        <v/>
      </c>
      <c r="J289" s="93" t="e">
        <f t="shared" si="22"/>
        <v>#NUM!</v>
      </c>
      <c r="K289" s="93" t="e">
        <f t="shared" si="20"/>
        <v>#NUM!</v>
      </c>
      <c r="L289" s="93"/>
      <c r="M289" s="92">
        <f t="shared" si="21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19"/>
        <v/>
      </c>
      <c r="J290" s="93" t="e">
        <f t="shared" si="22"/>
        <v>#NUM!</v>
      </c>
      <c r="K290" s="93" t="e">
        <f t="shared" si="20"/>
        <v>#NUM!</v>
      </c>
      <c r="L290" s="93"/>
      <c r="M290" s="92">
        <f t="shared" si="21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3">
        <v>286</v>
      </c>
      <c r="I291" s="94" t="str">
        <f t="shared" si="19"/>
        <v/>
      </c>
      <c r="J291" s="93" t="e">
        <f t="shared" si="22"/>
        <v>#NUM!</v>
      </c>
      <c r="K291" s="93" t="e">
        <f t="shared" si="20"/>
        <v>#NUM!</v>
      </c>
      <c r="L291" s="93"/>
      <c r="M291" s="92">
        <f t="shared" si="21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19"/>
        <v/>
      </c>
      <c r="J292" s="93" t="e">
        <f t="shared" si="22"/>
        <v>#NUM!</v>
      </c>
      <c r="K292" s="93" t="e">
        <f t="shared" si="20"/>
        <v>#NUM!</v>
      </c>
      <c r="L292" s="93"/>
      <c r="M292" s="92">
        <f t="shared" si="21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19"/>
        <v/>
      </c>
      <c r="J293" s="93" t="e">
        <f t="shared" si="22"/>
        <v>#NUM!</v>
      </c>
      <c r="K293" s="93" t="e">
        <f t="shared" si="20"/>
        <v>#NUM!</v>
      </c>
      <c r="L293" s="93"/>
      <c r="M293" s="92">
        <f t="shared" si="21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19"/>
        <v/>
      </c>
      <c r="J294" s="93" t="e">
        <f t="shared" si="22"/>
        <v>#NUM!</v>
      </c>
      <c r="K294" s="93" t="e">
        <f t="shared" si="20"/>
        <v>#NUM!</v>
      </c>
      <c r="L294" s="93"/>
      <c r="M294" s="92">
        <f t="shared" si="21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19"/>
        <v/>
      </c>
      <c r="J295" s="93" t="e">
        <f t="shared" si="22"/>
        <v>#NUM!</v>
      </c>
      <c r="K295" s="93" t="e">
        <f t="shared" si="20"/>
        <v>#NUM!</v>
      </c>
      <c r="L295" s="93"/>
      <c r="M295" s="92">
        <f t="shared" si="21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19"/>
        <v/>
      </c>
      <c r="J296" s="93" t="e">
        <f t="shared" si="22"/>
        <v>#NUM!</v>
      </c>
      <c r="K296" s="93" t="e">
        <f t="shared" si="20"/>
        <v>#NUM!</v>
      </c>
      <c r="L296" s="93"/>
      <c r="M296" s="92">
        <f t="shared" si="21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19"/>
        <v/>
      </c>
      <c r="J297" s="93" t="e">
        <f t="shared" si="22"/>
        <v>#NUM!</v>
      </c>
      <c r="K297" s="93" t="e">
        <f t="shared" si="20"/>
        <v>#NUM!</v>
      </c>
      <c r="L297" s="93"/>
      <c r="M297" s="92">
        <f t="shared" si="21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19"/>
        <v/>
      </c>
      <c r="J298" s="93" t="e">
        <f t="shared" si="22"/>
        <v>#NUM!</v>
      </c>
      <c r="K298" s="93" t="e">
        <f t="shared" si="20"/>
        <v>#NUM!</v>
      </c>
      <c r="L298" s="93"/>
      <c r="M298" s="92">
        <f t="shared" si="21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19"/>
        <v/>
      </c>
      <c r="J299" s="93" t="e">
        <f t="shared" si="22"/>
        <v>#NUM!</v>
      </c>
      <c r="K299" s="93" t="e">
        <f t="shared" si="20"/>
        <v>#NUM!</v>
      </c>
      <c r="L299" s="93"/>
      <c r="M299" s="92">
        <f t="shared" si="21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19"/>
        <v/>
      </c>
      <c r="J300" s="93" t="e">
        <f t="shared" si="22"/>
        <v>#NUM!</v>
      </c>
      <c r="K300" s="93" t="e">
        <f t="shared" si="20"/>
        <v>#NUM!</v>
      </c>
      <c r="L300" s="93"/>
      <c r="M300" s="92">
        <f t="shared" si="21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19"/>
        <v/>
      </c>
      <c r="J301" s="93" t="e">
        <f t="shared" si="22"/>
        <v>#NUM!</v>
      </c>
      <c r="K301" s="93" t="e">
        <f t="shared" si="20"/>
        <v>#NUM!</v>
      </c>
      <c r="L301" s="93"/>
      <c r="M301" s="92">
        <f t="shared" si="21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19"/>
        <v/>
      </c>
      <c r="J302" s="93" t="e">
        <f t="shared" si="22"/>
        <v>#NUM!</v>
      </c>
      <c r="K302" s="93" t="e">
        <f t="shared" si="20"/>
        <v>#NUM!</v>
      </c>
      <c r="L302" s="93"/>
      <c r="M302" s="92">
        <f t="shared" si="21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19"/>
        <v/>
      </c>
      <c r="J303" s="93" t="e">
        <f t="shared" si="22"/>
        <v>#NUM!</v>
      </c>
      <c r="K303" s="93" t="e">
        <f t="shared" si="20"/>
        <v>#NUM!</v>
      </c>
      <c r="L303" s="93"/>
      <c r="M303" s="92">
        <f t="shared" si="21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19"/>
        <v/>
      </c>
      <c r="J304" s="93" t="e">
        <f t="shared" si="22"/>
        <v>#NUM!</v>
      </c>
      <c r="K304" s="93" t="e">
        <f t="shared" si="20"/>
        <v>#NUM!</v>
      </c>
      <c r="L304" s="93"/>
      <c r="M304" s="92">
        <f t="shared" si="21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19"/>
        <v/>
      </c>
      <c r="J305" s="93" t="e">
        <f t="shared" si="22"/>
        <v>#NUM!</v>
      </c>
      <c r="K305" s="93" t="e">
        <f t="shared" si="20"/>
        <v>#NUM!</v>
      </c>
      <c r="L305" s="93"/>
      <c r="M305" s="92">
        <f t="shared" si="21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/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/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/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/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/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6338ED5E-C569-4FED-9C41-22F6FDA8598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E63E-A035-421F-AEEB-800E9CB82775}">
  <sheetPr>
    <tabColor rgb="FF92D050"/>
  </sheetPr>
  <dimension ref="A1:AL317"/>
  <sheetViews>
    <sheetView workbookViewId="0">
      <selection activeCell="D23" sqref="D23"/>
    </sheetView>
  </sheetViews>
  <sheetFormatPr defaultColWidth="8.875" defaultRowHeight="14.3" x14ac:dyDescent="0.25"/>
  <cols>
    <col min="1" max="1" width="8" style="238" customWidth="1"/>
    <col min="2" max="2" width="8.25" style="238" customWidth="1"/>
    <col min="3" max="3" width="34.75" style="238" customWidth="1"/>
    <col min="4" max="4" width="11.25" style="238" customWidth="1"/>
    <col min="5" max="6" width="8.875" style="238"/>
    <col min="7" max="7" width="0.875" style="238" customWidth="1"/>
    <col min="8" max="8" width="8.875" style="241"/>
    <col min="9" max="9" width="11" style="241" customWidth="1"/>
    <col min="10" max="10" width="15.25" style="241" customWidth="1"/>
    <col min="11" max="11" width="8.75" style="241" customWidth="1"/>
    <col min="12" max="12" width="11" style="241" customWidth="1"/>
    <col min="13" max="13" width="12.25" style="242" customWidth="1"/>
    <col min="14" max="15" width="13.875" style="208" customWidth="1"/>
    <col min="16" max="18" width="8.875" style="208"/>
    <col min="19" max="20" width="8.875" style="213"/>
    <col min="21" max="21" width="12.125" style="213" customWidth="1"/>
    <col min="22" max="22" width="27.375" style="213" customWidth="1"/>
    <col min="23" max="38" width="8.875" style="213"/>
    <col min="39" max="16384" width="8.875" style="238"/>
  </cols>
  <sheetData>
    <row r="1" spans="1:36" x14ac:dyDescent="0.25">
      <c r="A1" s="208"/>
      <c r="B1" s="208"/>
      <c r="C1" s="208"/>
      <c r="D1" s="208"/>
      <c r="E1" s="208"/>
      <c r="F1" s="208"/>
      <c r="G1" s="208"/>
      <c r="H1" s="209" t="s">
        <v>22</v>
      </c>
      <c r="I1" s="210" t="s">
        <v>23</v>
      </c>
      <c r="J1" s="210" t="s">
        <v>24</v>
      </c>
      <c r="K1" s="211" t="s">
        <v>99</v>
      </c>
      <c r="L1" s="212"/>
      <c r="M1" s="212"/>
    </row>
    <row r="2" spans="1:36" x14ac:dyDescent="0.25">
      <c r="A2" s="208"/>
      <c r="B2" s="22" t="s">
        <v>26</v>
      </c>
      <c r="C2" s="130" t="s">
        <v>107</v>
      </c>
      <c r="D2" s="70"/>
      <c r="E2" s="23"/>
      <c r="F2" s="23"/>
      <c r="G2" s="23"/>
      <c r="H2" s="214">
        <v>0</v>
      </c>
      <c r="I2" s="215">
        <v>50</v>
      </c>
      <c r="J2" s="215">
        <v>10</v>
      </c>
      <c r="K2" s="216">
        <f>3*H2^(1/3)</f>
        <v>0</v>
      </c>
      <c r="L2" s="212"/>
      <c r="M2" s="212"/>
    </row>
    <row r="3" spans="1:36" x14ac:dyDescent="0.25">
      <c r="A3" s="208"/>
      <c r="B3" s="217" t="s">
        <v>28</v>
      </c>
      <c r="C3" s="71">
        <v>45114</v>
      </c>
      <c r="D3" s="71"/>
      <c r="E3" s="28"/>
      <c r="F3" s="28"/>
      <c r="G3" s="28"/>
      <c r="H3" s="212"/>
      <c r="I3" s="212"/>
      <c r="J3" s="218"/>
      <c r="K3" s="212"/>
      <c r="L3" s="212"/>
      <c r="M3" s="212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12"/>
      <c r="I4" s="212"/>
      <c r="J4" s="218"/>
      <c r="K4" s="212"/>
      <c r="L4" s="212"/>
      <c r="M4" s="212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219" t="s">
        <v>36</v>
      </c>
      <c r="I5" s="220" t="s">
        <v>37</v>
      </c>
      <c r="J5" s="221" t="s">
        <v>38</v>
      </c>
      <c r="K5" s="220" t="s">
        <v>39</v>
      </c>
      <c r="L5" s="220" t="s">
        <v>40</v>
      </c>
      <c r="M5" s="219" t="s">
        <v>41</v>
      </c>
    </row>
    <row r="6" spans="1:36" ht="14.45" customHeight="1" x14ac:dyDescent="0.25">
      <c r="A6" s="103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222">
        <v>1</v>
      </c>
      <c r="I6" s="223" t="str">
        <f t="shared" ref="I6:I69" si="1">IF(H6&lt;$H$2+1,($I$2-($I$2-1)*(LOG(H6)/LOG($H$2))),"")</f>
        <v/>
      </c>
      <c r="J6" s="222" t="e">
        <f>INT(LOG($H$2,2))-ROUNDUP(LOG(H6,2),0)+IF(OR($H$2=1,$H$2=2,$H$2=4,$H$2=8,$H$2=16,$H$2=32,$H$2=64,$H$2=128,$H$2=256),0,1)</f>
        <v>#NUM!</v>
      </c>
      <c r="K6" s="222" t="e">
        <f t="shared" ref="K6:K69" si="2">J6*$J$2</f>
        <v>#NUM!</v>
      </c>
      <c r="L6" s="224">
        <f>3*K2</f>
        <v>0</v>
      </c>
      <c r="M6" s="224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225">
        <v>2</v>
      </c>
      <c r="I7" s="226" t="str">
        <f t="shared" si="1"/>
        <v/>
      </c>
      <c r="J7" s="225" t="e">
        <f t="shared" ref="J7:J70" si="5">INT(LOG($H$2,2))-ROUNDUP(LOG(H7,2),0)+IF(OR($H$2=1,$H$2=2,$H$2=4,$H$2=8,$H$2=16,$H$2=32,$H$2=64,$H$2=128,$H$2=256),0,1)</f>
        <v>#NUM!</v>
      </c>
      <c r="K7" s="225" t="e">
        <f t="shared" si="2"/>
        <v>#NUM!</v>
      </c>
      <c r="L7" s="227">
        <f>2*K2</f>
        <v>0</v>
      </c>
      <c r="M7" s="227">
        <f t="shared" si="3"/>
        <v>0</v>
      </c>
    </row>
    <row r="8" spans="1:36" ht="14.45" customHeight="1" x14ac:dyDescent="0.25">
      <c r="A8" s="103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222">
        <v>3</v>
      </c>
      <c r="I8" s="223" t="str">
        <f t="shared" si="1"/>
        <v/>
      </c>
      <c r="J8" s="222" t="e">
        <f t="shared" si="5"/>
        <v>#NUM!</v>
      </c>
      <c r="K8" s="222" t="e">
        <f t="shared" si="2"/>
        <v>#NUM!</v>
      </c>
      <c r="L8" s="224">
        <f>K2</f>
        <v>0</v>
      </c>
      <c r="M8" s="224">
        <f t="shared" si="3"/>
        <v>0</v>
      </c>
    </row>
    <row r="9" spans="1:36" s="213" customFormat="1" ht="14.45" customHeight="1" x14ac:dyDescent="0.25">
      <c r="A9" s="102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225">
        <v>3</v>
      </c>
      <c r="I9" s="226" t="str">
        <f t="shared" si="1"/>
        <v/>
      </c>
      <c r="J9" s="225" t="e">
        <f t="shared" si="5"/>
        <v>#NUM!</v>
      </c>
      <c r="K9" s="225" t="e">
        <f t="shared" si="2"/>
        <v>#NUM!</v>
      </c>
      <c r="L9" s="227">
        <f>K2</f>
        <v>0</v>
      </c>
      <c r="M9" s="227">
        <f t="shared" si="3"/>
        <v>0</v>
      </c>
      <c r="N9" s="208"/>
      <c r="O9" s="208"/>
      <c r="P9" s="208"/>
      <c r="Q9" s="208"/>
      <c r="R9" s="208"/>
      <c r="V9" s="228"/>
      <c r="Z9" s="229"/>
      <c r="AA9" s="229"/>
      <c r="AG9" s="230"/>
      <c r="AH9" s="213" t="s">
        <v>42</v>
      </c>
      <c r="AI9" s="213">
        <v>23</v>
      </c>
    </row>
    <row r="10" spans="1:36" ht="14.45" customHeight="1" x14ac:dyDescent="0.25">
      <c r="A10" s="103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222">
        <v>5</v>
      </c>
      <c r="I10" s="223" t="str">
        <f t="shared" si="1"/>
        <v/>
      </c>
      <c r="J10" s="222" t="e">
        <f t="shared" si="5"/>
        <v>#NUM!</v>
      </c>
      <c r="K10" s="222" t="e">
        <f t="shared" si="2"/>
        <v>#NUM!</v>
      </c>
      <c r="L10" s="222"/>
      <c r="M10" s="224">
        <f t="shared" si="3"/>
        <v>0</v>
      </c>
      <c r="V10" s="228"/>
      <c r="Z10" s="229"/>
      <c r="AA10" s="229"/>
      <c r="AG10" s="230"/>
      <c r="AH10" s="213" t="s">
        <v>43</v>
      </c>
      <c r="AI10" s="213">
        <v>45</v>
      </c>
    </row>
    <row r="11" spans="1:36" ht="14.45" customHeight="1" x14ac:dyDescent="0.25">
      <c r="A11" s="102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225">
        <v>6</v>
      </c>
      <c r="I11" s="226" t="str">
        <f t="shared" si="1"/>
        <v/>
      </c>
      <c r="J11" s="225" t="e">
        <f t="shared" si="5"/>
        <v>#NUM!</v>
      </c>
      <c r="K11" s="225" t="e">
        <f t="shared" si="2"/>
        <v>#NUM!</v>
      </c>
      <c r="L11" s="225"/>
      <c r="M11" s="227">
        <f t="shared" si="3"/>
        <v>0</v>
      </c>
      <c r="V11" s="231"/>
      <c r="Z11" s="229"/>
      <c r="AA11" s="229"/>
      <c r="AG11" s="230"/>
      <c r="AH11" s="213" t="s">
        <v>44</v>
      </c>
      <c r="AI11" s="213">
        <v>50</v>
      </c>
    </row>
    <row r="12" spans="1:36" ht="14.45" customHeight="1" x14ac:dyDescent="0.25">
      <c r="A12" s="103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222">
        <v>7</v>
      </c>
      <c r="I12" s="223" t="str">
        <f t="shared" si="1"/>
        <v/>
      </c>
      <c r="J12" s="222" t="e">
        <f t="shared" si="5"/>
        <v>#NUM!</v>
      </c>
      <c r="K12" s="222" t="e">
        <f t="shared" si="2"/>
        <v>#NUM!</v>
      </c>
      <c r="L12" s="222"/>
      <c r="M12" s="224">
        <f t="shared" si="3"/>
        <v>0</v>
      </c>
      <c r="Z12" s="229"/>
      <c r="AA12" s="229"/>
      <c r="AG12" s="230"/>
      <c r="AH12" s="213" t="s">
        <v>45</v>
      </c>
      <c r="AI12" s="213">
        <f>AI11-1</f>
        <v>49</v>
      </c>
    </row>
    <row r="13" spans="1:36" ht="14.45" customHeight="1" x14ac:dyDescent="0.25">
      <c r="A13" s="102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225">
        <v>8</v>
      </c>
      <c r="I13" s="226" t="str">
        <f t="shared" si="1"/>
        <v/>
      </c>
      <c r="J13" s="225" t="e">
        <f t="shared" si="5"/>
        <v>#NUM!</v>
      </c>
      <c r="K13" s="225" t="e">
        <f t="shared" si="2"/>
        <v>#NUM!</v>
      </c>
      <c r="L13" s="225"/>
      <c r="M13" s="227">
        <f t="shared" si="3"/>
        <v>0</v>
      </c>
      <c r="X13" s="228"/>
      <c r="AG13" s="230"/>
      <c r="AH13" s="213" t="s">
        <v>46</v>
      </c>
      <c r="AI13" s="213">
        <f>LOG(AI9)</f>
        <v>1.3617278360175928</v>
      </c>
    </row>
    <row r="14" spans="1:36" x14ac:dyDescent="0.25">
      <c r="A14" s="103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222">
        <v>9</v>
      </c>
      <c r="I14" s="223" t="str">
        <f t="shared" si="1"/>
        <v/>
      </c>
      <c r="J14" s="222" t="e">
        <f t="shared" si="5"/>
        <v>#NUM!</v>
      </c>
      <c r="K14" s="222" t="e">
        <f t="shared" si="2"/>
        <v>#NUM!</v>
      </c>
      <c r="L14" s="222"/>
      <c r="M14" s="224">
        <f t="shared" si="3"/>
        <v>0</v>
      </c>
      <c r="X14" s="232"/>
      <c r="Z14" s="229"/>
      <c r="AA14" s="229"/>
      <c r="AG14" s="230"/>
      <c r="AH14" s="213" t="s">
        <v>47</v>
      </c>
      <c r="AI14" s="213">
        <f>LOG(AI10)</f>
        <v>1.6532125137753437</v>
      </c>
    </row>
    <row r="15" spans="1:36" x14ac:dyDescent="0.25">
      <c r="A15" s="102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225">
        <v>10</v>
      </c>
      <c r="I15" s="226" t="str">
        <f t="shared" si="1"/>
        <v/>
      </c>
      <c r="J15" s="225" t="e">
        <f t="shared" si="5"/>
        <v>#NUM!</v>
      </c>
      <c r="K15" s="225" t="e">
        <f t="shared" si="2"/>
        <v>#NUM!</v>
      </c>
      <c r="L15" s="225"/>
      <c r="M15" s="227">
        <f t="shared" si="3"/>
        <v>0</v>
      </c>
      <c r="X15" s="228"/>
      <c r="Z15" s="229"/>
      <c r="AA15" s="229"/>
    </row>
    <row r="16" spans="1:36" x14ac:dyDescent="0.25">
      <c r="A16" s="103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222">
        <v>11</v>
      </c>
      <c r="I16" s="223" t="str">
        <f t="shared" si="1"/>
        <v/>
      </c>
      <c r="J16" s="222" t="e">
        <f t="shared" si="5"/>
        <v>#NUM!</v>
      </c>
      <c r="K16" s="222" t="e">
        <f t="shared" si="2"/>
        <v>#NUM!</v>
      </c>
      <c r="L16" s="222"/>
      <c r="M16" s="224">
        <f t="shared" si="3"/>
        <v>0</v>
      </c>
      <c r="R16" s="233"/>
      <c r="Z16" s="229"/>
      <c r="AA16" s="229"/>
      <c r="AH16" s="234" t="s">
        <v>48</v>
      </c>
      <c r="AI16" s="213">
        <f>AI11-AI12*AI13/AI14</f>
        <v>9.6393909380186855</v>
      </c>
      <c r="AJ16" s="213" t="s">
        <v>49</v>
      </c>
    </row>
    <row r="17" spans="1:19" x14ac:dyDescent="0.25">
      <c r="A17" s="102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225">
        <v>12</v>
      </c>
      <c r="I17" s="226" t="str">
        <f t="shared" si="1"/>
        <v/>
      </c>
      <c r="J17" s="225" t="e">
        <f t="shared" si="5"/>
        <v>#NUM!</v>
      </c>
      <c r="K17" s="225" t="e">
        <f t="shared" si="2"/>
        <v>#NUM!</v>
      </c>
      <c r="L17" s="225"/>
      <c r="M17" s="227">
        <f t="shared" si="3"/>
        <v>0</v>
      </c>
    </row>
    <row r="18" spans="1:19" x14ac:dyDescent="0.25">
      <c r="A18" s="103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222">
        <v>13</v>
      </c>
      <c r="I18" s="223" t="str">
        <f t="shared" si="1"/>
        <v/>
      </c>
      <c r="J18" s="222" t="e">
        <f t="shared" si="5"/>
        <v>#NUM!</v>
      </c>
      <c r="K18" s="222" t="e">
        <f t="shared" si="2"/>
        <v>#NUM!</v>
      </c>
      <c r="L18" s="222"/>
      <c r="M18" s="224">
        <f t="shared" si="3"/>
        <v>0</v>
      </c>
    </row>
    <row r="19" spans="1:19" x14ac:dyDescent="0.25">
      <c r="A19" s="102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225">
        <v>14</v>
      </c>
      <c r="I19" s="226" t="str">
        <f t="shared" si="1"/>
        <v/>
      </c>
      <c r="J19" s="225" t="e">
        <f t="shared" si="5"/>
        <v>#NUM!</v>
      </c>
      <c r="K19" s="225" t="e">
        <f t="shared" si="2"/>
        <v>#NUM!</v>
      </c>
      <c r="L19" s="225"/>
      <c r="M19" s="227">
        <f t="shared" si="3"/>
        <v>0</v>
      </c>
    </row>
    <row r="20" spans="1:19" x14ac:dyDescent="0.25">
      <c r="A20" s="103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222">
        <v>15</v>
      </c>
      <c r="I20" s="223" t="str">
        <f t="shared" si="1"/>
        <v/>
      </c>
      <c r="J20" s="222" t="e">
        <f t="shared" si="5"/>
        <v>#NUM!</v>
      </c>
      <c r="K20" s="222" t="e">
        <f t="shared" si="2"/>
        <v>#NUM!</v>
      </c>
      <c r="L20" s="222"/>
      <c r="M20" s="224">
        <f t="shared" si="3"/>
        <v>0</v>
      </c>
      <c r="R20" s="235"/>
      <c r="S20" s="236"/>
    </row>
    <row r="21" spans="1:19" x14ac:dyDescent="0.25">
      <c r="A21" s="102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225">
        <v>16</v>
      </c>
      <c r="I21" s="226" t="str">
        <f t="shared" si="1"/>
        <v/>
      </c>
      <c r="J21" s="225" t="e">
        <f t="shared" si="5"/>
        <v>#NUM!</v>
      </c>
      <c r="K21" s="225" t="e">
        <f t="shared" si="2"/>
        <v>#NUM!</v>
      </c>
      <c r="L21" s="225"/>
      <c r="M21" s="227">
        <f t="shared" si="3"/>
        <v>0</v>
      </c>
    </row>
    <row r="22" spans="1:19" x14ac:dyDescent="0.25">
      <c r="A22" s="103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222">
        <v>17</v>
      </c>
      <c r="I22" s="223" t="str">
        <f t="shared" si="1"/>
        <v/>
      </c>
      <c r="J22" s="222" t="e">
        <f t="shared" si="5"/>
        <v>#NUM!</v>
      </c>
      <c r="K22" s="222" t="e">
        <f t="shared" si="2"/>
        <v>#NUM!</v>
      </c>
      <c r="L22" s="222"/>
      <c r="M22" s="224">
        <f t="shared" si="3"/>
        <v>0</v>
      </c>
    </row>
    <row r="23" spans="1:19" x14ac:dyDescent="0.25">
      <c r="A23" s="102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225">
        <v>18</v>
      </c>
      <c r="I23" s="226" t="str">
        <f t="shared" si="1"/>
        <v/>
      </c>
      <c r="J23" s="225" t="e">
        <f t="shared" si="5"/>
        <v>#NUM!</v>
      </c>
      <c r="K23" s="225" t="e">
        <f t="shared" si="2"/>
        <v>#NUM!</v>
      </c>
      <c r="L23" s="225"/>
      <c r="M23" s="227">
        <f t="shared" si="3"/>
        <v>0</v>
      </c>
    </row>
    <row r="24" spans="1:19" x14ac:dyDescent="0.25">
      <c r="A24" s="103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222">
        <v>19</v>
      </c>
      <c r="I24" s="223" t="str">
        <f t="shared" si="1"/>
        <v/>
      </c>
      <c r="J24" s="222" t="e">
        <f t="shared" si="5"/>
        <v>#NUM!</v>
      </c>
      <c r="K24" s="222" t="e">
        <f t="shared" si="2"/>
        <v>#NUM!</v>
      </c>
      <c r="L24" s="222"/>
      <c r="M24" s="224">
        <f t="shared" si="3"/>
        <v>0</v>
      </c>
      <c r="R24" s="235"/>
      <c r="S24" s="236"/>
    </row>
    <row r="25" spans="1:19" x14ac:dyDescent="0.25">
      <c r="A25" s="102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225">
        <v>20</v>
      </c>
      <c r="I25" s="226" t="str">
        <f t="shared" si="1"/>
        <v/>
      </c>
      <c r="J25" s="225" t="e">
        <f t="shared" si="5"/>
        <v>#NUM!</v>
      </c>
      <c r="K25" s="225" t="e">
        <f t="shared" si="2"/>
        <v>#NUM!</v>
      </c>
      <c r="L25" s="225"/>
      <c r="M25" s="227">
        <f t="shared" si="3"/>
        <v>0</v>
      </c>
    </row>
    <row r="26" spans="1:19" x14ac:dyDescent="0.25">
      <c r="A26" s="103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222">
        <v>21</v>
      </c>
      <c r="I26" s="223" t="str">
        <f t="shared" si="1"/>
        <v/>
      </c>
      <c r="J26" s="222" t="e">
        <f t="shared" si="5"/>
        <v>#NUM!</v>
      </c>
      <c r="K26" s="222" t="e">
        <f t="shared" si="2"/>
        <v>#NUM!</v>
      </c>
      <c r="L26" s="222"/>
      <c r="M26" s="224">
        <f t="shared" si="3"/>
        <v>0</v>
      </c>
    </row>
    <row r="27" spans="1:19" x14ac:dyDescent="0.25">
      <c r="A27" s="102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225">
        <v>22</v>
      </c>
      <c r="I27" s="226" t="str">
        <f t="shared" si="1"/>
        <v/>
      </c>
      <c r="J27" s="225" t="e">
        <f t="shared" si="5"/>
        <v>#NUM!</v>
      </c>
      <c r="K27" s="225" t="e">
        <f t="shared" si="2"/>
        <v>#NUM!</v>
      </c>
      <c r="L27" s="225"/>
      <c r="M27" s="227">
        <f t="shared" si="3"/>
        <v>0</v>
      </c>
    </row>
    <row r="28" spans="1:19" x14ac:dyDescent="0.25">
      <c r="A28" s="103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222">
        <v>23</v>
      </c>
      <c r="I28" s="223" t="str">
        <f t="shared" si="1"/>
        <v/>
      </c>
      <c r="J28" s="222" t="e">
        <f t="shared" si="5"/>
        <v>#NUM!</v>
      </c>
      <c r="K28" s="222" t="e">
        <f t="shared" si="2"/>
        <v>#NUM!</v>
      </c>
      <c r="L28" s="222"/>
      <c r="M28" s="224">
        <f t="shared" si="3"/>
        <v>0</v>
      </c>
      <c r="R28" s="235"/>
      <c r="S28" s="236"/>
    </row>
    <row r="29" spans="1:19" x14ac:dyDescent="0.25">
      <c r="A29" s="102">
        <f t="shared" si="4"/>
        <v>0</v>
      </c>
      <c r="B29" s="42" t="str">
        <f t="shared" si="0"/>
        <v/>
      </c>
      <c r="C29" s="43"/>
      <c r="D29" s="43"/>
      <c r="E29" s="43"/>
      <c r="F29" s="43"/>
      <c r="G29" s="208"/>
      <c r="H29" s="225">
        <v>24</v>
      </c>
      <c r="I29" s="226" t="str">
        <f t="shared" si="1"/>
        <v/>
      </c>
      <c r="J29" s="225" t="e">
        <f t="shared" si="5"/>
        <v>#NUM!</v>
      </c>
      <c r="K29" s="225" t="e">
        <f t="shared" si="2"/>
        <v>#NUM!</v>
      </c>
      <c r="L29" s="225"/>
      <c r="M29" s="227">
        <f t="shared" si="3"/>
        <v>0</v>
      </c>
    </row>
    <row r="30" spans="1:19" x14ac:dyDescent="0.25">
      <c r="A30" s="103">
        <f t="shared" si="4"/>
        <v>0</v>
      </c>
      <c r="B30" s="36" t="str">
        <f t="shared" si="0"/>
        <v/>
      </c>
      <c r="C30" s="37"/>
      <c r="D30" s="37"/>
      <c r="E30" s="37"/>
      <c r="F30" s="37"/>
      <c r="G30" s="208"/>
      <c r="H30" s="222">
        <v>25</v>
      </c>
      <c r="I30" s="223" t="str">
        <f t="shared" si="1"/>
        <v/>
      </c>
      <c r="J30" s="222" t="e">
        <f t="shared" si="5"/>
        <v>#NUM!</v>
      </c>
      <c r="K30" s="222" t="e">
        <f t="shared" si="2"/>
        <v>#NUM!</v>
      </c>
      <c r="L30" s="222"/>
      <c r="M30" s="224">
        <f t="shared" si="3"/>
        <v>0</v>
      </c>
    </row>
    <row r="31" spans="1:19" x14ac:dyDescent="0.25">
      <c r="A31" s="102">
        <f t="shared" si="4"/>
        <v>0</v>
      </c>
      <c r="B31" s="42" t="str">
        <f t="shared" si="0"/>
        <v/>
      </c>
      <c r="C31" s="43"/>
      <c r="D31" s="43"/>
      <c r="E31" s="43"/>
      <c r="F31" s="43"/>
      <c r="G31" s="208"/>
      <c r="H31" s="225">
        <v>26</v>
      </c>
      <c r="I31" s="226" t="str">
        <f t="shared" si="1"/>
        <v/>
      </c>
      <c r="J31" s="225" t="e">
        <f t="shared" si="5"/>
        <v>#NUM!</v>
      </c>
      <c r="K31" s="225" t="e">
        <f t="shared" si="2"/>
        <v>#NUM!</v>
      </c>
      <c r="L31" s="225"/>
      <c r="M31" s="227">
        <f t="shared" si="3"/>
        <v>0</v>
      </c>
    </row>
    <row r="32" spans="1:19" x14ac:dyDescent="0.25">
      <c r="A32" s="103">
        <f t="shared" si="4"/>
        <v>0</v>
      </c>
      <c r="B32" s="36" t="str">
        <f t="shared" si="0"/>
        <v/>
      </c>
      <c r="C32" s="37"/>
      <c r="D32" s="37"/>
      <c r="E32" s="37"/>
      <c r="F32" s="37"/>
      <c r="G32" s="208"/>
      <c r="H32" s="222">
        <v>27</v>
      </c>
      <c r="I32" s="223" t="str">
        <f t="shared" si="1"/>
        <v/>
      </c>
      <c r="J32" s="222" t="e">
        <f t="shared" si="5"/>
        <v>#NUM!</v>
      </c>
      <c r="K32" s="222" t="e">
        <f t="shared" si="2"/>
        <v>#NUM!</v>
      </c>
      <c r="L32" s="222"/>
      <c r="M32" s="224">
        <f t="shared" si="3"/>
        <v>0</v>
      </c>
      <c r="R32" s="235"/>
      <c r="S32" s="236"/>
    </row>
    <row r="33" spans="1:19" x14ac:dyDescent="0.25">
      <c r="A33" s="102">
        <f t="shared" si="4"/>
        <v>0</v>
      </c>
      <c r="B33" s="42" t="str">
        <f t="shared" si="0"/>
        <v/>
      </c>
      <c r="C33" s="43"/>
      <c r="D33" s="43"/>
      <c r="E33" s="43"/>
      <c r="F33" s="43"/>
      <c r="G33" s="208"/>
      <c r="H33" s="225">
        <v>28</v>
      </c>
      <c r="I33" s="226" t="str">
        <f t="shared" si="1"/>
        <v/>
      </c>
      <c r="J33" s="225" t="e">
        <f t="shared" si="5"/>
        <v>#NUM!</v>
      </c>
      <c r="K33" s="225" t="e">
        <f t="shared" si="2"/>
        <v>#NUM!</v>
      </c>
      <c r="L33" s="225"/>
      <c r="M33" s="227">
        <f t="shared" si="3"/>
        <v>0</v>
      </c>
    </row>
    <row r="34" spans="1:19" x14ac:dyDescent="0.25">
      <c r="A34" s="103">
        <f t="shared" si="4"/>
        <v>0</v>
      </c>
      <c r="B34" s="36" t="str">
        <f t="shared" si="0"/>
        <v/>
      </c>
      <c r="C34" s="37"/>
      <c r="D34" s="37"/>
      <c r="E34" s="37"/>
      <c r="F34" s="37"/>
      <c r="G34" s="208"/>
      <c r="H34" s="222">
        <v>29</v>
      </c>
      <c r="I34" s="223" t="str">
        <f t="shared" si="1"/>
        <v/>
      </c>
      <c r="J34" s="222" t="e">
        <f t="shared" si="5"/>
        <v>#NUM!</v>
      </c>
      <c r="K34" s="222" t="e">
        <f t="shared" si="2"/>
        <v>#NUM!</v>
      </c>
      <c r="L34" s="222"/>
      <c r="M34" s="224">
        <f t="shared" si="3"/>
        <v>0</v>
      </c>
    </row>
    <row r="35" spans="1:19" x14ac:dyDescent="0.25">
      <c r="A35" s="102">
        <f t="shared" si="4"/>
        <v>0</v>
      </c>
      <c r="B35" s="42" t="str">
        <f t="shared" si="0"/>
        <v/>
      </c>
      <c r="C35" s="43"/>
      <c r="D35" s="43"/>
      <c r="E35" s="43"/>
      <c r="F35" s="43"/>
      <c r="G35" s="208"/>
      <c r="H35" s="225">
        <v>30</v>
      </c>
      <c r="I35" s="226" t="str">
        <f t="shared" si="1"/>
        <v/>
      </c>
      <c r="J35" s="225" t="e">
        <f t="shared" si="5"/>
        <v>#NUM!</v>
      </c>
      <c r="K35" s="225" t="e">
        <f t="shared" si="2"/>
        <v>#NUM!</v>
      </c>
      <c r="L35" s="225"/>
      <c r="M35" s="227">
        <f t="shared" si="3"/>
        <v>0</v>
      </c>
    </row>
    <row r="36" spans="1:19" x14ac:dyDescent="0.25">
      <c r="A36" s="103">
        <f t="shared" si="4"/>
        <v>0</v>
      </c>
      <c r="B36" s="36" t="str">
        <f t="shared" si="0"/>
        <v/>
      </c>
      <c r="C36" s="37"/>
      <c r="D36" s="37"/>
      <c r="E36" s="37"/>
      <c r="F36" s="37"/>
      <c r="G36" s="208"/>
      <c r="H36" s="222">
        <v>31</v>
      </c>
      <c r="I36" s="223" t="str">
        <f t="shared" si="1"/>
        <v/>
      </c>
      <c r="J36" s="222" t="e">
        <f t="shared" si="5"/>
        <v>#NUM!</v>
      </c>
      <c r="K36" s="222" t="e">
        <f t="shared" si="2"/>
        <v>#NUM!</v>
      </c>
      <c r="L36" s="222"/>
      <c r="M36" s="224">
        <f t="shared" si="3"/>
        <v>0</v>
      </c>
      <c r="R36" s="235"/>
      <c r="S36" s="236"/>
    </row>
    <row r="37" spans="1:19" x14ac:dyDescent="0.25">
      <c r="A37" s="102">
        <f t="shared" si="4"/>
        <v>0</v>
      </c>
      <c r="B37" s="42" t="str">
        <f t="shared" si="0"/>
        <v/>
      </c>
      <c r="C37" s="43"/>
      <c r="D37" s="43"/>
      <c r="E37" s="43"/>
      <c r="F37" s="43"/>
      <c r="G37" s="208"/>
      <c r="H37" s="225">
        <v>32</v>
      </c>
      <c r="I37" s="226" t="str">
        <f t="shared" si="1"/>
        <v/>
      </c>
      <c r="J37" s="225" t="e">
        <f t="shared" si="5"/>
        <v>#NUM!</v>
      </c>
      <c r="K37" s="225" t="e">
        <f t="shared" si="2"/>
        <v>#NUM!</v>
      </c>
      <c r="L37" s="225"/>
      <c r="M37" s="227">
        <f t="shared" si="3"/>
        <v>0</v>
      </c>
    </row>
    <row r="38" spans="1:19" x14ac:dyDescent="0.25">
      <c r="A38" s="103">
        <f t="shared" si="4"/>
        <v>0</v>
      </c>
      <c r="B38" s="36" t="str">
        <f t="shared" si="0"/>
        <v/>
      </c>
      <c r="C38" s="37"/>
      <c r="D38" s="37"/>
      <c r="E38" s="37"/>
      <c r="F38" s="37"/>
      <c r="G38" s="208"/>
      <c r="H38" s="222">
        <v>33</v>
      </c>
      <c r="I38" s="223" t="str">
        <f t="shared" si="1"/>
        <v/>
      </c>
      <c r="J38" s="222" t="e">
        <f t="shared" si="5"/>
        <v>#NUM!</v>
      </c>
      <c r="K38" s="222" t="e">
        <f t="shared" si="2"/>
        <v>#NUM!</v>
      </c>
      <c r="L38" s="222"/>
      <c r="M38" s="224">
        <f t="shared" si="3"/>
        <v>0</v>
      </c>
    </row>
    <row r="39" spans="1:19" x14ac:dyDescent="0.25">
      <c r="A39" s="102">
        <f t="shared" si="4"/>
        <v>0</v>
      </c>
      <c r="B39" s="42" t="str">
        <f t="shared" si="0"/>
        <v/>
      </c>
      <c r="C39" s="43"/>
      <c r="D39" s="43"/>
      <c r="E39" s="43"/>
      <c r="F39" s="43"/>
      <c r="G39" s="208"/>
      <c r="H39" s="225">
        <v>34</v>
      </c>
      <c r="I39" s="226" t="str">
        <f t="shared" si="1"/>
        <v/>
      </c>
      <c r="J39" s="225" t="e">
        <f t="shared" si="5"/>
        <v>#NUM!</v>
      </c>
      <c r="K39" s="225" t="e">
        <f t="shared" si="2"/>
        <v>#NUM!</v>
      </c>
      <c r="L39" s="225"/>
      <c r="M39" s="227">
        <f t="shared" si="3"/>
        <v>0</v>
      </c>
    </row>
    <row r="40" spans="1:19" x14ac:dyDescent="0.25">
      <c r="A40" s="103">
        <f t="shared" si="4"/>
        <v>0</v>
      </c>
      <c r="B40" s="36" t="str">
        <f t="shared" si="0"/>
        <v/>
      </c>
      <c r="C40" s="37"/>
      <c r="D40" s="37"/>
      <c r="E40" s="37"/>
      <c r="F40" s="37"/>
      <c r="G40" s="208"/>
      <c r="H40" s="222">
        <v>35</v>
      </c>
      <c r="I40" s="223" t="str">
        <f t="shared" si="1"/>
        <v/>
      </c>
      <c r="J40" s="222" t="e">
        <f t="shared" si="5"/>
        <v>#NUM!</v>
      </c>
      <c r="K40" s="222" t="e">
        <f t="shared" si="2"/>
        <v>#NUM!</v>
      </c>
      <c r="L40" s="222"/>
      <c r="M40" s="224">
        <f t="shared" si="3"/>
        <v>0</v>
      </c>
    </row>
    <row r="41" spans="1:19" x14ac:dyDescent="0.25">
      <c r="A41" s="102">
        <f t="shared" si="4"/>
        <v>0</v>
      </c>
      <c r="B41" s="42" t="str">
        <f t="shared" si="0"/>
        <v/>
      </c>
      <c r="C41" s="43"/>
      <c r="D41" s="43"/>
      <c r="E41" s="43"/>
      <c r="F41" s="43"/>
      <c r="G41" s="208"/>
      <c r="H41" s="225">
        <v>36</v>
      </c>
      <c r="I41" s="226" t="str">
        <f t="shared" si="1"/>
        <v/>
      </c>
      <c r="J41" s="225" t="e">
        <f t="shared" si="5"/>
        <v>#NUM!</v>
      </c>
      <c r="K41" s="225" t="e">
        <f t="shared" si="2"/>
        <v>#NUM!</v>
      </c>
      <c r="L41" s="225"/>
      <c r="M41" s="227">
        <f t="shared" si="3"/>
        <v>0</v>
      </c>
      <c r="S41" s="237"/>
    </row>
    <row r="42" spans="1:19" x14ac:dyDescent="0.25">
      <c r="A42" s="103">
        <f t="shared" si="4"/>
        <v>0</v>
      </c>
      <c r="B42" s="36" t="str">
        <f t="shared" si="0"/>
        <v/>
      </c>
      <c r="C42" s="37"/>
      <c r="D42" s="37"/>
      <c r="E42" s="37"/>
      <c r="F42" s="37"/>
      <c r="G42" s="208"/>
      <c r="H42" s="222">
        <v>37</v>
      </c>
      <c r="I42" s="223" t="str">
        <f t="shared" si="1"/>
        <v/>
      </c>
      <c r="J42" s="222" t="e">
        <f t="shared" si="5"/>
        <v>#NUM!</v>
      </c>
      <c r="K42" s="222" t="e">
        <f t="shared" si="2"/>
        <v>#NUM!</v>
      </c>
      <c r="L42" s="222"/>
      <c r="M42" s="224">
        <f t="shared" si="3"/>
        <v>0</v>
      </c>
    </row>
    <row r="43" spans="1:19" x14ac:dyDescent="0.25">
      <c r="A43" s="102">
        <f t="shared" si="4"/>
        <v>0</v>
      </c>
      <c r="B43" s="42" t="str">
        <f t="shared" si="0"/>
        <v/>
      </c>
      <c r="C43" s="43"/>
      <c r="D43" s="43"/>
      <c r="E43" s="43"/>
      <c r="F43" s="43"/>
      <c r="G43" s="208"/>
      <c r="H43" s="225">
        <v>38</v>
      </c>
      <c r="I43" s="226" t="str">
        <f t="shared" si="1"/>
        <v/>
      </c>
      <c r="J43" s="225" t="e">
        <f t="shared" si="5"/>
        <v>#NUM!</v>
      </c>
      <c r="K43" s="225" t="e">
        <f t="shared" si="2"/>
        <v>#NUM!</v>
      </c>
      <c r="L43" s="225"/>
      <c r="M43" s="227">
        <f t="shared" si="3"/>
        <v>0</v>
      </c>
    </row>
    <row r="44" spans="1:19" x14ac:dyDescent="0.25">
      <c r="A44" s="103">
        <f t="shared" si="4"/>
        <v>0</v>
      </c>
      <c r="B44" s="36" t="str">
        <f t="shared" si="0"/>
        <v/>
      </c>
      <c r="C44" s="37"/>
      <c r="D44" s="37"/>
      <c r="E44" s="37"/>
      <c r="F44" s="37"/>
      <c r="G44" s="208"/>
      <c r="H44" s="222">
        <v>39</v>
      </c>
      <c r="I44" s="223" t="str">
        <f t="shared" si="1"/>
        <v/>
      </c>
      <c r="J44" s="222" t="e">
        <f t="shared" si="5"/>
        <v>#NUM!</v>
      </c>
      <c r="K44" s="222" t="e">
        <f t="shared" si="2"/>
        <v>#NUM!</v>
      </c>
      <c r="L44" s="222"/>
      <c r="M44" s="224">
        <f t="shared" si="3"/>
        <v>0</v>
      </c>
    </row>
    <row r="45" spans="1:19" x14ac:dyDescent="0.25">
      <c r="A45" s="102">
        <f t="shared" si="4"/>
        <v>0</v>
      </c>
      <c r="B45" s="42" t="str">
        <f t="shared" si="0"/>
        <v/>
      </c>
      <c r="C45" s="43"/>
      <c r="D45" s="43"/>
      <c r="E45" s="43"/>
      <c r="F45" s="43"/>
      <c r="G45" s="208"/>
      <c r="H45" s="225">
        <v>40</v>
      </c>
      <c r="I45" s="226" t="str">
        <f t="shared" si="1"/>
        <v/>
      </c>
      <c r="J45" s="225" t="e">
        <f t="shared" si="5"/>
        <v>#NUM!</v>
      </c>
      <c r="K45" s="225" t="e">
        <f t="shared" si="2"/>
        <v>#NUM!</v>
      </c>
      <c r="L45" s="225"/>
      <c r="M45" s="227">
        <f t="shared" si="3"/>
        <v>0</v>
      </c>
    </row>
    <row r="46" spans="1:19" x14ac:dyDescent="0.25">
      <c r="A46" s="103">
        <f t="shared" si="4"/>
        <v>0</v>
      </c>
      <c r="B46" s="36" t="str">
        <f t="shared" si="0"/>
        <v/>
      </c>
      <c r="C46" s="37"/>
      <c r="D46" s="37"/>
      <c r="E46" s="37"/>
      <c r="F46" s="37"/>
      <c r="G46" s="208"/>
      <c r="H46" s="222">
        <v>41</v>
      </c>
      <c r="I46" s="223" t="str">
        <f t="shared" si="1"/>
        <v/>
      </c>
      <c r="J46" s="222" t="e">
        <f t="shared" si="5"/>
        <v>#NUM!</v>
      </c>
      <c r="K46" s="222" t="e">
        <f t="shared" si="2"/>
        <v>#NUM!</v>
      </c>
      <c r="L46" s="222"/>
      <c r="M46" s="224">
        <f t="shared" si="3"/>
        <v>0</v>
      </c>
    </row>
    <row r="47" spans="1:19" x14ac:dyDescent="0.25">
      <c r="A47" s="102">
        <f t="shared" si="4"/>
        <v>0</v>
      </c>
      <c r="B47" s="42" t="str">
        <f t="shared" si="0"/>
        <v/>
      </c>
      <c r="C47" s="43"/>
      <c r="D47" s="43"/>
      <c r="E47" s="43"/>
      <c r="F47" s="43"/>
      <c r="G47" s="208"/>
      <c r="H47" s="225">
        <v>42</v>
      </c>
      <c r="I47" s="226" t="str">
        <f t="shared" si="1"/>
        <v/>
      </c>
      <c r="J47" s="225" t="e">
        <f t="shared" si="5"/>
        <v>#NUM!</v>
      </c>
      <c r="K47" s="225" t="e">
        <f t="shared" si="2"/>
        <v>#NUM!</v>
      </c>
      <c r="L47" s="225"/>
      <c r="M47" s="227">
        <f t="shared" si="3"/>
        <v>0</v>
      </c>
    </row>
    <row r="48" spans="1:19" x14ac:dyDescent="0.25">
      <c r="A48" s="103">
        <f t="shared" si="4"/>
        <v>0</v>
      </c>
      <c r="B48" s="36" t="str">
        <f t="shared" si="0"/>
        <v/>
      </c>
      <c r="C48" s="37"/>
      <c r="D48" s="37"/>
      <c r="E48" s="37"/>
      <c r="F48" s="37"/>
      <c r="G48" s="208"/>
      <c r="H48" s="222">
        <v>43</v>
      </c>
      <c r="I48" s="223" t="str">
        <f t="shared" si="1"/>
        <v/>
      </c>
      <c r="J48" s="222" t="e">
        <f t="shared" si="5"/>
        <v>#NUM!</v>
      </c>
      <c r="K48" s="222" t="e">
        <f t="shared" si="2"/>
        <v>#NUM!</v>
      </c>
      <c r="L48" s="222"/>
      <c r="M48" s="224">
        <f t="shared" si="3"/>
        <v>0</v>
      </c>
    </row>
    <row r="49" spans="1:38" x14ac:dyDescent="0.25">
      <c r="A49" s="102">
        <f t="shared" si="4"/>
        <v>0</v>
      </c>
      <c r="B49" s="42" t="str">
        <f t="shared" si="0"/>
        <v/>
      </c>
      <c r="C49" s="43"/>
      <c r="D49" s="43"/>
      <c r="E49" s="43"/>
      <c r="F49" s="43"/>
      <c r="G49" s="208"/>
      <c r="H49" s="225">
        <v>44</v>
      </c>
      <c r="I49" s="226" t="str">
        <f t="shared" si="1"/>
        <v/>
      </c>
      <c r="J49" s="225" t="e">
        <f t="shared" si="5"/>
        <v>#NUM!</v>
      </c>
      <c r="K49" s="225" t="e">
        <f t="shared" si="2"/>
        <v>#NUM!</v>
      </c>
      <c r="L49" s="225"/>
      <c r="M49" s="227">
        <f t="shared" si="3"/>
        <v>0</v>
      </c>
    </row>
    <row r="50" spans="1:38" x14ac:dyDescent="0.25">
      <c r="A50" s="103">
        <f t="shared" si="4"/>
        <v>0</v>
      </c>
      <c r="B50" s="36" t="str">
        <f t="shared" si="0"/>
        <v/>
      </c>
      <c r="C50" s="37"/>
      <c r="D50" s="37"/>
      <c r="E50" s="37"/>
      <c r="F50" s="37"/>
      <c r="G50" s="208"/>
      <c r="H50" s="222">
        <v>45</v>
      </c>
      <c r="I50" s="223" t="str">
        <f t="shared" si="1"/>
        <v/>
      </c>
      <c r="J50" s="222" t="e">
        <f t="shared" si="5"/>
        <v>#NUM!</v>
      </c>
      <c r="K50" s="222" t="e">
        <f t="shared" si="2"/>
        <v>#NUM!</v>
      </c>
      <c r="L50" s="222"/>
      <c r="M50" s="224">
        <f t="shared" si="3"/>
        <v>0</v>
      </c>
    </row>
    <row r="51" spans="1:38" x14ac:dyDescent="0.25">
      <c r="A51" s="102">
        <f t="shared" si="4"/>
        <v>0</v>
      </c>
      <c r="B51" s="42" t="str">
        <f t="shared" si="0"/>
        <v/>
      </c>
      <c r="C51" s="43"/>
      <c r="D51" s="43"/>
      <c r="E51" s="43"/>
      <c r="F51" s="43"/>
      <c r="G51" s="208"/>
      <c r="H51" s="225">
        <v>46</v>
      </c>
      <c r="I51" s="226" t="str">
        <f t="shared" si="1"/>
        <v/>
      </c>
      <c r="J51" s="225" t="e">
        <f t="shared" si="5"/>
        <v>#NUM!</v>
      </c>
      <c r="K51" s="225" t="e">
        <f t="shared" si="2"/>
        <v>#NUM!</v>
      </c>
      <c r="L51" s="225"/>
      <c r="M51" s="227">
        <f t="shared" si="3"/>
        <v>0</v>
      </c>
    </row>
    <row r="52" spans="1:38" x14ac:dyDescent="0.25">
      <c r="A52" s="103">
        <f t="shared" si="4"/>
        <v>0</v>
      </c>
      <c r="B52" s="36" t="str">
        <f t="shared" si="0"/>
        <v/>
      </c>
      <c r="C52" s="37"/>
      <c r="D52" s="37"/>
      <c r="E52" s="37"/>
      <c r="F52" s="37"/>
      <c r="G52" s="208"/>
      <c r="H52" s="222">
        <v>47</v>
      </c>
      <c r="I52" s="223" t="str">
        <f t="shared" si="1"/>
        <v/>
      </c>
      <c r="J52" s="222" t="e">
        <f t="shared" si="5"/>
        <v>#NUM!</v>
      </c>
      <c r="K52" s="222" t="e">
        <f t="shared" si="2"/>
        <v>#NUM!</v>
      </c>
      <c r="L52" s="222"/>
      <c r="M52" s="224">
        <f t="shared" si="3"/>
        <v>0</v>
      </c>
    </row>
    <row r="53" spans="1:38" x14ac:dyDescent="0.25">
      <c r="A53" s="102">
        <f t="shared" si="4"/>
        <v>0</v>
      </c>
      <c r="B53" s="42" t="str">
        <f t="shared" si="0"/>
        <v/>
      </c>
      <c r="C53" s="43"/>
      <c r="D53" s="43"/>
      <c r="E53" s="43"/>
      <c r="F53" s="43"/>
      <c r="G53" s="208"/>
      <c r="H53" s="225">
        <v>48</v>
      </c>
      <c r="I53" s="226" t="str">
        <f t="shared" si="1"/>
        <v/>
      </c>
      <c r="J53" s="225" t="e">
        <f t="shared" si="5"/>
        <v>#NUM!</v>
      </c>
      <c r="K53" s="225" t="e">
        <f t="shared" si="2"/>
        <v>#NUM!</v>
      </c>
      <c r="L53" s="225"/>
      <c r="M53" s="227">
        <f t="shared" si="3"/>
        <v>0</v>
      </c>
    </row>
    <row r="54" spans="1:38" x14ac:dyDescent="0.25">
      <c r="A54" s="103">
        <f t="shared" si="4"/>
        <v>0</v>
      </c>
      <c r="B54" s="36" t="str">
        <f t="shared" si="0"/>
        <v/>
      </c>
      <c r="C54" s="37"/>
      <c r="D54" s="37"/>
      <c r="E54" s="37"/>
      <c r="F54" s="37"/>
      <c r="G54" s="208"/>
      <c r="H54" s="222">
        <v>49</v>
      </c>
      <c r="I54" s="223" t="str">
        <f t="shared" si="1"/>
        <v/>
      </c>
      <c r="J54" s="222" t="e">
        <f t="shared" si="5"/>
        <v>#NUM!</v>
      </c>
      <c r="K54" s="222" t="e">
        <f t="shared" si="2"/>
        <v>#NUM!</v>
      </c>
      <c r="L54" s="222"/>
      <c r="M54" s="224">
        <f t="shared" si="3"/>
        <v>0</v>
      </c>
    </row>
    <row r="55" spans="1:38" x14ac:dyDescent="0.25">
      <c r="A55" s="102">
        <f t="shared" si="4"/>
        <v>0</v>
      </c>
      <c r="B55" s="42" t="str">
        <f t="shared" si="0"/>
        <v/>
      </c>
      <c r="C55" s="43"/>
      <c r="D55" s="43"/>
      <c r="E55" s="43"/>
      <c r="F55" s="43"/>
      <c r="G55" s="208"/>
      <c r="H55" s="225">
        <v>50</v>
      </c>
      <c r="I55" s="226" t="str">
        <f t="shared" si="1"/>
        <v/>
      </c>
      <c r="J55" s="225" t="e">
        <f t="shared" si="5"/>
        <v>#NUM!</v>
      </c>
      <c r="K55" s="225" t="e">
        <f t="shared" si="2"/>
        <v>#NUM!</v>
      </c>
      <c r="L55" s="225"/>
      <c r="M55" s="227">
        <f t="shared" si="3"/>
        <v>0</v>
      </c>
    </row>
    <row r="56" spans="1:38" x14ac:dyDescent="0.25">
      <c r="A56" s="103">
        <f t="shared" si="4"/>
        <v>0</v>
      </c>
      <c r="B56" s="36" t="str">
        <f t="shared" si="0"/>
        <v/>
      </c>
      <c r="C56" s="37"/>
      <c r="D56" s="37"/>
      <c r="E56" s="37"/>
      <c r="F56" s="37"/>
      <c r="G56" s="208"/>
      <c r="H56" s="222">
        <v>51</v>
      </c>
      <c r="I56" s="223" t="str">
        <f t="shared" si="1"/>
        <v/>
      </c>
      <c r="J56" s="222" t="e">
        <f t="shared" si="5"/>
        <v>#NUM!</v>
      </c>
      <c r="K56" s="222" t="e">
        <f t="shared" si="2"/>
        <v>#NUM!</v>
      </c>
      <c r="L56" s="222"/>
      <c r="M56" s="224">
        <f t="shared" si="3"/>
        <v>0</v>
      </c>
    </row>
    <row r="57" spans="1:38" s="208" customFormat="1" x14ac:dyDescent="0.25">
      <c r="A57" s="102">
        <f t="shared" si="4"/>
        <v>0</v>
      </c>
      <c r="B57" s="42" t="str">
        <f t="shared" si="0"/>
        <v/>
      </c>
      <c r="C57" s="43"/>
      <c r="D57" s="43"/>
      <c r="E57" s="43"/>
      <c r="F57" s="43"/>
      <c r="H57" s="225">
        <v>52</v>
      </c>
      <c r="I57" s="226" t="str">
        <f t="shared" si="1"/>
        <v/>
      </c>
      <c r="J57" s="225" t="e">
        <f t="shared" si="5"/>
        <v>#NUM!</v>
      </c>
      <c r="K57" s="225" t="e">
        <f t="shared" si="2"/>
        <v>#NUM!</v>
      </c>
      <c r="L57" s="225"/>
      <c r="M57" s="227">
        <f t="shared" si="3"/>
        <v>0</v>
      </c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</row>
    <row r="58" spans="1:38" s="208" customFormat="1" x14ac:dyDescent="0.25">
      <c r="A58" s="103">
        <f t="shared" si="4"/>
        <v>0</v>
      </c>
      <c r="B58" s="36" t="str">
        <f t="shared" si="0"/>
        <v/>
      </c>
      <c r="C58" s="37"/>
      <c r="D58" s="37"/>
      <c r="E58" s="37"/>
      <c r="F58" s="37"/>
      <c r="H58" s="222">
        <v>53</v>
      </c>
      <c r="I58" s="223" t="str">
        <f t="shared" si="1"/>
        <v/>
      </c>
      <c r="J58" s="222" t="e">
        <f t="shared" si="5"/>
        <v>#NUM!</v>
      </c>
      <c r="K58" s="222" t="e">
        <f t="shared" si="2"/>
        <v>#NUM!</v>
      </c>
      <c r="L58" s="222"/>
      <c r="M58" s="224">
        <f t="shared" si="3"/>
        <v>0</v>
      </c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</row>
    <row r="59" spans="1:38" s="208" customFormat="1" x14ac:dyDescent="0.25">
      <c r="A59" s="102">
        <f t="shared" si="4"/>
        <v>0</v>
      </c>
      <c r="B59" s="42" t="str">
        <f t="shared" si="0"/>
        <v/>
      </c>
      <c r="C59" s="43"/>
      <c r="D59" s="43"/>
      <c r="E59" s="43"/>
      <c r="F59" s="43"/>
      <c r="H59" s="225">
        <v>54</v>
      </c>
      <c r="I59" s="226" t="str">
        <f t="shared" si="1"/>
        <v/>
      </c>
      <c r="J59" s="225" t="e">
        <f t="shared" si="5"/>
        <v>#NUM!</v>
      </c>
      <c r="K59" s="225" t="e">
        <f t="shared" si="2"/>
        <v>#NUM!</v>
      </c>
      <c r="L59" s="225"/>
      <c r="M59" s="227">
        <f t="shared" si="3"/>
        <v>0</v>
      </c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</row>
    <row r="60" spans="1:38" s="208" customFormat="1" x14ac:dyDescent="0.25">
      <c r="A60" s="103">
        <f t="shared" si="4"/>
        <v>0</v>
      </c>
      <c r="B60" s="36" t="str">
        <f t="shared" si="0"/>
        <v/>
      </c>
      <c r="C60" s="37"/>
      <c r="D60" s="37"/>
      <c r="E60" s="37"/>
      <c r="F60" s="37"/>
      <c r="H60" s="222">
        <v>55</v>
      </c>
      <c r="I60" s="223" t="str">
        <f t="shared" si="1"/>
        <v/>
      </c>
      <c r="J60" s="222" t="e">
        <f t="shared" si="5"/>
        <v>#NUM!</v>
      </c>
      <c r="K60" s="222" t="e">
        <f t="shared" si="2"/>
        <v>#NUM!</v>
      </c>
      <c r="L60" s="222"/>
      <c r="M60" s="224">
        <f t="shared" si="3"/>
        <v>0</v>
      </c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</row>
    <row r="61" spans="1:38" s="208" customFormat="1" x14ac:dyDescent="0.25">
      <c r="A61" s="102">
        <f t="shared" si="4"/>
        <v>0</v>
      </c>
      <c r="B61" s="42" t="str">
        <f t="shared" si="0"/>
        <v/>
      </c>
      <c r="C61" s="43"/>
      <c r="D61" s="43"/>
      <c r="E61" s="43"/>
      <c r="F61" s="43"/>
      <c r="H61" s="225">
        <v>56</v>
      </c>
      <c r="I61" s="226" t="str">
        <f t="shared" si="1"/>
        <v/>
      </c>
      <c r="J61" s="225" t="e">
        <f t="shared" si="5"/>
        <v>#NUM!</v>
      </c>
      <c r="K61" s="225" t="e">
        <f t="shared" si="2"/>
        <v>#NUM!</v>
      </c>
      <c r="L61" s="225"/>
      <c r="M61" s="227">
        <f t="shared" si="3"/>
        <v>0</v>
      </c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</row>
    <row r="62" spans="1:38" s="208" customFormat="1" x14ac:dyDescent="0.25">
      <c r="A62" s="103">
        <f t="shared" si="4"/>
        <v>0</v>
      </c>
      <c r="B62" s="36" t="str">
        <f t="shared" si="0"/>
        <v/>
      </c>
      <c r="C62" s="37"/>
      <c r="D62" s="37"/>
      <c r="E62" s="37"/>
      <c r="F62" s="37"/>
      <c r="H62" s="222">
        <v>57</v>
      </c>
      <c r="I62" s="223" t="str">
        <f t="shared" si="1"/>
        <v/>
      </c>
      <c r="J62" s="222" t="e">
        <f t="shared" si="5"/>
        <v>#NUM!</v>
      </c>
      <c r="K62" s="222" t="e">
        <f t="shared" si="2"/>
        <v>#NUM!</v>
      </c>
      <c r="L62" s="222"/>
      <c r="M62" s="224">
        <f t="shared" si="3"/>
        <v>0</v>
      </c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</row>
    <row r="63" spans="1:38" s="208" customFormat="1" x14ac:dyDescent="0.25">
      <c r="A63" s="102">
        <f t="shared" si="4"/>
        <v>0</v>
      </c>
      <c r="B63" s="42" t="str">
        <f t="shared" si="0"/>
        <v/>
      </c>
      <c r="C63" s="43"/>
      <c r="D63" s="43"/>
      <c r="E63" s="43"/>
      <c r="F63" s="43"/>
      <c r="H63" s="225">
        <v>58</v>
      </c>
      <c r="I63" s="226" t="str">
        <f t="shared" si="1"/>
        <v/>
      </c>
      <c r="J63" s="225" t="e">
        <f t="shared" si="5"/>
        <v>#NUM!</v>
      </c>
      <c r="K63" s="225" t="e">
        <f t="shared" si="2"/>
        <v>#NUM!</v>
      </c>
      <c r="L63" s="225"/>
      <c r="M63" s="227">
        <f t="shared" si="3"/>
        <v>0</v>
      </c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13"/>
      <c r="AL63" s="213"/>
    </row>
    <row r="64" spans="1:38" s="208" customFormat="1" x14ac:dyDescent="0.25">
      <c r="A64" s="103">
        <f t="shared" si="4"/>
        <v>0</v>
      </c>
      <c r="B64" s="36" t="str">
        <f t="shared" si="0"/>
        <v/>
      </c>
      <c r="C64" s="37"/>
      <c r="D64" s="37"/>
      <c r="E64" s="37"/>
      <c r="F64" s="37"/>
      <c r="H64" s="222">
        <v>59</v>
      </c>
      <c r="I64" s="223" t="str">
        <f t="shared" si="1"/>
        <v/>
      </c>
      <c r="J64" s="222" t="e">
        <f t="shared" si="5"/>
        <v>#NUM!</v>
      </c>
      <c r="K64" s="222" t="e">
        <f t="shared" si="2"/>
        <v>#NUM!</v>
      </c>
      <c r="L64" s="222"/>
      <c r="M64" s="224">
        <f t="shared" si="3"/>
        <v>0</v>
      </c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</row>
    <row r="65" spans="1:38" s="208" customFormat="1" x14ac:dyDescent="0.25">
      <c r="A65" s="102">
        <f t="shared" si="4"/>
        <v>0</v>
      </c>
      <c r="B65" s="42" t="str">
        <f t="shared" si="0"/>
        <v/>
      </c>
      <c r="C65" s="43"/>
      <c r="D65" s="43"/>
      <c r="E65" s="43"/>
      <c r="F65" s="43"/>
      <c r="H65" s="225">
        <v>60</v>
      </c>
      <c r="I65" s="226" t="str">
        <f t="shared" si="1"/>
        <v/>
      </c>
      <c r="J65" s="225" t="e">
        <f t="shared" si="5"/>
        <v>#NUM!</v>
      </c>
      <c r="K65" s="225" t="e">
        <f t="shared" si="2"/>
        <v>#NUM!</v>
      </c>
      <c r="L65" s="225"/>
      <c r="M65" s="227">
        <f t="shared" si="3"/>
        <v>0</v>
      </c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</row>
    <row r="66" spans="1:38" s="208" customFormat="1" x14ac:dyDescent="0.25">
      <c r="A66" s="103">
        <f t="shared" si="4"/>
        <v>0</v>
      </c>
      <c r="B66" s="36" t="str">
        <f t="shared" si="0"/>
        <v/>
      </c>
      <c r="C66" s="37"/>
      <c r="D66" s="37"/>
      <c r="E66" s="37"/>
      <c r="F66" s="37"/>
      <c r="H66" s="222">
        <v>61</v>
      </c>
      <c r="I66" s="223" t="str">
        <f t="shared" si="1"/>
        <v/>
      </c>
      <c r="J66" s="222" t="e">
        <f t="shared" si="5"/>
        <v>#NUM!</v>
      </c>
      <c r="K66" s="222" t="e">
        <f t="shared" si="2"/>
        <v>#NUM!</v>
      </c>
      <c r="L66" s="222"/>
      <c r="M66" s="224">
        <f t="shared" si="3"/>
        <v>0</v>
      </c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</row>
    <row r="67" spans="1:38" s="208" customFormat="1" x14ac:dyDescent="0.25">
      <c r="A67" s="102">
        <f t="shared" si="4"/>
        <v>0</v>
      </c>
      <c r="B67" s="42" t="str">
        <f t="shared" si="0"/>
        <v/>
      </c>
      <c r="C67" s="43"/>
      <c r="D67" s="43"/>
      <c r="E67" s="43"/>
      <c r="F67" s="43"/>
      <c r="H67" s="225">
        <v>62</v>
      </c>
      <c r="I67" s="226" t="str">
        <f t="shared" si="1"/>
        <v/>
      </c>
      <c r="J67" s="225" t="e">
        <f t="shared" si="5"/>
        <v>#NUM!</v>
      </c>
      <c r="K67" s="225" t="e">
        <f t="shared" si="2"/>
        <v>#NUM!</v>
      </c>
      <c r="L67" s="225"/>
      <c r="M67" s="227">
        <f t="shared" si="3"/>
        <v>0</v>
      </c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</row>
    <row r="68" spans="1:38" s="208" customFormat="1" x14ac:dyDescent="0.25">
      <c r="A68" s="103">
        <f t="shared" si="4"/>
        <v>0</v>
      </c>
      <c r="B68" s="36" t="str">
        <f t="shared" si="0"/>
        <v/>
      </c>
      <c r="C68" s="37"/>
      <c r="D68" s="37"/>
      <c r="E68" s="37"/>
      <c r="F68" s="37"/>
      <c r="H68" s="222">
        <v>63</v>
      </c>
      <c r="I68" s="223" t="str">
        <f t="shared" si="1"/>
        <v/>
      </c>
      <c r="J68" s="222" t="e">
        <f t="shared" si="5"/>
        <v>#NUM!</v>
      </c>
      <c r="K68" s="222" t="e">
        <f t="shared" si="2"/>
        <v>#NUM!</v>
      </c>
      <c r="L68" s="222"/>
      <c r="M68" s="224">
        <f t="shared" si="3"/>
        <v>0</v>
      </c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</row>
    <row r="69" spans="1:38" s="208" customFormat="1" x14ac:dyDescent="0.25">
      <c r="A69" s="102">
        <f t="shared" si="4"/>
        <v>0</v>
      </c>
      <c r="B69" s="42" t="str">
        <f t="shared" si="0"/>
        <v/>
      </c>
      <c r="C69" s="43"/>
      <c r="D69" s="43"/>
      <c r="E69" s="43"/>
      <c r="F69" s="43"/>
      <c r="H69" s="225">
        <v>64</v>
      </c>
      <c r="I69" s="226" t="str">
        <f t="shared" si="1"/>
        <v/>
      </c>
      <c r="J69" s="225" t="e">
        <f t="shared" si="5"/>
        <v>#NUM!</v>
      </c>
      <c r="K69" s="225" t="e">
        <f t="shared" si="2"/>
        <v>#NUM!</v>
      </c>
      <c r="L69" s="225"/>
      <c r="M69" s="227">
        <f t="shared" si="3"/>
        <v>0</v>
      </c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</row>
    <row r="70" spans="1:38" s="208" customFormat="1" x14ac:dyDescent="0.25">
      <c r="A70" s="103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222">
        <v>65</v>
      </c>
      <c r="I70" s="223" t="str">
        <f t="shared" ref="I70:I133" si="7">IF(H70&lt;$H$2+1,($I$2-($I$2-1)*(LOG(H70)/LOG($H$2))),"")</f>
        <v/>
      </c>
      <c r="J70" s="222" t="e">
        <f t="shared" si="5"/>
        <v>#NUM!</v>
      </c>
      <c r="K70" s="222" t="e">
        <f t="shared" ref="K70:K133" si="8">J70*$J$2</f>
        <v>#NUM!</v>
      </c>
      <c r="L70" s="222"/>
      <c r="M70" s="224">
        <f t="shared" ref="M70:M133" si="9">IF(I70&lt;&gt;"",K70+I70+L70,0)</f>
        <v>0</v>
      </c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</row>
    <row r="71" spans="1:38" s="208" customFormat="1" x14ac:dyDescent="0.25">
      <c r="A71" s="102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225">
        <v>66</v>
      </c>
      <c r="I71" s="226" t="str">
        <f t="shared" si="7"/>
        <v/>
      </c>
      <c r="J71" s="225" t="e">
        <f t="shared" ref="J71:J134" si="11">INT(LOG($H$2,2))-ROUNDUP(LOG(H71,2),0)+IF(OR($H$2=1,$H$2=2,$H$2=4,$H$2=8,$H$2=16,$H$2=32,$H$2=64,$H$2=128,$H$2=256),0,1)</f>
        <v>#NUM!</v>
      </c>
      <c r="K71" s="225" t="e">
        <f t="shared" si="8"/>
        <v>#NUM!</v>
      </c>
      <c r="L71" s="225"/>
      <c r="M71" s="227">
        <f t="shared" si="9"/>
        <v>0</v>
      </c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</row>
    <row r="72" spans="1:38" s="208" customFormat="1" x14ac:dyDescent="0.25">
      <c r="A72" s="103">
        <f t="shared" si="10"/>
        <v>0</v>
      </c>
      <c r="B72" s="36" t="str">
        <f t="shared" si="6"/>
        <v/>
      </c>
      <c r="C72" s="37"/>
      <c r="D72" s="37"/>
      <c r="E72" s="37"/>
      <c r="F72" s="37"/>
      <c r="H72" s="222">
        <v>67</v>
      </c>
      <c r="I72" s="223" t="str">
        <f t="shared" si="7"/>
        <v/>
      </c>
      <c r="J72" s="222" t="e">
        <f t="shared" si="11"/>
        <v>#NUM!</v>
      </c>
      <c r="K72" s="222" t="e">
        <f t="shared" si="8"/>
        <v>#NUM!</v>
      </c>
      <c r="L72" s="222"/>
      <c r="M72" s="224">
        <f t="shared" si="9"/>
        <v>0</v>
      </c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</row>
    <row r="73" spans="1:38" s="208" customFormat="1" x14ac:dyDescent="0.25">
      <c r="A73" s="102">
        <f t="shared" si="10"/>
        <v>0</v>
      </c>
      <c r="B73" s="42" t="str">
        <f t="shared" si="6"/>
        <v/>
      </c>
      <c r="C73" s="43"/>
      <c r="D73" s="43"/>
      <c r="E73" s="43"/>
      <c r="F73" s="43"/>
      <c r="H73" s="225">
        <v>68</v>
      </c>
      <c r="I73" s="226" t="str">
        <f t="shared" si="7"/>
        <v/>
      </c>
      <c r="J73" s="225" t="e">
        <f t="shared" si="11"/>
        <v>#NUM!</v>
      </c>
      <c r="K73" s="225" t="e">
        <f t="shared" si="8"/>
        <v>#NUM!</v>
      </c>
      <c r="L73" s="225"/>
      <c r="M73" s="227">
        <f t="shared" si="9"/>
        <v>0</v>
      </c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</row>
    <row r="74" spans="1:38" s="208" customFormat="1" x14ac:dyDescent="0.25">
      <c r="A74" s="103">
        <f t="shared" si="10"/>
        <v>0</v>
      </c>
      <c r="B74" s="36" t="str">
        <f t="shared" si="6"/>
        <v/>
      </c>
      <c r="C74" s="37"/>
      <c r="D74" s="37"/>
      <c r="E74" s="37"/>
      <c r="F74" s="37"/>
      <c r="H74" s="222">
        <v>69</v>
      </c>
      <c r="I74" s="223" t="str">
        <f t="shared" si="7"/>
        <v/>
      </c>
      <c r="J74" s="222" t="e">
        <f t="shared" si="11"/>
        <v>#NUM!</v>
      </c>
      <c r="K74" s="222" t="e">
        <f t="shared" si="8"/>
        <v>#NUM!</v>
      </c>
      <c r="L74" s="222"/>
      <c r="M74" s="224">
        <f t="shared" si="9"/>
        <v>0</v>
      </c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</row>
    <row r="75" spans="1:38" s="208" customFormat="1" x14ac:dyDescent="0.25">
      <c r="A75" s="102">
        <f t="shared" si="10"/>
        <v>0</v>
      </c>
      <c r="B75" s="42" t="str">
        <f t="shared" si="6"/>
        <v/>
      </c>
      <c r="C75" s="43"/>
      <c r="D75" s="43"/>
      <c r="E75" s="43"/>
      <c r="F75" s="43"/>
      <c r="H75" s="225">
        <v>70</v>
      </c>
      <c r="I75" s="226" t="str">
        <f t="shared" si="7"/>
        <v/>
      </c>
      <c r="J75" s="225" t="e">
        <f t="shared" si="11"/>
        <v>#NUM!</v>
      </c>
      <c r="K75" s="225" t="e">
        <f t="shared" si="8"/>
        <v>#NUM!</v>
      </c>
      <c r="L75" s="225"/>
      <c r="M75" s="227">
        <f t="shared" si="9"/>
        <v>0</v>
      </c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</row>
    <row r="76" spans="1:38" s="208" customFormat="1" x14ac:dyDescent="0.25">
      <c r="A76" s="103">
        <f t="shared" si="10"/>
        <v>0</v>
      </c>
      <c r="B76" s="36" t="str">
        <f t="shared" si="6"/>
        <v/>
      </c>
      <c r="C76" s="37"/>
      <c r="D76" s="37"/>
      <c r="E76" s="37"/>
      <c r="F76" s="37"/>
      <c r="H76" s="222">
        <v>71</v>
      </c>
      <c r="I76" s="223" t="str">
        <f t="shared" si="7"/>
        <v/>
      </c>
      <c r="J76" s="222" t="e">
        <f t="shared" si="11"/>
        <v>#NUM!</v>
      </c>
      <c r="K76" s="222" t="e">
        <f t="shared" si="8"/>
        <v>#NUM!</v>
      </c>
      <c r="L76" s="222"/>
      <c r="M76" s="224">
        <f t="shared" si="9"/>
        <v>0</v>
      </c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</row>
    <row r="77" spans="1:38" s="208" customFormat="1" x14ac:dyDescent="0.25">
      <c r="A77" s="102">
        <f t="shared" si="10"/>
        <v>0</v>
      </c>
      <c r="B77" s="42" t="str">
        <f t="shared" si="6"/>
        <v/>
      </c>
      <c r="C77" s="43"/>
      <c r="D77" s="43"/>
      <c r="E77" s="43"/>
      <c r="F77" s="43"/>
      <c r="H77" s="225">
        <v>72</v>
      </c>
      <c r="I77" s="226" t="str">
        <f t="shared" si="7"/>
        <v/>
      </c>
      <c r="J77" s="225" t="e">
        <f t="shared" si="11"/>
        <v>#NUM!</v>
      </c>
      <c r="K77" s="225" t="e">
        <f t="shared" si="8"/>
        <v>#NUM!</v>
      </c>
      <c r="L77" s="225"/>
      <c r="M77" s="227">
        <f t="shared" si="9"/>
        <v>0</v>
      </c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</row>
    <row r="78" spans="1:38" s="208" customFormat="1" x14ac:dyDescent="0.25">
      <c r="A78" s="103">
        <f t="shared" si="10"/>
        <v>0</v>
      </c>
      <c r="B78" s="36" t="str">
        <f t="shared" si="6"/>
        <v/>
      </c>
      <c r="C78" s="37"/>
      <c r="D78" s="37"/>
      <c r="E78" s="37"/>
      <c r="F78" s="37"/>
      <c r="H78" s="222">
        <v>73</v>
      </c>
      <c r="I78" s="223" t="str">
        <f t="shared" si="7"/>
        <v/>
      </c>
      <c r="J78" s="222" t="e">
        <f t="shared" si="11"/>
        <v>#NUM!</v>
      </c>
      <c r="K78" s="222" t="e">
        <f t="shared" si="8"/>
        <v>#NUM!</v>
      </c>
      <c r="L78" s="222"/>
      <c r="M78" s="224">
        <f t="shared" si="9"/>
        <v>0</v>
      </c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</row>
    <row r="79" spans="1:38" s="208" customFormat="1" x14ac:dyDescent="0.25">
      <c r="A79" s="102">
        <f t="shared" si="10"/>
        <v>0</v>
      </c>
      <c r="B79" s="42" t="str">
        <f t="shared" si="6"/>
        <v/>
      </c>
      <c r="C79" s="43"/>
      <c r="D79" s="43"/>
      <c r="E79" s="43"/>
      <c r="F79" s="43"/>
      <c r="H79" s="225">
        <v>74</v>
      </c>
      <c r="I79" s="226" t="str">
        <f t="shared" si="7"/>
        <v/>
      </c>
      <c r="J79" s="225" t="e">
        <f t="shared" si="11"/>
        <v>#NUM!</v>
      </c>
      <c r="K79" s="225" t="e">
        <f t="shared" si="8"/>
        <v>#NUM!</v>
      </c>
      <c r="L79" s="225"/>
      <c r="M79" s="227">
        <f t="shared" si="9"/>
        <v>0</v>
      </c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</row>
    <row r="80" spans="1:38" s="208" customFormat="1" x14ac:dyDescent="0.25">
      <c r="A80" s="103">
        <f t="shared" si="10"/>
        <v>0</v>
      </c>
      <c r="B80" s="36" t="str">
        <f t="shared" si="6"/>
        <v/>
      </c>
      <c r="C80" s="37"/>
      <c r="D80" s="37"/>
      <c r="E80" s="37"/>
      <c r="F80" s="37"/>
      <c r="H80" s="222">
        <v>75</v>
      </c>
      <c r="I80" s="223" t="str">
        <f t="shared" si="7"/>
        <v/>
      </c>
      <c r="J80" s="222" t="e">
        <f t="shared" si="11"/>
        <v>#NUM!</v>
      </c>
      <c r="K80" s="222" t="e">
        <f t="shared" si="8"/>
        <v>#NUM!</v>
      </c>
      <c r="L80" s="222"/>
      <c r="M80" s="224">
        <f t="shared" si="9"/>
        <v>0</v>
      </c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</row>
    <row r="81" spans="1:38" s="208" customFormat="1" x14ac:dyDescent="0.25">
      <c r="A81" s="102">
        <f t="shared" si="10"/>
        <v>0</v>
      </c>
      <c r="B81" s="42" t="str">
        <f t="shared" si="6"/>
        <v/>
      </c>
      <c r="C81" s="43"/>
      <c r="D81" s="43"/>
      <c r="E81" s="43"/>
      <c r="F81" s="43"/>
      <c r="H81" s="225">
        <v>76</v>
      </c>
      <c r="I81" s="226" t="str">
        <f t="shared" si="7"/>
        <v/>
      </c>
      <c r="J81" s="225" t="e">
        <f t="shared" si="11"/>
        <v>#NUM!</v>
      </c>
      <c r="K81" s="225" t="e">
        <f t="shared" si="8"/>
        <v>#NUM!</v>
      </c>
      <c r="L81" s="225"/>
      <c r="M81" s="227">
        <f t="shared" si="9"/>
        <v>0</v>
      </c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</row>
    <row r="82" spans="1:38" s="208" customFormat="1" x14ac:dyDescent="0.25">
      <c r="A82" s="103">
        <f t="shared" si="10"/>
        <v>0</v>
      </c>
      <c r="B82" s="36" t="str">
        <f t="shared" si="6"/>
        <v/>
      </c>
      <c r="C82" s="37"/>
      <c r="D82" s="37"/>
      <c r="E82" s="37"/>
      <c r="F82" s="37"/>
      <c r="H82" s="222">
        <v>77</v>
      </c>
      <c r="I82" s="223" t="str">
        <f t="shared" si="7"/>
        <v/>
      </c>
      <c r="J82" s="222" t="e">
        <f t="shared" si="11"/>
        <v>#NUM!</v>
      </c>
      <c r="K82" s="222" t="e">
        <f t="shared" si="8"/>
        <v>#NUM!</v>
      </c>
      <c r="L82" s="222"/>
      <c r="M82" s="224">
        <f t="shared" si="9"/>
        <v>0</v>
      </c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</row>
    <row r="83" spans="1:38" s="208" customFormat="1" x14ac:dyDescent="0.25">
      <c r="A83" s="102">
        <f t="shared" si="10"/>
        <v>0</v>
      </c>
      <c r="B83" s="42" t="str">
        <f t="shared" si="6"/>
        <v/>
      </c>
      <c r="C83" s="43"/>
      <c r="D83" s="43"/>
      <c r="E83" s="43"/>
      <c r="F83" s="43"/>
      <c r="H83" s="225">
        <v>78</v>
      </c>
      <c r="I83" s="226" t="str">
        <f t="shared" si="7"/>
        <v/>
      </c>
      <c r="J83" s="225" t="e">
        <f t="shared" si="11"/>
        <v>#NUM!</v>
      </c>
      <c r="K83" s="225" t="e">
        <f t="shared" si="8"/>
        <v>#NUM!</v>
      </c>
      <c r="L83" s="225"/>
      <c r="M83" s="227">
        <f t="shared" si="9"/>
        <v>0</v>
      </c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</row>
    <row r="84" spans="1:38" s="208" customFormat="1" x14ac:dyDescent="0.25">
      <c r="A84" s="103">
        <f t="shared" si="10"/>
        <v>0</v>
      </c>
      <c r="B84" s="36" t="str">
        <f t="shared" si="6"/>
        <v/>
      </c>
      <c r="C84" s="37"/>
      <c r="D84" s="37"/>
      <c r="E84" s="37"/>
      <c r="F84" s="37"/>
      <c r="H84" s="222">
        <v>79</v>
      </c>
      <c r="I84" s="223" t="str">
        <f t="shared" si="7"/>
        <v/>
      </c>
      <c r="J84" s="222" t="e">
        <f t="shared" si="11"/>
        <v>#NUM!</v>
      </c>
      <c r="K84" s="222" t="e">
        <f t="shared" si="8"/>
        <v>#NUM!</v>
      </c>
      <c r="L84" s="222"/>
      <c r="M84" s="224">
        <f t="shared" si="9"/>
        <v>0</v>
      </c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</row>
    <row r="85" spans="1:38" s="208" customFormat="1" x14ac:dyDescent="0.25">
      <c r="A85" s="102">
        <f t="shared" si="10"/>
        <v>0</v>
      </c>
      <c r="B85" s="42" t="str">
        <f t="shared" si="6"/>
        <v/>
      </c>
      <c r="C85" s="43"/>
      <c r="D85" s="43"/>
      <c r="E85" s="43"/>
      <c r="F85" s="43"/>
      <c r="H85" s="225">
        <v>80</v>
      </c>
      <c r="I85" s="226" t="str">
        <f t="shared" si="7"/>
        <v/>
      </c>
      <c r="J85" s="225" t="e">
        <f t="shared" si="11"/>
        <v>#NUM!</v>
      </c>
      <c r="K85" s="225" t="e">
        <f t="shared" si="8"/>
        <v>#NUM!</v>
      </c>
      <c r="L85" s="225"/>
      <c r="M85" s="227">
        <f t="shared" si="9"/>
        <v>0</v>
      </c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</row>
    <row r="86" spans="1:38" s="208" customFormat="1" x14ac:dyDescent="0.25">
      <c r="A86" s="103">
        <f t="shared" si="10"/>
        <v>0</v>
      </c>
      <c r="B86" s="36" t="str">
        <f t="shared" si="6"/>
        <v/>
      </c>
      <c r="C86" s="37"/>
      <c r="D86" s="37"/>
      <c r="E86" s="37"/>
      <c r="F86" s="37"/>
      <c r="H86" s="222">
        <v>81</v>
      </c>
      <c r="I86" s="223" t="str">
        <f t="shared" si="7"/>
        <v/>
      </c>
      <c r="J86" s="222" t="e">
        <f t="shared" si="11"/>
        <v>#NUM!</v>
      </c>
      <c r="K86" s="222" t="e">
        <f t="shared" si="8"/>
        <v>#NUM!</v>
      </c>
      <c r="L86" s="222"/>
      <c r="M86" s="224">
        <f t="shared" si="9"/>
        <v>0</v>
      </c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</row>
    <row r="87" spans="1:38" s="208" customFormat="1" x14ac:dyDescent="0.25">
      <c r="A87" s="102">
        <f t="shared" si="10"/>
        <v>0</v>
      </c>
      <c r="B87" s="42" t="str">
        <f t="shared" si="6"/>
        <v/>
      </c>
      <c r="C87" s="43"/>
      <c r="D87" s="43"/>
      <c r="E87" s="43"/>
      <c r="F87" s="43"/>
      <c r="H87" s="225">
        <v>82</v>
      </c>
      <c r="I87" s="226" t="str">
        <f t="shared" si="7"/>
        <v/>
      </c>
      <c r="J87" s="225" t="e">
        <f t="shared" si="11"/>
        <v>#NUM!</v>
      </c>
      <c r="K87" s="225" t="e">
        <f t="shared" si="8"/>
        <v>#NUM!</v>
      </c>
      <c r="L87" s="225"/>
      <c r="M87" s="227">
        <f t="shared" si="9"/>
        <v>0</v>
      </c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</row>
    <row r="88" spans="1:38" s="208" customFormat="1" x14ac:dyDescent="0.25">
      <c r="A88" s="103">
        <f t="shared" si="10"/>
        <v>0</v>
      </c>
      <c r="B88" s="36" t="str">
        <f t="shared" si="6"/>
        <v/>
      </c>
      <c r="C88" s="37"/>
      <c r="D88" s="37"/>
      <c r="E88" s="37"/>
      <c r="F88" s="37"/>
      <c r="H88" s="222">
        <v>83</v>
      </c>
      <c r="I88" s="223" t="str">
        <f t="shared" si="7"/>
        <v/>
      </c>
      <c r="J88" s="222" t="e">
        <f t="shared" si="11"/>
        <v>#NUM!</v>
      </c>
      <c r="K88" s="222" t="e">
        <f t="shared" si="8"/>
        <v>#NUM!</v>
      </c>
      <c r="L88" s="222"/>
      <c r="M88" s="224">
        <f t="shared" si="9"/>
        <v>0</v>
      </c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</row>
    <row r="89" spans="1:38" s="208" customFormat="1" x14ac:dyDescent="0.25">
      <c r="A89" s="102">
        <f t="shared" si="10"/>
        <v>0</v>
      </c>
      <c r="B89" s="42" t="str">
        <f t="shared" si="6"/>
        <v/>
      </c>
      <c r="C89" s="43"/>
      <c r="D89" s="43"/>
      <c r="E89" s="43"/>
      <c r="F89" s="43"/>
      <c r="H89" s="225">
        <v>84</v>
      </c>
      <c r="I89" s="226" t="str">
        <f t="shared" si="7"/>
        <v/>
      </c>
      <c r="J89" s="225" t="e">
        <f t="shared" si="11"/>
        <v>#NUM!</v>
      </c>
      <c r="K89" s="225" t="e">
        <f t="shared" si="8"/>
        <v>#NUM!</v>
      </c>
      <c r="L89" s="225"/>
      <c r="M89" s="227">
        <f t="shared" si="9"/>
        <v>0</v>
      </c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</row>
    <row r="90" spans="1:38" s="208" customFormat="1" x14ac:dyDescent="0.25">
      <c r="A90" s="103">
        <f t="shared" si="10"/>
        <v>0</v>
      </c>
      <c r="B90" s="36" t="str">
        <f t="shared" si="6"/>
        <v/>
      </c>
      <c r="C90" s="37"/>
      <c r="D90" s="37"/>
      <c r="E90" s="37"/>
      <c r="F90" s="37"/>
      <c r="H90" s="222">
        <v>85</v>
      </c>
      <c r="I90" s="223" t="str">
        <f t="shared" si="7"/>
        <v/>
      </c>
      <c r="J90" s="222" t="e">
        <f t="shared" si="11"/>
        <v>#NUM!</v>
      </c>
      <c r="K90" s="222" t="e">
        <f t="shared" si="8"/>
        <v>#NUM!</v>
      </c>
      <c r="L90" s="222"/>
      <c r="M90" s="224">
        <f t="shared" si="9"/>
        <v>0</v>
      </c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</row>
    <row r="91" spans="1:38" s="208" customFormat="1" x14ac:dyDescent="0.25">
      <c r="A91" s="102">
        <f t="shared" si="10"/>
        <v>0</v>
      </c>
      <c r="B91" s="42" t="str">
        <f t="shared" si="6"/>
        <v/>
      </c>
      <c r="C91" s="43"/>
      <c r="D91" s="43"/>
      <c r="E91" s="43"/>
      <c r="F91" s="43"/>
      <c r="H91" s="225">
        <v>86</v>
      </c>
      <c r="I91" s="226" t="str">
        <f t="shared" si="7"/>
        <v/>
      </c>
      <c r="J91" s="225" t="e">
        <f t="shared" si="11"/>
        <v>#NUM!</v>
      </c>
      <c r="K91" s="225" t="e">
        <f t="shared" si="8"/>
        <v>#NUM!</v>
      </c>
      <c r="L91" s="225"/>
      <c r="M91" s="227">
        <f t="shared" si="9"/>
        <v>0</v>
      </c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</row>
    <row r="92" spans="1:38" s="208" customFormat="1" x14ac:dyDescent="0.25">
      <c r="A92" s="103">
        <f t="shared" si="10"/>
        <v>0</v>
      </c>
      <c r="B92" s="36" t="str">
        <f t="shared" si="6"/>
        <v/>
      </c>
      <c r="C92" s="37"/>
      <c r="D92" s="37"/>
      <c r="E92" s="37"/>
      <c r="F92" s="37"/>
      <c r="H92" s="222">
        <v>87</v>
      </c>
      <c r="I92" s="223" t="str">
        <f t="shared" si="7"/>
        <v/>
      </c>
      <c r="J92" s="222" t="e">
        <f t="shared" si="11"/>
        <v>#NUM!</v>
      </c>
      <c r="K92" s="222" t="e">
        <f t="shared" si="8"/>
        <v>#NUM!</v>
      </c>
      <c r="L92" s="222"/>
      <c r="M92" s="224">
        <f t="shared" si="9"/>
        <v>0</v>
      </c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</row>
    <row r="93" spans="1:38" s="208" customFormat="1" x14ac:dyDescent="0.25">
      <c r="A93" s="102">
        <f t="shared" si="10"/>
        <v>0</v>
      </c>
      <c r="B93" s="42" t="str">
        <f t="shared" si="6"/>
        <v/>
      </c>
      <c r="C93" s="43"/>
      <c r="D93" s="43"/>
      <c r="E93" s="43"/>
      <c r="F93" s="43"/>
      <c r="H93" s="225">
        <v>88</v>
      </c>
      <c r="I93" s="226" t="str">
        <f t="shared" si="7"/>
        <v/>
      </c>
      <c r="J93" s="225" t="e">
        <f t="shared" si="11"/>
        <v>#NUM!</v>
      </c>
      <c r="K93" s="225" t="e">
        <f t="shared" si="8"/>
        <v>#NUM!</v>
      </c>
      <c r="L93" s="225"/>
      <c r="M93" s="227">
        <f t="shared" si="9"/>
        <v>0</v>
      </c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</row>
    <row r="94" spans="1:38" s="208" customFormat="1" x14ac:dyDescent="0.25">
      <c r="A94" s="103">
        <f t="shared" si="10"/>
        <v>0</v>
      </c>
      <c r="B94" s="36" t="str">
        <f t="shared" si="6"/>
        <v/>
      </c>
      <c r="C94" s="37"/>
      <c r="D94" s="37"/>
      <c r="E94" s="37"/>
      <c r="F94" s="37"/>
      <c r="H94" s="222">
        <v>89</v>
      </c>
      <c r="I94" s="223" t="str">
        <f t="shared" si="7"/>
        <v/>
      </c>
      <c r="J94" s="222" t="e">
        <f t="shared" si="11"/>
        <v>#NUM!</v>
      </c>
      <c r="K94" s="222" t="e">
        <f t="shared" si="8"/>
        <v>#NUM!</v>
      </c>
      <c r="L94" s="222"/>
      <c r="M94" s="224">
        <f t="shared" si="9"/>
        <v>0</v>
      </c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</row>
    <row r="95" spans="1:38" s="208" customFormat="1" x14ac:dyDescent="0.25">
      <c r="A95" s="102">
        <f t="shared" si="10"/>
        <v>0</v>
      </c>
      <c r="B95" s="42" t="str">
        <f t="shared" si="6"/>
        <v/>
      </c>
      <c r="C95" s="43"/>
      <c r="D95" s="43"/>
      <c r="E95" s="43"/>
      <c r="F95" s="43"/>
      <c r="H95" s="225">
        <v>90</v>
      </c>
      <c r="I95" s="226" t="str">
        <f t="shared" si="7"/>
        <v/>
      </c>
      <c r="J95" s="225" t="e">
        <f t="shared" si="11"/>
        <v>#NUM!</v>
      </c>
      <c r="K95" s="225" t="e">
        <f t="shared" si="8"/>
        <v>#NUM!</v>
      </c>
      <c r="L95" s="225"/>
      <c r="M95" s="227">
        <f t="shared" si="9"/>
        <v>0</v>
      </c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</row>
    <row r="96" spans="1:38" s="208" customFormat="1" x14ac:dyDescent="0.25">
      <c r="A96" s="103">
        <f t="shared" si="10"/>
        <v>0</v>
      </c>
      <c r="B96" s="36" t="str">
        <f t="shared" si="6"/>
        <v/>
      </c>
      <c r="C96" s="37"/>
      <c r="D96" s="37"/>
      <c r="E96" s="37"/>
      <c r="F96" s="37"/>
      <c r="H96" s="222">
        <v>91</v>
      </c>
      <c r="I96" s="223" t="str">
        <f t="shared" si="7"/>
        <v/>
      </c>
      <c r="J96" s="222" t="e">
        <f t="shared" si="11"/>
        <v>#NUM!</v>
      </c>
      <c r="K96" s="222" t="e">
        <f t="shared" si="8"/>
        <v>#NUM!</v>
      </c>
      <c r="L96" s="222"/>
      <c r="M96" s="224">
        <f t="shared" si="9"/>
        <v>0</v>
      </c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</row>
    <row r="97" spans="1:38" s="208" customFormat="1" x14ac:dyDescent="0.25">
      <c r="A97" s="102">
        <f t="shared" si="10"/>
        <v>0</v>
      </c>
      <c r="B97" s="42" t="str">
        <f t="shared" si="6"/>
        <v/>
      </c>
      <c r="C97" s="43"/>
      <c r="D97" s="43"/>
      <c r="E97" s="43"/>
      <c r="F97" s="43"/>
      <c r="H97" s="225">
        <v>92</v>
      </c>
      <c r="I97" s="226" t="str">
        <f t="shared" si="7"/>
        <v/>
      </c>
      <c r="J97" s="225" t="e">
        <f t="shared" si="11"/>
        <v>#NUM!</v>
      </c>
      <c r="K97" s="225" t="e">
        <f t="shared" si="8"/>
        <v>#NUM!</v>
      </c>
      <c r="L97" s="225"/>
      <c r="M97" s="227">
        <f t="shared" si="9"/>
        <v>0</v>
      </c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</row>
    <row r="98" spans="1:38" s="208" customFormat="1" x14ac:dyDescent="0.25">
      <c r="A98" s="103">
        <f t="shared" si="10"/>
        <v>0</v>
      </c>
      <c r="B98" s="36" t="str">
        <f t="shared" si="6"/>
        <v/>
      </c>
      <c r="C98" s="37"/>
      <c r="D98" s="37"/>
      <c r="E98" s="37"/>
      <c r="F98" s="37"/>
      <c r="H98" s="222">
        <v>93</v>
      </c>
      <c r="I98" s="223" t="str">
        <f t="shared" si="7"/>
        <v/>
      </c>
      <c r="J98" s="222" t="e">
        <f t="shared" si="11"/>
        <v>#NUM!</v>
      </c>
      <c r="K98" s="222" t="e">
        <f t="shared" si="8"/>
        <v>#NUM!</v>
      </c>
      <c r="L98" s="222"/>
      <c r="M98" s="224">
        <f t="shared" si="9"/>
        <v>0</v>
      </c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</row>
    <row r="99" spans="1:38" s="208" customFormat="1" x14ac:dyDescent="0.25">
      <c r="A99" s="102">
        <f t="shared" si="10"/>
        <v>0</v>
      </c>
      <c r="B99" s="42" t="str">
        <f t="shared" si="6"/>
        <v/>
      </c>
      <c r="C99" s="43"/>
      <c r="D99" s="43"/>
      <c r="E99" s="43"/>
      <c r="F99" s="43"/>
      <c r="H99" s="225">
        <v>94</v>
      </c>
      <c r="I99" s="226" t="str">
        <f t="shared" si="7"/>
        <v/>
      </c>
      <c r="J99" s="225" t="e">
        <f t="shared" si="11"/>
        <v>#NUM!</v>
      </c>
      <c r="K99" s="225" t="e">
        <f t="shared" si="8"/>
        <v>#NUM!</v>
      </c>
      <c r="L99" s="225"/>
      <c r="M99" s="227">
        <f t="shared" si="9"/>
        <v>0</v>
      </c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</row>
    <row r="100" spans="1:38" s="208" customFormat="1" x14ac:dyDescent="0.25">
      <c r="A100" s="103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222">
        <v>95</v>
      </c>
      <c r="I100" s="223" t="str">
        <f t="shared" si="7"/>
        <v/>
      </c>
      <c r="J100" s="222" t="e">
        <f t="shared" si="11"/>
        <v>#NUM!</v>
      </c>
      <c r="K100" s="222" t="e">
        <f t="shared" si="8"/>
        <v>#NUM!</v>
      </c>
      <c r="L100" s="222"/>
      <c r="M100" s="224">
        <f t="shared" si="9"/>
        <v>0</v>
      </c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</row>
    <row r="101" spans="1:38" s="208" customFormat="1" x14ac:dyDescent="0.25">
      <c r="A101" s="102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225">
        <v>96</v>
      </c>
      <c r="I101" s="226" t="str">
        <f t="shared" si="7"/>
        <v/>
      </c>
      <c r="J101" s="225" t="e">
        <f t="shared" si="11"/>
        <v>#NUM!</v>
      </c>
      <c r="K101" s="225" t="e">
        <f t="shared" si="8"/>
        <v>#NUM!</v>
      </c>
      <c r="L101" s="225"/>
      <c r="M101" s="227">
        <f t="shared" si="9"/>
        <v>0</v>
      </c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</row>
    <row r="102" spans="1:38" s="208" customFormat="1" x14ac:dyDescent="0.25">
      <c r="A102" s="103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222">
        <v>97</v>
      </c>
      <c r="I102" s="223" t="str">
        <f t="shared" si="7"/>
        <v/>
      </c>
      <c r="J102" s="222" t="e">
        <f t="shared" si="11"/>
        <v>#NUM!</v>
      </c>
      <c r="K102" s="222" t="e">
        <f t="shared" si="8"/>
        <v>#NUM!</v>
      </c>
      <c r="L102" s="222"/>
      <c r="M102" s="224">
        <f t="shared" si="9"/>
        <v>0</v>
      </c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</row>
    <row r="103" spans="1:38" s="208" customFormat="1" x14ac:dyDescent="0.25">
      <c r="A103" s="102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225">
        <v>98</v>
      </c>
      <c r="I103" s="226" t="str">
        <f t="shared" si="7"/>
        <v/>
      </c>
      <c r="J103" s="225" t="e">
        <f t="shared" si="11"/>
        <v>#NUM!</v>
      </c>
      <c r="K103" s="225" t="e">
        <f t="shared" si="8"/>
        <v>#NUM!</v>
      </c>
      <c r="L103" s="225"/>
      <c r="M103" s="227">
        <f t="shared" si="9"/>
        <v>0</v>
      </c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</row>
    <row r="104" spans="1:38" s="208" customFormat="1" x14ac:dyDescent="0.25">
      <c r="A104" s="103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222">
        <v>99</v>
      </c>
      <c r="I104" s="223" t="str">
        <f t="shared" si="7"/>
        <v/>
      </c>
      <c r="J104" s="222" t="e">
        <f t="shared" si="11"/>
        <v>#NUM!</v>
      </c>
      <c r="K104" s="222" t="e">
        <f t="shared" si="8"/>
        <v>#NUM!</v>
      </c>
      <c r="L104" s="222"/>
      <c r="M104" s="224">
        <f t="shared" si="9"/>
        <v>0</v>
      </c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</row>
    <row r="105" spans="1:38" s="208" customFormat="1" x14ac:dyDescent="0.25">
      <c r="A105" s="102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225">
        <v>100</v>
      </c>
      <c r="I105" s="226" t="str">
        <f t="shared" si="7"/>
        <v/>
      </c>
      <c r="J105" s="225" t="e">
        <f t="shared" si="11"/>
        <v>#NUM!</v>
      </c>
      <c r="K105" s="225" t="e">
        <f t="shared" si="8"/>
        <v>#NUM!</v>
      </c>
      <c r="L105" s="225"/>
      <c r="M105" s="227">
        <f t="shared" si="9"/>
        <v>0</v>
      </c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</row>
    <row r="106" spans="1:38" s="208" customFormat="1" x14ac:dyDescent="0.25">
      <c r="A106" s="103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222">
        <v>101</v>
      </c>
      <c r="I106" s="223" t="str">
        <f t="shared" si="7"/>
        <v/>
      </c>
      <c r="J106" s="222" t="e">
        <f t="shared" si="11"/>
        <v>#NUM!</v>
      </c>
      <c r="K106" s="222" t="e">
        <f t="shared" si="8"/>
        <v>#NUM!</v>
      </c>
      <c r="L106" s="222"/>
      <c r="M106" s="224">
        <f t="shared" si="9"/>
        <v>0</v>
      </c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</row>
    <row r="107" spans="1:38" s="208" customFormat="1" x14ac:dyDescent="0.25">
      <c r="A107" s="102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225">
        <v>102</v>
      </c>
      <c r="I107" s="226" t="str">
        <f t="shared" si="7"/>
        <v/>
      </c>
      <c r="J107" s="225" t="e">
        <f t="shared" si="11"/>
        <v>#NUM!</v>
      </c>
      <c r="K107" s="225" t="e">
        <f t="shared" si="8"/>
        <v>#NUM!</v>
      </c>
      <c r="L107" s="225"/>
      <c r="M107" s="227">
        <f t="shared" si="9"/>
        <v>0</v>
      </c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</row>
    <row r="108" spans="1:38" s="208" customFormat="1" x14ac:dyDescent="0.25">
      <c r="A108" s="103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222">
        <v>103</v>
      </c>
      <c r="I108" s="223" t="str">
        <f t="shared" si="7"/>
        <v/>
      </c>
      <c r="J108" s="222" t="e">
        <f t="shared" si="11"/>
        <v>#NUM!</v>
      </c>
      <c r="K108" s="222" t="e">
        <f t="shared" si="8"/>
        <v>#NUM!</v>
      </c>
      <c r="L108" s="222"/>
      <c r="M108" s="224">
        <f t="shared" si="9"/>
        <v>0</v>
      </c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</row>
    <row r="109" spans="1:38" s="208" customFormat="1" x14ac:dyDescent="0.25">
      <c r="A109" s="102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225">
        <v>104</v>
      </c>
      <c r="I109" s="226" t="str">
        <f t="shared" si="7"/>
        <v/>
      </c>
      <c r="J109" s="225" t="e">
        <f t="shared" si="11"/>
        <v>#NUM!</v>
      </c>
      <c r="K109" s="225" t="e">
        <f t="shared" si="8"/>
        <v>#NUM!</v>
      </c>
      <c r="L109" s="225"/>
      <c r="M109" s="227">
        <f t="shared" si="9"/>
        <v>0</v>
      </c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</row>
    <row r="110" spans="1:38" s="208" customFormat="1" x14ac:dyDescent="0.25">
      <c r="A110" s="103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222">
        <v>105</v>
      </c>
      <c r="I110" s="223" t="str">
        <f t="shared" si="7"/>
        <v/>
      </c>
      <c r="J110" s="222" t="e">
        <f t="shared" si="11"/>
        <v>#NUM!</v>
      </c>
      <c r="K110" s="222" t="e">
        <f t="shared" si="8"/>
        <v>#NUM!</v>
      </c>
      <c r="L110" s="222"/>
      <c r="M110" s="224">
        <f t="shared" si="9"/>
        <v>0</v>
      </c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</row>
    <row r="111" spans="1:38" s="208" customFormat="1" x14ac:dyDescent="0.25">
      <c r="A111" s="102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225">
        <v>106</v>
      </c>
      <c r="I111" s="226" t="str">
        <f t="shared" si="7"/>
        <v/>
      </c>
      <c r="J111" s="225" t="e">
        <f t="shared" si="11"/>
        <v>#NUM!</v>
      </c>
      <c r="K111" s="225" t="e">
        <f t="shared" si="8"/>
        <v>#NUM!</v>
      </c>
      <c r="L111" s="225"/>
      <c r="M111" s="227">
        <f t="shared" si="9"/>
        <v>0</v>
      </c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</row>
    <row r="112" spans="1:38" s="208" customFormat="1" x14ac:dyDescent="0.25">
      <c r="A112" s="103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222">
        <v>107</v>
      </c>
      <c r="I112" s="223" t="str">
        <f t="shared" si="7"/>
        <v/>
      </c>
      <c r="J112" s="222" t="e">
        <f t="shared" si="11"/>
        <v>#NUM!</v>
      </c>
      <c r="K112" s="222" t="e">
        <f t="shared" si="8"/>
        <v>#NUM!</v>
      </c>
      <c r="L112" s="222"/>
      <c r="M112" s="224">
        <f t="shared" si="9"/>
        <v>0</v>
      </c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</row>
    <row r="113" spans="1:38" s="208" customFormat="1" x14ac:dyDescent="0.25">
      <c r="A113" s="102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225">
        <v>108</v>
      </c>
      <c r="I113" s="226" t="str">
        <f t="shared" si="7"/>
        <v/>
      </c>
      <c r="J113" s="225" t="e">
        <f t="shared" si="11"/>
        <v>#NUM!</v>
      </c>
      <c r="K113" s="225" t="e">
        <f t="shared" si="8"/>
        <v>#NUM!</v>
      </c>
      <c r="L113" s="225"/>
      <c r="M113" s="227">
        <f t="shared" si="9"/>
        <v>0</v>
      </c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</row>
    <row r="114" spans="1:38" s="208" customFormat="1" x14ac:dyDescent="0.25">
      <c r="A114" s="103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222">
        <v>109</v>
      </c>
      <c r="I114" s="223" t="str">
        <f t="shared" si="7"/>
        <v/>
      </c>
      <c r="J114" s="222" t="e">
        <f t="shared" si="11"/>
        <v>#NUM!</v>
      </c>
      <c r="K114" s="222" t="e">
        <f t="shared" si="8"/>
        <v>#NUM!</v>
      </c>
      <c r="L114" s="222"/>
      <c r="M114" s="224">
        <f t="shared" si="9"/>
        <v>0</v>
      </c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</row>
    <row r="115" spans="1:38" s="208" customFormat="1" x14ac:dyDescent="0.25">
      <c r="A115" s="102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225">
        <v>110</v>
      </c>
      <c r="I115" s="226" t="str">
        <f t="shared" si="7"/>
        <v/>
      </c>
      <c r="J115" s="225" t="e">
        <f t="shared" si="11"/>
        <v>#NUM!</v>
      </c>
      <c r="K115" s="225" t="e">
        <f t="shared" si="8"/>
        <v>#NUM!</v>
      </c>
      <c r="L115" s="225"/>
      <c r="M115" s="227">
        <f t="shared" si="9"/>
        <v>0</v>
      </c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</row>
    <row r="116" spans="1:38" s="208" customFormat="1" x14ac:dyDescent="0.25">
      <c r="A116" s="103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222">
        <v>111</v>
      </c>
      <c r="I116" s="223" t="str">
        <f t="shared" si="7"/>
        <v/>
      </c>
      <c r="J116" s="222" t="e">
        <f t="shared" si="11"/>
        <v>#NUM!</v>
      </c>
      <c r="K116" s="222" t="e">
        <f t="shared" si="8"/>
        <v>#NUM!</v>
      </c>
      <c r="L116" s="222"/>
      <c r="M116" s="224">
        <f t="shared" si="9"/>
        <v>0</v>
      </c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</row>
    <row r="117" spans="1:38" s="208" customFormat="1" x14ac:dyDescent="0.25">
      <c r="A117" s="102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225">
        <v>112</v>
      </c>
      <c r="I117" s="226" t="str">
        <f t="shared" si="7"/>
        <v/>
      </c>
      <c r="J117" s="225" t="e">
        <f t="shared" si="11"/>
        <v>#NUM!</v>
      </c>
      <c r="K117" s="225" t="e">
        <f t="shared" si="8"/>
        <v>#NUM!</v>
      </c>
      <c r="L117" s="225"/>
      <c r="M117" s="227">
        <f t="shared" si="9"/>
        <v>0</v>
      </c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</row>
    <row r="118" spans="1:38" s="208" customFormat="1" x14ac:dyDescent="0.25">
      <c r="A118" s="103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222">
        <v>113</v>
      </c>
      <c r="I118" s="223" t="str">
        <f t="shared" si="7"/>
        <v/>
      </c>
      <c r="J118" s="222" t="e">
        <f t="shared" si="11"/>
        <v>#NUM!</v>
      </c>
      <c r="K118" s="222" t="e">
        <f t="shared" si="8"/>
        <v>#NUM!</v>
      </c>
      <c r="L118" s="222"/>
      <c r="M118" s="224">
        <f t="shared" si="9"/>
        <v>0</v>
      </c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</row>
    <row r="119" spans="1:38" s="208" customFormat="1" x14ac:dyDescent="0.25">
      <c r="A119" s="102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225">
        <v>114</v>
      </c>
      <c r="I119" s="226" t="str">
        <f t="shared" si="7"/>
        <v/>
      </c>
      <c r="J119" s="225" t="e">
        <f t="shared" si="11"/>
        <v>#NUM!</v>
      </c>
      <c r="K119" s="225" t="e">
        <f t="shared" si="8"/>
        <v>#NUM!</v>
      </c>
      <c r="L119" s="225"/>
      <c r="M119" s="227">
        <f t="shared" si="9"/>
        <v>0</v>
      </c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  <c r="AH119" s="213"/>
      <c r="AI119" s="213"/>
      <c r="AJ119" s="213"/>
      <c r="AK119" s="213"/>
      <c r="AL119" s="213"/>
    </row>
    <row r="120" spans="1:38" s="208" customFormat="1" x14ac:dyDescent="0.25">
      <c r="A120" s="103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222">
        <v>115</v>
      </c>
      <c r="I120" s="223" t="str">
        <f t="shared" si="7"/>
        <v/>
      </c>
      <c r="J120" s="222" t="e">
        <f t="shared" si="11"/>
        <v>#NUM!</v>
      </c>
      <c r="K120" s="222" t="e">
        <f t="shared" si="8"/>
        <v>#NUM!</v>
      </c>
      <c r="L120" s="222"/>
      <c r="M120" s="224">
        <f t="shared" si="9"/>
        <v>0</v>
      </c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  <c r="AE120" s="213"/>
      <c r="AF120" s="213"/>
      <c r="AG120" s="213"/>
      <c r="AH120" s="213"/>
      <c r="AI120" s="213"/>
      <c r="AJ120" s="213"/>
      <c r="AK120" s="213"/>
      <c r="AL120" s="213"/>
    </row>
    <row r="121" spans="1:38" s="208" customFormat="1" x14ac:dyDescent="0.25">
      <c r="A121" s="102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225">
        <v>116</v>
      </c>
      <c r="I121" s="226" t="str">
        <f t="shared" si="7"/>
        <v/>
      </c>
      <c r="J121" s="225" t="e">
        <f t="shared" si="11"/>
        <v>#NUM!</v>
      </c>
      <c r="K121" s="225" t="e">
        <f t="shared" si="8"/>
        <v>#NUM!</v>
      </c>
      <c r="L121" s="225"/>
      <c r="M121" s="227">
        <f t="shared" si="9"/>
        <v>0</v>
      </c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  <c r="AH121" s="213"/>
      <c r="AI121" s="213"/>
      <c r="AJ121" s="213"/>
      <c r="AK121" s="213"/>
      <c r="AL121" s="213"/>
    </row>
    <row r="122" spans="1:38" s="208" customFormat="1" x14ac:dyDescent="0.25">
      <c r="A122" s="103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222">
        <v>117</v>
      </c>
      <c r="I122" s="223" t="str">
        <f t="shared" si="7"/>
        <v/>
      </c>
      <c r="J122" s="222" t="e">
        <f t="shared" si="11"/>
        <v>#NUM!</v>
      </c>
      <c r="K122" s="222" t="e">
        <f t="shared" si="8"/>
        <v>#NUM!</v>
      </c>
      <c r="L122" s="222"/>
      <c r="M122" s="224">
        <f t="shared" si="9"/>
        <v>0</v>
      </c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</row>
    <row r="123" spans="1:38" s="208" customFormat="1" x14ac:dyDescent="0.25">
      <c r="A123" s="102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225">
        <v>118</v>
      </c>
      <c r="I123" s="226" t="str">
        <f t="shared" si="7"/>
        <v/>
      </c>
      <c r="J123" s="225" t="e">
        <f t="shared" si="11"/>
        <v>#NUM!</v>
      </c>
      <c r="K123" s="225" t="e">
        <f t="shared" si="8"/>
        <v>#NUM!</v>
      </c>
      <c r="L123" s="225"/>
      <c r="M123" s="227">
        <f t="shared" si="9"/>
        <v>0</v>
      </c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  <c r="AH123" s="213"/>
      <c r="AI123" s="213"/>
      <c r="AJ123" s="213"/>
      <c r="AK123" s="213"/>
      <c r="AL123" s="213"/>
    </row>
    <row r="124" spans="1:38" s="208" customFormat="1" x14ac:dyDescent="0.25">
      <c r="A124" s="103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222">
        <v>119</v>
      </c>
      <c r="I124" s="223" t="str">
        <f t="shared" si="7"/>
        <v/>
      </c>
      <c r="J124" s="222" t="e">
        <f t="shared" si="11"/>
        <v>#NUM!</v>
      </c>
      <c r="K124" s="222" t="e">
        <f t="shared" si="8"/>
        <v>#NUM!</v>
      </c>
      <c r="L124" s="222"/>
      <c r="M124" s="224">
        <f t="shared" si="9"/>
        <v>0</v>
      </c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3"/>
      <c r="AK124" s="213"/>
      <c r="AL124" s="213"/>
    </row>
    <row r="125" spans="1:38" s="208" customFormat="1" x14ac:dyDescent="0.25">
      <c r="A125" s="102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225">
        <v>120</v>
      </c>
      <c r="I125" s="226" t="str">
        <f t="shared" si="7"/>
        <v/>
      </c>
      <c r="J125" s="225" t="e">
        <f t="shared" si="11"/>
        <v>#NUM!</v>
      </c>
      <c r="K125" s="225" t="e">
        <f t="shared" si="8"/>
        <v>#NUM!</v>
      </c>
      <c r="L125" s="225"/>
      <c r="M125" s="227">
        <f t="shared" si="9"/>
        <v>0</v>
      </c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</row>
    <row r="126" spans="1:38" s="208" customFormat="1" x14ac:dyDescent="0.25">
      <c r="A126" s="103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222">
        <v>121</v>
      </c>
      <c r="I126" s="223" t="str">
        <f t="shared" si="7"/>
        <v/>
      </c>
      <c r="J126" s="222" t="e">
        <f t="shared" si="11"/>
        <v>#NUM!</v>
      </c>
      <c r="K126" s="222" t="e">
        <f t="shared" si="8"/>
        <v>#NUM!</v>
      </c>
      <c r="L126" s="222"/>
      <c r="M126" s="224">
        <f t="shared" si="9"/>
        <v>0</v>
      </c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</row>
    <row r="127" spans="1:38" s="208" customFormat="1" x14ac:dyDescent="0.25">
      <c r="A127" s="102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225">
        <v>122</v>
      </c>
      <c r="I127" s="226" t="str">
        <f t="shared" si="7"/>
        <v/>
      </c>
      <c r="J127" s="225" t="e">
        <f t="shared" si="11"/>
        <v>#NUM!</v>
      </c>
      <c r="K127" s="225" t="e">
        <f t="shared" si="8"/>
        <v>#NUM!</v>
      </c>
      <c r="L127" s="225"/>
      <c r="M127" s="227">
        <f t="shared" si="9"/>
        <v>0</v>
      </c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/>
      <c r="AJ127" s="213"/>
      <c r="AK127" s="213"/>
      <c r="AL127" s="213"/>
    </row>
    <row r="128" spans="1:38" s="208" customFormat="1" x14ac:dyDescent="0.25">
      <c r="A128" s="103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222">
        <v>123</v>
      </c>
      <c r="I128" s="223" t="str">
        <f t="shared" si="7"/>
        <v/>
      </c>
      <c r="J128" s="222" t="e">
        <f t="shared" si="11"/>
        <v>#NUM!</v>
      </c>
      <c r="K128" s="222" t="e">
        <f t="shared" si="8"/>
        <v>#NUM!</v>
      </c>
      <c r="L128" s="222"/>
      <c r="M128" s="224">
        <f t="shared" si="9"/>
        <v>0</v>
      </c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  <c r="AH128" s="213"/>
      <c r="AI128" s="213"/>
      <c r="AJ128" s="213"/>
      <c r="AK128" s="213"/>
      <c r="AL128" s="213"/>
    </row>
    <row r="129" spans="1:38" s="208" customFormat="1" x14ac:dyDescent="0.25">
      <c r="A129" s="102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225">
        <v>124</v>
      </c>
      <c r="I129" s="226" t="str">
        <f t="shared" si="7"/>
        <v/>
      </c>
      <c r="J129" s="225" t="e">
        <f t="shared" si="11"/>
        <v>#NUM!</v>
      </c>
      <c r="K129" s="225" t="e">
        <f t="shared" si="8"/>
        <v>#NUM!</v>
      </c>
      <c r="L129" s="225"/>
      <c r="M129" s="227">
        <f t="shared" si="9"/>
        <v>0</v>
      </c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  <c r="AH129" s="213"/>
      <c r="AI129" s="213"/>
      <c r="AJ129" s="213"/>
      <c r="AK129" s="213"/>
      <c r="AL129" s="213"/>
    </row>
    <row r="130" spans="1:38" s="208" customFormat="1" x14ac:dyDescent="0.25">
      <c r="A130" s="103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222">
        <v>125</v>
      </c>
      <c r="I130" s="223" t="str">
        <f t="shared" si="7"/>
        <v/>
      </c>
      <c r="J130" s="222" t="e">
        <f t="shared" si="11"/>
        <v>#NUM!</v>
      </c>
      <c r="K130" s="222" t="e">
        <f t="shared" si="8"/>
        <v>#NUM!</v>
      </c>
      <c r="L130" s="222"/>
      <c r="M130" s="224">
        <f t="shared" si="9"/>
        <v>0</v>
      </c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  <c r="AH130" s="213"/>
      <c r="AI130" s="213"/>
      <c r="AJ130" s="213"/>
      <c r="AK130" s="213"/>
      <c r="AL130" s="213"/>
    </row>
    <row r="131" spans="1:38" s="208" customFormat="1" x14ac:dyDescent="0.25">
      <c r="A131" s="102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225">
        <v>126</v>
      </c>
      <c r="I131" s="226" t="str">
        <f t="shared" si="7"/>
        <v/>
      </c>
      <c r="J131" s="225" t="e">
        <f t="shared" si="11"/>
        <v>#NUM!</v>
      </c>
      <c r="K131" s="225" t="e">
        <f t="shared" si="8"/>
        <v>#NUM!</v>
      </c>
      <c r="L131" s="225"/>
      <c r="M131" s="227">
        <f t="shared" si="9"/>
        <v>0</v>
      </c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13"/>
    </row>
    <row r="132" spans="1:38" s="208" customFormat="1" x14ac:dyDescent="0.25">
      <c r="A132" s="103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222">
        <v>127</v>
      </c>
      <c r="I132" s="223" t="str">
        <f t="shared" si="7"/>
        <v/>
      </c>
      <c r="J132" s="222" t="e">
        <f t="shared" si="11"/>
        <v>#NUM!</v>
      </c>
      <c r="K132" s="222" t="e">
        <f t="shared" si="8"/>
        <v>#NUM!</v>
      </c>
      <c r="L132" s="222"/>
      <c r="M132" s="224">
        <f t="shared" si="9"/>
        <v>0</v>
      </c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</row>
    <row r="133" spans="1:38" s="208" customFormat="1" x14ac:dyDescent="0.25">
      <c r="A133" s="102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225">
        <v>128</v>
      </c>
      <c r="I133" s="226" t="str">
        <f t="shared" si="7"/>
        <v/>
      </c>
      <c r="J133" s="225" t="e">
        <f t="shared" si="11"/>
        <v>#NUM!</v>
      </c>
      <c r="K133" s="225" t="e">
        <f t="shared" si="8"/>
        <v>#NUM!</v>
      </c>
      <c r="L133" s="225"/>
      <c r="M133" s="227">
        <f t="shared" si="9"/>
        <v>0</v>
      </c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  <c r="AH133" s="213"/>
      <c r="AI133" s="213"/>
      <c r="AJ133" s="213"/>
      <c r="AK133" s="213"/>
      <c r="AL133" s="213"/>
    </row>
    <row r="134" spans="1:38" s="208" customFormat="1" x14ac:dyDescent="0.25">
      <c r="A134" s="103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222">
        <v>129</v>
      </c>
      <c r="I134" s="223" t="str">
        <f t="shared" ref="I134:I197" si="13">IF(H134&lt;$H$2+1,($I$2-($I$2-1)*(LOG(H134)/LOG($H$2))),"")</f>
        <v/>
      </c>
      <c r="J134" s="222" t="e">
        <f t="shared" si="11"/>
        <v>#NUM!</v>
      </c>
      <c r="K134" s="222" t="e">
        <f t="shared" ref="K134:K197" si="14">J134*$J$2</f>
        <v>#NUM!</v>
      </c>
      <c r="L134" s="222"/>
      <c r="M134" s="224">
        <f t="shared" ref="M134:M197" si="15">IF(I134&lt;&gt;"",K134+I134+L134,0)</f>
        <v>0</v>
      </c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  <c r="AH134" s="213"/>
      <c r="AI134" s="213"/>
      <c r="AJ134" s="213"/>
      <c r="AK134" s="213"/>
      <c r="AL134" s="213"/>
    </row>
    <row r="135" spans="1:38" s="208" customFormat="1" x14ac:dyDescent="0.25">
      <c r="A135" s="102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225">
        <v>130</v>
      </c>
      <c r="I135" s="226" t="str">
        <f t="shared" si="13"/>
        <v/>
      </c>
      <c r="J135" s="225" t="e">
        <f t="shared" ref="J135:J198" si="17">INT(LOG($H$2,2))-ROUNDUP(LOG(H135,2),0)+IF(OR($H$2=1,$H$2=2,$H$2=4,$H$2=8,$H$2=16,$H$2=32,$H$2=64,$H$2=128,$H$2=256),0,1)</f>
        <v>#NUM!</v>
      </c>
      <c r="K135" s="225" t="e">
        <f t="shared" si="14"/>
        <v>#NUM!</v>
      </c>
      <c r="L135" s="225"/>
      <c r="M135" s="227">
        <f t="shared" si="15"/>
        <v>0</v>
      </c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  <c r="AH135" s="213"/>
      <c r="AI135" s="213"/>
      <c r="AJ135" s="213"/>
      <c r="AK135" s="213"/>
      <c r="AL135" s="213"/>
    </row>
    <row r="136" spans="1:38" s="208" customFormat="1" x14ac:dyDescent="0.25">
      <c r="A136" s="103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222">
        <v>131</v>
      </c>
      <c r="I136" s="223" t="str">
        <f t="shared" si="13"/>
        <v/>
      </c>
      <c r="J136" s="222" t="e">
        <f t="shared" si="17"/>
        <v>#NUM!</v>
      </c>
      <c r="K136" s="222" t="e">
        <f t="shared" si="14"/>
        <v>#NUM!</v>
      </c>
      <c r="L136" s="222"/>
      <c r="M136" s="224">
        <f t="shared" si="15"/>
        <v>0</v>
      </c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  <c r="AH136" s="213"/>
      <c r="AI136" s="213"/>
      <c r="AJ136" s="213"/>
      <c r="AK136" s="213"/>
      <c r="AL136" s="213"/>
    </row>
    <row r="137" spans="1:38" s="208" customFormat="1" x14ac:dyDescent="0.25">
      <c r="A137" s="102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225">
        <v>132</v>
      </c>
      <c r="I137" s="226" t="str">
        <f t="shared" si="13"/>
        <v/>
      </c>
      <c r="J137" s="225" t="e">
        <f t="shared" si="17"/>
        <v>#NUM!</v>
      </c>
      <c r="K137" s="225" t="e">
        <f t="shared" si="14"/>
        <v>#NUM!</v>
      </c>
      <c r="L137" s="225"/>
      <c r="M137" s="227">
        <f t="shared" si="15"/>
        <v>0</v>
      </c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  <c r="AH137" s="213"/>
      <c r="AI137" s="213"/>
      <c r="AJ137" s="213"/>
      <c r="AK137" s="213"/>
      <c r="AL137" s="213"/>
    </row>
    <row r="138" spans="1:38" s="208" customFormat="1" x14ac:dyDescent="0.25">
      <c r="A138" s="103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222">
        <v>133</v>
      </c>
      <c r="I138" s="223" t="str">
        <f t="shared" si="13"/>
        <v/>
      </c>
      <c r="J138" s="222" t="e">
        <f t="shared" si="17"/>
        <v>#NUM!</v>
      </c>
      <c r="K138" s="222" t="e">
        <f t="shared" si="14"/>
        <v>#NUM!</v>
      </c>
      <c r="L138" s="222"/>
      <c r="M138" s="224">
        <f t="shared" si="15"/>
        <v>0</v>
      </c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  <c r="AE138" s="213"/>
      <c r="AF138" s="213"/>
      <c r="AG138" s="213"/>
      <c r="AH138" s="213"/>
      <c r="AI138" s="213"/>
      <c r="AJ138" s="213"/>
      <c r="AK138" s="213"/>
      <c r="AL138" s="213"/>
    </row>
    <row r="139" spans="1:38" s="208" customFormat="1" x14ac:dyDescent="0.25">
      <c r="A139" s="102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225">
        <v>134</v>
      </c>
      <c r="I139" s="226" t="str">
        <f t="shared" si="13"/>
        <v/>
      </c>
      <c r="J139" s="225" t="e">
        <f t="shared" si="17"/>
        <v>#NUM!</v>
      </c>
      <c r="K139" s="225" t="e">
        <f t="shared" si="14"/>
        <v>#NUM!</v>
      </c>
      <c r="L139" s="225"/>
      <c r="M139" s="227">
        <f t="shared" si="15"/>
        <v>0</v>
      </c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F139" s="213"/>
      <c r="AG139" s="213"/>
      <c r="AH139" s="213"/>
      <c r="AI139" s="213"/>
      <c r="AJ139" s="213"/>
      <c r="AK139" s="213"/>
      <c r="AL139" s="213"/>
    </row>
    <row r="140" spans="1:38" s="208" customFormat="1" x14ac:dyDescent="0.25">
      <c r="A140" s="103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222">
        <v>135</v>
      </c>
      <c r="I140" s="223" t="str">
        <f t="shared" si="13"/>
        <v/>
      </c>
      <c r="J140" s="222" t="e">
        <f t="shared" si="17"/>
        <v>#NUM!</v>
      </c>
      <c r="K140" s="222" t="e">
        <f t="shared" si="14"/>
        <v>#NUM!</v>
      </c>
      <c r="L140" s="222"/>
      <c r="M140" s="224">
        <f t="shared" si="15"/>
        <v>0</v>
      </c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  <c r="AH140" s="213"/>
      <c r="AI140" s="213"/>
      <c r="AJ140" s="213"/>
      <c r="AK140" s="213"/>
      <c r="AL140" s="213"/>
    </row>
    <row r="141" spans="1:38" x14ac:dyDescent="0.25">
      <c r="A141" s="239"/>
      <c r="G141" s="208"/>
      <c r="H141" s="225">
        <v>136</v>
      </c>
      <c r="I141" s="223" t="str">
        <f t="shared" si="13"/>
        <v/>
      </c>
      <c r="J141" s="222" t="e">
        <f t="shared" si="17"/>
        <v>#NUM!</v>
      </c>
      <c r="K141" s="222" t="e">
        <f t="shared" si="14"/>
        <v>#NUM!</v>
      </c>
      <c r="L141" s="222"/>
      <c r="M141" s="224">
        <f t="shared" si="15"/>
        <v>0</v>
      </c>
    </row>
    <row r="142" spans="1:38" x14ac:dyDescent="0.25">
      <c r="A142" s="239"/>
      <c r="G142" s="208"/>
      <c r="H142" s="222">
        <v>137</v>
      </c>
      <c r="I142" s="223" t="str">
        <f t="shared" si="13"/>
        <v/>
      </c>
      <c r="J142" s="222" t="e">
        <f t="shared" si="17"/>
        <v>#NUM!</v>
      </c>
      <c r="K142" s="222" t="e">
        <f t="shared" si="14"/>
        <v>#NUM!</v>
      </c>
      <c r="L142" s="222"/>
      <c r="M142" s="224">
        <f t="shared" si="15"/>
        <v>0</v>
      </c>
    </row>
    <row r="143" spans="1:38" x14ac:dyDescent="0.25">
      <c r="A143" s="239"/>
      <c r="G143" s="208"/>
      <c r="H143" s="225">
        <v>138</v>
      </c>
      <c r="I143" s="223" t="str">
        <f t="shared" si="13"/>
        <v/>
      </c>
      <c r="J143" s="222" t="e">
        <f t="shared" si="17"/>
        <v>#NUM!</v>
      </c>
      <c r="K143" s="222" t="e">
        <f t="shared" si="14"/>
        <v>#NUM!</v>
      </c>
      <c r="L143" s="222"/>
      <c r="M143" s="224">
        <f t="shared" si="15"/>
        <v>0</v>
      </c>
    </row>
    <row r="144" spans="1:38" x14ac:dyDescent="0.25">
      <c r="A144" s="239"/>
      <c r="G144" s="208"/>
      <c r="H144" s="222">
        <v>139</v>
      </c>
      <c r="I144" s="223" t="str">
        <f t="shared" si="13"/>
        <v/>
      </c>
      <c r="J144" s="222" t="e">
        <f t="shared" si="17"/>
        <v>#NUM!</v>
      </c>
      <c r="K144" s="222" t="e">
        <f t="shared" si="14"/>
        <v>#NUM!</v>
      </c>
      <c r="L144" s="222"/>
      <c r="M144" s="224">
        <f t="shared" si="15"/>
        <v>0</v>
      </c>
    </row>
    <row r="145" spans="1:13" x14ac:dyDescent="0.25">
      <c r="A145" s="239"/>
      <c r="G145" s="208"/>
      <c r="H145" s="225">
        <v>140</v>
      </c>
      <c r="I145" s="223" t="str">
        <f t="shared" si="13"/>
        <v/>
      </c>
      <c r="J145" s="222" t="e">
        <f t="shared" si="17"/>
        <v>#NUM!</v>
      </c>
      <c r="K145" s="222" t="e">
        <f t="shared" si="14"/>
        <v>#NUM!</v>
      </c>
      <c r="L145" s="222"/>
      <c r="M145" s="224">
        <f t="shared" si="15"/>
        <v>0</v>
      </c>
    </row>
    <row r="146" spans="1:13" x14ac:dyDescent="0.25">
      <c r="A146" s="239"/>
      <c r="G146" s="208"/>
      <c r="H146" s="222">
        <v>141</v>
      </c>
      <c r="I146" s="223" t="str">
        <f t="shared" si="13"/>
        <v/>
      </c>
      <c r="J146" s="222" t="e">
        <f t="shared" si="17"/>
        <v>#NUM!</v>
      </c>
      <c r="K146" s="222" t="e">
        <f t="shared" si="14"/>
        <v>#NUM!</v>
      </c>
      <c r="L146" s="222"/>
      <c r="M146" s="224">
        <f t="shared" si="15"/>
        <v>0</v>
      </c>
    </row>
    <row r="147" spans="1:13" x14ac:dyDescent="0.25">
      <c r="A147" s="239"/>
      <c r="G147" s="208"/>
      <c r="H147" s="225">
        <v>142</v>
      </c>
      <c r="I147" s="223" t="str">
        <f t="shared" si="13"/>
        <v/>
      </c>
      <c r="J147" s="222" t="e">
        <f t="shared" si="17"/>
        <v>#NUM!</v>
      </c>
      <c r="K147" s="222" t="e">
        <f t="shared" si="14"/>
        <v>#NUM!</v>
      </c>
      <c r="L147" s="222"/>
      <c r="M147" s="224">
        <f t="shared" si="15"/>
        <v>0</v>
      </c>
    </row>
    <row r="148" spans="1:13" x14ac:dyDescent="0.25">
      <c r="A148" s="239"/>
      <c r="G148" s="208"/>
      <c r="H148" s="222">
        <v>143</v>
      </c>
      <c r="I148" s="223" t="str">
        <f t="shared" si="13"/>
        <v/>
      </c>
      <c r="J148" s="222" t="e">
        <f t="shared" si="17"/>
        <v>#NUM!</v>
      </c>
      <c r="K148" s="222" t="e">
        <f t="shared" si="14"/>
        <v>#NUM!</v>
      </c>
      <c r="L148" s="222"/>
      <c r="M148" s="224">
        <f t="shared" si="15"/>
        <v>0</v>
      </c>
    </row>
    <row r="149" spans="1:13" x14ac:dyDescent="0.25">
      <c r="A149" s="239"/>
      <c r="G149" s="208"/>
      <c r="H149" s="225">
        <v>144</v>
      </c>
      <c r="I149" s="223" t="str">
        <f t="shared" si="13"/>
        <v/>
      </c>
      <c r="J149" s="222" t="e">
        <f t="shared" si="17"/>
        <v>#NUM!</v>
      </c>
      <c r="K149" s="222" t="e">
        <f t="shared" si="14"/>
        <v>#NUM!</v>
      </c>
      <c r="L149" s="222"/>
      <c r="M149" s="224">
        <f t="shared" si="15"/>
        <v>0</v>
      </c>
    </row>
    <row r="150" spans="1:13" x14ac:dyDescent="0.25">
      <c r="A150" s="239"/>
      <c r="G150" s="208"/>
      <c r="H150" s="222">
        <v>145</v>
      </c>
      <c r="I150" s="223" t="str">
        <f t="shared" si="13"/>
        <v/>
      </c>
      <c r="J150" s="222" t="e">
        <f t="shared" si="17"/>
        <v>#NUM!</v>
      </c>
      <c r="K150" s="222" t="e">
        <f t="shared" si="14"/>
        <v>#NUM!</v>
      </c>
      <c r="L150" s="222"/>
      <c r="M150" s="224">
        <f t="shared" si="15"/>
        <v>0</v>
      </c>
    </row>
    <row r="151" spans="1:13" x14ac:dyDescent="0.25">
      <c r="A151" s="239"/>
      <c r="G151" s="208"/>
      <c r="H151" s="225">
        <v>146</v>
      </c>
      <c r="I151" s="223" t="str">
        <f t="shared" si="13"/>
        <v/>
      </c>
      <c r="J151" s="222" t="e">
        <f t="shared" si="17"/>
        <v>#NUM!</v>
      </c>
      <c r="K151" s="222" t="e">
        <f t="shared" si="14"/>
        <v>#NUM!</v>
      </c>
      <c r="L151" s="222"/>
      <c r="M151" s="224">
        <f t="shared" si="15"/>
        <v>0</v>
      </c>
    </row>
    <row r="152" spans="1:13" x14ac:dyDescent="0.25">
      <c r="A152" s="239"/>
      <c r="G152" s="208"/>
      <c r="H152" s="222">
        <v>147</v>
      </c>
      <c r="I152" s="223" t="str">
        <f t="shared" si="13"/>
        <v/>
      </c>
      <c r="J152" s="222" t="e">
        <f t="shared" si="17"/>
        <v>#NUM!</v>
      </c>
      <c r="K152" s="222" t="e">
        <f t="shared" si="14"/>
        <v>#NUM!</v>
      </c>
      <c r="L152" s="222"/>
      <c r="M152" s="224">
        <f t="shared" si="15"/>
        <v>0</v>
      </c>
    </row>
    <row r="153" spans="1:13" x14ac:dyDescent="0.25">
      <c r="A153" s="239"/>
      <c r="G153" s="208"/>
      <c r="H153" s="225">
        <v>148</v>
      </c>
      <c r="I153" s="223" t="str">
        <f t="shared" si="13"/>
        <v/>
      </c>
      <c r="J153" s="222" t="e">
        <f t="shared" si="17"/>
        <v>#NUM!</v>
      </c>
      <c r="K153" s="222" t="e">
        <f t="shared" si="14"/>
        <v>#NUM!</v>
      </c>
      <c r="L153" s="222"/>
      <c r="M153" s="224">
        <f t="shared" si="15"/>
        <v>0</v>
      </c>
    </row>
    <row r="154" spans="1:13" x14ac:dyDescent="0.25">
      <c r="A154" s="239"/>
      <c r="G154" s="208"/>
      <c r="H154" s="222">
        <v>149</v>
      </c>
      <c r="I154" s="223" t="str">
        <f t="shared" si="13"/>
        <v/>
      </c>
      <c r="J154" s="222" t="e">
        <f t="shared" si="17"/>
        <v>#NUM!</v>
      </c>
      <c r="K154" s="222" t="e">
        <f t="shared" si="14"/>
        <v>#NUM!</v>
      </c>
      <c r="L154" s="222"/>
      <c r="M154" s="224">
        <f t="shared" si="15"/>
        <v>0</v>
      </c>
    </row>
    <row r="155" spans="1:13" x14ac:dyDescent="0.25">
      <c r="A155" s="239"/>
      <c r="G155" s="208"/>
      <c r="H155" s="225">
        <v>150</v>
      </c>
      <c r="I155" s="223" t="str">
        <f t="shared" si="13"/>
        <v/>
      </c>
      <c r="J155" s="222" t="e">
        <f t="shared" si="17"/>
        <v>#NUM!</v>
      </c>
      <c r="K155" s="222" t="e">
        <f t="shared" si="14"/>
        <v>#NUM!</v>
      </c>
      <c r="L155" s="222"/>
      <c r="M155" s="224">
        <f t="shared" si="15"/>
        <v>0</v>
      </c>
    </row>
    <row r="156" spans="1:13" x14ac:dyDescent="0.25">
      <c r="A156" s="239"/>
      <c r="G156" s="208"/>
      <c r="H156" s="222">
        <v>151</v>
      </c>
      <c r="I156" s="223" t="str">
        <f t="shared" si="13"/>
        <v/>
      </c>
      <c r="J156" s="222" t="e">
        <f t="shared" si="17"/>
        <v>#NUM!</v>
      </c>
      <c r="K156" s="222" t="e">
        <f t="shared" si="14"/>
        <v>#NUM!</v>
      </c>
      <c r="L156" s="222"/>
      <c r="M156" s="224">
        <f t="shared" si="15"/>
        <v>0</v>
      </c>
    </row>
    <row r="157" spans="1:13" x14ac:dyDescent="0.25">
      <c r="A157" s="239"/>
      <c r="G157" s="208"/>
      <c r="H157" s="225">
        <v>152</v>
      </c>
      <c r="I157" s="223" t="str">
        <f t="shared" si="13"/>
        <v/>
      </c>
      <c r="J157" s="222" t="e">
        <f t="shared" si="17"/>
        <v>#NUM!</v>
      </c>
      <c r="K157" s="222" t="e">
        <f t="shared" si="14"/>
        <v>#NUM!</v>
      </c>
      <c r="L157" s="222"/>
      <c r="M157" s="224">
        <f t="shared" si="15"/>
        <v>0</v>
      </c>
    </row>
    <row r="158" spans="1:13" x14ac:dyDescent="0.25">
      <c r="A158" s="239"/>
      <c r="G158" s="208"/>
      <c r="H158" s="222">
        <v>153</v>
      </c>
      <c r="I158" s="223" t="str">
        <f t="shared" si="13"/>
        <v/>
      </c>
      <c r="J158" s="222" t="e">
        <f t="shared" si="17"/>
        <v>#NUM!</v>
      </c>
      <c r="K158" s="222" t="e">
        <f t="shared" si="14"/>
        <v>#NUM!</v>
      </c>
      <c r="L158" s="222"/>
      <c r="M158" s="224">
        <f t="shared" si="15"/>
        <v>0</v>
      </c>
    </row>
    <row r="159" spans="1:13" x14ac:dyDescent="0.25">
      <c r="A159" s="239"/>
      <c r="G159" s="208"/>
      <c r="H159" s="225">
        <v>154</v>
      </c>
      <c r="I159" s="223" t="str">
        <f t="shared" si="13"/>
        <v/>
      </c>
      <c r="J159" s="222" t="e">
        <f t="shared" si="17"/>
        <v>#NUM!</v>
      </c>
      <c r="K159" s="222" t="e">
        <f t="shared" si="14"/>
        <v>#NUM!</v>
      </c>
      <c r="L159" s="222"/>
      <c r="M159" s="224">
        <f t="shared" si="15"/>
        <v>0</v>
      </c>
    </row>
    <row r="160" spans="1:13" x14ac:dyDescent="0.25">
      <c r="A160" s="239"/>
      <c r="G160" s="208"/>
      <c r="H160" s="222">
        <v>155</v>
      </c>
      <c r="I160" s="223" t="str">
        <f t="shared" si="13"/>
        <v/>
      </c>
      <c r="J160" s="222" t="e">
        <f t="shared" si="17"/>
        <v>#NUM!</v>
      </c>
      <c r="K160" s="222" t="e">
        <f t="shared" si="14"/>
        <v>#NUM!</v>
      </c>
      <c r="L160" s="222"/>
      <c r="M160" s="224">
        <f t="shared" si="15"/>
        <v>0</v>
      </c>
    </row>
    <row r="161" spans="1:13" x14ac:dyDescent="0.25">
      <c r="A161" s="239"/>
      <c r="G161" s="208"/>
      <c r="H161" s="225">
        <v>156</v>
      </c>
      <c r="I161" s="223" t="str">
        <f t="shared" si="13"/>
        <v/>
      </c>
      <c r="J161" s="222" t="e">
        <f t="shared" si="17"/>
        <v>#NUM!</v>
      </c>
      <c r="K161" s="222" t="e">
        <f t="shared" si="14"/>
        <v>#NUM!</v>
      </c>
      <c r="L161" s="222"/>
      <c r="M161" s="224">
        <f t="shared" si="15"/>
        <v>0</v>
      </c>
    </row>
    <row r="162" spans="1:13" x14ac:dyDescent="0.25">
      <c r="A162" s="239"/>
      <c r="G162" s="208"/>
      <c r="H162" s="222">
        <v>157</v>
      </c>
      <c r="I162" s="223" t="str">
        <f t="shared" si="13"/>
        <v/>
      </c>
      <c r="J162" s="222" t="e">
        <f t="shared" si="17"/>
        <v>#NUM!</v>
      </c>
      <c r="K162" s="222" t="e">
        <f t="shared" si="14"/>
        <v>#NUM!</v>
      </c>
      <c r="L162" s="222"/>
      <c r="M162" s="224">
        <f t="shared" si="15"/>
        <v>0</v>
      </c>
    </row>
    <row r="163" spans="1:13" x14ac:dyDescent="0.25">
      <c r="A163" s="239"/>
      <c r="G163" s="208"/>
      <c r="H163" s="225">
        <v>158</v>
      </c>
      <c r="I163" s="223" t="str">
        <f t="shared" si="13"/>
        <v/>
      </c>
      <c r="J163" s="222" t="e">
        <f t="shared" si="17"/>
        <v>#NUM!</v>
      </c>
      <c r="K163" s="222" t="e">
        <f t="shared" si="14"/>
        <v>#NUM!</v>
      </c>
      <c r="L163" s="222"/>
      <c r="M163" s="224">
        <f t="shared" si="15"/>
        <v>0</v>
      </c>
    </row>
    <row r="164" spans="1:13" x14ac:dyDescent="0.25">
      <c r="A164" s="239"/>
      <c r="G164" s="208"/>
      <c r="H164" s="222">
        <v>159</v>
      </c>
      <c r="I164" s="223" t="str">
        <f t="shared" si="13"/>
        <v/>
      </c>
      <c r="J164" s="222" t="e">
        <f t="shared" si="17"/>
        <v>#NUM!</v>
      </c>
      <c r="K164" s="222" t="e">
        <f t="shared" si="14"/>
        <v>#NUM!</v>
      </c>
      <c r="L164" s="222"/>
      <c r="M164" s="224">
        <f t="shared" si="15"/>
        <v>0</v>
      </c>
    </row>
    <row r="165" spans="1:13" x14ac:dyDescent="0.25">
      <c r="A165" s="239"/>
      <c r="G165" s="208"/>
      <c r="H165" s="225">
        <v>160</v>
      </c>
      <c r="I165" s="223" t="str">
        <f t="shared" si="13"/>
        <v/>
      </c>
      <c r="J165" s="222" t="e">
        <f t="shared" si="17"/>
        <v>#NUM!</v>
      </c>
      <c r="K165" s="222" t="e">
        <f t="shared" si="14"/>
        <v>#NUM!</v>
      </c>
      <c r="L165" s="222"/>
      <c r="M165" s="224">
        <f t="shared" si="15"/>
        <v>0</v>
      </c>
    </row>
    <row r="166" spans="1:13" x14ac:dyDescent="0.25">
      <c r="A166" s="239"/>
      <c r="G166" s="208"/>
      <c r="H166" s="222">
        <v>161</v>
      </c>
      <c r="I166" s="223" t="str">
        <f t="shared" si="13"/>
        <v/>
      </c>
      <c r="J166" s="222" t="e">
        <f t="shared" si="17"/>
        <v>#NUM!</v>
      </c>
      <c r="K166" s="222" t="e">
        <f t="shared" si="14"/>
        <v>#NUM!</v>
      </c>
      <c r="L166" s="222"/>
      <c r="M166" s="224">
        <f t="shared" si="15"/>
        <v>0</v>
      </c>
    </row>
    <row r="167" spans="1:13" x14ac:dyDescent="0.25">
      <c r="A167" s="239"/>
      <c r="G167" s="208"/>
      <c r="H167" s="225">
        <v>162</v>
      </c>
      <c r="I167" s="223" t="str">
        <f t="shared" si="13"/>
        <v/>
      </c>
      <c r="J167" s="222" t="e">
        <f t="shared" si="17"/>
        <v>#NUM!</v>
      </c>
      <c r="K167" s="222" t="e">
        <f t="shared" si="14"/>
        <v>#NUM!</v>
      </c>
      <c r="L167" s="222"/>
      <c r="M167" s="224">
        <f t="shared" si="15"/>
        <v>0</v>
      </c>
    </row>
    <row r="168" spans="1:13" x14ac:dyDescent="0.25">
      <c r="A168" s="239"/>
      <c r="G168" s="208"/>
      <c r="H168" s="222">
        <v>163</v>
      </c>
      <c r="I168" s="223" t="str">
        <f t="shared" si="13"/>
        <v/>
      </c>
      <c r="J168" s="222" t="e">
        <f t="shared" si="17"/>
        <v>#NUM!</v>
      </c>
      <c r="K168" s="222" t="e">
        <f t="shared" si="14"/>
        <v>#NUM!</v>
      </c>
      <c r="L168" s="222"/>
      <c r="M168" s="224">
        <f t="shared" si="15"/>
        <v>0</v>
      </c>
    </row>
    <row r="169" spans="1:13" x14ac:dyDescent="0.25">
      <c r="A169" s="239"/>
      <c r="C169" s="238" t="s">
        <v>42</v>
      </c>
      <c r="G169" s="208"/>
      <c r="H169" s="225">
        <v>164</v>
      </c>
      <c r="I169" s="223" t="str">
        <f t="shared" si="13"/>
        <v/>
      </c>
      <c r="J169" s="222" t="e">
        <f t="shared" si="17"/>
        <v>#NUM!</v>
      </c>
      <c r="K169" s="222" t="e">
        <f t="shared" si="14"/>
        <v>#NUM!</v>
      </c>
      <c r="L169" s="222"/>
      <c r="M169" s="224">
        <f t="shared" si="15"/>
        <v>0</v>
      </c>
    </row>
    <row r="170" spans="1:13" x14ac:dyDescent="0.25">
      <c r="A170" s="239"/>
      <c r="G170" s="208"/>
      <c r="H170" s="222">
        <v>165</v>
      </c>
      <c r="I170" s="223" t="str">
        <f t="shared" si="13"/>
        <v/>
      </c>
      <c r="J170" s="222" t="e">
        <f t="shared" si="17"/>
        <v>#NUM!</v>
      </c>
      <c r="K170" s="222" t="e">
        <f t="shared" si="14"/>
        <v>#NUM!</v>
      </c>
      <c r="L170" s="222"/>
      <c r="M170" s="224">
        <f t="shared" si="15"/>
        <v>0</v>
      </c>
    </row>
    <row r="171" spans="1:13" x14ac:dyDescent="0.25">
      <c r="A171" s="239"/>
      <c r="G171" s="208"/>
      <c r="H171" s="225">
        <v>166</v>
      </c>
      <c r="I171" s="223" t="str">
        <f t="shared" si="13"/>
        <v/>
      </c>
      <c r="J171" s="222" t="e">
        <f t="shared" si="17"/>
        <v>#NUM!</v>
      </c>
      <c r="K171" s="222" t="e">
        <f t="shared" si="14"/>
        <v>#NUM!</v>
      </c>
      <c r="L171" s="222"/>
      <c r="M171" s="224">
        <f t="shared" si="15"/>
        <v>0</v>
      </c>
    </row>
    <row r="172" spans="1:13" x14ac:dyDescent="0.25">
      <c r="A172" s="239"/>
      <c r="G172" s="208"/>
      <c r="H172" s="222">
        <v>167</v>
      </c>
      <c r="I172" s="223" t="str">
        <f t="shared" si="13"/>
        <v/>
      </c>
      <c r="J172" s="222" t="e">
        <f t="shared" si="17"/>
        <v>#NUM!</v>
      </c>
      <c r="K172" s="222" t="e">
        <f t="shared" si="14"/>
        <v>#NUM!</v>
      </c>
      <c r="L172" s="222"/>
      <c r="M172" s="224">
        <f t="shared" si="15"/>
        <v>0</v>
      </c>
    </row>
    <row r="173" spans="1:13" x14ac:dyDescent="0.25">
      <c r="A173" s="239"/>
      <c r="G173" s="208"/>
      <c r="H173" s="225">
        <v>168</v>
      </c>
      <c r="I173" s="223" t="str">
        <f t="shared" si="13"/>
        <v/>
      </c>
      <c r="J173" s="222" t="e">
        <f t="shared" si="17"/>
        <v>#NUM!</v>
      </c>
      <c r="K173" s="222" t="e">
        <f t="shared" si="14"/>
        <v>#NUM!</v>
      </c>
      <c r="L173" s="222"/>
      <c r="M173" s="224">
        <f t="shared" si="15"/>
        <v>0</v>
      </c>
    </row>
    <row r="174" spans="1:13" x14ac:dyDescent="0.25">
      <c r="A174" s="239"/>
      <c r="G174" s="208"/>
      <c r="H174" s="222">
        <v>169</v>
      </c>
      <c r="I174" s="223" t="str">
        <f t="shared" si="13"/>
        <v/>
      </c>
      <c r="J174" s="222" t="e">
        <f t="shared" si="17"/>
        <v>#NUM!</v>
      </c>
      <c r="K174" s="222" t="e">
        <f t="shared" si="14"/>
        <v>#NUM!</v>
      </c>
      <c r="L174" s="222"/>
      <c r="M174" s="224">
        <f t="shared" si="15"/>
        <v>0</v>
      </c>
    </row>
    <row r="175" spans="1:13" x14ac:dyDescent="0.25">
      <c r="A175" s="239"/>
      <c r="G175" s="208"/>
      <c r="H175" s="225">
        <v>170</v>
      </c>
      <c r="I175" s="223" t="str">
        <f t="shared" si="13"/>
        <v/>
      </c>
      <c r="J175" s="222" t="e">
        <f t="shared" si="17"/>
        <v>#NUM!</v>
      </c>
      <c r="K175" s="222" t="e">
        <f t="shared" si="14"/>
        <v>#NUM!</v>
      </c>
      <c r="L175" s="222"/>
      <c r="M175" s="224">
        <f t="shared" si="15"/>
        <v>0</v>
      </c>
    </row>
    <row r="176" spans="1:13" x14ac:dyDescent="0.25">
      <c r="A176" s="239"/>
      <c r="G176" s="208"/>
      <c r="H176" s="222">
        <v>171</v>
      </c>
      <c r="I176" s="223" t="str">
        <f t="shared" si="13"/>
        <v/>
      </c>
      <c r="J176" s="222" t="e">
        <f t="shared" si="17"/>
        <v>#NUM!</v>
      </c>
      <c r="K176" s="222" t="e">
        <f t="shared" si="14"/>
        <v>#NUM!</v>
      </c>
      <c r="L176" s="222"/>
      <c r="M176" s="224">
        <f t="shared" si="15"/>
        <v>0</v>
      </c>
    </row>
    <row r="177" spans="1:13" x14ac:dyDescent="0.25">
      <c r="A177" s="239"/>
      <c r="G177" s="208"/>
      <c r="H177" s="225">
        <v>172</v>
      </c>
      <c r="I177" s="223" t="str">
        <f t="shared" si="13"/>
        <v/>
      </c>
      <c r="J177" s="222" t="e">
        <f t="shared" si="17"/>
        <v>#NUM!</v>
      </c>
      <c r="K177" s="222" t="e">
        <f t="shared" si="14"/>
        <v>#NUM!</v>
      </c>
      <c r="L177" s="222"/>
      <c r="M177" s="224">
        <f t="shared" si="15"/>
        <v>0</v>
      </c>
    </row>
    <row r="178" spans="1:13" x14ac:dyDescent="0.25">
      <c r="A178" s="239"/>
      <c r="G178" s="208"/>
      <c r="H178" s="222">
        <v>173</v>
      </c>
      <c r="I178" s="223" t="str">
        <f t="shared" si="13"/>
        <v/>
      </c>
      <c r="J178" s="222" t="e">
        <f t="shared" si="17"/>
        <v>#NUM!</v>
      </c>
      <c r="K178" s="222" t="e">
        <f t="shared" si="14"/>
        <v>#NUM!</v>
      </c>
      <c r="L178" s="222"/>
      <c r="M178" s="224">
        <f t="shared" si="15"/>
        <v>0</v>
      </c>
    </row>
    <row r="179" spans="1:13" x14ac:dyDescent="0.25">
      <c r="A179" s="239"/>
      <c r="G179" s="208"/>
      <c r="H179" s="225">
        <v>174</v>
      </c>
      <c r="I179" s="223" t="str">
        <f t="shared" si="13"/>
        <v/>
      </c>
      <c r="J179" s="222" t="e">
        <f t="shared" si="17"/>
        <v>#NUM!</v>
      </c>
      <c r="K179" s="222" t="e">
        <f t="shared" si="14"/>
        <v>#NUM!</v>
      </c>
      <c r="L179" s="222"/>
      <c r="M179" s="224">
        <f t="shared" si="15"/>
        <v>0</v>
      </c>
    </row>
    <row r="180" spans="1:13" x14ac:dyDescent="0.25">
      <c r="A180" s="239"/>
      <c r="G180" s="208"/>
      <c r="H180" s="222">
        <v>175</v>
      </c>
      <c r="I180" s="223" t="str">
        <f t="shared" si="13"/>
        <v/>
      </c>
      <c r="J180" s="222" t="e">
        <f t="shared" si="17"/>
        <v>#NUM!</v>
      </c>
      <c r="K180" s="222" t="e">
        <f t="shared" si="14"/>
        <v>#NUM!</v>
      </c>
      <c r="L180" s="222"/>
      <c r="M180" s="224">
        <f t="shared" si="15"/>
        <v>0</v>
      </c>
    </row>
    <row r="181" spans="1:13" x14ac:dyDescent="0.25">
      <c r="A181" s="239"/>
      <c r="G181" s="208"/>
      <c r="H181" s="225">
        <v>176</v>
      </c>
      <c r="I181" s="223" t="str">
        <f t="shared" si="13"/>
        <v/>
      </c>
      <c r="J181" s="222" t="e">
        <f t="shared" si="17"/>
        <v>#NUM!</v>
      </c>
      <c r="K181" s="222" t="e">
        <f t="shared" si="14"/>
        <v>#NUM!</v>
      </c>
      <c r="L181" s="222"/>
      <c r="M181" s="224">
        <f t="shared" si="15"/>
        <v>0</v>
      </c>
    </row>
    <row r="182" spans="1:13" x14ac:dyDescent="0.25">
      <c r="A182" s="239"/>
      <c r="G182" s="208"/>
      <c r="H182" s="222">
        <v>177</v>
      </c>
      <c r="I182" s="223" t="str">
        <f t="shared" si="13"/>
        <v/>
      </c>
      <c r="J182" s="222" t="e">
        <f t="shared" si="17"/>
        <v>#NUM!</v>
      </c>
      <c r="K182" s="222" t="e">
        <f t="shared" si="14"/>
        <v>#NUM!</v>
      </c>
      <c r="L182" s="222"/>
      <c r="M182" s="224">
        <f t="shared" si="15"/>
        <v>0</v>
      </c>
    </row>
    <row r="183" spans="1:13" x14ac:dyDescent="0.25">
      <c r="A183" s="239"/>
      <c r="G183" s="208"/>
      <c r="H183" s="225">
        <v>178</v>
      </c>
      <c r="I183" s="223" t="str">
        <f t="shared" si="13"/>
        <v/>
      </c>
      <c r="J183" s="222" t="e">
        <f t="shared" si="17"/>
        <v>#NUM!</v>
      </c>
      <c r="K183" s="222" t="e">
        <f t="shared" si="14"/>
        <v>#NUM!</v>
      </c>
      <c r="L183" s="222"/>
      <c r="M183" s="224">
        <f t="shared" si="15"/>
        <v>0</v>
      </c>
    </row>
    <row r="184" spans="1:13" x14ac:dyDescent="0.25">
      <c r="A184" s="239"/>
      <c r="G184" s="208"/>
      <c r="H184" s="222">
        <v>179</v>
      </c>
      <c r="I184" s="223" t="str">
        <f t="shared" si="13"/>
        <v/>
      </c>
      <c r="J184" s="222" t="e">
        <f t="shared" si="17"/>
        <v>#NUM!</v>
      </c>
      <c r="K184" s="222" t="e">
        <f t="shared" si="14"/>
        <v>#NUM!</v>
      </c>
      <c r="L184" s="222"/>
      <c r="M184" s="224">
        <f t="shared" si="15"/>
        <v>0</v>
      </c>
    </row>
    <row r="185" spans="1:13" x14ac:dyDescent="0.25">
      <c r="A185" s="239"/>
      <c r="G185" s="208"/>
      <c r="H185" s="225">
        <v>180</v>
      </c>
      <c r="I185" s="223" t="str">
        <f t="shared" si="13"/>
        <v/>
      </c>
      <c r="J185" s="222" t="e">
        <f t="shared" si="17"/>
        <v>#NUM!</v>
      </c>
      <c r="K185" s="222" t="e">
        <f t="shared" si="14"/>
        <v>#NUM!</v>
      </c>
      <c r="L185" s="222"/>
      <c r="M185" s="224">
        <f t="shared" si="15"/>
        <v>0</v>
      </c>
    </row>
    <row r="186" spans="1:13" x14ac:dyDescent="0.25">
      <c r="A186" s="239"/>
      <c r="G186" s="208"/>
      <c r="H186" s="222">
        <v>181</v>
      </c>
      <c r="I186" s="223" t="str">
        <f t="shared" si="13"/>
        <v/>
      </c>
      <c r="J186" s="222" t="e">
        <f t="shared" si="17"/>
        <v>#NUM!</v>
      </c>
      <c r="K186" s="222" t="e">
        <f t="shared" si="14"/>
        <v>#NUM!</v>
      </c>
      <c r="L186" s="222"/>
      <c r="M186" s="224">
        <f t="shared" si="15"/>
        <v>0</v>
      </c>
    </row>
    <row r="187" spans="1:13" x14ac:dyDescent="0.25">
      <c r="A187" s="239"/>
      <c r="G187" s="208"/>
      <c r="H187" s="225">
        <v>182</v>
      </c>
      <c r="I187" s="223" t="str">
        <f t="shared" si="13"/>
        <v/>
      </c>
      <c r="J187" s="222" t="e">
        <f t="shared" si="17"/>
        <v>#NUM!</v>
      </c>
      <c r="K187" s="222" t="e">
        <f t="shared" si="14"/>
        <v>#NUM!</v>
      </c>
      <c r="L187" s="222"/>
      <c r="M187" s="224">
        <f t="shared" si="15"/>
        <v>0</v>
      </c>
    </row>
    <row r="188" spans="1:13" x14ac:dyDescent="0.25">
      <c r="A188" s="239"/>
      <c r="G188" s="208"/>
      <c r="H188" s="222">
        <v>183</v>
      </c>
      <c r="I188" s="223" t="str">
        <f t="shared" si="13"/>
        <v/>
      </c>
      <c r="J188" s="222" t="e">
        <f t="shared" si="17"/>
        <v>#NUM!</v>
      </c>
      <c r="K188" s="222" t="e">
        <f t="shared" si="14"/>
        <v>#NUM!</v>
      </c>
      <c r="L188" s="222"/>
      <c r="M188" s="224">
        <f t="shared" si="15"/>
        <v>0</v>
      </c>
    </row>
    <row r="189" spans="1:13" x14ac:dyDescent="0.25">
      <c r="A189" s="239"/>
      <c r="G189" s="208"/>
      <c r="H189" s="225">
        <v>184</v>
      </c>
      <c r="I189" s="223" t="str">
        <f t="shared" si="13"/>
        <v/>
      </c>
      <c r="J189" s="222" t="e">
        <f t="shared" si="17"/>
        <v>#NUM!</v>
      </c>
      <c r="K189" s="222" t="e">
        <f t="shared" si="14"/>
        <v>#NUM!</v>
      </c>
      <c r="L189" s="222"/>
      <c r="M189" s="224">
        <f t="shared" si="15"/>
        <v>0</v>
      </c>
    </row>
    <row r="190" spans="1:13" x14ac:dyDescent="0.25">
      <c r="A190" s="239"/>
      <c r="G190" s="208"/>
      <c r="H190" s="222">
        <v>185</v>
      </c>
      <c r="I190" s="223" t="str">
        <f t="shared" si="13"/>
        <v/>
      </c>
      <c r="J190" s="222" t="e">
        <f t="shared" si="17"/>
        <v>#NUM!</v>
      </c>
      <c r="K190" s="222" t="e">
        <f t="shared" si="14"/>
        <v>#NUM!</v>
      </c>
      <c r="L190" s="222"/>
      <c r="M190" s="224">
        <f t="shared" si="15"/>
        <v>0</v>
      </c>
    </row>
    <row r="191" spans="1:13" x14ac:dyDescent="0.25">
      <c r="A191" s="239"/>
      <c r="G191" s="208"/>
      <c r="H191" s="225">
        <v>186</v>
      </c>
      <c r="I191" s="223" t="str">
        <f t="shared" si="13"/>
        <v/>
      </c>
      <c r="J191" s="222" t="e">
        <f t="shared" si="17"/>
        <v>#NUM!</v>
      </c>
      <c r="K191" s="222" t="e">
        <f t="shared" si="14"/>
        <v>#NUM!</v>
      </c>
      <c r="L191" s="222"/>
      <c r="M191" s="224">
        <f t="shared" si="15"/>
        <v>0</v>
      </c>
    </row>
    <row r="192" spans="1:13" x14ac:dyDescent="0.25">
      <c r="A192" s="239"/>
      <c r="G192" s="208"/>
      <c r="H192" s="222">
        <v>187</v>
      </c>
      <c r="I192" s="223" t="str">
        <f t="shared" si="13"/>
        <v/>
      </c>
      <c r="J192" s="222" t="e">
        <f t="shared" si="17"/>
        <v>#NUM!</v>
      </c>
      <c r="K192" s="222" t="e">
        <f t="shared" si="14"/>
        <v>#NUM!</v>
      </c>
      <c r="L192" s="222"/>
      <c r="M192" s="224">
        <f t="shared" si="15"/>
        <v>0</v>
      </c>
    </row>
    <row r="193" spans="1:13" x14ac:dyDescent="0.25">
      <c r="A193" s="239"/>
      <c r="G193" s="208"/>
      <c r="H193" s="225">
        <v>188</v>
      </c>
      <c r="I193" s="223" t="str">
        <f t="shared" si="13"/>
        <v/>
      </c>
      <c r="J193" s="222" t="e">
        <f t="shared" si="17"/>
        <v>#NUM!</v>
      </c>
      <c r="K193" s="222" t="e">
        <f t="shared" si="14"/>
        <v>#NUM!</v>
      </c>
      <c r="L193" s="222"/>
      <c r="M193" s="224">
        <f t="shared" si="15"/>
        <v>0</v>
      </c>
    </row>
    <row r="194" spans="1:13" x14ac:dyDescent="0.25">
      <c r="A194" s="239"/>
      <c r="G194" s="208"/>
      <c r="H194" s="222">
        <v>189</v>
      </c>
      <c r="I194" s="223" t="str">
        <f t="shared" si="13"/>
        <v/>
      </c>
      <c r="J194" s="222" t="e">
        <f t="shared" si="17"/>
        <v>#NUM!</v>
      </c>
      <c r="K194" s="222" t="e">
        <f t="shared" si="14"/>
        <v>#NUM!</v>
      </c>
      <c r="L194" s="222"/>
      <c r="M194" s="224">
        <f t="shared" si="15"/>
        <v>0</v>
      </c>
    </row>
    <row r="195" spans="1:13" x14ac:dyDescent="0.25">
      <c r="A195" s="239"/>
      <c r="G195" s="208"/>
      <c r="H195" s="225">
        <v>190</v>
      </c>
      <c r="I195" s="223" t="str">
        <f t="shared" si="13"/>
        <v/>
      </c>
      <c r="J195" s="222" t="e">
        <f t="shared" si="17"/>
        <v>#NUM!</v>
      </c>
      <c r="K195" s="222" t="e">
        <f t="shared" si="14"/>
        <v>#NUM!</v>
      </c>
      <c r="L195" s="222"/>
      <c r="M195" s="224">
        <f t="shared" si="15"/>
        <v>0</v>
      </c>
    </row>
    <row r="196" spans="1:13" x14ac:dyDescent="0.25">
      <c r="A196" s="239"/>
      <c r="G196" s="208"/>
      <c r="H196" s="222">
        <v>191</v>
      </c>
      <c r="I196" s="223" t="str">
        <f t="shared" si="13"/>
        <v/>
      </c>
      <c r="J196" s="222" t="e">
        <f t="shared" si="17"/>
        <v>#NUM!</v>
      </c>
      <c r="K196" s="222" t="e">
        <f t="shared" si="14"/>
        <v>#NUM!</v>
      </c>
      <c r="L196" s="222"/>
      <c r="M196" s="224">
        <f t="shared" si="15"/>
        <v>0</v>
      </c>
    </row>
    <row r="197" spans="1:13" x14ac:dyDescent="0.25">
      <c r="A197" s="239"/>
      <c r="G197" s="208"/>
      <c r="H197" s="225">
        <v>192</v>
      </c>
      <c r="I197" s="223" t="str">
        <f t="shared" si="13"/>
        <v/>
      </c>
      <c r="J197" s="222" t="e">
        <f t="shared" si="17"/>
        <v>#NUM!</v>
      </c>
      <c r="K197" s="222" t="e">
        <f t="shared" si="14"/>
        <v>#NUM!</v>
      </c>
      <c r="L197" s="222"/>
      <c r="M197" s="224">
        <f t="shared" si="15"/>
        <v>0</v>
      </c>
    </row>
    <row r="198" spans="1:13" x14ac:dyDescent="0.25">
      <c r="A198" s="239"/>
      <c r="G198" s="208"/>
      <c r="H198" s="222">
        <v>193</v>
      </c>
      <c r="I198" s="223" t="str">
        <f t="shared" ref="I198:I261" si="18">IF(H198&lt;$H$2+1,($I$2-($I$2-1)*(LOG(H198)/LOG($H$2))),"")</f>
        <v/>
      </c>
      <c r="J198" s="222" t="e">
        <f t="shared" si="17"/>
        <v>#NUM!</v>
      </c>
      <c r="K198" s="222" t="e">
        <f t="shared" ref="K198:K261" si="19">J198*$J$2</f>
        <v>#NUM!</v>
      </c>
      <c r="L198" s="222"/>
      <c r="M198" s="224">
        <f t="shared" ref="M198:M261" si="20">IF(I198&lt;&gt;"",K198+I198+L198,0)</f>
        <v>0</v>
      </c>
    </row>
    <row r="199" spans="1:13" x14ac:dyDescent="0.25">
      <c r="A199" s="239"/>
      <c r="G199" s="208"/>
      <c r="H199" s="225">
        <v>194</v>
      </c>
      <c r="I199" s="223" t="str">
        <f t="shared" si="18"/>
        <v/>
      </c>
      <c r="J199" s="222" t="e">
        <f t="shared" ref="J199:J262" si="21">INT(LOG($H$2,2))-ROUNDUP(LOG(H199,2),0)+IF(OR($H$2=1,$H$2=2,$H$2=4,$H$2=8,$H$2=16,$H$2=32,$H$2=64,$H$2=128,$H$2=256),0,1)</f>
        <v>#NUM!</v>
      </c>
      <c r="K199" s="222" t="e">
        <f t="shared" si="19"/>
        <v>#NUM!</v>
      </c>
      <c r="L199" s="222"/>
      <c r="M199" s="224">
        <f t="shared" si="20"/>
        <v>0</v>
      </c>
    </row>
    <row r="200" spans="1:13" x14ac:dyDescent="0.25">
      <c r="A200" s="239"/>
      <c r="G200" s="208"/>
      <c r="H200" s="222">
        <v>195</v>
      </c>
      <c r="I200" s="223" t="str">
        <f t="shared" si="18"/>
        <v/>
      </c>
      <c r="J200" s="222" t="e">
        <f t="shared" si="21"/>
        <v>#NUM!</v>
      </c>
      <c r="K200" s="222" t="e">
        <f t="shared" si="19"/>
        <v>#NUM!</v>
      </c>
      <c r="L200" s="222"/>
      <c r="M200" s="224">
        <f t="shared" si="20"/>
        <v>0</v>
      </c>
    </row>
    <row r="201" spans="1:13" x14ac:dyDescent="0.25">
      <c r="A201" s="239"/>
      <c r="G201" s="208"/>
      <c r="H201" s="225">
        <v>196</v>
      </c>
      <c r="I201" s="223" t="str">
        <f t="shared" si="18"/>
        <v/>
      </c>
      <c r="J201" s="222" t="e">
        <f t="shared" si="21"/>
        <v>#NUM!</v>
      </c>
      <c r="K201" s="222" t="e">
        <f t="shared" si="19"/>
        <v>#NUM!</v>
      </c>
      <c r="L201" s="222"/>
      <c r="M201" s="224">
        <f t="shared" si="20"/>
        <v>0</v>
      </c>
    </row>
    <row r="202" spans="1:13" x14ac:dyDescent="0.25">
      <c r="A202" s="239"/>
      <c r="G202" s="208"/>
      <c r="H202" s="222">
        <v>197</v>
      </c>
      <c r="I202" s="223" t="str">
        <f t="shared" si="18"/>
        <v/>
      </c>
      <c r="J202" s="222" t="e">
        <f t="shared" si="21"/>
        <v>#NUM!</v>
      </c>
      <c r="K202" s="222" t="e">
        <f t="shared" si="19"/>
        <v>#NUM!</v>
      </c>
      <c r="L202" s="222"/>
      <c r="M202" s="224">
        <f t="shared" si="20"/>
        <v>0</v>
      </c>
    </row>
    <row r="203" spans="1:13" x14ac:dyDescent="0.25">
      <c r="A203" s="239"/>
      <c r="G203" s="208"/>
      <c r="H203" s="225">
        <v>198</v>
      </c>
      <c r="I203" s="223" t="str">
        <f t="shared" si="18"/>
        <v/>
      </c>
      <c r="J203" s="222" t="e">
        <f t="shared" si="21"/>
        <v>#NUM!</v>
      </c>
      <c r="K203" s="222" t="e">
        <f t="shared" si="19"/>
        <v>#NUM!</v>
      </c>
      <c r="L203" s="222"/>
      <c r="M203" s="224">
        <f t="shared" si="20"/>
        <v>0</v>
      </c>
    </row>
    <row r="204" spans="1:13" x14ac:dyDescent="0.25">
      <c r="A204" s="239"/>
      <c r="G204" s="208"/>
      <c r="H204" s="222">
        <v>199</v>
      </c>
      <c r="I204" s="223" t="str">
        <f t="shared" si="18"/>
        <v/>
      </c>
      <c r="J204" s="222" t="e">
        <f t="shared" si="21"/>
        <v>#NUM!</v>
      </c>
      <c r="K204" s="222" t="e">
        <f t="shared" si="19"/>
        <v>#NUM!</v>
      </c>
      <c r="L204" s="222"/>
      <c r="M204" s="224">
        <f t="shared" si="20"/>
        <v>0</v>
      </c>
    </row>
    <row r="205" spans="1:13" x14ac:dyDescent="0.25">
      <c r="A205" s="239"/>
      <c r="G205" s="208"/>
      <c r="H205" s="225">
        <v>200</v>
      </c>
      <c r="I205" s="223" t="str">
        <f t="shared" si="18"/>
        <v/>
      </c>
      <c r="J205" s="222" t="e">
        <f t="shared" si="21"/>
        <v>#NUM!</v>
      </c>
      <c r="K205" s="222" t="e">
        <f t="shared" si="19"/>
        <v>#NUM!</v>
      </c>
      <c r="L205" s="222"/>
      <c r="M205" s="224">
        <f t="shared" si="20"/>
        <v>0</v>
      </c>
    </row>
    <row r="206" spans="1:13" x14ac:dyDescent="0.25">
      <c r="A206" s="239"/>
      <c r="G206" s="208"/>
      <c r="H206" s="222">
        <v>201</v>
      </c>
      <c r="I206" s="223" t="str">
        <f t="shared" si="18"/>
        <v/>
      </c>
      <c r="J206" s="222" t="e">
        <f t="shared" si="21"/>
        <v>#NUM!</v>
      </c>
      <c r="K206" s="222" t="e">
        <f t="shared" si="19"/>
        <v>#NUM!</v>
      </c>
      <c r="L206" s="222"/>
      <c r="M206" s="224">
        <f t="shared" si="20"/>
        <v>0</v>
      </c>
    </row>
    <row r="207" spans="1:13" x14ac:dyDescent="0.25">
      <c r="A207" s="239"/>
      <c r="G207" s="208"/>
      <c r="H207" s="225">
        <v>202</v>
      </c>
      <c r="I207" s="223" t="str">
        <f t="shared" si="18"/>
        <v/>
      </c>
      <c r="J207" s="222" t="e">
        <f t="shared" si="21"/>
        <v>#NUM!</v>
      </c>
      <c r="K207" s="222" t="e">
        <f t="shared" si="19"/>
        <v>#NUM!</v>
      </c>
      <c r="L207" s="222"/>
      <c r="M207" s="224">
        <f t="shared" si="20"/>
        <v>0</v>
      </c>
    </row>
    <row r="208" spans="1:13" x14ac:dyDescent="0.25">
      <c r="A208" s="239"/>
      <c r="G208" s="208"/>
      <c r="H208" s="222">
        <v>203</v>
      </c>
      <c r="I208" s="223" t="str">
        <f t="shared" si="18"/>
        <v/>
      </c>
      <c r="J208" s="222" t="e">
        <f t="shared" si="21"/>
        <v>#NUM!</v>
      </c>
      <c r="K208" s="222" t="e">
        <f t="shared" si="19"/>
        <v>#NUM!</v>
      </c>
      <c r="L208" s="222"/>
      <c r="M208" s="224">
        <f t="shared" si="20"/>
        <v>0</v>
      </c>
    </row>
    <row r="209" spans="1:13" x14ac:dyDescent="0.25">
      <c r="A209" s="239"/>
      <c r="G209" s="208"/>
      <c r="H209" s="225">
        <v>204</v>
      </c>
      <c r="I209" s="223" t="str">
        <f t="shared" si="18"/>
        <v/>
      </c>
      <c r="J209" s="222" t="e">
        <f t="shared" si="21"/>
        <v>#NUM!</v>
      </c>
      <c r="K209" s="222" t="e">
        <f t="shared" si="19"/>
        <v>#NUM!</v>
      </c>
      <c r="L209" s="222"/>
      <c r="M209" s="224">
        <f t="shared" si="20"/>
        <v>0</v>
      </c>
    </row>
    <row r="210" spans="1:13" x14ac:dyDescent="0.25">
      <c r="A210" s="239"/>
      <c r="G210" s="208"/>
      <c r="H210" s="222">
        <v>205</v>
      </c>
      <c r="I210" s="223" t="str">
        <f t="shared" si="18"/>
        <v/>
      </c>
      <c r="J210" s="222" t="e">
        <f t="shared" si="21"/>
        <v>#NUM!</v>
      </c>
      <c r="K210" s="222" t="e">
        <f t="shared" si="19"/>
        <v>#NUM!</v>
      </c>
      <c r="L210" s="222"/>
      <c r="M210" s="224">
        <f t="shared" si="20"/>
        <v>0</v>
      </c>
    </row>
    <row r="211" spans="1:13" x14ac:dyDescent="0.25">
      <c r="A211" s="239"/>
      <c r="G211" s="208"/>
      <c r="H211" s="225">
        <v>206</v>
      </c>
      <c r="I211" s="223" t="str">
        <f t="shared" si="18"/>
        <v/>
      </c>
      <c r="J211" s="222" t="e">
        <f t="shared" si="21"/>
        <v>#NUM!</v>
      </c>
      <c r="K211" s="222" t="e">
        <f t="shared" si="19"/>
        <v>#NUM!</v>
      </c>
      <c r="L211" s="222"/>
      <c r="M211" s="224">
        <f t="shared" si="20"/>
        <v>0</v>
      </c>
    </row>
    <row r="212" spans="1:13" x14ac:dyDescent="0.25">
      <c r="A212" s="239"/>
      <c r="G212" s="208"/>
      <c r="H212" s="222">
        <v>207</v>
      </c>
      <c r="I212" s="223" t="str">
        <f t="shared" si="18"/>
        <v/>
      </c>
      <c r="J212" s="222" t="e">
        <f t="shared" si="21"/>
        <v>#NUM!</v>
      </c>
      <c r="K212" s="222" t="e">
        <f t="shared" si="19"/>
        <v>#NUM!</v>
      </c>
      <c r="L212" s="222"/>
      <c r="M212" s="224">
        <f t="shared" si="20"/>
        <v>0</v>
      </c>
    </row>
    <row r="213" spans="1:13" x14ac:dyDescent="0.25">
      <c r="A213" s="239"/>
      <c r="G213" s="208"/>
      <c r="H213" s="225">
        <v>208</v>
      </c>
      <c r="I213" s="223" t="str">
        <f t="shared" si="18"/>
        <v/>
      </c>
      <c r="J213" s="222" t="e">
        <f t="shared" si="21"/>
        <v>#NUM!</v>
      </c>
      <c r="K213" s="222" t="e">
        <f t="shared" si="19"/>
        <v>#NUM!</v>
      </c>
      <c r="L213" s="222"/>
      <c r="M213" s="224">
        <f t="shared" si="20"/>
        <v>0</v>
      </c>
    </row>
    <row r="214" spans="1:13" x14ac:dyDescent="0.25">
      <c r="A214" s="239"/>
      <c r="G214" s="208"/>
      <c r="H214" s="222">
        <v>209</v>
      </c>
      <c r="I214" s="223" t="str">
        <f t="shared" si="18"/>
        <v/>
      </c>
      <c r="J214" s="222" t="e">
        <f t="shared" si="21"/>
        <v>#NUM!</v>
      </c>
      <c r="K214" s="222" t="e">
        <f t="shared" si="19"/>
        <v>#NUM!</v>
      </c>
      <c r="L214" s="222"/>
      <c r="M214" s="224">
        <f t="shared" si="20"/>
        <v>0</v>
      </c>
    </row>
    <row r="215" spans="1:13" x14ac:dyDescent="0.25">
      <c r="A215" s="239"/>
      <c r="G215" s="208"/>
      <c r="H215" s="225">
        <v>210</v>
      </c>
      <c r="I215" s="223" t="str">
        <f t="shared" si="18"/>
        <v/>
      </c>
      <c r="J215" s="222" t="e">
        <f t="shared" si="21"/>
        <v>#NUM!</v>
      </c>
      <c r="K215" s="222" t="e">
        <f t="shared" si="19"/>
        <v>#NUM!</v>
      </c>
      <c r="L215" s="222"/>
      <c r="M215" s="224">
        <f t="shared" si="20"/>
        <v>0</v>
      </c>
    </row>
    <row r="216" spans="1:13" x14ac:dyDescent="0.25">
      <c r="A216" s="239"/>
      <c r="G216" s="208"/>
      <c r="H216" s="222">
        <v>211</v>
      </c>
      <c r="I216" s="223" t="str">
        <f t="shared" si="18"/>
        <v/>
      </c>
      <c r="J216" s="222" t="e">
        <f t="shared" si="21"/>
        <v>#NUM!</v>
      </c>
      <c r="K216" s="222" t="e">
        <f t="shared" si="19"/>
        <v>#NUM!</v>
      </c>
      <c r="L216" s="222"/>
      <c r="M216" s="224">
        <f t="shared" si="20"/>
        <v>0</v>
      </c>
    </row>
    <row r="217" spans="1:13" x14ac:dyDescent="0.25">
      <c r="A217" s="239"/>
      <c r="G217" s="208"/>
      <c r="H217" s="225">
        <v>212</v>
      </c>
      <c r="I217" s="223" t="str">
        <f t="shared" si="18"/>
        <v/>
      </c>
      <c r="J217" s="222" t="e">
        <f t="shared" si="21"/>
        <v>#NUM!</v>
      </c>
      <c r="K217" s="222" t="e">
        <f t="shared" si="19"/>
        <v>#NUM!</v>
      </c>
      <c r="L217" s="222"/>
      <c r="M217" s="224">
        <f t="shared" si="20"/>
        <v>0</v>
      </c>
    </row>
    <row r="218" spans="1:13" x14ac:dyDescent="0.25">
      <c r="A218" s="239"/>
      <c r="G218" s="208"/>
      <c r="H218" s="222">
        <v>213</v>
      </c>
      <c r="I218" s="223" t="str">
        <f t="shared" si="18"/>
        <v/>
      </c>
      <c r="J218" s="222" t="e">
        <f t="shared" si="21"/>
        <v>#NUM!</v>
      </c>
      <c r="K218" s="222" t="e">
        <f t="shared" si="19"/>
        <v>#NUM!</v>
      </c>
      <c r="L218" s="222"/>
      <c r="M218" s="224">
        <f t="shared" si="20"/>
        <v>0</v>
      </c>
    </row>
    <row r="219" spans="1:13" x14ac:dyDescent="0.25">
      <c r="A219" s="239"/>
      <c r="G219" s="208"/>
      <c r="H219" s="225">
        <v>214</v>
      </c>
      <c r="I219" s="223" t="str">
        <f t="shared" si="18"/>
        <v/>
      </c>
      <c r="J219" s="222" t="e">
        <f t="shared" si="21"/>
        <v>#NUM!</v>
      </c>
      <c r="K219" s="222" t="e">
        <f t="shared" si="19"/>
        <v>#NUM!</v>
      </c>
      <c r="L219" s="222"/>
      <c r="M219" s="224">
        <f t="shared" si="20"/>
        <v>0</v>
      </c>
    </row>
    <row r="220" spans="1:13" x14ac:dyDescent="0.25">
      <c r="A220" s="239"/>
      <c r="G220" s="208"/>
      <c r="H220" s="222">
        <v>215</v>
      </c>
      <c r="I220" s="223" t="str">
        <f t="shared" si="18"/>
        <v/>
      </c>
      <c r="J220" s="222" t="e">
        <f t="shared" si="21"/>
        <v>#NUM!</v>
      </c>
      <c r="K220" s="222" t="e">
        <f t="shared" si="19"/>
        <v>#NUM!</v>
      </c>
      <c r="L220" s="222"/>
      <c r="M220" s="224">
        <f t="shared" si="20"/>
        <v>0</v>
      </c>
    </row>
    <row r="221" spans="1:13" x14ac:dyDescent="0.25">
      <c r="A221" s="239"/>
      <c r="G221" s="208"/>
      <c r="H221" s="225">
        <v>216</v>
      </c>
      <c r="I221" s="223" t="str">
        <f t="shared" si="18"/>
        <v/>
      </c>
      <c r="J221" s="222" t="e">
        <f t="shared" si="21"/>
        <v>#NUM!</v>
      </c>
      <c r="K221" s="222" t="e">
        <f t="shared" si="19"/>
        <v>#NUM!</v>
      </c>
      <c r="L221" s="222"/>
      <c r="M221" s="224">
        <f t="shared" si="20"/>
        <v>0</v>
      </c>
    </row>
    <row r="222" spans="1:13" x14ac:dyDescent="0.25">
      <c r="A222" s="239"/>
      <c r="G222" s="208"/>
      <c r="H222" s="222">
        <v>217</v>
      </c>
      <c r="I222" s="223" t="str">
        <f t="shared" si="18"/>
        <v/>
      </c>
      <c r="J222" s="222" t="e">
        <f t="shared" si="21"/>
        <v>#NUM!</v>
      </c>
      <c r="K222" s="222" t="e">
        <f t="shared" si="19"/>
        <v>#NUM!</v>
      </c>
      <c r="L222" s="222"/>
      <c r="M222" s="224">
        <f t="shared" si="20"/>
        <v>0</v>
      </c>
    </row>
    <row r="223" spans="1:13" x14ac:dyDescent="0.25">
      <c r="A223" s="239"/>
      <c r="G223" s="208"/>
      <c r="H223" s="225">
        <v>218</v>
      </c>
      <c r="I223" s="223" t="str">
        <f t="shared" si="18"/>
        <v/>
      </c>
      <c r="J223" s="222" t="e">
        <f t="shared" si="21"/>
        <v>#NUM!</v>
      </c>
      <c r="K223" s="222" t="e">
        <f t="shared" si="19"/>
        <v>#NUM!</v>
      </c>
      <c r="L223" s="222"/>
      <c r="M223" s="224">
        <f t="shared" si="20"/>
        <v>0</v>
      </c>
    </row>
    <row r="224" spans="1:13" x14ac:dyDescent="0.25">
      <c r="A224" s="239"/>
      <c r="G224" s="208"/>
      <c r="H224" s="222">
        <v>219</v>
      </c>
      <c r="I224" s="223" t="str">
        <f t="shared" si="18"/>
        <v/>
      </c>
      <c r="J224" s="222" t="e">
        <f t="shared" si="21"/>
        <v>#NUM!</v>
      </c>
      <c r="K224" s="222" t="e">
        <f t="shared" si="19"/>
        <v>#NUM!</v>
      </c>
      <c r="L224" s="222"/>
      <c r="M224" s="224">
        <f t="shared" si="20"/>
        <v>0</v>
      </c>
    </row>
    <row r="225" spans="1:13" x14ac:dyDescent="0.25">
      <c r="A225" s="239"/>
      <c r="G225" s="208"/>
      <c r="H225" s="225">
        <v>220</v>
      </c>
      <c r="I225" s="223" t="str">
        <f t="shared" si="18"/>
        <v/>
      </c>
      <c r="J225" s="222" t="e">
        <f t="shared" si="21"/>
        <v>#NUM!</v>
      </c>
      <c r="K225" s="222" t="e">
        <f t="shared" si="19"/>
        <v>#NUM!</v>
      </c>
      <c r="L225" s="222"/>
      <c r="M225" s="224">
        <f t="shared" si="20"/>
        <v>0</v>
      </c>
    </row>
    <row r="226" spans="1:13" x14ac:dyDescent="0.25">
      <c r="A226" s="239"/>
      <c r="G226" s="208"/>
      <c r="H226" s="222">
        <v>221</v>
      </c>
      <c r="I226" s="223" t="str">
        <f t="shared" si="18"/>
        <v/>
      </c>
      <c r="J226" s="222" t="e">
        <f t="shared" si="21"/>
        <v>#NUM!</v>
      </c>
      <c r="K226" s="222" t="e">
        <f t="shared" si="19"/>
        <v>#NUM!</v>
      </c>
      <c r="L226" s="222"/>
      <c r="M226" s="224">
        <f t="shared" si="20"/>
        <v>0</v>
      </c>
    </row>
    <row r="227" spans="1:13" x14ac:dyDescent="0.25">
      <c r="A227" s="239"/>
      <c r="G227" s="208"/>
      <c r="H227" s="225">
        <v>222</v>
      </c>
      <c r="I227" s="223" t="str">
        <f t="shared" si="18"/>
        <v/>
      </c>
      <c r="J227" s="222" t="e">
        <f t="shared" si="21"/>
        <v>#NUM!</v>
      </c>
      <c r="K227" s="222" t="e">
        <f t="shared" si="19"/>
        <v>#NUM!</v>
      </c>
      <c r="L227" s="222"/>
      <c r="M227" s="224">
        <f t="shared" si="20"/>
        <v>0</v>
      </c>
    </row>
    <row r="228" spans="1:13" x14ac:dyDescent="0.25">
      <c r="A228" s="239"/>
      <c r="G228" s="208"/>
      <c r="H228" s="222">
        <v>223</v>
      </c>
      <c r="I228" s="223" t="str">
        <f t="shared" si="18"/>
        <v/>
      </c>
      <c r="J228" s="222" t="e">
        <f t="shared" si="21"/>
        <v>#NUM!</v>
      </c>
      <c r="K228" s="222" t="e">
        <f t="shared" si="19"/>
        <v>#NUM!</v>
      </c>
      <c r="L228" s="222"/>
      <c r="M228" s="224">
        <f t="shared" si="20"/>
        <v>0</v>
      </c>
    </row>
    <row r="229" spans="1:13" x14ac:dyDescent="0.25">
      <c r="A229" s="239"/>
      <c r="G229" s="208"/>
      <c r="H229" s="225">
        <v>224</v>
      </c>
      <c r="I229" s="223" t="str">
        <f t="shared" si="18"/>
        <v/>
      </c>
      <c r="J229" s="222" t="e">
        <f t="shared" si="21"/>
        <v>#NUM!</v>
      </c>
      <c r="K229" s="222" t="e">
        <f t="shared" si="19"/>
        <v>#NUM!</v>
      </c>
      <c r="L229" s="222"/>
      <c r="M229" s="224">
        <f t="shared" si="20"/>
        <v>0</v>
      </c>
    </row>
    <row r="230" spans="1:13" x14ac:dyDescent="0.25">
      <c r="A230" s="239"/>
      <c r="G230" s="208"/>
      <c r="H230" s="222">
        <v>225</v>
      </c>
      <c r="I230" s="223" t="str">
        <f t="shared" si="18"/>
        <v/>
      </c>
      <c r="J230" s="222" t="e">
        <f t="shared" si="21"/>
        <v>#NUM!</v>
      </c>
      <c r="K230" s="222" t="e">
        <f t="shared" si="19"/>
        <v>#NUM!</v>
      </c>
      <c r="L230" s="222"/>
      <c r="M230" s="224">
        <f t="shared" si="20"/>
        <v>0</v>
      </c>
    </row>
    <row r="231" spans="1:13" x14ac:dyDescent="0.25">
      <c r="A231" s="239"/>
      <c r="G231" s="208"/>
      <c r="H231" s="225">
        <v>226</v>
      </c>
      <c r="I231" s="223" t="str">
        <f t="shared" si="18"/>
        <v/>
      </c>
      <c r="J231" s="222" t="e">
        <f t="shared" si="21"/>
        <v>#NUM!</v>
      </c>
      <c r="K231" s="222" t="e">
        <f t="shared" si="19"/>
        <v>#NUM!</v>
      </c>
      <c r="L231" s="222"/>
      <c r="M231" s="224">
        <f t="shared" si="20"/>
        <v>0</v>
      </c>
    </row>
    <row r="232" spans="1:13" x14ac:dyDescent="0.25">
      <c r="A232" s="239"/>
      <c r="G232" s="208"/>
      <c r="H232" s="222">
        <v>227</v>
      </c>
      <c r="I232" s="223" t="str">
        <f t="shared" si="18"/>
        <v/>
      </c>
      <c r="J232" s="222" t="e">
        <f t="shared" si="21"/>
        <v>#NUM!</v>
      </c>
      <c r="K232" s="222" t="e">
        <f t="shared" si="19"/>
        <v>#NUM!</v>
      </c>
      <c r="L232" s="222"/>
      <c r="M232" s="224">
        <f t="shared" si="20"/>
        <v>0</v>
      </c>
    </row>
    <row r="233" spans="1:13" x14ac:dyDescent="0.25">
      <c r="A233" s="239"/>
      <c r="G233" s="208"/>
      <c r="H233" s="225">
        <v>228</v>
      </c>
      <c r="I233" s="223" t="str">
        <f t="shared" si="18"/>
        <v/>
      </c>
      <c r="J233" s="222" t="e">
        <f t="shared" si="21"/>
        <v>#NUM!</v>
      </c>
      <c r="K233" s="222" t="e">
        <f t="shared" si="19"/>
        <v>#NUM!</v>
      </c>
      <c r="L233" s="222"/>
      <c r="M233" s="224">
        <f t="shared" si="20"/>
        <v>0</v>
      </c>
    </row>
    <row r="234" spans="1:13" x14ac:dyDescent="0.25">
      <c r="A234" s="239"/>
      <c r="G234" s="208"/>
      <c r="H234" s="222">
        <v>229</v>
      </c>
      <c r="I234" s="223" t="str">
        <f t="shared" si="18"/>
        <v/>
      </c>
      <c r="J234" s="222" t="e">
        <f t="shared" si="21"/>
        <v>#NUM!</v>
      </c>
      <c r="K234" s="222" t="e">
        <f t="shared" si="19"/>
        <v>#NUM!</v>
      </c>
      <c r="L234" s="222"/>
      <c r="M234" s="224">
        <f t="shared" si="20"/>
        <v>0</v>
      </c>
    </row>
    <row r="235" spans="1:13" x14ac:dyDescent="0.25">
      <c r="A235" s="239"/>
      <c r="G235" s="208"/>
      <c r="H235" s="225">
        <v>230</v>
      </c>
      <c r="I235" s="223" t="str">
        <f t="shared" si="18"/>
        <v/>
      </c>
      <c r="J235" s="222" t="e">
        <f t="shared" si="21"/>
        <v>#NUM!</v>
      </c>
      <c r="K235" s="222" t="e">
        <f t="shared" si="19"/>
        <v>#NUM!</v>
      </c>
      <c r="L235" s="222"/>
      <c r="M235" s="224">
        <f t="shared" si="20"/>
        <v>0</v>
      </c>
    </row>
    <row r="236" spans="1:13" x14ac:dyDescent="0.25">
      <c r="A236" s="239"/>
      <c r="G236" s="208"/>
      <c r="H236" s="222">
        <v>231</v>
      </c>
      <c r="I236" s="223" t="str">
        <f t="shared" si="18"/>
        <v/>
      </c>
      <c r="J236" s="222" t="e">
        <f t="shared" si="21"/>
        <v>#NUM!</v>
      </c>
      <c r="K236" s="222" t="e">
        <f t="shared" si="19"/>
        <v>#NUM!</v>
      </c>
      <c r="L236" s="222"/>
      <c r="M236" s="224">
        <f t="shared" si="20"/>
        <v>0</v>
      </c>
    </row>
    <row r="237" spans="1:13" x14ac:dyDescent="0.25">
      <c r="A237" s="239"/>
      <c r="G237" s="208"/>
      <c r="H237" s="225">
        <v>232</v>
      </c>
      <c r="I237" s="223" t="str">
        <f t="shared" si="18"/>
        <v/>
      </c>
      <c r="J237" s="222" t="e">
        <f t="shared" si="21"/>
        <v>#NUM!</v>
      </c>
      <c r="K237" s="222" t="e">
        <f t="shared" si="19"/>
        <v>#NUM!</v>
      </c>
      <c r="L237" s="222"/>
      <c r="M237" s="224">
        <f t="shared" si="20"/>
        <v>0</v>
      </c>
    </row>
    <row r="238" spans="1:13" x14ac:dyDescent="0.25">
      <c r="A238" s="239"/>
      <c r="G238" s="208"/>
      <c r="H238" s="222">
        <v>233</v>
      </c>
      <c r="I238" s="223" t="str">
        <f t="shared" si="18"/>
        <v/>
      </c>
      <c r="J238" s="222" t="e">
        <f t="shared" si="21"/>
        <v>#NUM!</v>
      </c>
      <c r="K238" s="222" t="e">
        <f t="shared" si="19"/>
        <v>#NUM!</v>
      </c>
      <c r="L238" s="222"/>
      <c r="M238" s="224">
        <f t="shared" si="20"/>
        <v>0</v>
      </c>
    </row>
    <row r="239" spans="1:13" x14ac:dyDescent="0.25">
      <c r="A239" s="239"/>
      <c r="G239" s="208"/>
      <c r="H239" s="225">
        <v>234</v>
      </c>
      <c r="I239" s="223" t="str">
        <f t="shared" si="18"/>
        <v/>
      </c>
      <c r="J239" s="222" t="e">
        <f t="shared" si="21"/>
        <v>#NUM!</v>
      </c>
      <c r="K239" s="222" t="e">
        <f t="shared" si="19"/>
        <v>#NUM!</v>
      </c>
      <c r="L239" s="222"/>
      <c r="M239" s="224">
        <f t="shared" si="20"/>
        <v>0</v>
      </c>
    </row>
    <row r="240" spans="1:13" x14ac:dyDescent="0.25">
      <c r="A240" s="239"/>
      <c r="G240" s="208"/>
      <c r="H240" s="222">
        <v>235</v>
      </c>
      <c r="I240" s="223" t="str">
        <f t="shared" si="18"/>
        <v/>
      </c>
      <c r="J240" s="222" t="e">
        <f t="shared" si="21"/>
        <v>#NUM!</v>
      </c>
      <c r="K240" s="222" t="e">
        <f t="shared" si="19"/>
        <v>#NUM!</v>
      </c>
      <c r="L240" s="222"/>
      <c r="M240" s="224">
        <f t="shared" si="20"/>
        <v>0</v>
      </c>
    </row>
    <row r="241" spans="1:13" x14ac:dyDescent="0.25">
      <c r="A241" s="239"/>
      <c r="G241" s="208"/>
      <c r="H241" s="225">
        <v>236</v>
      </c>
      <c r="I241" s="223" t="str">
        <f t="shared" si="18"/>
        <v/>
      </c>
      <c r="J241" s="222" t="e">
        <f t="shared" si="21"/>
        <v>#NUM!</v>
      </c>
      <c r="K241" s="222" t="e">
        <f t="shared" si="19"/>
        <v>#NUM!</v>
      </c>
      <c r="L241" s="222"/>
      <c r="M241" s="224">
        <f t="shared" si="20"/>
        <v>0</v>
      </c>
    </row>
    <row r="242" spans="1:13" x14ac:dyDescent="0.25">
      <c r="A242" s="239"/>
      <c r="G242" s="208"/>
      <c r="H242" s="222">
        <v>237</v>
      </c>
      <c r="I242" s="223" t="str">
        <f t="shared" si="18"/>
        <v/>
      </c>
      <c r="J242" s="222" t="e">
        <f t="shared" si="21"/>
        <v>#NUM!</v>
      </c>
      <c r="K242" s="222" t="e">
        <f t="shared" si="19"/>
        <v>#NUM!</v>
      </c>
      <c r="L242" s="222"/>
      <c r="M242" s="224">
        <f t="shared" si="20"/>
        <v>0</v>
      </c>
    </row>
    <row r="243" spans="1:13" x14ac:dyDescent="0.25">
      <c r="A243" s="239"/>
      <c r="G243" s="208"/>
      <c r="H243" s="225">
        <v>238</v>
      </c>
      <c r="I243" s="223" t="str">
        <f t="shared" si="18"/>
        <v/>
      </c>
      <c r="J243" s="222" t="e">
        <f t="shared" si="21"/>
        <v>#NUM!</v>
      </c>
      <c r="K243" s="222" t="e">
        <f t="shared" si="19"/>
        <v>#NUM!</v>
      </c>
      <c r="L243" s="222"/>
      <c r="M243" s="224">
        <f t="shared" si="20"/>
        <v>0</v>
      </c>
    </row>
    <row r="244" spans="1:13" x14ac:dyDescent="0.25">
      <c r="A244" s="239"/>
      <c r="G244" s="208"/>
      <c r="H244" s="222">
        <v>239</v>
      </c>
      <c r="I244" s="223" t="str">
        <f t="shared" si="18"/>
        <v/>
      </c>
      <c r="J244" s="222" t="e">
        <f t="shared" si="21"/>
        <v>#NUM!</v>
      </c>
      <c r="K244" s="222" t="e">
        <f t="shared" si="19"/>
        <v>#NUM!</v>
      </c>
      <c r="L244" s="222"/>
      <c r="M244" s="224">
        <f t="shared" si="20"/>
        <v>0</v>
      </c>
    </row>
    <row r="245" spans="1:13" x14ac:dyDescent="0.25">
      <c r="A245" s="239"/>
      <c r="G245" s="208"/>
      <c r="H245" s="225">
        <v>240</v>
      </c>
      <c r="I245" s="223" t="str">
        <f t="shared" si="18"/>
        <v/>
      </c>
      <c r="J245" s="222" t="e">
        <f t="shared" si="21"/>
        <v>#NUM!</v>
      </c>
      <c r="K245" s="222" t="e">
        <f t="shared" si="19"/>
        <v>#NUM!</v>
      </c>
      <c r="L245" s="222"/>
      <c r="M245" s="224">
        <f t="shared" si="20"/>
        <v>0</v>
      </c>
    </row>
    <row r="246" spans="1:13" x14ac:dyDescent="0.25">
      <c r="A246" s="239"/>
      <c r="G246" s="208"/>
      <c r="H246" s="222">
        <v>241</v>
      </c>
      <c r="I246" s="223" t="str">
        <f t="shared" si="18"/>
        <v/>
      </c>
      <c r="J246" s="222" t="e">
        <f t="shared" si="21"/>
        <v>#NUM!</v>
      </c>
      <c r="K246" s="222" t="e">
        <f t="shared" si="19"/>
        <v>#NUM!</v>
      </c>
      <c r="L246" s="222"/>
      <c r="M246" s="224">
        <f t="shared" si="20"/>
        <v>0</v>
      </c>
    </row>
    <row r="247" spans="1:13" x14ac:dyDescent="0.25">
      <c r="A247" s="239"/>
      <c r="G247" s="208"/>
      <c r="H247" s="225">
        <v>242</v>
      </c>
      <c r="I247" s="223" t="str">
        <f t="shared" si="18"/>
        <v/>
      </c>
      <c r="J247" s="222" t="e">
        <f t="shared" si="21"/>
        <v>#NUM!</v>
      </c>
      <c r="K247" s="222" t="e">
        <f t="shared" si="19"/>
        <v>#NUM!</v>
      </c>
      <c r="L247" s="222"/>
      <c r="M247" s="224">
        <f t="shared" si="20"/>
        <v>0</v>
      </c>
    </row>
    <row r="248" spans="1:13" x14ac:dyDescent="0.25">
      <c r="A248" s="239"/>
      <c r="G248" s="208"/>
      <c r="H248" s="222">
        <v>243</v>
      </c>
      <c r="I248" s="223" t="str">
        <f t="shared" si="18"/>
        <v/>
      </c>
      <c r="J248" s="222" t="e">
        <f t="shared" si="21"/>
        <v>#NUM!</v>
      </c>
      <c r="K248" s="222" t="e">
        <f t="shared" si="19"/>
        <v>#NUM!</v>
      </c>
      <c r="L248" s="222"/>
      <c r="M248" s="224">
        <f t="shared" si="20"/>
        <v>0</v>
      </c>
    </row>
    <row r="249" spans="1:13" x14ac:dyDescent="0.25">
      <c r="A249" s="239"/>
      <c r="G249" s="208"/>
      <c r="H249" s="225">
        <v>244</v>
      </c>
      <c r="I249" s="223" t="str">
        <f t="shared" si="18"/>
        <v/>
      </c>
      <c r="J249" s="222" t="e">
        <f t="shared" si="21"/>
        <v>#NUM!</v>
      </c>
      <c r="K249" s="222" t="e">
        <f t="shared" si="19"/>
        <v>#NUM!</v>
      </c>
      <c r="L249" s="222"/>
      <c r="M249" s="224">
        <f t="shared" si="20"/>
        <v>0</v>
      </c>
    </row>
    <row r="250" spans="1:13" x14ac:dyDescent="0.25">
      <c r="A250" s="239"/>
      <c r="G250" s="208"/>
      <c r="H250" s="222">
        <v>245</v>
      </c>
      <c r="I250" s="223" t="str">
        <f t="shared" si="18"/>
        <v/>
      </c>
      <c r="J250" s="222" t="e">
        <f t="shared" si="21"/>
        <v>#NUM!</v>
      </c>
      <c r="K250" s="222" t="e">
        <f t="shared" si="19"/>
        <v>#NUM!</v>
      </c>
      <c r="L250" s="222"/>
      <c r="M250" s="224">
        <f t="shared" si="20"/>
        <v>0</v>
      </c>
    </row>
    <row r="251" spans="1:13" x14ac:dyDescent="0.25">
      <c r="A251" s="239"/>
      <c r="G251" s="208"/>
      <c r="H251" s="225">
        <v>246</v>
      </c>
      <c r="I251" s="223" t="str">
        <f t="shared" si="18"/>
        <v/>
      </c>
      <c r="J251" s="222" t="e">
        <f t="shared" si="21"/>
        <v>#NUM!</v>
      </c>
      <c r="K251" s="222" t="e">
        <f t="shared" si="19"/>
        <v>#NUM!</v>
      </c>
      <c r="L251" s="222"/>
      <c r="M251" s="224">
        <f t="shared" si="20"/>
        <v>0</v>
      </c>
    </row>
    <row r="252" spans="1:13" x14ac:dyDescent="0.25">
      <c r="A252" s="239"/>
      <c r="G252" s="208"/>
      <c r="H252" s="222">
        <v>247</v>
      </c>
      <c r="I252" s="223" t="str">
        <f t="shared" si="18"/>
        <v/>
      </c>
      <c r="J252" s="222" t="e">
        <f t="shared" si="21"/>
        <v>#NUM!</v>
      </c>
      <c r="K252" s="222" t="e">
        <f t="shared" si="19"/>
        <v>#NUM!</v>
      </c>
      <c r="L252" s="222"/>
      <c r="M252" s="224">
        <f t="shared" si="20"/>
        <v>0</v>
      </c>
    </row>
    <row r="253" spans="1:13" x14ac:dyDescent="0.25">
      <c r="A253" s="239"/>
      <c r="G253" s="208"/>
      <c r="H253" s="225">
        <v>248</v>
      </c>
      <c r="I253" s="223" t="str">
        <f t="shared" si="18"/>
        <v/>
      </c>
      <c r="J253" s="222" t="e">
        <f t="shared" si="21"/>
        <v>#NUM!</v>
      </c>
      <c r="K253" s="222" t="e">
        <f t="shared" si="19"/>
        <v>#NUM!</v>
      </c>
      <c r="L253" s="222"/>
      <c r="M253" s="224">
        <f t="shared" si="20"/>
        <v>0</v>
      </c>
    </row>
    <row r="254" spans="1:13" x14ac:dyDescent="0.25">
      <c r="A254" s="239"/>
      <c r="G254" s="208"/>
      <c r="H254" s="222">
        <v>249</v>
      </c>
      <c r="I254" s="223" t="str">
        <f t="shared" si="18"/>
        <v/>
      </c>
      <c r="J254" s="222" t="e">
        <f t="shared" si="21"/>
        <v>#NUM!</v>
      </c>
      <c r="K254" s="222" t="e">
        <f t="shared" si="19"/>
        <v>#NUM!</v>
      </c>
      <c r="L254" s="222"/>
      <c r="M254" s="224">
        <f t="shared" si="20"/>
        <v>0</v>
      </c>
    </row>
    <row r="255" spans="1:13" x14ac:dyDescent="0.25">
      <c r="A255" s="239"/>
      <c r="G255" s="208"/>
      <c r="H255" s="225">
        <v>250</v>
      </c>
      <c r="I255" s="223" t="str">
        <f t="shared" si="18"/>
        <v/>
      </c>
      <c r="J255" s="222" t="e">
        <f t="shared" si="21"/>
        <v>#NUM!</v>
      </c>
      <c r="K255" s="222" t="e">
        <f t="shared" si="19"/>
        <v>#NUM!</v>
      </c>
      <c r="L255" s="222"/>
      <c r="M255" s="224">
        <f t="shared" si="20"/>
        <v>0</v>
      </c>
    </row>
    <row r="256" spans="1:13" x14ac:dyDescent="0.25">
      <c r="A256" s="239"/>
      <c r="G256" s="208"/>
      <c r="H256" s="222">
        <v>251</v>
      </c>
      <c r="I256" s="223" t="str">
        <f t="shared" si="18"/>
        <v/>
      </c>
      <c r="J256" s="222" t="e">
        <f t="shared" si="21"/>
        <v>#NUM!</v>
      </c>
      <c r="K256" s="222" t="e">
        <f t="shared" si="19"/>
        <v>#NUM!</v>
      </c>
      <c r="L256" s="222"/>
      <c r="M256" s="224">
        <f t="shared" si="20"/>
        <v>0</v>
      </c>
    </row>
    <row r="257" spans="1:13" x14ac:dyDescent="0.25">
      <c r="A257" s="239"/>
      <c r="G257" s="208"/>
      <c r="H257" s="225">
        <v>252</v>
      </c>
      <c r="I257" s="223" t="str">
        <f t="shared" si="18"/>
        <v/>
      </c>
      <c r="J257" s="222" t="e">
        <f t="shared" si="21"/>
        <v>#NUM!</v>
      </c>
      <c r="K257" s="222" t="e">
        <f t="shared" si="19"/>
        <v>#NUM!</v>
      </c>
      <c r="L257" s="222"/>
      <c r="M257" s="224">
        <f t="shared" si="20"/>
        <v>0</v>
      </c>
    </row>
    <row r="258" spans="1:13" x14ac:dyDescent="0.25">
      <c r="A258" s="239"/>
      <c r="G258" s="208"/>
      <c r="H258" s="222">
        <v>253</v>
      </c>
      <c r="I258" s="223" t="str">
        <f t="shared" si="18"/>
        <v/>
      </c>
      <c r="J258" s="222" t="e">
        <f t="shared" si="21"/>
        <v>#NUM!</v>
      </c>
      <c r="K258" s="222" t="e">
        <f t="shared" si="19"/>
        <v>#NUM!</v>
      </c>
      <c r="L258" s="222"/>
      <c r="M258" s="224">
        <f t="shared" si="20"/>
        <v>0</v>
      </c>
    </row>
    <row r="259" spans="1:13" x14ac:dyDescent="0.25">
      <c r="A259" s="239"/>
      <c r="G259" s="208"/>
      <c r="H259" s="225">
        <v>254</v>
      </c>
      <c r="I259" s="223" t="str">
        <f t="shared" si="18"/>
        <v/>
      </c>
      <c r="J259" s="222" t="e">
        <f t="shared" si="21"/>
        <v>#NUM!</v>
      </c>
      <c r="K259" s="222" t="e">
        <f t="shared" si="19"/>
        <v>#NUM!</v>
      </c>
      <c r="L259" s="222"/>
      <c r="M259" s="224">
        <f t="shared" si="20"/>
        <v>0</v>
      </c>
    </row>
    <row r="260" spans="1:13" x14ac:dyDescent="0.25">
      <c r="A260" s="239"/>
      <c r="G260" s="208"/>
      <c r="H260" s="222">
        <v>255</v>
      </c>
      <c r="I260" s="223" t="str">
        <f t="shared" si="18"/>
        <v/>
      </c>
      <c r="J260" s="222" t="e">
        <f t="shared" si="21"/>
        <v>#NUM!</v>
      </c>
      <c r="K260" s="222" t="e">
        <f t="shared" si="19"/>
        <v>#NUM!</v>
      </c>
      <c r="L260" s="222"/>
      <c r="M260" s="224">
        <f t="shared" si="20"/>
        <v>0</v>
      </c>
    </row>
    <row r="261" spans="1:13" x14ac:dyDescent="0.25">
      <c r="A261" s="239"/>
      <c r="G261" s="208"/>
      <c r="H261" s="225">
        <v>256</v>
      </c>
      <c r="I261" s="223" t="str">
        <f t="shared" si="18"/>
        <v/>
      </c>
      <c r="J261" s="222" t="e">
        <f t="shared" si="21"/>
        <v>#NUM!</v>
      </c>
      <c r="K261" s="222" t="e">
        <f t="shared" si="19"/>
        <v>#NUM!</v>
      </c>
      <c r="L261" s="222"/>
      <c r="M261" s="224">
        <f t="shared" si="20"/>
        <v>0</v>
      </c>
    </row>
    <row r="262" spans="1:13" x14ac:dyDescent="0.25">
      <c r="A262" s="239"/>
      <c r="G262" s="208"/>
      <c r="H262" s="222">
        <v>257</v>
      </c>
      <c r="I262" s="223" t="str">
        <f t="shared" ref="I262:I305" si="22">IF(H262&lt;$H$2+1,($I$2-($I$2-1)*(LOG(H262)/LOG($H$2))),"")</f>
        <v/>
      </c>
      <c r="J262" s="222" t="e">
        <f t="shared" si="21"/>
        <v>#NUM!</v>
      </c>
      <c r="K262" s="222" t="e">
        <f t="shared" ref="K262:K305" si="23">J262*$J$2</f>
        <v>#NUM!</v>
      </c>
      <c r="L262" s="222"/>
      <c r="M262" s="224">
        <f t="shared" ref="M262:M305" si="24">IF(I262&lt;&gt;"",K262+I262+L262,0)</f>
        <v>0</v>
      </c>
    </row>
    <row r="263" spans="1:13" x14ac:dyDescent="0.25">
      <c r="A263" s="239"/>
      <c r="G263" s="208"/>
      <c r="H263" s="225">
        <v>258</v>
      </c>
      <c r="I263" s="223" t="str">
        <f t="shared" si="22"/>
        <v/>
      </c>
      <c r="J263" s="222" t="e">
        <f t="shared" ref="J263:J305" si="25">INT(LOG($H$2,2))-ROUNDUP(LOG(H263,2),0)+IF(OR($H$2=1,$H$2=2,$H$2=4,$H$2=8,$H$2=16,$H$2=32,$H$2=64,$H$2=128,$H$2=256),0,1)</f>
        <v>#NUM!</v>
      </c>
      <c r="K263" s="222" t="e">
        <f t="shared" si="23"/>
        <v>#NUM!</v>
      </c>
      <c r="L263" s="222"/>
      <c r="M263" s="224">
        <f t="shared" si="24"/>
        <v>0</v>
      </c>
    </row>
    <row r="264" spans="1:13" x14ac:dyDescent="0.25">
      <c r="A264" s="239"/>
      <c r="G264" s="208"/>
      <c r="H264" s="222">
        <v>259</v>
      </c>
      <c r="I264" s="223" t="str">
        <f t="shared" si="22"/>
        <v/>
      </c>
      <c r="J264" s="222" t="e">
        <f t="shared" si="25"/>
        <v>#NUM!</v>
      </c>
      <c r="K264" s="222" t="e">
        <f t="shared" si="23"/>
        <v>#NUM!</v>
      </c>
      <c r="L264" s="222"/>
      <c r="M264" s="224">
        <f t="shared" si="24"/>
        <v>0</v>
      </c>
    </row>
    <row r="265" spans="1:13" x14ac:dyDescent="0.25">
      <c r="A265" s="239"/>
      <c r="G265" s="208"/>
      <c r="H265" s="225">
        <v>260</v>
      </c>
      <c r="I265" s="223" t="str">
        <f t="shared" si="22"/>
        <v/>
      </c>
      <c r="J265" s="222" t="e">
        <f t="shared" si="25"/>
        <v>#NUM!</v>
      </c>
      <c r="K265" s="222" t="e">
        <f t="shared" si="23"/>
        <v>#NUM!</v>
      </c>
      <c r="L265" s="222"/>
      <c r="M265" s="224">
        <f t="shared" si="24"/>
        <v>0</v>
      </c>
    </row>
    <row r="266" spans="1:13" x14ac:dyDescent="0.25">
      <c r="A266" s="239"/>
      <c r="G266" s="208"/>
      <c r="H266" s="222">
        <v>261</v>
      </c>
      <c r="I266" s="223" t="str">
        <f t="shared" si="22"/>
        <v/>
      </c>
      <c r="J266" s="222" t="e">
        <f t="shared" si="25"/>
        <v>#NUM!</v>
      </c>
      <c r="K266" s="222" t="e">
        <f t="shared" si="23"/>
        <v>#NUM!</v>
      </c>
      <c r="L266" s="222"/>
      <c r="M266" s="224">
        <f t="shared" si="24"/>
        <v>0</v>
      </c>
    </row>
    <row r="267" spans="1:13" x14ac:dyDescent="0.25">
      <c r="A267" s="239"/>
      <c r="G267" s="208"/>
      <c r="H267" s="225">
        <v>262</v>
      </c>
      <c r="I267" s="223" t="str">
        <f t="shared" si="22"/>
        <v/>
      </c>
      <c r="J267" s="222" t="e">
        <f t="shared" si="25"/>
        <v>#NUM!</v>
      </c>
      <c r="K267" s="222" t="e">
        <f t="shared" si="23"/>
        <v>#NUM!</v>
      </c>
      <c r="L267" s="222"/>
      <c r="M267" s="224">
        <f t="shared" si="24"/>
        <v>0</v>
      </c>
    </row>
    <row r="268" spans="1:13" x14ac:dyDescent="0.25">
      <c r="A268" s="239"/>
      <c r="G268" s="208"/>
      <c r="H268" s="222">
        <v>263</v>
      </c>
      <c r="I268" s="223" t="str">
        <f t="shared" si="22"/>
        <v/>
      </c>
      <c r="J268" s="222" t="e">
        <f t="shared" si="25"/>
        <v>#NUM!</v>
      </c>
      <c r="K268" s="222" t="e">
        <f t="shared" si="23"/>
        <v>#NUM!</v>
      </c>
      <c r="L268" s="222"/>
      <c r="M268" s="224">
        <f t="shared" si="24"/>
        <v>0</v>
      </c>
    </row>
    <row r="269" spans="1:13" x14ac:dyDescent="0.25">
      <c r="A269" s="239"/>
      <c r="G269" s="208"/>
      <c r="H269" s="225">
        <v>264</v>
      </c>
      <c r="I269" s="223" t="str">
        <f t="shared" si="22"/>
        <v/>
      </c>
      <c r="J269" s="222" t="e">
        <f t="shared" si="25"/>
        <v>#NUM!</v>
      </c>
      <c r="K269" s="222" t="e">
        <f t="shared" si="23"/>
        <v>#NUM!</v>
      </c>
      <c r="L269" s="222"/>
      <c r="M269" s="224">
        <f t="shared" si="24"/>
        <v>0</v>
      </c>
    </row>
    <row r="270" spans="1:13" x14ac:dyDescent="0.25">
      <c r="A270" s="239"/>
      <c r="G270" s="208"/>
      <c r="H270" s="222">
        <v>265</v>
      </c>
      <c r="I270" s="223" t="str">
        <f t="shared" si="22"/>
        <v/>
      </c>
      <c r="J270" s="222" t="e">
        <f t="shared" si="25"/>
        <v>#NUM!</v>
      </c>
      <c r="K270" s="222" t="e">
        <f t="shared" si="23"/>
        <v>#NUM!</v>
      </c>
      <c r="L270" s="222"/>
      <c r="M270" s="224">
        <f t="shared" si="24"/>
        <v>0</v>
      </c>
    </row>
    <row r="271" spans="1:13" x14ac:dyDescent="0.25">
      <c r="A271" s="239"/>
      <c r="G271" s="208"/>
      <c r="H271" s="225">
        <v>266</v>
      </c>
      <c r="I271" s="223" t="str">
        <f t="shared" si="22"/>
        <v/>
      </c>
      <c r="J271" s="222" t="e">
        <f t="shared" si="25"/>
        <v>#NUM!</v>
      </c>
      <c r="K271" s="222" t="e">
        <f t="shared" si="23"/>
        <v>#NUM!</v>
      </c>
      <c r="L271" s="222"/>
      <c r="M271" s="224">
        <f t="shared" si="24"/>
        <v>0</v>
      </c>
    </row>
    <row r="272" spans="1:13" x14ac:dyDescent="0.25">
      <c r="A272" s="239"/>
      <c r="G272" s="208"/>
      <c r="H272" s="222">
        <v>267</v>
      </c>
      <c r="I272" s="223" t="str">
        <f t="shared" si="22"/>
        <v/>
      </c>
      <c r="J272" s="222" t="e">
        <f t="shared" si="25"/>
        <v>#NUM!</v>
      </c>
      <c r="K272" s="222" t="e">
        <f t="shared" si="23"/>
        <v>#NUM!</v>
      </c>
      <c r="L272" s="222"/>
      <c r="M272" s="224">
        <f t="shared" si="24"/>
        <v>0</v>
      </c>
    </row>
    <row r="273" spans="1:13" x14ac:dyDescent="0.25">
      <c r="A273" s="239"/>
      <c r="G273" s="208"/>
      <c r="H273" s="225">
        <v>268</v>
      </c>
      <c r="I273" s="223" t="str">
        <f t="shared" si="22"/>
        <v/>
      </c>
      <c r="J273" s="222" t="e">
        <f t="shared" si="25"/>
        <v>#NUM!</v>
      </c>
      <c r="K273" s="222" t="e">
        <f t="shared" si="23"/>
        <v>#NUM!</v>
      </c>
      <c r="L273" s="222"/>
      <c r="M273" s="224">
        <f t="shared" si="24"/>
        <v>0</v>
      </c>
    </row>
    <row r="274" spans="1:13" x14ac:dyDescent="0.25">
      <c r="A274" s="239"/>
      <c r="G274" s="208"/>
      <c r="H274" s="222">
        <v>269</v>
      </c>
      <c r="I274" s="223" t="str">
        <f t="shared" si="22"/>
        <v/>
      </c>
      <c r="J274" s="222" t="e">
        <f t="shared" si="25"/>
        <v>#NUM!</v>
      </c>
      <c r="K274" s="222" t="e">
        <f t="shared" si="23"/>
        <v>#NUM!</v>
      </c>
      <c r="L274" s="222"/>
      <c r="M274" s="224">
        <f t="shared" si="24"/>
        <v>0</v>
      </c>
    </row>
    <row r="275" spans="1:13" x14ac:dyDescent="0.25">
      <c r="A275" s="239"/>
      <c r="G275" s="208"/>
      <c r="H275" s="225">
        <v>270</v>
      </c>
      <c r="I275" s="223" t="str">
        <f t="shared" si="22"/>
        <v/>
      </c>
      <c r="J275" s="222" t="e">
        <f t="shared" si="25"/>
        <v>#NUM!</v>
      </c>
      <c r="K275" s="222" t="e">
        <f t="shared" si="23"/>
        <v>#NUM!</v>
      </c>
      <c r="L275" s="222"/>
      <c r="M275" s="224">
        <f t="shared" si="24"/>
        <v>0</v>
      </c>
    </row>
    <row r="276" spans="1:13" x14ac:dyDescent="0.25">
      <c r="A276" s="239"/>
      <c r="G276" s="208"/>
      <c r="H276" s="222">
        <v>271</v>
      </c>
      <c r="I276" s="223" t="str">
        <f t="shared" si="22"/>
        <v/>
      </c>
      <c r="J276" s="222" t="e">
        <f t="shared" si="25"/>
        <v>#NUM!</v>
      </c>
      <c r="K276" s="222" t="e">
        <f t="shared" si="23"/>
        <v>#NUM!</v>
      </c>
      <c r="L276" s="222"/>
      <c r="M276" s="224">
        <f t="shared" si="24"/>
        <v>0</v>
      </c>
    </row>
    <row r="277" spans="1:13" x14ac:dyDescent="0.25">
      <c r="A277" s="239"/>
      <c r="G277" s="208"/>
      <c r="H277" s="225">
        <v>272</v>
      </c>
      <c r="I277" s="223" t="str">
        <f t="shared" si="22"/>
        <v/>
      </c>
      <c r="J277" s="222" t="e">
        <f t="shared" si="25"/>
        <v>#NUM!</v>
      </c>
      <c r="K277" s="222" t="e">
        <f t="shared" si="23"/>
        <v>#NUM!</v>
      </c>
      <c r="L277" s="222"/>
      <c r="M277" s="224">
        <f t="shared" si="24"/>
        <v>0</v>
      </c>
    </row>
    <row r="278" spans="1:13" x14ac:dyDescent="0.25">
      <c r="A278" s="239"/>
      <c r="G278" s="208"/>
      <c r="H278" s="222">
        <v>273</v>
      </c>
      <c r="I278" s="223" t="str">
        <f t="shared" si="22"/>
        <v/>
      </c>
      <c r="J278" s="222" t="e">
        <f t="shared" si="25"/>
        <v>#NUM!</v>
      </c>
      <c r="K278" s="222" t="e">
        <f t="shared" si="23"/>
        <v>#NUM!</v>
      </c>
      <c r="L278" s="222"/>
      <c r="M278" s="224">
        <f t="shared" si="24"/>
        <v>0</v>
      </c>
    </row>
    <row r="279" spans="1:13" x14ac:dyDescent="0.25">
      <c r="A279" s="239"/>
      <c r="G279" s="208"/>
      <c r="H279" s="225">
        <v>274</v>
      </c>
      <c r="I279" s="223" t="str">
        <f t="shared" si="22"/>
        <v/>
      </c>
      <c r="J279" s="222" t="e">
        <f t="shared" si="25"/>
        <v>#NUM!</v>
      </c>
      <c r="K279" s="222" t="e">
        <f t="shared" si="23"/>
        <v>#NUM!</v>
      </c>
      <c r="L279" s="222"/>
      <c r="M279" s="224">
        <f t="shared" si="24"/>
        <v>0</v>
      </c>
    </row>
    <row r="280" spans="1:13" x14ac:dyDescent="0.25">
      <c r="A280" s="239"/>
      <c r="G280" s="208"/>
      <c r="H280" s="222">
        <v>275</v>
      </c>
      <c r="I280" s="223" t="str">
        <f t="shared" si="22"/>
        <v/>
      </c>
      <c r="J280" s="222" t="e">
        <f t="shared" si="25"/>
        <v>#NUM!</v>
      </c>
      <c r="K280" s="222" t="e">
        <f t="shared" si="23"/>
        <v>#NUM!</v>
      </c>
      <c r="L280" s="222"/>
      <c r="M280" s="224">
        <f t="shared" si="24"/>
        <v>0</v>
      </c>
    </row>
    <row r="281" spans="1:13" x14ac:dyDescent="0.25">
      <c r="A281" s="239"/>
      <c r="G281" s="208"/>
      <c r="H281" s="225">
        <v>276</v>
      </c>
      <c r="I281" s="223" t="str">
        <f t="shared" si="22"/>
        <v/>
      </c>
      <c r="J281" s="222" t="e">
        <f t="shared" si="25"/>
        <v>#NUM!</v>
      </c>
      <c r="K281" s="222" t="e">
        <f t="shared" si="23"/>
        <v>#NUM!</v>
      </c>
      <c r="L281" s="222"/>
      <c r="M281" s="224">
        <f t="shared" si="24"/>
        <v>0</v>
      </c>
    </row>
    <row r="282" spans="1:13" x14ac:dyDescent="0.25">
      <c r="A282" s="239"/>
      <c r="G282" s="208"/>
      <c r="H282" s="222">
        <v>277</v>
      </c>
      <c r="I282" s="223" t="str">
        <f t="shared" si="22"/>
        <v/>
      </c>
      <c r="J282" s="222" t="e">
        <f t="shared" si="25"/>
        <v>#NUM!</v>
      </c>
      <c r="K282" s="222" t="e">
        <f t="shared" si="23"/>
        <v>#NUM!</v>
      </c>
      <c r="L282" s="222"/>
      <c r="M282" s="224">
        <f t="shared" si="24"/>
        <v>0</v>
      </c>
    </row>
    <row r="283" spans="1:13" x14ac:dyDescent="0.25">
      <c r="A283" s="239"/>
      <c r="G283" s="208"/>
      <c r="H283" s="225">
        <v>278</v>
      </c>
      <c r="I283" s="223" t="str">
        <f t="shared" si="22"/>
        <v/>
      </c>
      <c r="J283" s="222" t="e">
        <f t="shared" si="25"/>
        <v>#NUM!</v>
      </c>
      <c r="K283" s="222" t="e">
        <f t="shared" si="23"/>
        <v>#NUM!</v>
      </c>
      <c r="L283" s="222"/>
      <c r="M283" s="224">
        <f t="shared" si="24"/>
        <v>0</v>
      </c>
    </row>
    <row r="284" spans="1:13" x14ac:dyDescent="0.25">
      <c r="A284" s="239"/>
      <c r="G284" s="208"/>
      <c r="H284" s="222">
        <v>279</v>
      </c>
      <c r="I284" s="223" t="str">
        <f t="shared" si="22"/>
        <v/>
      </c>
      <c r="J284" s="222" t="e">
        <f t="shared" si="25"/>
        <v>#NUM!</v>
      </c>
      <c r="K284" s="222" t="e">
        <f t="shared" si="23"/>
        <v>#NUM!</v>
      </c>
      <c r="L284" s="222"/>
      <c r="M284" s="224">
        <f t="shared" si="24"/>
        <v>0</v>
      </c>
    </row>
    <row r="285" spans="1:13" x14ac:dyDescent="0.25">
      <c r="A285" s="239"/>
      <c r="G285" s="208"/>
      <c r="H285" s="225">
        <v>280</v>
      </c>
      <c r="I285" s="223" t="str">
        <f t="shared" si="22"/>
        <v/>
      </c>
      <c r="J285" s="222" t="e">
        <f t="shared" si="25"/>
        <v>#NUM!</v>
      </c>
      <c r="K285" s="222" t="e">
        <f t="shared" si="23"/>
        <v>#NUM!</v>
      </c>
      <c r="L285" s="222"/>
      <c r="M285" s="224">
        <f t="shared" si="24"/>
        <v>0</v>
      </c>
    </row>
    <row r="286" spans="1:13" x14ac:dyDescent="0.25">
      <c r="A286" s="239"/>
      <c r="G286" s="208"/>
      <c r="H286" s="222">
        <v>281</v>
      </c>
      <c r="I286" s="223" t="str">
        <f t="shared" si="22"/>
        <v/>
      </c>
      <c r="J286" s="222" t="e">
        <f t="shared" si="25"/>
        <v>#NUM!</v>
      </c>
      <c r="K286" s="222" t="e">
        <f t="shared" si="23"/>
        <v>#NUM!</v>
      </c>
      <c r="L286" s="222"/>
      <c r="M286" s="224">
        <f t="shared" si="24"/>
        <v>0</v>
      </c>
    </row>
    <row r="287" spans="1:13" x14ac:dyDescent="0.25">
      <c r="A287" s="239"/>
      <c r="G287" s="208"/>
      <c r="H287" s="225">
        <v>282</v>
      </c>
      <c r="I287" s="223" t="str">
        <f t="shared" si="22"/>
        <v/>
      </c>
      <c r="J287" s="222" t="e">
        <f t="shared" si="25"/>
        <v>#NUM!</v>
      </c>
      <c r="K287" s="222" t="e">
        <f t="shared" si="23"/>
        <v>#NUM!</v>
      </c>
      <c r="L287" s="222"/>
      <c r="M287" s="224">
        <f t="shared" si="24"/>
        <v>0</v>
      </c>
    </row>
    <row r="288" spans="1:13" x14ac:dyDescent="0.25">
      <c r="A288" s="239"/>
      <c r="G288" s="208"/>
      <c r="H288" s="222">
        <v>283</v>
      </c>
      <c r="I288" s="223" t="str">
        <f t="shared" si="22"/>
        <v/>
      </c>
      <c r="J288" s="222" t="e">
        <f t="shared" si="25"/>
        <v>#NUM!</v>
      </c>
      <c r="K288" s="222" t="e">
        <f t="shared" si="23"/>
        <v>#NUM!</v>
      </c>
      <c r="L288" s="222"/>
      <c r="M288" s="224">
        <f t="shared" si="24"/>
        <v>0</v>
      </c>
    </row>
    <row r="289" spans="1:13" x14ac:dyDescent="0.25">
      <c r="A289" s="239"/>
      <c r="G289" s="208"/>
      <c r="H289" s="225">
        <v>284</v>
      </c>
      <c r="I289" s="223" t="str">
        <f t="shared" si="22"/>
        <v/>
      </c>
      <c r="J289" s="222" t="e">
        <f t="shared" si="25"/>
        <v>#NUM!</v>
      </c>
      <c r="K289" s="222" t="e">
        <f t="shared" si="23"/>
        <v>#NUM!</v>
      </c>
      <c r="L289" s="222"/>
      <c r="M289" s="224">
        <f t="shared" si="24"/>
        <v>0</v>
      </c>
    </row>
    <row r="290" spans="1:13" x14ac:dyDescent="0.25">
      <c r="A290" s="239"/>
      <c r="G290" s="208"/>
      <c r="H290" s="222">
        <v>285</v>
      </c>
      <c r="I290" s="223" t="str">
        <f t="shared" si="22"/>
        <v/>
      </c>
      <c r="J290" s="222" t="e">
        <f t="shared" si="25"/>
        <v>#NUM!</v>
      </c>
      <c r="K290" s="222" t="e">
        <f t="shared" si="23"/>
        <v>#NUM!</v>
      </c>
      <c r="L290" s="222"/>
      <c r="M290" s="224">
        <f t="shared" si="24"/>
        <v>0</v>
      </c>
    </row>
    <row r="291" spans="1:13" x14ac:dyDescent="0.25">
      <c r="A291" s="239"/>
      <c r="G291" s="208"/>
      <c r="H291" s="225">
        <v>286</v>
      </c>
      <c r="I291" s="223" t="str">
        <f t="shared" si="22"/>
        <v/>
      </c>
      <c r="J291" s="222" t="e">
        <f t="shared" si="25"/>
        <v>#NUM!</v>
      </c>
      <c r="K291" s="222" t="e">
        <f t="shared" si="23"/>
        <v>#NUM!</v>
      </c>
      <c r="L291" s="222"/>
      <c r="M291" s="224">
        <f t="shared" si="24"/>
        <v>0</v>
      </c>
    </row>
    <row r="292" spans="1:13" x14ac:dyDescent="0.25">
      <c r="A292" s="239"/>
      <c r="G292" s="208"/>
      <c r="H292" s="222">
        <v>287</v>
      </c>
      <c r="I292" s="223" t="str">
        <f t="shared" si="22"/>
        <v/>
      </c>
      <c r="J292" s="222" t="e">
        <f t="shared" si="25"/>
        <v>#NUM!</v>
      </c>
      <c r="K292" s="222" t="e">
        <f t="shared" si="23"/>
        <v>#NUM!</v>
      </c>
      <c r="L292" s="222"/>
      <c r="M292" s="224">
        <f t="shared" si="24"/>
        <v>0</v>
      </c>
    </row>
    <row r="293" spans="1:13" x14ac:dyDescent="0.25">
      <c r="A293" s="239"/>
      <c r="G293" s="208"/>
      <c r="H293" s="222">
        <v>288</v>
      </c>
      <c r="I293" s="223" t="str">
        <f t="shared" si="22"/>
        <v/>
      </c>
      <c r="J293" s="222" t="e">
        <f t="shared" si="25"/>
        <v>#NUM!</v>
      </c>
      <c r="K293" s="222" t="e">
        <f t="shared" si="23"/>
        <v>#NUM!</v>
      </c>
      <c r="L293" s="222"/>
      <c r="M293" s="224">
        <f t="shared" si="24"/>
        <v>0</v>
      </c>
    </row>
    <row r="294" spans="1:13" x14ac:dyDescent="0.25">
      <c r="A294" s="239"/>
      <c r="G294" s="208"/>
      <c r="H294" s="222">
        <v>289</v>
      </c>
      <c r="I294" s="223" t="str">
        <f t="shared" si="22"/>
        <v/>
      </c>
      <c r="J294" s="222" t="e">
        <f t="shared" si="25"/>
        <v>#NUM!</v>
      </c>
      <c r="K294" s="222" t="e">
        <f t="shared" si="23"/>
        <v>#NUM!</v>
      </c>
      <c r="L294" s="222"/>
      <c r="M294" s="224">
        <f t="shared" si="24"/>
        <v>0</v>
      </c>
    </row>
    <row r="295" spans="1:13" x14ac:dyDescent="0.25">
      <c r="A295" s="239"/>
      <c r="G295" s="208"/>
      <c r="H295" s="222">
        <v>290</v>
      </c>
      <c r="I295" s="223" t="str">
        <f t="shared" si="22"/>
        <v/>
      </c>
      <c r="J295" s="222" t="e">
        <f t="shared" si="25"/>
        <v>#NUM!</v>
      </c>
      <c r="K295" s="222" t="e">
        <f t="shared" si="23"/>
        <v>#NUM!</v>
      </c>
      <c r="L295" s="222"/>
      <c r="M295" s="224">
        <f t="shared" si="24"/>
        <v>0</v>
      </c>
    </row>
    <row r="296" spans="1:13" x14ac:dyDescent="0.25">
      <c r="A296" s="239"/>
      <c r="G296" s="208"/>
      <c r="H296" s="222">
        <v>291</v>
      </c>
      <c r="I296" s="223" t="str">
        <f t="shared" si="22"/>
        <v/>
      </c>
      <c r="J296" s="222" t="e">
        <f t="shared" si="25"/>
        <v>#NUM!</v>
      </c>
      <c r="K296" s="222" t="e">
        <f t="shared" si="23"/>
        <v>#NUM!</v>
      </c>
      <c r="L296" s="222"/>
      <c r="M296" s="224">
        <f t="shared" si="24"/>
        <v>0</v>
      </c>
    </row>
    <row r="297" spans="1:13" x14ac:dyDescent="0.25">
      <c r="A297" s="239"/>
      <c r="G297" s="208"/>
      <c r="H297" s="222">
        <v>292</v>
      </c>
      <c r="I297" s="223" t="str">
        <f t="shared" si="22"/>
        <v/>
      </c>
      <c r="J297" s="222" t="e">
        <f t="shared" si="25"/>
        <v>#NUM!</v>
      </c>
      <c r="K297" s="222" t="e">
        <f t="shared" si="23"/>
        <v>#NUM!</v>
      </c>
      <c r="L297" s="222"/>
      <c r="M297" s="224">
        <f t="shared" si="24"/>
        <v>0</v>
      </c>
    </row>
    <row r="298" spans="1:13" x14ac:dyDescent="0.25">
      <c r="A298" s="239"/>
      <c r="G298" s="208"/>
      <c r="H298" s="222">
        <v>293</v>
      </c>
      <c r="I298" s="223" t="str">
        <f t="shared" si="22"/>
        <v/>
      </c>
      <c r="J298" s="222" t="e">
        <f t="shared" si="25"/>
        <v>#NUM!</v>
      </c>
      <c r="K298" s="222" t="e">
        <f t="shared" si="23"/>
        <v>#NUM!</v>
      </c>
      <c r="L298" s="222"/>
      <c r="M298" s="224">
        <f t="shared" si="24"/>
        <v>0</v>
      </c>
    </row>
    <row r="299" spans="1:13" x14ac:dyDescent="0.25">
      <c r="A299" s="239"/>
      <c r="G299" s="208"/>
      <c r="H299" s="222">
        <v>294</v>
      </c>
      <c r="I299" s="223" t="str">
        <f t="shared" si="22"/>
        <v/>
      </c>
      <c r="J299" s="222" t="e">
        <f t="shared" si="25"/>
        <v>#NUM!</v>
      </c>
      <c r="K299" s="222" t="e">
        <f t="shared" si="23"/>
        <v>#NUM!</v>
      </c>
      <c r="L299" s="222"/>
      <c r="M299" s="224">
        <f t="shared" si="24"/>
        <v>0</v>
      </c>
    </row>
    <row r="300" spans="1:13" x14ac:dyDescent="0.25">
      <c r="A300" s="239"/>
      <c r="G300" s="208"/>
      <c r="H300" s="222">
        <v>295</v>
      </c>
      <c r="I300" s="223" t="str">
        <f t="shared" si="22"/>
        <v/>
      </c>
      <c r="J300" s="222" t="e">
        <f t="shared" si="25"/>
        <v>#NUM!</v>
      </c>
      <c r="K300" s="222" t="e">
        <f t="shared" si="23"/>
        <v>#NUM!</v>
      </c>
      <c r="L300" s="222"/>
      <c r="M300" s="224">
        <f t="shared" si="24"/>
        <v>0</v>
      </c>
    </row>
    <row r="301" spans="1:13" x14ac:dyDescent="0.25">
      <c r="A301" s="239"/>
      <c r="G301" s="208"/>
      <c r="H301" s="222">
        <v>296</v>
      </c>
      <c r="I301" s="223" t="str">
        <f t="shared" si="22"/>
        <v/>
      </c>
      <c r="J301" s="222" t="e">
        <f t="shared" si="25"/>
        <v>#NUM!</v>
      </c>
      <c r="K301" s="222" t="e">
        <f t="shared" si="23"/>
        <v>#NUM!</v>
      </c>
      <c r="L301" s="222"/>
      <c r="M301" s="224">
        <f t="shared" si="24"/>
        <v>0</v>
      </c>
    </row>
    <row r="302" spans="1:13" x14ac:dyDescent="0.25">
      <c r="A302" s="239"/>
      <c r="G302" s="208"/>
      <c r="H302" s="222">
        <v>297</v>
      </c>
      <c r="I302" s="223" t="str">
        <f t="shared" si="22"/>
        <v/>
      </c>
      <c r="J302" s="222" t="e">
        <f t="shared" si="25"/>
        <v>#NUM!</v>
      </c>
      <c r="K302" s="222" t="e">
        <f t="shared" si="23"/>
        <v>#NUM!</v>
      </c>
      <c r="L302" s="222"/>
      <c r="M302" s="224">
        <f t="shared" si="24"/>
        <v>0</v>
      </c>
    </row>
    <row r="303" spans="1:13" x14ac:dyDescent="0.25">
      <c r="A303" s="239"/>
      <c r="G303" s="208"/>
      <c r="H303" s="222">
        <v>298</v>
      </c>
      <c r="I303" s="223" t="str">
        <f t="shared" si="22"/>
        <v/>
      </c>
      <c r="J303" s="222" t="e">
        <f t="shared" si="25"/>
        <v>#NUM!</v>
      </c>
      <c r="K303" s="222" t="e">
        <f t="shared" si="23"/>
        <v>#NUM!</v>
      </c>
      <c r="L303" s="222"/>
      <c r="M303" s="224">
        <f t="shared" si="24"/>
        <v>0</v>
      </c>
    </row>
    <row r="304" spans="1:13" x14ac:dyDescent="0.25">
      <c r="A304" s="239"/>
      <c r="G304" s="208"/>
      <c r="H304" s="222">
        <v>299</v>
      </c>
      <c r="I304" s="223" t="str">
        <f t="shared" si="22"/>
        <v/>
      </c>
      <c r="J304" s="222" t="e">
        <f t="shared" si="25"/>
        <v>#NUM!</v>
      </c>
      <c r="K304" s="222" t="e">
        <f t="shared" si="23"/>
        <v>#NUM!</v>
      </c>
      <c r="L304" s="222"/>
      <c r="M304" s="224">
        <f t="shared" si="24"/>
        <v>0</v>
      </c>
    </row>
    <row r="305" spans="1:16" x14ac:dyDescent="0.25">
      <c r="A305" s="239"/>
      <c r="G305" s="208"/>
      <c r="H305" s="222">
        <v>300</v>
      </c>
      <c r="I305" s="223" t="str">
        <f t="shared" si="22"/>
        <v/>
      </c>
      <c r="J305" s="222" t="e">
        <f t="shared" si="25"/>
        <v>#NUM!</v>
      </c>
      <c r="K305" s="222" t="e">
        <f t="shared" si="23"/>
        <v>#NUM!</v>
      </c>
      <c r="L305" s="222"/>
      <c r="M305" s="224">
        <f t="shared" si="24"/>
        <v>0</v>
      </c>
    </row>
    <row r="306" spans="1:16" x14ac:dyDescent="0.25">
      <c r="A306" s="240"/>
    </row>
    <row r="314" spans="1:16" x14ac:dyDescent="0.25">
      <c r="L314" s="243"/>
      <c r="P314" s="233"/>
    </row>
    <row r="315" spans="1:16" x14ac:dyDescent="0.25">
      <c r="L315" s="243"/>
      <c r="P315" s="233"/>
    </row>
    <row r="316" spans="1:16" x14ac:dyDescent="0.25">
      <c r="L316" s="243"/>
      <c r="P316" s="233"/>
    </row>
    <row r="317" spans="1:16" x14ac:dyDescent="0.25">
      <c r="L317" s="243"/>
      <c r="P317" s="233"/>
    </row>
  </sheetData>
  <conditionalFormatting sqref="J6:K305">
    <cfRule type="cellIs" dxfId="16" priority="1" operator="lessThanOrEqual">
      <formula>0</formula>
    </cfRule>
  </conditionalFormatting>
  <hyperlinks>
    <hyperlink ref="C2" r:id="rId1" xr:uid="{39CE00FB-C81D-4507-AB6F-A7C74BB8D622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6CC3-0F25-4175-B613-896FBBA122A0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.25" style="88" customWidth="1"/>
    <col min="11" max="11" width="8.75" style="88" customWidth="1"/>
    <col min="12" max="12" width="11" style="88" customWidth="1"/>
    <col min="13" max="13" width="12.2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x14ac:dyDescent="0.25">
      <c r="A2" s="86"/>
      <c r="B2" s="22" t="s">
        <v>26</v>
      </c>
      <c r="C2" s="71" t="s">
        <v>108</v>
      </c>
      <c r="D2" s="70"/>
      <c r="E2" s="23"/>
      <c r="F2" s="23"/>
      <c r="G2" s="23"/>
      <c r="H2" s="121">
        <v>0</v>
      </c>
      <c r="I2" s="120">
        <v>50</v>
      </c>
      <c r="J2" s="120">
        <v>10</v>
      </c>
      <c r="K2" s="126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x14ac:dyDescent="0.25">
      <c r="A3" s="86"/>
      <c r="B3" s="118" t="s">
        <v>28</v>
      </c>
      <c r="C3" s="71" t="s">
        <v>109</v>
      </c>
      <c r="D3" s="71"/>
      <c r="E3" s="28"/>
      <c r="F3" s="28"/>
      <c r="G3" s="28"/>
      <c r="H3" s="116"/>
      <c r="I3" s="116"/>
      <c r="J3" s="117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7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5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93">
        <v>1</v>
      </c>
      <c r="I6" s="94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3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98">
        <v>2</v>
      </c>
      <c r="I7" s="99" t="str">
        <f t="shared" si="1"/>
        <v/>
      </c>
      <c r="J7" s="98" t="e">
        <f t="shared" si="2"/>
        <v>#NUM!</v>
      </c>
      <c r="K7" s="98" t="e">
        <f t="shared" si="3"/>
        <v>#NUM!</v>
      </c>
      <c r="L7" s="97">
        <f>2*K2</f>
        <v>0</v>
      </c>
      <c r="M7" s="97">
        <f t="shared" si="4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93">
        <v>3</v>
      </c>
      <c r="I8" s="94" t="str">
        <f t="shared" si="1"/>
        <v/>
      </c>
      <c r="J8" s="93" t="e">
        <f t="shared" si="2"/>
        <v>#NUM!</v>
      </c>
      <c r="K8" s="93" t="e">
        <f t="shared" si="3"/>
        <v>#NUM!</v>
      </c>
      <c r="L8" s="92">
        <f>K2</f>
        <v>0</v>
      </c>
      <c r="M8" s="92">
        <f t="shared" si="4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 t="e">
        <f t="shared" si="2"/>
        <v>#NUM!</v>
      </c>
      <c r="K9" s="98" t="e">
        <f t="shared" si="3"/>
        <v>#NUM!</v>
      </c>
      <c r="L9" s="97">
        <f>K2</f>
        <v>0</v>
      </c>
      <c r="M9" s="97">
        <f t="shared" si="4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5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3" t="e">
        <f t="shared" si="2"/>
        <v>#NUM!</v>
      </c>
      <c r="K10" s="93" t="e">
        <f t="shared" si="3"/>
        <v>#NUM!</v>
      </c>
      <c r="L10" s="93"/>
      <c r="M10" s="92">
        <f t="shared" si="4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8" t="e">
        <f t="shared" si="2"/>
        <v>#NUM!</v>
      </c>
      <c r="K11" s="98" t="e">
        <f t="shared" si="3"/>
        <v>#NUM!</v>
      </c>
      <c r="L11" s="98"/>
      <c r="M11" s="97">
        <f t="shared" si="4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3" t="e">
        <f t="shared" si="2"/>
        <v>#NUM!</v>
      </c>
      <c r="K12" s="93" t="e">
        <f t="shared" si="3"/>
        <v>#NUM!</v>
      </c>
      <c r="L12" s="93"/>
      <c r="M12" s="92">
        <f t="shared" si="4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8" t="e">
        <f t="shared" si="2"/>
        <v>#NUM!</v>
      </c>
      <c r="K13" s="98" t="e">
        <f t="shared" si="3"/>
        <v>#NUM!</v>
      </c>
      <c r="L13" s="98"/>
      <c r="M13" s="97">
        <f t="shared" si="4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3" t="e">
        <f t="shared" si="2"/>
        <v>#NUM!</v>
      </c>
      <c r="K14" s="93" t="e">
        <f t="shared" si="3"/>
        <v>#NUM!</v>
      </c>
      <c r="L14" s="93"/>
      <c r="M14" s="92">
        <f t="shared" si="4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8" t="e">
        <f t="shared" si="2"/>
        <v>#NUM!</v>
      </c>
      <c r="K15" s="98" t="e">
        <f t="shared" si="3"/>
        <v>#NUM!</v>
      </c>
      <c r="L15" s="98"/>
      <c r="M15" s="97">
        <f t="shared" si="4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3" t="e">
        <f t="shared" si="2"/>
        <v>#NUM!</v>
      </c>
      <c r="K16" s="93" t="e">
        <f t="shared" si="3"/>
        <v>#NUM!</v>
      </c>
      <c r="L16" s="93"/>
      <c r="M16" s="92">
        <f t="shared" si="4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8" t="e">
        <f t="shared" si="2"/>
        <v>#NUM!</v>
      </c>
      <c r="K17" s="98" t="e">
        <f t="shared" si="3"/>
        <v>#NUM!</v>
      </c>
      <c r="L17" s="98"/>
      <c r="M17" s="97">
        <f t="shared" si="4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93">
        <v>13</v>
      </c>
      <c r="I18" s="94" t="str">
        <f t="shared" si="1"/>
        <v/>
      </c>
      <c r="J18" s="93" t="e">
        <f t="shared" si="2"/>
        <v>#NUM!</v>
      </c>
      <c r="K18" s="93" t="e">
        <f t="shared" si="3"/>
        <v>#NUM!</v>
      </c>
      <c r="L18" s="93"/>
      <c r="M18" s="92">
        <f t="shared" si="4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8" t="e">
        <f t="shared" si="2"/>
        <v>#NUM!</v>
      </c>
      <c r="K19" s="98" t="e">
        <f t="shared" si="3"/>
        <v>#NUM!</v>
      </c>
      <c r="L19" s="98"/>
      <c r="M19" s="97">
        <f t="shared" si="4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3" t="e">
        <f t="shared" si="2"/>
        <v>#NUM!</v>
      </c>
      <c r="K20" s="93" t="e">
        <f t="shared" si="3"/>
        <v>#NUM!</v>
      </c>
      <c r="L20" s="93"/>
      <c r="M20" s="92">
        <f t="shared" si="4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8" t="e">
        <f t="shared" si="2"/>
        <v>#NUM!</v>
      </c>
      <c r="K21" s="98" t="e">
        <f t="shared" si="3"/>
        <v>#NUM!</v>
      </c>
      <c r="L21" s="98"/>
      <c r="M21" s="97">
        <f t="shared" si="4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3" t="e">
        <f t="shared" si="2"/>
        <v>#NUM!</v>
      </c>
      <c r="K22" s="93" t="e">
        <f t="shared" si="3"/>
        <v>#NUM!</v>
      </c>
      <c r="L22" s="93"/>
      <c r="M22" s="92">
        <f t="shared" si="4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8" t="e">
        <f t="shared" si="2"/>
        <v>#NUM!</v>
      </c>
      <c r="K23" s="98" t="e">
        <f t="shared" si="3"/>
        <v>#NUM!</v>
      </c>
      <c r="L23" s="98"/>
      <c r="M23" s="97">
        <f t="shared" si="4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3" t="e">
        <f t="shared" si="2"/>
        <v>#NUM!</v>
      </c>
      <c r="K24" s="93" t="e">
        <f t="shared" si="3"/>
        <v>#NUM!</v>
      </c>
      <c r="L24" s="93"/>
      <c r="M24" s="92">
        <f t="shared" si="4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8" t="e">
        <f t="shared" si="2"/>
        <v>#NUM!</v>
      </c>
      <c r="K25" s="98" t="e">
        <f t="shared" si="3"/>
        <v>#NUM!</v>
      </c>
      <c r="L25" s="98"/>
      <c r="M25" s="97">
        <f t="shared" si="4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3" t="e">
        <f t="shared" si="2"/>
        <v>#NUM!</v>
      </c>
      <c r="K26" s="93" t="e">
        <f t="shared" si="3"/>
        <v>#NUM!</v>
      </c>
      <c r="L26" s="93"/>
      <c r="M26" s="92">
        <f t="shared" si="4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8" t="e">
        <f t="shared" si="2"/>
        <v>#NUM!</v>
      </c>
      <c r="K27" s="98" t="e">
        <f t="shared" si="3"/>
        <v>#NUM!</v>
      </c>
      <c r="L27" s="98"/>
      <c r="M27" s="97">
        <f t="shared" si="4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3" t="e">
        <f t="shared" si="2"/>
        <v>#NUM!</v>
      </c>
      <c r="K28" s="93" t="e">
        <f t="shared" si="3"/>
        <v>#NUM!</v>
      </c>
      <c r="L28" s="93"/>
      <c r="M28" s="92">
        <f t="shared" si="4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5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8" t="e">
        <f t="shared" si="2"/>
        <v>#NUM!</v>
      </c>
      <c r="K29" s="98" t="e">
        <f t="shared" si="3"/>
        <v>#NUM!</v>
      </c>
      <c r="L29" s="98"/>
      <c r="M29" s="97">
        <f t="shared" si="4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5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3" t="e">
        <f t="shared" si="2"/>
        <v>#NUM!</v>
      </c>
      <c r="K30" s="93" t="e">
        <f t="shared" si="3"/>
        <v>#NUM!</v>
      </c>
      <c r="L30" s="93"/>
      <c r="M30" s="92">
        <f t="shared" si="4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5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8" t="e">
        <f t="shared" si="2"/>
        <v>#NUM!</v>
      </c>
      <c r="K31" s="98" t="e">
        <f t="shared" si="3"/>
        <v>#NUM!</v>
      </c>
      <c r="L31" s="98"/>
      <c r="M31" s="97">
        <f t="shared" si="4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5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3" t="e">
        <f t="shared" si="2"/>
        <v>#NUM!</v>
      </c>
      <c r="K32" s="93" t="e">
        <f t="shared" si="3"/>
        <v>#NUM!</v>
      </c>
      <c r="L32" s="93"/>
      <c r="M32" s="92">
        <f t="shared" si="4"/>
        <v>0</v>
      </c>
      <c r="N32" s="86"/>
      <c r="O32" s="86"/>
      <c r="P32" s="86"/>
      <c r="Q32" s="86"/>
      <c r="R32" s="106"/>
      <c r="S32" s="105"/>
    </row>
    <row r="33" spans="1:19" s="85" customFormat="1" x14ac:dyDescent="0.25">
      <c r="A33" s="102">
        <f t="shared" si="0"/>
        <v>0</v>
      </c>
      <c r="B33" s="42" t="str">
        <f t="shared" si="5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8" t="e">
        <f t="shared" si="2"/>
        <v>#NUM!</v>
      </c>
      <c r="K33" s="98" t="e">
        <f t="shared" si="3"/>
        <v>#NUM!</v>
      </c>
      <c r="L33" s="98"/>
      <c r="M33" s="97">
        <f t="shared" si="4"/>
        <v>0</v>
      </c>
      <c r="N33" s="86"/>
      <c r="O33" s="86"/>
      <c r="P33" s="86"/>
      <c r="Q33" s="86"/>
      <c r="R33" s="86"/>
    </row>
    <row r="34" spans="1:19" s="85" customFormat="1" x14ac:dyDescent="0.25">
      <c r="A34" s="103">
        <f t="shared" si="0"/>
        <v>0</v>
      </c>
      <c r="B34" s="36" t="str">
        <f t="shared" si="5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3" t="e">
        <f t="shared" si="2"/>
        <v>#NUM!</v>
      </c>
      <c r="K34" s="93" t="e">
        <f t="shared" si="3"/>
        <v>#NUM!</v>
      </c>
      <c r="L34" s="93"/>
      <c r="M34" s="92">
        <f t="shared" si="4"/>
        <v>0</v>
      </c>
      <c r="N34" s="86"/>
      <c r="O34" s="86"/>
      <c r="P34" s="86"/>
      <c r="Q34" s="86"/>
      <c r="R34" s="86"/>
    </row>
    <row r="35" spans="1:19" s="85" customFormat="1" x14ac:dyDescent="0.25">
      <c r="A35" s="102">
        <f t="shared" si="0"/>
        <v>0</v>
      </c>
      <c r="B35" s="42" t="str">
        <f t="shared" si="5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8" t="e">
        <f t="shared" si="2"/>
        <v>#NUM!</v>
      </c>
      <c r="K35" s="98" t="e">
        <f t="shared" si="3"/>
        <v>#NUM!</v>
      </c>
      <c r="L35" s="98"/>
      <c r="M35" s="97">
        <f t="shared" si="4"/>
        <v>0</v>
      </c>
      <c r="N35" s="86"/>
      <c r="O35" s="86"/>
      <c r="P35" s="86"/>
      <c r="Q35" s="86"/>
      <c r="R35" s="86"/>
    </row>
    <row r="36" spans="1:19" s="85" customFormat="1" x14ac:dyDescent="0.25">
      <c r="A36" s="103">
        <f t="shared" si="0"/>
        <v>0</v>
      </c>
      <c r="B36" s="36" t="str">
        <f t="shared" si="5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3" t="e">
        <f t="shared" si="2"/>
        <v>#NUM!</v>
      </c>
      <c r="K36" s="93" t="e">
        <f t="shared" si="3"/>
        <v>#NUM!</v>
      </c>
      <c r="L36" s="93"/>
      <c r="M36" s="92">
        <f t="shared" si="4"/>
        <v>0</v>
      </c>
      <c r="N36" s="86"/>
      <c r="O36" s="86"/>
      <c r="P36" s="86"/>
      <c r="Q36" s="86"/>
      <c r="R36" s="106"/>
      <c r="S36" s="105"/>
    </row>
    <row r="37" spans="1:19" s="85" customFormat="1" x14ac:dyDescent="0.25">
      <c r="A37" s="102">
        <f t="shared" si="0"/>
        <v>0</v>
      </c>
      <c r="B37" s="42" t="str">
        <f t="shared" si="5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8" t="e">
        <f t="shared" si="2"/>
        <v>#NUM!</v>
      </c>
      <c r="K37" s="98" t="e">
        <f t="shared" si="3"/>
        <v>#NUM!</v>
      </c>
      <c r="L37" s="98"/>
      <c r="M37" s="97">
        <f t="shared" si="4"/>
        <v>0</v>
      </c>
      <c r="N37" s="86"/>
      <c r="O37" s="86"/>
      <c r="P37" s="86"/>
      <c r="Q37" s="86"/>
      <c r="R37" s="86"/>
    </row>
    <row r="38" spans="1:19" s="85" customFormat="1" x14ac:dyDescent="0.25">
      <c r="A38" s="103">
        <f t="shared" ref="A38:A69" si="6">M38</f>
        <v>0</v>
      </c>
      <c r="B38" s="36" t="str">
        <f t="shared" si="5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3" t="e">
        <f t="shared" si="2"/>
        <v>#NUM!</v>
      </c>
      <c r="K38" s="93" t="e">
        <f t="shared" si="3"/>
        <v>#NUM!</v>
      </c>
      <c r="L38" s="93"/>
      <c r="M38" s="92">
        <f t="shared" si="4"/>
        <v>0</v>
      </c>
      <c r="N38" s="86"/>
      <c r="O38" s="86"/>
      <c r="P38" s="86"/>
      <c r="Q38" s="86"/>
      <c r="R38" s="86"/>
    </row>
    <row r="39" spans="1:19" s="85" customFormat="1" x14ac:dyDescent="0.25">
      <c r="A39" s="102">
        <f t="shared" si="6"/>
        <v>0</v>
      </c>
      <c r="B39" s="42" t="str">
        <f t="shared" si="5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8" t="e">
        <f t="shared" si="2"/>
        <v>#NUM!</v>
      </c>
      <c r="K39" s="98" t="e">
        <f t="shared" si="3"/>
        <v>#NUM!</v>
      </c>
      <c r="L39" s="98"/>
      <c r="M39" s="97">
        <f t="shared" si="4"/>
        <v>0</v>
      </c>
      <c r="N39" s="86"/>
      <c r="O39" s="86"/>
      <c r="P39" s="86"/>
      <c r="Q39" s="86"/>
      <c r="R39" s="86"/>
    </row>
    <row r="40" spans="1:19" s="85" customFormat="1" x14ac:dyDescent="0.25">
      <c r="A40" s="103">
        <f t="shared" si="6"/>
        <v>0</v>
      </c>
      <c r="B40" s="36" t="str">
        <f t="shared" si="5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3" t="e">
        <f t="shared" si="2"/>
        <v>#NUM!</v>
      </c>
      <c r="K40" s="93" t="e">
        <f t="shared" si="3"/>
        <v>#NUM!</v>
      </c>
      <c r="L40" s="93"/>
      <c r="M40" s="92">
        <f t="shared" si="4"/>
        <v>0</v>
      </c>
      <c r="N40" s="86"/>
      <c r="O40" s="86"/>
      <c r="P40" s="86"/>
      <c r="Q40" s="86"/>
      <c r="R40" s="86"/>
    </row>
    <row r="41" spans="1:19" s="85" customFormat="1" x14ac:dyDescent="0.25">
      <c r="A41" s="102">
        <f t="shared" si="6"/>
        <v>0</v>
      </c>
      <c r="B41" s="42" t="str">
        <f t="shared" si="5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8" t="e">
        <f t="shared" si="2"/>
        <v>#NUM!</v>
      </c>
      <c r="K41" s="98" t="e">
        <f t="shared" si="3"/>
        <v>#NUM!</v>
      </c>
      <c r="L41" s="98"/>
      <c r="M41" s="97">
        <f t="shared" si="4"/>
        <v>0</v>
      </c>
      <c r="N41" s="86"/>
      <c r="O41" s="86"/>
      <c r="P41" s="86"/>
      <c r="Q41" s="86"/>
      <c r="R41" s="86"/>
      <c r="S41" s="104"/>
    </row>
    <row r="42" spans="1:19" s="85" customFormat="1" x14ac:dyDescent="0.25">
      <c r="A42" s="103">
        <f t="shared" si="6"/>
        <v>0</v>
      </c>
      <c r="B42" s="36" t="str">
        <f t="shared" ref="B42:B73" si="7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3" t="e">
        <f t="shared" si="2"/>
        <v>#NUM!</v>
      </c>
      <c r="K42" s="93" t="e">
        <f t="shared" si="3"/>
        <v>#NUM!</v>
      </c>
      <c r="L42" s="93"/>
      <c r="M42" s="92">
        <f t="shared" si="4"/>
        <v>0</v>
      </c>
      <c r="N42" s="86"/>
      <c r="O42" s="86"/>
      <c r="P42" s="86"/>
      <c r="Q42" s="86"/>
      <c r="R42" s="86"/>
    </row>
    <row r="43" spans="1:19" s="85" customFormat="1" x14ac:dyDescent="0.25">
      <c r="A43" s="102">
        <f t="shared" si="6"/>
        <v>0</v>
      </c>
      <c r="B43" s="42" t="str">
        <f t="shared" si="7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8" t="e">
        <f t="shared" si="2"/>
        <v>#NUM!</v>
      </c>
      <c r="K43" s="98" t="e">
        <f t="shared" si="3"/>
        <v>#NUM!</v>
      </c>
      <c r="L43" s="98"/>
      <c r="M43" s="97">
        <f t="shared" si="4"/>
        <v>0</v>
      </c>
      <c r="N43" s="86"/>
      <c r="O43" s="86"/>
      <c r="P43" s="86"/>
      <c r="Q43" s="86"/>
      <c r="R43" s="86"/>
    </row>
    <row r="44" spans="1:19" s="85" customFormat="1" x14ac:dyDescent="0.25">
      <c r="A44" s="103">
        <f t="shared" si="6"/>
        <v>0</v>
      </c>
      <c r="B44" s="36" t="str">
        <f t="shared" si="7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3" t="e">
        <f t="shared" si="2"/>
        <v>#NUM!</v>
      </c>
      <c r="K44" s="93" t="e">
        <f t="shared" si="3"/>
        <v>#NUM!</v>
      </c>
      <c r="L44" s="93"/>
      <c r="M44" s="92">
        <f t="shared" si="4"/>
        <v>0</v>
      </c>
      <c r="N44" s="86"/>
      <c r="O44" s="86"/>
      <c r="P44" s="86"/>
      <c r="Q44" s="86"/>
      <c r="R44" s="86"/>
    </row>
    <row r="45" spans="1:19" s="85" customFormat="1" x14ac:dyDescent="0.25">
      <c r="A45" s="102">
        <f t="shared" si="6"/>
        <v>0</v>
      </c>
      <c r="B45" s="42" t="str">
        <f t="shared" si="7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8" t="e">
        <f t="shared" si="2"/>
        <v>#NUM!</v>
      </c>
      <c r="K45" s="98" t="e">
        <f t="shared" si="3"/>
        <v>#NUM!</v>
      </c>
      <c r="L45" s="98"/>
      <c r="M45" s="97">
        <f t="shared" si="4"/>
        <v>0</v>
      </c>
      <c r="N45" s="86"/>
      <c r="O45" s="86"/>
      <c r="P45" s="86"/>
      <c r="Q45" s="86"/>
      <c r="R45" s="86"/>
    </row>
    <row r="46" spans="1:19" s="85" customFormat="1" x14ac:dyDescent="0.25">
      <c r="A46" s="103">
        <f t="shared" si="6"/>
        <v>0</v>
      </c>
      <c r="B46" s="36" t="str">
        <f t="shared" si="7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3" t="e">
        <f t="shared" si="2"/>
        <v>#NUM!</v>
      </c>
      <c r="K46" s="93" t="e">
        <f t="shared" si="3"/>
        <v>#NUM!</v>
      </c>
      <c r="L46" s="93"/>
      <c r="M46" s="92">
        <f t="shared" si="4"/>
        <v>0</v>
      </c>
      <c r="N46" s="86"/>
      <c r="O46" s="86"/>
      <c r="P46" s="86"/>
      <c r="Q46" s="86"/>
      <c r="R46" s="86"/>
    </row>
    <row r="47" spans="1:19" s="85" customFormat="1" x14ac:dyDescent="0.25">
      <c r="A47" s="102">
        <f t="shared" si="6"/>
        <v>0</v>
      </c>
      <c r="B47" s="42" t="str">
        <f t="shared" si="7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8" t="e">
        <f t="shared" si="2"/>
        <v>#NUM!</v>
      </c>
      <c r="K47" s="98" t="e">
        <f t="shared" si="3"/>
        <v>#NUM!</v>
      </c>
      <c r="L47" s="98"/>
      <c r="M47" s="97">
        <f t="shared" si="4"/>
        <v>0</v>
      </c>
      <c r="N47" s="86"/>
      <c r="O47" s="86"/>
      <c r="P47" s="86"/>
      <c r="Q47" s="86"/>
      <c r="R47" s="86"/>
    </row>
    <row r="48" spans="1:19" s="85" customFormat="1" x14ac:dyDescent="0.25">
      <c r="A48" s="103">
        <f t="shared" si="6"/>
        <v>0</v>
      </c>
      <c r="B48" s="36" t="str">
        <f t="shared" si="7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3" t="e">
        <f t="shared" si="2"/>
        <v>#NUM!</v>
      </c>
      <c r="K48" s="93" t="e">
        <f t="shared" si="3"/>
        <v>#NUM!</v>
      </c>
      <c r="L48" s="93"/>
      <c r="M48" s="92">
        <f t="shared" si="4"/>
        <v>0</v>
      </c>
      <c r="N48" s="86"/>
      <c r="O48" s="86"/>
      <c r="P48" s="86"/>
      <c r="Q48" s="86"/>
      <c r="R48" s="86"/>
    </row>
    <row r="49" spans="1:38" x14ac:dyDescent="0.25">
      <c r="A49" s="102">
        <f t="shared" si="6"/>
        <v>0</v>
      </c>
      <c r="B49" s="42" t="str">
        <f t="shared" si="7"/>
        <v/>
      </c>
      <c r="C49" s="43"/>
      <c r="D49" s="43"/>
      <c r="E49" s="43"/>
      <c r="F49" s="43"/>
      <c r="G49" s="86"/>
      <c r="H49" s="98">
        <v>44</v>
      </c>
      <c r="I49" s="99" t="str">
        <f t="shared" si="1"/>
        <v/>
      </c>
      <c r="J49" s="98" t="e">
        <f t="shared" si="2"/>
        <v>#NUM!</v>
      </c>
      <c r="K49" s="98" t="e">
        <f t="shared" si="3"/>
        <v>#NUM!</v>
      </c>
      <c r="L49" s="98"/>
      <c r="M49" s="97">
        <f t="shared" si="4"/>
        <v>0</v>
      </c>
    </row>
    <row r="50" spans="1:38" x14ac:dyDescent="0.25">
      <c r="A50" s="103">
        <f t="shared" si="6"/>
        <v>0</v>
      </c>
      <c r="B50" s="36" t="str">
        <f t="shared" si="7"/>
        <v/>
      </c>
      <c r="C50" s="37"/>
      <c r="D50" s="37"/>
      <c r="E50" s="37"/>
      <c r="F50" s="37"/>
      <c r="G50" s="86"/>
      <c r="H50" s="93">
        <v>45</v>
      </c>
      <c r="I50" s="94" t="str">
        <f t="shared" si="1"/>
        <v/>
      </c>
      <c r="J50" s="93" t="e">
        <f t="shared" si="2"/>
        <v>#NUM!</v>
      </c>
      <c r="K50" s="93" t="e">
        <f t="shared" si="3"/>
        <v>#NUM!</v>
      </c>
      <c r="L50" s="93"/>
      <c r="M50" s="92">
        <f t="shared" si="4"/>
        <v>0</v>
      </c>
    </row>
    <row r="51" spans="1:38" x14ac:dyDescent="0.25">
      <c r="A51" s="102">
        <f t="shared" si="6"/>
        <v>0</v>
      </c>
      <c r="B51" s="42" t="str">
        <f t="shared" si="7"/>
        <v/>
      </c>
      <c r="C51" s="43"/>
      <c r="D51" s="43"/>
      <c r="E51" s="43"/>
      <c r="F51" s="43"/>
      <c r="G51" s="86"/>
      <c r="H51" s="98">
        <v>46</v>
      </c>
      <c r="I51" s="99" t="str">
        <f t="shared" si="1"/>
        <v/>
      </c>
      <c r="J51" s="98" t="e">
        <f t="shared" si="2"/>
        <v>#NUM!</v>
      </c>
      <c r="K51" s="98" t="e">
        <f t="shared" si="3"/>
        <v>#NUM!</v>
      </c>
      <c r="L51" s="98"/>
      <c r="M51" s="97">
        <f t="shared" si="4"/>
        <v>0</v>
      </c>
    </row>
    <row r="52" spans="1:38" x14ac:dyDescent="0.25">
      <c r="A52" s="103">
        <f t="shared" si="6"/>
        <v>0</v>
      </c>
      <c r="B52" s="36" t="str">
        <f t="shared" si="7"/>
        <v/>
      </c>
      <c r="C52" s="37"/>
      <c r="D52" s="37"/>
      <c r="E52" s="37"/>
      <c r="F52" s="37"/>
      <c r="G52" s="86"/>
      <c r="H52" s="93">
        <v>47</v>
      </c>
      <c r="I52" s="94" t="str">
        <f t="shared" si="1"/>
        <v/>
      </c>
      <c r="J52" s="93" t="e">
        <f t="shared" si="2"/>
        <v>#NUM!</v>
      </c>
      <c r="K52" s="93" t="e">
        <f t="shared" si="3"/>
        <v>#NUM!</v>
      </c>
      <c r="L52" s="93"/>
      <c r="M52" s="92">
        <f t="shared" si="4"/>
        <v>0</v>
      </c>
    </row>
    <row r="53" spans="1:38" x14ac:dyDescent="0.25">
      <c r="A53" s="102">
        <f t="shared" si="6"/>
        <v>0</v>
      </c>
      <c r="B53" s="42" t="str">
        <f t="shared" si="7"/>
        <v/>
      </c>
      <c r="C53" s="43"/>
      <c r="D53" s="43"/>
      <c r="E53" s="43"/>
      <c r="F53" s="43"/>
      <c r="G53" s="86"/>
      <c r="H53" s="98">
        <v>48</v>
      </c>
      <c r="I53" s="99" t="str">
        <f t="shared" si="1"/>
        <v/>
      </c>
      <c r="J53" s="98" t="e">
        <f t="shared" si="2"/>
        <v>#NUM!</v>
      </c>
      <c r="K53" s="98" t="e">
        <f t="shared" si="3"/>
        <v>#NUM!</v>
      </c>
      <c r="L53" s="98"/>
      <c r="M53" s="97">
        <f t="shared" si="4"/>
        <v>0</v>
      </c>
    </row>
    <row r="54" spans="1:38" x14ac:dyDescent="0.25">
      <c r="A54" s="103">
        <f t="shared" si="6"/>
        <v>0</v>
      </c>
      <c r="B54" s="36" t="str">
        <f t="shared" si="7"/>
        <v/>
      </c>
      <c r="C54" s="37"/>
      <c r="D54" s="37"/>
      <c r="E54" s="37"/>
      <c r="F54" s="37"/>
      <c r="G54" s="86"/>
      <c r="H54" s="93">
        <v>49</v>
      </c>
      <c r="I54" s="94" t="str">
        <f t="shared" si="1"/>
        <v/>
      </c>
      <c r="J54" s="93" t="e">
        <f t="shared" si="2"/>
        <v>#NUM!</v>
      </c>
      <c r="K54" s="93" t="e">
        <f t="shared" si="3"/>
        <v>#NUM!</v>
      </c>
      <c r="L54" s="93"/>
      <c r="M54" s="92">
        <f t="shared" si="4"/>
        <v>0</v>
      </c>
    </row>
    <row r="55" spans="1:38" x14ac:dyDescent="0.25">
      <c r="A55" s="102">
        <f t="shared" si="6"/>
        <v>0</v>
      </c>
      <c r="B55" s="42" t="str">
        <f t="shared" si="7"/>
        <v/>
      </c>
      <c r="C55" s="43"/>
      <c r="D55" s="43"/>
      <c r="E55" s="43"/>
      <c r="F55" s="43"/>
      <c r="G55" s="86"/>
      <c r="H55" s="98">
        <v>50</v>
      </c>
      <c r="I55" s="99" t="str">
        <f t="shared" si="1"/>
        <v/>
      </c>
      <c r="J55" s="98" t="e">
        <f t="shared" si="2"/>
        <v>#NUM!</v>
      </c>
      <c r="K55" s="98" t="e">
        <f t="shared" si="3"/>
        <v>#NUM!</v>
      </c>
      <c r="L55" s="98"/>
      <c r="M55" s="97">
        <f t="shared" si="4"/>
        <v>0</v>
      </c>
    </row>
    <row r="56" spans="1:38" x14ac:dyDescent="0.25">
      <c r="A56" s="103">
        <f t="shared" si="6"/>
        <v>0</v>
      </c>
      <c r="B56" s="36" t="str">
        <f t="shared" si="7"/>
        <v/>
      </c>
      <c r="C56" s="37"/>
      <c r="D56" s="37"/>
      <c r="E56" s="37"/>
      <c r="F56" s="37"/>
      <c r="G56" s="86"/>
      <c r="H56" s="93">
        <v>51</v>
      </c>
      <c r="I56" s="94" t="str">
        <f t="shared" si="1"/>
        <v/>
      </c>
      <c r="J56" s="93" t="e">
        <f t="shared" si="2"/>
        <v>#NUM!</v>
      </c>
      <c r="K56" s="93" t="e">
        <f t="shared" si="3"/>
        <v>#NUM!</v>
      </c>
      <c r="L56" s="93"/>
      <c r="M56" s="92">
        <f t="shared" si="4"/>
        <v>0</v>
      </c>
    </row>
    <row r="57" spans="1:38" s="86" customFormat="1" x14ac:dyDescent="0.25">
      <c r="A57" s="102">
        <f t="shared" si="6"/>
        <v>0</v>
      </c>
      <c r="B57" s="42" t="str">
        <f t="shared" si="7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8" t="e">
        <f t="shared" si="2"/>
        <v>#NUM!</v>
      </c>
      <c r="K57" s="98" t="e">
        <f t="shared" si="3"/>
        <v>#NUM!</v>
      </c>
      <c r="L57" s="98"/>
      <c r="M57" s="97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3">
        <f t="shared" si="6"/>
        <v>0</v>
      </c>
      <c r="B58" s="36" t="str">
        <f t="shared" si="7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3" t="e">
        <f t="shared" si="2"/>
        <v>#NUM!</v>
      </c>
      <c r="K58" s="93" t="e">
        <f t="shared" si="3"/>
        <v>#NUM!</v>
      </c>
      <c r="L58" s="93"/>
      <c r="M58" s="92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2">
        <f t="shared" si="6"/>
        <v>0</v>
      </c>
      <c r="B59" s="42" t="str">
        <f t="shared" si="7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8" t="e">
        <f t="shared" si="2"/>
        <v>#NUM!</v>
      </c>
      <c r="K59" s="98" t="e">
        <f t="shared" si="3"/>
        <v>#NUM!</v>
      </c>
      <c r="L59" s="98"/>
      <c r="M59" s="97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3">
        <f t="shared" si="6"/>
        <v>0</v>
      </c>
      <c r="B60" s="36" t="str">
        <f t="shared" si="7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3" t="e">
        <f t="shared" si="2"/>
        <v>#NUM!</v>
      </c>
      <c r="K60" s="93" t="e">
        <f t="shared" si="3"/>
        <v>#NUM!</v>
      </c>
      <c r="L60" s="93"/>
      <c r="M60" s="92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2">
        <f t="shared" si="6"/>
        <v>0</v>
      </c>
      <c r="B61" s="42" t="str">
        <f t="shared" si="7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8" t="e">
        <f t="shared" si="2"/>
        <v>#NUM!</v>
      </c>
      <c r="K61" s="98" t="e">
        <f t="shared" si="3"/>
        <v>#NUM!</v>
      </c>
      <c r="L61" s="98"/>
      <c r="M61" s="97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3">
        <f t="shared" si="6"/>
        <v>0</v>
      </c>
      <c r="B62" s="36" t="str">
        <f t="shared" si="7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3" t="e">
        <f t="shared" si="2"/>
        <v>#NUM!</v>
      </c>
      <c r="K62" s="93" t="e">
        <f t="shared" si="3"/>
        <v>#NUM!</v>
      </c>
      <c r="L62" s="93"/>
      <c r="M62" s="92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2">
        <f t="shared" si="6"/>
        <v>0</v>
      </c>
      <c r="B63" s="42" t="str">
        <f t="shared" si="7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8" t="e">
        <f t="shared" si="2"/>
        <v>#NUM!</v>
      </c>
      <c r="K63" s="98" t="e">
        <f t="shared" si="3"/>
        <v>#NUM!</v>
      </c>
      <c r="L63" s="98"/>
      <c r="M63" s="97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3">
        <f t="shared" si="6"/>
        <v>0</v>
      </c>
      <c r="B64" s="36" t="str">
        <f t="shared" si="7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3" t="e">
        <f t="shared" si="2"/>
        <v>#NUM!</v>
      </c>
      <c r="K64" s="93" t="e">
        <f t="shared" si="3"/>
        <v>#NUM!</v>
      </c>
      <c r="L64" s="93"/>
      <c r="M64" s="92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2">
        <f t="shared" si="6"/>
        <v>0</v>
      </c>
      <c r="B65" s="42" t="str">
        <f t="shared" si="7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8" t="e">
        <f t="shared" si="2"/>
        <v>#NUM!</v>
      </c>
      <c r="K65" s="98" t="e">
        <f t="shared" si="3"/>
        <v>#NUM!</v>
      </c>
      <c r="L65" s="98"/>
      <c r="M65" s="97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103">
        <f t="shared" si="6"/>
        <v>0</v>
      </c>
      <c r="B66" s="36" t="str">
        <f t="shared" si="7"/>
        <v/>
      </c>
      <c r="C66" s="37"/>
      <c r="D66" s="37"/>
      <c r="E66" s="37"/>
      <c r="F66" s="37"/>
      <c r="H66" s="93">
        <v>61</v>
      </c>
      <c r="I66" s="94" t="str">
        <f t="shared" si="1"/>
        <v/>
      </c>
      <c r="J66" s="93" t="e">
        <f t="shared" si="2"/>
        <v>#NUM!</v>
      </c>
      <c r="K66" s="93" t="e">
        <f t="shared" si="3"/>
        <v>#NUM!</v>
      </c>
      <c r="L66" s="93"/>
      <c r="M66" s="92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102">
        <f t="shared" si="6"/>
        <v>0</v>
      </c>
      <c r="B67" s="42" t="str">
        <f t="shared" si="7"/>
        <v/>
      </c>
      <c r="C67" s="43"/>
      <c r="D67" s="43"/>
      <c r="E67" s="43"/>
      <c r="F67" s="43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97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103">
        <f t="shared" si="6"/>
        <v>0</v>
      </c>
      <c r="B68" s="36" t="str">
        <f t="shared" si="7"/>
        <v/>
      </c>
      <c r="C68" s="37"/>
      <c r="D68" s="37"/>
      <c r="E68" s="37"/>
      <c r="F68" s="37"/>
      <c r="H68" s="93">
        <v>63</v>
      </c>
      <c r="I68" s="94" t="str">
        <f t="shared" si="1"/>
        <v/>
      </c>
      <c r="J68" s="93" t="e">
        <f t="shared" si="2"/>
        <v>#NUM!</v>
      </c>
      <c r="K68" s="93" t="e">
        <f t="shared" si="3"/>
        <v>#NUM!</v>
      </c>
      <c r="L68" s="93"/>
      <c r="M68" s="92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102">
        <f t="shared" si="6"/>
        <v>0</v>
      </c>
      <c r="B69" s="42" t="str">
        <f t="shared" si="7"/>
        <v/>
      </c>
      <c r="C69" s="43"/>
      <c r="D69" s="43"/>
      <c r="E69" s="43"/>
      <c r="F69" s="43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97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103">
        <f t="shared" ref="A70:A101" si="8">M70</f>
        <v>0</v>
      </c>
      <c r="B70" s="36" t="str">
        <f t="shared" si="7"/>
        <v/>
      </c>
      <c r="C70" s="37"/>
      <c r="D70" s="37"/>
      <c r="E70" s="37"/>
      <c r="F70" s="37"/>
      <c r="H70" s="93">
        <v>65</v>
      </c>
      <c r="I70" s="94" t="str">
        <f t="shared" ref="I70:I133" si="9">IF(H70&lt;$H$2+1,($I$2-($I$2-1)*(LOG(H70)/LOG($H$2))),"")</f>
        <v/>
      </c>
      <c r="J70" s="93" t="e">
        <f t="shared" ref="J70:J133" si="10">INT(LOG($H$2,2))-ROUNDUP(LOG(H70,2),0)+IF(OR($H$2=1,$H$2=2,$H$2=4,$H$2=8,$H$2=16,$H$2=32,$H$2=64,$H$2=128,$H$2=256),0,1)</f>
        <v>#NUM!</v>
      </c>
      <c r="K70" s="93" t="e">
        <f t="shared" ref="K70:K133" si="11">J70*$J$2</f>
        <v>#NUM!</v>
      </c>
      <c r="L70" s="93"/>
      <c r="M70" s="92">
        <f t="shared" ref="M70:M133" si="12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102">
        <f t="shared" si="8"/>
        <v>0</v>
      </c>
      <c r="B71" s="42" t="str">
        <f t="shared" si="7"/>
        <v/>
      </c>
      <c r="C71" s="43"/>
      <c r="D71" s="43"/>
      <c r="E71" s="43"/>
      <c r="F71" s="43"/>
      <c r="H71" s="98">
        <v>66</v>
      </c>
      <c r="I71" s="99" t="str">
        <f t="shared" si="9"/>
        <v/>
      </c>
      <c r="J71" s="98" t="e">
        <f t="shared" si="10"/>
        <v>#NUM!</v>
      </c>
      <c r="K71" s="98" t="e">
        <f t="shared" si="11"/>
        <v>#NUM!</v>
      </c>
      <c r="L71" s="98"/>
      <c r="M71" s="97">
        <f t="shared" si="12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103">
        <f t="shared" si="8"/>
        <v>0</v>
      </c>
      <c r="B72" s="36" t="str">
        <f t="shared" si="7"/>
        <v/>
      </c>
      <c r="C72" s="37"/>
      <c r="D72" s="37"/>
      <c r="E72" s="37"/>
      <c r="F72" s="37"/>
      <c r="H72" s="93">
        <v>67</v>
      </c>
      <c r="I72" s="94" t="str">
        <f t="shared" si="9"/>
        <v/>
      </c>
      <c r="J72" s="93" t="e">
        <f t="shared" si="10"/>
        <v>#NUM!</v>
      </c>
      <c r="K72" s="93" t="e">
        <f t="shared" si="11"/>
        <v>#NUM!</v>
      </c>
      <c r="L72" s="93"/>
      <c r="M72" s="92">
        <f t="shared" si="12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102">
        <f t="shared" si="8"/>
        <v>0</v>
      </c>
      <c r="B73" s="42" t="str">
        <f t="shared" si="7"/>
        <v/>
      </c>
      <c r="C73" s="43"/>
      <c r="D73" s="43"/>
      <c r="E73" s="43"/>
      <c r="F73" s="43"/>
      <c r="H73" s="98">
        <v>68</v>
      </c>
      <c r="I73" s="99" t="str">
        <f t="shared" si="9"/>
        <v/>
      </c>
      <c r="J73" s="98" t="e">
        <f t="shared" si="10"/>
        <v>#NUM!</v>
      </c>
      <c r="K73" s="98" t="e">
        <f t="shared" si="11"/>
        <v>#NUM!</v>
      </c>
      <c r="L73" s="98"/>
      <c r="M73" s="97">
        <f t="shared" si="12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103">
        <f t="shared" si="8"/>
        <v>0</v>
      </c>
      <c r="B74" s="36" t="str">
        <f t="shared" ref="B74:B105" si="13">IF(H74&gt;$H$2,"",(ROW()-5))</f>
        <v/>
      </c>
      <c r="C74" s="37"/>
      <c r="D74" s="37"/>
      <c r="E74" s="37"/>
      <c r="F74" s="37"/>
      <c r="H74" s="93">
        <v>69</v>
      </c>
      <c r="I74" s="94" t="str">
        <f t="shared" si="9"/>
        <v/>
      </c>
      <c r="J74" s="93" t="e">
        <f t="shared" si="10"/>
        <v>#NUM!</v>
      </c>
      <c r="K74" s="93" t="e">
        <f t="shared" si="11"/>
        <v>#NUM!</v>
      </c>
      <c r="L74" s="93"/>
      <c r="M74" s="92">
        <f t="shared" si="12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102">
        <f t="shared" si="8"/>
        <v>0</v>
      </c>
      <c r="B75" s="42" t="str">
        <f t="shared" si="13"/>
        <v/>
      </c>
      <c r="C75" s="43"/>
      <c r="D75" s="43"/>
      <c r="E75" s="43"/>
      <c r="F75" s="43"/>
      <c r="H75" s="98">
        <v>70</v>
      </c>
      <c r="I75" s="99" t="str">
        <f t="shared" si="9"/>
        <v/>
      </c>
      <c r="J75" s="98" t="e">
        <f t="shared" si="10"/>
        <v>#NUM!</v>
      </c>
      <c r="K75" s="98" t="e">
        <f t="shared" si="11"/>
        <v>#NUM!</v>
      </c>
      <c r="L75" s="98"/>
      <c r="M75" s="97">
        <f t="shared" si="12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103">
        <f t="shared" si="8"/>
        <v>0</v>
      </c>
      <c r="B76" s="36" t="str">
        <f t="shared" si="13"/>
        <v/>
      </c>
      <c r="C76" s="37"/>
      <c r="D76" s="37"/>
      <c r="E76" s="37"/>
      <c r="F76" s="37"/>
      <c r="H76" s="93">
        <v>71</v>
      </c>
      <c r="I76" s="94" t="str">
        <f t="shared" si="9"/>
        <v/>
      </c>
      <c r="J76" s="93" t="e">
        <f t="shared" si="10"/>
        <v>#NUM!</v>
      </c>
      <c r="K76" s="93" t="e">
        <f t="shared" si="11"/>
        <v>#NUM!</v>
      </c>
      <c r="L76" s="93"/>
      <c r="M76" s="92">
        <f t="shared" si="12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102">
        <f t="shared" si="8"/>
        <v>0</v>
      </c>
      <c r="B77" s="42" t="str">
        <f t="shared" si="13"/>
        <v/>
      </c>
      <c r="C77" s="43"/>
      <c r="D77" s="43"/>
      <c r="E77" s="43"/>
      <c r="F77" s="43"/>
      <c r="H77" s="98">
        <v>72</v>
      </c>
      <c r="I77" s="99" t="str">
        <f t="shared" si="9"/>
        <v/>
      </c>
      <c r="J77" s="98" t="e">
        <f t="shared" si="10"/>
        <v>#NUM!</v>
      </c>
      <c r="K77" s="98" t="e">
        <f t="shared" si="11"/>
        <v>#NUM!</v>
      </c>
      <c r="L77" s="98"/>
      <c r="M77" s="97">
        <f t="shared" si="12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103">
        <f t="shared" si="8"/>
        <v>0</v>
      </c>
      <c r="B78" s="36" t="str">
        <f t="shared" si="13"/>
        <v/>
      </c>
      <c r="C78" s="37"/>
      <c r="D78" s="37"/>
      <c r="E78" s="37"/>
      <c r="F78" s="37"/>
      <c r="H78" s="93">
        <v>73</v>
      </c>
      <c r="I78" s="94" t="str">
        <f t="shared" si="9"/>
        <v/>
      </c>
      <c r="J78" s="93" t="e">
        <f t="shared" si="10"/>
        <v>#NUM!</v>
      </c>
      <c r="K78" s="93" t="e">
        <f t="shared" si="11"/>
        <v>#NUM!</v>
      </c>
      <c r="L78" s="93"/>
      <c r="M78" s="92">
        <f t="shared" si="12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102">
        <f t="shared" si="8"/>
        <v>0</v>
      </c>
      <c r="B79" s="42" t="str">
        <f t="shared" si="13"/>
        <v/>
      </c>
      <c r="C79" s="43"/>
      <c r="D79" s="43"/>
      <c r="E79" s="43"/>
      <c r="F79" s="43"/>
      <c r="H79" s="98">
        <v>74</v>
      </c>
      <c r="I79" s="99" t="str">
        <f t="shared" si="9"/>
        <v/>
      </c>
      <c r="J79" s="98" t="e">
        <f t="shared" si="10"/>
        <v>#NUM!</v>
      </c>
      <c r="K79" s="98" t="e">
        <f t="shared" si="11"/>
        <v>#NUM!</v>
      </c>
      <c r="L79" s="98"/>
      <c r="M79" s="97">
        <f t="shared" si="12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103">
        <f t="shared" si="8"/>
        <v>0</v>
      </c>
      <c r="B80" s="36" t="str">
        <f t="shared" si="13"/>
        <v/>
      </c>
      <c r="C80" s="37"/>
      <c r="D80" s="37"/>
      <c r="E80" s="37"/>
      <c r="F80" s="37"/>
      <c r="H80" s="93">
        <v>75</v>
      </c>
      <c r="I80" s="94" t="str">
        <f t="shared" si="9"/>
        <v/>
      </c>
      <c r="J80" s="93" t="e">
        <f t="shared" si="10"/>
        <v>#NUM!</v>
      </c>
      <c r="K80" s="93" t="e">
        <f t="shared" si="11"/>
        <v>#NUM!</v>
      </c>
      <c r="L80" s="93"/>
      <c r="M80" s="92">
        <f t="shared" si="12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102">
        <f t="shared" si="8"/>
        <v>0</v>
      </c>
      <c r="B81" s="42" t="str">
        <f t="shared" si="13"/>
        <v/>
      </c>
      <c r="C81" s="43"/>
      <c r="D81" s="43"/>
      <c r="E81" s="43"/>
      <c r="F81" s="43"/>
      <c r="H81" s="98">
        <v>76</v>
      </c>
      <c r="I81" s="99" t="str">
        <f t="shared" si="9"/>
        <v/>
      </c>
      <c r="J81" s="98" t="e">
        <f t="shared" si="10"/>
        <v>#NUM!</v>
      </c>
      <c r="K81" s="98" t="e">
        <f t="shared" si="11"/>
        <v>#NUM!</v>
      </c>
      <c r="L81" s="98"/>
      <c r="M81" s="97">
        <f t="shared" si="12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103">
        <f t="shared" si="8"/>
        <v>0</v>
      </c>
      <c r="B82" s="36" t="str">
        <f t="shared" si="13"/>
        <v/>
      </c>
      <c r="C82" s="37"/>
      <c r="D82" s="37"/>
      <c r="E82" s="37"/>
      <c r="F82" s="37"/>
      <c r="H82" s="93">
        <v>77</v>
      </c>
      <c r="I82" s="94" t="str">
        <f t="shared" si="9"/>
        <v/>
      </c>
      <c r="J82" s="93" t="e">
        <f t="shared" si="10"/>
        <v>#NUM!</v>
      </c>
      <c r="K82" s="93" t="e">
        <f t="shared" si="11"/>
        <v>#NUM!</v>
      </c>
      <c r="L82" s="93"/>
      <c r="M82" s="92">
        <f t="shared" si="12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102">
        <f t="shared" si="8"/>
        <v>0</v>
      </c>
      <c r="B83" s="42" t="str">
        <f t="shared" si="13"/>
        <v/>
      </c>
      <c r="C83" s="43"/>
      <c r="D83" s="43"/>
      <c r="E83" s="43"/>
      <c r="F83" s="43"/>
      <c r="H83" s="98">
        <v>78</v>
      </c>
      <c r="I83" s="99" t="str">
        <f t="shared" si="9"/>
        <v/>
      </c>
      <c r="J83" s="98" t="e">
        <f t="shared" si="10"/>
        <v>#NUM!</v>
      </c>
      <c r="K83" s="98" t="e">
        <f t="shared" si="11"/>
        <v>#NUM!</v>
      </c>
      <c r="L83" s="98"/>
      <c r="M83" s="97">
        <f t="shared" si="12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103">
        <f t="shared" si="8"/>
        <v>0</v>
      </c>
      <c r="B84" s="36" t="str">
        <f t="shared" si="13"/>
        <v/>
      </c>
      <c r="C84" s="37"/>
      <c r="D84" s="37"/>
      <c r="E84" s="37"/>
      <c r="F84" s="37"/>
      <c r="H84" s="93">
        <v>79</v>
      </c>
      <c r="I84" s="94" t="str">
        <f t="shared" si="9"/>
        <v/>
      </c>
      <c r="J84" s="93" t="e">
        <f t="shared" si="10"/>
        <v>#NUM!</v>
      </c>
      <c r="K84" s="93" t="e">
        <f t="shared" si="11"/>
        <v>#NUM!</v>
      </c>
      <c r="L84" s="93"/>
      <c r="M84" s="92">
        <f t="shared" si="12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102">
        <f t="shared" si="8"/>
        <v>0</v>
      </c>
      <c r="B85" s="42" t="str">
        <f t="shared" si="13"/>
        <v/>
      </c>
      <c r="C85" s="43"/>
      <c r="D85" s="43"/>
      <c r="E85" s="43"/>
      <c r="F85" s="43"/>
      <c r="H85" s="98">
        <v>80</v>
      </c>
      <c r="I85" s="99" t="str">
        <f t="shared" si="9"/>
        <v/>
      </c>
      <c r="J85" s="98" t="e">
        <f t="shared" si="10"/>
        <v>#NUM!</v>
      </c>
      <c r="K85" s="98" t="e">
        <f t="shared" si="11"/>
        <v>#NUM!</v>
      </c>
      <c r="L85" s="98"/>
      <c r="M85" s="97">
        <f t="shared" si="12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103">
        <f t="shared" si="8"/>
        <v>0</v>
      </c>
      <c r="B86" s="36" t="str">
        <f t="shared" si="13"/>
        <v/>
      </c>
      <c r="C86" s="37"/>
      <c r="D86" s="37"/>
      <c r="E86" s="37"/>
      <c r="F86" s="37"/>
      <c r="H86" s="93">
        <v>81</v>
      </c>
      <c r="I86" s="94" t="str">
        <f t="shared" si="9"/>
        <v/>
      </c>
      <c r="J86" s="93" t="e">
        <f t="shared" si="10"/>
        <v>#NUM!</v>
      </c>
      <c r="K86" s="93" t="e">
        <f t="shared" si="11"/>
        <v>#NUM!</v>
      </c>
      <c r="L86" s="93"/>
      <c r="M86" s="92">
        <f t="shared" si="12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102">
        <f t="shared" si="8"/>
        <v>0</v>
      </c>
      <c r="B87" s="42" t="str">
        <f t="shared" si="13"/>
        <v/>
      </c>
      <c r="C87" s="43"/>
      <c r="D87" s="43"/>
      <c r="E87" s="43"/>
      <c r="F87" s="43"/>
      <c r="H87" s="98">
        <v>82</v>
      </c>
      <c r="I87" s="99" t="str">
        <f t="shared" si="9"/>
        <v/>
      </c>
      <c r="J87" s="98" t="e">
        <f t="shared" si="10"/>
        <v>#NUM!</v>
      </c>
      <c r="K87" s="98" t="e">
        <f t="shared" si="11"/>
        <v>#NUM!</v>
      </c>
      <c r="L87" s="98"/>
      <c r="M87" s="97">
        <f t="shared" si="12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103">
        <f t="shared" si="8"/>
        <v>0</v>
      </c>
      <c r="B88" s="36" t="str">
        <f t="shared" si="13"/>
        <v/>
      </c>
      <c r="C88" s="37"/>
      <c r="D88" s="37"/>
      <c r="E88" s="37"/>
      <c r="F88" s="37"/>
      <c r="H88" s="93">
        <v>83</v>
      </c>
      <c r="I88" s="94" t="str">
        <f t="shared" si="9"/>
        <v/>
      </c>
      <c r="J88" s="93" t="e">
        <f t="shared" si="10"/>
        <v>#NUM!</v>
      </c>
      <c r="K88" s="93" t="e">
        <f t="shared" si="11"/>
        <v>#NUM!</v>
      </c>
      <c r="L88" s="93"/>
      <c r="M88" s="92">
        <f t="shared" si="12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102">
        <f t="shared" si="8"/>
        <v>0</v>
      </c>
      <c r="B89" s="42" t="str">
        <f t="shared" si="13"/>
        <v/>
      </c>
      <c r="C89" s="43"/>
      <c r="D89" s="43"/>
      <c r="E89" s="43"/>
      <c r="F89" s="43"/>
      <c r="H89" s="98">
        <v>84</v>
      </c>
      <c r="I89" s="99" t="str">
        <f t="shared" si="9"/>
        <v/>
      </c>
      <c r="J89" s="98" t="e">
        <f t="shared" si="10"/>
        <v>#NUM!</v>
      </c>
      <c r="K89" s="98" t="e">
        <f t="shared" si="11"/>
        <v>#NUM!</v>
      </c>
      <c r="L89" s="98"/>
      <c r="M89" s="97">
        <f t="shared" si="12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103">
        <f t="shared" si="8"/>
        <v>0</v>
      </c>
      <c r="B90" s="36" t="str">
        <f t="shared" si="13"/>
        <v/>
      </c>
      <c r="C90" s="37"/>
      <c r="D90" s="37"/>
      <c r="E90" s="37"/>
      <c r="F90" s="37"/>
      <c r="H90" s="93">
        <v>85</v>
      </c>
      <c r="I90" s="94" t="str">
        <f t="shared" si="9"/>
        <v/>
      </c>
      <c r="J90" s="93" t="e">
        <f t="shared" si="10"/>
        <v>#NUM!</v>
      </c>
      <c r="K90" s="93" t="e">
        <f t="shared" si="11"/>
        <v>#NUM!</v>
      </c>
      <c r="L90" s="93"/>
      <c r="M90" s="92">
        <f t="shared" si="12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102">
        <f t="shared" si="8"/>
        <v>0</v>
      </c>
      <c r="B91" s="42" t="str">
        <f t="shared" si="13"/>
        <v/>
      </c>
      <c r="C91" s="43"/>
      <c r="D91" s="43"/>
      <c r="E91" s="43"/>
      <c r="F91" s="43"/>
      <c r="H91" s="98">
        <v>86</v>
      </c>
      <c r="I91" s="99" t="str">
        <f t="shared" si="9"/>
        <v/>
      </c>
      <c r="J91" s="98" t="e">
        <f t="shared" si="10"/>
        <v>#NUM!</v>
      </c>
      <c r="K91" s="98" t="e">
        <f t="shared" si="11"/>
        <v>#NUM!</v>
      </c>
      <c r="L91" s="98"/>
      <c r="M91" s="97">
        <f t="shared" si="12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103">
        <f t="shared" si="8"/>
        <v>0</v>
      </c>
      <c r="B92" s="36" t="str">
        <f t="shared" si="13"/>
        <v/>
      </c>
      <c r="C92" s="37"/>
      <c r="D92" s="37"/>
      <c r="E92" s="37"/>
      <c r="F92" s="37"/>
      <c r="H92" s="93">
        <v>87</v>
      </c>
      <c r="I92" s="94" t="str">
        <f t="shared" si="9"/>
        <v/>
      </c>
      <c r="J92" s="93" t="e">
        <f t="shared" si="10"/>
        <v>#NUM!</v>
      </c>
      <c r="K92" s="93" t="e">
        <f t="shared" si="11"/>
        <v>#NUM!</v>
      </c>
      <c r="L92" s="93"/>
      <c r="M92" s="92">
        <f t="shared" si="12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102">
        <f t="shared" si="8"/>
        <v>0</v>
      </c>
      <c r="B93" s="42" t="str">
        <f t="shared" si="13"/>
        <v/>
      </c>
      <c r="C93" s="43"/>
      <c r="D93" s="43"/>
      <c r="E93" s="43"/>
      <c r="F93" s="43"/>
      <c r="H93" s="98">
        <v>88</v>
      </c>
      <c r="I93" s="99" t="str">
        <f t="shared" si="9"/>
        <v/>
      </c>
      <c r="J93" s="98" t="e">
        <f t="shared" si="10"/>
        <v>#NUM!</v>
      </c>
      <c r="K93" s="98" t="e">
        <f t="shared" si="11"/>
        <v>#NUM!</v>
      </c>
      <c r="L93" s="98"/>
      <c r="M93" s="97">
        <f t="shared" si="12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103">
        <f t="shared" si="8"/>
        <v>0</v>
      </c>
      <c r="B94" s="36" t="str">
        <f t="shared" si="13"/>
        <v/>
      </c>
      <c r="C94" s="37"/>
      <c r="D94" s="37"/>
      <c r="E94" s="37"/>
      <c r="F94" s="37"/>
      <c r="H94" s="93">
        <v>89</v>
      </c>
      <c r="I94" s="94" t="str">
        <f t="shared" si="9"/>
        <v/>
      </c>
      <c r="J94" s="93" t="e">
        <f t="shared" si="10"/>
        <v>#NUM!</v>
      </c>
      <c r="K94" s="93" t="e">
        <f t="shared" si="11"/>
        <v>#NUM!</v>
      </c>
      <c r="L94" s="93"/>
      <c r="M94" s="92">
        <f t="shared" si="12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102">
        <f t="shared" si="8"/>
        <v>0</v>
      </c>
      <c r="B95" s="42" t="str">
        <f t="shared" si="13"/>
        <v/>
      </c>
      <c r="C95" s="43"/>
      <c r="D95" s="43"/>
      <c r="E95" s="43"/>
      <c r="F95" s="43"/>
      <c r="H95" s="98">
        <v>90</v>
      </c>
      <c r="I95" s="99" t="str">
        <f t="shared" si="9"/>
        <v/>
      </c>
      <c r="J95" s="98" t="e">
        <f t="shared" si="10"/>
        <v>#NUM!</v>
      </c>
      <c r="K95" s="98" t="e">
        <f t="shared" si="11"/>
        <v>#NUM!</v>
      </c>
      <c r="L95" s="98"/>
      <c r="M95" s="97">
        <f t="shared" si="12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103">
        <f t="shared" si="8"/>
        <v>0</v>
      </c>
      <c r="B96" s="36" t="str">
        <f t="shared" si="13"/>
        <v/>
      </c>
      <c r="C96" s="37"/>
      <c r="D96" s="37"/>
      <c r="E96" s="37"/>
      <c r="F96" s="37"/>
      <c r="H96" s="93">
        <v>91</v>
      </c>
      <c r="I96" s="94" t="str">
        <f t="shared" si="9"/>
        <v/>
      </c>
      <c r="J96" s="93" t="e">
        <f t="shared" si="10"/>
        <v>#NUM!</v>
      </c>
      <c r="K96" s="93" t="e">
        <f t="shared" si="11"/>
        <v>#NUM!</v>
      </c>
      <c r="L96" s="93"/>
      <c r="M96" s="92">
        <f t="shared" si="12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102">
        <f t="shared" si="8"/>
        <v>0</v>
      </c>
      <c r="B97" s="42" t="str">
        <f t="shared" si="13"/>
        <v/>
      </c>
      <c r="C97" s="43"/>
      <c r="D97" s="43"/>
      <c r="E97" s="43"/>
      <c r="F97" s="43"/>
      <c r="H97" s="98">
        <v>92</v>
      </c>
      <c r="I97" s="99" t="str">
        <f t="shared" si="9"/>
        <v/>
      </c>
      <c r="J97" s="98" t="e">
        <f t="shared" si="10"/>
        <v>#NUM!</v>
      </c>
      <c r="K97" s="98" t="e">
        <f t="shared" si="11"/>
        <v>#NUM!</v>
      </c>
      <c r="L97" s="98"/>
      <c r="M97" s="97">
        <f t="shared" si="12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103">
        <f t="shared" si="8"/>
        <v>0</v>
      </c>
      <c r="B98" s="36" t="str">
        <f t="shared" si="13"/>
        <v/>
      </c>
      <c r="C98" s="37"/>
      <c r="D98" s="37"/>
      <c r="E98" s="37"/>
      <c r="F98" s="37"/>
      <c r="H98" s="93">
        <v>93</v>
      </c>
      <c r="I98" s="94" t="str">
        <f t="shared" si="9"/>
        <v/>
      </c>
      <c r="J98" s="93" t="e">
        <f t="shared" si="10"/>
        <v>#NUM!</v>
      </c>
      <c r="K98" s="93" t="e">
        <f t="shared" si="11"/>
        <v>#NUM!</v>
      </c>
      <c r="L98" s="93"/>
      <c r="M98" s="92">
        <f t="shared" si="12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102">
        <f t="shared" si="8"/>
        <v>0</v>
      </c>
      <c r="B99" s="42" t="str">
        <f t="shared" si="13"/>
        <v/>
      </c>
      <c r="C99" s="43"/>
      <c r="D99" s="43"/>
      <c r="E99" s="43"/>
      <c r="F99" s="43"/>
      <c r="H99" s="98">
        <v>94</v>
      </c>
      <c r="I99" s="99" t="str">
        <f t="shared" si="9"/>
        <v/>
      </c>
      <c r="J99" s="98" t="e">
        <f t="shared" si="10"/>
        <v>#NUM!</v>
      </c>
      <c r="K99" s="98" t="e">
        <f t="shared" si="11"/>
        <v>#NUM!</v>
      </c>
      <c r="L99" s="98"/>
      <c r="M99" s="97">
        <f t="shared" si="12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103">
        <f t="shared" si="8"/>
        <v>0</v>
      </c>
      <c r="B100" s="36" t="str">
        <f t="shared" si="13"/>
        <v/>
      </c>
      <c r="C100" s="37"/>
      <c r="D100" s="37"/>
      <c r="E100" s="37"/>
      <c r="F100" s="37"/>
      <c r="H100" s="93">
        <v>95</v>
      </c>
      <c r="I100" s="94" t="str">
        <f t="shared" si="9"/>
        <v/>
      </c>
      <c r="J100" s="93" t="e">
        <f t="shared" si="10"/>
        <v>#NUM!</v>
      </c>
      <c r="K100" s="93" t="e">
        <f t="shared" si="11"/>
        <v>#NUM!</v>
      </c>
      <c r="L100" s="93"/>
      <c r="M100" s="92">
        <f t="shared" si="12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102">
        <f t="shared" si="8"/>
        <v>0</v>
      </c>
      <c r="B101" s="42" t="str">
        <f t="shared" si="13"/>
        <v/>
      </c>
      <c r="C101" s="43"/>
      <c r="D101" s="43"/>
      <c r="E101" s="43"/>
      <c r="F101" s="43"/>
      <c r="H101" s="98">
        <v>96</v>
      </c>
      <c r="I101" s="99" t="str">
        <f t="shared" si="9"/>
        <v/>
      </c>
      <c r="J101" s="98" t="e">
        <f t="shared" si="10"/>
        <v>#NUM!</v>
      </c>
      <c r="K101" s="98" t="e">
        <f t="shared" si="11"/>
        <v>#NUM!</v>
      </c>
      <c r="L101" s="98"/>
      <c r="M101" s="97">
        <f t="shared" si="12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103">
        <f t="shared" ref="A102:A133" si="14">M102</f>
        <v>0</v>
      </c>
      <c r="B102" s="36" t="str">
        <f t="shared" si="13"/>
        <v/>
      </c>
      <c r="C102" s="37"/>
      <c r="D102" s="37"/>
      <c r="E102" s="37"/>
      <c r="F102" s="37"/>
      <c r="H102" s="93">
        <v>97</v>
      </c>
      <c r="I102" s="94" t="str">
        <f t="shared" si="9"/>
        <v/>
      </c>
      <c r="J102" s="93" t="e">
        <f t="shared" si="10"/>
        <v>#NUM!</v>
      </c>
      <c r="K102" s="93" t="e">
        <f t="shared" si="11"/>
        <v>#NUM!</v>
      </c>
      <c r="L102" s="93"/>
      <c r="M102" s="92">
        <f t="shared" si="12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102">
        <f t="shared" si="14"/>
        <v>0</v>
      </c>
      <c r="B103" s="42" t="str">
        <f t="shared" si="13"/>
        <v/>
      </c>
      <c r="C103" s="43"/>
      <c r="D103" s="43"/>
      <c r="E103" s="43"/>
      <c r="F103" s="43"/>
      <c r="H103" s="98">
        <v>98</v>
      </c>
      <c r="I103" s="99" t="str">
        <f t="shared" si="9"/>
        <v/>
      </c>
      <c r="J103" s="98" t="e">
        <f t="shared" si="10"/>
        <v>#NUM!</v>
      </c>
      <c r="K103" s="98" t="e">
        <f t="shared" si="11"/>
        <v>#NUM!</v>
      </c>
      <c r="L103" s="98"/>
      <c r="M103" s="97">
        <f t="shared" si="12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103">
        <f t="shared" si="14"/>
        <v>0</v>
      </c>
      <c r="B104" s="36" t="str">
        <f t="shared" si="13"/>
        <v/>
      </c>
      <c r="C104" s="37"/>
      <c r="D104" s="37"/>
      <c r="E104" s="37"/>
      <c r="F104" s="37"/>
      <c r="H104" s="93">
        <v>99</v>
      </c>
      <c r="I104" s="94" t="str">
        <f t="shared" si="9"/>
        <v/>
      </c>
      <c r="J104" s="93" t="e">
        <f t="shared" si="10"/>
        <v>#NUM!</v>
      </c>
      <c r="K104" s="93" t="e">
        <f t="shared" si="11"/>
        <v>#NUM!</v>
      </c>
      <c r="L104" s="93"/>
      <c r="M104" s="92">
        <f t="shared" si="12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102">
        <f t="shared" si="14"/>
        <v>0</v>
      </c>
      <c r="B105" s="42" t="str">
        <f t="shared" si="13"/>
        <v/>
      </c>
      <c r="C105" s="43"/>
      <c r="D105" s="43"/>
      <c r="E105" s="43"/>
      <c r="F105" s="43"/>
      <c r="H105" s="98">
        <v>100</v>
      </c>
      <c r="I105" s="99" t="str">
        <f t="shared" si="9"/>
        <v/>
      </c>
      <c r="J105" s="98" t="e">
        <f t="shared" si="10"/>
        <v>#NUM!</v>
      </c>
      <c r="K105" s="98" t="e">
        <f t="shared" si="11"/>
        <v>#NUM!</v>
      </c>
      <c r="L105" s="98"/>
      <c r="M105" s="97">
        <f t="shared" si="12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103">
        <f t="shared" si="14"/>
        <v>0</v>
      </c>
      <c r="B106" s="36" t="str">
        <f t="shared" ref="B106:B140" si="15">IF(H106&gt;$H$2,"",(ROW()-5))</f>
        <v/>
      </c>
      <c r="C106" s="37"/>
      <c r="D106" s="37"/>
      <c r="E106" s="37"/>
      <c r="F106" s="37"/>
      <c r="H106" s="93">
        <v>101</v>
      </c>
      <c r="I106" s="94" t="str">
        <f t="shared" si="9"/>
        <v/>
      </c>
      <c r="J106" s="93" t="e">
        <f t="shared" si="10"/>
        <v>#NUM!</v>
      </c>
      <c r="K106" s="93" t="e">
        <f t="shared" si="11"/>
        <v>#NUM!</v>
      </c>
      <c r="L106" s="93"/>
      <c r="M106" s="92">
        <f t="shared" si="12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102">
        <f t="shared" si="14"/>
        <v>0</v>
      </c>
      <c r="B107" s="42" t="str">
        <f t="shared" si="15"/>
        <v/>
      </c>
      <c r="C107" s="43"/>
      <c r="D107" s="43"/>
      <c r="E107" s="43"/>
      <c r="F107" s="43"/>
      <c r="H107" s="98">
        <v>102</v>
      </c>
      <c r="I107" s="99" t="str">
        <f t="shared" si="9"/>
        <v/>
      </c>
      <c r="J107" s="98" t="e">
        <f t="shared" si="10"/>
        <v>#NUM!</v>
      </c>
      <c r="K107" s="98" t="e">
        <f t="shared" si="11"/>
        <v>#NUM!</v>
      </c>
      <c r="L107" s="98"/>
      <c r="M107" s="97">
        <f t="shared" si="12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103">
        <f t="shared" si="14"/>
        <v>0</v>
      </c>
      <c r="B108" s="36" t="str">
        <f t="shared" si="15"/>
        <v/>
      </c>
      <c r="C108" s="37"/>
      <c r="D108" s="37"/>
      <c r="E108" s="37"/>
      <c r="F108" s="37"/>
      <c r="H108" s="93">
        <v>103</v>
      </c>
      <c r="I108" s="94" t="str">
        <f t="shared" si="9"/>
        <v/>
      </c>
      <c r="J108" s="93" t="e">
        <f t="shared" si="10"/>
        <v>#NUM!</v>
      </c>
      <c r="K108" s="93" t="e">
        <f t="shared" si="11"/>
        <v>#NUM!</v>
      </c>
      <c r="L108" s="93"/>
      <c r="M108" s="92">
        <f t="shared" si="12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102">
        <f t="shared" si="14"/>
        <v>0</v>
      </c>
      <c r="B109" s="42" t="str">
        <f t="shared" si="15"/>
        <v/>
      </c>
      <c r="C109" s="43"/>
      <c r="D109" s="43"/>
      <c r="E109" s="43"/>
      <c r="F109" s="43"/>
      <c r="H109" s="98">
        <v>104</v>
      </c>
      <c r="I109" s="99" t="str">
        <f t="shared" si="9"/>
        <v/>
      </c>
      <c r="J109" s="98" t="e">
        <f t="shared" si="10"/>
        <v>#NUM!</v>
      </c>
      <c r="K109" s="98" t="e">
        <f t="shared" si="11"/>
        <v>#NUM!</v>
      </c>
      <c r="L109" s="98"/>
      <c r="M109" s="97">
        <f t="shared" si="12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103">
        <f t="shared" si="14"/>
        <v>0</v>
      </c>
      <c r="B110" s="36" t="str">
        <f t="shared" si="15"/>
        <v/>
      </c>
      <c r="C110" s="37"/>
      <c r="D110" s="37"/>
      <c r="E110" s="37"/>
      <c r="F110" s="37"/>
      <c r="H110" s="93">
        <v>105</v>
      </c>
      <c r="I110" s="94" t="str">
        <f t="shared" si="9"/>
        <v/>
      </c>
      <c r="J110" s="93" t="e">
        <f t="shared" si="10"/>
        <v>#NUM!</v>
      </c>
      <c r="K110" s="93" t="e">
        <f t="shared" si="11"/>
        <v>#NUM!</v>
      </c>
      <c r="L110" s="93"/>
      <c r="M110" s="92">
        <f t="shared" si="12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102">
        <f t="shared" si="14"/>
        <v>0</v>
      </c>
      <c r="B111" s="42" t="str">
        <f t="shared" si="15"/>
        <v/>
      </c>
      <c r="C111" s="43"/>
      <c r="D111" s="43"/>
      <c r="E111" s="43"/>
      <c r="F111" s="43"/>
      <c r="H111" s="98">
        <v>106</v>
      </c>
      <c r="I111" s="99" t="str">
        <f t="shared" si="9"/>
        <v/>
      </c>
      <c r="J111" s="98" t="e">
        <f t="shared" si="10"/>
        <v>#NUM!</v>
      </c>
      <c r="K111" s="98" t="e">
        <f t="shared" si="11"/>
        <v>#NUM!</v>
      </c>
      <c r="L111" s="98"/>
      <c r="M111" s="97">
        <f t="shared" si="12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103">
        <f t="shared" si="14"/>
        <v>0</v>
      </c>
      <c r="B112" s="36" t="str">
        <f t="shared" si="15"/>
        <v/>
      </c>
      <c r="C112" s="37"/>
      <c r="D112" s="37"/>
      <c r="E112" s="37"/>
      <c r="F112" s="37"/>
      <c r="H112" s="93">
        <v>107</v>
      </c>
      <c r="I112" s="94" t="str">
        <f t="shared" si="9"/>
        <v/>
      </c>
      <c r="J112" s="93" t="e">
        <f t="shared" si="10"/>
        <v>#NUM!</v>
      </c>
      <c r="K112" s="93" t="e">
        <f t="shared" si="11"/>
        <v>#NUM!</v>
      </c>
      <c r="L112" s="93"/>
      <c r="M112" s="92">
        <f t="shared" si="12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102">
        <f t="shared" si="14"/>
        <v>0</v>
      </c>
      <c r="B113" s="42" t="str">
        <f t="shared" si="15"/>
        <v/>
      </c>
      <c r="C113" s="43"/>
      <c r="D113" s="43"/>
      <c r="E113" s="43"/>
      <c r="F113" s="43"/>
      <c r="H113" s="98">
        <v>108</v>
      </c>
      <c r="I113" s="99" t="str">
        <f t="shared" si="9"/>
        <v/>
      </c>
      <c r="J113" s="98" t="e">
        <f t="shared" si="10"/>
        <v>#NUM!</v>
      </c>
      <c r="K113" s="98" t="e">
        <f t="shared" si="11"/>
        <v>#NUM!</v>
      </c>
      <c r="L113" s="98"/>
      <c r="M113" s="97">
        <f t="shared" si="12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103">
        <f t="shared" si="14"/>
        <v>0</v>
      </c>
      <c r="B114" s="36" t="str">
        <f t="shared" si="15"/>
        <v/>
      </c>
      <c r="C114" s="37"/>
      <c r="D114" s="37"/>
      <c r="E114" s="37"/>
      <c r="F114" s="37"/>
      <c r="H114" s="93">
        <v>109</v>
      </c>
      <c r="I114" s="94" t="str">
        <f t="shared" si="9"/>
        <v/>
      </c>
      <c r="J114" s="93" t="e">
        <f t="shared" si="10"/>
        <v>#NUM!</v>
      </c>
      <c r="K114" s="93" t="e">
        <f t="shared" si="11"/>
        <v>#NUM!</v>
      </c>
      <c r="L114" s="93"/>
      <c r="M114" s="92">
        <f t="shared" si="12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102">
        <f t="shared" si="14"/>
        <v>0</v>
      </c>
      <c r="B115" s="42" t="str">
        <f t="shared" si="15"/>
        <v/>
      </c>
      <c r="C115" s="43"/>
      <c r="D115" s="43"/>
      <c r="E115" s="43"/>
      <c r="F115" s="43"/>
      <c r="H115" s="98">
        <v>110</v>
      </c>
      <c r="I115" s="99" t="str">
        <f t="shared" si="9"/>
        <v/>
      </c>
      <c r="J115" s="98" t="e">
        <f t="shared" si="10"/>
        <v>#NUM!</v>
      </c>
      <c r="K115" s="98" t="e">
        <f t="shared" si="11"/>
        <v>#NUM!</v>
      </c>
      <c r="L115" s="98"/>
      <c r="M115" s="97">
        <f t="shared" si="12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103">
        <f t="shared" si="14"/>
        <v>0</v>
      </c>
      <c r="B116" s="36" t="str">
        <f t="shared" si="15"/>
        <v/>
      </c>
      <c r="C116" s="37"/>
      <c r="D116" s="37"/>
      <c r="E116" s="37"/>
      <c r="F116" s="37"/>
      <c r="H116" s="93">
        <v>111</v>
      </c>
      <c r="I116" s="94" t="str">
        <f t="shared" si="9"/>
        <v/>
      </c>
      <c r="J116" s="93" t="e">
        <f t="shared" si="10"/>
        <v>#NUM!</v>
      </c>
      <c r="K116" s="93" t="e">
        <f t="shared" si="11"/>
        <v>#NUM!</v>
      </c>
      <c r="L116" s="93"/>
      <c r="M116" s="92">
        <f t="shared" si="12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102">
        <f t="shared" si="14"/>
        <v>0</v>
      </c>
      <c r="B117" s="42" t="str">
        <f t="shared" si="15"/>
        <v/>
      </c>
      <c r="C117" s="43"/>
      <c r="D117" s="43"/>
      <c r="E117" s="43"/>
      <c r="F117" s="43"/>
      <c r="H117" s="98">
        <v>112</v>
      </c>
      <c r="I117" s="99" t="str">
        <f t="shared" si="9"/>
        <v/>
      </c>
      <c r="J117" s="98" t="e">
        <f t="shared" si="10"/>
        <v>#NUM!</v>
      </c>
      <c r="K117" s="98" t="e">
        <f t="shared" si="11"/>
        <v>#NUM!</v>
      </c>
      <c r="L117" s="98"/>
      <c r="M117" s="97">
        <f t="shared" si="12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103">
        <f t="shared" si="14"/>
        <v>0</v>
      </c>
      <c r="B118" s="36" t="str">
        <f t="shared" si="15"/>
        <v/>
      </c>
      <c r="C118" s="37"/>
      <c r="D118" s="37"/>
      <c r="E118" s="37"/>
      <c r="F118" s="37"/>
      <c r="H118" s="93">
        <v>113</v>
      </c>
      <c r="I118" s="94" t="str">
        <f t="shared" si="9"/>
        <v/>
      </c>
      <c r="J118" s="93" t="e">
        <f t="shared" si="10"/>
        <v>#NUM!</v>
      </c>
      <c r="K118" s="93" t="e">
        <f t="shared" si="11"/>
        <v>#NUM!</v>
      </c>
      <c r="L118" s="93"/>
      <c r="M118" s="92">
        <f t="shared" si="12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102">
        <f t="shared" si="14"/>
        <v>0</v>
      </c>
      <c r="B119" s="42" t="str">
        <f t="shared" si="15"/>
        <v/>
      </c>
      <c r="C119" s="43"/>
      <c r="D119" s="43"/>
      <c r="E119" s="43"/>
      <c r="F119" s="43"/>
      <c r="H119" s="98">
        <v>114</v>
      </c>
      <c r="I119" s="99" t="str">
        <f t="shared" si="9"/>
        <v/>
      </c>
      <c r="J119" s="98" t="e">
        <f t="shared" si="10"/>
        <v>#NUM!</v>
      </c>
      <c r="K119" s="98" t="e">
        <f t="shared" si="11"/>
        <v>#NUM!</v>
      </c>
      <c r="L119" s="98"/>
      <c r="M119" s="97">
        <f t="shared" si="12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103">
        <f t="shared" si="14"/>
        <v>0</v>
      </c>
      <c r="B120" s="36" t="str">
        <f t="shared" si="15"/>
        <v/>
      </c>
      <c r="C120" s="37"/>
      <c r="D120" s="37"/>
      <c r="E120" s="37"/>
      <c r="F120" s="37"/>
      <c r="H120" s="93">
        <v>115</v>
      </c>
      <c r="I120" s="94" t="str">
        <f t="shared" si="9"/>
        <v/>
      </c>
      <c r="J120" s="93" t="e">
        <f t="shared" si="10"/>
        <v>#NUM!</v>
      </c>
      <c r="K120" s="93" t="e">
        <f t="shared" si="11"/>
        <v>#NUM!</v>
      </c>
      <c r="L120" s="93"/>
      <c r="M120" s="92">
        <f t="shared" si="12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102">
        <f t="shared" si="14"/>
        <v>0</v>
      </c>
      <c r="B121" s="42" t="str">
        <f t="shared" si="15"/>
        <v/>
      </c>
      <c r="C121" s="43"/>
      <c r="D121" s="43"/>
      <c r="E121" s="43"/>
      <c r="F121" s="43"/>
      <c r="H121" s="98">
        <v>116</v>
      </c>
      <c r="I121" s="99" t="str">
        <f t="shared" si="9"/>
        <v/>
      </c>
      <c r="J121" s="98" t="e">
        <f t="shared" si="10"/>
        <v>#NUM!</v>
      </c>
      <c r="K121" s="98" t="e">
        <f t="shared" si="11"/>
        <v>#NUM!</v>
      </c>
      <c r="L121" s="98"/>
      <c r="M121" s="97">
        <f t="shared" si="12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103">
        <f t="shared" si="14"/>
        <v>0</v>
      </c>
      <c r="B122" s="36" t="str">
        <f t="shared" si="15"/>
        <v/>
      </c>
      <c r="C122" s="37"/>
      <c r="D122" s="37"/>
      <c r="E122" s="37"/>
      <c r="F122" s="37"/>
      <c r="H122" s="93">
        <v>117</v>
      </c>
      <c r="I122" s="94" t="str">
        <f t="shared" si="9"/>
        <v/>
      </c>
      <c r="J122" s="93" t="e">
        <f t="shared" si="10"/>
        <v>#NUM!</v>
      </c>
      <c r="K122" s="93" t="e">
        <f t="shared" si="11"/>
        <v>#NUM!</v>
      </c>
      <c r="L122" s="93"/>
      <c r="M122" s="92">
        <f t="shared" si="12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102">
        <f t="shared" si="14"/>
        <v>0</v>
      </c>
      <c r="B123" s="42" t="str">
        <f t="shared" si="15"/>
        <v/>
      </c>
      <c r="C123" s="43"/>
      <c r="D123" s="43"/>
      <c r="E123" s="43"/>
      <c r="F123" s="43"/>
      <c r="H123" s="98">
        <v>118</v>
      </c>
      <c r="I123" s="99" t="str">
        <f t="shared" si="9"/>
        <v/>
      </c>
      <c r="J123" s="98" t="e">
        <f t="shared" si="10"/>
        <v>#NUM!</v>
      </c>
      <c r="K123" s="98" t="e">
        <f t="shared" si="11"/>
        <v>#NUM!</v>
      </c>
      <c r="L123" s="98"/>
      <c r="M123" s="97">
        <f t="shared" si="12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103">
        <f t="shared" si="14"/>
        <v>0</v>
      </c>
      <c r="B124" s="36" t="str">
        <f t="shared" si="15"/>
        <v/>
      </c>
      <c r="C124" s="37"/>
      <c r="D124" s="37"/>
      <c r="E124" s="37"/>
      <c r="F124" s="37"/>
      <c r="H124" s="93">
        <v>119</v>
      </c>
      <c r="I124" s="94" t="str">
        <f t="shared" si="9"/>
        <v/>
      </c>
      <c r="J124" s="93" t="e">
        <f t="shared" si="10"/>
        <v>#NUM!</v>
      </c>
      <c r="K124" s="93" t="e">
        <f t="shared" si="11"/>
        <v>#NUM!</v>
      </c>
      <c r="L124" s="93"/>
      <c r="M124" s="92">
        <f t="shared" si="12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102">
        <f t="shared" si="14"/>
        <v>0</v>
      </c>
      <c r="B125" s="42" t="str">
        <f t="shared" si="15"/>
        <v/>
      </c>
      <c r="C125" s="43"/>
      <c r="D125" s="43"/>
      <c r="E125" s="43"/>
      <c r="F125" s="43"/>
      <c r="H125" s="98">
        <v>120</v>
      </c>
      <c r="I125" s="99" t="str">
        <f t="shared" si="9"/>
        <v/>
      </c>
      <c r="J125" s="98" t="e">
        <f t="shared" si="10"/>
        <v>#NUM!</v>
      </c>
      <c r="K125" s="98" t="e">
        <f t="shared" si="11"/>
        <v>#NUM!</v>
      </c>
      <c r="L125" s="98"/>
      <c r="M125" s="97">
        <f t="shared" si="12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103">
        <f t="shared" si="14"/>
        <v>0</v>
      </c>
      <c r="B126" s="36" t="str">
        <f t="shared" si="15"/>
        <v/>
      </c>
      <c r="C126" s="37"/>
      <c r="D126" s="37"/>
      <c r="E126" s="37"/>
      <c r="F126" s="37"/>
      <c r="H126" s="93">
        <v>121</v>
      </c>
      <c r="I126" s="94" t="str">
        <f t="shared" si="9"/>
        <v/>
      </c>
      <c r="J126" s="93" t="e">
        <f t="shared" si="10"/>
        <v>#NUM!</v>
      </c>
      <c r="K126" s="93" t="e">
        <f t="shared" si="11"/>
        <v>#NUM!</v>
      </c>
      <c r="L126" s="93"/>
      <c r="M126" s="92">
        <f t="shared" si="12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102">
        <f t="shared" si="14"/>
        <v>0</v>
      </c>
      <c r="B127" s="42" t="str">
        <f t="shared" si="15"/>
        <v/>
      </c>
      <c r="C127" s="43"/>
      <c r="D127" s="43"/>
      <c r="E127" s="43"/>
      <c r="F127" s="43"/>
      <c r="H127" s="98">
        <v>122</v>
      </c>
      <c r="I127" s="99" t="str">
        <f t="shared" si="9"/>
        <v/>
      </c>
      <c r="J127" s="98" t="e">
        <f t="shared" si="10"/>
        <v>#NUM!</v>
      </c>
      <c r="K127" s="98" t="e">
        <f t="shared" si="11"/>
        <v>#NUM!</v>
      </c>
      <c r="L127" s="98"/>
      <c r="M127" s="97">
        <f t="shared" si="12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103">
        <f t="shared" si="14"/>
        <v>0</v>
      </c>
      <c r="B128" s="36" t="str">
        <f t="shared" si="15"/>
        <v/>
      </c>
      <c r="C128" s="37"/>
      <c r="D128" s="37"/>
      <c r="E128" s="37"/>
      <c r="F128" s="37"/>
      <c r="H128" s="93">
        <v>123</v>
      </c>
      <c r="I128" s="94" t="str">
        <f t="shared" si="9"/>
        <v/>
      </c>
      <c r="J128" s="93" t="e">
        <f t="shared" si="10"/>
        <v>#NUM!</v>
      </c>
      <c r="K128" s="93" t="e">
        <f t="shared" si="11"/>
        <v>#NUM!</v>
      </c>
      <c r="L128" s="93"/>
      <c r="M128" s="92">
        <f t="shared" si="12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102">
        <f t="shared" si="14"/>
        <v>0</v>
      </c>
      <c r="B129" s="42" t="str">
        <f t="shared" si="15"/>
        <v/>
      </c>
      <c r="C129" s="43"/>
      <c r="D129" s="43"/>
      <c r="E129" s="43"/>
      <c r="F129" s="43"/>
      <c r="H129" s="98">
        <v>124</v>
      </c>
      <c r="I129" s="99" t="str">
        <f t="shared" si="9"/>
        <v/>
      </c>
      <c r="J129" s="98" t="e">
        <f t="shared" si="10"/>
        <v>#NUM!</v>
      </c>
      <c r="K129" s="98" t="e">
        <f t="shared" si="11"/>
        <v>#NUM!</v>
      </c>
      <c r="L129" s="98"/>
      <c r="M129" s="97">
        <f t="shared" si="12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103">
        <f t="shared" si="14"/>
        <v>0</v>
      </c>
      <c r="B130" s="36" t="str">
        <f t="shared" si="15"/>
        <v/>
      </c>
      <c r="C130" s="37"/>
      <c r="D130" s="37"/>
      <c r="E130" s="37"/>
      <c r="F130" s="37"/>
      <c r="H130" s="93">
        <v>125</v>
      </c>
      <c r="I130" s="94" t="str">
        <f t="shared" si="9"/>
        <v/>
      </c>
      <c r="J130" s="93" t="e">
        <f t="shared" si="10"/>
        <v>#NUM!</v>
      </c>
      <c r="K130" s="93" t="e">
        <f t="shared" si="11"/>
        <v>#NUM!</v>
      </c>
      <c r="L130" s="93"/>
      <c r="M130" s="92">
        <f t="shared" si="12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102">
        <f t="shared" si="14"/>
        <v>0</v>
      </c>
      <c r="B131" s="42" t="str">
        <f t="shared" si="15"/>
        <v/>
      </c>
      <c r="C131" s="43"/>
      <c r="D131" s="43"/>
      <c r="E131" s="43"/>
      <c r="F131" s="43"/>
      <c r="H131" s="98">
        <v>126</v>
      </c>
      <c r="I131" s="99" t="str">
        <f t="shared" si="9"/>
        <v/>
      </c>
      <c r="J131" s="98" t="e">
        <f t="shared" si="10"/>
        <v>#NUM!</v>
      </c>
      <c r="K131" s="98" t="e">
        <f t="shared" si="11"/>
        <v>#NUM!</v>
      </c>
      <c r="L131" s="98"/>
      <c r="M131" s="97">
        <f t="shared" si="12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103">
        <f t="shared" si="14"/>
        <v>0</v>
      </c>
      <c r="B132" s="36" t="str">
        <f t="shared" si="15"/>
        <v/>
      </c>
      <c r="C132" s="37"/>
      <c r="D132" s="37"/>
      <c r="E132" s="37"/>
      <c r="F132" s="37"/>
      <c r="H132" s="93">
        <v>127</v>
      </c>
      <c r="I132" s="94" t="str">
        <f t="shared" si="9"/>
        <v/>
      </c>
      <c r="J132" s="93" t="e">
        <f t="shared" si="10"/>
        <v>#NUM!</v>
      </c>
      <c r="K132" s="93" t="e">
        <f t="shared" si="11"/>
        <v>#NUM!</v>
      </c>
      <c r="L132" s="93"/>
      <c r="M132" s="92">
        <f t="shared" si="12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102">
        <f t="shared" si="14"/>
        <v>0</v>
      </c>
      <c r="B133" s="42" t="str">
        <f t="shared" si="15"/>
        <v/>
      </c>
      <c r="C133" s="43"/>
      <c r="D133" s="43"/>
      <c r="E133" s="43"/>
      <c r="F133" s="43"/>
      <c r="H133" s="98">
        <v>128</v>
      </c>
      <c r="I133" s="99" t="str">
        <f t="shared" si="9"/>
        <v/>
      </c>
      <c r="J133" s="98" t="e">
        <f t="shared" si="10"/>
        <v>#NUM!</v>
      </c>
      <c r="K133" s="98" t="e">
        <f t="shared" si="11"/>
        <v>#NUM!</v>
      </c>
      <c r="L133" s="98"/>
      <c r="M133" s="97">
        <f t="shared" si="12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103">
        <f t="shared" ref="A134:A140" si="16">M134</f>
        <v>0</v>
      </c>
      <c r="B134" s="36" t="str">
        <f t="shared" si="15"/>
        <v/>
      </c>
      <c r="C134" s="37"/>
      <c r="D134" s="37"/>
      <c r="E134" s="37"/>
      <c r="F134" s="37"/>
      <c r="H134" s="93">
        <v>129</v>
      </c>
      <c r="I134" s="94" t="str">
        <f t="shared" ref="I134:I197" si="17">IF(H134&lt;$H$2+1,($I$2-($I$2-1)*(LOG(H134)/LOG($H$2))),"")</f>
        <v/>
      </c>
      <c r="J134" s="93" t="e">
        <f t="shared" ref="J134:J197" si="18">INT(LOG($H$2,2))-ROUNDUP(LOG(H134,2),0)+IF(OR($H$2=1,$H$2=2,$H$2=4,$H$2=8,$H$2=16,$H$2=32,$H$2=64,$H$2=128,$H$2=256),0,1)</f>
        <v>#NUM!</v>
      </c>
      <c r="K134" s="93" t="e">
        <f t="shared" ref="K134:K197" si="19">J134*$J$2</f>
        <v>#NUM!</v>
      </c>
      <c r="L134" s="93"/>
      <c r="M134" s="92">
        <f t="shared" ref="M134:M197" si="20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102">
        <f t="shared" si="16"/>
        <v>0</v>
      </c>
      <c r="B135" s="42" t="str">
        <f t="shared" si="15"/>
        <v/>
      </c>
      <c r="C135" s="43"/>
      <c r="D135" s="43"/>
      <c r="E135" s="43"/>
      <c r="F135" s="43"/>
      <c r="H135" s="98">
        <v>130</v>
      </c>
      <c r="I135" s="99" t="str">
        <f t="shared" si="17"/>
        <v/>
      </c>
      <c r="J135" s="98" t="e">
        <f t="shared" si="18"/>
        <v>#NUM!</v>
      </c>
      <c r="K135" s="98" t="e">
        <f t="shared" si="19"/>
        <v>#NUM!</v>
      </c>
      <c r="L135" s="98"/>
      <c r="M135" s="97">
        <f t="shared" si="20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103">
        <f t="shared" si="16"/>
        <v>0</v>
      </c>
      <c r="B136" s="36" t="str">
        <f t="shared" si="15"/>
        <v/>
      </c>
      <c r="C136" s="37"/>
      <c r="D136" s="37"/>
      <c r="E136" s="37"/>
      <c r="F136" s="37"/>
      <c r="H136" s="93">
        <v>131</v>
      </c>
      <c r="I136" s="94" t="str">
        <f t="shared" si="17"/>
        <v/>
      </c>
      <c r="J136" s="93" t="e">
        <f t="shared" si="18"/>
        <v>#NUM!</v>
      </c>
      <c r="K136" s="93" t="e">
        <f t="shared" si="19"/>
        <v>#NUM!</v>
      </c>
      <c r="L136" s="93"/>
      <c r="M136" s="92">
        <f t="shared" si="20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102">
        <f t="shared" si="16"/>
        <v>0</v>
      </c>
      <c r="B137" s="42" t="str">
        <f t="shared" si="15"/>
        <v/>
      </c>
      <c r="C137" s="43"/>
      <c r="D137" s="43"/>
      <c r="E137" s="43"/>
      <c r="F137" s="43"/>
      <c r="H137" s="98">
        <v>132</v>
      </c>
      <c r="I137" s="99" t="str">
        <f t="shared" si="17"/>
        <v/>
      </c>
      <c r="J137" s="98" t="e">
        <f t="shared" si="18"/>
        <v>#NUM!</v>
      </c>
      <c r="K137" s="98" t="e">
        <f t="shared" si="19"/>
        <v>#NUM!</v>
      </c>
      <c r="L137" s="98"/>
      <c r="M137" s="97">
        <f t="shared" si="20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103">
        <f t="shared" si="16"/>
        <v>0</v>
      </c>
      <c r="B138" s="36" t="str">
        <f t="shared" si="15"/>
        <v/>
      </c>
      <c r="C138" s="37"/>
      <c r="D138" s="37"/>
      <c r="E138" s="37"/>
      <c r="F138" s="37"/>
      <c r="H138" s="93">
        <v>133</v>
      </c>
      <c r="I138" s="94" t="str">
        <f t="shared" si="17"/>
        <v/>
      </c>
      <c r="J138" s="93" t="e">
        <f t="shared" si="18"/>
        <v>#NUM!</v>
      </c>
      <c r="K138" s="93" t="e">
        <f t="shared" si="19"/>
        <v>#NUM!</v>
      </c>
      <c r="L138" s="93"/>
      <c r="M138" s="92">
        <f t="shared" si="20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102">
        <f t="shared" si="16"/>
        <v>0</v>
      </c>
      <c r="B139" s="42" t="str">
        <f t="shared" si="15"/>
        <v/>
      </c>
      <c r="C139" s="43"/>
      <c r="D139" s="43"/>
      <c r="E139" s="43"/>
      <c r="F139" s="43"/>
      <c r="H139" s="98">
        <v>134</v>
      </c>
      <c r="I139" s="99" t="str">
        <f t="shared" si="17"/>
        <v/>
      </c>
      <c r="J139" s="98" t="e">
        <f t="shared" si="18"/>
        <v>#NUM!</v>
      </c>
      <c r="K139" s="98" t="e">
        <f t="shared" si="19"/>
        <v>#NUM!</v>
      </c>
      <c r="L139" s="98"/>
      <c r="M139" s="97">
        <f t="shared" si="20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103">
        <f t="shared" si="16"/>
        <v>0</v>
      </c>
      <c r="B140" s="36" t="str">
        <f t="shared" si="15"/>
        <v/>
      </c>
      <c r="C140" s="37"/>
      <c r="D140" s="37"/>
      <c r="E140" s="37"/>
      <c r="F140" s="37"/>
      <c r="H140" s="93">
        <v>135</v>
      </c>
      <c r="I140" s="94" t="str">
        <f t="shared" si="17"/>
        <v/>
      </c>
      <c r="J140" s="93" t="e">
        <f t="shared" si="18"/>
        <v>#NUM!</v>
      </c>
      <c r="K140" s="93" t="e">
        <f t="shared" si="19"/>
        <v>#NUM!</v>
      </c>
      <c r="L140" s="93"/>
      <c r="M140" s="92">
        <f t="shared" si="20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x14ac:dyDescent="0.25">
      <c r="A141" s="95"/>
      <c r="G141" s="86"/>
      <c r="H141" s="98">
        <v>136</v>
      </c>
      <c r="I141" s="94" t="str">
        <f t="shared" si="17"/>
        <v/>
      </c>
      <c r="J141" s="93" t="e">
        <f t="shared" si="18"/>
        <v>#NUM!</v>
      </c>
      <c r="K141" s="93" t="e">
        <f t="shared" si="19"/>
        <v>#NUM!</v>
      </c>
      <c r="L141" s="93"/>
      <c r="M141" s="92">
        <f t="shared" si="20"/>
        <v>0</v>
      </c>
    </row>
    <row r="142" spans="1:38" x14ac:dyDescent="0.25">
      <c r="A142" s="95"/>
      <c r="G142" s="86"/>
      <c r="H142" s="93">
        <v>137</v>
      </c>
      <c r="I142" s="94" t="str">
        <f t="shared" si="17"/>
        <v/>
      </c>
      <c r="J142" s="93" t="e">
        <f t="shared" si="18"/>
        <v>#NUM!</v>
      </c>
      <c r="K142" s="93" t="e">
        <f t="shared" si="19"/>
        <v>#NUM!</v>
      </c>
      <c r="L142" s="93"/>
      <c r="M142" s="92">
        <f t="shared" si="20"/>
        <v>0</v>
      </c>
    </row>
    <row r="143" spans="1:38" x14ac:dyDescent="0.25">
      <c r="A143" s="95"/>
      <c r="G143" s="86"/>
      <c r="H143" s="98">
        <v>138</v>
      </c>
      <c r="I143" s="94" t="str">
        <f t="shared" si="17"/>
        <v/>
      </c>
      <c r="J143" s="93" t="e">
        <f t="shared" si="18"/>
        <v>#NUM!</v>
      </c>
      <c r="K143" s="93" t="e">
        <f t="shared" si="19"/>
        <v>#NUM!</v>
      </c>
      <c r="L143" s="93"/>
      <c r="M143" s="92">
        <f t="shared" si="20"/>
        <v>0</v>
      </c>
    </row>
    <row r="144" spans="1:38" x14ac:dyDescent="0.25">
      <c r="A144" s="95"/>
      <c r="G144" s="86"/>
      <c r="H144" s="93">
        <v>139</v>
      </c>
      <c r="I144" s="94" t="str">
        <f t="shared" si="17"/>
        <v/>
      </c>
      <c r="J144" s="93" t="e">
        <f t="shared" si="18"/>
        <v>#NUM!</v>
      </c>
      <c r="K144" s="93" t="e">
        <f t="shared" si="19"/>
        <v>#NUM!</v>
      </c>
      <c r="L144" s="93"/>
      <c r="M144" s="92">
        <f t="shared" si="20"/>
        <v>0</v>
      </c>
    </row>
    <row r="145" spans="1:38" s="86" customFormat="1" x14ac:dyDescent="0.25">
      <c r="A145" s="95"/>
      <c r="B145" s="84"/>
      <c r="C145" s="84"/>
      <c r="D145" s="84"/>
      <c r="E145" s="84"/>
      <c r="F145" s="84"/>
      <c r="H145" s="98">
        <v>140</v>
      </c>
      <c r="I145" s="94" t="str">
        <f t="shared" si="17"/>
        <v/>
      </c>
      <c r="J145" s="93" t="e">
        <f t="shared" si="18"/>
        <v>#NUM!</v>
      </c>
      <c r="K145" s="93" t="e">
        <f t="shared" si="19"/>
        <v>#NUM!</v>
      </c>
      <c r="L145" s="93"/>
      <c r="M145" s="92">
        <f t="shared" si="20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5"/>
      <c r="B146" s="84"/>
      <c r="C146" s="84"/>
      <c r="D146" s="84"/>
      <c r="E146" s="84"/>
      <c r="F146" s="84"/>
      <c r="H146" s="93">
        <v>141</v>
      </c>
      <c r="I146" s="94" t="str">
        <f t="shared" si="17"/>
        <v/>
      </c>
      <c r="J146" s="93" t="e">
        <f t="shared" si="18"/>
        <v>#NUM!</v>
      </c>
      <c r="K146" s="93" t="e">
        <f t="shared" si="19"/>
        <v>#NUM!</v>
      </c>
      <c r="L146" s="93"/>
      <c r="M146" s="92">
        <f t="shared" si="20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5"/>
      <c r="B147" s="84"/>
      <c r="C147" s="84"/>
      <c r="D147" s="84"/>
      <c r="E147" s="84"/>
      <c r="F147" s="84"/>
      <c r="H147" s="98">
        <v>142</v>
      </c>
      <c r="I147" s="94" t="str">
        <f t="shared" si="17"/>
        <v/>
      </c>
      <c r="J147" s="93" t="e">
        <f t="shared" si="18"/>
        <v>#NUM!</v>
      </c>
      <c r="K147" s="93" t="e">
        <f t="shared" si="19"/>
        <v>#NUM!</v>
      </c>
      <c r="L147" s="93"/>
      <c r="M147" s="92">
        <f t="shared" si="20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5"/>
      <c r="B148" s="84"/>
      <c r="C148" s="84"/>
      <c r="D148" s="84"/>
      <c r="E148" s="84"/>
      <c r="F148" s="84"/>
      <c r="H148" s="93">
        <v>143</v>
      </c>
      <c r="I148" s="94" t="str">
        <f t="shared" si="17"/>
        <v/>
      </c>
      <c r="J148" s="93" t="e">
        <f t="shared" si="18"/>
        <v>#NUM!</v>
      </c>
      <c r="K148" s="93" t="e">
        <f t="shared" si="19"/>
        <v>#NUM!</v>
      </c>
      <c r="L148" s="93"/>
      <c r="M148" s="92">
        <f t="shared" si="20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5"/>
      <c r="B149" s="84"/>
      <c r="C149" s="84"/>
      <c r="D149" s="84"/>
      <c r="E149" s="84"/>
      <c r="F149" s="84"/>
      <c r="H149" s="98">
        <v>144</v>
      </c>
      <c r="I149" s="94" t="str">
        <f t="shared" si="17"/>
        <v/>
      </c>
      <c r="J149" s="93" t="e">
        <f t="shared" si="18"/>
        <v>#NUM!</v>
      </c>
      <c r="K149" s="93" t="e">
        <f t="shared" si="19"/>
        <v>#NUM!</v>
      </c>
      <c r="L149" s="93"/>
      <c r="M149" s="92">
        <f t="shared" si="20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5"/>
      <c r="B150" s="84"/>
      <c r="C150" s="84"/>
      <c r="D150" s="84"/>
      <c r="E150" s="84"/>
      <c r="F150" s="84"/>
      <c r="H150" s="93">
        <v>145</v>
      </c>
      <c r="I150" s="94" t="str">
        <f t="shared" si="17"/>
        <v/>
      </c>
      <c r="J150" s="93" t="e">
        <f t="shared" si="18"/>
        <v>#NUM!</v>
      </c>
      <c r="K150" s="93" t="e">
        <f t="shared" si="19"/>
        <v>#NUM!</v>
      </c>
      <c r="L150" s="93"/>
      <c r="M150" s="92">
        <f t="shared" si="20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5"/>
      <c r="B151" s="84"/>
      <c r="C151" s="84"/>
      <c r="D151" s="84"/>
      <c r="E151" s="84"/>
      <c r="F151" s="84"/>
      <c r="H151" s="98">
        <v>146</v>
      </c>
      <c r="I151" s="94" t="str">
        <f t="shared" si="17"/>
        <v/>
      </c>
      <c r="J151" s="93" t="e">
        <f t="shared" si="18"/>
        <v>#NUM!</v>
      </c>
      <c r="K151" s="93" t="e">
        <f t="shared" si="19"/>
        <v>#NUM!</v>
      </c>
      <c r="L151" s="93"/>
      <c r="M151" s="92">
        <f t="shared" si="20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5"/>
      <c r="B152" s="84"/>
      <c r="C152" s="84"/>
      <c r="D152" s="84"/>
      <c r="E152" s="84"/>
      <c r="F152" s="84"/>
      <c r="H152" s="93">
        <v>147</v>
      </c>
      <c r="I152" s="94" t="str">
        <f t="shared" si="17"/>
        <v/>
      </c>
      <c r="J152" s="93" t="e">
        <f t="shared" si="18"/>
        <v>#NUM!</v>
      </c>
      <c r="K152" s="93" t="e">
        <f t="shared" si="19"/>
        <v>#NUM!</v>
      </c>
      <c r="L152" s="93"/>
      <c r="M152" s="92">
        <f t="shared" si="20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5"/>
      <c r="B153" s="84"/>
      <c r="C153" s="84"/>
      <c r="D153" s="84"/>
      <c r="E153" s="84"/>
      <c r="F153" s="84"/>
      <c r="H153" s="98">
        <v>148</v>
      </c>
      <c r="I153" s="94" t="str">
        <f t="shared" si="17"/>
        <v/>
      </c>
      <c r="J153" s="93" t="e">
        <f t="shared" si="18"/>
        <v>#NUM!</v>
      </c>
      <c r="K153" s="93" t="e">
        <f t="shared" si="19"/>
        <v>#NUM!</v>
      </c>
      <c r="L153" s="93"/>
      <c r="M153" s="92">
        <f t="shared" si="20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5"/>
      <c r="B154" s="84"/>
      <c r="C154" s="84"/>
      <c r="D154" s="84"/>
      <c r="E154" s="84"/>
      <c r="F154" s="84"/>
      <c r="H154" s="93">
        <v>149</v>
      </c>
      <c r="I154" s="94" t="str">
        <f t="shared" si="17"/>
        <v/>
      </c>
      <c r="J154" s="93" t="e">
        <f t="shared" si="18"/>
        <v>#NUM!</v>
      </c>
      <c r="K154" s="93" t="e">
        <f t="shared" si="19"/>
        <v>#NUM!</v>
      </c>
      <c r="L154" s="93"/>
      <c r="M154" s="92">
        <f t="shared" si="20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8">
        <v>150</v>
      </c>
      <c r="I155" s="94" t="str">
        <f t="shared" si="17"/>
        <v/>
      </c>
      <c r="J155" s="93" t="e">
        <f t="shared" si="18"/>
        <v>#NUM!</v>
      </c>
      <c r="K155" s="93" t="e">
        <f t="shared" si="19"/>
        <v>#NUM!</v>
      </c>
      <c r="L155" s="93"/>
      <c r="M155" s="92">
        <f t="shared" si="20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7"/>
        <v/>
      </c>
      <c r="J156" s="93" t="e">
        <f t="shared" si="18"/>
        <v>#NUM!</v>
      </c>
      <c r="K156" s="93" t="e">
        <f t="shared" si="19"/>
        <v>#NUM!</v>
      </c>
      <c r="L156" s="93"/>
      <c r="M156" s="92">
        <f t="shared" si="20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8">
        <v>152</v>
      </c>
      <c r="I157" s="94" t="str">
        <f t="shared" si="17"/>
        <v/>
      </c>
      <c r="J157" s="93" t="e">
        <f t="shared" si="18"/>
        <v>#NUM!</v>
      </c>
      <c r="K157" s="93" t="e">
        <f t="shared" si="19"/>
        <v>#NUM!</v>
      </c>
      <c r="L157" s="93"/>
      <c r="M157" s="92">
        <f t="shared" si="20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7"/>
        <v/>
      </c>
      <c r="J158" s="93" t="e">
        <f t="shared" si="18"/>
        <v>#NUM!</v>
      </c>
      <c r="K158" s="93" t="e">
        <f t="shared" si="19"/>
        <v>#NUM!</v>
      </c>
      <c r="L158" s="93"/>
      <c r="M158" s="92">
        <f t="shared" si="20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8">
        <v>154</v>
      </c>
      <c r="I159" s="94" t="str">
        <f t="shared" si="17"/>
        <v/>
      </c>
      <c r="J159" s="93" t="e">
        <f t="shared" si="18"/>
        <v>#NUM!</v>
      </c>
      <c r="K159" s="93" t="e">
        <f t="shared" si="19"/>
        <v>#NUM!</v>
      </c>
      <c r="L159" s="93"/>
      <c r="M159" s="92">
        <f t="shared" si="20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7"/>
        <v/>
      </c>
      <c r="J160" s="93" t="e">
        <f t="shared" si="18"/>
        <v>#NUM!</v>
      </c>
      <c r="K160" s="93" t="e">
        <f t="shared" si="19"/>
        <v>#NUM!</v>
      </c>
      <c r="L160" s="93"/>
      <c r="M160" s="92">
        <f t="shared" si="20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8">
        <v>156</v>
      </c>
      <c r="I161" s="94" t="str">
        <f t="shared" si="17"/>
        <v/>
      </c>
      <c r="J161" s="93" t="e">
        <f t="shared" si="18"/>
        <v>#NUM!</v>
      </c>
      <c r="K161" s="93" t="e">
        <f t="shared" si="19"/>
        <v>#NUM!</v>
      </c>
      <c r="L161" s="93"/>
      <c r="M161" s="92">
        <f t="shared" si="20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7"/>
        <v/>
      </c>
      <c r="J162" s="93" t="e">
        <f t="shared" si="18"/>
        <v>#NUM!</v>
      </c>
      <c r="K162" s="93" t="e">
        <f t="shared" si="19"/>
        <v>#NUM!</v>
      </c>
      <c r="L162" s="93"/>
      <c r="M162" s="92">
        <f t="shared" si="20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8">
        <v>158</v>
      </c>
      <c r="I163" s="94" t="str">
        <f t="shared" si="17"/>
        <v/>
      </c>
      <c r="J163" s="93" t="e">
        <f t="shared" si="18"/>
        <v>#NUM!</v>
      </c>
      <c r="K163" s="93" t="e">
        <f t="shared" si="19"/>
        <v>#NUM!</v>
      </c>
      <c r="L163" s="93"/>
      <c r="M163" s="92">
        <f t="shared" si="20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7"/>
        <v/>
      </c>
      <c r="J164" s="93" t="e">
        <f t="shared" si="18"/>
        <v>#NUM!</v>
      </c>
      <c r="K164" s="93" t="e">
        <f t="shared" si="19"/>
        <v>#NUM!</v>
      </c>
      <c r="L164" s="93"/>
      <c r="M164" s="92">
        <f t="shared" si="20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8">
        <v>160</v>
      </c>
      <c r="I165" s="94" t="str">
        <f t="shared" si="17"/>
        <v/>
      </c>
      <c r="J165" s="93" t="e">
        <f t="shared" si="18"/>
        <v>#NUM!</v>
      </c>
      <c r="K165" s="93" t="e">
        <f t="shared" si="19"/>
        <v>#NUM!</v>
      </c>
      <c r="L165" s="93"/>
      <c r="M165" s="92">
        <f t="shared" si="20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7"/>
        <v/>
      </c>
      <c r="J166" s="93" t="e">
        <f t="shared" si="18"/>
        <v>#NUM!</v>
      </c>
      <c r="K166" s="93" t="e">
        <f t="shared" si="19"/>
        <v>#NUM!</v>
      </c>
      <c r="L166" s="93"/>
      <c r="M166" s="92">
        <f t="shared" si="20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8">
        <v>162</v>
      </c>
      <c r="I167" s="94" t="str">
        <f t="shared" si="17"/>
        <v/>
      </c>
      <c r="J167" s="93" t="e">
        <f t="shared" si="18"/>
        <v>#NUM!</v>
      </c>
      <c r="K167" s="93" t="e">
        <f t="shared" si="19"/>
        <v>#NUM!</v>
      </c>
      <c r="L167" s="93"/>
      <c r="M167" s="92">
        <f t="shared" si="20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7"/>
        <v/>
      </c>
      <c r="J168" s="93" t="e">
        <f t="shared" si="18"/>
        <v>#NUM!</v>
      </c>
      <c r="K168" s="93" t="e">
        <f t="shared" si="19"/>
        <v>#NUM!</v>
      </c>
      <c r="L168" s="93"/>
      <c r="M168" s="92">
        <f t="shared" si="20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8">
        <v>164</v>
      </c>
      <c r="I169" s="94" t="str">
        <f t="shared" si="17"/>
        <v/>
      </c>
      <c r="J169" s="93" t="e">
        <f t="shared" si="18"/>
        <v>#NUM!</v>
      </c>
      <c r="K169" s="93" t="e">
        <f t="shared" si="19"/>
        <v>#NUM!</v>
      </c>
      <c r="L169" s="93"/>
      <c r="M169" s="92">
        <f t="shared" si="20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7"/>
        <v/>
      </c>
      <c r="J170" s="93" t="e">
        <f t="shared" si="18"/>
        <v>#NUM!</v>
      </c>
      <c r="K170" s="93" t="e">
        <f t="shared" si="19"/>
        <v>#NUM!</v>
      </c>
      <c r="L170" s="93"/>
      <c r="M170" s="92">
        <f t="shared" si="20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8">
        <v>166</v>
      </c>
      <c r="I171" s="94" t="str">
        <f t="shared" si="17"/>
        <v/>
      </c>
      <c r="J171" s="93" t="e">
        <f t="shared" si="18"/>
        <v>#NUM!</v>
      </c>
      <c r="K171" s="93" t="e">
        <f t="shared" si="19"/>
        <v>#NUM!</v>
      </c>
      <c r="L171" s="93"/>
      <c r="M171" s="92">
        <f t="shared" si="20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7"/>
        <v/>
      </c>
      <c r="J172" s="93" t="e">
        <f t="shared" si="18"/>
        <v>#NUM!</v>
      </c>
      <c r="K172" s="93" t="e">
        <f t="shared" si="19"/>
        <v>#NUM!</v>
      </c>
      <c r="L172" s="93"/>
      <c r="M172" s="92">
        <f t="shared" si="20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8">
        <v>168</v>
      </c>
      <c r="I173" s="94" t="str">
        <f t="shared" si="17"/>
        <v/>
      </c>
      <c r="J173" s="93" t="e">
        <f t="shared" si="18"/>
        <v>#NUM!</v>
      </c>
      <c r="K173" s="93" t="e">
        <f t="shared" si="19"/>
        <v>#NUM!</v>
      </c>
      <c r="L173" s="93"/>
      <c r="M173" s="92">
        <f t="shared" si="20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7"/>
        <v/>
      </c>
      <c r="J174" s="93" t="e">
        <f t="shared" si="18"/>
        <v>#NUM!</v>
      </c>
      <c r="K174" s="93" t="e">
        <f t="shared" si="19"/>
        <v>#NUM!</v>
      </c>
      <c r="L174" s="93"/>
      <c r="M174" s="92">
        <f t="shared" si="20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8">
        <v>170</v>
      </c>
      <c r="I175" s="94" t="str">
        <f t="shared" si="17"/>
        <v/>
      </c>
      <c r="J175" s="93" t="e">
        <f t="shared" si="18"/>
        <v>#NUM!</v>
      </c>
      <c r="K175" s="93" t="e">
        <f t="shared" si="19"/>
        <v>#NUM!</v>
      </c>
      <c r="L175" s="93"/>
      <c r="M175" s="92">
        <f t="shared" si="20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7"/>
        <v/>
      </c>
      <c r="J176" s="93" t="e">
        <f t="shared" si="18"/>
        <v>#NUM!</v>
      </c>
      <c r="K176" s="93" t="e">
        <f t="shared" si="19"/>
        <v>#NUM!</v>
      </c>
      <c r="L176" s="93"/>
      <c r="M176" s="92">
        <f t="shared" si="20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8">
        <v>172</v>
      </c>
      <c r="I177" s="94" t="str">
        <f t="shared" si="17"/>
        <v/>
      </c>
      <c r="J177" s="93" t="e">
        <f t="shared" si="18"/>
        <v>#NUM!</v>
      </c>
      <c r="K177" s="93" t="e">
        <f t="shared" si="19"/>
        <v>#NUM!</v>
      </c>
      <c r="L177" s="93"/>
      <c r="M177" s="92">
        <f t="shared" si="20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7"/>
        <v/>
      </c>
      <c r="J178" s="93" t="e">
        <f t="shared" si="18"/>
        <v>#NUM!</v>
      </c>
      <c r="K178" s="93" t="e">
        <f t="shared" si="19"/>
        <v>#NUM!</v>
      </c>
      <c r="L178" s="93"/>
      <c r="M178" s="92">
        <f t="shared" si="20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8">
        <v>174</v>
      </c>
      <c r="I179" s="94" t="str">
        <f t="shared" si="17"/>
        <v/>
      </c>
      <c r="J179" s="93" t="e">
        <f t="shared" si="18"/>
        <v>#NUM!</v>
      </c>
      <c r="K179" s="93" t="e">
        <f t="shared" si="19"/>
        <v>#NUM!</v>
      </c>
      <c r="L179" s="93"/>
      <c r="M179" s="92">
        <f t="shared" si="20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7"/>
        <v/>
      </c>
      <c r="J180" s="93" t="e">
        <f t="shared" si="18"/>
        <v>#NUM!</v>
      </c>
      <c r="K180" s="93" t="e">
        <f t="shared" si="19"/>
        <v>#NUM!</v>
      </c>
      <c r="L180" s="93"/>
      <c r="M180" s="92">
        <f t="shared" si="20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8">
        <v>176</v>
      </c>
      <c r="I181" s="94" t="str">
        <f t="shared" si="17"/>
        <v/>
      </c>
      <c r="J181" s="93" t="e">
        <f t="shared" si="18"/>
        <v>#NUM!</v>
      </c>
      <c r="K181" s="93" t="e">
        <f t="shared" si="19"/>
        <v>#NUM!</v>
      </c>
      <c r="L181" s="93"/>
      <c r="M181" s="92">
        <f t="shared" si="20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7"/>
        <v/>
      </c>
      <c r="J182" s="93" t="e">
        <f t="shared" si="18"/>
        <v>#NUM!</v>
      </c>
      <c r="K182" s="93" t="e">
        <f t="shared" si="19"/>
        <v>#NUM!</v>
      </c>
      <c r="L182" s="93"/>
      <c r="M182" s="92">
        <f t="shared" si="20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8">
        <v>178</v>
      </c>
      <c r="I183" s="94" t="str">
        <f t="shared" si="17"/>
        <v/>
      </c>
      <c r="J183" s="93" t="e">
        <f t="shared" si="18"/>
        <v>#NUM!</v>
      </c>
      <c r="K183" s="93" t="e">
        <f t="shared" si="19"/>
        <v>#NUM!</v>
      </c>
      <c r="L183" s="93"/>
      <c r="M183" s="92">
        <f t="shared" si="20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7"/>
        <v/>
      </c>
      <c r="J184" s="93" t="e">
        <f t="shared" si="18"/>
        <v>#NUM!</v>
      </c>
      <c r="K184" s="93" t="e">
        <f t="shared" si="19"/>
        <v>#NUM!</v>
      </c>
      <c r="L184" s="93"/>
      <c r="M184" s="92">
        <f t="shared" si="20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8">
        <v>180</v>
      </c>
      <c r="I185" s="94" t="str">
        <f t="shared" si="17"/>
        <v/>
      </c>
      <c r="J185" s="93" t="e">
        <f t="shared" si="18"/>
        <v>#NUM!</v>
      </c>
      <c r="K185" s="93" t="e">
        <f t="shared" si="19"/>
        <v>#NUM!</v>
      </c>
      <c r="L185" s="93"/>
      <c r="M185" s="92">
        <f t="shared" si="20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7"/>
        <v/>
      </c>
      <c r="J186" s="93" t="e">
        <f t="shared" si="18"/>
        <v>#NUM!</v>
      </c>
      <c r="K186" s="93" t="e">
        <f t="shared" si="19"/>
        <v>#NUM!</v>
      </c>
      <c r="L186" s="93"/>
      <c r="M186" s="92">
        <f t="shared" si="20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8">
        <v>182</v>
      </c>
      <c r="I187" s="94" t="str">
        <f t="shared" si="17"/>
        <v/>
      </c>
      <c r="J187" s="93" t="e">
        <f t="shared" si="18"/>
        <v>#NUM!</v>
      </c>
      <c r="K187" s="93" t="e">
        <f t="shared" si="19"/>
        <v>#NUM!</v>
      </c>
      <c r="L187" s="93"/>
      <c r="M187" s="92">
        <f t="shared" si="20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7"/>
        <v/>
      </c>
      <c r="J188" s="93" t="e">
        <f t="shared" si="18"/>
        <v>#NUM!</v>
      </c>
      <c r="K188" s="93" t="e">
        <f t="shared" si="19"/>
        <v>#NUM!</v>
      </c>
      <c r="L188" s="93"/>
      <c r="M188" s="92">
        <f t="shared" si="20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8">
        <v>184</v>
      </c>
      <c r="I189" s="94" t="str">
        <f t="shared" si="17"/>
        <v/>
      </c>
      <c r="J189" s="93" t="e">
        <f t="shared" si="18"/>
        <v>#NUM!</v>
      </c>
      <c r="K189" s="93" t="e">
        <f t="shared" si="19"/>
        <v>#NUM!</v>
      </c>
      <c r="L189" s="93"/>
      <c r="M189" s="92">
        <f t="shared" si="20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7"/>
        <v/>
      </c>
      <c r="J190" s="93" t="e">
        <f t="shared" si="18"/>
        <v>#NUM!</v>
      </c>
      <c r="K190" s="93" t="e">
        <f t="shared" si="19"/>
        <v>#NUM!</v>
      </c>
      <c r="L190" s="93"/>
      <c r="M190" s="92">
        <f t="shared" si="20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8">
        <v>186</v>
      </c>
      <c r="I191" s="94" t="str">
        <f t="shared" si="17"/>
        <v/>
      </c>
      <c r="J191" s="93" t="e">
        <f t="shared" si="18"/>
        <v>#NUM!</v>
      </c>
      <c r="K191" s="93" t="e">
        <f t="shared" si="19"/>
        <v>#NUM!</v>
      </c>
      <c r="L191" s="93"/>
      <c r="M191" s="92">
        <f t="shared" si="20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7"/>
        <v/>
      </c>
      <c r="J192" s="93" t="e">
        <f t="shared" si="18"/>
        <v>#NUM!</v>
      </c>
      <c r="K192" s="93" t="e">
        <f t="shared" si="19"/>
        <v>#NUM!</v>
      </c>
      <c r="L192" s="93"/>
      <c r="M192" s="92">
        <f t="shared" si="20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8">
        <v>188</v>
      </c>
      <c r="I193" s="94" t="str">
        <f t="shared" si="17"/>
        <v/>
      </c>
      <c r="J193" s="93" t="e">
        <f t="shared" si="18"/>
        <v>#NUM!</v>
      </c>
      <c r="K193" s="93" t="e">
        <f t="shared" si="19"/>
        <v>#NUM!</v>
      </c>
      <c r="L193" s="93"/>
      <c r="M193" s="92">
        <f t="shared" si="20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7"/>
        <v/>
      </c>
      <c r="J194" s="93" t="e">
        <f t="shared" si="18"/>
        <v>#NUM!</v>
      </c>
      <c r="K194" s="93" t="e">
        <f t="shared" si="19"/>
        <v>#NUM!</v>
      </c>
      <c r="L194" s="93"/>
      <c r="M194" s="92">
        <f t="shared" si="20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8">
        <v>190</v>
      </c>
      <c r="I195" s="94" t="str">
        <f t="shared" si="17"/>
        <v/>
      </c>
      <c r="J195" s="93" t="e">
        <f t="shared" si="18"/>
        <v>#NUM!</v>
      </c>
      <c r="K195" s="93" t="e">
        <f t="shared" si="19"/>
        <v>#NUM!</v>
      </c>
      <c r="L195" s="93"/>
      <c r="M195" s="92">
        <f t="shared" si="20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7"/>
        <v/>
      </c>
      <c r="J196" s="93" t="e">
        <f t="shared" si="18"/>
        <v>#NUM!</v>
      </c>
      <c r="K196" s="93" t="e">
        <f t="shared" si="19"/>
        <v>#NUM!</v>
      </c>
      <c r="L196" s="93"/>
      <c r="M196" s="92">
        <f t="shared" si="20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8">
        <v>192</v>
      </c>
      <c r="I197" s="94" t="str">
        <f t="shared" si="17"/>
        <v/>
      </c>
      <c r="J197" s="93" t="e">
        <f t="shared" si="18"/>
        <v>#NUM!</v>
      </c>
      <c r="K197" s="93" t="e">
        <f t="shared" si="19"/>
        <v>#NUM!</v>
      </c>
      <c r="L197" s="93"/>
      <c r="M197" s="92">
        <f t="shared" si="20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21">IF(H198&lt;$H$2+1,($I$2-($I$2-1)*(LOG(H198)/LOG($H$2))),"")</f>
        <v/>
      </c>
      <c r="J198" s="93" t="e">
        <f t="shared" ref="J198:J261" si="22">INT(LOG($H$2,2))-ROUNDUP(LOG(H198,2),0)+IF(OR($H$2=1,$H$2=2,$H$2=4,$H$2=8,$H$2=16,$H$2=32,$H$2=64,$H$2=128,$H$2=256),0,1)</f>
        <v>#NUM!</v>
      </c>
      <c r="K198" s="93" t="e">
        <f t="shared" ref="K198:K261" si="23">J198*$J$2</f>
        <v>#NUM!</v>
      </c>
      <c r="L198" s="93"/>
      <c r="M198" s="92">
        <f t="shared" ref="M198:M261" si="24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8">
        <v>194</v>
      </c>
      <c r="I199" s="94" t="str">
        <f t="shared" si="21"/>
        <v/>
      </c>
      <c r="J199" s="93" t="e">
        <f t="shared" si="22"/>
        <v>#NUM!</v>
      </c>
      <c r="K199" s="93" t="e">
        <f t="shared" si="23"/>
        <v>#NUM!</v>
      </c>
      <c r="L199" s="93"/>
      <c r="M199" s="92">
        <f t="shared" si="24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21"/>
        <v/>
      </c>
      <c r="J200" s="93" t="e">
        <f t="shared" si="22"/>
        <v>#NUM!</v>
      </c>
      <c r="K200" s="93" t="e">
        <f t="shared" si="23"/>
        <v>#NUM!</v>
      </c>
      <c r="L200" s="93"/>
      <c r="M200" s="92">
        <f t="shared" si="24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8">
        <v>196</v>
      </c>
      <c r="I201" s="94" t="str">
        <f t="shared" si="21"/>
        <v/>
      </c>
      <c r="J201" s="93" t="e">
        <f t="shared" si="22"/>
        <v>#NUM!</v>
      </c>
      <c r="K201" s="93" t="e">
        <f t="shared" si="23"/>
        <v>#NUM!</v>
      </c>
      <c r="L201" s="93"/>
      <c r="M201" s="92">
        <f t="shared" si="24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21"/>
        <v/>
      </c>
      <c r="J202" s="93" t="e">
        <f t="shared" si="22"/>
        <v>#NUM!</v>
      </c>
      <c r="K202" s="93" t="e">
        <f t="shared" si="23"/>
        <v>#NUM!</v>
      </c>
      <c r="L202" s="93"/>
      <c r="M202" s="92">
        <f t="shared" si="24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8">
        <v>198</v>
      </c>
      <c r="I203" s="94" t="str">
        <f t="shared" si="21"/>
        <v/>
      </c>
      <c r="J203" s="93" t="e">
        <f t="shared" si="22"/>
        <v>#NUM!</v>
      </c>
      <c r="K203" s="93" t="e">
        <f t="shared" si="23"/>
        <v>#NUM!</v>
      </c>
      <c r="L203" s="93"/>
      <c r="M203" s="92">
        <f t="shared" si="24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21"/>
        <v/>
      </c>
      <c r="J204" s="93" t="e">
        <f t="shared" si="22"/>
        <v>#NUM!</v>
      </c>
      <c r="K204" s="93" t="e">
        <f t="shared" si="23"/>
        <v>#NUM!</v>
      </c>
      <c r="L204" s="93"/>
      <c r="M204" s="92">
        <f t="shared" si="24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8">
        <v>200</v>
      </c>
      <c r="I205" s="94" t="str">
        <f t="shared" si="21"/>
        <v/>
      </c>
      <c r="J205" s="93" t="e">
        <f t="shared" si="22"/>
        <v>#NUM!</v>
      </c>
      <c r="K205" s="93" t="e">
        <f t="shared" si="23"/>
        <v>#NUM!</v>
      </c>
      <c r="L205" s="93"/>
      <c r="M205" s="92">
        <f t="shared" si="24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21"/>
        <v/>
      </c>
      <c r="J206" s="93" t="e">
        <f t="shared" si="22"/>
        <v>#NUM!</v>
      </c>
      <c r="K206" s="93" t="e">
        <f t="shared" si="23"/>
        <v>#NUM!</v>
      </c>
      <c r="L206" s="93"/>
      <c r="M206" s="92">
        <f t="shared" si="24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8">
        <v>202</v>
      </c>
      <c r="I207" s="94" t="str">
        <f t="shared" si="21"/>
        <v/>
      </c>
      <c r="J207" s="93" t="e">
        <f t="shared" si="22"/>
        <v>#NUM!</v>
      </c>
      <c r="K207" s="93" t="e">
        <f t="shared" si="23"/>
        <v>#NUM!</v>
      </c>
      <c r="L207" s="93"/>
      <c r="M207" s="92">
        <f t="shared" si="24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21"/>
        <v/>
      </c>
      <c r="J208" s="93" t="e">
        <f t="shared" si="22"/>
        <v>#NUM!</v>
      </c>
      <c r="K208" s="93" t="e">
        <f t="shared" si="23"/>
        <v>#NUM!</v>
      </c>
      <c r="L208" s="93"/>
      <c r="M208" s="92">
        <f t="shared" si="24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8">
        <v>204</v>
      </c>
      <c r="I209" s="94" t="str">
        <f t="shared" si="21"/>
        <v/>
      </c>
      <c r="J209" s="93" t="e">
        <f t="shared" si="22"/>
        <v>#NUM!</v>
      </c>
      <c r="K209" s="93" t="e">
        <f t="shared" si="23"/>
        <v>#NUM!</v>
      </c>
      <c r="L209" s="93"/>
      <c r="M209" s="92">
        <f t="shared" si="24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21"/>
        <v/>
      </c>
      <c r="J210" s="93" t="e">
        <f t="shared" si="22"/>
        <v>#NUM!</v>
      </c>
      <c r="K210" s="93" t="e">
        <f t="shared" si="23"/>
        <v>#NUM!</v>
      </c>
      <c r="L210" s="93"/>
      <c r="M210" s="92">
        <f t="shared" si="24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8">
        <v>206</v>
      </c>
      <c r="I211" s="94" t="str">
        <f t="shared" si="21"/>
        <v/>
      </c>
      <c r="J211" s="93" t="e">
        <f t="shared" si="22"/>
        <v>#NUM!</v>
      </c>
      <c r="K211" s="93" t="e">
        <f t="shared" si="23"/>
        <v>#NUM!</v>
      </c>
      <c r="L211" s="93"/>
      <c r="M211" s="92">
        <f t="shared" si="24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21"/>
        <v/>
      </c>
      <c r="J212" s="93" t="e">
        <f t="shared" si="22"/>
        <v>#NUM!</v>
      </c>
      <c r="K212" s="93" t="e">
        <f t="shared" si="23"/>
        <v>#NUM!</v>
      </c>
      <c r="L212" s="93"/>
      <c r="M212" s="92">
        <f t="shared" si="24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8">
        <v>208</v>
      </c>
      <c r="I213" s="94" t="str">
        <f t="shared" si="21"/>
        <v/>
      </c>
      <c r="J213" s="93" t="e">
        <f t="shared" si="22"/>
        <v>#NUM!</v>
      </c>
      <c r="K213" s="93" t="e">
        <f t="shared" si="23"/>
        <v>#NUM!</v>
      </c>
      <c r="L213" s="93"/>
      <c r="M213" s="92">
        <f t="shared" si="24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21"/>
        <v/>
      </c>
      <c r="J214" s="93" t="e">
        <f t="shared" si="22"/>
        <v>#NUM!</v>
      </c>
      <c r="K214" s="93" t="e">
        <f t="shared" si="23"/>
        <v>#NUM!</v>
      </c>
      <c r="L214" s="93"/>
      <c r="M214" s="92">
        <f t="shared" si="24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8">
        <v>210</v>
      </c>
      <c r="I215" s="94" t="str">
        <f t="shared" si="21"/>
        <v/>
      </c>
      <c r="J215" s="93" t="e">
        <f t="shared" si="22"/>
        <v>#NUM!</v>
      </c>
      <c r="K215" s="93" t="e">
        <f t="shared" si="23"/>
        <v>#NUM!</v>
      </c>
      <c r="L215" s="93"/>
      <c r="M215" s="92">
        <f t="shared" si="24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21"/>
        <v/>
      </c>
      <c r="J216" s="93" t="e">
        <f t="shared" si="22"/>
        <v>#NUM!</v>
      </c>
      <c r="K216" s="93" t="e">
        <f t="shared" si="23"/>
        <v>#NUM!</v>
      </c>
      <c r="L216" s="93"/>
      <c r="M216" s="92">
        <f t="shared" si="24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8">
        <v>212</v>
      </c>
      <c r="I217" s="94" t="str">
        <f t="shared" si="21"/>
        <v/>
      </c>
      <c r="J217" s="93" t="e">
        <f t="shared" si="22"/>
        <v>#NUM!</v>
      </c>
      <c r="K217" s="93" t="e">
        <f t="shared" si="23"/>
        <v>#NUM!</v>
      </c>
      <c r="L217" s="93"/>
      <c r="M217" s="92">
        <f t="shared" si="24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21"/>
        <v/>
      </c>
      <c r="J218" s="93" t="e">
        <f t="shared" si="22"/>
        <v>#NUM!</v>
      </c>
      <c r="K218" s="93" t="e">
        <f t="shared" si="23"/>
        <v>#NUM!</v>
      </c>
      <c r="L218" s="93"/>
      <c r="M218" s="92">
        <f t="shared" si="24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8">
        <v>214</v>
      </c>
      <c r="I219" s="94" t="str">
        <f t="shared" si="21"/>
        <v/>
      </c>
      <c r="J219" s="93" t="e">
        <f t="shared" si="22"/>
        <v>#NUM!</v>
      </c>
      <c r="K219" s="93" t="e">
        <f t="shared" si="23"/>
        <v>#NUM!</v>
      </c>
      <c r="L219" s="93"/>
      <c r="M219" s="92">
        <f t="shared" si="24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21"/>
        <v/>
      </c>
      <c r="J220" s="93" t="e">
        <f t="shared" si="22"/>
        <v>#NUM!</v>
      </c>
      <c r="K220" s="93" t="e">
        <f t="shared" si="23"/>
        <v>#NUM!</v>
      </c>
      <c r="L220" s="93"/>
      <c r="M220" s="92">
        <f t="shared" si="24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8">
        <v>216</v>
      </c>
      <c r="I221" s="94" t="str">
        <f t="shared" si="21"/>
        <v/>
      </c>
      <c r="J221" s="93" t="e">
        <f t="shared" si="22"/>
        <v>#NUM!</v>
      </c>
      <c r="K221" s="93" t="e">
        <f t="shared" si="23"/>
        <v>#NUM!</v>
      </c>
      <c r="L221" s="93"/>
      <c r="M221" s="92">
        <f t="shared" si="24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21"/>
        <v/>
      </c>
      <c r="J222" s="93" t="e">
        <f t="shared" si="22"/>
        <v>#NUM!</v>
      </c>
      <c r="K222" s="93" t="e">
        <f t="shared" si="23"/>
        <v>#NUM!</v>
      </c>
      <c r="L222" s="93"/>
      <c r="M222" s="92">
        <f t="shared" si="24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8">
        <v>218</v>
      </c>
      <c r="I223" s="94" t="str">
        <f t="shared" si="21"/>
        <v/>
      </c>
      <c r="J223" s="93" t="e">
        <f t="shared" si="22"/>
        <v>#NUM!</v>
      </c>
      <c r="K223" s="93" t="e">
        <f t="shared" si="23"/>
        <v>#NUM!</v>
      </c>
      <c r="L223" s="93"/>
      <c r="M223" s="92">
        <f t="shared" si="24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21"/>
        <v/>
      </c>
      <c r="J224" s="93" t="e">
        <f t="shared" si="22"/>
        <v>#NUM!</v>
      </c>
      <c r="K224" s="93" t="e">
        <f t="shared" si="23"/>
        <v>#NUM!</v>
      </c>
      <c r="L224" s="93"/>
      <c r="M224" s="92">
        <f t="shared" si="24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8">
        <v>220</v>
      </c>
      <c r="I225" s="94" t="str">
        <f t="shared" si="21"/>
        <v/>
      </c>
      <c r="J225" s="93" t="e">
        <f t="shared" si="22"/>
        <v>#NUM!</v>
      </c>
      <c r="K225" s="93" t="e">
        <f t="shared" si="23"/>
        <v>#NUM!</v>
      </c>
      <c r="L225" s="93"/>
      <c r="M225" s="92">
        <f t="shared" si="24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21"/>
        <v/>
      </c>
      <c r="J226" s="93" t="e">
        <f t="shared" si="22"/>
        <v>#NUM!</v>
      </c>
      <c r="K226" s="93" t="e">
        <f t="shared" si="23"/>
        <v>#NUM!</v>
      </c>
      <c r="L226" s="93"/>
      <c r="M226" s="92">
        <f t="shared" si="24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8">
        <v>222</v>
      </c>
      <c r="I227" s="94" t="str">
        <f t="shared" si="21"/>
        <v/>
      </c>
      <c r="J227" s="93" t="e">
        <f t="shared" si="22"/>
        <v>#NUM!</v>
      </c>
      <c r="K227" s="93" t="e">
        <f t="shared" si="23"/>
        <v>#NUM!</v>
      </c>
      <c r="L227" s="93"/>
      <c r="M227" s="92">
        <f t="shared" si="24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21"/>
        <v/>
      </c>
      <c r="J228" s="93" t="e">
        <f t="shared" si="22"/>
        <v>#NUM!</v>
      </c>
      <c r="K228" s="93" t="e">
        <f t="shared" si="23"/>
        <v>#NUM!</v>
      </c>
      <c r="L228" s="93"/>
      <c r="M228" s="92">
        <f t="shared" si="24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8">
        <v>224</v>
      </c>
      <c r="I229" s="94" t="str">
        <f t="shared" si="21"/>
        <v/>
      </c>
      <c r="J229" s="93" t="e">
        <f t="shared" si="22"/>
        <v>#NUM!</v>
      </c>
      <c r="K229" s="93" t="e">
        <f t="shared" si="23"/>
        <v>#NUM!</v>
      </c>
      <c r="L229" s="93"/>
      <c r="M229" s="92">
        <f t="shared" si="24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21"/>
        <v/>
      </c>
      <c r="J230" s="93" t="e">
        <f t="shared" si="22"/>
        <v>#NUM!</v>
      </c>
      <c r="K230" s="93" t="e">
        <f t="shared" si="23"/>
        <v>#NUM!</v>
      </c>
      <c r="L230" s="93"/>
      <c r="M230" s="92">
        <f t="shared" si="24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8">
        <v>226</v>
      </c>
      <c r="I231" s="94" t="str">
        <f t="shared" si="21"/>
        <v/>
      </c>
      <c r="J231" s="93" t="e">
        <f t="shared" si="22"/>
        <v>#NUM!</v>
      </c>
      <c r="K231" s="93" t="e">
        <f t="shared" si="23"/>
        <v>#NUM!</v>
      </c>
      <c r="L231" s="93"/>
      <c r="M231" s="92">
        <f t="shared" si="24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21"/>
        <v/>
      </c>
      <c r="J232" s="93" t="e">
        <f t="shared" si="22"/>
        <v>#NUM!</v>
      </c>
      <c r="K232" s="93" t="e">
        <f t="shared" si="23"/>
        <v>#NUM!</v>
      </c>
      <c r="L232" s="93"/>
      <c r="M232" s="92">
        <f t="shared" si="24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8">
        <v>228</v>
      </c>
      <c r="I233" s="94" t="str">
        <f t="shared" si="21"/>
        <v/>
      </c>
      <c r="J233" s="93" t="e">
        <f t="shared" si="22"/>
        <v>#NUM!</v>
      </c>
      <c r="K233" s="93" t="e">
        <f t="shared" si="23"/>
        <v>#NUM!</v>
      </c>
      <c r="L233" s="93"/>
      <c r="M233" s="92">
        <f t="shared" si="24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21"/>
        <v/>
      </c>
      <c r="J234" s="93" t="e">
        <f t="shared" si="22"/>
        <v>#NUM!</v>
      </c>
      <c r="K234" s="93" t="e">
        <f t="shared" si="23"/>
        <v>#NUM!</v>
      </c>
      <c r="L234" s="93"/>
      <c r="M234" s="92">
        <f t="shared" si="24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8">
        <v>230</v>
      </c>
      <c r="I235" s="94" t="str">
        <f t="shared" si="21"/>
        <v/>
      </c>
      <c r="J235" s="93" t="e">
        <f t="shared" si="22"/>
        <v>#NUM!</v>
      </c>
      <c r="K235" s="93" t="e">
        <f t="shared" si="23"/>
        <v>#NUM!</v>
      </c>
      <c r="L235" s="93"/>
      <c r="M235" s="92">
        <f t="shared" si="24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21"/>
        <v/>
      </c>
      <c r="J236" s="93" t="e">
        <f t="shared" si="22"/>
        <v>#NUM!</v>
      </c>
      <c r="K236" s="93" t="e">
        <f t="shared" si="23"/>
        <v>#NUM!</v>
      </c>
      <c r="L236" s="93"/>
      <c r="M236" s="92">
        <f t="shared" si="24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8">
        <v>232</v>
      </c>
      <c r="I237" s="94" t="str">
        <f t="shared" si="21"/>
        <v/>
      </c>
      <c r="J237" s="93" t="e">
        <f t="shared" si="22"/>
        <v>#NUM!</v>
      </c>
      <c r="K237" s="93" t="e">
        <f t="shared" si="23"/>
        <v>#NUM!</v>
      </c>
      <c r="L237" s="93"/>
      <c r="M237" s="92">
        <f t="shared" si="24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21"/>
        <v/>
      </c>
      <c r="J238" s="93" t="e">
        <f t="shared" si="22"/>
        <v>#NUM!</v>
      </c>
      <c r="K238" s="93" t="e">
        <f t="shared" si="23"/>
        <v>#NUM!</v>
      </c>
      <c r="L238" s="93"/>
      <c r="M238" s="92">
        <f t="shared" si="24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8">
        <v>234</v>
      </c>
      <c r="I239" s="94" t="str">
        <f t="shared" si="21"/>
        <v/>
      </c>
      <c r="J239" s="93" t="e">
        <f t="shared" si="22"/>
        <v>#NUM!</v>
      </c>
      <c r="K239" s="93" t="e">
        <f t="shared" si="23"/>
        <v>#NUM!</v>
      </c>
      <c r="L239" s="93"/>
      <c r="M239" s="92">
        <f t="shared" si="24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21"/>
        <v/>
      </c>
      <c r="J240" s="93" t="e">
        <f t="shared" si="22"/>
        <v>#NUM!</v>
      </c>
      <c r="K240" s="93" t="e">
        <f t="shared" si="23"/>
        <v>#NUM!</v>
      </c>
      <c r="L240" s="93"/>
      <c r="M240" s="92">
        <f t="shared" si="24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8">
        <v>236</v>
      </c>
      <c r="I241" s="94" t="str">
        <f t="shared" si="21"/>
        <v/>
      </c>
      <c r="J241" s="93" t="e">
        <f t="shared" si="22"/>
        <v>#NUM!</v>
      </c>
      <c r="K241" s="93" t="e">
        <f t="shared" si="23"/>
        <v>#NUM!</v>
      </c>
      <c r="L241" s="93"/>
      <c r="M241" s="92">
        <f t="shared" si="24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21"/>
        <v/>
      </c>
      <c r="J242" s="93" t="e">
        <f t="shared" si="22"/>
        <v>#NUM!</v>
      </c>
      <c r="K242" s="93" t="e">
        <f t="shared" si="23"/>
        <v>#NUM!</v>
      </c>
      <c r="L242" s="93"/>
      <c r="M242" s="92">
        <f t="shared" si="24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8">
        <v>238</v>
      </c>
      <c r="I243" s="94" t="str">
        <f t="shared" si="21"/>
        <v/>
      </c>
      <c r="J243" s="93" t="e">
        <f t="shared" si="22"/>
        <v>#NUM!</v>
      </c>
      <c r="K243" s="93" t="e">
        <f t="shared" si="23"/>
        <v>#NUM!</v>
      </c>
      <c r="L243" s="93"/>
      <c r="M243" s="92">
        <f t="shared" si="24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21"/>
        <v/>
      </c>
      <c r="J244" s="93" t="e">
        <f t="shared" si="22"/>
        <v>#NUM!</v>
      </c>
      <c r="K244" s="93" t="e">
        <f t="shared" si="23"/>
        <v>#NUM!</v>
      </c>
      <c r="L244" s="93"/>
      <c r="M244" s="92">
        <f t="shared" si="24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8">
        <v>240</v>
      </c>
      <c r="I245" s="94" t="str">
        <f t="shared" si="21"/>
        <v/>
      </c>
      <c r="J245" s="93" t="e">
        <f t="shared" si="22"/>
        <v>#NUM!</v>
      </c>
      <c r="K245" s="93" t="e">
        <f t="shared" si="23"/>
        <v>#NUM!</v>
      </c>
      <c r="L245" s="93"/>
      <c r="M245" s="92">
        <f t="shared" si="24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21"/>
        <v/>
      </c>
      <c r="J246" s="93" t="e">
        <f t="shared" si="22"/>
        <v>#NUM!</v>
      </c>
      <c r="K246" s="93" t="e">
        <f t="shared" si="23"/>
        <v>#NUM!</v>
      </c>
      <c r="L246" s="93"/>
      <c r="M246" s="92">
        <f t="shared" si="24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8">
        <v>242</v>
      </c>
      <c r="I247" s="94" t="str">
        <f t="shared" si="21"/>
        <v/>
      </c>
      <c r="J247" s="93" t="e">
        <f t="shared" si="22"/>
        <v>#NUM!</v>
      </c>
      <c r="K247" s="93" t="e">
        <f t="shared" si="23"/>
        <v>#NUM!</v>
      </c>
      <c r="L247" s="93"/>
      <c r="M247" s="92">
        <f t="shared" si="24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21"/>
        <v/>
      </c>
      <c r="J248" s="93" t="e">
        <f t="shared" si="22"/>
        <v>#NUM!</v>
      </c>
      <c r="K248" s="93" t="e">
        <f t="shared" si="23"/>
        <v>#NUM!</v>
      </c>
      <c r="L248" s="93"/>
      <c r="M248" s="92">
        <f t="shared" si="24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8">
        <v>244</v>
      </c>
      <c r="I249" s="94" t="str">
        <f t="shared" si="21"/>
        <v/>
      </c>
      <c r="J249" s="93" t="e">
        <f t="shared" si="22"/>
        <v>#NUM!</v>
      </c>
      <c r="K249" s="93" t="e">
        <f t="shared" si="23"/>
        <v>#NUM!</v>
      </c>
      <c r="L249" s="93"/>
      <c r="M249" s="92">
        <f t="shared" si="24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21"/>
        <v/>
      </c>
      <c r="J250" s="93" t="e">
        <f t="shared" si="22"/>
        <v>#NUM!</v>
      </c>
      <c r="K250" s="93" t="e">
        <f t="shared" si="23"/>
        <v>#NUM!</v>
      </c>
      <c r="L250" s="93"/>
      <c r="M250" s="92">
        <f t="shared" si="24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8">
        <v>246</v>
      </c>
      <c r="I251" s="94" t="str">
        <f t="shared" si="21"/>
        <v/>
      </c>
      <c r="J251" s="93" t="e">
        <f t="shared" si="22"/>
        <v>#NUM!</v>
      </c>
      <c r="K251" s="93" t="e">
        <f t="shared" si="23"/>
        <v>#NUM!</v>
      </c>
      <c r="L251" s="93"/>
      <c r="M251" s="92">
        <f t="shared" si="24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21"/>
        <v/>
      </c>
      <c r="J252" s="93" t="e">
        <f t="shared" si="22"/>
        <v>#NUM!</v>
      </c>
      <c r="K252" s="93" t="e">
        <f t="shared" si="23"/>
        <v>#NUM!</v>
      </c>
      <c r="L252" s="93"/>
      <c r="M252" s="92">
        <f t="shared" si="24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8">
        <v>248</v>
      </c>
      <c r="I253" s="94" t="str">
        <f t="shared" si="21"/>
        <v/>
      </c>
      <c r="J253" s="93" t="e">
        <f t="shared" si="22"/>
        <v>#NUM!</v>
      </c>
      <c r="K253" s="93" t="e">
        <f t="shared" si="23"/>
        <v>#NUM!</v>
      </c>
      <c r="L253" s="93"/>
      <c r="M253" s="92">
        <f t="shared" si="24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21"/>
        <v/>
      </c>
      <c r="J254" s="93" t="e">
        <f t="shared" si="22"/>
        <v>#NUM!</v>
      </c>
      <c r="K254" s="93" t="e">
        <f t="shared" si="23"/>
        <v>#NUM!</v>
      </c>
      <c r="L254" s="93"/>
      <c r="M254" s="92">
        <f t="shared" si="24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8">
        <v>250</v>
      </c>
      <c r="I255" s="94" t="str">
        <f t="shared" si="21"/>
        <v/>
      </c>
      <c r="J255" s="93" t="e">
        <f t="shared" si="22"/>
        <v>#NUM!</v>
      </c>
      <c r="K255" s="93" t="e">
        <f t="shared" si="23"/>
        <v>#NUM!</v>
      </c>
      <c r="L255" s="93"/>
      <c r="M255" s="92">
        <f t="shared" si="24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21"/>
        <v/>
      </c>
      <c r="J256" s="93" t="e">
        <f t="shared" si="22"/>
        <v>#NUM!</v>
      </c>
      <c r="K256" s="93" t="e">
        <f t="shared" si="23"/>
        <v>#NUM!</v>
      </c>
      <c r="L256" s="93"/>
      <c r="M256" s="92">
        <f t="shared" si="24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8">
        <v>252</v>
      </c>
      <c r="I257" s="94" t="str">
        <f t="shared" si="21"/>
        <v/>
      </c>
      <c r="J257" s="93" t="e">
        <f t="shared" si="22"/>
        <v>#NUM!</v>
      </c>
      <c r="K257" s="93" t="e">
        <f t="shared" si="23"/>
        <v>#NUM!</v>
      </c>
      <c r="L257" s="93"/>
      <c r="M257" s="92">
        <f t="shared" si="24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21"/>
        <v/>
      </c>
      <c r="J258" s="93" t="e">
        <f t="shared" si="22"/>
        <v>#NUM!</v>
      </c>
      <c r="K258" s="93" t="e">
        <f t="shared" si="23"/>
        <v>#NUM!</v>
      </c>
      <c r="L258" s="93"/>
      <c r="M258" s="92">
        <f t="shared" si="24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8">
        <v>254</v>
      </c>
      <c r="I259" s="94" t="str">
        <f t="shared" si="21"/>
        <v/>
      </c>
      <c r="J259" s="93" t="e">
        <f t="shared" si="22"/>
        <v>#NUM!</v>
      </c>
      <c r="K259" s="93" t="e">
        <f t="shared" si="23"/>
        <v>#NUM!</v>
      </c>
      <c r="L259" s="93"/>
      <c r="M259" s="92">
        <f t="shared" si="24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21"/>
        <v/>
      </c>
      <c r="J260" s="93" t="e">
        <f t="shared" si="22"/>
        <v>#NUM!</v>
      </c>
      <c r="K260" s="93" t="e">
        <f t="shared" si="23"/>
        <v>#NUM!</v>
      </c>
      <c r="L260" s="93"/>
      <c r="M260" s="92">
        <f t="shared" si="24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8">
        <v>256</v>
      </c>
      <c r="I261" s="94" t="str">
        <f t="shared" si="21"/>
        <v/>
      </c>
      <c r="J261" s="93" t="e">
        <f t="shared" si="22"/>
        <v>#NUM!</v>
      </c>
      <c r="K261" s="93" t="e">
        <f t="shared" si="23"/>
        <v>#NUM!</v>
      </c>
      <c r="L261" s="93"/>
      <c r="M261" s="92">
        <f t="shared" si="24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25">IF(H262&lt;$H$2+1,($I$2-($I$2-1)*(LOG(H262)/LOG($H$2))),"")</f>
        <v/>
      </c>
      <c r="J262" s="93" t="e">
        <f t="shared" ref="J262:J305" si="26">INT(LOG($H$2,2))-ROUNDUP(LOG(H262,2),0)+IF(OR($H$2=1,$H$2=2,$H$2=4,$H$2=8,$H$2=16,$H$2=32,$H$2=64,$H$2=128,$H$2=256),0,1)</f>
        <v>#NUM!</v>
      </c>
      <c r="K262" s="93" t="e">
        <f t="shared" ref="K262:K305" si="27">J262*$J$2</f>
        <v>#NUM!</v>
      </c>
      <c r="L262" s="93"/>
      <c r="M262" s="92">
        <f t="shared" ref="M262:M305" si="28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8">
        <v>258</v>
      </c>
      <c r="I263" s="94" t="str">
        <f t="shared" si="25"/>
        <v/>
      </c>
      <c r="J263" s="93" t="e">
        <f t="shared" si="26"/>
        <v>#NUM!</v>
      </c>
      <c r="K263" s="93" t="e">
        <f t="shared" si="27"/>
        <v>#NUM!</v>
      </c>
      <c r="L263" s="93"/>
      <c r="M263" s="92">
        <f t="shared" si="28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25"/>
        <v/>
      </c>
      <c r="J264" s="93" t="e">
        <f t="shared" si="26"/>
        <v>#NUM!</v>
      </c>
      <c r="K264" s="93" t="e">
        <f t="shared" si="27"/>
        <v>#NUM!</v>
      </c>
      <c r="L264" s="93"/>
      <c r="M264" s="92">
        <f t="shared" si="28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8">
        <v>260</v>
      </c>
      <c r="I265" s="94" t="str">
        <f t="shared" si="25"/>
        <v/>
      </c>
      <c r="J265" s="93" t="e">
        <f t="shared" si="26"/>
        <v>#NUM!</v>
      </c>
      <c r="K265" s="93" t="e">
        <f t="shared" si="27"/>
        <v>#NUM!</v>
      </c>
      <c r="L265" s="93"/>
      <c r="M265" s="92">
        <f t="shared" si="28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25"/>
        <v/>
      </c>
      <c r="J266" s="93" t="e">
        <f t="shared" si="26"/>
        <v>#NUM!</v>
      </c>
      <c r="K266" s="93" t="e">
        <f t="shared" si="27"/>
        <v>#NUM!</v>
      </c>
      <c r="L266" s="93"/>
      <c r="M266" s="92">
        <f t="shared" si="28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8">
        <v>262</v>
      </c>
      <c r="I267" s="94" t="str">
        <f t="shared" si="25"/>
        <v/>
      </c>
      <c r="J267" s="93" t="e">
        <f t="shared" si="26"/>
        <v>#NUM!</v>
      </c>
      <c r="K267" s="93" t="e">
        <f t="shared" si="27"/>
        <v>#NUM!</v>
      </c>
      <c r="L267" s="93"/>
      <c r="M267" s="92">
        <f t="shared" si="28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25"/>
        <v/>
      </c>
      <c r="J268" s="93" t="e">
        <f t="shared" si="26"/>
        <v>#NUM!</v>
      </c>
      <c r="K268" s="93" t="e">
        <f t="shared" si="27"/>
        <v>#NUM!</v>
      </c>
      <c r="L268" s="93"/>
      <c r="M268" s="92">
        <f t="shared" si="28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8">
        <v>264</v>
      </c>
      <c r="I269" s="94" t="str">
        <f t="shared" si="25"/>
        <v/>
      </c>
      <c r="J269" s="93" t="e">
        <f t="shared" si="26"/>
        <v>#NUM!</v>
      </c>
      <c r="K269" s="93" t="e">
        <f t="shared" si="27"/>
        <v>#NUM!</v>
      </c>
      <c r="L269" s="93"/>
      <c r="M269" s="92">
        <f t="shared" si="28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25"/>
        <v/>
      </c>
      <c r="J270" s="93" t="e">
        <f t="shared" si="26"/>
        <v>#NUM!</v>
      </c>
      <c r="K270" s="93" t="e">
        <f t="shared" si="27"/>
        <v>#NUM!</v>
      </c>
      <c r="L270" s="93"/>
      <c r="M270" s="92">
        <f t="shared" si="28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8">
        <v>266</v>
      </c>
      <c r="I271" s="94" t="str">
        <f t="shared" si="25"/>
        <v/>
      </c>
      <c r="J271" s="93" t="e">
        <f t="shared" si="26"/>
        <v>#NUM!</v>
      </c>
      <c r="K271" s="93" t="e">
        <f t="shared" si="27"/>
        <v>#NUM!</v>
      </c>
      <c r="L271" s="93"/>
      <c r="M271" s="92">
        <f t="shared" si="28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25"/>
        <v/>
      </c>
      <c r="J272" s="93" t="e">
        <f t="shared" si="26"/>
        <v>#NUM!</v>
      </c>
      <c r="K272" s="93" t="e">
        <f t="shared" si="27"/>
        <v>#NUM!</v>
      </c>
      <c r="L272" s="93"/>
      <c r="M272" s="92">
        <f t="shared" si="28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8">
        <v>268</v>
      </c>
      <c r="I273" s="94" t="str">
        <f t="shared" si="25"/>
        <v/>
      </c>
      <c r="J273" s="93" t="e">
        <f t="shared" si="26"/>
        <v>#NUM!</v>
      </c>
      <c r="K273" s="93" t="e">
        <f t="shared" si="27"/>
        <v>#NUM!</v>
      </c>
      <c r="L273" s="93"/>
      <c r="M273" s="92">
        <f t="shared" si="28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25"/>
        <v/>
      </c>
      <c r="J274" s="93" t="e">
        <f t="shared" si="26"/>
        <v>#NUM!</v>
      </c>
      <c r="K274" s="93" t="e">
        <f t="shared" si="27"/>
        <v>#NUM!</v>
      </c>
      <c r="L274" s="93"/>
      <c r="M274" s="92">
        <f t="shared" si="28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8">
        <v>270</v>
      </c>
      <c r="I275" s="94" t="str">
        <f t="shared" si="25"/>
        <v/>
      </c>
      <c r="J275" s="93" t="e">
        <f t="shared" si="26"/>
        <v>#NUM!</v>
      </c>
      <c r="K275" s="93" t="e">
        <f t="shared" si="27"/>
        <v>#NUM!</v>
      </c>
      <c r="L275" s="93"/>
      <c r="M275" s="92">
        <f t="shared" si="28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25"/>
        <v/>
      </c>
      <c r="J276" s="93" t="e">
        <f t="shared" si="26"/>
        <v>#NUM!</v>
      </c>
      <c r="K276" s="93" t="e">
        <f t="shared" si="27"/>
        <v>#NUM!</v>
      </c>
      <c r="L276" s="93"/>
      <c r="M276" s="92">
        <f t="shared" si="28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8">
        <v>272</v>
      </c>
      <c r="I277" s="94" t="str">
        <f t="shared" si="25"/>
        <v/>
      </c>
      <c r="J277" s="93" t="e">
        <f t="shared" si="26"/>
        <v>#NUM!</v>
      </c>
      <c r="K277" s="93" t="e">
        <f t="shared" si="27"/>
        <v>#NUM!</v>
      </c>
      <c r="L277" s="93"/>
      <c r="M277" s="92">
        <f t="shared" si="28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25"/>
        <v/>
      </c>
      <c r="J278" s="93" t="e">
        <f t="shared" si="26"/>
        <v>#NUM!</v>
      </c>
      <c r="K278" s="93" t="e">
        <f t="shared" si="27"/>
        <v>#NUM!</v>
      </c>
      <c r="L278" s="93"/>
      <c r="M278" s="92">
        <f t="shared" si="28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8">
        <v>274</v>
      </c>
      <c r="I279" s="94" t="str">
        <f t="shared" si="25"/>
        <v/>
      </c>
      <c r="J279" s="93" t="e">
        <f t="shared" si="26"/>
        <v>#NUM!</v>
      </c>
      <c r="K279" s="93" t="e">
        <f t="shared" si="27"/>
        <v>#NUM!</v>
      </c>
      <c r="L279" s="93"/>
      <c r="M279" s="92">
        <f t="shared" si="28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25"/>
        <v/>
      </c>
      <c r="J280" s="93" t="e">
        <f t="shared" si="26"/>
        <v>#NUM!</v>
      </c>
      <c r="K280" s="93" t="e">
        <f t="shared" si="27"/>
        <v>#NUM!</v>
      </c>
      <c r="L280" s="93"/>
      <c r="M280" s="92">
        <f t="shared" si="28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8">
        <v>276</v>
      </c>
      <c r="I281" s="94" t="str">
        <f t="shared" si="25"/>
        <v/>
      </c>
      <c r="J281" s="93" t="e">
        <f t="shared" si="26"/>
        <v>#NUM!</v>
      </c>
      <c r="K281" s="93" t="e">
        <f t="shared" si="27"/>
        <v>#NUM!</v>
      </c>
      <c r="L281" s="93"/>
      <c r="M281" s="92">
        <f t="shared" si="28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25"/>
        <v/>
      </c>
      <c r="J282" s="93" t="e">
        <f t="shared" si="26"/>
        <v>#NUM!</v>
      </c>
      <c r="K282" s="93" t="e">
        <f t="shared" si="27"/>
        <v>#NUM!</v>
      </c>
      <c r="L282" s="93"/>
      <c r="M282" s="92">
        <f t="shared" si="28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8">
        <v>278</v>
      </c>
      <c r="I283" s="94" t="str">
        <f t="shared" si="25"/>
        <v/>
      </c>
      <c r="J283" s="93" t="e">
        <f t="shared" si="26"/>
        <v>#NUM!</v>
      </c>
      <c r="K283" s="93" t="e">
        <f t="shared" si="27"/>
        <v>#NUM!</v>
      </c>
      <c r="L283" s="93"/>
      <c r="M283" s="92">
        <f t="shared" si="28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25"/>
        <v/>
      </c>
      <c r="J284" s="93" t="e">
        <f t="shared" si="26"/>
        <v>#NUM!</v>
      </c>
      <c r="K284" s="93" t="e">
        <f t="shared" si="27"/>
        <v>#NUM!</v>
      </c>
      <c r="L284" s="93"/>
      <c r="M284" s="92">
        <f t="shared" si="28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8">
        <v>280</v>
      </c>
      <c r="I285" s="94" t="str">
        <f t="shared" si="25"/>
        <v/>
      </c>
      <c r="J285" s="93" t="e">
        <f t="shared" si="26"/>
        <v>#NUM!</v>
      </c>
      <c r="K285" s="93" t="e">
        <f t="shared" si="27"/>
        <v>#NUM!</v>
      </c>
      <c r="L285" s="93"/>
      <c r="M285" s="92">
        <f t="shared" si="28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25"/>
        <v/>
      </c>
      <c r="J286" s="93" t="e">
        <f t="shared" si="26"/>
        <v>#NUM!</v>
      </c>
      <c r="K286" s="93" t="e">
        <f t="shared" si="27"/>
        <v>#NUM!</v>
      </c>
      <c r="L286" s="93"/>
      <c r="M286" s="92">
        <f t="shared" si="28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8">
        <v>282</v>
      </c>
      <c r="I287" s="94" t="str">
        <f t="shared" si="25"/>
        <v/>
      </c>
      <c r="J287" s="93" t="e">
        <f t="shared" si="26"/>
        <v>#NUM!</v>
      </c>
      <c r="K287" s="93" t="e">
        <f t="shared" si="27"/>
        <v>#NUM!</v>
      </c>
      <c r="L287" s="93"/>
      <c r="M287" s="92">
        <f t="shared" si="28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25"/>
        <v/>
      </c>
      <c r="J288" s="93" t="e">
        <f t="shared" si="26"/>
        <v>#NUM!</v>
      </c>
      <c r="K288" s="93" t="e">
        <f t="shared" si="27"/>
        <v>#NUM!</v>
      </c>
      <c r="L288" s="93"/>
      <c r="M288" s="92">
        <f t="shared" si="28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8">
        <v>284</v>
      </c>
      <c r="I289" s="94" t="str">
        <f t="shared" si="25"/>
        <v/>
      </c>
      <c r="J289" s="93" t="e">
        <f t="shared" si="26"/>
        <v>#NUM!</v>
      </c>
      <c r="K289" s="93" t="e">
        <f t="shared" si="27"/>
        <v>#NUM!</v>
      </c>
      <c r="L289" s="93"/>
      <c r="M289" s="92">
        <f t="shared" si="28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25"/>
        <v/>
      </c>
      <c r="J290" s="93" t="e">
        <f t="shared" si="26"/>
        <v>#NUM!</v>
      </c>
      <c r="K290" s="93" t="e">
        <f t="shared" si="27"/>
        <v>#NUM!</v>
      </c>
      <c r="L290" s="93"/>
      <c r="M290" s="92">
        <f t="shared" si="28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8">
        <v>286</v>
      </c>
      <c r="I291" s="94" t="str">
        <f t="shared" si="25"/>
        <v/>
      </c>
      <c r="J291" s="93" t="e">
        <f t="shared" si="26"/>
        <v>#NUM!</v>
      </c>
      <c r="K291" s="93" t="e">
        <f t="shared" si="27"/>
        <v>#NUM!</v>
      </c>
      <c r="L291" s="93"/>
      <c r="M291" s="92">
        <f t="shared" si="28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25"/>
        <v/>
      </c>
      <c r="J292" s="93" t="e">
        <f t="shared" si="26"/>
        <v>#NUM!</v>
      </c>
      <c r="K292" s="93" t="e">
        <f t="shared" si="27"/>
        <v>#NUM!</v>
      </c>
      <c r="L292" s="93"/>
      <c r="M292" s="92">
        <f t="shared" si="28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25"/>
        <v/>
      </c>
      <c r="J293" s="93" t="e">
        <f t="shared" si="26"/>
        <v>#NUM!</v>
      </c>
      <c r="K293" s="93" t="e">
        <f t="shared" si="27"/>
        <v>#NUM!</v>
      </c>
      <c r="L293" s="93"/>
      <c r="M293" s="92">
        <f t="shared" si="28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25"/>
        <v/>
      </c>
      <c r="J294" s="93" t="e">
        <f t="shared" si="26"/>
        <v>#NUM!</v>
      </c>
      <c r="K294" s="93" t="e">
        <f t="shared" si="27"/>
        <v>#NUM!</v>
      </c>
      <c r="L294" s="93"/>
      <c r="M294" s="92">
        <f t="shared" si="28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25"/>
        <v/>
      </c>
      <c r="J295" s="93" t="e">
        <f t="shared" si="26"/>
        <v>#NUM!</v>
      </c>
      <c r="K295" s="93" t="e">
        <f t="shared" si="27"/>
        <v>#NUM!</v>
      </c>
      <c r="L295" s="93"/>
      <c r="M295" s="92">
        <f t="shared" si="28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25"/>
        <v/>
      </c>
      <c r="J296" s="93" t="e">
        <f t="shared" si="26"/>
        <v>#NUM!</v>
      </c>
      <c r="K296" s="93" t="e">
        <f t="shared" si="27"/>
        <v>#NUM!</v>
      </c>
      <c r="L296" s="93"/>
      <c r="M296" s="92">
        <f t="shared" si="28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25"/>
        <v/>
      </c>
      <c r="J297" s="93" t="e">
        <f t="shared" si="26"/>
        <v>#NUM!</v>
      </c>
      <c r="K297" s="93" t="e">
        <f t="shared" si="27"/>
        <v>#NUM!</v>
      </c>
      <c r="L297" s="93"/>
      <c r="M297" s="92">
        <f t="shared" si="28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25"/>
        <v/>
      </c>
      <c r="J298" s="93" t="e">
        <f t="shared" si="26"/>
        <v>#NUM!</v>
      </c>
      <c r="K298" s="93" t="e">
        <f t="shared" si="27"/>
        <v>#NUM!</v>
      </c>
      <c r="L298" s="93"/>
      <c r="M298" s="92">
        <f t="shared" si="28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25"/>
        <v/>
      </c>
      <c r="J299" s="93" t="e">
        <f t="shared" si="26"/>
        <v>#NUM!</v>
      </c>
      <c r="K299" s="93" t="e">
        <f t="shared" si="27"/>
        <v>#NUM!</v>
      </c>
      <c r="L299" s="93"/>
      <c r="M299" s="92">
        <f t="shared" si="28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25"/>
        <v/>
      </c>
      <c r="J300" s="93" t="e">
        <f t="shared" si="26"/>
        <v>#NUM!</v>
      </c>
      <c r="K300" s="93" t="e">
        <f t="shared" si="27"/>
        <v>#NUM!</v>
      </c>
      <c r="L300" s="93"/>
      <c r="M300" s="92">
        <f t="shared" si="28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25"/>
        <v/>
      </c>
      <c r="J301" s="93" t="e">
        <f t="shared" si="26"/>
        <v>#NUM!</v>
      </c>
      <c r="K301" s="93" t="e">
        <f t="shared" si="27"/>
        <v>#NUM!</v>
      </c>
      <c r="L301" s="93"/>
      <c r="M301" s="92">
        <f t="shared" si="28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25"/>
        <v/>
      </c>
      <c r="J302" s="93" t="e">
        <f t="shared" si="26"/>
        <v>#NUM!</v>
      </c>
      <c r="K302" s="93" t="e">
        <f t="shared" si="27"/>
        <v>#NUM!</v>
      </c>
      <c r="L302" s="93"/>
      <c r="M302" s="92">
        <f t="shared" si="28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25"/>
        <v/>
      </c>
      <c r="J303" s="93" t="e">
        <f t="shared" si="26"/>
        <v>#NUM!</v>
      </c>
      <c r="K303" s="93" t="e">
        <f t="shared" si="27"/>
        <v>#NUM!</v>
      </c>
      <c r="L303" s="93"/>
      <c r="M303" s="92">
        <f t="shared" si="28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25"/>
        <v/>
      </c>
      <c r="J304" s="93" t="e">
        <f t="shared" si="26"/>
        <v>#NUM!</v>
      </c>
      <c r="K304" s="93" t="e">
        <f t="shared" si="27"/>
        <v>#NUM!</v>
      </c>
      <c r="L304" s="93"/>
      <c r="M304" s="92">
        <f t="shared" si="28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25"/>
        <v/>
      </c>
      <c r="J305" s="93" t="e">
        <f t="shared" si="26"/>
        <v>#NUM!</v>
      </c>
      <c r="K305" s="93" t="e">
        <f t="shared" si="27"/>
        <v>#NUM!</v>
      </c>
      <c r="L305" s="93"/>
      <c r="M305" s="92">
        <f t="shared" si="28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/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/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/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/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/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22E-A755-47C1-A6DC-24A21A195276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.25" style="88" customWidth="1"/>
    <col min="11" max="11" width="8.75" style="88" customWidth="1"/>
    <col min="12" max="12" width="11" style="88" customWidth="1"/>
    <col min="13" max="13" width="12.2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ht="14.45" customHeight="1" x14ac:dyDescent="0.25">
      <c r="A2" s="86"/>
      <c r="B2" s="22" t="s">
        <v>26</v>
      </c>
      <c r="C2" s="169" t="s">
        <v>110</v>
      </c>
      <c r="D2" s="70"/>
      <c r="E2" s="23"/>
      <c r="F2" s="23"/>
      <c r="G2" s="23"/>
      <c r="H2" s="121">
        <v>0</v>
      </c>
      <c r="I2" s="120">
        <v>50</v>
      </c>
      <c r="J2" s="120">
        <v>10</v>
      </c>
      <c r="K2" s="126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ht="14.45" customHeight="1" x14ac:dyDescent="0.25">
      <c r="A3" s="86"/>
      <c r="B3" s="118" t="s">
        <v>28</v>
      </c>
      <c r="C3" s="131" t="s">
        <v>111</v>
      </c>
      <c r="D3" s="71"/>
      <c r="E3" s="28"/>
      <c r="F3" s="28"/>
      <c r="G3" s="28"/>
      <c r="H3" s="116"/>
      <c r="I3" s="116"/>
      <c r="J3" s="117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7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5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93">
        <v>1</v>
      </c>
      <c r="I6" s="94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3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98">
        <v>2</v>
      </c>
      <c r="I7" s="99" t="str">
        <f t="shared" si="1"/>
        <v/>
      </c>
      <c r="J7" s="98" t="e">
        <f t="shared" si="2"/>
        <v>#NUM!</v>
      </c>
      <c r="K7" s="98" t="e">
        <f t="shared" si="3"/>
        <v>#NUM!</v>
      </c>
      <c r="L7" s="97">
        <f>2*K2</f>
        <v>0</v>
      </c>
      <c r="M7" s="97">
        <f t="shared" si="4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93">
        <v>3</v>
      </c>
      <c r="I8" s="94" t="str">
        <f t="shared" si="1"/>
        <v/>
      </c>
      <c r="J8" s="93" t="e">
        <f t="shared" si="2"/>
        <v>#NUM!</v>
      </c>
      <c r="K8" s="93" t="e">
        <f t="shared" si="3"/>
        <v>#NUM!</v>
      </c>
      <c r="L8" s="92">
        <f>K2</f>
        <v>0</v>
      </c>
      <c r="M8" s="92">
        <f t="shared" si="4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 t="e">
        <f t="shared" si="2"/>
        <v>#NUM!</v>
      </c>
      <c r="K9" s="98" t="e">
        <f t="shared" si="3"/>
        <v>#NUM!</v>
      </c>
      <c r="L9" s="97">
        <f>K2</f>
        <v>0</v>
      </c>
      <c r="M9" s="97">
        <f t="shared" si="4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5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3" t="e">
        <f t="shared" si="2"/>
        <v>#NUM!</v>
      </c>
      <c r="K10" s="93" t="e">
        <f t="shared" si="3"/>
        <v>#NUM!</v>
      </c>
      <c r="L10" s="93"/>
      <c r="M10" s="92">
        <f t="shared" si="4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8" t="e">
        <f t="shared" si="2"/>
        <v>#NUM!</v>
      </c>
      <c r="K11" s="98" t="e">
        <f t="shared" si="3"/>
        <v>#NUM!</v>
      </c>
      <c r="L11" s="98"/>
      <c r="M11" s="97">
        <f t="shared" si="4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3" t="e">
        <f t="shared" si="2"/>
        <v>#NUM!</v>
      </c>
      <c r="K12" s="93" t="e">
        <f t="shared" si="3"/>
        <v>#NUM!</v>
      </c>
      <c r="L12" s="93"/>
      <c r="M12" s="92">
        <f t="shared" si="4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8" t="e">
        <f t="shared" si="2"/>
        <v>#NUM!</v>
      </c>
      <c r="K13" s="98" t="e">
        <f t="shared" si="3"/>
        <v>#NUM!</v>
      </c>
      <c r="L13" s="98"/>
      <c r="M13" s="97">
        <f t="shared" si="4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3" t="e">
        <f t="shared" si="2"/>
        <v>#NUM!</v>
      </c>
      <c r="K14" s="93" t="e">
        <f t="shared" si="3"/>
        <v>#NUM!</v>
      </c>
      <c r="L14" s="93"/>
      <c r="M14" s="92">
        <f t="shared" si="4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8" t="e">
        <f t="shared" si="2"/>
        <v>#NUM!</v>
      </c>
      <c r="K15" s="98" t="e">
        <f t="shared" si="3"/>
        <v>#NUM!</v>
      </c>
      <c r="L15" s="98"/>
      <c r="M15" s="97">
        <f t="shared" si="4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3" t="e">
        <f t="shared" si="2"/>
        <v>#NUM!</v>
      </c>
      <c r="K16" s="93" t="e">
        <f t="shared" si="3"/>
        <v>#NUM!</v>
      </c>
      <c r="L16" s="93"/>
      <c r="M16" s="92">
        <f t="shared" si="4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8" t="e">
        <f t="shared" si="2"/>
        <v>#NUM!</v>
      </c>
      <c r="K17" s="98" t="e">
        <f t="shared" si="3"/>
        <v>#NUM!</v>
      </c>
      <c r="L17" s="98"/>
      <c r="M17" s="97">
        <f t="shared" si="4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93">
        <v>13</v>
      </c>
      <c r="I18" s="94" t="str">
        <f t="shared" si="1"/>
        <v/>
      </c>
      <c r="J18" s="93" t="e">
        <f t="shared" si="2"/>
        <v>#NUM!</v>
      </c>
      <c r="K18" s="93" t="e">
        <f t="shared" si="3"/>
        <v>#NUM!</v>
      </c>
      <c r="L18" s="93"/>
      <c r="M18" s="92">
        <f t="shared" si="4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8" t="e">
        <f t="shared" si="2"/>
        <v>#NUM!</v>
      </c>
      <c r="K19" s="98" t="e">
        <f t="shared" si="3"/>
        <v>#NUM!</v>
      </c>
      <c r="L19" s="98"/>
      <c r="M19" s="97">
        <f t="shared" si="4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3" t="e">
        <f t="shared" si="2"/>
        <v>#NUM!</v>
      </c>
      <c r="K20" s="93" t="e">
        <f t="shared" si="3"/>
        <v>#NUM!</v>
      </c>
      <c r="L20" s="93"/>
      <c r="M20" s="92">
        <f t="shared" si="4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8" t="e">
        <f t="shared" si="2"/>
        <v>#NUM!</v>
      </c>
      <c r="K21" s="98" t="e">
        <f t="shared" si="3"/>
        <v>#NUM!</v>
      </c>
      <c r="L21" s="98"/>
      <c r="M21" s="97">
        <f t="shared" si="4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3" t="e">
        <f t="shared" si="2"/>
        <v>#NUM!</v>
      </c>
      <c r="K22" s="93" t="e">
        <f t="shared" si="3"/>
        <v>#NUM!</v>
      </c>
      <c r="L22" s="93"/>
      <c r="M22" s="92">
        <f t="shared" si="4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8" t="e">
        <f t="shared" si="2"/>
        <v>#NUM!</v>
      </c>
      <c r="K23" s="98" t="e">
        <f t="shared" si="3"/>
        <v>#NUM!</v>
      </c>
      <c r="L23" s="98"/>
      <c r="M23" s="97">
        <f t="shared" si="4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3" t="e">
        <f t="shared" si="2"/>
        <v>#NUM!</v>
      </c>
      <c r="K24" s="93" t="e">
        <f t="shared" si="3"/>
        <v>#NUM!</v>
      </c>
      <c r="L24" s="93"/>
      <c r="M24" s="92">
        <f t="shared" si="4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8" t="e">
        <f t="shared" si="2"/>
        <v>#NUM!</v>
      </c>
      <c r="K25" s="98" t="e">
        <f t="shared" si="3"/>
        <v>#NUM!</v>
      </c>
      <c r="L25" s="98"/>
      <c r="M25" s="97">
        <f t="shared" si="4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3" t="e">
        <f t="shared" si="2"/>
        <v>#NUM!</v>
      </c>
      <c r="K26" s="93" t="e">
        <f t="shared" si="3"/>
        <v>#NUM!</v>
      </c>
      <c r="L26" s="93"/>
      <c r="M26" s="92">
        <f t="shared" si="4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8" t="e">
        <f t="shared" si="2"/>
        <v>#NUM!</v>
      </c>
      <c r="K27" s="98" t="e">
        <f t="shared" si="3"/>
        <v>#NUM!</v>
      </c>
      <c r="L27" s="98"/>
      <c r="M27" s="97">
        <f t="shared" si="4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3" t="e">
        <f t="shared" si="2"/>
        <v>#NUM!</v>
      </c>
      <c r="K28" s="93" t="e">
        <f t="shared" si="3"/>
        <v>#NUM!</v>
      </c>
      <c r="L28" s="93"/>
      <c r="M28" s="92">
        <f t="shared" si="4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5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8" t="e">
        <f t="shared" si="2"/>
        <v>#NUM!</v>
      </c>
      <c r="K29" s="98" t="e">
        <f t="shared" si="3"/>
        <v>#NUM!</v>
      </c>
      <c r="L29" s="98"/>
      <c r="M29" s="97">
        <f t="shared" si="4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5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3" t="e">
        <f t="shared" si="2"/>
        <v>#NUM!</v>
      </c>
      <c r="K30" s="93" t="e">
        <f t="shared" si="3"/>
        <v>#NUM!</v>
      </c>
      <c r="L30" s="93"/>
      <c r="M30" s="92">
        <f t="shared" si="4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5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8" t="e">
        <f t="shared" si="2"/>
        <v>#NUM!</v>
      </c>
      <c r="K31" s="98" t="e">
        <f t="shared" si="3"/>
        <v>#NUM!</v>
      </c>
      <c r="L31" s="98"/>
      <c r="M31" s="97">
        <f t="shared" si="4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5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3" t="e">
        <f t="shared" si="2"/>
        <v>#NUM!</v>
      </c>
      <c r="K32" s="93" t="e">
        <f t="shared" si="3"/>
        <v>#NUM!</v>
      </c>
      <c r="L32" s="93"/>
      <c r="M32" s="92">
        <f t="shared" si="4"/>
        <v>0</v>
      </c>
      <c r="N32" s="86"/>
      <c r="O32" s="86"/>
      <c r="P32" s="86"/>
      <c r="Q32" s="86"/>
      <c r="R32" s="106"/>
      <c r="S32" s="105"/>
    </row>
    <row r="33" spans="1:21" s="85" customFormat="1" x14ac:dyDescent="0.25">
      <c r="A33" s="102">
        <f t="shared" si="0"/>
        <v>0</v>
      </c>
      <c r="B33" s="42" t="str">
        <f t="shared" si="5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8" t="e">
        <f t="shared" si="2"/>
        <v>#NUM!</v>
      </c>
      <c r="K33" s="98" t="e">
        <f t="shared" si="3"/>
        <v>#NUM!</v>
      </c>
      <c r="L33" s="98"/>
      <c r="M33" s="97">
        <f t="shared" si="4"/>
        <v>0</v>
      </c>
      <c r="N33" s="86"/>
      <c r="O33" s="86"/>
      <c r="P33" s="86"/>
      <c r="Q33" s="86"/>
      <c r="R33" s="86"/>
    </row>
    <row r="34" spans="1:21" s="85" customFormat="1" x14ac:dyDescent="0.25">
      <c r="A34" s="103">
        <f t="shared" si="0"/>
        <v>0</v>
      </c>
      <c r="B34" s="36" t="str">
        <f t="shared" si="5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3" t="e">
        <f t="shared" si="2"/>
        <v>#NUM!</v>
      </c>
      <c r="K34" s="93" t="e">
        <f t="shared" si="3"/>
        <v>#NUM!</v>
      </c>
      <c r="L34" s="93"/>
      <c r="M34" s="92">
        <f t="shared" si="4"/>
        <v>0</v>
      </c>
      <c r="N34" s="86"/>
      <c r="O34" s="86"/>
      <c r="P34" s="86"/>
      <c r="Q34" s="86"/>
      <c r="R34" s="86"/>
    </row>
    <row r="35" spans="1:21" s="85" customFormat="1" x14ac:dyDescent="0.25">
      <c r="A35" s="102">
        <f t="shared" si="0"/>
        <v>0</v>
      </c>
      <c r="B35" s="42" t="str">
        <f t="shared" si="5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8" t="e">
        <f t="shared" si="2"/>
        <v>#NUM!</v>
      </c>
      <c r="K35" s="98" t="e">
        <f t="shared" si="3"/>
        <v>#NUM!</v>
      </c>
      <c r="L35" s="98"/>
      <c r="M35" s="97">
        <f t="shared" si="4"/>
        <v>0</v>
      </c>
      <c r="N35" s="86"/>
      <c r="O35" s="86"/>
      <c r="P35" s="86"/>
      <c r="Q35" s="86"/>
      <c r="R35" s="86"/>
    </row>
    <row r="36" spans="1:21" s="85" customFormat="1" x14ac:dyDescent="0.25">
      <c r="A36" s="103">
        <f t="shared" si="0"/>
        <v>0</v>
      </c>
      <c r="B36" s="36" t="str">
        <f t="shared" si="5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3" t="e">
        <f t="shared" si="2"/>
        <v>#NUM!</v>
      </c>
      <c r="K36" s="93" t="e">
        <f t="shared" si="3"/>
        <v>#NUM!</v>
      </c>
      <c r="L36" s="93"/>
      <c r="M36" s="92">
        <f t="shared" si="4"/>
        <v>0</v>
      </c>
      <c r="N36" s="86"/>
      <c r="O36" s="86"/>
      <c r="P36" s="86"/>
      <c r="Q36" s="86"/>
      <c r="R36" s="106"/>
      <c r="S36" s="105"/>
    </row>
    <row r="37" spans="1:21" s="85" customFormat="1" x14ac:dyDescent="0.25">
      <c r="A37" s="102">
        <f t="shared" si="0"/>
        <v>0</v>
      </c>
      <c r="B37" s="42" t="str">
        <f t="shared" si="5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8" t="e">
        <f t="shared" si="2"/>
        <v>#NUM!</v>
      </c>
      <c r="K37" s="98" t="e">
        <f t="shared" si="3"/>
        <v>#NUM!</v>
      </c>
      <c r="L37" s="98"/>
      <c r="M37" s="97">
        <f t="shared" si="4"/>
        <v>0</v>
      </c>
      <c r="N37" s="86"/>
      <c r="O37" s="86"/>
      <c r="P37" s="86"/>
      <c r="Q37" s="86"/>
      <c r="R37" s="86"/>
    </row>
    <row r="38" spans="1:21" s="85" customFormat="1" x14ac:dyDescent="0.25">
      <c r="A38" s="102">
        <f t="shared" ref="A38:A60" si="6">M38</f>
        <v>0</v>
      </c>
      <c r="B38" s="36" t="str">
        <f t="shared" si="5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3" t="e">
        <f t="shared" si="2"/>
        <v>#NUM!</v>
      </c>
      <c r="K38" s="93" t="e">
        <f t="shared" si="3"/>
        <v>#NUM!</v>
      </c>
      <c r="L38" s="93"/>
      <c r="M38" s="92">
        <f t="shared" si="4"/>
        <v>0</v>
      </c>
      <c r="N38" s="86"/>
      <c r="O38" s="86"/>
      <c r="P38" s="86"/>
      <c r="Q38" s="86"/>
      <c r="R38" s="86"/>
    </row>
    <row r="39" spans="1:21" s="85" customFormat="1" x14ac:dyDescent="0.25">
      <c r="A39" s="102">
        <f t="shared" si="6"/>
        <v>0</v>
      </c>
      <c r="B39" s="42" t="str">
        <f t="shared" si="5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8" t="e">
        <f t="shared" si="2"/>
        <v>#NUM!</v>
      </c>
      <c r="K39" s="98" t="e">
        <f t="shared" si="3"/>
        <v>#NUM!</v>
      </c>
      <c r="L39" s="98"/>
      <c r="M39" s="97">
        <f t="shared" si="4"/>
        <v>0</v>
      </c>
      <c r="N39" s="86"/>
      <c r="O39" s="86"/>
      <c r="P39" s="86"/>
      <c r="Q39" s="86"/>
      <c r="R39" s="86"/>
    </row>
    <row r="40" spans="1:21" s="85" customFormat="1" x14ac:dyDescent="0.25">
      <c r="A40" s="102">
        <f t="shared" si="6"/>
        <v>0</v>
      </c>
      <c r="B40" s="36" t="str">
        <f t="shared" si="5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3" t="e">
        <f t="shared" si="2"/>
        <v>#NUM!</v>
      </c>
      <c r="K40" s="93" t="e">
        <f t="shared" si="3"/>
        <v>#NUM!</v>
      </c>
      <c r="L40" s="93"/>
      <c r="M40" s="92">
        <f t="shared" si="4"/>
        <v>0</v>
      </c>
      <c r="N40" s="86"/>
      <c r="O40" s="86"/>
      <c r="P40" s="86"/>
      <c r="Q40" s="86"/>
      <c r="R40" s="86"/>
    </row>
    <row r="41" spans="1:21" s="85" customFormat="1" x14ac:dyDescent="0.25">
      <c r="A41" s="102">
        <f t="shared" si="6"/>
        <v>0</v>
      </c>
      <c r="B41" s="42" t="str">
        <f t="shared" si="5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8" t="e">
        <f t="shared" si="2"/>
        <v>#NUM!</v>
      </c>
      <c r="K41" s="98" t="e">
        <f t="shared" si="3"/>
        <v>#NUM!</v>
      </c>
      <c r="L41" s="98"/>
      <c r="M41" s="97">
        <f t="shared" si="4"/>
        <v>0</v>
      </c>
      <c r="N41" s="86"/>
      <c r="O41" s="86"/>
      <c r="P41" s="86"/>
      <c r="Q41" s="86"/>
      <c r="R41" s="86"/>
      <c r="S41" s="104"/>
    </row>
    <row r="42" spans="1:21" s="85" customFormat="1" x14ac:dyDescent="0.25">
      <c r="A42" s="102">
        <f t="shared" si="6"/>
        <v>0</v>
      </c>
      <c r="B42" s="36" t="str">
        <f t="shared" ref="B42:B65" si="7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3" t="e">
        <f t="shared" si="2"/>
        <v>#NUM!</v>
      </c>
      <c r="K42" s="93" t="e">
        <f t="shared" si="3"/>
        <v>#NUM!</v>
      </c>
      <c r="L42" s="93"/>
      <c r="M42" s="92">
        <f t="shared" si="4"/>
        <v>0</v>
      </c>
      <c r="N42" s="86"/>
      <c r="O42" s="86"/>
      <c r="P42" s="86"/>
      <c r="Q42" s="86"/>
      <c r="R42" s="86"/>
    </row>
    <row r="43" spans="1:21" s="85" customFormat="1" x14ac:dyDescent="0.25">
      <c r="A43" s="102">
        <f t="shared" si="6"/>
        <v>0</v>
      </c>
      <c r="B43" s="42" t="str">
        <f t="shared" si="7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8" t="e">
        <f t="shared" si="2"/>
        <v>#NUM!</v>
      </c>
      <c r="K43" s="98" t="e">
        <f t="shared" si="3"/>
        <v>#NUM!</v>
      </c>
      <c r="L43" s="98"/>
      <c r="M43" s="97">
        <f t="shared" si="4"/>
        <v>0</v>
      </c>
      <c r="N43" s="86"/>
      <c r="O43" s="86"/>
      <c r="P43" s="86"/>
      <c r="Q43" s="86"/>
      <c r="R43" s="86"/>
    </row>
    <row r="44" spans="1:21" s="85" customFormat="1" x14ac:dyDescent="0.25">
      <c r="A44" s="102">
        <f t="shared" si="6"/>
        <v>0</v>
      </c>
      <c r="B44" s="36" t="str">
        <f t="shared" si="7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3" t="e">
        <f t="shared" si="2"/>
        <v>#NUM!</v>
      </c>
      <c r="K44" s="93" t="e">
        <f t="shared" si="3"/>
        <v>#NUM!</v>
      </c>
      <c r="L44" s="93"/>
      <c r="M44" s="92">
        <f t="shared" si="4"/>
        <v>0</v>
      </c>
      <c r="N44" s="86"/>
      <c r="O44" s="86"/>
      <c r="P44" s="86"/>
      <c r="Q44" s="86"/>
      <c r="R44" s="86"/>
    </row>
    <row r="45" spans="1:21" s="85" customFormat="1" x14ac:dyDescent="0.25">
      <c r="A45" s="102">
        <f t="shared" si="6"/>
        <v>0</v>
      </c>
      <c r="B45" s="42" t="str">
        <f t="shared" si="7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8" t="e">
        <f t="shared" si="2"/>
        <v>#NUM!</v>
      </c>
      <c r="K45" s="98" t="e">
        <f t="shared" si="3"/>
        <v>#NUM!</v>
      </c>
      <c r="L45" s="98"/>
      <c r="M45" s="97">
        <f t="shared" si="4"/>
        <v>0</v>
      </c>
      <c r="N45" s="86"/>
      <c r="O45" s="86"/>
      <c r="P45" s="86"/>
      <c r="Q45" s="86"/>
      <c r="R45" s="86"/>
    </row>
    <row r="46" spans="1:21" s="85" customFormat="1" x14ac:dyDescent="0.25">
      <c r="A46" s="102">
        <f t="shared" si="6"/>
        <v>0</v>
      </c>
      <c r="B46" s="36" t="str">
        <f t="shared" si="7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3" t="e">
        <f t="shared" si="2"/>
        <v>#NUM!</v>
      </c>
      <c r="K46" s="93" t="e">
        <f t="shared" si="3"/>
        <v>#NUM!</v>
      </c>
      <c r="L46" s="93"/>
      <c r="M46" s="92">
        <f t="shared" si="4"/>
        <v>0</v>
      </c>
      <c r="N46" s="86"/>
      <c r="O46" s="86"/>
      <c r="P46" s="86"/>
      <c r="Q46" s="86"/>
      <c r="R46" s="86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102">
        <f t="shared" si="6"/>
        <v>0</v>
      </c>
      <c r="B47" s="42" t="str">
        <f t="shared" si="7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8" t="e">
        <f t="shared" si="2"/>
        <v>#NUM!</v>
      </c>
      <c r="K47" s="98" t="e">
        <f t="shared" si="3"/>
        <v>#NUM!</v>
      </c>
      <c r="L47" s="98"/>
      <c r="M47" s="97">
        <f t="shared" si="4"/>
        <v>0</v>
      </c>
      <c r="N47" s="86"/>
      <c r="O47" s="86"/>
      <c r="P47" s="86"/>
      <c r="Q47" s="86"/>
      <c r="R47" s="86"/>
    </row>
    <row r="48" spans="1:21" s="85" customFormat="1" x14ac:dyDescent="0.25">
      <c r="A48" s="102">
        <f t="shared" si="6"/>
        <v>0</v>
      </c>
      <c r="B48" s="36" t="str">
        <f t="shared" si="7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3" t="e">
        <f t="shared" si="2"/>
        <v>#NUM!</v>
      </c>
      <c r="K48" s="93" t="e">
        <f t="shared" si="3"/>
        <v>#NUM!</v>
      </c>
      <c r="L48" s="93"/>
      <c r="M48" s="92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2">
        <f t="shared" si="6"/>
        <v>0</v>
      </c>
      <c r="B49" s="42" t="str">
        <f t="shared" si="7"/>
        <v/>
      </c>
      <c r="C49" s="43"/>
      <c r="D49" s="43"/>
      <c r="E49" s="43"/>
      <c r="F49" s="43"/>
      <c r="H49" s="98">
        <v>44</v>
      </c>
      <c r="I49" s="99" t="str">
        <f t="shared" si="1"/>
        <v/>
      </c>
      <c r="J49" s="98" t="e">
        <f t="shared" si="2"/>
        <v>#NUM!</v>
      </c>
      <c r="K49" s="98" t="e">
        <f t="shared" si="3"/>
        <v>#NUM!</v>
      </c>
      <c r="L49" s="98"/>
      <c r="M49" s="97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6" customFormat="1" x14ac:dyDescent="0.25">
      <c r="A50" s="102">
        <f t="shared" si="6"/>
        <v>0</v>
      </c>
      <c r="B50" s="36" t="str">
        <f t="shared" si="7"/>
        <v/>
      </c>
      <c r="C50" s="37"/>
      <c r="D50" s="37"/>
      <c r="E50" s="37"/>
      <c r="F50" s="37"/>
      <c r="H50" s="93">
        <v>45</v>
      </c>
      <c r="I50" s="94" t="str">
        <f t="shared" si="1"/>
        <v/>
      </c>
      <c r="J50" s="93" t="e">
        <f t="shared" si="2"/>
        <v>#NUM!</v>
      </c>
      <c r="K50" s="93" t="e">
        <f t="shared" si="3"/>
        <v>#NUM!</v>
      </c>
      <c r="L50" s="93"/>
      <c r="M50" s="92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6" customFormat="1" x14ac:dyDescent="0.25">
      <c r="A51" s="102">
        <f t="shared" si="6"/>
        <v>0</v>
      </c>
      <c r="B51" s="42" t="str">
        <f t="shared" si="7"/>
        <v/>
      </c>
      <c r="C51" s="43"/>
      <c r="D51" s="43"/>
      <c r="E51" s="43"/>
      <c r="F51" s="43"/>
      <c r="H51" s="98">
        <v>46</v>
      </c>
      <c r="I51" s="99" t="str">
        <f t="shared" si="1"/>
        <v/>
      </c>
      <c r="J51" s="98" t="e">
        <f t="shared" si="2"/>
        <v>#NUM!</v>
      </c>
      <c r="K51" s="98" t="e">
        <f t="shared" si="3"/>
        <v>#NUM!</v>
      </c>
      <c r="L51" s="98"/>
      <c r="M51" s="97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6" customFormat="1" x14ac:dyDescent="0.25">
      <c r="A52" s="102">
        <f t="shared" si="6"/>
        <v>0</v>
      </c>
      <c r="B52" s="36" t="str">
        <f t="shared" si="7"/>
        <v/>
      </c>
      <c r="C52" s="37"/>
      <c r="D52" s="37"/>
      <c r="E52" s="37"/>
      <c r="F52" s="37"/>
      <c r="H52" s="93">
        <v>47</v>
      </c>
      <c r="I52" s="94" t="str">
        <f t="shared" si="1"/>
        <v/>
      </c>
      <c r="J52" s="93" t="e">
        <f t="shared" si="2"/>
        <v>#NUM!</v>
      </c>
      <c r="K52" s="93" t="e">
        <f t="shared" si="3"/>
        <v>#NUM!</v>
      </c>
      <c r="L52" s="93"/>
      <c r="M52" s="92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6" customFormat="1" x14ac:dyDescent="0.25">
      <c r="A53" s="102">
        <f t="shared" si="6"/>
        <v>0</v>
      </c>
      <c r="B53" s="42" t="str">
        <f t="shared" si="7"/>
        <v/>
      </c>
      <c r="C53" s="43"/>
      <c r="D53" s="43"/>
      <c r="E53" s="43"/>
      <c r="F53" s="43"/>
      <c r="H53" s="98">
        <v>48</v>
      </c>
      <c r="I53" s="99" t="str">
        <f t="shared" si="1"/>
        <v/>
      </c>
      <c r="J53" s="98" t="e">
        <f t="shared" si="2"/>
        <v>#NUM!</v>
      </c>
      <c r="K53" s="98" t="e">
        <f t="shared" si="3"/>
        <v>#NUM!</v>
      </c>
      <c r="L53" s="98"/>
      <c r="M53" s="97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6" customFormat="1" x14ac:dyDescent="0.25">
      <c r="A54" s="102">
        <f t="shared" si="6"/>
        <v>0</v>
      </c>
      <c r="B54" s="36" t="str">
        <f t="shared" si="7"/>
        <v/>
      </c>
      <c r="C54" s="37"/>
      <c r="D54" s="37"/>
      <c r="E54" s="37"/>
      <c r="F54" s="37"/>
      <c r="H54" s="93">
        <v>49</v>
      </c>
      <c r="I54" s="94" t="str">
        <f t="shared" si="1"/>
        <v/>
      </c>
      <c r="J54" s="93" t="e">
        <f t="shared" si="2"/>
        <v>#NUM!</v>
      </c>
      <c r="K54" s="93" t="e">
        <f t="shared" si="3"/>
        <v>#NUM!</v>
      </c>
      <c r="L54" s="93"/>
      <c r="M54" s="92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6" customFormat="1" x14ac:dyDescent="0.25">
      <c r="A55" s="102">
        <f t="shared" si="6"/>
        <v>0</v>
      </c>
      <c r="B55" s="42" t="str">
        <f t="shared" si="7"/>
        <v/>
      </c>
      <c r="C55" s="43"/>
      <c r="D55" s="43"/>
      <c r="E55" s="43"/>
      <c r="F55" s="43"/>
      <c r="H55" s="98">
        <v>50</v>
      </c>
      <c r="I55" s="99" t="str">
        <f t="shared" si="1"/>
        <v/>
      </c>
      <c r="J55" s="98" t="e">
        <f t="shared" si="2"/>
        <v>#NUM!</v>
      </c>
      <c r="K55" s="98" t="e">
        <f t="shared" si="3"/>
        <v>#NUM!</v>
      </c>
      <c r="L55" s="98"/>
      <c r="M55" s="97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6" customFormat="1" x14ac:dyDescent="0.25">
      <c r="A56" s="102">
        <f t="shared" si="6"/>
        <v>0</v>
      </c>
      <c r="B56" s="36" t="str">
        <f t="shared" si="7"/>
        <v/>
      </c>
      <c r="C56" s="37"/>
      <c r="D56" s="37"/>
      <c r="E56" s="37"/>
      <c r="F56" s="37"/>
      <c r="H56" s="93">
        <v>51</v>
      </c>
      <c r="I56" s="94" t="str">
        <f t="shared" si="1"/>
        <v/>
      </c>
      <c r="J56" s="93" t="e">
        <f t="shared" si="2"/>
        <v>#NUM!</v>
      </c>
      <c r="K56" s="93" t="e">
        <f t="shared" si="3"/>
        <v>#NUM!</v>
      </c>
      <c r="L56" s="93"/>
      <c r="M56" s="92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6" customFormat="1" x14ac:dyDescent="0.25">
      <c r="A57" s="102">
        <f t="shared" si="6"/>
        <v>0</v>
      </c>
      <c r="B57" s="42" t="str">
        <f t="shared" si="7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8" t="e">
        <f t="shared" si="2"/>
        <v>#NUM!</v>
      </c>
      <c r="K57" s="98" t="e">
        <f t="shared" si="3"/>
        <v>#NUM!</v>
      </c>
      <c r="L57" s="98"/>
      <c r="M57" s="97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2">
        <f t="shared" si="6"/>
        <v>0</v>
      </c>
      <c r="B58" s="36" t="str">
        <f t="shared" si="7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3" t="e">
        <f t="shared" si="2"/>
        <v>#NUM!</v>
      </c>
      <c r="K58" s="93" t="e">
        <f t="shared" si="3"/>
        <v>#NUM!</v>
      </c>
      <c r="L58" s="93"/>
      <c r="M58" s="92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2">
        <f t="shared" si="6"/>
        <v>0</v>
      </c>
      <c r="B59" s="42" t="str">
        <f t="shared" si="7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8" t="e">
        <f t="shared" si="2"/>
        <v>#NUM!</v>
      </c>
      <c r="K59" s="98" t="e">
        <f t="shared" si="3"/>
        <v>#NUM!</v>
      </c>
      <c r="L59" s="98"/>
      <c r="M59" s="97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2">
        <f t="shared" si="6"/>
        <v>0</v>
      </c>
      <c r="B60" s="36" t="str">
        <f t="shared" si="7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3" t="e">
        <f t="shared" si="2"/>
        <v>#NUM!</v>
      </c>
      <c r="K60" s="93" t="e">
        <f t="shared" si="3"/>
        <v>#NUM!</v>
      </c>
      <c r="L60" s="93"/>
      <c r="M60" s="92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2"/>
      <c r="B61" s="42" t="str">
        <f t="shared" si="7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8" t="e">
        <f t="shared" si="2"/>
        <v>#NUM!</v>
      </c>
      <c r="K61" s="98" t="e">
        <f t="shared" si="3"/>
        <v>#NUM!</v>
      </c>
      <c r="L61" s="98"/>
      <c r="M61" s="97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3"/>
      <c r="B62" s="36" t="str">
        <f t="shared" si="7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3" t="e">
        <f t="shared" si="2"/>
        <v>#NUM!</v>
      </c>
      <c r="K62" s="93" t="e">
        <f t="shared" si="3"/>
        <v>#NUM!</v>
      </c>
      <c r="L62" s="93"/>
      <c r="M62" s="92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2"/>
      <c r="B63" s="42" t="str">
        <f t="shared" si="7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8" t="e">
        <f t="shared" si="2"/>
        <v>#NUM!</v>
      </c>
      <c r="K63" s="98" t="e">
        <f t="shared" si="3"/>
        <v>#NUM!</v>
      </c>
      <c r="L63" s="98"/>
      <c r="M63" s="97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3"/>
      <c r="B64" s="36" t="str">
        <f t="shared" si="7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3" t="e">
        <f t="shared" si="2"/>
        <v>#NUM!</v>
      </c>
      <c r="K64" s="93" t="e">
        <f t="shared" si="3"/>
        <v>#NUM!</v>
      </c>
      <c r="L64" s="93"/>
      <c r="M64" s="92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2"/>
      <c r="B65" s="42" t="str">
        <f t="shared" si="7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8" t="e">
        <f t="shared" si="2"/>
        <v>#NUM!</v>
      </c>
      <c r="K65" s="98" t="e">
        <f t="shared" si="3"/>
        <v>#NUM!</v>
      </c>
      <c r="L65" s="98"/>
      <c r="M65" s="97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103"/>
      <c r="B66" s="36"/>
      <c r="C66" s="84"/>
      <c r="D66" s="84"/>
      <c r="E66" s="84"/>
      <c r="F66" s="84"/>
      <c r="H66" s="93">
        <v>61</v>
      </c>
      <c r="I66" s="94" t="str">
        <f t="shared" si="1"/>
        <v/>
      </c>
      <c r="J66" s="93" t="e">
        <f t="shared" si="2"/>
        <v>#NUM!</v>
      </c>
      <c r="K66" s="93" t="e">
        <f t="shared" si="3"/>
        <v>#NUM!</v>
      </c>
      <c r="L66" s="93"/>
      <c r="M66" s="92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102"/>
      <c r="B67" s="42"/>
      <c r="C67" s="84"/>
      <c r="D67" s="84"/>
      <c r="E67" s="84"/>
      <c r="F67" s="84"/>
      <c r="H67" s="93">
        <v>62</v>
      </c>
      <c r="I67" s="94" t="str">
        <f t="shared" si="1"/>
        <v/>
      </c>
      <c r="J67" s="93" t="e">
        <f t="shared" si="2"/>
        <v>#NUM!</v>
      </c>
      <c r="K67" s="93" t="e">
        <f t="shared" si="3"/>
        <v>#NUM!</v>
      </c>
      <c r="L67" s="93"/>
      <c r="M67" s="92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103"/>
      <c r="B68" s="36"/>
      <c r="C68" s="84"/>
      <c r="D68" s="84"/>
      <c r="E68" s="84"/>
      <c r="F68" s="84"/>
      <c r="H68" s="93">
        <v>63</v>
      </c>
      <c r="I68" s="94" t="str">
        <f t="shared" si="1"/>
        <v/>
      </c>
      <c r="J68" s="93" t="e">
        <f t="shared" si="2"/>
        <v>#NUM!</v>
      </c>
      <c r="K68" s="93" t="e">
        <f t="shared" si="3"/>
        <v>#NUM!</v>
      </c>
      <c r="L68" s="93"/>
      <c r="M68" s="92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102"/>
      <c r="B69" s="42"/>
      <c r="C69" s="84"/>
      <c r="D69" s="84"/>
      <c r="E69" s="84"/>
      <c r="F69" s="84"/>
      <c r="H69" s="93">
        <v>64</v>
      </c>
      <c r="I69" s="94" t="str">
        <f t="shared" si="1"/>
        <v/>
      </c>
      <c r="J69" s="93" t="e">
        <f t="shared" si="2"/>
        <v>#NUM!</v>
      </c>
      <c r="K69" s="93" t="e">
        <f t="shared" si="3"/>
        <v>#NUM!</v>
      </c>
      <c r="L69" s="93"/>
      <c r="M69" s="92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95"/>
      <c r="B70" s="84"/>
      <c r="C70" s="84"/>
      <c r="D70" s="84"/>
      <c r="E70" s="84"/>
      <c r="F70" s="84"/>
      <c r="H70" s="93">
        <v>65</v>
      </c>
      <c r="I70" s="94" t="str">
        <f t="shared" ref="I70:I133" si="8">IF(H70&lt;$H$2+1,($I$2-($I$2-1)*(LOG(H70)/LOG($H$2))),"")</f>
        <v/>
      </c>
      <c r="J70" s="93" t="e">
        <f t="shared" ref="J70:J133" si="9">INT(LOG($H$2,2))-ROUNDUP(LOG(H70,2),0)+IF(OR($H$2=1,$H$2=2,$H$2=4,$H$2=8,$H$2=16,$H$2=32,$H$2=64,$H$2=128,$H$2=256),0,1)</f>
        <v>#NUM!</v>
      </c>
      <c r="K70" s="93" t="e">
        <f t="shared" ref="K70:K133" si="10">J70*$J$2</f>
        <v>#NUM!</v>
      </c>
      <c r="L70" s="93"/>
      <c r="M70" s="92">
        <f t="shared" ref="M70:M133" si="11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95"/>
      <c r="B71" s="84"/>
      <c r="C71" s="84"/>
      <c r="D71" s="84"/>
      <c r="E71" s="84"/>
      <c r="F71" s="84"/>
      <c r="H71" s="93">
        <v>66</v>
      </c>
      <c r="I71" s="94" t="str">
        <f t="shared" si="8"/>
        <v/>
      </c>
      <c r="J71" s="93" t="e">
        <f t="shared" si="9"/>
        <v>#NUM!</v>
      </c>
      <c r="K71" s="93" t="e">
        <f t="shared" si="10"/>
        <v>#NUM!</v>
      </c>
      <c r="L71" s="93"/>
      <c r="M71" s="92">
        <f t="shared" si="11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95"/>
      <c r="B72" s="84"/>
      <c r="C72" s="84"/>
      <c r="D72" s="84"/>
      <c r="E72" s="84"/>
      <c r="F72" s="84"/>
      <c r="H72" s="93">
        <v>67</v>
      </c>
      <c r="I72" s="94" t="str">
        <f t="shared" si="8"/>
        <v/>
      </c>
      <c r="J72" s="93" t="e">
        <f t="shared" si="9"/>
        <v>#NUM!</v>
      </c>
      <c r="K72" s="93" t="e">
        <f t="shared" si="10"/>
        <v>#NUM!</v>
      </c>
      <c r="L72" s="93"/>
      <c r="M72" s="92">
        <f t="shared" si="11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95"/>
      <c r="B73" s="84"/>
      <c r="C73" s="84"/>
      <c r="D73" s="84"/>
      <c r="E73" s="84"/>
      <c r="F73" s="84"/>
      <c r="H73" s="93">
        <v>68</v>
      </c>
      <c r="I73" s="94" t="str">
        <f t="shared" si="8"/>
        <v/>
      </c>
      <c r="J73" s="93" t="e">
        <f t="shared" si="9"/>
        <v>#NUM!</v>
      </c>
      <c r="K73" s="93" t="e">
        <f t="shared" si="10"/>
        <v>#NUM!</v>
      </c>
      <c r="L73" s="93"/>
      <c r="M73" s="92">
        <f t="shared" si="11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95"/>
      <c r="B74" s="84"/>
      <c r="C74" s="84"/>
      <c r="D74" s="84"/>
      <c r="E74" s="84"/>
      <c r="F74" s="84"/>
      <c r="H74" s="93">
        <v>69</v>
      </c>
      <c r="I74" s="94" t="str">
        <f t="shared" si="8"/>
        <v/>
      </c>
      <c r="J74" s="93" t="e">
        <f t="shared" si="9"/>
        <v>#NUM!</v>
      </c>
      <c r="K74" s="93" t="e">
        <f t="shared" si="10"/>
        <v>#NUM!</v>
      </c>
      <c r="L74" s="93"/>
      <c r="M74" s="92">
        <f t="shared" si="11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95"/>
      <c r="B75" s="84"/>
      <c r="C75" s="84"/>
      <c r="D75" s="84"/>
      <c r="E75" s="84"/>
      <c r="F75" s="84"/>
      <c r="H75" s="93">
        <v>70</v>
      </c>
      <c r="I75" s="94" t="str">
        <f t="shared" si="8"/>
        <v/>
      </c>
      <c r="J75" s="93" t="e">
        <f t="shared" si="9"/>
        <v>#NUM!</v>
      </c>
      <c r="K75" s="93" t="e">
        <f t="shared" si="10"/>
        <v>#NUM!</v>
      </c>
      <c r="L75" s="93"/>
      <c r="M75" s="92">
        <f t="shared" si="11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95"/>
      <c r="B76" s="84"/>
      <c r="C76" s="84"/>
      <c r="D76" s="84"/>
      <c r="E76" s="84"/>
      <c r="F76" s="84"/>
      <c r="H76" s="93">
        <v>71</v>
      </c>
      <c r="I76" s="94" t="str">
        <f t="shared" si="8"/>
        <v/>
      </c>
      <c r="J76" s="93" t="e">
        <f t="shared" si="9"/>
        <v>#NUM!</v>
      </c>
      <c r="K76" s="93" t="e">
        <f t="shared" si="10"/>
        <v>#NUM!</v>
      </c>
      <c r="L76" s="93"/>
      <c r="M76" s="92">
        <f t="shared" si="11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95"/>
      <c r="B77" s="84"/>
      <c r="C77" s="84"/>
      <c r="D77" s="84"/>
      <c r="E77" s="84"/>
      <c r="F77" s="84"/>
      <c r="H77" s="93">
        <v>72</v>
      </c>
      <c r="I77" s="94" t="str">
        <f t="shared" si="8"/>
        <v/>
      </c>
      <c r="J77" s="93" t="e">
        <f t="shared" si="9"/>
        <v>#NUM!</v>
      </c>
      <c r="K77" s="93" t="e">
        <f t="shared" si="10"/>
        <v>#NUM!</v>
      </c>
      <c r="L77" s="93"/>
      <c r="M77" s="92">
        <f t="shared" si="11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95"/>
      <c r="B78" s="84"/>
      <c r="C78" s="84"/>
      <c r="D78" s="84"/>
      <c r="E78" s="84"/>
      <c r="F78" s="84"/>
      <c r="H78" s="93">
        <v>73</v>
      </c>
      <c r="I78" s="94" t="str">
        <f t="shared" si="8"/>
        <v/>
      </c>
      <c r="J78" s="93" t="e">
        <f t="shared" si="9"/>
        <v>#NUM!</v>
      </c>
      <c r="K78" s="93" t="e">
        <f t="shared" si="10"/>
        <v>#NUM!</v>
      </c>
      <c r="L78" s="93"/>
      <c r="M78" s="92">
        <f t="shared" si="11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95"/>
      <c r="B79" s="84"/>
      <c r="C79" s="84"/>
      <c r="D79" s="84"/>
      <c r="E79" s="84"/>
      <c r="F79" s="84"/>
      <c r="H79" s="93">
        <v>74</v>
      </c>
      <c r="I79" s="94" t="str">
        <f t="shared" si="8"/>
        <v/>
      </c>
      <c r="J79" s="93" t="e">
        <f t="shared" si="9"/>
        <v>#NUM!</v>
      </c>
      <c r="K79" s="93" t="e">
        <f t="shared" si="10"/>
        <v>#NUM!</v>
      </c>
      <c r="L79" s="93"/>
      <c r="M79" s="92">
        <f t="shared" si="11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95"/>
      <c r="B80" s="84"/>
      <c r="C80" s="84"/>
      <c r="D80" s="84"/>
      <c r="E80" s="84"/>
      <c r="F80" s="84"/>
      <c r="H80" s="93">
        <v>75</v>
      </c>
      <c r="I80" s="94" t="str">
        <f t="shared" si="8"/>
        <v/>
      </c>
      <c r="J80" s="93" t="e">
        <f t="shared" si="9"/>
        <v>#NUM!</v>
      </c>
      <c r="K80" s="93" t="e">
        <f t="shared" si="10"/>
        <v>#NUM!</v>
      </c>
      <c r="L80" s="93"/>
      <c r="M80" s="92">
        <f t="shared" si="11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95"/>
      <c r="B81" s="84"/>
      <c r="C81" s="84"/>
      <c r="D81" s="84"/>
      <c r="E81" s="84"/>
      <c r="F81" s="84"/>
      <c r="H81" s="93">
        <v>76</v>
      </c>
      <c r="I81" s="94" t="str">
        <f t="shared" si="8"/>
        <v/>
      </c>
      <c r="J81" s="93" t="e">
        <f t="shared" si="9"/>
        <v>#NUM!</v>
      </c>
      <c r="K81" s="93" t="e">
        <f t="shared" si="10"/>
        <v>#NUM!</v>
      </c>
      <c r="L81" s="93"/>
      <c r="M81" s="92">
        <f t="shared" si="11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95"/>
      <c r="B82" s="84"/>
      <c r="C82" s="84"/>
      <c r="D82" s="84"/>
      <c r="E82" s="84"/>
      <c r="F82" s="84"/>
      <c r="H82" s="93">
        <v>77</v>
      </c>
      <c r="I82" s="94" t="str">
        <f t="shared" si="8"/>
        <v/>
      </c>
      <c r="J82" s="93" t="e">
        <f t="shared" si="9"/>
        <v>#NUM!</v>
      </c>
      <c r="K82" s="93" t="e">
        <f t="shared" si="10"/>
        <v>#NUM!</v>
      </c>
      <c r="L82" s="93"/>
      <c r="M82" s="92">
        <f t="shared" si="11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95"/>
      <c r="B83" s="84"/>
      <c r="C83" s="84"/>
      <c r="D83" s="84"/>
      <c r="E83" s="84"/>
      <c r="F83" s="84"/>
      <c r="H83" s="93">
        <v>78</v>
      </c>
      <c r="I83" s="94" t="str">
        <f t="shared" si="8"/>
        <v/>
      </c>
      <c r="J83" s="93" t="e">
        <f t="shared" si="9"/>
        <v>#NUM!</v>
      </c>
      <c r="K83" s="93" t="e">
        <f t="shared" si="10"/>
        <v>#NUM!</v>
      </c>
      <c r="L83" s="93"/>
      <c r="M83" s="92">
        <f t="shared" si="11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95"/>
      <c r="B84" s="84"/>
      <c r="C84" s="84"/>
      <c r="D84" s="84"/>
      <c r="E84" s="84"/>
      <c r="F84" s="84"/>
      <c r="H84" s="93">
        <v>79</v>
      </c>
      <c r="I84" s="94" t="str">
        <f t="shared" si="8"/>
        <v/>
      </c>
      <c r="J84" s="93" t="e">
        <f t="shared" si="9"/>
        <v>#NUM!</v>
      </c>
      <c r="K84" s="93" t="e">
        <f t="shared" si="10"/>
        <v>#NUM!</v>
      </c>
      <c r="L84" s="93"/>
      <c r="M84" s="92">
        <f t="shared" si="11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95"/>
      <c r="B85" s="84"/>
      <c r="C85" s="84"/>
      <c r="D85" s="84"/>
      <c r="E85" s="84"/>
      <c r="F85" s="84"/>
      <c r="H85" s="93">
        <v>80</v>
      </c>
      <c r="I85" s="94" t="str">
        <f t="shared" si="8"/>
        <v/>
      </c>
      <c r="J85" s="93" t="e">
        <f t="shared" si="9"/>
        <v>#NUM!</v>
      </c>
      <c r="K85" s="93" t="e">
        <f t="shared" si="10"/>
        <v>#NUM!</v>
      </c>
      <c r="L85" s="93"/>
      <c r="M85" s="92">
        <f t="shared" si="11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95"/>
      <c r="B86" s="84"/>
      <c r="C86" s="84"/>
      <c r="D86" s="84"/>
      <c r="E86" s="84"/>
      <c r="F86" s="84"/>
      <c r="H86" s="93">
        <v>81</v>
      </c>
      <c r="I86" s="94" t="str">
        <f t="shared" si="8"/>
        <v/>
      </c>
      <c r="J86" s="93" t="e">
        <f t="shared" si="9"/>
        <v>#NUM!</v>
      </c>
      <c r="K86" s="93" t="e">
        <f t="shared" si="10"/>
        <v>#NUM!</v>
      </c>
      <c r="L86" s="93"/>
      <c r="M86" s="92">
        <f t="shared" si="11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95"/>
      <c r="B87" s="84"/>
      <c r="C87" s="84"/>
      <c r="D87" s="84"/>
      <c r="E87" s="84"/>
      <c r="F87" s="84"/>
      <c r="H87" s="93">
        <v>82</v>
      </c>
      <c r="I87" s="94" t="str">
        <f t="shared" si="8"/>
        <v/>
      </c>
      <c r="J87" s="93" t="e">
        <f t="shared" si="9"/>
        <v>#NUM!</v>
      </c>
      <c r="K87" s="93" t="e">
        <f t="shared" si="10"/>
        <v>#NUM!</v>
      </c>
      <c r="L87" s="93"/>
      <c r="M87" s="92">
        <f t="shared" si="11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95"/>
      <c r="B88" s="84"/>
      <c r="C88" s="84"/>
      <c r="D88" s="84"/>
      <c r="E88" s="84"/>
      <c r="F88" s="84"/>
      <c r="H88" s="93">
        <v>83</v>
      </c>
      <c r="I88" s="94" t="str">
        <f t="shared" si="8"/>
        <v/>
      </c>
      <c r="J88" s="93" t="e">
        <f t="shared" si="9"/>
        <v>#NUM!</v>
      </c>
      <c r="K88" s="93" t="e">
        <f t="shared" si="10"/>
        <v>#NUM!</v>
      </c>
      <c r="L88" s="93"/>
      <c r="M88" s="92">
        <f t="shared" si="11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95"/>
      <c r="B89" s="84"/>
      <c r="C89" s="84"/>
      <c r="D89" s="84"/>
      <c r="E89" s="84"/>
      <c r="F89" s="84"/>
      <c r="H89" s="93">
        <v>84</v>
      </c>
      <c r="I89" s="94" t="str">
        <f t="shared" si="8"/>
        <v/>
      </c>
      <c r="J89" s="93" t="e">
        <f t="shared" si="9"/>
        <v>#NUM!</v>
      </c>
      <c r="K89" s="93" t="e">
        <f t="shared" si="10"/>
        <v>#NUM!</v>
      </c>
      <c r="L89" s="93"/>
      <c r="M89" s="92">
        <f t="shared" si="11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95"/>
      <c r="B90" s="84"/>
      <c r="C90" s="84"/>
      <c r="D90" s="84"/>
      <c r="E90" s="84"/>
      <c r="F90" s="84"/>
      <c r="H90" s="93">
        <v>85</v>
      </c>
      <c r="I90" s="94" t="str">
        <f t="shared" si="8"/>
        <v/>
      </c>
      <c r="J90" s="93" t="e">
        <f t="shared" si="9"/>
        <v>#NUM!</v>
      </c>
      <c r="K90" s="93" t="e">
        <f t="shared" si="10"/>
        <v>#NUM!</v>
      </c>
      <c r="L90" s="93"/>
      <c r="M90" s="92">
        <f t="shared" si="11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95"/>
      <c r="B91" s="84"/>
      <c r="C91" s="84"/>
      <c r="D91" s="84"/>
      <c r="E91" s="84"/>
      <c r="F91" s="84"/>
      <c r="H91" s="93">
        <v>86</v>
      </c>
      <c r="I91" s="94" t="str">
        <f t="shared" si="8"/>
        <v/>
      </c>
      <c r="J91" s="93" t="e">
        <f t="shared" si="9"/>
        <v>#NUM!</v>
      </c>
      <c r="K91" s="93" t="e">
        <f t="shared" si="10"/>
        <v>#NUM!</v>
      </c>
      <c r="L91" s="93"/>
      <c r="M91" s="92">
        <f t="shared" si="11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95"/>
      <c r="B92" s="84"/>
      <c r="C92" s="84"/>
      <c r="D92" s="84"/>
      <c r="E92" s="84"/>
      <c r="F92" s="84"/>
      <c r="H92" s="93">
        <v>87</v>
      </c>
      <c r="I92" s="94" t="str">
        <f t="shared" si="8"/>
        <v/>
      </c>
      <c r="J92" s="93" t="e">
        <f t="shared" si="9"/>
        <v>#NUM!</v>
      </c>
      <c r="K92" s="93" t="e">
        <f t="shared" si="10"/>
        <v>#NUM!</v>
      </c>
      <c r="L92" s="93"/>
      <c r="M92" s="92">
        <f t="shared" si="11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95"/>
      <c r="B93" s="84"/>
      <c r="C93" s="84"/>
      <c r="D93" s="84"/>
      <c r="E93" s="84"/>
      <c r="F93" s="84"/>
      <c r="H93" s="93">
        <v>88</v>
      </c>
      <c r="I93" s="94" t="str">
        <f t="shared" si="8"/>
        <v/>
      </c>
      <c r="J93" s="93" t="e">
        <f t="shared" si="9"/>
        <v>#NUM!</v>
      </c>
      <c r="K93" s="93" t="e">
        <f t="shared" si="10"/>
        <v>#NUM!</v>
      </c>
      <c r="L93" s="93"/>
      <c r="M93" s="92">
        <f t="shared" si="11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95"/>
      <c r="B94" s="84"/>
      <c r="C94" s="84"/>
      <c r="D94" s="84"/>
      <c r="E94" s="84"/>
      <c r="F94" s="84"/>
      <c r="H94" s="93">
        <v>89</v>
      </c>
      <c r="I94" s="94" t="str">
        <f t="shared" si="8"/>
        <v/>
      </c>
      <c r="J94" s="93" t="e">
        <f t="shared" si="9"/>
        <v>#NUM!</v>
      </c>
      <c r="K94" s="93" t="e">
        <f t="shared" si="10"/>
        <v>#NUM!</v>
      </c>
      <c r="L94" s="93"/>
      <c r="M94" s="92">
        <f t="shared" si="11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95"/>
      <c r="B95" s="84"/>
      <c r="C95" s="84"/>
      <c r="D95" s="84"/>
      <c r="E95" s="84"/>
      <c r="F95" s="84"/>
      <c r="H95" s="93">
        <v>90</v>
      </c>
      <c r="I95" s="94" t="str">
        <f t="shared" si="8"/>
        <v/>
      </c>
      <c r="J95" s="93" t="e">
        <f t="shared" si="9"/>
        <v>#NUM!</v>
      </c>
      <c r="K95" s="93" t="e">
        <f t="shared" si="10"/>
        <v>#NUM!</v>
      </c>
      <c r="L95" s="93"/>
      <c r="M95" s="92">
        <f t="shared" si="11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95"/>
      <c r="B96" s="84"/>
      <c r="C96" s="84"/>
      <c r="D96" s="84"/>
      <c r="E96" s="84"/>
      <c r="F96" s="84"/>
      <c r="H96" s="93">
        <v>91</v>
      </c>
      <c r="I96" s="94" t="str">
        <f t="shared" si="8"/>
        <v/>
      </c>
      <c r="J96" s="93" t="e">
        <f t="shared" si="9"/>
        <v>#NUM!</v>
      </c>
      <c r="K96" s="93" t="e">
        <f t="shared" si="10"/>
        <v>#NUM!</v>
      </c>
      <c r="L96" s="93"/>
      <c r="M96" s="92">
        <f t="shared" si="11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95"/>
      <c r="B97" s="84"/>
      <c r="C97" s="84"/>
      <c r="D97" s="84"/>
      <c r="E97" s="84"/>
      <c r="F97" s="84"/>
      <c r="H97" s="93">
        <v>92</v>
      </c>
      <c r="I97" s="94" t="str">
        <f t="shared" si="8"/>
        <v/>
      </c>
      <c r="J97" s="93" t="e">
        <f t="shared" si="9"/>
        <v>#NUM!</v>
      </c>
      <c r="K97" s="93" t="e">
        <f t="shared" si="10"/>
        <v>#NUM!</v>
      </c>
      <c r="L97" s="93"/>
      <c r="M97" s="92">
        <f t="shared" si="11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95"/>
      <c r="B98" s="84"/>
      <c r="C98" s="84"/>
      <c r="D98" s="84"/>
      <c r="E98" s="84"/>
      <c r="F98" s="84"/>
      <c r="H98" s="93">
        <v>93</v>
      </c>
      <c r="I98" s="94" t="str">
        <f t="shared" si="8"/>
        <v/>
      </c>
      <c r="J98" s="93" t="e">
        <f t="shared" si="9"/>
        <v>#NUM!</v>
      </c>
      <c r="K98" s="93" t="e">
        <f t="shared" si="10"/>
        <v>#NUM!</v>
      </c>
      <c r="L98" s="93"/>
      <c r="M98" s="92">
        <f t="shared" si="11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95"/>
      <c r="B99" s="84"/>
      <c r="C99" s="84"/>
      <c r="D99" s="84"/>
      <c r="E99" s="84"/>
      <c r="F99" s="84"/>
      <c r="H99" s="93">
        <v>94</v>
      </c>
      <c r="I99" s="94" t="str">
        <f t="shared" si="8"/>
        <v/>
      </c>
      <c r="J99" s="93" t="e">
        <f t="shared" si="9"/>
        <v>#NUM!</v>
      </c>
      <c r="K99" s="93" t="e">
        <f t="shared" si="10"/>
        <v>#NUM!</v>
      </c>
      <c r="L99" s="93"/>
      <c r="M99" s="92">
        <f t="shared" si="11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95"/>
      <c r="B100" s="84"/>
      <c r="C100" s="84"/>
      <c r="D100" s="84"/>
      <c r="E100" s="84"/>
      <c r="F100" s="84"/>
      <c r="H100" s="93">
        <v>95</v>
      </c>
      <c r="I100" s="94" t="str">
        <f t="shared" si="8"/>
        <v/>
      </c>
      <c r="J100" s="93" t="e">
        <f t="shared" si="9"/>
        <v>#NUM!</v>
      </c>
      <c r="K100" s="93" t="e">
        <f t="shared" si="10"/>
        <v>#NUM!</v>
      </c>
      <c r="L100" s="93"/>
      <c r="M100" s="92">
        <f t="shared" si="11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95"/>
      <c r="B101" s="84"/>
      <c r="C101" s="84"/>
      <c r="D101" s="84"/>
      <c r="E101" s="84"/>
      <c r="F101" s="84"/>
      <c r="H101" s="93">
        <v>96</v>
      </c>
      <c r="I101" s="94" t="str">
        <f t="shared" si="8"/>
        <v/>
      </c>
      <c r="J101" s="93" t="e">
        <f t="shared" si="9"/>
        <v>#NUM!</v>
      </c>
      <c r="K101" s="93" t="e">
        <f t="shared" si="10"/>
        <v>#NUM!</v>
      </c>
      <c r="L101" s="93"/>
      <c r="M101" s="92">
        <f t="shared" si="11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95"/>
      <c r="B102" s="84"/>
      <c r="C102" s="84"/>
      <c r="D102" s="84"/>
      <c r="E102" s="84"/>
      <c r="F102" s="84"/>
      <c r="H102" s="93">
        <v>97</v>
      </c>
      <c r="I102" s="94" t="str">
        <f t="shared" si="8"/>
        <v/>
      </c>
      <c r="J102" s="93" t="e">
        <f t="shared" si="9"/>
        <v>#NUM!</v>
      </c>
      <c r="K102" s="93" t="e">
        <f t="shared" si="10"/>
        <v>#NUM!</v>
      </c>
      <c r="L102" s="93"/>
      <c r="M102" s="92">
        <f t="shared" si="11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95"/>
      <c r="B103" s="84"/>
      <c r="C103" s="84"/>
      <c r="D103" s="84"/>
      <c r="E103" s="84"/>
      <c r="F103" s="84"/>
      <c r="H103" s="93">
        <v>98</v>
      </c>
      <c r="I103" s="94" t="str">
        <f t="shared" si="8"/>
        <v/>
      </c>
      <c r="J103" s="93" t="e">
        <f t="shared" si="9"/>
        <v>#NUM!</v>
      </c>
      <c r="K103" s="93" t="e">
        <f t="shared" si="10"/>
        <v>#NUM!</v>
      </c>
      <c r="L103" s="93"/>
      <c r="M103" s="92">
        <f t="shared" si="11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95"/>
      <c r="B104" s="84"/>
      <c r="C104" s="84"/>
      <c r="D104" s="84"/>
      <c r="E104" s="84"/>
      <c r="F104" s="84"/>
      <c r="H104" s="93">
        <v>99</v>
      </c>
      <c r="I104" s="94" t="str">
        <f t="shared" si="8"/>
        <v/>
      </c>
      <c r="J104" s="93" t="e">
        <f t="shared" si="9"/>
        <v>#NUM!</v>
      </c>
      <c r="K104" s="93" t="e">
        <f t="shared" si="10"/>
        <v>#NUM!</v>
      </c>
      <c r="L104" s="93"/>
      <c r="M104" s="92">
        <f t="shared" si="11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95"/>
      <c r="B105" s="84"/>
      <c r="C105" s="84"/>
      <c r="D105" s="84"/>
      <c r="E105" s="84"/>
      <c r="F105" s="84"/>
      <c r="H105" s="93">
        <v>100</v>
      </c>
      <c r="I105" s="94" t="str">
        <f t="shared" si="8"/>
        <v/>
      </c>
      <c r="J105" s="93" t="e">
        <f t="shared" si="9"/>
        <v>#NUM!</v>
      </c>
      <c r="K105" s="93" t="e">
        <f t="shared" si="10"/>
        <v>#NUM!</v>
      </c>
      <c r="L105" s="93"/>
      <c r="M105" s="92">
        <f t="shared" si="11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95"/>
      <c r="B106" s="84"/>
      <c r="C106" s="84"/>
      <c r="D106" s="84"/>
      <c r="E106" s="84"/>
      <c r="F106" s="84"/>
      <c r="H106" s="93">
        <v>101</v>
      </c>
      <c r="I106" s="94" t="str">
        <f t="shared" si="8"/>
        <v/>
      </c>
      <c r="J106" s="93" t="e">
        <f t="shared" si="9"/>
        <v>#NUM!</v>
      </c>
      <c r="K106" s="93" t="e">
        <f t="shared" si="10"/>
        <v>#NUM!</v>
      </c>
      <c r="L106" s="93"/>
      <c r="M106" s="92">
        <f t="shared" si="11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95"/>
      <c r="B107" s="84"/>
      <c r="C107" s="84"/>
      <c r="D107" s="84"/>
      <c r="E107" s="84"/>
      <c r="F107" s="84"/>
      <c r="H107" s="93">
        <v>102</v>
      </c>
      <c r="I107" s="94" t="str">
        <f t="shared" si="8"/>
        <v/>
      </c>
      <c r="J107" s="93" t="e">
        <f t="shared" si="9"/>
        <v>#NUM!</v>
      </c>
      <c r="K107" s="93" t="e">
        <f t="shared" si="10"/>
        <v>#NUM!</v>
      </c>
      <c r="L107" s="93"/>
      <c r="M107" s="92">
        <f t="shared" si="11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95"/>
      <c r="B108" s="84"/>
      <c r="C108" s="84"/>
      <c r="D108" s="84"/>
      <c r="E108" s="84"/>
      <c r="F108" s="84"/>
      <c r="H108" s="93">
        <v>103</v>
      </c>
      <c r="I108" s="94" t="str">
        <f t="shared" si="8"/>
        <v/>
      </c>
      <c r="J108" s="93" t="e">
        <f t="shared" si="9"/>
        <v>#NUM!</v>
      </c>
      <c r="K108" s="93" t="e">
        <f t="shared" si="10"/>
        <v>#NUM!</v>
      </c>
      <c r="L108" s="93"/>
      <c r="M108" s="92">
        <f t="shared" si="11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95"/>
      <c r="B109" s="84"/>
      <c r="C109" s="84"/>
      <c r="D109" s="84"/>
      <c r="E109" s="84"/>
      <c r="F109" s="84"/>
      <c r="H109" s="93">
        <v>104</v>
      </c>
      <c r="I109" s="94" t="str">
        <f t="shared" si="8"/>
        <v/>
      </c>
      <c r="J109" s="93" t="e">
        <f t="shared" si="9"/>
        <v>#NUM!</v>
      </c>
      <c r="K109" s="93" t="e">
        <f t="shared" si="10"/>
        <v>#NUM!</v>
      </c>
      <c r="L109" s="93"/>
      <c r="M109" s="92">
        <f t="shared" si="11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95"/>
      <c r="B110" s="84"/>
      <c r="C110" s="84"/>
      <c r="D110" s="84"/>
      <c r="E110" s="84"/>
      <c r="F110" s="84"/>
      <c r="H110" s="93">
        <v>105</v>
      </c>
      <c r="I110" s="94" t="str">
        <f t="shared" si="8"/>
        <v/>
      </c>
      <c r="J110" s="93" t="e">
        <f t="shared" si="9"/>
        <v>#NUM!</v>
      </c>
      <c r="K110" s="93" t="e">
        <f t="shared" si="10"/>
        <v>#NUM!</v>
      </c>
      <c r="L110" s="93"/>
      <c r="M110" s="92">
        <f t="shared" si="11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95"/>
      <c r="B111" s="84"/>
      <c r="C111" s="84"/>
      <c r="D111" s="84"/>
      <c r="E111" s="84"/>
      <c r="F111" s="84"/>
      <c r="H111" s="93">
        <v>106</v>
      </c>
      <c r="I111" s="94" t="str">
        <f t="shared" si="8"/>
        <v/>
      </c>
      <c r="J111" s="93" t="e">
        <f t="shared" si="9"/>
        <v>#NUM!</v>
      </c>
      <c r="K111" s="93" t="e">
        <f t="shared" si="10"/>
        <v>#NUM!</v>
      </c>
      <c r="L111" s="93"/>
      <c r="M111" s="92">
        <f t="shared" si="11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95"/>
      <c r="B112" s="84"/>
      <c r="C112" s="84"/>
      <c r="D112" s="84"/>
      <c r="E112" s="84"/>
      <c r="F112" s="84"/>
      <c r="H112" s="93">
        <v>107</v>
      </c>
      <c r="I112" s="94" t="str">
        <f t="shared" si="8"/>
        <v/>
      </c>
      <c r="J112" s="93" t="e">
        <f t="shared" si="9"/>
        <v>#NUM!</v>
      </c>
      <c r="K112" s="93" t="e">
        <f t="shared" si="10"/>
        <v>#NUM!</v>
      </c>
      <c r="L112" s="93"/>
      <c r="M112" s="92">
        <f t="shared" si="11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95"/>
      <c r="B113" s="84"/>
      <c r="C113" s="84"/>
      <c r="D113" s="84"/>
      <c r="E113" s="84"/>
      <c r="F113" s="84"/>
      <c r="H113" s="93">
        <v>108</v>
      </c>
      <c r="I113" s="94" t="str">
        <f t="shared" si="8"/>
        <v/>
      </c>
      <c r="J113" s="93" t="e">
        <f t="shared" si="9"/>
        <v>#NUM!</v>
      </c>
      <c r="K113" s="93" t="e">
        <f t="shared" si="10"/>
        <v>#NUM!</v>
      </c>
      <c r="L113" s="93"/>
      <c r="M113" s="92">
        <f t="shared" si="11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95"/>
      <c r="B114" s="84"/>
      <c r="C114" s="84"/>
      <c r="D114" s="84"/>
      <c r="E114" s="84"/>
      <c r="F114" s="84"/>
      <c r="H114" s="93">
        <v>109</v>
      </c>
      <c r="I114" s="94" t="str">
        <f t="shared" si="8"/>
        <v/>
      </c>
      <c r="J114" s="93" t="e">
        <f t="shared" si="9"/>
        <v>#NUM!</v>
      </c>
      <c r="K114" s="93" t="e">
        <f t="shared" si="10"/>
        <v>#NUM!</v>
      </c>
      <c r="L114" s="93"/>
      <c r="M114" s="92">
        <f t="shared" si="11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95"/>
      <c r="B115" s="84"/>
      <c r="C115" s="84"/>
      <c r="D115" s="84"/>
      <c r="E115" s="84"/>
      <c r="F115" s="84"/>
      <c r="H115" s="93">
        <v>110</v>
      </c>
      <c r="I115" s="94" t="str">
        <f t="shared" si="8"/>
        <v/>
      </c>
      <c r="J115" s="93" t="e">
        <f t="shared" si="9"/>
        <v>#NUM!</v>
      </c>
      <c r="K115" s="93" t="e">
        <f t="shared" si="10"/>
        <v>#NUM!</v>
      </c>
      <c r="L115" s="93"/>
      <c r="M115" s="92">
        <f t="shared" si="11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95"/>
      <c r="B116" s="84"/>
      <c r="C116" s="84"/>
      <c r="D116" s="84"/>
      <c r="E116" s="84"/>
      <c r="F116" s="84"/>
      <c r="H116" s="93">
        <v>111</v>
      </c>
      <c r="I116" s="94" t="str">
        <f t="shared" si="8"/>
        <v/>
      </c>
      <c r="J116" s="93" t="e">
        <f t="shared" si="9"/>
        <v>#NUM!</v>
      </c>
      <c r="K116" s="93" t="e">
        <f t="shared" si="10"/>
        <v>#NUM!</v>
      </c>
      <c r="L116" s="93"/>
      <c r="M116" s="92">
        <f t="shared" si="11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95"/>
      <c r="B117" s="84"/>
      <c r="C117" s="84"/>
      <c r="D117" s="84"/>
      <c r="E117" s="84"/>
      <c r="F117" s="84"/>
      <c r="H117" s="93">
        <v>112</v>
      </c>
      <c r="I117" s="94" t="str">
        <f t="shared" si="8"/>
        <v/>
      </c>
      <c r="J117" s="93" t="e">
        <f t="shared" si="9"/>
        <v>#NUM!</v>
      </c>
      <c r="K117" s="93" t="e">
        <f t="shared" si="10"/>
        <v>#NUM!</v>
      </c>
      <c r="L117" s="93"/>
      <c r="M117" s="92">
        <f t="shared" si="11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95"/>
      <c r="B118" s="84"/>
      <c r="C118" s="84"/>
      <c r="D118" s="84"/>
      <c r="E118" s="84"/>
      <c r="F118" s="84"/>
      <c r="H118" s="93">
        <v>113</v>
      </c>
      <c r="I118" s="94" t="str">
        <f t="shared" si="8"/>
        <v/>
      </c>
      <c r="J118" s="93" t="e">
        <f t="shared" si="9"/>
        <v>#NUM!</v>
      </c>
      <c r="K118" s="93" t="e">
        <f t="shared" si="10"/>
        <v>#NUM!</v>
      </c>
      <c r="L118" s="93"/>
      <c r="M118" s="92">
        <f t="shared" si="11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95"/>
      <c r="B119" s="84"/>
      <c r="C119" s="84"/>
      <c r="D119" s="84"/>
      <c r="E119" s="84"/>
      <c r="F119" s="84"/>
      <c r="H119" s="93">
        <v>114</v>
      </c>
      <c r="I119" s="94" t="str">
        <f t="shared" si="8"/>
        <v/>
      </c>
      <c r="J119" s="93" t="e">
        <f t="shared" si="9"/>
        <v>#NUM!</v>
      </c>
      <c r="K119" s="93" t="e">
        <f t="shared" si="10"/>
        <v>#NUM!</v>
      </c>
      <c r="L119" s="93"/>
      <c r="M119" s="92">
        <f t="shared" si="11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95"/>
      <c r="B120" s="84"/>
      <c r="C120" s="84"/>
      <c r="D120" s="84"/>
      <c r="E120" s="84"/>
      <c r="F120" s="84"/>
      <c r="H120" s="93">
        <v>115</v>
      </c>
      <c r="I120" s="94" t="str">
        <f t="shared" si="8"/>
        <v/>
      </c>
      <c r="J120" s="93" t="e">
        <f t="shared" si="9"/>
        <v>#NUM!</v>
      </c>
      <c r="K120" s="93" t="e">
        <f t="shared" si="10"/>
        <v>#NUM!</v>
      </c>
      <c r="L120" s="93"/>
      <c r="M120" s="92">
        <f t="shared" si="11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95"/>
      <c r="B121" s="84"/>
      <c r="C121" s="84"/>
      <c r="D121" s="84"/>
      <c r="E121" s="84"/>
      <c r="F121" s="84"/>
      <c r="H121" s="93">
        <v>116</v>
      </c>
      <c r="I121" s="94" t="str">
        <f t="shared" si="8"/>
        <v/>
      </c>
      <c r="J121" s="93" t="e">
        <f t="shared" si="9"/>
        <v>#NUM!</v>
      </c>
      <c r="K121" s="93" t="e">
        <f t="shared" si="10"/>
        <v>#NUM!</v>
      </c>
      <c r="L121" s="93"/>
      <c r="M121" s="92">
        <f t="shared" si="11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95"/>
      <c r="B122" s="84"/>
      <c r="C122" s="84"/>
      <c r="D122" s="84"/>
      <c r="E122" s="84"/>
      <c r="F122" s="84"/>
      <c r="H122" s="93">
        <v>117</v>
      </c>
      <c r="I122" s="94" t="str">
        <f t="shared" si="8"/>
        <v/>
      </c>
      <c r="J122" s="93" t="e">
        <f t="shared" si="9"/>
        <v>#NUM!</v>
      </c>
      <c r="K122" s="93" t="e">
        <f t="shared" si="10"/>
        <v>#NUM!</v>
      </c>
      <c r="L122" s="93"/>
      <c r="M122" s="92">
        <f t="shared" si="11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95"/>
      <c r="B123" s="84"/>
      <c r="C123" s="84"/>
      <c r="D123" s="84"/>
      <c r="E123" s="84"/>
      <c r="F123" s="84"/>
      <c r="H123" s="93">
        <v>118</v>
      </c>
      <c r="I123" s="94" t="str">
        <f t="shared" si="8"/>
        <v/>
      </c>
      <c r="J123" s="93" t="e">
        <f t="shared" si="9"/>
        <v>#NUM!</v>
      </c>
      <c r="K123" s="93" t="e">
        <f t="shared" si="10"/>
        <v>#NUM!</v>
      </c>
      <c r="L123" s="93"/>
      <c r="M123" s="92">
        <f t="shared" si="11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95"/>
      <c r="B124" s="84"/>
      <c r="C124" s="84"/>
      <c r="D124" s="84"/>
      <c r="E124" s="84"/>
      <c r="F124" s="84"/>
      <c r="H124" s="93">
        <v>119</v>
      </c>
      <c r="I124" s="94" t="str">
        <f t="shared" si="8"/>
        <v/>
      </c>
      <c r="J124" s="93" t="e">
        <f t="shared" si="9"/>
        <v>#NUM!</v>
      </c>
      <c r="K124" s="93" t="e">
        <f t="shared" si="10"/>
        <v>#NUM!</v>
      </c>
      <c r="L124" s="93"/>
      <c r="M124" s="92">
        <f t="shared" si="11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95"/>
      <c r="B125" s="84"/>
      <c r="C125" s="84"/>
      <c r="D125" s="84"/>
      <c r="E125" s="84"/>
      <c r="F125" s="84"/>
      <c r="H125" s="93">
        <v>120</v>
      </c>
      <c r="I125" s="94" t="str">
        <f t="shared" si="8"/>
        <v/>
      </c>
      <c r="J125" s="93" t="e">
        <f t="shared" si="9"/>
        <v>#NUM!</v>
      </c>
      <c r="K125" s="93" t="e">
        <f t="shared" si="10"/>
        <v>#NUM!</v>
      </c>
      <c r="L125" s="93"/>
      <c r="M125" s="92">
        <f t="shared" si="11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95"/>
      <c r="B126" s="84"/>
      <c r="C126" s="84"/>
      <c r="D126" s="84"/>
      <c r="E126" s="84"/>
      <c r="F126" s="84"/>
      <c r="H126" s="93">
        <v>121</v>
      </c>
      <c r="I126" s="94" t="str">
        <f t="shared" si="8"/>
        <v/>
      </c>
      <c r="J126" s="93" t="e">
        <f t="shared" si="9"/>
        <v>#NUM!</v>
      </c>
      <c r="K126" s="93" t="e">
        <f t="shared" si="10"/>
        <v>#NUM!</v>
      </c>
      <c r="L126" s="93"/>
      <c r="M126" s="92">
        <f t="shared" si="11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95"/>
      <c r="B127" s="84"/>
      <c r="C127" s="84"/>
      <c r="D127" s="84"/>
      <c r="E127" s="84"/>
      <c r="F127" s="84"/>
      <c r="H127" s="93">
        <v>122</v>
      </c>
      <c r="I127" s="94" t="str">
        <f t="shared" si="8"/>
        <v/>
      </c>
      <c r="J127" s="93" t="e">
        <f t="shared" si="9"/>
        <v>#NUM!</v>
      </c>
      <c r="K127" s="93" t="e">
        <f t="shared" si="10"/>
        <v>#NUM!</v>
      </c>
      <c r="L127" s="93"/>
      <c r="M127" s="92">
        <f t="shared" si="11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95"/>
      <c r="B128" s="84"/>
      <c r="C128" s="84"/>
      <c r="D128" s="84"/>
      <c r="E128" s="84"/>
      <c r="F128" s="84"/>
      <c r="H128" s="93">
        <v>123</v>
      </c>
      <c r="I128" s="94" t="str">
        <f t="shared" si="8"/>
        <v/>
      </c>
      <c r="J128" s="93" t="e">
        <f t="shared" si="9"/>
        <v>#NUM!</v>
      </c>
      <c r="K128" s="93" t="e">
        <f t="shared" si="10"/>
        <v>#NUM!</v>
      </c>
      <c r="L128" s="93"/>
      <c r="M128" s="92">
        <f t="shared" si="11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95"/>
      <c r="B129" s="84"/>
      <c r="C129" s="84"/>
      <c r="D129" s="84"/>
      <c r="E129" s="84"/>
      <c r="F129" s="84"/>
      <c r="H129" s="93">
        <v>124</v>
      </c>
      <c r="I129" s="94" t="str">
        <f t="shared" si="8"/>
        <v/>
      </c>
      <c r="J129" s="93" t="e">
        <f t="shared" si="9"/>
        <v>#NUM!</v>
      </c>
      <c r="K129" s="93" t="e">
        <f t="shared" si="10"/>
        <v>#NUM!</v>
      </c>
      <c r="L129" s="93"/>
      <c r="M129" s="92">
        <f t="shared" si="11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95"/>
      <c r="B130" s="84"/>
      <c r="C130" s="84"/>
      <c r="D130" s="84"/>
      <c r="E130" s="84"/>
      <c r="F130" s="84"/>
      <c r="H130" s="93">
        <v>125</v>
      </c>
      <c r="I130" s="94" t="str">
        <f t="shared" si="8"/>
        <v/>
      </c>
      <c r="J130" s="93" t="e">
        <f t="shared" si="9"/>
        <v>#NUM!</v>
      </c>
      <c r="K130" s="93" t="e">
        <f t="shared" si="10"/>
        <v>#NUM!</v>
      </c>
      <c r="L130" s="93"/>
      <c r="M130" s="92">
        <f t="shared" si="11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95"/>
      <c r="B131" s="84"/>
      <c r="C131" s="84"/>
      <c r="D131" s="84"/>
      <c r="E131" s="84"/>
      <c r="F131" s="84"/>
      <c r="H131" s="93">
        <v>126</v>
      </c>
      <c r="I131" s="94" t="str">
        <f t="shared" si="8"/>
        <v/>
      </c>
      <c r="J131" s="93" t="e">
        <f t="shared" si="9"/>
        <v>#NUM!</v>
      </c>
      <c r="K131" s="93" t="e">
        <f t="shared" si="10"/>
        <v>#NUM!</v>
      </c>
      <c r="L131" s="93"/>
      <c r="M131" s="92">
        <f t="shared" si="11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95"/>
      <c r="B132" s="84"/>
      <c r="C132" s="84"/>
      <c r="D132" s="84"/>
      <c r="E132" s="84"/>
      <c r="F132" s="84"/>
      <c r="H132" s="93">
        <v>127</v>
      </c>
      <c r="I132" s="94" t="str">
        <f t="shared" si="8"/>
        <v/>
      </c>
      <c r="J132" s="93" t="e">
        <f t="shared" si="9"/>
        <v>#NUM!</v>
      </c>
      <c r="K132" s="93" t="e">
        <f t="shared" si="10"/>
        <v>#NUM!</v>
      </c>
      <c r="L132" s="93"/>
      <c r="M132" s="92">
        <f t="shared" si="11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95"/>
      <c r="B133" s="84"/>
      <c r="C133" s="84"/>
      <c r="D133" s="84"/>
      <c r="E133" s="84"/>
      <c r="F133" s="84"/>
      <c r="H133" s="93">
        <v>128</v>
      </c>
      <c r="I133" s="94" t="str">
        <f t="shared" si="8"/>
        <v/>
      </c>
      <c r="J133" s="93" t="e">
        <f t="shared" si="9"/>
        <v>#NUM!</v>
      </c>
      <c r="K133" s="93" t="e">
        <f t="shared" si="10"/>
        <v>#NUM!</v>
      </c>
      <c r="L133" s="93"/>
      <c r="M133" s="92">
        <f t="shared" si="11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95"/>
      <c r="B134" s="84"/>
      <c r="C134" s="84"/>
      <c r="D134" s="84"/>
      <c r="E134" s="84"/>
      <c r="F134" s="84"/>
      <c r="H134" s="93">
        <v>129</v>
      </c>
      <c r="I134" s="94" t="str">
        <f t="shared" ref="I134:I197" si="12">IF(H134&lt;$H$2+1,($I$2-($I$2-1)*(LOG(H134)/LOG($H$2))),"")</f>
        <v/>
      </c>
      <c r="J134" s="93" t="e">
        <f t="shared" ref="J134:J197" si="13">INT(LOG($H$2,2))-ROUNDUP(LOG(H134,2),0)+IF(OR($H$2=1,$H$2=2,$H$2=4,$H$2=8,$H$2=16,$H$2=32,$H$2=64,$H$2=128,$H$2=256),0,1)</f>
        <v>#NUM!</v>
      </c>
      <c r="K134" s="93" t="e">
        <f t="shared" ref="K134:K197" si="14">J134*$J$2</f>
        <v>#NUM!</v>
      </c>
      <c r="L134" s="93"/>
      <c r="M134" s="92">
        <f t="shared" ref="M134:M197" si="15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95"/>
      <c r="B135" s="84"/>
      <c r="C135" s="84"/>
      <c r="D135" s="84"/>
      <c r="E135" s="84"/>
      <c r="F135" s="84"/>
      <c r="H135" s="93">
        <v>130</v>
      </c>
      <c r="I135" s="94" t="str">
        <f t="shared" si="12"/>
        <v/>
      </c>
      <c r="J135" s="93" t="e">
        <f t="shared" si="13"/>
        <v>#NUM!</v>
      </c>
      <c r="K135" s="93" t="e">
        <f t="shared" si="14"/>
        <v>#NUM!</v>
      </c>
      <c r="L135" s="93"/>
      <c r="M135" s="92">
        <f t="shared" si="15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95"/>
      <c r="B136" s="84"/>
      <c r="C136" s="84"/>
      <c r="D136" s="84"/>
      <c r="E136" s="84"/>
      <c r="F136" s="84"/>
      <c r="H136" s="93">
        <v>131</v>
      </c>
      <c r="I136" s="94" t="str">
        <f t="shared" si="12"/>
        <v/>
      </c>
      <c r="J136" s="93" t="e">
        <f t="shared" si="13"/>
        <v>#NUM!</v>
      </c>
      <c r="K136" s="93" t="e">
        <f t="shared" si="14"/>
        <v>#NUM!</v>
      </c>
      <c r="L136" s="93"/>
      <c r="M136" s="92">
        <f t="shared" si="15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95"/>
      <c r="B137" s="84"/>
      <c r="C137" s="84"/>
      <c r="D137" s="84"/>
      <c r="E137" s="84"/>
      <c r="F137" s="84"/>
      <c r="H137" s="93">
        <v>132</v>
      </c>
      <c r="I137" s="94" t="str">
        <f t="shared" si="12"/>
        <v/>
      </c>
      <c r="J137" s="93" t="e">
        <f t="shared" si="13"/>
        <v>#NUM!</v>
      </c>
      <c r="K137" s="93" t="e">
        <f t="shared" si="14"/>
        <v>#NUM!</v>
      </c>
      <c r="L137" s="93"/>
      <c r="M137" s="92">
        <f t="shared" si="15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95"/>
      <c r="B138" s="84"/>
      <c r="C138" s="84"/>
      <c r="D138" s="84"/>
      <c r="E138" s="84"/>
      <c r="F138" s="84"/>
      <c r="H138" s="93">
        <v>133</v>
      </c>
      <c r="I138" s="94" t="str">
        <f t="shared" si="12"/>
        <v/>
      </c>
      <c r="J138" s="93" t="e">
        <f t="shared" si="13"/>
        <v>#NUM!</v>
      </c>
      <c r="K138" s="93" t="e">
        <f t="shared" si="14"/>
        <v>#NUM!</v>
      </c>
      <c r="L138" s="93"/>
      <c r="M138" s="92">
        <f t="shared" si="15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95"/>
      <c r="B139" s="84"/>
      <c r="C139" s="84"/>
      <c r="D139" s="84"/>
      <c r="E139" s="84"/>
      <c r="F139" s="84"/>
      <c r="H139" s="93">
        <v>134</v>
      </c>
      <c r="I139" s="94" t="str">
        <f t="shared" si="12"/>
        <v/>
      </c>
      <c r="J139" s="93" t="e">
        <f t="shared" si="13"/>
        <v>#NUM!</v>
      </c>
      <c r="K139" s="93" t="e">
        <f t="shared" si="14"/>
        <v>#NUM!</v>
      </c>
      <c r="L139" s="93"/>
      <c r="M139" s="92">
        <f t="shared" si="15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95"/>
      <c r="B140" s="84"/>
      <c r="C140" s="84"/>
      <c r="D140" s="84"/>
      <c r="E140" s="84"/>
      <c r="F140" s="84"/>
      <c r="H140" s="93">
        <v>135</v>
      </c>
      <c r="I140" s="94" t="str">
        <f t="shared" si="12"/>
        <v/>
      </c>
      <c r="J140" s="93" t="e">
        <f t="shared" si="13"/>
        <v>#NUM!</v>
      </c>
      <c r="K140" s="93" t="e">
        <f t="shared" si="14"/>
        <v>#NUM!</v>
      </c>
      <c r="L140" s="93"/>
      <c r="M140" s="92">
        <f t="shared" si="15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6" customFormat="1" x14ac:dyDescent="0.25">
      <c r="A141" s="95"/>
      <c r="B141" s="84"/>
      <c r="C141" s="84"/>
      <c r="D141" s="84"/>
      <c r="E141" s="84"/>
      <c r="F141" s="84"/>
      <c r="H141" s="93">
        <v>136</v>
      </c>
      <c r="I141" s="94" t="str">
        <f t="shared" si="12"/>
        <v/>
      </c>
      <c r="J141" s="93" t="e">
        <f t="shared" si="13"/>
        <v>#NUM!</v>
      </c>
      <c r="K141" s="93" t="e">
        <f t="shared" si="14"/>
        <v>#NUM!</v>
      </c>
      <c r="L141" s="93"/>
      <c r="M141" s="92">
        <f t="shared" si="15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6" customFormat="1" x14ac:dyDescent="0.25">
      <c r="A142" s="95"/>
      <c r="B142" s="84"/>
      <c r="C142" s="84"/>
      <c r="D142" s="84"/>
      <c r="E142" s="84"/>
      <c r="F142" s="84"/>
      <c r="H142" s="93">
        <v>137</v>
      </c>
      <c r="I142" s="94" t="str">
        <f t="shared" si="12"/>
        <v/>
      </c>
      <c r="J142" s="93" t="e">
        <f t="shared" si="13"/>
        <v>#NUM!</v>
      </c>
      <c r="K142" s="93" t="e">
        <f t="shared" si="14"/>
        <v>#NUM!</v>
      </c>
      <c r="L142" s="93"/>
      <c r="M142" s="92">
        <f t="shared" si="15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6" customFormat="1" x14ac:dyDescent="0.25">
      <c r="A143" s="95"/>
      <c r="B143" s="84"/>
      <c r="C143" s="84"/>
      <c r="D143" s="84"/>
      <c r="E143" s="84"/>
      <c r="F143" s="84"/>
      <c r="H143" s="93">
        <v>138</v>
      </c>
      <c r="I143" s="94" t="str">
        <f t="shared" si="12"/>
        <v/>
      </c>
      <c r="J143" s="93" t="e">
        <f t="shared" si="13"/>
        <v>#NUM!</v>
      </c>
      <c r="K143" s="93" t="e">
        <f t="shared" si="14"/>
        <v>#NUM!</v>
      </c>
      <c r="L143" s="93"/>
      <c r="M143" s="92">
        <f t="shared" si="15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6" customFormat="1" x14ac:dyDescent="0.25">
      <c r="A144" s="95"/>
      <c r="B144" s="84"/>
      <c r="C144" s="84"/>
      <c r="D144" s="84"/>
      <c r="E144" s="84"/>
      <c r="F144" s="84"/>
      <c r="H144" s="93">
        <v>139</v>
      </c>
      <c r="I144" s="94" t="str">
        <f t="shared" si="12"/>
        <v/>
      </c>
      <c r="J144" s="93" t="e">
        <f t="shared" si="13"/>
        <v>#NUM!</v>
      </c>
      <c r="K144" s="93" t="e">
        <f t="shared" si="14"/>
        <v>#NUM!</v>
      </c>
      <c r="L144" s="93"/>
      <c r="M144" s="92">
        <f t="shared" si="15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6" customFormat="1" x14ac:dyDescent="0.25">
      <c r="A145" s="95"/>
      <c r="B145" s="84"/>
      <c r="C145" s="84"/>
      <c r="D145" s="84"/>
      <c r="E145" s="84"/>
      <c r="F145" s="84"/>
      <c r="H145" s="93">
        <v>140</v>
      </c>
      <c r="I145" s="94" t="str">
        <f t="shared" si="12"/>
        <v/>
      </c>
      <c r="J145" s="93" t="e">
        <f t="shared" si="13"/>
        <v>#NUM!</v>
      </c>
      <c r="K145" s="93" t="e">
        <f t="shared" si="14"/>
        <v>#NUM!</v>
      </c>
      <c r="L145" s="93"/>
      <c r="M145" s="92">
        <f t="shared" si="15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5"/>
      <c r="B146" s="84"/>
      <c r="C146" s="84"/>
      <c r="D146" s="84"/>
      <c r="E146" s="84"/>
      <c r="F146" s="84"/>
      <c r="H146" s="93">
        <v>141</v>
      </c>
      <c r="I146" s="94" t="str">
        <f t="shared" si="12"/>
        <v/>
      </c>
      <c r="J146" s="93" t="e">
        <f t="shared" si="13"/>
        <v>#NUM!</v>
      </c>
      <c r="K146" s="93" t="e">
        <f t="shared" si="14"/>
        <v>#NUM!</v>
      </c>
      <c r="L146" s="93"/>
      <c r="M146" s="92">
        <f t="shared" si="15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5"/>
      <c r="B147" s="84"/>
      <c r="C147" s="84"/>
      <c r="D147" s="84"/>
      <c r="E147" s="84"/>
      <c r="F147" s="84"/>
      <c r="H147" s="93">
        <v>142</v>
      </c>
      <c r="I147" s="94" t="str">
        <f t="shared" si="12"/>
        <v/>
      </c>
      <c r="J147" s="93" t="e">
        <f t="shared" si="13"/>
        <v>#NUM!</v>
      </c>
      <c r="K147" s="93" t="e">
        <f t="shared" si="14"/>
        <v>#NUM!</v>
      </c>
      <c r="L147" s="93"/>
      <c r="M147" s="92">
        <f t="shared" si="15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5"/>
      <c r="B148" s="84"/>
      <c r="C148" s="84"/>
      <c r="D148" s="84"/>
      <c r="E148" s="84"/>
      <c r="F148" s="84"/>
      <c r="H148" s="93">
        <v>143</v>
      </c>
      <c r="I148" s="94" t="str">
        <f t="shared" si="12"/>
        <v/>
      </c>
      <c r="J148" s="93" t="e">
        <f t="shared" si="13"/>
        <v>#NUM!</v>
      </c>
      <c r="K148" s="93" t="e">
        <f t="shared" si="14"/>
        <v>#NUM!</v>
      </c>
      <c r="L148" s="93"/>
      <c r="M148" s="92">
        <f t="shared" si="15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5"/>
      <c r="B149" s="84"/>
      <c r="C149" s="84"/>
      <c r="D149" s="84"/>
      <c r="E149" s="84"/>
      <c r="F149" s="84"/>
      <c r="H149" s="93">
        <v>144</v>
      </c>
      <c r="I149" s="94" t="str">
        <f t="shared" si="12"/>
        <v/>
      </c>
      <c r="J149" s="93" t="e">
        <f t="shared" si="13"/>
        <v>#NUM!</v>
      </c>
      <c r="K149" s="93" t="e">
        <f t="shared" si="14"/>
        <v>#NUM!</v>
      </c>
      <c r="L149" s="93"/>
      <c r="M149" s="92">
        <f t="shared" si="15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5"/>
      <c r="B150" s="84"/>
      <c r="C150" s="84"/>
      <c r="D150" s="84"/>
      <c r="E150" s="84"/>
      <c r="F150" s="84"/>
      <c r="H150" s="93">
        <v>145</v>
      </c>
      <c r="I150" s="94" t="str">
        <f t="shared" si="12"/>
        <v/>
      </c>
      <c r="J150" s="93" t="e">
        <f t="shared" si="13"/>
        <v>#NUM!</v>
      </c>
      <c r="K150" s="93" t="e">
        <f t="shared" si="14"/>
        <v>#NUM!</v>
      </c>
      <c r="L150" s="93"/>
      <c r="M150" s="92">
        <f t="shared" si="15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5"/>
      <c r="B151" s="84"/>
      <c r="C151" s="84"/>
      <c r="D151" s="84"/>
      <c r="E151" s="84"/>
      <c r="F151" s="84"/>
      <c r="H151" s="93">
        <v>146</v>
      </c>
      <c r="I151" s="94" t="str">
        <f t="shared" si="12"/>
        <v/>
      </c>
      <c r="J151" s="93" t="e">
        <f t="shared" si="13"/>
        <v>#NUM!</v>
      </c>
      <c r="K151" s="93" t="e">
        <f t="shared" si="14"/>
        <v>#NUM!</v>
      </c>
      <c r="L151" s="93"/>
      <c r="M151" s="92">
        <f t="shared" si="15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5"/>
      <c r="B152" s="84"/>
      <c r="C152" s="84"/>
      <c r="D152" s="84"/>
      <c r="E152" s="84"/>
      <c r="F152" s="84"/>
      <c r="H152" s="93">
        <v>147</v>
      </c>
      <c r="I152" s="94" t="str">
        <f t="shared" si="12"/>
        <v/>
      </c>
      <c r="J152" s="93" t="e">
        <f t="shared" si="13"/>
        <v>#NUM!</v>
      </c>
      <c r="K152" s="93" t="e">
        <f t="shared" si="14"/>
        <v>#NUM!</v>
      </c>
      <c r="L152" s="93"/>
      <c r="M152" s="92">
        <f t="shared" si="15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5"/>
      <c r="B153" s="84"/>
      <c r="C153" s="84"/>
      <c r="D153" s="84"/>
      <c r="E153" s="84"/>
      <c r="F153" s="84"/>
      <c r="H153" s="93">
        <v>148</v>
      </c>
      <c r="I153" s="94" t="str">
        <f t="shared" si="12"/>
        <v/>
      </c>
      <c r="J153" s="93" t="e">
        <f t="shared" si="13"/>
        <v>#NUM!</v>
      </c>
      <c r="K153" s="93" t="e">
        <f t="shared" si="14"/>
        <v>#NUM!</v>
      </c>
      <c r="L153" s="93"/>
      <c r="M153" s="92">
        <f t="shared" si="15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5"/>
      <c r="B154" s="84"/>
      <c r="C154" s="84"/>
      <c r="D154" s="84"/>
      <c r="E154" s="84"/>
      <c r="F154" s="84"/>
      <c r="H154" s="93">
        <v>149</v>
      </c>
      <c r="I154" s="94" t="str">
        <f t="shared" si="12"/>
        <v/>
      </c>
      <c r="J154" s="93" t="e">
        <f t="shared" si="13"/>
        <v>#NUM!</v>
      </c>
      <c r="K154" s="93" t="e">
        <f t="shared" si="14"/>
        <v>#NUM!</v>
      </c>
      <c r="L154" s="93"/>
      <c r="M154" s="92">
        <f t="shared" si="15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3">
        <v>150</v>
      </c>
      <c r="I155" s="94" t="str">
        <f t="shared" si="12"/>
        <v/>
      </c>
      <c r="J155" s="93" t="e">
        <f t="shared" si="13"/>
        <v>#NUM!</v>
      </c>
      <c r="K155" s="93" t="e">
        <f t="shared" si="14"/>
        <v>#NUM!</v>
      </c>
      <c r="L155" s="93"/>
      <c r="M155" s="92">
        <f t="shared" si="15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2"/>
        <v/>
      </c>
      <c r="J156" s="93" t="e">
        <f t="shared" si="13"/>
        <v>#NUM!</v>
      </c>
      <c r="K156" s="93" t="e">
        <f t="shared" si="14"/>
        <v>#NUM!</v>
      </c>
      <c r="L156" s="93"/>
      <c r="M156" s="92">
        <f t="shared" si="15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3">
        <v>152</v>
      </c>
      <c r="I157" s="94" t="str">
        <f t="shared" si="12"/>
        <v/>
      </c>
      <c r="J157" s="93" t="e">
        <f t="shared" si="13"/>
        <v>#NUM!</v>
      </c>
      <c r="K157" s="93" t="e">
        <f t="shared" si="14"/>
        <v>#NUM!</v>
      </c>
      <c r="L157" s="93"/>
      <c r="M157" s="92">
        <f t="shared" si="15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2"/>
        <v/>
      </c>
      <c r="J158" s="93" t="e">
        <f t="shared" si="13"/>
        <v>#NUM!</v>
      </c>
      <c r="K158" s="93" t="e">
        <f t="shared" si="14"/>
        <v>#NUM!</v>
      </c>
      <c r="L158" s="93"/>
      <c r="M158" s="92">
        <f t="shared" si="15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3">
        <v>154</v>
      </c>
      <c r="I159" s="94" t="str">
        <f t="shared" si="12"/>
        <v/>
      </c>
      <c r="J159" s="93" t="e">
        <f t="shared" si="13"/>
        <v>#NUM!</v>
      </c>
      <c r="K159" s="93" t="e">
        <f t="shared" si="14"/>
        <v>#NUM!</v>
      </c>
      <c r="L159" s="93"/>
      <c r="M159" s="92">
        <f t="shared" si="15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2"/>
        <v/>
      </c>
      <c r="J160" s="93" t="e">
        <f t="shared" si="13"/>
        <v>#NUM!</v>
      </c>
      <c r="K160" s="93" t="e">
        <f t="shared" si="14"/>
        <v>#NUM!</v>
      </c>
      <c r="L160" s="93"/>
      <c r="M160" s="92">
        <f t="shared" si="15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3">
        <v>156</v>
      </c>
      <c r="I161" s="94" t="str">
        <f t="shared" si="12"/>
        <v/>
      </c>
      <c r="J161" s="93" t="e">
        <f t="shared" si="13"/>
        <v>#NUM!</v>
      </c>
      <c r="K161" s="93" t="e">
        <f t="shared" si="14"/>
        <v>#NUM!</v>
      </c>
      <c r="L161" s="93"/>
      <c r="M161" s="92">
        <f t="shared" si="15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2"/>
        <v/>
      </c>
      <c r="J162" s="93" t="e">
        <f t="shared" si="13"/>
        <v>#NUM!</v>
      </c>
      <c r="K162" s="93" t="e">
        <f t="shared" si="14"/>
        <v>#NUM!</v>
      </c>
      <c r="L162" s="93"/>
      <c r="M162" s="92">
        <f t="shared" si="15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3">
        <v>158</v>
      </c>
      <c r="I163" s="94" t="str">
        <f t="shared" si="12"/>
        <v/>
      </c>
      <c r="J163" s="93" t="e">
        <f t="shared" si="13"/>
        <v>#NUM!</v>
      </c>
      <c r="K163" s="93" t="e">
        <f t="shared" si="14"/>
        <v>#NUM!</v>
      </c>
      <c r="L163" s="93"/>
      <c r="M163" s="92">
        <f t="shared" si="15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2"/>
        <v/>
      </c>
      <c r="J164" s="93" t="e">
        <f t="shared" si="13"/>
        <v>#NUM!</v>
      </c>
      <c r="K164" s="93" t="e">
        <f t="shared" si="14"/>
        <v>#NUM!</v>
      </c>
      <c r="L164" s="93"/>
      <c r="M164" s="92">
        <f t="shared" si="15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3">
        <v>160</v>
      </c>
      <c r="I165" s="94" t="str">
        <f t="shared" si="12"/>
        <v/>
      </c>
      <c r="J165" s="93" t="e">
        <f t="shared" si="13"/>
        <v>#NUM!</v>
      </c>
      <c r="K165" s="93" t="e">
        <f t="shared" si="14"/>
        <v>#NUM!</v>
      </c>
      <c r="L165" s="93"/>
      <c r="M165" s="92">
        <f t="shared" si="15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2"/>
        <v/>
      </c>
      <c r="J166" s="93" t="e">
        <f t="shared" si="13"/>
        <v>#NUM!</v>
      </c>
      <c r="K166" s="93" t="e">
        <f t="shared" si="14"/>
        <v>#NUM!</v>
      </c>
      <c r="L166" s="93"/>
      <c r="M166" s="92">
        <f t="shared" si="15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3">
        <v>162</v>
      </c>
      <c r="I167" s="94" t="str">
        <f t="shared" si="12"/>
        <v/>
      </c>
      <c r="J167" s="93" t="e">
        <f t="shared" si="13"/>
        <v>#NUM!</v>
      </c>
      <c r="K167" s="93" t="e">
        <f t="shared" si="14"/>
        <v>#NUM!</v>
      </c>
      <c r="L167" s="93"/>
      <c r="M167" s="92">
        <f t="shared" si="15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2"/>
        <v/>
      </c>
      <c r="J168" s="93" t="e">
        <f t="shared" si="13"/>
        <v>#NUM!</v>
      </c>
      <c r="K168" s="93" t="e">
        <f t="shared" si="14"/>
        <v>#NUM!</v>
      </c>
      <c r="L168" s="93"/>
      <c r="M168" s="92">
        <f t="shared" si="15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3">
        <v>164</v>
      </c>
      <c r="I169" s="94" t="str">
        <f t="shared" si="12"/>
        <v/>
      </c>
      <c r="J169" s="93" t="e">
        <f t="shared" si="13"/>
        <v>#NUM!</v>
      </c>
      <c r="K169" s="93" t="e">
        <f t="shared" si="14"/>
        <v>#NUM!</v>
      </c>
      <c r="L169" s="93"/>
      <c r="M169" s="92">
        <f t="shared" si="15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2"/>
        <v/>
      </c>
      <c r="J170" s="93" t="e">
        <f t="shared" si="13"/>
        <v>#NUM!</v>
      </c>
      <c r="K170" s="93" t="e">
        <f t="shared" si="14"/>
        <v>#NUM!</v>
      </c>
      <c r="L170" s="93"/>
      <c r="M170" s="92">
        <f t="shared" si="15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3">
        <v>166</v>
      </c>
      <c r="I171" s="94" t="str">
        <f t="shared" si="12"/>
        <v/>
      </c>
      <c r="J171" s="93" t="e">
        <f t="shared" si="13"/>
        <v>#NUM!</v>
      </c>
      <c r="K171" s="93" t="e">
        <f t="shared" si="14"/>
        <v>#NUM!</v>
      </c>
      <c r="L171" s="93"/>
      <c r="M171" s="92">
        <f t="shared" si="15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2"/>
        <v/>
      </c>
      <c r="J172" s="93" t="e">
        <f t="shared" si="13"/>
        <v>#NUM!</v>
      </c>
      <c r="K172" s="93" t="e">
        <f t="shared" si="14"/>
        <v>#NUM!</v>
      </c>
      <c r="L172" s="93"/>
      <c r="M172" s="92">
        <f t="shared" si="15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3">
        <v>168</v>
      </c>
      <c r="I173" s="94" t="str">
        <f t="shared" si="12"/>
        <v/>
      </c>
      <c r="J173" s="93" t="e">
        <f t="shared" si="13"/>
        <v>#NUM!</v>
      </c>
      <c r="K173" s="93" t="e">
        <f t="shared" si="14"/>
        <v>#NUM!</v>
      </c>
      <c r="L173" s="93"/>
      <c r="M173" s="92">
        <f t="shared" si="15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2"/>
        <v/>
      </c>
      <c r="J174" s="93" t="e">
        <f t="shared" si="13"/>
        <v>#NUM!</v>
      </c>
      <c r="K174" s="93" t="e">
        <f t="shared" si="14"/>
        <v>#NUM!</v>
      </c>
      <c r="L174" s="93"/>
      <c r="M174" s="92">
        <f t="shared" si="15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3">
        <v>170</v>
      </c>
      <c r="I175" s="94" t="str">
        <f t="shared" si="12"/>
        <v/>
      </c>
      <c r="J175" s="93" t="e">
        <f t="shared" si="13"/>
        <v>#NUM!</v>
      </c>
      <c r="K175" s="93" t="e">
        <f t="shared" si="14"/>
        <v>#NUM!</v>
      </c>
      <c r="L175" s="93"/>
      <c r="M175" s="92">
        <f t="shared" si="15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2"/>
        <v/>
      </c>
      <c r="J176" s="93" t="e">
        <f t="shared" si="13"/>
        <v>#NUM!</v>
      </c>
      <c r="K176" s="93" t="e">
        <f t="shared" si="14"/>
        <v>#NUM!</v>
      </c>
      <c r="L176" s="93"/>
      <c r="M176" s="92">
        <f t="shared" si="15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3">
        <v>172</v>
      </c>
      <c r="I177" s="94" t="str">
        <f t="shared" si="12"/>
        <v/>
      </c>
      <c r="J177" s="93" t="e">
        <f t="shared" si="13"/>
        <v>#NUM!</v>
      </c>
      <c r="K177" s="93" t="e">
        <f t="shared" si="14"/>
        <v>#NUM!</v>
      </c>
      <c r="L177" s="93"/>
      <c r="M177" s="92">
        <f t="shared" si="15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2"/>
        <v/>
      </c>
      <c r="J178" s="93" t="e">
        <f t="shared" si="13"/>
        <v>#NUM!</v>
      </c>
      <c r="K178" s="93" t="e">
        <f t="shared" si="14"/>
        <v>#NUM!</v>
      </c>
      <c r="L178" s="93"/>
      <c r="M178" s="92">
        <f t="shared" si="15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3">
        <v>174</v>
      </c>
      <c r="I179" s="94" t="str">
        <f t="shared" si="12"/>
        <v/>
      </c>
      <c r="J179" s="93" t="e">
        <f t="shared" si="13"/>
        <v>#NUM!</v>
      </c>
      <c r="K179" s="93" t="e">
        <f t="shared" si="14"/>
        <v>#NUM!</v>
      </c>
      <c r="L179" s="93"/>
      <c r="M179" s="92">
        <f t="shared" si="15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2"/>
        <v/>
      </c>
      <c r="J180" s="93" t="e">
        <f t="shared" si="13"/>
        <v>#NUM!</v>
      </c>
      <c r="K180" s="93" t="e">
        <f t="shared" si="14"/>
        <v>#NUM!</v>
      </c>
      <c r="L180" s="93"/>
      <c r="M180" s="92">
        <f t="shared" si="15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3">
        <v>176</v>
      </c>
      <c r="I181" s="94" t="str">
        <f t="shared" si="12"/>
        <v/>
      </c>
      <c r="J181" s="93" t="e">
        <f t="shared" si="13"/>
        <v>#NUM!</v>
      </c>
      <c r="K181" s="93" t="e">
        <f t="shared" si="14"/>
        <v>#NUM!</v>
      </c>
      <c r="L181" s="93"/>
      <c r="M181" s="92">
        <f t="shared" si="15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2"/>
        <v/>
      </c>
      <c r="J182" s="93" t="e">
        <f t="shared" si="13"/>
        <v>#NUM!</v>
      </c>
      <c r="K182" s="93" t="e">
        <f t="shared" si="14"/>
        <v>#NUM!</v>
      </c>
      <c r="L182" s="93"/>
      <c r="M182" s="92">
        <f t="shared" si="15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3">
        <v>178</v>
      </c>
      <c r="I183" s="94" t="str">
        <f t="shared" si="12"/>
        <v/>
      </c>
      <c r="J183" s="93" t="e">
        <f t="shared" si="13"/>
        <v>#NUM!</v>
      </c>
      <c r="K183" s="93" t="e">
        <f t="shared" si="14"/>
        <v>#NUM!</v>
      </c>
      <c r="L183" s="93"/>
      <c r="M183" s="92">
        <f t="shared" si="15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2"/>
        <v/>
      </c>
      <c r="J184" s="93" t="e">
        <f t="shared" si="13"/>
        <v>#NUM!</v>
      </c>
      <c r="K184" s="93" t="e">
        <f t="shared" si="14"/>
        <v>#NUM!</v>
      </c>
      <c r="L184" s="93"/>
      <c r="M184" s="92">
        <f t="shared" si="15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3">
        <v>180</v>
      </c>
      <c r="I185" s="94" t="str">
        <f t="shared" si="12"/>
        <v/>
      </c>
      <c r="J185" s="93" t="e">
        <f t="shared" si="13"/>
        <v>#NUM!</v>
      </c>
      <c r="K185" s="93" t="e">
        <f t="shared" si="14"/>
        <v>#NUM!</v>
      </c>
      <c r="L185" s="93"/>
      <c r="M185" s="92">
        <f t="shared" si="15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2"/>
        <v/>
      </c>
      <c r="J186" s="93" t="e">
        <f t="shared" si="13"/>
        <v>#NUM!</v>
      </c>
      <c r="K186" s="93" t="e">
        <f t="shared" si="14"/>
        <v>#NUM!</v>
      </c>
      <c r="L186" s="93"/>
      <c r="M186" s="92">
        <f t="shared" si="15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3">
        <v>182</v>
      </c>
      <c r="I187" s="94" t="str">
        <f t="shared" si="12"/>
        <v/>
      </c>
      <c r="J187" s="93" t="e">
        <f t="shared" si="13"/>
        <v>#NUM!</v>
      </c>
      <c r="K187" s="93" t="e">
        <f t="shared" si="14"/>
        <v>#NUM!</v>
      </c>
      <c r="L187" s="93"/>
      <c r="M187" s="92">
        <f t="shared" si="15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2"/>
        <v/>
      </c>
      <c r="J188" s="93" t="e">
        <f t="shared" si="13"/>
        <v>#NUM!</v>
      </c>
      <c r="K188" s="93" t="e">
        <f t="shared" si="14"/>
        <v>#NUM!</v>
      </c>
      <c r="L188" s="93"/>
      <c r="M188" s="92">
        <f t="shared" si="15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3">
        <v>184</v>
      </c>
      <c r="I189" s="94" t="str">
        <f t="shared" si="12"/>
        <v/>
      </c>
      <c r="J189" s="93" t="e">
        <f t="shared" si="13"/>
        <v>#NUM!</v>
      </c>
      <c r="K189" s="93" t="e">
        <f t="shared" si="14"/>
        <v>#NUM!</v>
      </c>
      <c r="L189" s="93"/>
      <c r="M189" s="92">
        <f t="shared" si="15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2"/>
        <v/>
      </c>
      <c r="J190" s="93" t="e">
        <f t="shared" si="13"/>
        <v>#NUM!</v>
      </c>
      <c r="K190" s="93" t="e">
        <f t="shared" si="14"/>
        <v>#NUM!</v>
      </c>
      <c r="L190" s="93"/>
      <c r="M190" s="92">
        <f t="shared" si="15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3">
        <v>186</v>
      </c>
      <c r="I191" s="94" t="str">
        <f t="shared" si="12"/>
        <v/>
      </c>
      <c r="J191" s="93" t="e">
        <f t="shared" si="13"/>
        <v>#NUM!</v>
      </c>
      <c r="K191" s="93" t="e">
        <f t="shared" si="14"/>
        <v>#NUM!</v>
      </c>
      <c r="L191" s="93"/>
      <c r="M191" s="92">
        <f t="shared" si="15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2"/>
        <v/>
      </c>
      <c r="J192" s="93" t="e">
        <f t="shared" si="13"/>
        <v>#NUM!</v>
      </c>
      <c r="K192" s="93" t="e">
        <f t="shared" si="14"/>
        <v>#NUM!</v>
      </c>
      <c r="L192" s="93"/>
      <c r="M192" s="92">
        <f t="shared" si="15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3">
        <v>188</v>
      </c>
      <c r="I193" s="94" t="str">
        <f t="shared" si="12"/>
        <v/>
      </c>
      <c r="J193" s="93" t="e">
        <f t="shared" si="13"/>
        <v>#NUM!</v>
      </c>
      <c r="K193" s="93" t="e">
        <f t="shared" si="14"/>
        <v>#NUM!</v>
      </c>
      <c r="L193" s="93"/>
      <c r="M193" s="92">
        <f t="shared" si="15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2"/>
        <v/>
      </c>
      <c r="J194" s="93" t="e">
        <f t="shared" si="13"/>
        <v>#NUM!</v>
      </c>
      <c r="K194" s="93" t="e">
        <f t="shared" si="14"/>
        <v>#NUM!</v>
      </c>
      <c r="L194" s="93"/>
      <c r="M194" s="92">
        <f t="shared" si="15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3">
        <v>190</v>
      </c>
      <c r="I195" s="94" t="str">
        <f t="shared" si="12"/>
        <v/>
      </c>
      <c r="J195" s="93" t="e">
        <f t="shared" si="13"/>
        <v>#NUM!</v>
      </c>
      <c r="K195" s="93" t="e">
        <f t="shared" si="14"/>
        <v>#NUM!</v>
      </c>
      <c r="L195" s="93"/>
      <c r="M195" s="92">
        <f t="shared" si="15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2"/>
        <v/>
      </c>
      <c r="J196" s="93" t="e">
        <f t="shared" si="13"/>
        <v>#NUM!</v>
      </c>
      <c r="K196" s="93" t="e">
        <f t="shared" si="14"/>
        <v>#NUM!</v>
      </c>
      <c r="L196" s="93"/>
      <c r="M196" s="92">
        <f t="shared" si="15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3">
        <v>192</v>
      </c>
      <c r="I197" s="94" t="str">
        <f t="shared" si="12"/>
        <v/>
      </c>
      <c r="J197" s="93" t="e">
        <f t="shared" si="13"/>
        <v>#NUM!</v>
      </c>
      <c r="K197" s="93" t="e">
        <f t="shared" si="14"/>
        <v>#NUM!</v>
      </c>
      <c r="L197" s="93"/>
      <c r="M197" s="92">
        <f t="shared" si="15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16">IF(H198&lt;$H$2+1,($I$2-($I$2-1)*(LOG(H198)/LOG($H$2))),"")</f>
        <v/>
      </c>
      <c r="J198" s="93" t="e">
        <f t="shared" ref="J198:J261" si="17">INT(LOG($H$2,2))-ROUNDUP(LOG(H198,2),0)+IF(OR($H$2=1,$H$2=2,$H$2=4,$H$2=8,$H$2=16,$H$2=32,$H$2=64,$H$2=128,$H$2=256),0,1)</f>
        <v>#NUM!</v>
      </c>
      <c r="K198" s="93" t="e">
        <f t="shared" ref="K198:K261" si="18">J198*$J$2</f>
        <v>#NUM!</v>
      </c>
      <c r="L198" s="93"/>
      <c r="M198" s="92">
        <f t="shared" ref="M198:M261" si="19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3">
        <v>194</v>
      </c>
      <c r="I199" s="94" t="str">
        <f t="shared" si="16"/>
        <v/>
      </c>
      <c r="J199" s="93" t="e">
        <f t="shared" si="17"/>
        <v>#NUM!</v>
      </c>
      <c r="K199" s="93" t="e">
        <f t="shared" si="18"/>
        <v>#NUM!</v>
      </c>
      <c r="L199" s="93"/>
      <c r="M199" s="92">
        <f t="shared" si="19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16"/>
        <v/>
      </c>
      <c r="J200" s="93" t="e">
        <f t="shared" si="17"/>
        <v>#NUM!</v>
      </c>
      <c r="K200" s="93" t="e">
        <f t="shared" si="18"/>
        <v>#NUM!</v>
      </c>
      <c r="L200" s="93"/>
      <c r="M200" s="92">
        <f t="shared" si="19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3">
        <v>196</v>
      </c>
      <c r="I201" s="94" t="str">
        <f t="shared" si="16"/>
        <v/>
      </c>
      <c r="J201" s="93" t="e">
        <f t="shared" si="17"/>
        <v>#NUM!</v>
      </c>
      <c r="K201" s="93" t="e">
        <f t="shared" si="18"/>
        <v>#NUM!</v>
      </c>
      <c r="L201" s="93"/>
      <c r="M201" s="92">
        <f t="shared" si="19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16"/>
        <v/>
      </c>
      <c r="J202" s="93" t="e">
        <f t="shared" si="17"/>
        <v>#NUM!</v>
      </c>
      <c r="K202" s="93" t="e">
        <f t="shared" si="18"/>
        <v>#NUM!</v>
      </c>
      <c r="L202" s="93"/>
      <c r="M202" s="92">
        <f t="shared" si="19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3">
        <v>198</v>
      </c>
      <c r="I203" s="94" t="str">
        <f t="shared" si="16"/>
        <v/>
      </c>
      <c r="J203" s="93" t="e">
        <f t="shared" si="17"/>
        <v>#NUM!</v>
      </c>
      <c r="K203" s="93" t="e">
        <f t="shared" si="18"/>
        <v>#NUM!</v>
      </c>
      <c r="L203" s="93"/>
      <c r="M203" s="92">
        <f t="shared" si="19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16"/>
        <v/>
      </c>
      <c r="J204" s="93" t="e">
        <f t="shared" si="17"/>
        <v>#NUM!</v>
      </c>
      <c r="K204" s="93" t="e">
        <f t="shared" si="18"/>
        <v>#NUM!</v>
      </c>
      <c r="L204" s="93"/>
      <c r="M204" s="92">
        <f t="shared" si="19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3">
        <v>200</v>
      </c>
      <c r="I205" s="94" t="str">
        <f t="shared" si="16"/>
        <v/>
      </c>
      <c r="J205" s="93" t="e">
        <f t="shared" si="17"/>
        <v>#NUM!</v>
      </c>
      <c r="K205" s="93" t="e">
        <f t="shared" si="18"/>
        <v>#NUM!</v>
      </c>
      <c r="L205" s="93"/>
      <c r="M205" s="92">
        <f t="shared" si="19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16"/>
        <v/>
      </c>
      <c r="J206" s="93" t="e">
        <f t="shared" si="17"/>
        <v>#NUM!</v>
      </c>
      <c r="K206" s="93" t="e">
        <f t="shared" si="18"/>
        <v>#NUM!</v>
      </c>
      <c r="L206" s="93"/>
      <c r="M206" s="92">
        <f t="shared" si="19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3">
        <v>202</v>
      </c>
      <c r="I207" s="94" t="str">
        <f t="shared" si="16"/>
        <v/>
      </c>
      <c r="J207" s="93" t="e">
        <f t="shared" si="17"/>
        <v>#NUM!</v>
      </c>
      <c r="K207" s="93" t="e">
        <f t="shared" si="18"/>
        <v>#NUM!</v>
      </c>
      <c r="L207" s="93"/>
      <c r="M207" s="92">
        <f t="shared" si="19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16"/>
        <v/>
      </c>
      <c r="J208" s="93" t="e">
        <f t="shared" si="17"/>
        <v>#NUM!</v>
      </c>
      <c r="K208" s="93" t="e">
        <f t="shared" si="18"/>
        <v>#NUM!</v>
      </c>
      <c r="L208" s="93"/>
      <c r="M208" s="92">
        <f t="shared" si="19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3">
        <v>204</v>
      </c>
      <c r="I209" s="94" t="str">
        <f t="shared" si="16"/>
        <v/>
      </c>
      <c r="J209" s="93" t="e">
        <f t="shared" si="17"/>
        <v>#NUM!</v>
      </c>
      <c r="K209" s="93" t="e">
        <f t="shared" si="18"/>
        <v>#NUM!</v>
      </c>
      <c r="L209" s="93"/>
      <c r="M209" s="92">
        <f t="shared" si="19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16"/>
        <v/>
      </c>
      <c r="J210" s="93" t="e">
        <f t="shared" si="17"/>
        <v>#NUM!</v>
      </c>
      <c r="K210" s="93" t="e">
        <f t="shared" si="18"/>
        <v>#NUM!</v>
      </c>
      <c r="L210" s="93"/>
      <c r="M210" s="92">
        <f t="shared" si="19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3">
        <v>206</v>
      </c>
      <c r="I211" s="94" t="str">
        <f t="shared" si="16"/>
        <v/>
      </c>
      <c r="J211" s="93" t="e">
        <f t="shared" si="17"/>
        <v>#NUM!</v>
      </c>
      <c r="K211" s="93" t="e">
        <f t="shared" si="18"/>
        <v>#NUM!</v>
      </c>
      <c r="L211" s="93"/>
      <c r="M211" s="92">
        <f t="shared" si="19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16"/>
        <v/>
      </c>
      <c r="J212" s="93" t="e">
        <f t="shared" si="17"/>
        <v>#NUM!</v>
      </c>
      <c r="K212" s="93" t="e">
        <f t="shared" si="18"/>
        <v>#NUM!</v>
      </c>
      <c r="L212" s="93"/>
      <c r="M212" s="92">
        <f t="shared" si="19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3">
        <v>208</v>
      </c>
      <c r="I213" s="94" t="str">
        <f t="shared" si="16"/>
        <v/>
      </c>
      <c r="J213" s="93" t="e">
        <f t="shared" si="17"/>
        <v>#NUM!</v>
      </c>
      <c r="K213" s="93" t="e">
        <f t="shared" si="18"/>
        <v>#NUM!</v>
      </c>
      <c r="L213" s="93"/>
      <c r="M213" s="92">
        <f t="shared" si="19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16"/>
        <v/>
      </c>
      <c r="J214" s="93" t="e">
        <f t="shared" si="17"/>
        <v>#NUM!</v>
      </c>
      <c r="K214" s="93" t="e">
        <f t="shared" si="18"/>
        <v>#NUM!</v>
      </c>
      <c r="L214" s="93"/>
      <c r="M214" s="92">
        <f t="shared" si="19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3">
        <v>210</v>
      </c>
      <c r="I215" s="94" t="str">
        <f t="shared" si="16"/>
        <v/>
      </c>
      <c r="J215" s="93" t="e">
        <f t="shared" si="17"/>
        <v>#NUM!</v>
      </c>
      <c r="K215" s="93" t="e">
        <f t="shared" si="18"/>
        <v>#NUM!</v>
      </c>
      <c r="L215" s="93"/>
      <c r="M215" s="92">
        <f t="shared" si="19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16"/>
        <v/>
      </c>
      <c r="J216" s="93" t="e">
        <f t="shared" si="17"/>
        <v>#NUM!</v>
      </c>
      <c r="K216" s="93" t="e">
        <f t="shared" si="18"/>
        <v>#NUM!</v>
      </c>
      <c r="L216" s="93"/>
      <c r="M216" s="92">
        <f t="shared" si="19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3">
        <v>212</v>
      </c>
      <c r="I217" s="94" t="str">
        <f t="shared" si="16"/>
        <v/>
      </c>
      <c r="J217" s="93" t="e">
        <f t="shared" si="17"/>
        <v>#NUM!</v>
      </c>
      <c r="K217" s="93" t="e">
        <f t="shared" si="18"/>
        <v>#NUM!</v>
      </c>
      <c r="L217" s="93"/>
      <c r="M217" s="92">
        <f t="shared" si="19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16"/>
        <v/>
      </c>
      <c r="J218" s="93" t="e">
        <f t="shared" si="17"/>
        <v>#NUM!</v>
      </c>
      <c r="K218" s="93" t="e">
        <f t="shared" si="18"/>
        <v>#NUM!</v>
      </c>
      <c r="L218" s="93"/>
      <c r="M218" s="92">
        <f t="shared" si="19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3">
        <v>214</v>
      </c>
      <c r="I219" s="94" t="str">
        <f t="shared" si="16"/>
        <v/>
      </c>
      <c r="J219" s="93" t="e">
        <f t="shared" si="17"/>
        <v>#NUM!</v>
      </c>
      <c r="K219" s="93" t="e">
        <f t="shared" si="18"/>
        <v>#NUM!</v>
      </c>
      <c r="L219" s="93"/>
      <c r="M219" s="92">
        <f t="shared" si="19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16"/>
        <v/>
      </c>
      <c r="J220" s="93" t="e">
        <f t="shared" si="17"/>
        <v>#NUM!</v>
      </c>
      <c r="K220" s="93" t="e">
        <f t="shared" si="18"/>
        <v>#NUM!</v>
      </c>
      <c r="L220" s="93"/>
      <c r="M220" s="92">
        <f t="shared" si="19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3">
        <v>216</v>
      </c>
      <c r="I221" s="94" t="str">
        <f t="shared" si="16"/>
        <v/>
      </c>
      <c r="J221" s="93" t="e">
        <f t="shared" si="17"/>
        <v>#NUM!</v>
      </c>
      <c r="K221" s="93" t="e">
        <f t="shared" si="18"/>
        <v>#NUM!</v>
      </c>
      <c r="L221" s="93"/>
      <c r="M221" s="92">
        <f t="shared" si="19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16"/>
        <v/>
      </c>
      <c r="J222" s="93" t="e">
        <f t="shared" si="17"/>
        <v>#NUM!</v>
      </c>
      <c r="K222" s="93" t="e">
        <f t="shared" si="18"/>
        <v>#NUM!</v>
      </c>
      <c r="L222" s="93"/>
      <c r="M222" s="92">
        <f t="shared" si="19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3">
        <v>218</v>
      </c>
      <c r="I223" s="94" t="str">
        <f t="shared" si="16"/>
        <v/>
      </c>
      <c r="J223" s="93" t="e">
        <f t="shared" si="17"/>
        <v>#NUM!</v>
      </c>
      <c r="K223" s="93" t="e">
        <f t="shared" si="18"/>
        <v>#NUM!</v>
      </c>
      <c r="L223" s="93"/>
      <c r="M223" s="92">
        <f t="shared" si="19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16"/>
        <v/>
      </c>
      <c r="J224" s="93" t="e">
        <f t="shared" si="17"/>
        <v>#NUM!</v>
      </c>
      <c r="K224" s="93" t="e">
        <f t="shared" si="18"/>
        <v>#NUM!</v>
      </c>
      <c r="L224" s="93"/>
      <c r="M224" s="92">
        <f t="shared" si="19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3">
        <v>220</v>
      </c>
      <c r="I225" s="94" t="str">
        <f t="shared" si="16"/>
        <v/>
      </c>
      <c r="J225" s="93" t="e">
        <f t="shared" si="17"/>
        <v>#NUM!</v>
      </c>
      <c r="K225" s="93" t="e">
        <f t="shared" si="18"/>
        <v>#NUM!</v>
      </c>
      <c r="L225" s="93"/>
      <c r="M225" s="92">
        <f t="shared" si="19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16"/>
        <v/>
      </c>
      <c r="J226" s="93" t="e">
        <f t="shared" si="17"/>
        <v>#NUM!</v>
      </c>
      <c r="K226" s="93" t="e">
        <f t="shared" si="18"/>
        <v>#NUM!</v>
      </c>
      <c r="L226" s="93"/>
      <c r="M226" s="92">
        <f t="shared" si="19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3">
        <v>222</v>
      </c>
      <c r="I227" s="94" t="str">
        <f t="shared" si="16"/>
        <v/>
      </c>
      <c r="J227" s="93" t="e">
        <f t="shared" si="17"/>
        <v>#NUM!</v>
      </c>
      <c r="K227" s="93" t="e">
        <f t="shared" si="18"/>
        <v>#NUM!</v>
      </c>
      <c r="L227" s="93"/>
      <c r="M227" s="92">
        <f t="shared" si="19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16"/>
        <v/>
      </c>
      <c r="J228" s="93" t="e">
        <f t="shared" si="17"/>
        <v>#NUM!</v>
      </c>
      <c r="K228" s="93" t="e">
        <f t="shared" si="18"/>
        <v>#NUM!</v>
      </c>
      <c r="L228" s="93"/>
      <c r="M228" s="92">
        <f t="shared" si="19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3">
        <v>224</v>
      </c>
      <c r="I229" s="94" t="str">
        <f t="shared" si="16"/>
        <v/>
      </c>
      <c r="J229" s="93" t="e">
        <f t="shared" si="17"/>
        <v>#NUM!</v>
      </c>
      <c r="K229" s="93" t="e">
        <f t="shared" si="18"/>
        <v>#NUM!</v>
      </c>
      <c r="L229" s="93"/>
      <c r="M229" s="92">
        <f t="shared" si="19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16"/>
        <v/>
      </c>
      <c r="J230" s="93" t="e">
        <f t="shared" si="17"/>
        <v>#NUM!</v>
      </c>
      <c r="K230" s="93" t="e">
        <f t="shared" si="18"/>
        <v>#NUM!</v>
      </c>
      <c r="L230" s="93"/>
      <c r="M230" s="92">
        <f t="shared" si="19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3">
        <v>226</v>
      </c>
      <c r="I231" s="94" t="str">
        <f t="shared" si="16"/>
        <v/>
      </c>
      <c r="J231" s="93" t="e">
        <f t="shared" si="17"/>
        <v>#NUM!</v>
      </c>
      <c r="K231" s="93" t="e">
        <f t="shared" si="18"/>
        <v>#NUM!</v>
      </c>
      <c r="L231" s="93"/>
      <c r="M231" s="92">
        <f t="shared" si="19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16"/>
        <v/>
      </c>
      <c r="J232" s="93" t="e">
        <f t="shared" si="17"/>
        <v>#NUM!</v>
      </c>
      <c r="K232" s="93" t="e">
        <f t="shared" si="18"/>
        <v>#NUM!</v>
      </c>
      <c r="L232" s="93"/>
      <c r="M232" s="92">
        <f t="shared" si="19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3">
        <v>228</v>
      </c>
      <c r="I233" s="94" t="str">
        <f t="shared" si="16"/>
        <v/>
      </c>
      <c r="J233" s="93" t="e">
        <f t="shared" si="17"/>
        <v>#NUM!</v>
      </c>
      <c r="K233" s="93" t="e">
        <f t="shared" si="18"/>
        <v>#NUM!</v>
      </c>
      <c r="L233" s="93"/>
      <c r="M233" s="92">
        <f t="shared" si="19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16"/>
        <v/>
      </c>
      <c r="J234" s="93" t="e">
        <f t="shared" si="17"/>
        <v>#NUM!</v>
      </c>
      <c r="K234" s="93" t="e">
        <f t="shared" si="18"/>
        <v>#NUM!</v>
      </c>
      <c r="L234" s="93"/>
      <c r="M234" s="92">
        <f t="shared" si="19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3">
        <v>230</v>
      </c>
      <c r="I235" s="94" t="str">
        <f t="shared" si="16"/>
        <v/>
      </c>
      <c r="J235" s="93" t="e">
        <f t="shared" si="17"/>
        <v>#NUM!</v>
      </c>
      <c r="K235" s="93" t="e">
        <f t="shared" si="18"/>
        <v>#NUM!</v>
      </c>
      <c r="L235" s="93"/>
      <c r="M235" s="92">
        <f t="shared" si="19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16"/>
        <v/>
      </c>
      <c r="J236" s="93" t="e">
        <f t="shared" si="17"/>
        <v>#NUM!</v>
      </c>
      <c r="K236" s="93" t="e">
        <f t="shared" si="18"/>
        <v>#NUM!</v>
      </c>
      <c r="L236" s="93"/>
      <c r="M236" s="92">
        <f t="shared" si="19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3">
        <v>232</v>
      </c>
      <c r="I237" s="94" t="str">
        <f t="shared" si="16"/>
        <v/>
      </c>
      <c r="J237" s="93" t="e">
        <f t="shared" si="17"/>
        <v>#NUM!</v>
      </c>
      <c r="K237" s="93" t="e">
        <f t="shared" si="18"/>
        <v>#NUM!</v>
      </c>
      <c r="L237" s="93"/>
      <c r="M237" s="92">
        <f t="shared" si="19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16"/>
        <v/>
      </c>
      <c r="J238" s="93" t="e">
        <f t="shared" si="17"/>
        <v>#NUM!</v>
      </c>
      <c r="K238" s="93" t="e">
        <f t="shared" si="18"/>
        <v>#NUM!</v>
      </c>
      <c r="L238" s="93"/>
      <c r="M238" s="92">
        <f t="shared" si="19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3">
        <v>234</v>
      </c>
      <c r="I239" s="94" t="str">
        <f t="shared" si="16"/>
        <v/>
      </c>
      <c r="J239" s="93" t="e">
        <f t="shared" si="17"/>
        <v>#NUM!</v>
      </c>
      <c r="K239" s="93" t="e">
        <f t="shared" si="18"/>
        <v>#NUM!</v>
      </c>
      <c r="L239" s="93"/>
      <c r="M239" s="92">
        <f t="shared" si="19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16"/>
        <v/>
      </c>
      <c r="J240" s="93" t="e">
        <f t="shared" si="17"/>
        <v>#NUM!</v>
      </c>
      <c r="K240" s="93" t="e">
        <f t="shared" si="18"/>
        <v>#NUM!</v>
      </c>
      <c r="L240" s="93"/>
      <c r="M240" s="92">
        <f t="shared" si="19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3">
        <v>236</v>
      </c>
      <c r="I241" s="94" t="str">
        <f t="shared" si="16"/>
        <v/>
      </c>
      <c r="J241" s="93" t="e">
        <f t="shared" si="17"/>
        <v>#NUM!</v>
      </c>
      <c r="K241" s="93" t="e">
        <f t="shared" si="18"/>
        <v>#NUM!</v>
      </c>
      <c r="L241" s="93"/>
      <c r="M241" s="92">
        <f t="shared" si="19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16"/>
        <v/>
      </c>
      <c r="J242" s="93" t="e">
        <f t="shared" si="17"/>
        <v>#NUM!</v>
      </c>
      <c r="K242" s="93" t="e">
        <f t="shared" si="18"/>
        <v>#NUM!</v>
      </c>
      <c r="L242" s="93"/>
      <c r="M242" s="92">
        <f t="shared" si="19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3">
        <v>238</v>
      </c>
      <c r="I243" s="94" t="str">
        <f t="shared" si="16"/>
        <v/>
      </c>
      <c r="J243" s="93" t="e">
        <f t="shared" si="17"/>
        <v>#NUM!</v>
      </c>
      <c r="K243" s="93" t="e">
        <f t="shared" si="18"/>
        <v>#NUM!</v>
      </c>
      <c r="L243" s="93"/>
      <c r="M243" s="92">
        <f t="shared" si="19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16"/>
        <v/>
      </c>
      <c r="J244" s="93" t="e">
        <f t="shared" si="17"/>
        <v>#NUM!</v>
      </c>
      <c r="K244" s="93" t="e">
        <f t="shared" si="18"/>
        <v>#NUM!</v>
      </c>
      <c r="L244" s="93"/>
      <c r="M244" s="92">
        <f t="shared" si="19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3">
        <v>240</v>
      </c>
      <c r="I245" s="94" t="str">
        <f t="shared" si="16"/>
        <v/>
      </c>
      <c r="J245" s="93" t="e">
        <f t="shared" si="17"/>
        <v>#NUM!</v>
      </c>
      <c r="K245" s="93" t="e">
        <f t="shared" si="18"/>
        <v>#NUM!</v>
      </c>
      <c r="L245" s="93"/>
      <c r="M245" s="92">
        <f t="shared" si="19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16"/>
        <v/>
      </c>
      <c r="J246" s="93" t="e">
        <f t="shared" si="17"/>
        <v>#NUM!</v>
      </c>
      <c r="K246" s="93" t="e">
        <f t="shared" si="18"/>
        <v>#NUM!</v>
      </c>
      <c r="L246" s="93"/>
      <c r="M246" s="92">
        <f t="shared" si="19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3">
        <v>242</v>
      </c>
      <c r="I247" s="94" t="str">
        <f t="shared" si="16"/>
        <v/>
      </c>
      <c r="J247" s="93" t="e">
        <f t="shared" si="17"/>
        <v>#NUM!</v>
      </c>
      <c r="K247" s="93" t="e">
        <f t="shared" si="18"/>
        <v>#NUM!</v>
      </c>
      <c r="L247" s="93"/>
      <c r="M247" s="92">
        <f t="shared" si="19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16"/>
        <v/>
      </c>
      <c r="J248" s="93" t="e">
        <f t="shared" si="17"/>
        <v>#NUM!</v>
      </c>
      <c r="K248" s="93" t="e">
        <f t="shared" si="18"/>
        <v>#NUM!</v>
      </c>
      <c r="L248" s="93"/>
      <c r="M248" s="92">
        <f t="shared" si="19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3">
        <v>244</v>
      </c>
      <c r="I249" s="94" t="str">
        <f t="shared" si="16"/>
        <v/>
      </c>
      <c r="J249" s="93" t="e">
        <f t="shared" si="17"/>
        <v>#NUM!</v>
      </c>
      <c r="K249" s="93" t="e">
        <f t="shared" si="18"/>
        <v>#NUM!</v>
      </c>
      <c r="L249" s="93"/>
      <c r="M249" s="92">
        <f t="shared" si="19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16"/>
        <v/>
      </c>
      <c r="J250" s="93" t="e">
        <f t="shared" si="17"/>
        <v>#NUM!</v>
      </c>
      <c r="K250" s="93" t="e">
        <f t="shared" si="18"/>
        <v>#NUM!</v>
      </c>
      <c r="L250" s="93"/>
      <c r="M250" s="92">
        <f t="shared" si="19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3">
        <v>246</v>
      </c>
      <c r="I251" s="94" t="str">
        <f t="shared" si="16"/>
        <v/>
      </c>
      <c r="J251" s="93" t="e">
        <f t="shared" si="17"/>
        <v>#NUM!</v>
      </c>
      <c r="K251" s="93" t="e">
        <f t="shared" si="18"/>
        <v>#NUM!</v>
      </c>
      <c r="L251" s="93"/>
      <c r="M251" s="92">
        <f t="shared" si="19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16"/>
        <v/>
      </c>
      <c r="J252" s="93" t="e">
        <f t="shared" si="17"/>
        <v>#NUM!</v>
      </c>
      <c r="K252" s="93" t="e">
        <f t="shared" si="18"/>
        <v>#NUM!</v>
      </c>
      <c r="L252" s="93"/>
      <c r="M252" s="92">
        <f t="shared" si="19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3">
        <v>248</v>
      </c>
      <c r="I253" s="94" t="str">
        <f t="shared" si="16"/>
        <v/>
      </c>
      <c r="J253" s="93" t="e">
        <f t="shared" si="17"/>
        <v>#NUM!</v>
      </c>
      <c r="K253" s="93" t="e">
        <f t="shared" si="18"/>
        <v>#NUM!</v>
      </c>
      <c r="L253" s="93"/>
      <c r="M253" s="92">
        <f t="shared" si="19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16"/>
        <v/>
      </c>
      <c r="J254" s="93" t="e">
        <f t="shared" si="17"/>
        <v>#NUM!</v>
      </c>
      <c r="K254" s="93" t="e">
        <f t="shared" si="18"/>
        <v>#NUM!</v>
      </c>
      <c r="L254" s="93"/>
      <c r="M254" s="92">
        <f t="shared" si="19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3">
        <v>250</v>
      </c>
      <c r="I255" s="94" t="str">
        <f t="shared" si="16"/>
        <v/>
      </c>
      <c r="J255" s="93" t="e">
        <f t="shared" si="17"/>
        <v>#NUM!</v>
      </c>
      <c r="K255" s="93" t="e">
        <f t="shared" si="18"/>
        <v>#NUM!</v>
      </c>
      <c r="L255" s="93"/>
      <c r="M255" s="92">
        <f t="shared" si="19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16"/>
        <v/>
      </c>
      <c r="J256" s="93" t="e">
        <f t="shared" si="17"/>
        <v>#NUM!</v>
      </c>
      <c r="K256" s="93" t="e">
        <f t="shared" si="18"/>
        <v>#NUM!</v>
      </c>
      <c r="L256" s="93"/>
      <c r="M256" s="92">
        <f t="shared" si="19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3">
        <v>252</v>
      </c>
      <c r="I257" s="94" t="str">
        <f t="shared" si="16"/>
        <v/>
      </c>
      <c r="J257" s="93" t="e">
        <f t="shared" si="17"/>
        <v>#NUM!</v>
      </c>
      <c r="K257" s="93" t="e">
        <f t="shared" si="18"/>
        <v>#NUM!</v>
      </c>
      <c r="L257" s="93"/>
      <c r="M257" s="92">
        <f t="shared" si="19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16"/>
        <v/>
      </c>
      <c r="J258" s="93" t="e">
        <f t="shared" si="17"/>
        <v>#NUM!</v>
      </c>
      <c r="K258" s="93" t="e">
        <f t="shared" si="18"/>
        <v>#NUM!</v>
      </c>
      <c r="L258" s="93"/>
      <c r="M258" s="92">
        <f t="shared" si="19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3">
        <v>254</v>
      </c>
      <c r="I259" s="94" t="str">
        <f t="shared" si="16"/>
        <v/>
      </c>
      <c r="J259" s="93" t="e">
        <f t="shared" si="17"/>
        <v>#NUM!</v>
      </c>
      <c r="K259" s="93" t="e">
        <f t="shared" si="18"/>
        <v>#NUM!</v>
      </c>
      <c r="L259" s="93"/>
      <c r="M259" s="92">
        <f t="shared" si="19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16"/>
        <v/>
      </c>
      <c r="J260" s="93" t="e">
        <f t="shared" si="17"/>
        <v>#NUM!</v>
      </c>
      <c r="K260" s="93" t="e">
        <f t="shared" si="18"/>
        <v>#NUM!</v>
      </c>
      <c r="L260" s="93"/>
      <c r="M260" s="92">
        <f t="shared" si="19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3">
        <v>256</v>
      </c>
      <c r="I261" s="94" t="str">
        <f t="shared" si="16"/>
        <v/>
      </c>
      <c r="J261" s="93" t="e">
        <f t="shared" si="17"/>
        <v>#NUM!</v>
      </c>
      <c r="K261" s="93" t="e">
        <f t="shared" si="18"/>
        <v>#NUM!</v>
      </c>
      <c r="L261" s="93"/>
      <c r="M261" s="92">
        <f t="shared" si="19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20">IF(H262&lt;$H$2+1,($I$2-($I$2-1)*(LOG(H262)/LOG($H$2))),"")</f>
        <v/>
      </c>
      <c r="J262" s="93" t="e">
        <f t="shared" ref="J262:J305" si="21">INT(LOG($H$2,2))-ROUNDUP(LOG(H262,2),0)+IF(OR($H$2=1,$H$2=2,$H$2=4,$H$2=8,$H$2=16,$H$2=32,$H$2=64,$H$2=128,$H$2=256),0,1)</f>
        <v>#NUM!</v>
      </c>
      <c r="K262" s="93" t="e">
        <f t="shared" ref="K262:K305" si="22">J262*$J$2</f>
        <v>#NUM!</v>
      </c>
      <c r="L262" s="93"/>
      <c r="M262" s="92">
        <f t="shared" ref="M262:M305" si="23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3">
        <v>258</v>
      </c>
      <c r="I263" s="94" t="str">
        <f t="shared" si="20"/>
        <v/>
      </c>
      <c r="J263" s="93" t="e">
        <f t="shared" si="21"/>
        <v>#NUM!</v>
      </c>
      <c r="K263" s="93" t="e">
        <f t="shared" si="22"/>
        <v>#NUM!</v>
      </c>
      <c r="L263" s="93"/>
      <c r="M263" s="92">
        <f t="shared" si="23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20"/>
        <v/>
      </c>
      <c r="J264" s="93" t="e">
        <f t="shared" si="21"/>
        <v>#NUM!</v>
      </c>
      <c r="K264" s="93" t="e">
        <f t="shared" si="22"/>
        <v>#NUM!</v>
      </c>
      <c r="L264" s="93"/>
      <c r="M264" s="92">
        <f t="shared" si="23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3">
        <v>260</v>
      </c>
      <c r="I265" s="94" t="str">
        <f t="shared" si="20"/>
        <v/>
      </c>
      <c r="J265" s="93" t="e">
        <f t="shared" si="21"/>
        <v>#NUM!</v>
      </c>
      <c r="K265" s="93" t="e">
        <f t="shared" si="22"/>
        <v>#NUM!</v>
      </c>
      <c r="L265" s="93"/>
      <c r="M265" s="92">
        <f t="shared" si="23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20"/>
        <v/>
      </c>
      <c r="J266" s="93" t="e">
        <f t="shared" si="21"/>
        <v>#NUM!</v>
      </c>
      <c r="K266" s="93" t="e">
        <f t="shared" si="22"/>
        <v>#NUM!</v>
      </c>
      <c r="L266" s="93"/>
      <c r="M266" s="92">
        <f t="shared" si="23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3">
        <v>262</v>
      </c>
      <c r="I267" s="94" t="str">
        <f t="shared" si="20"/>
        <v/>
      </c>
      <c r="J267" s="93" t="e">
        <f t="shared" si="21"/>
        <v>#NUM!</v>
      </c>
      <c r="K267" s="93" t="e">
        <f t="shared" si="22"/>
        <v>#NUM!</v>
      </c>
      <c r="L267" s="93"/>
      <c r="M267" s="92">
        <f t="shared" si="23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20"/>
        <v/>
      </c>
      <c r="J268" s="93" t="e">
        <f t="shared" si="21"/>
        <v>#NUM!</v>
      </c>
      <c r="K268" s="93" t="e">
        <f t="shared" si="22"/>
        <v>#NUM!</v>
      </c>
      <c r="L268" s="93"/>
      <c r="M268" s="92">
        <f t="shared" si="23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3">
        <v>264</v>
      </c>
      <c r="I269" s="94" t="str">
        <f t="shared" si="20"/>
        <v/>
      </c>
      <c r="J269" s="93" t="e">
        <f t="shared" si="21"/>
        <v>#NUM!</v>
      </c>
      <c r="K269" s="93" t="e">
        <f t="shared" si="22"/>
        <v>#NUM!</v>
      </c>
      <c r="L269" s="93"/>
      <c r="M269" s="92">
        <f t="shared" si="23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20"/>
        <v/>
      </c>
      <c r="J270" s="93" t="e">
        <f t="shared" si="21"/>
        <v>#NUM!</v>
      </c>
      <c r="K270" s="93" t="e">
        <f t="shared" si="22"/>
        <v>#NUM!</v>
      </c>
      <c r="L270" s="93"/>
      <c r="M270" s="92">
        <f t="shared" si="23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3">
        <v>266</v>
      </c>
      <c r="I271" s="94" t="str">
        <f t="shared" si="20"/>
        <v/>
      </c>
      <c r="J271" s="93" t="e">
        <f t="shared" si="21"/>
        <v>#NUM!</v>
      </c>
      <c r="K271" s="93" t="e">
        <f t="shared" si="22"/>
        <v>#NUM!</v>
      </c>
      <c r="L271" s="93"/>
      <c r="M271" s="92">
        <f t="shared" si="23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20"/>
        <v/>
      </c>
      <c r="J272" s="93" t="e">
        <f t="shared" si="21"/>
        <v>#NUM!</v>
      </c>
      <c r="K272" s="93" t="e">
        <f t="shared" si="22"/>
        <v>#NUM!</v>
      </c>
      <c r="L272" s="93"/>
      <c r="M272" s="92">
        <f t="shared" si="23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3">
        <v>268</v>
      </c>
      <c r="I273" s="94" t="str">
        <f t="shared" si="20"/>
        <v/>
      </c>
      <c r="J273" s="93" t="e">
        <f t="shared" si="21"/>
        <v>#NUM!</v>
      </c>
      <c r="K273" s="93" t="e">
        <f t="shared" si="22"/>
        <v>#NUM!</v>
      </c>
      <c r="L273" s="93"/>
      <c r="M273" s="92">
        <f t="shared" si="23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20"/>
        <v/>
      </c>
      <c r="J274" s="93" t="e">
        <f t="shared" si="21"/>
        <v>#NUM!</v>
      </c>
      <c r="K274" s="93" t="e">
        <f t="shared" si="22"/>
        <v>#NUM!</v>
      </c>
      <c r="L274" s="93"/>
      <c r="M274" s="92">
        <f t="shared" si="23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3">
        <v>270</v>
      </c>
      <c r="I275" s="94" t="str">
        <f t="shared" si="20"/>
        <v/>
      </c>
      <c r="J275" s="93" t="e">
        <f t="shared" si="21"/>
        <v>#NUM!</v>
      </c>
      <c r="K275" s="93" t="e">
        <f t="shared" si="22"/>
        <v>#NUM!</v>
      </c>
      <c r="L275" s="93"/>
      <c r="M275" s="92">
        <f t="shared" si="23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20"/>
        <v/>
      </c>
      <c r="J276" s="93" t="e">
        <f t="shared" si="21"/>
        <v>#NUM!</v>
      </c>
      <c r="K276" s="93" t="e">
        <f t="shared" si="22"/>
        <v>#NUM!</v>
      </c>
      <c r="L276" s="93"/>
      <c r="M276" s="92">
        <f t="shared" si="23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3">
        <v>272</v>
      </c>
      <c r="I277" s="94" t="str">
        <f t="shared" si="20"/>
        <v/>
      </c>
      <c r="J277" s="93" t="e">
        <f t="shared" si="21"/>
        <v>#NUM!</v>
      </c>
      <c r="K277" s="93" t="e">
        <f t="shared" si="22"/>
        <v>#NUM!</v>
      </c>
      <c r="L277" s="93"/>
      <c r="M277" s="92">
        <f t="shared" si="23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20"/>
        <v/>
      </c>
      <c r="J278" s="93" t="e">
        <f t="shared" si="21"/>
        <v>#NUM!</v>
      </c>
      <c r="K278" s="93" t="e">
        <f t="shared" si="22"/>
        <v>#NUM!</v>
      </c>
      <c r="L278" s="93"/>
      <c r="M278" s="92">
        <f t="shared" si="23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3">
        <v>274</v>
      </c>
      <c r="I279" s="94" t="str">
        <f t="shared" si="20"/>
        <v/>
      </c>
      <c r="J279" s="93" t="e">
        <f t="shared" si="21"/>
        <v>#NUM!</v>
      </c>
      <c r="K279" s="93" t="e">
        <f t="shared" si="22"/>
        <v>#NUM!</v>
      </c>
      <c r="L279" s="93"/>
      <c r="M279" s="92">
        <f t="shared" si="23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20"/>
        <v/>
      </c>
      <c r="J280" s="93" t="e">
        <f t="shared" si="21"/>
        <v>#NUM!</v>
      </c>
      <c r="K280" s="93" t="e">
        <f t="shared" si="22"/>
        <v>#NUM!</v>
      </c>
      <c r="L280" s="93"/>
      <c r="M280" s="92">
        <f t="shared" si="23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3">
        <v>276</v>
      </c>
      <c r="I281" s="94" t="str">
        <f t="shared" si="20"/>
        <v/>
      </c>
      <c r="J281" s="93" t="e">
        <f t="shared" si="21"/>
        <v>#NUM!</v>
      </c>
      <c r="K281" s="93" t="e">
        <f t="shared" si="22"/>
        <v>#NUM!</v>
      </c>
      <c r="L281" s="93"/>
      <c r="M281" s="92">
        <f t="shared" si="23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20"/>
        <v/>
      </c>
      <c r="J282" s="93" t="e">
        <f t="shared" si="21"/>
        <v>#NUM!</v>
      </c>
      <c r="K282" s="93" t="e">
        <f t="shared" si="22"/>
        <v>#NUM!</v>
      </c>
      <c r="L282" s="93"/>
      <c r="M282" s="92">
        <f t="shared" si="23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3">
        <v>278</v>
      </c>
      <c r="I283" s="94" t="str">
        <f t="shared" si="20"/>
        <v/>
      </c>
      <c r="J283" s="93" t="e">
        <f t="shared" si="21"/>
        <v>#NUM!</v>
      </c>
      <c r="K283" s="93" t="e">
        <f t="shared" si="22"/>
        <v>#NUM!</v>
      </c>
      <c r="L283" s="93"/>
      <c r="M283" s="92">
        <f t="shared" si="23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20"/>
        <v/>
      </c>
      <c r="J284" s="93" t="e">
        <f t="shared" si="21"/>
        <v>#NUM!</v>
      </c>
      <c r="K284" s="93" t="e">
        <f t="shared" si="22"/>
        <v>#NUM!</v>
      </c>
      <c r="L284" s="93"/>
      <c r="M284" s="92">
        <f t="shared" si="23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3">
        <v>280</v>
      </c>
      <c r="I285" s="94" t="str">
        <f t="shared" si="20"/>
        <v/>
      </c>
      <c r="J285" s="93" t="e">
        <f t="shared" si="21"/>
        <v>#NUM!</v>
      </c>
      <c r="K285" s="93" t="e">
        <f t="shared" si="22"/>
        <v>#NUM!</v>
      </c>
      <c r="L285" s="93"/>
      <c r="M285" s="92">
        <f t="shared" si="23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20"/>
        <v/>
      </c>
      <c r="J286" s="93" t="e">
        <f t="shared" si="21"/>
        <v>#NUM!</v>
      </c>
      <c r="K286" s="93" t="e">
        <f t="shared" si="22"/>
        <v>#NUM!</v>
      </c>
      <c r="L286" s="93"/>
      <c r="M286" s="92">
        <f t="shared" si="23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3">
        <v>282</v>
      </c>
      <c r="I287" s="94" t="str">
        <f t="shared" si="20"/>
        <v/>
      </c>
      <c r="J287" s="93" t="e">
        <f t="shared" si="21"/>
        <v>#NUM!</v>
      </c>
      <c r="K287" s="93" t="e">
        <f t="shared" si="22"/>
        <v>#NUM!</v>
      </c>
      <c r="L287" s="93"/>
      <c r="M287" s="92">
        <f t="shared" si="23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20"/>
        <v/>
      </c>
      <c r="J288" s="93" t="e">
        <f t="shared" si="21"/>
        <v>#NUM!</v>
      </c>
      <c r="K288" s="93" t="e">
        <f t="shared" si="22"/>
        <v>#NUM!</v>
      </c>
      <c r="L288" s="93"/>
      <c r="M288" s="92">
        <f t="shared" si="23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3">
        <v>284</v>
      </c>
      <c r="I289" s="94" t="str">
        <f t="shared" si="20"/>
        <v/>
      </c>
      <c r="J289" s="93" t="e">
        <f t="shared" si="21"/>
        <v>#NUM!</v>
      </c>
      <c r="K289" s="93" t="e">
        <f t="shared" si="22"/>
        <v>#NUM!</v>
      </c>
      <c r="L289" s="93"/>
      <c r="M289" s="92">
        <f t="shared" si="23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20"/>
        <v/>
      </c>
      <c r="J290" s="93" t="e">
        <f t="shared" si="21"/>
        <v>#NUM!</v>
      </c>
      <c r="K290" s="93" t="e">
        <f t="shared" si="22"/>
        <v>#NUM!</v>
      </c>
      <c r="L290" s="93"/>
      <c r="M290" s="92">
        <f t="shared" si="23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3">
        <v>286</v>
      </c>
      <c r="I291" s="94" t="str">
        <f t="shared" si="20"/>
        <v/>
      </c>
      <c r="J291" s="93" t="e">
        <f t="shared" si="21"/>
        <v>#NUM!</v>
      </c>
      <c r="K291" s="93" t="e">
        <f t="shared" si="22"/>
        <v>#NUM!</v>
      </c>
      <c r="L291" s="93"/>
      <c r="M291" s="92">
        <f t="shared" si="23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20"/>
        <v/>
      </c>
      <c r="J292" s="93" t="e">
        <f t="shared" si="21"/>
        <v>#NUM!</v>
      </c>
      <c r="K292" s="93" t="e">
        <f t="shared" si="22"/>
        <v>#NUM!</v>
      </c>
      <c r="L292" s="93"/>
      <c r="M292" s="92">
        <f t="shared" si="23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20"/>
        <v/>
      </c>
      <c r="J293" s="93" t="e">
        <f t="shared" si="21"/>
        <v>#NUM!</v>
      </c>
      <c r="K293" s="93" t="e">
        <f t="shared" si="22"/>
        <v>#NUM!</v>
      </c>
      <c r="L293" s="93"/>
      <c r="M293" s="92">
        <f t="shared" si="23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20"/>
        <v/>
      </c>
      <c r="J294" s="93" t="e">
        <f t="shared" si="21"/>
        <v>#NUM!</v>
      </c>
      <c r="K294" s="93" t="e">
        <f t="shared" si="22"/>
        <v>#NUM!</v>
      </c>
      <c r="L294" s="93"/>
      <c r="M294" s="92">
        <f t="shared" si="23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20"/>
        <v/>
      </c>
      <c r="J295" s="93" t="e">
        <f t="shared" si="21"/>
        <v>#NUM!</v>
      </c>
      <c r="K295" s="93" t="e">
        <f t="shared" si="22"/>
        <v>#NUM!</v>
      </c>
      <c r="L295" s="93"/>
      <c r="M295" s="92">
        <f t="shared" si="23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20"/>
        <v/>
      </c>
      <c r="J296" s="93" t="e">
        <f t="shared" si="21"/>
        <v>#NUM!</v>
      </c>
      <c r="K296" s="93" t="e">
        <f t="shared" si="22"/>
        <v>#NUM!</v>
      </c>
      <c r="L296" s="93"/>
      <c r="M296" s="92">
        <f t="shared" si="23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20"/>
        <v/>
      </c>
      <c r="J297" s="93" t="e">
        <f t="shared" si="21"/>
        <v>#NUM!</v>
      </c>
      <c r="K297" s="93" t="e">
        <f t="shared" si="22"/>
        <v>#NUM!</v>
      </c>
      <c r="L297" s="93"/>
      <c r="M297" s="92">
        <f t="shared" si="23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20"/>
        <v/>
      </c>
      <c r="J298" s="93" t="e">
        <f t="shared" si="21"/>
        <v>#NUM!</v>
      </c>
      <c r="K298" s="93" t="e">
        <f t="shared" si="22"/>
        <v>#NUM!</v>
      </c>
      <c r="L298" s="93"/>
      <c r="M298" s="92">
        <f t="shared" si="23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20"/>
        <v/>
      </c>
      <c r="J299" s="93" t="e">
        <f t="shared" si="21"/>
        <v>#NUM!</v>
      </c>
      <c r="K299" s="93" t="e">
        <f t="shared" si="22"/>
        <v>#NUM!</v>
      </c>
      <c r="L299" s="93"/>
      <c r="M299" s="92">
        <f t="shared" si="23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20"/>
        <v/>
      </c>
      <c r="J300" s="93" t="e">
        <f t="shared" si="21"/>
        <v>#NUM!</v>
      </c>
      <c r="K300" s="93" t="e">
        <f t="shared" si="22"/>
        <v>#NUM!</v>
      </c>
      <c r="L300" s="93"/>
      <c r="M300" s="92">
        <f t="shared" si="23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20"/>
        <v/>
      </c>
      <c r="J301" s="93" t="e">
        <f t="shared" si="21"/>
        <v>#NUM!</v>
      </c>
      <c r="K301" s="93" t="e">
        <f t="shared" si="22"/>
        <v>#NUM!</v>
      </c>
      <c r="L301" s="93"/>
      <c r="M301" s="92">
        <f t="shared" si="23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20"/>
        <v/>
      </c>
      <c r="J302" s="93" t="e">
        <f t="shared" si="21"/>
        <v>#NUM!</v>
      </c>
      <c r="K302" s="93" t="e">
        <f t="shared" si="22"/>
        <v>#NUM!</v>
      </c>
      <c r="L302" s="93"/>
      <c r="M302" s="92">
        <f t="shared" si="23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20"/>
        <v/>
      </c>
      <c r="J303" s="93" t="e">
        <f t="shared" si="21"/>
        <v>#NUM!</v>
      </c>
      <c r="K303" s="93" t="e">
        <f t="shared" si="22"/>
        <v>#NUM!</v>
      </c>
      <c r="L303" s="93"/>
      <c r="M303" s="92">
        <f t="shared" si="23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20"/>
        <v/>
      </c>
      <c r="J304" s="93" t="e">
        <f t="shared" si="21"/>
        <v>#NUM!</v>
      </c>
      <c r="K304" s="93" t="e">
        <f t="shared" si="22"/>
        <v>#NUM!</v>
      </c>
      <c r="L304" s="93"/>
      <c r="M304" s="92">
        <f t="shared" si="23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20"/>
        <v/>
      </c>
      <c r="J305" s="93" t="e">
        <f t="shared" si="21"/>
        <v>#NUM!</v>
      </c>
      <c r="K305" s="93" t="e">
        <f t="shared" si="22"/>
        <v>#NUM!</v>
      </c>
      <c r="L305" s="93"/>
      <c r="M305" s="92">
        <f t="shared" si="23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/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/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/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/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/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486E6E0A-1595-490A-9AF8-DFC66E274A90}">
      <formula1>#REF!</formula1>
    </dataValidation>
  </dataValidations>
  <hyperlinks>
    <hyperlink ref="C2" r:id="rId1" display="https://engarde-service.com/?fbclid=IwAR1q8b20973WNdhLRYbl3vdP-rPK0cilvuHZi37KFNf-Dodoicffb3YOQeM" xr:uid="{C0316556-7AB2-4BB0-8B4C-6E3E40DFFE38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4B59-C8E5-4969-99A7-498E19A78D70}">
  <sheetPr>
    <tabColor rgb="FF92D050"/>
  </sheetPr>
  <dimension ref="A1:AL317"/>
  <sheetViews>
    <sheetView workbookViewId="0">
      <selection activeCell="J26" sqref="J26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" style="88" customWidth="1"/>
    <col min="11" max="11" width="8.75" style="88" customWidth="1"/>
    <col min="12" max="12" width="11" style="88" customWidth="1"/>
    <col min="13" max="13" width="11.7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x14ac:dyDescent="0.25">
      <c r="A2" s="86"/>
      <c r="B2" s="22" t="s">
        <v>26</v>
      </c>
      <c r="C2" s="288" t="s">
        <v>112</v>
      </c>
      <c r="D2" s="288"/>
      <c r="E2" s="23"/>
      <c r="F2" s="23"/>
      <c r="G2" s="23"/>
      <c r="H2" s="121">
        <v>0</v>
      </c>
      <c r="I2" s="120">
        <v>50</v>
      </c>
      <c r="J2" s="120">
        <v>10</v>
      </c>
      <c r="K2" s="126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ht="14.45" customHeight="1" x14ac:dyDescent="0.25">
      <c r="A3" s="86"/>
      <c r="B3" s="118" t="s">
        <v>28</v>
      </c>
      <c r="C3" s="267" t="s">
        <v>113</v>
      </c>
      <c r="D3" s="267"/>
      <c r="E3" s="28"/>
      <c r="F3" s="28"/>
      <c r="G3" s="28"/>
      <c r="H3" s="116"/>
      <c r="I3" s="116"/>
      <c r="J3" s="116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6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4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93">
        <v>1</v>
      </c>
      <c r="I6" s="94" t="str">
        <f t="shared" ref="I6:I69" si="1">IF(H6&lt;$H$2+1,($I$2-($I$2-1)*(LOG(H6)/LOG($H$2))),"")</f>
        <v/>
      </c>
      <c r="J6" s="94" t="e">
        <f t="shared" ref="J6:J69" si="2">INT(LOG($H$2,2))-ROUNDUP(LOG(H6,2),0)+IF(OR($H$2=1,$H$2=2,$H$2=4,$H$2=8,$H$2=16,$H$2=32,$H$2=64,$H$2=128,$H$2=256),0,1)</f>
        <v>#NUM!</v>
      </c>
      <c r="K6" s="93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98">
        <v>2</v>
      </c>
      <c r="I7" s="99" t="str">
        <f t="shared" si="1"/>
        <v/>
      </c>
      <c r="J7" s="99" t="e">
        <f t="shared" si="2"/>
        <v>#NUM!</v>
      </c>
      <c r="K7" s="98" t="e">
        <f t="shared" si="3"/>
        <v>#NUM!</v>
      </c>
      <c r="L7" s="97">
        <f>2*K2</f>
        <v>0</v>
      </c>
      <c r="M7" s="97">
        <f t="shared" si="4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93">
        <v>3</v>
      </c>
      <c r="I8" s="94" t="str">
        <f t="shared" si="1"/>
        <v/>
      </c>
      <c r="J8" s="94" t="e">
        <f t="shared" si="2"/>
        <v>#NUM!</v>
      </c>
      <c r="K8" s="93" t="e">
        <f t="shared" si="3"/>
        <v>#NUM!</v>
      </c>
      <c r="L8" s="92">
        <f>K2</f>
        <v>0</v>
      </c>
      <c r="M8" s="92">
        <f t="shared" si="4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 t="e">
        <f t="shared" si="2"/>
        <v>#NUM!</v>
      </c>
      <c r="K9" s="98" t="e">
        <f t="shared" si="3"/>
        <v>#NUM!</v>
      </c>
      <c r="L9" s="97">
        <f>K2</f>
        <v>0</v>
      </c>
      <c r="M9" s="97">
        <f t="shared" si="4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5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4" t="e">
        <f t="shared" si="2"/>
        <v>#NUM!</v>
      </c>
      <c r="K10" s="93" t="e">
        <f t="shared" si="3"/>
        <v>#NUM!</v>
      </c>
      <c r="L10" s="93"/>
      <c r="M10" s="92">
        <f t="shared" si="4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9" t="e">
        <f t="shared" si="2"/>
        <v>#NUM!</v>
      </c>
      <c r="K11" s="98" t="e">
        <f t="shared" si="3"/>
        <v>#NUM!</v>
      </c>
      <c r="L11" s="98"/>
      <c r="M11" s="97">
        <f t="shared" si="4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4" t="e">
        <f t="shared" si="2"/>
        <v>#NUM!</v>
      </c>
      <c r="K12" s="93" t="e">
        <f t="shared" si="3"/>
        <v>#NUM!</v>
      </c>
      <c r="L12" s="93"/>
      <c r="M12" s="92">
        <f t="shared" si="4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9" t="e">
        <f t="shared" si="2"/>
        <v>#NUM!</v>
      </c>
      <c r="K13" s="98" t="e">
        <f t="shared" si="3"/>
        <v>#NUM!</v>
      </c>
      <c r="L13" s="98"/>
      <c r="M13" s="97">
        <f t="shared" si="4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4" t="e">
        <f t="shared" si="2"/>
        <v>#NUM!</v>
      </c>
      <c r="K14" s="93" t="e">
        <f t="shared" si="3"/>
        <v>#NUM!</v>
      </c>
      <c r="L14" s="93"/>
      <c r="M14" s="92">
        <f t="shared" si="4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9" t="e">
        <f t="shared" si="2"/>
        <v>#NUM!</v>
      </c>
      <c r="K15" s="98" t="e">
        <f t="shared" si="3"/>
        <v>#NUM!</v>
      </c>
      <c r="L15" s="98"/>
      <c r="M15" s="97">
        <f t="shared" si="4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4" t="e">
        <f t="shared" si="2"/>
        <v>#NUM!</v>
      </c>
      <c r="K16" s="93" t="e">
        <f t="shared" si="3"/>
        <v>#NUM!</v>
      </c>
      <c r="L16" s="93"/>
      <c r="M16" s="92">
        <f t="shared" si="4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9" t="e">
        <f t="shared" si="2"/>
        <v>#NUM!</v>
      </c>
      <c r="K17" s="98" t="e">
        <f t="shared" si="3"/>
        <v>#NUM!</v>
      </c>
      <c r="L17" s="98"/>
      <c r="M17" s="97">
        <f t="shared" si="4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93">
        <v>13</v>
      </c>
      <c r="I18" s="94" t="str">
        <f t="shared" si="1"/>
        <v/>
      </c>
      <c r="J18" s="94" t="e">
        <f t="shared" si="2"/>
        <v>#NUM!</v>
      </c>
      <c r="K18" s="93" t="e">
        <f t="shared" si="3"/>
        <v>#NUM!</v>
      </c>
      <c r="L18" s="93"/>
      <c r="M18" s="92">
        <f t="shared" si="4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9" t="e">
        <f t="shared" si="2"/>
        <v>#NUM!</v>
      </c>
      <c r="K19" s="98" t="e">
        <f t="shared" si="3"/>
        <v>#NUM!</v>
      </c>
      <c r="L19" s="98"/>
      <c r="M19" s="97">
        <f t="shared" si="4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4" t="e">
        <f t="shared" si="2"/>
        <v>#NUM!</v>
      </c>
      <c r="K20" s="93" t="e">
        <f t="shared" si="3"/>
        <v>#NUM!</v>
      </c>
      <c r="L20" s="93"/>
      <c r="M20" s="92">
        <f t="shared" si="4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9" t="e">
        <f t="shared" si="2"/>
        <v>#NUM!</v>
      </c>
      <c r="K21" s="98" t="e">
        <f t="shared" si="3"/>
        <v>#NUM!</v>
      </c>
      <c r="L21" s="98"/>
      <c r="M21" s="97">
        <f t="shared" si="4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4" t="e">
        <f t="shared" si="2"/>
        <v>#NUM!</v>
      </c>
      <c r="K22" s="93" t="e">
        <f t="shared" si="3"/>
        <v>#NUM!</v>
      </c>
      <c r="L22" s="93"/>
      <c r="M22" s="92">
        <f t="shared" si="4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9" t="e">
        <f t="shared" si="2"/>
        <v>#NUM!</v>
      </c>
      <c r="K23" s="98" t="e">
        <f t="shared" si="3"/>
        <v>#NUM!</v>
      </c>
      <c r="L23" s="98"/>
      <c r="M23" s="97">
        <f t="shared" si="4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4" t="e">
        <f t="shared" si="2"/>
        <v>#NUM!</v>
      </c>
      <c r="K24" s="93" t="e">
        <f t="shared" si="3"/>
        <v>#NUM!</v>
      </c>
      <c r="L24" s="93"/>
      <c r="M24" s="92">
        <f t="shared" si="4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9" t="e">
        <f t="shared" si="2"/>
        <v>#NUM!</v>
      </c>
      <c r="K25" s="98" t="e">
        <f t="shared" si="3"/>
        <v>#NUM!</v>
      </c>
      <c r="L25" s="98"/>
      <c r="M25" s="97">
        <f t="shared" si="4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4" t="e">
        <f t="shared" si="2"/>
        <v>#NUM!</v>
      </c>
      <c r="K26" s="93" t="e">
        <f t="shared" si="3"/>
        <v>#NUM!</v>
      </c>
      <c r="L26" s="93"/>
      <c r="M26" s="92">
        <f t="shared" si="4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9" t="e">
        <f t="shared" si="2"/>
        <v>#NUM!</v>
      </c>
      <c r="K27" s="98" t="e">
        <f t="shared" si="3"/>
        <v>#NUM!</v>
      </c>
      <c r="L27" s="98"/>
      <c r="M27" s="97">
        <f t="shared" si="4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4" t="e">
        <f t="shared" si="2"/>
        <v>#NUM!</v>
      </c>
      <c r="K28" s="93" t="e">
        <f t="shared" si="3"/>
        <v>#NUM!</v>
      </c>
      <c r="L28" s="93"/>
      <c r="M28" s="92">
        <f t="shared" si="4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5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9" t="e">
        <f t="shared" si="2"/>
        <v>#NUM!</v>
      </c>
      <c r="K29" s="98" t="e">
        <f t="shared" si="3"/>
        <v>#NUM!</v>
      </c>
      <c r="L29" s="98"/>
      <c r="M29" s="97">
        <f t="shared" si="4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5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4" t="e">
        <f t="shared" si="2"/>
        <v>#NUM!</v>
      </c>
      <c r="K30" s="93" t="e">
        <f t="shared" si="3"/>
        <v>#NUM!</v>
      </c>
      <c r="L30" s="93"/>
      <c r="M30" s="92">
        <f t="shared" si="4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5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9" t="e">
        <f t="shared" si="2"/>
        <v>#NUM!</v>
      </c>
      <c r="K31" s="98" t="e">
        <f t="shared" si="3"/>
        <v>#NUM!</v>
      </c>
      <c r="L31" s="98"/>
      <c r="M31" s="97">
        <f t="shared" si="4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5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4" t="e">
        <f t="shared" si="2"/>
        <v>#NUM!</v>
      </c>
      <c r="K32" s="93" t="e">
        <f t="shared" si="3"/>
        <v>#NUM!</v>
      </c>
      <c r="L32" s="93"/>
      <c r="M32" s="92">
        <f t="shared" si="4"/>
        <v>0</v>
      </c>
      <c r="N32" s="86"/>
      <c r="O32" s="86"/>
      <c r="P32" s="86"/>
      <c r="Q32" s="86"/>
      <c r="R32" s="106"/>
      <c r="S32" s="105"/>
    </row>
    <row r="33" spans="1:21" s="85" customFormat="1" x14ac:dyDescent="0.25">
      <c r="A33" s="102">
        <f t="shared" si="0"/>
        <v>0</v>
      </c>
      <c r="B33" s="42" t="str">
        <f t="shared" si="5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9" t="e">
        <f t="shared" si="2"/>
        <v>#NUM!</v>
      </c>
      <c r="K33" s="98" t="e">
        <f t="shared" si="3"/>
        <v>#NUM!</v>
      </c>
      <c r="L33" s="98"/>
      <c r="M33" s="97">
        <f t="shared" si="4"/>
        <v>0</v>
      </c>
      <c r="N33" s="86"/>
      <c r="O33" s="86"/>
      <c r="P33" s="86"/>
      <c r="Q33" s="86"/>
      <c r="R33" s="86"/>
    </row>
    <row r="34" spans="1:21" s="85" customFormat="1" x14ac:dyDescent="0.25">
      <c r="A34" s="103">
        <f t="shared" si="0"/>
        <v>0</v>
      </c>
      <c r="B34" s="36" t="str">
        <f t="shared" si="5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4" t="e">
        <f t="shared" si="2"/>
        <v>#NUM!</v>
      </c>
      <c r="K34" s="93" t="e">
        <f t="shared" si="3"/>
        <v>#NUM!</v>
      </c>
      <c r="L34" s="93"/>
      <c r="M34" s="92">
        <f t="shared" si="4"/>
        <v>0</v>
      </c>
      <c r="N34" s="86"/>
      <c r="O34" s="86"/>
      <c r="P34" s="86"/>
      <c r="Q34" s="86"/>
      <c r="R34" s="86"/>
    </row>
    <row r="35" spans="1:21" s="85" customFormat="1" x14ac:dyDescent="0.25">
      <c r="A35" s="102">
        <f t="shared" si="0"/>
        <v>0</v>
      </c>
      <c r="B35" s="42" t="str">
        <f t="shared" si="5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9" t="e">
        <f t="shared" si="2"/>
        <v>#NUM!</v>
      </c>
      <c r="K35" s="98" t="e">
        <f t="shared" si="3"/>
        <v>#NUM!</v>
      </c>
      <c r="L35" s="98"/>
      <c r="M35" s="97">
        <f t="shared" si="4"/>
        <v>0</v>
      </c>
      <c r="N35" s="86"/>
      <c r="O35" s="86"/>
      <c r="P35" s="86"/>
      <c r="Q35" s="86"/>
      <c r="R35" s="86"/>
    </row>
    <row r="36" spans="1:21" s="85" customFormat="1" x14ac:dyDescent="0.25">
      <c r="A36" s="103">
        <f t="shared" si="0"/>
        <v>0</v>
      </c>
      <c r="B36" s="36" t="str">
        <f t="shared" si="5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4" t="e">
        <f t="shared" si="2"/>
        <v>#NUM!</v>
      </c>
      <c r="K36" s="93" t="e">
        <f t="shared" si="3"/>
        <v>#NUM!</v>
      </c>
      <c r="L36" s="93"/>
      <c r="M36" s="92">
        <f t="shared" si="4"/>
        <v>0</v>
      </c>
      <c r="N36" s="86"/>
      <c r="O36" s="86"/>
      <c r="P36" s="86"/>
      <c r="Q36" s="86"/>
      <c r="R36" s="106"/>
      <c r="S36" s="105"/>
    </row>
    <row r="37" spans="1:21" s="85" customFormat="1" x14ac:dyDescent="0.25">
      <c r="A37" s="102">
        <f t="shared" si="0"/>
        <v>0</v>
      </c>
      <c r="B37" s="42" t="str">
        <f t="shared" si="5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9" t="e">
        <f t="shared" si="2"/>
        <v>#NUM!</v>
      </c>
      <c r="K37" s="98" t="e">
        <f t="shared" si="3"/>
        <v>#NUM!</v>
      </c>
      <c r="L37" s="98"/>
      <c r="M37" s="97">
        <f t="shared" si="4"/>
        <v>0</v>
      </c>
      <c r="N37" s="86"/>
      <c r="O37" s="86"/>
      <c r="P37" s="86"/>
      <c r="Q37" s="86"/>
      <c r="R37" s="86"/>
    </row>
    <row r="38" spans="1:21" s="85" customFormat="1" x14ac:dyDescent="0.25">
      <c r="A38" s="103"/>
      <c r="B38" s="36" t="str">
        <f t="shared" si="5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4" t="e">
        <f t="shared" si="2"/>
        <v>#NUM!</v>
      </c>
      <c r="K38" s="93" t="e">
        <f t="shared" si="3"/>
        <v>#NUM!</v>
      </c>
      <c r="L38" s="93"/>
      <c r="M38" s="92">
        <f t="shared" si="4"/>
        <v>0</v>
      </c>
      <c r="N38" s="86"/>
      <c r="O38" s="86"/>
      <c r="P38" s="86"/>
      <c r="Q38" s="86"/>
      <c r="R38" s="86"/>
    </row>
    <row r="39" spans="1:21" s="85" customFormat="1" x14ac:dyDescent="0.25">
      <c r="A39" s="102"/>
      <c r="B39" s="42" t="str">
        <f t="shared" si="5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9" t="e">
        <f t="shared" si="2"/>
        <v>#NUM!</v>
      </c>
      <c r="K39" s="98" t="e">
        <f t="shared" si="3"/>
        <v>#NUM!</v>
      </c>
      <c r="L39" s="98"/>
      <c r="M39" s="97">
        <f t="shared" si="4"/>
        <v>0</v>
      </c>
      <c r="N39" s="86"/>
      <c r="O39" s="86"/>
      <c r="P39" s="86"/>
      <c r="Q39" s="86"/>
      <c r="R39" s="86"/>
    </row>
    <row r="40" spans="1:21" s="85" customFormat="1" x14ac:dyDescent="0.25">
      <c r="A40" s="103"/>
      <c r="B40" s="36" t="str">
        <f t="shared" si="5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4" t="e">
        <f t="shared" si="2"/>
        <v>#NUM!</v>
      </c>
      <c r="K40" s="93" t="e">
        <f t="shared" si="3"/>
        <v>#NUM!</v>
      </c>
      <c r="L40" s="93"/>
      <c r="M40" s="92">
        <f t="shared" si="4"/>
        <v>0</v>
      </c>
      <c r="N40" s="86"/>
      <c r="O40" s="86"/>
      <c r="P40" s="86"/>
      <c r="Q40" s="86"/>
      <c r="R40" s="86"/>
    </row>
    <row r="41" spans="1:21" s="85" customFormat="1" x14ac:dyDescent="0.25">
      <c r="A41" s="102"/>
      <c r="B41" s="42" t="str">
        <f t="shared" si="5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9" t="e">
        <f t="shared" si="2"/>
        <v>#NUM!</v>
      </c>
      <c r="K41" s="98" t="e">
        <f t="shared" si="3"/>
        <v>#NUM!</v>
      </c>
      <c r="L41" s="98"/>
      <c r="M41" s="97">
        <f t="shared" si="4"/>
        <v>0</v>
      </c>
      <c r="N41" s="86"/>
      <c r="O41" s="86"/>
      <c r="P41" s="86"/>
      <c r="Q41" s="86"/>
      <c r="R41" s="86"/>
      <c r="S41" s="104"/>
    </row>
    <row r="42" spans="1:21" s="85" customFormat="1" x14ac:dyDescent="0.25">
      <c r="A42" s="103"/>
      <c r="B42" s="36" t="str">
        <f t="shared" ref="B42:B65" si="6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4" t="e">
        <f t="shared" si="2"/>
        <v>#NUM!</v>
      </c>
      <c r="K42" s="93" t="e">
        <f t="shared" si="3"/>
        <v>#NUM!</v>
      </c>
      <c r="L42" s="93"/>
      <c r="M42" s="92">
        <f t="shared" si="4"/>
        <v>0</v>
      </c>
      <c r="N42" s="86"/>
      <c r="O42" s="86"/>
      <c r="P42" s="86"/>
      <c r="Q42" s="86"/>
      <c r="R42" s="86"/>
    </row>
    <row r="43" spans="1:21" s="85" customFormat="1" x14ac:dyDescent="0.25">
      <c r="A43" s="102"/>
      <c r="B43" s="42" t="str">
        <f t="shared" si="6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9" t="e">
        <f t="shared" si="2"/>
        <v>#NUM!</v>
      </c>
      <c r="K43" s="98" t="e">
        <f t="shared" si="3"/>
        <v>#NUM!</v>
      </c>
      <c r="L43" s="98"/>
      <c r="M43" s="97">
        <f t="shared" si="4"/>
        <v>0</v>
      </c>
      <c r="N43" s="86"/>
      <c r="O43" s="86"/>
      <c r="P43" s="86"/>
      <c r="Q43" s="86"/>
      <c r="R43" s="86"/>
    </row>
    <row r="44" spans="1:21" s="85" customFormat="1" x14ac:dyDescent="0.25">
      <c r="A44" s="103"/>
      <c r="B44" s="36" t="str">
        <f t="shared" si="6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4" t="e">
        <f t="shared" si="2"/>
        <v>#NUM!</v>
      </c>
      <c r="K44" s="93" t="e">
        <f t="shared" si="3"/>
        <v>#NUM!</v>
      </c>
      <c r="L44" s="93"/>
      <c r="M44" s="92">
        <f t="shared" si="4"/>
        <v>0</v>
      </c>
      <c r="N44" s="86"/>
      <c r="O44" s="86"/>
      <c r="P44" s="86"/>
      <c r="Q44" s="86"/>
      <c r="R44" s="86"/>
    </row>
    <row r="45" spans="1:21" s="85" customFormat="1" x14ac:dyDescent="0.25">
      <c r="A45" s="102"/>
      <c r="B45" s="42" t="str">
        <f t="shared" si="6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9" t="e">
        <f t="shared" si="2"/>
        <v>#NUM!</v>
      </c>
      <c r="K45" s="98" t="e">
        <f t="shared" si="3"/>
        <v>#NUM!</v>
      </c>
      <c r="L45" s="98"/>
      <c r="M45" s="97">
        <f t="shared" si="4"/>
        <v>0</v>
      </c>
      <c r="N45" s="86"/>
      <c r="O45" s="86"/>
      <c r="P45" s="86"/>
      <c r="Q45" s="86"/>
      <c r="R45" s="86"/>
    </row>
    <row r="46" spans="1:21" s="85" customFormat="1" x14ac:dyDescent="0.25">
      <c r="A46" s="103"/>
      <c r="B46" s="36" t="str">
        <f t="shared" si="6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4" t="e">
        <f t="shared" si="2"/>
        <v>#NUM!</v>
      </c>
      <c r="K46" s="93" t="e">
        <f t="shared" si="3"/>
        <v>#NUM!</v>
      </c>
      <c r="L46" s="93"/>
      <c r="M46" s="92">
        <f t="shared" si="4"/>
        <v>0</v>
      </c>
      <c r="N46" s="86"/>
      <c r="O46" s="86"/>
      <c r="P46" s="86"/>
      <c r="Q46" s="86"/>
      <c r="R46" s="86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102"/>
      <c r="B47" s="42" t="str">
        <f t="shared" si="6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9" t="e">
        <f t="shared" si="2"/>
        <v>#NUM!</v>
      </c>
      <c r="K47" s="98" t="e">
        <f t="shared" si="3"/>
        <v>#NUM!</v>
      </c>
      <c r="L47" s="98"/>
      <c r="M47" s="97">
        <f t="shared" si="4"/>
        <v>0</v>
      </c>
      <c r="N47" s="86"/>
      <c r="O47" s="86"/>
      <c r="P47" s="86"/>
      <c r="Q47" s="86"/>
      <c r="R47" s="86"/>
    </row>
    <row r="48" spans="1:21" s="85" customFormat="1" x14ac:dyDescent="0.25">
      <c r="A48" s="103"/>
      <c r="B48" s="36" t="str">
        <f t="shared" si="6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4" t="e">
        <f t="shared" si="2"/>
        <v>#NUM!</v>
      </c>
      <c r="K48" s="93" t="e">
        <f t="shared" si="3"/>
        <v>#NUM!</v>
      </c>
      <c r="L48" s="93"/>
      <c r="M48" s="92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2"/>
      <c r="B49" s="42" t="str">
        <f t="shared" si="6"/>
        <v/>
      </c>
      <c r="C49" s="43"/>
      <c r="D49" s="43"/>
      <c r="E49" s="43"/>
      <c r="F49" s="43"/>
      <c r="H49" s="98">
        <v>44</v>
      </c>
      <c r="I49" s="99" t="str">
        <f t="shared" si="1"/>
        <v/>
      </c>
      <c r="J49" s="99" t="e">
        <f t="shared" si="2"/>
        <v>#NUM!</v>
      </c>
      <c r="K49" s="98" t="e">
        <f t="shared" si="3"/>
        <v>#NUM!</v>
      </c>
      <c r="L49" s="98"/>
      <c r="M49" s="97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6" customFormat="1" x14ac:dyDescent="0.25">
      <c r="A50" s="103"/>
      <c r="B50" s="36" t="str">
        <f t="shared" si="6"/>
        <v/>
      </c>
      <c r="C50" s="37"/>
      <c r="D50" s="37"/>
      <c r="E50" s="37"/>
      <c r="F50" s="37"/>
      <c r="H50" s="93">
        <v>45</v>
      </c>
      <c r="I50" s="94" t="str">
        <f t="shared" si="1"/>
        <v/>
      </c>
      <c r="J50" s="94" t="e">
        <f t="shared" si="2"/>
        <v>#NUM!</v>
      </c>
      <c r="K50" s="93" t="e">
        <f t="shared" si="3"/>
        <v>#NUM!</v>
      </c>
      <c r="L50" s="93"/>
      <c r="M50" s="92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6" customFormat="1" x14ac:dyDescent="0.25">
      <c r="A51" s="102"/>
      <c r="B51" s="42" t="str">
        <f t="shared" si="6"/>
        <v/>
      </c>
      <c r="C51" s="43"/>
      <c r="D51" s="43"/>
      <c r="E51" s="43"/>
      <c r="F51" s="43"/>
      <c r="H51" s="98">
        <v>46</v>
      </c>
      <c r="I51" s="99" t="str">
        <f t="shared" si="1"/>
        <v/>
      </c>
      <c r="J51" s="99" t="e">
        <f t="shared" si="2"/>
        <v>#NUM!</v>
      </c>
      <c r="K51" s="98" t="e">
        <f t="shared" si="3"/>
        <v>#NUM!</v>
      </c>
      <c r="L51" s="98"/>
      <c r="M51" s="97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6" customFormat="1" x14ac:dyDescent="0.25">
      <c r="A52" s="103"/>
      <c r="B52" s="36" t="str">
        <f t="shared" si="6"/>
        <v/>
      </c>
      <c r="C52" s="37"/>
      <c r="D52" s="37"/>
      <c r="E52" s="37"/>
      <c r="F52" s="37"/>
      <c r="H52" s="93">
        <v>47</v>
      </c>
      <c r="I52" s="94" t="str">
        <f t="shared" si="1"/>
        <v/>
      </c>
      <c r="J52" s="94" t="e">
        <f t="shared" si="2"/>
        <v>#NUM!</v>
      </c>
      <c r="K52" s="93" t="e">
        <f t="shared" si="3"/>
        <v>#NUM!</v>
      </c>
      <c r="L52" s="93"/>
      <c r="M52" s="92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6" customFormat="1" x14ac:dyDescent="0.25">
      <c r="A53" s="102"/>
      <c r="B53" s="42" t="str">
        <f t="shared" si="6"/>
        <v/>
      </c>
      <c r="C53" s="43"/>
      <c r="D53" s="43"/>
      <c r="E53" s="43"/>
      <c r="F53" s="43"/>
      <c r="H53" s="98">
        <v>48</v>
      </c>
      <c r="I53" s="99" t="str">
        <f t="shared" si="1"/>
        <v/>
      </c>
      <c r="J53" s="99" t="e">
        <f t="shared" si="2"/>
        <v>#NUM!</v>
      </c>
      <c r="K53" s="98" t="e">
        <f t="shared" si="3"/>
        <v>#NUM!</v>
      </c>
      <c r="L53" s="98"/>
      <c r="M53" s="97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6" customFormat="1" x14ac:dyDescent="0.25">
      <c r="A54" s="103"/>
      <c r="B54" s="36" t="str">
        <f t="shared" si="6"/>
        <v/>
      </c>
      <c r="C54" s="37"/>
      <c r="D54" s="37"/>
      <c r="E54" s="37"/>
      <c r="F54" s="37"/>
      <c r="H54" s="93">
        <v>49</v>
      </c>
      <c r="I54" s="94" t="str">
        <f t="shared" si="1"/>
        <v/>
      </c>
      <c r="J54" s="94" t="e">
        <f t="shared" si="2"/>
        <v>#NUM!</v>
      </c>
      <c r="K54" s="93" t="e">
        <f t="shared" si="3"/>
        <v>#NUM!</v>
      </c>
      <c r="L54" s="93"/>
      <c r="M54" s="92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6" customFormat="1" x14ac:dyDescent="0.25">
      <c r="A55" s="102"/>
      <c r="B55" s="42" t="str">
        <f t="shared" si="6"/>
        <v/>
      </c>
      <c r="C55" s="43"/>
      <c r="D55" s="43"/>
      <c r="E55" s="43"/>
      <c r="F55" s="43"/>
      <c r="H55" s="98">
        <v>50</v>
      </c>
      <c r="I55" s="99" t="str">
        <f t="shared" si="1"/>
        <v/>
      </c>
      <c r="J55" s="99" t="e">
        <f t="shared" si="2"/>
        <v>#NUM!</v>
      </c>
      <c r="K55" s="98" t="e">
        <f t="shared" si="3"/>
        <v>#NUM!</v>
      </c>
      <c r="L55" s="98"/>
      <c r="M55" s="97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6" customFormat="1" x14ac:dyDescent="0.25">
      <c r="A56" s="103"/>
      <c r="B56" s="36" t="str">
        <f t="shared" si="6"/>
        <v/>
      </c>
      <c r="C56" s="37"/>
      <c r="D56" s="37"/>
      <c r="E56" s="37"/>
      <c r="F56" s="37"/>
      <c r="H56" s="93">
        <v>51</v>
      </c>
      <c r="I56" s="94" t="str">
        <f t="shared" si="1"/>
        <v/>
      </c>
      <c r="J56" s="94" t="e">
        <f t="shared" si="2"/>
        <v>#NUM!</v>
      </c>
      <c r="K56" s="93" t="e">
        <f t="shared" si="3"/>
        <v>#NUM!</v>
      </c>
      <c r="L56" s="93"/>
      <c r="M56" s="92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6" customFormat="1" x14ac:dyDescent="0.25">
      <c r="A57" s="102"/>
      <c r="B57" s="42" t="str">
        <f t="shared" si="6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9" t="e">
        <f t="shared" si="2"/>
        <v>#NUM!</v>
      </c>
      <c r="K57" s="98" t="e">
        <f t="shared" si="3"/>
        <v>#NUM!</v>
      </c>
      <c r="L57" s="98"/>
      <c r="M57" s="97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3"/>
      <c r="B58" s="36" t="str">
        <f t="shared" si="6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4" t="e">
        <f t="shared" si="2"/>
        <v>#NUM!</v>
      </c>
      <c r="K58" s="93" t="e">
        <f t="shared" si="3"/>
        <v>#NUM!</v>
      </c>
      <c r="L58" s="93"/>
      <c r="M58" s="92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2"/>
      <c r="B59" s="42" t="str">
        <f t="shared" si="6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9" t="e">
        <f t="shared" si="2"/>
        <v>#NUM!</v>
      </c>
      <c r="K59" s="98" t="e">
        <f t="shared" si="3"/>
        <v>#NUM!</v>
      </c>
      <c r="L59" s="98"/>
      <c r="M59" s="97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3"/>
      <c r="B60" s="36" t="str">
        <f t="shared" si="6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4" t="e">
        <f t="shared" si="2"/>
        <v>#NUM!</v>
      </c>
      <c r="K60" s="93" t="e">
        <f t="shared" si="3"/>
        <v>#NUM!</v>
      </c>
      <c r="L60" s="93"/>
      <c r="M60" s="92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2"/>
      <c r="B61" s="42" t="str">
        <f t="shared" si="6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9" t="e">
        <f t="shared" si="2"/>
        <v>#NUM!</v>
      </c>
      <c r="K61" s="98" t="e">
        <f t="shared" si="3"/>
        <v>#NUM!</v>
      </c>
      <c r="L61" s="98"/>
      <c r="M61" s="97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3"/>
      <c r="B62" s="36" t="str">
        <f t="shared" si="6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4" t="e">
        <f t="shared" si="2"/>
        <v>#NUM!</v>
      </c>
      <c r="K62" s="93" t="e">
        <f t="shared" si="3"/>
        <v>#NUM!</v>
      </c>
      <c r="L62" s="93"/>
      <c r="M62" s="92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2"/>
      <c r="B63" s="42" t="str">
        <f t="shared" si="6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9" t="e">
        <f t="shared" si="2"/>
        <v>#NUM!</v>
      </c>
      <c r="K63" s="98" t="e">
        <f t="shared" si="3"/>
        <v>#NUM!</v>
      </c>
      <c r="L63" s="98"/>
      <c r="M63" s="97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3"/>
      <c r="B64" s="36" t="str">
        <f t="shared" si="6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4" t="e">
        <f t="shared" si="2"/>
        <v>#NUM!</v>
      </c>
      <c r="K64" s="93" t="e">
        <f t="shared" si="3"/>
        <v>#NUM!</v>
      </c>
      <c r="L64" s="93"/>
      <c r="M64" s="92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2"/>
      <c r="B65" s="42" t="str">
        <f t="shared" si="6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9" t="e">
        <f t="shared" si="2"/>
        <v>#NUM!</v>
      </c>
      <c r="K65" s="98" t="e">
        <f t="shared" si="3"/>
        <v>#NUM!</v>
      </c>
      <c r="L65" s="98"/>
      <c r="M65" s="97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95"/>
      <c r="B66" s="36"/>
      <c r="C66" s="84"/>
      <c r="D66" s="84"/>
      <c r="E66" s="84"/>
      <c r="F66" s="84"/>
      <c r="H66" s="93">
        <v>61</v>
      </c>
      <c r="I66" s="94" t="str">
        <f t="shared" si="1"/>
        <v/>
      </c>
      <c r="J66" s="94" t="e">
        <f t="shared" si="2"/>
        <v>#NUM!</v>
      </c>
      <c r="K66" s="93" t="e">
        <f t="shared" si="3"/>
        <v>#NUM!</v>
      </c>
      <c r="L66" s="93"/>
      <c r="M66" s="92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95"/>
      <c r="B67" s="42"/>
      <c r="C67" s="84"/>
      <c r="D67" s="84"/>
      <c r="E67" s="84"/>
      <c r="F67" s="84"/>
      <c r="H67" s="93">
        <v>62</v>
      </c>
      <c r="I67" s="94" t="str">
        <f t="shared" si="1"/>
        <v/>
      </c>
      <c r="J67" s="94" t="e">
        <f t="shared" si="2"/>
        <v>#NUM!</v>
      </c>
      <c r="K67" s="93" t="e">
        <f t="shared" si="3"/>
        <v>#NUM!</v>
      </c>
      <c r="L67" s="93"/>
      <c r="M67" s="92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95"/>
      <c r="B68" s="36"/>
      <c r="C68" s="84"/>
      <c r="D68" s="84"/>
      <c r="E68" s="84"/>
      <c r="F68" s="84"/>
      <c r="H68" s="93">
        <v>63</v>
      </c>
      <c r="I68" s="94" t="str">
        <f t="shared" si="1"/>
        <v/>
      </c>
      <c r="J68" s="94" t="e">
        <f t="shared" si="2"/>
        <v>#NUM!</v>
      </c>
      <c r="K68" s="93" t="e">
        <f t="shared" si="3"/>
        <v>#NUM!</v>
      </c>
      <c r="L68" s="93"/>
      <c r="M68" s="92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95"/>
      <c r="B69" s="42"/>
      <c r="C69" s="84"/>
      <c r="D69" s="84"/>
      <c r="E69" s="84"/>
      <c r="F69" s="84"/>
      <c r="H69" s="93">
        <v>64</v>
      </c>
      <c r="I69" s="94" t="str">
        <f t="shared" si="1"/>
        <v/>
      </c>
      <c r="J69" s="94" t="e">
        <f t="shared" si="2"/>
        <v>#NUM!</v>
      </c>
      <c r="K69" s="93" t="e">
        <f t="shared" si="3"/>
        <v>#NUM!</v>
      </c>
      <c r="L69" s="93"/>
      <c r="M69" s="92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95"/>
      <c r="B70" s="84"/>
      <c r="C70" s="84"/>
      <c r="D70" s="84"/>
      <c r="E70" s="84"/>
      <c r="F70" s="84"/>
      <c r="H70" s="93">
        <v>65</v>
      </c>
      <c r="I70" s="94" t="str">
        <f t="shared" ref="I70:I133" si="7">IF(H70&lt;$H$2+1,($I$2-($I$2-1)*(LOG(H70)/LOG($H$2))),"")</f>
        <v/>
      </c>
      <c r="J70" s="94" t="e">
        <f t="shared" ref="J70:J133" si="8">INT(LOG($H$2,2))-ROUNDUP(LOG(H70,2),0)+IF(OR($H$2=1,$H$2=2,$H$2=4,$H$2=8,$H$2=16,$H$2=32,$H$2=64,$H$2=128,$H$2=256),0,1)</f>
        <v>#NUM!</v>
      </c>
      <c r="K70" s="93" t="e">
        <f t="shared" ref="K70:K133" si="9">J70*$J$2</f>
        <v>#NUM!</v>
      </c>
      <c r="L70" s="93"/>
      <c r="M70" s="92">
        <f t="shared" ref="M70:M133" si="10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95"/>
      <c r="B71" s="84"/>
      <c r="C71" s="84"/>
      <c r="D71" s="84"/>
      <c r="E71" s="84"/>
      <c r="F71" s="84"/>
      <c r="H71" s="93">
        <v>66</v>
      </c>
      <c r="I71" s="94" t="str">
        <f t="shared" si="7"/>
        <v/>
      </c>
      <c r="J71" s="94" t="e">
        <f t="shared" si="8"/>
        <v>#NUM!</v>
      </c>
      <c r="K71" s="93" t="e">
        <f t="shared" si="9"/>
        <v>#NUM!</v>
      </c>
      <c r="L71" s="93"/>
      <c r="M71" s="92">
        <f t="shared" si="10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95"/>
      <c r="B72" s="84"/>
      <c r="C72" s="84"/>
      <c r="D72" s="84"/>
      <c r="E72" s="84"/>
      <c r="F72" s="84"/>
      <c r="H72" s="93">
        <v>67</v>
      </c>
      <c r="I72" s="94" t="str">
        <f t="shared" si="7"/>
        <v/>
      </c>
      <c r="J72" s="94" t="e">
        <f t="shared" si="8"/>
        <v>#NUM!</v>
      </c>
      <c r="K72" s="93" t="e">
        <f t="shared" si="9"/>
        <v>#NUM!</v>
      </c>
      <c r="L72" s="93"/>
      <c r="M72" s="92">
        <f t="shared" si="10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95"/>
      <c r="B73" s="84"/>
      <c r="C73" s="84"/>
      <c r="D73" s="84"/>
      <c r="E73" s="84"/>
      <c r="F73" s="84"/>
      <c r="H73" s="93">
        <v>68</v>
      </c>
      <c r="I73" s="94" t="str">
        <f t="shared" si="7"/>
        <v/>
      </c>
      <c r="J73" s="94" t="e">
        <f t="shared" si="8"/>
        <v>#NUM!</v>
      </c>
      <c r="K73" s="93" t="e">
        <f t="shared" si="9"/>
        <v>#NUM!</v>
      </c>
      <c r="L73" s="93"/>
      <c r="M73" s="92">
        <f t="shared" si="10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95"/>
      <c r="B74" s="84"/>
      <c r="C74" s="84"/>
      <c r="D74" s="84"/>
      <c r="E74" s="84"/>
      <c r="F74" s="84"/>
      <c r="H74" s="93">
        <v>69</v>
      </c>
      <c r="I74" s="94" t="str">
        <f t="shared" si="7"/>
        <v/>
      </c>
      <c r="J74" s="94" t="e">
        <f t="shared" si="8"/>
        <v>#NUM!</v>
      </c>
      <c r="K74" s="93" t="e">
        <f t="shared" si="9"/>
        <v>#NUM!</v>
      </c>
      <c r="L74" s="93"/>
      <c r="M74" s="92">
        <f t="shared" si="10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95"/>
      <c r="B75" s="84"/>
      <c r="C75" s="84"/>
      <c r="D75" s="84"/>
      <c r="E75" s="84"/>
      <c r="F75" s="84"/>
      <c r="H75" s="93">
        <v>70</v>
      </c>
      <c r="I75" s="94" t="str">
        <f t="shared" si="7"/>
        <v/>
      </c>
      <c r="J75" s="94" t="e">
        <f t="shared" si="8"/>
        <v>#NUM!</v>
      </c>
      <c r="K75" s="93" t="e">
        <f t="shared" si="9"/>
        <v>#NUM!</v>
      </c>
      <c r="L75" s="93"/>
      <c r="M75" s="92">
        <f t="shared" si="10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95"/>
      <c r="B76" s="84"/>
      <c r="C76" s="84"/>
      <c r="D76" s="84"/>
      <c r="E76" s="84"/>
      <c r="F76" s="84"/>
      <c r="H76" s="93">
        <v>71</v>
      </c>
      <c r="I76" s="94" t="str">
        <f t="shared" si="7"/>
        <v/>
      </c>
      <c r="J76" s="94" t="e">
        <f t="shared" si="8"/>
        <v>#NUM!</v>
      </c>
      <c r="K76" s="93" t="e">
        <f t="shared" si="9"/>
        <v>#NUM!</v>
      </c>
      <c r="L76" s="93"/>
      <c r="M76" s="92">
        <f t="shared" si="10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95"/>
      <c r="B77" s="84"/>
      <c r="C77" s="84"/>
      <c r="D77" s="84"/>
      <c r="E77" s="84"/>
      <c r="F77" s="84"/>
      <c r="H77" s="93">
        <v>72</v>
      </c>
      <c r="I77" s="94" t="str">
        <f t="shared" si="7"/>
        <v/>
      </c>
      <c r="J77" s="94" t="e">
        <f t="shared" si="8"/>
        <v>#NUM!</v>
      </c>
      <c r="K77" s="93" t="e">
        <f t="shared" si="9"/>
        <v>#NUM!</v>
      </c>
      <c r="L77" s="93"/>
      <c r="M77" s="92">
        <f t="shared" si="10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95"/>
      <c r="B78" s="84"/>
      <c r="C78" s="84"/>
      <c r="D78" s="84"/>
      <c r="E78" s="84"/>
      <c r="F78" s="84"/>
      <c r="H78" s="93">
        <v>73</v>
      </c>
      <c r="I78" s="94" t="str">
        <f t="shared" si="7"/>
        <v/>
      </c>
      <c r="J78" s="94" t="e">
        <f t="shared" si="8"/>
        <v>#NUM!</v>
      </c>
      <c r="K78" s="93" t="e">
        <f t="shared" si="9"/>
        <v>#NUM!</v>
      </c>
      <c r="L78" s="93"/>
      <c r="M78" s="92">
        <f t="shared" si="10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95"/>
      <c r="B79" s="84"/>
      <c r="C79" s="84"/>
      <c r="D79" s="84"/>
      <c r="E79" s="84"/>
      <c r="F79" s="84"/>
      <c r="H79" s="93">
        <v>74</v>
      </c>
      <c r="I79" s="94" t="str">
        <f t="shared" si="7"/>
        <v/>
      </c>
      <c r="J79" s="94" t="e">
        <f t="shared" si="8"/>
        <v>#NUM!</v>
      </c>
      <c r="K79" s="93" t="e">
        <f t="shared" si="9"/>
        <v>#NUM!</v>
      </c>
      <c r="L79" s="93"/>
      <c r="M79" s="92">
        <f t="shared" si="10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95"/>
      <c r="B80" s="84"/>
      <c r="C80" s="84"/>
      <c r="D80" s="84"/>
      <c r="E80" s="84"/>
      <c r="F80" s="84"/>
      <c r="H80" s="93">
        <v>75</v>
      </c>
      <c r="I80" s="94" t="str">
        <f t="shared" si="7"/>
        <v/>
      </c>
      <c r="J80" s="94" t="e">
        <f t="shared" si="8"/>
        <v>#NUM!</v>
      </c>
      <c r="K80" s="93" t="e">
        <f t="shared" si="9"/>
        <v>#NUM!</v>
      </c>
      <c r="L80" s="93"/>
      <c r="M80" s="92">
        <f t="shared" si="10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95"/>
      <c r="B81" s="84"/>
      <c r="C81" s="84"/>
      <c r="D81" s="84"/>
      <c r="E81" s="84"/>
      <c r="F81" s="84"/>
      <c r="H81" s="93">
        <v>76</v>
      </c>
      <c r="I81" s="94" t="str">
        <f t="shared" si="7"/>
        <v/>
      </c>
      <c r="J81" s="94" t="e">
        <f t="shared" si="8"/>
        <v>#NUM!</v>
      </c>
      <c r="K81" s="93" t="e">
        <f t="shared" si="9"/>
        <v>#NUM!</v>
      </c>
      <c r="L81" s="93"/>
      <c r="M81" s="92">
        <f t="shared" si="10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95"/>
      <c r="B82" s="84"/>
      <c r="C82" s="84"/>
      <c r="D82" s="84"/>
      <c r="E82" s="84"/>
      <c r="F82" s="84"/>
      <c r="H82" s="93">
        <v>77</v>
      </c>
      <c r="I82" s="94" t="str">
        <f t="shared" si="7"/>
        <v/>
      </c>
      <c r="J82" s="94" t="e">
        <f t="shared" si="8"/>
        <v>#NUM!</v>
      </c>
      <c r="K82" s="93" t="e">
        <f t="shared" si="9"/>
        <v>#NUM!</v>
      </c>
      <c r="L82" s="93"/>
      <c r="M82" s="92">
        <f t="shared" si="10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95"/>
      <c r="B83" s="84"/>
      <c r="C83" s="84"/>
      <c r="D83" s="84"/>
      <c r="E83" s="84"/>
      <c r="F83" s="84"/>
      <c r="H83" s="93">
        <v>78</v>
      </c>
      <c r="I83" s="94" t="str">
        <f t="shared" si="7"/>
        <v/>
      </c>
      <c r="J83" s="94" t="e">
        <f t="shared" si="8"/>
        <v>#NUM!</v>
      </c>
      <c r="K83" s="93" t="e">
        <f t="shared" si="9"/>
        <v>#NUM!</v>
      </c>
      <c r="L83" s="93"/>
      <c r="M83" s="92">
        <f t="shared" si="10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95"/>
      <c r="B84" s="84"/>
      <c r="C84" s="84"/>
      <c r="D84" s="84"/>
      <c r="E84" s="84"/>
      <c r="F84" s="84"/>
      <c r="H84" s="93">
        <v>79</v>
      </c>
      <c r="I84" s="94" t="str">
        <f t="shared" si="7"/>
        <v/>
      </c>
      <c r="J84" s="94" t="e">
        <f t="shared" si="8"/>
        <v>#NUM!</v>
      </c>
      <c r="K84" s="93" t="e">
        <f t="shared" si="9"/>
        <v>#NUM!</v>
      </c>
      <c r="L84" s="93"/>
      <c r="M84" s="92">
        <f t="shared" si="10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95"/>
      <c r="B85" s="84"/>
      <c r="C85" s="84"/>
      <c r="D85" s="84"/>
      <c r="E85" s="84"/>
      <c r="F85" s="84"/>
      <c r="H85" s="93">
        <v>80</v>
      </c>
      <c r="I85" s="94" t="str">
        <f t="shared" si="7"/>
        <v/>
      </c>
      <c r="J85" s="94" t="e">
        <f t="shared" si="8"/>
        <v>#NUM!</v>
      </c>
      <c r="K85" s="93" t="e">
        <f t="shared" si="9"/>
        <v>#NUM!</v>
      </c>
      <c r="L85" s="93"/>
      <c r="M85" s="92">
        <f t="shared" si="10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95"/>
      <c r="B86" s="84"/>
      <c r="C86" s="84"/>
      <c r="D86" s="84"/>
      <c r="E86" s="84"/>
      <c r="F86" s="84"/>
      <c r="H86" s="93">
        <v>81</v>
      </c>
      <c r="I86" s="94" t="str">
        <f t="shared" si="7"/>
        <v/>
      </c>
      <c r="J86" s="94" t="e">
        <f t="shared" si="8"/>
        <v>#NUM!</v>
      </c>
      <c r="K86" s="93" t="e">
        <f t="shared" si="9"/>
        <v>#NUM!</v>
      </c>
      <c r="L86" s="93"/>
      <c r="M86" s="92">
        <f t="shared" si="10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95"/>
      <c r="B87" s="84"/>
      <c r="C87" s="84"/>
      <c r="D87" s="84"/>
      <c r="E87" s="84"/>
      <c r="F87" s="84"/>
      <c r="H87" s="93">
        <v>82</v>
      </c>
      <c r="I87" s="94" t="str">
        <f t="shared" si="7"/>
        <v/>
      </c>
      <c r="J87" s="94" t="e">
        <f t="shared" si="8"/>
        <v>#NUM!</v>
      </c>
      <c r="K87" s="93" t="e">
        <f t="shared" si="9"/>
        <v>#NUM!</v>
      </c>
      <c r="L87" s="93"/>
      <c r="M87" s="92">
        <f t="shared" si="10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95"/>
      <c r="B88" s="84"/>
      <c r="C88" s="84"/>
      <c r="D88" s="84"/>
      <c r="E88" s="84"/>
      <c r="F88" s="84"/>
      <c r="H88" s="93">
        <v>83</v>
      </c>
      <c r="I88" s="94" t="str">
        <f t="shared" si="7"/>
        <v/>
      </c>
      <c r="J88" s="94" t="e">
        <f t="shared" si="8"/>
        <v>#NUM!</v>
      </c>
      <c r="K88" s="93" t="e">
        <f t="shared" si="9"/>
        <v>#NUM!</v>
      </c>
      <c r="L88" s="93"/>
      <c r="M88" s="92">
        <f t="shared" si="10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95"/>
      <c r="B89" s="84"/>
      <c r="C89" s="84"/>
      <c r="D89" s="84"/>
      <c r="E89" s="84"/>
      <c r="F89" s="84"/>
      <c r="H89" s="93">
        <v>84</v>
      </c>
      <c r="I89" s="94" t="str">
        <f t="shared" si="7"/>
        <v/>
      </c>
      <c r="J89" s="94" t="e">
        <f t="shared" si="8"/>
        <v>#NUM!</v>
      </c>
      <c r="K89" s="93" t="e">
        <f t="shared" si="9"/>
        <v>#NUM!</v>
      </c>
      <c r="L89" s="93"/>
      <c r="M89" s="92">
        <f t="shared" si="10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95"/>
      <c r="B90" s="84"/>
      <c r="C90" s="84"/>
      <c r="D90" s="84"/>
      <c r="E90" s="84"/>
      <c r="F90" s="84"/>
      <c r="H90" s="93">
        <v>85</v>
      </c>
      <c r="I90" s="94" t="str">
        <f t="shared" si="7"/>
        <v/>
      </c>
      <c r="J90" s="94" t="e">
        <f t="shared" si="8"/>
        <v>#NUM!</v>
      </c>
      <c r="K90" s="93" t="e">
        <f t="shared" si="9"/>
        <v>#NUM!</v>
      </c>
      <c r="L90" s="93"/>
      <c r="M90" s="92">
        <f t="shared" si="10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95"/>
      <c r="B91" s="84"/>
      <c r="C91" s="84"/>
      <c r="D91" s="84"/>
      <c r="E91" s="84"/>
      <c r="F91" s="84"/>
      <c r="H91" s="93">
        <v>86</v>
      </c>
      <c r="I91" s="94" t="str">
        <f t="shared" si="7"/>
        <v/>
      </c>
      <c r="J91" s="94" t="e">
        <f t="shared" si="8"/>
        <v>#NUM!</v>
      </c>
      <c r="K91" s="93" t="e">
        <f t="shared" si="9"/>
        <v>#NUM!</v>
      </c>
      <c r="L91" s="93"/>
      <c r="M91" s="92">
        <f t="shared" si="10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95"/>
      <c r="B92" s="84"/>
      <c r="C92" s="84"/>
      <c r="D92" s="84"/>
      <c r="E92" s="84"/>
      <c r="F92" s="84"/>
      <c r="H92" s="93">
        <v>87</v>
      </c>
      <c r="I92" s="94" t="str">
        <f t="shared" si="7"/>
        <v/>
      </c>
      <c r="J92" s="94" t="e">
        <f t="shared" si="8"/>
        <v>#NUM!</v>
      </c>
      <c r="K92" s="93" t="e">
        <f t="shared" si="9"/>
        <v>#NUM!</v>
      </c>
      <c r="L92" s="93"/>
      <c r="M92" s="92">
        <f t="shared" si="10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95"/>
      <c r="B93" s="84"/>
      <c r="C93" s="84"/>
      <c r="D93" s="84"/>
      <c r="E93" s="84"/>
      <c r="F93" s="84"/>
      <c r="H93" s="93">
        <v>88</v>
      </c>
      <c r="I93" s="94" t="str">
        <f t="shared" si="7"/>
        <v/>
      </c>
      <c r="J93" s="94" t="e">
        <f t="shared" si="8"/>
        <v>#NUM!</v>
      </c>
      <c r="K93" s="93" t="e">
        <f t="shared" si="9"/>
        <v>#NUM!</v>
      </c>
      <c r="L93" s="93"/>
      <c r="M93" s="92">
        <f t="shared" si="10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95"/>
      <c r="B94" s="84"/>
      <c r="C94" s="84"/>
      <c r="D94" s="84"/>
      <c r="E94" s="84"/>
      <c r="F94" s="84"/>
      <c r="H94" s="93">
        <v>89</v>
      </c>
      <c r="I94" s="94" t="str">
        <f t="shared" si="7"/>
        <v/>
      </c>
      <c r="J94" s="94" t="e">
        <f t="shared" si="8"/>
        <v>#NUM!</v>
      </c>
      <c r="K94" s="93" t="e">
        <f t="shared" si="9"/>
        <v>#NUM!</v>
      </c>
      <c r="L94" s="93"/>
      <c r="M94" s="92">
        <f t="shared" si="10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95"/>
      <c r="B95" s="84"/>
      <c r="C95" s="84"/>
      <c r="D95" s="84"/>
      <c r="E95" s="84"/>
      <c r="F95" s="84"/>
      <c r="H95" s="93">
        <v>90</v>
      </c>
      <c r="I95" s="94" t="str">
        <f t="shared" si="7"/>
        <v/>
      </c>
      <c r="J95" s="94" t="e">
        <f t="shared" si="8"/>
        <v>#NUM!</v>
      </c>
      <c r="K95" s="93" t="e">
        <f t="shared" si="9"/>
        <v>#NUM!</v>
      </c>
      <c r="L95" s="93"/>
      <c r="M95" s="92">
        <f t="shared" si="10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95"/>
      <c r="B96" s="84"/>
      <c r="C96" s="84"/>
      <c r="D96" s="84"/>
      <c r="E96" s="84"/>
      <c r="F96" s="84"/>
      <c r="H96" s="93">
        <v>91</v>
      </c>
      <c r="I96" s="94" t="str">
        <f t="shared" si="7"/>
        <v/>
      </c>
      <c r="J96" s="94" t="e">
        <f t="shared" si="8"/>
        <v>#NUM!</v>
      </c>
      <c r="K96" s="93" t="e">
        <f t="shared" si="9"/>
        <v>#NUM!</v>
      </c>
      <c r="L96" s="93"/>
      <c r="M96" s="92">
        <f t="shared" si="10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95"/>
      <c r="B97" s="84"/>
      <c r="C97" s="84"/>
      <c r="D97" s="84"/>
      <c r="E97" s="84"/>
      <c r="F97" s="84"/>
      <c r="H97" s="93">
        <v>92</v>
      </c>
      <c r="I97" s="94" t="str">
        <f t="shared" si="7"/>
        <v/>
      </c>
      <c r="J97" s="94" t="e">
        <f t="shared" si="8"/>
        <v>#NUM!</v>
      </c>
      <c r="K97" s="93" t="e">
        <f t="shared" si="9"/>
        <v>#NUM!</v>
      </c>
      <c r="L97" s="93"/>
      <c r="M97" s="92">
        <f t="shared" si="10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95"/>
      <c r="B98" s="84"/>
      <c r="C98" s="84"/>
      <c r="D98" s="84"/>
      <c r="E98" s="84"/>
      <c r="F98" s="84"/>
      <c r="H98" s="93">
        <v>93</v>
      </c>
      <c r="I98" s="94" t="str">
        <f t="shared" si="7"/>
        <v/>
      </c>
      <c r="J98" s="94" t="e">
        <f t="shared" si="8"/>
        <v>#NUM!</v>
      </c>
      <c r="K98" s="93" t="e">
        <f t="shared" si="9"/>
        <v>#NUM!</v>
      </c>
      <c r="L98" s="93"/>
      <c r="M98" s="92">
        <f t="shared" si="10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95"/>
      <c r="B99" s="84"/>
      <c r="C99" s="84"/>
      <c r="D99" s="84"/>
      <c r="E99" s="84"/>
      <c r="F99" s="84"/>
      <c r="H99" s="93">
        <v>94</v>
      </c>
      <c r="I99" s="94" t="str">
        <f t="shared" si="7"/>
        <v/>
      </c>
      <c r="J99" s="94" t="e">
        <f t="shared" si="8"/>
        <v>#NUM!</v>
      </c>
      <c r="K99" s="93" t="e">
        <f t="shared" si="9"/>
        <v>#NUM!</v>
      </c>
      <c r="L99" s="93"/>
      <c r="M99" s="92">
        <f t="shared" si="10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95"/>
      <c r="B100" s="84"/>
      <c r="C100" s="84"/>
      <c r="D100" s="84"/>
      <c r="E100" s="84"/>
      <c r="F100" s="84"/>
      <c r="H100" s="93">
        <v>95</v>
      </c>
      <c r="I100" s="94" t="str">
        <f t="shared" si="7"/>
        <v/>
      </c>
      <c r="J100" s="94" t="e">
        <f t="shared" si="8"/>
        <v>#NUM!</v>
      </c>
      <c r="K100" s="93" t="e">
        <f t="shared" si="9"/>
        <v>#NUM!</v>
      </c>
      <c r="L100" s="93"/>
      <c r="M100" s="92">
        <f t="shared" si="10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95"/>
      <c r="B101" s="84"/>
      <c r="C101" s="84"/>
      <c r="D101" s="84"/>
      <c r="E101" s="84"/>
      <c r="F101" s="84"/>
      <c r="H101" s="93">
        <v>96</v>
      </c>
      <c r="I101" s="94" t="str">
        <f t="shared" si="7"/>
        <v/>
      </c>
      <c r="J101" s="94" t="e">
        <f t="shared" si="8"/>
        <v>#NUM!</v>
      </c>
      <c r="K101" s="93" t="e">
        <f t="shared" si="9"/>
        <v>#NUM!</v>
      </c>
      <c r="L101" s="93"/>
      <c r="M101" s="92">
        <f t="shared" si="10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95"/>
      <c r="B102" s="84"/>
      <c r="C102" s="84"/>
      <c r="D102" s="84"/>
      <c r="E102" s="84"/>
      <c r="F102" s="84"/>
      <c r="H102" s="93">
        <v>97</v>
      </c>
      <c r="I102" s="94" t="str">
        <f t="shared" si="7"/>
        <v/>
      </c>
      <c r="J102" s="94" t="e">
        <f t="shared" si="8"/>
        <v>#NUM!</v>
      </c>
      <c r="K102" s="93" t="e">
        <f t="shared" si="9"/>
        <v>#NUM!</v>
      </c>
      <c r="L102" s="93"/>
      <c r="M102" s="92">
        <f t="shared" si="10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95"/>
      <c r="B103" s="84"/>
      <c r="C103" s="84"/>
      <c r="D103" s="84"/>
      <c r="E103" s="84"/>
      <c r="F103" s="84"/>
      <c r="H103" s="93">
        <v>98</v>
      </c>
      <c r="I103" s="94" t="str">
        <f t="shared" si="7"/>
        <v/>
      </c>
      <c r="J103" s="94" t="e">
        <f t="shared" si="8"/>
        <v>#NUM!</v>
      </c>
      <c r="K103" s="93" t="e">
        <f t="shared" si="9"/>
        <v>#NUM!</v>
      </c>
      <c r="L103" s="93"/>
      <c r="M103" s="92">
        <f t="shared" si="10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95"/>
      <c r="B104" s="84"/>
      <c r="C104" s="84"/>
      <c r="D104" s="84"/>
      <c r="E104" s="84"/>
      <c r="F104" s="84"/>
      <c r="H104" s="93">
        <v>99</v>
      </c>
      <c r="I104" s="94" t="str">
        <f t="shared" si="7"/>
        <v/>
      </c>
      <c r="J104" s="94" t="e">
        <f t="shared" si="8"/>
        <v>#NUM!</v>
      </c>
      <c r="K104" s="93" t="e">
        <f t="shared" si="9"/>
        <v>#NUM!</v>
      </c>
      <c r="L104" s="93"/>
      <c r="M104" s="92">
        <f t="shared" si="10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95"/>
      <c r="B105" s="84"/>
      <c r="C105" s="84"/>
      <c r="D105" s="84"/>
      <c r="E105" s="84"/>
      <c r="F105" s="84"/>
      <c r="H105" s="93">
        <v>100</v>
      </c>
      <c r="I105" s="94" t="str">
        <f t="shared" si="7"/>
        <v/>
      </c>
      <c r="J105" s="94" t="e">
        <f t="shared" si="8"/>
        <v>#NUM!</v>
      </c>
      <c r="K105" s="93" t="e">
        <f t="shared" si="9"/>
        <v>#NUM!</v>
      </c>
      <c r="L105" s="93"/>
      <c r="M105" s="92">
        <f t="shared" si="10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95"/>
      <c r="B106" s="84"/>
      <c r="C106" s="84"/>
      <c r="D106" s="84"/>
      <c r="E106" s="84"/>
      <c r="F106" s="84"/>
      <c r="H106" s="93">
        <v>101</v>
      </c>
      <c r="I106" s="94" t="str">
        <f t="shared" si="7"/>
        <v/>
      </c>
      <c r="J106" s="94" t="e">
        <f t="shared" si="8"/>
        <v>#NUM!</v>
      </c>
      <c r="K106" s="93" t="e">
        <f t="shared" si="9"/>
        <v>#NUM!</v>
      </c>
      <c r="L106" s="93"/>
      <c r="M106" s="92">
        <f t="shared" si="10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95"/>
      <c r="B107" s="84"/>
      <c r="C107" s="84"/>
      <c r="D107" s="84"/>
      <c r="E107" s="84"/>
      <c r="F107" s="84"/>
      <c r="H107" s="93">
        <v>102</v>
      </c>
      <c r="I107" s="94" t="str">
        <f t="shared" si="7"/>
        <v/>
      </c>
      <c r="J107" s="94" t="e">
        <f t="shared" si="8"/>
        <v>#NUM!</v>
      </c>
      <c r="K107" s="93" t="e">
        <f t="shared" si="9"/>
        <v>#NUM!</v>
      </c>
      <c r="L107" s="93"/>
      <c r="M107" s="92">
        <f t="shared" si="10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95"/>
      <c r="B108" s="84"/>
      <c r="C108" s="84"/>
      <c r="D108" s="84"/>
      <c r="E108" s="84"/>
      <c r="F108" s="84"/>
      <c r="H108" s="93">
        <v>103</v>
      </c>
      <c r="I108" s="94" t="str">
        <f t="shared" si="7"/>
        <v/>
      </c>
      <c r="J108" s="94" t="e">
        <f t="shared" si="8"/>
        <v>#NUM!</v>
      </c>
      <c r="K108" s="93" t="e">
        <f t="shared" si="9"/>
        <v>#NUM!</v>
      </c>
      <c r="L108" s="93"/>
      <c r="M108" s="92">
        <f t="shared" si="10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95"/>
      <c r="B109" s="84"/>
      <c r="C109" s="84"/>
      <c r="D109" s="84"/>
      <c r="E109" s="84"/>
      <c r="F109" s="84"/>
      <c r="H109" s="93">
        <v>104</v>
      </c>
      <c r="I109" s="94" t="str">
        <f t="shared" si="7"/>
        <v/>
      </c>
      <c r="J109" s="94" t="e">
        <f t="shared" si="8"/>
        <v>#NUM!</v>
      </c>
      <c r="K109" s="93" t="e">
        <f t="shared" si="9"/>
        <v>#NUM!</v>
      </c>
      <c r="L109" s="93"/>
      <c r="M109" s="92">
        <f t="shared" si="10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95"/>
      <c r="B110" s="84"/>
      <c r="C110" s="84"/>
      <c r="D110" s="84"/>
      <c r="E110" s="84"/>
      <c r="F110" s="84"/>
      <c r="H110" s="93">
        <v>105</v>
      </c>
      <c r="I110" s="94" t="str">
        <f t="shared" si="7"/>
        <v/>
      </c>
      <c r="J110" s="94" t="e">
        <f t="shared" si="8"/>
        <v>#NUM!</v>
      </c>
      <c r="K110" s="93" t="e">
        <f t="shared" si="9"/>
        <v>#NUM!</v>
      </c>
      <c r="L110" s="93"/>
      <c r="M110" s="92">
        <f t="shared" si="10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95"/>
      <c r="B111" s="84"/>
      <c r="C111" s="84"/>
      <c r="D111" s="84"/>
      <c r="E111" s="84"/>
      <c r="F111" s="84"/>
      <c r="H111" s="93">
        <v>106</v>
      </c>
      <c r="I111" s="94" t="str">
        <f t="shared" si="7"/>
        <v/>
      </c>
      <c r="J111" s="94" t="e">
        <f t="shared" si="8"/>
        <v>#NUM!</v>
      </c>
      <c r="K111" s="93" t="e">
        <f t="shared" si="9"/>
        <v>#NUM!</v>
      </c>
      <c r="L111" s="93"/>
      <c r="M111" s="92">
        <f t="shared" si="10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95"/>
      <c r="B112" s="84"/>
      <c r="C112" s="84"/>
      <c r="D112" s="84"/>
      <c r="E112" s="84"/>
      <c r="F112" s="84"/>
      <c r="H112" s="93">
        <v>107</v>
      </c>
      <c r="I112" s="94" t="str">
        <f t="shared" si="7"/>
        <v/>
      </c>
      <c r="J112" s="94" t="e">
        <f t="shared" si="8"/>
        <v>#NUM!</v>
      </c>
      <c r="K112" s="93" t="e">
        <f t="shared" si="9"/>
        <v>#NUM!</v>
      </c>
      <c r="L112" s="93"/>
      <c r="M112" s="92">
        <f t="shared" si="10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95"/>
      <c r="B113" s="84"/>
      <c r="C113" s="84"/>
      <c r="D113" s="84"/>
      <c r="E113" s="84"/>
      <c r="F113" s="84"/>
      <c r="H113" s="93">
        <v>108</v>
      </c>
      <c r="I113" s="94" t="str">
        <f t="shared" si="7"/>
        <v/>
      </c>
      <c r="J113" s="94" t="e">
        <f t="shared" si="8"/>
        <v>#NUM!</v>
      </c>
      <c r="K113" s="93" t="e">
        <f t="shared" si="9"/>
        <v>#NUM!</v>
      </c>
      <c r="L113" s="93"/>
      <c r="M113" s="92">
        <f t="shared" si="10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95"/>
      <c r="B114" s="84"/>
      <c r="C114" s="84"/>
      <c r="D114" s="84"/>
      <c r="E114" s="84"/>
      <c r="F114" s="84"/>
      <c r="H114" s="93">
        <v>109</v>
      </c>
      <c r="I114" s="94" t="str">
        <f t="shared" si="7"/>
        <v/>
      </c>
      <c r="J114" s="94" t="e">
        <f t="shared" si="8"/>
        <v>#NUM!</v>
      </c>
      <c r="K114" s="93" t="e">
        <f t="shared" si="9"/>
        <v>#NUM!</v>
      </c>
      <c r="L114" s="93"/>
      <c r="M114" s="92">
        <f t="shared" si="10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95"/>
      <c r="B115" s="84"/>
      <c r="C115" s="84"/>
      <c r="D115" s="84"/>
      <c r="E115" s="84"/>
      <c r="F115" s="84"/>
      <c r="H115" s="93">
        <v>110</v>
      </c>
      <c r="I115" s="94" t="str">
        <f t="shared" si="7"/>
        <v/>
      </c>
      <c r="J115" s="94" t="e">
        <f t="shared" si="8"/>
        <v>#NUM!</v>
      </c>
      <c r="K115" s="93" t="e">
        <f t="shared" si="9"/>
        <v>#NUM!</v>
      </c>
      <c r="L115" s="93"/>
      <c r="M115" s="92">
        <f t="shared" si="10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95"/>
      <c r="B116" s="84"/>
      <c r="C116" s="84"/>
      <c r="D116" s="84"/>
      <c r="E116" s="84"/>
      <c r="F116" s="84"/>
      <c r="H116" s="93">
        <v>111</v>
      </c>
      <c r="I116" s="94" t="str">
        <f t="shared" si="7"/>
        <v/>
      </c>
      <c r="J116" s="94" t="e">
        <f t="shared" si="8"/>
        <v>#NUM!</v>
      </c>
      <c r="K116" s="93" t="e">
        <f t="shared" si="9"/>
        <v>#NUM!</v>
      </c>
      <c r="L116" s="93"/>
      <c r="M116" s="92">
        <f t="shared" si="10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95"/>
      <c r="B117" s="84"/>
      <c r="C117" s="84"/>
      <c r="D117" s="84"/>
      <c r="E117" s="84"/>
      <c r="F117" s="84"/>
      <c r="H117" s="93">
        <v>112</v>
      </c>
      <c r="I117" s="94" t="str">
        <f t="shared" si="7"/>
        <v/>
      </c>
      <c r="J117" s="94" t="e">
        <f t="shared" si="8"/>
        <v>#NUM!</v>
      </c>
      <c r="K117" s="93" t="e">
        <f t="shared" si="9"/>
        <v>#NUM!</v>
      </c>
      <c r="L117" s="93"/>
      <c r="M117" s="92">
        <f t="shared" si="10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95"/>
      <c r="B118" s="84"/>
      <c r="C118" s="84"/>
      <c r="D118" s="84"/>
      <c r="E118" s="84"/>
      <c r="F118" s="84"/>
      <c r="H118" s="93">
        <v>113</v>
      </c>
      <c r="I118" s="94" t="str">
        <f t="shared" si="7"/>
        <v/>
      </c>
      <c r="J118" s="94" t="e">
        <f t="shared" si="8"/>
        <v>#NUM!</v>
      </c>
      <c r="K118" s="93" t="e">
        <f t="shared" si="9"/>
        <v>#NUM!</v>
      </c>
      <c r="L118" s="93"/>
      <c r="M118" s="92">
        <f t="shared" si="10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95"/>
      <c r="B119" s="84"/>
      <c r="C119" s="84"/>
      <c r="D119" s="84"/>
      <c r="E119" s="84"/>
      <c r="F119" s="84"/>
      <c r="H119" s="93">
        <v>114</v>
      </c>
      <c r="I119" s="94" t="str">
        <f t="shared" si="7"/>
        <v/>
      </c>
      <c r="J119" s="94" t="e">
        <f t="shared" si="8"/>
        <v>#NUM!</v>
      </c>
      <c r="K119" s="93" t="e">
        <f t="shared" si="9"/>
        <v>#NUM!</v>
      </c>
      <c r="L119" s="93"/>
      <c r="M119" s="92">
        <f t="shared" si="10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95"/>
      <c r="B120" s="84"/>
      <c r="C120" s="84"/>
      <c r="D120" s="84"/>
      <c r="E120" s="84"/>
      <c r="F120" s="84"/>
      <c r="H120" s="93">
        <v>115</v>
      </c>
      <c r="I120" s="94" t="str">
        <f t="shared" si="7"/>
        <v/>
      </c>
      <c r="J120" s="94" t="e">
        <f t="shared" si="8"/>
        <v>#NUM!</v>
      </c>
      <c r="K120" s="93" t="e">
        <f t="shared" si="9"/>
        <v>#NUM!</v>
      </c>
      <c r="L120" s="93"/>
      <c r="M120" s="92">
        <f t="shared" si="10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95"/>
      <c r="B121" s="84"/>
      <c r="C121" s="84"/>
      <c r="D121" s="84"/>
      <c r="E121" s="84"/>
      <c r="F121" s="84"/>
      <c r="H121" s="93">
        <v>116</v>
      </c>
      <c r="I121" s="94" t="str">
        <f t="shared" si="7"/>
        <v/>
      </c>
      <c r="J121" s="94" t="e">
        <f t="shared" si="8"/>
        <v>#NUM!</v>
      </c>
      <c r="K121" s="93" t="e">
        <f t="shared" si="9"/>
        <v>#NUM!</v>
      </c>
      <c r="L121" s="93"/>
      <c r="M121" s="92">
        <f t="shared" si="10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95"/>
      <c r="B122" s="84"/>
      <c r="C122" s="84"/>
      <c r="D122" s="84"/>
      <c r="E122" s="84"/>
      <c r="F122" s="84"/>
      <c r="H122" s="93">
        <v>117</v>
      </c>
      <c r="I122" s="94" t="str">
        <f t="shared" si="7"/>
        <v/>
      </c>
      <c r="J122" s="94" t="e">
        <f t="shared" si="8"/>
        <v>#NUM!</v>
      </c>
      <c r="K122" s="93" t="e">
        <f t="shared" si="9"/>
        <v>#NUM!</v>
      </c>
      <c r="L122" s="93"/>
      <c r="M122" s="92">
        <f t="shared" si="10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95"/>
      <c r="B123" s="84"/>
      <c r="C123" s="84"/>
      <c r="D123" s="84"/>
      <c r="E123" s="84"/>
      <c r="F123" s="84"/>
      <c r="H123" s="93">
        <v>118</v>
      </c>
      <c r="I123" s="94" t="str">
        <f t="shared" si="7"/>
        <v/>
      </c>
      <c r="J123" s="94" t="e">
        <f t="shared" si="8"/>
        <v>#NUM!</v>
      </c>
      <c r="K123" s="93" t="e">
        <f t="shared" si="9"/>
        <v>#NUM!</v>
      </c>
      <c r="L123" s="93"/>
      <c r="M123" s="92">
        <f t="shared" si="10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95"/>
      <c r="B124" s="84"/>
      <c r="C124" s="84"/>
      <c r="D124" s="84"/>
      <c r="E124" s="84"/>
      <c r="F124" s="84"/>
      <c r="H124" s="93">
        <v>119</v>
      </c>
      <c r="I124" s="94" t="str">
        <f t="shared" si="7"/>
        <v/>
      </c>
      <c r="J124" s="94" t="e">
        <f t="shared" si="8"/>
        <v>#NUM!</v>
      </c>
      <c r="K124" s="93" t="e">
        <f t="shared" si="9"/>
        <v>#NUM!</v>
      </c>
      <c r="L124" s="93"/>
      <c r="M124" s="92">
        <f t="shared" si="10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95"/>
      <c r="B125" s="84"/>
      <c r="C125" s="84"/>
      <c r="D125" s="84"/>
      <c r="E125" s="84"/>
      <c r="F125" s="84"/>
      <c r="H125" s="93">
        <v>120</v>
      </c>
      <c r="I125" s="94" t="str">
        <f t="shared" si="7"/>
        <v/>
      </c>
      <c r="J125" s="94" t="e">
        <f t="shared" si="8"/>
        <v>#NUM!</v>
      </c>
      <c r="K125" s="93" t="e">
        <f t="shared" si="9"/>
        <v>#NUM!</v>
      </c>
      <c r="L125" s="93"/>
      <c r="M125" s="92">
        <f t="shared" si="10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95"/>
      <c r="B126" s="84"/>
      <c r="C126" s="84"/>
      <c r="D126" s="84"/>
      <c r="E126" s="84"/>
      <c r="F126" s="84"/>
      <c r="H126" s="93">
        <v>121</v>
      </c>
      <c r="I126" s="94" t="str">
        <f t="shared" si="7"/>
        <v/>
      </c>
      <c r="J126" s="94" t="e">
        <f t="shared" si="8"/>
        <v>#NUM!</v>
      </c>
      <c r="K126" s="93" t="e">
        <f t="shared" si="9"/>
        <v>#NUM!</v>
      </c>
      <c r="L126" s="93"/>
      <c r="M126" s="92">
        <f t="shared" si="10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95"/>
      <c r="B127" s="84"/>
      <c r="C127" s="84"/>
      <c r="D127" s="84"/>
      <c r="E127" s="84"/>
      <c r="F127" s="84"/>
      <c r="H127" s="93">
        <v>122</v>
      </c>
      <c r="I127" s="94" t="str">
        <f t="shared" si="7"/>
        <v/>
      </c>
      <c r="J127" s="94" t="e">
        <f t="shared" si="8"/>
        <v>#NUM!</v>
      </c>
      <c r="K127" s="93" t="e">
        <f t="shared" si="9"/>
        <v>#NUM!</v>
      </c>
      <c r="L127" s="93"/>
      <c r="M127" s="92">
        <f t="shared" si="10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95"/>
      <c r="B128" s="84"/>
      <c r="C128" s="84"/>
      <c r="D128" s="84"/>
      <c r="E128" s="84"/>
      <c r="F128" s="84"/>
      <c r="H128" s="93">
        <v>123</v>
      </c>
      <c r="I128" s="94" t="str">
        <f t="shared" si="7"/>
        <v/>
      </c>
      <c r="J128" s="94" t="e">
        <f t="shared" si="8"/>
        <v>#NUM!</v>
      </c>
      <c r="K128" s="93" t="e">
        <f t="shared" si="9"/>
        <v>#NUM!</v>
      </c>
      <c r="L128" s="93"/>
      <c r="M128" s="92">
        <f t="shared" si="10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95"/>
      <c r="B129" s="84"/>
      <c r="C129" s="84"/>
      <c r="D129" s="84"/>
      <c r="E129" s="84"/>
      <c r="F129" s="84"/>
      <c r="H129" s="93">
        <v>124</v>
      </c>
      <c r="I129" s="94" t="str">
        <f t="shared" si="7"/>
        <v/>
      </c>
      <c r="J129" s="94" t="e">
        <f t="shared" si="8"/>
        <v>#NUM!</v>
      </c>
      <c r="K129" s="93" t="e">
        <f t="shared" si="9"/>
        <v>#NUM!</v>
      </c>
      <c r="L129" s="93"/>
      <c r="M129" s="92">
        <f t="shared" si="10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95"/>
      <c r="B130" s="84"/>
      <c r="C130" s="84"/>
      <c r="D130" s="84"/>
      <c r="E130" s="84"/>
      <c r="F130" s="84"/>
      <c r="H130" s="93">
        <v>125</v>
      </c>
      <c r="I130" s="94" t="str">
        <f t="shared" si="7"/>
        <v/>
      </c>
      <c r="J130" s="94" t="e">
        <f t="shared" si="8"/>
        <v>#NUM!</v>
      </c>
      <c r="K130" s="93" t="e">
        <f t="shared" si="9"/>
        <v>#NUM!</v>
      </c>
      <c r="L130" s="93"/>
      <c r="M130" s="92">
        <f t="shared" si="10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95"/>
      <c r="B131" s="84"/>
      <c r="C131" s="84"/>
      <c r="D131" s="84"/>
      <c r="E131" s="84"/>
      <c r="F131" s="84"/>
      <c r="H131" s="93">
        <v>126</v>
      </c>
      <c r="I131" s="94" t="str">
        <f t="shared" si="7"/>
        <v/>
      </c>
      <c r="J131" s="94" t="e">
        <f t="shared" si="8"/>
        <v>#NUM!</v>
      </c>
      <c r="K131" s="93" t="e">
        <f t="shared" si="9"/>
        <v>#NUM!</v>
      </c>
      <c r="L131" s="93"/>
      <c r="M131" s="92">
        <f t="shared" si="10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95"/>
      <c r="B132" s="84"/>
      <c r="C132" s="84"/>
      <c r="D132" s="84"/>
      <c r="E132" s="84"/>
      <c r="F132" s="84"/>
      <c r="H132" s="93">
        <v>127</v>
      </c>
      <c r="I132" s="94" t="str">
        <f t="shared" si="7"/>
        <v/>
      </c>
      <c r="J132" s="94" t="e">
        <f t="shared" si="8"/>
        <v>#NUM!</v>
      </c>
      <c r="K132" s="93" t="e">
        <f t="shared" si="9"/>
        <v>#NUM!</v>
      </c>
      <c r="L132" s="93"/>
      <c r="M132" s="92">
        <f t="shared" si="10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95"/>
      <c r="B133" s="84"/>
      <c r="C133" s="84"/>
      <c r="D133" s="84"/>
      <c r="E133" s="84"/>
      <c r="F133" s="84"/>
      <c r="H133" s="93">
        <v>128</v>
      </c>
      <c r="I133" s="94" t="str">
        <f t="shared" si="7"/>
        <v/>
      </c>
      <c r="J133" s="94" t="e">
        <f t="shared" si="8"/>
        <v>#NUM!</v>
      </c>
      <c r="K133" s="93" t="e">
        <f t="shared" si="9"/>
        <v>#NUM!</v>
      </c>
      <c r="L133" s="93"/>
      <c r="M133" s="92">
        <f t="shared" si="10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95"/>
      <c r="B134" s="84"/>
      <c r="C134" s="84"/>
      <c r="D134" s="84"/>
      <c r="E134" s="84"/>
      <c r="F134" s="84"/>
      <c r="H134" s="93">
        <v>129</v>
      </c>
      <c r="I134" s="94" t="str">
        <f t="shared" ref="I134:I197" si="11">IF(H134&lt;$H$2+1,($I$2-($I$2-1)*(LOG(H134)/LOG($H$2))),"")</f>
        <v/>
      </c>
      <c r="J134" s="94" t="e">
        <f t="shared" ref="J134:J197" si="12">INT(LOG($H$2,2))-ROUNDUP(LOG(H134,2),0)+IF(OR($H$2=1,$H$2=2,$H$2=4,$H$2=8,$H$2=16,$H$2=32,$H$2=64,$H$2=128,$H$2=256),0,1)</f>
        <v>#NUM!</v>
      </c>
      <c r="K134" s="93" t="e">
        <f t="shared" ref="K134:K197" si="13">J134*$J$2</f>
        <v>#NUM!</v>
      </c>
      <c r="L134" s="93"/>
      <c r="M134" s="92">
        <f t="shared" ref="M134:M197" si="14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95"/>
      <c r="B135" s="84"/>
      <c r="C135" s="84"/>
      <c r="D135" s="84"/>
      <c r="E135" s="84"/>
      <c r="F135" s="84"/>
      <c r="H135" s="93">
        <v>130</v>
      </c>
      <c r="I135" s="94" t="str">
        <f t="shared" si="11"/>
        <v/>
      </c>
      <c r="J135" s="94" t="e">
        <f t="shared" si="12"/>
        <v>#NUM!</v>
      </c>
      <c r="K135" s="93" t="e">
        <f t="shared" si="13"/>
        <v>#NUM!</v>
      </c>
      <c r="L135" s="93"/>
      <c r="M135" s="92">
        <f t="shared" si="14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95"/>
      <c r="B136" s="84"/>
      <c r="C136" s="84"/>
      <c r="D136" s="84"/>
      <c r="E136" s="84"/>
      <c r="F136" s="84"/>
      <c r="H136" s="93">
        <v>131</v>
      </c>
      <c r="I136" s="94" t="str">
        <f t="shared" si="11"/>
        <v/>
      </c>
      <c r="J136" s="94" t="e">
        <f t="shared" si="12"/>
        <v>#NUM!</v>
      </c>
      <c r="K136" s="93" t="e">
        <f t="shared" si="13"/>
        <v>#NUM!</v>
      </c>
      <c r="L136" s="93"/>
      <c r="M136" s="92">
        <f t="shared" si="14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95"/>
      <c r="B137" s="84"/>
      <c r="C137" s="84"/>
      <c r="D137" s="84"/>
      <c r="E137" s="84"/>
      <c r="F137" s="84"/>
      <c r="H137" s="93">
        <v>132</v>
      </c>
      <c r="I137" s="94" t="str">
        <f t="shared" si="11"/>
        <v/>
      </c>
      <c r="J137" s="94" t="e">
        <f t="shared" si="12"/>
        <v>#NUM!</v>
      </c>
      <c r="K137" s="93" t="e">
        <f t="shared" si="13"/>
        <v>#NUM!</v>
      </c>
      <c r="L137" s="93"/>
      <c r="M137" s="92">
        <f t="shared" si="14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95"/>
      <c r="B138" s="84"/>
      <c r="C138" s="84"/>
      <c r="D138" s="84"/>
      <c r="E138" s="84"/>
      <c r="F138" s="84"/>
      <c r="H138" s="93">
        <v>133</v>
      </c>
      <c r="I138" s="94" t="str">
        <f t="shared" si="11"/>
        <v/>
      </c>
      <c r="J138" s="94" t="e">
        <f t="shared" si="12"/>
        <v>#NUM!</v>
      </c>
      <c r="K138" s="93" t="e">
        <f t="shared" si="13"/>
        <v>#NUM!</v>
      </c>
      <c r="L138" s="93"/>
      <c r="M138" s="92">
        <f t="shared" si="14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95"/>
      <c r="B139" s="84"/>
      <c r="C139" s="84"/>
      <c r="D139" s="84"/>
      <c r="E139" s="84"/>
      <c r="F139" s="84"/>
      <c r="H139" s="93">
        <v>134</v>
      </c>
      <c r="I139" s="94" t="str">
        <f t="shared" si="11"/>
        <v/>
      </c>
      <c r="J139" s="94" t="e">
        <f t="shared" si="12"/>
        <v>#NUM!</v>
      </c>
      <c r="K139" s="93" t="e">
        <f t="shared" si="13"/>
        <v>#NUM!</v>
      </c>
      <c r="L139" s="93"/>
      <c r="M139" s="92">
        <f t="shared" si="14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95"/>
      <c r="B140" s="84"/>
      <c r="C140" s="84"/>
      <c r="D140" s="84"/>
      <c r="E140" s="84"/>
      <c r="F140" s="84"/>
      <c r="H140" s="93">
        <v>135</v>
      </c>
      <c r="I140" s="94" t="str">
        <f t="shared" si="11"/>
        <v/>
      </c>
      <c r="J140" s="94" t="e">
        <f t="shared" si="12"/>
        <v>#NUM!</v>
      </c>
      <c r="K140" s="93" t="e">
        <f t="shared" si="13"/>
        <v>#NUM!</v>
      </c>
      <c r="L140" s="93"/>
      <c r="M140" s="92">
        <f t="shared" si="14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6" customFormat="1" x14ac:dyDescent="0.25">
      <c r="A141" s="95"/>
      <c r="B141" s="84"/>
      <c r="C141" s="84"/>
      <c r="D141" s="84"/>
      <c r="E141" s="84"/>
      <c r="F141" s="84"/>
      <c r="H141" s="93">
        <v>136</v>
      </c>
      <c r="I141" s="94" t="str">
        <f t="shared" si="11"/>
        <v/>
      </c>
      <c r="J141" s="94" t="e">
        <f t="shared" si="12"/>
        <v>#NUM!</v>
      </c>
      <c r="K141" s="93" t="e">
        <f t="shared" si="13"/>
        <v>#NUM!</v>
      </c>
      <c r="L141" s="93"/>
      <c r="M141" s="92">
        <f t="shared" si="14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6" customFormat="1" x14ac:dyDescent="0.25">
      <c r="A142" s="95"/>
      <c r="B142" s="84"/>
      <c r="C142" s="84"/>
      <c r="D142" s="84"/>
      <c r="E142" s="84"/>
      <c r="F142" s="84"/>
      <c r="H142" s="93">
        <v>137</v>
      </c>
      <c r="I142" s="94" t="str">
        <f t="shared" si="11"/>
        <v/>
      </c>
      <c r="J142" s="94" t="e">
        <f t="shared" si="12"/>
        <v>#NUM!</v>
      </c>
      <c r="K142" s="93" t="e">
        <f t="shared" si="13"/>
        <v>#NUM!</v>
      </c>
      <c r="L142" s="93"/>
      <c r="M142" s="92">
        <f t="shared" si="14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6" customFormat="1" x14ac:dyDescent="0.25">
      <c r="A143" s="95"/>
      <c r="B143" s="84"/>
      <c r="C143" s="84"/>
      <c r="D143" s="84"/>
      <c r="E143" s="84"/>
      <c r="F143" s="84"/>
      <c r="H143" s="93">
        <v>138</v>
      </c>
      <c r="I143" s="94" t="str">
        <f t="shared" si="11"/>
        <v/>
      </c>
      <c r="J143" s="94" t="e">
        <f t="shared" si="12"/>
        <v>#NUM!</v>
      </c>
      <c r="K143" s="93" t="e">
        <f t="shared" si="13"/>
        <v>#NUM!</v>
      </c>
      <c r="L143" s="93"/>
      <c r="M143" s="92">
        <f t="shared" si="14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6" customFormat="1" x14ac:dyDescent="0.25">
      <c r="A144" s="95"/>
      <c r="B144" s="84"/>
      <c r="C144" s="84"/>
      <c r="D144" s="84"/>
      <c r="E144" s="84"/>
      <c r="F144" s="84"/>
      <c r="H144" s="93">
        <v>139</v>
      </c>
      <c r="I144" s="94" t="str">
        <f t="shared" si="11"/>
        <v/>
      </c>
      <c r="J144" s="94" t="e">
        <f t="shared" si="12"/>
        <v>#NUM!</v>
      </c>
      <c r="K144" s="93" t="e">
        <f t="shared" si="13"/>
        <v>#NUM!</v>
      </c>
      <c r="L144" s="93"/>
      <c r="M144" s="92">
        <f t="shared" si="14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6" customFormat="1" x14ac:dyDescent="0.25">
      <c r="A145" s="95"/>
      <c r="B145" s="84"/>
      <c r="C145" s="84"/>
      <c r="D145" s="84"/>
      <c r="E145" s="84"/>
      <c r="F145" s="84"/>
      <c r="H145" s="93">
        <v>140</v>
      </c>
      <c r="I145" s="94" t="str">
        <f t="shared" si="11"/>
        <v/>
      </c>
      <c r="J145" s="94" t="e">
        <f t="shared" si="12"/>
        <v>#NUM!</v>
      </c>
      <c r="K145" s="93" t="e">
        <f t="shared" si="13"/>
        <v>#NUM!</v>
      </c>
      <c r="L145" s="93"/>
      <c r="M145" s="92">
        <f t="shared" si="14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5"/>
      <c r="B146" s="84"/>
      <c r="C146" s="84"/>
      <c r="D146" s="84"/>
      <c r="E146" s="84"/>
      <c r="F146" s="84"/>
      <c r="H146" s="93">
        <v>141</v>
      </c>
      <c r="I146" s="94" t="str">
        <f t="shared" si="11"/>
        <v/>
      </c>
      <c r="J146" s="94" t="e">
        <f t="shared" si="12"/>
        <v>#NUM!</v>
      </c>
      <c r="K146" s="93" t="e">
        <f t="shared" si="13"/>
        <v>#NUM!</v>
      </c>
      <c r="L146" s="93"/>
      <c r="M146" s="92">
        <f t="shared" si="14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5"/>
      <c r="B147" s="84"/>
      <c r="C147" s="84"/>
      <c r="D147" s="84"/>
      <c r="E147" s="84"/>
      <c r="F147" s="84"/>
      <c r="H147" s="93">
        <v>142</v>
      </c>
      <c r="I147" s="94" t="str">
        <f t="shared" si="11"/>
        <v/>
      </c>
      <c r="J147" s="94" t="e">
        <f t="shared" si="12"/>
        <v>#NUM!</v>
      </c>
      <c r="K147" s="93" t="e">
        <f t="shared" si="13"/>
        <v>#NUM!</v>
      </c>
      <c r="L147" s="93"/>
      <c r="M147" s="92">
        <f t="shared" si="14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5"/>
      <c r="B148" s="84"/>
      <c r="C148" s="84"/>
      <c r="D148" s="84"/>
      <c r="E148" s="84"/>
      <c r="F148" s="84"/>
      <c r="H148" s="93">
        <v>143</v>
      </c>
      <c r="I148" s="94" t="str">
        <f t="shared" si="11"/>
        <v/>
      </c>
      <c r="J148" s="94" t="e">
        <f t="shared" si="12"/>
        <v>#NUM!</v>
      </c>
      <c r="K148" s="93" t="e">
        <f t="shared" si="13"/>
        <v>#NUM!</v>
      </c>
      <c r="L148" s="93"/>
      <c r="M148" s="92">
        <f t="shared" si="14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5"/>
      <c r="B149" s="84"/>
      <c r="C149" s="84"/>
      <c r="D149" s="84"/>
      <c r="E149" s="84"/>
      <c r="F149" s="84"/>
      <c r="H149" s="93">
        <v>144</v>
      </c>
      <c r="I149" s="94" t="str">
        <f t="shared" si="11"/>
        <v/>
      </c>
      <c r="J149" s="94" t="e">
        <f t="shared" si="12"/>
        <v>#NUM!</v>
      </c>
      <c r="K149" s="93" t="e">
        <f t="shared" si="13"/>
        <v>#NUM!</v>
      </c>
      <c r="L149" s="93"/>
      <c r="M149" s="92">
        <f t="shared" si="14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5"/>
      <c r="B150" s="84"/>
      <c r="C150" s="84"/>
      <c r="D150" s="84"/>
      <c r="E150" s="84"/>
      <c r="F150" s="84"/>
      <c r="H150" s="93">
        <v>145</v>
      </c>
      <c r="I150" s="94" t="str">
        <f t="shared" si="11"/>
        <v/>
      </c>
      <c r="J150" s="94" t="e">
        <f t="shared" si="12"/>
        <v>#NUM!</v>
      </c>
      <c r="K150" s="93" t="e">
        <f t="shared" si="13"/>
        <v>#NUM!</v>
      </c>
      <c r="L150" s="93"/>
      <c r="M150" s="92">
        <f t="shared" si="14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5"/>
      <c r="B151" s="84"/>
      <c r="C151" s="84"/>
      <c r="D151" s="84"/>
      <c r="E151" s="84"/>
      <c r="F151" s="84"/>
      <c r="H151" s="93">
        <v>146</v>
      </c>
      <c r="I151" s="94" t="str">
        <f t="shared" si="11"/>
        <v/>
      </c>
      <c r="J151" s="94" t="e">
        <f t="shared" si="12"/>
        <v>#NUM!</v>
      </c>
      <c r="K151" s="93" t="e">
        <f t="shared" si="13"/>
        <v>#NUM!</v>
      </c>
      <c r="L151" s="93"/>
      <c r="M151" s="92">
        <f t="shared" si="14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5"/>
      <c r="B152" s="84"/>
      <c r="C152" s="84"/>
      <c r="D152" s="84"/>
      <c r="E152" s="84"/>
      <c r="F152" s="84"/>
      <c r="H152" s="93">
        <v>147</v>
      </c>
      <c r="I152" s="94" t="str">
        <f t="shared" si="11"/>
        <v/>
      </c>
      <c r="J152" s="94" t="e">
        <f t="shared" si="12"/>
        <v>#NUM!</v>
      </c>
      <c r="K152" s="93" t="e">
        <f t="shared" si="13"/>
        <v>#NUM!</v>
      </c>
      <c r="L152" s="93"/>
      <c r="M152" s="92">
        <f t="shared" si="14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5"/>
      <c r="B153" s="84"/>
      <c r="C153" s="84"/>
      <c r="D153" s="84"/>
      <c r="E153" s="84"/>
      <c r="F153" s="84"/>
      <c r="H153" s="93">
        <v>148</v>
      </c>
      <c r="I153" s="94" t="str">
        <f t="shared" si="11"/>
        <v/>
      </c>
      <c r="J153" s="94" t="e">
        <f t="shared" si="12"/>
        <v>#NUM!</v>
      </c>
      <c r="K153" s="93" t="e">
        <f t="shared" si="13"/>
        <v>#NUM!</v>
      </c>
      <c r="L153" s="93"/>
      <c r="M153" s="92">
        <f t="shared" si="14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5"/>
      <c r="B154" s="84"/>
      <c r="C154" s="84"/>
      <c r="D154" s="84"/>
      <c r="E154" s="84"/>
      <c r="F154" s="84"/>
      <c r="H154" s="93">
        <v>149</v>
      </c>
      <c r="I154" s="94" t="str">
        <f t="shared" si="11"/>
        <v/>
      </c>
      <c r="J154" s="94" t="e">
        <f t="shared" si="12"/>
        <v>#NUM!</v>
      </c>
      <c r="K154" s="93" t="e">
        <f t="shared" si="13"/>
        <v>#NUM!</v>
      </c>
      <c r="L154" s="93"/>
      <c r="M154" s="92">
        <f t="shared" si="14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3">
        <v>150</v>
      </c>
      <c r="I155" s="94" t="str">
        <f t="shared" si="11"/>
        <v/>
      </c>
      <c r="J155" s="94" t="e">
        <f t="shared" si="12"/>
        <v>#NUM!</v>
      </c>
      <c r="K155" s="93" t="e">
        <f t="shared" si="13"/>
        <v>#NUM!</v>
      </c>
      <c r="L155" s="93"/>
      <c r="M155" s="92">
        <f t="shared" si="14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1"/>
        <v/>
      </c>
      <c r="J156" s="94" t="e">
        <f t="shared" si="12"/>
        <v>#NUM!</v>
      </c>
      <c r="K156" s="93" t="e">
        <f t="shared" si="13"/>
        <v>#NUM!</v>
      </c>
      <c r="L156" s="93"/>
      <c r="M156" s="92">
        <f t="shared" si="14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3">
        <v>152</v>
      </c>
      <c r="I157" s="94" t="str">
        <f t="shared" si="11"/>
        <v/>
      </c>
      <c r="J157" s="94" t="e">
        <f t="shared" si="12"/>
        <v>#NUM!</v>
      </c>
      <c r="K157" s="93" t="e">
        <f t="shared" si="13"/>
        <v>#NUM!</v>
      </c>
      <c r="L157" s="93"/>
      <c r="M157" s="92">
        <f t="shared" si="14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1"/>
        <v/>
      </c>
      <c r="J158" s="94" t="e">
        <f t="shared" si="12"/>
        <v>#NUM!</v>
      </c>
      <c r="K158" s="93" t="e">
        <f t="shared" si="13"/>
        <v>#NUM!</v>
      </c>
      <c r="L158" s="93"/>
      <c r="M158" s="92">
        <f t="shared" si="14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3">
        <v>154</v>
      </c>
      <c r="I159" s="94" t="str">
        <f t="shared" si="11"/>
        <v/>
      </c>
      <c r="J159" s="94" t="e">
        <f t="shared" si="12"/>
        <v>#NUM!</v>
      </c>
      <c r="K159" s="93" t="e">
        <f t="shared" si="13"/>
        <v>#NUM!</v>
      </c>
      <c r="L159" s="93"/>
      <c r="M159" s="92">
        <f t="shared" si="14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1"/>
        <v/>
      </c>
      <c r="J160" s="94" t="e">
        <f t="shared" si="12"/>
        <v>#NUM!</v>
      </c>
      <c r="K160" s="93" t="e">
        <f t="shared" si="13"/>
        <v>#NUM!</v>
      </c>
      <c r="L160" s="93"/>
      <c r="M160" s="92">
        <f t="shared" si="14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3">
        <v>156</v>
      </c>
      <c r="I161" s="94" t="str">
        <f t="shared" si="11"/>
        <v/>
      </c>
      <c r="J161" s="94" t="e">
        <f t="shared" si="12"/>
        <v>#NUM!</v>
      </c>
      <c r="K161" s="93" t="e">
        <f t="shared" si="13"/>
        <v>#NUM!</v>
      </c>
      <c r="L161" s="93"/>
      <c r="M161" s="92">
        <f t="shared" si="14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1"/>
        <v/>
      </c>
      <c r="J162" s="94" t="e">
        <f t="shared" si="12"/>
        <v>#NUM!</v>
      </c>
      <c r="K162" s="93" t="e">
        <f t="shared" si="13"/>
        <v>#NUM!</v>
      </c>
      <c r="L162" s="93"/>
      <c r="M162" s="92">
        <f t="shared" si="14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3">
        <v>158</v>
      </c>
      <c r="I163" s="94" t="str">
        <f t="shared" si="11"/>
        <v/>
      </c>
      <c r="J163" s="94" t="e">
        <f t="shared" si="12"/>
        <v>#NUM!</v>
      </c>
      <c r="K163" s="93" t="e">
        <f t="shared" si="13"/>
        <v>#NUM!</v>
      </c>
      <c r="L163" s="93"/>
      <c r="M163" s="92">
        <f t="shared" si="14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1"/>
        <v/>
      </c>
      <c r="J164" s="94" t="e">
        <f t="shared" si="12"/>
        <v>#NUM!</v>
      </c>
      <c r="K164" s="93" t="e">
        <f t="shared" si="13"/>
        <v>#NUM!</v>
      </c>
      <c r="L164" s="93"/>
      <c r="M164" s="92">
        <f t="shared" si="14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3">
        <v>160</v>
      </c>
      <c r="I165" s="94" t="str">
        <f t="shared" si="11"/>
        <v/>
      </c>
      <c r="J165" s="94" t="e">
        <f t="shared" si="12"/>
        <v>#NUM!</v>
      </c>
      <c r="K165" s="93" t="e">
        <f t="shared" si="13"/>
        <v>#NUM!</v>
      </c>
      <c r="L165" s="93"/>
      <c r="M165" s="92">
        <f t="shared" si="14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1"/>
        <v/>
      </c>
      <c r="J166" s="94" t="e">
        <f t="shared" si="12"/>
        <v>#NUM!</v>
      </c>
      <c r="K166" s="93" t="e">
        <f t="shared" si="13"/>
        <v>#NUM!</v>
      </c>
      <c r="L166" s="93"/>
      <c r="M166" s="92">
        <f t="shared" si="14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3">
        <v>162</v>
      </c>
      <c r="I167" s="94" t="str">
        <f t="shared" si="11"/>
        <v/>
      </c>
      <c r="J167" s="94" t="e">
        <f t="shared" si="12"/>
        <v>#NUM!</v>
      </c>
      <c r="K167" s="93" t="e">
        <f t="shared" si="13"/>
        <v>#NUM!</v>
      </c>
      <c r="L167" s="93"/>
      <c r="M167" s="92">
        <f t="shared" si="14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1"/>
        <v/>
      </c>
      <c r="J168" s="94" t="e">
        <f t="shared" si="12"/>
        <v>#NUM!</v>
      </c>
      <c r="K168" s="93" t="e">
        <f t="shared" si="13"/>
        <v>#NUM!</v>
      </c>
      <c r="L168" s="93"/>
      <c r="M168" s="92">
        <f t="shared" si="14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3">
        <v>164</v>
      </c>
      <c r="I169" s="94" t="str">
        <f t="shared" si="11"/>
        <v/>
      </c>
      <c r="J169" s="94" t="e">
        <f t="shared" si="12"/>
        <v>#NUM!</v>
      </c>
      <c r="K169" s="93" t="e">
        <f t="shared" si="13"/>
        <v>#NUM!</v>
      </c>
      <c r="L169" s="93"/>
      <c r="M169" s="92">
        <f t="shared" si="14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1"/>
        <v/>
      </c>
      <c r="J170" s="94" t="e">
        <f t="shared" si="12"/>
        <v>#NUM!</v>
      </c>
      <c r="K170" s="93" t="e">
        <f t="shared" si="13"/>
        <v>#NUM!</v>
      </c>
      <c r="L170" s="93"/>
      <c r="M170" s="92">
        <f t="shared" si="14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3">
        <v>166</v>
      </c>
      <c r="I171" s="94" t="str">
        <f t="shared" si="11"/>
        <v/>
      </c>
      <c r="J171" s="94" t="e">
        <f t="shared" si="12"/>
        <v>#NUM!</v>
      </c>
      <c r="K171" s="93" t="e">
        <f t="shared" si="13"/>
        <v>#NUM!</v>
      </c>
      <c r="L171" s="93"/>
      <c r="M171" s="92">
        <f t="shared" si="14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1"/>
        <v/>
      </c>
      <c r="J172" s="94" t="e">
        <f t="shared" si="12"/>
        <v>#NUM!</v>
      </c>
      <c r="K172" s="93" t="e">
        <f t="shared" si="13"/>
        <v>#NUM!</v>
      </c>
      <c r="L172" s="93"/>
      <c r="M172" s="92">
        <f t="shared" si="14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3">
        <v>168</v>
      </c>
      <c r="I173" s="94" t="str">
        <f t="shared" si="11"/>
        <v/>
      </c>
      <c r="J173" s="94" t="e">
        <f t="shared" si="12"/>
        <v>#NUM!</v>
      </c>
      <c r="K173" s="93" t="e">
        <f t="shared" si="13"/>
        <v>#NUM!</v>
      </c>
      <c r="L173" s="93"/>
      <c r="M173" s="92">
        <f t="shared" si="14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1"/>
        <v/>
      </c>
      <c r="J174" s="94" t="e">
        <f t="shared" si="12"/>
        <v>#NUM!</v>
      </c>
      <c r="K174" s="93" t="e">
        <f t="shared" si="13"/>
        <v>#NUM!</v>
      </c>
      <c r="L174" s="93"/>
      <c r="M174" s="92">
        <f t="shared" si="14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3">
        <v>170</v>
      </c>
      <c r="I175" s="94" t="str">
        <f t="shared" si="11"/>
        <v/>
      </c>
      <c r="J175" s="94" t="e">
        <f t="shared" si="12"/>
        <v>#NUM!</v>
      </c>
      <c r="K175" s="93" t="e">
        <f t="shared" si="13"/>
        <v>#NUM!</v>
      </c>
      <c r="L175" s="93"/>
      <c r="M175" s="92">
        <f t="shared" si="14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1"/>
        <v/>
      </c>
      <c r="J176" s="94" t="e">
        <f t="shared" si="12"/>
        <v>#NUM!</v>
      </c>
      <c r="K176" s="93" t="e">
        <f t="shared" si="13"/>
        <v>#NUM!</v>
      </c>
      <c r="L176" s="93"/>
      <c r="M176" s="92">
        <f t="shared" si="14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3">
        <v>172</v>
      </c>
      <c r="I177" s="94" t="str">
        <f t="shared" si="11"/>
        <v/>
      </c>
      <c r="J177" s="94" t="e">
        <f t="shared" si="12"/>
        <v>#NUM!</v>
      </c>
      <c r="K177" s="93" t="e">
        <f t="shared" si="13"/>
        <v>#NUM!</v>
      </c>
      <c r="L177" s="93"/>
      <c r="M177" s="92">
        <f t="shared" si="14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1"/>
        <v/>
      </c>
      <c r="J178" s="94" t="e">
        <f t="shared" si="12"/>
        <v>#NUM!</v>
      </c>
      <c r="K178" s="93" t="e">
        <f t="shared" si="13"/>
        <v>#NUM!</v>
      </c>
      <c r="L178" s="93"/>
      <c r="M178" s="92">
        <f t="shared" si="14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3">
        <v>174</v>
      </c>
      <c r="I179" s="94" t="str">
        <f t="shared" si="11"/>
        <v/>
      </c>
      <c r="J179" s="94" t="e">
        <f t="shared" si="12"/>
        <v>#NUM!</v>
      </c>
      <c r="K179" s="93" t="e">
        <f t="shared" si="13"/>
        <v>#NUM!</v>
      </c>
      <c r="L179" s="93"/>
      <c r="M179" s="92">
        <f t="shared" si="14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1"/>
        <v/>
      </c>
      <c r="J180" s="94" t="e">
        <f t="shared" si="12"/>
        <v>#NUM!</v>
      </c>
      <c r="K180" s="93" t="e">
        <f t="shared" si="13"/>
        <v>#NUM!</v>
      </c>
      <c r="L180" s="93"/>
      <c r="M180" s="92">
        <f t="shared" si="14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3">
        <v>176</v>
      </c>
      <c r="I181" s="94" t="str">
        <f t="shared" si="11"/>
        <v/>
      </c>
      <c r="J181" s="94" t="e">
        <f t="shared" si="12"/>
        <v>#NUM!</v>
      </c>
      <c r="K181" s="93" t="e">
        <f t="shared" si="13"/>
        <v>#NUM!</v>
      </c>
      <c r="L181" s="93"/>
      <c r="M181" s="92">
        <f t="shared" si="14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1"/>
        <v/>
      </c>
      <c r="J182" s="94" t="e">
        <f t="shared" si="12"/>
        <v>#NUM!</v>
      </c>
      <c r="K182" s="93" t="e">
        <f t="shared" si="13"/>
        <v>#NUM!</v>
      </c>
      <c r="L182" s="93"/>
      <c r="M182" s="92">
        <f t="shared" si="14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3">
        <v>178</v>
      </c>
      <c r="I183" s="94" t="str">
        <f t="shared" si="11"/>
        <v/>
      </c>
      <c r="J183" s="94" t="e">
        <f t="shared" si="12"/>
        <v>#NUM!</v>
      </c>
      <c r="K183" s="93" t="e">
        <f t="shared" si="13"/>
        <v>#NUM!</v>
      </c>
      <c r="L183" s="93"/>
      <c r="M183" s="92">
        <f t="shared" si="14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1"/>
        <v/>
      </c>
      <c r="J184" s="94" t="e">
        <f t="shared" si="12"/>
        <v>#NUM!</v>
      </c>
      <c r="K184" s="93" t="e">
        <f t="shared" si="13"/>
        <v>#NUM!</v>
      </c>
      <c r="L184" s="93"/>
      <c r="M184" s="92">
        <f t="shared" si="14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3">
        <v>180</v>
      </c>
      <c r="I185" s="94" t="str">
        <f t="shared" si="11"/>
        <v/>
      </c>
      <c r="J185" s="94" t="e">
        <f t="shared" si="12"/>
        <v>#NUM!</v>
      </c>
      <c r="K185" s="93" t="e">
        <f t="shared" si="13"/>
        <v>#NUM!</v>
      </c>
      <c r="L185" s="93"/>
      <c r="M185" s="92">
        <f t="shared" si="14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1"/>
        <v/>
      </c>
      <c r="J186" s="94" t="e">
        <f t="shared" si="12"/>
        <v>#NUM!</v>
      </c>
      <c r="K186" s="93" t="e">
        <f t="shared" si="13"/>
        <v>#NUM!</v>
      </c>
      <c r="L186" s="93"/>
      <c r="M186" s="92">
        <f t="shared" si="14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3">
        <v>182</v>
      </c>
      <c r="I187" s="94" t="str">
        <f t="shared" si="11"/>
        <v/>
      </c>
      <c r="J187" s="94" t="e">
        <f t="shared" si="12"/>
        <v>#NUM!</v>
      </c>
      <c r="K187" s="93" t="e">
        <f t="shared" si="13"/>
        <v>#NUM!</v>
      </c>
      <c r="L187" s="93"/>
      <c r="M187" s="92">
        <f t="shared" si="14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1"/>
        <v/>
      </c>
      <c r="J188" s="94" t="e">
        <f t="shared" si="12"/>
        <v>#NUM!</v>
      </c>
      <c r="K188" s="93" t="e">
        <f t="shared" si="13"/>
        <v>#NUM!</v>
      </c>
      <c r="L188" s="93"/>
      <c r="M188" s="92">
        <f t="shared" si="14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3">
        <v>184</v>
      </c>
      <c r="I189" s="94" t="str">
        <f t="shared" si="11"/>
        <v/>
      </c>
      <c r="J189" s="94" t="e">
        <f t="shared" si="12"/>
        <v>#NUM!</v>
      </c>
      <c r="K189" s="93" t="e">
        <f t="shared" si="13"/>
        <v>#NUM!</v>
      </c>
      <c r="L189" s="93"/>
      <c r="M189" s="92">
        <f t="shared" si="14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1"/>
        <v/>
      </c>
      <c r="J190" s="94" t="e">
        <f t="shared" si="12"/>
        <v>#NUM!</v>
      </c>
      <c r="K190" s="93" t="e">
        <f t="shared" si="13"/>
        <v>#NUM!</v>
      </c>
      <c r="L190" s="93"/>
      <c r="M190" s="92">
        <f t="shared" si="14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3">
        <v>186</v>
      </c>
      <c r="I191" s="94" t="str">
        <f t="shared" si="11"/>
        <v/>
      </c>
      <c r="J191" s="94" t="e">
        <f t="shared" si="12"/>
        <v>#NUM!</v>
      </c>
      <c r="K191" s="93" t="e">
        <f t="shared" si="13"/>
        <v>#NUM!</v>
      </c>
      <c r="L191" s="93"/>
      <c r="M191" s="92">
        <f t="shared" si="14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1"/>
        <v/>
      </c>
      <c r="J192" s="94" t="e">
        <f t="shared" si="12"/>
        <v>#NUM!</v>
      </c>
      <c r="K192" s="93" t="e">
        <f t="shared" si="13"/>
        <v>#NUM!</v>
      </c>
      <c r="L192" s="93"/>
      <c r="M192" s="92">
        <f t="shared" si="14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3">
        <v>188</v>
      </c>
      <c r="I193" s="94" t="str">
        <f t="shared" si="11"/>
        <v/>
      </c>
      <c r="J193" s="94" t="e">
        <f t="shared" si="12"/>
        <v>#NUM!</v>
      </c>
      <c r="K193" s="93" t="e">
        <f t="shared" si="13"/>
        <v>#NUM!</v>
      </c>
      <c r="L193" s="93"/>
      <c r="M193" s="92">
        <f t="shared" si="14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1"/>
        <v/>
      </c>
      <c r="J194" s="94" t="e">
        <f t="shared" si="12"/>
        <v>#NUM!</v>
      </c>
      <c r="K194" s="93" t="e">
        <f t="shared" si="13"/>
        <v>#NUM!</v>
      </c>
      <c r="L194" s="93"/>
      <c r="M194" s="92">
        <f t="shared" si="14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3">
        <v>190</v>
      </c>
      <c r="I195" s="94" t="str">
        <f t="shared" si="11"/>
        <v/>
      </c>
      <c r="J195" s="94" t="e">
        <f t="shared" si="12"/>
        <v>#NUM!</v>
      </c>
      <c r="K195" s="93" t="e">
        <f t="shared" si="13"/>
        <v>#NUM!</v>
      </c>
      <c r="L195" s="93"/>
      <c r="M195" s="92">
        <f t="shared" si="14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1"/>
        <v/>
      </c>
      <c r="J196" s="94" t="e">
        <f t="shared" si="12"/>
        <v>#NUM!</v>
      </c>
      <c r="K196" s="93" t="e">
        <f t="shared" si="13"/>
        <v>#NUM!</v>
      </c>
      <c r="L196" s="93"/>
      <c r="M196" s="92">
        <f t="shared" si="14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3">
        <v>192</v>
      </c>
      <c r="I197" s="94" t="str">
        <f t="shared" si="11"/>
        <v/>
      </c>
      <c r="J197" s="94" t="e">
        <f t="shared" si="12"/>
        <v>#NUM!</v>
      </c>
      <c r="K197" s="93" t="e">
        <f t="shared" si="13"/>
        <v>#NUM!</v>
      </c>
      <c r="L197" s="93"/>
      <c r="M197" s="92">
        <f t="shared" si="14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15">IF(H198&lt;$H$2+1,($I$2-($I$2-1)*(LOG(H198)/LOG($H$2))),"")</f>
        <v/>
      </c>
      <c r="J198" s="94" t="e">
        <f t="shared" ref="J198:J261" si="16">INT(LOG($H$2,2))-ROUNDUP(LOG(H198,2),0)+IF(OR($H$2=1,$H$2=2,$H$2=4,$H$2=8,$H$2=16,$H$2=32,$H$2=64,$H$2=128,$H$2=256),0,1)</f>
        <v>#NUM!</v>
      </c>
      <c r="K198" s="93" t="e">
        <f t="shared" ref="K198:K261" si="17">J198*$J$2</f>
        <v>#NUM!</v>
      </c>
      <c r="L198" s="93"/>
      <c r="M198" s="92">
        <f t="shared" ref="M198:M261" si="18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3">
        <v>194</v>
      </c>
      <c r="I199" s="94" t="str">
        <f t="shared" si="15"/>
        <v/>
      </c>
      <c r="J199" s="94" t="e">
        <f t="shared" si="16"/>
        <v>#NUM!</v>
      </c>
      <c r="K199" s="93" t="e">
        <f t="shared" si="17"/>
        <v>#NUM!</v>
      </c>
      <c r="L199" s="93"/>
      <c r="M199" s="92">
        <f t="shared" si="18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15"/>
        <v/>
      </c>
      <c r="J200" s="94" t="e">
        <f t="shared" si="16"/>
        <v>#NUM!</v>
      </c>
      <c r="K200" s="93" t="e">
        <f t="shared" si="17"/>
        <v>#NUM!</v>
      </c>
      <c r="L200" s="93"/>
      <c r="M200" s="92">
        <f t="shared" si="18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3">
        <v>196</v>
      </c>
      <c r="I201" s="94" t="str">
        <f t="shared" si="15"/>
        <v/>
      </c>
      <c r="J201" s="94" t="e">
        <f t="shared" si="16"/>
        <v>#NUM!</v>
      </c>
      <c r="K201" s="93" t="e">
        <f t="shared" si="17"/>
        <v>#NUM!</v>
      </c>
      <c r="L201" s="93"/>
      <c r="M201" s="92">
        <f t="shared" si="18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15"/>
        <v/>
      </c>
      <c r="J202" s="94" t="e">
        <f t="shared" si="16"/>
        <v>#NUM!</v>
      </c>
      <c r="K202" s="93" t="e">
        <f t="shared" si="17"/>
        <v>#NUM!</v>
      </c>
      <c r="L202" s="93"/>
      <c r="M202" s="92">
        <f t="shared" si="18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3">
        <v>198</v>
      </c>
      <c r="I203" s="94" t="str">
        <f t="shared" si="15"/>
        <v/>
      </c>
      <c r="J203" s="94" t="e">
        <f t="shared" si="16"/>
        <v>#NUM!</v>
      </c>
      <c r="K203" s="93" t="e">
        <f t="shared" si="17"/>
        <v>#NUM!</v>
      </c>
      <c r="L203" s="93"/>
      <c r="M203" s="92">
        <f t="shared" si="18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15"/>
        <v/>
      </c>
      <c r="J204" s="94" t="e">
        <f t="shared" si="16"/>
        <v>#NUM!</v>
      </c>
      <c r="K204" s="93" t="e">
        <f t="shared" si="17"/>
        <v>#NUM!</v>
      </c>
      <c r="L204" s="93"/>
      <c r="M204" s="92">
        <f t="shared" si="18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3">
        <v>200</v>
      </c>
      <c r="I205" s="94" t="str">
        <f t="shared" si="15"/>
        <v/>
      </c>
      <c r="J205" s="94" t="e">
        <f t="shared" si="16"/>
        <v>#NUM!</v>
      </c>
      <c r="K205" s="93" t="e">
        <f t="shared" si="17"/>
        <v>#NUM!</v>
      </c>
      <c r="L205" s="93"/>
      <c r="M205" s="92">
        <f t="shared" si="18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15"/>
        <v/>
      </c>
      <c r="J206" s="94" t="e">
        <f t="shared" si="16"/>
        <v>#NUM!</v>
      </c>
      <c r="K206" s="93" t="e">
        <f t="shared" si="17"/>
        <v>#NUM!</v>
      </c>
      <c r="L206" s="93"/>
      <c r="M206" s="92">
        <f t="shared" si="18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3">
        <v>202</v>
      </c>
      <c r="I207" s="94" t="str">
        <f t="shared" si="15"/>
        <v/>
      </c>
      <c r="J207" s="94" t="e">
        <f t="shared" si="16"/>
        <v>#NUM!</v>
      </c>
      <c r="K207" s="93" t="e">
        <f t="shared" si="17"/>
        <v>#NUM!</v>
      </c>
      <c r="L207" s="93"/>
      <c r="M207" s="92">
        <f t="shared" si="18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15"/>
        <v/>
      </c>
      <c r="J208" s="94" t="e">
        <f t="shared" si="16"/>
        <v>#NUM!</v>
      </c>
      <c r="K208" s="93" t="e">
        <f t="shared" si="17"/>
        <v>#NUM!</v>
      </c>
      <c r="L208" s="93"/>
      <c r="M208" s="92">
        <f t="shared" si="18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3">
        <v>204</v>
      </c>
      <c r="I209" s="94" t="str">
        <f t="shared" si="15"/>
        <v/>
      </c>
      <c r="J209" s="94" t="e">
        <f t="shared" si="16"/>
        <v>#NUM!</v>
      </c>
      <c r="K209" s="93" t="e">
        <f t="shared" si="17"/>
        <v>#NUM!</v>
      </c>
      <c r="L209" s="93"/>
      <c r="M209" s="92">
        <f t="shared" si="18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15"/>
        <v/>
      </c>
      <c r="J210" s="94" t="e">
        <f t="shared" si="16"/>
        <v>#NUM!</v>
      </c>
      <c r="K210" s="93" t="e">
        <f t="shared" si="17"/>
        <v>#NUM!</v>
      </c>
      <c r="L210" s="93"/>
      <c r="M210" s="92">
        <f t="shared" si="18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3">
        <v>206</v>
      </c>
      <c r="I211" s="94" t="str">
        <f t="shared" si="15"/>
        <v/>
      </c>
      <c r="J211" s="94" t="e">
        <f t="shared" si="16"/>
        <v>#NUM!</v>
      </c>
      <c r="K211" s="93" t="e">
        <f t="shared" si="17"/>
        <v>#NUM!</v>
      </c>
      <c r="L211" s="93"/>
      <c r="M211" s="92">
        <f t="shared" si="18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15"/>
        <v/>
      </c>
      <c r="J212" s="94" t="e">
        <f t="shared" si="16"/>
        <v>#NUM!</v>
      </c>
      <c r="K212" s="93" t="e">
        <f t="shared" si="17"/>
        <v>#NUM!</v>
      </c>
      <c r="L212" s="93"/>
      <c r="M212" s="92">
        <f t="shared" si="18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3">
        <v>208</v>
      </c>
      <c r="I213" s="94" t="str">
        <f t="shared" si="15"/>
        <v/>
      </c>
      <c r="J213" s="94" t="e">
        <f t="shared" si="16"/>
        <v>#NUM!</v>
      </c>
      <c r="K213" s="93" t="e">
        <f t="shared" si="17"/>
        <v>#NUM!</v>
      </c>
      <c r="L213" s="93"/>
      <c r="M213" s="92">
        <f t="shared" si="18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15"/>
        <v/>
      </c>
      <c r="J214" s="94" t="e">
        <f t="shared" si="16"/>
        <v>#NUM!</v>
      </c>
      <c r="K214" s="93" t="e">
        <f t="shared" si="17"/>
        <v>#NUM!</v>
      </c>
      <c r="L214" s="93"/>
      <c r="M214" s="92">
        <f t="shared" si="18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3">
        <v>210</v>
      </c>
      <c r="I215" s="94" t="str">
        <f t="shared" si="15"/>
        <v/>
      </c>
      <c r="J215" s="94" t="e">
        <f t="shared" si="16"/>
        <v>#NUM!</v>
      </c>
      <c r="K215" s="93" t="e">
        <f t="shared" si="17"/>
        <v>#NUM!</v>
      </c>
      <c r="L215" s="93"/>
      <c r="M215" s="92">
        <f t="shared" si="18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15"/>
        <v/>
      </c>
      <c r="J216" s="94" t="e">
        <f t="shared" si="16"/>
        <v>#NUM!</v>
      </c>
      <c r="K216" s="93" t="e">
        <f t="shared" si="17"/>
        <v>#NUM!</v>
      </c>
      <c r="L216" s="93"/>
      <c r="M216" s="92">
        <f t="shared" si="18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3">
        <v>212</v>
      </c>
      <c r="I217" s="94" t="str">
        <f t="shared" si="15"/>
        <v/>
      </c>
      <c r="J217" s="94" t="e">
        <f t="shared" si="16"/>
        <v>#NUM!</v>
      </c>
      <c r="K217" s="93" t="e">
        <f t="shared" si="17"/>
        <v>#NUM!</v>
      </c>
      <c r="L217" s="93"/>
      <c r="M217" s="92">
        <f t="shared" si="18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15"/>
        <v/>
      </c>
      <c r="J218" s="94" t="e">
        <f t="shared" si="16"/>
        <v>#NUM!</v>
      </c>
      <c r="K218" s="93" t="e">
        <f t="shared" si="17"/>
        <v>#NUM!</v>
      </c>
      <c r="L218" s="93"/>
      <c r="M218" s="92">
        <f t="shared" si="18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3">
        <v>214</v>
      </c>
      <c r="I219" s="94" t="str">
        <f t="shared" si="15"/>
        <v/>
      </c>
      <c r="J219" s="94" t="e">
        <f t="shared" si="16"/>
        <v>#NUM!</v>
      </c>
      <c r="K219" s="93" t="e">
        <f t="shared" si="17"/>
        <v>#NUM!</v>
      </c>
      <c r="L219" s="93"/>
      <c r="M219" s="92">
        <f t="shared" si="18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15"/>
        <v/>
      </c>
      <c r="J220" s="94" t="e">
        <f t="shared" si="16"/>
        <v>#NUM!</v>
      </c>
      <c r="K220" s="93" t="e">
        <f t="shared" si="17"/>
        <v>#NUM!</v>
      </c>
      <c r="L220" s="93"/>
      <c r="M220" s="92">
        <f t="shared" si="18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3">
        <v>216</v>
      </c>
      <c r="I221" s="94" t="str">
        <f t="shared" si="15"/>
        <v/>
      </c>
      <c r="J221" s="94" t="e">
        <f t="shared" si="16"/>
        <v>#NUM!</v>
      </c>
      <c r="K221" s="93" t="e">
        <f t="shared" si="17"/>
        <v>#NUM!</v>
      </c>
      <c r="L221" s="93"/>
      <c r="M221" s="92">
        <f t="shared" si="18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15"/>
        <v/>
      </c>
      <c r="J222" s="94" t="e">
        <f t="shared" si="16"/>
        <v>#NUM!</v>
      </c>
      <c r="K222" s="93" t="e">
        <f t="shared" si="17"/>
        <v>#NUM!</v>
      </c>
      <c r="L222" s="93"/>
      <c r="M222" s="92">
        <f t="shared" si="18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3">
        <v>218</v>
      </c>
      <c r="I223" s="94" t="str">
        <f t="shared" si="15"/>
        <v/>
      </c>
      <c r="J223" s="94" t="e">
        <f t="shared" si="16"/>
        <v>#NUM!</v>
      </c>
      <c r="K223" s="93" t="e">
        <f t="shared" si="17"/>
        <v>#NUM!</v>
      </c>
      <c r="L223" s="93"/>
      <c r="M223" s="92">
        <f t="shared" si="18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15"/>
        <v/>
      </c>
      <c r="J224" s="94" t="e">
        <f t="shared" si="16"/>
        <v>#NUM!</v>
      </c>
      <c r="K224" s="93" t="e">
        <f t="shared" si="17"/>
        <v>#NUM!</v>
      </c>
      <c r="L224" s="93"/>
      <c r="M224" s="92">
        <f t="shared" si="18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3">
        <v>220</v>
      </c>
      <c r="I225" s="94" t="str">
        <f t="shared" si="15"/>
        <v/>
      </c>
      <c r="J225" s="94" t="e">
        <f t="shared" si="16"/>
        <v>#NUM!</v>
      </c>
      <c r="K225" s="93" t="e">
        <f t="shared" si="17"/>
        <v>#NUM!</v>
      </c>
      <c r="L225" s="93"/>
      <c r="M225" s="92">
        <f t="shared" si="18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15"/>
        <v/>
      </c>
      <c r="J226" s="94" t="e">
        <f t="shared" si="16"/>
        <v>#NUM!</v>
      </c>
      <c r="K226" s="93" t="e">
        <f t="shared" si="17"/>
        <v>#NUM!</v>
      </c>
      <c r="L226" s="93"/>
      <c r="M226" s="92">
        <f t="shared" si="18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3">
        <v>222</v>
      </c>
      <c r="I227" s="94" t="str">
        <f t="shared" si="15"/>
        <v/>
      </c>
      <c r="J227" s="94" t="e">
        <f t="shared" si="16"/>
        <v>#NUM!</v>
      </c>
      <c r="K227" s="93" t="e">
        <f t="shared" si="17"/>
        <v>#NUM!</v>
      </c>
      <c r="L227" s="93"/>
      <c r="M227" s="92">
        <f t="shared" si="18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15"/>
        <v/>
      </c>
      <c r="J228" s="94" t="e">
        <f t="shared" si="16"/>
        <v>#NUM!</v>
      </c>
      <c r="K228" s="93" t="e">
        <f t="shared" si="17"/>
        <v>#NUM!</v>
      </c>
      <c r="L228" s="93"/>
      <c r="M228" s="92">
        <f t="shared" si="18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3">
        <v>224</v>
      </c>
      <c r="I229" s="94" t="str">
        <f t="shared" si="15"/>
        <v/>
      </c>
      <c r="J229" s="94" t="e">
        <f t="shared" si="16"/>
        <v>#NUM!</v>
      </c>
      <c r="K229" s="93" t="e">
        <f t="shared" si="17"/>
        <v>#NUM!</v>
      </c>
      <c r="L229" s="93"/>
      <c r="M229" s="92">
        <f t="shared" si="18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15"/>
        <v/>
      </c>
      <c r="J230" s="94" t="e">
        <f t="shared" si="16"/>
        <v>#NUM!</v>
      </c>
      <c r="K230" s="93" t="e">
        <f t="shared" si="17"/>
        <v>#NUM!</v>
      </c>
      <c r="L230" s="93"/>
      <c r="M230" s="92">
        <f t="shared" si="18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3">
        <v>226</v>
      </c>
      <c r="I231" s="94" t="str">
        <f t="shared" si="15"/>
        <v/>
      </c>
      <c r="J231" s="94" t="e">
        <f t="shared" si="16"/>
        <v>#NUM!</v>
      </c>
      <c r="K231" s="93" t="e">
        <f t="shared" si="17"/>
        <v>#NUM!</v>
      </c>
      <c r="L231" s="93"/>
      <c r="M231" s="92">
        <f t="shared" si="18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15"/>
        <v/>
      </c>
      <c r="J232" s="94" t="e">
        <f t="shared" si="16"/>
        <v>#NUM!</v>
      </c>
      <c r="K232" s="93" t="e">
        <f t="shared" si="17"/>
        <v>#NUM!</v>
      </c>
      <c r="L232" s="93"/>
      <c r="M232" s="92">
        <f t="shared" si="18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3">
        <v>228</v>
      </c>
      <c r="I233" s="94" t="str">
        <f t="shared" si="15"/>
        <v/>
      </c>
      <c r="J233" s="94" t="e">
        <f t="shared" si="16"/>
        <v>#NUM!</v>
      </c>
      <c r="K233" s="93" t="e">
        <f t="shared" si="17"/>
        <v>#NUM!</v>
      </c>
      <c r="L233" s="93"/>
      <c r="M233" s="92">
        <f t="shared" si="18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15"/>
        <v/>
      </c>
      <c r="J234" s="94" t="e">
        <f t="shared" si="16"/>
        <v>#NUM!</v>
      </c>
      <c r="K234" s="93" t="e">
        <f t="shared" si="17"/>
        <v>#NUM!</v>
      </c>
      <c r="L234" s="93"/>
      <c r="M234" s="92">
        <f t="shared" si="18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3">
        <v>230</v>
      </c>
      <c r="I235" s="94" t="str">
        <f t="shared" si="15"/>
        <v/>
      </c>
      <c r="J235" s="94" t="e">
        <f t="shared" si="16"/>
        <v>#NUM!</v>
      </c>
      <c r="K235" s="93" t="e">
        <f t="shared" si="17"/>
        <v>#NUM!</v>
      </c>
      <c r="L235" s="93"/>
      <c r="M235" s="92">
        <f t="shared" si="18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15"/>
        <v/>
      </c>
      <c r="J236" s="94" t="e">
        <f t="shared" si="16"/>
        <v>#NUM!</v>
      </c>
      <c r="K236" s="93" t="e">
        <f t="shared" si="17"/>
        <v>#NUM!</v>
      </c>
      <c r="L236" s="93"/>
      <c r="M236" s="92">
        <f t="shared" si="18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3">
        <v>232</v>
      </c>
      <c r="I237" s="94" t="str">
        <f t="shared" si="15"/>
        <v/>
      </c>
      <c r="J237" s="94" t="e">
        <f t="shared" si="16"/>
        <v>#NUM!</v>
      </c>
      <c r="K237" s="93" t="e">
        <f t="shared" si="17"/>
        <v>#NUM!</v>
      </c>
      <c r="L237" s="93"/>
      <c r="M237" s="92">
        <f t="shared" si="18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15"/>
        <v/>
      </c>
      <c r="J238" s="94" t="e">
        <f t="shared" si="16"/>
        <v>#NUM!</v>
      </c>
      <c r="K238" s="93" t="e">
        <f t="shared" si="17"/>
        <v>#NUM!</v>
      </c>
      <c r="L238" s="93"/>
      <c r="M238" s="92">
        <f t="shared" si="18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3">
        <v>234</v>
      </c>
      <c r="I239" s="94" t="str">
        <f t="shared" si="15"/>
        <v/>
      </c>
      <c r="J239" s="94" t="e">
        <f t="shared" si="16"/>
        <v>#NUM!</v>
      </c>
      <c r="K239" s="93" t="e">
        <f t="shared" si="17"/>
        <v>#NUM!</v>
      </c>
      <c r="L239" s="93"/>
      <c r="M239" s="92">
        <f t="shared" si="18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15"/>
        <v/>
      </c>
      <c r="J240" s="94" t="e">
        <f t="shared" si="16"/>
        <v>#NUM!</v>
      </c>
      <c r="K240" s="93" t="e">
        <f t="shared" si="17"/>
        <v>#NUM!</v>
      </c>
      <c r="L240" s="93"/>
      <c r="M240" s="92">
        <f t="shared" si="18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3">
        <v>236</v>
      </c>
      <c r="I241" s="94" t="str">
        <f t="shared" si="15"/>
        <v/>
      </c>
      <c r="J241" s="94" t="e">
        <f t="shared" si="16"/>
        <v>#NUM!</v>
      </c>
      <c r="K241" s="93" t="e">
        <f t="shared" si="17"/>
        <v>#NUM!</v>
      </c>
      <c r="L241" s="93"/>
      <c r="M241" s="92">
        <f t="shared" si="18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15"/>
        <v/>
      </c>
      <c r="J242" s="94" t="e">
        <f t="shared" si="16"/>
        <v>#NUM!</v>
      </c>
      <c r="K242" s="93" t="e">
        <f t="shared" si="17"/>
        <v>#NUM!</v>
      </c>
      <c r="L242" s="93"/>
      <c r="M242" s="92">
        <f t="shared" si="18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3">
        <v>238</v>
      </c>
      <c r="I243" s="94" t="str">
        <f t="shared" si="15"/>
        <v/>
      </c>
      <c r="J243" s="94" t="e">
        <f t="shared" si="16"/>
        <v>#NUM!</v>
      </c>
      <c r="K243" s="93" t="e">
        <f t="shared" si="17"/>
        <v>#NUM!</v>
      </c>
      <c r="L243" s="93"/>
      <c r="M243" s="92">
        <f t="shared" si="18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15"/>
        <v/>
      </c>
      <c r="J244" s="94" t="e">
        <f t="shared" si="16"/>
        <v>#NUM!</v>
      </c>
      <c r="K244" s="93" t="e">
        <f t="shared" si="17"/>
        <v>#NUM!</v>
      </c>
      <c r="L244" s="93"/>
      <c r="M244" s="92">
        <f t="shared" si="18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3">
        <v>240</v>
      </c>
      <c r="I245" s="94" t="str">
        <f t="shared" si="15"/>
        <v/>
      </c>
      <c r="J245" s="94" t="e">
        <f t="shared" si="16"/>
        <v>#NUM!</v>
      </c>
      <c r="K245" s="93" t="e">
        <f t="shared" si="17"/>
        <v>#NUM!</v>
      </c>
      <c r="L245" s="93"/>
      <c r="M245" s="92">
        <f t="shared" si="18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15"/>
        <v/>
      </c>
      <c r="J246" s="94" t="e">
        <f t="shared" si="16"/>
        <v>#NUM!</v>
      </c>
      <c r="K246" s="93" t="e">
        <f t="shared" si="17"/>
        <v>#NUM!</v>
      </c>
      <c r="L246" s="93"/>
      <c r="M246" s="92">
        <f t="shared" si="18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3">
        <v>242</v>
      </c>
      <c r="I247" s="94" t="str">
        <f t="shared" si="15"/>
        <v/>
      </c>
      <c r="J247" s="94" t="e">
        <f t="shared" si="16"/>
        <v>#NUM!</v>
      </c>
      <c r="K247" s="93" t="e">
        <f t="shared" si="17"/>
        <v>#NUM!</v>
      </c>
      <c r="L247" s="93"/>
      <c r="M247" s="92">
        <f t="shared" si="18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15"/>
        <v/>
      </c>
      <c r="J248" s="94" t="e">
        <f t="shared" si="16"/>
        <v>#NUM!</v>
      </c>
      <c r="K248" s="93" t="e">
        <f t="shared" si="17"/>
        <v>#NUM!</v>
      </c>
      <c r="L248" s="93"/>
      <c r="M248" s="92">
        <f t="shared" si="18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3">
        <v>244</v>
      </c>
      <c r="I249" s="94" t="str">
        <f t="shared" si="15"/>
        <v/>
      </c>
      <c r="J249" s="94" t="e">
        <f t="shared" si="16"/>
        <v>#NUM!</v>
      </c>
      <c r="K249" s="93" t="e">
        <f t="shared" si="17"/>
        <v>#NUM!</v>
      </c>
      <c r="L249" s="93"/>
      <c r="M249" s="92">
        <f t="shared" si="18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15"/>
        <v/>
      </c>
      <c r="J250" s="94" t="e">
        <f t="shared" si="16"/>
        <v>#NUM!</v>
      </c>
      <c r="K250" s="93" t="e">
        <f t="shared" si="17"/>
        <v>#NUM!</v>
      </c>
      <c r="L250" s="93"/>
      <c r="M250" s="92">
        <f t="shared" si="18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3">
        <v>246</v>
      </c>
      <c r="I251" s="94" t="str">
        <f t="shared" si="15"/>
        <v/>
      </c>
      <c r="J251" s="94" t="e">
        <f t="shared" si="16"/>
        <v>#NUM!</v>
      </c>
      <c r="K251" s="93" t="e">
        <f t="shared" si="17"/>
        <v>#NUM!</v>
      </c>
      <c r="L251" s="93"/>
      <c r="M251" s="92">
        <f t="shared" si="18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15"/>
        <v/>
      </c>
      <c r="J252" s="94" t="e">
        <f t="shared" si="16"/>
        <v>#NUM!</v>
      </c>
      <c r="K252" s="93" t="e">
        <f t="shared" si="17"/>
        <v>#NUM!</v>
      </c>
      <c r="L252" s="93"/>
      <c r="M252" s="92">
        <f t="shared" si="18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3">
        <v>248</v>
      </c>
      <c r="I253" s="94" t="str">
        <f t="shared" si="15"/>
        <v/>
      </c>
      <c r="J253" s="94" t="e">
        <f t="shared" si="16"/>
        <v>#NUM!</v>
      </c>
      <c r="K253" s="93" t="e">
        <f t="shared" si="17"/>
        <v>#NUM!</v>
      </c>
      <c r="L253" s="93"/>
      <c r="M253" s="92">
        <f t="shared" si="18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15"/>
        <v/>
      </c>
      <c r="J254" s="94" t="e">
        <f t="shared" si="16"/>
        <v>#NUM!</v>
      </c>
      <c r="K254" s="93" t="e">
        <f t="shared" si="17"/>
        <v>#NUM!</v>
      </c>
      <c r="L254" s="93"/>
      <c r="M254" s="92">
        <f t="shared" si="18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3">
        <v>250</v>
      </c>
      <c r="I255" s="94" t="str">
        <f t="shared" si="15"/>
        <v/>
      </c>
      <c r="J255" s="94" t="e">
        <f t="shared" si="16"/>
        <v>#NUM!</v>
      </c>
      <c r="K255" s="93" t="e">
        <f t="shared" si="17"/>
        <v>#NUM!</v>
      </c>
      <c r="L255" s="93"/>
      <c r="M255" s="92">
        <f t="shared" si="18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15"/>
        <v/>
      </c>
      <c r="J256" s="94" t="e">
        <f t="shared" si="16"/>
        <v>#NUM!</v>
      </c>
      <c r="K256" s="93" t="e">
        <f t="shared" si="17"/>
        <v>#NUM!</v>
      </c>
      <c r="L256" s="93"/>
      <c r="M256" s="92">
        <f t="shared" si="18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3">
        <v>252</v>
      </c>
      <c r="I257" s="94" t="str">
        <f t="shared" si="15"/>
        <v/>
      </c>
      <c r="J257" s="94" t="e">
        <f t="shared" si="16"/>
        <v>#NUM!</v>
      </c>
      <c r="K257" s="93" t="e">
        <f t="shared" si="17"/>
        <v>#NUM!</v>
      </c>
      <c r="L257" s="93"/>
      <c r="M257" s="92">
        <f t="shared" si="18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15"/>
        <v/>
      </c>
      <c r="J258" s="94" t="e">
        <f t="shared" si="16"/>
        <v>#NUM!</v>
      </c>
      <c r="K258" s="93" t="e">
        <f t="shared" si="17"/>
        <v>#NUM!</v>
      </c>
      <c r="L258" s="93"/>
      <c r="M258" s="92">
        <f t="shared" si="18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3">
        <v>254</v>
      </c>
      <c r="I259" s="94" t="str">
        <f t="shared" si="15"/>
        <v/>
      </c>
      <c r="J259" s="94" t="e">
        <f t="shared" si="16"/>
        <v>#NUM!</v>
      </c>
      <c r="K259" s="93" t="e">
        <f t="shared" si="17"/>
        <v>#NUM!</v>
      </c>
      <c r="L259" s="93"/>
      <c r="M259" s="92">
        <f t="shared" si="18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15"/>
        <v/>
      </c>
      <c r="J260" s="94" t="e">
        <f t="shared" si="16"/>
        <v>#NUM!</v>
      </c>
      <c r="K260" s="93" t="e">
        <f t="shared" si="17"/>
        <v>#NUM!</v>
      </c>
      <c r="L260" s="93"/>
      <c r="M260" s="92">
        <f t="shared" si="18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3">
        <v>256</v>
      </c>
      <c r="I261" s="94" t="str">
        <f t="shared" si="15"/>
        <v/>
      </c>
      <c r="J261" s="94" t="e">
        <f t="shared" si="16"/>
        <v>#NUM!</v>
      </c>
      <c r="K261" s="93" t="e">
        <f t="shared" si="17"/>
        <v>#NUM!</v>
      </c>
      <c r="L261" s="93"/>
      <c r="M261" s="92">
        <f t="shared" si="18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19">IF(H262&lt;$H$2+1,($I$2-($I$2-1)*(LOG(H262)/LOG($H$2))),"")</f>
        <v/>
      </c>
      <c r="J262" s="94" t="e">
        <f t="shared" ref="J262:J305" si="20">INT(LOG($H$2,2))-ROUNDUP(LOG(H262,2),0)+IF(OR($H$2=1,$H$2=2,$H$2=4,$H$2=8,$H$2=16,$H$2=32,$H$2=64,$H$2=128,$H$2=256),0,1)</f>
        <v>#NUM!</v>
      </c>
      <c r="K262" s="93" t="e">
        <f t="shared" ref="K262:K305" si="21">J262*$J$2</f>
        <v>#NUM!</v>
      </c>
      <c r="L262" s="93"/>
      <c r="M262" s="92">
        <f t="shared" ref="M262:M305" si="22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3">
        <v>258</v>
      </c>
      <c r="I263" s="94" t="str">
        <f t="shared" si="19"/>
        <v/>
      </c>
      <c r="J263" s="94" t="e">
        <f t="shared" si="20"/>
        <v>#NUM!</v>
      </c>
      <c r="K263" s="93" t="e">
        <f t="shared" si="21"/>
        <v>#NUM!</v>
      </c>
      <c r="L263" s="93"/>
      <c r="M263" s="92">
        <f t="shared" si="22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19"/>
        <v/>
      </c>
      <c r="J264" s="94" t="e">
        <f t="shared" si="20"/>
        <v>#NUM!</v>
      </c>
      <c r="K264" s="93" t="e">
        <f t="shared" si="21"/>
        <v>#NUM!</v>
      </c>
      <c r="L264" s="93"/>
      <c r="M264" s="92">
        <f t="shared" si="22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3">
        <v>260</v>
      </c>
      <c r="I265" s="94" t="str">
        <f t="shared" si="19"/>
        <v/>
      </c>
      <c r="J265" s="94" t="e">
        <f t="shared" si="20"/>
        <v>#NUM!</v>
      </c>
      <c r="K265" s="93" t="e">
        <f t="shared" si="21"/>
        <v>#NUM!</v>
      </c>
      <c r="L265" s="93"/>
      <c r="M265" s="92">
        <f t="shared" si="22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19"/>
        <v/>
      </c>
      <c r="J266" s="94" t="e">
        <f t="shared" si="20"/>
        <v>#NUM!</v>
      </c>
      <c r="K266" s="93" t="e">
        <f t="shared" si="21"/>
        <v>#NUM!</v>
      </c>
      <c r="L266" s="93"/>
      <c r="M266" s="92">
        <f t="shared" si="22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3">
        <v>262</v>
      </c>
      <c r="I267" s="94" t="str">
        <f t="shared" si="19"/>
        <v/>
      </c>
      <c r="J267" s="94" t="e">
        <f t="shared" si="20"/>
        <v>#NUM!</v>
      </c>
      <c r="K267" s="93" t="e">
        <f t="shared" si="21"/>
        <v>#NUM!</v>
      </c>
      <c r="L267" s="93"/>
      <c r="M267" s="92">
        <f t="shared" si="22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19"/>
        <v/>
      </c>
      <c r="J268" s="94" t="e">
        <f t="shared" si="20"/>
        <v>#NUM!</v>
      </c>
      <c r="K268" s="93" t="e">
        <f t="shared" si="21"/>
        <v>#NUM!</v>
      </c>
      <c r="L268" s="93"/>
      <c r="M268" s="92">
        <f t="shared" si="22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3">
        <v>264</v>
      </c>
      <c r="I269" s="94" t="str">
        <f t="shared" si="19"/>
        <v/>
      </c>
      <c r="J269" s="94" t="e">
        <f t="shared" si="20"/>
        <v>#NUM!</v>
      </c>
      <c r="K269" s="93" t="e">
        <f t="shared" si="21"/>
        <v>#NUM!</v>
      </c>
      <c r="L269" s="93"/>
      <c r="M269" s="92">
        <f t="shared" si="22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19"/>
        <v/>
      </c>
      <c r="J270" s="94" t="e">
        <f t="shared" si="20"/>
        <v>#NUM!</v>
      </c>
      <c r="K270" s="93" t="e">
        <f t="shared" si="21"/>
        <v>#NUM!</v>
      </c>
      <c r="L270" s="93"/>
      <c r="M270" s="92">
        <f t="shared" si="22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3">
        <v>266</v>
      </c>
      <c r="I271" s="94" t="str">
        <f t="shared" si="19"/>
        <v/>
      </c>
      <c r="J271" s="94" t="e">
        <f t="shared" si="20"/>
        <v>#NUM!</v>
      </c>
      <c r="K271" s="93" t="e">
        <f t="shared" si="21"/>
        <v>#NUM!</v>
      </c>
      <c r="L271" s="93"/>
      <c r="M271" s="92">
        <f t="shared" si="22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19"/>
        <v/>
      </c>
      <c r="J272" s="94" t="e">
        <f t="shared" si="20"/>
        <v>#NUM!</v>
      </c>
      <c r="K272" s="93" t="e">
        <f t="shared" si="21"/>
        <v>#NUM!</v>
      </c>
      <c r="L272" s="93"/>
      <c r="M272" s="92">
        <f t="shared" si="22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3">
        <v>268</v>
      </c>
      <c r="I273" s="94" t="str">
        <f t="shared" si="19"/>
        <v/>
      </c>
      <c r="J273" s="94" t="e">
        <f t="shared" si="20"/>
        <v>#NUM!</v>
      </c>
      <c r="K273" s="93" t="e">
        <f t="shared" si="21"/>
        <v>#NUM!</v>
      </c>
      <c r="L273" s="93"/>
      <c r="M273" s="92">
        <f t="shared" si="22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19"/>
        <v/>
      </c>
      <c r="J274" s="94" t="e">
        <f t="shared" si="20"/>
        <v>#NUM!</v>
      </c>
      <c r="K274" s="93" t="e">
        <f t="shared" si="21"/>
        <v>#NUM!</v>
      </c>
      <c r="L274" s="93"/>
      <c r="M274" s="92">
        <f t="shared" si="22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3">
        <v>270</v>
      </c>
      <c r="I275" s="94" t="str">
        <f t="shared" si="19"/>
        <v/>
      </c>
      <c r="J275" s="94" t="e">
        <f t="shared" si="20"/>
        <v>#NUM!</v>
      </c>
      <c r="K275" s="93" t="e">
        <f t="shared" si="21"/>
        <v>#NUM!</v>
      </c>
      <c r="L275" s="93"/>
      <c r="M275" s="92">
        <f t="shared" si="22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19"/>
        <v/>
      </c>
      <c r="J276" s="94" t="e">
        <f t="shared" si="20"/>
        <v>#NUM!</v>
      </c>
      <c r="K276" s="93" t="e">
        <f t="shared" si="21"/>
        <v>#NUM!</v>
      </c>
      <c r="L276" s="93"/>
      <c r="M276" s="92">
        <f t="shared" si="22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3">
        <v>272</v>
      </c>
      <c r="I277" s="94" t="str">
        <f t="shared" si="19"/>
        <v/>
      </c>
      <c r="J277" s="94" t="e">
        <f t="shared" si="20"/>
        <v>#NUM!</v>
      </c>
      <c r="K277" s="93" t="e">
        <f t="shared" si="21"/>
        <v>#NUM!</v>
      </c>
      <c r="L277" s="93"/>
      <c r="M277" s="92">
        <f t="shared" si="22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19"/>
        <v/>
      </c>
      <c r="J278" s="94" t="e">
        <f t="shared" si="20"/>
        <v>#NUM!</v>
      </c>
      <c r="K278" s="93" t="e">
        <f t="shared" si="21"/>
        <v>#NUM!</v>
      </c>
      <c r="L278" s="93"/>
      <c r="M278" s="92">
        <f t="shared" si="22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3">
        <v>274</v>
      </c>
      <c r="I279" s="94" t="str">
        <f t="shared" si="19"/>
        <v/>
      </c>
      <c r="J279" s="94" t="e">
        <f t="shared" si="20"/>
        <v>#NUM!</v>
      </c>
      <c r="K279" s="93" t="e">
        <f t="shared" si="21"/>
        <v>#NUM!</v>
      </c>
      <c r="L279" s="93"/>
      <c r="M279" s="92">
        <f t="shared" si="22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19"/>
        <v/>
      </c>
      <c r="J280" s="94" t="e">
        <f t="shared" si="20"/>
        <v>#NUM!</v>
      </c>
      <c r="K280" s="93" t="e">
        <f t="shared" si="21"/>
        <v>#NUM!</v>
      </c>
      <c r="L280" s="93"/>
      <c r="M280" s="92">
        <f t="shared" si="22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3">
        <v>276</v>
      </c>
      <c r="I281" s="94" t="str">
        <f t="shared" si="19"/>
        <v/>
      </c>
      <c r="J281" s="94" t="e">
        <f t="shared" si="20"/>
        <v>#NUM!</v>
      </c>
      <c r="K281" s="93" t="e">
        <f t="shared" si="21"/>
        <v>#NUM!</v>
      </c>
      <c r="L281" s="93"/>
      <c r="M281" s="92">
        <f t="shared" si="22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19"/>
        <v/>
      </c>
      <c r="J282" s="94" t="e">
        <f t="shared" si="20"/>
        <v>#NUM!</v>
      </c>
      <c r="K282" s="93" t="e">
        <f t="shared" si="21"/>
        <v>#NUM!</v>
      </c>
      <c r="L282" s="93"/>
      <c r="M282" s="92">
        <f t="shared" si="22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3">
        <v>278</v>
      </c>
      <c r="I283" s="94" t="str">
        <f t="shared" si="19"/>
        <v/>
      </c>
      <c r="J283" s="94" t="e">
        <f t="shared" si="20"/>
        <v>#NUM!</v>
      </c>
      <c r="K283" s="93" t="e">
        <f t="shared" si="21"/>
        <v>#NUM!</v>
      </c>
      <c r="L283" s="93"/>
      <c r="M283" s="92">
        <f t="shared" si="22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19"/>
        <v/>
      </c>
      <c r="J284" s="94" t="e">
        <f t="shared" si="20"/>
        <v>#NUM!</v>
      </c>
      <c r="K284" s="93" t="e">
        <f t="shared" si="21"/>
        <v>#NUM!</v>
      </c>
      <c r="L284" s="93"/>
      <c r="M284" s="92">
        <f t="shared" si="22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3">
        <v>280</v>
      </c>
      <c r="I285" s="94" t="str">
        <f t="shared" si="19"/>
        <v/>
      </c>
      <c r="J285" s="94" t="e">
        <f t="shared" si="20"/>
        <v>#NUM!</v>
      </c>
      <c r="K285" s="93" t="e">
        <f t="shared" si="21"/>
        <v>#NUM!</v>
      </c>
      <c r="L285" s="93"/>
      <c r="M285" s="92">
        <f t="shared" si="22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19"/>
        <v/>
      </c>
      <c r="J286" s="94" t="e">
        <f t="shared" si="20"/>
        <v>#NUM!</v>
      </c>
      <c r="K286" s="93" t="e">
        <f t="shared" si="21"/>
        <v>#NUM!</v>
      </c>
      <c r="L286" s="93"/>
      <c r="M286" s="92">
        <f t="shared" si="22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3">
        <v>282</v>
      </c>
      <c r="I287" s="94" t="str">
        <f t="shared" si="19"/>
        <v/>
      </c>
      <c r="J287" s="94" t="e">
        <f t="shared" si="20"/>
        <v>#NUM!</v>
      </c>
      <c r="K287" s="93" t="e">
        <f t="shared" si="21"/>
        <v>#NUM!</v>
      </c>
      <c r="L287" s="93"/>
      <c r="M287" s="92">
        <f t="shared" si="22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19"/>
        <v/>
      </c>
      <c r="J288" s="94" t="e">
        <f t="shared" si="20"/>
        <v>#NUM!</v>
      </c>
      <c r="K288" s="93" t="e">
        <f t="shared" si="21"/>
        <v>#NUM!</v>
      </c>
      <c r="L288" s="93"/>
      <c r="M288" s="92">
        <f t="shared" si="22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3">
        <v>284</v>
      </c>
      <c r="I289" s="94" t="str">
        <f t="shared" si="19"/>
        <v/>
      </c>
      <c r="J289" s="94" t="e">
        <f t="shared" si="20"/>
        <v>#NUM!</v>
      </c>
      <c r="K289" s="93" t="e">
        <f t="shared" si="21"/>
        <v>#NUM!</v>
      </c>
      <c r="L289" s="93"/>
      <c r="M289" s="92">
        <f t="shared" si="22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19"/>
        <v/>
      </c>
      <c r="J290" s="94" t="e">
        <f t="shared" si="20"/>
        <v>#NUM!</v>
      </c>
      <c r="K290" s="93" t="e">
        <f t="shared" si="21"/>
        <v>#NUM!</v>
      </c>
      <c r="L290" s="93"/>
      <c r="M290" s="92">
        <f t="shared" si="22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3">
        <v>286</v>
      </c>
      <c r="I291" s="94" t="str">
        <f t="shared" si="19"/>
        <v/>
      </c>
      <c r="J291" s="94" t="e">
        <f t="shared" si="20"/>
        <v>#NUM!</v>
      </c>
      <c r="K291" s="93" t="e">
        <f t="shared" si="21"/>
        <v>#NUM!</v>
      </c>
      <c r="L291" s="93"/>
      <c r="M291" s="92">
        <f t="shared" si="22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19"/>
        <v/>
      </c>
      <c r="J292" s="94" t="e">
        <f t="shared" si="20"/>
        <v>#NUM!</v>
      </c>
      <c r="K292" s="93" t="e">
        <f t="shared" si="21"/>
        <v>#NUM!</v>
      </c>
      <c r="L292" s="93"/>
      <c r="M292" s="92">
        <f t="shared" si="22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19"/>
        <v/>
      </c>
      <c r="J293" s="94" t="e">
        <f t="shared" si="20"/>
        <v>#NUM!</v>
      </c>
      <c r="K293" s="93" t="e">
        <f t="shared" si="21"/>
        <v>#NUM!</v>
      </c>
      <c r="L293" s="93"/>
      <c r="M293" s="92">
        <f t="shared" si="22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19"/>
        <v/>
      </c>
      <c r="J294" s="94" t="e">
        <f t="shared" si="20"/>
        <v>#NUM!</v>
      </c>
      <c r="K294" s="93" t="e">
        <f t="shared" si="21"/>
        <v>#NUM!</v>
      </c>
      <c r="L294" s="93"/>
      <c r="M294" s="92">
        <f t="shared" si="22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19"/>
        <v/>
      </c>
      <c r="J295" s="94" t="e">
        <f t="shared" si="20"/>
        <v>#NUM!</v>
      </c>
      <c r="K295" s="93" t="e">
        <f t="shared" si="21"/>
        <v>#NUM!</v>
      </c>
      <c r="L295" s="93"/>
      <c r="M295" s="92">
        <f t="shared" si="22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19"/>
        <v/>
      </c>
      <c r="J296" s="94" t="e">
        <f t="shared" si="20"/>
        <v>#NUM!</v>
      </c>
      <c r="K296" s="93" t="e">
        <f t="shared" si="21"/>
        <v>#NUM!</v>
      </c>
      <c r="L296" s="93"/>
      <c r="M296" s="92">
        <f t="shared" si="22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19"/>
        <v/>
      </c>
      <c r="J297" s="94" t="e">
        <f t="shared" si="20"/>
        <v>#NUM!</v>
      </c>
      <c r="K297" s="93" t="e">
        <f t="shared" si="21"/>
        <v>#NUM!</v>
      </c>
      <c r="L297" s="93"/>
      <c r="M297" s="92">
        <f t="shared" si="22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19"/>
        <v/>
      </c>
      <c r="J298" s="94" t="e">
        <f t="shared" si="20"/>
        <v>#NUM!</v>
      </c>
      <c r="K298" s="93" t="e">
        <f t="shared" si="21"/>
        <v>#NUM!</v>
      </c>
      <c r="L298" s="93"/>
      <c r="M298" s="92">
        <f t="shared" si="22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19"/>
        <v/>
      </c>
      <c r="J299" s="94" t="e">
        <f t="shared" si="20"/>
        <v>#NUM!</v>
      </c>
      <c r="K299" s="93" t="e">
        <f t="shared" si="21"/>
        <v>#NUM!</v>
      </c>
      <c r="L299" s="93"/>
      <c r="M299" s="92">
        <f t="shared" si="22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19"/>
        <v/>
      </c>
      <c r="J300" s="94" t="e">
        <f t="shared" si="20"/>
        <v>#NUM!</v>
      </c>
      <c r="K300" s="93" t="e">
        <f t="shared" si="21"/>
        <v>#NUM!</v>
      </c>
      <c r="L300" s="93"/>
      <c r="M300" s="92">
        <f t="shared" si="22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19"/>
        <v/>
      </c>
      <c r="J301" s="94" t="e">
        <f t="shared" si="20"/>
        <v>#NUM!</v>
      </c>
      <c r="K301" s="93" t="e">
        <f t="shared" si="21"/>
        <v>#NUM!</v>
      </c>
      <c r="L301" s="93"/>
      <c r="M301" s="92">
        <f t="shared" si="22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19"/>
        <v/>
      </c>
      <c r="J302" s="94" t="e">
        <f t="shared" si="20"/>
        <v>#NUM!</v>
      </c>
      <c r="K302" s="93" t="e">
        <f t="shared" si="21"/>
        <v>#NUM!</v>
      </c>
      <c r="L302" s="93"/>
      <c r="M302" s="92">
        <f t="shared" si="22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19"/>
        <v/>
      </c>
      <c r="J303" s="94" t="e">
        <f t="shared" si="20"/>
        <v>#NUM!</v>
      </c>
      <c r="K303" s="93" t="e">
        <f t="shared" si="21"/>
        <v>#NUM!</v>
      </c>
      <c r="L303" s="93"/>
      <c r="M303" s="92">
        <f t="shared" si="22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19"/>
        <v/>
      </c>
      <c r="J304" s="94" t="e">
        <f t="shared" si="20"/>
        <v>#NUM!</v>
      </c>
      <c r="K304" s="93" t="e">
        <f t="shared" si="21"/>
        <v>#NUM!</v>
      </c>
      <c r="L304" s="93"/>
      <c r="M304" s="92">
        <f t="shared" si="22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19"/>
        <v/>
      </c>
      <c r="J305" s="94" t="e">
        <f t="shared" si="20"/>
        <v>#NUM!</v>
      </c>
      <c r="K305" s="93" t="e">
        <f t="shared" si="21"/>
        <v>#NUM!</v>
      </c>
      <c r="L305" s="93"/>
      <c r="M305" s="92">
        <f t="shared" si="22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/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/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/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/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/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4084F4BC-42CA-48B9-B120-4EC885CA3C85}">
      <formula1>#REF!</formula1>
    </dataValidation>
  </dataValidations>
  <hyperlinks>
    <hyperlink ref="C2:D2" r:id="rId1" display="Madrid" xr:uid="{C3072594-588F-4022-8797-FD1E5DCF9BD3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D8EB-0A2B-4ADF-BC88-F60284CA0EF7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" style="88" customWidth="1"/>
    <col min="11" max="11" width="8.75" style="88" customWidth="1"/>
    <col min="12" max="12" width="11" style="88" customWidth="1"/>
    <col min="13" max="13" width="11.75" style="87" customWidth="1"/>
    <col min="14" max="15" width="13.875" style="86" customWidth="1"/>
    <col min="16" max="18" width="8.875" style="86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84"/>
  </cols>
  <sheetData>
    <row r="1" spans="1:36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99</v>
      </c>
      <c r="L1" s="116"/>
      <c r="M1" s="116"/>
      <c r="N1" s="86"/>
      <c r="O1" s="86"/>
      <c r="P1" s="86"/>
      <c r="Q1" s="86"/>
      <c r="R1" s="86"/>
    </row>
    <row r="2" spans="1:36" s="85" customFormat="1" x14ac:dyDescent="0.25">
      <c r="A2" s="86"/>
      <c r="B2" s="22" t="s">
        <v>26</v>
      </c>
      <c r="C2" s="288" t="s">
        <v>114</v>
      </c>
      <c r="D2" s="288"/>
      <c r="E2" s="23"/>
      <c r="F2" s="23"/>
      <c r="G2" s="23"/>
      <c r="H2" s="121">
        <v>0</v>
      </c>
      <c r="I2" s="120">
        <v>50</v>
      </c>
      <c r="J2" s="120">
        <v>10</v>
      </c>
      <c r="K2" s="126">
        <f>3*H2^(1/3)</f>
        <v>0</v>
      </c>
      <c r="L2" s="116"/>
      <c r="M2" s="116"/>
      <c r="N2" s="86"/>
      <c r="O2" s="86"/>
      <c r="P2" s="86"/>
      <c r="Q2" s="86"/>
      <c r="R2" s="86"/>
    </row>
    <row r="3" spans="1:36" s="85" customFormat="1" ht="14.45" customHeight="1" x14ac:dyDescent="0.25">
      <c r="A3" s="86"/>
      <c r="B3" s="118" t="s">
        <v>28</v>
      </c>
      <c r="C3" s="267" t="s">
        <v>115</v>
      </c>
      <c r="D3" s="267"/>
      <c r="E3" s="28"/>
      <c r="F3" s="28"/>
      <c r="G3" s="28"/>
      <c r="H3" s="116"/>
      <c r="I3" s="116"/>
      <c r="J3" s="116"/>
      <c r="K3" s="116"/>
      <c r="L3" s="116"/>
      <c r="M3" s="116"/>
      <c r="N3" s="86"/>
      <c r="O3" s="86"/>
      <c r="P3" s="86"/>
      <c r="Q3" s="86"/>
      <c r="R3" s="86"/>
    </row>
    <row r="4" spans="1:36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6"/>
      <c r="K4" s="116"/>
      <c r="L4" s="116"/>
      <c r="M4" s="116"/>
      <c r="N4" s="86"/>
      <c r="O4" s="86"/>
      <c r="P4" s="86"/>
      <c r="Q4" s="86"/>
      <c r="R4" s="86"/>
    </row>
    <row r="5" spans="1:36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4" t="s">
        <v>38</v>
      </c>
      <c r="K5" s="114" t="s">
        <v>39</v>
      </c>
      <c r="L5" s="114" t="s">
        <v>40</v>
      </c>
      <c r="M5" s="113" t="s">
        <v>41</v>
      </c>
      <c r="N5" s="86"/>
      <c r="O5" s="86"/>
      <c r="P5" s="86"/>
      <c r="Q5" s="86"/>
      <c r="R5" s="86"/>
    </row>
    <row r="6" spans="1:36" s="85" customFormat="1" ht="14.45" customHeight="1" x14ac:dyDescent="0.25">
      <c r="A6" s="103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93">
        <v>1</v>
      </c>
      <c r="I6" s="94" t="str">
        <f t="shared" ref="I6:I69" si="1">IF(H6&lt;$H$2+1,($I$2-($I$2-1)*(LOG(H6)/LOG($H$2))),"")</f>
        <v/>
      </c>
      <c r="J6" s="94" t="e">
        <f t="shared" ref="J6:J69" si="2">INT(LOG($H$2,2))-ROUNDUP(LOG(H6,2),0)+IF(OR($H$2=1,$H$2=2,$H$2=4,$H$2=8,$H$2=16,$H$2=32,$H$2=64,$H$2=128,$H$2=256),0,1)</f>
        <v>#NUM!</v>
      </c>
      <c r="K6" s="93" t="e">
        <f t="shared" ref="K6:K69" si="3">J6*$J$2</f>
        <v>#NUM!</v>
      </c>
      <c r="L6" s="92">
        <f>3*K2</f>
        <v>0</v>
      </c>
      <c r="M6" s="92">
        <f t="shared" ref="M6:M69" si="4">IF(I6&lt;&gt;"",K6+I6+L6,0)</f>
        <v>0</v>
      </c>
      <c r="N6" s="86"/>
      <c r="O6" s="86"/>
      <c r="P6" s="86"/>
      <c r="Q6" s="86"/>
      <c r="R6" s="86"/>
    </row>
    <row r="7" spans="1:36" s="85" customFormat="1" ht="14.45" customHeight="1" x14ac:dyDescent="0.25">
      <c r="A7" s="102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98">
        <v>2</v>
      </c>
      <c r="I7" s="99" t="str">
        <f t="shared" si="1"/>
        <v/>
      </c>
      <c r="J7" s="99" t="e">
        <f t="shared" si="2"/>
        <v>#NUM!</v>
      </c>
      <c r="K7" s="98" t="e">
        <f t="shared" si="3"/>
        <v>#NUM!</v>
      </c>
      <c r="L7" s="97">
        <f>2*K2</f>
        <v>0</v>
      </c>
      <c r="M7" s="97">
        <f t="shared" si="4"/>
        <v>0</v>
      </c>
      <c r="N7" s="86"/>
      <c r="O7" s="86"/>
      <c r="P7" s="86"/>
      <c r="Q7" s="86"/>
      <c r="R7" s="86"/>
    </row>
    <row r="8" spans="1:36" s="85" customFormat="1" ht="14.45" customHeight="1" x14ac:dyDescent="0.25">
      <c r="A8" s="103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93">
        <v>3</v>
      </c>
      <c r="I8" s="94" t="str">
        <f t="shared" si="1"/>
        <v/>
      </c>
      <c r="J8" s="94" t="e">
        <f t="shared" si="2"/>
        <v>#NUM!</v>
      </c>
      <c r="K8" s="93" t="e">
        <f t="shared" si="3"/>
        <v>#NUM!</v>
      </c>
      <c r="L8" s="92">
        <f>K2</f>
        <v>0</v>
      </c>
      <c r="M8" s="92">
        <f t="shared" si="4"/>
        <v>0</v>
      </c>
      <c r="N8" s="86"/>
      <c r="O8" s="86"/>
      <c r="P8" s="86"/>
      <c r="Q8" s="86"/>
      <c r="R8" s="86"/>
    </row>
    <row r="9" spans="1:36" s="85" customFormat="1" ht="14.45" customHeight="1" x14ac:dyDescent="0.25">
      <c r="A9" s="102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98">
        <v>3</v>
      </c>
      <c r="I9" s="99" t="str">
        <f t="shared" si="1"/>
        <v/>
      </c>
      <c r="J9" s="98" t="e">
        <f t="shared" si="2"/>
        <v>#NUM!</v>
      </c>
      <c r="K9" s="98" t="e">
        <f t="shared" si="3"/>
        <v>#NUM!</v>
      </c>
      <c r="L9" s="97">
        <f>K2</f>
        <v>0</v>
      </c>
      <c r="M9" s="97">
        <f t="shared" si="4"/>
        <v>0</v>
      </c>
      <c r="N9" s="86"/>
      <c r="O9" s="86"/>
      <c r="P9" s="86"/>
      <c r="Q9" s="86"/>
      <c r="R9" s="86"/>
      <c r="V9" s="109"/>
      <c r="Z9" s="108"/>
      <c r="AA9" s="108"/>
      <c r="AG9" s="110"/>
      <c r="AH9" s="85" t="s">
        <v>42</v>
      </c>
      <c r="AI9" s="85">
        <v>23</v>
      </c>
    </row>
    <row r="10" spans="1:36" s="85" customFormat="1" ht="14.45" customHeight="1" x14ac:dyDescent="0.25">
      <c r="A10" s="103">
        <f t="shared" si="0"/>
        <v>0</v>
      </c>
      <c r="B10" s="36" t="str">
        <f t="shared" ref="B10:B41" si="5">IF(H10&gt;$H$2,"",(ROW()-5))</f>
        <v/>
      </c>
      <c r="C10" s="37"/>
      <c r="D10" s="37"/>
      <c r="E10" s="37"/>
      <c r="F10" s="37"/>
      <c r="G10" s="30"/>
      <c r="H10" s="93">
        <v>5</v>
      </c>
      <c r="I10" s="94" t="str">
        <f t="shared" si="1"/>
        <v/>
      </c>
      <c r="J10" s="94" t="e">
        <f t="shared" si="2"/>
        <v>#NUM!</v>
      </c>
      <c r="K10" s="93" t="e">
        <f t="shared" si="3"/>
        <v>#NUM!</v>
      </c>
      <c r="L10" s="93"/>
      <c r="M10" s="92">
        <f t="shared" si="4"/>
        <v>0</v>
      </c>
      <c r="N10" s="86"/>
      <c r="O10" s="86"/>
      <c r="P10" s="86"/>
      <c r="Q10" s="86"/>
      <c r="R10" s="86"/>
      <c r="V10" s="109"/>
      <c r="Z10" s="108"/>
      <c r="AA10" s="108"/>
      <c r="AG10" s="110"/>
      <c r="AH10" s="85" t="s">
        <v>43</v>
      </c>
      <c r="AI10" s="85">
        <v>45</v>
      </c>
    </row>
    <row r="11" spans="1:36" s="85" customFormat="1" ht="14.45" customHeight="1" x14ac:dyDescent="0.25">
      <c r="A11" s="102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98">
        <v>6</v>
      </c>
      <c r="I11" s="99" t="str">
        <f t="shared" si="1"/>
        <v/>
      </c>
      <c r="J11" s="99" t="e">
        <f t="shared" si="2"/>
        <v>#NUM!</v>
      </c>
      <c r="K11" s="98" t="e">
        <f t="shared" si="3"/>
        <v>#NUM!</v>
      </c>
      <c r="L11" s="98"/>
      <c r="M11" s="97">
        <f t="shared" si="4"/>
        <v>0</v>
      </c>
      <c r="N11" s="86"/>
      <c r="O11" s="86"/>
      <c r="P11" s="86"/>
      <c r="Q11" s="86"/>
      <c r="R11" s="86"/>
      <c r="V11" s="112"/>
      <c r="Z11" s="108"/>
      <c r="AA11" s="108"/>
      <c r="AG11" s="110"/>
      <c r="AH11" s="85" t="s">
        <v>44</v>
      </c>
      <c r="AI11" s="85">
        <v>50</v>
      </c>
    </row>
    <row r="12" spans="1:36" s="85" customFormat="1" ht="14.45" customHeight="1" x14ac:dyDescent="0.25">
      <c r="A12" s="103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93">
        <v>7</v>
      </c>
      <c r="I12" s="94" t="str">
        <f t="shared" si="1"/>
        <v/>
      </c>
      <c r="J12" s="94" t="e">
        <f t="shared" si="2"/>
        <v>#NUM!</v>
      </c>
      <c r="K12" s="93" t="e">
        <f t="shared" si="3"/>
        <v>#NUM!</v>
      </c>
      <c r="L12" s="93"/>
      <c r="M12" s="92">
        <f t="shared" si="4"/>
        <v>0</v>
      </c>
      <c r="N12" s="86"/>
      <c r="O12" s="86"/>
      <c r="P12" s="86"/>
      <c r="Q12" s="86"/>
      <c r="R12" s="86"/>
      <c r="Z12" s="108"/>
      <c r="AA12" s="108"/>
      <c r="AG12" s="110"/>
      <c r="AH12" s="85" t="s">
        <v>45</v>
      </c>
      <c r="AI12" s="85">
        <f>AI11-1</f>
        <v>49</v>
      </c>
    </row>
    <row r="13" spans="1:36" s="85" customFormat="1" ht="14.45" customHeight="1" x14ac:dyDescent="0.25">
      <c r="A13" s="102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98">
        <v>8</v>
      </c>
      <c r="I13" s="99" t="str">
        <f t="shared" si="1"/>
        <v/>
      </c>
      <c r="J13" s="99" t="e">
        <f t="shared" si="2"/>
        <v>#NUM!</v>
      </c>
      <c r="K13" s="98" t="e">
        <f t="shared" si="3"/>
        <v>#NUM!</v>
      </c>
      <c r="L13" s="98"/>
      <c r="M13" s="97">
        <f t="shared" si="4"/>
        <v>0</v>
      </c>
      <c r="N13" s="86"/>
      <c r="O13" s="86"/>
      <c r="P13" s="86"/>
      <c r="Q13" s="86"/>
      <c r="R13" s="86"/>
      <c r="X13" s="109"/>
      <c r="AG13" s="110"/>
      <c r="AH13" s="85" t="s">
        <v>46</v>
      </c>
      <c r="AI13" s="85">
        <f>LOG(AI9)</f>
        <v>1.3617278360175928</v>
      </c>
    </row>
    <row r="14" spans="1:36" s="85" customFormat="1" x14ac:dyDescent="0.25">
      <c r="A14" s="103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93">
        <v>9</v>
      </c>
      <c r="I14" s="94" t="str">
        <f t="shared" si="1"/>
        <v/>
      </c>
      <c r="J14" s="94" t="e">
        <f t="shared" si="2"/>
        <v>#NUM!</v>
      </c>
      <c r="K14" s="93" t="e">
        <f t="shared" si="3"/>
        <v>#NUM!</v>
      </c>
      <c r="L14" s="93"/>
      <c r="M14" s="92">
        <f t="shared" si="4"/>
        <v>0</v>
      </c>
      <c r="N14" s="86"/>
      <c r="O14" s="86"/>
      <c r="P14" s="86"/>
      <c r="Q14" s="86"/>
      <c r="R14" s="86"/>
      <c r="X14" s="111"/>
      <c r="Z14" s="108"/>
      <c r="AA14" s="108"/>
      <c r="AG14" s="110"/>
      <c r="AH14" s="85" t="s">
        <v>47</v>
      </c>
      <c r="AI14" s="85">
        <f>LOG(AI10)</f>
        <v>1.6532125137753437</v>
      </c>
    </row>
    <row r="15" spans="1:36" s="85" customFormat="1" x14ac:dyDescent="0.25">
      <c r="A15" s="102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98">
        <v>10</v>
      </c>
      <c r="I15" s="99" t="str">
        <f t="shared" si="1"/>
        <v/>
      </c>
      <c r="J15" s="99" t="e">
        <f t="shared" si="2"/>
        <v>#NUM!</v>
      </c>
      <c r="K15" s="98" t="e">
        <f t="shared" si="3"/>
        <v>#NUM!</v>
      </c>
      <c r="L15" s="98"/>
      <c r="M15" s="97">
        <f t="shared" si="4"/>
        <v>0</v>
      </c>
      <c r="N15" s="86"/>
      <c r="O15" s="86"/>
      <c r="P15" s="86"/>
      <c r="Q15" s="86"/>
      <c r="R15" s="86"/>
      <c r="X15" s="109"/>
      <c r="Z15" s="108"/>
      <c r="AA15" s="108"/>
    </row>
    <row r="16" spans="1:36" s="85" customFormat="1" x14ac:dyDescent="0.25">
      <c r="A16" s="103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93">
        <v>11</v>
      </c>
      <c r="I16" s="94" t="str">
        <f t="shared" si="1"/>
        <v/>
      </c>
      <c r="J16" s="94" t="e">
        <f t="shared" si="2"/>
        <v>#NUM!</v>
      </c>
      <c r="K16" s="93" t="e">
        <f t="shared" si="3"/>
        <v>#NUM!</v>
      </c>
      <c r="L16" s="93"/>
      <c r="M16" s="92">
        <f t="shared" si="4"/>
        <v>0</v>
      </c>
      <c r="N16" s="86"/>
      <c r="O16" s="86"/>
      <c r="P16" s="86"/>
      <c r="Q16" s="86"/>
      <c r="R16" s="89"/>
      <c r="Z16" s="108"/>
      <c r="AA16" s="108"/>
      <c r="AH16" s="107" t="s">
        <v>48</v>
      </c>
      <c r="AI16" s="85">
        <f>AI11-AI12*AI13/AI14</f>
        <v>9.6393909380186855</v>
      </c>
      <c r="AJ16" s="85" t="s">
        <v>49</v>
      </c>
    </row>
    <row r="17" spans="1:19" s="85" customFormat="1" x14ac:dyDescent="0.25">
      <c r="A17" s="102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98">
        <v>12</v>
      </c>
      <c r="I17" s="99" t="str">
        <f t="shared" si="1"/>
        <v/>
      </c>
      <c r="J17" s="99" t="e">
        <f t="shared" si="2"/>
        <v>#NUM!</v>
      </c>
      <c r="K17" s="98" t="e">
        <f t="shared" si="3"/>
        <v>#NUM!</v>
      </c>
      <c r="L17" s="98"/>
      <c r="M17" s="97">
        <f t="shared" si="4"/>
        <v>0</v>
      </c>
      <c r="N17" s="86"/>
      <c r="O17" s="86"/>
      <c r="P17" s="86"/>
      <c r="Q17" s="86"/>
      <c r="R17" s="86"/>
    </row>
    <row r="18" spans="1:19" s="85" customFormat="1" x14ac:dyDescent="0.25">
      <c r="A18" s="103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93">
        <v>13</v>
      </c>
      <c r="I18" s="94" t="str">
        <f t="shared" si="1"/>
        <v/>
      </c>
      <c r="J18" s="94" t="e">
        <f t="shared" si="2"/>
        <v>#NUM!</v>
      </c>
      <c r="K18" s="93" t="e">
        <f t="shared" si="3"/>
        <v>#NUM!</v>
      </c>
      <c r="L18" s="93"/>
      <c r="M18" s="92">
        <f t="shared" si="4"/>
        <v>0</v>
      </c>
      <c r="N18" s="86"/>
      <c r="O18" s="86"/>
      <c r="P18" s="86"/>
      <c r="Q18" s="86"/>
      <c r="R18" s="86"/>
    </row>
    <row r="19" spans="1:19" s="85" customFormat="1" x14ac:dyDescent="0.25">
      <c r="A19" s="102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98">
        <v>14</v>
      </c>
      <c r="I19" s="99" t="str">
        <f t="shared" si="1"/>
        <v/>
      </c>
      <c r="J19" s="99" t="e">
        <f t="shared" si="2"/>
        <v>#NUM!</v>
      </c>
      <c r="K19" s="98" t="e">
        <f t="shared" si="3"/>
        <v>#NUM!</v>
      </c>
      <c r="L19" s="98"/>
      <c r="M19" s="97">
        <f t="shared" si="4"/>
        <v>0</v>
      </c>
      <c r="N19" s="86"/>
      <c r="O19" s="86"/>
      <c r="P19" s="86"/>
      <c r="Q19" s="86"/>
      <c r="R19" s="86"/>
    </row>
    <row r="20" spans="1:19" s="85" customFormat="1" x14ac:dyDescent="0.25">
      <c r="A20" s="103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93">
        <v>15</v>
      </c>
      <c r="I20" s="94" t="str">
        <f t="shared" si="1"/>
        <v/>
      </c>
      <c r="J20" s="94" t="e">
        <f t="shared" si="2"/>
        <v>#NUM!</v>
      </c>
      <c r="K20" s="93" t="e">
        <f t="shared" si="3"/>
        <v>#NUM!</v>
      </c>
      <c r="L20" s="93"/>
      <c r="M20" s="92">
        <f t="shared" si="4"/>
        <v>0</v>
      </c>
      <c r="N20" s="86"/>
      <c r="O20" s="86"/>
      <c r="P20" s="86"/>
      <c r="Q20" s="86"/>
      <c r="R20" s="106"/>
      <c r="S20" s="105"/>
    </row>
    <row r="21" spans="1:19" s="85" customFormat="1" x14ac:dyDescent="0.25">
      <c r="A21" s="102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98">
        <v>16</v>
      </c>
      <c r="I21" s="99" t="str">
        <f t="shared" si="1"/>
        <v/>
      </c>
      <c r="J21" s="99" t="e">
        <f t="shared" si="2"/>
        <v>#NUM!</v>
      </c>
      <c r="K21" s="98" t="e">
        <f t="shared" si="3"/>
        <v>#NUM!</v>
      </c>
      <c r="L21" s="98"/>
      <c r="M21" s="97">
        <f t="shared" si="4"/>
        <v>0</v>
      </c>
      <c r="N21" s="86"/>
      <c r="O21" s="86"/>
      <c r="P21" s="86"/>
      <c r="Q21" s="86"/>
      <c r="R21" s="86"/>
    </row>
    <row r="22" spans="1:19" s="85" customFormat="1" x14ac:dyDescent="0.25">
      <c r="A22" s="103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93">
        <v>17</v>
      </c>
      <c r="I22" s="94" t="str">
        <f t="shared" si="1"/>
        <v/>
      </c>
      <c r="J22" s="94" t="e">
        <f t="shared" si="2"/>
        <v>#NUM!</v>
      </c>
      <c r="K22" s="93" t="e">
        <f t="shared" si="3"/>
        <v>#NUM!</v>
      </c>
      <c r="L22" s="93"/>
      <c r="M22" s="92">
        <f t="shared" si="4"/>
        <v>0</v>
      </c>
      <c r="N22" s="86"/>
      <c r="O22" s="86"/>
      <c r="P22" s="86"/>
      <c r="Q22" s="86"/>
      <c r="R22" s="86"/>
    </row>
    <row r="23" spans="1:19" s="85" customFormat="1" x14ac:dyDescent="0.25">
      <c r="A23" s="102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98">
        <v>18</v>
      </c>
      <c r="I23" s="99" t="str">
        <f t="shared" si="1"/>
        <v/>
      </c>
      <c r="J23" s="99" t="e">
        <f t="shared" si="2"/>
        <v>#NUM!</v>
      </c>
      <c r="K23" s="98" t="e">
        <f t="shared" si="3"/>
        <v>#NUM!</v>
      </c>
      <c r="L23" s="98"/>
      <c r="M23" s="97">
        <f t="shared" si="4"/>
        <v>0</v>
      </c>
      <c r="N23" s="86"/>
      <c r="O23" s="86"/>
      <c r="P23" s="86"/>
      <c r="Q23" s="86"/>
      <c r="R23" s="86"/>
    </row>
    <row r="24" spans="1:19" s="85" customFormat="1" x14ac:dyDescent="0.25">
      <c r="A24" s="103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93">
        <v>19</v>
      </c>
      <c r="I24" s="94" t="str">
        <f t="shared" si="1"/>
        <v/>
      </c>
      <c r="J24" s="94" t="e">
        <f t="shared" si="2"/>
        <v>#NUM!</v>
      </c>
      <c r="K24" s="93" t="e">
        <f t="shared" si="3"/>
        <v>#NUM!</v>
      </c>
      <c r="L24" s="93"/>
      <c r="M24" s="92">
        <f t="shared" si="4"/>
        <v>0</v>
      </c>
      <c r="N24" s="86"/>
      <c r="O24" s="86"/>
      <c r="P24" s="86"/>
      <c r="Q24" s="86"/>
      <c r="R24" s="106"/>
      <c r="S24" s="105"/>
    </row>
    <row r="25" spans="1:19" s="85" customFormat="1" x14ac:dyDescent="0.25">
      <c r="A25" s="102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98">
        <v>20</v>
      </c>
      <c r="I25" s="99" t="str">
        <f t="shared" si="1"/>
        <v/>
      </c>
      <c r="J25" s="99" t="e">
        <f t="shared" si="2"/>
        <v>#NUM!</v>
      </c>
      <c r="K25" s="98" t="e">
        <f t="shared" si="3"/>
        <v>#NUM!</v>
      </c>
      <c r="L25" s="98"/>
      <c r="M25" s="97">
        <f t="shared" si="4"/>
        <v>0</v>
      </c>
      <c r="N25" s="86"/>
      <c r="O25" s="86"/>
      <c r="P25" s="86"/>
      <c r="Q25" s="86"/>
      <c r="R25" s="86"/>
    </row>
    <row r="26" spans="1:19" s="85" customFormat="1" x14ac:dyDescent="0.25">
      <c r="A26" s="103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93">
        <v>21</v>
      </c>
      <c r="I26" s="94" t="str">
        <f t="shared" si="1"/>
        <v/>
      </c>
      <c r="J26" s="94" t="e">
        <f t="shared" si="2"/>
        <v>#NUM!</v>
      </c>
      <c r="K26" s="93" t="e">
        <f t="shared" si="3"/>
        <v>#NUM!</v>
      </c>
      <c r="L26" s="93"/>
      <c r="M26" s="92">
        <f t="shared" si="4"/>
        <v>0</v>
      </c>
      <c r="N26" s="86"/>
      <c r="O26" s="86"/>
      <c r="P26" s="86"/>
      <c r="Q26" s="86"/>
      <c r="R26" s="86"/>
    </row>
    <row r="27" spans="1:19" s="85" customFormat="1" x14ac:dyDescent="0.25">
      <c r="A27" s="102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98">
        <v>22</v>
      </c>
      <c r="I27" s="99" t="str">
        <f t="shared" si="1"/>
        <v/>
      </c>
      <c r="J27" s="99" t="e">
        <f t="shared" si="2"/>
        <v>#NUM!</v>
      </c>
      <c r="K27" s="98" t="e">
        <f t="shared" si="3"/>
        <v>#NUM!</v>
      </c>
      <c r="L27" s="98"/>
      <c r="M27" s="97">
        <f t="shared" si="4"/>
        <v>0</v>
      </c>
      <c r="N27" s="86"/>
      <c r="O27" s="86"/>
      <c r="P27" s="86"/>
      <c r="Q27" s="86"/>
      <c r="R27" s="86"/>
    </row>
    <row r="28" spans="1:19" s="85" customFormat="1" x14ac:dyDescent="0.25">
      <c r="A28" s="103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93">
        <v>23</v>
      </c>
      <c r="I28" s="94" t="str">
        <f t="shared" si="1"/>
        <v/>
      </c>
      <c r="J28" s="94" t="e">
        <f t="shared" si="2"/>
        <v>#NUM!</v>
      </c>
      <c r="K28" s="93" t="e">
        <f t="shared" si="3"/>
        <v>#NUM!</v>
      </c>
      <c r="L28" s="93"/>
      <c r="M28" s="92">
        <f t="shared" si="4"/>
        <v>0</v>
      </c>
      <c r="N28" s="86"/>
      <c r="O28" s="86"/>
      <c r="P28" s="86"/>
      <c r="Q28" s="86"/>
      <c r="R28" s="106"/>
      <c r="S28" s="105"/>
    </row>
    <row r="29" spans="1:19" s="85" customFormat="1" x14ac:dyDescent="0.25">
      <c r="A29" s="102">
        <f t="shared" si="0"/>
        <v>0</v>
      </c>
      <c r="B29" s="42" t="str">
        <f t="shared" si="5"/>
        <v/>
      </c>
      <c r="C29" s="43"/>
      <c r="D29" s="43"/>
      <c r="E29" s="43"/>
      <c r="F29" s="43"/>
      <c r="G29" s="86"/>
      <c r="H29" s="98">
        <v>24</v>
      </c>
      <c r="I29" s="99" t="str">
        <f t="shared" si="1"/>
        <v/>
      </c>
      <c r="J29" s="99" t="e">
        <f t="shared" si="2"/>
        <v>#NUM!</v>
      </c>
      <c r="K29" s="98" t="e">
        <f t="shared" si="3"/>
        <v>#NUM!</v>
      </c>
      <c r="L29" s="98"/>
      <c r="M29" s="97">
        <f t="shared" si="4"/>
        <v>0</v>
      </c>
      <c r="N29" s="86"/>
      <c r="O29" s="86"/>
      <c r="P29" s="86"/>
      <c r="Q29" s="86"/>
      <c r="R29" s="86"/>
    </row>
    <row r="30" spans="1:19" s="85" customFormat="1" x14ac:dyDescent="0.25">
      <c r="A30" s="103">
        <f t="shared" si="0"/>
        <v>0</v>
      </c>
      <c r="B30" s="36" t="str">
        <f t="shared" si="5"/>
        <v/>
      </c>
      <c r="C30" s="37"/>
      <c r="D30" s="37"/>
      <c r="E30" s="37"/>
      <c r="F30" s="37"/>
      <c r="G30" s="86"/>
      <c r="H30" s="93">
        <v>25</v>
      </c>
      <c r="I30" s="94" t="str">
        <f t="shared" si="1"/>
        <v/>
      </c>
      <c r="J30" s="94" t="e">
        <f t="shared" si="2"/>
        <v>#NUM!</v>
      </c>
      <c r="K30" s="93" t="e">
        <f t="shared" si="3"/>
        <v>#NUM!</v>
      </c>
      <c r="L30" s="93"/>
      <c r="M30" s="92">
        <f t="shared" si="4"/>
        <v>0</v>
      </c>
      <c r="N30" s="86"/>
      <c r="O30" s="86"/>
      <c r="P30" s="86"/>
      <c r="Q30" s="86"/>
      <c r="R30" s="86"/>
    </row>
    <row r="31" spans="1:19" s="85" customFormat="1" x14ac:dyDescent="0.25">
      <c r="A31" s="102">
        <f t="shared" si="0"/>
        <v>0</v>
      </c>
      <c r="B31" s="42" t="str">
        <f t="shared" si="5"/>
        <v/>
      </c>
      <c r="C31" s="43"/>
      <c r="D31" s="43"/>
      <c r="E31" s="43"/>
      <c r="F31" s="43"/>
      <c r="G31" s="86"/>
      <c r="H31" s="98">
        <v>26</v>
      </c>
      <c r="I31" s="99" t="str">
        <f t="shared" si="1"/>
        <v/>
      </c>
      <c r="J31" s="99" t="e">
        <f t="shared" si="2"/>
        <v>#NUM!</v>
      </c>
      <c r="K31" s="98" t="e">
        <f t="shared" si="3"/>
        <v>#NUM!</v>
      </c>
      <c r="L31" s="98"/>
      <c r="M31" s="97">
        <f t="shared" si="4"/>
        <v>0</v>
      </c>
      <c r="N31" s="86"/>
      <c r="O31" s="86"/>
      <c r="P31" s="86"/>
      <c r="Q31" s="86"/>
      <c r="R31" s="86"/>
    </row>
    <row r="32" spans="1:19" s="85" customFormat="1" x14ac:dyDescent="0.25">
      <c r="A32" s="103">
        <f t="shared" si="0"/>
        <v>0</v>
      </c>
      <c r="B32" s="36" t="str">
        <f t="shared" si="5"/>
        <v/>
      </c>
      <c r="C32" s="37"/>
      <c r="D32" s="37"/>
      <c r="E32" s="37"/>
      <c r="F32" s="37"/>
      <c r="G32" s="86"/>
      <c r="H32" s="93">
        <v>27</v>
      </c>
      <c r="I32" s="94" t="str">
        <f t="shared" si="1"/>
        <v/>
      </c>
      <c r="J32" s="94" t="e">
        <f t="shared" si="2"/>
        <v>#NUM!</v>
      </c>
      <c r="K32" s="93" t="e">
        <f t="shared" si="3"/>
        <v>#NUM!</v>
      </c>
      <c r="L32" s="93"/>
      <c r="M32" s="92">
        <f t="shared" si="4"/>
        <v>0</v>
      </c>
      <c r="N32" s="86"/>
      <c r="O32" s="86"/>
      <c r="P32" s="86"/>
      <c r="Q32" s="86"/>
      <c r="R32" s="106"/>
      <c r="S32" s="105"/>
    </row>
    <row r="33" spans="1:21" s="85" customFormat="1" x14ac:dyDescent="0.25">
      <c r="A33" s="102">
        <f t="shared" si="0"/>
        <v>0</v>
      </c>
      <c r="B33" s="42" t="str">
        <f t="shared" si="5"/>
        <v/>
      </c>
      <c r="C33" s="43"/>
      <c r="D33" s="43"/>
      <c r="E33" s="43"/>
      <c r="F33" s="43"/>
      <c r="G33" s="86"/>
      <c r="H33" s="98">
        <v>28</v>
      </c>
      <c r="I33" s="99" t="str">
        <f t="shared" si="1"/>
        <v/>
      </c>
      <c r="J33" s="99" t="e">
        <f t="shared" si="2"/>
        <v>#NUM!</v>
      </c>
      <c r="K33" s="98" t="e">
        <f t="shared" si="3"/>
        <v>#NUM!</v>
      </c>
      <c r="L33" s="98"/>
      <c r="M33" s="97">
        <f t="shared" si="4"/>
        <v>0</v>
      </c>
      <c r="N33" s="86"/>
      <c r="O33" s="86"/>
      <c r="P33" s="86"/>
      <c r="Q33" s="86"/>
      <c r="R33" s="86"/>
    </row>
    <row r="34" spans="1:21" s="85" customFormat="1" x14ac:dyDescent="0.25">
      <c r="A34" s="103">
        <f t="shared" si="0"/>
        <v>0</v>
      </c>
      <c r="B34" s="36" t="str">
        <f t="shared" si="5"/>
        <v/>
      </c>
      <c r="C34" s="37"/>
      <c r="D34" s="37"/>
      <c r="E34" s="37"/>
      <c r="F34" s="37"/>
      <c r="G34" s="86"/>
      <c r="H34" s="93">
        <v>29</v>
      </c>
      <c r="I34" s="94" t="str">
        <f t="shared" si="1"/>
        <v/>
      </c>
      <c r="J34" s="94" t="e">
        <f t="shared" si="2"/>
        <v>#NUM!</v>
      </c>
      <c r="K34" s="93" t="e">
        <f t="shared" si="3"/>
        <v>#NUM!</v>
      </c>
      <c r="L34" s="93"/>
      <c r="M34" s="92">
        <f t="shared" si="4"/>
        <v>0</v>
      </c>
      <c r="N34" s="86"/>
      <c r="O34" s="86"/>
      <c r="P34" s="86"/>
      <c r="Q34" s="86"/>
      <c r="R34" s="86"/>
    </row>
    <row r="35" spans="1:21" s="85" customFormat="1" x14ac:dyDescent="0.25">
      <c r="A35" s="102">
        <f t="shared" si="0"/>
        <v>0</v>
      </c>
      <c r="B35" s="42" t="str">
        <f t="shared" si="5"/>
        <v/>
      </c>
      <c r="C35" s="43"/>
      <c r="D35" s="43"/>
      <c r="E35" s="43"/>
      <c r="F35" s="43"/>
      <c r="G35" s="86"/>
      <c r="H35" s="98">
        <v>30</v>
      </c>
      <c r="I35" s="99" t="str">
        <f t="shared" si="1"/>
        <v/>
      </c>
      <c r="J35" s="99" t="e">
        <f t="shared" si="2"/>
        <v>#NUM!</v>
      </c>
      <c r="K35" s="98" t="e">
        <f t="shared" si="3"/>
        <v>#NUM!</v>
      </c>
      <c r="L35" s="98"/>
      <c r="M35" s="97">
        <f t="shared" si="4"/>
        <v>0</v>
      </c>
      <c r="N35" s="86"/>
      <c r="O35" s="86"/>
      <c r="P35" s="86"/>
      <c r="Q35" s="86"/>
      <c r="R35" s="86"/>
    </row>
    <row r="36" spans="1:21" s="85" customFormat="1" x14ac:dyDescent="0.25">
      <c r="A36" s="103">
        <f t="shared" si="0"/>
        <v>0</v>
      </c>
      <c r="B36" s="36" t="str">
        <f t="shared" si="5"/>
        <v/>
      </c>
      <c r="C36" s="37"/>
      <c r="D36" s="37"/>
      <c r="E36" s="37"/>
      <c r="F36" s="37"/>
      <c r="G36" s="86"/>
      <c r="H36" s="93">
        <v>31</v>
      </c>
      <c r="I36" s="94" t="str">
        <f t="shared" si="1"/>
        <v/>
      </c>
      <c r="J36" s="94" t="e">
        <f t="shared" si="2"/>
        <v>#NUM!</v>
      </c>
      <c r="K36" s="93" t="e">
        <f t="shared" si="3"/>
        <v>#NUM!</v>
      </c>
      <c r="L36" s="93"/>
      <c r="M36" s="92">
        <f t="shared" si="4"/>
        <v>0</v>
      </c>
      <c r="N36" s="86"/>
      <c r="O36" s="86"/>
      <c r="P36" s="86"/>
      <c r="Q36" s="86"/>
      <c r="R36" s="106"/>
      <c r="S36" s="105"/>
    </row>
    <row r="37" spans="1:21" s="85" customFormat="1" x14ac:dyDescent="0.25">
      <c r="A37" s="102">
        <f t="shared" si="0"/>
        <v>0</v>
      </c>
      <c r="B37" s="42" t="str">
        <f t="shared" si="5"/>
        <v/>
      </c>
      <c r="C37" s="43"/>
      <c r="D37" s="43"/>
      <c r="E37" s="43"/>
      <c r="F37" s="43"/>
      <c r="G37" s="86"/>
      <c r="H37" s="98">
        <v>32</v>
      </c>
      <c r="I37" s="99" t="str">
        <f t="shared" si="1"/>
        <v/>
      </c>
      <c r="J37" s="99" t="e">
        <f t="shared" si="2"/>
        <v>#NUM!</v>
      </c>
      <c r="K37" s="98" t="e">
        <f t="shared" si="3"/>
        <v>#NUM!</v>
      </c>
      <c r="L37" s="98"/>
      <c r="M37" s="97">
        <f t="shared" si="4"/>
        <v>0</v>
      </c>
      <c r="N37" s="86"/>
      <c r="O37" s="86"/>
      <c r="P37" s="86"/>
      <c r="Q37" s="86"/>
      <c r="R37" s="86"/>
    </row>
    <row r="38" spans="1:21" s="85" customFormat="1" x14ac:dyDescent="0.25">
      <c r="A38" s="102">
        <f t="shared" ref="A38:A69" si="6">M38</f>
        <v>0</v>
      </c>
      <c r="B38" s="36" t="str">
        <f t="shared" si="5"/>
        <v/>
      </c>
      <c r="C38" s="37"/>
      <c r="D38" s="37"/>
      <c r="E38" s="37"/>
      <c r="F38" s="37"/>
      <c r="G38" s="86"/>
      <c r="H38" s="93">
        <v>33</v>
      </c>
      <c r="I38" s="94" t="str">
        <f t="shared" si="1"/>
        <v/>
      </c>
      <c r="J38" s="94" t="e">
        <f t="shared" si="2"/>
        <v>#NUM!</v>
      </c>
      <c r="K38" s="93" t="e">
        <f t="shared" si="3"/>
        <v>#NUM!</v>
      </c>
      <c r="L38" s="93"/>
      <c r="M38" s="92">
        <f t="shared" si="4"/>
        <v>0</v>
      </c>
      <c r="N38" s="86"/>
      <c r="O38" s="86"/>
      <c r="P38" s="86"/>
      <c r="Q38" s="86"/>
      <c r="R38" s="86"/>
    </row>
    <row r="39" spans="1:21" s="85" customFormat="1" x14ac:dyDescent="0.25">
      <c r="A39" s="102">
        <f t="shared" si="6"/>
        <v>0</v>
      </c>
      <c r="B39" s="42" t="str">
        <f t="shared" si="5"/>
        <v/>
      </c>
      <c r="C39" s="43"/>
      <c r="D39" s="43"/>
      <c r="E39" s="43"/>
      <c r="F39" s="43"/>
      <c r="G39" s="86"/>
      <c r="H39" s="98">
        <v>34</v>
      </c>
      <c r="I39" s="99" t="str">
        <f t="shared" si="1"/>
        <v/>
      </c>
      <c r="J39" s="99" t="e">
        <f t="shared" si="2"/>
        <v>#NUM!</v>
      </c>
      <c r="K39" s="98" t="e">
        <f t="shared" si="3"/>
        <v>#NUM!</v>
      </c>
      <c r="L39" s="98"/>
      <c r="M39" s="97">
        <f t="shared" si="4"/>
        <v>0</v>
      </c>
      <c r="N39" s="86"/>
      <c r="O39" s="86"/>
      <c r="P39" s="86"/>
      <c r="Q39" s="86"/>
      <c r="R39" s="86"/>
    </row>
    <row r="40" spans="1:21" s="85" customFormat="1" x14ac:dyDescent="0.25">
      <c r="A40" s="102">
        <f t="shared" si="6"/>
        <v>0</v>
      </c>
      <c r="B40" s="36" t="str">
        <f t="shared" si="5"/>
        <v/>
      </c>
      <c r="C40" s="37"/>
      <c r="D40" s="37"/>
      <c r="E40" s="37"/>
      <c r="F40" s="37"/>
      <c r="G40" s="86"/>
      <c r="H40" s="93">
        <v>35</v>
      </c>
      <c r="I40" s="94" t="str">
        <f t="shared" si="1"/>
        <v/>
      </c>
      <c r="J40" s="94" t="e">
        <f t="shared" si="2"/>
        <v>#NUM!</v>
      </c>
      <c r="K40" s="93" t="e">
        <f t="shared" si="3"/>
        <v>#NUM!</v>
      </c>
      <c r="L40" s="93"/>
      <c r="M40" s="92">
        <f t="shared" si="4"/>
        <v>0</v>
      </c>
      <c r="N40" s="86"/>
      <c r="O40" s="86"/>
      <c r="P40" s="86"/>
      <c r="Q40" s="86"/>
      <c r="R40" s="86"/>
    </row>
    <row r="41" spans="1:21" s="85" customFormat="1" x14ac:dyDescent="0.25">
      <c r="A41" s="102">
        <f t="shared" si="6"/>
        <v>0</v>
      </c>
      <c r="B41" s="42" t="str">
        <f t="shared" si="5"/>
        <v/>
      </c>
      <c r="C41" s="43"/>
      <c r="D41" s="43"/>
      <c r="E41" s="43"/>
      <c r="F41" s="43"/>
      <c r="G41" s="86"/>
      <c r="H41" s="98">
        <v>36</v>
      </c>
      <c r="I41" s="99" t="str">
        <f t="shared" si="1"/>
        <v/>
      </c>
      <c r="J41" s="99" t="e">
        <f t="shared" si="2"/>
        <v>#NUM!</v>
      </c>
      <c r="K41" s="98" t="e">
        <f t="shared" si="3"/>
        <v>#NUM!</v>
      </c>
      <c r="L41" s="98"/>
      <c r="M41" s="97">
        <f t="shared" si="4"/>
        <v>0</v>
      </c>
      <c r="N41" s="86"/>
      <c r="O41" s="86"/>
      <c r="P41" s="86"/>
      <c r="Q41" s="86"/>
      <c r="R41" s="86"/>
      <c r="S41" s="104"/>
    </row>
    <row r="42" spans="1:21" s="85" customFormat="1" x14ac:dyDescent="0.25">
      <c r="A42" s="102">
        <f t="shared" si="6"/>
        <v>0</v>
      </c>
      <c r="B42" s="36" t="str">
        <f t="shared" ref="B42:B65" si="7">IF(H42&gt;$H$2,"",(ROW()-5))</f>
        <v/>
      </c>
      <c r="C42" s="37"/>
      <c r="D42" s="37"/>
      <c r="E42" s="37"/>
      <c r="F42" s="37"/>
      <c r="G42" s="86"/>
      <c r="H42" s="93">
        <v>37</v>
      </c>
      <c r="I42" s="94" t="str">
        <f t="shared" si="1"/>
        <v/>
      </c>
      <c r="J42" s="94" t="e">
        <f t="shared" si="2"/>
        <v>#NUM!</v>
      </c>
      <c r="K42" s="93" t="e">
        <f t="shared" si="3"/>
        <v>#NUM!</v>
      </c>
      <c r="L42" s="93"/>
      <c r="M42" s="92">
        <f t="shared" si="4"/>
        <v>0</v>
      </c>
      <c r="N42" s="86"/>
      <c r="O42" s="86"/>
      <c r="P42" s="86"/>
      <c r="Q42" s="86"/>
      <c r="R42" s="86"/>
    </row>
    <row r="43" spans="1:21" s="85" customFormat="1" x14ac:dyDescent="0.25">
      <c r="A43" s="102">
        <f t="shared" si="6"/>
        <v>0</v>
      </c>
      <c r="B43" s="42" t="str">
        <f t="shared" si="7"/>
        <v/>
      </c>
      <c r="C43" s="43"/>
      <c r="D43" s="43"/>
      <c r="E43" s="43"/>
      <c r="F43" s="43"/>
      <c r="G43" s="86"/>
      <c r="H43" s="98">
        <v>38</v>
      </c>
      <c r="I43" s="99" t="str">
        <f t="shared" si="1"/>
        <v/>
      </c>
      <c r="J43" s="99" t="e">
        <f t="shared" si="2"/>
        <v>#NUM!</v>
      </c>
      <c r="K43" s="98" t="e">
        <f t="shared" si="3"/>
        <v>#NUM!</v>
      </c>
      <c r="L43" s="98"/>
      <c r="M43" s="97">
        <f t="shared" si="4"/>
        <v>0</v>
      </c>
      <c r="N43" s="86"/>
      <c r="O43" s="86"/>
      <c r="P43" s="86"/>
      <c r="Q43" s="86"/>
      <c r="R43" s="86"/>
    </row>
    <row r="44" spans="1:21" s="85" customFormat="1" x14ac:dyDescent="0.25">
      <c r="A44" s="102">
        <f t="shared" si="6"/>
        <v>0</v>
      </c>
      <c r="B44" s="36" t="str">
        <f t="shared" si="7"/>
        <v/>
      </c>
      <c r="C44" s="37"/>
      <c r="D44" s="37"/>
      <c r="E44" s="37"/>
      <c r="F44" s="37"/>
      <c r="G44" s="86"/>
      <c r="H44" s="93">
        <v>39</v>
      </c>
      <c r="I44" s="94" t="str">
        <f t="shared" si="1"/>
        <v/>
      </c>
      <c r="J44" s="94" t="e">
        <f t="shared" si="2"/>
        <v>#NUM!</v>
      </c>
      <c r="K44" s="93" t="e">
        <f t="shared" si="3"/>
        <v>#NUM!</v>
      </c>
      <c r="L44" s="93"/>
      <c r="M44" s="92">
        <f t="shared" si="4"/>
        <v>0</v>
      </c>
      <c r="N44" s="86"/>
      <c r="O44" s="86"/>
      <c r="P44" s="86"/>
      <c r="Q44" s="86"/>
      <c r="R44" s="86"/>
    </row>
    <row r="45" spans="1:21" s="85" customFormat="1" x14ac:dyDescent="0.25">
      <c r="A45" s="102">
        <f t="shared" si="6"/>
        <v>0</v>
      </c>
      <c r="B45" s="42" t="str">
        <f t="shared" si="7"/>
        <v/>
      </c>
      <c r="C45" s="43"/>
      <c r="D45" s="43"/>
      <c r="E45" s="43"/>
      <c r="F45" s="43"/>
      <c r="G45" s="86"/>
      <c r="H45" s="98">
        <v>40</v>
      </c>
      <c r="I45" s="99" t="str">
        <f t="shared" si="1"/>
        <v/>
      </c>
      <c r="J45" s="99" t="e">
        <f t="shared" si="2"/>
        <v>#NUM!</v>
      </c>
      <c r="K45" s="98" t="e">
        <f t="shared" si="3"/>
        <v>#NUM!</v>
      </c>
      <c r="L45" s="98"/>
      <c r="M45" s="97">
        <f t="shared" si="4"/>
        <v>0</v>
      </c>
      <c r="N45" s="86"/>
      <c r="O45" s="86"/>
      <c r="P45" s="86"/>
      <c r="Q45" s="86"/>
      <c r="R45" s="86"/>
    </row>
    <row r="46" spans="1:21" s="85" customFormat="1" x14ac:dyDescent="0.25">
      <c r="A46" s="102">
        <f t="shared" si="6"/>
        <v>0</v>
      </c>
      <c r="B46" s="36" t="str">
        <f t="shared" si="7"/>
        <v/>
      </c>
      <c r="C46" s="37"/>
      <c r="D46" s="37"/>
      <c r="E46" s="37"/>
      <c r="F46" s="37"/>
      <c r="G46" s="86"/>
      <c r="H46" s="93">
        <v>41</v>
      </c>
      <c r="I46" s="94" t="str">
        <f t="shared" si="1"/>
        <v/>
      </c>
      <c r="J46" s="94" t="e">
        <f t="shared" si="2"/>
        <v>#NUM!</v>
      </c>
      <c r="K46" s="93" t="e">
        <f t="shared" si="3"/>
        <v>#NUM!</v>
      </c>
      <c r="L46" s="93"/>
      <c r="M46" s="92">
        <f t="shared" si="4"/>
        <v>0</v>
      </c>
      <c r="N46" s="86"/>
      <c r="O46" s="86"/>
      <c r="P46" s="86"/>
      <c r="Q46" s="86"/>
      <c r="R46" s="86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s="85" customFormat="1" x14ac:dyDescent="0.25">
      <c r="A47" s="102">
        <f t="shared" si="6"/>
        <v>0</v>
      </c>
      <c r="B47" s="42" t="str">
        <f t="shared" si="7"/>
        <v/>
      </c>
      <c r="C47" s="43"/>
      <c r="D47" s="43"/>
      <c r="E47" s="43"/>
      <c r="F47" s="43"/>
      <c r="G47" s="86"/>
      <c r="H47" s="98">
        <v>42</v>
      </c>
      <c r="I47" s="99" t="str">
        <f t="shared" si="1"/>
        <v/>
      </c>
      <c r="J47" s="99" t="e">
        <f t="shared" si="2"/>
        <v>#NUM!</v>
      </c>
      <c r="K47" s="98" t="e">
        <f t="shared" si="3"/>
        <v>#NUM!</v>
      </c>
      <c r="L47" s="98"/>
      <c r="M47" s="97">
        <f t="shared" si="4"/>
        <v>0</v>
      </c>
      <c r="N47" s="86"/>
      <c r="O47" s="86"/>
      <c r="P47" s="86"/>
      <c r="Q47" s="86"/>
      <c r="R47" s="86"/>
    </row>
    <row r="48" spans="1:21" s="85" customFormat="1" x14ac:dyDescent="0.25">
      <c r="A48" s="102">
        <f t="shared" si="6"/>
        <v>0</v>
      </c>
      <c r="B48" s="36" t="str">
        <f t="shared" si="7"/>
        <v/>
      </c>
      <c r="C48" s="37"/>
      <c r="D48" s="37"/>
      <c r="E48" s="37"/>
      <c r="F48" s="37"/>
      <c r="G48" s="86"/>
      <c r="H48" s="93">
        <v>43</v>
      </c>
      <c r="I48" s="94" t="str">
        <f t="shared" si="1"/>
        <v/>
      </c>
      <c r="J48" s="94" t="e">
        <f t="shared" si="2"/>
        <v>#NUM!</v>
      </c>
      <c r="K48" s="93" t="e">
        <f t="shared" si="3"/>
        <v>#NUM!</v>
      </c>
      <c r="L48" s="93"/>
      <c r="M48" s="92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2">
        <f t="shared" si="6"/>
        <v>0</v>
      </c>
      <c r="B49" s="42" t="str">
        <f t="shared" si="7"/>
        <v/>
      </c>
      <c r="C49" s="43"/>
      <c r="D49" s="43"/>
      <c r="E49" s="43"/>
      <c r="F49" s="43"/>
      <c r="H49" s="98">
        <v>44</v>
      </c>
      <c r="I49" s="99" t="str">
        <f t="shared" si="1"/>
        <v/>
      </c>
      <c r="J49" s="99" t="e">
        <f t="shared" si="2"/>
        <v>#NUM!</v>
      </c>
      <c r="K49" s="98" t="e">
        <f t="shared" si="3"/>
        <v>#NUM!</v>
      </c>
      <c r="L49" s="98"/>
      <c r="M49" s="97">
        <f t="shared" si="4"/>
        <v>0</v>
      </c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spans="1:38" s="86" customFormat="1" x14ac:dyDescent="0.25">
      <c r="A50" s="102">
        <f t="shared" si="6"/>
        <v>0</v>
      </c>
      <c r="B50" s="36" t="str">
        <f t="shared" si="7"/>
        <v/>
      </c>
      <c r="C50" s="37"/>
      <c r="D50" s="37"/>
      <c r="E50" s="37"/>
      <c r="F50" s="37"/>
      <c r="H50" s="93">
        <v>45</v>
      </c>
      <c r="I50" s="94" t="str">
        <f t="shared" si="1"/>
        <v/>
      </c>
      <c r="J50" s="94" t="e">
        <f t="shared" si="2"/>
        <v>#NUM!</v>
      </c>
      <c r="K50" s="93" t="e">
        <f t="shared" si="3"/>
        <v>#NUM!</v>
      </c>
      <c r="L50" s="93"/>
      <c r="M50" s="92">
        <f t="shared" si="4"/>
        <v>0</v>
      </c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spans="1:38" s="86" customFormat="1" x14ac:dyDescent="0.25">
      <c r="A51" s="102">
        <f t="shared" si="6"/>
        <v>0</v>
      </c>
      <c r="B51" s="42" t="str">
        <f t="shared" si="7"/>
        <v/>
      </c>
      <c r="C51" s="43"/>
      <c r="D51" s="43"/>
      <c r="E51" s="43"/>
      <c r="F51" s="43"/>
      <c r="H51" s="98">
        <v>46</v>
      </c>
      <c r="I51" s="99" t="str">
        <f t="shared" si="1"/>
        <v/>
      </c>
      <c r="J51" s="99" t="e">
        <f t="shared" si="2"/>
        <v>#NUM!</v>
      </c>
      <c r="K51" s="98" t="e">
        <f t="shared" si="3"/>
        <v>#NUM!</v>
      </c>
      <c r="L51" s="98"/>
      <c r="M51" s="97">
        <f t="shared" si="4"/>
        <v>0</v>
      </c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spans="1:38" s="86" customFormat="1" x14ac:dyDescent="0.25">
      <c r="A52" s="102">
        <f t="shared" si="6"/>
        <v>0</v>
      </c>
      <c r="B52" s="36" t="str">
        <f t="shared" si="7"/>
        <v/>
      </c>
      <c r="C52" s="37"/>
      <c r="D52" s="37"/>
      <c r="E52" s="37"/>
      <c r="F52" s="37"/>
      <c r="H52" s="93">
        <v>47</v>
      </c>
      <c r="I52" s="94" t="str">
        <f t="shared" si="1"/>
        <v/>
      </c>
      <c r="J52" s="94" t="e">
        <f t="shared" si="2"/>
        <v>#NUM!</v>
      </c>
      <c r="K52" s="93" t="e">
        <f t="shared" si="3"/>
        <v>#NUM!</v>
      </c>
      <c r="L52" s="93"/>
      <c r="M52" s="92">
        <f t="shared" si="4"/>
        <v>0</v>
      </c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spans="1:38" s="86" customFormat="1" x14ac:dyDescent="0.25">
      <c r="A53" s="102">
        <f t="shared" si="6"/>
        <v>0</v>
      </c>
      <c r="B53" s="42" t="str">
        <f t="shared" si="7"/>
        <v/>
      </c>
      <c r="C53" s="43"/>
      <c r="D53" s="43"/>
      <c r="E53" s="43"/>
      <c r="F53" s="43"/>
      <c r="H53" s="98">
        <v>48</v>
      </c>
      <c r="I53" s="99" t="str">
        <f t="shared" si="1"/>
        <v/>
      </c>
      <c r="J53" s="99" t="e">
        <f t="shared" si="2"/>
        <v>#NUM!</v>
      </c>
      <c r="K53" s="98" t="e">
        <f t="shared" si="3"/>
        <v>#NUM!</v>
      </c>
      <c r="L53" s="98"/>
      <c r="M53" s="97">
        <f t="shared" si="4"/>
        <v>0</v>
      </c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spans="1:38" s="86" customFormat="1" x14ac:dyDescent="0.25">
      <c r="A54" s="102">
        <f t="shared" si="6"/>
        <v>0</v>
      </c>
      <c r="B54" s="36" t="str">
        <f t="shared" si="7"/>
        <v/>
      </c>
      <c r="C54" s="37"/>
      <c r="D54" s="37"/>
      <c r="E54" s="37"/>
      <c r="F54" s="37"/>
      <c r="H54" s="93">
        <v>49</v>
      </c>
      <c r="I54" s="94" t="str">
        <f t="shared" si="1"/>
        <v/>
      </c>
      <c r="J54" s="94" t="e">
        <f t="shared" si="2"/>
        <v>#NUM!</v>
      </c>
      <c r="K54" s="93" t="e">
        <f t="shared" si="3"/>
        <v>#NUM!</v>
      </c>
      <c r="L54" s="93"/>
      <c r="M54" s="92">
        <f t="shared" si="4"/>
        <v>0</v>
      </c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spans="1:38" s="86" customFormat="1" x14ac:dyDescent="0.25">
      <c r="A55" s="102">
        <f t="shared" si="6"/>
        <v>0</v>
      </c>
      <c r="B55" s="42" t="str">
        <f t="shared" si="7"/>
        <v/>
      </c>
      <c r="C55" s="43"/>
      <c r="D55" s="43"/>
      <c r="E55" s="43"/>
      <c r="F55" s="43"/>
      <c r="H55" s="98">
        <v>50</v>
      </c>
      <c r="I55" s="99" t="str">
        <f t="shared" si="1"/>
        <v/>
      </c>
      <c r="J55" s="99" t="e">
        <f t="shared" si="2"/>
        <v>#NUM!</v>
      </c>
      <c r="K55" s="98" t="e">
        <f t="shared" si="3"/>
        <v>#NUM!</v>
      </c>
      <c r="L55" s="98"/>
      <c r="M55" s="97">
        <f t="shared" si="4"/>
        <v>0</v>
      </c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spans="1:38" s="86" customFormat="1" x14ac:dyDescent="0.25">
      <c r="A56" s="102">
        <f t="shared" si="6"/>
        <v>0</v>
      </c>
      <c r="B56" s="36" t="str">
        <f t="shared" si="7"/>
        <v/>
      </c>
      <c r="C56" s="37"/>
      <c r="D56" s="37"/>
      <c r="E56" s="37"/>
      <c r="F56" s="37"/>
      <c r="H56" s="93">
        <v>51</v>
      </c>
      <c r="I56" s="94" t="str">
        <f t="shared" si="1"/>
        <v/>
      </c>
      <c r="J56" s="94" t="e">
        <f t="shared" si="2"/>
        <v>#NUM!</v>
      </c>
      <c r="K56" s="93" t="e">
        <f t="shared" si="3"/>
        <v>#NUM!</v>
      </c>
      <c r="L56" s="93"/>
      <c r="M56" s="92">
        <f t="shared" si="4"/>
        <v>0</v>
      </c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spans="1:38" s="86" customFormat="1" x14ac:dyDescent="0.25">
      <c r="A57" s="102">
        <f t="shared" si="6"/>
        <v>0</v>
      </c>
      <c r="B57" s="42" t="str">
        <f t="shared" si="7"/>
        <v/>
      </c>
      <c r="C57" s="43"/>
      <c r="D57" s="43"/>
      <c r="E57" s="43"/>
      <c r="F57" s="43"/>
      <c r="H57" s="98">
        <v>52</v>
      </c>
      <c r="I57" s="99" t="str">
        <f t="shared" si="1"/>
        <v/>
      </c>
      <c r="J57" s="99" t="e">
        <f t="shared" si="2"/>
        <v>#NUM!</v>
      </c>
      <c r="K57" s="98" t="e">
        <f t="shared" si="3"/>
        <v>#NUM!</v>
      </c>
      <c r="L57" s="98"/>
      <c r="M57" s="97">
        <f t="shared" si="4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6" customFormat="1" x14ac:dyDescent="0.25">
      <c r="A58" s="102">
        <f t="shared" si="6"/>
        <v>0</v>
      </c>
      <c r="B58" s="36" t="str">
        <f t="shared" si="7"/>
        <v/>
      </c>
      <c r="C58" s="37"/>
      <c r="D58" s="37"/>
      <c r="E58" s="37"/>
      <c r="F58" s="37"/>
      <c r="H58" s="93">
        <v>53</v>
      </c>
      <c r="I58" s="94" t="str">
        <f t="shared" si="1"/>
        <v/>
      </c>
      <c r="J58" s="94" t="e">
        <f t="shared" si="2"/>
        <v>#NUM!</v>
      </c>
      <c r="K58" s="93" t="e">
        <f t="shared" si="3"/>
        <v>#NUM!</v>
      </c>
      <c r="L58" s="93"/>
      <c r="M58" s="92">
        <f t="shared" si="4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6" customFormat="1" x14ac:dyDescent="0.25">
      <c r="A59" s="102">
        <f t="shared" si="6"/>
        <v>0</v>
      </c>
      <c r="B59" s="42" t="str">
        <f t="shared" si="7"/>
        <v/>
      </c>
      <c r="C59" s="43"/>
      <c r="D59" s="43"/>
      <c r="E59" s="43"/>
      <c r="F59" s="43"/>
      <c r="H59" s="98">
        <v>54</v>
      </c>
      <c r="I59" s="99" t="str">
        <f t="shared" si="1"/>
        <v/>
      </c>
      <c r="J59" s="99" t="e">
        <f t="shared" si="2"/>
        <v>#NUM!</v>
      </c>
      <c r="K59" s="98" t="e">
        <f t="shared" si="3"/>
        <v>#NUM!</v>
      </c>
      <c r="L59" s="98"/>
      <c r="M59" s="97">
        <f t="shared" si="4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6" customFormat="1" x14ac:dyDescent="0.25">
      <c r="A60" s="102">
        <f t="shared" si="6"/>
        <v>0</v>
      </c>
      <c r="B60" s="36" t="str">
        <f t="shared" si="7"/>
        <v/>
      </c>
      <c r="C60" s="37"/>
      <c r="D60" s="37"/>
      <c r="E60" s="37"/>
      <c r="F60" s="37"/>
      <c r="H60" s="93">
        <v>55</v>
      </c>
      <c r="I60" s="94" t="str">
        <f t="shared" si="1"/>
        <v/>
      </c>
      <c r="J60" s="94" t="e">
        <f t="shared" si="2"/>
        <v>#NUM!</v>
      </c>
      <c r="K60" s="93" t="e">
        <f t="shared" si="3"/>
        <v>#NUM!</v>
      </c>
      <c r="L60" s="93"/>
      <c r="M60" s="92">
        <f t="shared" si="4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6" customFormat="1" x14ac:dyDescent="0.25">
      <c r="A61" s="102">
        <f t="shared" si="6"/>
        <v>0</v>
      </c>
      <c r="B61" s="42" t="str">
        <f t="shared" si="7"/>
        <v/>
      </c>
      <c r="C61" s="43"/>
      <c r="D61" s="43"/>
      <c r="E61" s="43"/>
      <c r="F61" s="43"/>
      <c r="H61" s="98">
        <v>56</v>
      </c>
      <c r="I61" s="99" t="str">
        <f t="shared" si="1"/>
        <v/>
      </c>
      <c r="J61" s="99" t="e">
        <f t="shared" si="2"/>
        <v>#NUM!</v>
      </c>
      <c r="K61" s="98" t="e">
        <f t="shared" si="3"/>
        <v>#NUM!</v>
      </c>
      <c r="L61" s="98"/>
      <c r="M61" s="97">
        <f t="shared" si="4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6" customFormat="1" x14ac:dyDescent="0.25">
      <c r="A62" s="102">
        <f t="shared" si="6"/>
        <v>0</v>
      </c>
      <c r="B62" s="36" t="str">
        <f t="shared" si="7"/>
        <v/>
      </c>
      <c r="C62" s="37"/>
      <c r="D62" s="37"/>
      <c r="E62" s="37"/>
      <c r="F62" s="37"/>
      <c r="H62" s="93">
        <v>57</v>
      </c>
      <c r="I62" s="94" t="str">
        <f t="shared" si="1"/>
        <v/>
      </c>
      <c r="J62" s="94" t="e">
        <f t="shared" si="2"/>
        <v>#NUM!</v>
      </c>
      <c r="K62" s="93" t="e">
        <f t="shared" si="3"/>
        <v>#NUM!</v>
      </c>
      <c r="L62" s="93"/>
      <c r="M62" s="92">
        <f t="shared" si="4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6" customFormat="1" x14ac:dyDescent="0.25">
      <c r="A63" s="102">
        <f t="shared" si="6"/>
        <v>0</v>
      </c>
      <c r="B63" s="42" t="str">
        <f t="shared" si="7"/>
        <v/>
      </c>
      <c r="C63" s="43"/>
      <c r="D63" s="43"/>
      <c r="E63" s="43"/>
      <c r="F63" s="43"/>
      <c r="H63" s="98">
        <v>58</v>
      </c>
      <c r="I63" s="99" t="str">
        <f t="shared" si="1"/>
        <v/>
      </c>
      <c r="J63" s="99" t="e">
        <f t="shared" si="2"/>
        <v>#NUM!</v>
      </c>
      <c r="K63" s="98" t="e">
        <f t="shared" si="3"/>
        <v>#NUM!</v>
      </c>
      <c r="L63" s="98"/>
      <c r="M63" s="97">
        <f t="shared" si="4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6" customFormat="1" x14ac:dyDescent="0.25">
      <c r="A64" s="102">
        <f t="shared" si="6"/>
        <v>0</v>
      </c>
      <c r="B64" s="36" t="str">
        <f t="shared" si="7"/>
        <v/>
      </c>
      <c r="C64" s="37"/>
      <c r="D64" s="37"/>
      <c r="E64" s="37"/>
      <c r="F64" s="37"/>
      <c r="H64" s="93">
        <v>59</v>
      </c>
      <c r="I64" s="94" t="str">
        <f t="shared" si="1"/>
        <v/>
      </c>
      <c r="J64" s="94" t="e">
        <f t="shared" si="2"/>
        <v>#NUM!</v>
      </c>
      <c r="K64" s="93" t="e">
        <f t="shared" si="3"/>
        <v>#NUM!</v>
      </c>
      <c r="L64" s="93"/>
      <c r="M64" s="92">
        <f t="shared" si="4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6" customFormat="1" x14ac:dyDescent="0.25">
      <c r="A65" s="102">
        <f t="shared" si="6"/>
        <v>0</v>
      </c>
      <c r="B65" s="42" t="str">
        <f t="shared" si="7"/>
        <v/>
      </c>
      <c r="C65" s="43"/>
      <c r="D65" s="43"/>
      <c r="E65" s="43"/>
      <c r="F65" s="43"/>
      <c r="H65" s="98">
        <v>60</v>
      </c>
      <c r="I65" s="99" t="str">
        <f t="shared" si="1"/>
        <v/>
      </c>
      <c r="J65" s="99" t="e">
        <f t="shared" si="2"/>
        <v>#NUM!</v>
      </c>
      <c r="K65" s="98" t="e">
        <f t="shared" si="3"/>
        <v>#NUM!</v>
      </c>
      <c r="L65" s="98"/>
      <c r="M65" s="97">
        <f t="shared" si="4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6" customFormat="1" x14ac:dyDescent="0.25">
      <c r="A66" s="102">
        <f t="shared" si="6"/>
        <v>0</v>
      </c>
      <c r="B66" s="36"/>
      <c r="C66" s="84"/>
      <c r="D66" s="84"/>
      <c r="E66" s="84"/>
      <c r="F66" s="84"/>
      <c r="H66" s="93">
        <v>61</v>
      </c>
      <c r="I66" s="94" t="str">
        <f t="shared" si="1"/>
        <v/>
      </c>
      <c r="J66" s="94" t="e">
        <f t="shared" si="2"/>
        <v>#NUM!</v>
      </c>
      <c r="K66" s="93" t="e">
        <f t="shared" si="3"/>
        <v>#NUM!</v>
      </c>
      <c r="L66" s="93"/>
      <c r="M66" s="92">
        <f t="shared" si="4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6" customFormat="1" x14ac:dyDescent="0.25">
      <c r="A67" s="102">
        <f t="shared" si="6"/>
        <v>0</v>
      </c>
      <c r="B67" s="42"/>
      <c r="C67" s="84"/>
      <c r="D67" s="84"/>
      <c r="E67" s="84"/>
      <c r="F67" s="84"/>
      <c r="H67" s="93">
        <v>62</v>
      </c>
      <c r="I67" s="94" t="str">
        <f t="shared" si="1"/>
        <v/>
      </c>
      <c r="J67" s="94" t="e">
        <f t="shared" si="2"/>
        <v>#NUM!</v>
      </c>
      <c r="K67" s="93" t="e">
        <f t="shared" si="3"/>
        <v>#NUM!</v>
      </c>
      <c r="L67" s="93"/>
      <c r="M67" s="92">
        <f t="shared" si="4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6" customFormat="1" x14ac:dyDescent="0.25">
      <c r="A68" s="102">
        <f t="shared" si="6"/>
        <v>0</v>
      </c>
      <c r="B68" s="36"/>
      <c r="C68" s="84"/>
      <c r="D68" s="84"/>
      <c r="E68" s="84"/>
      <c r="F68" s="84"/>
      <c r="H68" s="93">
        <v>63</v>
      </c>
      <c r="I68" s="94" t="str">
        <f t="shared" si="1"/>
        <v/>
      </c>
      <c r="J68" s="94" t="e">
        <f t="shared" si="2"/>
        <v>#NUM!</v>
      </c>
      <c r="K68" s="93" t="e">
        <f t="shared" si="3"/>
        <v>#NUM!</v>
      </c>
      <c r="L68" s="93"/>
      <c r="M68" s="92">
        <f t="shared" si="4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6" customFormat="1" x14ac:dyDescent="0.25">
      <c r="A69" s="102">
        <f t="shared" si="6"/>
        <v>0</v>
      </c>
      <c r="B69" s="42"/>
      <c r="C69" s="84"/>
      <c r="D69" s="84"/>
      <c r="E69" s="84"/>
      <c r="F69" s="84"/>
      <c r="H69" s="93">
        <v>64</v>
      </c>
      <c r="I69" s="94" t="str">
        <f t="shared" si="1"/>
        <v/>
      </c>
      <c r="J69" s="94" t="e">
        <f t="shared" si="2"/>
        <v>#NUM!</v>
      </c>
      <c r="K69" s="93" t="e">
        <f t="shared" si="3"/>
        <v>#NUM!</v>
      </c>
      <c r="L69" s="93"/>
      <c r="M69" s="92">
        <f t="shared" si="4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6" customFormat="1" x14ac:dyDescent="0.25">
      <c r="A70" s="102">
        <f t="shared" ref="A70:A79" si="8">M70</f>
        <v>0</v>
      </c>
      <c r="B70" s="84"/>
      <c r="C70" s="84"/>
      <c r="D70" s="84"/>
      <c r="E70" s="84"/>
      <c r="F70" s="84"/>
      <c r="H70" s="93">
        <v>65</v>
      </c>
      <c r="I70" s="94" t="str">
        <f t="shared" ref="I70:I133" si="9">IF(H70&lt;$H$2+1,($I$2-($I$2-1)*(LOG(H70)/LOG($H$2))),"")</f>
        <v/>
      </c>
      <c r="J70" s="94" t="e">
        <f t="shared" ref="J70:J133" si="10">INT(LOG($H$2,2))-ROUNDUP(LOG(H70,2),0)+IF(OR($H$2=1,$H$2=2,$H$2=4,$H$2=8,$H$2=16,$H$2=32,$H$2=64,$H$2=128,$H$2=256),0,1)</f>
        <v>#NUM!</v>
      </c>
      <c r="K70" s="93" t="e">
        <f t="shared" ref="K70:K133" si="11">J70*$J$2</f>
        <v>#NUM!</v>
      </c>
      <c r="L70" s="93"/>
      <c r="M70" s="92">
        <f t="shared" ref="M70:M133" si="12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6" customFormat="1" x14ac:dyDescent="0.25">
      <c r="A71" s="102">
        <f t="shared" si="8"/>
        <v>0</v>
      </c>
      <c r="B71" s="84"/>
      <c r="C71" s="84"/>
      <c r="D71" s="84"/>
      <c r="E71" s="84"/>
      <c r="F71" s="84"/>
      <c r="H71" s="93">
        <v>66</v>
      </c>
      <c r="I71" s="94" t="str">
        <f t="shared" si="9"/>
        <v/>
      </c>
      <c r="J71" s="94" t="e">
        <f t="shared" si="10"/>
        <v>#NUM!</v>
      </c>
      <c r="K71" s="93" t="e">
        <f t="shared" si="11"/>
        <v>#NUM!</v>
      </c>
      <c r="L71" s="93"/>
      <c r="M71" s="92">
        <f t="shared" si="12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6" customFormat="1" x14ac:dyDescent="0.25">
      <c r="A72" s="102">
        <f t="shared" si="8"/>
        <v>0</v>
      </c>
      <c r="B72" s="84"/>
      <c r="C72" s="84"/>
      <c r="D72" s="84"/>
      <c r="E72" s="84"/>
      <c r="F72" s="84"/>
      <c r="H72" s="93">
        <v>67</v>
      </c>
      <c r="I72" s="94" t="str">
        <f t="shared" si="9"/>
        <v/>
      </c>
      <c r="J72" s="94" t="e">
        <f t="shared" si="10"/>
        <v>#NUM!</v>
      </c>
      <c r="K72" s="93" t="e">
        <f t="shared" si="11"/>
        <v>#NUM!</v>
      </c>
      <c r="L72" s="93"/>
      <c r="M72" s="92">
        <f t="shared" si="12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6" customFormat="1" x14ac:dyDescent="0.25">
      <c r="A73" s="102">
        <f t="shared" si="8"/>
        <v>0</v>
      </c>
      <c r="B73" s="84"/>
      <c r="C73" s="84"/>
      <c r="D73" s="84"/>
      <c r="E73" s="84"/>
      <c r="F73" s="84"/>
      <c r="H73" s="93">
        <v>68</v>
      </c>
      <c r="I73" s="94" t="str">
        <f t="shared" si="9"/>
        <v/>
      </c>
      <c r="J73" s="94" t="e">
        <f t="shared" si="10"/>
        <v>#NUM!</v>
      </c>
      <c r="K73" s="93" t="e">
        <f t="shared" si="11"/>
        <v>#NUM!</v>
      </c>
      <c r="L73" s="93"/>
      <c r="M73" s="92">
        <f t="shared" si="12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6" customFormat="1" x14ac:dyDescent="0.25">
      <c r="A74" s="102">
        <f t="shared" si="8"/>
        <v>0</v>
      </c>
      <c r="B74" s="84"/>
      <c r="C74" s="84"/>
      <c r="D74" s="84"/>
      <c r="E74" s="84"/>
      <c r="F74" s="84"/>
      <c r="H74" s="93">
        <v>69</v>
      </c>
      <c r="I74" s="94" t="str">
        <f t="shared" si="9"/>
        <v/>
      </c>
      <c r="J74" s="94" t="e">
        <f t="shared" si="10"/>
        <v>#NUM!</v>
      </c>
      <c r="K74" s="93" t="e">
        <f t="shared" si="11"/>
        <v>#NUM!</v>
      </c>
      <c r="L74" s="93"/>
      <c r="M74" s="92">
        <f t="shared" si="12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6" customFormat="1" x14ac:dyDescent="0.25">
      <c r="A75" s="102">
        <f t="shared" si="8"/>
        <v>0</v>
      </c>
      <c r="B75" s="84"/>
      <c r="C75" s="84"/>
      <c r="D75" s="84"/>
      <c r="E75" s="84"/>
      <c r="F75" s="84"/>
      <c r="H75" s="93">
        <v>70</v>
      </c>
      <c r="I75" s="94" t="str">
        <f t="shared" si="9"/>
        <v/>
      </c>
      <c r="J75" s="94" t="e">
        <f t="shared" si="10"/>
        <v>#NUM!</v>
      </c>
      <c r="K75" s="93" t="e">
        <f t="shared" si="11"/>
        <v>#NUM!</v>
      </c>
      <c r="L75" s="93"/>
      <c r="M75" s="92">
        <f t="shared" si="12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6" customFormat="1" x14ac:dyDescent="0.25">
      <c r="A76" s="102">
        <f t="shared" si="8"/>
        <v>0</v>
      </c>
      <c r="B76" s="84"/>
      <c r="C76" s="84"/>
      <c r="D76" s="84"/>
      <c r="E76" s="84"/>
      <c r="F76" s="84"/>
      <c r="H76" s="93">
        <v>71</v>
      </c>
      <c r="I76" s="94" t="str">
        <f t="shared" si="9"/>
        <v/>
      </c>
      <c r="J76" s="94" t="e">
        <f t="shared" si="10"/>
        <v>#NUM!</v>
      </c>
      <c r="K76" s="93" t="e">
        <f t="shared" si="11"/>
        <v>#NUM!</v>
      </c>
      <c r="L76" s="93"/>
      <c r="M76" s="92">
        <f t="shared" si="12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6" customFormat="1" x14ac:dyDescent="0.25">
      <c r="A77" s="102">
        <f t="shared" si="8"/>
        <v>0</v>
      </c>
      <c r="B77" s="84"/>
      <c r="C77" s="84"/>
      <c r="D77" s="84"/>
      <c r="E77" s="84"/>
      <c r="F77" s="84"/>
      <c r="H77" s="93">
        <v>72</v>
      </c>
      <c r="I77" s="94" t="str">
        <f t="shared" si="9"/>
        <v/>
      </c>
      <c r="J77" s="94" t="e">
        <f t="shared" si="10"/>
        <v>#NUM!</v>
      </c>
      <c r="K77" s="93" t="e">
        <f t="shared" si="11"/>
        <v>#NUM!</v>
      </c>
      <c r="L77" s="93"/>
      <c r="M77" s="92">
        <f t="shared" si="12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6" customFormat="1" x14ac:dyDescent="0.25">
      <c r="A78" s="102">
        <f t="shared" si="8"/>
        <v>0</v>
      </c>
      <c r="B78" s="84"/>
      <c r="C78" s="84"/>
      <c r="D78" s="84"/>
      <c r="E78" s="84"/>
      <c r="F78" s="84"/>
      <c r="H78" s="93">
        <v>73</v>
      </c>
      <c r="I78" s="94" t="str">
        <f t="shared" si="9"/>
        <v/>
      </c>
      <c r="J78" s="94" t="e">
        <f t="shared" si="10"/>
        <v>#NUM!</v>
      </c>
      <c r="K78" s="93" t="e">
        <f t="shared" si="11"/>
        <v>#NUM!</v>
      </c>
      <c r="L78" s="93"/>
      <c r="M78" s="92">
        <f t="shared" si="12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6" customFormat="1" x14ac:dyDescent="0.25">
      <c r="A79" s="102">
        <f t="shared" si="8"/>
        <v>0</v>
      </c>
      <c r="B79" s="84"/>
      <c r="C79" s="84"/>
      <c r="D79" s="84"/>
      <c r="E79" s="84"/>
      <c r="F79" s="84"/>
      <c r="H79" s="93">
        <v>74</v>
      </c>
      <c r="I79" s="94" t="str">
        <f t="shared" si="9"/>
        <v/>
      </c>
      <c r="J79" s="94" t="e">
        <f t="shared" si="10"/>
        <v>#NUM!</v>
      </c>
      <c r="K79" s="93" t="e">
        <f t="shared" si="11"/>
        <v>#NUM!</v>
      </c>
      <c r="L79" s="93"/>
      <c r="M79" s="92">
        <f t="shared" si="12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6" customFormat="1" x14ac:dyDescent="0.25">
      <c r="A80" s="103"/>
      <c r="B80" s="84"/>
      <c r="C80" s="84"/>
      <c r="D80" s="84"/>
      <c r="E80" s="84"/>
      <c r="F80" s="84"/>
      <c r="H80" s="93">
        <v>75</v>
      </c>
      <c r="I80" s="94" t="str">
        <f t="shared" si="9"/>
        <v/>
      </c>
      <c r="J80" s="94" t="e">
        <f t="shared" si="10"/>
        <v>#NUM!</v>
      </c>
      <c r="K80" s="93" t="e">
        <f t="shared" si="11"/>
        <v>#NUM!</v>
      </c>
      <c r="L80" s="93"/>
      <c r="M80" s="92">
        <f t="shared" si="12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6" customFormat="1" x14ac:dyDescent="0.25">
      <c r="A81" s="95"/>
      <c r="B81" s="84"/>
      <c r="C81" s="84"/>
      <c r="D81" s="84"/>
      <c r="E81" s="84"/>
      <c r="F81" s="84"/>
      <c r="H81" s="93">
        <v>76</v>
      </c>
      <c r="I81" s="94" t="str">
        <f t="shared" si="9"/>
        <v/>
      </c>
      <c r="J81" s="94" t="e">
        <f t="shared" si="10"/>
        <v>#NUM!</v>
      </c>
      <c r="K81" s="93" t="e">
        <f t="shared" si="11"/>
        <v>#NUM!</v>
      </c>
      <c r="L81" s="93"/>
      <c r="M81" s="92">
        <f t="shared" si="12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6" customFormat="1" x14ac:dyDescent="0.25">
      <c r="A82" s="95"/>
      <c r="B82" s="84"/>
      <c r="C82" s="84"/>
      <c r="D82" s="84"/>
      <c r="E82" s="84"/>
      <c r="F82" s="84"/>
      <c r="H82" s="93">
        <v>77</v>
      </c>
      <c r="I82" s="94" t="str">
        <f t="shared" si="9"/>
        <v/>
      </c>
      <c r="J82" s="94" t="e">
        <f t="shared" si="10"/>
        <v>#NUM!</v>
      </c>
      <c r="K82" s="93" t="e">
        <f t="shared" si="11"/>
        <v>#NUM!</v>
      </c>
      <c r="L82" s="93"/>
      <c r="M82" s="92">
        <f t="shared" si="12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6" customFormat="1" x14ac:dyDescent="0.25">
      <c r="A83" s="95"/>
      <c r="B83" s="84"/>
      <c r="C83" s="84"/>
      <c r="D83" s="84"/>
      <c r="E83" s="84"/>
      <c r="F83" s="84"/>
      <c r="H83" s="93">
        <v>78</v>
      </c>
      <c r="I83" s="94" t="str">
        <f t="shared" si="9"/>
        <v/>
      </c>
      <c r="J83" s="94" t="e">
        <f t="shared" si="10"/>
        <v>#NUM!</v>
      </c>
      <c r="K83" s="93" t="e">
        <f t="shared" si="11"/>
        <v>#NUM!</v>
      </c>
      <c r="L83" s="93"/>
      <c r="M83" s="92">
        <f t="shared" si="12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6" customFormat="1" x14ac:dyDescent="0.25">
      <c r="A84" s="95"/>
      <c r="B84" s="84"/>
      <c r="C84" s="84"/>
      <c r="D84" s="84"/>
      <c r="E84" s="84"/>
      <c r="F84" s="84"/>
      <c r="H84" s="93">
        <v>79</v>
      </c>
      <c r="I84" s="94" t="str">
        <f t="shared" si="9"/>
        <v/>
      </c>
      <c r="J84" s="94" t="e">
        <f t="shared" si="10"/>
        <v>#NUM!</v>
      </c>
      <c r="K84" s="93" t="e">
        <f t="shared" si="11"/>
        <v>#NUM!</v>
      </c>
      <c r="L84" s="93"/>
      <c r="M84" s="92">
        <f t="shared" si="12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6" customFormat="1" x14ac:dyDescent="0.25">
      <c r="A85" s="95"/>
      <c r="B85" s="84"/>
      <c r="C85" s="84"/>
      <c r="D85" s="84"/>
      <c r="E85" s="84"/>
      <c r="F85" s="84"/>
      <c r="H85" s="93">
        <v>80</v>
      </c>
      <c r="I85" s="94" t="str">
        <f t="shared" si="9"/>
        <v/>
      </c>
      <c r="J85" s="94" t="e">
        <f t="shared" si="10"/>
        <v>#NUM!</v>
      </c>
      <c r="K85" s="93" t="e">
        <f t="shared" si="11"/>
        <v>#NUM!</v>
      </c>
      <c r="L85" s="93"/>
      <c r="M85" s="92">
        <f t="shared" si="12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6" customFormat="1" x14ac:dyDescent="0.25">
      <c r="A86" s="95"/>
      <c r="B86" s="84"/>
      <c r="C86" s="84"/>
      <c r="D86" s="84"/>
      <c r="E86" s="84"/>
      <c r="F86" s="84"/>
      <c r="H86" s="93">
        <v>81</v>
      </c>
      <c r="I86" s="94" t="str">
        <f t="shared" si="9"/>
        <v/>
      </c>
      <c r="J86" s="94" t="e">
        <f t="shared" si="10"/>
        <v>#NUM!</v>
      </c>
      <c r="K86" s="93" t="e">
        <f t="shared" si="11"/>
        <v>#NUM!</v>
      </c>
      <c r="L86" s="93"/>
      <c r="M86" s="92">
        <f t="shared" si="12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6" customFormat="1" x14ac:dyDescent="0.25">
      <c r="A87" s="95"/>
      <c r="B87" s="84"/>
      <c r="C87" s="84"/>
      <c r="D87" s="84"/>
      <c r="E87" s="84"/>
      <c r="F87" s="84"/>
      <c r="H87" s="93">
        <v>82</v>
      </c>
      <c r="I87" s="94" t="str">
        <f t="shared" si="9"/>
        <v/>
      </c>
      <c r="J87" s="94" t="e">
        <f t="shared" si="10"/>
        <v>#NUM!</v>
      </c>
      <c r="K87" s="93" t="e">
        <f t="shared" si="11"/>
        <v>#NUM!</v>
      </c>
      <c r="L87" s="93"/>
      <c r="M87" s="92">
        <f t="shared" si="12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6" customFormat="1" x14ac:dyDescent="0.25">
      <c r="A88" s="95"/>
      <c r="B88" s="84"/>
      <c r="C88" s="84"/>
      <c r="D88" s="84"/>
      <c r="E88" s="84"/>
      <c r="F88" s="84"/>
      <c r="H88" s="93">
        <v>83</v>
      </c>
      <c r="I88" s="94" t="str">
        <f t="shared" si="9"/>
        <v/>
      </c>
      <c r="J88" s="94" t="e">
        <f t="shared" si="10"/>
        <v>#NUM!</v>
      </c>
      <c r="K88" s="93" t="e">
        <f t="shared" si="11"/>
        <v>#NUM!</v>
      </c>
      <c r="L88" s="93"/>
      <c r="M88" s="92">
        <f t="shared" si="12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6" customFormat="1" x14ac:dyDescent="0.25">
      <c r="A89" s="95"/>
      <c r="B89" s="84"/>
      <c r="C89" s="84"/>
      <c r="D89" s="84"/>
      <c r="E89" s="84"/>
      <c r="F89" s="84"/>
      <c r="H89" s="93">
        <v>84</v>
      </c>
      <c r="I89" s="94" t="str">
        <f t="shared" si="9"/>
        <v/>
      </c>
      <c r="J89" s="94" t="e">
        <f t="shared" si="10"/>
        <v>#NUM!</v>
      </c>
      <c r="K89" s="93" t="e">
        <f t="shared" si="11"/>
        <v>#NUM!</v>
      </c>
      <c r="L89" s="93"/>
      <c r="M89" s="92">
        <f t="shared" si="12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6" customFormat="1" x14ac:dyDescent="0.25">
      <c r="A90" s="95"/>
      <c r="B90" s="84"/>
      <c r="C90" s="84"/>
      <c r="D90" s="84"/>
      <c r="E90" s="84"/>
      <c r="F90" s="84"/>
      <c r="H90" s="93">
        <v>85</v>
      </c>
      <c r="I90" s="94" t="str">
        <f t="shared" si="9"/>
        <v/>
      </c>
      <c r="J90" s="94" t="e">
        <f t="shared" si="10"/>
        <v>#NUM!</v>
      </c>
      <c r="K90" s="93" t="e">
        <f t="shared" si="11"/>
        <v>#NUM!</v>
      </c>
      <c r="L90" s="93"/>
      <c r="M90" s="92">
        <f t="shared" si="12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6" customFormat="1" x14ac:dyDescent="0.25">
      <c r="A91" s="95"/>
      <c r="B91" s="84"/>
      <c r="C91" s="84"/>
      <c r="D91" s="84"/>
      <c r="E91" s="84"/>
      <c r="F91" s="84"/>
      <c r="H91" s="93">
        <v>86</v>
      </c>
      <c r="I91" s="94" t="str">
        <f t="shared" si="9"/>
        <v/>
      </c>
      <c r="J91" s="94" t="e">
        <f t="shared" si="10"/>
        <v>#NUM!</v>
      </c>
      <c r="K91" s="93" t="e">
        <f t="shared" si="11"/>
        <v>#NUM!</v>
      </c>
      <c r="L91" s="93"/>
      <c r="M91" s="92">
        <f t="shared" si="12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6" customFormat="1" x14ac:dyDescent="0.25">
      <c r="A92" s="95"/>
      <c r="B92" s="84"/>
      <c r="C92" s="84"/>
      <c r="D92" s="84"/>
      <c r="E92" s="84"/>
      <c r="F92" s="84"/>
      <c r="H92" s="93">
        <v>87</v>
      </c>
      <c r="I92" s="94" t="str">
        <f t="shared" si="9"/>
        <v/>
      </c>
      <c r="J92" s="94" t="e">
        <f t="shared" si="10"/>
        <v>#NUM!</v>
      </c>
      <c r="K92" s="93" t="e">
        <f t="shared" si="11"/>
        <v>#NUM!</v>
      </c>
      <c r="L92" s="93"/>
      <c r="M92" s="92">
        <f t="shared" si="12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6" customFormat="1" x14ac:dyDescent="0.25">
      <c r="A93" s="95"/>
      <c r="B93" s="84"/>
      <c r="C93" s="84"/>
      <c r="D93" s="84"/>
      <c r="E93" s="84"/>
      <c r="F93" s="84"/>
      <c r="H93" s="93">
        <v>88</v>
      </c>
      <c r="I93" s="94" t="str">
        <f t="shared" si="9"/>
        <v/>
      </c>
      <c r="J93" s="94" t="e">
        <f t="shared" si="10"/>
        <v>#NUM!</v>
      </c>
      <c r="K93" s="93" t="e">
        <f t="shared" si="11"/>
        <v>#NUM!</v>
      </c>
      <c r="L93" s="93"/>
      <c r="M93" s="92">
        <f t="shared" si="12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6" customFormat="1" x14ac:dyDescent="0.25">
      <c r="A94" s="95"/>
      <c r="B94" s="84"/>
      <c r="C94" s="84"/>
      <c r="D94" s="84"/>
      <c r="E94" s="84"/>
      <c r="F94" s="84"/>
      <c r="H94" s="93">
        <v>89</v>
      </c>
      <c r="I94" s="94" t="str">
        <f t="shared" si="9"/>
        <v/>
      </c>
      <c r="J94" s="94" t="e">
        <f t="shared" si="10"/>
        <v>#NUM!</v>
      </c>
      <c r="K94" s="93" t="e">
        <f t="shared" si="11"/>
        <v>#NUM!</v>
      </c>
      <c r="L94" s="93"/>
      <c r="M94" s="92">
        <f t="shared" si="12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6" customFormat="1" x14ac:dyDescent="0.25">
      <c r="A95" s="95"/>
      <c r="B95" s="84"/>
      <c r="C95" s="84"/>
      <c r="D95" s="84"/>
      <c r="E95" s="84"/>
      <c r="F95" s="84"/>
      <c r="H95" s="93">
        <v>90</v>
      </c>
      <c r="I95" s="94" t="str">
        <f t="shared" si="9"/>
        <v/>
      </c>
      <c r="J95" s="94" t="e">
        <f t="shared" si="10"/>
        <v>#NUM!</v>
      </c>
      <c r="K95" s="93" t="e">
        <f t="shared" si="11"/>
        <v>#NUM!</v>
      </c>
      <c r="L95" s="93"/>
      <c r="M95" s="92">
        <f t="shared" si="12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6" customFormat="1" x14ac:dyDescent="0.25">
      <c r="A96" s="95"/>
      <c r="B96" s="84"/>
      <c r="C96" s="84"/>
      <c r="D96" s="84"/>
      <c r="E96" s="84"/>
      <c r="F96" s="84"/>
      <c r="H96" s="93">
        <v>91</v>
      </c>
      <c r="I96" s="94" t="str">
        <f t="shared" si="9"/>
        <v/>
      </c>
      <c r="J96" s="94" t="e">
        <f t="shared" si="10"/>
        <v>#NUM!</v>
      </c>
      <c r="K96" s="93" t="e">
        <f t="shared" si="11"/>
        <v>#NUM!</v>
      </c>
      <c r="L96" s="93"/>
      <c r="M96" s="92">
        <f t="shared" si="12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6" customFormat="1" x14ac:dyDescent="0.25">
      <c r="A97" s="95"/>
      <c r="B97" s="84"/>
      <c r="C97" s="84"/>
      <c r="D97" s="84"/>
      <c r="E97" s="84"/>
      <c r="F97" s="84"/>
      <c r="H97" s="93">
        <v>92</v>
      </c>
      <c r="I97" s="94" t="str">
        <f t="shared" si="9"/>
        <v/>
      </c>
      <c r="J97" s="94" t="e">
        <f t="shared" si="10"/>
        <v>#NUM!</v>
      </c>
      <c r="K97" s="93" t="e">
        <f t="shared" si="11"/>
        <v>#NUM!</v>
      </c>
      <c r="L97" s="93"/>
      <c r="M97" s="92">
        <f t="shared" si="12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6" customFormat="1" x14ac:dyDescent="0.25">
      <c r="A98" s="95"/>
      <c r="B98" s="84"/>
      <c r="C98" s="84"/>
      <c r="D98" s="84"/>
      <c r="E98" s="84"/>
      <c r="F98" s="84"/>
      <c r="H98" s="93">
        <v>93</v>
      </c>
      <c r="I98" s="94" t="str">
        <f t="shared" si="9"/>
        <v/>
      </c>
      <c r="J98" s="94" t="e">
        <f t="shared" si="10"/>
        <v>#NUM!</v>
      </c>
      <c r="K98" s="93" t="e">
        <f t="shared" si="11"/>
        <v>#NUM!</v>
      </c>
      <c r="L98" s="93"/>
      <c r="M98" s="92">
        <f t="shared" si="12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6" customFormat="1" x14ac:dyDescent="0.25">
      <c r="A99" s="95"/>
      <c r="B99" s="84"/>
      <c r="C99" s="84"/>
      <c r="D99" s="84"/>
      <c r="E99" s="84"/>
      <c r="F99" s="84"/>
      <c r="H99" s="93">
        <v>94</v>
      </c>
      <c r="I99" s="94" t="str">
        <f t="shared" si="9"/>
        <v/>
      </c>
      <c r="J99" s="94" t="e">
        <f t="shared" si="10"/>
        <v>#NUM!</v>
      </c>
      <c r="K99" s="93" t="e">
        <f t="shared" si="11"/>
        <v>#NUM!</v>
      </c>
      <c r="L99" s="93"/>
      <c r="M99" s="92">
        <f t="shared" si="12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6" customFormat="1" x14ac:dyDescent="0.25">
      <c r="A100" s="95"/>
      <c r="B100" s="84"/>
      <c r="C100" s="84"/>
      <c r="D100" s="84"/>
      <c r="E100" s="84"/>
      <c r="F100" s="84"/>
      <c r="H100" s="93">
        <v>95</v>
      </c>
      <c r="I100" s="94" t="str">
        <f t="shared" si="9"/>
        <v/>
      </c>
      <c r="J100" s="94" t="e">
        <f t="shared" si="10"/>
        <v>#NUM!</v>
      </c>
      <c r="K100" s="93" t="e">
        <f t="shared" si="11"/>
        <v>#NUM!</v>
      </c>
      <c r="L100" s="93"/>
      <c r="M100" s="92">
        <f t="shared" si="12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6" customFormat="1" x14ac:dyDescent="0.25">
      <c r="A101" s="95"/>
      <c r="B101" s="84"/>
      <c r="C101" s="84"/>
      <c r="D101" s="84"/>
      <c r="E101" s="84"/>
      <c r="F101" s="84"/>
      <c r="H101" s="93">
        <v>96</v>
      </c>
      <c r="I101" s="94" t="str">
        <f t="shared" si="9"/>
        <v/>
      </c>
      <c r="J101" s="94" t="e">
        <f t="shared" si="10"/>
        <v>#NUM!</v>
      </c>
      <c r="K101" s="93" t="e">
        <f t="shared" si="11"/>
        <v>#NUM!</v>
      </c>
      <c r="L101" s="93"/>
      <c r="M101" s="92">
        <f t="shared" si="12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6" customFormat="1" x14ac:dyDescent="0.25">
      <c r="A102" s="95"/>
      <c r="B102" s="84"/>
      <c r="C102" s="84"/>
      <c r="D102" s="84"/>
      <c r="E102" s="84"/>
      <c r="F102" s="84"/>
      <c r="H102" s="93">
        <v>97</v>
      </c>
      <c r="I102" s="94" t="str">
        <f t="shared" si="9"/>
        <v/>
      </c>
      <c r="J102" s="94" t="e">
        <f t="shared" si="10"/>
        <v>#NUM!</v>
      </c>
      <c r="K102" s="93" t="e">
        <f t="shared" si="11"/>
        <v>#NUM!</v>
      </c>
      <c r="L102" s="93"/>
      <c r="M102" s="92">
        <f t="shared" si="12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6" customFormat="1" x14ac:dyDescent="0.25">
      <c r="A103" s="95"/>
      <c r="B103" s="84"/>
      <c r="C103" s="84"/>
      <c r="D103" s="84"/>
      <c r="E103" s="84"/>
      <c r="F103" s="84"/>
      <c r="H103" s="93">
        <v>98</v>
      </c>
      <c r="I103" s="94" t="str">
        <f t="shared" si="9"/>
        <v/>
      </c>
      <c r="J103" s="94" t="e">
        <f t="shared" si="10"/>
        <v>#NUM!</v>
      </c>
      <c r="K103" s="93" t="e">
        <f t="shared" si="11"/>
        <v>#NUM!</v>
      </c>
      <c r="L103" s="93"/>
      <c r="M103" s="92">
        <f t="shared" si="12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6" customFormat="1" x14ac:dyDescent="0.25">
      <c r="A104" s="95"/>
      <c r="B104" s="84"/>
      <c r="C104" s="84"/>
      <c r="D104" s="84"/>
      <c r="E104" s="84"/>
      <c r="F104" s="84"/>
      <c r="H104" s="93">
        <v>99</v>
      </c>
      <c r="I104" s="94" t="str">
        <f t="shared" si="9"/>
        <v/>
      </c>
      <c r="J104" s="94" t="e">
        <f t="shared" si="10"/>
        <v>#NUM!</v>
      </c>
      <c r="K104" s="93" t="e">
        <f t="shared" si="11"/>
        <v>#NUM!</v>
      </c>
      <c r="L104" s="93"/>
      <c r="M104" s="92">
        <f t="shared" si="12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6" customFormat="1" x14ac:dyDescent="0.25">
      <c r="A105" s="95"/>
      <c r="B105" s="84"/>
      <c r="C105" s="84"/>
      <c r="D105" s="84"/>
      <c r="E105" s="84"/>
      <c r="F105" s="84"/>
      <c r="H105" s="93">
        <v>100</v>
      </c>
      <c r="I105" s="94" t="str">
        <f t="shared" si="9"/>
        <v/>
      </c>
      <c r="J105" s="94" t="e">
        <f t="shared" si="10"/>
        <v>#NUM!</v>
      </c>
      <c r="K105" s="93" t="e">
        <f t="shared" si="11"/>
        <v>#NUM!</v>
      </c>
      <c r="L105" s="93"/>
      <c r="M105" s="92">
        <f t="shared" si="12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6" customFormat="1" x14ac:dyDescent="0.25">
      <c r="A106" s="95"/>
      <c r="B106" s="84"/>
      <c r="C106" s="84"/>
      <c r="D106" s="84"/>
      <c r="E106" s="84"/>
      <c r="F106" s="84"/>
      <c r="H106" s="93">
        <v>101</v>
      </c>
      <c r="I106" s="94" t="str">
        <f t="shared" si="9"/>
        <v/>
      </c>
      <c r="J106" s="94" t="e">
        <f t="shared" si="10"/>
        <v>#NUM!</v>
      </c>
      <c r="K106" s="93" t="e">
        <f t="shared" si="11"/>
        <v>#NUM!</v>
      </c>
      <c r="L106" s="93"/>
      <c r="M106" s="92">
        <f t="shared" si="12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6" customFormat="1" x14ac:dyDescent="0.25">
      <c r="A107" s="95"/>
      <c r="B107" s="84"/>
      <c r="C107" s="84"/>
      <c r="D107" s="84"/>
      <c r="E107" s="84"/>
      <c r="F107" s="84"/>
      <c r="H107" s="93">
        <v>102</v>
      </c>
      <c r="I107" s="94" t="str">
        <f t="shared" si="9"/>
        <v/>
      </c>
      <c r="J107" s="94" t="e">
        <f t="shared" si="10"/>
        <v>#NUM!</v>
      </c>
      <c r="K107" s="93" t="e">
        <f t="shared" si="11"/>
        <v>#NUM!</v>
      </c>
      <c r="L107" s="93"/>
      <c r="M107" s="92">
        <f t="shared" si="12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6" customFormat="1" x14ac:dyDescent="0.25">
      <c r="A108" s="95"/>
      <c r="B108" s="84"/>
      <c r="C108" s="84"/>
      <c r="D108" s="84"/>
      <c r="E108" s="84"/>
      <c r="F108" s="84"/>
      <c r="H108" s="93">
        <v>103</v>
      </c>
      <c r="I108" s="94" t="str">
        <f t="shared" si="9"/>
        <v/>
      </c>
      <c r="J108" s="94" t="e">
        <f t="shared" si="10"/>
        <v>#NUM!</v>
      </c>
      <c r="K108" s="93" t="e">
        <f t="shared" si="11"/>
        <v>#NUM!</v>
      </c>
      <c r="L108" s="93"/>
      <c r="M108" s="92">
        <f t="shared" si="12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6" customFormat="1" x14ac:dyDescent="0.25">
      <c r="A109" s="95"/>
      <c r="B109" s="84"/>
      <c r="C109" s="84"/>
      <c r="D109" s="84"/>
      <c r="E109" s="84"/>
      <c r="F109" s="84"/>
      <c r="H109" s="93">
        <v>104</v>
      </c>
      <c r="I109" s="94" t="str">
        <f t="shared" si="9"/>
        <v/>
      </c>
      <c r="J109" s="94" t="e">
        <f t="shared" si="10"/>
        <v>#NUM!</v>
      </c>
      <c r="K109" s="93" t="e">
        <f t="shared" si="11"/>
        <v>#NUM!</v>
      </c>
      <c r="L109" s="93"/>
      <c r="M109" s="92">
        <f t="shared" si="12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6" customFormat="1" x14ac:dyDescent="0.25">
      <c r="A110" s="95"/>
      <c r="B110" s="84"/>
      <c r="C110" s="84"/>
      <c r="D110" s="84"/>
      <c r="E110" s="84"/>
      <c r="F110" s="84"/>
      <c r="H110" s="93">
        <v>105</v>
      </c>
      <c r="I110" s="94" t="str">
        <f t="shared" si="9"/>
        <v/>
      </c>
      <c r="J110" s="94" t="e">
        <f t="shared" si="10"/>
        <v>#NUM!</v>
      </c>
      <c r="K110" s="93" t="e">
        <f t="shared" si="11"/>
        <v>#NUM!</v>
      </c>
      <c r="L110" s="93"/>
      <c r="M110" s="92">
        <f t="shared" si="12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6" customFormat="1" x14ac:dyDescent="0.25">
      <c r="A111" s="95"/>
      <c r="B111" s="84"/>
      <c r="C111" s="84"/>
      <c r="D111" s="84"/>
      <c r="E111" s="84"/>
      <c r="F111" s="84"/>
      <c r="H111" s="93">
        <v>106</v>
      </c>
      <c r="I111" s="94" t="str">
        <f t="shared" si="9"/>
        <v/>
      </c>
      <c r="J111" s="94" t="e">
        <f t="shared" si="10"/>
        <v>#NUM!</v>
      </c>
      <c r="K111" s="93" t="e">
        <f t="shared" si="11"/>
        <v>#NUM!</v>
      </c>
      <c r="L111" s="93"/>
      <c r="M111" s="92">
        <f t="shared" si="12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6" customFormat="1" x14ac:dyDescent="0.25">
      <c r="A112" s="95"/>
      <c r="B112" s="84"/>
      <c r="C112" s="84"/>
      <c r="D112" s="84"/>
      <c r="E112" s="84"/>
      <c r="F112" s="84"/>
      <c r="H112" s="93">
        <v>107</v>
      </c>
      <c r="I112" s="94" t="str">
        <f t="shared" si="9"/>
        <v/>
      </c>
      <c r="J112" s="94" t="e">
        <f t="shared" si="10"/>
        <v>#NUM!</v>
      </c>
      <c r="K112" s="93" t="e">
        <f t="shared" si="11"/>
        <v>#NUM!</v>
      </c>
      <c r="L112" s="93"/>
      <c r="M112" s="92">
        <f t="shared" si="12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6" customFormat="1" x14ac:dyDescent="0.25">
      <c r="A113" s="95"/>
      <c r="B113" s="84"/>
      <c r="C113" s="84"/>
      <c r="D113" s="84"/>
      <c r="E113" s="84"/>
      <c r="F113" s="84"/>
      <c r="H113" s="93">
        <v>108</v>
      </c>
      <c r="I113" s="94" t="str">
        <f t="shared" si="9"/>
        <v/>
      </c>
      <c r="J113" s="94" t="e">
        <f t="shared" si="10"/>
        <v>#NUM!</v>
      </c>
      <c r="K113" s="93" t="e">
        <f t="shared" si="11"/>
        <v>#NUM!</v>
      </c>
      <c r="L113" s="93"/>
      <c r="M113" s="92">
        <f t="shared" si="12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6" customFormat="1" x14ac:dyDescent="0.25">
      <c r="A114" s="95"/>
      <c r="B114" s="84"/>
      <c r="C114" s="84"/>
      <c r="D114" s="84"/>
      <c r="E114" s="84"/>
      <c r="F114" s="84"/>
      <c r="H114" s="93">
        <v>109</v>
      </c>
      <c r="I114" s="94" t="str">
        <f t="shared" si="9"/>
        <v/>
      </c>
      <c r="J114" s="94" t="e">
        <f t="shared" si="10"/>
        <v>#NUM!</v>
      </c>
      <c r="K114" s="93" t="e">
        <f t="shared" si="11"/>
        <v>#NUM!</v>
      </c>
      <c r="L114" s="93"/>
      <c r="M114" s="92">
        <f t="shared" si="12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6" customFormat="1" x14ac:dyDescent="0.25">
      <c r="A115" s="95"/>
      <c r="B115" s="84"/>
      <c r="C115" s="84"/>
      <c r="D115" s="84"/>
      <c r="E115" s="84"/>
      <c r="F115" s="84"/>
      <c r="H115" s="93">
        <v>110</v>
      </c>
      <c r="I115" s="94" t="str">
        <f t="shared" si="9"/>
        <v/>
      </c>
      <c r="J115" s="94" t="e">
        <f t="shared" si="10"/>
        <v>#NUM!</v>
      </c>
      <c r="K115" s="93" t="e">
        <f t="shared" si="11"/>
        <v>#NUM!</v>
      </c>
      <c r="L115" s="93"/>
      <c r="M115" s="92">
        <f t="shared" si="12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6" customFormat="1" x14ac:dyDescent="0.25">
      <c r="A116" s="95"/>
      <c r="B116" s="84"/>
      <c r="C116" s="84"/>
      <c r="D116" s="84"/>
      <c r="E116" s="84"/>
      <c r="F116" s="84"/>
      <c r="H116" s="93">
        <v>111</v>
      </c>
      <c r="I116" s="94" t="str">
        <f t="shared" si="9"/>
        <v/>
      </c>
      <c r="J116" s="94" t="e">
        <f t="shared" si="10"/>
        <v>#NUM!</v>
      </c>
      <c r="K116" s="93" t="e">
        <f t="shared" si="11"/>
        <v>#NUM!</v>
      </c>
      <c r="L116" s="93"/>
      <c r="M116" s="92">
        <f t="shared" si="12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6" customFormat="1" x14ac:dyDescent="0.25">
      <c r="A117" s="95"/>
      <c r="B117" s="84"/>
      <c r="C117" s="84"/>
      <c r="D117" s="84"/>
      <c r="E117" s="84"/>
      <c r="F117" s="84"/>
      <c r="H117" s="93">
        <v>112</v>
      </c>
      <c r="I117" s="94" t="str">
        <f t="shared" si="9"/>
        <v/>
      </c>
      <c r="J117" s="94" t="e">
        <f t="shared" si="10"/>
        <v>#NUM!</v>
      </c>
      <c r="K117" s="93" t="e">
        <f t="shared" si="11"/>
        <v>#NUM!</v>
      </c>
      <c r="L117" s="93"/>
      <c r="M117" s="92">
        <f t="shared" si="12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6" customFormat="1" x14ac:dyDescent="0.25">
      <c r="A118" s="95"/>
      <c r="B118" s="84"/>
      <c r="C118" s="84"/>
      <c r="D118" s="84"/>
      <c r="E118" s="84"/>
      <c r="F118" s="84"/>
      <c r="H118" s="93">
        <v>113</v>
      </c>
      <c r="I118" s="94" t="str">
        <f t="shared" si="9"/>
        <v/>
      </c>
      <c r="J118" s="94" t="e">
        <f t="shared" si="10"/>
        <v>#NUM!</v>
      </c>
      <c r="K118" s="93" t="e">
        <f t="shared" si="11"/>
        <v>#NUM!</v>
      </c>
      <c r="L118" s="93"/>
      <c r="M118" s="92">
        <f t="shared" si="12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6" customFormat="1" x14ac:dyDescent="0.25">
      <c r="A119" s="95"/>
      <c r="B119" s="84"/>
      <c r="C119" s="84"/>
      <c r="D119" s="84"/>
      <c r="E119" s="84"/>
      <c r="F119" s="84"/>
      <c r="H119" s="93">
        <v>114</v>
      </c>
      <c r="I119" s="94" t="str">
        <f t="shared" si="9"/>
        <v/>
      </c>
      <c r="J119" s="94" t="e">
        <f t="shared" si="10"/>
        <v>#NUM!</v>
      </c>
      <c r="K119" s="93" t="e">
        <f t="shared" si="11"/>
        <v>#NUM!</v>
      </c>
      <c r="L119" s="93"/>
      <c r="M119" s="92">
        <f t="shared" si="12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6" customFormat="1" x14ac:dyDescent="0.25">
      <c r="A120" s="95"/>
      <c r="B120" s="84"/>
      <c r="C120" s="84"/>
      <c r="D120" s="84"/>
      <c r="E120" s="84"/>
      <c r="F120" s="84"/>
      <c r="H120" s="93">
        <v>115</v>
      </c>
      <c r="I120" s="94" t="str">
        <f t="shared" si="9"/>
        <v/>
      </c>
      <c r="J120" s="94" t="e">
        <f t="shared" si="10"/>
        <v>#NUM!</v>
      </c>
      <c r="K120" s="93" t="e">
        <f t="shared" si="11"/>
        <v>#NUM!</v>
      </c>
      <c r="L120" s="93"/>
      <c r="M120" s="92">
        <f t="shared" si="12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6" customFormat="1" x14ac:dyDescent="0.25">
      <c r="A121" s="95"/>
      <c r="B121" s="84"/>
      <c r="C121" s="84"/>
      <c r="D121" s="84"/>
      <c r="E121" s="84"/>
      <c r="F121" s="84"/>
      <c r="H121" s="93">
        <v>116</v>
      </c>
      <c r="I121" s="94" t="str">
        <f t="shared" si="9"/>
        <v/>
      </c>
      <c r="J121" s="94" t="e">
        <f t="shared" si="10"/>
        <v>#NUM!</v>
      </c>
      <c r="K121" s="93" t="e">
        <f t="shared" si="11"/>
        <v>#NUM!</v>
      </c>
      <c r="L121" s="93"/>
      <c r="M121" s="92">
        <f t="shared" si="12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6" customFormat="1" x14ac:dyDescent="0.25">
      <c r="A122" s="95"/>
      <c r="B122" s="84"/>
      <c r="C122" s="84"/>
      <c r="D122" s="84"/>
      <c r="E122" s="84"/>
      <c r="F122" s="84"/>
      <c r="H122" s="93">
        <v>117</v>
      </c>
      <c r="I122" s="94" t="str">
        <f t="shared" si="9"/>
        <v/>
      </c>
      <c r="J122" s="94" t="e">
        <f t="shared" si="10"/>
        <v>#NUM!</v>
      </c>
      <c r="K122" s="93" t="e">
        <f t="shared" si="11"/>
        <v>#NUM!</v>
      </c>
      <c r="L122" s="93"/>
      <c r="M122" s="92">
        <f t="shared" si="12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6" customFormat="1" x14ac:dyDescent="0.25">
      <c r="A123" s="95"/>
      <c r="B123" s="84"/>
      <c r="C123" s="84"/>
      <c r="D123" s="84"/>
      <c r="E123" s="84"/>
      <c r="F123" s="84"/>
      <c r="H123" s="93">
        <v>118</v>
      </c>
      <c r="I123" s="94" t="str">
        <f t="shared" si="9"/>
        <v/>
      </c>
      <c r="J123" s="94" t="e">
        <f t="shared" si="10"/>
        <v>#NUM!</v>
      </c>
      <c r="K123" s="93" t="e">
        <f t="shared" si="11"/>
        <v>#NUM!</v>
      </c>
      <c r="L123" s="93"/>
      <c r="M123" s="92">
        <f t="shared" si="12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6" customFormat="1" x14ac:dyDescent="0.25">
      <c r="A124" s="95"/>
      <c r="B124" s="84"/>
      <c r="C124" s="84"/>
      <c r="D124" s="84"/>
      <c r="E124" s="84"/>
      <c r="F124" s="84"/>
      <c r="H124" s="93">
        <v>119</v>
      </c>
      <c r="I124" s="94" t="str">
        <f t="shared" si="9"/>
        <v/>
      </c>
      <c r="J124" s="94" t="e">
        <f t="shared" si="10"/>
        <v>#NUM!</v>
      </c>
      <c r="K124" s="93" t="e">
        <f t="shared" si="11"/>
        <v>#NUM!</v>
      </c>
      <c r="L124" s="93"/>
      <c r="M124" s="92">
        <f t="shared" si="12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6" customFormat="1" x14ac:dyDescent="0.25">
      <c r="A125" s="95"/>
      <c r="B125" s="84"/>
      <c r="C125" s="84"/>
      <c r="D125" s="84"/>
      <c r="E125" s="84"/>
      <c r="F125" s="84"/>
      <c r="H125" s="93">
        <v>120</v>
      </c>
      <c r="I125" s="94" t="str">
        <f t="shared" si="9"/>
        <v/>
      </c>
      <c r="J125" s="94" t="e">
        <f t="shared" si="10"/>
        <v>#NUM!</v>
      </c>
      <c r="K125" s="93" t="e">
        <f t="shared" si="11"/>
        <v>#NUM!</v>
      </c>
      <c r="L125" s="93"/>
      <c r="M125" s="92">
        <f t="shared" si="12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6" customFormat="1" x14ac:dyDescent="0.25">
      <c r="A126" s="95"/>
      <c r="B126" s="84"/>
      <c r="C126" s="84"/>
      <c r="D126" s="84"/>
      <c r="E126" s="84"/>
      <c r="F126" s="84"/>
      <c r="H126" s="93">
        <v>121</v>
      </c>
      <c r="I126" s="94" t="str">
        <f t="shared" si="9"/>
        <v/>
      </c>
      <c r="J126" s="94" t="e">
        <f t="shared" si="10"/>
        <v>#NUM!</v>
      </c>
      <c r="K126" s="93" t="e">
        <f t="shared" si="11"/>
        <v>#NUM!</v>
      </c>
      <c r="L126" s="93"/>
      <c r="M126" s="92">
        <f t="shared" si="12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6" customFormat="1" x14ac:dyDescent="0.25">
      <c r="A127" s="95"/>
      <c r="B127" s="84"/>
      <c r="C127" s="84"/>
      <c r="D127" s="84"/>
      <c r="E127" s="84"/>
      <c r="F127" s="84"/>
      <c r="H127" s="93">
        <v>122</v>
      </c>
      <c r="I127" s="94" t="str">
        <f t="shared" si="9"/>
        <v/>
      </c>
      <c r="J127" s="94" t="e">
        <f t="shared" si="10"/>
        <v>#NUM!</v>
      </c>
      <c r="K127" s="93" t="e">
        <f t="shared" si="11"/>
        <v>#NUM!</v>
      </c>
      <c r="L127" s="93"/>
      <c r="M127" s="92">
        <f t="shared" si="12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6" customFormat="1" x14ac:dyDescent="0.25">
      <c r="A128" s="95"/>
      <c r="B128" s="84"/>
      <c r="C128" s="84"/>
      <c r="D128" s="84"/>
      <c r="E128" s="84"/>
      <c r="F128" s="84"/>
      <c r="H128" s="93">
        <v>123</v>
      </c>
      <c r="I128" s="94" t="str">
        <f t="shared" si="9"/>
        <v/>
      </c>
      <c r="J128" s="94" t="e">
        <f t="shared" si="10"/>
        <v>#NUM!</v>
      </c>
      <c r="K128" s="93" t="e">
        <f t="shared" si="11"/>
        <v>#NUM!</v>
      </c>
      <c r="L128" s="93"/>
      <c r="M128" s="92">
        <f t="shared" si="12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6" customFormat="1" x14ac:dyDescent="0.25">
      <c r="A129" s="95"/>
      <c r="B129" s="84"/>
      <c r="C129" s="84"/>
      <c r="D129" s="84"/>
      <c r="E129" s="84"/>
      <c r="F129" s="84"/>
      <c r="H129" s="93">
        <v>124</v>
      </c>
      <c r="I129" s="94" t="str">
        <f t="shared" si="9"/>
        <v/>
      </c>
      <c r="J129" s="94" t="e">
        <f t="shared" si="10"/>
        <v>#NUM!</v>
      </c>
      <c r="K129" s="93" t="e">
        <f t="shared" si="11"/>
        <v>#NUM!</v>
      </c>
      <c r="L129" s="93"/>
      <c r="M129" s="92">
        <f t="shared" si="12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6" customFormat="1" x14ac:dyDescent="0.25">
      <c r="A130" s="95"/>
      <c r="B130" s="84"/>
      <c r="C130" s="84"/>
      <c r="D130" s="84"/>
      <c r="E130" s="84"/>
      <c r="F130" s="84"/>
      <c r="H130" s="93">
        <v>125</v>
      </c>
      <c r="I130" s="94" t="str">
        <f t="shared" si="9"/>
        <v/>
      </c>
      <c r="J130" s="94" t="e">
        <f t="shared" si="10"/>
        <v>#NUM!</v>
      </c>
      <c r="K130" s="93" t="e">
        <f t="shared" si="11"/>
        <v>#NUM!</v>
      </c>
      <c r="L130" s="93"/>
      <c r="M130" s="92">
        <f t="shared" si="12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6" customFormat="1" x14ac:dyDescent="0.25">
      <c r="A131" s="95"/>
      <c r="B131" s="84"/>
      <c r="C131" s="84"/>
      <c r="D131" s="84"/>
      <c r="E131" s="84"/>
      <c r="F131" s="84"/>
      <c r="H131" s="93">
        <v>126</v>
      </c>
      <c r="I131" s="94" t="str">
        <f t="shared" si="9"/>
        <v/>
      </c>
      <c r="J131" s="94" t="e">
        <f t="shared" si="10"/>
        <v>#NUM!</v>
      </c>
      <c r="K131" s="93" t="e">
        <f t="shared" si="11"/>
        <v>#NUM!</v>
      </c>
      <c r="L131" s="93"/>
      <c r="M131" s="92">
        <f t="shared" si="12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6" customFormat="1" x14ac:dyDescent="0.25">
      <c r="A132" s="95"/>
      <c r="B132" s="84"/>
      <c r="C132" s="84"/>
      <c r="D132" s="84"/>
      <c r="E132" s="84"/>
      <c r="F132" s="84"/>
      <c r="H132" s="93">
        <v>127</v>
      </c>
      <c r="I132" s="94" t="str">
        <f t="shared" si="9"/>
        <v/>
      </c>
      <c r="J132" s="94" t="e">
        <f t="shared" si="10"/>
        <v>#NUM!</v>
      </c>
      <c r="K132" s="93" t="e">
        <f t="shared" si="11"/>
        <v>#NUM!</v>
      </c>
      <c r="L132" s="93"/>
      <c r="M132" s="92">
        <f t="shared" si="12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6" customFormat="1" x14ac:dyDescent="0.25">
      <c r="A133" s="95"/>
      <c r="B133" s="84"/>
      <c r="C133" s="84"/>
      <c r="D133" s="84"/>
      <c r="E133" s="84"/>
      <c r="F133" s="84"/>
      <c r="H133" s="93">
        <v>128</v>
      </c>
      <c r="I133" s="94" t="str">
        <f t="shared" si="9"/>
        <v/>
      </c>
      <c r="J133" s="94" t="e">
        <f t="shared" si="10"/>
        <v>#NUM!</v>
      </c>
      <c r="K133" s="93" t="e">
        <f t="shared" si="11"/>
        <v>#NUM!</v>
      </c>
      <c r="L133" s="93"/>
      <c r="M133" s="92">
        <f t="shared" si="12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6" customFormat="1" x14ac:dyDescent="0.25">
      <c r="A134" s="95"/>
      <c r="B134" s="84"/>
      <c r="C134" s="84"/>
      <c r="D134" s="84"/>
      <c r="E134" s="84"/>
      <c r="F134" s="84"/>
      <c r="H134" s="93">
        <v>129</v>
      </c>
      <c r="I134" s="94" t="str">
        <f t="shared" ref="I134:I197" si="13">IF(H134&lt;$H$2+1,($I$2-($I$2-1)*(LOG(H134)/LOG($H$2))),"")</f>
        <v/>
      </c>
      <c r="J134" s="94" t="e">
        <f t="shared" ref="J134:J197" si="14">INT(LOG($H$2,2))-ROUNDUP(LOG(H134,2),0)+IF(OR($H$2=1,$H$2=2,$H$2=4,$H$2=8,$H$2=16,$H$2=32,$H$2=64,$H$2=128,$H$2=256),0,1)</f>
        <v>#NUM!</v>
      </c>
      <c r="K134" s="93" t="e">
        <f t="shared" ref="K134:K197" si="15">J134*$J$2</f>
        <v>#NUM!</v>
      </c>
      <c r="L134" s="93"/>
      <c r="M134" s="92">
        <f t="shared" ref="M134:M197" si="16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6" customFormat="1" x14ac:dyDescent="0.25">
      <c r="A135" s="95"/>
      <c r="B135" s="84"/>
      <c r="C135" s="84"/>
      <c r="D135" s="84"/>
      <c r="E135" s="84"/>
      <c r="F135" s="84"/>
      <c r="H135" s="93">
        <v>130</v>
      </c>
      <c r="I135" s="94" t="str">
        <f t="shared" si="13"/>
        <v/>
      </c>
      <c r="J135" s="94" t="e">
        <f t="shared" si="14"/>
        <v>#NUM!</v>
      </c>
      <c r="K135" s="93" t="e">
        <f t="shared" si="15"/>
        <v>#NUM!</v>
      </c>
      <c r="L135" s="93"/>
      <c r="M135" s="92">
        <f t="shared" si="16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6" customFormat="1" x14ac:dyDescent="0.25">
      <c r="A136" s="95"/>
      <c r="B136" s="84"/>
      <c r="C136" s="84"/>
      <c r="D136" s="84"/>
      <c r="E136" s="84"/>
      <c r="F136" s="84"/>
      <c r="H136" s="93">
        <v>131</v>
      </c>
      <c r="I136" s="94" t="str">
        <f t="shared" si="13"/>
        <v/>
      </c>
      <c r="J136" s="94" t="e">
        <f t="shared" si="14"/>
        <v>#NUM!</v>
      </c>
      <c r="K136" s="93" t="e">
        <f t="shared" si="15"/>
        <v>#NUM!</v>
      </c>
      <c r="L136" s="93"/>
      <c r="M136" s="92">
        <f t="shared" si="16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6" customFormat="1" x14ac:dyDescent="0.25">
      <c r="A137" s="95"/>
      <c r="B137" s="84"/>
      <c r="C137" s="84"/>
      <c r="D137" s="84"/>
      <c r="E137" s="84"/>
      <c r="F137" s="84"/>
      <c r="H137" s="93">
        <v>132</v>
      </c>
      <c r="I137" s="94" t="str">
        <f t="shared" si="13"/>
        <v/>
      </c>
      <c r="J137" s="94" t="e">
        <f t="shared" si="14"/>
        <v>#NUM!</v>
      </c>
      <c r="K137" s="93" t="e">
        <f t="shared" si="15"/>
        <v>#NUM!</v>
      </c>
      <c r="L137" s="93"/>
      <c r="M137" s="92">
        <f t="shared" si="16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6" customFormat="1" x14ac:dyDescent="0.25">
      <c r="A138" s="95"/>
      <c r="B138" s="84"/>
      <c r="C138" s="84"/>
      <c r="D138" s="84"/>
      <c r="E138" s="84"/>
      <c r="F138" s="84"/>
      <c r="H138" s="93">
        <v>133</v>
      </c>
      <c r="I138" s="94" t="str">
        <f t="shared" si="13"/>
        <v/>
      </c>
      <c r="J138" s="94" t="e">
        <f t="shared" si="14"/>
        <v>#NUM!</v>
      </c>
      <c r="K138" s="93" t="e">
        <f t="shared" si="15"/>
        <v>#NUM!</v>
      </c>
      <c r="L138" s="93"/>
      <c r="M138" s="92">
        <f t="shared" si="16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6" customFormat="1" x14ac:dyDescent="0.25">
      <c r="A139" s="95"/>
      <c r="B139" s="84"/>
      <c r="C139" s="84"/>
      <c r="D139" s="84"/>
      <c r="E139" s="84"/>
      <c r="F139" s="84"/>
      <c r="H139" s="93">
        <v>134</v>
      </c>
      <c r="I139" s="94" t="str">
        <f t="shared" si="13"/>
        <v/>
      </c>
      <c r="J139" s="94" t="e">
        <f t="shared" si="14"/>
        <v>#NUM!</v>
      </c>
      <c r="K139" s="93" t="e">
        <f t="shared" si="15"/>
        <v>#NUM!</v>
      </c>
      <c r="L139" s="93"/>
      <c r="M139" s="92">
        <f t="shared" si="16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6" customFormat="1" x14ac:dyDescent="0.25">
      <c r="A140" s="95"/>
      <c r="B140" s="84"/>
      <c r="C140" s="84"/>
      <c r="D140" s="84"/>
      <c r="E140" s="84"/>
      <c r="F140" s="84"/>
      <c r="H140" s="93">
        <v>135</v>
      </c>
      <c r="I140" s="94" t="str">
        <f t="shared" si="13"/>
        <v/>
      </c>
      <c r="J140" s="94" t="e">
        <f t="shared" si="14"/>
        <v>#NUM!</v>
      </c>
      <c r="K140" s="93" t="e">
        <f t="shared" si="15"/>
        <v>#NUM!</v>
      </c>
      <c r="L140" s="93"/>
      <c r="M140" s="92">
        <f t="shared" si="16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s="86" customFormat="1" x14ac:dyDescent="0.25">
      <c r="A141" s="95"/>
      <c r="B141" s="84"/>
      <c r="C141" s="84"/>
      <c r="D141" s="84"/>
      <c r="E141" s="84"/>
      <c r="F141" s="84"/>
      <c r="H141" s="93">
        <v>136</v>
      </c>
      <c r="I141" s="94" t="str">
        <f t="shared" si="13"/>
        <v/>
      </c>
      <c r="J141" s="94" t="e">
        <f t="shared" si="14"/>
        <v>#NUM!</v>
      </c>
      <c r="K141" s="93" t="e">
        <f t="shared" si="15"/>
        <v>#NUM!</v>
      </c>
      <c r="L141" s="93"/>
      <c r="M141" s="92">
        <f t="shared" si="16"/>
        <v>0</v>
      </c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spans="1:38" s="86" customFormat="1" x14ac:dyDescent="0.25">
      <c r="A142" s="95"/>
      <c r="B142" s="84"/>
      <c r="C142" s="84"/>
      <c r="D142" s="84"/>
      <c r="E142" s="84"/>
      <c r="F142" s="84"/>
      <c r="H142" s="93">
        <v>137</v>
      </c>
      <c r="I142" s="94" t="str">
        <f t="shared" si="13"/>
        <v/>
      </c>
      <c r="J142" s="94" t="e">
        <f t="shared" si="14"/>
        <v>#NUM!</v>
      </c>
      <c r="K142" s="93" t="e">
        <f t="shared" si="15"/>
        <v>#NUM!</v>
      </c>
      <c r="L142" s="93"/>
      <c r="M142" s="92">
        <f t="shared" si="16"/>
        <v>0</v>
      </c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spans="1:38" s="86" customFormat="1" x14ac:dyDescent="0.25">
      <c r="A143" s="95"/>
      <c r="B143" s="84"/>
      <c r="C143" s="84"/>
      <c r="D143" s="84"/>
      <c r="E143" s="84"/>
      <c r="F143" s="84"/>
      <c r="H143" s="93">
        <v>138</v>
      </c>
      <c r="I143" s="94" t="str">
        <f t="shared" si="13"/>
        <v/>
      </c>
      <c r="J143" s="94" t="e">
        <f t="shared" si="14"/>
        <v>#NUM!</v>
      </c>
      <c r="K143" s="93" t="e">
        <f t="shared" si="15"/>
        <v>#NUM!</v>
      </c>
      <c r="L143" s="93"/>
      <c r="M143" s="92">
        <f t="shared" si="16"/>
        <v>0</v>
      </c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spans="1:38" s="86" customFormat="1" x14ac:dyDescent="0.25">
      <c r="A144" s="95"/>
      <c r="B144" s="84"/>
      <c r="C144" s="84"/>
      <c r="D144" s="84"/>
      <c r="E144" s="84"/>
      <c r="F144" s="84"/>
      <c r="H144" s="93">
        <v>139</v>
      </c>
      <c r="I144" s="94" t="str">
        <f t="shared" si="13"/>
        <v/>
      </c>
      <c r="J144" s="94" t="e">
        <f t="shared" si="14"/>
        <v>#NUM!</v>
      </c>
      <c r="K144" s="93" t="e">
        <f t="shared" si="15"/>
        <v>#NUM!</v>
      </c>
      <c r="L144" s="93"/>
      <c r="M144" s="92">
        <f t="shared" si="16"/>
        <v>0</v>
      </c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spans="1:38" s="86" customFormat="1" x14ac:dyDescent="0.25">
      <c r="A145" s="95"/>
      <c r="B145" s="84"/>
      <c r="C145" s="84"/>
      <c r="D145" s="84"/>
      <c r="E145" s="84"/>
      <c r="F145" s="84"/>
      <c r="H145" s="93">
        <v>140</v>
      </c>
      <c r="I145" s="94" t="str">
        <f t="shared" si="13"/>
        <v/>
      </c>
      <c r="J145" s="94" t="e">
        <f t="shared" si="14"/>
        <v>#NUM!</v>
      </c>
      <c r="K145" s="93" t="e">
        <f t="shared" si="15"/>
        <v>#NUM!</v>
      </c>
      <c r="L145" s="93"/>
      <c r="M145" s="92">
        <f t="shared" si="16"/>
        <v>0</v>
      </c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spans="1:38" s="86" customFormat="1" x14ac:dyDescent="0.25">
      <c r="A146" s="95"/>
      <c r="B146" s="84"/>
      <c r="C146" s="84"/>
      <c r="D146" s="84"/>
      <c r="E146" s="84"/>
      <c r="F146" s="84"/>
      <c r="H146" s="93">
        <v>141</v>
      </c>
      <c r="I146" s="94" t="str">
        <f t="shared" si="13"/>
        <v/>
      </c>
      <c r="J146" s="94" t="e">
        <f t="shared" si="14"/>
        <v>#NUM!</v>
      </c>
      <c r="K146" s="93" t="e">
        <f t="shared" si="15"/>
        <v>#NUM!</v>
      </c>
      <c r="L146" s="93"/>
      <c r="M146" s="92">
        <f t="shared" si="16"/>
        <v>0</v>
      </c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spans="1:38" s="86" customFormat="1" x14ac:dyDescent="0.25">
      <c r="A147" s="95"/>
      <c r="B147" s="84"/>
      <c r="C147" s="84"/>
      <c r="D147" s="84"/>
      <c r="E147" s="84"/>
      <c r="F147" s="84"/>
      <c r="H147" s="93">
        <v>142</v>
      </c>
      <c r="I147" s="94" t="str">
        <f t="shared" si="13"/>
        <v/>
      </c>
      <c r="J147" s="94" t="e">
        <f t="shared" si="14"/>
        <v>#NUM!</v>
      </c>
      <c r="K147" s="93" t="e">
        <f t="shared" si="15"/>
        <v>#NUM!</v>
      </c>
      <c r="L147" s="93"/>
      <c r="M147" s="92">
        <f t="shared" si="16"/>
        <v>0</v>
      </c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spans="1:38" s="86" customFormat="1" x14ac:dyDescent="0.25">
      <c r="A148" s="95"/>
      <c r="B148" s="84"/>
      <c r="C148" s="84"/>
      <c r="D148" s="84"/>
      <c r="E148" s="84"/>
      <c r="F148" s="84"/>
      <c r="H148" s="93">
        <v>143</v>
      </c>
      <c r="I148" s="94" t="str">
        <f t="shared" si="13"/>
        <v/>
      </c>
      <c r="J148" s="94" t="e">
        <f t="shared" si="14"/>
        <v>#NUM!</v>
      </c>
      <c r="K148" s="93" t="e">
        <f t="shared" si="15"/>
        <v>#NUM!</v>
      </c>
      <c r="L148" s="93"/>
      <c r="M148" s="92">
        <f t="shared" si="16"/>
        <v>0</v>
      </c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spans="1:38" s="86" customFormat="1" x14ac:dyDescent="0.25">
      <c r="A149" s="95"/>
      <c r="B149" s="84"/>
      <c r="C149" s="84"/>
      <c r="D149" s="84"/>
      <c r="E149" s="84"/>
      <c r="F149" s="84"/>
      <c r="H149" s="93">
        <v>144</v>
      </c>
      <c r="I149" s="94" t="str">
        <f t="shared" si="13"/>
        <v/>
      </c>
      <c r="J149" s="94" t="e">
        <f t="shared" si="14"/>
        <v>#NUM!</v>
      </c>
      <c r="K149" s="93" t="e">
        <f t="shared" si="15"/>
        <v>#NUM!</v>
      </c>
      <c r="L149" s="93"/>
      <c r="M149" s="92">
        <f t="shared" si="16"/>
        <v>0</v>
      </c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spans="1:38" s="86" customFormat="1" x14ac:dyDescent="0.25">
      <c r="A150" s="95"/>
      <c r="B150" s="84"/>
      <c r="C150" s="84"/>
      <c r="D150" s="84"/>
      <c r="E150" s="84"/>
      <c r="F150" s="84"/>
      <c r="H150" s="93">
        <v>145</v>
      </c>
      <c r="I150" s="94" t="str">
        <f t="shared" si="13"/>
        <v/>
      </c>
      <c r="J150" s="94" t="e">
        <f t="shared" si="14"/>
        <v>#NUM!</v>
      </c>
      <c r="K150" s="93" t="e">
        <f t="shared" si="15"/>
        <v>#NUM!</v>
      </c>
      <c r="L150" s="93"/>
      <c r="M150" s="92">
        <f t="shared" si="16"/>
        <v>0</v>
      </c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spans="1:38" s="86" customFormat="1" x14ac:dyDescent="0.25">
      <c r="A151" s="95"/>
      <c r="B151" s="84"/>
      <c r="C151" s="84"/>
      <c r="D151" s="84"/>
      <c r="E151" s="84"/>
      <c r="F151" s="84"/>
      <c r="H151" s="93">
        <v>146</v>
      </c>
      <c r="I151" s="94" t="str">
        <f t="shared" si="13"/>
        <v/>
      </c>
      <c r="J151" s="94" t="e">
        <f t="shared" si="14"/>
        <v>#NUM!</v>
      </c>
      <c r="K151" s="93" t="e">
        <f t="shared" si="15"/>
        <v>#NUM!</v>
      </c>
      <c r="L151" s="93"/>
      <c r="M151" s="92">
        <f t="shared" si="16"/>
        <v>0</v>
      </c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spans="1:38" s="86" customFormat="1" x14ac:dyDescent="0.25">
      <c r="A152" s="95"/>
      <c r="B152" s="84"/>
      <c r="C152" s="84"/>
      <c r="D152" s="84"/>
      <c r="E152" s="84"/>
      <c r="F152" s="84"/>
      <c r="H152" s="93">
        <v>147</v>
      </c>
      <c r="I152" s="94" t="str">
        <f t="shared" si="13"/>
        <v/>
      </c>
      <c r="J152" s="94" t="e">
        <f t="shared" si="14"/>
        <v>#NUM!</v>
      </c>
      <c r="K152" s="93" t="e">
        <f t="shared" si="15"/>
        <v>#NUM!</v>
      </c>
      <c r="L152" s="93"/>
      <c r="M152" s="92">
        <f t="shared" si="16"/>
        <v>0</v>
      </c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spans="1:38" s="86" customFormat="1" x14ac:dyDescent="0.25">
      <c r="A153" s="95"/>
      <c r="B153" s="84"/>
      <c r="C153" s="84"/>
      <c r="D153" s="84"/>
      <c r="E153" s="84"/>
      <c r="F153" s="84"/>
      <c r="H153" s="93">
        <v>148</v>
      </c>
      <c r="I153" s="94" t="str">
        <f t="shared" si="13"/>
        <v/>
      </c>
      <c r="J153" s="94" t="e">
        <f t="shared" si="14"/>
        <v>#NUM!</v>
      </c>
      <c r="K153" s="93" t="e">
        <f t="shared" si="15"/>
        <v>#NUM!</v>
      </c>
      <c r="L153" s="93"/>
      <c r="M153" s="92">
        <f t="shared" si="16"/>
        <v>0</v>
      </c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spans="1:38" s="86" customFormat="1" x14ac:dyDescent="0.25">
      <c r="A154" s="95"/>
      <c r="B154" s="84"/>
      <c r="C154" s="84"/>
      <c r="D154" s="84"/>
      <c r="E154" s="84"/>
      <c r="F154" s="84"/>
      <c r="H154" s="93">
        <v>149</v>
      </c>
      <c r="I154" s="94" t="str">
        <f t="shared" si="13"/>
        <v/>
      </c>
      <c r="J154" s="94" t="e">
        <f t="shared" si="14"/>
        <v>#NUM!</v>
      </c>
      <c r="K154" s="93" t="e">
        <f t="shared" si="15"/>
        <v>#NUM!</v>
      </c>
      <c r="L154" s="93"/>
      <c r="M154" s="92">
        <f t="shared" si="16"/>
        <v>0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spans="1:38" s="86" customFormat="1" x14ac:dyDescent="0.25">
      <c r="A155" s="95"/>
      <c r="B155" s="84"/>
      <c r="C155" s="84"/>
      <c r="D155" s="84"/>
      <c r="E155" s="84"/>
      <c r="F155" s="84"/>
      <c r="H155" s="93">
        <v>150</v>
      </c>
      <c r="I155" s="94" t="str">
        <f t="shared" si="13"/>
        <v/>
      </c>
      <c r="J155" s="94" t="e">
        <f t="shared" si="14"/>
        <v>#NUM!</v>
      </c>
      <c r="K155" s="93" t="e">
        <f t="shared" si="15"/>
        <v>#NUM!</v>
      </c>
      <c r="L155" s="93"/>
      <c r="M155" s="92">
        <f t="shared" si="16"/>
        <v>0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spans="1:38" s="86" customFormat="1" x14ac:dyDescent="0.25">
      <c r="A156" s="95"/>
      <c r="B156" s="84"/>
      <c r="C156" s="84"/>
      <c r="D156" s="84"/>
      <c r="E156" s="84"/>
      <c r="F156" s="84"/>
      <c r="H156" s="93">
        <v>151</v>
      </c>
      <c r="I156" s="94" t="str">
        <f t="shared" si="13"/>
        <v/>
      </c>
      <c r="J156" s="94" t="e">
        <f t="shared" si="14"/>
        <v>#NUM!</v>
      </c>
      <c r="K156" s="93" t="e">
        <f t="shared" si="15"/>
        <v>#NUM!</v>
      </c>
      <c r="L156" s="93"/>
      <c r="M156" s="92">
        <f t="shared" si="16"/>
        <v>0</v>
      </c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spans="1:38" s="86" customFormat="1" x14ac:dyDescent="0.25">
      <c r="A157" s="95"/>
      <c r="B157" s="84"/>
      <c r="C157" s="84"/>
      <c r="D157" s="84"/>
      <c r="E157" s="84"/>
      <c r="F157" s="84"/>
      <c r="H157" s="93">
        <v>152</v>
      </c>
      <c r="I157" s="94" t="str">
        <f t="shared" si="13"/>
        <v/>
      </c>
      <c r="J157" s="94" t="e">
        <f t="shared" si="14"/>
        <v>#NUM!</v>
      </c>
      <c r="K157" s="93" t="e">
        <f t="shared" si="15"/>
        <v>#NUM!</v>
      </c>
      <c r="L157" s="93"/>
      <c r="M157" s="92">
        <f t="shared" si="16"/>
        <v>0</v>
      </c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spans="1:38" s="86" customFormat="1" x14ac:dyDescent="0.25">
      <c r="A158" s="95"/>
      <c r="B158" s="84"/>
      <c r="C158" s="84"/>
      <c r="D158" s="84"/>
      <c r="E158" s="84"/>
      <c r="F158" s="84"/>
      <c r="H158" s="93">
        <v>153</v>
      </c>
      <c r="I158" s="94" t="str">
        <f t="shared" si="13"/>
        <v/>
      </c>
      <c r="J158" s="94" t="e">
        <f t="shared" si="14"/>
        <v>#NUM!</v>
      </c>
      <c r="K158" s="93" t="e">
        <f t="shared" si="15"/>
        <v>#NUM!</v>
      </c>
      <c r="L158" s="93"/>
      <c r="M158" s="92">
        <f t="shared" si="16"/>
        <v>0</v>
      </c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spans="1:38" s="86" customFormat="1" x14ac:dyDescent="0.25">
      <c r="A159" s="95"/>
      <c r="B159" s="84"/>
      <c r="C159" s="84"/>
      <c r="D159" s="84"/>
      <c r="E159" s="84"/>
      <c r="F159" s="84"/>
      <c r="H159" s="93">
        <v>154</v>
      </c>
      <c r="I159" s="94" t="str">
        <f t="shared" si="13"/>
        <v/>
      </c>
      <c r="J159" s="94" t="e">
        <f t="shared" si="14"/>
        <v>#NUM!</v>
      </c>
      <c r="K159" s="93" t="e">
        <f t="shared" si="15"/>
        <v>#NUM!</v>
      </c>
      <c r="L159" s="93"/>
      <c r="M159" s="92">
        <f t="shared" si="16"/>
        <v>0</v>
      </c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spans="1:38" s="86" customFormat="1" x14ac:dyDescent="0.25">
      <c r="A160" s="95"/>
      <c r="B160" s="84"/>
      <c r="C160" s="84"/>
      <c r="D160" s="84"/>
      <c r="E160" s="84"/>
      <c r="F160" s="84"/>
      <c r="H160" s="93">
        <v>155</v>
      </c>
      <c r="I160" s="94" t="str">
        <f t="shared" si="13"/>
        <v/>
      </c>
      <c r="J160" s="94" t="e">
        <f t="shared" si="14"/>
        <v>#NUM!</v>
      </c>
      <c r="K160" s="93" t="e">
        <f t="shared" si="15"/>
        <v>#NUM!</v>
      </c>
      <c r="L160" s="93"/>
      <c r="M160" s="92">
        <f t="shared" si="16"/>
        <v>0</v>
      </c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spans="1:38" s="86" customFormat="1" x14ac:dyDescent="0.25">
      <c r="A161" s="95"/>
      <c r="B161" s="84"/>
      <c r="C161" s="84"/>
      <c r="D161" s="84"/>
      <c r="E161" s="84"/>
      <c r="F161" s="84"/>
      <c r="H161" s="93">
        <v>156</v>
      </c>
      <c r="I161" s="94" t="str">
        <f t="shared" si="13"/>
        <v/>
      </c>
      <c r="J161" s="94" t="e">
        <f t="shared" si="14"/>
        <v>#NUM!</v>
      </c>
      <c r="K161" s="93" t="e">
        <f t="shared" si="15"/>
        <v>#NUM!</v>
      </c>
      <c r="L161" s="93"/>
      <c r="M161" s="92">
        <f t="shared" si="16"/>
        <v>0</v>
      </c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spans="1:38" s="86" customFormat="1" x14ac:dyDescent="0.25">
      <c r="A162" s="95"/>
      <c r="B162" s="84"/>
      <c r="C162" s="84"/>
      <c r="D162" s="84"/>
      <c r="E162" s="84"/>
      <c r="F162" s="84"/>
      <c r="H162" s="93">
        <v>157</v>
      </c>
      <c r="I162" s="94" t="str">
        <f t="shared" si="13"/>
        <v/>
      </c>
      <c r="J162" s="94" t="e">
        <f t="shared" si="14"/>
        <v>#NUM!</v>
      </c>
      <c r="K162" s="93" t="e">
        <f t="shared" si="15"/>
        <v>#NUM!</v>
      </c>
      <c r="L162" s="93"/>
      <c r="M162" s="92">
        <f t="shared" si="16"/>
        <v>0</v>
      </c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spans="1:38" s="86" customFormat="1" x14ac:dyDescent="0.25">
      <c r="A163" s="95"/>
      <c r="B163" s="84"/>
      <c r="C163" s="84"/>
      <c r="D163" s="84"/>
      <c r="E163" s="84"/>
      <c r="F163" s="84"/>
      <c r="H163" s="93">
        <v>158</v>
      </c>
      <c r="I163" s="94" t="str">
        <f t="shared" si="13"/>
        <v/>
      </c>
      <c r="J163" s="94" t="e">
        <f t="shared" si="14"/>
        <v>#NUM!</v>
      </c>
      <c r="K163" s="93" t="e">
        <f t="shared" si="15"/>
        <v>#NUM!</v>
      </c>
      <c r="L163" s="93"/>
      <c r="M163" s="92">
        <f t="shared" si="16"/>
        <v>0</v>
      </c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spans="1:38" s="86" customFormat="1" x14ac:dyDescent="0.25">
      <c r="A164" s="95"/>
      <c r="B164" s="84"/>
      <c r="C164" s="84"/>
      <c r="D164" s="84"/>
      <c r="E164" s="84"/>
      <c r="F164" s="84"/>
      <c r="H164" s="93">
        <v>159</v>
      </c>
      <c r="I164" s="94" t="str">
        <f t="shared" si="13"/>
        <v/>
      </c>
      <c r="J164" s="94" t="e">
        <f t="shared" si="14"/>
        <v>#NUM!</v>
      </c>
      <c r="K164" s="93" t="e">
        <f t="shared" si="15"/>
        <v>#NUM!</v>
      </c>
      <c r="L164" s="93"/>
      <c r="M164" s="92">
        <f t="shared" si="16"/>
        <v>0</v>
      </c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spans="1:38" s="86" customFormat="1" x14ac:dyDescent="0.25">
      <c r="A165" s="95"/>
      <c r="B165" s="84"/>
      <c r="C165" s="84"/>
      <c r="D165" s="84"/>
      <c r="E165" s="84"/>
      <c r="F165" s="84"/>
      <c r="H165" s="93">
        <v>160</v>
      </c>
      <c r="I165" s="94" t="str">
        <f t="shared" si="13"/>
        <v/>
      </c>
      <c r="J165" s="94" t="e">
        <f t="shared" si="14"/>
        <v>#NUM!</v>
      </c>
      <c r="K165" s="93" t="e">
        <f t="shared" si="15"/>
        <v>#NUM!</v>
      </c>
      <c r="L165" s="93"/>
      <c r="M165" s="92">
        <f t="shared" si="16"/>
        <v>0</v>
      </c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spans="1:38" s="86" customFormat="1" x14ac:dyDescent="0.25">
      <c r="A166" s="95"/>
      <c r="B166" s="84"/>
      <c r="C166" s="84"/>
      <c r="D166" s="84"/>
      <c r="E166" s="84"/>
      <c r="F166" s="84"/>
      <c r="H166" s="93">
        <v>161</v>
      </c>
      <c r="I166" s="94" t="str">
        <f t="shared" si="13"/>
        <v/>
      </c>
      <c r="J166" s="94" t="e">
        <f t="shared" si="14"/>
        <v>#NUM!</v>
      </c>
      <c r="K166" s="93" t="e">
        <f t="shared" si="15"/>
        <v>#NUM!</v>
      </c>
      <c r="L166" s="93"/>
      <c r="M166" s="92">
        <f t="shared" si="16"/>
        <v>0</v>
      </c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spans="1:38" s="86" customFormat="1" x14ac:dyDescent="0.25">
      <c r="A167" s="95"/>
      <c r="B167" s="84"/>
      <c r="C167" s="84"/>
      <c r="D167" s="84"/>
      <c r="E167" s="84"/>
      <c r="F167" s="84"/>
      <c r="H167" s="93">
        <v>162</v>
      </c>
      <c r="I167" s="94" t="str">
        <f t="shared" si="13"/>
        <v/>
      </c>
      <c r="J167" s="94" t="e">
        <f t="shared" si="14"/>
        <v>#NUM!</v>
      </c>
      <c r="K167" s="93" t="e">
        <f t="shared" si="15"/>
        <v>#NUM!</v>
      </c>
      <c r="L167" s="93"/>
      <c r="M167" s="92">
        <f t="shared" si="16"/>
        <v>0</v>
      </c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spans="1:38" s="86" customFormat="1" x14ac:dyDescent="0.25">
      <c r="A168" s="95"/>
      <c r="B168" s="84"/>
      <c r="C168" s="84"/>
      <c r="D168" s="84"/>
      <c r="E168" s="84"/>
      <c r="F168" s="84"/>
      <c r="H168" s="93">
        <v>163</v>
      </c>
      <c r="I168" s="94" t="str">
        <f t="shared" si="13"/>
        <v/>
      </c>
      <c r="J168" s="94" t="e">
        <f t="shared" si="14"/>
        <v>#NUM!</v>
      </c>
      <c r="K168" s="93" t="e">
        <f t="shared" si="15"/>
        <v>#NUM!</v>
      </c>
      <c r="L168" s="93"/>
      <c r="M168" s="92">
        <f t="shared" si="16"/>
        <v>0</v>
      </c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spans="1:38" s="86" customFormat="1" x14ac:dyDescent="0.25">
      <c r="A169" s="95"/>
      <c r="B169" s="84"/>
      <c r="C169" s="84"/>
      <c r="D169" s="84"/>
      <c r="E169" s="84"/>
      <c r="F169" s="84"/>
      <c r="H169" s="93">
        <v>164</v>
      </c>
      <c r="I169" s="94" t="str">
        <f t="shared" si="13"/>
        <v/>
      </c>
      <c r="J169" s="94" t="e">
        <f t="shared" si="14"/>
        <v>#NUM!</v>
      </c>
      <c r="K169" s="93" t="e">
        <f t="shared" si="15"/>
        <v>#NUM!</v>
      </c>
      <c r="L169" s="93"/>
      <c r="M169" s="92">
        <f t="shared" si="16"/>
        <v>0</v>
      </c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spans="1:38" s="86" customFormat="1" x14ac:dyDescent="0.25">
      <c r="A170" s="95"/>
      <c r="B170" s="84"/>
      <c r="C170" s="84"/>
      <c r="D170" s="84"/>
      <c r="E170" s="84"/>
      <c r="F170" s="84"/>
      <c r="H170" s="93">
        <v>165</v>
      </c>
      <c r="I170" s="94" t="str">
        <f t="shared" si="13"/>
        <v/>
      </c>
      <c r="J170" s="94" t="e">
        <f t="shared" si="14"/>
        <v>#NUM!</v>
      </c>
      <c r="K170" s="93" t="e">
        <f t="shared" si="15"/>
        <v>#NUM!</v>
      </c>
      <c r="L170" s="93"/>
      <c r="M170" s="92">
        <f t="shared" si="16"/>
        <v>0</v>
      </c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spans="1:38" s="86" customFormat="1" x14ac:dyDescent="0.25">
      <c r="A171" s="95"/>
      <c r="B171" s="84"/>
      <c r="C171" s="84"/>
      <c r="D171" s="84"/>
      <c r="E171" s="84"/>
      <c r="F171" s="84"/>
      <c r="H171" s="93">
        <v>166</v>
      </c>
      <c r="I171" s="94" t="str">
        <f t="shared" si="13"/>
        <v/>
      </c>
      <c r="J171" s="94" t="e">
        <f t="shared" si="14"/>
        <v>#NUM!</v>
      </c>
      <c r="K171" s="93" t="e">
        <f t="shared" si="15"/>
        <v>#NUM!</v>
      </c>
      <c r="L171" s="93"/>
      <c r="M171" s="92">
        <f t="shared" si="16"/>
        <v>0</v>
      </c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spans="1:38" s="86" customFormat="1" x14ac:dyDescent="0.25">
      <c r="A172" s="95"/>
      <c r="B172" s="84"/>
      <c r="C172" s="84"/>
      <c r="D172" s="84"/>
      <c r="E172" s="84"/>
      <c r="F172" s="84"/>
      <c r="H172" s="93">
        <v>167</v>
      </c>
      <c r="I172" s="94" t="str">
        <f t="shared" si="13"/>
        <v/>
      </c>
      <c r="J172" s="94" t="e">
        <f t="shared" si="14"/>
        <v>#NUM!</v>
      </c>
      <c r="K172" s="93" t="e">
        <f t="shared" si="15"/>
        <v>#NUM!</v>
      </c>
      <c r="L172" s="93"/>
      <c r="M172" s="92">
        <f t="shared" si="16"/>
        <v>0</v>
      </c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spans="1:38" s="86" customFormat="1" x14ac:dyDescent="0.25">
      <c r="A173" s="95"/>
      <c r="B173" s="84"/>
      <c r="C173" s="84"/>
      <c r="D173" s="84"/>
      <c r="E173" s="84"/>
      <c r="F173" s="84"/>
      <c r="H173" s="93">
        <v>168</v>
      </c>
      <c r="I173" s="94" t="str">
        <f t="shared" si="13"/>
        <v/>
      </c>
      <c r="J173" s="94" t="e">
        <f t="shared" si="14"/>
        <v>#NUM!</v>
      </c>
      <c r="K173" s="93" t="e">
        <f t="shared" si="15"/>
        <v>#NUM!</v>
      </c>
      <c r="L173" s="93"/>
      <c r="M173" s="92">
        <f t="shared" si="16"/>
        <v>0</v>
      </c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spans="1:38" s="86" customFormat="1" x14ac:dyDescent="0.25">
      <c r="A174" s="95"/>
      <c r="B174" s="84"/>
      <c r="C174" s="84"/>
      <c r="D174" s="84"/>
      <c r="E174" s="84"/>
      <c r="F174" s="84"/>
      <c r="H174" s="93">
        <v>169</v>
      </c>
      <c r="I174" s="94" t="str">
        <f t="shared" si="13"/>
        <v/>
      </c>
      <c r="J174" s="94" t="e">
        <f t="shared" si="14"/>
        <v>#NUM!</v>
      </c>
      <c r="K174" s="93" t="e">
        <f t="shared" si="15"/>
        <v>#NUM!</v>
      </c>
      <c r="L174" s="93"/>
      <c r="M174" s="92">
        <f t="shared" si="16"/>
        <v>0</v>
      </c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spans="1:38" s="86" customFormat="1" x14ac:dyDescent="0.25">
      <c r="A175" s="95"/>
      <c r="B175" s="84"/>
      <c r="C175" s="84"/>
      <c r="D175" s="84"/>
      <c r="E175" s="84"/>
      <c r="F175" s="84"/>
      <c r="H175" s="93">
        <v>170</v>
      </c>
      <c r="I175" s="94" t="str">
        <f t="shared" si="13"/>
        <v/>
      </c>
      <c r="J175" s="94" t="e">
        <f t="shared" si="14"/>
        <v>#NUM!</v>
      </c>
      <c r="K175" s="93" t="e">
        <f t="shared" si="15"/>
        <v>#NUM!</v>
      </c>
      <c r="L175" s="93"/>
      <c r="M175" s="92">
        <f t="shared" si="16"/>
        <v>0</v>
      </c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spans="1:38" s="86" customFormat="1" x14ac:dyDescent="0.25">
      <c r="A176" s="95"/>
      <c r="B176" s="84"/>
      <c r="C176" s="84"/>
      <c r="D176" s="84"/>
      <c r="E176" s="84"/>
      <c r="F176" s="84"/>
      <c r="H176" s="93">
        <v>171</v>
      </c>
      <c r="I176" s="94" t="str">
        <f t="shared" si="13"/>
        <v/>
      </c>
      <c r="J176" s="94" t="e">
        <f t="shared" si="14"/>
        <v>#NUM!</v>
      </c>
      <c r="K176" s="93" t="e">
        <f t="shared" si="15"/>
        <v>#NUM!</v>
      </c>
      <c r="L176" s="93"/>
      <c r="M176" s="92">
        <f t="shared" si="16"/>
        <v>0</v>
      </c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spans="1:38" s="86" customFormat="1" x14ac:dyDescent="0.25">
      <c r="A177" s="95"/>
      <c r="B177" s="84"/>
      <c r="C177" s="84"/>
      <c r="D177" s="84"/>
      <c r="E177" s="84"/>
      <c r="F177" s="84"/>
      <c r="H177" s="93">
        <v>172</v>
      </c>
      <c r="I177" s="94" t="str">
        <f t="shared" si="13"/>
        <v/>
      </c>
      <c r="J177" s="94" t="e">
        <f t="shared" si="14"/>
        <v>#NUM!</v>
      </c>
      <c r="K177" s="93" t="e">
        <f t="shared" si="15"/>
        <v>#NUM!</v>
      </c>
      <c r="L177" s="93"/>
      <c r="M177" s="92">
        <f t="shared" si="16"/>
        <v>0</v>
      </c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spans="1:38" s="86" customFormat="1" x14ac:dyDescent="0.25">
      <c r="A178" s="95"/>
      <c r="B178" s="84"/>
      <c r="C178" s="84"/>
      <c r="D178" s="84"/>
      <c r="E178" s="84"/>
      <c r="F178" s="84"/>
      <c r="H178" s="93">
        <v>173</v>
      </c>
      <c r="I178" s="94" t="str">
        <f t="shared" si="13"/>
        <v/>
      </c>
      <c r="J178" s="94" t="e">
        <f t="shared" si="14"/>
        <v>#NUM!</v>
      </c>
      <c r="K178" s="93" t="e">
        <f t="shared" si="15"/>
        <v>#NUM!</v>
      </c>
      <c r="L178" s="93"/>
      <c r="M178" s="92">
        <f t="shared" si="16"/>
        <v>0</v>
      </c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spans="1:38" s="86" customFormat="1" x14ac:dyDescent="0.25">
      <c r="A179" s="95"/>
      <c r="B179" s="84"/>
      <c r="C179" s="84"/>
      <c r="D179" s="84"/>
      <c r="E179" s="84"/>
      <c r="F179" s="84"/>
      <c r="H179" s="93">
        <v>174</v>
      </c>
      <c r="I179" s="94" t="str">
        <f t="shared" si="13"/>
        <v/>
      </c>
      <c r="J179" s="94" t="e">
        <f t="shared" si="14"/>
        <v>#NUM!</v>
      </c>
      <c r="K179" s="93" t="e">
        <f t="shared" si="15"/>
        <v>#NUM!</v>
      </c>
      <c r="L179" s="93"/>
      <c r="M179" s="92">
        <f t="shared" si="16"/>
        <v>0</v>
      </c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spans="1:38" s="86" customFormat="1" x14ac:dyDescent="0.25">
      <c r="A180" s="95"/>
      <c r="B180" s="84"/>
      <c r="C180" s="84"/>
      <c r="D180" s="84"/>
      <c r="E180" s="84"/>
      <c r="F180" s="84"/>
      <c r="H180" s="93">
        <v>175</v>
      </c>
      <c r="I180" s="94" t="str">
        <f t="shared" si="13"/>
        <v/>
      </c>
      <c r="J180" s="94" t="e">
        <f t="shared" si="14"/>
        <v>#NUM!</v>
      </c>
      <c r="K180" s="93" t="e">
        <f t="shared" si="15"/>
        <v>#NUM!</v>
      </c>
      <c r="L180" s="93"/>
      <c r="M180" s="92">
        <f t="shared" si="16"/>
        <v>0</v>
      </c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spans="1:38" s="86" customFormat="1" x14ac:dyDescent="0.25">
      <c r="A181" s="95"/>
      <c r="B181" s="84"/>
      <c r="C181" s="84"/>
      <c r="D181" s="84"/>
      <c r="E181" s="84"/>
      <c r="F181" s="84"/>
      <c r="H181" s="93">
        <v>176</v>
      </c>
      <c r="I181" s="94" t="str">
        <f t="shared" si="13"/>
        <v/>
      </c>
      <c r="J181" s="94" t="e">
        <f t="shared" si="14"/>
        <v>#NUM!</v>
      </c>
      <c r="K181" s="93" t="e">
        <f t="shared" si="15"/>
        <v>#NUM!</v>
      </c>
      <c r="L181" s="93"/>
      <c r="M181" s="92">
        <f t="shared" si="16"/>
        <v>0</v>
      </c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spans="1:38" s="86" customFormat="1" x14ac:dyDescent="0.25">
      <c r="A182" s="95"/>
      <c r="B182" s="84"/>
      <c r="C182" s="84"/>
      <c r="D182" s="84"/>
      <c r="E182" s="84"/>
      <c r="F182" s="84"/>
      <c r="H182" s="93">
        <v>177</v>
      </c>
      <c r="I182" s="94" t="str">
        <f t="shared" si="13"/>
        <v/>
      </c>
      <c r="J182" s="94" t="e">
        <f t="shared" si="14"/>
        <v>#NUM!</v>
      </c>
      <c r="K182" s="93" t="e">
        <f t="shared" si="15"/>
        <v>#NUM!</v>
      </c>
      <c r="L182" s="93"/>
      <c r="M182" s="92">
        <f t="shared" si="16"/>
        <v>0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spans="1:38" s="86" customFormat="1" x14ac:dyDescent="0.25">
      <c r="A183" s="95"/>
      <c r="B183" s="84"/>
      <c r="C183" s="84"/>
      <c r="D183" s="84"/>
      <c r="E183" s="84"/>
      <c r="F183" s="84"/>
      <c r="H183" s="93">
        <v>178</v>
      </c>
      <c r="I183" s="94" t="str">
        <f t="shared" si="13"/>
        <v/>
      </c>
      <c r="J183" s="94" t="e">
        <f t="shared" si="14"/>
        <v>#NUM!</v>
      </c>
      <c r="K183" s="93" t="e">
        <f t="shared" si="15"/>
        <v>#NUM!</v>
      </c>
      <c r="L183" s="93"/>
      <c r="M183" s="92">
        <f t="shared" si="16"/>
        <v>0</v>
      </c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spans="1:38" s="86" customFormat="1" x14ac:dyDescent="0.25">
      <c r="A184" s="95"/>
      <c r="B184" s="84"/>
      <c r="C184" s="84"/>
      <c r="D184" s="84"/>
      <c r="E184" s="84"/>
      <c r="F184" s="84"/>
      <c r="H184" s="93">
        <v>179</v>
      </c>
      <c r="I184" s="94" t="str">
        <f t="shared" si="13"/>
        <v/>
      </c>
      <c r="J184" s="94" t="e">
        <f t="shared" si="14"/>
        <v>#NUM!</v>
      </c>
      <c r="K184" s="93" t="e">
        <f t="shared" si="15"/>
        <v>#NUM!</v>
      </c>
      <c r="L184" s="93"/>
      <c r="M184" s="92">
        <f t="shared" si="16"/>
        <v>0</v>
      </c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spans="1:38" s="86" customFormat="1" x14ac:dyDescent="0.25">
      <c r="A185" s="95"/>
      <c r="B185" s="84"/>
      <c r="C185" s="84"/>
      <c r="D185" s="84"/>
      <c r="E185" s="84"/>
      <c r="F185" s="84"/>
      <c r="H185" s="93">
        <v>180</v>
      </c>
      <c r="I185" s="94" t="str">
        <f t="shared" si="13"/>
        <v/>
      </c>
      <c r="J185" s="94" t="e">
        <f t="shared" si="14"/>
        <v>#NUM!</v>
      </c>
      <c r="K185" s="93" t="e">
        <f t="shared" si="15"/>
        <v>#NUM!</v>
      </c>
      <c r="L185" s="93"/>
      <c r="M185" s="92">
        <f t="shared" si="16"/>
        <v>0</v>
      </c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spans="1:38" s="86" customFormat="1" x14ac:dyDescent="0.25">
      <c r="A186" s="95"/>
      <c r="B186" s="84"/>
      <c r="C186" s="84"/>
      <c r="D186" s="84"/>
      <c r="E186" s="84"/>
      <c r="F186" s="84"/>
      <c r="H186" s="93">
        <v>181</v>
      </c>
      <c r="I186" s="94" t="str">
        <f t="shared" si="13"/>
        <v/>
      </c>
      <c r="J186" s="94" t="e">
        <f t="shared" si="14"/>
        <v>#NUM!</v>
      </c>
      <c r="K186" s="93" t="e">
        <f t="shared" si="15"/>
        <v>#NUM!</v>
      </c>
      <c r="L186" s="93"/>
      <c r="M186" s="92">
        <f t="shared" si="16"/>
        <v>0</v>
      </c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spans="1:38" s="86" customFormat="1" x14ac:dyDescent="0.25">
      <c r="A187" s="95"/>
      <c r="B187" s="84"/>
      <c r="C187" s="84"/>
      <c r="D187" s="84"/>
      <c r="E187" s="84"/>
      <c r="F187" s="84"/>
      <c r="H187" s="93">
        <v>182</v>
      </c>
      <c r="I187" s="94" t="str">
        <f t="shared" si="13"/>
        <v/>
      </c>
      <c r="J187" s="94" t="e">
        <f t="shared" si="14"/>
        <v>#NUM!</v>
      </c>
      <c r="K187" s="93" t="e">
        <f t="shared" si="15"/>
        <v>#NUM!</v>
      </c>
      <c r="L187" s="93"/>
      <c r="M187" s="92">
        <f t="shared" si="16"/>
        <v>0</v>
      </c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spans="1:38" s="86" customFormat="1" x14ac:dyDescent="0.25">
      <c r="A188" s="95"/>
      <c r="B188" s="84"/>
      <c r="C188" s="84"/>
      <c r="D188" s="84"/>
      <c r="E188" s="84"/>
      <c r="F188" s="84"/>
      <c r="H188" s="93">
        <v>183</v>
      </c>
      <c r="I188" s="94" t="str">
        <f t="shared" si="13"/>
        <v/>
      </c>
      <c r="J188" s="94" t="e">
        <f t="shared" si="14"/>
        <v>#NUM!</v>
      </c>
      <c r="K188" s="93" t="e">
        <f t="shared" si="15"/>
        <v>#NUM!</v>
      </c>
      <c r="L188" s="93"/>
      <c r="M188" s="92">
        <f t="shared" si="16"/>
        <v>0</v>
      </c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spans="1:38" s="86" customFormat="1" x14ac:dyDescent="0.25">
      <c r="A189" s="95"/>
      <c r="B189" s="84"/>
      <c r="C189" s="84"/>
      <c r="D189" s="84"/>
      <c r="E189" s="84"/>
      <c r="F189" s="84"/>
      <c r="H189" s="93">
        <v>184</v>
      </c>
      <c r="I189" s="94" t="str">
        <f t="shared" si="13"/>
        <v/>
      </c>
      <c r="J189" s="94" t="e">
        <f t="shared" si="14"/>
        <v>#NUM!</v>
      </c>
      <c r="K189" s="93" t="e">
        <f t="shared" si="15"/>
        <v>#NUM!</v>
      </c>
      <c r="L189" s="93"/>
      <c r="M189" s="92">
        <f t="shared" si="16"/>
        <v>0</v>
      </c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spans="1:38" s="86" customFormat="1" x14ac:dyDescent="0.25">
      <c r="A190" s="95"/>
      <c r="B190" s="84"/>
      <c r="C190" s="84"/>
      <c r="D190" s="84"/>
      <c r="E190" s="84"/>
      <c r="F190" s="84"/>
      <c r="H190" s="93">
        <v>185</v>
      </c>
      <c r="I190" s="94" t="str">
        <f t="shared" si="13"/>
        <v/>
      </c>
      <c r="J190" s="94" t="e">
        <f t="shared" si="14"/>
        <v>#NUM!</v>
      </c>
      <c r="K190" s="93" t="e">
        <f t="shared" si="15"/>
        <v>#NUM!</v>
      </c>
      <c r="L190" s="93"/>
      <c r="M190" s="92">
        <f t="shared" si="16"/>
        <v>0</v>
      </c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spans="1:38" s="86" customFormat="1" x14ac:dyDescent="0.25">
      <c r="A191" s="95"/>
      <c r="B191" s="84"/>
      <c r="C191" s="84"/>
      <c r="D191" s="84"/>
      <c r="E191" s="84"/>
      <c r="F191" s="84"/>
      <c r="H191" s="93">
        <v>186</v>
      </c>
      <c r="I191" s="94" t="str">
        <f t="shared" si="13"/>
        <v/>
      </c>
      <c r="J191" s="94" t="e">
        <f t="shared" si="14"/>
        <v>#NUM!</v>
      </c>
      <c r="K191" s="93" t="e">
        <f t="shared" si="15"/>
        <v>#NUM!</v>
      </c>
      <c r="L191" s="93"/>
      <c r="M191" s="92">
        <f t="shared" si="16"/>
        <v>0</v>
      </c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spans="1:38" s="86" customFormat="1" x14ac:dyDescent="0.25">
      <c r="A192" s="95"/>
      <c r="B192" s="84"/>
      <c r="C192" s="84"/>
      <c r="D192" s="84"/>
      <c r="E192" s="84"/>
      <c r="F192" s="84"/>
      <c r="H192" s="93">
        <v>187</v>
      </c>
      <c r="I192" s="94" t="str">
        <f t="shared" si="13"/>
        <v/>
      </c>
      <c r="J192" s="94" t="e">
        <f t="shared" si="14"/>
        <v>#NUM!</v>
      </c>
      <c r="K192" s="93" t="e">
        <f t="shared" si="15"/>
        <v>#NUM!</v>
      </c>
      <c r="L192" s="93"/>
      <c r="M192" s="92">
        <f t="shared" si="16"/>
        <v>0</v>
      </c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spans="1:38" s="86" customFormat="1" x14ac:dyDescent="0.25">
      <c r="A193" s="95"/>
      <c r="B193" s="84"/>
      <c r="C193" s="84"/>
      <c r="D193" s="84"/>
      <c r="E193" s="84"/>
      <c r="F193" s="84"/>
      <c r="H193" s="93">
        <v>188</v>
      </c>
      <c r="I193" s="94" t="str">
        <f t="shared" si="13"/>
        <v/>
      </c>
      <c r="J193" s="94" t="e">
        <f t="shared" si="14"/>
        <v>#NUM!</v>
      </c>
      <c r="K193" s="93" t="e">
        <f t="shared" si="15"/>
        <v>#NUM!</v>
      </c>
      <c r="L193" s="93"/>
      <c r="M193" s="92">
        <f t="shared" si="16"/>
        <v>0</v>
      </c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spans="1:38" s="86" customFormat="1" x14ac:dyDescent="0.25">
      <c r="A194" s="95"/>
      <c r="B194" s="84"/>
      <c r="C194" s="84"/>
      <c r="D194" s="84"/>
      <c r="E194" s="84"/>
      <c r="F194" s="84"/>
      <c r="H194" s="93">
        <v>189</v>
      </c>
      <c r="I194" s="94" t="str">
        <f t="shared" si="13"/>
        <v/>
      </c>
      <c r="J194" s="94" t="e">
        <f t="shared" si="14"/>
        <v>#NUM!</v>
      </c>
      <c r="K194" s="93" t="e">
        <f t="shared" si="15"/>
        <v>#NUM!</v>
      </c>
      <c r="L194" s="93"/>
      <c r="M194" s="92">
        <f t="shared" si="16"/>
        <v>0</v>
      </c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spans="1:38" s="86" customFormat="1" x14ac:dyDescent="0.25">
      <c r="A195" s="95"/>
      <c r="B195" s="84"/>
      <c r="C195" s="84"/>
      <c r="D195" s="84"/>
      <c r="E195" s="84"/>
      <c r="F195" s="84"/>
      <c r="H195" s="93">
        <v>190</v>
      </c>
      <c r="I195" s="94" t="str">
        <f t="shared" si="13"/>
        <v/>
      </c>
      <c r="J195" s="94" t="e">
        <f t="shared" si="14"/>
        <v>#NUM!</v>
      </c>
      <c r="K195" s="93" t="e">
        <f t="shared" si="15"/>
        <v>#NUM!</v>
      </c>
      <c r="L195" s="93"/>
      <c r="M195" s="92">
        <f t="shared" si="16"/>
        <v>0</v>
      </c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spans="1:38" s="86" customFormat="1" x14ac:dyDescent="0.25">
      <c r="A196" s="95"/>
      <c r="B196" s="84"/>
      <c r="C196" s="84"/>
      <c r="D196" s="84"/>
      <c r="E196" s="84"/>
      <c r="F196" s="84"/>
      <c r="H196" s="93">
        <v>191</v>
      </c>
      <c r="I196" s="94" t="str">
        <f t="shared" si="13"/>
        <v/>
      </c>
      <c r="J196" s="94" t="e">
        <f t="shared" si="14"/>
        <v>#NUM!</v>
      </c>
      <c r="K196" s="93" t="e">
        <f t="shared" si="15"/>
        <v>#NUM!</v>
      </c>
      <c r="L196" s="93"/>
      <c r="M196" s="92">
        <f t="shared" si="16"/>
        <v>0</v>
      </c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spans="1:38" s="86" customFormat="1" x14ac:dyDescent="0.25">
      <c r="A197" s="95"/>
      <c r="B197" s="84"/>
      <c r="C197" s="84"/>
      <c r="D197" s="84"/>
      <c r="E197" s="84"/>
      <c r="F197" s="84"/>
      <c r="H197" s="93">
        <v>192</v>
      </c>
      <c r="I197" s="94" t="str">
        <f t="shared" si="13"/>
        <v/>
      </c>
      <c r="J197" s="94" t="e">
        <f t="shared" si="14"/>
        <v>#NUM!</v>
      </c>
      <c r="K197" s="93" t="e">
        <f t="shared" si="15"/>
        <v>#NUM!</v>
      </c>
      <c r="L197" s="93"/>
      <c r="M197" s="92">
        <f t="shared" si="16"/>
        <v>0</v>
      </c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spans="1:38" s="86" customFormat="1" x14ac:dyDescent="0.25">
      <c r="A198" s="95"/>
      <c r="B198" s="84"/>
      <c r="C198" s="84"/>
      <c r="D198" s="84"/>
      <c r="E198" s="84"/>
      <c r="F198" s="84"/>
      <c r="H198" s="93">
        <v>193</v>
      </c>
      <c r="I198" s="94" t="str">
        <f t="shared" ref="I198:I261" si="17">IF(H198&lt;$H$2+1,($I$2-($I$2-1)*(LOG(H198)/LOG($H$2))),"")</f>
        <v/>
      </c>
      <c r="J198" s="94" t="e">
        <f t="shared" ref="J198:J261" si="18">INT(LOG($H$2,2))-ROUNDUP(LOG(H198,2),0)+IF(OR($H$2=1,$H$2=2,$H$2=4,$H$2=8,$H$2=16,$H$2=32,$H$2=64,$H$2=128,$H$2=256),0,1)</f>
        <v>#NUM!</v>
      </c>
      <c r="K198" s="93" t="e">
        <f t="shared" ref="K198:K261" si="19">J198*$J$2</f>
        <v>#NUM!</v>
      </c>
      <c r="L198" s="93"/>
      <c r="M198" s="92">
        <f t="shared" ref="M198:M261" si="20">IF(I198&lt;&gt;"",K198+I198+L198,0)</f>
        <v>0</v>
      </c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spans="1:38" s="86" customFormat="1" x14ac:dyDescent="0.25">
      <c r="A199" s="95"/>
      <c r="B199" s="84"/>
      <c r="C199" s="84"/>
      <c r="D199" s="84"/>
      <c r="E199" s="84"/>
      <c r="F199" s="84"/>
      <c r="H199" s="93">
        <v>194</v>
      </c>
      <c r="I199" s="94" t="str">
        <f t="shared" si="17"/>
        <v/>
      </c>
      <c r="J199" s="94" t="e">
        <f t="shared" si="18"/>
        <v>#NUM!</v>
      </c>
      <c r="K199" s="93" t="e">
        <f t="shared" si="19"/>
        <v>#NUM!</v>
      </c>
      <c r="L199" s="93"/>
      <c r="M199" s="92">
        <f t="shared" si="20"/>
        <v>0</v>
      </c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spans="1:38" s="86" customFormat="1" x14ac:dyDescent="0.25">
      <c r="A200" s="95"/>
      <c r="B200" s="84"/>
      <c r="C200" s="84"/>
      <c r="D200" s="84"/>
      <c r="E200" s="84"/>
      <c r="F200" s="84"/>
      <c r="H200" s="93">
        <v>195</v>
      </c>
      <c r="I200" s="94" t="str">
        <f t="shared" si="17"/>
        <v/>
      </c>
      <c r="J200" s="94" t="e">
        <f t="shared" si="18"/>
        <v>#NUM!</v>
      </c>
      <c r="K200" s="93" t="e">
        <f t="shared" si="19"/>
        <v>#NUM!</v>
      </c>
      <c r="L200" s="93"/>
      <c r="M200" s="92">
        <f t="shared" si="20"/>
        <v>0</v>
      </c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spans="1:38" s="86" customFormat="1" x14ac:dyDescent="0.25">
      <c r="A201" s="95"/>
      <c r="B201" s="84"/>
      <c r="C201" s="84"/>
      <c r="D201" s="84"/>
      <c r="E201" s="84"/>
      <c r="F201" s="84"/>
      <c r="H201" s="93">
        <v>196</v>
      </c>
      <c r="I201" s="94" t="str">
        <f t="shared" si="17"/>
        <v/>
      </c>
      <c r="J201" s="94" t="e">
        <f t="shared" si="18"/>
        <v>#NUM!</v>
      </c>
      <c r="K201" s="93" t="e">
        <f t="shared" si="19"/>
        <v>#NUM!</v>
      </c>
      <c r="L201" s="93"/>
      <c r="M201" s="92">
        <f t="shared" si="20"/>
        <v>0</v>
      </c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spans="1:38" s="86" customFormat="1" x14ac:dyDescent="0.25">
      <c r="A202" s="95"/>
      <c r="B202" s="84"/>
      <c r="C202" s="84"/>
      <c r="D202" s="84"/>
      <c r="E202" s="84"/>
      <c r="F202" s="84"/>
      <c r="H202" s="93">
        <v>197</v>
      </c>
      <c r="I202" s="94" t="str">
        <f t="shared" si="17"/>
        <v/>
      </c>
      <c r="J202" s="94" t="e">
        <f t="shared" si="18"/>
        <v>#NUM!</v>
      </c>
      <c r="K202" s="93" t="e">
        <f t="shared" si="19"/>
        <v>#NUM!</v>
      </c>
      <c r="L202" s="93"/>
      <c r="M202" s="92">
        <f t="shared" si="20"/>
        <v>0</v>
      </c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spans="1:38" s="86" customFormat="1" x14ac:dyDescent="0.25">
      <c r="A203" s="95"/>
      <c r="B203" s="84"/>
      <c r="C203" s="84"/>
      <c r="D203" s="84"/>
      <c r="E203" s="84"/>
      <c r="F203" s="84"/>
      <c r="H203" s="93">
        <v>198</v>
      </c>
      <c r="I203" s="94" t="str">
        <f t="shared" si="17"/>
        <v/>
      </c>
      <c r="J203" s="94" t="e">
        <f t="shared" si="18"/>
        <v>#NUM!</v>
      </c>
      <c r="K203" s="93" t="e">
        <f t="shared" si="19"/>
        <v>#NUM!</v>
      </c>
      <c r="L203" s="93"/>
      <c r="M203" s="92">
        <f t="shared" si="20"/>
        <v>0</v>
      </c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spans="1:38" s="86" customFormat="1" x14ac:dyDescent="0.25">
      <c r="A204" s="95"/>
      <c r="B204" s="84"/>
      <c r="C204" s="84"/>
      <c r="D204" s="84"/>
      <c r="E204" s="84"/>
      <c r="F204" s="84"/>
      <c r="H204" s="93">
        <v>199</v>
      </c>
      <c r="I204" s="94" t="str">
        <f t="shared" si="17"/>
        <v/>
      </c>
      <c r="J204" s="94" t="e">
        <f t="shared" si="18"/>
        <v>#NUM!</v>
      </c>
      <c r="K204" s="93" t="e">
        <f t="shared" si="19"/>
        <v>#NUM!</v>
      </c>
      <c r="L204" s="93"/>
      <c r="M204" s="92">
        <f t="shared" si="20"/>
        <v>0</v>
      </c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spans="1:38" s="86" customFormat="1" x14ac:dyDescent="0.25">
      <c r="A205" s="95"/>
      <c r="B205" s="84"/>
      <c r="C205" s="84"/>
      <c r="D205" s="84"/>
      <c r="E205" s="84"/>
      <c r="F205" s="84"/>
      <c r="H205" s="93">
        <v>200</v>
      </c>
      <c r="I205" s="94" t="str">
        <f t="shared" si="17"/>
        <v/>
      </c>
      <c r="J205" s="94" t="e">
        <f t="shared" si="18"/>
        <v>#NUM!</v>
      </c>
      <c r="K205" s="93" t="e">
        <f t="shared" si="19"/>
        <v>#NUM!</v>
      </c>
      <c r="L205" s="93"/>
      <c r="M205" s="92">
        <f t="shared" si="20"/>
        <v>0</v>
      </c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spans="1:38" s="86" customFormat="1" x14ac:dyDescent="0.25">
      <c r="A206" s="95"/>
      <c r="B206" s="84"/>
      <c r="C206" s="84"/>
      <c r="D206" s="84"/>
      <c r="E206" s="84"/>
      <c r="F206" s="84"/>
      <c r="H206" s="93">
        <v>201</v>
      </c>
      <c r="I206" s="94" t="str">
        <f t="shared" si="17"/>
        <v/>
      </c>
      <c r="J206" s="94" t="e">
        <f t="shared" si="18"/>
        <v>#NUM!</v>
      </c>
      <c r="K206" s="93" t="e">
        <f t="shared" si="19"/>
        <v>#NUM!</v>
      </c>
      <c r="L206" s="93"/>
      <c r="M206" s="92">
        <f t="shared" si="20"/>
        <v>0</v>
      </c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spans="1:38" s="86" customFormat="1" x14ac:dyDescent="0.25">
      <c r="A207" s="95"/>
      <c r="B207" s="84"/>
      <c r="C207" s="84"/>
      <c r="D207" s="84"/>
      <c r="E207" s="84"/>
      <c r="F207" s="84"/>
      <c r="H207" s="93">
        <v>202</v>
      </c>
      <c r="I207" s="94" t="str">
        <f t="shared" si="17"/>
        <v/>
      </c>
      <c r="J207" s="94" t="e">
        <f t="shared" si="18"/>
        <v>#NUM!</v>
      </c>
      <c r="K207" s="93" t="e">
        <f t="shared" si="19"/>
        <v>#NUM!</v>
      </c>
      <c r="L207" s="93"/>
      <c r="M207" s="92">
        <f t="shared" si="20"/>
        <v>0</v>
      </c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spans="1:38" s="86" customFormat="1" x14ac:dyDescent="0.25">
      <c r="A208" s="95"/>
      <c r="B208" s="84"/>
      <c r="C208" s="84"/>
      <c r="D208" s="84"/>
      <c r="E208" s="84"/>
      <c r="F208" s="84"/>
      <c r="H208" s="93">
        <v>203</v>
      </c>
      <c r="I208" s="94" t="str">
        <f t="shared" si="17"/>
        <v/>
      </c>
      <c r="J208" s="94" t="e">
        <f t="shared" si="18"/>
        <v>#NUM!</v>
      </c>
      <c r="K208" s="93" t="e">
        <f t="shared" si="19"/>
        <v>#NUM!</v>
      </c>
      <c r="L208" s="93"/>
      <c r="M208" s="92">
        <f t="shared" si="20"/>
        <v>0</v>
      </c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spans="1:38" s="86" customFormat="1" x14ac:dyDescent="0.25">
      <c r="A209" s="95"/>
      <c r="B209" s="84"/>
      <c r="C209" s="84"/>
      <c r="D209" s="84"/>
      <c r="E209" s="84"/>
      <c r="F209" s="84"/>
      <c r="H209" s="93">
        <v>204</v>
      </c>
      <c r="I209" s="94" t="str">
        <f t="shared" si="17"/>
        <v/>
      </c>
      <c r="J209" s="94" t="e">
        <f t="shared" si="18"/>
        <v>#NUM!</v>
      </c>
      <c r="K209" s="93" t="e">
        <f t="shared" si="19"/>
        <v>#NUM!</v>
      </c>
      <c r="L209" s="93"/>
      <c r="M209" s="92">
        <f t="shared" si="20"/>
        <v>0</v>
      </c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spans="1:38" s="86" customFormat="1" x14ac:dyDescent="0.25">
      <c r="A210" s="95"/>
      <c r="B210" s="84"/>
      <c r="C210" s="84"/>
      <c r="D210" s="84"/>
      <c r="E210" s="84"/>
      <c r="F210" s="84"/>
      <c r="H210" s="93">
        <v>205</v>
      </c>
      <c r="I210" s="94" t="str">
        <f t="shared" si="17"/>
        <v/>
      </c>
      <c r="J210" s="94" t="e">
        <f t="shared" si="18"/>
        <v>#NUM!</v>
      </c>
      <c r="K210" s="93" t="e">
        <f t="shared" si="19"/>
        <v>#NUM!</v>
      </c>
      <c r="L210" s="93"/>
      <c r="M210" s="92">
        <f t="shared" si="20"/>
        <v>0</v>
      </c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spans="1:38" s="86" customFormat="1" x14ac:dyDescent="0.25">
      <c r="A211" s="95"/>
      <c r="B211" s="84"/>
      <c r="C211" s="84"/>
      <c r="D211" s="84"/>
      <c r="E211" s="84"/>
      <c r="F211" s="84"/>
      <c r="H211" s="93">
        <v>206</v>
      </c>
      <c r="I211" s="94" t="str">
        <f t="shared" si="17"/>
        <v/>
      </c>
      <c r="J211" s="94" t="e">
        <f t="shared" si="18"/>
        <v>#NUM!</v>
      </c>
      <c r="K211" s="93" t="e">
        <f t="shared" si="19"/>
        <v>#NUM!</v>
      </c>
      <c r="L211" s="93"/>
      <c r="M211" s="92">
        <f t="shared" si="20"/>
        <v>0</v>
      </c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spans="1:38" s="86" customFormat="1" x14ac:dyDescent="0.25">
      <c r="A212" s="95"/>
      <c r="B212" s="84"/>
      <c r="C212" s="84"/>
      <c r="D212" s="84"/>
      <c r="E212" s="84"/>
      <c r="F212" s="84"/>
      <c r="H212" s="93">
        <v>207</v>
      </c>
      <c r="I212" s="94" t="str">
        <f t="shared" si="17"/>
        <v/>
      </c>
      <c r="J212" s="94" t="e">
        <f t="shared" si="18"/>
        <v>#NUM!</v>
      </c>
      <c r="K212" s="93" t="e">
        <f t="shared" si="19"/>
        <v>#NUM!</v>
      </c>
      <c r="L212" s="93"/>
      <c r="M212" s="92">
        <f t="shared" si="20"/>
        <v>0</v>
      </c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spans="1:38" s="86" customFormat="1" x14ac:dyDescent="0.25">
      <c r="A213" s="95"/>
      <c r="B213" s="84"/>
      <c r="C213" s="84"/>
      <c r="D213" s="84"/>
      <c r="E213" s="84"/>
      <c r="F213" s="84"/>
      <c r="H213" s="93">
        <v>208</v>
      </c>
      <c r="I213" s="94" t="str">
        <f t="shared" si="17"/>
        <v/>
      </c>
      <c r="J213" s="94" t="e">
        <f t="shared" si="18"/>
        <v>#NUM!</v>
      </c>
      <c r="K213" s="93" t="e">
        <f t="shared" si="19"/>
        <v>#NUM!</v>
      </c>
      <c r="L213" s="93"/>
      <c r="M213" s="92">
        <f t="shared" si="20"/>
        <v>0</v>
      </c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spans="1:38" s="86" customFormat="1" x14ac:dyDescent="0.25">
      <c r="A214" s="95"/>
      <c r="B214" s="84"/>
      <c r="C214" s="84"/>
      <c r="D214" s="84"/>
      <c r="E214" s="84"/>
      <c r="F214" s="84"/>
      <c r="H214" s="93">
        <v>209</v>
      </c>
      <c r="I214" s="94" t="str">
        <f t="shared" si="17"/>
        <v/>
      </c>
      <c r="J214" s="94" t="e">
        <f t="shared" si="18"/>
        <v>#NUM!</v>
      </c>
      <c r="K214" s="93" t="e">
        <f t="shared" si="19"/>
        <v>#NUM!</v>
      </c>
      <c r="L214" s="93"/>
      <c r="M214" s="92">
        <f t="shared" si="20"/>
        <v>0</v>
      </c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spans="1:38" s="86" customFormat="1" x14ac:dyDescent="0.25">
      <c r="A215" s="95"/>
      <c r="B215" s="84"/>
      <c r="C215" s="84"/>
      <c r="D215" s="84"/>
      <c r="E215" s="84"/>
      <c r="F215" s="84"/>
      <c r="H215" s="93">
        <v>210</v>
      </c>
      <c r="I215" s="94" t="str">
        <f t="shared" si="17"/>
        <v/>
      </c>
      <c r="J215" s="94" t="e">
        <f t="shared" si="18"/>
        <v>#NUM!</v>
      </c>
      <c r="K215" s="93" t="e">
        <f t="shared" si="19"/>
        <v>#NUM!</v>
      </c>
      <c r="L215" s="93"/>
      <c r="M215" s="92">
        <f t="shared" si="20"/>
        <v>0</v>
      </c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spans="1:38" s="86" customFormat="1" x14ac:dyDescent="0.25">
      <c r="A216" s="95"/>
      <c r="B216" s="84"/>
      <c r="C216" s="84"/>
      <c r="D216" s="84"/>
      <c r="E216" s="84"/>
      <c r="F216" s="84"/>
      <c r="H216" s="93">
        <v>211</v>
      </c>
      <c r="I216" s="94" t="str">
        <f t="shared" si="17"/>
        <v/>
      </c>
      <c r="J216" s="94" t="e">
        <f t="shared" si="18"/>
        <v>#NUM!</v>
      </c>
      <c r="K216" s="93" t="e">
        <f t="shared" si="19"/>
        <v>#NUM!</v>
      </c>
      <c r="L216" s="93"/>
      <c r="M216" s="92">
        <f t="shared" si="20"/>
        <v>0</v>
      </c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spans="1:38" s="86" customFormat="1" x14ac:dyDescent="0.25">
      <c r="A217" s="95"/>
      <c r="B217" s="84"/>
      <c r="C217" s="84"/>
      <c r="D217" s="84"/>
      <c r="E217" s="84"/>
      <c r="F217" s="84"/>
      <c r="H217" s="93">
        <v>212</v>
      </c>
      <c r="I217" s="94" t="str">
        <f t="shared" si="17"/>
        <v/>
      </c>
      <c r="J217" s="94" t="e">
        <f t="shared" si="18"/>
        <v>#NUM!</v>
      </c>
      <c r="K217" s="93" t="e">
        <f t="shared" si="19"/>
        <v>#NUM!</v>
      </c>
      <c r="L217" s="93"/>
      <c r="M217" s="92">
        <f t="shared" si="20"/>
        <v>0</v>
      </c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spans="1:38" s="86" customFormat="1" x14ac:dyDescent="0.25">
      <c r="A218" s="95"/>
      <c r="B218" s="84"/>
      <c r="C218" s="84"/>
      <c r="D218" s="84"/>
      <c r="E218" s="84"/>
      <c r="F218" s="84"/>
      <c r="H218" s="93">
        <v>213</v>
      </c>
      <c r="I218" s="94" t="str">
        <f t="shared" si="17"/>
        <v/>
      </c>
      <c r="J218" s="94" t="e">
        <f t="shared" si="18"/>
        <v>#NUM!</v>
      </c>
      <c r="K218" s="93" t="e">
        <f t="shared" si="19"/>
        <v>#NUM!</v>
      </c>
      <c r="L218" s="93"/>
      <c r="M218" s="92">
        <f t="shared" si="20"/>
        <v>0</v>
      </c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spans="1:38" s="86" customFormat="1" x14ac:dyDescent="0.25">
      <c r="A219" s="95"/>
      <c r="B219" s="84"/>
      <c r="C219" s="84"/>
      <c r="D219" s="84"/>
      <c r="E219" s="84"/>
      <c r="F219" s="84"/>
      <c r="H219" s="93">
        <v>214</v>
      </c>
      <c r="I219" s="94" t="str">
        <f t="shared" si="17"/>
        <v/>
      </c>
      <c r="J219" s="94" t="e">
        <f t="shared" si="18"/>
        <v>#NUM!</v>
      </c>
      <c r="K219" s="93" t="e">
        <f t="shared" si="19"/>
        <v>#NUM!</v>
      </c>
      <c r="L219" s="93"/>
      <c r="M219" s="92">
        <f t="shared" si="20"/>
        <v>0</v>
      </c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spans="1:38" s="86" customFormat="1" x14ac:dyDescent="0.25">
      <c r="A220" s="95"/>
      <c r="B220" s="84"/>
      <c r="C220" s="84"/>
      <c r="D220" s="84"/>
      <c r="E220" s="84"/>
      <c r="F220" s="84"/>
      <c r="H220" s="93">
        <v>215</v>
      </c>
      <c r="I220" s="94" t="str">
        <f t="shared" si="17"/>
        <v/>
      </c>
      <c r="J220" s="94" t="e">
        <f t="shared" si="18"/>
        <v>#NUM!</v>
      </c>
      <c r="K220" s="93" t="e">
        <f t="shared" si="19"/>
        <v>#NUM!</v>
      </c>
      <c r="L220" s="93"/>
      <c r="M220" s="92">
        <f t="shared" si="20"/>
        <v>0</v>
      </c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spans="1:38" s="86" customFormat="1" x14ac:dyDescent="0.25">
      <c r="A221" s="95"/>
      <c r="B221" s="84"/>
      <c r="C221" s="84"/>
      <c r="D221" s="84"/>
      <c r="E221" s="84"/>
      <c r="F221" s="84"/>
      <c r="H221" s="93">
        <v>216</v>
      </c>
      <c r="I221" s="94" t="str">
        <f t="shared" si="17"/>
        <v/>
      </c>
      <c r="J221" s="94" t="e">
        <f t="shared" si="18"/>
        <v>#NUM!</v>
      </c>
      <c r="K221" s="93" t="e">
        <f t="shared" si="19"/>
        <v>#NUM!</v>
      </c>
      <c r="L221" s="93"/>
      <c r="M221" s="92">
        <f t="shared" si="20"/>
        <v>0</v>
      </c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spans="1:38" s="86" customFormat="1" x14ac:dyDescent="0.25">
      <c r="A222" s="95"/>
      <c r="B222" s="84"/>
      <c r="C222" s="84"/>
      <c r="D222" s="84"/>
      <c r="E222" s="84"/>
      <c r="F222" s="84"/>
      <c r="H222" s="93">
        <v>217</v>
      </c>
      <c r="I222" s="94" t="str">
        <f t="shared" si="17"/>
        <v/>
      </c>
      <c r="J222" s="94" t="e">
        <f t="shared" si="18"/>
        <v>#NUM!</v>
      </c>
      <c r="K222" s="93" t="e">
        <f t="shared" si="19"/>
        <v>#NUM!</v>
      </c>
      <c r="L222" s="93"/>
      <c r="M222" s="92">
        <f t="shared" si="20"/>
        <v>0</v>
      </c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spans="1:38" s="86" customFormat="1" x14ac:dyDescent="0.25">
      <c r="A223" s="95"/>
      <c r="B223" s="84"/>
      <c r="C223" s="84"/>
      <c r="D223" s="84"/>
      <c r="E223" s="84"/>
      <c r="F223" s="84"/>
      <c r="H223" s="93">
        <v>218</v>
      </c>
      <c r="I223" s="94" t="str">
        <f t="shared" si="17"/>
        <v/>
      </c>
      <c r="J223" s="94" t="e">
        <f t="shared" si="18"/>
        <v>#NUM!</v>
      </c>
      <c r="K223" s="93" t="e">
        <f t="shared" si="19"/>
        <v>#NUM!</v>
      </c>
      <c r="L223" s="93"/>
      <c r="M223" s="92">
        <f t="shared" si="20"/>
        <v>0</v>
      </c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spans="1:38" s="86" customFormat="1" x14ac:dyDescent="0.25">
      <c r="A224" s="95"/>
      <c r="B224" s="84"/>
      <c r="C224" s="84"/>
      <c r="D224" s="84"/>
      <c r="E224" s="84"/>
      <c r="F224" s="84"/>
      <c r="H224" s="93">
        <v>219</v>
      </c>
      <c r="I224" s="94" t="str">
        <f t="shared" si="17"/>
        <v/>
      </c>
      <c r="J224" s="94" t="e">
        <f t="shared" si="18"/>
        <v>#NUM!</v>
      </c>
      <c r="K224" s="93" t="e">
        <f t="shared" si="19"/>
        <v>#NUM!</v>
      </c>
      <c r="L224" s="93"/>
      <c r="M224" s="92">
        <f t="shared" si="20"/>
        <v>0</v>
      </c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spans="1:38" s="86" customFormat="1" x14ac:dyDescent="0.25">
      <c r="A225" s="95"/>
      <c r="B225" s="84"/>
      <c r="C225" s="84"/>
      <c r="D225" s="84"/>
      <c r="E225" s="84"/>
      <c r="F225" s="84"/>
      <c r="H225" s="93">
        <v>220</v>
      </c>
      <c r="I225" s="94" t="str">
        <f t="shared" si="17"/>
        <v/>
      </c>
      <c r="J225" s="94" t="e">
        <f t="shared" si="18"/>
        <v>#NUM!</v>
      </c>
      <c r="K225" s="93" t="e">
        <f t="shared" si="19"/>
        <v>#NUM!</v>
      </c>
      <c r="L225" s="93"/>
      <c r="M225" s="92">
        <f t="shared" si="20"/>
        <v>0</v>
      </c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spans="1:38" s="86" customFormat="1" x14ac:dyDescent="0.25">
      <c r="A226" s="95"/>
      <c r="B226" s="84"/>
      <c r="C226" s="84"/>
      <c r="D226" s="84"/>
      <c r="E226" s="84"/>
      <c r="F226" s="84"/>
      <c r="H226" s="93">
        <v>221</v>
      </c>
      <c r="I226" s="94" t="str">
        <f t="shared" si="17"/>
        <v/>
      </c>
      <c r="J226" s="94" t="e">
        <f t="shared" si="18"/>
        <v>#NUM!</v>
      </c>
      <c r="K226" s="93" t="e">
        <f t="shared" si="19"/>
        <v>#NUM!</v>
      </c>
      <c r="L226" s="93"/>
      <c r="M226" s="92">
        <f t="shared" si="20"/>
        <v>0</v>
      </c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spans="1:38" s="86" customFormat="1" x14ac:dyDescent="0.25">
      <c r="A227" s="95"/>
      <c r="B227" s="84"/>
      <c r="C227" s="84"/>
      <c r="D227" s="84"/>
      <c r="E227" s="84"/>
      <c r="F227" s="84"/>
      <c r="H227" s="93">
        <v>222</v>
      </c>
      <c r="I227" s="94" t="str">
        <f t="shared" si="17"/>
        <v/>
      </c>
      <c r="J227" s="94" t="e">
        <f t="shared" si="18"/>
        <v>#NUM!</v>
      </c>
      <c r="K227" s="93" t="e">
        <f t="shared" si="19"/>
        <v>#NUM!</v>
      </c>
      <c r="L227" s="93"/>
      <c r="M227" s="92">
        <f t="shared" si="20"/>
        <v>0</v>
      </c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spans="1:38" s="86" customFormat="1" x14ac:dyDescent="0.25">
      <c r="A228" s="95"/>
      <c r="B228" s="84"/>
      <c r="C228" s="84"/>
      <c r="D228" s="84"/>
      <c r="E228" s="84"/>
      <c r="F228" s="84"/>
      <c r="H228" s="93">
        <v>223</v>
      </c>
      <c r="I228" s="94" t="str">
        <f t="shared" si="17"/>
        <v/>
      </c>
      <c r="J228" s="94" t="e">
        <f t="shared" si="18"/>
        <v>#NUM!</v>
      </c>
      <c r="K228" s="93" t="e">
        <f t="shared" si="19"/>
        <v>#NUM!</v>
      </c>
      <c r="L228" s="93"/>
      <c r="M228" s="92">
        <f t="shared" si="20"/>
        <v>0</v>
      </c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spans="1:38" s="86" customFormat="1" x14ac:dyDescent="0.25">
      <c r="A229" s="95"/>
      <c r="B229" s="84"/>
      <c r="C229" s="84"/>
      <c r="D229" s="84"/>
      <c r="E229" s="84"/>
      <c r="F229" s="84"/>
      <c r="H229" s="93">
        <v>224</v>
      </c>
      <c r="I229" s="94" t="str">
        <f t="shared" si="17"/>
        <v/>
      </c>
      <c r="J229" s="94" t="e">
        <f t="shared" si="18"/>
        <v>#NUM!</v>
      </c>
      <c r="K229" s="93" t="e">
        <f t="shared" si="19"/>
        <v>#NUM!</v>
      </c>
      <c r="L229" s="93"/>
      <c r="M229" s="92">
        <f t="shared" si="20"/>
        <v>0</v>
      </c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spans="1:38" s="86" customFormat="1" x14ac:dyDescent="0.25">
      <c r="A230" s="95"/>
      <c r="B230" s="84"/>
      <c r="C230" s="84"/>
      <c r="D230" s="84"/>
      <c r="E230" s="84"/>
      <c r="F230" s="84"/>
      <c r="H230" s="93">
        <v>225</v>
      </c>
      <c r="I230" s="94" t="str">
        <f t="shared" si="17"/>
        <v/>
      </c>
      <c r="J230" s="94" t="e">
        <f t="shared" si="18"/>
        <v>#NUM!</v>
      </c>
      <c r="K230" s="93" t="e">
        <f t="shared" si="19"/>
        <v>#NUM!</v>
      </c>
      <c r="L230" s="93"/>
      <c r="M230" s="92">
        <f t="shared" si="20"/>
        <v>0</v>
      </c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spans="1:38" s="86" customFormat="1" x14ac:dyDescent="0.25">
      <c r="A231" s="95"/>
      <c r="B231" s="84"/>
      <c r="C231" s="84"/>
      <c r="D231" s="84"/>
      <c r="E231" s="84"/>
      <c r="F231" s="84"/>
      <c r="H231" s="93">
        <v>226</v>
      </c>
      <c r="I231" s="94" t="str">
        <f t="shared" si="17"/>
        <v/>
      </c>
      <c r="J231" s="94" t="e">
        <f t="shared" si="18"/>
        <v>#NUM!</v>
      </c>
      <c r="K231" s="93" t="e">
        <f t="shared" si="19"/>
        <v>#NUM!</v>
      </c>
      <c r="L231" s="93"/>
      <c r="M231" s="92">
        <f t="shared" si="20"/>
        <v>0</v>
      </c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spans="1:38" s="86" customFormat="1" x14ac:dyDescent="0.25">
      <c r="A232" s="95"/>
      <c r="B232" s="84"/>
      <c r="C232" s="84"/>
      <c r="D232" s="84"/>
      <c r="E232" s="84"/>
      <c r="F232" s="84"/>
      <c r="H232" s="93">
        <v>227</v>
      </c>
      <c r="I232" s="94" t="str">
        <f t="shared" si="17"/>
        <v/>
      </c>
      <c r="J232" s="94" t="e">
        <f t="shared" si="18"/>
        <v>#NUM!</v>
      </c>
      <c r="K232" s="93" t="e">
        <f t="shared" si="19"/>
        <v>#NUM!</v>
      </c>
      <c r="L232" s="93"/>
      <c r="M232" s="92">
        <f t="shared" si="20"/>
        <v>0</v>
      </c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spans="1:38" s="86" customFormat="1" x14ac:dyDescent="0.25">
      <c r="A233" s="95"/>
      <c r="B233" s="84"/>
      <c r="C233" s="84"/>
      <c r="D233" s="84"/>
      <c r="E233" s="84"/>
      <c r="F233" s="84"/>
      <c r="H233" s="93">
        <v>228</v>
      </c>
      <c r="I233" s="94" t="str">
        <f t="shared" si="17"/>
        <v/>
      </c>
      <c r="J233" s="94" t="e">
        <f t="shared" si="18"/>
        <v>#NUM!</v>
      </c>
      <c r="K233" s="93" t="e">
        <f t="shared" si="19"/>
        <v>#NUM!</v>
      </c>
      <c r="L233" s="93"/>
      <c r="M233" s="92">
        <f t="shared" si="20"/>
        <v>0</v>
      </c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spans="1:38" s="86" customFormat="1" x14ac:dyDescent="0.25">
      <c r="A234" s="95"/>
      <c r="B234" s="84"/>
      <c r="C234" s="84"/>
      <c r="D234" s="84"/>
      <c r="E234" s="84"/>
      <c r="F234" s="84"/>
      <c r="H234" s="93">
        <v>229</v>
      </c>
      <c r="I234" s="94" t="str">
        <f t="shared" si="17"/>
        <v/>
      </c>
      <c r="J234" s="94" t="e">
        <f t="shared" si="18"/>
        <v>#NUM!</v>
      </c>
      <c r="K234" s="93" t="e">
        <f t="shared" si="19"/>
        <v>#NUM!</v>
      </c>
      <c r="L234" s="93"/>
      <c r="M234" s="92">
        <f t="shared" si="20"/>
        <v>0</v>
      </c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spans="1:38" s="86" customFormat="1" x14ac:dyDescent="0.25">
      <c r="A235" s="95"/>
      <c r="B235" s="84"/>
      <c r="C235" s="84"/>
      <c r="D235" s="84"/>
      <c r="E235" s="84"/>
      <c r="F235" s="84"/>
      <c r="H235" s="93">
        <v>230</v>
      </c>
      <c r="I235" s="94" t="str">
        <f t="shared" si="17"/>
        <v/>
      </c>
      <c r="J235" s="94" t="e">
        <f t="shared" si="18"/>
        <v>#NUM!</v>
      </c>
      <c r="K235" s="93" t="e">
        <f t="shared" si="19"/>
        <v>#NUM!</v>
      </c>
      <c r="L235" s="93"/>
      <c r="M235" s="92">
        <f t="shared" si="20"/>
        <v>0</v>
      </c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spans="1:38" s="86" customFormat="1" x14ac:dyDescent="0.25">
      <c r="A236" s="95"/>
      <c r="B236" s="84"/>
      <c r="C236" s="84"/>
      <c r="D236" s="84"/>
      <c r="E236" s="84"/>
      <c r="F236" s="84"/>
      <c r="H236" s="93">
        <v>231</v>
      </c>
      <c r="I236" s="94" t="str">
        <f t="shared" si="17"/>
        <v/>
      </c>
      <c r="J236" s="94" t="e">
        <f t="shared" si="18"/>
        <v>#NUM!</v>
      </c>
      <c r="K236" s="93" t="e">
        <f t="shared" si="19"/>
        <v>#NUM!</v>
      </c>
      <c r="L236" s="93"/>
      <c r="M236" s="92">
        <f t="shared" si="20"/>
        <v>0</v>
      </c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spans="1:38" s="86" customFormat="1" x14ac:dyDescent="0.25">
      <c r="A237" s="95"/>
      <c r="B237" s="84"/>
      <c r="C237" s="84"/>
      <c r="D237" s="84"/>
      <c r="E237" s="84"/>
      <c r="F237" s="84"/>
      <c r="H237" s="93">
        <v>232</v>
      </c>
      <c r="I237" s="94" t="str">
        <f t="shared" si="17"/>
        <v/>
      </c>
      <c r="J237" s="94" t="e">
        <f t="shared" si="18"/>
        <v>#NUM!</v>
      </c>
      <c r="K237" s="93" t="e">
        <f t="shared" si="19"/>
        <v>#NUM!</v>
      </c>
      <c r="L237" s="93"/>
      <c r="M237" s="92">
        <f t="shared" si="20"/>
        <v>0</v>
      </c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spans="1:38" s="86" customFormat="1" x14ac:dyDescent="0.25">
      <c r="A238" s="95"/>
      <c r="B238" s="84"/>
      <c r="C238" s="84"/>
      <c r="D238" s="84"/>
      <c r="E238" s="84"/>
      <c r="F238" s="84"/>
      <c r="H238" s="93">
        <v>233</v>
      </c>
      <c r="I238" s="94" t="str">
        <f t="shared" si="17"/>
        <v/>
      </c>
      <c r="J238" s="94" t="e">
        <f t="shared" si="18"/>
        <v>#NUM!</v>
      </c>
      <c r="K238" s="93" t="e">
        <f t="shared" si="19"/>
        <v>#NUM!</v>
      </c>
      <c r="L238" s="93"/>
      <c r="M238" s="92">
        <f t="shared" si="20"/>
        <v>0</v>
      </c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spans="1:38" s="86" customFormat="1" x14ac:dyDescent="0.25">
      <c r="A239" s="95"/>
      <c r="B239" s="84"/>
      <c r="C239" s="84"/>
      <c r="D239" s="84"/>
      <c r="E239" s="84"/>
      <c r="F239" s="84"/>
      <c r="H239" s="93">
        <v>234</v>
      </c>
      <c r="I239" s="94" t="str">
        <f t="shared" si="17"/>
        <v/>
      </c>
      <c r="J239" s="94" t="e">
        <f t="shared" si="18"/>
        <v>#NUM!</v>
      </c>
      <c r="K239" s="93" t="e">
        <f t="shared" si="19"/>
        <v>#NUM!</v>
      </c>
      <c r="L239" s="93"/>
      <c r="M239" s="92">
        <f t="shared" si="20"/>
        <v>0</v>
      </c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spans="1:38" s="86" customFormat="1" x14ac:dyDescent="0.25">
      <c r="A240" s="95"/>
      <c r="B240" s="84"/>
      <c r="C240" s="84"/>
      <c r="D240" s="84"/>
      <c r="E240" s="84"/>
      <c r="F240" s="84"/>
      <c r="H240" s="93">
        <v>235</v>
      </c>
      <c r="I240" s="94" t="str">
        <f t="shared" si="17"/>
        <v/>
      </c>
      <c r="J240" s="94" t="e">
        <f t="shared" si="18"/>
        <v>#NUM!</v>
      </c>
      <c r="K240" s="93" t="e">
        <f t="shared" si="19"/>
        <v>#NUM!</v>
      </c>
      <c r="L240" s="93"/>
      <c r="M240" s="92">
        <f t="shared" si="20"/>
        <v>0</v>
      </c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spans="1:38" s="86" customFormat="1" x14ac:dyDescent="0.25">
      <c r="A241" s="95"/>
      <c r="B241" s="84"/>
      <c r="C241" s="84"/>
      <c r="D241" s="84"/>
      <c r="E241" s="84"/>
      <c r="F241" s="84"/>
      <c r="H241" s="93">
        <v>236</v>
      </c>
      <c r="I241" s="94" t="str">
        <f t="shared" si="17"/>
        <v/>
      </c>
      <c r="J241" s="94" t="e">
        <f t="shared" si="18"/>
        <v>#NUM!</v>
      </c>
      <c r="K241" s="93" t="e">
        <f t="shared" si="19"/>
        <v>#NUM!</v>
      </c>
      <c r="L241" s="93"/>
      <c r="M241" s="92">
        <f t="shared" si="20"/>
        <v>0</v>
      </c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spans="1:38" s="86" customFormat="1" x14ac:dyDescent="0.25">
      <c r="A242" s="95"/>
      <c r="B242" s="84"/>
      <c r="C242" s="84"/>
      <c r="D242" s="84"/>
      <c r="E242" s="84"/>
      <c r="F242" s="84"/>
      <c r="H242" s="93">
        <v>237</v>
      </c>
      <c r="I242" s="94" t="str">
        <f t="shared" si="17"/>
        <v/>
      </c>
      <c r="J242" s="94" t="e">
        <f t="shared" si="18"/>
        <v>#NUM!</v>
      </c>
      <c r="K242" s="93" t="e">
        <f t="shared" si="19"/>
        <v>#NUM!</v>
      </c>
      <c r="L242" s="93"/>
      <c r="M242" s="92">
        <f t="shared" si="20"/>
        <v>0</v>
      </c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spans="1:38" s="86" customFormat="1" x14ac:dyDescent="0.25">
      <c r="A243" s="95"/>
      <c r="B243" s="84"/>
      <c r="C243" s="84"/>
      <c r="D243" s="84"/>
      <c r="E243" s="84"/>
      <c r="F243" s="84"/>
      <c r="H243" s="93">
        <v>238</v>
      </c>
      <c r="I243" s="94" t="str">
        <f t="shared" si="17"/>
        <v/>
      </c>
      <c r="J243" s="94" t="e">
        <f t="shared" si="18"/>
        <v>#NUM!</v>
      </c>
      <c r="K243" s="93" t="e">
        <f t="shared" si="19"/>
        <v>#NUM!</v>
      </c>
      <c r="L243" s="93"/>
      <c r="M243" s="92">
        <f t="shared" si="20"/>
        <v>0</v>
      </c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spans="1:38" s="86" customFormat="1" x14ac:dyDescent="0.25">
      <c r="A244" s="95"/>
      <c r="B244" s="84"/>
      <c r="C244" s="84"/>
      <c r="D244" s="84"/>
      <c r="E244" s="84"/>
      <c r="F244" s="84"/>
      <c r="H244" s="93">
        <v>239</v>
      </c>
      <c r="I244" s="94" t="str">
        <f t="shared" si="17"/>
        <v/>
      </c>
      <c r="J244" s="94" t="e">
        <f t="shared" si="18"/>
        <v>#NUM!</v>
      </c>
      <c r="K244" s="93" t="e">
        <f t="shared" si="19"/>
        <v>#NUM!</v>
      </c>
      <c r="L244" s="93"/>
      <c r="M244" s="92">
        <f t="shared" si="20"/>
        <v>0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spans="1:38" s="86" customFormat="1" x14ac:dyDescent="0.25">
      <c r="A245" s="95"/>
      <c r="B245" s="84"/>
      <c r="C245" s="84"/>
      <c r="D245" s="84"/>
      <c r="E245" s="84"/>
      <c r="F245" s="84"/>
      <c r="H245" s="93">
        <v>240</v>
      </c>
      <c r="I245" s="94" t="str">
        <f t="shared" si="17"/>
        <v/>
      </c>
      <c r="J245" s="94" t="e">
        <f t="shared" si="18"/>
        <v>#NUM!</v>
      </c>
      <c r="K245" s="93" t="e">
        <f t="shared" si="19"/>
        <v>#NUM!</v>
      </c>
      <c r="L245" s="93"/>
      <c r="M245" s="92">
        <f t="shared" si="20"/>
        <v>0</v>
      </c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spans="1:38" s="86" customFormat="1" x14ac:dyDescent="0.25">
      <c r="A246" s="95"/>
      <c r="B246" s="84"/>
      <c r="C246" s="84"/>
      <c r="D246" s="84"/>
      <c r="E246" s="84"/>
      <c r="F246" s="84"/>
      <c r="H246" s="93">
        <v>241</v>
      </c>
      <c r="I246" s="94" t="str">
        <f t="shared" si="17"/>
        <v/>
      </c>
      <c r="J246" s="94" t="e">
        <f t="shared" si="18"/>
        <v>#NUM!</v>
      </c>
      <c r="K246" s="93" t="e">
        <f t="shared" si="19"/>
        <v>#NUM!</v>
      </c>
      <c r="L246" s="93"/>
      <c r="M246" s="92">
        <f t="shared" si="20"/>
        <v>0</v>
      </c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spans="1:38" s="86" customFormat="1" x14ac:dyDescent="0.25">
      <c r="A247" s="95"/>
      <c r="B247" s="84"/>
      <c r="C247" s="84"/>
      <c r="D247" s="84"/>
      <c r="E247" s="84"/>
      <c r="F247" s="84"/>
      <c r="H247" s="93">
        <v>242</v>
      </c>
      <c r="I247" s="94" t="str">
        <f t="shared" si="17"/>
        <v/>
      </c>
      <c r="J247" s="94" t="e">
        <f t="shared" si="18"/>
        <v>#NUM!</v>
      </c>
      <c r="K247" s="93" t="e">
        <f t="shared" si="19"/>
        <v>#NUM!</v>
      </c>
      <c r="L247" s="93"/>
      <c r="M247" s="92">
        <f t="shared" si="20"/>
        <v>0</v>
      </c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spans="1:38" s="86" customFormat="1" x14ac:dyDescent="0.25">
      <c r="A248" s="95"/>
      <c r="B248" s="84"/>
      <c r="C248" s="84"/>
      <c r="D248" s="84"/>
      <c r="E248" s="84"/>
      <c r="F248" s="84"/>
      <c r="H248" s="93">
        <v>243</v>
      </c>
      <c r="I248" s="94" t="str">
        <f t="shared" si="17"/>
        <v/>
      </c>
      <c r="J248" s="94" t="e">
        <f t="shared" si="18"/>
        <v>#NUM!</v>
      </c>
      <c r="K248" s="93" t="e">
        <f t="shared" si="19"/>
        <v>#NUM!</v>
      </c>
      <c r="L248" s="93"/>
      <c r="M248" s="92">
        <f t="shared" si="20"/>
        <v>0</v>
      </c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spans="1:38" s="86" customFormat="1" x14ac:dyDescent="0.25">
      <c r="A249" s="95"/>
      <c r="B249" s="84"/>
      <c r="C249" s="84"/>
      <c r="D249" s="84"/>
      <c r="E249" s="84"/>
      <c r="F249" s="84"/>
      <c r="H249" s="93">
        <v>244</v>
      </c>
      <c r="I249" s="94" t="str">
        <f t="shared" si="17"/>
        <v/>
      </c>
      <c r="J249" s="94" t="e">
        <f t="shared" si="18"/>
        <v>#NUM!</v>
      </c>
      <c r="K249" s="93" t="e">
        <f t="shared" si="19"/>
        <v>#NUM!</v>
      </c>
      <c r="L249" s="93"/>
      <c r="M249" s="92">
        <f t="shared" si="20"/>
        <v>0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spans="1:38" s="86" customFormat="1" x14ac:dyDescent="0.25">
      <c r="A250" s="95"/>
      <c r="B250" s="84"/>
      <c r="C250" s="84"/>
      <c r="D250" s="84"/>
      <c r="E250" s="84"/>
      <c r="F250" s="84"/>
      <c r="H250" s="93">
        <v>245</v>
      </c>
      <c r="I250" s="94" t="str">
        <f t="shared" si="17"/>
        <v/>
      </c>
      <c r="J250" s="94" t="e">
        <f t="shared" si="18"/>
        <v>#NUM!</v>
      </c>
      <c r="K250" s="93" t="e">
        <f t="shared" si="19"/>
        <v>#NUM!</v>
      </c>
      <c r="L250" s="93"/>
      <c r="M250" s="92">
        <f t="shared" si="20"/>
        <v>0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spans="1:38" s="86" customFormat="1" x14ac:dyDescent="0.25">
      <c r="A251" s="95"/>
      <c r="B251" s="84"/>
      <c r="C251" s="84"/>
      <c r="D251" s="84"/>
      <c r="E251" s="84"/>
      <c r="F251" s="84"/>
      <c r="H251" s="93">
        <v>246</v>
      </c>
      <c r="I251" s="94" t="str">
        <f t="shared" si="17"/>
        <v/>
      </c>
      <c r="J251" s="94" t="e">
        <f t="shared" si="18"/>
        <v>#NUM!</v>
      </c>
      <c r="K251" s="93" t="e">
        <f t="shared" si="19"/>
        <v>#NUM!</v>
      </c>
      <c r="L251" s="93"/>
      <c r="M251" s="92">
        <f t="shared" si="20"/>
        <v>0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spans="1:38" s="86" customFormat="1" x14ac:dyDescent="0.25">
      <c r="A252" s="95"/>
      <c r="B252" s="84"/>
      <c r="C252" s="84"/>
      <c r="D252" s="84"/>
      <c r="E252" s="84"/>
      <c r="F252" s="84"/>
      <c r="H252" s="93">
        <v>247</v>
      </c>
      <c r="I252" s="94" t="str">
        <f t="shared" si="17"/>
        <v/>
      </c>
      <c r="J252" s="94" t="e">
        <f t="shared" si="18"/>
        <v>#NUM!</v>
      </c>
      <c r="K252" s="93" t="e">
        <f t="shared" si="19"/>
        <v>#NUM!</v>
      </c>
      <c r="L252" s="93"/>
      <c r="M252" s="92">
        <f t="shared" si="20"/>
        <v>0</v>
      </c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spans="1:38" s="86" customFormat="1" x14ac:dyDescent="0.25">
      <c r="A253" s="95"/>
      <c r="B253" s="84"/>
      <c r="C253" s="84"/>
      <c r="D253" s="84"/>
      <c r="E253" s="84"/>
      <c r="F253" s="84"/>
      <c r="H253" s="93">
        <v>248</v>
      </c>
      <c r="I253" s="94" t="str">
        <f t="shared" si="17"/>
        <v/>
      </c>
      <c r="J253" s="94" t="e">
        <f t="shared" si="18"/>
        <v>#NUM!</v>
      </c>
      <c r="K253" s="93" t="e">
        <f t="shared" si="19"/>
        <v>#NUM!</v>
      </c>
      <c r="L253" s="93"/>
      <c r="M253" s="92">
        <f t="shared" si="20"/>
        <v>0</v>
      </c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spans="1:38" s="86" customFormat="1" x14ac:dyDescent="0.25">
      <c r="A254" s="95"/>
      <c r="B254" s="84"/>
      <c r="C254" s="84"/>
      <c r="D254" s="84"/>
      <c r="E254" s="84"/>
      <c r="F254" s="84"/>
      <c r="H254" s="93">
        <v>249</v>
      </c>
      <c r="I254" s="94" t="str">
        <f t="shared" si="17"/>
        <v/>
      </c>
      <c r="J254" s="94" t="e">
        <f t="shared" si="18"/>
        <v>#NUM!</v>
      </c>
      <c r="K254" s="93" t="e">
        <f t="shared" si="19"/>
        <v>#NUM!</v>
      </c>
      <c r="L254" s="93"/>
      <c r="M254" s="92">
        <f t="shared" si="20"/>
        <v>0</v>
      </c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spans="1:38" s="86" customFormat="1" x14ac:dyDescent="0.25">
      <c r="A255" s="95"/>
      <c r="B255" s="84"/>
      <c r="C255" s="84"/>
      <c r="D255" s="84"/>
      <c r="E255" s="84"/>
      <c r="F255" s="84"/>
      <c r="H255" s="93">
        <v>250</v>
      </c>
      <c r="I255" s="94" t="str">
        <f t="shared" si="17"/>
        <v/>
      </c>
      <c r="J255" s="94" t="e">
        <f t="shared" si="18"/>
        <v>#NUM!</v>
      </c>
      <c r="K255" s="93" t="e">
        <f t="shared" si="19"/>
        <v>#NUM!</v>
      </c>
      <c r="L255" s="93"/>
      <c r="M255" s="92">
        <f t="shared" si="20"/>
        <v>0</v>
      </c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spans="1:38" s="86" customFormat="1" x14ac:dyDescent="0.25">
      <c r="A256" s="95"/>
      <c r="B256" s="84"/>
      <c r="C256" s="84"/>
      <c r="D256" s="84"/>
      <c r="E256" s="84"/>
      <c r="F256" s="84"/>
      <c r="H256" s="93">
        <v>251</v>
      </c>
      <c r="I256" s="94" t="str">
        <f t="shared" si="17"/>
        <v/>
      </c>
      <c r="J256" s="94" t="e">
        <f t="shared" si="18"/>
        <v>#NUM!</v>
      </c>
      <c r="K256" s="93" t="e">
        <f t="shared" si="19"/>
        <v>#NUM!</v>
      </c>
      <c r="L256" s="93"/>
      <c r="M256" s="92">
        <f t="shared" si="20"/>
        <v>0</v>
      </c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spans="1:38" s="86" customFormat="1" x14ac:dyDescent="0.25">
      <c r="A257" s="95"/>
      <c r="B257" s="84"/>
      <c r="C257" s="84"/>
      <c r="D257" s="84"/>
      <c r="E257" s="84"/>
      <c r="F257" s="84"/>
      <c r="H257" s="93">
        <v>252</v>
      </c>
      <c r="I257" s="94" t="str">
        <f t="shared" si="17"/>
        <v/>
      </c>
      <c r="J257" s="94" t="e">
        <f t="shared" si="18"/>
        <v>#NUM!</v>
      </c>
      <c r="K257" s="93" t="e">
        <f t="shared" si="19"/>
        <v>#NUM!</v>
      </c>
      <c r="L257" s="93"/>
      <c r="M257" s="92">
        <f t="shared" si="20"/>
        <v>0</v>
      </c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spans="1:38" s="86" customFormat="1" x14ac:dyDescent="0.25">
      <c r="A258" s="95"/>
      <c r="B258" s="84"/>
      <c r="C258" s="84"/>
      <c r="D258" s="84"/>
      <c r="E258" s="84"/>
      <c r="F258" s="84"/>
      <c r="H258" s="93">
        <v>253</v>
      </c>
      <c r="I258" s="94" t="str">
        <f t="shared" si="17"/>
        <v/>
      </c>
      <c r="J258" s="94" t="e">
        <f t="shared" si="18"/>
        <v>#NUM!</v>
      </c>
      <c r="K258" s="93" t="e">
        <f t="shared" si="19"/>
        <v>#NUM!</v>
      </c>
      <c r="L258" s="93"/>
      <c r="M258" s="92">
        <f t="shared" si="20"/>
        <v>0</v>
      </c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spans="1:38" s="86" customFormat="1" x14ac:dyDescent="0.25">
      <c r="A259" s="95"/>
      <c r="B259" s="84"/>
      <c r="C259" s="84"/>
      <c r="D259" s="84"/>
      <c r="E259" s="84"/>
      <c r="F259" s="84"/>
      <c r="H259" s="93">
        <v>254</v>
      </c>
      <c r="I259" s="94" t="str">
        <f t="shared" si="17"/>
        <v/>
      </c>
      <c r="J259" s="94" t="e">
        <f t="shared" si="18"/>
        <v>#NUM!</v>
      </c>
      <c r="K259" s="93" t="e">
        <f t="shared" si="19"/>
        <v>#NUM!</v>
      </c>
      <c r="L259" s="93"/>
      <c r="M259" s="92">
        <f t="shared" si="20"/>
        <v>0</v>
      </c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spans="1:38" s="86" customFormat="1" x14ac:dyDescent="0.25">
      <c r="A260" s="95"/>
      <c r="B260" s="84"/>
      <c r="C260" s="84"/>
      <c r="D260" s="84"/>
      <c r="E260" s="84"/>
      <c r="F260" s="84"/>
      <c r="H260" s="93">
        <v>255</v>
      </c>
      <c r="I260" s="94" t="str">
        <f t="shared" si="17"/>
        <v/>
      </c>
      <c r="J260" s="94" t="e">
        <f t="shared" si="18"/>
        <v>#NUM!</v>
      </c>
      <c r="K260" s="93" t="e">
        <f t="shared" si="19"/>
        <v>#NUM!</v>
      </c>
      <c r="L260" s="93"/>
      <c r="M260" s="92">
        <f t="shared" si="20"/>
        <v>0</v>
      </c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spans="1:38" s="86" customFormat="1" x14ac:dyDescent="0.25">
      <c r="A261" s="95"/>
      <c r="B261" s="84"/>
      <c r="C261" s="84"/>
      <c r="D261" s="84"/>
      <c r="E261" s="84"/>
      <c r="F261" s="84"/>
      <c r="H261" s="93">
        <v>256</v>
      </c>
      <c r="I261" s="94" t="str">
        <f t="shared" si="17"/>
        <v/>
      </c>
      <c r="J261" s="94" t="e">
        <f t="shared" si="18"/>
        <v>#NUM!</v>
      </c>
      <c r="K261" s="93" t="e">
        <f t="shared" si="19"/>
        <v>#NUM!</v>
      </c>
      <c r="L261" s="93"/>
      <c r="M261" s="92">
        <f t="shared" si="20"/>
        <v>0</v>
      </c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spans="1:38" s="86" customFormat="1" x14ac:dyDescent="0.25">
      <c r="A262" s="95"/>
      <c r="B262" s="84"/>
      <c r="C262" s="84"/>
      <c r="D262" s="84"/>
      <c r="E262" s="84"/>
      <c r="F262" s="84"/>
      <c r="H262" s="93">
        <v>257</v>
      </c>
      <c r="I262" s="94" t="str">
        <f t="shared" ref="I262:I305" si="21">IF(H262&lt;$H$2+1,($I$2-($I$2-1)*(LOG(H262)/LOG($H$2))),"")</f>
        <v/>
      </c>
      <c r="J262" s="94" t="e">
        <f t="shared" ref="J262:J305" si="22">INT(LOG($H$2,2))-ROUNDUP(LOG(H262,2),0)+IF(OR($H$2=1,$H$2=2,$H$2=4,$H$2=8,$H$2=16,$H$2=32,$H$2=64,$H$2=128,$H$2=256),0,1)</f>
        <v>#NUM!</v>
      </c>
      <c r="K262" s="93" t="e">
        <f t="shared" ref="K262:K305" si="23">J262*$J$2</f>
        <v>#NUM!</v>
      </c>
      <c r="L262" s="93"/>
      <c r="M262" s="92">
        <f t="shared" ref="M262:M305" si="24">IF(I262&lt;&gt;"",K262+I262+L262,0)</f>
        <v>0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spans="1:38" s="86" customFormat="1" x14ac:dyDescent="0.25">
      <c r="A263" s="95"/>
      <c r="B263" s="84"/>
      <c r="C263" s="84"/>
      <c r="D263" s="84"/>
      <c r="E263" s="84"/>
      <c r="F263" s="84"/>
      <c r="H263" s="93">
        <v>258</v>
      </c>
      <c r="I263" s="94" t="str">
        <f t="shared" si="21"/>
        <v/>
      </c>
      <c r="J263" s="94" t="e">
        <f t="shared" si="22"/>
        <v>#NUM!</v>
      </c>
      <c r="K263" s="93" t="e">
        <f t="shared" si="23"/>
        <v>#NUM!</v>
      </c>
      <c r="L263" s="93"/>
      <c r="M263" s="92">
        <f t="shared" si="24"/>
        <v>0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spans="1:38" s="86" customFormat="1" x14ac:dyDescent="0.25">
      <c r="A264" s="95"/>
      <c r="B264" s="84"/>
      <c r="C264" s="84"/>
      <c r="D264" s="84"/>
      <c r="E264" s="84"/>
      <c r="F264" s="84"/>
      <c r="H264" s="93">
        <v>259</v>
      </c>
      <c r="I264" s="94" t="str">
        <f t="shared" si="21"/>
        <v/>
      </c>
      <c r="J264" s="94" t="e">
        <f t="shared" si="22"/>
        <v>#NUM!</v>
      </c>
      <c r="K264" s="93" t="e">
        <f t="shared" si="23"/>
        <v>#NUM!</v>
      </c>
      <c r="L264" s="93"/>
      <c r="M264" s="92">
        <f t="shared" si="24"/>
        <v>0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spans="1:38" s="86" customFormat="1" x14ac:dyDescent="0.25">
      <c r="A265" s="95"/>
      <c r="B265" s="84"/>
      <c r="C265" s="84"/>
      <c r="D265" s="84"/>
      <c r="E265" s="84"/>
      <c r="F265" s="84"/>
      <c r="H265" s="93">
        <v>260</v>
      </c>
      <c r="I265" s="94" t="str">
        <f t="shared" si="21"/>
        <v/>
      </c>
      <c r="J265" s="94" t="e">
        <f t="shared" si="22"/>
        <v>#NUM!</v>
      </c>
      <c r="K265" s="93" t="e">
        <f t="shared" si="23"/>
        <v>#NUM!</v>
      </c>
      <c r="L265" s="93"/>
      <c r="M265" s="92">
        <f t="shared" si="24"/>
        <v>0</v>
      </c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spans="1:38" s="86" customFormat="1" x14ac:dyDescent="0.25">
      <c r="A266" s="95"/>
      <c r="B266" s="84"/>
      <c r="C266" s="84"/>
      <c r="D266" s="84"/>
      <c r="E266" s="84"/>
      <c r="F266" s="84"/>
      <c r="H266" s="93">
        <v>261</v>
      </c>
      <c r="I266" s="94" t="str">
        <f t="shared" si="21"/>
        <v/>
      </c>
      <c r="J266" s="94" t="e">
        <f t="shared" si="22"/>
        <v>#NUM!</v>
      </c>
      <c r="K266" s="93" t="e">
        <f t="shared" si="23"/>
        <v>#NUM!</v>
      </c>
      <c r="L266" s="93"/>
      <c r="M266" s="92">
        <f t="shared" si="24"/>
        <v>0</v>
      </c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spans="1:38" s="86" customFormat="1" x14ac:dyDescent="0.25">
      <c r="A267" s="95"/>
      <c r="B267" s="84"/>
      <c r="C267" s="84"/>
      <c r="D267" s="84"/>
      <c r="E267" s="84"/>
      <c r="F267" s="84"/>
      <c r="H267" s="93">
        <v>262</v>
      </c>
      <c r="I267" s="94" t="str">
        <f t="shared" si="21"/>
        <v/>
      </c>
      <c r="J267" s="94" t="e">
        <f t="shared" si="22"/>
        <v>#NUM!</v>
      </c>
      <c r="K267" s="93" t="e">
        <f t="shared" si="23"/>
        <v>#NUM!</v>
      </c>
      <c r="L267" s="93"/>
      <c r="M267" s="92">
        <f t="shared" si="24"/>
        <v>0</v>
      </c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spans="1:38" s="86" customFormat="1" x14ac:dyDescent="0.25">
      <c r="A268" s="95"/>
      <c r="B268" s="84"/>
      <c r="C268" s="84"/>
      <c r="D268" s="84"/>
      <c r="E268" s="84"/>
      <c r="F268" s="84"/>
      <c r="H268" s="93">
        <v>263</v>
      </c>
      <c r="I268" s="94" t="str">
        <f t="shared" si="21"/>
        <v/>
      </c>
      <c r="J268" s="94" t="e">
        <f t="shared" si="22"/>
        <v>#NUM!</v>
      </c>
      <c r="K268" s="93" t="e">
        <f t="shared" si="23"/>
        <v>#NUM!</v>
      </c>
      <c r="L268" s="93"/>
      <c r="M268" s="92">
        <f t="shared" si="24"/>
        <v>0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spans="1:38" s="86" customFormat="1" x14ac:dyDescent="0.25">
      <c r="A269" s="95"/>
      <c r="B269" s="84"/>
      <c r="C269" s="84"/>
      <c r="D269" s="84"/>
      <c r="E269" s="84"/>
      <c r="F269" s="84"/>
      <c r="H269" s="93">
        <v>264</v>
      </c>
      <c r="I269" s="94" t="str">
        <f t="shared" si="21"/>
        <v/>
      </c>
      <c r="J269" s="94" t="e">
        <f t="shared" si="22"/>
        <v>#NUM!</v>
      </c>
      <c r="K269" s="93" t="e">
        <f t="shared" si="23"/>
        <v>#NUM!</v>
      </c>
      <c r="L269" s="93"/>
      <c r="M269" s="92">
        <f t="shared" si="24"/>
        <v>0</v>
      </c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spans="1:38" s="86" customFormat="1" x14ac:dyDescent="0.25">
      <c r="A270" s="95"/>
      <c r="B270" s="84"/>
      <c r="C270" s="84"/>
      <c r="D270" s="84"/>
      <c r="E270" s="84"/>
      <c r="F270" s="84"/>
      <c r="H270" s="93">
        <v>265</v>
      </c>
      <c r="I270" s="94" t="str">
        <f t="shared" si="21"/>
        <v/>
      </c>
      <c r="J270" s="94" t="e">
        <f t="shared" si="22"/>
        <v>#NUM!</v>
      </c>
      <c r="K270" s="93" t="e">
        <f t="shared" si="23"/>
        <v>#NUM!</v>
      </c>
      <c r="L270" s="93"/>
      <c r="M270" s="92">
        <f t="shared" si="24"/>
        <v>0</v>
      </c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spans="1:38" s="86" customFormat="1" x14ac:dyDescent="0.25">
      <c r="A271" s="95"/>
      <c r="B271" s="84"/>
      <c r="C271" s="84"/>
      <c r="D271" s="84"/>
      <c r="E271" s="84"/>
      <c r="F271" s="84"/>
      <c r="H271" s="93">
        <v>266</v>
      </c>
      <c r="I271" s="94" t="str">
        <f t="shared" si="21"/>
        <v/>
      </c>
      <c r="J271" s="94" t="e">
        <f t="shared" si="22"/>
        <v>#NUM!</v>
      </c>
      <c r="K271" s="93" t="e">
        <f t="shared" si="23"/>
        <v>#NUM!</v>
      </c>
      <c r="L271" s="93"/>
      <c r="M271" s="92">
        <f t="shared" si="24"/>
        <v>0</v>
      </c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spans="1:38" s="86" customFormat="1" x14ac:dyDescent="0.25">
      <c r="A272" s="95"/>
      <c r="B272" s="84"/>
      <c r="C272" s="84"/>
      <c r="D272" s="84"/>
      <c r="E272" s="84"/>
      <c r="F272" s="84"/>
      <c r="H272" s="93">
        <v>267</v>
      </c>
      <c r="I272" s="94" t="str">
        <f t="shared" si="21"/>
        <v/>
      </c>
      <c r="J272" s="94" t="e">
        <f t="shared" si="22"/>
        <v>#NUM!</v>
      </c>
      <c r="K272" s="93" t="e">
        <f t="shared" si="23"/>
        <v>#NUM!</v>
      </c>
      <c r="L272" s="93"/>
      <c r="M272" s="92">
        <f t="shared" si="24"/>
        <v>0</v>
      </c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spans="1:38" s="86" customFormat="1" x14ac:dyDescent="0.25">
      <c r="A273" s="95"/>
      <c r="B273" s="84"/>
      <c r="C273" s="84"/>
      <c r="D273" s="84"/>
      <c r="E273" s="84"/>
      <c r="F273" s="84"/>
      <c r="H273" s="93">
        <v>268</v>
      </c>
      <c r="I273" s="94" t="str">
        <f t="shared" si="21"/>
        <v/>
      </c>
      <c r="J273" s="94" t="e">
        <f t="shared" si="22"/>
        <v>#NUM!</v>
      </c>
      <c r="K273" s="93" t="e">
        <f t="shared" si="23"/>
        <v>#NUM!</v>
      </c>
      <c r="L273" s="93"/>
      <c r="M273" s="92">
        <f t="shared" si="24"/>
        <v>0</v>
      </c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spans="1:38" s="86" customFormat="1" x14ac:dyDescent="0.25">
      <c r="A274" s="95"/>
      <c r="B274" s="84"/>
      <c r="C274" s="84"/>
      <c r="D274" s="84"/>
      <c r="E274" s="84"/>
      <c r="F274" s="84"/>
      <c r="H274" s="93">
        <v>269</v>
      </c>
      <c r="I274" s="94" t="str">
        <f t="shared" si="21"/>
        <v/>
      </c>
      <c r="J274" s="94" t="e">
        <f t="shared" si="22"/>
        <v>#NUM!</v>
      </c>
      <c r="K274" s="93" t="e">
        <f t="shared" si="23"/>
        <v>#NUM!</v>
      </c>
      <c r="L274" s="93"/>
      <c r="M274" s="92">
        <f t="shared" si="24"/>
        <v>0</v>
      </c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spans="1:38" s="86" customFormat="1" x14ac:dyDescent="0.25">
      <c r="A275" s="95"/>
      <c r="B275" s="84"/>
      <c r="C275" s="84"/>
      <c r="D275" s="84"/>
      <c r="E275" s="84"/>
      <c r="F275" s="84"/>
      <c r="H275" s="93">
        <v>270</v>
      </c>
      <c r="I275" s="94" t="str">
        <f t="shared" si="21"/>
        <v/>
      </c>
      <c r="J275" s="94" t="e">
        <f t="shared" si="22"/>
        <v>#NUM!</v>
      </c>
      <c r="K275" s="93" t="e">
        <f t="shared" si="23"/>
        <v>#NUM!</v>
      </c>
      <c r="L275" s="93"/>
      <c r="M275" s="92">
        <f t="shared" si="24"/>
        <v>0</v>
      </c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spans="1:38" s="86" customFormat="1" x14ac:dyDescent="0.25">
      <c r="A276" s="95"/>
      <c r="B276" s="84"/>
      <c r="C276" s="84"/>
      <c r="D276" s="84"/>
      <c r="E276" s="84"/>
      <c r="F276" s="84"/>
      <c r="H276" s="93">
        <v>271</v>
      </c>
      <c r="I276" s="94" t="str">
        <f t="shared" si="21"/>
        <v/>
      </c>
      <c r="J276" s="94" t="e">
        <f t="shared" si="22"/>
        <v>#NUM!</v>
      </c>
      <c r="K276" s="93" t="e">
        <f t="shared" si="23"/>
        <v>#NUM!</v>
      </c>
      <c r="L276" s="93"/>
      <c r="M276" s="92">
        <f t="shared" si="24"/>
        <v>0</v>
      </c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spans="1:38" s="86" customFormat="1" x14ac:dyDescent="0.25">
      <c r="A277" s="95"/>
      <c r="B277" s="84"/>
      <c r="C277" s="84"/>
      <c r="D277" s="84"/>
      <c r="E277" s="84"/>
      <c r="F277" s="84"/>
      <c r="H277" s="93">
        <v>272</v>
      </c>
      <c r="I277" s="94" t="str">
        <f t="shared" si="21"/>
        <v/>
      </c>
      <c r="J277" s="94" t="e">
        <f t="shared" si="22"/>
        <v>#NUM!</v>
      </c>
      <c r="K277" s="93" t="e">
        <f t="shared" si="23"/>
        <v>#NUM!</v>
      </c>
      <c r="L277" s="93"/>
      <c r="M277" s="92">
        <f t="shared" si="24"/>
        <v>0</v>
      </c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spans="1:38" s="86" customFormat="1" x14ac:dyDescent="0.25">
      <c r="A278" s="95"/>
      <c r="B278" s="84"/>
      <c r="C278" s="84"/>
      <c r="D278" s="84"/>
      <c r="E278" s="84"/>
      <c r="F278" s="84"/>
      <c r="H278" s="93">
        <v>273</v>
      </c>
      <c r="I278" s="94" t="str">
        <f t="shared" si="21"/>
        <v/>
      </c>
      <c r="J278" s="94" t="e">
        <f t="shared" si="22"/>
        <v>#NUM!</v>
      </c>
      <c r="K278" s="93" t="e">
        <f t="shared" si="23"/>
        <v>#NUM!</v>
      </c>
      <c r="L278" s="93"/>
      <c r="M278" s="92">
        <f t="shared" si="24"/>
        <v>0</v>
      </c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spans="1:38" s="86" customFormat="1" x14ac:dyDescent="0.25">
      <c r="A279" s="95"/>
      <c r="B279" s="84"/>
      <c r="C279" s="84"/>
      <c r="D279" s="84"/>
      <c r="E279" s="84"/>
      <c r="F279" s="84"/>
      <c r="H279" s="93">
        <v>274</v>
      </c>
      <c r="I279" s="94" t="str">
        <f t="shared" si="21"/>
        <v/>
      </c>
      <c r="J279" s="94" t="e">
        <f t="shared" si="22"/>
        <v>#NUM!</v>
      </c>
      <c r="K279" s="93" t="e">
        <f t="shared" si="23"/>
        <v>#NUM!</v>
      </c>
      <c r="L279" s="93"/>
      <c r="M279" s="92">
        <f t="shared" si="24"/>
        <v>0</v>
      </c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spans="1:38" s="86" customFormat="1" x14ac:dyDescent="0.25">
      <c r="A280" s="95"/>
      <c r="B280" s="84"/>
      <c r="C280" s="84"/>
      <c r="D280" s="84"/>
      <c r="E280" s="84"/>
      <c r="F280" s="84"/>
      <c r="H280" s="93">
        <v>275</v>
      </c>
      <c r="I280" s="94" t="str">
        <f t="shared" si="21"/>
        <v/>
      </c>
      <c r="J280" s="94" t="e">
        <f t="shared" si="22"/>
        <v>#NUM!</v>
      </c>
      <c r="K280" s="93" t="e">
        <f t="shared" si="23"/>
        <v>#NUM!</v>
      </c>
      <c r="L280" s="93"/>
      <c r="M280" s="92">
        <f t="shared" si="24"/>
        <v>0</v>
      </c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spans="1:38" s="86" customFormat="1" x14ac:dyDescent="0.25">
      <c r="A281" s="95"/>
      <c r="B281" s="84"/>
      <c r="C281" s="84"/>
      <c r="D281" s="84"/>
      <c r="E281" s="84"/>
      <c r="F281" s="84"/>
      <c r="H281" s="93">
        <v>276</v>
      </c>
      <c r="I281" s="94" t="str">
        <f t="shared" si="21"/>
        <v/>
      </c>
      <c r="J281" s="94" t="e">
        <f t="shared" si="22"/>
        <v>#NUM!</v>
      </c>
      <c r="K281" s="93" t="e">
        <f t="shared" si="23"/>
        <v>#NUM!</v>
      </c>
      <c r="L281" s="93"/>
      <c r="M281" s="92">
        <f t="shared" si="24"/>
        <v>0</v>
      </c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spans="1:38" s="86" customFormat="1" x14ac:dyDescent="0.25">
      <c r="A282" s="95"/>
      <c r="B282" s="84"/>
      <c r="C282" s="84"/>
      <c r="D282" s="84"/>
      <c r="E282" s="84"/>
      <c r="F282" s="84"/>
      <c r="H282" s="93">
        <v>277</v>
      </c>
      <c r="I282" s="94" t="str">
        <f t="shared" si="21"/>
        <v/>
      </c>
      <c r="J282" s="94" t="e">
        <f t="shared" si="22"/>
        <v>#NUM!</v>
      </c>
      <c r="K282" s="93" t="e">
        <f t="shared" si="23"/>
        <v>#NUM!</v>
      </c>
      <c r="L282" s="93"/>
      <c r="M282" s="92">
        <f t="shared" si="24"/>
        <v>0</v>
      </c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spans="1:38" s="86" customFormat="1" x14ac:dyDescent="0.25">
      <c r="A283" s="95"/>
      <c r="B283" s="84"/>
      <c r="C283" s="84"/>
      <c r="D283" s="84"/>
      <c r="E283" s="84"/>
      <c r="F283" s="84"/>
      <c r="H283" s="93">
        <v>278</v>
      </c>
      <c r="I283" s="94" t="str">
        <f t="shared" si="21"/>
        <v/>
      </c>
      <c r="J283" s="94" t="e">
        <f t="shared" si="22"/>
        <v>#NUM!</v>
      </c>
      <c r="K283" s="93" t="e">
        <f t="shared" si="23"/>
        <v>#NUM!</v>
      </c>
      <c r="L283" s="93"/>
      <c r="M283" s="92">
        <f t="shared" si="24"/>
        <v>0</v>
      </c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spans="1:38" s="86" customFormat="1" x14ac:dyDescent="0.25">
      <c r="A284" s="95"/>
      <c r="B284" s="84"/>
      <c r="C284" s="84"/>
      <c r="D284" s="84"/>
      <c r="E284" s="84"/>
      <c r="F284" s="84"/>
      <c r="H284" s="93">
        <v>279</v>
      </c>
      <c r="I284" s="94" t="str">
        <f t="shared" si="21"/>
        <v/>
      </c>
      <c r="J284" s="94" t="e">
        <f t="shared" si="22"/>
        <v>#NUM!</v>
      </c>
      <c r="K284" s="93" t="e">
        <f t="shared" si="23"/>
        <v>#NUM!</v>
      </c>
      <c r="L284" s="93"/>
      <c r="M284" s="92">
        <f t="shared" si="24"/>
        <v>0</v>
      </c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spans="1:38" s="86" customFormat="1" x14ac:dyDescent="0.25">
      <c r="A285" s="95"/>
      <c r="B285" s="84"/>
      <c r="C285" s="84"/>
      <c r="D285" s="84"/>
      <c r="E285" s="84"/>
      <c r="F285" s="84"/>
      <c r="H285" s="93">
        <v>280</v>
      </c>
      <c r="I285" s="94" t="str">
        <f t="shared" si="21"/>
        <v/>
      </c>
      <c r="J285" s="94" t="e">
        <f t="shared" si="22"/>
        <v>#NUM!</v>
      </c>
      <c r="K285" s="93" t="e">
        <f t="shared" si="23"/>
        <v>#NUM!</v>
      </c>
      <c r="L285" s="93"/>
      <c r="M285" s="92">
        <f t="shared" si="24"/>
        <v>0</v>
      </c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spans="1:38" s="86" customFormat="1" x14ac:dyDescent="0.25">
      <c r="A286" s="95"/>
      <c r="B286" s="84"/>
      <c r="C286" s="84"/>
      <c r="D286" s="84"/>
      <c r="E286" s="84"/>
      <c r="F286" s="84"/>
      <c r="H286" s="93">
        <v>281</v>
      </c>
      <c r="I286" s="94" t="str">
        <f t="shared" si="21"/>
        <v/>
      </c>
      <c r="J286" s="94" t="e">
        <f t="shared" si="22"/>
        <v>#NUM!</v>
      </c>
      <c r="K286" s="93" t="e">
        <f t="shared" si="23"/>
        <v>#NUM!</v>
      </c>
      <c r="L286" s="93"/>
      <c r="M286" s="92">
        <f t="shared" si="24"/>
        <v>0</v>
      </c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spans="1:38" s="86" customFormat="1" x14ac:dyDescent="0.25">
      <c r="A287" s="95"/>
      <c r="B287" s="84"/>
      <c r="C287" s="84"/>
      <c r="D287" s="84"/>
      <c r="E287" s="84"/>
      <c r="F287" s="84"/>
      <c r="H287" s="93">
        <v>282</v>
      </c>
      <c r="I287" s="94" t="str">
        <f t="shared" si="21"/>
        <v/>
      </c>
      <c r="J287" s="94" t="e">
        <f t="shared" si="22"/>
        <v>#NUM!</v>
      </c>
      <c r="K287" s="93" t="e">
        <f t="shared" si="23"/>
        <v>#NUM!</v>
      </c>
      <c r="L287" s="93"/>
      <c r="M287" s="92">
        <f t="shared" si="24"/>
        <v>0</v>
      </c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spans="1:38" s="86" customFormat="1" x14ac:dyDescent="0.25">
      <c r="A288" s="95"/>
      <c r="B288" s="84"/>
      <c r="C288" s="84"/>
      <c r="D288" s="84"/>
      <c r="E288" s="84"/>
      <c r="F288" s="84"/>
      <c r="H288" s="93">
        <v>283</v>
      </c>
      <c r="I288" s="94" t="str">
        <f t="shared" si="21"/>
        <v/>
      </c>
      <c r="J288" s="94" t="e">
        <f t="shared" si="22"/>
        <v>#NUM!</v>
      </c>
      <c r="K288" s="93" t="e">
        <f t="shared" si="23"/>
        <v>#NUM!</v>
      </c>
      <c r="L288" s="93"/>
      <c r="M288" s="92">
        <f t="shared" si="24"/>
        <v>0</v>
      </c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spans="1:38" s="86" customFormat="1" x14ac:dyDescent="0.25">
      <c r="A289" s="95"/>
      <c r="B289" s="84"/>
      <c r="C289" s="84"/>
      <c r="D289" s="84"/>
      <c r="E289" s="84"/>
      <c r="F289" s="84"/>
      <c r="H289" s="93">
        <v>284</v>
      </c>
      <c r="I289" s="94" t="str">
        <f t="shared" si="21"/>
        <v/>
      </c>
      <c r="J289" s="94" t="e">
        <f t="shared" si="22"/>
        <v>#NUM!</v>
      </c>
      <c r="K289" s="93" t="e">
        <f t="shared" si="23"/>
        <v>#NUM!</v>
      </c>
      <c r="L289" s="93"/>
      <c r="M289" s="92">
        <f t="shared" si="24"/>
        <v>0</v>
      </c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spans="1:38" s="86" customFormat="1" x14ac:dyDescent="0.25">
      <c r="A290" s="95"/>
      <c r="B290" s="84"/>
      <c r="C290" s="84"/>
      <c r="D290" s="84"/>
      <c r="E290" s="84"/>
      <c r="F290" s="84"/>
      <c r="H290" s="93">
        <v>285</v>
      </c>
      <c r="I290" s="94" t="str">
        <f t="shared" si="21"/>
        <v/>
      </c>
      <c r="J290" s="94" t="e">
        <f t="shared" si="22"/>
        <v>#NUM!</v>
      </c>
      <c r="K290" s="93" t="e">
        <f t="shared" si="23"/>
        <v>#NUM!</v>
      </c>
      <c r="L290" s="93"/>
      <c r="M290" s="92">
        <f t="shared" si="24"/>
        <v>0</v>
      </c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spans="1:38" s="86" customFormat="1" x14ac:dyDescent="0.25">
      <c r="A291" s="95"/>
      <c r="B291" s="84"/>
      <c r="C291" s="84"/>
      <c r="D291" s="84"/>
      <c r="E291" s="84"/>
      <c r="F291" s="84"/>
      <c r="H291" s="93">
        <v>286</v>
      </c>
      <c r="I291" s="94" t="str">
        <f t="shared" si="21"/>
        <v/>
      </c>
      <c r="J291" s="94" t="e">
        <f t="shared" si="22"/>
        <v>#NUM!</v>
      </c>
      <c r="K291" s="93" t="e">
        <f t="shared" si="23"/>
        <v>#NUM!</v>
      </c>
      <c r="L291" s="93"/>
      <c r="M291" s="92">
        <f t="shared" si="24"/>
        <v>0</v>
      </c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spans="1:38" s="86" customFormat="1" x14ac:dyDescent="0.25">
      <c r="A292" s="95"/>
      <c r="B292" s="84"/>
      <c r="C292" s="84"/>
      <c r="D292" s="84"/>
      <c r="E292" s="84"/>
      <c r="F292" s="84"/>
      <c r="H292" s="93">
        <v>287</v>
      </c>
      <c r="I292" s="94" t="str">
        <f t="shared" si="21"/>
        <v/>
      </c>
      <c r="J292" s="94" t="e">
        <f t="shared" si="22"/>
        <v>#NUM!</v>
      </c>
      <c r="K292" s="93" t="e">
        <f t="shared" si="23"/>
        <v>#NUM!</v>
      </c>
      <c r="L292" s="93"/>
      <c r="M292" s="92">
        <f t="shared" si="24"/>
        <v>0</v>
      </c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spans="1:38" s="86" customFormat="1" x14ac:dyDescent="0.25">
      <c r="A293" s="95"/>
      <c r="B293" s="84"/>
      <c r="C293" s="84"/>
      <c r="D293" s="84"/>
      <c r="E293" s="84"/>
      <c r="F293" s="84"/>
      <c r="H293" s="93">
        <v>288</v>
      </c>
      <c r="I293" s="94" t="str">
        <f t="shared" si="21"/>
        <v/>
      </c>
      <c r="J293" s="94" t="e">
        <f t="shared" si="22"/>
        <v>#NUM!</v>
      </c>
      <c r="K293" s="93" t="e">
        <f t="shared" si="23"/>
        <v>#NUM!</v>
      </c>
      <c r="L293" s="93"/>
      <c r="M293" s="92">
        <f t="shared" si="24"/>
        <v>0</v>
      </c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spans="1:38" s="86" customFormat="1" x14ac:dyDescent="0.25">
      <c r="A294" s="95"/>
      <c r="B294" s="84"/>
      <c r="C294" s="84"/>
      <c r="D294" s="84"/>
      <c r="E294" s="84"/>
      <c r="F294" s="84"/>
      <c r="H294" s="93">
        <v>289</v>
      </c>
      <c r="I294" s="94" t="str">
        <f t="shared" si="21"/>
        <v/>
      </c>
      <c r="J294" s="94" t="e">
        <f t="shared" si="22"/>
        <v>#NUM!</v>
      </c>
      <c r="K294" s="93" t="e">
        <f t="shared" si="23"/>
        <v>#NUM!</v>
      </c>
      <c r="L294" s="93"/>
      <c r="M294" s="92">
        <f t="shared" si="24"/>
        <v>0</v>
      </c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spans="1:38" s="86" customFormat="1" x14ac:dyDescent="0.25">
      <c r="A295" s="95"/>
      <c r="B295" s="84"/>
      <c r="C295" s="84"/>
      <c r="D295" s="84"/>
      <c r="E295" s="84"/>
      <c r="F295" s="84"/>
      <c r="H295" s="93">
        <v>290</v>
      </c>
      <c r="I295" s="94" t="str">
        <f t="shared" si="21"/>
        <v/>
      </c>
      <c r="J295" s="94" t="e">
        <f t="shared" si="22"/>
        <v>#NUM!</v>
      </c>
      <c r="K295" s="93" t="e">
        <f t="shared" si="23"/>
        <v>#NUM!</v>
      </c>
      <c r="L295" s="93"/>
      <c r="M295" s="92">
        <f t="shared" si="24"/>
        <v>0</v>
      </c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spans="1:38" s="86" customFormat="1" x14ac:dyDescent="0.25">
      <c r="A296" s="95"/>
      <c r="B296" s="84"/>
      <c r="C296" s="84"/>
      <c r="D296" s="84"/>
      <c r="E296" s="84"/>
      <c r="F296" s="84"/>
      <c r="H296" s="93">
        <v>291</v>
      </c>
      <c r="I296" s="94" t="str">
        <f t="shared" si="21"/>
        <v/>
      </c>
      <c r="J296" s="94" t="e">
        <f t="shared" si="22"/>
        <v>#NUM!</v>
      </c>
      <c r="K296" s="93" t="e">
        <f t="shared" si="23"/>
        <v>#NUM!</v>
      </c>
      <c r="L296" s="93"/>
      <c r="M296" s="92">
        <f t="shared" si="24"/>
        <v>0</v>
      </c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spans="1:38" s="86" customFormat="1" x14ac:dyDescent="0.25">
      <c r="A297" s="95"/>
      <c r="B297" s="84"/>
      <c r="C297" s="84"/>
      <c r="D297" s="84"/>
      <c r="E297" s="84"/>
      <c r="F297" s="84"/>
      <c r="H297" s="93">
        <v>292</v>
      </c>
      <c r="I297" s="94" t="str">
        <f t="shared" si="21"/>
        <v/>
      </c>
      <c r="J297" s="94" t="e">
        <f t="shared" si="22"/>
        <v>#NUM!</v>
      </c>
      <c r="K297" s="93" t="e">
        <f t="shared" si="23"/>
        <v>#NUM!</v>
      </c>
      <c r="L297" s="93"/>
      <c r="M297" s="92">
        <f t="shared" si="24"/>
        <v>0</v>
      </c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spans="1:38" s="86" customFormat="1" x14ac:dyDescent="0.25">
      <c r="A298" s="95"/>
      <c r="B298" s="84"/>
      <c r="C298" s="84"/>
      <c r="D298" s="84"/>
      <c r="E298" s="84"/>
      <c r="F298" s="84"/>
      <c r="H298" s="93">
        <v>293</v>
      </c>
      <c r="I298" s="94" t="str">
        <f t="shared" si="21"/>
        <v/>
      </c>
      <c r="J298" s="94" t="e">
        <f t="shared" si="22"/>
        <v>#NUM!</v>
      </c>
      <c r="K298" s="93" t="e">
        <f t="shared" si="23"/>
        <v>#NUM!</v>
      </c>
      <c r="L298" s="93"/>
      <c r="M298" s="92">
        <f t="shared" si="24"/>
        <v>0</v>
      </c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spans="1:38" s="86" customFormat="1" x14ac:dyDescent="0.25">
      <c r="A299" s="95"/>
      <c r="B299" s="84"/>
      <c r="C299" s="84"/>
      <c r="D299" s="84"/>
      <c r="E299" s="84"/>
      <c r="F299" s="84"/>
      <c r="H299" s="93">
        <v>294</v>
      </c>
      <c r="I299" s="94" t="str">
        <f t="shared" si="21"/>
        <v/>
      </c>
      <c r="J299" s="94" t="e">
        <f t="shared" si="22"/>
        <v>#NUM!</v>
      </c>
      <c r="K299" s="93" t="e">
        <f t="shared" si="23"/>
        <v>#NUM!</v>
      </c>
      <c r="L299" s="93"/>
      <c r="M299" s="92">
        <f t="shared" si="24"/>
        <v>0</v>
      </c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spans="1:38" s="86" customFormat="1" x14ac:dyDescent="0.25">
      <c r="A300" s="95"/>
      <c r="B300" s="84"/>
      <c r="C300" s="84"/>
      <c r="D300" s="84"/>
      <c r="E300" s="84"/>
      <c r="F300" s="84"/>
      <c r="H300" s="93">
        <v>295</v>
      </c>
      <c r="I300" s="94" t="str">
        <f t="shared" si="21"/>
        <v/>
      </c>
      <c r="J300" s="94" t="e">
        <f t="shared" si="22"/>
        <v>#NUM!</v>
      </c>
      <c r="K300" s="93" t="e">
        <f t="shared" si="23"/>
        <v>#NUM!</v>
      </c>
      <c r="L300" s="93"/>
      <c r="M300" s="92">
        <f t="shared" si="24"/>
        <v>0</v>
      </c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spans="1:38" s="86" customFormat="1" x14ac:dyDescent="0.25">
      <c r="A301" s="95"/>
      <c r="B301" s="84"/>
      <c r="C301" s="84"/>
      <c r="D301" s="84"/>
      <c r="E301" s="84"/>
      <c r="F301" s="84"/>
      <c r="H301" s="93">
        <v>296</v>
      </c>
      <c r="I301" s="94" t="str">
        <f t="shared" si="21"/>
        <v/>
      </c>
      <c r="J301" s="94" t="e">
        <f t="shared" si="22"/>
        <v>#NUM!</v>
      </c>
      <c r="K301" s="93" t="e">
        <f t="shared" si="23"/>
        <v>#NUM!</v>
      </c>
      <c r="L301" s="93"/>
      <c r="M301" s="92">
        <f t="shared" si="24"/>
        <v>0</v>
      </c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spans="1:38" s="86" customFormat="1" x14ac:dyDescent="0.25">
      <c r="A302" s="95"/>
      <c r="B302" s="84"/>
      <c r="C302" s="84"/>
      <c r="D302" s="84"/>
      <c r="E302" s="84"/>
      <c r="F302" s="84"/>
      <c r="H302" s="93">
        <v>297</v>
      </c>
      <c r="I302" s="94" t="str">
        <f t="shared" si="21"/>
        <v/>
      </c>
      <c r="J302" s="94" t="e">
        <f t="shared" si="22"/>
        <v>#NUM!</v>
      </c>
      <c r="K302" s="93" t="e">
        <f t="shared" si="23"/>
        <v>#NUM!</v>
      </c>
      <c r="L302" s="93"/>
      <c r="M302" s="92">
        <f t="shared" si="24"/>
        <v>0</v>
      </c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spans="1:38" s="86" customFormat="1" x14ac:dyDescent="0.25">
      <c r="A303" s="95"/>
      <c r="B303" s="84"/>
      <c r="C303" s="84"/>
      <c r="D303" s="84"/>
      <c r="E303" s="84"/>
      <c r="F303" s="84"/>
      <c r="H303" s="93">
        <v>298</v>
      </c>
      <c r="I303" s="94" t="str">
        <f t="shared" si="21"/>
        <v/>
      </c>
      <c r="J303" s="94" t="e">
        <f t="shared" si="22"/>
        <v>#NUM!</v>
      </c>
      <c r="K303" s="93" t="e">
        <f t="shared" si="23"/>
        <v>#NUM!</v>
      </c>
      <c r="L303" s="93"/>
      <c r="M303" s="92">
        <f t="shared" si="24"/>
        <v>0</v>
      </c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spans="1:38" s="86" customFormat="1" x14ac:dyDescent="0.25">
      <c r="A304" s="95"/>
      <c r="B304" s="84"/>
      <c r="C304" s="84"/>
      <c r="D304" s="84"/>
      <c r="E304" s="84"/>
      <c r="F304" s="84"/>
      <c r="H304" s="93">
        <v>299</v>
      </c>
      <c r="I304" s="94" t="str">
        <f t="shared" si="21"/>
        <v/>
      </c>
      <c r="J304" s="94" t="e">
        <f t="shared" si="22"/>
        <v>#NUM!</v>
      </c>
      <c r="K304" s="93" t="e">
        <f t="shared" si="23"/>
        <v>#NUM!</v>
      </c>
      <c r="L304" s="93"/>
      <c r="M304" s="92">
        <f t="shared" si="24"/>
        <v>0</v>
      </c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spans="1:38" s="86" customFormat="1" x14ac:dyDescent="0.25">
      <c r="A305" s="95"/>
      <c r="B305" s="84"/>
      <c r="C305" s="84"/>
      <c r="D305" s="84"/>
      <c r="E305" s="84"/>
      <c r="F305" s="84"/>
      <c r="H305" s="93">
        <v>300</v>
      </c>
      <c r="I305" s="94" t="str">
        <f t="shared" si="21"/>
        <v/>
      </c>
      <c r="J305" s="94" t="e">
        <f t="shared" si="22"/>
        <v>#NUM!</v>
      </c>
      <c r="K305" s="93" t="e">
        <f t="shared" si="23"/>
        <v>#NUM!</v>
      </c>
      <c r="L305" s="93"/>
      <c r="M305" s="92">
        <f t="shared" si="24"/>
        <v>0</v>
      </c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spans="1:38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/>
      <c r="K306" s="88"/>
      <c r="L306" s="88"/>
      <c r="M306" s="87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14" spans="1:38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/>
      <c r="K314" s="88"/>
      <c r="L314" s="90"/>
      <c r="M314" s="87"/>
      <c r="P314" s="89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spans="1:38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/>
      <c r="K315" s="88"/>
      <c r="L315" s="90"/>
      <c r="M315" s="87"/>
      <c r="P315" s="89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spans="1:38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/>
      <c r="K316" s="88"/>
      <c r="L316" s="90"/>
      <c r="M316" s="87"/>
      <c r="P316" s="89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spans="1:38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/>
      <c r="K317" s="88"/>
      <c r="L317" s="90"/>
      <c r="M317" s="87"/>
      <c r="P317" s="89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D3672673-A90C-4FD4-BF0D-56537AD7167D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A172-9BAF-466F-973F-F0617ACA915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" style="201" customWidth="1"/>
    <col min="11" max="11" width="8.75" style="201" customWidth="1"/>
    <col min="12" max="12" width="11" style="201" customWidth="1"/>
    <col min="13" max="13" width="11.7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22</v>
      </c>
      <c r="I1" s="172" t="s">
        <v>23</v>
      </c>
      <c r="J1" s="172" t="s">
        <v>24</v>
      </c>
      <c r="K1" s="173" t="s">
        <v>99</v>
      </c>
      <c r="L1" s="174"/>
      <c r="M1" s="174"/>
    </row>
    <row r="2" spans="1:36" x14ac:dyDescent="0.25">
      <c r="A2" s="170"/>
      <c r="B2" s="22" t="s">
        <v>26</v>
      </c>
      <c r="C2" s="288" t="s">
        <v>105</v>
      </c>
      <c r="D2" s="288"/>
      <c r="E2" s="23"/>
      <c r="F2" s="23"/>
      <c r="G2" s="23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ht="14.45" customHeight="1" x14ac:dyDescent="0.25">
      <c r="A3" s="170"/>
      <c r="B3" s="179" t="s">
        <v>28</v>
      </c>
      <c r="C3" s="267" t="s">
        <v>116</v>
      </c>
      <c r="D3" s="267"/>
      <c r="E3" s="28"/>
      <c r="F3" s="28"/>
      <c r="G3" s="28"/>
      <c r="H3" s="174"/>
      <c r="I3" s="174"/>
      <c r="J3" s="174"/>
      <c r="K3" s="174"/>
      <c r="L3" s="174"/>
      <c r="M3" s="17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74"/>
      <c r="I4" s="174"/>
      <c r="J4" s="174"/>
      <c r="K4" s="174"/>
      <c r="L4" s="174"/>
      <c r="M4" s="174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80" t="s">
        <v>36</v>
      </c>
      <c r="I5" s="181" t="s">
        <v>37</v>
      </c>
      <c r="J5" s="181" t="s">
        <v>38</v>
      </c>
      <c r="K5" s="181" t="s">
        <v>39</v>
      </c>
      <c r="L5" s="181" t="s">
        <v>40</v>
      </c>
      <c r="M5" s="180" t="s">
        <v>41</v>
      </c>
    </row>
    <row r="6" spans="1:36" ht="14.45" customHeight="1" x14ac:dyDescent="0.25">
      <c r="A6" s="103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182">
        <v>1</v>
      </c>
      <c r="I6" s="183" t="str">
        <f t="shared" ref="I6:I69" si="1">IF(H6&lt;$H$2+1,($I$2-($I$2-1)*(LOG(H6)/LOG($H$2))),"")</f>
        <v/>
      </c>
      <c r="J6" s="183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185">
        <v>2</v>
      </c>
      <c r="I7" s="186" t="str">
        <f t="shared" si="1"/>
        <v/>
      </c>
      <c r="J7" s="186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103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182">
        <v>3</v>
      </c>
      <c r="I8" s="183" t="str">
        <f t="shared" si="1"/>
        <v/>
      </c>
      <c r="J8" s="183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102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42</v>
      </c>
      <c r="AI9" s="175">
        <v>23</v>
      </c>
    </row>
    <row r="10" spans="1:36" ht="14.45" customHeight="1" x14ac:dyDescent="0.25">
      <c r="A10" s="103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182">
        <v>5</v>
      </c>
      <c r="I10" s="183" t="str">
        <f t="shared" si="1"/>
        <v/>
      </c>
      <c r="J10" s="183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43</v>
      </c>
      <c r="AI10" s="175">
        <v>45</v>
      </c>
    </row>
    <row r="11" spans="1:36" ht="14.45" customHeight="1" x14ac:dyDescent="0.25">
      <c r="A11" s="102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185">
        <v>6</v>
      </c>
      <c r="I11" s="186" t="str">
        <f t="shared" si="1"/>
        <v/>
      </c>
      <c r="J11" s="186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44</v>
      </c>
      <c r="AI11" s="175">
        <v>50</v>
      </c>
    </row>
    <row r="12" spans="1:36" ht="14.45" customHeight="1" x14ac:dyDescent="0.25">
      <c r="A12" s="103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182">
        <v>7</v>
      </c>
      <c r="I12" s="183" t="str">
        <f t="shared" si="1"/>
        <v/>
      </c>
      <c r="J12" s="183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45</v>
      </c>
      <c r="AI12" s="175">
        <f>AI11-1</f>
        <v>49</v>
      </c>
    </row>
    <row r="13" spans="1:36" ht="14.45" customHeight="1" x14ac:dyDescent="0.25">
      <c r="A13" s="102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185">
        <v>8</v>
      </c>
      <c r="I13" s="186" t="str">
        <f t="shared" si="1"/>
        <v/>
      </c>
      <c r="J13" s="186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46</v>
      </c>
      <c r="AI13" s="175">
        <f>LOG(AI9)</f>
        <v>1.3617278360175928</v>
      </c>
    </row>
    <row r="14" spans="1:36" x14ac:dyDescent="0.25">
      <c r="A14" s="103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182">
        <v>9</v>
      </c>
      <c r="I14" s="183" t="str">
        <f t="shared" si="1"/>
        <v/>
      </c>
      <c r="J14" s="183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47</v>
      </c>
      <c r="AI14" s="175">
        <f>LOG(AI10)</f>
        <v>1.6532125137753437</v>
      </c>
    </row>
    <row r="15" spans="1:36" x14ac:dyDescent="0.25">
      <c r="A15" s="102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185">
        <v>10</v>
      </c>
      <c r="I15" s="186" t="str">
        <f t="shared" si="1"/>
        <v/>
      </c>
      <c r="J15" s="186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103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182">
        <v>11</v>
      </c>
      <c r="I16" s="183" t="str">
        <f t="shared" si="1"/>
        <v/>
      </c>
      <c r="J16" s="183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48</v>
      </c>
      <c r="AI16" s="175">
        <f>AI11-AI12*AI13/AI14</f>
        <v>9.6393909380186855</v>
      </c>
      <c r="AJ16" s="175" t="s">
        <v>49</v>
      </c>
    </row>
    <row r="17" spans="1:19" x14ac:dyDescent="0.25">
      <c r="A17" s="102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185">
        <v>12</v>
      </c>
      <c r="I17" s="186" t="str">
        <f t="shared" si="1"/>
        <v/>
      </c>
      <c r="J17" s="186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103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182">
        <v>13</v>
      </c>
      <c r="I18" s="183" t="str">
        <f t="shared" si="1"/>
        <v/>
      </c>
      <c r="J18" s="183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102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185">
        <v>14</v>
      </c>
      <c r="I19" s="186" t="str">
        <f t="shared" si="1"/>
        <v/>
      </c>
      <c r="J19" s="186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103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182">
        <v>15</v>
      </c>
      <c r="I20" s="183" t="str">
        <f t="shared" si="1"/>
        <v/>
      </c>
      <c r="J20" s="183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102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185">
        <v>16</v>
      </c>
      <c r="I21" s="186" t="str">
        <f t="shared" si="1"/>
        <v/>
      </c>
      <c r="J21" s="186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103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182">
        <v>17</v>
      </c>
      <c r="I22" s="183" t="str">
        <f t="shared" si="1"/>
        <v/>
      </c>
      <c r="J22" s="183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102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185">
        <v>18</v>
      </c>
      <c r="I23" s="186" t="str">
        <f t="shared" si="1"/>
        <v/>
      </c>
      <c r="J23" s="186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103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182">
        <v>19</v>
      </c>
      <c r="I24" s="183" t="str">
        <f t="shared" si="1"/>
        <v/>
      </c>
      <c r="J24" s="183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102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185">
        <v>20</v>
      </c>
      <c r="I25" s="186" t="str">
        <f t="shared" si="1"/>
        <v/>
      </c>
      <c r="J25" s="186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103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182">
        <v>21</v>
      </c>
      <c r="I26" s="183" t="str">
        <f t="shared" si="1"/>
        <v/>
      </c>
      <c r="J26" s="183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102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185">
        <v>22</v>
      </c>
      <c r="I27" s="186" t="str">
        <f t="shared" si="1"/>
        <v/>
      </c>
      <c r="J27" s="186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103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182">
        <v>23</v>
      </c>
      <c r="I28" s="183" t="str">
        <f t="shared" si="1"/>
        <v/>
      </c>
      <c r="J28" s="183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102">
        <f t="shared" si="4"/>
        <v>0</v>
      </c>
      <c r="B29" s="42" t="str">
        <f t="shared" si="0"/>
        <v/>
      </c>
      <c r="C29" s="43"/>
      <c r="D29" s="43"/>
      <c r="E29" s="43"/>
      <c r="F29" s="43"/>
      <c r="G29" s="170"/>
      <c r="H29" s="185">
        <v>24</v>
      </c>
      <c r="I29" s="186" t="str">
        <f t="shared" si="1"/>
        <v/>
      </c>
      <c r="J29" s="186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103">
        <f t="shared" si="4"/>
        <v>0</v>
      </c>
      <c r="B30" s="36" t="str">
        <f t="shared" si="0"/>
        <v/>
      </c>
      <c r="C30" s="37"/>
      <c r="D30" s="37"/>
      <c r="E30" s="37"/>
      <c r="F30" s="37"/>
      <c r="G30" s="170"/>
      <c r="H30" s="182">
        <v>25</v>
      </c>
      <c r="I30" s="183" t="str">
        <f t="shared" si="1"/>
        <v/>
      </c>
      <c r="J30" s="183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102">
        <f t="shared" si="4"/>
        <v>0</v>
      </c>
      <c r="B31" s="42" t="str">
        <f t="shared" si="0"/>
        <v/>
      </c>
      <c r="C31" s="43"/>
      <c r="D31" s="43"/>
      <c r="E31" s="43"/>
      <c r="F31" s="43"/>
      <c r="G31" s="170"/>
      <c r="H31" s="185">
        <v>26</v>
      </c>
      <c r="I31" s="186" t="str">
        <f t="shared" si="1"/>
        <v/>
      </c>
      <c r="J31" s="186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103">
        <f t="shared" si="4"/>
        <v>0</v>
      </c>
      <c r="B32" s="36" t="str">
        <f t="shared" si="0"/>
        <v/>
      </c>
      <c r="C32" s="37"/>
      <c r="D32" s="37"/>
      <c r="E32" s="37"/>
      <c r="F32" s="37"/>
      <c r="G32" s="170"/>
      <c r="H32" s="182">
        <v>27</v>
      </c>
      <c r="I32" s="183" t="str">
        <f t="shared" si="1"/>
        <v/>
      </c>
      <c r="J32" s="183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21" x14ac:dyDescent="0.25">
      <c r="A33" s="102">
        <f t="shared" si="4"/>
        <v>0</v>
      </c>
      <c r="B33" s="42" t="str">
        <f t="shared" si="0"/>
        <v/>
      </c>
      <c r="C33" s="43"/>
      <c r="D33" s="43"/>
      <c r="E33" s="43"/>
      <c r="F33" s="43"/>
      <c r="G33" s="170"/>
      <c r="H33" s="185">
        <v>28</v>
      </c>
      <c r="I33" s="186" t="str">
        <f t="shared" si="1"/>
        <v/>
      </c>
      <c r="J33" s="186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21" x14ac:dyDescent="0.25">
      <c r="A34" s="103">
        <f t="shared" si="4"/>
        <v>0</v>
      </c>
      <c r="B34" s="36" t="str">
        <f t="shared" si="0"/>
        <v/>
      </c>
      <c r="C34" s="37"/>
      <c r="D34" s="37"/>
      <c r="E34" s="37"/>
      <c r="F34" s="37"/>
      <c r="G34" s="170"/>
      <c r="H34" s="182">
        <v>29</v>
      </c>
      <c r="I34" s="183" t="str">
        <f t="shared" si="1"/>
        <v/>
      </c>
      <c r="J34" s="183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21" x14ac:dyDescent="0.25">
      <c r="A35" s="102">
        <f t="shared" si="4"/>
        <v>0</v>
      </c>
      <c r="B35" s="42" t="str">
        <f t="shared" si="0"/>
        <v/>
      </c>
      <c r="C35" s="43"/>
      <c r="D35" s="43"/>
      <c r="E35" s="43"/>
      <c r="F35" s="43"/>
      <c r="G35" s="170"/>
      <c r="H35" s="185">
        <v>30</v>
      </c>
      <c r="I35" s="186" t="str">
        <f t="shared" si="1"/>
        <v/>
      </c>
      <c r="J35" s="186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21" x14ac:dyDescent="0.25">
      <c r="A36" s="103">
        <f t="shared" si="4"/>
        <v>0</v>
      </c>
      <c r="B36" s="36" t="str">
        <f t="shared" si="0"/>
        <v/>
      </c>
      <c r="C36" s="37"/>
      <c r="D36" s="37"/>
      <c r="E36" s="37"/>
      <c r="F36" s="37"/>
      <c r="G36" s="170"/>
      <c r="H36" s="182">
        <v>31</v>
      </c>
      <c r="I36" s="183" t="str">
        <f t="shared" si="1"/>
        <v/>
      </c>
      <c r="J36" s="183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21" x14ac:dyDescent="0.25">
      <c r="A37" s="102">
        <f t="shared" si="4"/>
        <v>0</v>
      </c>
      <c r="B37" s="42" t="str">
        <f t="shared" si="0"/>
        <v/>
      </c>
      <c r="C37" s="43"/>
      <c r="D37" s="43"/>
      <c r="E37" s="43"/>
      <c r="F37" s="43"/>
      <c r="G37" s="170"/>
      <c r="H37" s="185">
        <v>32</v>
      </c>
      <c r="I37" s="186" t="str">
        <f t="shared" si="1"/>
        <v/>
      </c>
      <c r="J37" s="186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21" x14ac:dyDescent="0.25">
      <c r="A38" s="102">
        <f t="shared" si="4"/>
        <v>0</v>
      </c>
      <c r="B38" s="36" t="str">
        <f t="shared" si="0"/>
        <v/>
      </c>
      <c r="C38" s="37"/>
      <c r="D38" s="37"/>
      <c r="E38" s="37"/>
      <c r="F38" s="37"/>
      <c r="G38" s="170"/>
      <c r="H38" s="182">
        <v>33</v>
      </c>
      <c r="I38" s="183" t="str">
        <f t="shared" si="1"/>
        <v/>
      </c>
      <c r="J38" s="183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21" x14ac:dyDescent="0.25">
      <c r="A39" s="102">
        <f t="shared" si="4"/>
        <v>0</v>
      </c>
      <c r="B39" s="42" t="str">
        <f t="shared" si="0"/>
        <v/>
      </c>
      <c r="C39" s="43"/>
      <c r="D39" s="43"/>
      <c r="E39" s="43"/>
      <c r="F39" s="43"/>
      <c r="G39" s="170"/>
      <c r="H39" s="185">
        <v>34</v>
      </c>
      <c r="I39" s="186" t="str">
        <f t="shared" si="1"/>
        <v/>
      </c>
      <c r="J39" s="186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21" x14ac:dyDescent="0.25">
      <c r="A40" s="102">
        <f t="shared" si="4"/>
        <v>0</v>
      </c>
      <c r="B40" s="36" t="str">
        <f t="shared" si="0"/>
        <v/>
      </c>
      <c r="C40" s="37"/>
      <c r="D40" s="37"/>
      <c r="E40" s="37"/>
      <c r="F40" s="37"/>
      <c r="G40" s="170"/>
      <c r="H40" s="182">
        <v>35</v>
      </c>
      <c r="I40" s="183" t="str">
        <f t="shared" si="1"/>
        <v/>
      </c>
      <c r="J40" s="183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21" x14ac:dyDescent="0.25">
      <c r="A41" s="102">
        <f t="shared" si="4"/>
        <v>0</v>
      </c>
      <c r="B41" s="42" t="str">
        <f t="shared" si="0"/>
        <v/>
      </c>
      <c r="C41" s="43"/>
      <c r="D41" s="43"/>
      <c r="E41" s="43"/>
      <c r="F41" s="43"/>
      <c r="G41" s="170"/>
      <c r="H41" s="185">
        <v>36</v>
      </c>
      <c r="I41" s="186" t="str">
        <f t="shared" si="1"/>
        <v/>
      </c>
      <c r="J41" s="186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21" x14ac:dyDescent="0.25">
      <c r="A42" s="102">
        <f t="shared" si="4"/>
        <v>0</v>
      </c>
      <c r="B42" s="36" t="str">
        <f t="shared" si="0"/>
        <v/>
      </c>
      <c r="C42" s="37"/>
      <c r="D42" s="37"/>
      <c r="E42" s="37"/>
      <c r="F42" s="37"/>
      <c r="G42" s="170"/>
      <c r="H42" s="182">
        <v>37</v>
      </c>
      <c r="I42" s="183" t="str">
        <f t="shared" si="1"/>
        <v/>
      </c>
      <c r="J42" s="183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21" x14ac:dyDescent="0.25">
      <c r="A43" s="102">
        <f t="shared" si="4"/>
        <v>0</v>
      </c>
      <c r="B43" s="42" t="str">
        <f t="shared" si="0"/>
        <v/>
      </c>
      <c r="C43" s="43"/>
      <c r="D43" s="43"/>
      <c r="E43" s="43"/>
      <c r="F43" s="43"/>
      <c r="G43" s="170"/>
      <c r="H43" s="185">
        <v>38</v>
      </c>
      <c r="I43" s="186" t="str">
        <f t="shared" si="1"/>
        <v/>
      </c>
      <c r="J43" s="186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21" x14ac:dyDescent="0.25">
      <c r="A44" s="102">
        <f t="shared" si="4"/>
        <v>0</v>
      </c>
      <c r="B44" s="36" t="str">
        <f t="shared" si="0"/>
        <v/>
      </c>
      <c r="C44" s="37"/>
      <c r="D44" s="37"/>
      <c r="E44" s="37"/>
      <c r="F44" s="37"/>
      <c r="G44" s="170"/>
      <c r="H44" s="182">
        <v>39</v>
      </c>
      <c r="I44" s="183" t="str">
        <f t="shared" si="1"/>
        <v/>
      </c>
      <c r="J44" s="183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21" x14ac:dyDescent="0.25">
      <c r="A45" s="102">
        <f t="shared" si="4"/>
        <v>0</v>
      </c>
      <c r="B45" s="42" t="str">
        <f t="shared" si="0"/>
        <v/>
      </c>
      <c r="C45" s="43"/>
      <c r="D45" s="43"/>
      <c r="E45" s="43"/>
      <c r="F45" s="43"/>
      <c r="G45" s="170"/>
      <c r="H45" s="185">
        <v>40</v>
      </c>
      <c r="I45" s="186" t="str">
        <f t="shared" si="1"/>
        <v/>
      </c>
      <c r="J45" s="186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21" x14ac:dyDescent="0.25">
      <c r="A46" s="102">
        <f t="shared" si="4"/>
        <v>0</v>
      </c>
      <c r="B46" s="36" t="str">
        <f t="shared" si="0"/>
        <v/>
      </c>
      <c r="C46" s="37"/>
      <c r="D46" s="37"/>
      <c r="E46" s="37"/>
      <c r="F46" s="37"/>
      <c r="G46" s="170"/>
      <c r="H46" s="182">
        <v>41</v>
      </c>
      <c r="I46" s="183" t="str">
        <f t="shared" si="1"/>
        <v/>
      </c>
      <c r="J46" s="183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2">
        <f t="shared" si="4"/>
        <v>0</v>
      </c>
      <c r="B47" s="42" t="str">
        <f t="shared" si="0"/>
        <v/>
      </c>
      <c r="C47" s="43"/>
      <c r="D47" s="43"/>
      <c r="E47" s="43"/>
      <c r="F47" s="43"/>
      <c r="G47" s="170"/>
      <c r="H47" s="185">
        <v>42</v>
      </c>
      <c r="I47" s="186" t="str">
        <f t="shared" si="1"/>
        <v/>
      </c>
      <c r="J47" s="186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21" x14ac:dyDescent="0.25">
      <c r="A48" s="102">
        <f t="shared" si="4"/>
        <v>0</v>
      </c>
      <c r="B48" s="36" t="str">
        <f t="shared" si="0"/>
        <v/>
      </c>
      <c r="C48" s="37"/>
      <c r="D48" s="37"/>
      <c r="E48" s="37"/>
      <c r="F48" s="37"/>
      <c r="G48" s="170"/>
      <c r="H48" s="182">
        <v>43</v>
      </c>
      <c r="I48" s="183" t="str">
        <f t="shared" si="1"/>
        <v/>
      </c>
      <c r="J48" s="183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13" x14ac:dyDescent="0.25">
      <c r="A49" s="102">
        <f t="shared" si="4"/>
        <v>0</v>
      </c>
      <c r="B49" s="42" t="str">
        <f t="shared" si="0"/>
        <v/>
      </c>
      <c r="C49" s="43"/>
      <c r="D49" s="43"/>
      <c r="E49" s="43"/>
      <c r="F49" s="43"/>
      <c r="G49" s="170"/>
      <c r="H49" s="185">
        <v>44</v>
      </c>
      <c r="I49" s="186" t="str">
        <f t="shared" si="1"/>
        <v/>
      </c>
      <c r="J49" s="186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13" x14ac:dyDescent="0.25">
      <c r="A50" s="102">
        <f t="shared" si="4"/>
        <v>0</v>
      </c>
      <c r="B50" s="36" t="str">
        <f t="shared" si="0"/>
        <v/>
      </c>
      <c r="C50" s="37"/>
      <c r="D50" s="37"/>
      <c r="E50" s="37"/>
      <c r="F50" s="37"/>
      <c r="G50" s="170"/>
      <c r="H50" s="182">
        <v>45</v>
      </c>
      <c r="I50" s="183" t="str">
        <f t="shared" si="1"/>
        <v/>
      </c>
      <c r="J50" s="183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13" x14ac:dyDescent="0.25">
      <c r="A51" s="102">
        <f t="shared" si="4"/>
        <v>0</v>
      </c>
      <c r="B51" s="42" t="str">
        <f t="shared" si="0"/>
        <v/>
      </c>
      <c r="C51" s="43"/>
      <c r="D51" s="43"/>
      <c r="E51" s="43"/>
      <c r="F51" s="43"/>
      <c r="G51" s="170"/>
      <c r="H51" s="185">
        <v>46</v>
      </c>
      <c r="I51" s="186" t="str">
        <f t="shared" si="1"/>
        <v/>
      </c>
      <c r="J51" s="186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13" x14ac:dyDescent="0.25">
      <c r="A52" s="102">
        <f t="shared" si="4"/>
        <v>0</v>
      </c>
      <c r="B52" s="36" t="str">
        <f t="shared" si="0"/>
        <v/>
      </c>
      <c r="C52" s="37"/>
      <c r="D52" s="37"/>
      <c r="E52" s="37"/>
      <c r="F52" s="37"/>
      <c r="G52" s="170"/>
      <c r="H52" s="182">
        <v>47</v>
      </c>
      <c r="I52" s="183" t="str">
        <f t="shared" si="1"/>
        <v/>
      </c>
      <c r="J52" s="183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13" x14ac:dyDescent="0.25">
      <c r="A53" s="102">
        <f t="shared" si="4"/>
        <v>0</v>
      </c>
      <c r="B53" s="42" t="str">
        <f t="shared" si="0"/>
        <v/>
      </c>
      <c r="C53" s="43"/>
      <c r="D53" s="43"/>
      <c r="E53" s="43"/>
      <c r="F53" s="43"/>
      <c r="G53" s="170"/>
      <c r="H53" s="185">
        <v>48</v>
      </c>
      <c r="I53" s="186" t="str">
        <f t="shared" si="1"/>
        <v/>
      </c>
      <c r="J53" s="186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13" x14ac:dyDescent="0.25">
      <c r="A54" s="102">
        <f t="shared" si="4"/>
        <v>0</v>
      </c>
      <c r="B54" s="36" t="str">
        <f t="shared" si="0"/>
        <v/>
      </c>
      <c r="C54" s="37"/>
      <c r="D54" s="37"/>
      <c r="E54" s="37"/>
      <c r="F54" s="37"/>
      <c r="G54" s="170"/>
      <c r="H54" s="182">
        <v>49</v>
      </c>
      <c r="I54" s="183" t="str">
        <f t="shared" si="1"/>
        <v/>
      </c>
      <c r="J54" s="183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13" x14ac:dyDescent="0.25">
      <c r="A55" s="102">
        <f t="shared" si="4"/>
        <v>0</v>
      </c>
      <c r="B55" s="42" t="str">
        <f t="shared" si="0"/>
        <v/>
      </c>
      <c r="C55" s="43"/>
      <c r="D55" s="43"/>
      <c r="E55" s="43"/>
      <c r="F55" s="43"/>
      <c r="G55" s="170"/>
      <c r="H55" s="185">
        <v>50</v>
      </c>
      <c r="I55" s="186" t="str">
        <f t="shared" si="1"/>
        <v/>
      </c>
      <c r="J55" s="186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13" x14ac:dyDescent="0.25">
      <c r="A56" s="102">
        <f t="shared" si="4"/>
        <v>0</v>
      </c>
      <c r="B56" s="36" t="str">
        <f t="shared" si="0"/>
        <v/>
      </c>
      <c r="C56" s="37"/>
      <c r="D56" s="37"/>
      <c r="E56" s="37"/>
      <c r="F56" s="37"/>
      <c r="G56" s="170"/>
      <c r="H56" s="182">
        <v>51</v>
      </c>
      <c r="I56" s="183" t="str">
        <f t="shared" si="1"/>
        <v/>
      </c>
      <c r="J56" s="183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13" x14ac:dyDescent="0.25">
      <c r="A57" s="102">
        <f t="shared" si="4"/>
        <v>0</v>
      </c>
      <c r="B57" s="42" t="str">
        <f t="shared" si="0"/>
        <v/>
      </c>
      <c r="C57" s="43"/>
      <c r="D57" s="43"/>
      <c r="E57" s="43"/>
      <c r="F57" s="43"/>
      <c r="G57" s="170"/>
      <c r="H57" s="185">
        <v>52</v>
      </c>
      <c r="I57" s="186" t="str">
        <f t="shared" si="1"/>
        <v/>
      </c>
      <c r="J57" s="186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</row>
    <row r="58" spans="1:13" x14ac:dyDescent="0.25">
      <c r="A58" s="102">
        <f t="shared" si="4"/>
        <v>0</v>
      </c>
      <c r="B58" s="36" t="str">
        <f t="shared" si="0"/>
        <v/>
      </c>
      <c r="C58" s="37"/>
      <c r="D58" s="37"/>
      <c r="E58" s="37"/>
      <c r="F58" s="37"/>
      <c r="G58" s="170"/>
      <c r="H58" s="182">
        <v>53</v>
      </c>
      <c r="I58" s="183" t="str">
        <f t="shared" si="1"/>
        <v/>
      </c>
      <c r="J58" s="183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</row>
    <row r="59" spans="1:13" x14ac:dyDescent="0.25">
      <c r="A59" s="102">
        <f t="shared" si="4"/>
        <v>0</v>
      </c>
      <c r="B59" s="42" t="str">
        <f t="shared" si="0"/>
        <v/>
      </c>
      <c r="C59" s="43"/>
      <c r="D59" s="43"/>
      <c r="E59" s="43"/>
      <c r="F59" s="43"/>
      <c r="G59" s="170"/>
      <c r="H59" s="185">
        <v>54</v>
      </c>
      <c r="I59" s="186" t="str">
        <f t="shared" si="1"/>
        <v/>
      </c>
      <c r="J59" s="186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</row>
    <row r="60" spans="1:13" x14ac:dyDescent="0.25">
      <c r="A60" s="102">
        <f t="shared" si="4"/>
        <v>0</v>
      </c>
      <c r="B60" s="36" t="str">
        <f t="shared" si="0"/>
        <v/>
      </c>
      <c r="C60" s="37"/>
      <c r="D60" s="37"/>
      <c r="E60" s="37"/>
      <c r="F60" s="37"/>
      <c r="G60" s="170"/>
      <c r="H60" s="182">
        <v>55</v>
      </c>
      <c r="I60" s="183" t="str">
        <f t="shared" si="1"/>
        <v/>
      </c>
      <c r="J60" s="183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</row>
    <row r="61" spans="1:13" x14ac:dyDescent="0.25">
      <c r="A61" s="102">
        <f t="shared" si="4"/>
        <v>0</v>
      </c>
      <c r="B61" s="42" t="str">
        <f t="shared" si="0"/>
        <v/>
      </c>
      <c r="C61" s="43"/>
      <c r="D61" s="43"/>
      <c r="E61" s="43"/>
      <c r="F61" s="43"/>
      <c r="G61" s="170"/>
      <c r="H61" s="185">
        <v>56</v>
      </c>
      <c r="I61" s="186" t="str">
        <f t="shared" si="1"/>
        <v/>
      </c>
      <c r="J61" s="186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</row>
    <row r="62" spans="1:13" x14ac:dyDescent="0.25">
      <c r="A62" s="102">
        <f t="shared" si="4"/>
        <v>0</v>
      </c>
      <c r="B62" s="36" t="str">
        <f t="shared" si="0"/>
        <v/>
      </c>
      <c r="C62" s="37"/>
      <c r="D62" s="37"/>
      <c r="E62" s="37"/>
      <c r="F62" s="37"/>
      <c r="G62" s="170"/>
      <c r="H62" s="182">
        <v>57</v>
      </c>
      <c r="I62" s="183" t="str">
        <f t="shared" si="1"/>
        <v/>
      </c>
      <c r="J62" s="183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</row>
    <row r="63" spans="1:13" x14ac:dyDescent="0.25">
      <c r="A63" s="102">
        <f t="shared" si="4"/>
        <v>0</v>
      </c>
      <c r="B63" s="42" t="str">
        <f t="shared" si="0"/>
        <v/>
      </c>
      <c r="C63" s="43"/>
      <c r="D63" s="43"/>
      <c r="E63" s="43"/>
      <c r="F63" s="43"/>
      <c r="G63" s="170"/>
      <c r="H63" s="185">
        <v>58</v>
      </c>
      <c r="I63" s="186" t="str">
        <f t="shared" si="1"/>
        <v/>
      </c>
      <c r="J63" s="186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</row>
    <row r="64" spans="1:13" x14ac:dyDescent="0.25">
      <c r="A64" s="102">
        <f t="shared" si="4"/>
        <v>0</v>
      </c>
      <c r="B64" s="36" t="str">
        <f t="shared" si="0"/>
        <v/>
      </c>
      <c r="C64" s="37"/>
      <c r="D64" s="37"/>
      <c r="E64" s="37"/>
      <c r="F64" s="37"/>
      <c r="G64" s="170"/>
      <c r="H64" s="182">
        <v>59</v>
      </c>
      <c r="I64" s="183" t="str">
        <f t="shared" si="1"/>
        <v/>
      </c>
      <c r="J64" s="183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</row>
    <row r="65" spans="1:13" x14ac:dyDescent="0.25">
      <c r="A65" s="102">
        <f t="shared" si="4"/>
        <v>0</v>
      </c>
      <c r="B65" s="42" t="str">
        <f t="shared" si="0"/>
        <v/>
      </c>
      <c r="C65" s="43"/>
      <c r="D65" s="43"/>
      <c r="E65" s="43"/>
      <c r="F65" s="43"/>
      <c r="G65" s="170"/>
      <c r="H65" s="185">
        <v>60</v>
      </c>
      <c r="I65" s="186" t="str">
        <f t="shared" si="1"/>
        <v/>
      </c>
      <c r="J65" s="186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</row>
    <row r="66" spans="1:13" x14ac:dyDescent="0.25">
      <c r="A66" s="102">
        <f t="shared" si="4"/>
        <v>0</v>
      </c>
      <c r="B66" s="36"/>
      <c r="G66" s="170"/>
      <c r="H66" s="182">
        <v>61</v>
      </c>
      <c r="I66" s="183" t="str">
        <f t="shared" si="1"/>
        <v/>
      </c>
      <c r="J66" s="183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</row>
    <row r="67" spans="1:13" x14ac:dyDescent="0.25">
      <c r="A67" s="102">
        <f t="shared" si="4"/>
        <v>0</v>
      </c>
      <c r="B67" s="42"/>
      <c r="G67" s="170"/>
      <c r="H67" s="182">
        <v>62</v>
      </c>
      <c r="I67" s="183" t="str">
        <f t="shared" si="1"/>
        <v/>
      </c>
      <c r="J67" s="183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</row>
    <row r="68" spans="1:13" x14ac:dyDescent="0.25">
      <c r="A68" s="102">
        <f t="shared" si="4"/>
        <v>0</v>
      </c>
      <c r="B68" s="36"/>
      <c r="G68" s="170"/>
      <c r="H68" s="182">
        <v>63</v>
      </c>
      <c r="I68" s="183" t="str">
        <f t="shared" si="1"/>
        <v/>
      </c>
      <c r="J68" s="183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</row>
    <row r="69" spans="1:13" x14ac:dyDescent="0.25">
      <c r="A69" s="102">
        <f t="shared" si="4"/>
        <v>0</v>
      </c>
      <c r="B69" s="42"/>
      <c r="G69" s="170"/>
      <c r="H69" s="182">
        <v>64</v>
      </c>
      <c r="I69" s="183" t="str">
        <f t="shared" si="1"/>
        <v/>
      </c>
      <c r="J69" s="183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</row>
    <row r="70" spans="1:13" x14ac:dyDescent="0.25">
      <c r="A70" s="102">
        <f t="shared" si="4"/>
        <v>0</v>
      </c>
      <c r="G70" s="170"/>
      <c r="H70" s="182">
        <v>65</v>
      </c>
      <c r="I70" s="183" t="str">
        <f t="shared" ref="I70:I133" si="6">IF(H70&lt;$H$2+1,($I$2-($I$2-1)*(LOG(H70)/LOG($H$2))),"")</f>
        <v/>
      </c>
      <c r="J70" s="183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102">
        <f t="shared" ref="A71:A79" si="9">M71</f>
        <v>0</v>
      </c>
      <c r="G71" s="170"/>
      <c r="H71" s="182">
        <v>66</v>
      </c>
      <c r="I71" s="183" t="str">
        <f t="shared" si="6"/>
        <v/>
      </c>
      <c r="J71" s="183" t="e">
        <f t="shared" ref="J71:J134" si="10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102">
        <f t="shared" si="9"/>
        <v>0</v>
      </c>
      <c r="G72" s="170"/>
      <c r="H72" s="182">
        <v>67</v>
      </c>
      <c r="I72" s="183" t="str">
        <f t="shared" si="6"/>
        <v/>
      </c>
      <c r="J72" s="183" t="e">
        <f t="shared" si="10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102">
        <f t="shared" si="9"/>
        <v>0</v>
      </c>
      <c r="G73" s="170"/>
      <c r="H73" s="182">
        <v>68</v>
      </c>
      <c r="I73" s="183" t="str">
        <f t="shared" si="6"/>
        <v/>
      </c>
      <c r="J73" s="183" t="e">
        <f t="shared" si="10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102">
        <f t="shared" si="9"/>
        <v>0</v>
      </c>
      <c r="G74" s="170"/>
      <c r="H74" s="182">
        <v>69</v>
      </c>
      <c r="I74" s="183" t="str">
        <f t="shared" si="6"/>
        <v/>
      </c>
      <c r="J74" s="183" t="e">
        <f t="shared" si="10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102">
        <f t="shared" si="9"/>
        <v>0</v>
      </c>
      <c r="G75" s="170"/>
      <c r="H75" s="182">
        <v>70</v>
      </c>
      <c r="I75" s="183" t="str">
        <f t="shared" si="6"/>
        <v/>
      </c>
      <c r="J75" s="183" t="e">
        <f t="shared" si="10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102">
        <f t="shared" si="9"/>
        <v>0</v>
      </c>
      <c r="G76" s="170"/>
      <c r="H76" s="182">
        <v>71</v>
      </c>
      <c r="I76" s="183" t="str">
        <f t="shared" si="6"/>
        <v/>
      </c>
      <c r="J76" s="183" t="e">
        <f t="shared" si="10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102">
        <f t="shared" si="9"/>
        <v>0</v>
      </c>
      <c r="G77" s="170"/>
      <c r="H77" s="182">
        <v>72</v>
      </c>
      <c r="I77" s="183" t="str">
        <f t="shared" si="6"/>
        <v/>
      </c>
      <c r="J77" s="183" t="e">
        <f t="shared" si="10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102">
        <f t="shared" si="9"/>
        <v>0</v>
      </c>
      <c r="G78" s="170"/>
      <c r="H78" s="182">
        <v>73</v>
      </c>
      <c r="I78" s="183" t="str">
        <f t="shared" si="6"/>
        <v/>
      </c>
      <c r="J78" s="183" t="e">
        <f t="shared" si="10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102">
        <f t="shared" si="9"/>
        <v>0</v>
      </c>
      <c r="G79" s="170"/>
      <c r="H79" s="182">
        <v>74</v>
      </c>
      <c r="I79" s="183" t="str">
        <f t="shared" si="6"/>
        <v/>
      </c>
      <c r="J79" s="183" t="e">
        <f t="shared" si="10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103"/>
      <c r="G80" s="170"/>
      <c r="H80" s="182">
        <v>75</v>
      </c>
      <c r="I80" s="183" t="str">
        <f t="shared" si="6"/>
        <v/>
      </c>
      <c r="J80" s="183" t="e">
        <f t="shared" si="10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199"/>
      <c r="G81" s="170"/>
      <c r="H81" s="182">
        <v>76</v>
      </c>
      <c r="I81" s="183" t="str">
        <f t="shared" si="6"/>
        <v/>
      </c>
      <c r="J81" s="183" t="e">
        <f t="shared" si="10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199"/>
      <c r="G82" s="170"/>
      <c r="H82" s="182">
        <v>77</v>
      </c>
      <c r="I82" s="183" t="str">
        <f t="shared" si="6"/>
        <v/>
      </c>
      <c r="J82" s="183" t="e">
        <f t="shared" si="10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199"/>
      <c r="G83" s="170"/>
      <c r="H83" s="182">
        <v>78</v>
      </c>
      <c r="I83" s="183" t="str">
        <f t="shared" si="6"/>
        <v/>
      </c>
      <c r="J83" s="183" t="e">
        <f t="shared" si="10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199"/>
      <c r="G84" s="170"/>
      <c r="H84" s="182">
        <v>79</v>
      </c>
      <c r="I84" s="183" t="str">
        <f t="shared" si="6"/>
        <v/>
      </c>
      <c r="J84" s="183" t="e">
        <f t="shared" si="10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199"/>
      <c r="G85" s="170"/>
      <c r="H85" s="182">
        <v>80</v>
      </c>
      <c r="I85" s="183" t="str">
        <f t="shared" si="6"/>
        <v/>
      </c>
      <c r="J85" s="183" t="e">
        <f t="shared" si="10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199"/>
      <c r="G86" s="170"/>
      <c r="H86" s="182">
        <v>81</v>
      </c>
      <c r="I86" s="183" t="str">
        <f t="shared" si="6"/>
        <v/>
      </c>
      <c r="J86" s="183" t="e">
        <f t="shared" si="10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199"/>
      <c r="G87" s="170"/>
      <c r="H87" s="182">
        <v>82</v>
      </c>
      <c r="I87" s="183" t="str">
        <f t="shared" si="6"/>
        <v/>
      </c>
      <c r="J87" s="183" t="e">
        <f t="shared" si="10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199"/>
      <c r="G88" s="170"/>
      <c r="H88" s="182">
        <v>83</v>
      </c>
      <c r="I88" s="183" t="str">
        <f t="shared" si="6"/>
        <v/>
      </c>
      <c r="J88" s="183" t="e">
        <f t="shared" si="10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199"/>
      <c r="G89" s="170"/>
      <c r="H89" s="182">
        <v>84</v>
      </c>
      <c r="I89" s="183" t="str">
        <f t="shared" si="6"/>
        <v/>
      </c>
      <c r="J89" s="183" t="e">
        <f t="shared" si="10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199"/>
      <c r="G90" s="170"/>
      <c r="H90" s="182">
        <v>85</v>
      </c>
      <c r="I90" s="183" t="str">
        <f t="shared" si="6"/>
        <v/>
      </c>
      <c r="J90" s="183" t="e">
        <f t="shared" si="10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199"/>
      <c r="G91" s="170"/>
      <c r="H91" s="182">
        <v>86</v>
      </c>
      <c r="I91" s="183" t="str">
        <f t="shared" si="6"/>
        <v/>
      </c>
      <c r="J91" s="183" t="e">
        <f t="shared" si="10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199"/>
      <c r="G92" s="170"/>
      <c r="H92" s="182">
        <v>87</v>
      </c>
      <c r="I92" s="183" t="str">
        <f t="shared" si="6"/>
        <v/>
      </c>
      <c r="J92" s="183" t="e">
        <f t="shared" si="10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199"/>
      <c r="G93" s="170"/>
      <c r="H93" s="182">
        <v>88</v>
      </c>
      <c r="I93" s="183" t="str">
        <f t="shared" si="6"/>
        <v/>
      </c>
      <c r="J93" s="183" t="e">
        <f t="shared" si="10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199"/>
      <c r="G94" s="170"/>
      <c r="H94" s="182">
        <v>89</v>
      </c>
      <c r="I94" s="183" t="str">
        <f t="shared" si="6"/>
        <v/>
      </c>
      <c r="J94" s="183" t="e">
        <f t="shared" si="10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199"/>
      <c r="G95" s="170"/>
      <c r="H95" s="182">
        <v>90</v>
      </c>
      <c r="I95" s="183" t="str">
        <f t="shared" si="6"/>
        <v/>
      </c>
      <c r="J95" s="183" t="e">
        <f t="shared" si="10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199"/>
      <c r="G96" s="170"/>
      <c r="H96" s="182">
        <v>91</v>
      </c>
      <c r="I96" s="183" t="str">
        <f t="shared" si="6"/>
        <v/>
      </c>
      <c r="J96" s="183" t="e">
        <f t="shared" si="10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199"/>
      <c r="G97" s="170"/>
      <c r="H97" s="182">
        <v>92</v>
      </c>
      <c r="I97" s="183" t="str">
        <f t="shared" si="6"/>
        <v/>
      </c>
      <c r="J97" s="183" t="e">
        <f t="shared" si="10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199"/>
      <c r="G98" s="170"/>
      <c r="H98" s="182">
        <v>93</v>
      </c>
      <c r="I98" s="183" t="str">
        <f t="shared" si="6"/>
        <v/>
      </c>
      <c r="J98" s="183" t="e">
        <f t="shared" si="10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199"/>
      <c r="G99" s="170"/>
      <c r="H99" s="182">
        <v>94</v>
      </c>
      <c r="I99" s="183" t="str">
        <f t="shared" si="6"/>
        <v/>
      </c>
      <c r="J99" s="183" t="e">
        <f t="shared" si="10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199"/>
      <c r="G100" s="170"/>
      <c r="H100" s="182">
        <v>95</v>
      </c>
      <c r="I100" s="183" t="str">
        <f t="shared" si="6"/>
        <v/>
      </c>
      <c r="J100" s="183" t="e">
        <f t="shared" si="10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3" t="e">
        <f t="shared" si="10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3" t="e">
        <f t="shared" si="10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3" t="e">
        <f t="shared" si="10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3" t="e">
        <f t="shared" si="10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3" t="e">
        <f t="shared" si="10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3" t="e">
        <f t="shared" si="10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3" t="e">
        <f t="shared" si="10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3" t="e">
        <f t="shared" si="10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3" t="e">
        <f t="shared" si="10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3" t="e">
        <f t="shared" si="10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3" t="e">
        <f t="shared" si="10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3" t="e">
        <f t="shared" si="10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3" t="e">
        <f t="shared" si="10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3" t="e">
        <f t="shared" si="10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3" t="e">
        <f t="shared" si="10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3" t="e">
        <f t="shared" si="10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3" t="e">
        <f t="shared" si="10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3" t="e">
        <f t="shared" si="10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3" t="e">
        <f t="shared" si="10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3" t="e">
        <f t="shared" si="10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3" t="e">
        <f t="shared" si="10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3" t="e">
        <f t="shared" si="10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3" t="e">
        <f t="shared" si="10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3" t="e">
        <f t="shared" si="10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3" t="e">
        <f t="shared" si="10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3" t="e">
        <f t="shared" si="10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3" t="e">
        <f t="shared" si="10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3" t="e">
        <f t="shared" si="10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3" t="e">
        <f t="shared" si="10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3" t="e">
        <f t="shared" si="10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3" t="e">
        <f t="shared" si="10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3" t="e">
        <f t="shared" si="10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3" t="e">
        <f t="shared" si="10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1">IF(H134&lt;$H$2+1,($I$2-($I$2-1)*(LOG(H134)/LOG($H$2))),"")</f>
        <v/>
      </c>
      <c r="J134" s="183" t="e">
        <f t="shared" si="10"/>
        <v>#NUM!</v>
      </c>
      <c r="K134" s="182" t="e">
        <f t="shared" ref="K134:K197" si="12">J134*$J$2</f>
        <v>#NUM!</v>
      </c>
      <c r="L134" s="182"/>
      <c r="M134" s="184">
        <f t="shared" ref="M134:M197" si="13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1"/>
        <v/>
      </c>
      <c r="J135" s="183" t="e">
        <f t="shared" ref="J135:J198" si="14">INT(LOG($H$2,2))-ROUNDUP(LOG(H135,2),0)+IF(OR($H$2=1,$H$2=2,$H$2=4,$H$2=8,$H$2=16,$H$2=32,$H$2=64,$H$2=128,$H$2=256),0,1)</f>
        <v>#NUM!</v>
      </c>
      <c r="K135" s="182" t="e">
        <f t="shared" si="12"/>
        <v>#NUM!</v>
      </c>
      <c r="L135" s="182"/>
      <c r="M135" s="184">
        <f t="shared" si="13"/>
        <v>0</v>
      </c>
    </row>
    <row r="136" spans="1:13" x14ac:dyDescent="0.25">
      <c r="A136" s="199"/>
      <c r="G136" s="170"/>
      <c r="H136" s="182">
        <v>131</v>
      </c>
      <c r="I136" s="183" t="str">
        <f t="shared" si="11"/>
        <v/>
      </c>
      <c r="J136" s="183" t="e">
        <f t="shared" si="14"/>
        <v>#NUM!</v>
      </c>
      <c r="K136" s="182" t="e">
        <f t="shared" si="12"/>
        <v>#NUM!</v>
      </c>
      <c r="L136" s="182"/>
      <c r="M136" s="184">
        <f t="shared" si="13"/>
        <v>0</v>
      </c>
    </row>
    <row r="137" spans="1:13" x14ac:dyDescent="0.25">
      <c r="A137" s="199"/>
      <c r="G137" s="170"/>
      <c r="H137" s="182">
        <v>132</v>
      </c>
      <c r="I137" s="183" t="str">
        <f t="shared" si="11"/>
        <v/>
      </c>
      <c r="J137" s="183" t="e">
        <f t="shared" si="14"/>
        <v>#NUM!</v>
      </c>
      <c r="K137" s="182" t="e">
        <f t="shared" si="12"/>
        <v>#NUM!</v>
      </c>
      <c r="L137" s="182"/>
      <c r="M137" s="184">
        <f t="shared" si="13"/>
        <v>0</v>
      </c>
    </row>
    <row r="138" spans="1:13" x14ac:dyDescent="0.25">
      <c r="A138" s="199"/>
      <c r="G138" s="170"/>
      <c r="H138" s="182">
        <v>133</v>
      </c>
      <c r="I138" s="183" t="str">
        <f t="shared" si="11"/>
        <v/>
      </c>
      <c r="J138" s="183" t="e">
        <f t="shared" si="14"/>
        <v>#NUM!</v>
      </c>
      <c r="K138" s="182" t="e">
        <f t="shared" si="12"/>
        <v>#NUM!</v>
      </c>
      <c r="L138" s="182"/>
      <c r="M138" s="184">
        <f t="shared" si="13"/>
        <v>0</v>
      </c>
    </row>
    <row r="139" spans="1:13" x14ac:dyDescent="0.25">
      <c r="A139" s="199"/>
      <c r="G139" s="170"/>
      <c r="H139" s="182">
        <v>134</v>
      </c>
      <c r="I139" s="183" t="str">
        <f t="shared" si="11"/>
        <v/>
      </c>
      <c r="J139" s="183" t="e">
        <f t="shared" si="14"/>
        <v>#NUM!</v>
      </c>
      <c r="K139" s="182" t="e">
        <f t="shared" si="12"/>
        <v>#NUM!</v>
      </c>
      <c r="L139" s="182"/>
      <c r="M139" s="184">
        <f t="shared" si="13"/>
        <v>0</v>
      </c>
    </row>
    <row r="140" spans="1:13" x14ac:dyDescent="0.25">
      <c r="A140" s="199"/>
      <c r="G140" s="170"/>
      <c r="H140" s="182">
        <v>135</v>
      </c>
      <c r="I140" s="183" t="str">
        <f t="shared" si="11"/>
        <v/>
      </c>
      <c r="J140" s="183" t="e">
        <f t="shared" si="14"/>
        <v>#NUM!</v>
      </c>
      <c r="K140" s="182" t="e">
        <f t="shared" si="12"/>
        <v>#NUM!</v>
      </c>
      <c r="L140" s="182"/>
      <c r="M140" s="184">
        <f t="shared" si="13"/>
        <v>0</v>
      </c>
    </row>
    <row r="141" spans="1:13" x14ac:dyDescent="0.25">
      <c r="A141" s="199"/>
      <c r="G141" s="170"/>
      <c r="H141" s="182">
        <v>136</v>
      </c>
      <c r="I141" s="183" t="str">
        <f t="shared" si="11"/>
        <v/>
      </c>
      <c r="J141" s="183" t="e">
        <f t="shared" si="14"/>
        <v>#NUM!</v>
      </c>
      <c r="K141" s="182" t="e">
        <f t="shared" si="12"/>
        <v>#NUM!</v>
      </c>
      <c r="L141" s="182"/>
      <c r="M141" s="184">
        <f t="shared" si="13"/>
        <v>0</v>
      </c>
    </row>
    <row r="142" spans="1:13" x14ac:dyDescent="0.25">
      <c r="A142" s="199"/>
      <c r="G142" s="170"/>
      <c r="H142" s="182">
        <v>137</v>
      </c>
      <c r="I142" s="183" t="str">
        <f t="shared" si="11"/>
        <v/>
      </c>
      <c r="J142" s="183" t="e">
        <f t="shared" si="14"/>
        <v>#NUM!</v>
      </c>
      <c r="K142" s="182" t="e">
        <f t="shared" si="12"/>
        <v>#NUM!</v>
      </c>
      <c r="L142" s="182"/>
      <c r="M142" s="184">
        <f t="shared" si="13"/>
        <v>0</v>
      </c>
    </row>
    <row r="143" spans="1:13" x14ac:dyDescent="0.25">
      <c r="A143" s="199"/>
      <c r="G143" s="170"/>
      <c r="H143" s="182">
        <v>138</v>
      </c>
      <c r="I143" s="183" t="str">
        <f t="shared" si="11"/>
        <v/>
      </c>
      <c r="J143" s="183" t="e">
        <f t="shared" si="14"/>
        <v>#NUM!</v>
      </c>
      <c r="K143" s="182" t="e">
        <f t="shared" si="12"/>
        <v>#NUM!</v>
      </c>
      <c r="L143" s="182"/>
      <c r="M143" s="184">
        <f t="shared" si="13"/>
        <v>0</v>
      </c>
    </row>
    <row r="144" spans="1:13" x14ac:dyDescent="0.25">
      <c r="A144" s="199"/>
      <c r="G144" s="170"/>
      <c r="H144" s="182">
        <v>139</v>
      </c>
      <c r="I144" s="183" t="str">
        <f t="shared" si="11"/>
        <v/>
      </c>
      <c r="J144" s="183" t="e">
        <f t="shared" si="14"/>
        <v>#NUM!</v>
      </c>
      <c r="K144" s="182" t="e">
        <f t="shared" si="12"/>
        <v>#NUM!</v>
      </c>
      <c r="L144" s="182"/>
      <c r="M144" s="184">
        <f t="shared" si="13"/>
        <v>0</v>
      </c>
    </row>
    <row r="145" spans="1:13" x14ac:dyDescent="0.25">
      <c r="A145" s="199"/>
      <c r="G145" s="170"/>
      <c r="H145" s="182">
        <v>140</v>
      </c>
      <c r="I145" s="183" t="str">
        <f t="shared" si="11"/>
        <v/>
      </c>
      <c r="J145" s="183" t="e">
        <f t="shared" si="14"/>
        <v>#NUM!</v>
      </c>
      <c r="K145" s="182" t="e">
        <f t="shared" si="12"/>
        <v>#NUM!</v>
      </c>
      <c r="L145" s="182"/>
      <c r="M145" s="184">
        <f t="shared" si="13"/>
        <v>0</v>
      </c>
    </row>
    <row r="146" spans="1:13" x14ac:dyDescent="0.25">
      <c r="A146" s="199"/>
      <c r="G146" s="170"/>
      <c r="H146" s="182">
        <v>141</v>
      </c>
      <c r="I146" s="183" t="str">
        <f t="shared" si="11"/>
        <v/>
      </c>
      <c r="J146" s="183" t="e">
        <f t="shared" si="14"/>
        <v>#NUM!</v>
      </c>
      <c r="K146" s="182" t="e">
        <f t="shared" si="12"/>
        <v>#NUM!</v>
      </c>
      <c r="L146" s="182"/>
      <c r="M146" s="184">
        <f t="shared" si="13"/>
        <v>0</v>
      </c>
    </row>
    <row r="147" spans="1:13" x14ac:dyDescent="0.25">
      <c r="A147" s="199"/>
      <c r="G147" s="170"/>
      <c r="H147" s="182">
        <v>142</v>
      </c>
      <c r="I147" s="183" t="str">
        <f t="shared" si="11"/>
        <v/>
      </c>
      <c r="J147" s="183" t="e">
        <f t="shared" si="14"/>
        <v>#NUM!</v>
      </c>
      <c r="K147" s="182" t="e">
        <f t="shared" si="12"/>
        <v>#NUM!</v>
      </c>
      <c r="L147" s="182"/>
      <c r="M147" s="184">
        <f t="shared" si="13"/>
        <v>0</v>
      </c>
    </row>
    <row r="148" spans="1:13" x14ac:dyDescent="0.25">
      <c r="A148" s="199"/>
      <c r="G148" s="170"/>
      <c r="H148" s="182">
        <v>143</v>
      </c>
      <c r="I148" s="183" t="str">
        <f t="shared" si="11"/>
        <v/>
      </c>
      <c r="J148" s="183" t="e">
        <f t="shared" si="14"/>
        <v>#NUM!</v>
      </c>
      <c r="K148" s="182" t="e">
        <f t="shared" si="12"/>
        <v>#NUM!</v>
      </c>
      <c r="L148" s="182"/>
      <c r="M148" s="184">
        <f t="shared" si="13"/>
        <v>0</v>
      </c>
    </row>
    <row r="149" spans="1:13" x14ac:dyDescent="0.25">
      <c r="A149" s="199"/>
      <c r="G149" s="170"/>
      <c r="H149" s="182">
        <v>144</v>
      </c>
      <c r="I149" s="183" t="str">
        <f t="shared" si="11"/>
        <v/>
      </c>
      <c r="J149" s="183" t="e">
        <f t="shared" si="14"/>
        <v>#NUM!</v>
      </c>
      <c r="K149" s="182" t="e">
        <f t="shared" si="12"/>
        <v>#NUM!</v>
      </c>
      <c r="L149" s="182"/>
      <c r="M149" s="184">
        <f t="shared" si="13"/>
        <v>0</v>
      </c>
    </row>
    <row r="150" spans="1:13" x14ac:dyDescent="0.25">
      <c r="A150" s="199"/>
      <c r="G150" s="170"/>
      <c r="H150" s="182">
        <v>145</v>
      </c>
      <c r="I150" s="183" t="str">
        <f t="shared" si="11"/>
        <v/>
      </c>
      <c r="J150" s="183" t="e">
        <f t="shared" si="14"/>
        <v>#NUM!</v>
      </c>
      <c r="K150" s="182" t="e">
        <f t="shared" si="12"/>
        <v>#NUM!</v>
      </c>
      <c r="L150" s="182"/>
      <c r="M150" s="184">
        <f t="shared" si="13"/>
        <v>0</v>
      </c>
    </row>
    <row r="151" spans="1:13" x14ac:dyDescent="0.25">
      <c r="A151" s="199"/>
      <c r="G151" s="170"/>
      <c r="H151" s="182">
        <v>146</v>
      </c>
      <c r="I151" s="183" t="str">
        <f t="shared" si="11"/>
        <v/>
      </c>
      <c r="J151" s="183" t="e">
        <f t="shared" si="14"/>
        <v>#NUM!</v>
      </c>
      <c r="K151" s="182" t="e">
        <f t="shared" si="12"/>
        <v>#NUM!</v>
      </c>
      <c r="L151" s="182"/>
      <c r="M151" s="184">
        <f t="shared" si="13"/>
        <v>0</v>
      </c>
    </row>
    <row r="152" spans="1:13" x14ac:dyDescent="0.25">
      <c r="A152" s="199"/>
      <c r="G152" s="170"/>
      <c r="H152" s="182">
        <v>147</v>
      </c>
      <c r="I152" s="183" t="str">
        <f t="shared" si="11"/>
        <v/>
      </c>
      <c r="J152" s="183" t="e">
        <f t="shared" si="14"/>
        <v>#NUM!</v>
      </c>
      <c r="K152" s="182" t="e">
        <f t="shared" si="12"/>
        <v>#NUM!</v>
      </c>
      <c r="L152" s="182"/>
      <c r="M152" s="184">
        <f t="shared" si="13"/>
        <v>0</v>
      </c>
    </row>
    <row r="153" spans="1:13" x14ac:dyDescent="0.25">
      <c r="A153" s="199"/>
      <c r="G153" s="170"/>
      <c r="H153" s="182">
        <v>148</v>
      </c>
      <c r="I153" s="183" t="str">
        <f t="shared" si="11"/>
        <v/>
      </c>
      <c r="J153" s="183" t="e">
        <f t="shared" si="14"/>
        <v>#NUM!</v>
      </c>
      <c r="K153" s="182" t="e">
        <f t="shared" si="12"/>
        <v>#NUM!</v>
      </c>
      <c r="L153" s="182"/>
      <c r="M153" s="184">
        <f t="shared" si="13"/>
        <v>0</v>
      </c>
    </row>
    <row r="154" spans="1:13" x14ac:dyDescent="0.25">
      <c r="A154" s="199"/>
      <c r="G154" s="170"/>
      <c r="H154" s="182">
        <v>149</v>
      </c>
      <c r="I154" s="183" t="str">
        <f t="shared" si="11"/>
        <v/>
      </c>
      <c r="J154" s="183" t="e">
        <f t="shared" si="14"/>
        <v>#NUM!</v>
      </c>
      <c r="K154" s="182" t="e">
        <f t="shared" si="12"/>
        <v>#NUM!</v>
      </c>
      <c r="L154" s="182"/>
      <c r="M154" s="184">
        <f t="shared" si="13"/>
        <v>0</v>
      </c>
    </row>
    <row r="155" spans="1:13" x14ac:dyDescent="0.25">
      <c r="A155" s="199"/>
      <c r="G155" s="170"/>
      <c r="H155" s="182">
        <v>150</v>
      </c>
      <c r="I155" s="183" t="str">
        <f t="shared" si="11"/>
        <v/>
      </c>
      <c r="J155" s="183" t="e">
        <f t="shared" si="14"/>
        <v>#NUM!</v>
      </c>
      <c r="K155" s="182" t="e">
        <f t="shared" si="12"/>
        <v>#NUM!</v>
      </c>
      <c r="L155" s="182"/>
      <c r="M155" s="184">
        <f t="shared" si="13"/>
        <v>0</v>
      </c>
    </row>
    <row r="156" spans="1:13" x14ac:dyDescent="0.25">
      <c r="A156" s="199"/>
      <c r="G156" s="170"/>
      <c r="H156" s="182">
        <v>151</v>
      </c>
      <c r="I156" s="183" t="str">
        <f t="shared" si="11"/>
        <v/>
      </c>
      <c r="J156" s="183" t="e">
        <f t="shared" si="14"/>
        <v>#NUM!</v>
      </c>
      <c r="K156" s="182" t="e">
        <f t="shared" si="12"/>
        <v>#NUM!</v>
      </c>
      <c r="L156" s="182"/>
      <c r="M156" s="184">
        <f t="shared" si="13"/>
        <v>0</v>
      </c>
    </row>
    <row r="157" spans="1:13" x14ac:dyDescent="0.25">
      <c r="A157" s="199"/>
      <c r="G157" s="170"/>
      <c r="H157" s="182">
        <v>152</v>
      </c>
      <c r="I157" s="183" t="str">
        <f t="shared" si="11"/>
        <v/>
      </c>
      <c r="J157" s="183" t="e">
        <f t="shared" si="14"/>
        <v>#NUM!</v>
      </c>
      <c r="K157" s="182" t="e">
        <f t="shared" si="12"/>
        <v>#NUM!</v>
      </c>
      <c r="L157" s="182"/>
      <c r="M157" s="184">
        <f t="shared" si="13"/>
        <v>0</v>
      </c>
    </row>
    <row r="158" spans="1:13" x14ac:dyDescent="0.25">
      <c r="A158" s="199"/>
      <c r="G158" s="170"/>
      <c r="H158" s="182">
        <v>153</v>
      </c>
      <c r="I158" s="183" t="str">
        <f t="shared" si="11"/>
        <v/>
      </c>
      <c r="J158" s="183" t="e">
        <f t="shared" si="14"/>
        <v>#NUM!</v>
      </c>
      <c r="K158" s="182" t="e">
        <f t="shared" si="12"/>
        <v>#NUM!</v>
      </c>
      <c r="L158" s="182"/>
      <c r="M158" s="184">
        <f t="shared" si="13"/>
        <v>0</v>
      </c>
    </row>
    <row r="159" spans="1:13" x14ac:dyDescent="0.25">
      <c r="A159" s="199"/>
      <c r="G159" s="170"/>
      <c r="H159" s="182">
        <v>154</v>
      </c>
      <c r="I159" s="183" t="str">
        <f t="shared" si="11"/>
        <v/>
      </c>
      <c r="J159" s="183" t="e">
        <f t="shared" si="14"/>
        <v>#NUM!</v>
      </c>
      <c r="K159" s="182" t="e">
        <f t="shared" si="12"/>
        <v>#NUM!</v>
      </c>
      <c r="L159" s="182"/>
      <c r="M159" s="184">
        <f t="shared" si="13"/>
        <v>0</v>
      </c>
    </row>
    <row r="160" spans="1:13" x14ac:dyDescent="0.25">
      <c r="A160" s="199"/>
      <c r="G160" s="170"/>
      <c r="H160" s="182">
        <v>155</v>
      </c>
      <c r="I160" s="183" t="str">
        <f t="shared" si="11"/>
        <v/>
      </c>
      <c r="J160" s="183" t="e">
        <f t="shared" si="14"/>
        <v>#NUM!</v>
      </c>
      <c r="K160" s="182" t="e">
        <f t="shared" si="12"/>
        <v>#NUM!</v>
      </c>
      <c r="L160" s="182"/>
      <c r="M160" s="184">
        <f t="shared" si="13"/>
        <v>0</v>
      </c>
    </row>
    <row r="161" spans="1:13" x14ac:dyDescent="0.25">
      <c r="A161" s="199"/>
      <c r="G161" s="170"/>
      <c r="H161" s="182">
        <v>156</v>
      </c>
      <c r="I161" s="183" t="str">
        <f t="shared" si="11"/>
        <v/>
      </c>
      <c r="J161" s="183" t="e">
        <f t="shared" si="14"/>
        <v>#NUM!</v>
      </c>
      <c r="K161" s="182" t="e">
        <f t="shared" si="12"/>
        <v>#NUM!</v>
      </c>
      <c r="L161" s="182"/>
      <c r="M161" s="184">
        <f t="shared" si="13"/>
        <v>0</v>
      </c>
    </row>
    <row r="162" spans="1:13" x14ac:dyDescent="0.25">
      <c r="A162" s="199"/>
      <c r="G162" s="170"/>
      <c r="H162" s="182">
        <v>157</v>
      </c>
      <c r="I162" s="183" t="str">
        <f t="shared" si="11"/>
        <v/>
      </c>
      <c r="J162" s="183" t="e">
        <f t="shared" si="14"/>
        <v>#NUM!</v>
      </c>
      <c r="K162" s="182" t="e">
        <f t="shared" si="12"/>
        <v>#NUM!</v>
      </c>
      <c r="L162" s="182"/>
      <c r="M162" s="184">
        <f t="shared" si="13"/>
        <v>0</v>
      </c>
    </row>
    <row r="163" spans="1:13" x14ac:dyDescent="0.25">
      <c r="A163" s="199"/>
      <c r="G163" s="170"/>
      <c r="H163" s="182">
        <v>158</v>
      </c>
      <c r="I163" s="183" t="str">
        <f t="shared" si="11"/>
        <v/>
      </c>
      <c r="J163" s="183" t="e">
        <f t="shared" si="14"/>
        <v>#NUM!</v>
      </c>
      <c r="K163" s="182" t="e">
        <f t="shared" si="12"/>
        <v>#NUM!</v>
      </c>
      <c r="L163" s="182"/>
      <c r="M163" s="184">
        <f t="shared" si="13"/>
        <v>0</v>
      </c>
    </row>
    <row r="164" spans="1:13" x14ac:dyDescent="0.25">
      <c r="A164" s="199"/>
      <c r="G164" s="170"/>
      <c r="H164" s="182">
        <v>159</v>
      </c>
      <c r="I164" s="183" t="str">
        <f t="shared" si="11"/>
        <v/>
      </c>
      <c r="J164" s="183" t="e">
        <f t="shared" si="14"/>
        <v>#NUM!</v>
      </c>
      <c r="K164" s="182" t="e">
        <f t="shared" si="12"/>
        <v>#NUM!</v>
      </c>
      <c r="L164" s="182"/>
      <c r="M164" s="184">
        <f t="shared" si="13"/>
        <v>0</v>
      </c>
    </row>
    <row r="165" spans="1:13" x14ac:dyDescent="0.25">
      <c r="A165" s="199"/>
      <c r="G165" s="170"/>
      <c r="H165" s="182">
        <v>160</v>
      </c>
      <c r="I165" s="183" t="str">
        <f t="shared" si="11"/>
        <v/>
      </c>
      <c r="J165" s="183" t="e">
        <f t="shared" si="14"/>
        <v>#NUM!</v>
      </c>
      <c r="K165" s="182" t="e">
        <f t="shared" si="12"/>
        <v>#NUM!</v>
      </c>
      <c r="L165" s="182"/>
      <c r="M165" s="184">
        <f t="shared" si="13"/>
        <v>0</v>
      </c>
    </row>
    <row r="166" spans="1:13" x14ac:dyDescent="0.25">
      <c r="A166" s="199"/>
      <c r="G166" s="170"/>
      <c r="H166" s="182">
        <v>161</v>
      </c>
      <c r="I166" s="183" t="str">
        <f t="shared" si="11"/>
        <v/>
      </c>
      <c r="J166" s="183" t="e">
        <f t="shared" si="14"/>
        <v>#NUM!</v>
      </c>
      <c r="K166" s="182" t="e">
        <f t="shared" si="12"/>
        <v>#NUM!</v>
      </c>
      <c r="L166" s="182"/>
      <c r="M166" s="184">
        <f t="shared" si="13"/>
        <v>0</v>
      </c>
    </row>
    <row r="167" spans="1:13" x14ac:dyDescent="0.25">
      <c r="A167" s="199"/>
      <c r="G167" s="170"/>
      <c r="H167" s="182">
        <v>162</v>
      </c>
      <c r="I167" s="183" t="str">
        <f t="shared" si="11"/>
        <v/>
      </c>
      <c r="J167" s="183" t="e">
        <f t="shared" si="14"/>
        <v>#NUM!</v>
      </c>
      <c r="K167" s="182" t="e">
        <f t="shared" si="12"/>
        <v>#NUM!</v>
      </c>
      <c r="L167" s="182"/>
      <c r="M167" s="184">
        <f t="shared" si="13"/>
        <v>0</v>
      </c>
    </row>
    <row r="168" spans="1:13" x14ac:dyDescent="0.25">
      <c r="A168" s="199"/>
      <c r="G168" s="170"/>
      <c r="H168" s="182">
        <v>163</v>
      </c>
      <c r="I168" s="183" t="str">
        <f t="shared" si="11"/>
        <v/>
      </c>
      <c r="J168" s="183" t="e">
        <f t="shared" si="14"/>
        <v>#NUM!</v>
      </c>
      <c r="K168" s="182" t="e">
        <f t="shared" si="12"/>
        <v>#NUM!</v>
      </c>
      <c r="L168" s="182"/>
      <c r="M168" s="184">
        <f t="shared" si="13"/>
        <v>0</v>
      </c>
    </row>
    <row r="169" spans="1:13" x14ac:dyDescent="0.25">
      <c r="A169" s="199"/>
      <c r="C169" s="198" t="s">
        <v>42</v>
      </c>
      <c r="G169" s="170"/>
      <c r="H169" s="182">
        <v>164</v>
      </c>
      <c r="I169" s="183" t="str">
        <f t="shared" si="11"/>
        <v/>
      </c>
      <c r="J169" s="183" t="e">
        <f t="shared" si="14"/>
        <v>#NUM!</v>
      </c>
      <c r="K169" s="182" t="e">
        <f t="shared" si="12"/>
        <v>#NUM!</v>
      </c>
      <c r="L169" s="182"/>
      <c r="M169" s="184">
        <f t="shared" si="13"/>
        <v>0</v>
      </c>
    </row>
    <row r="170" spans="1:13" x14ac:dyDescent="0.25">
      <c r="A170" s="199"/>
      <c r="G170" s="170"/>
      <c r="H170" s="182">
        <v>165</v>
      </c>
      <c r="I170" s="183" t="str">
        <f t="shared" si="11"/>
        <v/>
      </c>
      <c r="J170" s="183" t="e">
        <f t="shared" si="14"/>
        <v>#NUM!</v>
      </c>
      <c r="K170" s="182" t="e">
        <f t="shared" si="12"/>
        <v>#NUM!</v>
      </c>
      <c r="L170" s="182"/>
      <c r="M170" s="184">
        <f t="shared" si="13"/>
        <v>0</v>
      </c>
    </row>
    <row r="171" spans="1:13" x14ac:dyDescent="0.25">
      <c r="A171" s="199"/>
      <c r="G171" s="170"/>
      <c r="H171" s="182">
        <v>166</v>
      </c>
      <c r="I171" s="183" t="str">
        <f t="shared" si="11"/>
        <v/>
      </c>
      <c r="J171" s="183" t="e">
        <f t="shared" si="14"/>
        <v>#NUM!</v>
      </c>
      <c r="K171" s="182" t="e">
        <f t="shared" si="12"/>
        <v>#NUM!</v>
      </c>
      <c r="L171" s="182"/>
      <c r="M171" s="184">
        <f t="shared" si="13"/>
        <v>0</v>
      </c>
    </row>
    <row r="172" spans="1:13" x14ac:dyDescent="0.25">
      <c r="A172" s="199"/>
      <c r="G172" s="170"/>
      <c r="H172" s="182">
        <v>167</v>
      </c>
      <c r="I172" s="183" t="str">
        <f t="shared" si="11"/>
        <v/>
      </c>
      <c r="J172" s="183" t="e">
        <f t="shared" si="14"/>
        <v>#NUM!</v>
      </c>
      <c r="K172" s="182" t="e">
        <f t="shared" si="12"/>
        <v>#NUM!</v>
      </c>
      <c r="L172" s="182"/>
      <c r="M172" s="184">
        <f t="shared" si="13"/>
        <v>0</v>
      </c>
    </row>
    <row r="173" spans="1:13" x14ac:dyDescent="0.25">
      <c r="A173" s="199"/>
      <c r="G173" s="170"/>
      <c r="H173" s="182">
        <v>168</v>
      </c>
      <c r="I173" s="183" t="str">
        <f t="shared" si="11"/>
        <v/>
      </c>
      <c r="J173" s="183" t="e">
        <f t="shared" si="14"/>
        <v>#NUM!</v>
      </c>
      <c r="K173" s="182" t="e">
        <f t="shared" si="12"/>
        <v>#NUM!</v>
      </c>
      <c r="L173" s="182"/>
      <c r="M173" s="184">
        <f t="shared" si="13"/>
        <v>0</v>
      </c>
    </row>
    <row r="174" spans="1:13" x14ac:dyDescent="0.25">
      <c r="A174" s="199"/>
      <c r="G174" s="170"/>
      <c r="H174" s="182">
        <v>169</v>
      </c>
      <c r="I174" s="183" t="str">
        <f t="shared" si="11"/>
        <v/>
      </c>
      <c r="J174" s="183" t="e">
        <f t="shared" si="14"/>
        <v>#NUM!</v>
      </c>
      <c r="K174" s="182" t="e">
        <f t="shared" si="12"/>
        <v>#NUM!</v>
      </c>
      <c r="L174" s="182"/>
      <c r="M174" s="184">
        <f t="shared" si="13"/>
        <v>0</v>
      </c>
    </row>
    <row r="175" spans="1:13" x14ac:dyDescent="0.25">
      <c r="A175" s="199"/>
      <c r="G175" s="170"/>
      <c r="H175" s="182">
        <v>170</v>
      </c>
      <c r="I175" s="183" t="str">
        <f t="shared" si="11"/>
        <v/>
      </c>
      <c r="J175" s="183" t="e">
        <f t="shared" si="14"/>
        <v>#NUM!</v>
      </c>
      <c r="K175" s="182" t="e">
        <f t="shared" si="12"/>
        <v>#NUM!</v>
      </c>
      <c r="L175" s="182"/>
      <c r="M175" s="184">
        <f t="shared" si="13"/>
        <v>0</v>
      </c>
    </row>
    <row r="176" spans="1:13" x14ac:dyDescent="0.25">
      <c r="A176" s="199"/>
      <c r="G176" s="170"/>
      <c r="H176" s="182">
        <v>171</v>
      </c>
      <c r="I176" s="183" t="str">
        <f t="shared" si="11"/>
        <v/>
      </c>
      <c r="J176" s="183" t="e">
        <f t="shared" si="14"/>
        <v>#NUM!</v>
      </c>
      <c r="K176" s="182" t="e">
        <f t="shared" si="12"/>
        <v>#NUM!</v>
      </c>
      <c r="L176" s="182"/>
      <c r="M176" s="184">
        <f t="shared" si="13"/>
        <v>0</v>
      </c>
    </row>
    <row r="177" spans="1:13" x14ac:dyDescent="0.25">
      <c r="A177" s="199"/>
      <c r="G177" s="170"/>
      <c r="H177" s="182">
        <v>172</v>
      </c>
      <c r="I177" s="183" t="str">
        <f t="shared" si="11"/>
        <v/>
      </c>
      <c r="J177" s="183" t="e">
        <f t="shared" si="14"/>
        <v>#NUM!</v>
      </c>
      <c r="K177" s="182" t="e">
        <f t="shared" si="12"/>
        <v>#NUM!</v>
      </c>
      <c r="L177" s="182"/>
      <c r="M177" s="184">
        <f t="shared" si="13"/>
        <v>0</v>
      </c>
    </row>
    <row r="178" spans="1:13" x14ac:dyDescent="0.25">
      <c r="A178" s="199"/>
      <c r="G178" s="170"/>
      <c r="H178" s="182">
        <v>173</v>
      </c>
      <c r="I178" s="183" t="str">
        <f t="shared" si="11"/>
        <v/>
      </c>
      <c r="J178" s="183" t="e">
        <f t="shared" si="14"/>
        <v>#NUM!</v>
      </c>
      <c r="K178" s="182" t="e">
        <f t="shared" si="12"/>
        <v>#NUM!</v>
      </c>
      <c r="L178" s="182"/>
      <c r="M178" s="184">
        <f t="shared" si="13"/>
        <v>0</v>
      </c>
    </row>
    <row r="179" spans="1:13" x14ac:dyDescent="0.25">
      <c r="A179" s="199"/>
      <c r="G179" s="170"/>
      <c r="H179" s="182">
        <v>174</v>
      </c>
      <c r="I179" s="183" t="str">
        <f t="shared" si="11"/>
        <v/>
      </c>
      <c r="J179" s="183" t="e">
        <f t="shared" si="14"/>
        <v>#NUM!</v>
      </c>
      <c r="K179" s="182" t="e">
        <f t="shared" si="12"/>
        <v>#NUM!</v>
      </c>
      <c r="L179" s="182"/>
      <c r="M179" s="184">
        <f t="shared" si="13"/>
        <v>0</v>
      </c>
    </row>
    <row r="180" spans="1:13" x14ac:dyDescent="0.25">
      <c r="A180" s="199"/>
      <c r="G180" s="170"/>
      <c r="H180" s="182">
        <v>175</v>
      </c>
      <c r="I180" s="183" t="str">
        <f t="shared" si="11"/>
        <v/>
      </c>
      <c r="J180" s="183" t="e">
        <f t="shared" si="14"/>
        <v>#NUM!</v>
      </c>
      <c r="K180" s="182" t="e">
        <f t="shared" si="12"/>
        <v>#NUM!</v>
      </c>
      <c r="L180" s="182"/>
      <c r="M180" s="184">
        <f t="shared" si="13"/>
        <v>0</v>
      </c>
    </row>
    <row r="181" spans="1:13" x14ac:dyDescent="0.25">
      <c r="A181" s="199"/>
      <c r="G181" s="170"/>
      <c r="H181" s="182">
        <v>176</v>
      </c>
      <c r="I181" s="183" t="str">
        <f t="shared" si="11"/>
        <v/>
      </c>
      <c r="J181" s="183" t="e">
        <f t="shared" si="14"/>
        <v>#NUM!</v>
      </c>
      <c r="K181" s="182" t="e">
        <f t="shared" si="12"/>
        <v>#NUM!</v>
      </c>
      <c r="L181" s="182"/>
      <c r="M181" s="184">
        <f t="shared" si="13"/>
        <v>0</v>
      </c>
    </row>
    <row r="182" spans="1:13" x14ac:dyDescent="0.25">
      <c r="A182" s="199"/>
      <c r="G182" s="170"/>
      <c r="H182" s="182">
        <v>177</v>
      </c>
      <c r="I182" s="183" t="str">
        <f t="shared" si="11"/>
        <v/>
      </c>
      <c r="J182" s="183" t="e">
        <f t="shared" si="14"/>
        <v>#NUM!</v>
      </c>
      <c r="K182" s="182" t="e">
        <f t="shared" si="12"/>
        <v>#NUM!</v>
      </c>
      <c r="L182" s="182"/>
      <c r="M182" s="184">
        <f t="shared" si="13"/>
        <v>0</v>
      </c>
    </row>
    <row r="183" spans="1:13" x14ac:dyDescent="0.25">
      <c r="A183" s="199"/>
      <c r="G183" s="170"/>
      <c r="H183" s="182">
        <v>178</v>
      </c>
      <c r="I183" s="183" t="str">
        <f t="shared" si="11"/>
        <v/>
      </c>
      <c r="J183" s="183" t="e">
        <f t="shared" si="14"/>
        <v>#NUM!</v>
      </c>
      <c r="K183" s="182" t="e">
        <f t="shared" si="12"/>
        <v>#NUM!</v>
      </c>
      <c r="L183" s="182"/>
      <c r="M183" s="184">
        <f t="shared" si="13"/>
        <v>0</v>
      </c>
    </row>
    <row r="184" spans="1:13" x14ac:dyDescent="0.25">
      <c r="A184" s="199"/>
      <c r="G184" s="170"/>
      <c r="H184" s="182">
        <v>179</v>
      </c>
      <c r="I184" s="183" t="str">
        <f t="shared" si="11"/>
        <v/>
      </c>
      <c r="J184" s="183" t="e">
        <f t="shared" si="14"/>
        <v>#NUM!</v>
      </c>
      <c r="K184" s="182" t="e">
        <f t="shared" si="12"/>
        <v>#NUM!</v>
      </c>
      <c r="L184" s="182"/>
      <c r="M184" s="184">
        <f t="shared" si="13"/>
        <v>0</v>
      </c>
    </row>
    <row r="185" spans="1:13" x14ac:dyDescent="0.25">
      <c r="A185" s="199"/>
      <c r="G185" s="170"/>
      <c r="H185" s="182">
        <v>180</v>
      </c>
      <c r="I185" s="183" t="str">
        <f t="shared" si="11"/>
        <v/>
      </c>
      <c r="J185" s="183" t="e">
        <f t="shared" si="14"/>
        <v>#NUM!</v>
      </c>
      <c r="K185" s="182" t="e">
        <f t="shared" si="12"/>
        <v>#NUM!</v>
      </c>
      <c r="L185" s="182"/>
      <c r="M185" s="184">
        <f t="shared" si="13"/>
        <v>0</v>
      </c>
    </row>
    <row r="186" spans="1:13" x14ac:dyDescent="0.25">
      <c r="A186" s="199"/>
      <c r="G186" s="170"/>
      <c r="H186" s="182">
        <v>181</v>
      </c>
      <c r="I186" s="183" t="str">
        <f t="shared" si="11"/>
        <v/>
      </c>
      <c r="J186" s="183" t="e">
        <f t="shared" si="14"/>
        <v>#NUM!</v>
      </c>
      <c r="K186" s="182" t="e">
        <f t="shared" si="12"/>
        <v>#NUM!</v>
      </c>
      <c r="L186" s="182"/>
      <c r="M186" s="184">
        <f t="shared" si="13"/>
        <v>0</v>
      </c>
    </row>
    <row r="187" spans="1:13" x14ac:dyDescent="0.25">
      <c r="A187" s="199"/>
      <c r="G187" s="170"/>
      <c r="H187" s="182">
        <v>182</v>
      </c>
      <c r="I187" s="183" t="str">
        <f t="shared" si="11"/>
        <v/>
      </c>
      <c r="J187" s="183" t="e">
        <f t="shared" si="14"/>
        <v>#NUM!</v>
      </c>
      <c r="K187" s="182" t="e">
        <f t="shared" si="12"/>
        <v>#NUM!</v>
      </c>
      <c r="L187" s="182"/>
      <c r="M187" s="184">
        <f t="shared" si="13"/>
        <v>0</v>
      </c>
    </row>
    <row r="188" spans="1:13" x14ac:dyDescent="0.25">
      <c r="A188" s="199"/>
      <c r="G188" s="170"/>
      <c r="H188" s="182">
        <v>183</v>
      </c>
      <c r="I188" s="183" t="str">
        <f t="shared" si="11"/>
        <v/>
      </c>
      <c r="J188" s="183" t="e">
        <f t="shared" si="14"/>
        <v>#NUM!</v>
      </c>
      <c r="K188" s="182" t="e">
        <f t="shared" si="12"/>
        <v>#NUM!</v>
      </c>
      <c r="L188" s="182"/>
      <c r="M188" s="184">
        <f t="shared" si="13"/>
        <v>0</v>
      </c>
    </row>
    <row r="189" spans="1:13" x14ac:dyDescent="0.25">
      <c r="A189" s="199"/>
      <c r="G189" s="170"/>
      <c r="H189" s="182">
        <v>184</v>
      </c>
      <c r="I189" s="183" t="str">
        <f t="shared" si="11"/>
        <v/>
      </c>
      <c r="J189" s="183" t="e">
        <f t="shared" si="14"/>
        <v>#NUM!</v>
      </c>
      <c r="K189" s="182" t="e">
        <f t="shared" si="12"/>
        <v>#NUM!</v>
      </c>
      <c r="L189" s="182"/>
      <c r="M189" s="184">
        <f t="shared" si="13"/>
        <v>0</v>
      </c>
    </row>
    <row r="190" spans="1:13" x14ac:dyDescent="0.25">
      <c r="A190" s="199"/>
      <c r="G190" s="170"/>
      <c r="H190" s="182">
        <v>185</v>
      </c>
      <c r="I190" s="183" t="str">
        <f t="shared" si="11"/>
        <v/>
      </c>
      <c r="J190" s="183" t="e">
        <f t="shared" si="14"/>
        <v>#NUM!</v>
      </c>
      <c r="K190" s="182" t="e">
        <f t="shared" si="12"/>
        <v>#NUM!</v>
      </c>
      <c r="L190" s="182"/>
      <c r="M190" s="184">
        <f t="shared" si="13"/>
        <v>0</v>
      </c>
    </row>
    <row r="191" spans="1:13" x14ac:dyDescent="0.25">
      <c r="A191" s="199"/>
      <c r="G191" s="170"/>
      <c r="H191" s="182">
        <v>186</v>
      </c>
      <c r="I191" s="183" t="str">
        <f t="shared" si="11"/>
        <v/>
      </c>
      <c r="J191" s="183" t="e">
        <f t="shared" si="14"/>
        <v>#NUM!</v>
      </c>
      <c r="K191" s="182" t="e">
        <f t="shared" si="12"/>
        <v>#NUM!</v>
      </c>
      <c r="L191" s="182"/>
      <c r="M191" s="184">
        <f t="shared" si="13"/>
        <v>0</v>
      </c>
    </row>
    <row r="192" spans="1:13" x14ac:dyDescent="0.25">
      <c r="A192" s="199"/>
      <c r="G192" s="170"/>
      <c r="H192" s="182">
        <v>187</v>
      </c>
      <c r="I192" s="183" t="str">
        <f t="shared" si="11"/>
        <v/>
      </c>
      <c r="J192" s="183" t="e">
        <f t="shared" si="14"/>
        <v>#NUM!</v>
      </c>
      <c r="K192" s="182" t="e">
        <f t="shared" si="12"/>
        <v>#NUM!</v>
      </c>
      <c r="L192" s="182"/>
      <c r="M192" s="184">
        <f t="shared" si="13"/>
        <v>0</v>
      </c>
    </row>
    <row r="193" spans="1:13" x14ac:dyDescent="0.25">
      <c r="A193" s="199"/>
      <c r="G193" s="170"/>
      <c r="H193" s="182">
        <v>188</v>
      </c>
      <c r="I193" s="183" t="str">
        <f t="shared" si="11"/>
        <v/>
      </c>
      <c r="J193" s="183" t="e">
        <f t="shared" si="14"/>
        <v>#NUM!</v>
      </c>
      <c r="K193" s="182" t="e">
        <f t="shared" si="12"/>
        <v>#NUM!</v>
      </c>
      <c r="L193" s="182"/>
      <c r="M193" s="184">
        <f t="shared" si="13"/>
        <v>0</v>
      </c>
    </row>
    <row r="194" spans="1:13" x14ac:dyDescent="0.25">
      <c r="A194" s="199"/>
      <c r="G194" s="170"/>
      <c r="H194" s="182">
        <v>189</v>
      </c>
      <c r="I194" s="183" t="str">
        <f t="shared" si="11"/>
        <v/>
      </c>
      <c r="J194" s="183" t="e">
        <f t="shared" si="14"/>
        <v>#NUM!</v>
      </c>
      <c r="K194" s="182" t="e">
        <f t="shared" si="12"/>
        <v>#NUM!</v>
      </c>
      <c r="L194" s="182"/>
      <c r="M194" s="184">
        <f t="shared" si="13"/>
        <v>0</v>
      </c>
    </row>
    <row r="195" spans="1:13" x14ac:dyDescent="0.25">
      <c r="A195" s="199"/>
      <c r="G195" s="170"/>
      <c r="H195" s="182">
        <v>190</v>
      </c>
      <c r="I195" s="183" t="str">
        <f t="shared" si="11"/>
        <v/>
      </c>
      <c r="J195" s="183" t="e">
        <f t="shared" si="14"/>
        <v>#NUM!</v>
      </c>
      <c r="K195" s="182" t="e">
        <f t="shared" si="12"/>
        <v>#NUM!</v>
      </c>
      <c r="L195" s="182"/>
      <c r="M195" s="184">
        <f t="shared" si="13"/>
        <v>0</v>
      </c>
    </row>
    <row r="196" spans="1:13" x14ac:dyDescent="0.25">
      <c r="A196" s="199"/>
      <c r="G196" s="170"/>
      <c r="H196" s="182">
        <v>191</v>
      </c>
      <c r="I196" s="183" t="str">
        <f t="shared" si="11"/>
        <v/>
      </c>
      <c r="J196" s="183" t="e">
        <f t="shared" si="14"/>
        <v>#NUM!</v>
      </c>
      <c r="K196" s="182" t="e">
        <f t="shared" si="12"/>
        <v>#NUM!</v>
      </c>
      <c r="L196" s="182"/>
      <c r="M196" s="184">
        <f t="shared" si="13"/>
        <v>0</v>
      </c>
    </row>
    <row r="197" spans="1:13" x14ac:dyDescent="0.25">
      <c r="A197" s="199"/>
      <c r="G197" s="170"/>
      <c r="H197" s="182">
        <v>192</v>
      </c>
      <c r="I197" s="183" t="str">
        <f t="shared" si="11"/>
        <v/>
      </c>
      <c r="J197" s="183" t="e">
        <f t="shared" si="14"/>
        <v>#NUM!</v>
      </c>
      <c r="K197" s="182" t="e">
        <f t="shared" si="12"/>
        <v>#NUM!</v>
      </c>
      <c r="L197" s="182"/>
      <c r="M197" s="184">
        <f t="shared" si="13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5">IF(H198&lt;$H$2+1,($I$2-($I$2-1)*(LOG(H198)/LOG($H$2))),"")</f>
        <v/>
      </c>
      <c r="J198" s="183" t="e">
        <f t="shared" si="14"/>
        <v>#NUM!</v>
      </c>
      <c r="K198" s="182" t="e">
        <f t="shared" ref="K198:K261" si="16">J198*$J$2</f>
        <v>#NUM!</v>
      </c>
      <c r="L198" s="182"/>
      <c r="M198" s="184">
        <f t="shared" ref="M198:M261" si="17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5"/>
        <v/>
      </c>
      <c r="J199" s="183" t="e">
        <f t="shared" ref="J199:J262" si="18">INT(LOG($H$2,2))-ROUNDUP(LOG(H199,2),0)+IF(OR($H$2=1,$H$2=2,$H$2=4,$H$2=8,$H$2=16,$H$2=32,$H$2=64,$H$2=128,$H$2=256),0,1)</f>
        <v>#NUM!</v>
      </c>
      <c r="K199" s="182" t="e">
        <f t="shared" si="16"/>
        <v>#NUM!</v>
      </c>
      <c r="L199" s="182"/>
      <c r="M199" s="184">
        <f t="shared" si="17"/>
        <v>0</v>
      </c>
    </row>
    <row r="200" spans="1:13" x14ac:dyDescent="0.25">
      <c r="A200" s="199"/>
      <c r="G200" s="170"/>
      <c r="H200" s="182">
        <v>195</v>
      </c>
      <c r="I200" s="183" t="str">
        <f t="shared" si="15"/>
        <v/>
      </c>
      <c r="J200" s="183" t="e">
        <f t="shared" si="18"/>
        <v>#NUM!</v>
      </c>
      <c r="K200" s="182" t="e">
        <f t="shared" si="16"/>
        <v>#NUM!</v>
      </c>
      <c r="L200" s="182"/>
      <c r="M200" s="184">
        <f t="shared" si="17"/>
        <v>0</v>
      </c>
    </row>
    <row r="201" spans="1:13" x14ac:dyDescent="0.25">
      <c r="A201" s="199"/>
      <c r="G201" s="170"/>
      <c r="H201" s="182">
        <v>196</v>
      </c>
      <c r="I201" s="183" t="str">
        <f t="shared" si="15"/>
        <v/>
      </c>
      <c r="J201" s="183" t="e">
        <f t="shared" si="18"/>
        <v>#NUM!</v>
      </c>
      <c r="K201" s="182" t="e">
        <f t="shared" si="16"/>
        <v>#NUM!</v>
      </c>
      <c r="L201" s="182"/>
      <c r="M201" s="184">
        <f t="shared" si="17"/>
        <v>0</v>
      </c>
    </row>
    <row r="202" spans="1:13" x14ac:dyDescent="0.25">
      <c r="A202" s="199"/>
      <c r="G202" s="170"/>
      <c r="H202" s="182">
        <v>197</v>
      </c>
      <c r="I202" s="183" t="str">
        <f t="shared" si="15"/>
        <v/>
      </c>
      <c r="J202" s="183" t="e">
        <f t="shared" si="18"/>
        <v>#NUM!</v>
      </c>
      <c r="K202" s="182" t="e">
        <f t="shared" si="16"/>
        <v>#NUM!</v>
      </c>
      <c r="L202" s="182"/>
      <c r="M202" s="184">
        <f t="shared" si="17"/>
        <v>0</v>
      </c>
    </row>
    <row r="203" spans="1:13" x14ac:dyDescent="0.25">
      <c r="A203" s="199"/>
      <c r="G203" s="170"/>
      <c r="H203" s="182">
        <v>198</v>
      </c>
      <c r="I203" s="183" t="str">
        <f t="shared" si="15"/>
        <v/>
      </c>
      <c r="J203" s="183" t="e">
        <f t="shared" si="18"/>
        <v>#NUM!</v>
      </c>
      <c r="K203" s="182" t="e">
        <f t="shared" si="16"/>
        <v>#NUM!</v>
      </c>
      <c r="L203" s="182"/>
      <c r="M203" s="184">
        <f t="shared" si="17"/>
        <v>0</v>
      </c>
    </row>
    <row r="204" spans="1:13" x14ac:dyDescent="0.25">
      <c r="A204" s="199"/>
      <c r="G204" s="170"/>
      <c r="H204" s="182">
        <v>199</v>
      </c>
      <c r="I204" s="183" t="str">
        <f t="shared" si="15"/>
        <v/>
      </c>
      <c r="J204" s="183" t="e">
        <f t="shared" si="18"/>
        <v>#NUM!</v>
      </c>
      <c r="K204" s="182" t="e">
        <f t="shared" si="16"/>
        <v>#NUM!</v>
      </c>
      <c r="L204" s="182"/>
      <c r="M204" s="184">
        <f t="shared" si="17"/>
        <v>0</v>
      </c>
    </row>
    <row r="205" spans="1:13" x14ac:dyDescent="0.25">
      <c r="A205" s="199"/>
      <c r="G205" s="170"/>
      <c r="H205" s="182">
        <v>200</v>
      </c>
      <c r="I205" s="183" t="str">
        <f t="shared" si="15"/>
        <v/>
      </c>
      <c r="J205" s="183" t="e">
        <f t="shared" si="18"/>
        <v>#NUM!</v>
      </c>
      <c r="K205" s="182" t="e">
        <f t="shared" si="16"/>
        <v>#NUM!</v>
      </c>
      <c r="L205" s="182"/>
      <c r="M205" s="184">
        <f t="shared" si="17"/>
        <v>0</v>
      </c>
    </row>
    <row r="206" spans="1:13" x14ac:dyDescent="0.25">
      <c r="A206" s="199"/>
      <c r="G206" s="170"/>
      <c r="H206" s="182">
        <v>201</v>
      </c>
      <c r="I206" s="183" t="str">
        <f t="shared" si="15"/>
        <v/>
      </c>
      <c r="J206" s="183" t="e">
        <f t="shared" si="18"/>
        <v>#NUM!</v>
      </c>
      <c r="K206" s="182" t="e">
        <f t="shared" si="16"/>
        <v>#NUM!</v>
      </c>
      <c r="L206" s="182"/>
      <c r="M206" s="184">
        <f t="shared" si="17"/>
        <v>0</v>
      </c>
    </row>
    <row r="207" spans="1:13" x14ac:dyDescent="0.25">
      <c r="A207" s="199"/>
      <c r="G207" s="170"/>
      <c r="H207" s="182">
        <v>202</v>
      </c>
      <c r="I207" s="183" t="str">
        <f t="shared" si="15"/>
        <v/>
      </c>
      <c r="J207" s="183" t="e">
        <f t="shared" si="18"/>
        <v>#NUM!</v>
      </c>
      <c r="K207" s="182" t="e">
        <f t="shared" si="16"/>
        <v>#NUM!</v>
      </c>
      <c r="L207" s="182"/>
      <c r="M207" s="184">
        <f t="shared" si="17"/>
        <v>0</v>
      </c>
    </row>
    <row r="208" spans="1:13" x14ac:dyDescent="0.25">
      <c r="A208" s="199"/>
      <c r="G208" s="170"/>
      <c r="H208" s="182">
        <v>203</v>
      </c>
      <c r="I208" s="183" t="str">
        <f t="shared" si="15"/>
        <v/>
      </c>
      <c r="J208" s="183" t="e">
        <f t="shared" si="18"/>
        <v>#NUM!</v>
      </c>
      <c r="K208" s="182" t="e">
        <f t="shared" si="16"/>
        <v>#NUM!</v>
      </c>
      <c r="L208" s="182"/>
      <c r="M208" s="184">
        <f t="shared" si="17"/>
        <v>0</v>
      </c>
    </row>
    <row r="209" spans="1:13" x14ac:dyDescent="0.25">
      <c r="A209" s="199"/>
      <c r="G209" s="170"/>
      <c r="H209" s="182">
        <v>204</v>
      </c>
      <c r="I209" s="183" t="str">
        <f t="shared" si="15"/>
        <v/>
      </c>
      <c r="J209" s="183" t="e">
        <f t="shared" si="18"/>
        <v>#NUM!</v>
      </c>
      <c r="K209" s="182" t="e">
        <f t="shared" si="16"/>
        <v>#NUM!</v>
      </c>
      <c r="L209" s="182"/>
      <c r="M209" s="184">
        <f t="shared" si="17"/>
        <v>0</v>
      </c>
    </row>
    <row r="210" spans="1:13" x14ac:dyDescent="0.25">
      <c r="A210" s="199"/>
      <c r="G210" s="170"/>
      <c r="H210" s="182">
        <v>205</v>
      </c>
      <c r="I210" s="183" t="str">
        <f t="shared" si="15"/>
        <v/>
      </c>
      <c r="J210" s="183" t="e">
        <f t="shared" si="18"/>
        <v>#NUM!</v>
      </c>
      <c r="K210" s="182" t="e">
        <f t="shared" si="16"/>
        <v>#NUM!</v>
      </c>
      <c r="L210" s="182"/>
      <c r="M210" s="184">
        <f t="shared" si="17"/>
        <v>0</v>
      </c>
    </row>
    <row r="211" spans="1:13" x14ac:dyDescent="0.25">
      <c r="A211" s="199"/>
      <c r="G211" s="170"/>
      <c r="H211" s="182">
        <v>206</v>
      </c>
      <c r="I211" s="183" t="str">
        <f t="shared" si="15"/>
        <v/>
      </c>
      <c r="J211" s="183" t="e">
        <f t="shared" si="18"/>
        <v>#NUM!</v>
      </c>
      <c r="K211" s="182" t="e">
        <f t="shared" si="16"/>
        <v>#NUM!</v>
      </c>
      <c r="L211" s="182"/>
      <c r="M211" s="184">
        <f t="shared" si="17"/>
        <v>0</v>
      </c>
    </row>
    <row r="212" spans="1:13" x14ac:dyDescent="0.25">
      <c r="A212" s="199"/>
      <c r="G212" s="170"/>
      <c r="H212" s="182">
        <v>207</v>
      </c>
      <c r="I212" s="183" t="str">
        <f t="shared" si="15"/>
        <v/>
      </c>
      <c r="J212" s="183" t="e">
        <f t="shared" si="18"/>
        <v>#NUM!</v>
      </c>
      <c r="K212" s="182" t="e">
        <f t="shared" si="16"/>
        <v>#NUM!</v>
      </c>
      <c r="L212" s="182"/>
      <c r="M212" s="184">
        <f t="shared" si="17"/>
        <v>0</v>
      </c>
    </row>
    <row r="213" spans="1:13" x14ac:dyDescent="0.25">
      <c r="A213" s="199"/>
      <c r="G213" s="170"/>
      <c r="H213" s="182">
        <v>208</v>
      </c>
      <c r="I213" s="183" t="str">
        <f t="shared" si="15"/>
        <v/>
      </c>
      <c r="J213" s="183" t="e">
        <f t="shared" si="18"/>
        <v>#NUM!</v>
      </c>
      <c r="K213" s="182" t="e">
        <f t="shared" si="16"/>
        <v>#NUM!</v>
      </c>
      <c r="L213" s="182"/>
      <c r="M213" s="184">
        <f t="shared" si="17"/>
        <v>0</v>
      </c>
    </row>
    <row r="214" spans="1:13" x14ac:dyDescent="0.25">
      <c r="A214" s="199"/>
      <c r="G214" s="170"/>
      <c r="H214" s="182">
        <v>209</v>
      </c>
      <c r="I214" s="183" t="str">
        <f t="shared" si="15"/>
        <v/>
      </c>
      <c r="J214" s="183" t="e">
        <f t="shared" si="18"/>
        <v>#NUM!</v>
      </c>
      <c r="K214" s="182" t="e">
        <f t="shared" si="16"/>
        <v>#NUM!</v>
      </c>
      <c r="L214" s="182"/>
      <c r="M214" s="184">
        <f t="shared" si="17"/>
        <v>0</v>
      </c>
    </row>
    <row r="215" spans="1:13" x14ac:dyDescent="0.25">
      <c r="A215" s="199"/>
      <c r="G215" s="170"/>
      <c r="H215" s="182">
        <v>210</v>
      </c>
      <c r="I215" s="183" t="str">
        <f t="shared" si="15"/>
        <v/>
      </c>
      <c r="J215" s="183" t="e">
        <f t="shared" si="18"/>
        <v>#NUM!</v>
      </c>
      <c r="K215" s="182" t="e">
        <f t="shared" si="16"/>
        <v>#NUM!</v>
      </c>
      <c r="L215" s="182"/>
      <c r="M215" s="184">
        <f t="shared" si="17"/>
        <v>0</v>
      </c>
    </row>
    <row r="216" spans="1:13" x14ac:dyDescent="0.25">
      <c r="A216" s="199"/>
      <c r="G216" s="170"/>
      <c r="H216" s="182">
        <v>211</v>
      </c>
      <c r="I216" s="183" t="str">
        <f t="shared" si="15"/>
        <v/>
      </c>
      <c r="J216" s="183" t="e">
        <f t="shared" si="18"/>
        <v>#NUM!</v>
      </c>
      <c r="K216" s="182" t="e">
        <f t="shared" si="16"/>
        <v>#NUM!</v>
      </c>
      <c r="L216" s="182"/>
      <c r="M216" s="184">
        <f t="shared" si="17"/>
        <v>0</v>
      </c>
    </row>
    <row r="217" spans="1:13" x14ac:dyDescent="0.25">
      <c r="A217" s="199"/>
      <c r="G217" s="170"/>
      <c r="H217" s="182">
        <v>212</v>
      </c>
      <c r="I217" s="183" t="str">
        <f t="shared" si="15"/>
        <v/>
      </c>
      <c r="J217" s="183" t="e">
        <f t="shared" si="18"/>
        <v>#NUM!</v>
      </c>
      <c r="K217" s="182" t="e">
        <f t="shared" si="16"/>
        <v>#NUM!</v>
      </c>
      <c r="L217" s="182"/>
      <c r="M217" s="184">
        <f t="shared" si="17"/>
        <v>0</v>
      </c>
    </row>
    <row r="218" spans="1:13" x14ac:dyDescent="0.25">
      <c r="A218" s="199"/>
      <c r="G218" s="170"/>
      <c r="H218" s="182">
        <v>213</v>
      </c>
      <c r="I218" s="183" t="str">
        <f t="shared" si="15"/>
        <v/>
      </c>
      <c r="J218" s="183" t="e">
        <f t="shared" si="18"/>
        <v>#NUM!</v>
      </c>
      <c r="K218" s="182" t="e">
        <f t="shared" si="16"/>
        <v>#NUM!</v>
      </c>
      <c r="L218" s="182"/>
      <c r="M218" s="184">
        <f t="shared" si="17"/>
        <v>0</v>
      </c>
    </row>
    <row r="219" spans="1:13" x14ac:dyDescent="0.25">
      <c r="A219" s="199"/>
      <c r="G219" s="170"/>
      <c r="H219" s="182">
        <v>214</v>
      </c>
      <c r="I219" s="183" t="str">
        <f t="shared" si="15"/>
        <v/>
      </c>
      <c r="J219" s="183" t="e">
        <f t="shared" si="18"/>
        <v>#NUM!</v>
      </c>
      <c r="K219" s="182" t="e">
        <f t="shared" si="16"/>
        <v>#NUM!</v>
      </c>
      <c r="L219" s="182"/>
      <c r="M219" s="184">
        <f t="shared" si="17"/>
        <v>0</v>
      </c>
    </row>
    <row r="220" spans="1:13" x14ac:dyDescent="0.25">
      <c r="A220" s="199"/>
      <c r="G220" s="170"/>
      <c r="H220" s="182">
        <v>215</v>
      </c>
      <c r="I220" s="183" t="str">
        <f t="shared" si="15"/>
        <v/>
      </c>
      <c r="J220" s="183" t="e">
        <f t="shared" si="18"/>
        <v>#NUM!</v>
      </c>
      <c r="K220" s="182" t="e">
        <f t="shared" si="16"/>
        <v>#NUM!</v>
      </c>
      <c r="L220" s="182"/>
      <c r="M220" s="184">
        <f t="shared" si="17"/>
        <v>0</v>
      </c>
    </row>
    <row r="221" spans="1:13" x14ac:dyDescent="0.25">
      <c r="A221" s="199"/>
      <c r="G221" s="170"/>
      <c r="H221" s="182">
        <v>216</v>
      </c>
      <c r="I221" s="183" t="str">
        <f t="shared" si="15"/>
        <v/>
      </c>
      <c r="J221" s="183" t="e">
        <f t="shared" si="18"/>
        <v>#NUM!</v>
      </c>
      <c r="K221" s="182" t="e">
        <f t="shared" si="16"/>
        <v>#NUM!</v>
      </c>
      <c r="L221" s="182"/>
      <c r="M221" s="184">
        <f t="shared" si="17"/>
        <v>0</v>
      </c>
    </row>
    <row r="222" spans="1:13" x14ac:dyDescent="0.25">
      <c r="A222" s="199"/>
      <c r="G222" s="170"/>
      <c r="H222" s="182">
        <v>217</v>
      </c>
      <c r="I222" s="183" t="str">
        <f t="shared" si="15"/>
        <v/>
      </c>
      <c r="J222" s="183" t="e">
        <f t="shared" si="18"/>
        <v>#NUM!</v>
      </c>
      <c r="K222" s="182" t="e">
        <f t="shared" si="16"/>
        <v>#NUM!</v>
      </c>
      <c r="L222" s="182"/>
      <c r="M222" s="184">
        <f t="shared" si="17"/>
        <v>0</v>
      </c>
    </row>
    <row r="223" spans="1:13" x14ac:dyDescent="0.25">
      <c r="A223" s="199"/>
      <c r="G223" s="170"/>
      <c r="H223" s="182">
        <v>218</v>
      </c>
      <c r="I223" s="183" t="str">
        <f t="shared" si="15"/>
        <v/>
      </c>
      <c r="J223" s="183" t="e">
        <f t="shared" si="18"/>
        <v>#NUM!</v>
      </c>
      <c r="K223" s="182" t="e">
        <f t="shared" si="16"/>
        <v>#NUM!</v>
      </c>
      <c r="L223" s="182"/>
      <c r="M223" s="184">
        <f t="shared" si="17"/>
        <v>0</v>
      </c>
    </row>
    <row r="224" spans="1:13" x14ac:dyDescent="0.25">
      <c r="A224" s="199"/>
      <c r="G224" s="170"/>
      <c r="H224" s="182">
        <v>219</v>
      </c>
      <c r="I224" s="183" t="str">
        <f t="shared" si="15"/>
        <v/>
      </c>
      <c r="J224" s="183" t="e">
        <f t="shared" si="18"/>
        <v>#NUM!</v>
      </c>
      <c r="K224" s="182" t="e">
        <f t="shared" si="16"/>
        <v>#NUM!</v>
      </c>
      <c r="L224" s="182"/>
      <c r="M224" s="184">
        <f t="shared" si="17"/>
        <v>0</v>
      </c>
    </row>
    <row r="225" spans="1:13" x14ac:dyDescent="0.25">
      <c r="A225" s="199"/>
      <c r="G225" s="170"/>
      <c r="H225" s="182">
        <v>220</v>
      </c>
      <c r="I225" s="183" t="str">
        <f t="shared" si="15"/>
        <v/>
      </c>
      <c r="J225" s="183" t="e">
        <f t="shared" si="18"/>
        <v>#NUM!</v>
      </c>
      <c r="K225" s="182" t="e">
        <f t="shared" si="16"/>
        <v>#NUM!</v>
      </c>
      <c r="L225" s="182"/>
      <c r="M225" s="184">
        <f t="shared" si="17"/>
        <v>0</v>
      </c>
    </row>
    <row r="226" spans="1:13" x14ac:dyDescent="0.25">
      <c r="A226" s="199"/>
      <c r="G226" s="170"/>
      <c r="H226" s="182">
        <v>221</v>
      </c>
      <c r="I226" s="183" t="str">
        <f t="shared" si="15"/>
        <v/>
      </c>
      <c r="J226" s="183" t="e">
        <f t="shared" si="18"/>
        <v>#NUM!</v>
      </c>
      <c r="K226" s="182" t="e">
        <f t="shared" si="16"/>
        <v>#NUM!</v>
      </c>
      <c r="L226" s="182"/>
      <c r="M226" s="184">
        <f t="shared" si="17"/>
        <v>0</v>
      </c>
    </row>
    <row r="227" spans="1:13" x14ac:dyDescent="0.25">
      <c r="A227" s="199"/>
      <c r="G227" s="170"/>
      <c r="H227" s="182">
        <v>222</v>
      </c>
      <c r="I227" s="183" t="str">
        <f t="shared" si="15"/>
        <v/>
      </c>
      <c r="J227" s="183" t="e">
        <f t="shared" si="18"/>
        <v>#NUM!</v>
      </c>
      <c r="K227" s="182" t="e">
        <f t="shared" si="16"/>
        <v>#NUM!</v>
      </c>
      <c r="L227" s="182"/>
      <c r="M227" s="184">
        <f t="shared" si="17"/>
        <v>0</v>
      </c>
    </row>
    <row r="228" spans="1:13" x14ac:dyDescent="0.25">
      <c r="A228" s="199"/>
      <c r="G228" s="170"/>
      <c r="H228" s="182">
        <v>223</v>
      </c>
      <c r="I228" s="183" t="str">
        <f t="shared" si="15"/>
        <v/>
      </c>
      <c r="J228" s="183" t="e">
        <f t="shared" si="18"/>
        <v>#NUM!</v>
      </c>
      <c r="K228" s="182" t="e">
        <f t="shared" si="16"/>
        <v>#NUM!</v>
      </c>
      <c r="L228" s="182"/>
      <c r="M228" s="184">
        <f t="shared" si="17"/>
        <v>0</v>
      </c>
    </row>
    <row r="229" spans="1:13" x14ac:dyDescent="0.25">
      <c r="A229" s="199"/>
      <c r="G229" s="170"/>
      <c r="H229" s="182">
        <v>224</v>
      </c>
      <c r="I229" s="183" t="str">
        <f t="shared" si="15"/>
        <v/>
      </c>
      <c r="J229" s="183" t="e">
        <f t="shared" si="18"/>
        <v>#NUM!</v>
      </c>
      <c r="K229" s="182" t="e">
        <f t="shared" si="16"/>
        <v>#NUM!</v>
      </c>
      <c r="L229" s="182"/>
      <c r="M229" s="184">
        <f t="shared" si="17"/>
        <v>0</v>
      </c>
    </row>
    <row r="230" spans="1:13" x14ac:dyDescent="0.25">
      <c r="A230" s="199"/>
      <c r="G230" s="170"/>
      <c r="H230" s="182">
        <v>225</v>
      </c>
      <c r="I230" s="183" t="str">
        <f t="shared" si="15"/>
        <v/>
      </c>
      <c r="J230" s="183" t="e">
        <f t="shared" si="18"/>
        <v>#NUM!</v>
      </c>
      <c r="K230" s="182" t="e">
        <f t="shared" si="16"/>
        <v>#NUM!</v>
      </c>
      <c r="L230" s="182"/>
      <c r="M230" s="184">
        <f t="shared" si="17"/>
        <v>0</v>
      </c>
    </row>
    <row r="231" spans="1:13" x14ac:dyDescent="0.25">
      <c r="A231" s="199"/>
      <c r="G231" s="170"/>
      <c r="H231" s="182">
        <v>226</v>
      </c>
      <c r="I231" s="183" t="str">
        <f t="shared" si="15"/>
        <v/>
      </c>
      <c r="J231" s="183" t="e">
        <f t="shared" si="18"/>
        <v>#NUM!</v>
      </c>
      <c r="K231" s="182" t="e">
        <f t="shared" si="16"/>
        <v>#NUM!</v>
      </c>
      <c r="L231" s="182"/>
      <c r="M231" s="184">
        <f t="shared" si="17"/>
        <v>0</v>
      </c>
    </row>
    <row r="232" spans="1:13" x14ac:dyDescent="0.25">
      <c r="A232" s="199"/>
      <c r="G232" s="170"/>
      <c r="H232" s="182">
        <v>227</v>
      </c>
      <c r="I232" s="183" t="str">
        <f t="shared" si="15"/>
        <v/>
      </c>
      <c r="J232" s="183" t="e">
        <f t="shared" si="18"/>
        <v>#NUM!</v>
      </c>
      <c r="K232" s="182" t="e">
        <f t="shared" si="16"/>
        <v>#NUM!</v>
      </c>
      <c r="L232" s="182"/>
      <c r="M232" s="184">
        <f t="shared" si="17"/>
        <v>0</v>
      </c>
    </row>
    <row r="233" spans="1:13" x14ac:dyDescent="0.25">
      <c r="A233" s="199"/>
      <c r="G233" s="170"/>
      <c r="H233" s="182">
        <v>228</v>
      </c>
      <c r="I233" s="183" t="str">
        <f t="shared" si="15"/>
        <v/>
      </c>
      <c r="J233" s="183" t="e">
        <f t="shared" si="18"/>
        <v>#NUM!</v>
      </c>
      <c r="K233" s="182" t="e">
        <f t="shared" si="16"/>
        <v>#NUM!</v>
      </c>
      <c r="L233" s="182"/>
      <c r="M233" s="184">
        <f t="shared" si="17"/>
        <v>0</v>
      </c>
    </row>
    <row r="234" spans="1:13" x14ac:dyDescent="0.25">
      <c r="A234" s="199"/>
      <c r="G234" s="170"/>
      <c r="H234" s="182">
        <v>229</v>
      </c>
      <c r="I234" s="183" t="str">
        <f t="shared" si="15"/>
        <v/>
      </c>
      <c r="J234" s="183" t="e">
        <f t="shared" si="18"/>
        <v>#NUM!</v>
      </c>
      <c r="K234" s="182" t="e">
        <f t="shared" si="16"/>
        <v>#NUM!</v>
      </c>
      <c r="L234" s="182"/>
      <c r="M234" s="184">
        <f t="shared" si="17"/>
        <v>0</v>
      </c>
    </row>
    <row r="235" spans="1:13" x14ac:dyDescent="0.25">
      <c r="A235" s="199"/>
      <c r="G235" s="170"/>
      <c r="H235" s="182">
        <v>230</v>
      </c>
      <c r="I235" s="183" t="str">
        <f t="shared" si="15"/>
        <v/>
      </c>
      <c r="J235" s="183" t="e">
        <f t="shared" si="18"/>
        <v>#NUM!</v>
      </c>
      <c r="K235" s="182" t="e">
        <f t="shared" si="16"/>
        <v>#NUM!</v>
      </c>
      <c r="L235" s="182"/>
      <c r="M235" s="184">
        <f t="shared" si="17"/>
        <v>0</v>
      </c>
    </row>
    <row r="236" spans="1:13" x14ac:dyDescent="0.25">
      <c r="A236" s="199"/>
      <c r="G236" s="170"/>
      <c r="H236" s="182">
        <v>231</v>
      </c>
      <c r="I236" s="183" t="str">
        <f t="shared" si="15"/>
        <v/>
      </c>
      <c r="J236" s="183" t="e">
        <f t="shared" si="18"/>
        <v>#NUM!</v>
      </c>
      <c r="K236" s="182" t="e">
        <f t="shared" si="16"/>
        <v>#NUM!</v>
      </c>
      <c r="L236" s="182"/>
      <c r="M236" s="184">
        <f t="shared" si="17"/>
        <v>0</v>
      </c>
    </row>
    <row r="237" spans="1:13" x14ac:dyDescent="0.25">
      <c r="A237" s="199"/>
      <c r="G237" s="170"/>
      <c r="H237" s="182">
        <v>232</v>
      </c>
      <c r="I237" s="183" t="str">
        <f t="shared" si="15"/>
        <v/>
      </c>
      <c r="J237" s="183" t="e">
        <f t="shared" si="18"/>
        <v>#NUM!</v>
      </c>
      <c r="K237" s="182" t="e">
        <f t="shared" si="16"/>
        <v>#NUM!</v>
      </c>
      <c r="L237" s="182"/>
      <c r="M237" s="184">
        <f t="shared" si="17"/>
        <v>0</v>
      </c>
    </row>
    <row r="238" spans="1:13" x14ac:dyDescent="0.25">
      <c r="A238" s="199"/>
      <c r="G238" s="170"/>
      <c r="H238" s="182">
        <v>233</v>
      </c>
      <c r="I238" s="183" t="str">
        <f t="shared" si="15"/>
        <v/>
      </c>
      <c r="J238" s="183" t="e">
        <f t="shared" si="18"/>
        <v>#NUM!</v>
      </c>
      <c r="K238" s="182" t="e">
        <f t="shared" si="16"/>
        <v>#NUM!</v>
      </c>
      <c r="L238" s="182"/>
      <c r="M238" s="184">
        <f t="shared" si="17"/>
        <v>0</v>
      </c>
    </row>
    <row r="239" spans="1:13" x14ac:dyDescent="0.25">
      <c r="A239" s="199"/>
      <c r="G239" s="170"/>
      <c r="H239" s="182">
        <v>234</v>
      </c>
      <c r="I239" s="183" t="str">
        <f t="shared" si="15"/>
        <v/>
      </c>
      <c r="J239" s="183" t="e">
        <f t="shared" si="18"/>
        <v>#NUM!</v>
      </c>
      <c r="K239" s="182" t="e">
        <f t="shared" si="16"/>
        <v>#NUM!</v>
      </c>
      <c r="L239" s="182"/>
      <c r="M239" s="184">
        <f t="shared" si="17"/>
        <v>0</v>
      </c>
    </row>
    <row r="240" spans="1:13" x14ac:dyDescent="0.25">
      <c r="A240" s="199"/>
      <c r="G240" s="170"/>
      <c r="H240" s="182">
        <v>235</v>
      </c>
      <c r="I240" s="183" t="str">
        <f t="shared" si="15"/>
        <v/>
      </c>
      <c r="J240" s="183" t="e">
        <f t="shared" si="18"/>
        <v>#NUM!</v>
      </c>
      <c r="K240" s="182" t="e">
        <f t="shared" si="16"/>
        <v>#NUM!</v>
      </c>
      <c r="L240" s="182"/>
      <c r="M240" s="184">
        <f t="shared" si="17"/>
        <v>0</v>
      </c>
    </row>
    <row r="241" spans="1:13" x14ac:dyDescent="0.25">
      <c r="A241" s="199"/>
      <c r="G241" s="170"/>
      <c r="H241" s="182">
        <v>236</v>
      </c>
      <c r="I241" s="183" t="str">
        <f t="shared" si="15"/>
        <v/>
      </c>
      <c r="J241" s="183" t="e">
        <f t="shared" si="18"/>
        <v>#NUM!</v>
      </c>
      <c r="K241" s="182" t="e">
        <f t="shared" si="16"/>
        <v>#NUM!</v>
      </c>
      <c r="L241" s="182"/>
      <c r="M241" s="184">
        <f t="shared" si="17"/>
        <v>0</v>
      </c>
    </row>
    <row r="242" spans="1:13" x14ac:dyDescent="0.25">
      <c r="A242" s="199"/>
      <c r="G242" s="170"/>
      <c r="H242" s="182">
        <v>237</v>
      </c>
      <c r="I242" s="183" t="str">
        <f t="shared" si="15"/>
        <v/>
      </c>
      <c r="J242" s="183" t="e">
        <f t="shared" si="18"/>
        <v>#NUM!</v>
      </c>
      <c r="K242" s="182" t="e">
        <f t="shared" si="16"/>
        <v>#NUM!</v>
      </c>
      <c r="L242" s="182"/>
      <c r="M242" s="184">
        <f t="shared" si="17"/>
        <v>0</v>
      </c>
    </row>
    <row r="243" spans="1:13" x14ac:dyDescent="0.25">
      <c r="A243" s="199"/>
      <c r="G243" s="170"/>
      <c r="H243" s="182">
        <v>238</v>
      </c>
      <c r="I243" s="183" t="str">
        <f t="shared" si="15"/>
        <v/>
      </c>
      <c r="J243" s="183" t="e">
        <f t="shared" si="18"/>
        <v>#NUM!</v>
      </c>
      <c r="K243" s="182" t="e">
        <f t="shared" si="16"/>
        <v>#NUM!</v>
      </c>
      <c r="L243" s="182"/>
      <c r="M243" s="184">
        <f t="shared" si="17"/>
        <v>0</v>
      </c>
    </row>
    <row r="244" spans="1:13" x14ac:dyDescent="0.25">
      <c r="A244" s="199"/>
      <c r="G244" s="170"/>
      <c r="H244" s="182">
        <v>239</v>
      </c>
      <c r="I244" s="183" t="str">
        <f t="shared" si="15"/>
        <v/>
      </c>
      <c r="J244" s="183" t="e">
        <f t="shared" si="18"/>
        <v>#NUM!</v>
      </c>
      <c r="K244" s="182" t="e">
        <f t="shared" si="16"/>
        <v>#NUM!</v>
      </c>
      <c r="L244" s="182"/>
      <c r="M244" s="184">
        <f t="shared" si="17"/>
        <v>0</v>
      </c>
    </row>
    <row r="245" spans="1:13" x14ac:dyDescent="0.25">
      <c r="A245" s="199"/>
      <c r="G245" s="170"/>
      <c r="H245" s="182">
        <v>240</v>
      </c>
      <c r="I245" s="183" t="str">
        <f t="shared" si="15"/>
        <v/>
      </c>
      <c r="J245" s="183" t="e">
        <f t="shared" si="18"/>
        <v>#NUM!</v>
      </c>
      <c r="K245" s="182" t="e">
        <f t="shared" si="16"/>
        <v>#NUM!</v>
      </c>
      <c r="L245" s="182"/>
      <c r="M245" s="184">
        <f t="shared" si="17"/>
        <v>0</v>
      </c>
    </row>
    <row r="246" spans="1:13" x14ac:dyDescent="0.25">
      <c r="A246" s="199"/>
      <c r="G246" s="170"/>
      <c r="H246" s="182">
        <v>241</v>
      </c>
      <c r="I246" s="183" t="str">
        <f t="shared" si="15"/>
        <v/>
      </c>
      <c r="J246" s="183" t="e">
        <f t="shared" si="18"/>
        <v>#NUM!</v>
      </c>
      <c r="K246" s="182" t="e">
        <f t="shared" si="16"/>
        <v>#NUM!</v>
      </c>
      <c r="L246" s="182"/>
      <c r="M246" s="184">
        <f t="shared" si="17"/>
        <v>0</v>
      </c>
    </row>
    <row r="247" spans="1:13" x14ac:dyDescent="0.25">
      <c r="A247" s="199"/>
      <c r="G247" s="170"/>
      <c r="H247" s="182">
        <v>242</v>
      </c>
      <c r="I247" s="183" t="str">
        <f t="shared" si="15"/>
        <v/>
      </c>
      <c r="J247" s="183" t="e">
        <f t="shared" si="18"/>
        <v>#NUM!</v>
      </c>
      <c r="K247" s="182" t="e">
        <f t="shared" si="16"/>
        <v>#NUM!</v>
      </c>
      <c r="L247" s="182"/>
      <c r="M247" s="184">
        <f t="shared" si="17"/>
        <v>0</v>
      </c>
    </row>
    <row r="248" spans="1:13" x14ac:dyDescent="0.25">
      <c r="A248" s="199"/>
      <c r="G248" s="170"/>
      <c r="H248" s="182">
        <v>243</v>
      </c>
      <c r="I248" s="183" t="str">
        <f t="shared" si="15"/>
        <v/>
      </c>
      <c r="J248" s="183" t="e">
        <f t="shared" si="18"/>
        <v>#NUM!</v>
      </c>
      <c r="K248" s="182" t="e">
        <f t="shared" si="16"/>
        <v>#NUM!</v>
      </c>
      <c r="L248" s="182"/>
      <c r="M248" s="184">
        <f t="shared" si="17"/>
        <v>0</v>
      </c>
    </row>
    <row r="249" spans="1:13" x14ac:dyDescent="0.25">
      <c r="A249" s="199"/>
      <c r="G249" s="170"/>
      <c r="H249" s="182">
        <v>244</v>
      </c>
      <c r="I249" s="183" t="str">
        <f t="shared" si="15"/>
        <v/>
      </c>
      <c r="J249" s="183" t="e">
        <f t="shared" si="18"/>
        <v>#NUM!</v>
      </c>
      <c r="K249" s="182" t="e">
        <f t="shared" si="16"/>
        <v>#NUM!</v>
      </c>
      <c r="L249" s="182"/>
      <c r="M249" s="184">
        <f t="shared" si="17"/>
        <v>0</v>
      </c>
    </row>
    <row r="250" spans="1:13" x14ac:dyDescent="0.25">
      <c r="A250" s="199"/>
      <c r="G250" s="170"/>
      <c r="H250" s="182">
        <v>245</v>
      </c>
      <c r="I250" s="183" t="str">
        <f t="shared" si="15"/>
        <v/>
      </c>
      <c r="J250" s="183" t="e">
        <f t="shared" si="18"/>
        <v>#NUM!</v>
      </c>
      <c r="K250" s="182" t="e">
        <f t="shared" si="16"/>
        <v>#NUM!</v>
      </c>
      <c r="L250" s="182"/>
      <c r="M250" s="184">
        <f t="shared" si="17"/>
        <v>0</v>
      </c>
    </row>
    <row r="251" spans="1:13" x14ac:dyDescent="0.25">
      <c r="A251" s="199"/>
      <c r="G251" s="170"/>
      <c r="H251" s="182">
        <v>246</v>
      </c>
      <c r="I251" s="183" t="str">
        <f t="shared" si="15"/>
        <v/>
      </c>
      <c r="J251" s="183" t="e">
        <f t="shared" si="18"/>
        <v>#NUM!</v>
      </c>
      <c r="K251" s="182" t="e">
        <f t="shared" si="16"/>
        <v>#NUM!</v>
      </c>
      <c r="L251" s="182"/>
      <c r="M251" s="184">
        <f t="shared" si="17"/>
        <v>0</v>
      </c>
    </row>
    <row r="252" spans="1:13" x14ac:dyDescent="0.25">
      <c r="A252" s="199"/>
      <c r="G252" s="170"/>
      <c r="H252" s="182">
        <v>247</v>
      </c>
      <c r="I252" s="183" t="str">
        <f t="shared" si="15"/>
        <v/>
      </c>
      <c r="J252" s="183" t="e">
        <f t="shared" si="18"/>
        <v>#NUM!</v>
      </c>
      <c r="K252" s="182" t="e">
        <f t="shared" si="16"/>
        <v>#NUM!</v>
      </c>
      <c r="L252" s="182"/>
      <c r="M252" s="184">
        <f t="shared" si="17"/>
        <v>0</v>
      </c>
    </row>
    <row r="253" spans="1:13" x14ac:dyDescent="0.25">
      <c r="A253" s="199"/>
      <c r="G253" s="170"/>
      <c r="H253" s="182">
        <v>248</v>
      </c>
      <c r="I253" s="183" t="str">
        <f t="shared" si="15"/>
        <v/>
      </c>
      <c r="J253" s="183" t="e">
        <f t="shared" si="18"/>
        <v>#NUM!</v>
      </c>
      <c r="K253" s="182" t="e">
        <f t="shared" si="16"/>
        <v>#NUM!</v>
      </c>
      <c r="L253" s="182"/>
      <c r="M253" s="184">
        <f t="shared" si="17"/>
        <v>0</v>
      </c>
    </row>
    <row r="254" spans="1:13" x14ac:dyDescent="0.25">
      <c r="A254" s="199"/>
      <c r="G254" s="170"/>
      <c r="H254" s="182">
        <v>249</v>
      </c>
      <c r="I254" s="183" t="str">
        <f t="shared" si="15"/>
        <v/>
      </c>
      <c r="J254" s="183" t="e">
        <f t="shared" si="18"/>
        <v>#NUM!</v>
      </c>
      <c r="K254" s="182" t="e">
        <f t="shared" si="16"/>
        <v>#NUM!</v>
      </c>
      <c r="L254" s="182"/>
      <c r="M254" s="184">
        <f t="shared" si="17"/>
        <v>0</v>
      </c>
    </row>
    <row r="255" spans="1:13" x14ac:dyDescent="0.25">
      <c r="A255" s="199"/>
      <c r="G255" s="170"/>
      <c r="H255" s="182">
        <v>250</v>
      </c>
      <c r="I255" s="183" t="str">
        <f t="shared" si="15"/>
        <v/>
      </c>
      <c r="J255" s="183" t="e">
        <f t="shared" si="18"/>
        <v>#NUM!</v>
      </c>
      <c r="K255" s="182" t="e">
        <f t="shared" si="16"/>
        <v>#NUM!</v>
      </c>
      <c r="L255" s="182"/>
      <c r="M255" s="184">
        <f t="shared" si="17"/>
        <v>0</v>
      </c>
    </row>
    <row r="256" spans="1:13" x14ac:dyDescent="0.25">
      <c r="A256" s="199"/>
      <c r="G256" s="170"/>
      <c r="H256" s="182">
        <v>251</v>
      </c>
      <c r="I256" s="183" t="str">
        <f t="shared" si="15"/>
        <v/>
      </c>
      <c r="J256" s="183" t="e">
        <f t="shared" si="18"/>
        <v>#NUM!</v>
      </c>
      <c r="K256" s="182" t="e">
        <f t="shared" si="16"/>
        <v>#NUM!</v>
      </c>
      <c r="L256" s="182"/>
      <c r="M256" s="184">
        <f t="shared" si="17"/>
        <v>0</v>
      </c>
    </row>
    <row r="257" spans="1:13" x14ac:dyDescent="0.25">
      <c r="A257" s="199"/>
      <c r="G257" s="170"/>
      <c r="H257" s="182">
        <v>252</v>
      </c>
      <c r="I257" s="183" t="str">
        <f t="shared" si="15"/>
        <v/>
      </c>
      <c r="J257" s="183" t="e">
        <f t="shared" si="18"/>
        <v>#NUM!</v>
      </c>
      <c r="K257" s="182" t="e">
        <f t="shared" si="16"/>
        <v>#NUM!</v>
      </c>
      <c r="L257" s="182"/>
      <c r="M257" s="184">
        <f t="shared" si="17"/>
        <v>0</v>
      </c>
    </row>
    <row r="258" spans="1:13" x14ac:dyDescent="0.25">
      <c r="A258" s="199"/>
      <c r="G258" s="170"/>
      <c r="H258" s="182">
        <v>253</v>
      </c>
      <c r="I258" s="183" t="str">
        <f t="shared" si="15"/>
        <v/>
      </c>
      <c r="J258" s="183" t="e">
        <f t="shared" si="18"/>
        <v>#NUM!</v>
      </c>
      <c r="K258" s="182" t="e">
        <f t="shared" si="16"/>
        <v>#NUM!</v>
      </c>
      <c r="L258" s="182"/>
      <c r="M258" s="184">
        <f t="shared" si="17"/>
        <v>0</v>
      </c>
    </row>
    <row r="259" spans="1:13" x14ac:dyDescent="0.25">
      <c r="A259" s="199"/>
      <c r="G259" s="170"/>
      <c r="H259" s="182">
        <v>254</v>
      </c>
      <c r="I259" s="183" t="str">
        <f t="shared" si="15"/>
        <v/>
      </c>
      <c r="J259" s="183" t="e">
        <f t="shared" si="18"/>
        <v>#NUM!</v>
      </c>
      <c r="K259" s="182" t="e">
        <f t="shared" si="16"/>
        <v>#NUM!</v>
      </c>
      <c r="L259" s="182"/>
      <c r="M259" s="184">
        <f t="shared" si="17"/>
        <v>0</v>
      </c>
    </row>
    <row r="260" spans="1:13" x14ac:dyDescent="0.25">
      <c r="A260" s="199"/>
      <c r="G260" s="170"/>
      <c r="H260" s="182">
        <v>255</v>
      </c>
      <c r="I260" s="183" t="str">
        <f t="shared" si="15"/>
        <v/>
      </c>
      <c r="J260" s="183" t="e">
        <f t="shared" si="18"/>
        <v>#NUM!</v>
      </c>
      <c r="K260" s="182" t="e">
        <f t="shared" si="16"/>
        <v>#NUM!</v>
      </c>
      <c r="L260" s="182"/>
      <c r="M260" s="184">
        <f t="shared" si="17"/>
        <v>0</v>
      </c>
    </row>
    <row r="261" spans="1:13" x14ac:dyDescent="0.25">
      <c r="A261" s="199"/>
      <c r="G261" s="170"/>
      <c r="H261" s="182">
        <v>256</v>
      </c>
      <c r="I261" s="183" t="str">
        <f t="shared" si="15"/>
        <v/>
      </c>
      <c r="J261" s="183" t="e">
        <f t="shared" si="18"/>
        <v>#NUM!</v>
      </c>
      <c r="K261" s="182" t="e">
        <f t="shared" si="16"/>
        <v>#NUM!</v>
      </c>
      <c r="L261" s="182"/>
      <c r="M261" s="184">
        <f t="shared" si="17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9">IF(H262&lt;$H$2+1,($I$2-($I$2-1)*(LOG(H262)/LOG($H$2))),"")</f>
        <v/>
      </c>
      <c r="J262" s="183" t="e">
        <f t="shared" si="18"/>
        <v>#NUM!</v>
      </c>
      <c r="K262" s="182" t="e">
        <f t="shared" ref="K262:K305" si="20">J262*$J$2</f>
        <v>#NUM!</v>
      </c>
      <c r="L262" s="182"/>
      <c r="M262" s="184">
        <f t="shared" ref="M262:M305" si="21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9"/>
        <v/>
      </c>
      <c r="J263" s="183" t="e">
        <f t="shared" ref="J263:J305" si="22">INT(LOG($H$2,2))-ROUNDUP(LOG(H263,2),0)+IF(OR($H$2=1,$H$2=2,$H$2=4,$H$2=8,$H$2=16,$H$2=32,$H$2=64,$H$2=128,$H$2=256),0,1)</f>
        <v>#NUM!</v>
      </c>
      <c r="K263" s="182" t="e">
        <f t="shared" si="20"/>
        <v>#NUM!</v>
      </c>
      <c r="L263" s="182"/>
      <c r="M263" s="184">
        <f t="shared" si="21"/>
        <v>0</v>
      </c>
    </row>
    <row r="264" spans="1:13" x14ac:dyDescent="0.25">
      <c r="A264" s="199"/>
      <c r="G264" s="170"/>
      <c r="H264" s="182">
        <v>259</v>
      </c>
      <c r="I264" s="183" t="str">
        <f t="shared" si="19"/>
        <v/>
      </c>
      <c r="J264" s="183" t="e">
        <f t="shared" si="22"/>
        <v>#NUM!</v>
      </c>
      <c r="K264" s="182" t="e">
        <f t="shared" si="20"/>
        <v>#NUM!</v>
      </c>
      <c r="L264" s="182"/>
      <c r="M264" s="184">
        <f t="shared" si="21"/>
        <v>0</v>
      </c>
    </row>
    <row r="265" spans="1:13" x14ac:dyDescent="0.25">
      <c r="A265" s="199"/>
      <c r="G265" s="170"/>
      <c r="H265" s="182">
        <v>260</v>
      </c>
      <c r="I265" s="183" t="str">
        <f t="shared" si="19"/>
        <v/>
      </c>
      <c r="J265" s="183" t="e">
        <f t="shared" si="22"/>
        <v>#NUM!</v>
      </c>
      <c r="K265" s="182" t="e">
        <f t="shared" si="20"/>
        <v>#NUM!</v>
      </c>
      <c r="L265" s="182"/>
      <c r="M265" s="184">
        <f t="shared" si="21"/>
        <v>0</v>
      </c>
    </row>
    <row r="266" spans="1:13" x14ac:dyDescent="0.25">
      <c r="A266" s="199"/>
      <c r="G266" s="170"/>
      <c r="H266" s="182">
        <v>261</v>
      </c>
      <c r="I266" s="183" t="str">
        <f t="shared" si="19"/>
        <v/>
      </c>
      <c r="J266" s="183" t="e">
        <f t="shared" si="22"/>
        <v>#NUM!</v>
      </c>
      <c r="K266" s="182" t="e">
        <f t="shared" si="20"/>
        <v>#NUM!</v>
      </c>
      <c r="L266" s="182"/>
      <c r="M266" s="184">
        <f t="shared" si="21"/>
        <v>0</v>
      </c>
    </row>
    <row r="267" spans="1:13" x14ac:dyDescent="0.25">
      <c r="A267" s="199"/>
      <c r="G267" s="170"/>
      <c r="H267" s="182">
        <v>262</v>
      </c>
      <c r="I267" s="183" t="str">
        <f t="shared" si="19"/>
        <v/>
      </c>
      <c r="J267" s="183" t="e">
        <f t="shared" si="22"/>
        <v>#NUM!</v>
      </c>
      <c r="K267" s="182" t="e">
        <f t="shared" si="20"/>
        <v>#NUM!</v>
      </c>
      <c r="L267" s="182"/>
      <c r="M267" s="184">
        <f t="shared" si="21"/>
        <v>0</v>
      </c>
    </row>
    <row r="268" spans="1:13" x14ac:dyDescent="0.25">
      <c r="A268" s="199"/>
      <c r="G268" s="170"/>
      <c r="H268" s="182">
        <v>263</v>
      </c>
      <c r="I268" s="183" t="str">
        <f t="shared" si="19"/>
        <v/>
      </c>
      <c r="J268" s="183" t="e">
        <f t="shared" si="22"/>
        <v>#NUM!</v>
      </c>
      <c r="K268" s="182" t="e">
        <f t="shared" si="20"/>
        <v>#NUM!</v>
      </c>
      <c r="L268" s="182"/>
      <c r="M268" s="184">
        <f t="shared" si="21"/>
        <v>0</v>
      </c>
    </row>
    <row r="269" spans="1:13" x14ac:dyDescent="0.25">
      <c r="A269" s="199"/>
      <c r="G269" s="170"/>
      <c r="H269" s="182">
        <v>264</v>
      </c>
      <c r="I269" s="183" t="str">
        <f t="shared" si="19"/>
        <v/>
      </c>
      <c r="J269" s="183" t="e">
        <f t="shared" si="22"/>
        <v>#NUM!</v>
      </c>
      <c r="K269" s="182" t="e">
        <f t="shared" si="20"/>
        <v>#NUM!</v>
      </c>
      <c r="L269" s="182"/>
      <c r="M269" s="184">
        <f t="shared" si="21"/>
        <v>0</v>
      </c>
    </row>
    <row r="270" spans="1:13" x14ac:dyDescent="0.25">
      <c r="A270" s="199"/>
      <c r="G270" s="170"/>
      <c r="H270" s="182">
        <v>265</v>
      </c>
      <c r="I270" s="183" t="str">
        <f t="shared" si="19"/>
        <v/>
      </c>
      <c r="J270" s="183" t="e">
        <f t="shared" si="22"/>
        <v>#NUM!</v>
      </c>
      <c r="K270" s="182" t="e">
        <f t="shared" si="20"/>
        <v>#NUM!</v>
      </c>
      <c r="L270" s="182"/>
      <c r="M270" s="184">
        <f t="shared" si="21"/>
        <v>0</v>
      </c>
    </row>
    <row r="271" spans="1:13" x14ac:dyDescent="0.25">
      <c r="A271" s="199"/>
      <c r="G271" s="170"/>
      <c r="H271" s="182">
        <v>266</v>
      </c>
      <c r="I271" s="183" t="str">
        <f t="shared" si="19"/>
        <v/>
      </c>
      <c r="J271" s="183" t="e">
        <f t="shared" si="22"/>
        <v>#NUM!</v>
      </c>
      <c r="K271" s="182" t="e">
        <f t="shared" si="20"/>
        <v>#NUM!</v>
      </c>
      <c r="L271" s="182"/>
      <c r="M271" s="184">
        <f t="shared" si="21"/>
        <v>0</v>
      </c>
    </row>
    <row r="272" spans="1:13" x14ac:dyDescent="0.25">
      <c r="A272" s="199"/>
      <c r="G272" s="170"/>
      <c r="H272" s="182">
        <v>267</v>
      </c>
      <c r="I272" s="183" t="str">
        <f t="shared" si="19"/>
        <v/>
      </c>
      <c r="J272" s="183" t="e">
        <f t="shared" si="22"/>
        <v>#NUM!</v>
      </c>
      <c r="K272" s="182" t="e">
        <f t="shared" si="20"/>
        <v>#NUM!</v>
      </c>
      <c r="L272" s="182"/>
      <c r="M272" s="184">
        <f t="shared" si="21"/>
        <v>0</v>
      </c>
    </row>
    <row r="273" spans="1:13" x14ac:dyDescent="0.25">
      <c r="A273" s="199"/>
      <c r="G273" s="170"/>
      <c r="H273" s="182">
        <v>268</v>
      </c>
      <c r="I273" s="183" t="str">
        <f t="shared" si="19"/>
        <v/>
      </c>
      <c r="J273" s="183" t="e">
        <f t="shared" si="22"/>
        <v>#NUM!</v>
      </c>
      <c r="K273" s="182" t="e">
        <f t="shared" si="20"/>
        <v>#NUM!</v>
      </c>
      <c r="L273" s="182"/>
      <c r="M273" s="184">
        <f t="shared" si="21"/>
        <v>0</v>
      </c>
    </row>
    <row r="274" spans="1:13" x14ac:dyDescent="0.25">
      <c r="A274" s="199"/>
      <c r="G274" s="170"/>
      <c r="H274" s="182">
        <v>269</v>
      </c>
      <c r="I274" s="183" t="str">
        <f t="shared" si="19"/>
        <v/>
      </c>
      <c r="J274" s="183" t="e">
        <f t="shared" si="22"/>
        <v>#NUM!</v>
      </c>
      <c r="K274" s="182" t="e">
        <f t="shared" si="20"/>
        <v>#NUM!</v>
      </c>
      <c r="L274" s="182"/>
      <c r="M274" s="184">
        <f t="shared" si="21"/>
        <v>0</v>
      </c>
    </row>
    <row r="275" spans="1:13" x14ac:dyDescent="0.25">
      <c r="A275" s="199"/>
      <c r="G275" s="170"/>
      <c r="H275" s="182">
        <v>270</v>
      </c>
      <c r="I275" s="183" t="str">
        <f t="shared" si="19"/>
        <v/>
      </c>
      <c r="J275" s="183" t="e">
        <f t="shared" si="22"/>
        <v>#NUM!</v>
      </c>
      <c r="K275" s="182" t="e">
        <f t="shared" si="20"/>
        <v>#NUM!</v>
      </c>
      <c r="L275" s="182"/>
      <c r="M275" s="184">
        <f t="shared" si="21"/>
        <v>0</v>
      </c>
    </row>
    <row r="276" spans="1:13" x14ac:dyDescent="0.25">
      <c r="A276" s="199"/>
      <c r="G276" s="170"/>
      <c r="H276" s="182">
        <v>271</v>
      </c>
      <c r="I276" s="183" t="str">
        <f t="shared" si="19"/>
        <v/>
      </c>
      <c r="J276" s="183" t="e">
        <f t="shared" si="22"/>
        <v>#NUM!</v>
      </c>
      <c r="K276" s="182" t="e">
        <f t="shared" si="20"/>
        <v>#NUM!</v>
      </c>
      <c r="L276" s="182"/>
      <c r="M276" s="184">
        <f t="shared" si="21"/>
        <v>0</v>
      </c>
    </row>
    <row r="277" spans="1:13" x14ac:dyDescent="0.25">
      <c r="A277" s="199"/>
      <c r="G277" s="170"/>
      <c r="H277" s="182">
        <v>272</v>
      </c>
      <c r="I277" s="183" t="str">
        <f t="shared" si="19"/>
        <v/>
      </c>
      <c r="J277" s="183" t="e">
        <f t="shared" si="22"/>
        <v>#NUM!</v>
      </c>
      <c r="K277" s="182" t="e">
        <f t="shared" si="20"/>
        <v>#NUM!</v>
      </c>
      <c r="L277" s="182"/>
      <c r="M277" s="184">
        <f t="shared" si="21"/>
        <v>0</v>
      </c>
    </row>
    <row r="278" spans="1:13" x14ac:dyDescent="0.25">
      <c r="A278" s="199"/>
      <c r="G278" s="170"/>
      <c r="H278" s="182">
        <v>273</v>
      </c>
      <c r="I278" s="183" t="str">
        <f t="shared" si="19"/>
        <v/>
      </c>
      <c r="J278" s="183" t="e">
        <f t="shared" si="22"/>
        <v>#NUM!</v>
      </c>
      <c r="K278" s="182" t="e">
        <f t="shared" si="20"/>
        <v>#NUM!</v>
      </c>
      <c r="L278" s="182"/>
      <c r="M278" s="184">
        <f t="shared" si="21"/>
        <v>0</v>
      </c>
    </row>
    <row r="279" spans="1:13" x14ac:dyDescent="0.25">
      <c r="A279" s="199"/>
      <c r="G279" s="170"/>
      <c r="H279" s="182">
        <v>274</v>
      </c>
      <c r="I279" s="183" t="str">
        <f t="shared" si="19"/>
        <v/>
      </c>
      <c r="J279" s="183" t="e">
        <f t="shared" si="22"/>
        <v>#NUM!</v>
      </c>
      <c r="K279" s="182" t="e">
        <f t="shared" si="20"/>
        <v>#NUM!</v>
      </c>
      <c r="L279" s="182"/>
      <c r="M279" s="184">
        <f t="shared" si="21"/>
        <v>0</v>
      </c>
    </row>
    <row r="280" spans="1:13" x14ac:dyDescent="0.25">
      <c r="A280" s="199"/>
      <c r="G280" s="170"/>
      <c r="H280" s="182">
        <v>275</v>
      </c>
      <c r="I280" s="183" t="str">
        <f t="shared" si="19"/>
        <v/>
      </c>
      <c r="J280" s="183" t="e">
        <f t="shared" si="22"/>
        <v>#NUM!</v>
      </c>
      <c r="K280" s="182" t="e">
        <f t="shared" si="20"/>
        <v>#NUM!</v>
      </c>
      <c r="L280" s="182"/>
      <c r="M280" s="184">
        <f t="shared" si="21"/>
        <v>0</v>
      </c>
    </row>
    <row r="281" spans="1:13" x14ac:dyDescent="0.25">
      <c r="A281" s="199"/>
      <c r="G281" s="170"/>
      <c r="H281" s="182">
        <v>276</v>
      </c>
      <c r="I281" s="183" t="str">
        <f t="shared" si="19"/>
        <v/>
      </c>
      <c r="J281" s="183" t="e">
        <f t="shared" si="22"/>
        <v>#NUM!</v>
      </c>
      <c r="K281" s="182" t="e">
        <f t="shared" si="20"/>
        <v>#NUM!</v>
      </c>
      <c r="L281" s="182"/>
      <c r="M281" s="184">
        <f t="shared" si="21"/>
        <v>0</v>
      </c>
    </row>
    <row r="282" spans="1:13" x14ac:dyDescent="0.25">
      <c r="A282" s="199"/>
      <c r="G282" s="170"/>
      <c r="H282" s="182">
        <v>277</v>
      </c>
      <c r="I282" s="183" t="str">
        <f t="shared" si="19"/>
        <v/>
      </c>
      <c r="J282" s="183" t="e">
        <f t="shared" si="22"/>
        <v>#NUM!</v>
      </c>
      <c r="K282" s="182" t="e">
        <f t="shared" si="20"/>
        <v>#NUM!</v>
      </c>
      <c r="L282" s="182"/>
      <c r="M282" s="184">
        <f t="shared" si="21"/>
        <v>0</v>
      </c>
    </row>
    <row r="283" spans="1:13" x14ac:dyDescent="0.25">
      <c r="A283" s="199"/>
      <c r="G283" s="170"/>
      <c r="H283" s="182">
        <v>278</v>
      </c>
      <c r="I283" s="183" t="str">
        <f t="shared" si="19"/>
        <v/>
      </c>
      <c r="J283" s="183" t="e">
        <f t="shared" si="22"/>
        <v>#NUM!</v>
      </c>
      <c r="K283" s="182" t="e">
        <f t="shared" si="20"/>
        <v>#NUM!</v>
      </c>
      <c r="L283" s="182"/>
      <c r="M283" s="184">
        <f t="shared" si="21"/>
        <v>0</v>
      </c>
    </row>
    <row r="284" spans="1:13" x14ac:dyDescent="0.25">
      <c r="A284" s="199"/>
      <c r="G284" s="170"/>
      <c r="H284" s="182">
        <v>279</v>
      </c>
      <c r="I284" s="183" t="str">
        <f t="shared" si="19"/>
        <v/>
      </c>
      <c r="J284" s="183" t="e">
        <f t="shared" si="22"/>
        <v>#NUM!</v>
      </c>
      <c r="K284" s="182" t="e">
        <f t="shared" si="20"/>
        <v>#NUM!</v>
      </c>
      <c r="L284" s="182"/>
      <c r="M284" s="184">
        <f t="shared" si="21"/>
        <v>0</v>
      </c>
    </row>
    <row r="285" spans="1:13" x14ac:dyDescent="0.25">
      <c r="A285" s="199"/>
      <c r="G285" s="170"/>
      <c r="H285" s="182">
        <v>280</v>
      </c>
      <c r="I285" s="183" t="str">
        <f t="shared" si="19"/>
        <v/>
      </c>
      <c r="J285" s="183" t="e">
        <f t="shared" si="22"/>
        <v>#NUM!</v>
      </c>
      <c r="K285" s="182" t="e">
        <f t="shared" si="20"/>
        <v>#NUM!</v>
      </c>
      <c r="L285" s="182"/>
      <c r="M285" s="184">
        <f t="shared" si="21"/>
        <v>0</v>
      </c>
    </row>
    <row r="286" spans="1:13" x14ac:dyDescent="0.25">
      <c r="A286" s="199"/>
      <c r="G286" s="170"/>
      <c r="H286" s="182">
        <v>281</v>
      </c>
      <c r="I286" s="183" t="str">
        <f t="shared" si="19"/>
        <v/>
      </c>
      <c r="J286" s="183" t="e">
        <f t="shared" si="22"/>
        <v>#NUM!</v>
      </c>
      <c r="K286" s="182" t="e">
        <f t="shared" si="20"/>
        <v>#NUM!</v>
      </c>
      <c r="L286" s="182"/>
      <c r="M286" s="184">
        <f t="shared" si="21"/>
        <v>0</v>
      </c>
    </row>
    <row r="287" spans="1:13" x14ac:dyDescent="0.25">
      <c r="A287" s="199"/>
      <c r="G287" s="170"/>
      <c r="H287" s="182">
        <v>282</v>
      </c>
      <c r="I287" s="183" t="str">
        <f t="shared" si="19"/>
        <v/>
      </c>
      <c r="J287" s="183" t="e">
        <f t="shared" si="22"/>
        <v>#NUM!</v>
      </c>
      <c r="K287" s="182" t="e">
        <f t="shared" si="20"/>
        <v>#NUM!</v>
      </c>
      <c r="L287" s="182"/>
      <c r="M287" s="184">
        <f t="shared" si="21"/>
        <v>0</v>
      </c>
    </row>
    <row r="288" spans="1:13" x14ac:dyDescent="0.25">
      <c r="A288" s="199"/>
      <c r="G288" s="170"/>
      <c r="H288" s="182">
        <v>283</v>
      </c>
      <c r="I288" s="183" t="str">
        <f t="shared" si="19"/>
        <v/>
      </c>
      <c r="J288" s="183" t="e">
        <f t="shared" si="22"/>
        <v>#NUM!</v>
      </c>
      <c r="K288" s="182" t="e">
        <f t="shared" si="20"/>
        <v>#NUM!</v>
      </c>
      <c r="L288" s="182"/>
      <c r="M288" s="184">
        <f t="shared" si="21"/>
        <v>0</v>
      </c>
    </row>
    <row r="289" spans="1:13" x14ac:dyDescent="0.25">
      <c r="A289" s="199"/>
      <c r="G289" s="170"/>
      <c r="H289" s="182">
        <v>284</v>
      </c>
      <c r="I289" s="183" t="str">
        <f t="shared" si="19"/>
        <v/>
      </c>
      <c r="J289" s="183" t="e">
        <f t="shared" si="22"/>
        <v>#NUM!</v>
      </c>
      <c r="K289" s="182" t="e">
        <f t="shared" si="20"/>
        <v>#NUM!</v>
      </c>
      <c r="L289" s="182"/>
      <c r="M289" s="184">
        <f t="shared" si="21"/>
        <v>0</v>
      </c>
    </row>
    <row r="290" spans="1:13" x14ac:dyDescent="0.25">
      <c r="A290" s="199"/>
      <c r="G290" s="170"/>
      <c r="H290" s="182">
        <v>285</v>
      </c>
      <c r="I290" s="183" t="str">
        <f t="shared" si="19"/>
        <v/>
      </c>
      <c r="J290" s="183" t="e">
        <f t="shared" si="22"/>
        <v>#NUM!</v>
      </c>
      <c r="K290" s="182" t="e">
        <f t="shared" si="20"/>
        <v>#NUM!</v>
      </c>
      <c r="L290" s="182"/>
      <c r="M290" s="184">
        <f t="shared" si="21"/>
        <v>0</v>
      </c>
    </row>
    <row r="291" spans="1:13" x14ac:dyDescent="0.25">
      <c r="A291" s="199"/>
      <c r="G291" s="170"/>
      <c r="H291" s="182">
        <v>286</v>
      </c>
      <c r="I291" s="183" t="str">
        <f t="shared" si="19"/>
        <v/>
      </c>
      <c r="J291" s="183" t="e">
        <f t="shared" si="22"/>
        <v>#NUM!</v>
      </c>
      <c r="K291" s="182" t="e">
        <f t="shared" si="20"/>
        <v>#NUM!</v>
      </c>
      <c r="L291" s="182"/>
      <c r="M291" s="184">
        <f t="shared" si="21"/>
        <v>0</v>
      </c>
    </row>
    <row r="292" spans="1:13" x14ac:dyDescent="0.25">
      <c r="A292" s="199"/>
      <c r="G292" s="170"/>
      <c r="H292" s="182">
        <v>287</v>
      </c>
      <c r="I292" s="183" t="str">
        <f t="shared" si="19"/>
        <v/>
      </c>
      <c r="J292" s="183" t="e">
        <f t="shared" si="22"/>
        <v>#NUM!</v>
      </c>
      <c r="K292" s="182" t="e">
        <f t="shared" si="20"/>
        <v>#NUM!</v>
      </c>
      <c r="L292" s="182"/>
      <c r="M292" s="184">
        <f t="shared" si="21"/>
        <v>0</v>
      </c>
    </row>
    <row r="293" spans="1:13" x14ac:dyDescent="0.25">
      <c r="A293" s="199"/>
      <c r="G293" s="170"/>
      <c r="H293" s="182">
        <v>288</v>
      </c>
      <c r="I293" s="183" t="str">
        <f t="shared" si="19"/>
        <v/>
      </c>
      <c r="J293" s="183" t="e">
        <f t="shared" si="22"/>
        <v>#NUM!</v>
      </c>
      <c r="K293" s="182" t="e">
        <f t="shared" si="20"/>
        <v>#NUM!</v>
      </c>
      <c r="L293" s="182"/>
      <c r="M293" s="184">
        <f t="shared" si="21"/>
        <v>0</v>
      </c>
    </row>
    <row r="294" spans="1:13" x14ac:dyDescent="0.25">
      <c r="A294" s="199"/>
      <c r="G294" s="170"/>
      <c r="H294" s="182">
        <v>289</v>
      </c>
      <c r="I294" s="183" t="str">
        <f t="shared" si="19"/>
        <v/>
      </c>
      <c r="J294" s="183" t="e">
        <f t="shared" si="22"/>
        <v>#NUM!</v>
      </c>
      <c r="K294" s="182" t="e">
        <f t="shared" si="20"/>
        <v>#NUM!</v>
      </c>
      <c r="L294" s="182"/>
      <c r="M294" s="184">
        <f t="shared" si="21"/>
        <v>0</v>
      </c>
    </row>
    <row r="295" spans="1:13" x14ac:dyDescent="0.25">
      <c r="A295" s="199"/>
      <c r="G295" s="170"/>
      <c r="H295" s="182">
        <v>290</v>
      </c>
      <c r="I295" s="183" t="str">
        <f t="shared" si="19"/>
        <v/>
      </c>
      <c r="J295" s="183" t="e">
        <f t="shared" si="22"/>
        <v>#NUM!</v>
      </c>
      <c r="K295" s="182" t="e">
        <f t="shared" si="20"/>
        <v>#NUM!</v>
      </c>
      <c r="L295" s="182"/>
      <c r="M295" s="184">
        <f t="shared" si="21"/>
        <v>0</v>
      </c>
    </row>
    <row r="296" spans="1:13" x14ac:dyDescent="0.25">
      <c r="A296" s="199"/>
      <c r="G296" s="170"/>
      <c r="H296" s="182">
        <v>291</v>
      </c>
      <c r="I296" s="183" t="str">
        <f t="shared" si="19"/>
        <v/>
      </c>
      <c r="J296" s="183" t="e">
        <f t="shared" si="22"/>
        <v>#NUM!</v>
      </c>
      <c r="K296" s="182" t="e">
        <f t="shared" si="20"/>
        <v>#NUM!</v>
      </c>
      <c r="L296" s="182"/>
      <c r="M296" s="184">
        <f t="shared" si="21"/>
        <v>0</v>
      </c>
    </row>
    <row r="297" spans="1:13" x14ac:dyDescent="0.25">
      <c r="A297" s="199"/>
      <c r="G297" s="170"/>
      <c r="H297" s="182">
        <v>292</v>
      </c>
      <c r="I297" s="183" t="str">
        <f t="shared" si="19"/>
        <v/>
      </c>
      <c r="J297" s="183" t="e">
        <f t="shared" si="22"/>
        <v>#NUM!</v>
      </c>
      <c r="K297" s="182" t="e">
        <f t="shared" si="20"/>
        <v>#NUM!</v>
      </c>
      <c r="L297" s="182"/>
      <c r="M297" s="184">
        <f t="shared" si="21"/>
        <v>0</v>
      </c>
    </row>
    <row r="298" spans="1:13" x14ac:dyDescent="0.25">
      <c r="A298" s="199"/>
      <c r="G298" s="170"/>
      <c r="H298" s="182">
        <v>293</v>
      </c>
      <c r="I298" s="183" t="str">
        <f t="shared" si="19"/>
        <v/>
      </c>
      <c r="J298" s="183" t="e">
        <f t="shared" si="22"/>
        <v>#NUM!</v>
      </c>
      <c r="K298" s="182" t="e">
        <f t="shared" si="20"/>
        <v>#NUM!</v>
      </c>
      <c r="L298" s="182"/>
      <c r="M298" s="184">
        <f t="shared" si="21"/>
        <v>0</v>
      </c>
    </row>
    <row r="299" spans="1:13" x14ac:dyDescent="0.25">
      <c r="A299" s="199"/>
      <c r="G299" s="170"/>
      <c r="H299" s="182">
        <v>294</v>
      </c>
      <c r="I299" s="183" t="str">
        <f t="shared" si="19"/>
        <v/>
      </c>
      <c r="J299" s="183" t="e">
        <f t="shared" si="22"/>
        <v>#NUM!</v>
      </c>
      <c r="K299" s="182" t="e">
        <f t="shared" si="20"/>
        <v>#NUM!</v>
      </c>
      <c r="L299" s="182"/>
      <c r="M299" s="184">
        <f t="shared" si="21"/>
        <v>0</v>
      </c>
    </row>
    <row r="300" spans="1:13" x14ac:dyDescent="0.25">
      <c r="A300" s="199"/>
      <c r="G300" s="170"/>
      <c r="H300" s="182">
        <v>295</v>
      </c>
      <c r="I300" s="183" t="str">
        <f t="shared" si="19"/>
        <v/>
      </c>
      <c r="J300" s="183" t="e">
        <f t="shared" si="22"/>
        <v>#NUM!</v>
      </c>
      <c r="K300" s="182" t="e">
        <f t="shared" si="20"/>
        <v>#NUM!</v>
      </c>
      <c r="L300" s="182"/>
      <c r="M300" s="184">
        <f t="shared" si="21"/>
        <v>0</v>
      </c>
    </row>
    <row r="301" spans="1:13" x14ac:dyDescent="0.25">
      <c r="A301" s="199"/>
      <c r="G301" s="170"/>
      <c r="H301" s="182">
        <v>296</v>
      </c>
      <c r="I301" s="183" t="str">
        <f t="shared" si="19"/>
        <v/>
      </c>
      <c r="J301" s="183" t="e">
        <f t="shared" si="22"/>
        <v>#NUM!</v>
      </c>
      <c r="K301" s="182" t="e">
        <f t="shared" si="20"/>
        <v>#NUM!</v>
      </c>
      <c r="L301" s="182"/>
      <c r="M301" s="184">
        <f t="shared" si="21"/>
        <v>0</v>
      </c>
    </row>
    <row r="302" spans="1:13" x14ac:dyDescent="0.25">
      <c r="A302" s="199"/>
      <c r="G302" s="170"/>
      <c r="H302" s="182">
        <v>297</v>
      </c>
      <c r="I302" s="183" t="str">
        <f t="shared" si="19"/>
        <v/>
      </c>
      <c r="J302" s="183" t="e">
        <f t="shared" si="22"/>
        <v>#NUM!</v>
      </c>
      <c r="K302" s="182" t="e">
        <f t="shared" si="20"/>
        <v>#NUM!</v>
      </c>
      <c r="L302" s="182"/>
      <c r="M302" s="184">
        <f t="shared" si="21"/>
        <v>0</v>
      </c>
    </row>
    <row r="303" spans="1:13" x14ac:dyDescent="0.25">
      <c r="A303" s="199"/>
      <c r="G303" s="170"/>
      <c r="H303" s="182">
        <v>298</v>
      </c>
      <c r="I303" s="183" t="str">
        <f t="shared" si="19"/>
        <v/>
      </c>
      <c r="J303" s="183" t="e">
        <f t="shared" si="22"/>
        <v>#NUM!</v>
      </c>
      <c r="K303" s="182" t="e">
        <f t="shared" si="20"/>
        <v>#NUM!</v>
      </c>
      <c r="L303" s="182"/>
      <c r="M303" s="184">
        <f t="shared" si="21"/>
        <v>0</v>
      </c>
    </row>
    <row r="304" spans="1:13" x14ac:dyDescent="0.25">
      <c r="A304" s="199"/>
      <c r="G304" s="170"/>
      <c r="H304" s="182">
        <v>299</v>
      </c>
      <c r="I304" s="183" t="str">
        <f t="shared" si="19"/>
        <v/>
      </c>
      <c r="J304" s="183" t="e">
        <f t="shared" si="22"/>
        <v>#NUM!</v>
      </c>
      <c r="K304" s="182" t="e">
        <f t="shared" si="20"/>
        <v>#NUM!</v>
      </c>
      <c r="L304" s="182"/>
      <c r="M304" s="184">
        <f t="shared" si="21"/>
        <v>0</v>
      </c>
    </row>
    <row r="305" spans="1:16" x14ac:dyDescent="0.25">
      <c r="A305" s="199"/>
      <c r="G305" s="170"/>
      <c r="H305" s="182">
        <v>300</v>
      </c>
      <c r="I305" s="183" t="str">
        <f t="shared" si="19"/>
        <v/>
      </c>
      <c r="J305" s="183" t="e">
        <f t="shared" si="22"/>
        <v>#NUM!</v>
      </c>
      <c r="K305" s="182" t="e">
        <f t="shared" si="20"/>
        <v>#NUM!</v>
      </c>
      <c r="L305" s="182"/>
      <c r="M305" s="184">
        <f t="shared" si="21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9A4D3552-D788-43DF-9C3C-B7C6D3C67C38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52CC-93C5-44E1-B8FA-D90FFB27A432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" style="201" customWidth="1"/>
    <col min="11" max="11" width="8.75" style="201" customWidth="1"/>
    <col min="12" max="12" width="11" style="201" customWidth="1"/>
    <col min="13" max="13" width="11.7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22</v>
      </c>
      <c r="I1" s="172" t="s">
        <v>23</v>
      </c>
      <c r="J1" s="172" t="s">
        <v>24</v>
      </c>
      <c r="K1" s="173" t="s">
        <v>99</v>
      </c>
      <c r="L1" s="174"/>
      <c r="M1" s="174"/>
    </row>
    <row r="2" spans="1:36" x14ac:dyDescent="0.25">
      <c r="A2" s="170"/>
      <c r="B2" s="22" t="s">
        <v>26</v>
      </c>
      <c r="C2" s="245" t="s">
        <v>100</v>
      </c>
      <c r="D2" s="130"/>
      <c r="E2" s="23"/>
      <c r="F2" s="23"/>
      <c r="G2" s="23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ht="14.45" customHeight="1" x14ac:dyDescent="0.25">
      <c r="A3" s="170"/>
      <c r="B3" s="179" t="s">
        <v>28</v>
      </c>
      <c r="C3" s="71" t="s">
        <v>117</v>
      </c>
      <c r="D3" s="71"/>
      <c r="E3" s="28"/>
      <c r="F3" s="28"/>
      <c r="G3" s="28"/>
      <c r="H3" s="174"/>
      <c r="I3" s="174"/>
      <c r="J3" s="174"/>
      <c r="K3" s="174"/>
      <c r="L3" s="174"/>
      <c r="M3" s="17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74"/>
      <c r="I4" s="174"/>
      <c r="J4" s="174"/>
      <c r="K4" s="174"/>
      <c r="L4" s="174"/>
      <c r="M4" s="174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80" t="s">
        <v>36</v>
      </c>
      <c r="I5" s="181" t="s">
        <v>37</v>
      </c>
      <c r="J5" s="181" t="s">
        <v>38</v>
      </c>
      <c r="K5" s="181" t="s">
        <v>39</v>
      </c>
      <c r="L5" s="181" t="s">
        <v>40</v>
      </c>
      <c r="M5" s="180" t="s">
        <v>41</v>
      </c>
    </row>
    <row r="6" spans="1:36" ht="14.45" customHeight="1" x14ac:dyDescent="0.25">
      <c r="A6" s="103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182">
        <v>1</v>
      </c>
      <c r="I6" s="183" t="str">
        <f t="shared" ref="I6:I69" si="1">IF(H6&lt;$H$2+1,($I$2-($I$2-1)*(LOG(H6)/LOG($H$2))),"")</f>
        <v/>
      </c>
      <c r="J6" s="183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185">
        <v>2</v>
      </c>
      <c r="I7" s="186" t="str">
        <f t="shared" si="1"/>
        <v/>
      </c>
      <c r="J7" s="186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103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182">
        <v>3</v>
      </c>
      <c r="I8" s="183" t="str">
        <f t="shared" si="1"/>
        <v/>
      </c>
      <c r="J8" s="183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102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42</v>
      </c>
      <c r="AI9" s="175">
        <v>23</v>
      </c>
    </row>
    <row r="10" spans="1:36" ht="14.45" customHeight="1" x14ac:dyDescent="0.25">
      <c r="A10" s="103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182">
        <v>5</v>
      </c>
      <c r="I10" s="183" t="str">
        <f t="shared" si="1"/>
        <v/>
      </c>
      <c r="J10" s="183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43</v>
      </c>
      <c r="AI10" s="175">
        <v>45</v>
      </c>
    </row>
    <row r="11" spans="1:36" ht="14.45" customHeight="1" x14ac:dyDescent="0.25">
      <c r="A11" s="102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185">
        <v>6</v>
      </c>
      <c r="I11" s="186" t="str">
        <f t="shared" si="1"/>
        <v/>
      </c>
      <c r="J11" s="186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44</v>
      </c>
      <c r="AI11" s="175">
        <v>50</v>
      </c>
    </row>
    <row r="12" spans="1:36" ht="14.45" customHeight="1" x14ac:dyDescent="0.25">
      <c r="A12" s="103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182">
        <v>7</v>
      </c>
      <c r="I12" s="183" t="str">
        <f t="shared" si="1"/>
        <v/>
      </c>
      <c r="J12" s="183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45</v>
      </c>
      <c r="AI12" s="175">
        <f>AI11-1</f>
        <v>49</v>
      </c>
    </row>
    <row r="13" spans="1:36" ht="14.45" customHeight="1" x14ac:dyDescent="0.25">
      <c r="A13" s="102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185">
        <v>8</v>
      </c>
      <c r="I13" s="186" t="str">
        <f t="shared" si="1"/>
        <v/>
      </c>
      <c r="J13" s="186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46</v>
      </c>
      <c r="AI13" s="175">
        <f>LOG(AI9)</f>
        <v>1.3617278360175928</v>
      </c>
    </row>
    <row r="14" spans="1:36" x14ac:dyDescent="0.25">
      <c r="A14" s="103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182">
        <v>9</v>
      </c>
      <c r="I14" s="183" t="str">
        <f t="shared" si="1"/>
        <v/>
      </c>
      <c r="J14" s="183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47</v>
      </c>
      <c r="AI14" s="175">
        <f>LOG(AI10)</f>
        <v>1.6532125137753437</v>
      </c>
    </row>
    <row r="15" spans="1:36" x14ac:dyDescent="0.25">
      <c r="A15" s="102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185">
        <v>10</v>
      </c>
      <c r="I15" s="186" t="str">
        <f t="shared" si="1"/>
        <v/>
      </c>
      <c r="J15" s="186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103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182">
        <v>11</v>
      </c>
      <c r="I16" s="183" t="str">
        <f t="shared" si="1"/>
        <v/>
      </c>
      <c r="J16" s="183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48</v>
      </c>
      <c r="AI16" s="175">
        <f>AI11-AI12*AI13/AI14</f>
        <v>9.6393909380186855</v>
      </c>
      <c r="AJ16" s="175" t="s">
        <v>49</v>
      </c>
    </row>
    <row r="17" spans="1:19" x14ac:dyDescent="0.25">
      <c r="A17" s="102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185">
        <v>12</v>
      </c>
      <c r="I17" s="186" t="str">
        <f t="shared" si="1"/>
        <v/>
      </c>
      <c r="J17" s="186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103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182">
        <v>13</v>
      </c>
      <c r="I18" s="183" t="str">
        <f t="shared" si="1"/>
        <v/>
      </c>
      <c r="J18" s="183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102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185">
        <v>14</v>
      </c>
      <c r="I19" s="186" t="str">
        <f t="shared" si="1"/>
        <v/>
      </c>
      <c r="J19" s="186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103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182">
        <v>15</v>
      </c>
      <c r="I20" s="183" t="str">
        <f t="shared" si="1"/>
        <v/>
      </c>
      <c r="J20" s="183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102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185">
        <v>16</v>
      </c>
      <c r="I21" s="186" t="str">
        <f t="shared" si="1"/>
        <v/>
      </c>
      <c r="J21" s="186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103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182">
        <v>17</v>
      </c>
      <c r="I22" s="183" t="str">
        <f t="shared" si="1"/>
        <v/>
      </c>
      <c r="J22" s="183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102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185">
        <v>18</v>
      </c>
      <c r="I23" s="186" t="str">
        <f t="shared" si="1"/>
        <v/>
      </c>
      <c r="J23" s="186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103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182">
        <v>19</v>
      </c>
      <c r="I24" s="183" t="str">
        <f t="shared" si="1"/>
        <v/>
      </c>
      <c r="J24" s="183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102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185">
        <v>20</v>
      </c>
      <c r="I25" s="186" t="str">
        <f t="shared" si="1"/>
        <v/>
      </c>
      <c r="J25" s="186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103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182">
        <v>21</v>
      </c>
      <c r="I26" s="183" t="str">
        <f t="shared" si="1"/>
        <v/>
      </c>
      <c r="J26" s="183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102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185">
        <v>22</v>
      </c>
      <c r="I27" s="186" t="str">
        <f t="shared" si="1"/>
        <v/>
      </c>
      <c r="J27" s="186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103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182">
        <v>23</v>
      </c>
      <c r="I28" s="183" t="str">
        <f t="shared" si="1"/>
        <v/>
      </c>
      <c r="J28" s="183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102">
        <f t="shared" si="4"/>
        <v>0</v>
      </c>
      <c r="B29" s="42" t="str">
        <f t="shared" si="0"/>
        <v/>
      </c>
      <c r="C29" s="43"/>
      <c r="D29" s="43"/>
      <c r="E29" s="43"/>
      <c r="F29" s="43"/>
      <c r="G29" s="170"/>
      <c r="H29" s="185">
        <v>24</v>
      </c>
      <c r="I29" s="186" t="str">
        <f t="shared" si="1"/>
        <v/>
      </c>
      <c r="J29" s="186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103">
        <f t="shared" si="4"/>
        <v>0</v>
      </c>
      <c r="B30" s="36" t="str">
        <f t="shared" si="0"/>
        <v/>
      </c>
      <c r="C30" s="37"/>
      <c r="D30" s="37"/>
      <c r="E30" s="37"/>
      <c r="F30" s="37"/>
      <c r="G30" s="170"/>
      <c r="H30" s="182">
        <v>25</v>
      </c>
      <c r="I30" s="183" t="str">
        <f t="shared" si="1"/>
        <v/>
      </c>
      <c r="J30" s="183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102">
        <f t="shared" si="4"/>
        <v>0</v>
      </c>
      <c r="B31" s="42" t="str">
        <f t="shared" si="0"/>
        <v/>
      </c>
      <c r="C31" s="43"/>
      <c r="D31" s="43"/>
      <c r="E31" s="43"/>
      <c r="F31" s="43"/>
      <c r="G31" s="170"/>
      <c r="H31" s="185">
        <v>26</v>
      </c>
      <c r="I31" s="186" t="str">
        <f t="shared" si="1"/>
        <v/>
      </c>
      <c r="J31" s="186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103">
        <f t="shared" si="4"/>
        <v>0</v>
      </c>
      <c r="B32" s="36" t="str">
        <f t="shared" si="0"/>
        <v/>
      </c>
      <c r="C32" s="37"/>
      <c r="D32" s="37"/>
      <c r="E32" s="37"/>
      <c r="F32" s="37"/>
      <c r="G32" s="170"/>
      <c r="H32" s="182">
        <v>27</v>
      </c>
      <c r="I32" s="183" t="str">
        <f t="shared" si="1"/>
        <v/>
      </c>
      <c r="J32" s="183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21" x14ac:dyDescent="0.25">
      <c r="A33" s="102">
        <f t="shared" si="4"/>
        <v>0</v>
      </c>
      <c r="B33" s="42" t="str">
        <f t="shared" si="0"/>
        <v/>
      </c>
      <c r="C33" s="43"/>
      <c r="D33" s="43"/>
      <c r="E33" s="43"/>
      <c r="F33" s="43"/>
      <c r="G33" s="170"/>
      <c r="H33" s="185">
        <v>28</v>
      </c>
      <c r="I33" s="186" t="str">
        <f t="shared" si="1"/>
        <v/>
      </c>
      <c r="J33" s="186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21" x14ac:dyDescent="0.25">
      <c r="A34" s="103">
        <f t="shared" si="4"/>
        <v>0</v>
      </c>
      <c r="B34" s="36" t="str">
        <f t="shared" si="0"/>
        <v/>
      </c>
      <c r="C34" s="37"/>
      <c r="D34" s="37"/>
      <c r="E34" s="37"/>
      <c r="F34" s="37"/>
      <c r="G34" s="170"/>
      <c r="H34" s="182">
        <v>29</v>
      </c>
      <c r="I34" s="183" t="str">
        <f t="shared" si="1"/>
        <v/>
      </c>
      <c r="J34" s="183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21" x14ac:dyDescent="0.25">
      <c r="A35" s="102">
        <f t="shared" si="4"/>
        <v>0</v>
      </c>
      <c r="B35" s="42" t="str">
        <f t="shared" si="0"/>
        <v/>
      </c>
      <c r="C35" s="43"/>
      <c r="D35" s="43"/>
      <c r="E35" s="43"/>
      <c r="F35" s="43"/>
      <c r="G35" s="170"/>
      <c r="H35" s="185">
        <v>30</v>
      </c>
      <c r="I35" s="186" t="str">
        <f t="shared" si="1"/>
        <v/>
      </c>
      <c r="J35" s="186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21" x14ac:dyDescent="0.25">
      <c r="A36" s="103">
        <f t="shared" si="4"/>
        <v>0</v>
      </c>
      <c r="B36" s="36" t="str">
        <f t="shared" si="0"/>
        <v/>
      </c>
      <c r="C36" s="37"/>
      <c r="D36" s="37"/>
      <c r="E36" s="37"/>
      <c r="F36" s="37"/>
      <c r="G36" s="170"/>
      <c r="H36" s="182">
        <v>31</v>
      </c>
      <c r="I36" s="183" t="str">
        <f t="shared" si="1"/>
        <v/>
      </c>
      <c r="J36" s="183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21" x14ac:dyDescent="0.25">
      <c r="A37" s="102">
        <f t="shared" si="4"/>
        <v>0</v>
      </c>
      <c r="B37" s="42" t="str">
        <f t="shared" si="0"/>
        <v/>
      </c>
      <c r="C37" s="43"/>
      <c r="D37" s="43"/>
      <c r="E37" s="43"/>
      <c r="F37" s="43"/>
      <c r="G37" s="170"/>
      <c r="H37" s="185">
        <v>32</v>
      </c>
      <c r="I37" s="186" t="str">
        <f t="shared" si="1"/>
        <v/>
      </c>
      <c r="J37" s="186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21" x14ac:dyDescent="0.25">
      <c r="A38" s="102">
        <f t="shared" si="4"/>
        <v>0</v>
      </c>
      <c r="B38" s="36" t="str">
        <f t="shared" si="0"/>
        <v/>
      </c>
      <c r="C38" s="37"/>
      <c r="D38" s="37"/>
      <c r="E38" s="37"/>
      <c r="F38" s="37"/>
      <c r="G38" s="170"/>
      <c r="H38" s="182">
        <v>33</v>
      </c>
      <c r="I38" s="183" t="str">
        <f t="shared" si="1"/>
        <v/>
      </c>
      <c r="J38" s="183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21" x14ac:dyDescent="0.25">
      <c r="A39" s="102">
        <f t="shared" si="4"/>
        <v>0</v>
      </c>
      <c r="B39" s="42" t="str">
        <f t="shared" si="0"/>
        <v/>
      </c>
      <c r="C39" s="43"/>
      <c r="D39" s="43"/>
      <c r="E39" s="43"/>
      <c r="F39" s="43"/>
      <c r="G39" s="170"/>
      <c r="H39" s="185">
        <v>34</v>
      </c>
      <c r="I39" s="186" t="str">
        <f t="shared" si="1"/>
        <v/>
      </c>
      <c r="J39" s="186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21" x14ac:dyDescent="0.25">
      <c r="A40" s="102">
        <f t="shared" si="4"/>
        <v>0</v>
      </c>
      <c r="B40" s="36" t="str">
        <f t="shared" si="0"/>
        <v/>
      </c>
      <c r="C40" s="37"/>
      <c r="D40" s="37"/>
      <c r="E40" s="37"/>
      <c r="F40" s="37"/>
      <c r="G40" s="170"/>
      <c r="H40" s="182">
        <v>35</v>
      </c>
      <c r="I40" s="183" t="str">
        <f t="shared" si="1"/>
        <v/>
      </c>
      <c r="J40" s="183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21" x14ac:dyDescent="0.25">
      <c r="A41" s="102">
        <f t="shared" si="4"/>
        <v>0</v>
      </c>
      <c r="B41" s="42" t="str">
        <f t="shared" si="0"/>
        <v/>
      </c>
      <c r="C41" s="43"/>
      <c r="D41" s="43"/>
      <c r="E41" s="43"/>
      <c r="F41" s="43"/>
      <c r="G41" s="170"/>
      <c r="H41" s="185">
        <v>36</v>
      </c>
      <c r="I41" s="186" t="str">
        <f t="shared" si="1"/>
        <v/>
      </c>
      <c r="J41" s="186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21" x14ac:dyDescent="0.25">
      <c r="A42" s="102">
        <f t="shared" si="4"/>
        <v>0</v>
      </c>
      <c r="B42" s="36" t="str">
        <f t="shared" si="0"/>
        <v/>
      </c>
      <c r="C42" s="37"/>
      <c r="D42" s="37"/>
      <c r="E42" s="37"/>
      <c r="F42" s="37"/>
      <c r="G42" s="170"/>
      <c r="H42" s="182">
        <v>37</v>
      </c>
      <c r="I42" s="183" t="str">
        <f t="shared" si="1"/>
        <v/>
      </c>
      <c r="J42" s="183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21" x14ac:dyDescent="0.25">
      <c r="A43" s="102">
        <f t="shared" si="4"/>
        <v>0</v>
      </c>
      <c r="B43" s="42" t="str">
        <f t="shared" si="0"/>
        <v/>
      </c>
      <c r="C43" s="43"/>
      <c r="D43" s="43"/>
      <c r="E43" s="43"/>
      <c r="F43" s="43"/>
      <c r="G43" s="170"/>
      <c r="H43" s="185">
        <v>38</v>
      </c>
      <c r="I43" s="186" t="str">
        <f t="shared" si="1"/>
        <v/>
      </c>
      <c r="J43" s="186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21" x14ac:dyDescent="0.25">
      <c r="A44" s="102">
        <f t="shared" si="4"/>
        <v>0</v>
      </c>
      <c r="B44" s="36" t="str">
        <f t="shared" si="0"/>
        <v/>
      </c>
      <c r="C44" s="37"/>
      <c r="D44" s="37"/>
      <c r="E44" s="37"/>
      <c r="F44" s="37"/>
      <c r="G44" s="170"/>
      <c r="H44" s="182">
        <v>39</v>
      </c>
      <c r="I44" s="183" t="str">
        <f t="shared" si="1"/>
        <v/>
      </c>
      <c r="J44" s="183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21" x14ac:dyDescent="0.25">
      <c r="A45" s="102">
        <f t="shared" si="4"/>
        <v>0</v>
      </c>
      <c r="B45" s="42" t="str">
        <f t="shared" si="0"/>
        <v/>
      </c>
      <c r="C45" s="43"/>
      <c r="D45" s="43"/>
      <c r="E45" s="43"/>
      <c r="F45" s="43"/>
      <c r="G45" s="170"/>
      <c r="H45" s="185">
        <v>40</v>
      </c>
      <c r="I45" s="186" t="str">
        <f t="shared" si="1"/>
        <v/>
      </c>
      <c r="J45" s="186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21" x14ac:dyDescent="0.25">
      <c r="A46" s="102">
        <f t="shared" si="4"/>
        <v>0</v>
      </c>
      <c r="B46" s="36" t="str">
        <f t="shared" si="0"/>
        <v/>
      </c>
      <c r="C46" s="37"/>
      <c r="D46" s="37"/>
      <c r="E46" s="37"/>
      <c r="F46" s="37"/>
      <c r="G46" s="170"/>
      <c r="H46" s="182">
        <v>41</v>
      </c>
      <c r="I46" s="183" t="str">
        <f t="shared" si="1"/>
        <v/>
      </c>
      <c r="J46" s="183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2">
        <f t="shared" si="4"/>
        <v>0</v>
      </c>
      <c r="B47" s="42" t="str">
        <f t="shared" si="0"/>
        <v/>
      </c>
      <c r="C47" s="43"/>
      <c r="D47" s="43"/>
      <c r="E47" s="43"/>
      <c r="F47" s="43"/>
      <c r="G47" s="170"/>
      <c r="H47" s="185">
        <v>42</v>
      </c>
      <c r="I47" s="186" t="str">
        <f t="shared" si="1"/>
        <v/>
      </c>
      <c r="J47" s="186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21" x14ac:dyDescent="0.25">
      <c r="A48" s="102">
        <f t="shared" si="4"/>
        <v>0</v>
      </c>
      <c r="B48" s="36" t="str">
        <f t="shared" si="0"/>
        <v/>
      </c>
      <c r="C48" s="37"/>
      <c r="D48" s="37"/>
      <c r="E48" s="37"/>
      <c r="F48" s="37"/>
      <c r="G48" s="170"/>
      <c r="H48" s="182">
        <v>43</v>
      </c>
      <c r="I48" s="183" t="str">
        <f t="shared" si="1"/>
        <v/>
      </c>
      <c r="J48" s="183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13" x14ac:dyDescent="0.25">
      <c r="A49" s="102">
        <f t="shared" si="4"/>
        <v>0</v>
      </c>
      <c r="B49" s="42" t="str">
        <f t="shared" si="0"/>
        <v/>
      </c>
      <c r="C49" s="43"/>
      <c r="D49" s="43"/>
      <c r="E49" s="43"/>
      <c r="F49" s="43"/>
      <c r="G49" s="170"/>
      <c r="H49" s="185">
        <v>44</v>
      </c>
      <c r="I49" s="186" t="str">
        <f t="shared" si="1"/>
        <v/>
      </c>
      <c r="J49" s="186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13" x14ac:dyDescent="0.25">
      <c r="A50" s="102">
        <f t="shared" si="4"/>
        <v>0</v>
      </c>
      <c r="B50" s="36" t="str">
        <f t="shared" si="0"/>
        <v/>
      </c>
      <c r="C50" s="37"/>
      <c r="D50" s="37"/>
      <c r="E50" s="37"/>
      <c r="F50" s="37"/>
      <c r="G50" s="170"/>
      <c r="H50" s="182">
        <v>45</v>
      </c>
      <c r="I50" s="183" t="str">
        <f t="shared" si="1"/>
        <v/>
      </c>
      <c r="J50" s="183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13" x14ac:dyDescent="0.25">
      <c r="A51" s="102">
        <f t="shared" si="4"/>
        <v>0</v>
      </c>
      <c r="B51" s="42" t="str">
        <f t="shared" si="0"/>
        <v/>
      </c>
      <c r="C51" s="43"/>
      <c r="D51" s="43"/>
      <c r="E51" s="43"/>
      <c r="F51" s="43"/>
      <c r="G51" s="170"/>
      <c r="H51" s="185">
        <v>46</v>
      </c>
      <c r="I51" s="186" t="str">
        <f t="shared" si="1"/>
        <v/>
      </c>
      <c r="J51" s="186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13" x14ac:dyDescent="0.25">
      <c r="A52" s="102">
        <f t="shared" si="4"/>
        <v>0</v>
      </c>
      <c r="B52" s="36" t="str">
        <f t="shared" si="0"/>
        <v/>
      </c>
      <c r="C52" s="37"/>
      <c r="D52" s="37"/>
      <c r="E52" s="37"/>
      <c r="F52" s="37"/>
      <c r="G52" s="170"/>
      <c r="H52" s="182">
        <v>47</v>
      </c>
      <c r="I52" s="183" t="str">
        <f t="shared" si="1"/>
        <v/>
      </c>
      <c r="J52" s="183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13" x14ac:dyDescent="0.25">
      <c r="A53" s="102">
        <f t="shared" si="4"/>
        <v>0</v>
      </c>
      <c r="B53" s="42" t="str">
        <f t="shared" si="0"/>
        <v/>
      </c>
      <c r="C53" s="43"/>
      <c r="D53" s="43"/>
      <c r="E53" s="43"/>
      <c r="F53" s="43"/>
      <c r="G53" s="170"/>
      <c r="H53" s="185">
        <v>48</v>
      </c>
      <c r="I53" s="186" t="str">
        <f t="shared" si="1"/>
        <v/>
      </c>
      <c r="J53" s="186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13" x14ac:dyDescent="0.25">
      <c r="A54" s="102">
        <f t="shared" si="4"/>
        <v>0</v>
      </c>
      <c r="B54" s="36" t="str">
        <f t="shared" si="0"/>
        <v/>
      </c>
      <c r="C54" s="37"/>
      <c r="D54" s="37"/>
      <c r="E54" s="37"/>
      <c r="F54" s="37"/>
      <c r="G54" s="170"/>
      <c r="H54" s="182">
        <v>49</v>
      </c>
      <c r="I54" s="183" t="str">
        <f t="shared" si="1"/>
        <v/>
      </c>
      <c r="J54" s="183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13" x14ac:dyDescent="0.25">
      <c r="A55" s="102">
        <f t="shared" si="4"/>
        <v>0</v>
      </c>
      <c r="B55" s="42" t="str">
        <f t="shared" si="0"/>
        <v/>
      </c>
      <c r="C55" s="43"/>
      <c r="D55" s="43"/>
      <c r="E55" s="43"/>
      <c r="F55" s="43"/>
      <c r="G55" s="170"/>
      <c r="H55" s="185">
        <v>50</v>
      </c>
      <c r="I55" s="186" t="str">
        <f t="shared" si="1"/>
        <v/>
      </c>
      <c r="J55" s="186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13" x14ac:dyDescent="0.25">
      <c r="A56" s="102">
        <f t="shared" si="4"/>
        <v>0</v>
      </c>
      <c r="B56" s="36" t="str">
        <f t="shared" si="0"/>
        <v/>
      </c>
      <c r="C56" s="37"/>
      <c r="D56" s="37"/>
      <c r="E56" s="37"/>
      <c r="F56" s="37"/>
      <c r="G56" s="170"/>
      <c r="H56" s="182">
        <v>51</v>
      </c>
      <c r="I56" s="183" t="str">
        <f t="shared" si="1"/>
        <v/>
      </c>
      <c r="J56" s="183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13" x14ac:dyDescent="0.25">
      <c r="A57" s="102">
        <f t="shared" si="4"/>
        <v>0</v>
      </c>
      <c r="B57" s="42" t="str">
        <f t="shared" si="0"/>
        <v/>
      </c>
      <c r="C57" s="43"/>
      <c r="D57" s="43"/>
      <c r="E57" s="43"/>
      <c r="F57" s="43"/>
      <c r="G57" s="170"/>
      <c r="H57" s="185">
        <v>52</v>
      </c>
      <c r="I57" s="186" t="str">
        <f t="shared" si="1"/>
        <v/>
      </c>
      <c r="J57" s="186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</row>
    <row r="58" spans="1:13" x14ac:dyDescent="0.25">
      <c r="A58" s="102">
        <f t="shared" si="4"/>
        <v>0</v>
      </c>
      <c r="B58" s="36" t="str">
        <f t="shared" si="0"/>
        <v/>
      </c>
      <c r="C58" s="37"/>
      <c r="D58" s="37"/>
      <c r="E58" s="37"/>
      <c r="F58" s="37"/>
      <c r="G58" s="170"/>
      <c r="H58" s="182">
        <v>53</v>
      </c>
      <c r="I58" s="183" t="str">
        <f t="shared" si="1"/>
        <v/>
      </c>
      <c r="J58" s="183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</row>
    <row r="59" spans="1:13" x14ac:dyDescent="0.25">
      <c r="A59" s="102">
        <f t="shared" si="4"/>
        <v>0</v>
      </c>
      <c r="B59" s="42" t="str">
        <f t="shared" si="0"/>
        <v/>
      </c>
      <c r="C59" s="43"/>
      <c r="D59" s="43"/>
      <c r="E59" s="43"/>
      <c r="F59" s="43"/>
      <c r="G59" s="170"/>
      <c r="H59" s="185">
        <v>54</v>
      </c>
      <c r="I59" s="186" t="str">
        <f t="shared" si="1"/>
        <v/>
      </c>
      <c r="J59" s="186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</row>
    <row r="60" spans="1:13" x14ac:dyDescent="0.25">
      <c r="A60" s="102">
        <f t="shared" si="4"/>
        <v>0</v>
      </c>
      <c r="B60" s="36" t="str">
        <f t="shared" si="0"/>
        <v/>
      </c>
      <c r="C60" s="37"/>
      <c r="D60" s="37"/>
      <c r="E60" s="37"/>
      <c r="F60" s="37"/>
      <c r="G60" s="170"/>
      <c r="H60" s="182">
        <v>55</v>
      </c>
      <c r="I60" s="183" t="str">
        <f t="shared" si="1"/>
        <v/>
      </c>
      <c r="J60" s="183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</row>
    <row r="61" spans="1:13" x14ac:dyDescent="0.25">
      <c r="A61" s="102">
        <f t="shared" si="4"/>
        <v>0</v>
      </c>
      <c r="B61" s="42" t="str">
        <f t="shared" si="0"/>
        <v/>
      </c>
      <c r="C61" s="43"/>
      <c r="D61" s="43"/>
      <c r="E61" s="43"/>
      <c r="F61" s="43"/>
      <c r="G61" s="170"/>
      <c r="H61" s="185">
        <v>56</v>
      </c>
      <c r="I61" s="186" t="str">
        <f t="shared" si="1"/>
        <v/>
      </c>
      <c r="J61" s="186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</row>
    <row r="62" spans="1:13" x14ac:dyDescent="0.25">
      <c r="A62" s="102">
        <f t="shared" si="4"/>
        <v>0</v>
      </c>
      <c r="B62" s="36" t="str">
        <f t="shared" si="0"/>
        <v/>
      </c>
      <c r="C62" s="37"/>
      <c r="D62" s="37"/>
      <c r="E62" s="37"/>
      <c r="F62" s="37"/>
      <c r="G62" s="170"/>
      <c r="H62" s="182">
        <v>57</v>
      </c>
      <c r="I62" s="183" t="str">
        <f t="shared" si="1"/>
        <v/>
      </c>
      <c r="J62" s="183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</row>
    <row r="63" spans="1:13" x14ac:dyDescent="0.25">
      <c r="A63" s="102">
        <f t="shared" si="4"/>
        <v>0</v>
      </c>
      <c r="B63" s="42" t="str">
        <f t="shared" si="0"/>
        <v/>
      </c>
      <c r="C63" s="43"/>
      <c r="D63" s="43"/>
      <c r="E63" s="43"/>
      <c r="F63" s="43"/>
      <c r="G63" s="170"/>
      <c r="H63" s="185">
        <v>58</v>
      </c>
      <c r="I63" s="186" t="str">
        <f t="shared" si="1"/>
        <v/>
      </c>
      <c r="J63" s="186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</row>
    <row r="64" spans="1:13" x14ac:dyDescent="0.25">
      <c r="A64" s="102">
        <f t="shared" si="4"/>
        <v>0</v>
      </c>
      <c r="B64" s="36" t="str">
        <f t="shared" si="0"/>
        <v/>
      </c>
      <c r="C64" s="37"/>
      <c r="D64" s="37"/>
      <c r="E64" s="37"/>
      <c r="F64" s="37"/>
      <c r="G64" s="170"/>
      <c r="H64" s="182">
        <v>59</v>
      </c>
      <c r="I64" s="183" t="str">
        <f t="shared" si="1"/>
        <v/>
      </c>
      <c r="J64" s="183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</row>
    <row r="65" spans="1:13" x14ac:dyDescent="0.25">
      <c r="A65" s="102">
        <f t="shared" si="4"/>
        <v>0</v>
      </c>
      <c r="B65" s="42" t="str">
        <f t="shared" si="0"/>
        <v/>
      </c>
      <c r="C65" s="43"/>
      <c r="D65" s="43"/>
      <c r="E65" s="43"/>
      <c r="F65" s="43"/>
      <c r="G65" s="170"/>
      <c r="H65" s="185">
        <v>60</v>
      </c>
      <c r="I65" s="186" t="str">
        <f t="shared" si="1"/>
        <v/>
      </c>
      <c r="J65" s="186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</row>
    <row r="66" spans="1:13" x14ac:dyDescent="0.25">
      <c r="A66" s="102">
        <f t="shared" si="4"/>
        <v>0</v>
      </c>
      <c r="B66" s="36"/>
      <c r="G66" s="170"/>
      <c r="H66" s="182">
        <v>61</v>
      </c>
      <c r="I66" s="183" t="str">
        <f t="shared" si="1"/>
        <v/>
      </c>
      <c r="J66" s="183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</row>
    <row r="67" spans="1:13" x14ac:dyDescent="0.25">
      <c r="A67" s="102">
        <f t="shared" si="4"/>
        <v>0</v>
      </c>
      <c r="B67" s="42"/>
      <c r="G67" s="170"/>
      <c r="H67" s="182">
        <v>62</v>
      </c>
      <c r="I67" s="183" t="str">
        <f t="shared" si="1"/>
        <v/>
      </c>
      <c r="J67" s="183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</row>
    <row r="68" spans="1:13" x14ac:dyDescent="0.25">
      <c r="A68" s="102">
        <f t="shared" si="4"/>
        <v>0</v>
      </c>
      <c r="B68" s="36"/>
      <c r="G68" s="170"/>
      <c r="H68" s="182">
        <v>63</v>
      </c>
      <c r="I68" s="183" t="str">
        <f t="shared" si="1"/>
        <v/>
      </c>
      <c r="J68" s="183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</row>
    <row r="69" spans="1:13" x14ac:dyDescent="0.25">
      <c r="A69" s="102">
        <f t="shared" si="4"/>
        <v>0</v>
      </c>
      <c r="B69" s="42"/>
      <c r="G69" s="170"/>
      <c r="H69" s="182">
        <v>64</v>
      </c>
      <c r="I69" s="183" t="str">
        <f t="shared" si="1"/>
        <v/>
      </c>
      <c r="J69" s="183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</row>
    <row r="70" spans="1:13" x14ac:dyDescent="0.25">
      <c r="A70" s="102">
        <f t="shared" si="4"/>
        <v>0</v>
      </c>
      <c r="G70" s="170"/>
      <c r="H70" s="182">
        <v>65</v>
      </c>
      <c r="I70" s="183" t="str">
        <f t="shared" ref="I70:I133" si="6">IF(H70&lt;$H$2+1,($I$2-($I$2-1)*(LOG(H70)/LOG($H$2))),"")</f>
        <v/>
      </c>
      <c r="J70" s="183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102">
        <f t="shared" ref="A71:A79" si="9">M71</f>
        <v>0</v>
      </c>
      <c r="G71" s="170"/>
      <c r="H71" s="182">
        <v>66</v>
      </c>
      <c r="I71" s="183" t="str">
        <f t="shared" si="6"/>
        <v/>
      </c>
      <c r="J71" s="183" t="e">
        <f t="shared" ref="J71:J134" si="10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102">
        <f t="shared" si="9"/>
        <v>0</v>
      </c>
      <c r="G72" s="170"/>
      <c r="H72" s="182">
        <v>67</v>
      </c>
      <c r="I72" s="183" t="str">
        <f t="shared" si="6"/>
        <v/>
      </c>
      <c r="J72" s="183" t="e">
        <f t="shared" si="10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102">
        <f t="shared" si="9"/>
        <v>0</v>
      </c>
      <c r="G73" s="170"/>
      <c r="H73" s="182">
        <v>68</v>
      </c>
      <c r="I73" s="183" t="str">
        <f t="shared" si="6"/>
        <v/>
      </c>
      <c r="J73" s="183" t="e">
        <f t="shared" si="10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102">
        <f t="shared" si="9"/>
        <v>0</v>
      </c>
      <c r="G74" s="170"/>
      <c r="H74" s="182">
        <v>69</v>
      </c>
      <c r="I74" s="183" t="str">
        <f t="shared" si="6"/>
        <v/>
      </c>
      <c r="J74" s="183" t="e">
        <f t="shared" si="10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102">
        <f t="shared" si="9"/>
        <v>0</v>
      </c>
      <c r="G75" s="170"/>
      <c r="H75" s="182">
        <v>70</v>
      </c>
      <c r="I75" s="183" t="str">
        <f t="shared" si="6"/>
        <v/>
      </c>
      <c r="J75" s="183" t="e">
        <f t="shared" si="10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102">
        <f t="shared" si="9"/>
        <v>0</v>
      </c>
      <c r="G76" s="170"/>
      <c r="H76" s="182">
        <v>71</v>
      </c>
      <c r="I76" s="183" t="str">
        <f t="shared" si="6"/>
        <v/>
      </c>
      <c r="J76" s="183" t="e">
        <f t="shared" si="10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102">
        <f t="shared" si="9"/>
        <v>0</v>
      </c>
      <c r="G77" s="170"/>
      <c r="H77" s="182">
        <v>72</v>
      </c>
      <c r="I77" s="183" t="str">
        <f t="shared" si="6"/>
        <v/>
      </c>
      <c r="J77" s="183" t="e">
        <f t="shared" si="10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102">
        <f t="shared" si="9"/>
        <v>0</v>
      </c>
      <c r="G78" s="170"/>
      <c r="H78" s="182">
        <v>73</v>
      </c>
      <c r="I78" s="183" t="str">
        <f t="shared" si="6"/>
        <v/>
      </c>
      <c r="J78" s="183" t="e">
        <f t="shared" si="10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102">
        <f t="shared" si="9"/>
        <v>0</v>
      </c>
      <c r="G79" s="170"/>
      <c r="H79" s="182">
        <v>74</v>
      </c>
      <c r="I79" s="183" t="str">
        <f t="shared" si="6"/>
        <v/>
      </c>
      <c r="J79" s="183" t="e">
        <f t="shared" si="10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103"/>
      <c r="G80" s="170"/>
      <c r="H80" s="182">
        <v>75</v>
      </c>
      <c r="I80" s="183" t="str">
        <f t="shared" si="6"/>
        <v/>
      </c>
      <c r="J80" s="183" t="e">
        <f t="shared" si="10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199"/>
      <c r="G81" s="170"/>
      <c r="H81" s="182">
        <v>76</v>
      </c>
      <c r="I81" s="183" t="str">
        <f t="shared" si="6"/>
        <v/>
      </c>
      <c r="J81" s="183" t="e">
        <f t="shared" si="10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199"/>
      <c r="G82" s="170"/>
      <c r="H82" s="182">
        <v>77</v>
      </c>
      <c r="I82" s="183" t="str">
        <f t="shared" si="6"/>
        <v/>
      </c>
      <c r="J82" s="183" t="e">
        <f t="shared" si="10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199"/>
      <c r="G83" s="170"/>
      <c r="H83" s="182">
        <v>78</v>
      </c>
      <c r="I83" s="183" t="str">
        <f t="shared" si="6"/>
        <v/>
      </c>
      <c r="J83" s="183" t="e">
        <f t="shared" si="10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199"/>
      <c r="G84" s="170"/>
      <c r="H84" s="182">
        <v>79</v>
      </c>
      <c r="I84" s="183" t="str">
        <f t="shared" si="6"/>
        <v/>
      </c>
      <c r="J84" s="183" t="e">
        <f t="shared" si="10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199"/>
      <c r="G85" s="170"/>
      <c r="H85" s="182">
        <v>80</v>
      </c>
      <c r="I85" s="183" t="str">
        <f t="shared" si="6"/>
        <v/>
      </c>
      <c r="J85" s="183" t="e">
        <f t="shared" si="10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199"/>
      <c r="G86" s="170"/>
      <c r="H86" s="182">
        <v>81</v>
      </c>
      <c r="I86" s="183" t="str">
        <f t="shared" si="6"/>
        <v/>
      </c>
      <c r="J86" s="183" t="e">
        <f t="shared" si="10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199"/>
      <c r="G87" s="170"/>
      <c r="H87" s="182">
        <v>82</v>
      </c>
      <c r="I87" s="183" t="str">
        <f t="shared" si="6"/>
        <v/>
      </c>
      <c r="J87" s="183" t="e">
        <f t="shared" si="10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199"/>
      <c r="G88" s="170"/>
      <c r="H88" s="182">
        <v>83</v>
      </c>
      <c r="I88" s="183" t="str">
        <f t="shared" si="6"/>
        <v/>
      </c>
      <c r="J88" s="183" t="e">
        <f t="shared" si="10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199"/>
      <c r="G89" s="170"/>
      <c r="H89" s="182">
        <v>84</v>
      </c>
      <c r="I89" s="183" t="str">
        <f t="shared" si="6"/>
        <v/>
      </c>
      <c r="J89" s="183" t="e">
        <f t="shared" si="10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199"/>
      <c r="G90" s="170"/>
      <c r="H90" s="182">
        <v>85</v>
      </c>
      <c r="I90" s="183" t="str">
        <f t="shared" si="6"/>
        <v/>
      </c>
      <c r="J90" s="183" t="e">
        <f t="shared" si="10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199"/>
      <c r="G91" s="170"/>
      <c r="H91" s="182">
        <v>86</v>
      </c>
      <c r="I91" s="183" t="str">
        <f t="shared" si="6"/>
        <v/>
      </c>
      <c r="J91" s="183" t="e">
        <f t="shared" si="10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199"/>
      <c r="G92" s="170"/>
      <c r="H92" s="182">
        <v>87</v>
      </c>
      <c r="I92" s="183" t="str">
        <f t="shared" si="6"/>
        <v/>
      </c>
      <c r="J92" s="183" t="e">
        <f t="shared" si="10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199"/>
      <c r="G93" s="170"/>
      <c r="H93" s="182">
        <v>88</v>
      </c>
      <c r="I93" s="183" t="str">
        <f t="shared" si="6"/>
        <v/>
      </c>
      <c r="J93" s="183" t="e">
        <f t="shared" si="10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199"/>
      <c r="G94" s="170"/>
      <c r="H94" s="182">
        <v>89</v>
      </c>
      <c r="I94" s="183" t="str">
        <f t="shared" si="6"/>
        <v/>
      </c>
      <c r="J94" s="183" t="e">
        <f t="shared" si="10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199"/>
      <c r="G95" s="170"/>
      <c r="H95" s="182">
        <v>90</v>
      </c>
      <c r="I95" s="183" t="str">
        <f t="shared" si="6"/>
        <v/>
      </c>
      <c r="J95" s="183" t="e">
        <f t="shared" si="10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199"/>
      <c r="G96" s="170"/>
      <c r="H96" s="182">
        <v>91</v>
      </c>
      <c r="I96" s="183" t="str">
        <f t="shared" si="6"/>
        <v/>
      </c>
      <c r="J96" s="183" t="e">
        <f t="shared" si="10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199"/>
      <c r="G97" s="170"/>
      <c r="H97" s="182">
        <v>92</v>
      </c>
      <c r="I97" s="183" t="str">
        <f t="shared" si="6"/>
        <v/>
      </c>
      <c r="J97" s="183" t="e">
        <f t="shared" si="10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199"/>
      <c r="G98" s="170"/>
      <c r="H98" s="182">
        <v>93</v>
      </c>
      <c r="I98" s="183" t="str">
        <f t="shared" si="6"/>
        <v/>
      </c>
      <c r="J98" s="183" t="e">
        <f t="shared" si="10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199"/>
      <c r="G99" s="170"/>
      <c r="H99" s="182">
        <v>94</v>
      </c>
      <c r="I99" s="183" t="str">
        <f t="shared" si="6"/>
        <v/>
      </c>
      <c r="J99" s="183" t="e">
        <f t="shared" si="10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199"/>
      <c r="G100" s="170"/>
      <c r="H100" s="182">
        <v>95</v>
      </c>
      <c r="I100" s="183" t="str">
        <f t="shared" si="6"/>
        <v/>
      </c>
      <c r="J100" s="183" t="e">
        <f t="shared" si="10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3" t="e">
        <f t="shared" si="10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3" t="e">
        <f t="shared" si="10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3" t="e">
        <f t="shared" si="10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3" t="e">
        <f t="shared" si="10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3" t="e">
        <f t="shared" si="10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3" t="e">
        <f t="shared" si="10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3" t="e">
        <f t="shared" si="10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3" t="e">
        <f t="shared" si="10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3" t="e">
        <f t="shared" si="10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3" t="e">
        <f t="shared" si="10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3" t="e">
        <f t="shared" si="10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3" t="e">
        <f t="shared" si="10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3" t="e">
        <f t="shared" si="10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3" t="e">
        <f t="shared" si="10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3" t="e">
        <f t="shared" si="10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3" t="e">
        <f t="shared" si="10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3" t="e">
        <f t="shared" si="10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3" t="e">
        <f t="shared" si="10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3" t="e">
        <f t="shared" si="10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3" t="e">
        <f t="shared" si="10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3" t="e">
        <f t="shared" si="10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3" t="e">
        <f t="shared" si="10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3" t="e">
        <f t="shared" si="10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3" t="e">
        <f t="shared" si="10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3" t="e">
        <f t="shared" si="10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3" t="e">
        <f t="shared" si="10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3" t="e">
        <f t="shared" si="10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3" t="e">
        <f t="shared" si="10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3" t="e">
        <f t="shared" si="10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3" t="e">
        <f t="shared" si="10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3" t="e">
        <f t="shared" si="10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3" t="e">
        <f t="shared" si="10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3" t="e">
        <f t="shared" si="10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1">IF(H134&lt;$H$2+1,($I$2-($I$2-1)*(LOG(H134)/LOG($H$2))),"")</f>
        <v/>
      </c>
      <c r="J134" s="183" t="e">
        <f t="shared" si="10"/>
        <v>#NUM!</v>
      </c>
      <c r="K134" s="182" t="e">
        <f t="shared" ref="K134:K197" si="12">J134*$J$2</f>
        <v>#NUM!</v>
      </c>
      <c r="L134" s="182"/>
      <c r="M134" s="184">
        <f t="shared" ref="M134:M197" si="13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1"/>
        <v/>
      </c>
      <c r="J135" s="183" t="e">
        <f t="shared" ref="J135:J198" si="14">INT(LOG($H$2,2))-ROUNDUP(LOG(H135,2),0)+IF(OR($H$2=1,$H$2=2,$H$2=4,$H$2=8,$H$2=16,$H$2=32,$H$2=64,$H$2=128,$H$2=256),0,1)</f>
        <v>#NUM!</v>
      </c>
      <c r="K135" s="182" t="e">
        <f t="shared" si="12"/>
        <v>#NUM!</v>
      </c>
      <c r="L135" s="182"/>
      <c r="M135" s="184">
        <f t="shared" si="13"/>
        <v>0</v>
      </c>
    </row>
    <row r="136" spans="1:13" x14ac:dyDescent="0.25">
      <c r="A136" s="199"/>
      <c r="G136" s="170"/>
      <c r="H136" s="182">
        <v>131</v>
      </c>
      <c r="I136" s="183" t="str">
        <f t="shared" si="11"/>
        <v/>
      </c>
      <c r="J136" s="183" t="e">
        <f t="shared" si="14"/>
        <v>#NUM!</v>
      </c>
      <c r="K136" s="182" t="e">
        <f t="shared" si="12"/>
        <v>#NUM!</v>
      </c>
      <c r="L136" s="182"/>
      <c r="M136" s="184">
        <f t="shared" si="13"/>
        <v>0</v>
      </c>
    </row>
    <row r="137" spans="1:13" x14ac:dyDescent="0.25">
      <c r="A137" s="199"/>
      <c r="G137" s="170"/>
      <c r="H137" s="182">
        <v>132</v>
      </c>
      <c r="I137" s="183" t="str">
        <f t="shared" si="11"/>
        <v/>
      </c>
      <c r="J137" s="183" t="e">
        <f t="shared" si="14"/>
        <v>#NUM!</v>
      </c>
      <c r="K137" s="182" t="e">
        <f t="shared" si="12"/>
        <v>#NUM!</v>
      </c>
      <c r="L137" s="182"/>
      <c r="M137" s="184">
        <f t="shared" si="13"/>
        <v>0</v>
      </c>
    </row>
    <row r="138" spans="1:13" x14ac:dyDescent="0.25">
      <c r="A138" s="199"/>
      <c r="G138" s="170"/>
      <c r="H138" s="182">
        <v>133</v>
      </c>
      <c r="I138" s="183" t="str">
        <f t="shared" si="11"/>
        <v/>
      </c>
      <c r="J138" s="183" t="e">
        <f t="shared" si="14"/>
        <v>#NUM!</v>
      </c>
      <c r="K138" s="182" t="e">
        <f t="shared" si="12"/>
        <v>#NUM!</v>
      </c>
      <c r="L138" s="182"/>
      <c r="M138" s="184">
        <f t="shared" si="13"/>
        <v>0</v>
      </c>
    </row>
    <row r="139" spans="1:13" x14ac:dyDescent="0.25">
      <c r="A139" s="199"/>
      <c r="G139" s="170"/>
      <c r="H139" s="182">
        <v>134</v>
      </c>
      <c r="I139" s="183" t="str">
        <f t="shared" si="11"/>
        <v/>
      </c>
      <c r="J139" s="183" t="e">
        <f t="shared" si="14"/>
        <v>#NUM!</v>
      </c>
      <c r="K139" s="182" t="e">
        <f t="shared" si="12"/>
        <v>#NUM!</v>
      </c>
      <c r="L139" s="182"/>
      <c r="M139" s="184">
        <f t="shared" si="13"/>
        <v>0</v>
      </c>
    </row>
    <row r="140" spans="1:13" x14ac:dyDescent="0.25">
      <c r="A140" s="199"/>
      <c r="G140" s="170"/>
      <c r="H140" s="182">
        <v>135</v>
      </c>
      <c r="I140" s="183" t="str">
        <f t="shared" si="11"/>
        <v/>
      </c>
      <c r="J140" s="183" t="e">
        <f t="shared" si="14"/>
        <v>#NUM!</v>
      </c>
      <c r="K140" s="182" t="e">
        <f t="shared" si="12"/>
        <v>#NUM!</v>
      </c>
      <c r="L140" s="182"/>
      <c r="M140" s="184">
        <f t="shared" si="13"/>
        <v>0</v>
      </c>
    </row>
    <row r="141" spans="1:13" x14ac:dyDescent="0.25">
      <c r="A141" s="199"/>
      <c r="G141" s="170"/>
      <c r="H141" s="182">
        <v>136</v>
      </c>
      <c r="I141" s="183" t="str">
        <f t="shared" si="11"/>
        <v/>
      </c>
      <c r="J141" s="183" t="e">
        <f t="shared" si="14"/>
        <v>#NUM!</v>
      </c>
      <c r="K141" s="182" t="e">
        <f t="shared" si="12"/>
        <v>#NUM!</v>
      </c>
      <c r="L141" s="182"/>
      <c r="M141" s="184">
        <f t="shared" si="13"/>
        <v>0</v>
      </c>
    </row>
    <row r="142" spans="1:13" x14ac:dyDescent="0.25">
      <c r="A142" s="199"/>
      <c r="G142" s="170"/>
      <c r="H142" s="182">
        <v>137</v>
      </c>
      <c r="I142" s="183" t="str">
        <f t="shared" si="11"/>
        <v/>
      </c>
      <c r="J142" s="183" t="e">
        <f t="shared" si="14"/>
        <v>#NUM!</v>
      </c>
      <c r="K142" s="182" t="e">
        <f t="shared" si="12"/>
        <v>#NUM!</v>
      </c>
      <c r="L142" s="182"/>
      <c r="M142" s="184">
        <f t="shared" si="13"/>
        <v>0</v>
      </c>
    </row>
    <row r="143" spans="1:13" x14ac:dyDescent="0.25">
      <c r="A143" s="199"/>
      <c r="G143" s="170"/>
      <c r="H143" s="182">
        <v>138</v>
      </c>
      <c r="I143" s="183" t="str">
        <f t="shared" si="11"/>
        <v/>
      </c>
      <c r="J143" s="183" t="e">
        <f t="shared" si="14"/>
        <v>#NUM!</v>
      </c>
      <c r="K143" s="182" t="e">
        <f t="shared" si="12"/>
        <v>#NUM!</v>
      </c>
      <c r="L143" s="182"/>
      <c r="M143" s="184">
        <f t="shared" si="13"/>
        <v>0</v>
      </c>
    </row>
    <row r="144" spans="1:13" x14ac:dyDescent="0.25">
      <c r="A144" s="199"/>
      <c r="G144" s="170"/>
      <c r="H144" s="182">
        <v>139</v>
      </c>
      <c r="I144" s="183" t="str">
        <f t="shared" si="11"/>
        <v/>
      </c>
      <c r="J144" s="183" t="e">
        <f t="shared" si="14"/>
        <v>#NUM!</v>
      </c>
      <c r="K144" s="182" t="e">
        <f t="shared" si="12"/>
        <v>#NUM!</v>
      </c>
      <c r="L144" s="182"/>
      <c r="M144" s="184">
        <f t="shared" si="13"/>
        <v>0</v>
      </c>
    </row>
    <row r="145" spans="1:13" x14ac:dyDescent="0.25">
      <c r="A145" s="199"/>
      <c r="G145" s="170"/>
      <c r="H145" s="182">
        <v>140</v>
      </c>
      <c r="I145" s="183" t="str">
        <f t="shared" si="11"/>
        <v/>
      </c>
      <c r="J145" s="183" t="e">
        <f t="shared" si="14"/>
        <v>#NUM!</v>
      </c>
      <c r="K145" s="182" t="e">
        <f t="shared" si="12"/>
        <v>#NUM!</v>
      </c>
      <c r="L145" s="182"/>
      <c r="M145" s="184">
        <f t="shared" si="13"/>
        <v>0</v>
      </c>
    </row>
    <row r="146" spans="1:13" x14ac:dyDescent="0.25">
      <c r="A146" s="199"/>
      <c r="G146" s="170"/>
      <c r="H146" s="182">
        <v>141</v>
      </c>
      <c r="I146" s="183" t="str">
        <f t="shared" si="11"/>
        <v/>
      </c>
      <c r="J146" s="183" t="e">
        <f t="shared" si="14"/>
        <v>#NUM!</v>
      </c>
      <c r="K146" s="182" t="e">
        <f t="shared" si="12"/>
        <v>#NUM!</v>
      </c>
      <c r="L146" s="182"/>
      <c r="M146" s="184">
        <f t="shared" si="13"/>
        <v>0</v>
      </c>
    </row>
    <row r="147" spans="1:13" x14ac:dyDescent="0.25">
      <c r="A147" s="199"/>
      <c r="G147" s="170"/>
      <c r="H147" s="182">
        <v>142</v>
      </c>
      <c r="I147" s="183" t="str">
        <f t="shared" si="11"/>
        <v/>
      </c>
      <c r="J147" s="183" t="e">
        <f t="shared" si="14"/>
        <v>#NUM!</v>
      </c>
      <c r="K147" s="182" t="e">
        <f t="shared" si="12"/>
        <v>#NUM!</v>
      </c>
      <c r="L147" s="182"/>
      <c r="M147" s="184">
        <f t="shared" si="13"/>
        <v>0</v>
      </c>
    </row>
    <row r="148" spans="1:13" x14ac:dyDescent="0.25">
      <c r="A148" s="199"/>
      <c r="G148" s="170"/>
      <c r="H148" s="182">
        <v>143</v>
      </c>
      <c r="I148" s="183" t="str">
        <f t="shared" si="11"/>
        <v/>
      </c>
      <c r="J148" s="183" t="e">
        <f t="shared" si="14"/>
        <v>#NUM!</v>
      </c>
      <c r="K148" s="182" t="e">
        <f t="shared" si="12"/>
        <v>#NUM!</v>
      </c>
      <c r="L148" s="182"/>
      <c r="M148" s="184">
        <f t="shared" si="13"/>
        <v>0</v>
      </c>
    </row>
    <row r="149" spans="1:13" x14ac:dyDescent="0.25">
      <c r="A149" s="199"/>
      <c r="G149" s="170"/>
      <c r="H149" s="182">
        <v>144</v>
      </c>
      <c r="I149" s="183" t="str">
        <f t="shared" si="11"/>
        <v/>
      </c>
      <c r="J149" s="183" t="e">
        <f t="shared" si="14"/>
        <v>#NUM!</v>
      </c>
      <c r="K149" s="182" t="e">
        <f t="shared" si="12"/>
        <v>#NUM!</v>
      </c>
      <c r="L149" s="182"/>
      <c r="M149" s="184">
        <f t="shared" si="13"/>
        <v>0</v>
      </c>
    </row>
    <row r="150" spans="1:13" x14ac:dyDescent="0.25">
      <c r="A150" s="199"/>
      <c r="G150" s="170"/>
      <c r="H150" s="182">
        <v>145</v>
      </c>
      <c r="I150" s="183" t="str">
        <f t="shared" si="11"/>
        <v/>
      </c>
      <c r="J150" s="183" t="e">
        <f t="shared" si="14"/>
        <v>#NUM!</v>
      </c>
      <c r="K150" s="182" t="e">
        <f t="shared" si="12"/>
        <v>#NUM!</v>
      </c>
      <c r="L150" s="182"/>
      <c r="M150" s="184">
        <f t="shared" si="13"/>
        <v>0</v>
      </c>
    </row>
    <row r="151" spans="1:13" x14ac:dyDescent="0.25">
      <c r="A151" s="199"/>
      <c r="G151" s="170"/>
      <c r="H151" s="182">
        <v>146</v>
      </c>
      <c r="I151" s="183" t="str">
        <f t="shared" si="11"/>
        <v/>
      </c>
      <c r="J151" s="183" t="e">
        <f t="shared" si="14"/>
        <v>#NUM!</v>
      </c>
      <c r="K151" s="182" t="e">
        <f t="shared" si="12"/>
        <v>#NUM!</v>
      </c>
      <c r="L151" s="182"/>
      <c r="M151" s="184">
        <f t="shared" si="13"/>
        <v>0</v>
      </c>
    </row>
    <row r="152" spans="1:13" x14ac:dyDescent="0.25">
      <c r="A152" s="199"/>
      <c r="G152" s="170"/>
      <c r="H152" s="182">
        <v>147</v>
      </c>
      <c r="I152" s="183" t="str">
        <f t="shared" si="11"/>
        <v/>
      </c>
      <c r="J152" s="183" t="e">
        <f t="shared" si="14"/>
        <v>#NUM!</v>
      </c>
      <c r="K152" s="182" t="e">
        <f t="shared" si="12"/>
        <v>#NUM!</v>
      </c>
      <c r="L152" s="182"/>
      <c r="M152" s="184">
        <f t="shared" si="13"/>
        <v>0</v>
      </c>
    </row>
    <row r="153" spans="1:13" x14ac:dyDescent="0.25">
      <c r="A153" s="199"/>
      <c r="G153" s="170"/>
      <c r="H153" s="182">
        <v>148</v>
      </c>
      <c r="I153" s="183" t="str">
        <f t="shared" si="11"/>
        <v/>
      </c>
      <c r="J153" s="183" t="e">
        <f t="shared" si="14"/>
        <v>#NUM!</v>
      </c>
      <c r="K153" s="182" t="e">
        <f t="shared" si="12"/>
        <v>#NUM!</v>
      </c>
      <c r="L153" s="182"/>
      <c r="M153" s="184">
        <f t="shared" si="13"/>
        <v>0</v>
      </c>
    </row>
    <row r="154" spans="1:13" x14ac:dyDescent="0.25">
      <c r="A154" s="199"/>
      <c r="G154" s="170"/>
      <c r="H154" s="182">
        <v>149</v>
      </c>
      <c r="I154" s="183" t="str">
        <f t="shared" si="11"/>
        <v/>
      </c>
      <c r="J154" s="183" t="e">
        <f t="shared" si="14"/>
        <v>#NUM!</v>
      </c>
      <c r="K154" s="182" t="e">
        <f t="shared" si="12"/>
        <v>#NUM!</v>
      </c>
      <c r="L154" s="182"/>
      <c r="M154" s="184">
        <f t="shared" si="13"/>
        <v>0</v>
      </c>
    </row>
    <row r="155" spans="1:13" x14ac:dyDescent="0.25">
      <c r="A155" s="199"/>
      <c r="G155" s="170"/>
      <c r="H155" s="182">
        <v>150</v>
      </c>
      <c r="I155" s="183" t="str">
        <f t="shared" si="11"/>
        <v/>
      </c>
      <c r="J155" s="183" t="e">
        <f t="shared" si="14"/>
        <v>#NUM!</v>
      </c>
      <c r="K155" s="182" t="e">
        <f t="shared" si="12"/>
        <v>#NUM!</v>
      </c>
      <c r="L155" s="182"/>
      <c r="M155" s="184">
        <f t="shared" si="13"/>
        <v>0</v>
      </c>
    </row>
    <row r="156" spans="1:13" x14ac:dyDescent="0.25">
      <c r="A156" s="199"/>
      <c r="G156" s="170"/>
      <c r="H156" s="182">
        <v>151</v>
      </c>
      <c r="I156" s="183" t="str">
        <f t="shared" si="11"/>
        <v/>
      </c>
      <c r="J156" s="183" t="e">
        <f t="shared" si="14"/>
        <v>#NUM!</v>
      </c>
      <c r="K156" s="182" t="e">
        <f t="shared" si="12"/>
        <v>#NUM!</v>
      </c>
      <c r="L156" s="182"/>
      <c r="M156" s="184">
        <f t="shared" si="13"/>
        <v>0</v>
      </c>
    </row>
    <row r="157" spans="1:13" x14ac:dyDescent="0.25">
      <c r="A157" s="199"/>
      <c r="G157" s="170"/>
      <c r="H157" s="182">
        <v>152</v>
      </c>
      <c r="I157" s="183" t="str">
        <f t="shared" si="11"/>
        <v/>
      </c>
      <c r="J157" s="183" t="e">
        <f t="shared" si="14"/>
        <v>#NUM!</v>
      </c>
      <c r="K157" s="182" t="e">
        <f t="shared" si="12"/>
        <v>#NUM!</v>
      </c>
      <c r="L157" s="182"/>
      <c r="M157" s="184">
        <f t="shared" si="13"/>
        <v>0</v>
      </c>
    </row>
    <row r="158" spans="1:13" x14ac:dyDescent="0.25">
      <c r="A158" s="199"/>
      <c r="G158" s="170"/>
      <c r="H158" s="182">
        <v>153</v>
      </c>
      <c r="I158" s="183" t="str">
        <f t="shared" si="11"/>
        <v/>
      </c>
      <c r="J158" s="183" t="e">
        <f t="shared" si="14"/>
        <v>#NUM!</v>
      </c>
      <c r="K158" s="182" t="e">
        <f t="shared" si="12"/>
        <v>#NUM!</v>
      </c>
      <c r="L158" s="182"/>
      <c r="M158" s="184">
        <f t="shared" si="13"/>
        <v>0</v>
      </c>
    </row>
    <row r="159" spans="1:13" x14ac:dyDescent="0.25">
      <c r="A159" s="199"/>
      <c r="G159" s="170"/>
      <c r="H159" s="182">
        <v>154</v>
      </c>
      <c r="I159" s="183" t="str">
        <f t="shared" si="11"/>
        <v/>
      </c>
      <c r="J159" s="183" t="e">
        <f t="shared" si="14"/>
        <v>#NUM!</v>
      </c>
      <c r="K159" s="182" t="e">
        <f t="shared" si="12"/>
        <v>#NUM!</v>
      </c>
      <c r="L159" s="182"/>
      <c r="M159" s="184">
        <f t="shared" si="13"/>
        <v>0</v>
      </c>
    </row>
    <row r="160" spans="1:13" x14ac:dyDescent="0.25">
      <c r="A160" s="199"/>
      <c r="G160" s="170"/>
      <c r="H160" s="182">
        <v>155</v>
      </c>
      <c r="I160" s="183" t="str">
        <f t="shared" si="11"/>
        <v/>
      </c>
      <c r="J160" s="183" t="e">
        <f t="shared" si="14"/>
        <v>#NUM!</v>
      </c>
      <c r="K160" s="182" t="e">
        <f t="shared" si="12"/>
        <v>#NUM!</v>
      </c>
      <c r="L160" s="182"/>
      <c r="M160" s="184">
        <f t="shared" si="13"/>
        <v>0</v>
      </c>
    </row>
    <row r="161" spans="1:13" x14ac:dyDescent="0.25">
      <c r="A161" s="199"/>
      <c r="G161" s="170"/>
      <c r="H161" s="182">
        <v>156</v>
      </c>
      <c r="I161" s="183" t="str">
        <f t="shared" si="11"/>
        <v/>
      </c>
      <c r="J161" s="183" t="e">
        <f t="shared" si="14"/>
        <v>#NUM!</v>
      </c>
      <c r="K161" s="182" t="e">
        <f t="shared" si="12"/>
        <v>#NUM!</v>
      </c>
      <c r="L161" s="182"/>
      <c r="M161" s="184">
        <f t="shared" si="13"/>
        <v>0</v>
      </c>
    </row>
    <row r="162" spans="1:13" x14ac:dyDescent="0.25">
      <c r="A162" s="199"/>
      <c r="G162" s="170"/>
      <c r="H162" s="182">
        <v>157</v>
      </c>
      <c r="I162" s="183" t="str">
        <f t="shared" si="11"/>
        <v/>
      </c>
      <c r="J162" s="183" t="e">
        <f t="shared" si="14"/>
        <v>#NUM!</v>
      </c>
      <c r="K162" s="182" t="e">
        <f t="shared" si="12"/>
        <v>#NUM!</v>
      </c>
      <c r="L162" s="182"/>
      <c r="M162" s="184">
        <f t="shared" si="13"/>
        <v>0</v>
      </c>
    </row>
    <row r="163" spans="1:13" x14ac:dyDescent="0.25">
      <c r="A163" s="199"/>
      <c r="G163" s="170"/>
      <c r="H163" s="182">
        <v>158</v>
      </c>
      <c r="I163" s="183" t="str">
        <f t="shared" si="11"/>
        <v/>
      </c>
      <c r="J163" s="183" t="e">
        <f t="shared" si="14"/>
        <v>#NUM!</v>
      </c>
      <c r="K163" s="182" t="e">
        <f t="shared" si="12"/>
        <v>#NUM!</v>
      </c>
      <c r="L163" s="182"/>
      <c r="M163" s="184">
        <f t="shared" si="13"/>
        <v>0</v>
      </c>
    </row>
    <row r="164" spans="1:13" x14ac:dyDescent="0.25">
      <c r="A164" s="199"/>
      <c r="G164" s="170"/>
      <c r="H164" s="182">
        <v>159</v>
      </c>
      <c r="I164" s="183" t="str">
        <f t="shared" si="11"/>
        <v/>
      </c>
      <c r="J164" s="183" t="e">
        <f t="shared" si="14"/>
        <v>#NUM!</v>
      </c>
      <c r="K164" s="182" t="e">
        <f t="shared" si="12"/>
        <v>#NUM!</v>
      </c>
      <c r="L164" s="182"/>
      <c r="M164" s="184">
        <f t="shared" si="13"/>
        <v>0</v>
      </c>
    </row>
    <row r="165" spans="1:13" x14ac:dyDescent="0.25">
      <c r="A165" s="199"/>
      <c r="G165" s="170"/>
      <c r="H165" s="182">
        <v>160</v>
      </c>
      <c r="I165" s="183" t="str">
        <f t="shared" si="11"/>
        <v/>
      </c>
      <c r="J165" s="183" t="e">
        <f t="shared" si="14"/>
        <v>#NUM!</v>
      </c>
      <c r="K165" s="182" t="e">
        <f t="shared" si="12"/>
        <v>#NUM!</v>
      </c>
      <c r="L165" s="182"/>
      <c r="M165" s="184">
        <f t="shared" si="13"/>
        <v>0</v>
      </c>
    </row>
    <row r="166" spans="1:13" x14ac:dyDescent="0.25">
      <c r="A166" s="199"/>
      <c r="G166" s="170"/>
      <c r="H166" s="182">
        <v>161</v>
      </c>
      <c r="I166" s="183" t="str">
        <f t="shared" si="11"/>
        <v/>
      </c>
      <c r="J166" s="183" t="e">
        <f t="shared" si="14"/>
        <v>#NUM!</v>
      </c>
      <c r="K166" s="182" t="e">
        <f t="shared" si="12"/>
        <v>#NUM!</v>
      </c>
      <c r="L166" s="182"/>
      <c r="M166" s="184">
        <f t="shared" si="13"/>
        <v>0</v>
      </c>
    </row>
    <row r="167" spans="1:13" x14ac:dyDescent="0.25">
      <c r="A167" s="199"/>
      <c r="G167" s="170"/>
      <c r="H167" s="182">
        <v>162</v>
      </c>
      <c r="I167" s="183" t="str">
        <f t="shared" si="11"/>
        <v/>
      </c>
      <c r="J167" s="183" t="e">
        <f t="shared" si="14"/>
        <v>#NUM!</v>
      </c>
      <c r="K167" s="182" t="e">
        <f t="shared" si="12"/>
        <v>#NUM!</v>
      </c>
      <c r="L167" s="182"/>
      <c r="M167" s="184">
        <f t="shared" si="13"/>
        <v>0</v>
      </c>
    </row>
    <row r="168" spans="1:13" x14ac:dyDescent="0.25">
      <c r="A168" s="199"/>
      <c r="G168" s="170"/>
      <c r="H168" s="182">
        <v>163</v>
      </c>
      <c r="I168" s="183" t="str">
        <f t="shared" si="11"/>
        <v/>
      </c>
      <c r="J168" s="183" t="e">
        <f t="shared" si="14"/>
        <v>#NUM!</v>
      </c>
      <c r="K168" s="182" t="e">
        <f t="shared" si="12"/>
        <v>#NUM!</v>
      </c>
      <c r="L168" s="182"/>
      <c r="M168" s="184">
        <f t="shared" si="13"/>
        <v>0</v>
      </c>
    </row>
    <row r="169" spans="1:13" x14ac:dyDescent="0.25">
      <c r="A169" s="199"/>
      <c r="C169" s="198" t="s">
        <v>42</v>
      </c>
      <c r="G169" s="170"/>
      <c r="H169" s="182">
        <v>164</v>
      </c>
      <c r="I169" s="183" t="str">
        <f t="shared" si="11"/>
        <v/>
      </c>
      <c r="J169" s="183" t="e">
        <f t="shared" si="14"/>
        <v>#NUM!</v>
      </c>
      <c r="K169" s="182" t="e">
        <f t="shared" si="12"/>
        <v>#NUM!</v>
      </c>
      <c r="L169" s="182"/>
      <c r="M169" s="184">
        <f t="shared" si="13"/>
        <v>0</v>
      </c>
    </row>
    <row r="170" spans="1:13" x14ac:dyDescent="0.25">
      <c r="A170" s="199"/>
      <c r="G170" s="170"/>
      <c r="H170" s="182">
        <v>165</v>
      </c>
      <c r="I170" s="183" t="str">
        <f t="shared" si="11"/>
        <v/>
      </c>
      <c r="J170" s="183" t="e">
        <f t="shared" si="14"/>
        <v>#NUM!</v>
      </c>
      <c r="K170" s="182" t="e">
        <f t="shared" si="12"/>
        <v>#NUM!</v>
      </c>
      <c r="L170" s="182"/>
      <c r="M170" s="184">
        <f t="shared" si="13"/>
        <v>0</v>
      </c>
    </row>
    <row r="171" spans="1:13" x14ac:dyDescent="0.25">
      <c r="A171" s="199"/>
      <c r="G171" s="170"/>
      <c r="H171" s="182">
        <v>166</v>
      </c>
      <c r="I171" s="183" t="str">
        <f t="shared" si="11"/>
        <v/>
      </c>
      <c r="J171" s="183" t="e">
        <f t="shared" si="14"/>
        <v>#NUM!</v>
      </c>
      <c r="K171" s="182" t="e">
        <f t="shared" si="12"/>
        <v>#NUM!</v>
      </c>
      <c r="L171" s="182"/>
      <c r="M171" s="184">
        <f t="shared" si="13"/>
        <v>0</v>
      </c>
    </row>
    <row r="172" spans="1:13" x14ac:dyDescent="0.25">
      <c r="A172" s="199"/>
      <c r="G172" s="170"/>
      <c r="H172" s="182">
        <v>167</v>
      </c>
      <c r="I172" s="183" t="str">
        <f t="shared" si="11"/>
        <v/>
      </c>
      <c r="J172" s="183" t="e">
        <f t="shared" si="14"/>
        <v>#NUM!</v>
      </c>
      <c r="K172" s="182" t="e">
        <f t="shared" si="12"/>
        <v>#NUM!</v>
      </c>
      <c r="L172" s="182"/>
      <c r="M172" s="184">
        <f t="shared" si="13"/>
        <v>0</v>
      </c>
    </row>
    <row r="173" spans="1:13" x14ac:dyDescent="0.25">
      <c r="A173" s="199"/>
      <c r="G173" s="170"/>
      <c r="H173" s="182">
        <v>168</v>
      </c>
      <c r="I173" s="183" t="str">
        <f t="shared" si="11"/>
        <v/>
      </c>
      <c r="J173" s="183" t="e">
        <f t="shared" si="14"/>
        <v>#NUM!</v>
      </c>
      <c r="K173" s="182" t="e">
        <f t="shared" si="12"/>
        <v>#NUM!</v>
      </c>
      <c r="L173" s="182"/>
      <c r="M173" s="184">
        <f t="shared" si="13"/>
        <v>0</v>
      </c>
    </row>
    <row r="174" spans="1:13" x14ac:dyDescent="0.25">
      <c r="A174" s="199"/>
      <c r="G174" s="170"/>
      <c r="H174" s="182">
        <v>169</v>
      </c>
      <c r="I174" s="183" t="str">
        <f t="shared" si="11"/>
        <v/>
      </c>
      <c r="J174" s="183" t="e">
        <f t="shared" si="14"/>
        <v>#NUM!</v>
      </c>
      <c r="K174" s="182" t="e">
        <f t="shared" si="12"/>
        <v>#NUM!</v>
      </c>
      <c r="L174" s="182"/>
      <c r="M174" s="184">
        <f t="shared" si="13"/>
        <v>0</v>
      </c>
    </row>
    <row r="175" spans="1:13" x14ac:dyDescent="0.25">
      <c r="A175" s="199"/>
      <c r="G175" s="170"/>
      <c r="H175" s="182">
        <v>170</v>
      </c>
      <c r="I175" s="183" t="str">
        <f t="shared" si="11"/>
        <v/>
      </c>
      <c r="J175" s="183" t="e">
        <f t="shared" si="14"/>
        <v>#NUM!</v>
      </c>
      <c r="K175" s="182" t="e">
        <f t="shared" si="12"/>
        <v>#NUM!</v>
      </c>
      <c r="L175" s="182"/>
      <c r="M175" s="184">
        <f t="shared" si="13"/>
        <v>0</v>
      </c>
    </row>
    <row r="176" spans="1:13" x14ac:dyDescent="0.25">
      <c r="A176" s="199"/>
      <c r="G176" s="170"/>
      <c r="H176" s="182">
        <v>171</v>
      </c>
      <c r="I176" s="183" t="str">
        <f t="shared" si="11"/>
        <v/>
      </c>
      <c r="J176" s="183" t="e">
        <f t="shared" si="14"/>
        <v>#NUM!</v>
      </c>
      <c r="K176" s="182" t="e">
        <f t="shared" si="12"/>
        <v>#NUM!</v>
      </c>
      <c r="L176" s="182"/>
      <c r="M176" s="184">
        <f t="shared" si="13"/>
        <v>0</v>
      </c>
    </row>
    <row r="177" spans="1:13" x14ac:dyDescent="0.25">
      <c r="A177" s="199"/>
      <c r="G177" s="170"/>
      <c r="H177" s="182">
        <v>172</v>
      </c>
      <c r="I177" s="183" t="str">
        <f t="shared" si="11"/>
        <v/>
      </c>
      <c r="J177" s="183" t="e">
        <f t="shared" si="14"/>
        <v>#NUM!</v>
      </c>
      <c r="K177" s="182" t="e">
        <f t="shared" si="12"/>
        <v>#NUM!</v>
      </c>
      <c r="L177" s="182"/>
      <c r="M177" s="184">
        <f t="shared" si="13"/>
        <v>0</v>
      </c>
    </row>
    <row r="178" spans="1:13" x14ac:dyDescent="0.25">
      <c r="A178" s="199"/>
      <c r="G178" s="170"/>
      <c r="H178" s="182">
        <v>173</v>
      </c>
      <c r="I178" s="183" t="str">
        <f t="shared" si="11"/>
        <v/>
      </c>
      <c r="J178" s="183" t="e">
        <f t="shared" si="14"/>
        <v>#NUM!</v>
      </c>
      <c r="K178" s="182" t="e">
        <f t="shared" si="12"/>
        <v>#NUM!</v>
      </c>
      <c r="L178" s="182"/>
      <c r="M178" s="184">
        <f t="shared" si="13"/>
        <v>0</v>
      </c>
    </row>
    <row r="179" spans="1:13" x14ac:dyDescent="0.25">
      <c r="A179" s="199"/>
      <c r="G179" s="170"/>
      <c r="H179" s="182">
        <v>174</v>
      </c>
      <c r="I179" s="183" t="str">
        <f t="shared" si="11"/>
        <v/>
      </c>
      <c r="J179" s="183" t="e">
        <f t="shared" si="14"/>
        <v>#NUM!</v>
      </c>
      <c r="K179" s="182" t="e">
        <f t="shared" si="12"/>
        <v>#NUM!</v>
      </c>
      <c r="L179" s="182"/>
      <c r="M179" s="184">
        <f t="shared" si="13"/>
        <v>0</v>
      </c>
    </row>
    <row r="180" spans="1:13" x14ac:dyDescent="0.25">
      <c r="A180" s="199"/>
      <c r="G180" s="170"/>
      <c r="H180" s="182">
        <v>175</v>
      </c>
      <c r="I180" s="183" t="str">
        <f t="shared" si="11"/>
        <v/>
      </c>
      <c r="J180" s="183" t="e">
        <f t="shared" si="14"/>
        <v>#NUM!</v>
      </c>
      <c r="K180" s="182" t="e">
        <f t="shared" si="12"/>
        <v>#NUM!</v>
      </c>
      <c r="L180" s="182"/>
      <c r="M180" s="184">
        <f t="shared" si="13"/>
        <v>0</v>
      </c>
    </row>
    <row r="181" spans="1:13" x14ac:dyDescent="0.25">
      <c r="A181" s="199"/>
      <c r="G181" s="170"/>
      <c r="H181" s="182">
        <v>176</v>
      </c>
      <c r="I181" s="183" t="str">
        <f t="shared" si="11"/>
        <v/>
      </c>
      <c r="J181" s="183" t="e">
        <f t="shared" si="14"/>
        <v>#NUM!</v>
      </c>
      <c r="K181" s="182" t="e">
        <f t="shared" si="12"/>
        <v>#NUM!</v>
      </c>
      <c r="L181" s="182"/>
      <c r="M181" s="184">
        <f t="shared" si="13"/>
        <v>0</v>
      </c>
    </row>
    <row r="182" spans="1:13" x14ac:dyDescent="0.25">
      <c r="A182" s="199"/>
      <c r="G182" s="170"/>
      <c r="H182" s="182">
        <v>177</v>
      </c>
      <c r="I182" s="183" t="str">
        <f t="shared" si="11"/>
        <v/>
      </c>
      <c r="J182" s="183" t="e">
        <f t="shared" si="14"/>
        <v>#NUM!</v>
      </c>
      <c r="K182" s="182" t="e">
        <f t="shared" si="12"/>
        <v>#NUM!</v>
      </c>
      <c r="L182" s="182"/>
      <c r="M182" s="184">
        <f t="shared" si="13"/>
        <v>0</v>
      </c>
    </row>
    <row r="183" spans="1:13" x14ac:dyDescent="0.25">
      <c r="A183" s="199"/>
      <c r="G183" s="170"/>
      <c r="H183" s="182">
        <v>178</v>
      </c>
      <c r="I183" s="183" t="str">
        <f t="shared" si="11"/>
        <v/>
      </c>
      <c r="J183" s="183" t="e">
        <f t="shared" si="14"/>
        <v>#NUM!</v>
      </c>
      <c r="K183" s="182" t="e">
        <f t="shared" si="12"/>
        <v>#NUM!</v>
      </c>
      <c r="L183" s="182"/>
      <c r="M183" s="184">
        <f t="shared" si="13"/>
        <v>0</v>
      </c>
    </row>
    <row r="184" spans="1:13" x14ac:dyDescent="0.25">
      <c r="A184" s="199"/>
      <c r="G184" s="170"/>
      <c r="H184" s="182">
        <v>179</v>
      </c>
      <c r="I184" s="183" t="str">
        <f t="shared" si="11"/>
        <v/>
      </c>
      <c r="J184" s="183" t="e">
        <f t="shared" si="14"/>
        <v>#NUM!</v>
      </c>
      <c r="K184" s="182" t="e">
        <f t="shared" si="12"/>
        <v>#NUM!</v>
      </c>
      <c r="L184" s="182"/>
      <c r="M184" s="184">
        <f t="shared" si="13"/>
        <v>0</v>
      </c>
    </row>
    <row r="185" spans="1:13" x14ac:dyDescent="0.25">
      <c r="A185" s="199"/>
      <c r="G185" s="170"/>
      <c r="H185" s="182">
        <v>180</v>
      </c>
      <c r="I185" s="183" t="str">
        <f t="shared" si="11"/>
        <v/>
      </c>
      <c r="J185" s="183" t="e">
        <f t="shared" si="14"/>
        <v>#NUM!</v>
      </c>
      <c r="K185" s="182" t="e">
        <f t="shared" si="12"/>
        <v>#NUM!</v>
      </c>
      <c r="L185" s="182"/>
      <c r="M185" s="184">
        <f t="shared" si="13"/>
        <v>0</v>
      </c>
    </row>
    <row r="186" spans="1:13" x14ac:dyDescent="0.25">
      <c r="A186" s="199"/>
      <c r="G186" s="170"/>
      <c r="H186" s="182">
        <v>181</v>
      </c>
      <c r="I186" s="183" t="str">
        <f t="shared" si="11"/>
        <v/>
      </c>
      <c r="J186" s="183" t="e">
        <f t="shared" si="14"/>
        <v>#NUM!</v>
      </c>
      <c r="K186" s="182" t="e">
        <f t="shared" si="12"/>
        <v>#NUM!</v>
      </c>
      <c r="L186" s="182"/>
      <c r="M186" s="184">
        <f t="shared" si="13"/>
        <v>0</v>
      </c>
    </row>
    <row r="187" spans="1:13" x14ac:dyDescent="0.25">
      <c r="A187" s="199"/>
      <c r="G187" s="170"/>
      <c r="H187" s="182">
        <v>182</v>
      </c>
      <c r="I187" s="183" t="str">
        <f t="shared" si="11"/>
        <v/>
      </c>
      <c r="J187" s="183" t="e">
        <f t="shared" si="14"/>
        <v>#NUM!</v>
      </c>
      <c r="K187" s="182" t="e">
        <f t="shared" si="12"/>
        <v>#NUM!</v>
      </c>
      <c r="L187" s="182"/>
      <c r="M187" s="184">
        <f t="shared" si="13"/>
        <v>0</v>
      </c>
    </row>
    <row r="188" spans="1:13" x14ac:dyDescent="0.25">
      <c r="A188" s="199"/>
      <c r="G188" s="170"/>
      <c r="H188" s="182">
        <v>183</v>
      </c>
      <c r="I188" s="183" t="str">
        <f t="shared" si="11"/>
        <v/>
      </c>
      <c r="J188" s="183" t="e">
        <f t="shared" si="14"/>
        <v>#NUM!</v>
      </c>
      <c r="K188" s="182" t="e">
        <f t="shared" si="12"/>
        <v>#NUM!</v>
      </c>
      <c r="L188" s="182"/>
      <c r="M188" s="184">
        <f t="shared" si="13"/>
        <v>0</v>
      </c>
    </row>
    <row r="189" spans="1:13" x14ac:dyDescent="0.25">
      <c r="A189" s="199"/>
      <c r="G189" s="170"/>
      <c r="H189" s="182">
        <v>184</v>
      </c>
      <c r="I189" s="183" t="str">
        <f t="shared" si="11"/>
        <v/>
      </c>
      <c r="J189" s="183" t="e">
        <f t="shared" si="14"/>
        <v>#NUM!</v>
      </c>
      <c r="K189" s="182" t="e">
        <f t="shared" si="12"/>
        <v>#NUM!</v>
      </c>
      <c r="L189" s="182"/>
      <c r="M189" s="184">
        <f t="shared" si="13"/>
        <v>0</v>
      </c>
    </row>
    <row r="190" spans="1:13" x14ac:dyDescent="0.25">
      <c r="A190" s="199"/>
      <c r="G190" s="170"/>
      <c r="H190" s="182">
        <v>185</v>
      </c>
      <c r="I190" s="183" t="str">
        <f t="shared" si="11"/>
        <v/>
      </c>
      <c r="J190" s="183" t="e">
        <f t="shared" si="14"/>
        <v>#NUM!</v>
      </c>
      <c r="K190" s="182" t="e">
        <f t="shared" si="12"/>
        <v>#NUM!</v>
      </c>
      <c r="L190" s="182"/>
      <c r="M190" s="184">
        <f t="shared" si="13"/>
        <v>0</v>
      </c>
    </row>
    <row r="191" spans="1:13" x14ac:dyDescent="0.25">
      <c r="A191" s="199"/>
      <c r="G191" s="170"/>
      <c r="H191" s="182">
        <v>186</v>
      </c>
      <c r="I191" s="183" t="str">
        <f t="shared" si="11"/>
        <v/>
      </c>
      <c r="J191" s="183" t="e">
        <f t="shared" si="14"/>
        <v>#NUM!</v>
      </c>
      <c r="K191" s="182" t="e">
        <f t="shared" si="12"/>
        <v>#NUM!</v>
      </c>
      <c r="L191" s="182"/>
      <c r="M191" s="184">
        <f t="shared" si="13"/>
        <v>0</v>
      </c>
    </row>
    <row r="192" spans="1:13" x14ac:dyDescent="0.25">
      <c r="A192" s="199"/>
      <c r="G192" s="170"/>
      <c r="H192" s="182">
        <v>187</v>
      </c>
      <c r="I192" s="183" t="str">
        <f t="shared" si="11"/>
        <v/>
      </c>
      <c r="J192" s="183" t="e">
        <f t="shared" si="14"/>
        <v>#NUM!</v>
      </c>
      <c r="K192" s="182" t="e">
        <f t="shared" si="12"/>
        <v>#NUM!</v>
      </c>
      <c r="L192" s="182"/>
      <c r="M192" s="184">
        <f t="shared" si="13"/>
        <v>0</v>
      </c>
    </row>
    <row r="193" spans="1:13" x14ac:dyDescent="0.25">
      <c r="A193" s="199"/>
      <c r="G193" s="170"/>
      <c r="H193" s="182">
        <v>188</v>
      </c>
      <c r="I193" s="183" t="str">
        <f t="shared" si="11"/>
        <v/>
      </c>
      <c r="J193" s="183" t="e">
        <f t="shared" si="14"/>
        <v>#NUM!</v>
      </c>
      <c r="K193" s="182" t="e">
        <f t="shared" si="12"/>
        <v>#NUM!</v>
      </c>
      <c r="L193" s="182"/>
      <c r="M193" s="184">
        <f t="shared" si="13"/>
        <v>0</v>
      </c>
    </row>
    <row r="194" spans="1:13" x14ac:dyDescent="0.25">
      <c r="A194" s="199"/>
      <c r="G194" s="170"/>
      <c r="H194" s="182">
        <v>189</v>
      </c>
      <c r="I194" s="183" t="str">
        <f t="shared" si="11"/>
        <v/>
      </c>
      <c r="J194" s="183" t="e">
        <f t="shared" si="14"/>
        <v>#NUM!</v>
      </c>
      <c r="K194" s="182" t="e">
        <f t="shared" si="12"/>
        <v>#NUM!</v>
      </c>
      <c r="L194" s="182"/>
      <c r="M194" s="184">
        <f t="shared" si="13"/>
        <v>0</v>
      </c>
    </row>
    <row r="195" spans="1:13" x14ac:dyDescent="0.25">
      <c r="A195" s="199"/>
      <c r="G195" s="170"/>
      <c r="H195" s="182">
        <v>190</v>
      </c>
      <c r="I195" s="183" t="str">
        <f t="shared" si="11"/>
        <v/>
      </c>
      <c r="J195" s="183" t="e">
        <f t="shared" si="14"/>
        <v>#NUM!</v>
      </c>
      <c r="K195" s="182" t="e">
        <f t="shared" si="12"/>
        <v>#NUM!</v>
      </c>
      <c r="L195" s="182"/>
      <c r="M195" s="184">
        <f t="shared" si="13"/>
        <v>0</v>
      </c>
    </row>
    <row r="196" spans="1:13" x14ac:dyDescent="0.25">
      <c r="A196" s="199"/>
      <c r="G196" s="170"/>
      <c r="H196" s="182">
        <v>191</v>
      </c>
      <c r="I196" s="183" t="str">
        <f t="shared" si="11"/>
        <v/>
      </c>
      <c r="J196" s="183" t="e">
        <f t="shared" si="14"/>
        <v>#NUM!</v>
      </c>
      <c r="K196" s="182" t="e">
        <f t="shared" si="12"/>
        <v>#NUM!</v>
      </c>
      <c r="L196" s="182"/>
      <c r="M196" s="184">
        <f t="shared" si="13"/>
        <v>0</v>
      </c>
    </row>
    <row r="197" spans="1:13" x14ac:dyDescent="0.25">
      <c r="A197" s="199"/>
      <c r="G197" s="170"/>
      <c r="H197" s="182">
        <v>192</v>
      </c>
      <c r="I197" s="183" t="str">
        <f t="shared" si="11"/>
        <v/>
      </c>
      <c r="J197" s="183" t="e">
        <f t="shared" si="14"/>
        <v>#NUM!</v>
      </c>
      <c r="K197" s="182" t="e">
        <f t="shared" si="12"/>
        <v>#NUM!</v>
      </c>
      <c r="L197" s="182"/>
      <c r="M197" s="184">
        <f t="shared" si="13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5">IF(H198&lt;$H$2+1,($I$2-($I$2-1)*(LOG(H198)/LOG($H$2))),"")</f>
        <v/>
      </c>
      <c r="J198" s="183" t="e">
        <f t="shared" si="14"/>
        <v>#NUM!</v>
      </c>
      <c r="K198" s="182" t="e">
        <f t="shared" ref="K198:K261" si="16">J198*$J$2</f>
        <v>#NUM!</v>
      </c>
      <c r="L198" s="182"/>
      <c r="M198" s="184">
        <f t="shared" ref="M198:M261" si="17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5"/>
        <v/>
      </c>
      <c r="J199" s="183" t="e">
        <f t="shared" ref="J199:J262" si="18">INT(LOG($H$2,2))-ROUNDUP(LOG(H199,2),0)+IF(OR($H$2=1,$H$2=2,$H$2=4,$H$2=8,$H$2=16,$H$2=32,$H$2=64,$H$2=128,$H$2=256),0,1)</f>
        <v>#NUM!</v>
      </c>
      <c r="K199" s="182" t="e">
        <f t="shared" si="16"/>
        <v>#NUM!</v>
      </c>
      <c r="L199" s="182"/>
      <c r="M199" s="184">
        <f t="shared" si="17"/>
        <v>0</v>
      </c>
    </row>
    <row r="200" spans="1:13" x14ac:dyDescent="0.25">
      <c r="A200" s="199"/>
      <c r="G200" s="170"/>
      <c r="H200" s="182">
        <v>195</v>
      </c>
      <c r="I200" s="183" t="str">
        <f t="shared" si="15"/>
        <v/>
      </c>
      <c r="J200" s="183" t="e">
        <f t="shared" si="18"/>
        <v>#NUM!</v>
      </c>
      <c r="K200" s="182" t="e">
        <f t="shared" si="16"/>
        <v>#NUM!</v>
      </c>
      <c r="L200" s="182"/>
      <c r="M200" s="184">
        <f t="shared" si="17"/>
        <v>0</v>
      </c>
    </row>
    <row r="201" spans="1:13" x14ac:dyDescent="0.25">
      <c r="A201" s="199"/>
      <c r="G201" s="170"/>
      <c r="H201" s="182">
        <v>196</v>
      </c>
      <c r="I201" s="183" t="str">
        <f t="shared" si="15"/>
        <v/>
      </c>
      <c r="J201" s="183" t="e">
        <f t="shared" si="18"/>
        <v>#NUM!</v>
      </c>
      <c r="K201" s="182" t="e">
        <f t="shared" si="16"/>
        <v>#NUM!</v>
      </c>
      <c r="L201" s="182"/>
      <c r="M201" s="184">
        <f t="shared" si="17"/>
        <v>0</v>
      </c>
    </row>
    <row r="202" spans="1:13" x14ac:dyDescent="0.25">
      <c r="A202" s="199"/>
      <c r="G202" s="170"/>
      <c r="H202" s="182">
        <v>197</v>
      </c>
      <c r="I202" s="183" t="str">
        <f t="shared" si="15"/>
        <v/>
      </c>
      <c r="J202" s="183" t="e">
        <f t="shared" si="18"/>
        <v>#NUM!</v>
      </c>
      <c r="K202" s="182" t="e">
        <f t="shared" si="16"/>
        <v>#NUM!</v>
      </c>
      <c r="L202" s="182"/>
      <c r="M202" s="184">
        <f t="shared" si="17"/>
        <v>0</v>
      </c>
    </row>
    <row r="203" spans="1:13" x14ac:dyDescent="0.25">
      <c r="A203" s="199"/>
      <c r="G203" s="170"/>
      <c r="H203" s="182">
        <v>198</v>
      </c>
      <c r="I203" s="183" t="str">
        <f t="shared" si="15"/>
        <v/>
      </c>
      <c r="J203" s="183" t="e">
        <f t="shared" si="18"/>
        <v>#NUM!</v>
      </c>
      <c r="K203" s="182" t="e">
        <f t="shared" si="16"/>
        <v>#NUM!</v>
      </c>
      <c r="L203" s="182"/>
      <c r="M203" s="184">
        <f t="shared" si="17"/>
        <v>0</v>
      </c>
    </row>
    <row r="204" spans="1:13" x14ac:dyDescent="0.25">
      <c r="A204" s="199"/>
      <c r="G204" s="170"/>
      <c r="H204" s="182">
        <v>199</v>
      </c>
      <c r="I204" s="183" t="str">
        <f t="shared" si="15"/>
        <v/>
      </c>
      <c r="J204" s="183" t="e">
        <f t="shared" si="18"/>
        <v>#NUM!</v>
      </c>
      <c r="K204" s="182" t="e">
        <f t="shared" si="16"/>
        <v>#NUM!</v>
      </c>
      <c r="L204" s="182"/>
      <c r="M204" s="184">
        <f t="shared" si="17"/>
        <v>0</v>
      </c>
    </row>
    <row r="205" spans="1:13" x14ac:dyDescent="0.25">
      <c r="A205" s="199"/>
      <c r="G205" s="170"/>
      <c r="H205" s="182">
        <v>200</v>
      </c>
      <c r="I205" s="183" t="str">
        <f t="shared" si="15"/>
        <v/>
      </c>
      <c r="J205" s="183" t="e">
        <f t="shared" si="18"/>
        <v>#NUM!</v>
      </c>
      <c r="K205" s="182" t="e">
        <f t="shared" si="16"/>
        <v>#NUM!</v>
      </c>
      <c r="L205" s="182"/>
      <c r="M205" s="184">
        <f t="shared" si="17"/>
        <v>0</v>
      </c>
    </row>
    <row r="206" spans="1:13" x14ac:dyDescent="0.25">
      <c r="A206" s="199"/>
      <c r="G206" s="170"/>
      <c r="H206" s="182">
        <v>201</v>
      </c>
      <c r="I206" s="183" t="str">
        <f t="shared" si="15"/>
        <v/>
      </c>
      <c r="J206" s="183" t="e">
        <f t="shared" si="18"/>
        <v>#NUM!</v>
      </c>
      <c r="K206" s="182" t="e">
        <f t="shared" si="16"/>
        <v>#NUM!</v>
      </c>
      <c r="L206" s="182"/>
      <c r="M206" s="184">
        <f t="shared" si="17"/>
        <v>0</v>
      </c>
    </row>
    <row r="207" spans="1:13" x14ac:dyDescent="0.25">
      <c r="A207" s="199"/>
      <c r="G207" s="170"/>
      <c r="H207" s="182">
        <v>202</v>
      </c>
      <c r="I207" s="183" t="str">
        <f t="shared" si="15"/>
        <v/>
      </c>
      <c r="J207" s="183" t="e">
        <f t="shared" si="18"/>
        <v>#NUM!</v>
      </c>
      <c r="K207" s="182" t="e">
        <f t="shared" si="16"/>
        <v>#NUM!</v>
      </c>
      <c r="L207" s="182"/>
      <c r="M207" s="184">
        <f t="shared" si="17"/>
        <v>0</v>
      </c>
    </row>
    <row r="208" spans="1:13" x14ac:dyDescent="0.25">
      <c r="A208" s="199"/>
      <c r="G208" s="170"/>
      <c r="H208" s="182">
        <v>203</v>
      </c>
      <c r="I208" s="183" t="str">
        <f t="shared" si="15"/>
        <v/>
      </c>
      <c r="J208" s="183" t="e">
        <f t="shared" si="18"/>
        <v>#NUM!</v>
      </c>
      <c r="K208" s="182" t="e">
        <f t="shared" si="16"/>
        <v>#NUM!</v>
      </c>
      <c r="L208" s="182"/>
      <c r="M208" s="184">
        <f t="shared" si="17"/>
        <v>0</v>
      </c>
    </row>
    <row r="209" spans="1:13" x14ac:dyDescent="0.25">
      <c r="A209" s="199"/>
      <c r="G209" s="170"/>
      <c r="H209" s="182">
        <v>204</v>
      </c>
      <c r="I209" s="183" t="str">
        <f t="shared" si="15"/>
        <v/>
      </c>
      <c r="J209" s="183" t="e">
        <f t="shared" si="18"/>
        <v>#NUM!</v>
      </c>
      <c r="K209" s="182" t="e">
        <f t="shared" si="16"/>
        <v>#NUM!</v>
      </c>
      <c r="L209" s="182"/>
      <c r="M209" s="184">
        <f t="shared" si="17"/>
        <v>0</v>
      </c>
    </row>
    <row r="210" spans="1:13" x14ac:dyDescent="0.25">
      <c r="A210" s="199"/>
      <c r="G210" s="170"/>
      <c r="H210" s="182">
        <v>205</v>
      </c>
      <c r="I210" s="183" t="str">
        <f t="shared" si="15"/>
        <v/>
      </c>
      <c r="J210" s="183" t="e">
        <f t="shared" si="18"/>
        <v>#NUM!</v>
      </c>
      <c r="K210" s="182" t="e">
        <f t="shared" si="16"/>
        <v>#NUM!</v>
      </c>
      <c r="L210" s="182"/>
      <c r="M210" s="184">
        <f t="shared" si="17"/>
        <v>0</v>
      </c>
    </row>
    <row r="211" spans="1:13" x14ac:dyDescent="0.25">
      <c r="A211" s="199"/>
      <c r="G211" s="170"/>
      <c r="H211" s="182">
        <v>206</v>
      </c>
      <c r="I211" s="183" t="str">
        <f t="shared" si="15"/>
        <v/>
      </c>
      <c r="J211" s="183" t="e">
        <f t="shared" si="18"/>
        <v>#NUM!</v>
      </c>
      <c r="K211" s="182" t="e">
        <f t="shared" si="16"/>
        <v>#NUM!</v>
      </c>
      <c r="L211" s="182"/>
      <c r="M211" s="184">
        <f t="shared" si="17"/>
        <v>0</v>
      </c>
    </row>
    <row r="212" spans="1:13" x14ac:dyDescent="0.25">
      <c r="A212" s="199"/>
      <c r="G212" s="170"/>
      <c r="H212" s="182">
        <v>207</v>
      </c>
      <c r="I212" s="183" t="str">
        <f t="shared" si="15"/>
        <v/>
      </c>
      <c r="J212" s="183" t="e">
        <f t="shared" si="18"/>
        <v>#NUM!</v>
      </c>
      <c r="K212" s="182" t="e">
        <f t="shared" si="16"/>
        <v>#NUM!</v>
      </c>
      <c r="L212" s="182"/>
      <c r="M212" s="184">
        <f t="shared" si="17"/>
        <v>0</v>
      </c>
    </row>
    <row r="213" spans="1:13" x14ac:dyDescent="0.25">
      <c r="A213" s="199"/>
      <c r="G213" s="170"/>
      <c r="H213" s="182">
        <v>208</v>
      </c>
      <c r="I213" s="183" t="str">
        <f t="shared" si="15"/>
        <v/>
      </c>
      <c r="J213" s="183" t="e">
        <f t="shared" si="18"/>
        <v>#NUM!</v>
      </c>
      <c r="K213" s="182" t="e">
        <f t="shared" si="16"/>
        <v>#NUM!</v>
      </c>
      <c r="L213" s="182"/>
      <c r="M213" s="184">
        <f t="shared" si="17"/>
        <v>0</v>
      </c>
    </row>
    <row r="214" spans="1:13" x14ac:dyDescent="0.25">
      <c r="A214" s="199"/>
      <c r="G214" s="170"/>
      <c r="H214" s="182">
        <v>209</v>
      </c>
      <c r="I214" s="183" t="str">
        <f t="shared" si="15"/>
        <v/>
      </c>
      <c r="J214" s="183" t="e">
        <f t="shared" si="18"/>
        <v>#NUM!</v>
      </c>
      <c r="K214" s="182" t="e">
        <f t="shared" si="16"/>
        <v>#NUM!</v>
      </c>
      <c r="L214" s="182"/>
      <c r="M214" s="184">
        <f t="shared" si="17"/>
        <v>0</v>
      </c>
    </row>
    <row r="215" spans="1:13" x14ac:dyDescent="0.25">
      <c r="A215" s="199"/>
      <c r="G215" s="170"/>
      <c r="H215" s="182">
        <v>210</v>
      </c>
      <c r="I215" s="183" t="str">
        <f t="shared" si="15"/>
        <v/>
      </c>
      <c r="J215" s="183" t="e">
        <f t="shared" si="18"/>
        <v>#NUM!</v>
      </c>
      <c r="K215" s="182" t="e">
        <f t="shared" si="16"/>
        <v>#NUM!</v>
      </c>
      <c r="L215" s="182"/>
      <c r="M215" s="184">
        <f t="shared" si="17"/>
        <v>0</v>
      </c>
    </row>
    <row r="216" spans="1:13" x14ac:dyDescent="0.25">
      <c r="A216" s="199"/>
      <c r="G216" s="170"/>
      <c r="H216" s="182">
        <v>211</v>
      </c>
      <c r="I216" s="183" t="str">
        <f t="shared" si="15"/>
        <v/>
      </c>
      <c r="J216" s="183" t="e">
        <f t="shared" si="18"/>
        <v>#NUM!</v>
      </c>
      <c r="K216" s="182" t="e">
        <f t="shared" si="16"/>
        <v>#NUM!</v>
      </c>
      <c r="L216" s="182"/>
      <c r="M216" s="184">
        <f t="shared" si="17"/>
        <v>0</v>
      </c>
    </row>
    <row r="217" spans="1:13" x14ac:dyDescent="0.25">
      <c r="A217" s="199"/>
      <c r="G217" s="170"/>
      <c r="H217" s="182">
        <v>212</v>
      </c>
      <c r="I217" s="183" t="str">
        <f t="shared" si="15"/>
        <v/>
      </c>
      <c r="J217" s="183" t="e">
        <f t="shared" si="18"/>
        <v>#NUM!</v>
      </c>
      <c r="K217" s="182" t="e">
        <f t="shared" si="16"/>
        <v>#NUM!</v>
      </c>
      <c r="L217" s="182"/>
      <c r="M217" s="184">
        <f t="shared" si="17"/>
        <v>0</v>
      </c>
    </row>
    <row r="218" spans="1:13" x14ac:dyDescent="0.25">
      <c r="A218" s="199"/>
      <c r="G218" s="170"/>
      <c r="H218" s="182">
        <v>213</v>
      </c>
      <c r="I218" s="183" t="str">
        <f t="shared" si="15"/>
        <v/>
      </c>
      <c r="J218" s="183" t="e">
        <f t="shared" si="18"/>
        <v>#NUM!</v>
      </c>
      <c r="K218" s="182" t="e">
        <f t="shared" si="16"/>
        <v>#NUM!</v>
      </c>
      <c r="L218" s="182"/>
      <c r="M218" s="184">
        <f t="shared" si="17"/>
        <v>0</v>
      </c>
    </row>
    <row r="219" spans="1:13" x14ac:dyDescent="0.25">
      <c r="A219" s="199"/>
      <c r="G219" s="170"/>
      <c r="H219" s="182">
        <v>214</v>
      </c>
      <c r="I219" s="183" t="str">
        <f t="shared" si="15"/>
        <v/>
      </c>
      <c r="J219" s="183" t="e">
        <f t="shared" si="18"/>
        <v>#NUM!</v>
      </c>
      <c r="K219" s="182" t="e">
        <f t="shared" si="16"/>
        <v>#NUM!</v>
      </c>
      <c r="L219" s="182"/>
      <c r="M219" s="184">
        <f t="shared" si="17"/>
        <v>0</v>
      </c>
    </row>
    <row r="220" spans="1:13" x14ac:dyDescent="0.25">
      <c r="A220" s="199"/>
      <c r="G220" s="170"/>
      <c r="H220" s="182">
        <v>215</v>
      </c>
      <c r="I220" s="183" t="str">
        <f t="shared" si="15"/>
        <v/>
      </c>
      <c r="J220" s="183" t="e">
        <f t="shared" si="18"/>
        <v>#NUM!</v>
      </c>
      <c r="K220" s="182" t="e">
        <f t="shared" si="16"/>
        <v>#NUM!</v>
      </c>
      <c r="L220" s="182"/>
      <c r="M220" s="184">
        <f t="shared" si="17"/>
        <v>0</v>
      </c>
    </row>
    <row r="221" spans="1:13" x14ac:dyDescent="0.25">
      <c r="A221" s="199"/>
      <c r="G221" s="170"/>
      <c r="H221" s="182">
        <v>216</v>
      </c>
      <c r="I221" s="183" t="str">
        <f t="shared" si="15"/>
        <v/>
      </c>
      <c r="J221" s="183" t="e">
        <f t="shared" si="18"/>
        <v>#NUM!</v>
      </c>
      <c r="K221" s="182" t="e">
        <f t="shared" si="16"/>
        <v>#NUM!</v>
      </c>
      <c r="L221" s="182"/>
      <c r="M221" s="184">
        <f t="shared" si="17"/>
        <v>0</v>
      </c>
    </row>
    <row r="222" spans="1:13" x14ac:dyDescent="0.25">
      <c r="A222" s="199"/>
      <c r="G222" s="170"/>
      <c r="H222" s="182">
        <v>217</v>
      </c>
      <c r="I222" s="183" t="str">
        <f t="shared" si="15"/>
        <v/>
      </c>
      <c r="J222" s="183" t="e">
        <f t="shared" si="18"/>
        <v>#NUM!</v>
      </c>
      <c r="K222" s="182" t="e">
        <f t="shared" si="16"/>
        <v>#NUM!</v>
      </c>
      <c r="L222" s="182"/>
      <c r="M222" s="184">
        <f t="shared" si="17"/>
        <v>0</v>
      </c>
    </row>
    <row r="223" spans="1:13" x14ac:dyDescent="0.25">
      <c r="A223" s="199"/>
      <c r="G223" s="170"/>
      <c r="H223" s="182">
        <v>218</v>
      </c>
      <c r="I223" s="183" t="str">
        <f t="shared" si="15"/>
        <v/>
      </c>
      <c r="J223" s="183" t="e">
        <f t="shared" si="18"/>
        <v>#NUM!</v>
      </c>
      <c r="K223" s="182" t="e">
        <f t="shared" si="16"/>
        <v>#NUM!</v>
      </c>
      <c r="L223" s="182"/>
      <c r="M223" s="184">
        <f t="shared" si="17"/>
        <v>0</v>
      </c>
    </row>
    <row r="224" spans="1:13" x14ac:dyDescent="0.25">
      <c r="A224" s="199"/>
      <c r="G224" s="170"/>
      <c r="H224" s="182">
        <v>219</v>
      </c>
      <c r="I224" s="183" t="str">
        <f t="shared" si="15"/>
        <v/>
      </c>
      <c r="J224" s="183" t="e">
        <f t="shared" si="18"/>
        <v>#NUM!</v>
      </c>
      <c r="K224" s="182" t="e">
        <f t="shared" si="16"/>
        <v>#NUM!</v>
      </c>
      <c r="L224" s="182"/>
      <c r="M224" s="184">
        <f t="shared" si="17"/>
        <v>0</v>
      </c>
    </row>
    <row r="225" spans="1:13" x14ac:dyDescent="0.25">
      <c r="A225" s="199"/>
      <c r="G225" s="170"/>
      <c r="H225" s="182">
        <v>220</v>
      </c>
      <c r="I225" s="183" t="str">
        <f t="shared" si="15"/>
        <v/>
      </c>
      <c r="J225" s="183" t="e">
        <f t="shared" si="18"/>
        <v>#NUM!</v>
      </c>
      <c r="K225" s="182" t="e">
        <f t="shared" si="16"/>
        <v>#NUM!</v>
      </c>
      <c r="L225" s="182"/>
      <c r="M225" s="184">
        <f t="shared" si="17"/>
        <v>0</v>
      </c>
    </row>
    <row r="226" spans="1:13" x14ac:dyDescent="0.25">
      <c r="A226" s="199"/>
      <c r="G226" s="170"/>
      <c r="H226" s="182">
        <v>221</v>
      </c>
      <c r="I226" s="183" t="str">
        <f t="shared" si="15"/>
        <v/>
      </c>
      <c r="J226" s="183" t="e">
        <f t="shared" si="18"/>
        <v>#NUM!</v>
      </c>
      <c r="K226" s="182" t="e">
        <f t="shared" si="16"/>
        <v>#NUM!</v>
      </c>
      <c r="L226" s="182"/>
      <c r="M226" s="184">
        <f t="shared" si="17"/>
        <v>0</v>
      </c>
    </row>
    <row r="227" spans="1:13" x14ac:dyDescent="0.25">
      <c r="A227" s="199"/>
      <c r="G227" s="170"/>
      <c r="H227" s="182">
        <v>222</v>
      </c>
      <c r="I227" s="183" t="str">
        <f t="shared" si="15"/>
        <v/>
      </c>
      <c r="J227" s="183" t="e">
        <f t="shared" si="18"/>
        <v>#NUM!</v>
      </c>
      <c r="K227" s="182" t="e">
        <f t="shared" si="16"/>
        <v>#NUM!</v>
      </c>
      <c r="L227" s="182"/>
      <c r="M227" s="184">
        <f t="shared" si="17"/>
        <v>0</v>
      </c>
    </row>
    <row r="228" spans="1:13" x14ac:dyDescent="0.25">
      <c r="A228" s="199"/>
      <c r="G228" s="170"/>
      <c r="H228" s="182">
        <v>223</v>
      </c>
      <c r="I228" s="183" t="str">
        <f t="shared" si="15"/>
        <v/>
      </c>
      <c r="J228" s="183" t="e">
        <f t="shared" si="18"/>
        <v>#NUM!</v>
      </c>
      <c r="K228" s="182" t="e">
        <f t="shared" si="16"/>
        <v>#NUM!</v>
      </c>
      <c r="L228" s="182"/>
      <c r="M228" s="184">
        <f t="shared" si="17"/>
        <v>0</v>
      </c>
    </row>
    <row r="229" spans="1:13" x14ac:dyDescent="0.25">
      <c r="A229" s="199"/>
      <c r="G229" s="170"/>
      <c r="H229" s="182">
        <v>224</v>
      </c>
      <c r="I229" s="183" t="str">
        <f t="shared" si="15"/>
        <v/>
      </c>
      <c r="J229" s="183" t="e">
        <f t="shared" si="18"/>
        <v>#NUM!</v>
      </c>
      <c r="K229" s="182" t="e">
        <f t="shared" si="16"/>
        <v>#NUM!</v>
      </c>
      <c r="L229" s="182"/>
      <c r="M229" s="184">
        <f t="shared" si="17"/>
        <v>0</v>
      </c>
    </row>
    <row r="230" spans="1:13" x14ac:dyDescent="0.25">
      <c r="A230" s="199"/>
      <c r="G230" s="170"/>
      <c r="H230" s="182">
        <v>225</v>
      </c>
      <c r="I230" s="183" t="str">
        <f t="shared" si="15"/>
        <v/>
      </c>
      <c r="J230" s="183" t="e">
        <f t="shared" si="18"/>
        <v>#NUM!</v>
      </c>
      <c r="K230" s="182" t="e">
        <f t="shared" si="16"/>
        <v>#NUM!</v>
      </c>
      <c r="L230" s="182"/>
      <c r="M230" s="184">
        <f t="shared" si="17"/>
        <v>0</v>
      </c>
    </row>
    <row r="231" spans="1:13" x14ac:dyDescent="0.25">
      <c r="A231" s="199"/>
      <c r="G231" s="170"/>
      <c r="H231" s="182">
        <v>226</v>
      </c>
      <c r="I231" s="183" t="str">
        <f t="shared" si="15"/>
        <v/>
      </c>
      <c r="J231" s="183" t="e">
        <f t="shared" si="18"/>
        <v>#NUM!</v>
      </c>
      <c r="K231" s="182" t="e">
        <f t="shared" si="16"/>
        <v>#NUM!</v>
      </c>
      <c r="L231" s="182"/>
      <c r="M231" s="184">
        <f t="shared" si="17"/>
        <v>0</v>
      </c>
    </row>
    <row r="232" spans="1:13" x14ac:dyDescent="0.25">
      <c r="A232" s="199"/>
      <c r="G232" s="170"/>
      <c r="H232" s="182">
        <v>227</v>
      </c>
      <c r="I232" s="183" t="str">
        <f t="shared" si="15"/>
        <v/>
      </c>
      <c r="J232" s="183" t="e">
        <f t="shared" si="18"/>
        <v>#NUM!</v>
      </c>
      <c r="K232" s="182" t="e">
        <f t="shared" si="16"/>
        <v>#NUM!</v>
      </c>
      <c r="L232" s="182"/>
      <c r="M232" s="184">
        <f t="shared" si="17"/>
        <v>0</v>
      </c>
    </row>
    <row r="233" spans="1:13" x14ac:dyDescent="0.25">
      <c r="A233" s="199"/>
      <c r="G233" s="170"/>
      <c r="H233" s="182">
        <v>228</v>
      </c>
      <c r="I233" s="183" t="str">
        <f t="shared" si="15"/>
        <v/>
      </c>
      <c r="J233" s="183" t="e">
        <f t="shared" si="18"/>
        <v>#NUM!</v>
      </c>
      <c r="K233" s="182" t="e">
        <f t="shared" si="16"/>
        <v>#NUM!</v>
      </c>
      <c r="L233" s="182"/>
      <c r="M233" s="184">
        <f t="shared" si="17"/>
        <v>0</v>
      </c>
    </row>
    <row r="234" spans="1:13" x14ac:dyDescent="0.25">
      <c r="A234" s="199"/>
      <c r="G234" s="170"/>
      <c r="H234" s="182">
        <v>229</v>
      </c>
      <c r="I234" s="183" t="str">
        <f t="shared" si="15"/>
        <v/>
      </c>
      <c r="J234" s="183" t="e">
        <f t="shared" si="18"/>
        <v>#NUM!</v>
      </c>
      <c r="K234" s="182" t="e">
        <f t="shared" si="16"/>
        <v>#NUM!</v>
      </c>
      <c r="L234" s="182"/>
      <c r="M234" s="184">
        <f t="shared" si="17"/>
        <v>0</v>
      </c>
    </row>
    <row r="235" spans="1:13" x14ac:dyDescent="0.25">
      <c r="A235" s="199"/>
      <c r="G235" s="170"/>
      <c r="H235" s="182">
        <v>230</v>
      </c>
      <c r="I235" s="183" t="str">
        <f t="shared" si="15"/>
        <v/>
      </c>
      <c r="J235" s="183" t="e">
        <f t="shared" si="18"/>
        <v>#NUM!</v>
      </c>
      <c r="K235" s="182" t="e">
        <f t="shared" si="16"/>
        <v>#NUM!</v>
      </c>
      <c r="L235" s="182"/>
      <c r="M235" s="184">
        <f t="shared" si="17"/>
        <v>0</v>
      </c>
    </row>
    <row r="236" spans="1:13" x14ac:dyDescent="0.25">
      <c r="A236" s="199"/>
      <c r="G236" s="170"/>
      <c r="H236" s="182">
        <v>231</v>
      </c>
      <c r="I236" s="183" t="str">
        <f t="shared" si="15"/>
        <v/>
      </c>
      <c r="J236" s="183" t="e">
        <f t="shared" si="18"/>
        <v>#NUM!</v>
      </c>
      <c r="K236" s="182" t="e">
        <f t="shared" si="16"/>
        <v>#NUM!</v>
      </c>
      <c r="L236" s="182"/>
      <c r="M236" s="184">
        <f t="shared" si="17"/>
        <v>0</v>
      </c>
    </row>
    <row r="237" spans="1:13" x14ac:dyDescent="0.25">
      <c r="A237" s="199"/>
      <c r="G237" s="170"/>
      <c r="H237" s="182">
        <v>232</v>
      </c>
      <c r="I237" s="183" t="str">
        <f t="shared" si="15"/>
        <v/>
      </c>
      <c r="J237" s="183" t="e">
        <f t="shared" si="18"/>
        <v>#NUM!</v>
      </c>
      <c r="K237" s="182" t="e">
        <f t="shared" si="16"/>
        <v>#NUM!</v>
      </c>
      <c r="L237" s="182"/>
      <c r="M237" s="184">
        <f t="shared" si="17"/>
        <v>0</v>
      </c>
    </row>
    <row r="238" spans="1:13" x14ac:dyDescent="0.25">
      <c r="A238" s="199"/>
      <c r="G238" s="170"/>
      <c r="H238" s="182">
        <v>233</v>
      </c>
      <c r="I238" s="183" t="str">
        <f t="shared" si="15"/>
        <v/>
      </c>
      <c r="J238" s="183" t="e">
        <f t="shared" si="18"/>
        <v>#NUM!</v>
      </c>
      <c r="K238" s="182" t="e">
        <f t="shared" si="16"/>
        <v>#NUM!</v>
      </c>
      <c r="L238" s="182"/>
      <c r="M238" s="184">
        <f t="shared" si="17"/>
        <v>0</v>
      </c>
    </row>
    <row r="239" spans="1:13" x14ac:dyDescent="0.25">
      <c r="A239" s="199"/>
      <c r="G239" s="170"/>
      <c r="H239" s="182">
        <v>234</v>
      </c>
      <c r="I239" s="183" t="str">
        <f t="shared" si="15"/>
        <v/>
      </c>
      <c r="J239" s="183" t="e">
        <f t="shared" si="18"/>
        <v>#NUM!</v>
      </c>
      <c r="K239" s="182" t="e">
        <f t="shared" si="16"/>
        <v>#NUM!</v>
      </c>
      <c r="L239" s="182"/>
      <c r="M239" s="184">
        <f t="shared" si="17"/>
        <v>0</v>
      </c>
    </row>
    <row r="240" spans="1:13" x14ac:dyDescent="0.25">
      <c r="A240" s="199"/>
      <c r="G240" s="170"/>
      <c r="H240" s="182">
        <v>235</v>
      </c>
      <c r="I240" s="183" t="str">
        <f t="shared" si="15"/>
        <v/>
      </c>
      <c r="J240" s="183" t="e">
        <f t="shared" si="18"/>
        <v>#NUM!</v>
      </c>
      <c r="K240" s="182" t="e">
        <f t="shared" si="16"/>
        <v>#NUM!</v>
      </c>
      <c r="L240" s="182"/>
      <c r="M240" s="184">
        <f t="shared" si="17"/>
        <v>0</v>
      </c>
    </row>
    <row r="241" spans="1:13" x14ac:dyDescent="0.25">
      <c r="A241" s="199"/>
      <c r="G241" s="170"/>
      <c r="H241" s="182">
        <v>236</v>
      </c>
      <c r="I241" s="183" t="str">
        <f t="shared" si="15"/>
        <v/>
      </c>
      <c r="J241" s="183" t="e">
        <f t="shared" si="18"/>
        <v>#NUM!</v>
      </c>
      <c r="K241" s="182" t="e">
        <f t="shared" si="16"/>
        <v>#NUM!</v>
      </c>
      <c r="L241" s="182"/>
      <c r="M241" s="184">
        <f t="shared" si="17"/>
        <v>0</v>
      </c>
    </row>
    <row r="242" spans="1:13" x14ac:dyDescent="0.25">
      <c r="A242" s="199"/>
      <c r="G242" s="170"/>
      <c r="H242" s="182">
        <v>237</v>
      </c>
      <c r="I242" s="183" t="str">
        <f t="shared" si="15"/>
        <v/>
      </c>
      <c r="J242" s="183" t="e">
        <f t="shared" si="18"/>
        <v>#NUM!</v>
      </c>
      <c r="K242" s="182" t="e">
        <f t="shared" si="16"/>
        <v>#NUM!</v>
      </c>
      <c r="L242" s="182"/>
      <c r="M242" s="184">
        <f t="shared" si="17"/>
        <v>0</v>
      </c>
    </row>
    <row r="243" spans="1:13" x14ac:dyDescent="0.25">
      <c r="A243" s="199"/>
      <c r="G243" s="170"/>
      <c r="H243" s="182">
        <v>238</v>
      </c>
      <c r="I243" s="183" t="str">
        <f t="shared" si="15"/>
        <v/>
      </c>
      <c r="J243" s="183" t="e">
        <f t="shared" si="18"/>
        <v>#NUM!</v>
      </c>
      <c r="K243" s="182" t="e">
        <f t="shared" si="16"/>
        <v>#NUM!</v>
      </c>
      <c r="L243" s="182"/>
      <c r="M243" s="184">
        <f t="shared" si="17"/>
        <v>0</v>
      </c>
    </row>
    <row r="244" spans="1:13" x14ac:dyDescent="0.25">
      <c r="A244" s="199"/>
      <c r="G244" s="170"/>
      <c r="H244" s="182">
        <v>239</v>
      </c>
      <c r="I244" s="183" t="str">
        <f t="shared" si="15"/>
        <v/>
      </c>
      <c r="J244" s="183" t="e">
        <f t="shared" si="18"/>
        <v>#NUM!</v>
      </c>
      <c r="K244" s="182" t="e">
        <f t="shared" si="16"/>
        <v>#NUM!</v>
      </c>
      <c r="L244" s="182"/>
      <c r="M244" s="184">
        <f t="shared" si="17"/>
        <v>0</v>
      </c>
    </row>
    <row r="245" spans="1:13" x14ac:dyDescent="0.25">
      <c r="A245" s="199"/>
      <c r="G245" s="170"/>
      <c r="H245" s="182">
        <v>240</v>
      </c>
      <c r="I245" s="183" t="str">
        <f t="shared" si="15"/>
        <v/>
      </c>
      <c r="J245" s="183" t="e">
        <f t="shared" si="18"/>
        <v>#NUM!</v>
      </c>
      <c r="K245" s="182" t="e">
        <f t="shared" si="16"/>
        <v>#NUM!</v>
      </c>
      <c r="L245" s="182"/>
      <c r="M245" s="184">
        <f t="shared" si="17"/>
        <v>0</v>
      </c>
    </row>
    <row r="246" spans="1:13" x14ac:dyDescent="0.25">
      <c r="A246" s="199"/>
      <c r="G246" s="170"/>
      <c r="H246" s="182">
        <v>241</v>
      </c>
      <c r="I246" s="183" t="str">
        <f t="shared" si="15"/>
        <v/>
      </c>
      <c r="J246" s="183" t="e">
        <f t="shared" si="18"/>
        <v>#NUM!</v>
      </c>
      <c r="K246" s="182" t="e">
        <f t="shared" si="16"/>
        <v>#NUM!</v>
      </c>
      <c r="L246" s="182"/>
      <c r="M246" s="184">
        <f t="shared" si="17"/>
        <v>0</v>
      </c>
    </row>
    <row r="247" spans="1:13" x14ac:dyDescent="0.25">
      <c r="A247" s="199"/>
      <c r="G247" s="170"/>
      <c r="H247" s="182">
        <v>242</v>
      </c>
      <c r="I247" s="183" t="str">
        <f t="shared" si="15"/>
        <v/>
      </c>
      <c r="J247" s="183" t="e">
        <f t="shared" si="18"/>
        <v>#NUM!</v>
      </c>
      <c r="K247" s="182" t="e">
        <f t="shared" si="16"/>
        <v>#NUM!</v>
      </c>
      <c r="L247" s="182"/>
      <c r="M247" s="184">
        <f t="shared" si="17"/>
        <v>0</v>
      </c>
    </row>
    <row r="248" spans="1:13" x14ac:dyDescent="0.25">
      <c r="A248" s="199"/>
      <c r="G248" s="170"/>
      <c r="H248" s="182">
        <v>243</v>
      </c>
      <c r="I248" s="183" t="str">
        <f t="shared" si="15"/>
        <v/>
      </c>
      <c r="J248" s="183" t="e">
        <f t="shared" si="18"/>
        <v>#NUM!</v>
      </c>
      <c r="K248" s="182" t="e">
        <f t="shared" si="16"/>
        <v>#NUM!</v>
      </c>
      <c r="L248" s="182"/>
      <c r="M248" s="184">
        <f t="shared" si="17"/>
        <v>0</v>
      </c>
    </row>
    <row r="249" spans="1:13" x14ac:dyDescent="0.25">
      <c r="A249" s="199"/>
      <c r="G249" s="170"/>
      <c r="H249" s="182">
        <v>244</v>
      </c>
      <c r="I249" s="183" t="str">
        <f t="shared" si="15"/>
        <v/>
      </c>
      <c r="J249" s="183" t="e">
        <f t="shared" si="18"/>
        <v>#NUM!</v>
      </c>
      <c r="K249" s="182" t="e">
        <f t="shared" si="16"/>
        <v>#NUM!</v>
      </c>
      <c r="L249" s="182"/>
      <c r="M249" s="184">
        <f t="shared" si="17"/>
        <v>0</v>
      </c>
    </row>
    <row r="250" spans="1:13" x14ac:dyDescent="0.25">
      <c r="A250" s="199"/>
      <c r="G250" s="170"/>
      <c r="H250" s="182">
        <v>245</v>
      </c>
      <c r="I250" s="183" t="str">
        <f t="shared" si="15"/>
        <v/>
      </c>
      <c r="J250" s="183" t="e">
        <f t="shared" si="18"/>
        <v>#NUM!</v>
      </c>
      <c r="K250" s="182" t="e">
        <f t="shared" si="16"/>
        <v>#NUM!</v>
      </c>
      <c r="L250" s="182"/>
      <c r="M250" s="184">
        <f t="shared" si="17"/>
        <v>0</v>
      </c>
    </row>
    <row r="251" spans="1:13" x14ac:dyDescent="0.25">
      <c r="A251" s="199"/>
      <c r="G251" s="170"/>
      <c r="H251" s="182">
        <v>246</v>
      </c>
      <c r="I251" s="183" t="str">
        <f t="shared" si="15"/>
        <v/>
      </c>
      <c r="J251" s="183" t="e">
        <f t="shared" si="18"/>
        <v>#NUM!</v>
      </c>
      <c r="K251" s="182" t="e">
        <f t="shared" si="16"/>
        <v>#NUM!</v>
      </c>
      <c r="L251" s="182"/>
      <c r="M251" s="184">
        <f t="shared" si="17"/>
        <v>0</v>
      </c>
    </row>
    <row r="252" spans="1:13" x14ac:dyDescent="0.25">
      <c r="A252" s="199"/>
      <c r="G252" s="170"/>
      <c r="H252" s="182">
        <v>247</v>
      </c>
      <c r="I252" s="183" t="str">
        <f t="shared" si="15"/>
        <v/>
      </c>
      <c r="J252" s="183" t="e">
        <f t="shared" si="18"/>
        <v>#NUM!</v>
      </c>
      <c r="K252" s="182" t="e">
        <f t="shared" si="16"/>
        <v>#NUM!</v>
      </c>
      <c r="L252" s="182"/>
      <c r="M252" s="184">
        <f t="shared" si="17"/>
        <v>0</v>
      </c>
    </row>
    <row r="253" spans="1:13" x14ac:dyDescent="0.25">
      <c r="A253" s="199"/>
      <c r="G253" s="170"/>
      <c r="H253" s="182">
        <v>248</v>
      </c>
      <c r="I253" s="183" t="str">
        <f t="shared" si="15"/>
        <v/>
      </c>
      <c r="J253" s="183" t="e">
        <f t="shared" si="18"/>
        <v>#NUM!</v>
      </c>
      <c r="K253" s="182" t="e">
        <f t="shared" si="16"/>
        <v>#NUM!</v>
      </c>
      <c r="L253" s="182"/>
      <c r="M253" s="184">
        <f t="shared" si="17"/>
        <v>0</v>
      </c>
    </row>
    <row r="254" spans="1:13" x14ac:dyDescent="0.25">
      <c r="A254" s="199"/>
      <c r="G254" s="170"/>
      <c r="H254" s="182">
        <v>249</v>
      </c>
      <c r="I254" s="183" t="str">
        <f t="shared" si="15"/>
        <v/>
      </c>
      <c r="J254" s="183" t="e">
        <f t="shared" si="18"/>
        <v>#NUM!</v>
      </c>
      <c r="K254" s="182" t="e">
        <f t="shared" si="16"/>
        <v>#NUM!</v>
      </c>
      <c r="L254" s="182"/>
      <c r="M254" s="184">
        <f t="shared" si="17"/>
        <v>0</v>
      </c>
    </row>
    <row r="255" spans="1:13" x14ac:dyDescent="0.25">
      <c r="A255" s="199"/>
      <c r="G255" s="170"/>
      <c r="H255" s="182">
        <v>250</v>
      </c>
      <c r="I255" s="183" t="str">
        <f t="shared" si="15"/>
        <v/>
      </c>
      <c r="J255" s="183" t="e">
        <f t="shared" si="18"/>
        <v>#NUM!</v>
      </c>
      <c r="K255" s="182" t="e">
        <f t="shared" si="16"/>
        <v>#NUM!</v>
      </c>
      <c r="L255" s="182"/>
      <c r="M255" s="184">
        <f t="shared" si="17"/>
        <v>0</v>
      </c>
    </row>
    <row r="256" spans="1:13" x14ac:dyDescent="0.25">
      <c r="A256" s="199"/>
      <c r="G256" s="170"/>
      <c r="H256" s="182">
        <v>251</v>
      </c>
      <c r="I256" s="183" t="str">
        <f t="shared" si="15"/>
        <v/>
      </c>
      <c r="J256" s="183" t="e">
        <f t="shared" si="18"/>
        <v>#NUM!</v>
      </c>
      <c r="K256" s="182" t="e">
        <f t="shared" si="16"/>
        <v>#NUM!</v>
      </c>
      <c r="L256" s="182"/>
      <c r="M256" s="184">
        <f t="shared" si="17"/>
        <v>0</v>
      </c>
    </row>
    <row r="257" spans="1:13" x14ac:dyDescent="0.25">
      <c r="A257" s="199"/>
      <c r="G257" s="170"/>
      <c r="H257" s="182">
        <v>252</v>
      </c>
      <c r="I257" s="183" t="str">
        <f t="shared" si="15"/>
        <v/>
      </c>
      <c r="J257" s="183" t="e">
        <f t="shared" si="18"/>
        <v>#NUM!</v>
      </c>
      <c r="K257" s="182" t="e">
        <f t="shared" si="16"/>
        <v>#NUM!</v>
      </c>
      <c r="L257" s="182"/>
      <c r="M257" s="184">
        <f t="shared" si="17"/>
        <v>0</v>
      </c>
    </row>
    <row r="258" spans="1:13" x14ac:dyDescent="0.25">
      <c r="A258" s="199"/>
      <c r="G258" s="170"/>
      <c r="H258" s="182">
        <v>253</v>
      </c>
      <c r="I258" s="183" t="str">
        <f t="shared" si="15"/>
        <v/>
      </c>
      <c r="J258" s="183" t="e">
        <f t="shared" si="18"/>
        <v>#NUM!</v>
      </c>
      <c r="K258" s="182" t="e">
        <f t="shared" si="16"/>
        <v>#NUM!</v>
      </c>
      <c r="L258" s="182"/>
      <c r="M258" s="184">
        <f t="shared" si="17"/>
        <v>0</v>
      </c>
    </row>
    <row r="259" spans="1:13" x14ac:dyDescent="0.25">
      <c r="A259" s="199"/>
      <c r="G259" s="170"/>
      <c r="H259" s="182">
        <v>254</v>
      </c>
      <c r="I259" s="183" t="str">
        <f t="shared" si="15"/>
        <v/>
      </c>
      <c r="J259" s="183" t="e">
        <f t="shared" si="18"/>
        <v>#NUM!</v>
      </c>
      <c r="K259" s="182" t="e">
        <f t="shared" si="16"/>
        <v>#NUM!</v>
      </c>
      <c r="L259" s="182"/>
      <c r="M259" s="184">
        <f t="shared" si="17"/>
        <v>0</v>
      </c>
    </row>
    <row r="260" spans="1:13" x14ac:dyDescent="0.25">
      <c r="A260" s="199"/>
      <c r="G260" s="170"/>
      <c r="H260" s="182">
        <v>255</v>
      </c>
      <c r="I260" s="183" t="str">
        <f t="shared" si="15"/>
        <v/>
      </c>
      <c r="J260" s="183" t="e">
        <f t="shared" si="18"/>
        <v>#NUM!</v>
      </c>
      <c r="K260" s="182" t="e">
        <f t="shared" si="16"/>
        <v>#NUM!</v>
      </c>
      <c r="L260" s="182"/>
      <c r="M260" s="184">
        <f t="shared" si="17"/>
        <v>0</v>
      </c>
    </row>
    <row r="261" spans="1:13" x14ac:dyDescent="0.25">
      <c r="A261" s="199"/>
      <c r="G261" s="170"/>
      <c r="H261" s="182">
        <v>256</v>
      </c>
      <c r="I261" s="183" t="str">
        <f t="shared" si="15"/>
        <v/>
      </c>
      <c r="J261" s="183" t="e">
        <f t="shared" si="18"/>
        <v>#NUM!</v>
      </c>
      <c r="K261" s="182" t="e">
        <f t="shared" si="16"/>
        <v>#NUM!</v>
      </c>
      <c r="L261" s="182"/>
      <c r="M261" s="184">
        <f t="shared" si="17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9">IF(H262&lt;$H$2+1,($I$2-($I$2-1)*(LOG(H262)/LOG($H$2))),"")</f>
        <v/>
      </c>
      <c r="J262" s="183" t="e">
        <f t="shared" si="18"/>
        <v>#NUM!</v>
      </c>
      <c r="K262" s="182" t="e">
        <f t="shared" ref="K262:K305" si="20">J262*$J$2</f>
        <v>#NUM!</v>
      </c>
      <c r="L262" s="182"/>
      <c r="M262" s="184">
        <f t="shared" ref="M262:M305" si="21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9"/>
        <v/>
      </c>
      <c r="J263" s="183" t="e">
        <f t="shared" ref="J263:J305" si="22">INT(LOG($H$2,2))-ROUNDUP(LOG(H263,2),0)+IF(OR($H$2=1,$H$2=2,$H$2=4,$H$2=8,$H$2=16,$H$2=32,$H$2=64,$H$2=128,$H$2=256),0,1)</f>
        <v>#NUM!</v>
      </c>
      <c r="K263" s="182" t="e">
        <f t="shared" si="20"/>
        <v>#NUM!</v>
      </c>
      <c r="L263" s="182"/>
      <c r="M263" s="184">
        <f t="shared" si="21"/>
        <v>0</v>
      </c>
    </row>
    <row r="264" spans="1:13" x14ac:dyDescent="0.25">
      <c r="A264" s="199"/>
      <c r="G264" s="170"/>
      <c r="H264" s="182">
        <v>259</v>
      </c>
      <c r="I264" s="183" t="str">
        <f t="shared" si="19"/>
        <v/>
      </c>
      <c r="J264" s="183" t="e">
        <f t="shared" si="22"/>
        <v>#NUM!</v>
      </c>
      <c r="K264" s="182" t="e">
        <f t="shared" si="20"/>
        <v>#NUM!</v>
      </c>
      <c r="L264" s="182"/>
      <c r="M264" s="184">
        <f t="shared" si="21"/>
        <v>0</v>
      </c>
    </row>
    <row r="265" spans="1:13" x14ac:dyDescent="0.25">
      <c r="A265" s="199"/>
      <c r="G265" s="170"/>
      <c r="H265" s="182">
        <v>260</v>
      </c>
      <c r="I265" s="183" t="str">
        <f t="shared" si="19"/>
        <v/>
      </c>
      <c r="J265" s="183" t="e">
        <f t="shared" si="22"/>
        <v>#NUM!</v>
      </c>
      <c r="K265" s="182" t="e">
        <f t="shared" si="20"/>
        <v>#NUM!</v>
      </c>
      <c r="L265" s="182"/>
      <c r="M265" s="184">
        <f t="shared" si="21"/>
        <v>0</v>
      </c>
    </row>
    <row r="266" spans="1:13" x14ac:dyDescent="0.25">
      <c r="A266" s="199"/>
      <c r="G266" s="170"/>
      <c r="H266" s="182">
        <v>261</v>
      </c>
      <c r="I266" s="183" t="str">
        <f t="shared" si="19"/>
        <v/>
      </c>
      <c r="J266" s="183" t="e">
        <f t="shared" si="22"/>
        <v>#NUM!</v>
      </c>
      <c r="K266" s="182" t="e">
        <f t="shared" si="20"/>
        <v>#NUM!</v>
      </c>
      <c r="L266" s="182"/>
      <c r="M266" s="184">
        <f t="shared" si="21"/>
        <v>0</v>
      </c>
    </row>
    <row r="267" spans="1:13" x14ac:dyDescent="0.25">
      <c r="A267" s="199"/>
      <c r="G267" s="170"/>
      <c r="H267" s="182">
        <v>262</v>
      </c>
      <c r="I267" s="183" t="str">
        <f t="shared" si="19"/>
        <v/>
      </c>
      <c r="J267" s="183" t="e">
        <f t="shared" si="22"/>
        <v>#NUM!</v>
      </c>
      <c r="K267" s="182" t="e">
        <f t="shared" si="20"/>
        <v>#NUM!</v>
      </c>
      <c r="L267" s="182"/>
      <c r="M267" s="184">
        <f t="shared" si="21"/>
        <v>0</v>
      </c>
    </row>
    <row r="268" spans="1:13" x14ac:dyDescent="0.25">
      <c r="A268" s="199"/>
      <c r="G268" s="170"/>
      <c r="H268" s="182">
        <v>263</v>
      </c>
      <c r="I268" s="183" t="str">
        <f t="shared" si="19"/>
        <v/>
      </c>
      <c r="J268" s="183" t="e">
        <f t="shared" si="22"/>
        <v>#NUM!</v>
      </c>
      <c r="K268" s="182" t="e">
        <f t="shared" si="20"/>
        <v>#NUM!</v>
      </c>
      <c r="L268" s="182"/>
      <c r="M268" s="184">
        <f t="shared" si="21"/>
        <v>0</v>
      </c>
    </row>
    <row r="269" spans="1:13" x14ac:dyDescent="0.25">
      <c r="A269" s="199"/>
      <c r="G269" s="170"/>
      <c r="H269" s="182">
        <v>264</v>
      </c>
      <c r="I269" s="183" t="str">
        <f t="shared" si="19"/>
        <v/>
      </c>
      <c r="J269" s="183" t="e">
        <f t="shared" si="22"/>
        <v>#NUM!</v>
      </c>
      <c r="K269" s="182" t="e">
        <f t="shared" si="20"/>
        <v>#NUM!</v>
      </c>
      <c r="L269" s="182"/>
      <c r="M269" s="184">
        <f t="shared" si="21"/>
        <v>0</v>
      </c>
    </row>
    <row r="270" spans="1:13" x14ac:dyDescent="0.25">
      <c r="A270" s="199"/>
      <c r="G270" s="170"/>
      <c r="H270" s="182">
        <v>265</v>
      </c>
      <c r="I270" s="183" t="str">
        <f t="shared" si="19"/>
        <v/>
      </c>
      <c r="J270" s="183" t="e">
        <f t="shared" si="22"/>
        <v>#NUM!</v>
      </c>
      <c r="K270" s="182" t="e">
        <f t="shared" si="20"/>
        <v>#NUM!</v>
      </c>
      <c r="L270" s="182"/>
      <c r="M270" s="184">
        <f t="shared" si="21"/>
        <v>0</v>
      </c>
    </row>
    <row r="271" spans="1:13" x14ac:dyDescent="0.25">
      <c r="A271" s="199"/>
      <c r="G271" s="170"/>
      <c r="H271" s="182">
        <v>266</v>
      </c>
      <c r="I271" s="183" t="str">
        <f t="shared" si="19"/>
        <v/>
      </c>
      <c r="J271" s="183" t="e">
        <f t="shared" si="22"/>
        <v>#NUM!</v>
      </c>
      <c r="K271" s="182" t="e">
        <f t="shared" si="20"/>
        <v>#NUM!</v>
      </c>
      <c r="L271" s="182"/>
      <c r="M271" s="184">
        <f t="shared" si="21"/>
        <v>0</v>
      </c>
    </row>
    <row r="272" spans="1:13" x14ac:dyDescent="0.25">
      <c r="A272" s="199"/>
      <c r="G272" s="170"/>
      <c r="H272" s="182">
        <v>267</v>
      </c>
      <c r="I272" s="183" t="str">
        <f t="shared" si="19"/>
        <v/>
      </c>
      <c r="J272" s="183" t="e">
        <f t="shared" si="22"/>
        <v>#NUM!</v>
      </c>
      <c r="K272" s="182" t="e">
        <f t="shared" si="20"/>
        <v>#NUM!</v>
      </c>
      <c r="L272" s="182"/>
      <c r="M272" s="184">
        <f t="shared" si="21"/>
        <v>0</v>
      </c>
    </row>
    <row r="273" spans="1:13" x14ac:dyDescent="0.25">
      <c r="A273" s="199"/>
      <c r="G273" s="170"/>
      <c r="H273" s="182">
        <v>268</v>
      </c>
      <c r="I273" s="183" t="str">
        <f t="shared" si="19"/>
        <v/>
      </c>
      <c r="J273" s="183" t="e">
        <f t="shared" si="22"/>
        <v>#NUM!</v>
      </c>
      <c r="K273" s="182" t="e">
        <f t="shared" si="20"/>
        <v>#NUM!</v>
      </c>
      <c r="L273" s="182"/>
      <c r="M273" s="184">
        <f t="shared" si="21"/>
        <v>0</v>
      </c>
    </row>
    <row r="274" spans="1:13" x14ac:dyDescent="0.25">
      <c r="A274" s="199"/>
      <c r="G274" s="170"/>
      <c r="H274" s="182">
        <v>269</v>
      </c>
      <c r="I274" s="183" t="str">
        <f t="shared" si="19"/>
        <v/>
      </c>
      <c r="J274" s="183" t="e">
        <f t="shared" si="22"/>
        <v>#NUM!</v>
      </c>
      <c r="K274" s="182" t="e">
        <f t="shared" si="20"/>
        <v>#NUM!</v>
      </c>
      <c r="L274" s="182"/>
      <c r="M274" s="184">
        <f t="shared" si="21"/>
        <v>0</v>
      </c>
    </row>
    <row r="275" spans="1:13" x14ac:dyDescent="0.25">
      <c r="A275" s="199"/>
      <c r="G275" s="170"/>
      <c r="H275" s="182">
        <v>270</v>
      </c>
      <c r="I275" s="183" t="str">
        <f t="shared" si="19"/>
        <v/>
      </c>
      <c r="J275" s="183" t="e">
        <f t="shared" si="22"/>
        <v>#NUM!</v>
      </c>
      <c r="K275" s="182" t="e">
        <f t="shared" si="20"/>
        <v>#NUM!</v>
      </c>
      <c r="L275" s="182"/>
      <c r="M275" s="184">
        <f t="shared" si="21"/>
        <v>0</v>
      </c>
    </row>
    <row r="276" spans="1:13" x14ac:dyDescent="0.25">
      <c r="A276" s="199"/>
      <c r="G276" s="170"/>
      <c r="H276" s="182">
        <v>271</v>
      </c>
      <c r="I276" s="183" t="str">
        <f t="shared" si="19"/>
        <v/>
      </c>
      <c r="J276" s="183" t="e">
        <f t="shared" si="22"/>
        <v>#NUM!</v>
      </c>
      <c r="K276" s="182" t="e">
        <f t="shared" si="20"/>
        <v>#NUM!</v>
      </c>
      <c r="L276" s="182"/>
      <c r="M276" s="184">
        <f t="shared" si="21"/>
        <v>0</v>
      </c>
    </row>
    <row r="277" spans="1:13" x14ac:dyDescent="0.25">
      <c r="A277" s="199"/>
      <c r="G277" s="170"/>
      <c r="H277" s="182">
        <v>272</v>
      </c>
      <c r="I277" s="183" t="str">
        <f t="shared" si="19"/>
        <v/>
      </c>
      <c r="J277" s="183" t="e">
        <f t="shared" si="22"/>
        <v>#NUM!</v>
      </c>
      <c r="K277" s="182" t="e">
        <f t="shared" si="20"/>
        <v>#NUM!</v>
      </c>
      <c r="L277" s="182"/>
      <c r="M277" s="184">
        <f t="shared" si="21"/>
        <v>0</v>
      </c>
    </row>
    <row r="278" spans="1:13" x14ac:dyDescent="0.25">
      <c r="A278" s="199"/>
      <c r="G278" s="170"/>
      <c r="H278" s="182">
        <v>273</v>
      </c>
      <c r="I278" s="183" t="str">
        <f t="shared" si="19"/>
        <v/>
      </c>
      <c r="J278" s="183" t="e">
        <f t="shared" si="22"/>
        <v>#NUM!</v>
      </c>
      <c r="K278" s="182" t="e">
        <f t="shared" si="20"/>
        <v>#NUM!</v>
      </c>
      <c r="L278" s="182"/>
      <c r="M278" s="184">
        <f t="shared" si="21"/>
        <v>0</v>
      </c>
    </row>
    <row r="279" spans="1:13" x14ac:dyDescent="0.25">
      <c r="A279" s="199"/>
      <c r="G279" s="170"/>
      <c r="H279" s="182">
        <v>274</v>
      </c>
      <c r="I279" s="183" t="str">
        <f t="shared" si="19"/>
        <v/>
      </c>
      <c r="J279" s="183" t="e">
        <f t="shared" si="22"/>
        <v>#NUM!</v>
      </c>
      <c r="K279" s="182" t="e">
        <f t="shared" si="20"/>
        <v>#NUM!</v>
      </c>
      <c r="L279" s="182"/>
      <c r="M279" s="184">
        <f t="shared" si="21"/>
        <v>0</v>
      </c>
    </row>
    <row r="280" spans="1:13" x14ac:dyDescent="0.25">
      <c r="A280" s="199"/>
      <c r="G280" s="170"/>
      <c r="H280" s="182">
        <v>275</v>
      </c>
      <c r="I280" s="183" t="str">
        <f t="shared" si="19"/>
        <v/>
      </c>
      <c r="J280" s="183" t="e">
        <f t="shared" si="22"/>
        <v>#NUM!</v>
      </c>
      <c r="K280" s="182" t="e">
        <f t="shared" si="20"/>
        <v>#NUM!</v>
      </c>
      <c r="L280" s="182"/>
      <c r="M280" s="184">
        <f t="shared" si="21"/>
        <v>0</v>
      </c>
    </row>
    <row r="281" spans="1:13" x14ac:dyDescent="0.25">
      <c r="A281" s="199"/>
      <c r="G281" s="170"/>
      <c r="H281" s="182">
        <v>276</v>
      </c>
      <c r="I281" s="183" t="str">
        <f t="shared" si="19"/>
        <v/>
      </c>
      <c r="J281" s="183" t="e">
        <f t="shared" si="22"/>
        <v>#NUM!</v>
      </c>
      <c r="K281" s="182" t="e">
        <f t="shared" si="20"/>
        <v>#NUM!</v>
      </c>
      <c r="L281" s="182"/>
      <c r="M281" s="184">
        <f t="shared" si="21"/>
        <v>0</v>
      </c>
    </row>
    <row r="282" spans="1:13" x14ac:dyDescent="0.25">
      <c r="A282" s="199"/>
      <c r="G282" s="170"/>
      <c r="H282" s="182">
        <v>277</v>
      </c>
      <c r="I282" s="183" t="str">
        <f t="shared" si="19"/>
        <v/>
      </c>
      <c r="J282" s="183" t="e">
        <f t="shared" si="22"/>
        <v>#NUM!</v>
      </c>
      <c r="K282" s="182" t="e">
        <f t="shared" si="20"/>
        <v>#NUM!</v>
      </c>
      <c r="L282" s="182"/>
      <c r="M282" s="184">
        <f t="shared" si="21"/>
        <v>0</v>
      </c>
    </row>
    <row r="283" spans="1:13" x14ac:dyDescent="0.25">
      <c r="A283" s="199"/>
      <c r="G283" s="170"/>
      <c r="H283" s="182">
        <v>278</v>
      </c>
      <c r="I283" s="183" t="str">
        <f t="shared" si="19"/>
        <v/>
      </c>
      <c r="J283" s="183" t="e">
        <f t="shared" si="22"/>
        <v>#NUM!</v>
      </c>
      <c r="K283" s="182" t="e">
        <f t="shared" si="20"/>
        <v>#NUM!</v>
      </c>
      <c r="L283" s="182"/>
      <c r="M283" s="184">
        <f t="shared" si="21"/>
        <v>0</v>
      </c>
    </row>
    <row r="284" spans="1:13" x14ac:dyDescent="0.25">
      <c r="A284" s="199"/>
      <c r="G284" s="170"/>
      <c r="H284" s="182">
        <v>279</v>
      </c>
      <c r="I284" s="183" t="str">
        <f t="shared" si="19"/>
        <v/>
      </c>
      <c r="J284" s="183" t="e">
        <f t="shared" si="22"/>
        <v>#NUM!</v>
      </c>
      <c r="K284" s="182" t="e">
        <f t="shared" si="20"/>
        <v>#NUM!</v>
      </c>
      <c r="L284" s="182"/>
      <c r="M284" s="184">
        <f t="shared" si="21"/>
        <v>0</v>
      </c>
    </row>
    <row r="285" spans="1:13" x14ac:dyDescent="0.25">
      <c r="A285" s="199"/>
      <c r="G285" s="170"/>
      <c r="H285" s="182">
        <v>280</v>
      </c>
      <c r="I285" s="183" t="str">
        <f t="shared" si="19"/>
        <v/>
      </c>
      <c r="J285" s="183" t="e">
        <f t="shared" si="22"/>
        <v>#NUM!</v>
      </c>
      <c r="K285" s="182" t="e">
        <f t="shared" si="20"/>
        <v>#NUM!</v>
      </c>
      <c r="L285" s="182"/>
      <c r="M285" s="184">
        <f t="shared" si="21"/>
        <v>0</v>
      </c>
    </row>
    <row r="286" spans="1:13" x14ac:dyDescent="0.25">
      <c r="A286" s="199"/>
      <c r="G286" s="170"/>
      <c r="H286" s="182">
        <v>281</v>
      </c>
      <c r="I286" s="183" t="str">
        <f t="shared" si="19"/>
        <v/>
      </c>
      <c r="J286" s="183" t="e">
        <f t="shared" si="22"/>
        <v>#NUM!</v>
      </c>
      <c r="K286" s="182" t="e">
        <f t="shared" si="20"/>
        <v>#NUM!</v>
      </c>
      <c r="L286" s="182"/>
      <c r="M286" s="184">
        <f t="shared" si="21"/>
        <v>0</v>
      </c>
    </row>
    <row r="287" spans="1:13" x14ac:dyDescent="0.25">
      <c r="A287" s="199"/>
      <c r="G287" s="170"/>
      <c r="H287" s="182">
        <v>282</v>
      </c>
      <c r="I287" s="183" t="str">
        <f t="shared" si="19"/>
        <v/>
      </c>
      <c r="J287" s="183" t="e">
        <f t="shared" si="22"/>
        <v>#NUM!</v>
      </c>
      <c r="K287" s="182" t="e">
        <f t="shared" si="20"/>
        <v>#NUM!</v>
      </c>
      <c r="L287" s="182"/>
      <c r="M287" s="184">
        <f t="shared" si="21"/>
        <v>0</v>
      </c>
    </row>
    <row r="288" spans="1:13" x14ac:dyDescent="0.25">
      <c r="A288" s="199"/>
      <c r="G288" s="170"/>
      <c r="H288" s="182">
        <v>283</v>
      </c>
      <c r="I288" s="183" t="str">
        <f t="shared" si="19"/>
        <v/>
      </c>
      <c r="J288" s="183" t="e">
        <f t="shared" si="22"/>
        <v>#NUM!</v>
      </c>
      <c r="K288" s="182" t="e">
        <f t="shared" si="20"/>
        <v>#NUM!</v>
      </c>
      <c r="L288" s="182"/>
      <c r="M288" s="184">
        <f t="shared" si="21"/>
        <v>0</v>
      </c>
    </row>
    <row r="289" spans="1:13" x14ac:dyDescent="0.25">
      <c r="A289" s="199"/>
      <c r="G289" s="170"/>
      <c r="H289" s="182">
        <v>284</v>
      </c>
      <c r="I289" s="183" t="str">
        <f t="shared" si="19"/>
        <v/>
      </c>
      <c r="J289" s="183" t="e">
        <f t="shared" si="22"/>
        <v>#NUM!</v>
      </c>
      <c r="K289" s="182" t="e">
        <f t="shared" si="20"/>
        <v>#NUM!</v>
      </c>
      <c r="L289" s="182"/>
      <c r="M289" s="184">
        <f t="shared" si="21"/>
        <v>0</v>
      </c>
    </row>
    <row r="290" spans="1:13" x14ac:dyDescent="0.25">
      <c r="A290" s="199"/>
      <c r="G290" s="170"/>
      <c r="H290" s="182">
        <v>285</v>
      </c>
      <c r="I290" s="183" t="str">
        <f t="shared" si="19"/>
        <v/>
      </c>
      <c r="J290" s="183" t="e">
        <f t="shared" si="22"/>
        <v>#NUM!</v>
      </c>
      <c r="K290" s="182" t="e">
        <f t="shared" si="20"/>
        <v>#NUM!</v>
      </c>
      <c r="L290" s="182"/>
      <c r="M290" s="184">
        <f t="shared" si="21"/>
        <v>0</v>
      </c>
    </row>
    <row r="291" spans="1:13" x14ac:dyDescent="0.25">
      <c r="A291" s="199"/>
      <c r="G291" s="170"/>
      <c r="H291" s="182">
        <v>286</v>
      </c>
      <c r="I291" s="183" t="str">
        <f t="shared" si="19"/>
        <v/>
      </c>
      <c r="J291" s="183" t="e">
        <f t="shared" si="22"/>
        <v>#NUM!</v>
      </c>
      <c r="K291" s="182" t="e">
        <f t="shared" si="20"/>
        <v>#NUM!</v>
      </c>
      <c r="L291" s="182"/>
      <c r="M291" s="184">
        <f t="shared" si="21"/>
        <v>0</v>
      </c>
    </row>
    <row r="292" spans="1:13" x14ac:dyDescent="0.25">
      <c r="A292" s="199"/>
      <c r="G292" s="170"/>
      <c r="H292" s="182">
        <v>287</v>
      </c>
      <c r="I292" s="183" t="str">
        <f t="shared" si="19"/>
        <v/>
      </c>
      <c r="J292" s="183" t="e">
        <f t="shared" si="22"/>
        <v>#NUM!</v>
      </c>
      <c r="K292" s="182" t="e">
        <f t="shared" si="20"/>
        <v>#NUM!</v>
      </c>
      <c r="L292" s="182"/>
      <c r="M292" s="184">
        <f t="shared" si="21"/>
        <v>0</v>
      </c>
    </row>
    <row r="293" spans="1:13" x14ac:dyDescent="0.25">
      <c r="A293" s="199"/>
      <c r="G293" s="170"/>
      <c r="H293" s="182">
        <v>288</v>
      </c>
      <c r="I293" s="183" t="str">
        <f t="shared" si="19"/>
        <v/>
      </c>
      <c r="J293" s="183" t="e">
        <f t="shared" si="22"/>
        <v>#NUM!</v>
      </c>
      <c r="K293" s="182" t="e">
        <f t="shared" si="20"/>
        <v>#NUM!</v>
      </c>
      <c r="L293" s="182"/>
      <c r="M293" s="184">
        <f t="shared" si="21"/>
        <v>0</v>
      </c>
    </row>
    <row r="294" spans="1:13" x14ac:dyDescent="0.25">
      <c r="A294" s="199"/>
      <c r="G294" s="170"/>
      <c r="H294" s="182">
        <v>289</v>
      </c>
      <c r="I294" s="183" t="str">
        <f t="shared" si="19"/>
        <v/>
      </c>
      <c r="J294" s="183" t="e">
        <f t="shared" si="22"/>
        <v>#NUM!</v>
      </c>
      <c r="K294" s="182" t="e">
        <f t="shared" si="20"/>
        <v>#NUM!</v>
      </c>
      <c r="L294" s="182"/>
      <c r="M294" s="184">
        <f t="shared" si="21"/>
        <v>0</v>
      </c>
    </row>
    <row r="295" spans="1:13" x14ac:dyDescent="0.25">
      <c r="A295" s="199"/>
      <c r="G295" s="170"/>
      <c r="H295" s="182">
        <v>290</v>
      </c>
      <c r="I295" s="183" t="str">
        <f t="shared" si="19"/>
        <v/>
      </c>
      <c r="J295" s="183" t="e">
        <f t="shared" si="22"/>
        <v>#NUM!</v>
      </c>
      <c r="K295" s="182" t="e">
        <f t="shared" si="20"/>
        <v>#NUM!</v>
      </c>
      <c r="L295" s="182"/>
      <c r="M295" s="184">
        <f t="shared" si="21"/>
        <v>0</v>
      </c>
    </row>
    <row r="296" spans="1:13" x14ac:dyDescent="0.25">
      <c r="A296" s="199"/>
      <c r="G296" s="170"/>
      <c r="H296" s="182">
        <v>291</v>
      </c>
      <c r="I296" s="183" t="str">
        <f t="shared" si="19"/>
        <v/>
      </c>
      <c r="J296" s="183" t="e">
        <f t="shared" si="22"/>
        <v>#NUM!</v>
      </c>
      <c r="K296" s="182" t="e">
        <f t="shared" si="20"/>
        <v>#NUM!</v>
      </c>
      <c r="L296" s="182"/>
      <c r="M296" s="184">
        <f t="shared" si="21"/>
        <v>0</v>
      </c>
    </row>
    <row r="297" spans="1:13" x14ac:dyDescent="0.25">
      <c r="A297" s="199"/>
      <c r="G297" s="170"/>
      <c r="H297" s="182">
        <v>292</v>
      </c>
      <c r="I297" s="183" t="str">
        <f t="shared" si="19"/>
        <v/>
      </c>
      <c r="J297" s="183" t="e">
        <f t="shared" si="22"/>
        <v>#NUM!</v>
      </c>
      <c r="K297" s="182" t="e">
        <f t="shared" si="20"/>
        <v>#NUM!</v>
      </c>
      <c r="L297" s="182"/>
      <c r="M297" s="184">
        <f t="shared" si="21"/>
        <v>0</v>
      </c>
    </row>
    <row r="298" spans="1:13" x14ac:dyDescent="0.25">
      <c r="A298" s="199"/>
      <c r="G298" s="170"/>
      <c r="H298" s="182">
        <v>293</v>
      </c>
      <c r="I298" s="183" t="str">
        <f t="shared" si="19"/>
        <v/>
      </c>
      <c r="J298" s="183" t="e">
        <f t="shared" si="22"/>
        <v>#NUM!</v>
      </c>
      <c r="K298" s="182" t="e">
        <f t="shared" si="20"/>
        <v>#NUM!</v>
      </c>
      <c r="L298" s="182"/>
      <c r="M298" s="184">
        <f t="shared" si="21"/>
        <v>0</v>
      </c>
    </row>
    <row r="299" spans="1:13" x14ac:dyDescent="0.25">
      <c r="A299" s="199"/>
      <c r="G299" s="170"/>
      <c r="H299" s="182">
        <v>294</v>
      </c>
      <c r="I299" s="183" t="str">
        <f t="shared" si="19"/>
        <v/>
      </c>
      <c r="J299" s="183" t="e">
        <f t="shared" si="22"/>
        <v>#NUM!</v>
      </c>
      <c r="K299" s="182" t="e">
        <f t="shared" si="20"/>
        <v>#NUM!</v>
      </c>
      <c r="L299" s="182"/>
      <c r="M299" s="184">
        <f t="shared" si="21"/>
        <v>0</v>
      </c>
    </row>
    <row r="300" spans="1:13" x14ac:dyDescent="0.25">
      <c r="A300" s="199"/>
      <c r="G300" s="170"/>
      <c r="H300" s="182">
        <v>295</v>
      </c>
      <c r="I300" s="183" t="str">
        <f t="shared" si="19"/>
        <v/>
      </c>
      <c r="J300" s="183" t="e">
        <f t="shared" si="22"/>
        <v>#NUM!</v>
      </c>
      <c r="K300" s="182" t="e">
        <f t="shared" si="20"/>
        <v>#NUM!</v>
      </c>
      <c r="L300" s="182"/>
      <c r="M300" s="184">
        <f t="shared" si="21"/>
        <v>0</v>
      </c>
    </row>
    <row r="301" spans="1:13" x14ac:dyDescent="0.25">
      <c r="A301" s="199"/>
      <c r="G301" s="170"/>
      <c r="H301" s="182">
        <v>296</v>
      </c>
      <c r="I301" s="183" t="str">
        <f t="shared" si="19"/>
        <v/>
      </c>
      <c r="J301" s="183" t="e">
        <f t="shared" si="22"/>
        <v>#NUM!</v>
      </c>
      <c r="K301" s="182" t="e">
        <f t="shared" si="20"/>
        <v>#NUM!</v>
      </c>
      <c r="L301" s="182"/>
      <c r="M301" s="184">
        <f t="shared" si="21"/>
        <v>0</v>
      </c>
    </row>
    <row r="302" spans="1:13" x14ac:dyDescent="0.25">
      <c r="A302" s="199"/>
      <c r="G302" s="170"/>
      <c r="H302" s="182">
        <v>297</v>
      </c>
      <c r="I302" s="183" t="str">
        <f t="shared" si="19"/>
        <v/>
      </c>
      <c r="J302" s="183" t="e">
        <f t="shared" si="22"/>
        <v>#NUM!</v>
      </c>
      <c r="K302" s="182" t="e">
        <f t="shared" si="20"/>
        <v>#NUM!</v>
      </c>
      <c r="L302" s="182"/>
      <c r="M302" s="184">
        <f t="shared" si="21"/>
        <v>0</v>
      </c>
    </row>
    <row r="303" spans="1:13" x14ac:dyDescent="0.25">
      <c r="A303" s="199"/>
      <c r="G303" s="170"/>
      <c r="H303" s="182">
        <v>298</v>
      </c>
      <c r="I303" s="183" t="str">
        <f t="shared" si="19"/>
        <v/>
      </c>
      <c r="J303" s="183" t="e">
        <f t="shared" si="22"/>
        <v>#NUM!</v>
      </c>
      <c r="K303" s="182" t="e">
        <f t="shared" si="20"/>
        <v>#NUM!</v>
      </c>
      <c r="L303" s="182"/>
      <c r="M303" s="184">
        <f t="shared" si="21"/>
        <v>0</v>
      </c>
    </row>
    <row r="304" spans="1:13" x14ac:dyDescent="0.25">
      <c r="A304" s="199"/>
      <c r="G304" s="170"/>
      <c r="H304" s="182">
        <v>299</v>
      </c>
      <c r="I304" s="183" t="str">
        <f t="shared" si="19"/>
        <v/>
      </c>
      <c r="J304" s="183" t="e">
        <f t="shared" si="22"/>
        <v>#NUM!</v>
      </c>
      <c r="K304" s="182" t="e">
        <f t="shared" si="20"/>
        <v>#NUM!</v>
      </c>
      <c r="L304" s="182"/>
      <c r="M304" s="184">
        <f t="shared" si="21"/>
        <v>0</v>
      </c>
    </row>
    <row r="305" spans="1:16" x14ac:dyDescent="0.25">
      <c r="A305" s="199"/>
      <c r="G305" s="170"/>
      <c r="H305" s="182">
        <v>300</v>
      </c>
      <c r="I305" s="183" t="str">
        <f t="shared" si="19"/>
        <v/>
      </c>
      <c r="J305" s="183" t="e">
        <f t="shared" si="22"/>
        <v>#NUM!</v>
      </c>
      <c r="K305" s="182" t="e">
        <f t="shared" si="20"/>
        <v>#NUM!</v>
      </c>
      <c r="L305" s="182"/>
      <c r="M305" s="184">
        <f t="shared" si="21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65863A29-CDE0-497D-98D6-4755936F124D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4D7A-8D44-4954-B97F-31636400D980}">
  <sheetPr>
    <tabColor rgb="FF92D050"/>
  </sheetPr>
  <dimension ref="A1:AL374"/>
  <sheetViews>
    <sheetView zoomScaleNormal="100" workbookViewId="0">
      <selection activeCell="D22" sqref="D2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22</v>
      </c>
      <c r="I1" s="172" t="s">
        <v>23</v>
      </c>
      <c r="J1" s="172" t="s">
        <v>24</v>
      </c>
      <c r="K1" s="173" t="s">
        <v>99</v>
      </c>
      <c r="L1" s="174"/>
      <c r="M1" s="174"/>
    </row>
    <row r="2" spans="1:36" x14ac:dyDescent="0.25">
      <c r="A2" s="170"/>
      <c r="B2" s="22" t="s">
        <v>26</v>
      </c>
      <c r="C2" s="130" t="s">
        <v>103</v>
      </c>
      <c r="D2" s="70"/>
      <c r="E2" s="23"/>
      <c r="F2" s="23"/>
      <c r="G2" s="23"/>
      <c r="H2" s="176">
        <v>0</v>
      </c>
      <c r="I2" s="177">
        <v>50</v>
      </c>
      <c r="J2" s="177">
        <v>10</v>
      </c>
      <c r="K2" s="204">
        <f>3*H2^(1/3)</f>
        <v>0</v>
      </c>
      <c r="L2" s="174"/>
      <c r="M2" s="174"/>
    </row>
    <row r="3" spans="1:36" x14ac:dyDescent="0.25">
      <c r="A3" s="170"/>
      <c r="B3" s="179" t="s">
        <v>28</v>
      </c>
      <c r="C3" s="71" t="s">
        <v>118</v>
      </c>
      <c r="D3" s="71"/>
      <c r="E3" s="28"/>
      <c r="F3" s="28"/>
      <c r="G3" s="28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74"/>
      <c r="I4" s="174"/>
      <c r="J4" s="205"/>
      <c r="K4" s="174"/>
      <c r="L4" s="174"/>
      <c r="M4" s="174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80" t="s">
        <v>36</v>
      </c>
      <c r="I5" s="181" t="s">
        <v>37</v>
      </c>
      <c r="J5" s="206" t="s">
        <v>38</v>
      </c>
      <c r="K5" s="181" t="s">
        <v>39</v>
      </c>
      <c r="L5" s="181" t="s">
        <v>40</v>
      </c>
      <c r="M5" s="180" t="s">
        <v>41</v>
      </c>
    </row>
    <row r="6" spans="1:36" ht="14.45" customHeight="1" x14ac:dyDescent="0.25">
      <c r="A6" s="103">
        <f>M6</f>
        <v>0</v>
      </c>
      <c r="B6" s="36" t="str">
        <f>IF(H6&gt;$H$2,"",(ROW()-5))</f>
        <v/>
      </c>
      <c r="C6" s="37"/>
      <c r="D6" s="37"/>
      <c r="E6" s="37"/>
      <c r="F6" s="37" t="s">
        <v>102</v>
      </c>
      <c r="G6" s="30"/>
      <c r="H6" s="182">
        <v>1</v>
      </c>
      <c r="I6" s="183" t="str">
        <f t="shared" ref="I6:I69" si="0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1">J6*$J$2</f>
        <v>#NUM!</v>
      </c>
      <c r="L6" s="184">
        <f>3*K2</f>
        <v>0</v>
      </c>
      <c r="M6" s="184">
        <f t="shared" ref="M6:M69" si="2">IF(I6&lt;&gt;"",K6+I6+L6,0)</f>
        <v>0</v>
      </c>
    </row>
    <row r="7" spans="1:36" ht="14.45" customHeight="1" x14ac:dyDescent="0.25">
      <c r="A7" s="102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102</v>
      </c>
      <c r="G7" s="30"/>
      <c r="H7" s="185">
        <v>2</v>
      </c>
      <c r="I7" s="186" t="str">
        <f t="shared" si="0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1"/>
        <v>#NUM!</v>
      </c>
      <c r="L7" s="187">
        <f>2*K2</f>
        <v>0</v>
      </c>
      <c r="M7" s="187">
        <f t="shared" si="2"/>
        <v>0</v>
      </c>
    </row>
    <row r="8" spans="1:36" ht="14.45" customHeight="1" x14ac:dyDescent="0.25">
      <c r="A8" s="103">
        <f t="shared" si="3"/>
        <v>0</v>
      </c>
      <c r="B8" s="36" t="str">
        <f t="shared" si="4"/>
        <v/>
      </c>
      <c r="C8" s="37"/>
      <c r="D8" s="37"/>
      <c r="E8" s="37"/>
      <c r="F8" s="37" t="s">
        <v>102</v>
      </c>
      <c r="G8" s="30"/>
      <c r="H8" s="182">
        <v>3</v>
      </c>
      <c r="I8" s="183" t="str">
        <f t="shared" si="0"/>
        <v/>
      </c>
      <c r="J8" s="182" t="e">
        <f t="shared" si="5"/>
        <v>#NUM!</v>
      </c>
      <c r="K8" s="182" t="e">
        <f t="shared" si="1"/>
        <v>#NUM!</v>
      </c>
      <c r="L8" s="184">
        <f>K2</f>
        <v>0</v>
      </c>
      <c r="M8" s="184">
        <f t="shared" si="2"/>
        <v>0</v>
      </c>
    </row>
    <row r="9" spans="1:36" s="175" customFormat="1" ht="14.45" customHeight="1" x14ac:dyDescent="0.25">
      <c r="A9" s="102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185">
        <v>3</v>
      </c>
      <c r="I9" s="186" t="str">
        <f t="shared" si="0"/>
        <v/>
      </c>
      <c r="J9" s="185" t="e">
        <f t="shared" si="5"/>
        <v>#NUM!</v>
      </c>
      <c r="K9" s="185" t="e">
        <f t="shared" si="1"/>
        <v>#NUM!</v>
      </c>
      <c r="L9" s="187">
        <f>K2</f>
        <v>0</v>
      </c>
      <c r="M9" s="187">
        <f t="shared" si="2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42</v>
      </c>
      <c r="AI9" s="175">
        <v>23</v>
      </c>
    </row>
    <row r="10" spans="1:36" ht="14.45" customHeight="1" x14ac:dyDescent="0.25">
      <c r="A10" s="103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182">
        <v>5</v>
      </c>
      <c r="I10" s="183" t="str">
        <f t="shared" si="0"/>
        <v/>
      </c>
      <c r="J10" s="182" t="e">
        <f t="shared" si="5"/>
        <v>#NUM!</v>
      </c>
      <c r="K10" s="182" t="e">
        <f t="shared" si="1"/>
        <v>#NUM!</v>
      </c>
      <c r="L10" s="182"/>
      <c r="M10" s="184">
        <f t="shared" si="2"/>
        <v>0</v>
      </c>
      <c r="V10" s="188"/>
      <c r="Z10" s="189"/>
      <c r="AA10" s="189"/>
      <c r="AG10" s="190"/>
      <c r="AH10" s="175" t="s">
        <v>43</v>
      </c>
      <c r="AI10" s="175">
        <v>45</v>
      </c>
    </row>
    <row r="11" spans="1:36" ht="14.45" customHeight="1" x14ac:dyDescent="0.25">
      <c r="A11" s="102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185">
        <v>6</v>
      </c>
      <c r="I11" s="186" t="str">
        <f t="shared" si="0"/>
        <v/>
      </c>
      <c r="J11" s="185" t="e">
        <f t="shared" si="5"/>
        <v>#NUM!</v>
      </c>
      <c r="K11" s="185" t="e">
        <f t="shared" si="1"/>
        <v>#NUM!</v>
      </c>
      <c r="L11" s="185"/>
      <c r="M11" s="187">
        <f t="shared" si="2"/>
        <v>0</v>
      </c>
      <c r="V11" s="191"/>
      <c r="Z11" s="189"/>
      <c r="AA11" s="189"/>
      <c r="AG11" s="190"/>
      <c r="AH11" s="175" t="s">
        <v>44</v>
      </c>
      <c r="AI11" s="175">
        <v>50</v>
      </c>
    </row>
    <row r="12" spans="1:36" ht="14.45" customHeight="1" x14ac:dyDescent="0.25">
      <c r="A12" s="103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182">
        <v>7</v>
      </c>
      <c r="I12" s="183" t="str">
        <f t="shared" si="0"/>
        <v/>
      </c>
      <c r="J12" s="182" t="e">
        <f t="shared" si="5"/>
        <v>#NUM!</v>
      </c>
      <c r="K12" s="182" t="e">
        <f t="shared" si="1"/>
        <v>#NUM!</v>
      </c>
      <c r="L12" s="182"/>
      <c r="M12" s="184">
        <f t="shared" si="2"/>
        <v>0</v>
      </c>
      <c r="Z12" s="189"/>
      <c r="AA12" s="189"/>
      <c r="AG12" s="190"/>
      <c r="AH12" s="175" t="s">
        <v>45</v>
      </c>
      <c r="AI12" s="175">
        <f>AI11-1</f>
        <v>49</v>
      </c>
    </row>
    <row r="13" spans="1:36" ht="14.45" customHeight="1" x14ac:dyDescent="0.25">
      <c r="A13" s="102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185">
        <v>8</v>
      </c>
      <c r="I13" s="186" t="str">
        <f t="shared" si="0"/>
        <v/>
      </c>
      <c r="J13" s="185" t="e">
        <f t="shared" si="5"/>
        <v>#NUM!</v>
      </c>
      <c r="K13" s="185" t="e">
        <f t="shared" si="1"/>
        <v>#NUM!</v>
      </c>
      <c r="L13" s="185"/>
      <c r="M13" s="187">
        <f t="shared" si="2"/>
        <v>0</v>
      </c>
      <c r="X13" s="188"/>
      <c r="AG13" s="190"/>
      <c r="AH13" s="175" t="s">
        <v>46</v>
      </c>
      <c r="AI13" s="175">
        <f>LOG(AI9)</f>
        <v>1.3617278360175928</v>
      </c>
    </row>
    <row r="14" spans="1:36" x14ac:dyDescent="0.25">
      <c r="A14" s="103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182">
        <v>9</v>
      </c>
      <c r="I14" s="183" t="str">
        <f t="shared" si="0"/>
        <v/>
      </c>
      <c r="J14" s="182" t="e">
        <f t="shared" si="5"/>
        <v>#NUM!</v>
      </c>
      <c r="K14" s="182" t="e">
        <f t="shared" si="1"/>
        <v>#NUM!</v>
      </c>
      <c r="L14" s="182"/>
      <c r="M14" s="184">
        <f t="shared" si="2"/>
        <v>0</v>
      </c>
      <c r="X14" s="192"/>
      <c r="Z14" s="189"/>
      <c r="AA14" s="189"/>
      <c r="AG14" s="190"/>
      <c r="AH14" s="175" t="s">
        <v>47</v>
      </c>
      <c r="AI14" s="175">
        <f>LOG(AI10)</f>
        <v>1.6532125137753437</v>
      </c>
    </row>
    <row r="15" spans="1:36" x14ac:dyDescent="0.25">
      <c r="A15" s="102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185">
        <v>10</v>
      </c>
      <c r="I15" s="186" t="str">
        <f t="shared" si="0"/>
        <v/>
      </c>
      <c r="J15" s="185" t="e">
        <f t="shared" si="5"/>
        <v>#NUM!</v>
      </c>
      <c r="K15" s="185" t="e">
        <f t="shared" si="1"/>
        <v>#NUM!</v>
      </c>
      <c r="L15" s="185"/>
      <c r="M15" s="187">
        <f t="shared" si="2"/>
        <v>0</v>
      </c>
      <c r="X15" s="188"/>
      <c r="Z15" s="189"/>
      <c r="AA15" s="189"/>
    </row>
    <row r="16" spans="1:36" x14ac:dyDescent="0.25">
      <c r="A16" s="103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182">
        <v>11</v>
      </c>
      <c r="I16" s="183" t="str">
        <f t="shared" si="0"/>
        <v/>
      </c>
      <c r="J16" s="182" t="e">
        <f t="shared" si="5"/>
        <v>#NUM!</v>
      </c>
      <c r="K16" s="182" t="e">
        <f t="shared" si="1"/>
        <v>#NUM!</v>
      </c>
      <c r="L16" s="182"/>
      <c r="M16" s="184">
        <f t="shared" si="2"/>
        <v>0</v>
      </c>
      <c r="R16" s="193"/>
      <c r="Z16" s="189"/>
      <c r="AA16" s="189"/>
      <c r="AH16" s="194" t="s">
        <v>48</v>
      </c>
      <c r="AI16" s="175">
        <f>AI11-AI12*AI13/AI14</f>
        <v>9.6393909380186855</v>
      </c>
      <c r="AJ16" s="175" t="s">
        <v>49</v>
      </c>
    </row>
    <row r="17" spans="1:19" x14ac:dyDescent="0.25">
      <c r="A17" s="102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185">
        <v>12</v>
      </c>
      <c r="I17" s="186" t="str">
        <f t="shared" si="0"/>
        <v/>
      </c>
      <c r="J17" s="185" t="e">
        <f t="shared" si="5"/>
        <v>#NUM!</v>
      </c>
      <c r="K17" s="185" t="e">
        <f t="shared" si="1"/>
        <v>#NUM!</v>
      </c>
      <c r="L17" s="185"/>
      <c r="M17" s="187">
        <f t="shared" si="2"/>
        <v>0</v>
      </c>
    </row>
    <row r="18" spans="1:19" x14ac:dyDescent="0.25">
      <c r="A18" s="103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182">
        <v>13</v>
      </c>
      <c r="I18" s="183" t="str">
        <f t="shared" si="0"/>
        <v/>
      </c>
      <c r="J18" s="182" t="e">
        <f t="shared" si="5"/>
        <v>#NUM!</v>
      </c>
      <c r="K18" s="182" t="e">
        <f t="shared" si="1"/>
        <v>#NUM!</v>
      </c>
      <c r="L18" s="182"/>
      <c r="M18" s="184">
        <f t="shared" si="2"/>
        <v>0</v>
      </c>
    </row>
    <row r="19" spans="1:19" x14ac:dyDescent="0.25">
      <c r="A19" s="102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185">
        <v>14</v>
      </c>
      <c r="I19" s="186" t="str">
        <f t="shared" si="0"/>
        <v/>
      </c>
      <c r="J19" s="185" t="e">
        <f t="shared" si="5"/>
        <v>#NUM!</v>
      </c>
      <c r="K19" s="185" t="e">
        <f t="shared" si="1"/>
        <v>#NUM!</v>
      </c>
      <c r="L19" s="185"/>
      <c r="M19" s="187">
        <f t="shared" si="2"/>
        <v>0</v>
      </c>
    </row>
    <row r="20" spans="1:19" x14ac:dyDescent="0.25">
      <c r="A20" s="103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182">
        <v>15</v>
      </c>
      <c r="I20" s="183" t="str">
        <f t="shared" si="0"/>
        <v/>
      </c>
      <c r="J20" s="182" t="e">
        <f t="shared" si="5"/>
        <v>#NUM!</v>
      </c>
      <c r="K20" s="182" t="e">
        <f t="shared" si="1"/>
        <v>#NUM!</v>
      </c>
      <c r="L20" s="182"/>
      <c r="M20" s="184">
        <f t="shared" si="2"/>
        <v>0</v>
      </c>
      <c r="R20" s="195"/>
      <c r="S20" s="196"/>
    </row>
    <row r="21" spans="1:19" x14ac:dyDescent="0.25">
      <c r="A21" s="102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185">
        <v>16</v>
      </c>
      <c r="I21" s="186" t="str">
        <f t="shared" si="0"/>
        <v/>
      </c>
      <c r="J21" s="185" t="e">
        <f t="shared" si="5"/>
        <v>#NUM!</v>
      </c>
      <c r="K21" s="185" t="e">
        <f t="shared" si="1"/>
        <v>#NUM!</v>
      </c>
      <c r="L21" s="185"/>
      <c r="M21" s="187">
        <f t="shared" si="2"/>
        <v>0</v>
      </c>
    </row>
    <row r="22" spans="1:19" x14ac:dyDescent="0.25">
      <c r="A22" s="103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182">
        <v>17</v>
      </c>
      <c r="I22" s="183" t="str">
        <f t="shared" si="0"/>
        <v/>
      </c>
      <c r="J22" s="182" t="e">
        <f t="shared" si="5"/>
        <v>#NUM!</v>
      </c>
      <c r="K22" s="182" t="e">
        <f t="shared" si="1"/>
        <v>#NUM!</v>
      </c>
      <c r="L22" s="182"/>
      <c r="M22" s="184">
        <f t="shared" si="2"/>
        <v>0</v>
      </c>
    </row>
    <row r="23" spans="1:19" x14ac:dyDescent="0.25">
      <c r="A23" s="102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185">
        <v>18</v>
      </c>
      <c r="I23" s="186" t="str">
        <f t="shared" si="0"/>
        <v/>
      </c>
      <c r="J23" s="185" t="e">
        <f t="shared" si="5"/>
        <v>#NUM!</v>
      </c>
      <c r="K23" s="185" t="e">
        <f t="shared" si="1"/>
        <v>#NUM!</v>
      </c>
      <c r="L23" s="185"/>
      <c r="M23" s="187">
        <f t="shared" si="2"/>
        <v>0</v>
      </c>
    </row>
    <row r="24" spans="1:19" x14ac:dyDescent="0.25">
      <c r="A24" s="103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182">
        <v>19</v>
      </c>
      <c r="I24" s="183" t="str">
        <f t="shared" si="0"/>
        <v/>
      </c>
      <c r="J24" s="182" t="e">
        <f t="shared" si="5"/>
        <v>#NUM!</v>
      </c>
      <c r="K24" s="182" t="e">
        <f t="shared" si="1"/>
        <v>#NUM!</v>
      </c>
      <c r="L24" s="182"/>
      <c r="M24" s="184">
        <f t="shared" si="2"/>
        <v>0</v>
      </c>
      <c r="R24" s="195"/>
      <c r="S24" s="196"/>
    </row>
    <row r="25" spans="1:19" x14ac:dyDescent="0.25">
      <c r="A25" s="102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185">
        <v>20</v>
      </c>
      <c r="I25" s="186" t="str">
        <f t="shared" si="0"/>
        <v/>
      </c>
      <c r="J25" s="185" t="e">
        <f t="shared" si="5"/>
        <v>#NUM!</v>
      </c>
      <c r="K25" s="185" t="e">
        <f t="shared" si="1"/>
        <v>#NUM!</v>
      </c>
      <c r="L25" s="185"/>
      <c r="M25" s="187">
        <f t="shared" si="2"/>
        <v>0</v>
      </c>
    </row>
    <row r="26" spans="1:19" x14ac:dyDescent="0.25">
      <c r="A26" s="103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182">
        <v>21</v>
      </c>
      <c r="I26" s="183" t="str">
        <f t="shared" si="0"/>
        <v/>
      </c>
      <c r="J26" s="182" t="e">
        <f t="shared" si="5"/>
        <v>#NUM!</v>
      </c>
      <c r="K26" s="182" t="e">
        <f t="shared" si="1"/>
        <v>#NUM!</v>
      </c>
      <c r="L26" s="182"/>
      <c r="M26" s="184">
        <f t="shared" si="2"/>
        <v>0</v>
      </c>
    </row>
    <row r="27" spans="1:19" x14ac:dyDescent="0.25">
      <c r="A27" s="102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185">
        <v>22</v>
      </c>
      <c r="I27" s="186" t="str">
        <f t="shared" si="0"/>
        <v/>
      </c>
      <c r="J27" s="185" t="e">
        <f t="shared" si="5"/>
        <v>#NUM!</v>
      </c>
      <c r="K27" s="185" t="e">
        <f t="shared" si="1"/>
        <v>#NUM!</v>
      </c>
      <c r="L27" s="185"/>
      <c r="M27" s="187">
        <f t="shared" si="2"/>
        <v>0</v>
      </c>
    </row>
    <row r="28" spans="1:19" x14ac:dyDescent="0.25">
      <c r="A28" s="103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182">
        <v>23</v>
      </c>
      <c r="I28" s="183" t="str">
        <f t="shared" si="0"/>
        <v/>
      </c>
      <c r="J28" s="182" t="e">
        <f t="shared" si="5"/>
        <v>#NUM!</v>
      </c>
      <c r="K28" s="182" t="e">
        <f t="shared" si="1"/>
        <v>#NUM!</v>
      </c>
      <c r="L28" s="182"/>
      <c r="M28" s="184">
        <f t="shared" si="2"/>
        <v>0</v>
      </c>
      <c r="R28" s="195"/>
      <c r="S28" s="196"/>
    </row>
    <row r="29" spans="1:19" x14ac:dyDescent="0.25">
      <c r="A29" s="102">
        <f t="shared" si="3"/>
        <v>0</v>
      </c>
      <c r="B29" s="42" t="str">
        <f t="shared" si="4"/>
        <v/>
      </c>
      <c r="C29" s="43"/>
      <c r="D29" s="43"/>
      <c r="E29" s="43"/>
      <c r="F29" s="43"/>
      <c r="G29" s="170"/>
      <c r="H29" s="185">
        <v>24</v>
      </c>
      <c r="I29" s="186" t="str">
        <f t="shared" si="0"/>
        <v/>
      </c>
      <c r="J29" s="185" t="e">
        <f t="shared" si="5"/>
        <v>#NUM!</v>
      </c>
      <c r="K29" s="185" t="e">
        <f t="shared" si="1"/>
        <v>#NUM!</v>
      </c>
      <c r="L29" s="185"/>
      <c r="M29" s="187">
        <f t="shared" si="2"/>
        <v>0</v>
      </c>
    </row>
    <row r="30" spans="1:19" x14ac:dyDescent="0.25">
      <c r="A30" s="103">
        <f t="shared" si="3"/>
        <v>0</v>
      </c>
      <c r="B30" s="36" t="str">
        <f t="shared" si="4"/>
        <v/>
      </c>
      <c r="C30" s="37"/>
      <c r="D30" s="37"/>
      <c r="E30" s="37"/>
      <c r="F30" s="37"/>
      <c r="G30" s="170"/>
      <c r="H30" s="182">
        <v>25</v>
      </c>
      <c r="I30" s="183" t="str">
        <f t="shared" si="0"/>
        <v/>
      </c>
      <c r="J30" s="182" t="e">
        <f t="shared" si="5"/>
        <v>#NUM!</v>
      </c>
      <c r="K30" s="182" t="e">
        <f t="shared" si="1"/>
        <v>#NUM!</v>
      </c>
      <c r="L30" s="182"/>
      <c r="M30" s="184">
        <f t="shared" si="2"/>
        <v>0</v>
      </c>
    </row>
    <row r="31" spans="1:19" x14ac:dyDescent="0.25">
      <c r="A31" s="102">
        <f t="shared" si="3"/>
        <v>0</v>
      </c>
      <c r="B31" s="42" t="str">
        <f t="shared" si="4"/>
        <v/>
      </c>
      <c r="C31" s="43"/>
      <c r="D31" s="43"/>
      <c r="E31" s="43"/>
      <c r="F31" s="43"/>
      <c r="G31" s="170"/>
      <c r="H31" s="185">
        <v>26</v>
      </c>
      <c r="I31" s="186" t="str">
        <f t="shared" si="0"/>
        <v/>
      </c>
      <c r="J31" s="185" t="e">
        <f t="shared" si="5"/>
        <v>#NUM!</v>
      </c>
      <c r="K31" s="185" t="e">
        <f t="shared" si="1"/>
        <v>#NUM!</v>
      </c>
      <c r="L31" s="185"/>
      <c r="M31" s="187">
        <f t="shared" si="2"/>
        <v>0</v>
      </c>
    </row>
    <row r="32" spans="1:19" x14ac:dyDescent="0.25">
      <c r="A32" s="103">
        <f t="shared" si="3"/>
        <v>0</v>
      </c>
      <c r="B32" s="36" t="str">
        <f t="shared" si="4"/>
        <v/>
      </c>
      <c r="C32" s="37"/>
      <c r="D32" s="37"/>
      <c r="E32" s="37"/>
      <c r="F32" s="37"/>
      <c r="G32" s="170"/>
      <c r="H32" s="182">
        <v>27</v>
      </c>
      <c r="I32" s="183" t="str">
        <f t="shared" si="0"/>
        <v/>
      </c>
      <c r="J32" s="182" t="e">
        <f t="shared" si="5"/>
        <v>#NUM!</v>
      </c>
      <c r="K32" s="182" t="e">
        <f t="shared" si="1"/>
        <v>#NUM!</v>
      </c>
      <c r="L32" s="182"/>
      <c r="M32" s="184">
        <f t="shared" si="2"/>
        <v>0</v>
      </c>
      <c r="R32" s="195"/>
      <c r="S32" s="196"/>
    </row>
    <row r="33" spans="1:21" x14ac:dyDescent="0.25">
      <c r="A33" s="102">
        <f t="shared" si="3"/>
        <v>0</v>
      </c>
      <c r="B33" s="42" t="str">
        <f t="shared" si="4"/>
        <v/>
      </c>
      <c r="C33" s="43"/>
      <c r="D33" s="43"/>
      <c r="E33" s="43"/>
      <c r="F33" s="43"/>
      <c r="G33" s="170"/>
      <c r="H33" s="185">
        <v>28</v>
      </c>
      <c r="I33" s="186" t="str">
        <f t="shared" si="0"/>
        <v/>
      </c>
      <c r="J33" s="185" t="e">
        <f t="shared" si="5"/>
        <v>#NUM!</v>
      </c>
      <c r="K33" s="185" t="e">
        <f t="shared" si="1"/>
        <v>#NUM!</v>
      </c>
      <c r="L33" s="185"/>
      <c r="M33" s="187">
        <f t="shared" si="2"/>
        <v>0</v>
      </c>
    </row>
    <row r="34" spans="1:21" x14ac:dyDescent="0.25">
      <c r="A34" s="103">
        <f t="shared" si="3"/>
        <v>0</v>
      </c>
      <c r="B34" s="36" t="str">
        <f t="shared" si="4"/>
        <v/>
      </c>
      <c r="C34" s="37"/>
      <c r="D34" s="37"/>
      <c r="E34" s="37"/>
      <c r="F34" s="37"/>
      <c r="G34" s="170"/>
      <c r="H34" s="182">
        <v>29</v>
      </c>
      <c r="I34" s="183" t="str">
        <f t="shared" si="0"/>
        <v/>
      </c>
      <c r="J34" s="182" t="e">
        <f t="shared" si="5"/>
        <v>#NUM!</v>
      </c>
      <c r="K34" s="182" t="e">
        <f t="shared" si="1"/>
        <v>#NUM!</v>
      </c>
      <c r="L34" s="182"/>
      <c r="M34" s="184">
        <f t="shared" si="2"/>
        <v>0</v>
      </c>
    </row>
    <row r="35" spans="1:21" x14ac:dyDescent="0.25">
      <c r="A35" s="102">
        <f t="shared" si="3"/>
        <v>0</v>
      </c>
      <c r="B35" s="42" t="str">
        <f t="shared" si="4"/>
        <v/>
      </c>
      <c r="C35" s="43"/>
      <c r="D35" s="43"/>
      <c r="E35" s="43"/>
      <c r="F35" s="43"/>
      <c r="G35" s="170"/>
      <c r="H35" s="185">
        <v>30</v>
      </c>
      <c r="I35" s="186" t="str">
        <f t="shared" si="0"/>
        <v/>
      </c>
      <c r="J35" s="185" t="e">
        <f t="shared" si="5"/>
        <v>#NUM!</v>
      </c>
      <c r="K35" s="185" t="e">
        <f t="shared" si="1"/>
        <v>#NUM!</v>
      </c>
      <c r="L35" s="185"/>
      <c r="M35" s="187">
        <f t="shared" si="2"/>
        <v>0</v>
      </c>
    </row>
    <row r="36" spans="1:21" x14ac:dyDescent="0.25">
      <c r="A36" s="103">
        <f t="shared" si="3"/>
        <v>0</v>
      </c>
      <c r="B36" s="36" t="str">
        <f t="shared" si="4"/>
        <v/>
      </c>
      <c r="C36" s="37"/>
      <c r="D36" s="37"/>
      <c r="E36" s="37"/>
      <c r="F36" s="37"/>
      <c r="G36" s="170"/>
      <c r="H36" s="182">
        <v>31</v>
      </c>
      <c r="I36" s="183" t="str">
        <f t="shared" si="0"/>
        <v/>
      </c>
      <c r="J36" s="182" t="e">
        <f t="shared" si="5"/>
        <v>#NUM!</v>
      </c>
      <c r="K36" s="182" t="e">
        <f t="shared" si="1"/>
        <v>#NUM!</v>
      </c>
      <c r="L36" s="182"/>
      <c r="M36" s="184">
        <f t="shared" si="2"/>
        <v>0</v>
      </c>
      <c r="R36" s="195"/>
      <c r="S36" s="196"/>
    </row>
    <row r="37" spans="1:21" x14ac:dyDescent="0.25">
      <c r="A37" s="102">
        <f t="shared" si="3"/>
        <v>0</v>
      </c>
      <c r="B37" s="42" t="str">
        <f t="shared" si="4"/>
        <v/>
      </c>
      <c r="C37" s="43"/>
      <c r="D37" s="43"/>
      <c r="E37" s="43"/>
      <c r="F37" s="43"/>
      <c r="G37" s="170"/>
      <c r="H37" s="185">
        <v>32</v>
      </c>
      <c r="I37" s="186" t="str">
        <f t="shared" si="0"/>
        <v/>
      </c>
      <c r="J37" s="185" t="e">
        <f t="shared" si="5"/>
        <v>#NUM!</v>
      </c>
      <c r="K37" s="185" t="e">
        <f t="shared" si="1"/>
        <v>#NUM!</v>
      </c>
      <c r="L37" s="185"/>
      <c r="M37" s="187">
        <f t="shared" si="2"/>
        <v>0</v>
      </c>
    </row>
    <row r="38" spans="1:21" x14ac:dyDescent="0.25">
      <c r="A38" s="103"/>
      <c r="B38" s="36" t="str">
        <f t="shared" si="4"/>
        <v/>
      </c>
      <c r="C38" s="37"/>
      <c r="D38" s="37"/>
      <c r="E38" s="37"/>
      <c r="F38" s="37"/>
      <c r="G38" s="170"/>
      <c r="H38" s="182">
        <v>33</v>
      </c>
      <c r="I38" s="183" t="str">
        <f t="shared" si="0"/>
        <v/>
      </c>
      <c r="J38" s="182" t="e">
        <f t="shared" si="5"/>
        <v>#NUM!</v>
      </c>
      <c r="K38" s="182" t="e">
        <f t="shared" si="1"/>
        <v>#NUM!</v>
      </c>
      <c r="L38" s="182"/>
      <c r="M38" s="184">
        <f t="shared" si="2"/>
        <v>0</v>
      </c>
    </row>
    <row r="39" spans="1:21" x14ac:dyDescent="0.25">
      <c r="A39" s="102"/>
      <c r="B39" s="42" t="str">
        <f t="shared" si="4"/>
        <v/>
      </c>
      <c r="C39" s="43"/>
      <c r="D39" s="43"/>
      <c r="E39" s="43"/>
      <c r="F39" s="43"/>
      <c r="G39" s="170"/>
      <c r="H39" s="185">
        <v>34</v>
      </c>
      <c r="I39" s="186" t="str">
        <f t="shared" si="0"/>
        <v/>
      </c>
      <c r="J39" s="185" t="e">
        <f t="shared" si="5"/>
        <v>#NUM!</v>
      </c>
      <c r="K39" s="185" t="e">
        <f t="shared" si="1"/>
        <v>#NUM!</v>
      </c>
      <c r="L39" s="185"/>
      <c r="M39" s="187">
        <f t="shared" si="2"/>
        <v>0</v>
      </c>
    </row>
    <row r="40" spans="1:21" x14ac:dyDescent="0.25">
      <c r="A40" s="103"/>
      <c r="B40" s="36" t="str">
        <f t="shared" si="4"/>
        <v/>
      </c>
      <c r="C40" s="37"/>
      <c r="D40" s="37"/>
      <c r="E40" s="37"/>
      <c r="F40" s="37"/>
      <c r="G40" s="170"/>
      <c r="H40" s="182">
        <v>35</v>
      </c>
      <c r="I40" s="183" t="str">
        <f t="shared" si="0"/>
        <v/>
      </c>
      <c r="J40" s="182" t="e">
        <f t="shared" si="5"/>
        <v>#NUM!</v>
      </c>
      <c r="K40" s="182" t="e">
        <f t="shared" si="1"/>
        <v>#NUM!</v>
      </c>
      <c r="L40" s="182"/>
      <c r="M40" s="184">
        <f t="shared" si="2"/>
        <v>0</v>
      </c>
    </row>
    <row r="41" spans="1:21" x14ac:dyDescent="0.25">
      <c r="A41" s="102"/>
      <c r="B41" s="42" t="str">
        <f t="shared" si="4"/>
        <v/>
      </c>
      <c r="C41" s="43"/>
      <c r="D41" s="43"/>
      <c r="E41" s="43"/>
      <c r="F41" s="43"/>
      <c r="G41" s="170"/>
      <c r="H41" s="185">
        <v>36</v>
      </c>
      <c r="I41" s="186" t="str">
        <f t="shared" si="0"/>
        <v/>
      </c>
      <c r="J41" s="185" t="e">
        <f t="shared" si="5"/>
        <v>#NUM!</v>
      </c>
      <c r="K41" s="185" t="e">
        <f t="shared" si="1"/>
        <v>#NUM!</v>
      </c>
      <c r="L41" s="185"/>
      <c r="M41" s="187">
        <f t="shared" si="2"/>
        <v>0</v>
      </c>
      <c r="S41" s="197"/>
    </row>
    <row r="42" spans="1:21" x14ac:dyDescent="0.25">
      <c r="A42" s="103"/>
      <c r="B42" s="36" t="str">
        <f t="shared" si="4"/>
        <v/>
      </c>
      <c r="C42" s="37"/>
      <c r="D42" s="37"/>
      <c r="E42" s="37"/>
      <c r="F42" s="37"/>
      <c r="G42" s="170"/>
      <c r="H42" s="182">
        <v>37</v>
      </c>
      <c r="I42" s="183" t="str">
        <f t="shared" si="0"/>
        <v/>
      </c>
      <c r="J42" s="182" t="e">
        <f t="shared" si="5"/>
        <v>#NUM!</v>
      </c>
      <c r="K42" s="182" t="e">
        <f t="shared" si="1"/>
        <v>#NUM!</v>
      </c>
      <c r="L42" s="182"/>
      <c r="M42" s="184">
        <f t="shared" si="2"/>
        <v>0</v>
      </c>
    </row>
    <row r="43" spans="1:21" x14ac:dyDescent="0.25">
      <c r="A43" s="102"/>
      <c r="B43" s="42" t="str">
        <f t="shared" si="4"/>
        <v/>
      </c>
      <c r="C43" s="43"/>
      <c r="D43" s="43"/>
      <c r="E43" s="43"/>
      <c r="F43" s="43"/>
      <c r="G43" s="170"/>
      <c r="H43" s="185">
        <v>38</v>
      </c>
      <c r="I43" s="186" t="str">
        <f t="shared" si="0"/>
        <v/>
      </c>
      <c r="J43" s="185" t="e">
        <f t="shared" si="5"/>
        <v>#NUM!</v>
      </c>
      <c r="K43" s="185" t="e">
        <f t="shared" si="1"/>
        <v>#NUM!</v>
      </c>
      <c r="L43" s="185"/>
      <c r="M43" s="187">
        <f t="shared" si="2"/>
        <v>0</v>
      </c>
    </row>
    <row r="44" spans="1:21" x14ac:dyDescent="0.25">
      <c r="A44" s="103"/>
      <c r="B44" s="36" t="str">
        <f t="shared" si="4"/>
        <v/>
      </c>
      <c r="C44" s="37"/>
      <c r="D44" s="37"/>
      <c r="E44" s="37"/>
      <c r="F44" s="37"/>
      <c r="G44" s="170"/>
      <c r="H44" s="182">
        <v>39</v>
      </c>
      <c r="I44" s="183" t="str">
        <f t="shared" si="0"/>
        <v/>
      </c>
      <c r="J44" s="182" t="e">
        <f t="shared" si="5"/>
        <v>#NUM!</v>
      </c>
      <c r="K44" s="182" t="e">
        <f t="shared" si="1"/>
        <v>#NUM!</v>
      </c>
      <c r="L44" s="182"/>
      <c r="M44" s="184">
        <f t="shared" si="2"/>
        <v>0</v>
      </c>
    </row>
    <row r="45" spans="1:21" x14ac:dyDescent="0.25">
      <c r="A45" s="102"/>
      <c r="B45" s="42" t="str">
        <f t="shared" si="4"/>
        <v/>
      </c>
      <c r="C45" s="43"/>
      <c r="D45" s="43"/>
      <c r="E45" s="43"/>
      <c r="F45" s="43"/>
      <c r="G45" s="170"/>
      <c r="H45" s="185">
        <v>40</v>
      </c>
      <c r="I45" s="186" t="str">
        <f t="shared" si="0"/>
        <v/>
      </c>
      <c r="J45" s="185" t="e">
        <f t="shared" si="5"/>
        <v>#NUM!</v>
      </c>
      <c r="K45" s="185" t="e">
        <f t="shared" si="1"/>
        <v>#NUM!</v>
      </c>
      <c r="L45" s="185"/>
      <c r="M45" s="187">
        <f t="shared" si="2"/>
        <v>0</v>
      </c>
    </row>
    <row r="46" spans="1:21" x14ac:dyDescent="0.25">
      <c r="A46" s="103"/>
      <c r="B46" s="36" t="str">
        <f t="shared" si="4"/>
        <v/>
      </c>
      <c r="C46" s="37"/>
      <c r="D46" s="37"/>
      <c r="E46" s="37"/>
      <c r="F46" s="37"/>
      <c r="G46" s="170"/>
      <c r="H46" s="182">
        <v>41</v>
      </c>
      <c r="I46" s="183" t="str">
        <f t="shared" si="0"/>
        <v/>
      </c>
      <c r="J46" s="182" t="e">
        <f t="shared" si="5"/>
        <v>#NUM!</v>
      </c>
      <c r="K46" s="182" t="e">
        <f t="shared" si="1"/>
        <v>#NUM!</v>
      </c>
      <c r="L46" s="182"/>
      <c r="M46" s="184">
        <f t="shared" si="2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2"/>
      <c r="B47" s="42" t="str">
        <f t="shared" si="4"/>
        <v/>
      </c>
      <c r="C47" s="43"/>
      <c r="D47" s="43"/>
      <c r="E47" s="43"/>
      <c r="F47" s="43"/>
      <c r="G47" s="170"/>
      <c r="H47" s="185">
        <v>42</v>
      </c>
      <c r="I47" s="186" t="str">
        <f t="shared" si="0"/>
        <v/>
      </c>
      <c r="J47" s="185" t="e">
        <f t="shared" si="5"/>
        <v>#NUM!</v>
      </c>
      <c r="K47" s="185" t="e">
        <f t="shared" si="1"/>
        <v>#NUM!</v>
      </c>
      <c r="L47" s="185"/>
      <c r="M47" s="187">
        <f t="shared" si="2"/>
        <v>0</v>
      </c>
    </row>
    <row r="48" spans="1:21" x14ac:dyDescent="0.25">
      <c r="A48" s="103"/>
      <c r="B48" s="36" t="str">
        <f t="shared" si="4"/>
        <v/>
      </c>
      <c r="C48" s="37"/>
      <c r="D48" s="37"/>
      <c r="E48" s="37"/>
      <c r="F48" s="37"/>
      <c r="G48" s="170"/>
      <c r="H48" s="182">
        <v>43</v>
      </c>
      <c r="I48" s="183" t="str">
        <f t="shared" si="0"/>
        <v/>
      </c>
      <c r="J48" s="182" t="e">
        <f t="shared" si="5"/>
        <v>#NUM!</v>
      </c>
      <c r="K48" s="182" t="e">
        <f t="shared" si="1"/>
        <v>#NUM!</v>
      </c>
      <c r="L48" s="182"/>
      <c r="M48" s="184">
        <f t="shared" si="2"/>
        <v>0</v>
      </c>
    </row>
    <row r="49" spans="1:13" x14ac:dyDescent="0.25">
      <c r="A49" s="102"/>
      <c r="B49" s="42" t="str">
        <f t="shared" si="4"/>
        <v/>
      </c>
      <c r="C49" s="43"/>
      <c r="D49" s="43"/>
      <c r="E49" s="43"/>
      <c r="F49" s="43"/>
      <c r="G49" s="170"/>
      <c r="H49" s="185">
        <v>44</v>
      </c>
      <c r="I49" s="186" t="str">
        <f t="shared" si="0"/>
        <v/>
      </c>
      <c r="J49" s="185" t="e">
        <f t="shared" si="5"/>
        <v>#NUM!</v>
      </c>
      <c r="K49" s="185" t="e">
        <f t="shared" si="1"/>
        <v>#NUM!</v>
      </c>
      <c r="L49" s="185"/>
      <c r="M49" s="187">
        <f t="shared" si="2"/>
        <v>0</v>
      </c>
    </row>
    <row r="50" spans="1:13" x14ac:dyDescent="0.25">
      <c r="A50" s="103"/>
      <c r="B50" s="36" t="str">
        <f t="shared" si="4"/>
        <v/>
      </c>
      <c r="C50" s="37"/>
      <c r="D50" s="37"/>
      <c r="E50" s="37"/>
      <c r="F50" s="37"/>
      <c r="G50" s="170"/>
      <c r="H50" s="182">
        <v>45</v>
      </c>
      <c r="I50" s="183" t="str">
        <f t="shared" si="0"/>
        <v/>
      </c>
      <c r="J50" s="182" t="e">
        <f t="shared" si="5"/>
        <v>#NUM!</v>
      </c>
      <c r="K50" s="182" t="e">
        <f t="shared" si="1"/>
        <v>#NUM!</v>
      </c>
      <c r="L50" s="182"/>
      <c r="M50" s="184">
        <f t="shared" si="2"/>
        <v>0</v>
      </c>
    </row>
    <row r="51" spans="1:13" x14ac:dyDescent="0.25">
      <c r="A51" s="102"/>
      <c r="B51" s="42" t="str">
        <f t="shared" si="4"/>
        <v/>
      </c>
      <c r="C51" s="43"/>
      <c r="D51" s="43"/>
      <c r="E51" s="43"/>
      <c r="F51" s="43"/>
      <c r="G51" s="170"/>
      <c r="H51" s="185">
        <v>46</v>
      </c>
      <c r="I51" s="186" t="str">
        <f t="shared" si="0"/>
        <v/>
      </c>
      <c r="J51" s="185" t="e">
        <f t="shared" si="5"/>
        <v>#NUM!</v>
      </c>
      <c r="K51" s="185" t="e">
        <f t="shared" si="1"/>
        <v>#NUM!</v>
      </c>
      <c r="L51" s="185"/>
      <c r="M51" s="187">
        <f t="shared" si="2"/>
        <v>0</v>
      </c>
    </row>
    <row r="52" spans="1:13" x14ac:dyDescent="0.25">
      <c r="A52" s="103"/>
      <c r="B52" s="36" t="str">
        <f t="shared" si="4"/>
        <v/>
      </c>
      <c r="C52" s="37"/>
      <c r="D52" s="37"/>
      <c r="E52" s="37"/>
      <c r="F52" s="37"/>
      <c r="G52" s="170"/>
      <c r="H52" s="182">
        <v>47</v>
      </c>
      <c r="I52" s="183" t="str">
        <f t="shared" si="0"/>
        <v/>
      </c>
      <c r="J52" s="182" t="e">
        <f t="shared" si="5"/>
        <v>#NUM!</v>
      </c>
      <c r="K52" s="182" t="e">
        <f t="shared" si="1"/>
        <v>#NUM!</v>
      </c>
      <c r="L52" s="182"/>
      <c r="M52" s="184">
        <f t="shared" si="2"/>
        <v>0</v>
      </c>
    </row>
    <row r="53" spans="1:13" x14ac:dyDescent="0.25">
      <c r="A53" s="102"/>
      <c r="B53" s="42" t="str">
        <f t="shared" si="4"/>
        <v/>
      </c>
      <c r="C53" s="43"/>
      <c r="D53" s="43"/>
      <c r="E53" s="43"/>
      <c r="F53" s="43"/>
      <c r="G53" s="170"/>
      <c r="H53" s="185">
        <v>48</v>
      </c>
      <c r="I53" s="186" t="str">
        <f t="shared" si="0"/>
        <v/>
      </c>
      <c r="J53" s="185" t="e">
        <f t="shared" si="5"/>
        <v>#NUM!</v>
      </c>
      <c r="K53" s="185" t="e">
        <f t="shared" si="1"/>
        <v>#NUM!</v>
      </c>
      <c r="L53" s="185"/>
      <c r="M53" s="187">
        <f t="shared" si="2"/>
        <v>0</v>
      </c>
    </row>
    <row r="54" spans="1:13" x14ac:dyDescent="0.25">
      <c r="A54" s="103"/>
      <c r="B54" s="36" t="str">
        <f t="shared" si="4"/>
        <v/>
      </c>
      <c r="C54" s="37"/>
      <c r="D54" s="37"/>
      <c r="E54" s="37"/>
      <c r="F54" s="37"/>
      <c r="G54" s="170"/>
      <c r="H54" s="182">
        <v>49</v>
      </c>
      <c r="I54" s="183" t="str">
        <f t="shared" si="0"/>
        <v/>
      </c>
      <c r="J54" s="182" t="e">
        <f t="shared" si="5"/>
        <v>#NUM!</v>
      </c>
      <c r="K54" s="182" t="e">
        <f t="shared" si="1"/>
        <v>#NUM!</v>
      </c>
      <c r="L54" s="182"/>
      <c r="M54" s="184">
        <f t="shared" si="2"/>
        <v>0</v>
      </c>
    </row>
    <row r="55" spans="1:13" x14ac:dyDescent="0.25">
      <c r="A55" s="102"/>
      <c r="B55" s="42" t="str">
        <f t="shared" si="4"/>
        <v/>
      </c>
      <c r="C55" s="43"/>
      <c r="D55" s="43"/>
      <c r="E55" s="43"/>
      <c r="F55" s="43"/>
      <c r="G55" s="170"/>
      <c r="H55" s="185">
        <v>50</v>
      </c>
      <c r="I55" s="186" t="str">
        <f t="shared" si="0"/>
        <v/>
      </c>
      <c r="J55" s="185" t="e">
        <f t="shared" si="5"/>
        <v>#NUM!</v>
      </c>
      <c r="K55" s="185" t="e">
        <f t="shared" si="1"/>
        <v>#NUM!</v>
      </c>
      <c r="L55" s="185"/>
      <c r="M55" s="187">
        <f t="shared" si="2"/>
        <v>0</v>
      </c>
    </row>
    <row r="56" spans="1:13" x14ac:dyDescent="0.25">
      <c r="A56" s="103"/>
      <c r="B56" s="36" t="str">
        <f t="shared" si="4"/>
        <v/>
      </c>
      <c r="C56" s="37"/>
      <c r="D56" s="37"/>
      <c r="E56" s="37"/>
      <c r="F56" s="37"/>
      <c r="G56" s="170"/>
      <c r="H56" s="182">
        <v>51</v>
      </c>
      <c r="I56" s="183" t="str">
        <f t="shared" si="0"/>
        <v/>
      </c>
      <c r="J56" s="182" t="e">
        <f t="shared" si="5"/>
        <v>#NUM!</v>
      </c>
      <c r="K56" s="182" t="e">
        <f t="shared" si="1"/>
        <v>#NUM!</v>
      </c>
      <c r="L56" s="182"/>
      <c r="M56" s="184">
        <f t="shared" si="2"/>
        <v>0</v>
      </c>
    </row>
    <row r="57" spans="1:13" x14ac:dyDescent="0.25">
      <c r="A57" s="102"/>
      <c r="B57" s="42" t="str">
        <f t="shared" si="4"/>
        <v/>
      </c>
      <c r="C57" s="43"/>
      <c r="D57" s="43"/>
      <c r="E57" s="43"/>
      <c r="F57" s="43"/>
      <c r="G57" s="170"/>
      <c r="H57" s="185">
        <v>52</v>
      </c>
      <c r="I57" s="186" t="str">
        <f t="shared" si="0"/>
        <v/>
      </c>
      <c r="J57" s="185" t="e">
        <f t="shared" si="5"/>
        <v>#NUM!</v>
      </c>
      <c r="K57" s="185" t="e">
        <f t="shared" si="1"/>
        <v>#NUM!</v>
      </c>
      <c r="L57" s="185"/>
      <c r="M57" s="187">
        <f t="shared" si="2"/>
        <v>0</v>
      </c>
    </row>
    <row r="58" spans="1:13" x14ac:dyDescent="0.25">
      <c r="A58" s="103"/>
      <c r="B58" s="36" t="str">
        <f t="shared" si="4"/>
        <v/>
      </c>
      <c r="C58" s="37"/>
      <c r="D58" s="37"/>
      <c r="E58" s="37"/>
      <c r="F58" s="37"/>
      <c r="G58" s="170"/>
      <c r="H58" s="182">
        <v>53</v>
      </c>
      <c r="I58" s="183" t="str">
        <f t="shared" si="0"/>
        <v/>
      </c>
      <c r="J58" s="182" t="e">
        <f t="shared" si="5"/>
        <v>#NUM!</v>
      </c>
      <c r="K58" s="182" t="e">
        <f t="shared" si="1"/>
        <v>#NUM!</v>
      </c>
      <c r="L58" s="182"/>
      <c r="M58" s="184">
        <f t="shared" si="2"/>
        <v>0</v>
      </c>
    </row>
    <row r="59" spans="1:13" x14ac:dyDescent="0.25">
      <c r="A59" s="102"/>
      <c r="B59" s="42" t="str">
        <f t="shared" si="4"/>
        <v/>
      </c>
      <c r="C59" s="43"/>
      <c r="D59" s="43"/>
      <c r="E59" s="43"/>
      <c r="F59" s="43"/>
      <c r="G59" s="170"/>
      <c r="H59" s="185">
        <v>54</v>
      </c>
      <c r="I59" s="186" t="str">
        <f t="shared" si="0"/>
        <v/>
      </c>
      <c r="J59" s="185" t="e">
        <f t="shared" si="5"/>
        <v>#NUM!</v>
      </c>
      <c r="K59" s="185" t="e">
        <f t="shared" si="1"/>
        <v>#NUM!</v>
      </c>
      <c r="L59" s="185"/>
      <c r="M59" s="187">
        <f t="shared" si="2"/>
        <v>0</v>
      </c>
    </row>
    <row r="60" spans="1:13" x14ac:dyDescent="0.25">
      <c r="A60" s="103"/>
      <c r="B60" s="36" t="str">
        <f t="shared" si="4"/>
        <v/>
      </c>
      <c r="C60" s="37"/>
      <c r="D60" s="37"/>
      <c r="E60" s="37"/>
      <c r="F60" s="37"/>
      <c r="G60" s="170"/>
      <c r="H60" s="182">
        <v>55</v>
      </c>
      <c r="I60" s="183" t="str">
        <f t="shared" si="0"/>
        <v/>
      </c>
      <c r="J60" s="182" t="e">
        <f t="shared" si="5"/>
        <v>#NUM!</v>
      </c>
      <c r="K60" s="182" t="e">
        <f t="shared" si="1"/>
        <v>#NUM!</v>
      </c>
      <c r="L60" s="182"/>
      <c r="M60" s="184">
        <f t="shared" si="2"/>
        <v>0</v>
      </c>
    </row>
    <row r="61" spans="1:13" x14ac:dyDescent="0.25">
      <c r="A61" s="102"/>
      <c r="B61" s="42" t="str">
        <f t="shared" si="4"/>
        <v/>
      </c>
      <c r="C61" s="43"/>
      <c r="D61" s="43"/>
      <c r="E61" s="43"/>
      <c r="F61" s="43"/>
      <c r="G61" s="170"/>
      <c r="H61" s="185">
        <v>56</v>
      </c>
      <c r="I61" s="186" t="str">
        <f t="shared" si="0"/>
        <v/>
      </c>
      <c r="J61" s="185" t="e">
        <f t="shared" si="5"/>
        <v>#NUM!</v>
      </c>
      <c r="K61" s="185" t="e">
        <f t="shared" si="1"/>
        <v>#NUM!</v>
      </c>
      <c r="L61" s="185"/>
      <c r="M61" s="187">
        <f t="shared" si="2"/>
        <v>0</v>
      </c>
    </row>
    <row r="62" spans="1:13" x14ac:dyDescent="0.25">
      <c r="A62" s="103"/>
      <c r="B62" s="36" t="str">
        <f t="shared" si="4"/>
        <v/>
      </c>
      <c r="C62" s="37"/>
      <c r="D62" s="37"/>
      <c r="E62" s="37"/>
      <c r="F62" s="37"/>
      <c r="G62" s="170"/>
      <c r="H62" s="182">
        <v>57</v>
      </c>
      <c r="I62" s="183" t="str">
        <f t="shared" si="0"/>
        <v/>
      </c>
      <c r="J62" s="182" t="e">
        <f t="shared" si="5"/>
        <v>#NUM!</v>
      </c>
      <c r="K62" s="182" t="e">
        <f t="shared" si="1"/>
        <v>#NUM!</v>
      </c>
      <c r="L62" s="182"/>
      <c r="M62" s="184">
        <f t="shared" si="2"/>
        <v>0</v>
      </c>
    </row>
    <row r="63" spans="1:13" x14ac:dyDescent="0.25">
      <c r="A63" s="102"/>
      <c r="B63" s="42" t="str">
        <f t="shared" si="4"/>
        <v/>
      </c>
      <c r="C63" s="43"/>
      <c r="D63" s="43"/>
      <c r="E63" s="43"/>
      <c r="F63" s="43"/>
      <c r="G63" s="170"/>
      <c r="H63" s="185">
        <v>58</v>
      </c>
      <c r="I63" s="186" t="str">
        <f t="shared" si="0"/>
        <v/>
      </c>
      <c r="J63" s="185" t="e">
        <f t="shared" si="5"/>
        <v>#NUM!</v>
      </c>
      <c r="K63" s="185" t="e">
        <f t="shared" si="1"/>
        <v>#NUM!</v>
      </c>
      <c r="L63" s="185"/>
      <c r="M63" s="187">
        <f t="shared" si="2"/>
        <v>0</v>
      </c>
    </row>
    <row r="64" spans="1:13" x14ac:dyDescent="0.25">
      <c r="A64" s="103"/>
      <c r="B64" s="36" t="str">
        <f t="shared" si="4"/>
        <v/>
      </c>
      <c r="C64" s="37"/>
      <c r="D64" s="37"/>
      <c r="E64" s="37"/>
      <c r="F64" s="37"/>
      <c r="G64" s="170"/>
      <c r="H64" s="182">
        <v>59</v>
      </c>
      <c r="I64" s="183" t="str">
        <f t="shared" si="0"/>
        <v/>
      </c>
      <c r="J64" s="182" t="e">
        <f t="shared" si="5"/>
        <v>#NUM!</v>
      </c>
      <c r="K64" s="182" t="e">
        <f t="shared" si="1"/>
        <v>#NUM!</v>
      </c>
      <c r="L64" s="182"/>
      <c r="M64" s="184">
        <f t="shared" si="2"/>
        <v>0</v>
      </c>
    </row>
    <row r="65" spans="1:13" x14ac:dyDescent="0.25">
      <c r="A65" s="102"/>
      <c r="B65" s="42" t="str">
        <f t="shared" si="4"/>
        <v/>
      </c>
      <c r="C65" s="43"/>
      <c r="D65" s="43"/>
      <c r="E65" s="43"/>
      <c r="F65" s="43"/>
      <c r="G65" s="170"/>
      <c r="H65" s="185">
        <v>60</v>
      </c>
      <c r="I65" s="186" t="str">
        <f t="shared" si="0"/>
        <v/>
      </c>
      <c r="J65" s="185" t="e">
        <f t="shared" si="5"/>
        <v>#NUM!</v>
      </c>
      <c r="K65" s="185" t="e">
        <f t="shared" si="1"/>
        <v>#NUM!</v>
      </c>
      <c r="L65" s="185"/>
      <c r="M65" s="187">
        <f t="shared" si="2"/>
        <v>0</v>
      </c>
    </row>
    <row r="66" spans="1:13" x14ac:dyDescent="0.25">
      <c r="A66" s="207"/>
      <c r="B66" s="36"/>
      <c r="G66" s="170"/>
      <c r="H66" s="182">
        <v>61</v>
      </c>
      <c r="I66" s="183" t="str">
        <f t="shared" si="0"/>
        <v/>
      </c>
      <c r="J66" s="182" t="e">
        <f t="shared" si="5"/>
        <v>#NUM!</v>
      </c>
      <c r="K66" s="182" t="e">
        <f t="shared" si="1"/>
        <v>#NUM!</v>
      </c>
      <c r="L66" s="182"/>
      <c r="M66" s="184">
        <f t="shared" si="2"/>
        <v>0</v>
      </c>
    </row>
    <row r="67" spans="1:13" x14ac:dyDescent="0.25">
      <c r="A67" s="207"/>
      <c r="B67" s="42"/>
      <c r="G67" s="170"/>
      <c r="H67" s="182">
        <v>62</v>
      </c>
      <c r="I67" s="183" t="str">
        <f t="shared" si="0"/>
        <v/>
      </c>
      <c r="J67" s="182" t="e">
        <f t="shared" si="5"/>
        <v>#NUM!</v>
      </c>
      <c r="K67" s="182" t="e">
        <f t="shared" si="1"/>
        <v>#NUM!</v>
      </c>
      <c r="L67" s="182"/>
      <c r="M67" s="184">
        <f t="shared" si="2"/>
        <v>0</v>
      </c>
    </row>
    <row r="68" spans="1:13" x14ac:dyDescent="0.25">
      <c r="A68" s="207"/>
      <c r="B68" s="36"/>
      <c r="G68" s="170"/>
      <c r="H68" s="182">
        <v>63</v>
      </c>
      <c r="I68" s="183" t="str">
        <f t="shared" si="0"/>
        <v/>
      </c>
      <c r="J68" s="182" t="e">
        <f t="shared" si="5"/>
        <v>#NUM!</v>
      </c>
      <c r="K68" s="182" t="e">
        <f t="shared" si="1"/>
        <v>#NUM!</v>
      </c>
      <c r="L68" s="182"/>
      <c r="M68" s="184">
        <f t="shared" si="2"/>
        <v>0</v>
      </c>
    </row>
    <row r="69" spans="1:13" x14ac:dyDescent="0.25">
      <c r="A69" s="207"/>
      <c r="B69" s="42"/>
      <c r="G69" s="170"/>
      <c r="H69" s="182">
        <v>64</v>
      </c>
      <c r="I69" s="183" t="str">
        <f t="shared" si="0"/>
        <v/>
      </c>
      <c r="J69" s="182" t="e">
        <f t="shared" si="5"/>
        <v>#NUM!</v>
      </c>
      <c r="K69" s="182" t="e">
        <f t="shared" si="1"/>
        <v>#NUM!</v>
      </c>
      <c r="L69" s="182"/>
      <c r="M69" s="184">
        <f t="shared" si="2"/>
        <v>0</v>
      </c>
    </row>
    <row r="70" spans="1:13" x14ac:dyDescent="0.25">
      <c r="A70" s="207"/>
      <c r="G70" s="170"/>
      <c r="H70" s="182">
        <v>65</v>
      </c>
      <c r="I70" s="183" t="str">
        <f t="shared" ref="I70:I133" si="6">IF(H70&lt;$H$2+1,($I$2-($I$2-1)*(LOG(H70)/LOG($H$2))),"")</f>
        <v/>
      </c>
      <c r="J70" s="182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207"/>
      <c r="G71" s="170"/>
      <c r="H71" s="182">
        <v>66</v>
      </c>
      <c r="I71" s="183" t="str">
        <f t="shared" si="6"/>
        <v/>
      </c>
      <c r="J71" s="182" t="e">
        <f t="shared" ref="J71:J134" si="9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207"/>
      <c r="G72" s="170"/>
      <c r="H72" s="182">
        <v>67</v>
      </c>
      <c r="I72" s="183" t="str">
        <f t="shared" si="6"/>
        <v/>
      </c>
      <c r="J72" s="182" t="e">
        <f t="shared" si="9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207"/>
      <c r="G73" s="170"/>
      <c r="H73" s="182">
        <v>68</v>
      </c>
      <c r="I73" s="183" t="str">
        <f t="shared" si="6"/>
        <v/>
      </c>
      <c r="J73" s="182" t="e">
        <f t="shared" si="9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207"/>
      <c r="G74" s="170"/>
      <c r="H74" s="182">
        <v>69</v>
      </c>
      <c r="I74" s="183" t="str">
        <f t="shared" si="6"/>
        <v/>
      </c>
      <c r="J74" s="182" t="e">
        <f t="shared" si="9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207"/>
      <c r="G75" s="170"/>
      <c r="H75" s="182">
        <v>70</v>
      </c>
      <c r="I75" s="183" t="str">
        <f t="shared" si="6"/>
        <v/>
      </c>
      <c r="J75" s="182" t="e">
        <f t="shared" si="9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207"/>
      <c r="G76" s="170"/>
      <c r="H76" s="182">
        <v>71</v>
      </c>
      <c r="I76" s="183" t="str">
        <f t="shared" si="6"/>
        <v/>
      </c>
      <c r="J76" s="182" t="e">
        <f t="shared" si="9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207"/>
      <c r="G77" s="170"/>
      <c r="H77" s="182">
        <v>72</v>
      </c>
      <c r="I77" s="183" t="str">
        <f t="shared" si="6"/>
        <v/>
      </c>
      <c r="J77" s="182" t="e">
        <f t="shared" si="9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207"/>
      <c r="G78" s="170"/>
      <c r="H78" s="182">
        <v>73</v>
      </c>
      <c r="I78" s="183" t="str">
        <f t="shared" si="6"/>
        <v/>
      </c>
      <c r="J78" s="182" t="e">
        <f t="shared" si="9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207"/>
      <c r="G79" s="170"/>
      <c r="H79" s="182">
        <v>74</v>
      </c>
      <c r="I79" s="183" t="str">
        <f t="shared" si="6"/>
        <v/>
      </c>
      <c r="J79" s="182" t="e">
        <f t="shared" si="9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207"/>
      <c r="G80" s="170"/>
      <c r="H80" s="182">
        <v>75</v>
      </c>
      <c r="I80" s="183" t="str">
        <f t="shared" si="6"/>
        <v/>
      </c>
      <c r="J80" s="182" t="e">
        <f t="shared" si="9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207"/>
      <c r="G81" s="170"/>
      <c r="H81" s="182">
        <v>76</v>
      </c>
      <c r="I81" s="183" t="str">
        <f t="shared" si="6"/>
        <v/>
      </c>
      <c r="J81" s="182" t="e">
        <f t="shared" si="9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207"/>
      <c r="G82" s="170"/>
      <c r="H82" s="182">
        <v>77</v>
      </c>
      <c r="I82" s="183" t="str">
        <f t="shared" si="6"/>
        <v/>
      </c>
      <c r="J82" s="182" t="e">
        <f t="shared" si="9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207"/>
      <c r="G83" s="170"/>
      <c r="H83" s="182">
        <v>78</v>
      </c>
      <c r="I83" s="183" t="str">
        <f t="shared" si="6"/>
        <v/>
      </c>
      <c r="J83" s="182" t="e">
        <f t="shared" si="9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207"/>
      <c r="G84" s="170"/>
      <c r="H84" s="182">
        <v>79</v>
      </c>
      <c r="I84" s="183" t="str">
        <f t="shared" si="6"/>
        <v/>
      </c>
      <c r="J84" s="182" t="e">
        <f t="shared" si="9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207"/>
      <c r="G85" s="170"/>
      <c r="H85" s="182">
        <v>80</v>
      </c>
      <c r="I85" s="183" t="str">
        <f t="shared" si="6"/>
        <v/>
      </c>
      <c r="J85" s="182" t="e">
        <f t="shared" si="9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207"/>
      <c r="G86" s="170"/>
      <c r="H86" s="182">
        <v>81</v>
      </c>
      <c r="I86" s="183" t="str">
        <f t="shared" si="6"/>
        <v/>
      </c>
      <c r="J86" s="182" t="e">
        <f t="shared" si="9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207"/>
      <c r="G87" s="170"/>
      <c r="H87" s="182">
        <v>82</v>
      </c>
      <c r="I87" s="183" t="str">
        <f t="shared" si="6"/>
        <v/>
      </c>
      <c r="J87" s="182" t="e">
        <f t="shared" si="9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207"/>
      <c r="G88" s="170"/>
      <c r="H88" s="182">
        <v>83</v>
      </c>
      <c r="I88" s="183" t="str">
        <f t="shared" si="6"/>
        <v/>
      </c>
      <c r="J88" s="182" t="e">
        <f t="shared" si="9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207"/>
      <c r="G89" s="170"/>
      <c r="H89" s="182">
        <v>84</v>
      </c>
      <c r="I89" s="183" t="str">
        <f t="shared" si="6"/>
        <v/>
      </c>
      <c r="J89" s="182" t="e">
        <f t="shared" si="9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207"/>
      <c r="G90" s="170"/>
      <c r="H90" s="182">
        <v>85</v>
      </c>
      <c r="I90" s="183" t="str">
        <f t="shared" si="6"/>
        <v/>
      </c>
      <c r="J90" s="182" t="e">
        <f t="shared" si="9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207"/>
      <c r="G91" s="170"/>
      <c r="H91" s="182">
        <v>86</v>
      </c>
      <c r="I91" s="183" t="str">
        <f t="shared" si="6"/>
        <v/>
      </c>
      <c r="J91" s="182" t="e">
        <f t="shared" si="9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207"/>
      <c r="G92" s="170"/>
      <c r="H92" s="182">
        <v>87</v>
      </c>
      <c r="I92" s="183" t="str">
        <f t="shared" si="6"/>
        <v/>
      </c>
      <c r="J92" s="182" t="e">
        <f t="shared" si="9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207"/>
      <c r="G93" s="170"/>
      <c r="H93" s="182">
        <v>88</v>
      </c>
      <c r="I93" s="183" t="str">
        <f t="shared" si="6"/>
        <v/>
      </c>
      <c r="J93" s="182" t="e">
        <f t="shared" si="9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207"/>
      <c r="G94" s="170"/>
      <c r="H94" s="182">
        <v>89</v>
      </c>
      <c r="I94" s="183" t="str">
        <f t="shared" si="6"/>
        <v/>
      </c>
      <c r="J94" s="182" t="e">
        <f t="shared" si="9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207"/>
      <c r="G95" s="170"/>
      <c r="H95" s="182">
        <v>90</v>
      </c>
      <c r="I95" s="183" t="str">
        <f t="shared" si="6"/>
        <v/>
      </c>
      <c r="J95" s="182" t="e">
        <f t="shared" si="9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207"/>
      <c r="G96" s="170"/>
      <c r="H96" s="182">
        <v>91</v>
      </c>
      <c r="I96" s="183" t="str">
        <f t="shared" si="6"/>
        <v/>
      </c>
      <c r="J96" s="182" t="e">
        <f t="shared" si="9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207"/>
      <c r="G97" s="170"/>
      <c r="H97" s="182">
        <v>92</v>
      </c>
      <c r="I97" s="183" t="str">
        <f t="shared" si="6"/>
        <v/>
      </c>
      <c r="J97" s="182" t="e">
        <f t="shared" si="9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207"/>
      <c r="G98" s="170"/>
      <c r="H98" s="182">
        <v>93</v>
      </c>
      <c r="I98" s="183" t="str">
        <f t="shared" si="6"/>
        <v/>
      </c>
      <c r="J98" s="182" t="e">
        <f t="shared" si="9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207"/>
      <c r="G99" s="170"/>
      <c r="H99" s="182">
        <v>94</v>
      </c>
      <c r="I99" s="183" t="str">
        <f t="shared" si="6"/>
        <v/>
      </c>
      <c r="J99" s="182" t="e">
        <f t="shared" si="9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207"/>
      <c r="G100" s="170"/>
      <c r="H100" s="182">
        <v>95</v>
      </c>
      <c r="I100" s="183" t="str">
        <f t="shared" si="6"/>
        <v/>
      </c>
      <c r="J100" s="182" t="e">
        <f t="shared" si="9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2" t="e">
        <f t="shared" si="9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2" t="e">
        <f t="shared" si="9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2" t="e">
        <f t="shared" si="9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2" t="e">
        <f t="shared" si="9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2" t="e">
        <f t="shared" si="9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2" t="e">
        <f t="shared" si="9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2" t="e">
        <f t="shared" si="9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2" t="e">
        <f t="shared" si="9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2" t="e">
        <f t="shared" si="9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2" t="e">
        <f t="shared" si="9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2" t="e">
        <f t="shared" si="9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2" t="e">
        <f t="shared" si="9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2" t="e">
        <f t="shared" si="9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2" t="e">
        <f t="shared" si="9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2" t="e">
        <f t="shared" si="9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2" t="e">
        <f t="shared" si="9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2" t="e">
        <f t="shared" si="9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2" t="e">
        <f t="shared" si="9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2" t="e">
        <f t="shared" si="9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2" t="e">
        <f t="shared" si="9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2" t="e">
        <f t="shared" si="9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2" t="e">
        <f t="shared" si="9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2" t="e">
        <f t="shared" si="9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2" t="e">
        <f t="shared" si="9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2" t="e">
        <f t="shared" si="9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2" t="e">
        <f t="shared" si="9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2" t="e">
        <f t="shared" si="9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2" t="e">
        <f t="shared" si="9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2" t="e">
        <f t="shared" si="9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2" t="e">
        <f t="shared" si="9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2" t="e">
        <f t="shared" si="9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2" t="e">
        <f t="shared" si="9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2" t="e">
        <f t="shared" si="9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0">IF(H134&lt;$H$2+1,($I$2-($I$2-1)*(LOG(H134)/LOG($H$2))),"")</f>
        <v/>
      </c>
      <c r="J134" s="182" t="e">
        <f t="shared" si="9"/>
        <v>#NUM!</v>
      </c>
      <c r="K134" s="182" t="e">
        <f t="shared" ref="K134:K197" si="11">J134*$J$2</f>
        <v>#NUM!</v>
      </c>
      <c r="L134" s="182"/>
      <c r="M134" s="184">
        <f t="shared" ref="M134:M197" si="12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0"/>
        <v/>
      </c>
      <c r="J135" s="182" t="e">
        <f t="shared" ref="J135:J198" si="13">INT(LOG($H$2,2))-ROUNDUP(LOG(H135,2),0)+IF(OR($H$2=1,$H$2=2,$H$2=4,$H$2=8,$H$2=16,$H$2=32,$H$2=64,$H$2=128,$H$2=256),0,1)</f>
        <v>#NUM!</v>
      </c>
      <c r="K135" s="182" t="e">
        <f t="shared" si="11"/>
        <v>#NUM!</v>
      </c>
      <c r="L135" s="182"/>
      <c r="M135" s="184">
        <f t="shared" si="12"/>
        <v>0</v>
      </c>
    </row>
    <row r="136" spans="1:13" x14ac:dyDescent="0.25">
      <c r="A136" s="199"/>
      <c r="G136" s="170"/>
      <c r="H136" s="182">
        <v>131</v>
      </c>
      <c r="I136" s="183" t="str">
        <f t="shared" si="10"/>
        <v/>
      </c>
      <c r="J136" s="182" t="e">
        <f t="shared" si="13"/>
        <v>#NUM!</v>
      </c>
      <c r="K136" s="182" t="e">
        <f t="shared" si="11"/>
        <v>#NUM!</v>
      </c>
      <c r="L136" s="182"/>
      <c r="M136" s="184">
        <f t="shared" si="12"/>
        <v>0</v>
      </c>
    </row>
    <row r="137" spans="1:13" x14ac:dyDescent="0.25">
      <c r="A137" s="199"/>
      <c r="G137" s="170"/>
      <c r="H137" s="182">
        <v>132</v>
      </c>
      <c r="I137" s="183" t="str">
        <f t="shared" si="10"/>
        <v/>
      </c>
      <c r="J137" s="182" t="e">
        <f t="shared" si="13"/>
        <v>#NUM!</v>
      </c>
      <c r="K137" s="182" t="e">
        <f t="shared" si="11"/>
        <v>#NUM!</v>
      </c>
      <c r="L137" s="182"/>
      <c r="M137" s="184">
        <f t="shared" si="12"/>
        <v>0</v>
      </c>
    </row>
    <row r="138" spans="1:13" x14ac:dyDescent="0.25">
      <c r="A138" s="199"/>
      <c r="G138" s="170"/>
      <c r="H138" s="182">
        <v>133</v>
      </c>
      <c r="I138" s="183" t="str">
        <f t="shared" si="10"/>
        <v/>
      </c>
      <c r="J138" s="182" t="e">
        <f t="shared" si="13"/>
        <v>#NUM!</v>
      </c>
      <c r="K138" s="182" t="e">
        <f t="shared" si="11"/>
        <v>#NUM!</v>
      </c>
      <c r="L138" s="182"/>
      <c r="M138" s="184">
        <f t="shared" si="12"/>
        <v>0</v>
      </c>
    </row>
    <row r="139" spans="1:13" x14ac:dyDescent="0.25">
      <c r="A139" s="199"/>
      <c r="G139" s="170"/>
      <c r="H139" s="182">
        <v>134</v>
      </c>
      <c r="I139" s="183" t="str">
        <f t="shared" si="10"/>
        <v/>
      </c>
      <c r="J139" s="182" t="e">
        <f t="shared" si="13"/>
        <v>#NUM!</v>
      </c>
      <c r="K139" s="182" t="e">
        <f t="shared" si="11"/>
        <v>#NUM!</v>
      </c>
      <c r="L139" s="182"/>
      <c r="M139" s="184">
        <f t="shared" si="12"/>
        <v>0</v>
      </c>
    </row>
    <row r="140" spans="1:13" x14ac:dyDescent="0.25">
      <c r="A140" s="199"/>
      <c r="G140" s="170"/>
      <c r="H140" s="182">
        <v>135</v>
      </c>
      <c r="I140" s="183" t="str">
        <f t="shared" si="10"/>
        <v/>
      </c>
      <c r="J140" s="182" t="e">
        <f t="shared" si="13"/>
        <v>#NUM!</v>
      </c>
      <c r="K140" s="182" t="e">
        <f t="shared" si="11"/>
        <v>#NUM!</v>
      </c>
      <c r="L140" s="182"/>
      <c r="M140" s="184">
        <f t="shared" si="12"/>
        <v>0</v>
      </c>
    </row>
    <row r="141" spans="1:13" x14ac:dyDescent="0.25">
      <c r="A141" s="199"/>
      <c r="G141" s="170"/>
      <c r="H141" s="182">
        <v>136</v>
      </c>
      <c r="I141" s="183" t="str">
        <f t="shared" si="10"/>
        <v/>
      </c>
      <c r="J141" s="182" t="e">
        <f t="shared" si="13"/>
        <v>#NUM!</v>
      </c>
      <c r="K141" s="182" t="e">
        <f t="shared" si="11"/>
        <v>#NUM!</v>
      </c>
      <c r="L141" s="182"/>
      <c r="M141" s="184">
        <f t="shared" si="12"/>
        <v>0</v>
      </c>
    </row>
    <row r="142" spans="1:13" x14ac:dyDescent="0.25">
      <c r="A142" s="199"/>
      <c r="G142" s="170"/>
      <c r="H142" s="182">
        <v>137</v>
      </c>
      <c r="I142" s="183" t="str">
        <f t="shared" si="10"/>
        <v/>
      </c>
      <c r="J142" s="182" t="e">
        <f t="shared" si="13"/>
        <v>#NUM!</v>
      </c>
      <c r="K142" s="182" t="e">
        <f t="shared" si="11"/>
        <v>#NUM!</v>
      </c>
      <c r="L142" s="182"/>
      <c r="M142" s="184">
        <f t="shared" si="12"/>
        <v>0</v>
      </c>
    </row>
    <row r="143" spans="1:13" x14ac:dyDescent="0.25">
      <c r="A143" s="199"/>
      <c r="G143" s="170"/>
      <c r="H143" s="182">
        <v>138</v>
      </c>
      <c r="I143" s="183" t="str">
        <f t="shared" si="10"/>
        <v/>
      </c>
      <c r="J143" s="182" t="e">
        <f t="shared" si="13"/>
        <v>#NUM!</v>
      </c>
      <c r="K143" s="182" t="e">
        <f t="shared" si="11"/>
        <v>#NUM!</v>
      </c>
      <c r="L143" s="182"/>
      <c r="M143" s="184">
        <f t="shared" si="12"/>
        <v>0</v>
      </c>
    </row>
    <row r="144" spans="1:13" x14ac:dyDescent="0.25">
      <c r="A144" s="199"/>
      <c r="G144" s="170"/>
      <c r="H144" s="182">
        <v>139</v>
      </c>
      <c r="I144" s="183" t="str">
        <f t="shared" si="10"/>
        <v/>
      </c>
      <c r="J144" s="182" t="e">
        <f t="shared" si="13"/>
        <v>#NUM!</v>
      </c>
      <c r="K144" s="182" t="e">
        <f t="shared" si="11"/>
        <v>#NUM!</v>
      </c>
      <c r="L144" s="182"/>
      <c r="M144" s="184">
        <f t="shared" si="12"/>
        <v>0</v>
      </c>
    </row>
    <row r="145" spans="1:13" x14ac:dyDescent="0.25">
      <c r="A145" s="199"/>
      <c r="G145" s="170"/>
      <c r="H145" s="182">
        <v>140</v>
      </c>
      <c r="I145" s="183" t="str">
        <f t="shared" si="10"/>
        <v/>
      </c>
      <c r="J145" s="182" t="e">
        <f t="shared" si="13"/>
        <v>#NUM!</v>
      </c>
      <c r="K145" s="182" t="e">
        <f t="shared" si="11"/>
        <v>#NUM!</v>
      </c>
      <c r="L145" s="182"/>
      <c r="M145" s="184">
        <f t="shared" si="12"/>
        <v>0</v>
      </c>
    </row>
    <row r="146" spans="1:13" x14ac:dyDescent="0.25">
      <c r="A146" s="199"/>
      <c r="G146" s="170"/>
      <c r="H146" s="182">
        <v>141</v>
      </c>
      <c r="I146" s="183" t="str">
        <f t="shared" si="10"/>
        <v/>
      </c>
      <c r="J146" s="182" t="e">
        <f t="shared" si="13"/>
        <v>#NUM!</v>
      </c>
      <c r="K146" s="182" t="e">
        <f t="shared" si="11"/>
        <v>#NUM!</v>
      </c>
      <c r="L146" s="182"/>
      <c r="M146" s="184">
        <f t="shared" si="12"/>
        <v>0</v>
      </c>
    </row>
    <row r="147" spans="1:13" x14ac:dyDescent="0.25">
      <c r="A147" s="199"/>
      <c r="G147" s="170"/>
      <c r="H147" s="182">
        <v>142</v>
      </c>
      <c r="I147" s="183" t="str">
        <f t="shared" si="10"/>
        <v/>
      </c>
      <c r="J147" s="182" t="e">
        <f t="shared" si="13"/>
        <v>#NUM!</v>
      </c>
      <c r="K147" s="182" t="e">
        <f t="shared" si="11"/>
        <v>#NUM!</v>
      </c>
      <c r="L147" s="182"/>
      <c r="M147" s="184">
        <f t="shared" si="12"/>
        <v>0</v>
      </c>
    </row>
    <row r="148" spans="1:13" x14ac:dyDescent="0.25">
      <c r="A148" s="199"/>
      <c r="G148" s="170"/>
      <c r="H148" s="182">
        <v>143</v>
      </c>
      <c r="I148" s="183" t="str">
        <f t="shared" si="10"/>
        <v/>
      </c>
      <c r="J148" s="182" t="e">
        <f t="shared" si="13"/>
        <v>#NUM!</v>
      </c>
      <c r="K148" s="182" t="e">
        <f t="shared" si="11"/>
        <v>#NUM!</v>
      </c>
      <c r="L148" s="182"/>
      <c r="M148" s="184">
        <f t="shared" si="12"/>
        <v>0</v>
      </c>
    </row>
    <row r="149" spans="1:13" x14ac:dyDescent="0.25">
      <c r="A149" s="199"/>
      <c r="G149" s="170"/>
      <c r="H149" s="182">
        <v>144</v>
      </c>
      <c r="I149" s="183" t="str">
        <f t="shared" si="10"/>
        <v/>
      </c>
      <c r="J149" s="182" t="e">
        <f t="shared" si="13"/>
        <v>#NUM!</v>
      </c>
      <c r="K149" s="182" t="e">
        <f t="shared" si="11"/>
        <v>#NUM!</v>
      </c>
      <c r="L149" s="182"/>
      <c r="M149" s="184">
        <f t="shared" si="12"/>
        <v>0</v>
      </c>
    </row>
    <row r="150" spans="1:13" x14ac:dyDescent="0.25">
      <c r="A150" s="199"/>
      <c r="G150" s="170"/>
      <c r="H150" s="182">
        <v>145</v>
      </c>
      <c r="I150" s="183" t="str">
        <f t="shared" si="10"/>
        <v/>
      </c>
      <c r="J150" s="182" t="e">
        <f t="shared" si="13"/>
        <v>#NUM!</v>
      </c>
      <c r="K150" s="182" t="e">
        <f t="shared" si="11"/>
        <v>#NUM!</v>
      </c>
      <c r="L150" s="182"/>
      <c r="M150" s="184">
        <f t="shared" si="12"/>
        <v>0</v>
      </c>
    </row>
    <row r="151" spans="1:13" x14ac:dyDescent="0.25">
      <c r="A151" s="199"/>
      <c r="G151" s="170"/>
      <c r="H151" s="182">
        <v>146</v>
      </c>
      <c r="I151" s="183" t="str">
        <f t="shared" si="10"/>
        <v/>
      </c>
      <c r="J151" s="182" t="e">
        <f t="shared" si="13"/>
        <v>#NUM!</v>
      </c>
      <c r="K151" s="182" t="e">
        <f t="shared" si="11"/>
        <v>#NUM!</v>
      </c>
      <c r="L151" s="182"/>
      <c r="M151" s="184">
        <f t="shared" si="12"/>
        <v>0</v>
      </c>
    </row>
    <row r="152" spans="1:13" x14ac:dyDescent="0.25">
      <c r="A152" s="199"/>
      <c r="G152" s="170"/>
      <c r="H152" s="182">
        <v>147</v>
      </c>
      <c r="I152" s="183" t="str">
        <f t="shared" si="10"/>
        <v/>
      </c>
      <c r="J152" s="182" t="e">
        <f t="shared" si="13"/>
        <v>#NUM!</v>
      </c>
      <c r="K152" s="182" t="e">
        <f t="shared" si="11"/>
        <v>#NUM!</v>
      </c>
      <c r="L152" s="182"/>
      <c r="M152" s="184">
        <f t="shared" si="12"/>
        <v>0</v>
      </c>
    </row>
    <row r="153" spans="1:13" x14ac:dyDescent="0.25">
      <c r="A153" s="199"/>
      <c r="G153" s="170"/>
      <c r="H153" s="182">
        <v>148</v>
      </c>
      <c r="I153" s="183" t="str">
        <f t="shared" si="10"/>
        <v/>
      </c>
      <c r="J153" s="182" t="e">
        <f t="shared" si="13"/>
        <v>#NUM!</v>
      </c>
      <c r="K153" s="182" t="e">
        <f t="shared" si="11"/>
        <v>#NUM!</v>
      </c>
      <c r="L153" s="182"/>
      <c r="M153" s="184">
        <f t="shared" si="12"/>
        <v>0</v>
      </c>
    </row>
    <row r="154" spans="1:13" x14ac:dyDescent="0.25">
      <c r="A154" s="199"/>
      <c r="G154" s="170"/>
      <c r="H154" s="182">
        <v>149</v>
      </c>
      <c r="I154" s="183" t="str">
        <f t="shared" si="10"/>
        <v/>
      </c>
      <c r="J154" s="182" t="e">
        <f t="shared" si="13"/>
        <v>#NUM!</v>
      </c>
      <c r="K154" s="182" t="e">
        <f t="shared" si="11"/>
        <v>#NUM!</v>
      </c>
      <c r="L154" s="182"/>
      <c r="M154" s="184">
        <f t="shared" si="12"/>
        <v>0</v>
      </c>
    </row>
    <row r="155" spans="1:13" x14ac:dyDescent="0.25">
      <c r="A155" s="199"/>
      <c r="G155" s="170"/>
      <c r="H155" s="182">
        <v>150</v>
      </c>
      <c r="I155" s="183" t="str">
        <f t="shared" si="10"/>
        <v/>
      </c>
      <c r="J155" s="182" t="e">
        <f t="shared" si="13"/>
        <v>#NUM!</v>
      </c>
      <c r="K155" s="182" t="e">
        <f t="shared" si="11"/>
        <v>#NUM!</v>
      </c>
      <c r="L155" s="182"/>
      <c r="M155" s="184">
        <f t="shared" si="12"/>
        <v>0</v>
      </c>
    </row>
    <row r="156" spans="1:13" x14ac:dyDescent="0.25">
      <c r="A156" s="199"/>
      <c r="G156" s="170"/>
      <c r="H156" s="182">
        <v>151</v>
      </c>
      <c r="I156" s="183" t="str">
        <f t="shared" si="10"/>
        <v/>
      </c>
      <c r="J156" s="182" t="e">
        <f t="shared" si="13"/>
        <v>#NUM!</v>
      </c>
      <c r="K156" s="182" t="e">
        <f t="shared" si="11"/>
        <v>#NUM!</v>
      </c>
      <c r="L156" s="182"/>
      <c r="M156" s="184">
        <f t="shared" si="12"/>
        <v>0</v>
      </c>
    </row>
    <row r="157" spans="1:13" x14ac:dyDescent="0.25">
      <c r="A157" s="199"/>
      <c r="G157" s="170"/>
      <c r="H157" s="182">
        <v>152</v>
      </c>
      <c r="I157" s="183" t="str">
        <f t="shared" si="10"/>
        <v/>
      </c>
      <c r="J157" s="182" t="e">
        <f t="shared" si="13"/>
        <v>#NUM!</v>
      </c>
      <c r="K157" s="182" t="e">
        <f t="shared" si="11"/>
        <v>#NUM!</v>
      </c>
      <c r="L157" s="182"/>
      <c r="M157" s="184">
        <f t="shared" si="12"/>
        <v>0</v>
      </c>
    </row>
    <row r="158" spans="1:13" x14ac:dyDescent="0.25">
      <c r="A158" s="199"/>
      <c r="G158" s="170"/>
      <c r="H158" s="182">
        <v>153</v>
      </c>
      <c r="I158" s="183" t="str">
        <f t="shared" si="10"/>
        <v/>
      </c>
      <c r="J158" s="182" t="e">
        <f t="shared" si="13"/>
        <v>#NUM!</v>
      </c>
      <c r="K158" s="182" t="e">
        <f t="shared" si="11"/>
        <v>#NUM!</v>
      </c>
      <c r="L158" s="182"/>
      <c r="M158" s="184">
        <f t="shared" si="12"/>
        <v>0</v>
      </c>
    </row>
    <row r="159" spans="1:13" x14ac:dyDescent="0.25">
      <c r="A159" s="199"/>
      <c r="G159" s="170"/>
      <c r="H159" s="182">
        <v>154</v>
      </c>
      <c r="I159" s="183" t="str">
        <f t="shared" si="10"/>
        <v/>
      </c>
      <c r="J159" s="182" t="e">
        <f t="shared" si="13"/>
        <v>#NUM!</v>
      </c>
      <c r="K159" s="182" t="e">
        <f t="shared" si="11"/>
        <v>#NUM!</v>
      </c>
      <c r="L159" s="182"/>
      <c r="M159" s="184">
        <f t="shared" si="12"/>
        <v>0</v>
      </c>
    </row>
    <row r="160" spans="1:13" x14ac:dyDescent="0.25">
      <c r="A160" s="199"/>
      <c r="G160" s="170"/>
      <c r="H160" s="182">
        <v>155</v>
      </c>
      <c r="I160" s="183" t="str">
        <f t="shared" si="10"/>
        <v/>
      </c>
      <c r="J160" s="182" t="e">
        <f t="shared" si="13"/>
        <v>#NUM!</v>
      </c>
      <c r="K160" s="182" t="e">
        <f t="shared" si="11"/>
        <v>#NUM!</v>
      </c>
      <c r="L160" s="182"/>
      <c r="M160" s="184">
        <f t="shared" si="12"/>
        <v>0</v>
      </c>
    </row>
    <row r="161" spans="1:13" x14ac:dyDescent="0.25">
      <c r="A161" s="199"/>
      <c r="G161" s="170"/>
      <c r="H161" s="182">
        <v>156</v>
      </c>
      <c r="I161" s="183" t="str">
        <f t="shared" si="10"/>
        <v/>
      </c>
      <c r="J161" s="182" t="e">
        <f t="shared" si="13"/>
        <v>#NUM!</v>
      </c>
      <c r="K161" s="182" t="e">
        <f t="shared" si="11"/>
        <v>#NUM!</v>
      </c>
      <c r="L161" s="182"/>
      <c r="M161" s="184">
        <f t="shared" si="12"/>
        <v>0</v>
      </c>
    </row>
    <row r="162" spans="1:13" x14ac:dyDescent="0.25">
      <c r="A162" s="199"/>
      <c r="G162" s="170"/>
      <c r="H162" s="182">
        <v>157</v>
      </c>
      <c r="I162" s="183" t="str">
        <f t="shared" si="10"/>
        <v/>
      </c>
      <c r="J162" s="182" t="e">
        <f t="shared" si="13"/>
        <v>#NUM!</v>
      </c>
      <c r="K162" s="182" t="e">
        <f t="shared" si="11"/>
        <v>#NUM!</v>
      </c>
      <c r="L162" s="182"/>
      <c r="M162" s="184">
        <f t="shared" si="12"/>
        <v>0</v>
      </c>
    </row>
    <row r="163" spans="1:13" x14ac:dyDescent="0.25">
      <c r="A163" s="199"/>
      <c r="G163" s="170"/>
      <c r="H163" s="182">
        <v>158</v>
      </c>
      <c r="I163" s="183" t="str">
        <f t="shared" si="10"/>
        <v/>
      </c>
      <c r="J163" s="182" t="e">
        <f t="shared" si="13"/>
        <v>#NUM!</v>
      </c>
      <c r="K163" s="182" t="e">
        <f t="shared" si="11"/>
        <v>#NUM!</v>
      </c>
      <c r="L163" s="182"/>
      <c r="M163" s="184">
        <f t="shared" si="12"/>
        <v>0</v>
      </c>
    </row>
    <row r="164" spans="1:13" x14ac:dyDescent="0.25">
      <c r="A164" s="199"/>
      <c r="G164" s="170"/>
      <c r="H164" s="182">
        <v>159</v>
      </c>
      <c r="I164" s="183" t="str">
        <f t="shared" si="10"/>
        <v/>
      </c>
      <c r="J164" s="182" t="e">
        <f t="shared" si="13"/>
        <v>#NUM!</v>
      </c>
      <c r="K164" s="182" t="e">
        <f t="shared" si="11"/>
        <v>#NUM!</v>
      </c>
      <c r="L164" s="182"/>
      <c r="M164" s="184">
        <f t="shared" si="12"/>
        <v>0</v>
      </c>
    </row>
    <row r="165" spans="1:13" x14ac:dyDescent="0.25">
      <c r="A165" s="199"/>
      <c r="G165" s="170"/>
      <c r="H165" s="182">
        <v>160</v>
      </c>
      <c r="I165" s="183" t="str">
        <f t="shared" si="10"/>
        <v/>
      </c>
      <c r="J165" s="182" t="e">
        <f t="shared" si="13"/>
        <v>#NUM!</v>
      </c>
      <c r="K165" s="182" t="e">
        <f t="shared" si="11"/>
        <v>#NUM!</v>
      </c>
      <c r="L165" s="182"/>
      <c r="M165" s="184">
        <f t="shared" si="12"/>
        <v>0</v>
      </c>
    </row>
    <row r="166" spans="1:13" x14ac:dyDescent="0.25">
      <c r="A166" s="199"/>
      <c r="G166" s="170"/>
      <c r="H166" s="182">
        <v>161</v>
      </c>
      <c r="I166" s="183" t="str">
        <f t="shared" si="10"/>
        <v/>
      </c>
      <c r="J166" s="182" t="e">
        <f t="shared" si="13"/>
        <v>#NUM!</v>
      </c>
      <c r="K166" s="182" t="e">
        <f t="shared" si="11"/>
        <v>#NUM!</v>
      </c>
      <c r="L166" s="182"/>
      <c r="M166" s="184">
        <f t="shared" si="12"/>
        <v>0</v>
      </c>
    </row>
    <row r="167" spans="1:13" x14ac:dyDescent="0.25">
      <c r="A167" s="199"/>
      <c r="G167" s="170"/>
      <c r="H167" s="182">
        <v>162</v>
      </c>
      <c r="I167" s="183" t="str">
        <f t="shared" si="10"/>
        <v/>
      </c>
      <c r="J167" s="182" t="e">
        <f t="shared" si="13"/>
        <v>#NUM!</v>
      </c>
      <c r="K167" s="182" t="e">
        <f t="shared" si="11"/>
        <v>#NUM!</v>
      </c>
      <c r="L167" s="182"/>
      <c r="M167" s="184">
        <f t="shared" si="12"/>
        <v>0</v>
      </c>
    </row>
    <row r="168" spans="1:13" x14ac:dyDescent="0.25">
      <c r="A168" s="199"/>
      <c r="G168" s="170"/>
      <c r="H168" s="182">
        <v>163</v>
      </c>
      <c r="I168" s="183" t="str">
        <f t="shared" si="10"/>
        <v/>
      </c>
      <c r="J168" s="182" t="e">
        <f t="shared" si="13"/>
        <v>#NUM!</v>
      </c>
      <c r="K168" s="182" t="e">
        <f t="shared" si="11"/>
        <v>#NUM!</v>
      </c>
      <c r="L168" s="182"/>
      <c r="M168" s="184">
        <f t="shared" si="12"/>
        <v>0</v>
      </c>
    </row>
    <row r="169" spans="1:13" x14ac:dyDescent="0.25">
      <c r="A169" s="199"/>
      <c r="C169" s="198" t="s">
        <v>42</v>
      </c>
      <c r="G169" s="170"/>
      <c r="H169" s="182">
        <v>164</v>
      </c>
      <c r="I169" s="183" t="str">
        <f t="shared" si="10"/>
        <v/>
      </c>
      <c r="J169" s="182" t="e">
        <f t="shared" si="13"/>
        <v>#NUM!</v>
      </c>
      <c r="K169" s="182" t="e">
        <f t="shared" si="11"/>
        <v>#NUM!</v>
      </c>
      <c r="L169" s="182"/>
      <c r="M169" s="184">
        <f t="shared" si="12"/>
        <v>0</v>
      </c>
    </row>
    <row r="170" spans="1:13" x14ac:dyDescent="0.25">
      <c r="A170" s="199"/>
      <c r="G170" s="170"/>
      <c r="H170" s="182">
        <v>165</v>
      </c>
      <c r="I170" s="183" t="str">
        <f t="shared" si="10"/>
        <v/>
      </c>
      <c r="J170" s="182" t="e">
        <f t="shared" si="13"/>
        <v>#NUM!</v>
      </c>
      <c r="K170" s="182" t="e">
        <f t="shared" si="11"/>
        <v>#NUM!</v>
      </c>
      <c r="L170" s="182"/>
      <c r="M170" s="184">
        <f t="shared" si="12"/>
        <v>0</v>
      </c>
    </row>
    <row r="171" spans="1:13" x14ac:dyDescent="0.25">
      <c r="A171" s="199"/>
      <c r="G171" s="170"/>
      <c r="H171" s="182">
        <v>166</v>
      </c>
      <c r="I171" s="183" t="str">
        <f t="shared" si="10"/>
        <v/>
      </c>
      <c r="J171" s="182" t="e">
        <f t="shared" si="13"/>
        <v>#NUM!</v>
      </c>
      <c r="K171" s="182" t="e">
        <f t="shared" si="11"/>
        <v>#NUM!</v>
      </c>
      <c r="L171" s="182"/>
      <c r="M171" s="184">
        <f t="shared" si="12"/>
        <v>0</v>
      </c>
    </row>
    <row r="172" spans="1:13" x14ac:dyDescent="0.25">
      <c r="A172" s="199"/>
      <c r="G172" s="170"/>
      <c r="H172" s="182">
        <v>167</v>
      </c>
      <c r="I172" s="183" t="str">
        <f t="shared" si="10"/>
        <v/>
      </c>
      <c r="J172" s="182" t="e">
        <f t="shared" si="13"/>
        <v>#NUM!</v>
      </c>
      <c r="K172" s="182" t="e">
        <f t="shared" si="11"/>
        <v>#NUM!</v>
      </c>
      <c r="L172" s="182"/>
      <c r="M172" s="184">
        <f t="shared" si="12"/>
        <v>0</v>
      </c>
    </row>
    <row r="173" spans="1:13" x14ac:dyDescent="0.25">
      <c r="A173" s="199"/>
      <c r="G173" s="170"/>
      <c r="H173" s="182">
        <v>168</v>
      </c>
      <c r="I173" s="183" t="str">
        <f t="shared" si="10"/>
        <v/>
      </c>
      <c r="J173" s="182" t="e">
        <f t="shared" si="13"/>
        <v>#NUM!</v>
      </c>
      <c r="K173" s="182" t="e">
        <f t="shared" si="11"/>
        <v>#NUM!</v>
      </c>
      <c r="L173" s="182"/>
      <c r="M173" s="184">
        <f t="shared" si="12"/>
        <v>0</v>
      </c>
    </row>
    <row r="174" spans="1:13" x14ac:dyDescent="0.25">
      <c r="A174" s="199"/>
      <c r="G174" s="170"/>
      <c r="H174" s="182">
        <v>169</v>
      </c>
      <c r="I174" s="183" t="str">
        <f t="shared" si="10"/>
        <v/>
      </c>
      <c r="J174" s="182" t="e">
        <f t="shared" si="13"/>
        <v>#NUM!</v>
      </c>
      <c r="K174" s="182" t="e">
        <f t="shared" si="11"/>
        <v>#NUM!</v>
      </c>
      <c r="L174" s="182"/>
      <c r="M174" s="184">
        <f t="shared" si="12"/>
        <v>0</v>
      </c>
    </row>
    <row r="175" spans="1:13" x14ac:dyDescent="0.25">
      <c r="A175" s="199"/>
      <c r="G175" s="170"/>
      <c r="H175" s="182">
        <v>170</v>
      </c>
      <c r="I175" s="183" t="str">
        <f t="shared" si="10"/>
        <v/>
      </c>
      <c r="J175" s="182" t="e">
        <f t="shared" si="13"/>
        <v>#NUM!</v>
      </c>
      <c r="K175" s="182" t="e">
        <f t="shared" si="11"/>
        <v>#NUM!</v>
      </c>
      <c r="L175" s="182"/>
      <c r="M175" s="184">
        <f t="shared" si="12"/>
        <v>0</v>
      </c>
    </row>
    <row r="176" spans="1:13" x14ac:dyDescent="0.25">
      <c r="A176" s="199"/>
      <c r="G176" s="170"/>
      <c r="H176" s="182">
        <v>171</v>
      </c>
      <c r="I176" s="183" t="str">
        <f t="shared" si="10"/>
        <v/>
      </c>
      <c r="J176" s="182" t="e">
        <f t="shared" si="13"/>
        <v>#NUM!</v>
      </c>
      <c r="K176" s="182" t="e">
        <f t="shared" si="11"/>
        <v>#NUM!</v>
      </c>
      <c r="L176" s="182"/>
      <c r="M176" s="184">
        <f t="shared" si="12"/>
        <v>0</v>
      </c>
    </row>
    <row r="177" spans="1:13" x14ac:dyDescent="0.25">
      <c r="A177" s="199"/>
      <c r="G177" s="170"/>
      <c r="H177" s="182">
        <v>172</v>
      </c>
      <c r="I177" s="183" t="str">
        <f t="shared" si="10"/>
        <v/>
      </c>
      <c r="J177" s="182" t="e">
        <f t="shared" si="13"/>
        <v>#NUM!</v>
      </c>
      <c r="K177" s="182" t="e">
        <f t="shared" si="11"/>
        <v>#NUM!</v>
      </c>
      <c r="L177" s="182"/>
      <c r="M177" s="184">
        <f t="shared" si="12"/>
        <v>0</v>
      </c>
    </row>
    <row r="178" spans="1:13" x14ac:dyDescent="0.25">
      <c r="A178" s="199"/>
      <c r="G178" s="170"/>
      <c r="H178" s="182">
        <v>173</v>
      </c>
      <c r="I178" s="183" t="str">
        <f t="shared" si="10"/>
        <v/>
      </c>
      <c r="J178" s="182" t="e">
        <f t="shared" si="13"/>
        <v>#NUM!</v>
      </c>
      <c r="K178" s="182" t="e">
        <f t="shared" si="11"/>
        <v>#NUM!</v>
      </c>
      <c r="L178" s="182"/>
      <c r="M178" s="184">
        <f t="shared" si="12"/>
        <v>0</v>
      </c>
    </row>
    <row r="179" spans="1:13" x14ac:dyDescent="0.25">
      <c r="A179" s="199"/>
      <c r="G179" s="170"/>
      <c r="H179" s="182">
        <v>174</v>
      </c>
      <c r="I179" s="183" t="str">
        <f t="shared" si="10"/>
        <v/>
      </c>
      <c r="J179" s="182" t="e">
        <f t="shared" si="13"/>
        <v>#NUM!</v>
      </c>
      <c r="K179" s="182" t="e">
        <f t="shared" si="11"/>
        <v>#NUM!</v>
      </c>
      <c r="L179" s="182"/>
      <c r="M179" s="184">
        <f t="shared" si="12"/>
        <v>0</v>
      </c>
    </row>
    <row r="180" spans="1:13" x14ac:dyDescent="0.25">
      <c r="A180" s="199"/>
      <c r="G180" s="170"/>
      <c r="H180" s="182">
        <v>175</v>
      </c>
      <c r="I180" s="183" t="str">
        <f t="shared" si="10"/>
        <v/>
      </c>
      <c r="J180" s="182" t="e">
        <f t="shared" si="13"/>
        <v>#NUM!</v>
      </c>
      <c r="K180" s="182" t="e">
        <f t="shared" si="11"/>
        <v>#NUM!</v>
      </c>
      <c r="L180" s="182"/>
      <c r="M180" s="184">
        <f t="shared" si="12"/>
        <v>0</v>
      </c>
    </row>
    <row r="181" spans="1:13" x14ac:dyDescent="0.25">
      <c r="A181" s="199"/>
      <c r="G181" s="170"/>
      <c r="H181" s="182">
        <v>176</v>
      </c>
      <c r="I181" s="183" t="str">
        <f t="shared" si="10"/>
        <v/>
      </c>
      <c r="J181" s="182" t="e">
        <f t="shared" si="13"/>
        <v>#NUM!</v>
      </c>
      <c r="K181" s="182" t="e">
        <f t="shared" si="11"/>
        <v>#NUM!</v>
      </c>
      <c r="L181" s="182"/>
      <c r="M181" s="184">
        <f t="shared" si="12"/>
        <v>0</v>
      </c>
    </row>
    <row r="182" spans="1:13" x14ac:dyDescent="0.25">
      <c r="A182" s="199"/>
      <c r="G182" s="170"/>
      <c r="H182" s="182">
        <v>177</v>
      </c>
      <c r="I182" s="183" t="str">
        <f t="shared" si="10"/>
        <v/>
      </c>
      <c r="J182" s="182" t="e">
        <f t="shared" si="13"/>
        <v>#NUM!</v>
      </c>
      <c r="K182" s="182" t="e">
        <f t="shared" si="11"/>
        <v>#NUM!</v>
      </c>
      <c r="L182" s="182"/>
      <c r="M182" s="184">
        <f t="shared" si="12"/>
        <v>0</v>
      </c>
    </row>
    <row r="183" spans="1:13" x14ac:dyDescent="0.25">
      <c r="A183" s="199"/>
      <c r="G183" s="170"/>
      <c r="H183" s="182">
        <v>178</v>
      </c>
      <c r="I183" s="183" t="str">
        <f t="shared" si="10"/>
        <v/>
      </c>
      <c r="J183" s="182" t="e">
        <f t="shared" si="13"/>
        <v>#NUM!</v>
      </c>
      <c r="K183" s="182" t="e">
        <f t="shared" si="11"/>
        <v>#NUM!</v>
      </c>
      <c r="L183" s="182"/>
      <c r="M183" s="184">
        <f t="shared" si="12"/>
        <v>0</v>
      </c>
    </row>
    <row r="184" spans="1:13" x14ac:dyDescent="0.25">
      <c r="A184" s="199"/>
      <c r="G184" s="170"/>
      <c r="H184" s="182">
        <v>179</v>
      </c>
      <c r="I184" s="183" t="str">
        <f t="shared" si="10"/>
        <v/>
      </c>
      <c r="J184" s="182" t="e">
        <f t="shared" si="13"/>
        <v>#NUM!</v>
      </c>
      <c r="K184" s="182" t="e">
        <f t="shared" si="11"/>
        <v>#NUM!</v>
      </c>
      <c r="L184" s="182"/>
      <c r="M184" s="184">
        <f t="shared" si="12"/>
        <v>0</v>
      </c>
    </row>
    <row r="185" spans="1:13" x14ac:dyDescent="0.25">
      <c r="A185" s="199"/>
      <c r="G185" s="170"/>
      <c r="H185" s="182">
        <v>180</v>
      </c>
      <c r="I185" s="183" t="str">
        <f t="shared" si="10"/>
        <v/>
      </c>
      <c r="J185" s="182" t="e">
        <f t="shared" si="13"/>
        <v>#NUM!</v>
      </c>
      <c r="K185" s="182" t="e">
        <f t="shared" si="11"/>
        <v>#NUM!</v>
      </c>
      <c r="L185" s="182"/>
      <c r="M185" s="184">
        <f t="shared" si="12"/>
        <v>0</v>
      </c>
    </row>
    <row r="186" spans="1:13" x14ac:dyDescent="0.25">
      <c r="A186" s="199"/>
      <c r="G186" s="170"/>
      <c r="H186" s="182">
        <v>181</v>
      </c>
      <c r="I186" s="183" t="str">
        <f t="shared" si="10"/>
        <v/>
      </c>
      <c r="J186" s="182" t="e">
        <f t="shared" si="13"/>
        <v>#NUM!</v>
      </c>
      <c r="K186" s="182" t="e">
        <f t="shared" si="11"/>
        <v>#NUM!</v>
      </c>
      <c r="L186" s="182"/>
      <c r="M186" s="184">
        <f t="shared" si="12"/>
        <v>0</v>
      </c>
    </row>
    <row r="187" spans="1:13" x14ac:dyDescent="0.25">
      <c r="A187" s="199"/>
      <c r="G187" s="170"/>
      <c r="H187" s="182">
        <v>182</v>
      </c>
      <c r="I187" s="183" t="str">
        <f t="shared" si="10"/>
        <v/>
      </c>
      <c r="J187" s="182" t="e">
        <f t="shared" si="13"/>
        <v>#NUM!</v>
      </c>
      <c r="K187" s="182" t="e">
        <f t="shared" si="11"/>
        <v>#NUM!</v>
      </c>
      <c r="L187" s="182"/>
      <c r="M187" s="184">
        <f t="shared" si="12"/>
        <v>0</v>
      </c>
    </row>
    <row r="188" spans="1:13" x14ac:dyDescent="0.25">
      <c r="A188" s="199"/>
      <c r="G188" s="170"/>
      <c r="H188" s="182">
        <v>183</v>
      </c>
      <c r="I188" s="183" t="str">
        <f t="shared" si="10"/>
        <v/>
      </c>
      <c r="J188" s="182" t="e">
        <f t="shared" si="13"/>
        <v>#NUM!</v>
      </c>
      <c r="K188" s="182" t="e">
        <f t="shared" si="11"/>
        <v>#NUM!</v>
      </c>
      <c r="L188" s="182"/>
      <c r="M188" s="184">
        <f t="shared" si="12"/>
        <v>0</v>
      </c>
    </row>
    <row r="189" spans="1:13" x14ac:dyDescent="0.25">
      <c r="A189" s="199"/>
      <c r="G189" s="170"/>
      <c r="H189" s="182">
        <v>184</v>
      </c>
      <c r="I189" s="183" t="str">
        <f t="shared" si="10"/>
        <v/>
      </c>
      <c r="J189" s="182" t="e">
        <f t="shared" si="13"/>
        <v>#NUM!</v>
      </c>
      <c r="K189" s="182" t="e">
        <f t="shared" si="11"/>
        <v>#NUM!</v>
      </c>
      <c r="L189" s="182"/>
      <c r="M189" s="184">
        <f t="shared" si="12"/>
        <v>0</v>
      </c>
    </row>
    <row r="190" spans="1:13" x14ac:dyDescent="0.25">
      <c r="A190" s="199"/>
      <c r="G190" s="170"/>
      <c r="H190" s="182">
        <v>185</v>
      </c>
      <c r="I190" s="183" t="str">
        <f t="shared" si="10"/>
        <v/>
      </c>
      <c r="J190" s="182" t="e">
        <f t="shared" si="13"/>
        <v>#NUM!</v>
      </c>
      <c r="K190" s="182" t="e">
        <f t="shared" si="11"/>
        <v>#NUM!</v>
      </c>
      <c r="L190" s="182"/>
      <c r="M190" s="184">
        <f t="shared" si="12"/>
        <v>0</v>
      </c>
    </row>
    <row r="191" spans="1:13" x14ac:dyDescent="0.25">
      <c r="A191" s="199"/>
      <c r="G191" s="170"/>
      <c r="H191" s="182">
        <v>186</v>
      </c>
      <c r="I191" s="183" t="str">
        <f t="shared" si="10"/>
        <v/>
      </c>
      <c r="J191" s="182" t="e">
        <f t="shared" si="13"/>
        <v>#NUM!</v>
      </c>
      <c r="K191" s="182" t="e">
        <f t="shared" si="11"/>
        <v>#NUM!</v>
      </c>
      <c r="L191" s="182"/>
      <c r="M191" s="184">
        <f t="shared" si="12"/>
        <v>0</v>
      </c>
    </row>
    <row r="192" spans="1:13" x14ac:dyDescent="0.25">
      <c r="A192" s="199"/>
      <c r="G192" s="170"/>
      <c r="H192" s="182">
        <v>187</v>
      </c>
      <c r="I192" s="183" t="str">
        <f t="shared" si="10"/>
        <v/>
      </c>
      <c r="J192" s="182" t="e">
        <f t="shared" si="13"/>
        <v>#NUM!</v>
      </c>
      <c r="K192" s="182" t="e">
        <f t="shared" si="11"/>
        <v>#NUM!</v>
      </c>
      <c r="L192" s="182"/>
      <c r="M192" s="184">
        <f t="shared" si="12"/>
        <v>0</v>
      </c>
    </row>
    <row r="193" spans="1:13" x14ac:dyDescent="0.25">
      <c r="A193" s="199"/>
      <c r="G193" s="170"/>
      <c r="H193" s="182">
        <v>188</v>
      </c>
      <c r="I193" s="183" t="str">
        <f t="shared" si="10"/>
        <v/>
      </c>
      <c r="J193" s="182" t="e">
        <f t="shared" si="13"/>
        <v>#NUM!</v>
      </c>
      <c r="K193" s="182" t="e">
        <f t="shared" si="11"/>
        <v>#NUM!</v>
      </c>
      <c r="L193" s="182"/>
      <c r="M193" s="184">
        <f t="shared" si="12"/>
        <v>0</v>
      </c>
    </row>
    <row r="194" spans="1:13" x14ac:dyDescent="0.25">
      <c r="A194" s="199"/>
      <c r="G194" s="170"/>
      <c r="H194" s="182">
        <v>189</v>
      </c>
      <c r="I194" s="183" t="str">
        <f t="shared" si="10"/>
        <v/>
      </c>
      <c r="J194" s="182" t="e">
        <f t="shared" si="13"/>
        <v>#NUM!</v>
      </c>
      <c r="K194" s="182" t="e">
        <f t="shared" si="11"/>
        <v>#NUM!</v>
      </c>
      <c r="L194" s="182"/>
      <c r="M194" s="184">
        <f t="shared" si="12"/>
        <v>0</v>
      </c>
    </row>
    <row r="195" spans="1:13" x14ac:dyDescent="0.25">
      <c r="A195" s="199"/>
      <c r="G195" s="170"/>
      <c r="H195" s="182">
        <v>190</v>
      </c>
      <c r="I195" s="183" t="str">
        <f t="shared" si="10"/>
        <v/>
      </c>
      <c r="J195" s="182" t="e">
        <f t="shared" si="13"/>
        <v>#NUM!</v>
      </c>
      <c r="K195" s="182" t="e">
        <f t="shared" si="11"/>
        <v>#NUM!</v>
      </c>
      <c r="L195" s="182"/>
      <c r="M195" s="184">
        <f t="shared" si="12"/>
        <v>0</v>
      </c>
    </row>
    <row r="196" spans="1:13" x14ac:dyDescent="0.25">
      <c r="A196" s="199"/>
      <c r="G196" s="170"/>
      <c r="H196" s="182">
        <v>191</v>
      </c>
      <c r="I196" s="183" t="str">
        <f t="shared" si="10"/>
        <v/>
      </c>
      <c r="J196" s="182" t="e">
        <f t="shared" si="13"/>
        <v>#NUM!</v>
      </c>
      <c r="K196" s="182" t="e">
        <f t="shared" si="11"/>
        <v>#NUM!</v>
      </c>
      <c r="L196" s="182"/>
      <c r="M196" s="184">
        <f t="shared" si="12"/>
        <v>0</v>
      </c>
    </row>
    <row r="197" spans="1:13" x14ac:dyDescent="0.25">
      <c r="A197" s="199"/>
      <c r="G197" s="170"/>
      <c r="H197" s="182">
        <v>192</v>
      </c>
      <c r="I197" s="183" t="str">
        <f t="shared" si="10"/>
        <v/>
      </c>
      <c r="J197" s="182" t="e">
        <f t="shared" si="13"/>
        <v>#NUM!</v>
      </c>
      <c r="K197" s="182" t="e">
        <f t="shared" si="11"/>
        <v>#NUM!</v>
      </c>
      <c r="L197" s="182"/>
      <c r="M197" s="184">
        <f t="shared" si="12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4">IF(H198&lt;$H$2+1,($I$2-($I$2-1)*(LOG(H198)/LOG($H$2))),"")</f>
        <v/>
      </c>
      <c r="J198" s="182" t="e">
        <f t="shared" si="13"/>
        <v>#NUM!</v>
      </c>
      <c r="K198" s="182" t="e">
        <f t="shared" ref="K198:K261" si="15">J198*$J$2</f>
        <v>#NUM!</v>
      </c>
      <c r="L198" s="182"/>
      <c r="M198" s="184">
        <f t="shared" ref="M198:M261" si="16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4"/>
        <v/>
      </c>
      <c r="J199" s="182" t="e">
        <f t="shared" ref="J199:J262" si="17">INT(LOG($H$2,2))-ROUNDUP(LOG(H199,2),0)+IF(OR($H$2=1,$H$2=2,$H$2=4,$H$2=8,$H$2=16,$H$2=32,$H$2=64,$H$2=128,$H$2=256),0,1)</f>
        <v>#NUM!</v>
      </c>
      <c r="K199" s="182" t="e">
        <f t="shared" si="15"/>
        <v>#NUM!</v>
      </c>
      <c r="L199" s="182"/>
      <c r="M199" s="184">
        <f t="shared" si="16"/>
        <v>0</v>
      </c>
    </row>
    <row r="200" spans="1:13" x14ac:dyDescent="0.25">
      <c r="A200" s="199"/>
      <c r="G200" s="170"/>
      <c r="H200" s="182">
        <v>195</v>
      </c>
      <c r="I200" s="183" t="str">
        <f t="shared" si="14"/>
        <v/>
      </c>
      <c r="J200" s="182" t="e">
        <f t="shared" si="17"/>
        <v>#NUM!</v>
      </c>
      <c r="K200" s="182" t="e">
        <f t="shared" si="15"/>
        <v>#NUM!</v>
      </c>
      <c r="L200" s="182"/>
      <c r="M200" s="184">
        <f t="shared" si="16"/>
        <v>0</v>
      </c>
    </row>
    <row r="201" spans="1:13" x14ac:dyDescent="0.25">
      <c r="A201" s="199"/>
      <c r="G201" s="170"/>
      <c r="H201" s="182">
        <v>196</v>
      </c>
      <c r="I201" s="183" t="str">
        <f t="shared" si="14"/>
        <v/>
      </c>
      <c r="J201" s="182" t="e">
        <f t="shared" si="17"/>
        <v>#NUM!</v>
      </c>
      <c r="K201" s="182" t="e">
        <f t="shared" si="15"/>
        <v>#NUM!</v>
      </c>
      <c r="L201" s="182"/>
      <c r="M201" s="184">
        <f t="shared" si="16"/>
        <v>0</v>
      </c>
    </row>
    <row r="202" spans="1:13" x14ac:dyDescent="0.25">
      <c r="A202" s="199"/>
      <c r="G202" s="170"/>
      <c r="H202" s="182">
        <v>197</v>
      </c>
      <c r="I202" s="183" t="str">
        <f t="shared" si="14"/>
        <v/>
      </c>
      <c r="J202" s="182" t="e">
        <f t="shared" si="17"/>
        <v>#NUM!</v>
      </c>
      <c r="K202" s="182" t="e">
        <f t="shared" si="15"/>
        <v>#NUM!</v>
      </c>
      <c r="L202" s="182"/>
      <c r="M202" s="184">
        <f t="shared" si="16"/>
        <v>0</v>
      </c>
    </row>
    <row r="203" spans="1:13" x14ac:dyDescent="0.25">
      <c r="A203" s="199"/>
      <c r="G203" s="170"/>
      <c r="H203" s="182">
        <v>198</v>
      </c>
      <c r="I203" s="183" t="str">
        <f t="shared" si="14"/>
        <v/>
      </c>
      <c r="J203" s="182" t="e">
        <f t="shared" si="17"/>
        <v>#NUM!</v>
      </c>
      <c r="K203" s="182" t="e">
        <f t="shared" si="15"/>
        <v>#NUM!</v>
      </c>
      <c r="L203" s="182"/>
      <c r="M203" s="184">
        <f t="shared" si="16"/>
        <v>0</v>
      </c>
    </row>
    <row r="204" spans="1:13" x14ac:dyDescent="0.25">
      <c r="A204" s="199"/>
      <c r="G204" s="170"/>
      <c r="H204" s="182">
        <v>199</v>
      </c>
      <c r="I204" s="183" t="str">
        <f t="shared" si="14"/>
        <v/>
      </c>
      <c r="J204" s="182" t="e">
        <f t="shared" si="17"/>
        <v>#NUM!</v>
      </c>
      <c r="K204" s="182" t="e">
        <f t="shared" si="15"/>
        <v>#NUM!</v>
      </c>
      <c r="L204" s="182"/>
      <c r="M204" s="184">
        <f t="shared" si="16"/>
        <v>0</v>
      </c>
    </row>
    <row r="205" spans="1:13" x14ac:dyDescent="0.25">
      <c r="A205" s="199"/>
      <c r="G205" s="170"/>
      <c r="H205" s="182">
        <v>200</v>
      </c>
      <c r="I205" s="183" t="str">
        <f t="shared" si="14"/>
        <v/>
      </c>
      <c r="J205" s="182" t="e">
        <f t="shared" si="17"/>
        <v>#NUM!</v>
      </c>
      <c r="K205" s="182" t="e">
        <f t="shared" si="15"/>
        <v>#NUM!</v>
      </c>
      <c r="L205" s="182"/>
      <c r="M205" s="184">
        <f t="shared" si="16"/>
        <v>0</v>
      </c>
    </row>
    <row r="206" spans="1:13" x14ac:dyDescent="0.25">
      <c r="A206" s="199"/>
      <c r="G206" s="170"/>
      <c r="H206" s="182">
        <v>201</v>
      </c>
      <c r="I206" s="183" t="str">
        <f t="shared" si="14"/>
        <v/>
      </c>
      <c r="J206" s="182" t="e">
        <f t="shared" si="17"/>
        <v>#NUM!</v>
      </c>
      <c r="K206" s="182" t="e">
        <f t="shared" si="15"/>
        <v>#NUM!</v>
      </c>
      <c r="L206" s="182"/>
      <c r="M206" s="184">
        <f t="shared" si="16"/>
        <v>0</v>
      </c>
    </row>
    <row r="207" spans="1:13" x14ac:dyDescent="0.25">
      <c r="A207" s="199"/>
      <c r="G207" s="170"/>
      <c r="H207" s="182">
        <v>202</v>
      </c>
      <c r="I207" s="183" t="str">
        <f t="shared" si="14"/>
        <v/>
      </c>
      <c r="J207" s="182" t="e">
        <f t="shared" si="17"/>
        <v>#NUM!</v>
      </c>
      <c r="K207" s="182" t="e">
        <f t="shared" si="15"/>
        <v>#NUM!</v>
      </c>
      <c r="L207" s="182"/>
      <c r="M207" s="184">
        <f t="shared" si="16"/>
        <v>0</v>
      </c>
    </row>
    <row r="208" spans="1:13" x14ac:dyDescent="0.25">
      <c r="A208" s="199"/>
      <c r="G208" s="170"/>
      <c r="H208" s="182">
        <v>203</v>
      </c>
      <c r="I208" s="183" t="str">
        <f t="shared" si="14"/>
        <v/>
      </c>
      <c r="J208" s="182" t="e">
        <f t="shared" si="17"/>
        <v>#NUM!</v>
      </c>
      <c r="K208" s="182" t="e">
        <f t="shared" si="15"/>
        <v>#NUM!</v>
      </c>
      <c r="L208" s="182"/>
      <c r="M208" s="184">
        <f t="shared" si="16"/>
        <v>0</v>
      </c>
    </row>
    <row r="209" spans="1:13" x14ac:dyDescent="0.25">
      <c r="A209" s="199"/>
      <c r="G209" s="170"/>
      <c r="H209" s="182">
        <v>204</v>
      </c>
      <c r="I209" s="183" t="str">
        <f t="shared" si="14"/>
        <v/>
      </c>
      <c r="J209" s="182" t="e">
        <f t="shared" si="17"/>
        <v>#NUM!</v>
      </c>
      <c r="K209" s="182" t="e">
        <f t="shared" si="15"/>
        <v>#NUM!</v>
      </c>
      <c r="L209" s="182"/>
      <c r="M209" s="184">
        <f t="shared" si="16"/>
        <v>0</v>
      </c>
    </row>
    <row r="210" spans="1:13" x14ac:dyDescent="0.25">
      <c r="A210" s="199"/>
      <c r="G210" s="170"/>
      <c r="H210" s="182">
        <v>205</v>
      </c>
      <c r="I210" s="183" t="str">
        <f t="shared" si="14"/>
        <v/>
      </c>
      <c r="J210" s="182" t="e">
        <f t="shared" si="17"/>
        <v>#NUM!</v>
      </c>
      <c r="K210" s="182" t="e">
        <f t="shared" si="15"/>
        <v>#NUM!</v>
      </c>
      <c r="L210" s="182"/>
      <c r="M210" s="184">
        <f t="shared" si="16"/>
        <v>0</v>
      </c>
    </row>
    <row r="211" spans="1:13" x14ac:dyDescent="0.25">
      <c r="A211" s="199"/>
      <c r="G211" s="170"/>
      <c r="H211" s="182">
        <v>206</v>
      </c>
      <c r="I211" s="183" t="str">
        <f t="shared" si="14"/>
        <v/>
      </c>
      <c r="J211" s="182" t="e">
        <f t="shared" si="17"/>
        <v>#NUM!</v>
      </c>
      <c r="K211" s="182" t="e">
        <f t="shared" si="15"/>
        <v>#NUM!</v>
      </c>
      <c r="L211" s="182"/>
      <c r="M211" s="184">
        <f t="shared" si="16"/>
        <v>0</v>
      </c>
    </row>
    <row r="212" spans="1:13" x14ac:dyDescent="0.25">
      <c r="A212" s="199"/>
      <c r="G212" s="170"/>
      <c r="H212" s="182">
        <v>207</v>
      </c>
      <c r="I212" s="183" t="str">
        <f t="shared" si="14"/>
        <v/>
      </c>
      <c r="J212" s="182" t="e">
        <f t="shared" si="17"/>
        <v>#NUM!</v>
      </c>
      <c r="K212" s="182" t="e">
        <f t="shared" si="15"/>
        <v>#NUM!</v>
      </c>
      <c r="L212" s="182"/>
      <c r="M212" s="184">
        <f t="shared" si="16"/>
        <v>0</v>
      </c>
    </row>
    <row r="213" spans="1:13" x14ac:dyDescent="0.25">
      <c r="A213" s="199"/>
      <c r="G213" s="170"/>
      <c r="H213" s="182">
        <v>208</v>
      </c>
      <c r="I213" s="183" t="str">
        <f t="shared" si="14"/>
        <v/>
      </c>
      <c r="J213" s="182" t="e">
        <f t="shared" si="17"/>
        <v>#NUM!</v>
      </c>
      <c r="K213" s="182" t="e">
        <f t="shared" si="15"/>
        <v>#NUM!</v>
      </c>
      <c r="L213" s="182"/>
      <c r="M213" s="184">
        <f t="shared" si="16"/>
        <v>0</v>
      </c>
    </row>
    <row r="214" spans="1:13" x14ac:dyDescent="0.25">
      <c r="A214" s="199"/>
      <c r="G214" s="170"/>
      <c r="H214" s="182">
        <v>209</v>
      </c>
      <c r="I214" s="183" t="str">
        <f t="shared" si="14"/>
        <v/>
      </c>
      <c r="J214" s="182" t="e">
        <f t="shared" si="17"/>
        <v>#NUM!</v>
      </c>
      <c r="K214" s="182" t="e">
        <f t="shared" si="15"/>
        <v>#NUM!</v>
      </c>
      <c r="L214" s="182"/>
      <c r="M214" s="184">
        <f t="shared" si="16"/>
        <v>0</v>
      </c>
    </row>
    <row r="215" spans="1:13" x14ac:dyDescent="0.25">
      <c r="A215" s="199"/>
      <c r="G215" s="170"/>
      <c r="H215" s="182">
        <v>210</v>
      </c>
      <c r="I215" s="183" t="str">
        <f t="shared" si="14"/>
        <v/>
      </c>
      <c r="J215" s="182" t="e">
        <f t="shared" si="17"/>
        <v>#NUM!</v>
      </c>
      <c r="K215" s="182" t="e">
        <f t="shared" si="15"/>
        <v>#NUM!</v>
      </c>
      <c r="L215" s="182"/>
      <c r="M215" s="184">
        <f t="shared" si="16"/>
        <v>0</v>
      </c>
    </row>
    <row r="216" spans="1:13" x14ac:dyDescent="0.25">
      <c r="A216" s="199"/>
      <c r="G216" s="170"/>
      <c r="H216" s="182">
        <v>211</v>
      </c>
      <c r="I216" s="183" t="str">
        <f t="shared" si="14"/>
        <v/>
      </c>
      <c r="J216" s="182" t="e">
        <f t="shared" si="17"/>
        <v>#NUM!</v>
      </c>
      <c r="K216" s="182" t="e">
        <f t="shared" si="15"/>
        <v>#NUM!</v>
      </c>
      <c r="L216" s="182"/>
      <c r="M216" s="184">
        <f t="shared" si="16"/>
        <v>0</v>
      </c>
    </row>
    <row r="217" spans="1:13" x14ac:dyDescent="0.25">
      <c r="A217" s="199"/>
      <c r="G217" s="170"/>
      <c r="H217" s="182">
        <v>212</v>
      </c>
      <c r="I217" s="183" t="str">
        <f t="shared" si="14"/>
        <v/>
      </c>
      <c r="J217" s="182" t="e">
        <f t="shared" si="17"/>
        <v>#NUM!</v>
      </c>
      <c r="K217" s="182" t="e">
        <f t="shared" si="15"/>
        <v>#NUM!</v>
      </c>
      <c r="L217" s="182"/>
      <c r="M217" s="184">
        <f t="shared" si="16"/>
        <v>0</v>
      </c>
    </row>
    <row r="218" spans="1:13" x14ac:dyDescent="0.25">
      <c r="A218" s="199"/>
      <c r="G218" s="170"/>
      <c r="H218" s="182">
        <v>213</v>
      </c>
      <c r="I218" s="183" t="str">
        <f t="shared" si="14"/>
        <v/>
      </c>
      <c r="J218" s="182" t="e">
        <f t="shared" si="17"/>
        <v>#NUM!</v>
      </c>
      <c r="K218" s="182" t="e">
        <f t="shared" si="15"/>
        <v>#NUM!</v>
      </c>
      <c r="L218" s="182"/>
      <c r="M218" s="184">
        <f t="shared" si="16"/>
        <v>0</v>
      </c>
    </row>
    <row r="219" spans="1:13" x14ac:dyDescent="0.25">
      <c r="A219" s="199"/>
      <c r="G219" s="170"/>
      <c r="H219" s="182">
        <v>214</v>
      </c>
      <c r="I219" s="183" t="str">
        <f t="shared" si="14"/>
        <v/>
      </c>
      <c r="J219" s="182" t="e">
        <f t="shared" si="17"/>
        <v>#NUM!</v>
      </c>
      <c r="K219" s="182" t="e">
        <f t="shared" si="15"/>
        <v>#NUM!</v>
      </c>
      <c r="L219" s="182"/>
      <c r="M219" s="184">
        <f t="shared" si="16"/>
        <v>0</v>
      </c>
    </row>
    <row r="220" spans="1:13" x14ac:dyDescent="0.25">
      <c r="A220" s="199"/>
      <c r="G220" s="170"/>
      <c r="H220" s="182">
        <v>215</v>
      </c>
      <c r="I220" s="183" t="str">
        <f t="shared" si="14"/>
        <v/>
      </c>
      <c r="J220" s="182" t="e">
        <f t="shared" si="17"/>
        <v>#NUM!</v>
      </c>
      <c r="K220" s="182" t="e">
        <f t="shared" si="15"/>
        <v>#NUM!</v>
      </c>
      <c r="L220" s="182"/>
      <c r="M220" s="184">
        <f t="shared" si="16"/>
        <v>0</v>
      </c>
    </row>
    <row r="221" spans="1:13" x14ac:dyDescent="0.25">
      <c r="A221" s="199"/>
      <c r="G221" s="170"/>
      <c r="H221" s="182">
        <v>216</v>
      </c>
      <c r="I221" s="183" t="str">
        <f t="shared" si="14"/>
        <v/>
      </c>
      <c r="J221" s="182" t="e">
        <f t="shared" si="17"/>
        <v>#NUM!</v>
      </c>
      <c r="K221" s="182" t="e">
        <f t="shared" si="15"/>
        <v>#NUM!</v>
      </c>
      <c r="L221" s="182"/>
      <c r="M221" s="184">
        <f t="shared" si="16"/>
        <v>0</v>
      </c>
    </row>
    <row r="222" spans="1:13" x14ac:dyDescent="0.25">
      <c r="A222" s="199"/>
      <c r="G222" s="170"/>
      <c r="H222" s="182">
        <v>217</v>
      </c>
      <c r="I222" s="183" t="str">
        <f t="shared" si="14"/>
        <v/>
      </c>
      <c r="J222" s="182" t="e">
        <f t="shared" si="17"/>
        <v>#NUM!</v>
      </c>
      <c r="K222" s="182" t="e">
        <f t="shared" si="15"/>
        <v>#NUM!</v>
      </c>
      <c r="L222" s="182"/>
      <c r="M222" s="184">
        <f t="shared" si="16"/>
        <v>0</v>
      </c>
    </row>
    <row r="223" spans="1:13" x14ac:dyDescent="0.25">
      <c r="A223" s="199"/>
      <c r="G223" s="170"/>
      <c r="H223" s="182">
        <v>218</v>
      </c>
      <c r="I223" s="183" t="str">
        <f t="shared" si="14"/>
        <v/>
      </c>
      <c r="J223" s="182" t="e">
        <f t="shared" si="17"/>
        <v>#NUM!</v>
      </c>
      <c r="K223" s="182" t="e">
        <f t="shared" si="15"/>
        <v>#NUM!</v>
      </c>
      <c r="L223" s="182"/>
      <c r="M223" s="184">
        <f t="shared" si="16"/>
        <v>0</v>
      </c>
    </row>
    <row r="224" spans="1:13" x14ac:dyDescent="0.25">
      <c r="A224" s="199"/>
      <c r="G224" s="170"/>
      <c r="H224" s="182">
        <v>219</v>
      </c>
      <c r="I224" s="183" t="str">
        <f t="shared" si="14"/>
        <v/>
      </c>
      <c r="J224" s="182" t="e">
        <f t="shared" si="17"/>
        <v>#NUM!</v>
      </c>
      <c r="K224" s="182" t="e">
        <f t="shared" si="15"/>
        <v>#NUM!</v>
      </c>
      <c r="L224" s="182"/>
      <c r="M224" s="184">
        <f t="shared" si="16"/>
        <v>0</v>
      </c>
    </row>
    <row r="225" spans="1:13" x14ac:dyDescent="0.25">
      <c r="A225" s="199"/>
      <c r="G225" s="170"/>
      <c r="H225" s="182">
        <v>220</v>
      </c>
      <c r="I225" s="183" t="str">
        <f t="shared" si="14"/>
        <v/>
      </c>
      <c r="J225" s="182" t="e">
        <f t="shared" si="17"/>
        <v>#NUM!</v>
      </c>
      <c r="K225" s="182" t="e">
        <f t="shared" si="15"/>
        <v>#NUM!</v>
      </c>
      <c r="L225" s="182"/>
      <c r="M225" s="184">
        <f t="shared" si="16"/>
        <v>0</v>
      </c>
    </row>
    <row r="226" spans="1:13" x14ac:dyDescent="0.25">
      <c r="A226" s="199"/>
      <c r="G226" s="170"/>
      <c r="H226" s="182">
        <v>221</v>
      </c>
      <c r="I226" s="183" t="str">
        <f t="shared" si="14"/>
        <v/>
      </c>
      <c r="J226" s="182" t="e">
        <f t="shared" si="17"/>
        <v>#NUM!</v>
      </c>
      <c r="K226" s="182" t="e">
        <f t="shared" si="15"/>
        <v>#NUM!</v>
      </c>
      <c r="L226" s="182"/>
      <c r="M226" s="184">
        <f t="shared" si="16"/>
        <v>0</v>
      </c>
    </row>
    <row r="227" spans="1:13" x14ac:dyDescent="0.25">
      <c r="A227" s="199"/>
      <c r="G227" s="170"/>
      <c r="H227" s="182">
        <v>222</v>
      </c>
      <c r="I227" s="183" t="str">
        <f t="shared" si="14"/>
        <v/>
      </c>
      <c r="J227" s="182" t="e">
        <f t="shared" si="17"/>
        <v>#NUM!</v>
      </c>
      <c r="K227" s="182" t="e">
        <f t="shared" si="15"/>
        <v>#NUM!</v>
      </c>
      <c r="L227" s="182"/>
      <c r="M227" s="184">
        <f t="shared" si="16"/>
        <v>0</v>
      </c>
    </row>
    <row r="228" spans="1:13" x14ac:dyDescent="0.25">
      <c r="A228" s="199"/>
      <c r="G228" s="170"/>
      <c r="H228" s="182">
        <v>223</v>
      </c>
      <c r="I228" s="183" t="str">
        <f t="shared" si="14"/>
        <v/>
      </c>
      <c r="J228" s="182" t="e">
        <f t="shared" si="17"/>
        <v>#NUM!</v>
      </c>
      <c r="K228" s="182" t="e">
        <f t="shared" si="15"/>
        <v>#NUM!</v>
      </c>
      <c r="L228" s="182"/>
      <c r="M228" s="184">
        <f t="shared" si="16"/>
        <v>0</v>
      </c>
    </row>
    <row r="229" spans="1:13" x14ac:dyDescent="0.25">
      <c r="A229" s="199"/>
      <c r="G229" s="170"/>
      <c r="H229" s="182">
        <v>224</v>
      </c>
      <c r="I229" s="183" t="str">
        <f t="shared" si="14"/>
        <v/>
      </c>
      <c r="J229" s="182" t="e">
        <f t="shared" si="17"/>
        <v>#NUM!</v>
      </c>
      <c r="K229" s="182" t="e">
        <f t="shared" si="15"/>
        <v>#NUM!</v>
      </c>
      <c r="L229" s="182"/>
      <c r="M229" s="184">
        <f t="shared" si="16"/>
        <v>0</v>
      </c>
    </row>
    <row r="230" spans="1:13" x14ac:dyDescent="0.25">
      <c r="A230" s="199"/>
      <c r="G230" s="170"/>
      <c r="H230" s="182">
        <v>225</v>
      </c>
      <c r="I230" s="183" t="str">
        <f t="shared" si="14"/>
        <v/>
      </c>
      <c r="J230" s="182" t="e">
        <f t="shared" si="17"/>
        <v>#NUM!</v>
      </c>
      <c r="K230" s="182" t="e">
        <f t="shared" si="15"/>
        <v>#NUM!</v>
      </c>
      <c r="L230" s="182"/>
      <c r="M230" s="184">
        <f t="shared" si="16"/>
        <v>0</v>
      </c>
    </row>
    <row r="231" spans="1:13" x14ac:dyDescent="0.25">
      <c r="A231" s="199"/>
      <c r="G231" s="170"/>
      <c r="H231" s="182">
        <v>226</v>
      </c>
      <c r="I231" s="183" t="str">
        <f t="shared" si="14"/>
        <v/>
      </c>
      <c r="J231" s="182" t="e">
        <f t="shared" si="17"/>
        <v>#NUM!</v>
      </c>
      <c r="K231" s="182" t="e">
        <f t="shared" si="15"/>
        <v>#NUM!</v>
      </c>
      <c r="L231" s="182"/>
      <c r="M231" s="184">
        <f t="shared" si="16"/>
        <v>0</v>
      </c>
    </row>
    <row r="232" spans="1:13" x14ac:dyDescent="0.25">
      <c r="A232" s="199"/>
      <c r="G232" s="170"/>
      <c r="H232" s="182">
        <v>227</v>
      </c>
      <c r="I232" s="183" t="str">
        <f t="shared" si="14"/>
        <v/>
      </c>
      <c r="J232" s="182" t="e">
        <f t="shared" si="17"/>
        <v>#NUM!</v>
      </c>
      <c r="K232" s="182" t="e">
        <f t="shared" si="15"/>
        <v>#NUM!</v>
      </c>
      <c r="L232" s="182"/>
      <c r="M232" s="184">
        <f t="shared" si="16"/>
        <v>0</v>
      </c>
    </row>
    <row r="233" spans="1:13" x14ac:dyDescent="0.25">
      <c r="A233" s="199"/>
      <c r="G233" s="170"/>
      <c r="H233" s="182">
        <v>228</v>
      </c>
      <c r="I233" s="183" t="str">
        <f t="shared" si="14"/>
        <v/>
      </c>
      <c r="J233" s="182" t="e">
        <f t="shared" si="17"/>
        <v>#NUM!</v>
      </c>
      <c r="K233" s="182" t="e">
        <f t="shared" si="15"/>
        <v>#NUM!</v>
      </c>
      <c r="L233" s="182"/>
      <c r="M233" s="184">
        <f t="shared" si="16"/>
        <v>0</v>
      </c>
    </row>
    <row r="234" spans="1:13" x14ac:dyDescent="0.25">
      <c r="A234" s="199"/>
      <c r="G234" s="170"/>
      <c r="H234" s="182">
        <v>229</v>
      </c>
      <c r="I234" s="183" t="str">
        <f t="shared" si="14"/>
        <v/>
      </c>
      <c r="J234" s="182" t="e">
        <f t="shared" si="17"/>
        <v>#NUM!</v>
      </c>
      <c r="K234" s="182" t="e">
        <f t="shared" si="15"/>
        <v>#NUM!</v>
      </c>
      <c r="L234" s="182"/>
      <c r="M234" s="184">
        <f t="shared" si="16"/>
        <v>0</v>
      </c>
    </row>
    <row r="235" spans="1:13" x14ac:dyDescent="0.25">
      <c r="A235" s="199"/>
      <c r="G235" s="170"/>
      <c r="H235" s="182">
        <v>230</v>
      </c>
      <c r="I235" s="183" t="str">
        <f t="shared" si="14"/>
        <v/>
      </c>
      <c r="J235" s="182" t="e">
        <f t="shared" si="17"/>
        <v>#NUM!</v>
      </c>
      <c r="K235" s="182" t="e">
        <f t="shared" si="15"/>
        <v>#NUM!</v>
      </c>
      <c r="L235" s="182"/>
      <c r="M235" s="184">
        <f t="shared" si="16"/>
        <v>0</v>
      </c>
    </row>
    <row r="236" spans="1:13" x14ac:dyDescent="0.25">
      <c r="A236" s="199"/>
      <c r="G236" s="170"/>
      <c r="H236" s="182">
        <v>231</v>
      </c>
      <c r="I236" s="183" t="str">
        <f t="shared" si="14"/>
        <v/>
      </c>
      <c r="J236" s="182" t="e">
        <f t="shared" si="17"/>
        <v>#NUM!</v>
      </c>
      <c r="K236" s="182" t="e">
        <f t="shared" si="15"/>
        <v>#NUM!</v>
      </c>
      <c r="L236" s="182"/>
      <c r="M236" s="184">
        <f t="shared" si="16"/>
        <v>0</v>
      </c>
    </row>
    <row r="237" spans="1:13" x14ac:dyDescent="0.25">
      <c r="A237" s="199"/>
      <c r="G237" s="170"/>
      <c r="H237" s="182">
        <v>232</v>
      </c>
      <c r="I237" s="183" t="str">
        <f t="shared" si="14"/>
        <v/>
      </c>
      <c r="J237" s="182" t="e">
        <f t="shared" si="17"/>
        <v>#NUM!</v>
      </c>
      <c r="K237" s="182" t="e">
        <f t="shared" si="15"/>
        <v>#NUM!</v>
      </c>
      <c r="L237" s="182"/>
      <c r="M237" s="184">
        <f t="shared" si="16"/>
        <v>0</v>
      </c>
    </row>
    <row r="238" spans="1:13" x14ac:dyDescent="0.25">
      <c r="A238" s="199"/>
      <c r="G238" s="170"/>
      <c r="H238" s="182">
        <v>233</v>
      </c>
      <c r="I238" s="183" t="str">
        <f t="shared" si="14"/>
        <v/>
      </c>
      <c r="J238" s="182" t="e">
        <f t="shared" si="17"/>
        <v>#NUM!</v>
      </c>
      <c r="K238" s="182" t="e">
        <f t="shared" si="15"/>
        <v>#NUM!</v>
      </c>
      <c r="L238" s="182"/>
      <c r="M238" s="184">
        <f t="shared" si="16"/>
        <v>0</v>
      </c>
    </row>
    <row r="239" spans="1:13" x14ac:dyDescent="0.25">
      <c r="A239" s="199"/>
      <c r="G239" s="170"/>
      <c r="H239" s="182">
        <v>234</v>
      </c>
      <c r="I239" s="183" t="str">
        <f t="shared" si="14"/>
        <v/>
      </c>
      <c r="J239" s="182" t="e">
        <f t="shared" si="17"/>
        <v>#NUM!</v>
      </c>
      <c r="K239" s="182" t="e">
        <f t="shared" si="15"/>
        <v>#NUM!</v>
      </c>
      <c r="L239" s="182"/>
      <c r="M239" s="184">
        <f t="shared" si="16"/>
        <v>0</v>
      </c>
    </row>
    <row r="240" spans="1:13" x14ac:dyDescent="0.25">
      <c r="A240" s="199"/>
      <c r="G240" s="170"/>
      <c r="H240" s="182">
        <v>235</v>
      </c>
      <c r="I240" s="183" t="str">
        <f t="shared" si="14"/>
        <v/>
      </c>
      <c r="J240" s="182" t="e">
        <f t="shared" si="17"/>
        <v>#NUM!</v>
      </c>
      <c r="K240" s="182" t="e">
        <f t="shared" si="15"/>
        <v>#NUM!</v>
      </c>
      <c r="L240" s="182"/>
      <c r="M240" s="184">
        <f t="shared" si="16"/>
        <v>0</v>
      </c>
    </row>
    <row r="241" spans="1:13" x14ac:dyDescent="0.25">
      <c r="A241" s="199"/>
      <c r="G241" s="170"/>
      <c r="H241" s="182">
        <v>236</v>
      </c>
      <c r="I241" s="183" t="str">
        <f t="shared" si="14"/>
        <v/>
      </c>
      <c r="J241" s="182" t="e">
        <f t="shared" si="17"/>
        <v>#NUM!</v>
      </c>
      <c r="K241" s="182" t="e">
        <f t="shared" si="15"/>
        <v>#NUM!</v>
      </c>
      <c r="L241" s="182"/>
      <c r="M241" s="184">
        <f t="shared" si="16"/>
        <v>0</v>
      </c>
    </row>
    <row r="242" spans="1:13" x14ac:dyDescent="0.25">
      <c r="A242" s="199"/>
      <c r="G242" s="170"/>
      <c r="H242" s="182">
        <v>237</v>
      </c>
      <c r="I242" s="183" t="str">
        <f t="shared" si="14"/>
        <v/>
      </c>
      <c r="J242" s="182" t="e">
        <f t="shared" si="17"/>
        <v>#NUM!</v>
      </c>
      <c r="K242" s="182" t="e">
        <f t="shared" si="15"/>
        <v>#NUM!</v>
      </c>
      <c r="L242" s="182"/>
      <c r="M242" s="184">
        <f t="shared" si="16"/>
        <v>0</v>
      </c>
    </row>
    <row r="243" spans="1:13" x14ac:dyDescent="0.25">
      <c r="A243" s="199"/>
      <c r="G243" s="170"/>
      <c r="H243" s="182">
        <v>238</v>
      </c>
      <c r="I243" s="183" t="str">
        <f t="shared" si="14"/>
        <v/>
      </c>
      <c r="J243" s="182" t="e">
        <f t="shared" si="17"/>
        <v>#NUM!</v>
      </c>
      <c r="K243" s="182" t="e">
        <f t="shared" si="15"/>
        <v>#NUM!</v>
      </c>
      <c r="L243" s="182"/>
      <c r="M243" s="184">
        <f t="shared" si="16"/>
        <v>0</v>
      </c>
    </row>
    <row r="244" spans="1:13" x14ac:dyDescent="0.25">
      <c r="A244" s="199"/>
      <c r="G244" s="170"/>
      <c r="H244" s="182">
        <v>239</v>
      </c>
      <c r="I244" s="183" t="str">
        <f t="shared" si="14"/>
        <v/>
      </c>
      <c r="J244" s="182" t="e">
        <f t="shared" si="17"/>
        <v>#NUM!</v>
      </c>
      <c r="K244" s="182" t="e">
        <f t="shared" si="15"/>
        <v>#NUM!</v>
      </c>
      <c r="L244" s="182"/>
      <c r="M244" s="184">
        <f t="shared" si="16"/>
        <v>0</v>
      </c>
    </row>
    <row r="245" spans="1:13" x14ac:dyDescent="0.25">
      <c r="A245" s="199"/>
      <c r="G245" s="170"/>
      <c r="H245" s="182">
        <v>240</v>
      </c>
      <c r="I245" s="183" t="str">
        <f t="shared" si="14"/>
        <v/>
      </c>
      <c r="J245" s="182" t="e">
        <f t="shared" si="17"/>
        <v>#NUM!</v>
      </c>
      <c r="K245" s="182" t="e">
        <f t="shared" si="15"/>
        <v>#NUM!</v>
      </c>
      <c r="L245" s="182"/>
      <c r="M245" s="184">
        <f t="shared" si="16"/>
        <v>0</v>
      </c>
    </row>
    <row r="246" spans="1:13" x14ac:dyDescent="0.25">
      <c r="A246" s="199"/>
      <c r="G246" s="170"/>
      <c r="H246" s="182">
        <v>241</v>
      </c>
      <c r="I246" s="183" t="str">
        <f t="shared" si="14"/>
        <v/>
      </c>
      <c r="J246" s="182" t="e">
        <f t="shared" si="17"/>
        <v>#NUM!</v>
      </c>
      <c r="K246" s="182" t="e">
        <f t="shared" si="15"/>
        <v>#NUM!</v>
      </c>
      <c r="L246" s="182"/>
      <c r="M246" s="184">
        <f t="shared" si="16"/>
        <v>0</v>
      </c>
    </row>
    <row r="247" spans="1:13" x14ac:dyDescent="0.25">
      <c r="A247" s="199"/>
      <c r="G247" s="170"/>
      <c r="H247" s="182">
        <v>242</v>
      </c>
      <c r="I247" s="183" t="str">
        <f t="shared" si="14"/>
        <v/>
      </c>
      <c r="J247" s="182" t="e">
        <f t="shared" si="17"/>
        <v>#NUM!</v>
      </c>
      <c r="K247" s="182" t="e">
        <f t="shared" si="15"/>
        <v>#NUM!</v>
      </c>
      <c r="L247" s="182"/>
      <c r="M247" s="184">
        <f t="shared" si="16"/>
        <v>0</v>
      </c>
    </row>
    <row r="248" spans="1:13" x14ac:dyDescent="0.25">
      <c r="A248" s="199"/>
      <c r="G248" s="170"/>
      <c r="H248" s="182">
        <v>243</v>
      </c>
      <c r="I248" s="183" t="str">
        <f t="shared" si="14"/>
        <v/>
      </c>
      <c r="J248" s="182" t="e">
        <f t="shared" si="17"/>
        <v>#NUM!</v>
      </c>
      <c r="K248" s="182" t="e">
        <f t="shared" si="15"/>
        <v>#NUM!</v>
      </c>
      <c r="L248" s="182"/>
      <c r="M248" s="184">
        <f t="shared" si="16"/>
        <v>0</v>
      </c>
    </row>
    <row r="249" spans="1:13" x14ac:dyDescent="0.25">
      <c r="A249" s="199"/>
      <c r="G249" s="170"/>
      <c r="H249" s="182">
        <v>244</v>
      </c>
      <c r="I249" s="183" t="str">
        <f t="shared" si="14"/>
        <v/>
      </c>
      <c r="J249" s="182" t="e">
        <f t="shared" si="17"/>
        <v>#NUM!</v>
      </c>
      <c r="K249" s="182" t="e">
        <f t="shared" si="15"/>
        <v>#NUM!</v>
      </c>
      <c r="L249" s="182"/>
      <c r="M249" s="184">
        <f t="shared" si="16"/>
        <v>0</v>
      </c>
    </row>
    <row r="250" spans="1:13" x14ac:dyDescent="0.25">
      <c r="A250" s="199"/>
      <c r="G250" s="170"/>
      <c r="H250" s="182">
        <v>245</v>
      </c>
      <c r="I250" s="183" t="str">
        <f t="shared" si="14"/>
        <v/>
      </c>
      <c r="J250" s="182" t="e">
        <f t="shared" si="17"/>
        <v>#NUM!</v>
      </c>
      <c r="K250" s="182" t="e">
        <f t="shared" si="15"/>
        <v>#NUM!</v>
      </c>
      <c r="L250" s="182"/>
      <c r="M250" s="184">
        <f t="shared" si="16"/>
        <v>0</v>
      </c>
    </row>
    <row r="251" spans="1:13" x14ac:dyDescent="0.25">
      <c r="A251" s="199"/>
      <c r="G251" s="170"/>
      <c r="H251" s="182">
        <v>246</v>
      </c>
      <c r="I251" s="183" t="str">
        <f t="shared" si="14"/>
        <v/>
      </c>
      <c r="J251" s="182" t="e">
        <f t="shared" si="17"/>
        <v>#NUM!</v>
      </c>
      <c r="K251" s="182" t="e">
        <f t="shared" si="15"/>
        <v>#NUM!</v>
      </c>
      <c r="L251" s="182"/>
      <c r="M251" s="184">
        <f t="shared" si="16"/>
        <v>0</v>
      </c>
    </row>
    <row r="252" spans="1:13" x14ac:dyDescent="0.25">
      <c r="A252" s="199"/>
      <c r="G252" s="170"/>
      <c r="H252" s="182">
        <v>247</v>
      </c>
      <c r="I252" s="183" t="str">
        <f t="shared" si="14"/>
        <v/>
      </c>
      <c r="J252" s="182" t="e">
        <f t="shared" si="17"/>
        <v>#NUM!</v>
      </c>
      <c r="K252" s="182" t="e">
        <f t="shared" si="15"/>
        <v>#NUM!</v>
      </c>
      <c r="L252" s="182"/>
      <c r="M252" s="184">
        <f t="shared" si="16"/>
        <v>0</v>
      </c>
    </row>
    <row r="253" spans="1:13" x14ac:dyDescent="0.25">
      <c r="A253" s="199"/>
      <c r="G253" s="170"/>
      <c r="H253" s="182">
        <v>248</v>
      </c>
      <c r="I253" s="183" t="str">
        <f t="shared" si="14"/>
        <v/>
      </c>
      <c r="J253" s="182" t="e">
        <f t="shared" si="17"/>
        <v>#NUM!</v>
      </c>
      <c r="K253" s="182" t="e">
        <f t="shared" si="15"/>
        <v>#NUM!</v>
      </c>
      <c r="L253" s="182"/>
      <c r="M253" s="184">
        <f t="shared" si="16"/>
        <v>0</v>
      </c>
    </row>
    <row r="254" spans="1:13" x14ac:dyDescent="0.25">
      <c r="A254" s="199"/>
      <c r="G254" s="170"/>
      <c r="H254" s="182">
        <v>249</v>
      </c>
      <c r="I254" s="183" t="str">
        <f t="shared" si="14"/>
        <v/>
      </c>
      <c r="J254" s="182" t="e">
        <f t="shared" si="17"/>
        <v>#NUM!</v>
      </c>
      <c r="K254" s="182" t="e">
        <f t="shared" si="15"/>
        <v>#NUM!</v>
      </c>
      <c r="L254" s="182"/>
      <c r="M254" s="184">
        <f t="shared" si="16"/>
        <v>0</v>
      </c>
    </row>
    <row r="255" spans="1:13" x14ac:dyDescent="0.25">
      <c r="A255" s="199"/>
      <c r="G255" s="170"/>
      <c r="H255" s="182">
        <v>250</v>
      </c>
      <c r="I255" s="183" t="str">
        <f t="shared" si="14"/>
        <v/>
      </c>
      <c r="J255" s="182" t="e">
        <f t="shared" si="17"/>
        <v>#NUM!</v>
      </c>
      <c r="K255" s="182" t="e">
        <f t="shared" si="15"/>
        <v>#NUM!</v>
      </c>
      <c r="L255" s="182"/>
      <c r="M255" s="184">
        <f t="shared" si="16"/>
        <v>0</v>
      </c>
    </row>
    <row r="256" spans="1:13" x14ac:dyDescent="0.25">
      <c r="A256" s="199"/>
      <c r="G256" s="170"/>
      <c r="H256" s="182">
        <v>251</v>
      </c>
      <c r="I256" s="183" t="str">
        <f t="shared" si="14"/>
        <v/>
      </c>
      <c r="J256" s="182" t="e">
        <f t="shared" si="17"/>
        <v>#NUM!</v>
      </c>
      <c r="K256" s="182" t="e">
        <f t="shared" si="15"/>
        <v>#NUM!</v>
      </c>
      <c r="L256" s="182"/>
      <c r="M256" s="184">
        <f t="shared" si="16"/>
        <v>0</v>
      </c>
    </row>
    <row r="257" spans="1:13" x14ac:dyDescent="0.25">
      <c r="A257" s="199"/>
      <c r="G257" s="170"/>
      <c r="H257" s="182">
        <v>252</v>
      </c>
      <c r="I257" s="183" t="str">
        <f t="shared" si="14"/>
        <v/>
      </c>
      <c r="J257" s="182" t="e">
        <f t="shared" si="17"/>
        <v>#NUM!</v>
      </c>
      <c r="K257" s="182" t="e">
        <f t="shared" si="15"/>
        <v>#NUM!</v>
      </c>
      <c r="L257" s="182"/>
      <c r="M257" s="184">
        <f t="shared" si="16"/>
        <v>0</v>
      </c>
    </row>
    <row r="258" spans="1:13" x14ac:dyDescent="0.25">
      <c r="A258" s="199"/>
      <c r="G258" s="170"/>
      <c r="H258" s="182">
        <v>253</v>
      </c>
      <c r="I258" s="183" t="str">
        <f t="shared" si="14"/>
        <v/>
      </c>
      <c r="J258" s="182" t="e">
        <f t="shared" si="17"/>
        <v>#NUM!</v>
      </c>
      <c r="K258" s="182" t="e">
        <f t="shared" si="15"/>
        <v>#NUM!</v>
      </c>
      <c r="L258" s="182"/>
      <c r="M258" s="184">
        <f t="shared" si="16"/>
        <v>0</v>
      </c>
    </row>
    <row r="259" spans="1:13" x14ac:dyDescent="0.25">
      <c r="A259" s="199"/>
      <c r="G259" s="170"/>
      <c r="H259" s="182">
        <v>254</v>
      </c>
      <c r="I259" s="183" t="str">
        <f t="shared" si="14"/>
        <v/>
      </c>
      <c r="J259" s="182" t="e">
        <f t="shared" si="17"/>
        <v>#NUM!</v>
      </c>
      <c r="K259" s="182" t="e">
        <f t="shared" si="15"/>
        <v>#NUM!</v>
      </c>
      <c r="L259" s="182"/>
      <c r="M259" s="184">
        <f t="shared" si="16"/>
        <v>0</v>
      </c>
    </row>
    <row r="260" spans="1:13" x14ac:dyDescent="0.25">
      <c r="A260" s="199"/>
      <c r="G260" s="170"/>
      <c r="H260" s="182">
        <v>255</v>
      </c>
      <c r="I260" s="183" t="str">
        <f t="shared" si="14"/>
        <v/>
      </c>
      <c r="J260" s="182" t="e">
        <f t="shared" si="17"/>
        <v>#NUM!</v>
      </c>
      <c r="K260" s="182" t="e">
        <f t="shared" si="15"/>
        <v>#NUM!</v>
      </c>
      <c r="L260" s="182"/>
      <c r="M260" s="184">
        <f t="shared" si="16"/>
        <v>0</v>
      </c>
    </row>
    <row r="261" spans="1:13" x14ac:dyDescent="0.25">
      <c r="A261" s="199"/>
      <c r="G261" s="170"/>
      <c r="H261" s="182">
        <v>256</v>
      </c>
      <c r="I261" s="183" t="str">
        <f t="shared" si="14"/>
        <v/>
      </c>
      <c r="J261" s="182" t="e">
        <f t="shared" si="17"/>
        <v>#NUM!</v>
      </c>
      <c r="K261" s="182" t="e">
        <f t="shared" si="15"/>
        <v>#NUM!</v>
      </c>
      <c r="L261" s="182"/>
      <c r="M261" s="184">
        <f t="shared" si="16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8">IF(H262&lt;$H$2+1,($I$2-($I$2-1)*(LOG(H262)/LOG($H$2))),"")</f>
        <v/>
      </c>
      <c r="J262" s="182" t="e">
        <f t="shared" si="17"/>
        <v>#NUM!</v>
      </c>
      <c r="K262" s="182" t="e">
        <f t="shared" ref="K262:K305" si="19">J262*$J$2</f>
        <v>#NUM!</v>
      </c>
      <c r="L262" s="182"/>
      <c r="M262" s="184">
        <f t="shared" ref="M262:M305" si="20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8"/>
        <v/>
      </c>
      <c r="J263" s="182" t="e">
        <f t="shared" ref="J263:J326" si="21">INT(LOG($H$2,2))-ROUNDUP(LOG(H263,2),0)+IF(OR($H$2=1,$H$2=2,$H$2=4,$H$2=8,$H$2=16,$H$2=32,$H$2=64,$H$2=128,$H$2=256),0,1)</f>
        <v>#NUM!</v>
      </c>
      <c r="K263" s="182" t="e">
        <f t="shared" si="19"/>
        <v>#NUM!</v>
      </c>
      <c r="L263" s="182"/>
      <c r="M263" s="184">
        <f t="shared" si="20"/>
        <v>0</v>
      </c>
    </row>
    <row r="264" spans="1:13" x14ac:dyDescent="0.25">
      <c r="A264" s="199"/>
      <c r="G264" s="170"/>
      <c r="H264" s="182">
        <v>259</v>
      </c>
      <c r="I264" s="183" t="str">
        <f t="shared" si="18"/>
        <v/>
      </c>
      <c r="J264" s="182" t="e">
        <f t="shared" si="21"/>
        <v>#NUM!</v>
      </c>
      <c r="K264" s="182" t="e">
        <f t="shared" si="19"/>
        <v>#NUM!</v>
      </c>
      <c r="L264" s="182"/>
      <c r="M264" s="184">
        <f t="shared" si="20"/>
        <v>0</v>
      </c>
    </row>
    <row r="265" spans="1:13" x14ac:dyDescent="0.25">
      <c r="A265" s="199"/>
      <c r="G265" s="170"/>
      <c r="H265" s="182">
        <v>260</v>
      </c>
      <c r="I265" s="183" t="str">
        <f t="shared" si="18"/>
        <v/>
      </c>
      <c r="J265" s="182" t="e">
        <f t="shared" si="21"/>
        <v>#NUM!</v>
      </c>
      <c r="K265" s="182" t="e">
        <f t="shared" si="19"/>
        <v>#NUM!</v>
      </c>
      <c r="L265" s="182"/>
      <c r="M265" s="184">
        <f t="shared" si="20"/>
        <v>0</v>
      </c>
    </row>
    <row r="266" spans="1:13" x14ac:dyDescent="0.25">
      <c r="A266" s="199"/>
      <c r="G266" s="170"/>
      <c r="H266" s="182">
        <v>261</v>
      </c>
      <c r="I266" s="183" t="str">
        <f t="shared" si="18"/>
        <v/>
      </c>
      <c r="J266" s="182" t="e">
        <f t="shared" si="21"/>
        <v>#NUM!</v>
      </c>
      <c r="K266" s="182" t="e">
        <f t="shared" si="19"/>
        <v>#NUM!</v>
      </c>
      <c r="L266" s="182"/>
      <c r="M266" s="184">
        <f t="shared" si="20"/>
        <v>0</v>
      </c>
    </row>
    <row r="267" spans="1:13" x14ac:dyDescent="0.25">
      <c r="A267" s="199"/>
      <c r="G267" s="170"/>
      <c r="H267" s="182">
        <v>262</v>
      </c>
      <c r="I267" s="183" t="str">
        <f t="shared" si="18"/>
        <v/>
      </c>
      <c r="J267" s="182" t="e">
        <f t="shared" si="21"/>
        <v>#NUM!</v>
      </c>
      <c r="K267" s="182" t="e">
        <f t="shared" si="19"/>
        <v>#NUM!</v>
      </c>
      <c r="L267" s="182"/>
      <c r="M267" s="184">
        <f t="shared" si="20"/>
        <v>0</v>
      </c>
    </row>
    <row r="268" spans="1:13" x14ac:dyDescent="0.25">
      <c r="A268" s="199"/>
      <c r="G268" s="170"/>
      <c r="H268" s="182">
        <v>263</v>
      </c>
      <c r="I268" s="183" t="str">
        <f t="shared" si="18"/>
        <v/>
      </c>
      <c r="J268" s="182" t="e">
        <f t="shared" si="21"/>
        <v>#NUM!</v>
      </c>
      <c r="K268" s="182" t="e">
        <f t="shared" si="19"/>
        <v>#NUM!</v>
      </c>
      <c r="L268" s="182"/>
      <c r="M268" s="184">
        <f t="shared" si="20"/>
        <v>0</v>
      </c>
    </row>
    <row r="269" spans="1:13" x14ac:dyDescent="0.25">
      <c r="A269" s="199"/>
      <c r="G269" s="170"/>
      <c r="H269" s="182">
        <v>264</v>
      </c>
      <c r="I269" s="183" t="str">
        <f t="shared" si="18"/>
        <v/>
      </c>
      <c r="J269" s="182" t="e">
        <f t="shared" si="21"/>
        <v>#NUM!</v>
      </c>
      <c r="K269" s="182" t="e">
        <f t="shared" si="19"/>
        <v>#NUM!</v>
      </c>
      <c r="L269" s="182"/>
      <c r="M269" s="184">
        <f t="shared" si="20"/>
        <v>0</v>
      </c>
    </row>
    <row r="270" spans="1:13" x14ac:dyDescent="0.25">
      <c r="A270" s="199"/>
      <c r="G270" s="170"/>
      <c r="H270" s="182">
        <v>265</v>
      </c>
      <c r="I270" s="183" t="str">
        <f t="shared" si="18"/>
        <v/>
      </c>
      <c r="J270" s="182" t="e">
        <f t="shared" si="21"/>
        <v>#NUM!</v>
      </c>
      <c r="K270" s="182" t="e">
        <f t="shared" si="19"/>
        <v>#NUM!</v>
      </c>
      <c r="L270" s="182"/>
      <c r="M270" s="184">
        <f t="shared" si="20"/>
        <v>0</v>
      </c>
    </row>
    <row r="271" spans="1:13" x14ac:dyDescent="0.25">
      <c r="A271" s="199"/>
      <c r="G271" s="170"/>
      <c r="H271" s="182">
        <v>266</v>
      </c>
      <c r="I271" s="183" t="str">
        <f t="shared" si="18"/>
        <v/>
      </c>
      <c r="J271" s="182" t="e">
        <f t="shared" si="21"/>
        <v>#NUM!</v>
      </c>
      <c r="K271" s="182" t="e">
        <f t="shared" si="19"/>
        <v>#NUM!</v>
      </c>
      <c r="L271" s="182"/>
      <c r="M271" s="184">
        <f t="shared" si="20"/>
        <v>0</v>
      </c>
    </row>
    <row r="272" spans="1:13" x14ac:dyDescent="0.25">
      <c r="A272" s="199"/>
      <c r="G272" s="170"/>
      <c r="H272" s="182">
        <v>267</v>
      </c>
      <c r="I272" s="183" t="str">
        <f t="shared" si="18"/>
        <v/>
      </c>
      <c r="J272" s="182" t="e">
        <f t="shared" si="21"/>
        <v>#NUM!</v>
      </c>
      <c r="K272" s="182" t="e">
        <f t="shared" si="19"/>
        <v>#NUM!</v>
      </c>
      <c r="L272" s="182"/>
      <c r="M272" s="184">
        <f t="shared" si="20"/>
        <v>0</v>
      </c>
    </row>
    <row r="273" spans="1:13" x14ac:dyDescent="0.25">
      <c r="A273" s="199"/>
      <c r="G273" s="170"/>
      <c r="H273" s="182">
        <v>268</v>
      </c>
      <c r="I273" s="183" t="str">
        <f t="shared" si="18"/>
        <v/>
      </c>
      <c r="J273" s="182" t="e">
        <f t="shared" si="21"/>
        <v>#NUM!</v>
      </c>
      <c r="K273" s="182" t="e">
        <f t="shared" si="19"/>
        <v>#NUM!</v>
      </c>
      <c r="L273" s="182"/>
      <c r="M273" s="184">
        <f t="shared" si="20"/>
        <v>0</v>
      </c>
    </row>
    <row r="274" spans="1:13" x14ac:dyDescent="0.25">
      <c r="A274" s="199"/>
      <c r="G274" s="170"/>
      <c r="H274" s="182">
        <v>269</v>
      </c>
      <c r="I274" s="183" t="str">
        <f t="shared" si="18"/>
        <v/>
      </c>
      <c r="J274" s="182" t="e">
        <f t="shared" si="21"/>
        <v>#NUM!</v>
      </c>
      <c r="K274" s="182" t="e">
        <f t="shared" si="19"/>
        <v>#NUM!</v>
      </c>
      <c r="L274" s="182"/>
      <c r="M274" s="184">
        <f t="shared" si="20"/>
        <v>0</v>
      </c>
    </row>
    <row r="275" spans="1:13" x14ac:dyDescent="0.25">
      <c r="A275" s="199"/>
      <c r="G275" s="170"/>
      <c r="H275" s="182">
        <v>270</v>
      </c>
      <c r="I275" s="183" t="str">
        <f t="shared" si="18"/>
        <v/>
      </c>
      <c r="J275" s="182" t="e">
        <f t="shared" si="21"/>
        <v>#NUM!</v>
      </c>
      <c r="K275" s="182" t="e">
        <f t="shared" si="19"/>
        <v>#NUM!</v>
      </c>
      <c r="L275" s="182"/>
      <c r="M275" s="184">
        <f t="shared" si="20"/>
        <v>0</v>
      </c>
    </row>
    <row r="276" spans="1:13" x14ac:dyDescent="0.25">
      <c r="A276" s="199"/>
      <c r="G276" s="170"/>
      <c r="H276" s="182">
        <v>271</v>
      </c>
      <c r="I276" s="183" t="str">
        <f t="shared" si="18"/>
        <v/>
      </c>
      <c r="J276" s="182" t="e">
        <f t="shared" si="21"/>
        <v>#NUM!</v>
      </c>
      <c r="K276" s="182" t="e">
        <f t="shared" si="19"/>
        <v>#NUM!</v>
      </c>
      <c r="L276" s="182"/>
      <c r="M276" s="184">
        <f t="shared" si="20"/>
        <v>0</v>
      </c>
    </row>
    <row r="277" spans="1:13" x14ac:dyDescent="0.25">
      <c r="A277" s="199"/>
      <c r="G277" s="170"/>
      <c r="H277" s="182">
        <v>272</v>
      </c>
      <c r="I277" s="183" t="str">
        <f t="shared" si="18"/>
        <v/>
      </c>
      <c r="J277" s="182" t="e">
        <f t="shared" si="21"/>
        <v>#NUM!</v>
      </c>
      <c r="K277" s="182" t="e">
        <f t="shared" si="19"/>
        <v>#NUM!</v>
      </c>
      <c r="L277" s="182"/>
      <c r="M277" s="184">
        <f t="shared" si="20"/>
        <v>0</v>
      </c>
    </row>
    <row r="278" spans="1:13" x14ac:dyDescent="0.25">
      <c r="A278" s="199"/>
      <c r="G278" s="170"/>
      <c r="H278" s="182">
        <v>273</v>
      </c>
      <c r="I278" s="183" t="str">
        <f t="shared" si="18"/>
        <v/>
      </c>
      <c r="J278" s="182" t="e">
        <f t="shared" si="21"/>
        <v>#NUM!</v>
      </c>
      <c r="K278" s="182" t="e">
        <f t="shared" si="19"/>
        <v>#NUM!</v>
      </c>
      <c r="L278" s="182"/>
      <c r="M278" s="184">
        <f t="shared" si="20"/>
        <v>0</v>
      </c>
    </row>
    <row r="279" spans="1:13" x14ac:dyDescent="0.25">
      <c r="A279" s="199"/>
      <c r="G279" s="170"/>
      <c r="H279" s="182">
        <v>274</v>
      </c>
      <c r="I279" s="183" t="str">
        <f t="shared" si="18"/>
        <v/>
      </c>
      <c r="J279" s="182" t="e">
        <f t="shared" si="21"/>
        <v>#NUM!</v>
      </c>
      <c r="K279" s="182" t="e">
        <f t="shared" si="19"/>
        <v>#NUM!</v>
      </c>
      <c r="L279" s="182"/>
      <c r="M279" s="184">
        <f t="shared" si="20"/>
        <v>0</v>
      </c>
    </row>
    <row r="280" spans="1:13" x14ac:dyDescent="0.25">
      <c r="A280" s="199"/>
      <c r="G280" s="170"/>
      <c r="H280" s="182">
        <v>275</v>
      </c>
      <c r="I280" s="183" t="str">
        <f t="shared" si="18"/>
        <v/>
      </c>
      <c r="J280" s="182" t="e">
        <f t="shared" si="21"/>
        <v>#NUM!</v>
      </c>
      <c r="K280" s="182" t="e">
        <f t="shared" si="19"/>
        <v>#NUM!</v>
      </c>
      <c r="L280" s="182"/>
      <c r="M280" s="184">
        <f t="shared" si="20"/>
        <v>0</v>
      </c>
    </row>
    <row r="281" spans="1:13" x14ac:dyDescent="0.25">
      <c r="A281" s="199"/>
      <c r="G281" s="170"/>
      <c r="H281" s="182">
        <v>276</v>
      </c>
      <c r="I281" s="183" t="str">
        <f t="shared" si="18"/>
        <v/>
      </c>
      <c r="J281" s="182" t="e">
        <f t="shared" si="21"/>
        <v>#NUM!</v>
      </c>
      <c r="K281" s="182" t="e">
        <f t="shared" si="19"/>
        <v>#NUM!</v>
      </c>
      <c r="L281" s="182"/>
      <c r="M281" s="184">
        <f t="shared" si="20"/>
        <v>0</v>
      </c>
    </row>
    <row r="282" spans="1:13" x14ac:dyDescent="0.25">
      <c r="A282" s="199"/>
      <c r="G282" s="170"/>
      <c r="H282" s="182">
        <v>277</v>
      </c>
      <c r="I282" s="183" t="str">
        <f t="shared" si="18"/>
        <v/>
      </c>
      <c r="J282" s="182" t="e">
        <f t="shared" si="21"/>
        <v>#NUM!</v>
      </c>
      <c r="K282" s="182" t="e">
        <f t="shared" si="19"/>
        <v>#NUM!</v>
      </c>
      <c r="L282" s="182"/>
      <c r="M282" s="184">
        <f t="shared" si="20"/>
        <v>0</v>
      </c>
    </row>
    <row r="283" spans="1:13" x14ac:dyDescent="0.25">
      <c r="A283" s="199"/>
      <c r="G283" s="170"/>
      <c r="H283" s="182">
        <v>278</v>
      </c>
      <c r="I283" s="183" t="str">
        <f t="shared" si="18"/>
        <v/>
      </c>
      <c r="J283" s="182" t="e">
        <f t="shared" si="21"/>
        <v>#NUM!</v>
      </c>
      <c r="K283" s="182" t="e">
        <f t="shared" si="19"/>
        <v>#NUM!</v>
      </c>
      <c r="L283" s="182"/>
      <c r="M283" s="184">
        <f t="shared" si="20"/>
        <v>0</v>
      </c>
    </row>
    <row r="284" spans="1:13" x14ac:dyDescent="0.25">
      <c r="A284" s="199"/>
      <c r="G284" s="170"/>
      <c r="H284" s="182">
        <v>279</v>
      </c>
      <c r="I284" s="183" t="str">
        <f t="shared" si="18"/>
        <v/>
      </c>
      <c r="J284" s="182" t="e">
        <f t="shared" si="21"/>
        <v>#NUM!</v>
      </c>
      <c r="K284" s="182" t="e">
        <f t="shared" si="19"/>
        <v>#NUM!</v>
      </c>
      <c r="L284" s="182"/>
      <c r="M284" s="184">
        <f t="shared" si="20"/>
        <v>0</v>
      </c>
    </row>
    <row r="285" spans="1:13" x14ac:dyDescent="0.25">
      <c r="A285" s="199"/>
      <c r="G285" s="170"/>
      <c r="H285" s="182">
        <v>280</v>
      </c>
      <c r="I285" s="183" t="str">
        <f t="shared" si="18"/>
        <v/>
      </c>
      <c r="J285" s="182" t="e">
        <f t="shared" si="21"/>
        <v>#NUM!</v>
      </c>
      <c r="K285" s="182" t="e">
        <f t="shared" si="19"/>
        <v>#NUM!</v>
      </c>
      <c r="L285" s="182"/>
      <c r="M285" s="184">
        <f t="shared" si="20"/>
        <v>0</v>
      </c>
    </row>
    <row r="286" spans="1:13" x14ac:dyDescent="0.25">
      <c r="A286" s="199"/>
      <c r="G286" s="170"/>
      <c r="H286" s="182">
        <v>281</v>
      </c>
      <c r="I286" s="183" t="str">
        <f t="shared" si="18"/>
        <v/>
      </c>
      <c r="J286" s="182" t="e">
        <f t="shared" si="21"/>
        <v>#NUM!</v>
      </c>
      <c r="K286" s="182" t="e">
        <f t="shared" si="19"/>
        <v>#NUM!</v>
      </c>
      <c r="L286" s="182"/>
      <c r="M286" s="184">
        <f t="shared" si="20"/>
        <v>0</v>
      </c>
    </row>
    <row r="287" spans="1:13" x14ac:dyDescent="0.25">
      <c r="A287" s="199"/>
      <c r="G287" s="170"/>
      <c r="H287" s="182">
        <v>282</v>
      </c>
      <c r="I287" s="183" t="str">
        <f t="shared" si="18"/>
        <v/>
      </c>
      <c r="J287" s="182" t="e">
        <f t="shared" si="21"/>
        <v>#NUM!</v>
      </c>
      <c r="K287" s="182" t="e">
        <f t="shared" si="19"/>
        <v>#NUM!</v>
      </c>
      <c r="L287" s="182"/>
      <c r="M287" s="184">
        <f t="shared" si="20"/>
        <v>0</v>
      </c>
    </row>
    <row r="288" spans="1:13" x14ac:dyDescent="0.25">
      <c r="A288" s="199"/>
      <c r="G288" s="170"/>
      <c r="H288" s="182">
        <v>283</v>
      </c>
      <c r="I288" s="183" t="str">
        <f t="shared" si="18"/>
        <v/>
      </c>
      <c r="J288" s="182" t="e">
        <f t="shared" si="21"/>
        <v>#NUM!</v>
      </c>
      <c r="K288" s="182" t="e">
        <f t="shared" si="19"/>
        <v>#NUM!</v>
      </c>
      <c r="L288" s="182"/>
      <c r="M288" s="184">
        <f t="shared" si="20"/>
        <v>0</v>
      </c>
    </row>
    <row r="289" spans="1:13" x14ac:dyDescent="0.25">
      <c r="A289" s="199"/>
      <c r="G289" s="170"/>
      <c r="H289" s="182">
        <v>284</v>
      </c>
      <c r="I289" s="183" t="str">
        <f t="shared" si="18"/>
        <v/>
      </c>
      <c r="J289" s="182" t="e">
        <f t="shared" si="21"/>
        <v>#NUM!</v>
      </c>
      <c r="K289" s="182" t="e">
        <f t="shared" si="19"/>
        <v>#NUM!</v>
      </c>
      <c r="L289" s="182"/>
      <c r="M289" s="184">
        <f t="shared" si="20"/>
        <v>0</v>
      </c>
    </row>
    <row r="290" spans="1:13" x14ac:dyDescent="0.25">
      <c r="A290" s="199"/>
      <c r="G290" s="170"/>
      <c r="H290" s="182">
        <v>285</v>
      </c>
      <c r="I290" s="183" t="str">
        <f t="shared" si="18"/>
        <v/>
      </c>
      <c r="J290" s="182" t="e">
        <f t="shared" si="21"/>
        <v>#NUM!</v>
      </c>
      <c r="K290" s="182" t="e">
        <f t="shared" si="19"/>
        <v>#NUM!</v>
      </c>
      <c r="L290" s="182"/>
      <c r="M290" s="184">
        <f t="shared" si="20"/>
        <v>0</v>
      </c>
    </row>
    <row r="291" spans="1:13" x14ac:dyDescent="0.25">
      <c r="A291" s="199"/>
      <c r="G291" s="170"/>
      <c r="H291" s="182">
        <v>286</v>
      </c>
      <c r="I291" s="183" t="str">
        <f t="shared" si="18"/>
        <v/>
      </c>
      <c r="J291" s="182" t="e">
        <f t="shared" si="21"/>
        <v>#NUM!</v>
      </c>
      <c r="K291" s="182" t="e">
        <f t="shared" si="19"/>
        <v>#NUM!</v>
      </c>
      <c r="L291" s="182"/>
      <c r="M291" s="184">
        <f t="shared" si="20"/>
        <v>0</v>
      </c>
    </row>
    <row r="292" spans="1:13" x14ac:dyDescent="0.25">
      <c r="A292" s="199"/>
      <c r="G292" s="170"/>
      <c r="H292" s="182">
        <v>287</v>
      </c>
      <c r="I292" s="183" t="str">
        <f t="shared" si="18"/>
        <v/>
      </c>
      <c r="J292" s="182" t="e">
        <f t="shared" si="21"/>
        <v>#NUM!</v>
      </c>
      <c r="K292" s="182" t="e">
        <f t="shared" si="19"/>
        <v>#NUM!</v>
      </c>
      <c r="L292" s="182"/>
      <c r="M292" s="184">
        <f t="shared" si="20"/>
        <v>0</v>
      </c>
    </row>
    <row r="293" spans="1:13" x14ac:dyDescent="0.25">
      <c r="A293" s="199"/>
      <c r="G293" s="170"/>
      <c r="H293" s="182">
        <v>288</v>
      </c>
      <c r="I293" s="183" t="str">
        <f t="shared" si="18"/>
        <v/>
      </c>
      <c r="J293" s="182" t="e">
        <f t="shared" si="21"/>
        <v>#NUM!</v>
      </c>
      <c r="K293" s="182" t="e">
        <f t="shared" si="19"/>
        <v>#NUM!</v>
      </c>
      <c r="L293" s="182"/>
      <c r="M293" s="184">
        <f t="shared" si="20"/>
        <v>0</v>
      </c>
    </row>
    <row r="294" spans="1:13" x14ac:dyDescent="0.25">
      <c r="A294" s="199"/>
      <c r="G294" s="170"/>
      <c r="H294" s="182">
        <v>289</v>
      </c>
      <c r="I294" s="183" t="str">
        <f t="shared" si="18"/>
        <v/>
      </c>
      <c r="J294" s="182" t="e">
        <f t="shared" si="21"/>
        <v>#NUM!</v>
      </c>
      <c r="K294" s="182" t="e">
        <f t="shared" si="19"/>
        <v>#NUM!</v>
      </c>
      <c r="L294" s="182"/>
      <c r="M294" s="184">
        <f t="shared" si="20"/>
        <v>0</v>
      </c>
    </row>
    <row r="295" spans="1:13" x14ac:dyDescent="0.25">
      <c r="A295" s="199"/>
      <c r="G295" s="170"/>
      <c r="H295" s="182">
        <v>290</v>
      </c>
      <c r="I295" s="183" t="str">
        <f t="shared" si="18"/>
        <v/>
      </c>
      <c r="J295" s="182" t="e">
        <f t="shared" si="21"/>
        <v>#NUM!</v>
      </c>
      <c r="K295" s="182" t="e">
        <f t="shared" si="19"/>
        <v>#NUM!</v>
      </c>
      <c r="L295" s="182"/>
      <c r="M295" s="184">
        <f t="shared" si="20"/>
        <v>0</v>
      </c>
    </row>
    <row r="296" spans="1:13" x14ac:dyDescent="0.25">
      <c r="A296" s="199"/>
      <c r="G296" s="170"/>
      <c r="H296" s="182">
        <v>291</v>
      </c>
      <c r="I296" s="183" t="str">
        <f t="shared" si="18"/>
        <v/>
      </c>
      <c r="J296" s="182" t="e">
        <f t="shared" si="21"/>
        <v>#NUM!</v>
      </c>
      <c r="K296" s="182" t="e">
        <f t="shared" si="19"/>
        <v>#NUM!</v>
      </c>
      <c r="L296" s="182"/>
      <c r="M296" s="184">
        <f t="shared" si="20"/>
        <v>0</v>
      </c>
    </row>
    <row r="297" spans="1:13" x14ac:dyDescent="0.25">
      <c r="A297" s="199"/>
      <c r="G297" s="170"/>
      <c r="H297" s="182">
        <v>292</v>
      </c>
      <c r="I297" s="183" t="str">
        <f t="shared" si="18"/>
        <v/>
      </c>
      <c r="J297" s="182" t="e">
        <f t="shared" si="21"/>
        <v>#NUM!</v>
      </c>
      <c r="K297" s="182" t="e">
        <f t="shared" si="19"/>
        <v>#NUM!</v>
      </c>
      <c r="L297" s="182"/>
      <c r="M297" s="184">
        <f t="shared" si="20"/>
        <v>0</v>
      </c>
    </row>
    <row r="298" spans="1:13" x14ac:dyDescent="0.25">
      <c r="A298" s="199"/>
      <c r="G298" s="170"/>
      <c r="H298" s="182">
        <v>293</v>
      </c>
      <c r="I298" s="183" t="str">
        <f t="shared" si="18"/>
        <v/>
      </c>
      <c r="J298" s="182" t="e">
        <f t="shared" si="21"/>
        <v>#NUM!</v>
      </c>
      <c r="K298" s="182" t="e">
        <f t="shared" si="19"/>
        <v>#NUM!</v>
      </c>
      <c r="L298" s="182"/>
      <c r="M298" s="184">
        <f t="shared" si="20"/>
        <v>0</v>
      </c>
    </row>
    <row r="299" spans="1:13" x14ac:dyDescent="0.25">
      <c r="A299" s="199"/>
      <c r="G299" s="170"/>
      <c r="H299" s="182">
        <v>294</v>
      </c>
      <c r="I299" s="183" t="str">
        <f t="shared" si="18"/>
        <v/>
      </c>
      <c r="J299" s="182" t="e">
        <f t="shared" si="21"/>
        <v>#NUM!</v>
      </c>
      <c r="K299" s="182" t="e">
        <f t="shared" si="19"/>
        <v>#NUM!</v>
      </c>
      <c r="L299" s="182"/>
      <c r="M299" s="184">
        <f t="shared" si="20"/>
        <v>0</v>
      </c>
    </row>
    <row r="300" spans="1:13" x14ac:dyDescent="0.25">
      <c r="A300" s="199"/>
      <c r="G300" s="170"/>
      <c r="H300" s="182">
        <v>295</v>
      </c>
      <c r="I300" s="183" t="str">
        <f t="shared" si="18"/>
        <v/>
      </c>
      <c r="J300" s="182" t="e">
        <f t="shared" si="21"/>
        <v>#NUM!</v>
      </c>
      <c r="K300" s="182" t="e">
        <f t="shared" si="19"/>
        <v>#NUM!</v>
      </c>
      <c r="L300" s="182"/>
      <c r="M300" s="184">
        <f t="shared" si="20"/>
        <v>0</v>
      </c>
    </row>
    <row r="301" spans="1:13" x14ac:dyDescent="0.25">
      <c r="A301" s="199"/>
      <c r="G301" s="170"/>
      <c r="H301" s="182">
        <v>296</v>
      </c>
      <c r="I301" s="183" t="str">
        <f t="shared" si="18"/>
        <v/>
      </c>
      <c r="J301" s="182" t="e">
        <f t="shared" si="21"/>
        <v>#NUM!</v>
      </c>
      <c r="K301" s="182" t="e">
        <f t="shared" si="19"/>
        <v>#NUM!</v>
      </c>
      <c r="L301" s="182"/>
      <c r="M301" s="184">
        <f t="shared" si="20"/>
        <v>0</v>
      </c>
    </row>
    <row r="302" spans="1:13" x14ac:dyDescent="0.25">
      <c r="A302" s="199"/>
      <c r="G302" s="170"/>
      <c r="H302" s="182">
        <v>297</v>
      </c>
      <c r="I302" s="183" t="str">
        <f t="shared" si="18"/>
        <v/>
      </c>
      <c r="J302" s="182" t="e">
        <f t="shared" si="21"/>
        <v>#NUM!</v>
      </c>
      <c r="K302" s="182" t="e">
        <f t="shared" si="19"/>
        <v>#NUM!</v>
      </c>
      <c r="L302" s="182"/>
      <c r="M302" s="184">
        <f t="shared" si="20"/>
        <v>0</v>
      </c>
    </row>
    <row r="303" spans="1:13" x14ac:dyDescent="0.25">
      <c r="A303" s="199"/>
      <c r="G303" s="170"/>
      <c r="H303" s="182">
        <v>298</v>
      </c>
      <c r="I303" s="183" t="str">
        <f t="shared" si="18"/>
        <v/>
      </c>
      <c r="J303" s="182" t="e">
        <f t="shared" si="21"/>
        <v>#NUM!</v>
      </c>
      <c r="K303" s="182" t="e">
        <f t="shared" si="19"/>
        <v>#NUM!</v>
      </c>
      <c r="L303" s="182"/>
      <c r="M303" s="184">
        <f t="shared" si="20"/>
        <v>0</v>
      </c>
    </row>
    <row r="304" spans="1:13" x14ac:dyDescent="0.25">
      <c r="A304" s="199"/>
      <c r="G304" s="170"/>
      <c r="H304" s="182">
        <v>299</v>
      </c>
      <c r="I304" s="183" t="str">
        <f t="shared" si="18"/>
        <v/>
      </c>
      <c r="J304" s="182" t="e">
        <f t="shared" si="21"/>
        <v>#NUM!</v>
      </c>
      <c r="K304" s="182" t="e">
        <f t="shared" si="19"/>
        <v>#NUM!</v>
      </c>
      <c r="L304" s="182"/>
      <c r="M304" s="184">
        <f t="shared" si="20"/>
        <v>0</v>
      </c>
    </row>
    <row r="305" spans="1:16" x14ac:dyDescent="0.25">
      <c r="A305" s="199"/>
      <c r="G305" s="170"/>
      <c r="H305" s="182">
        <v>300</v>
      </c>
      <c r="I305" s="183" t="str">
        <f t="shared" si="18"/>
        <v/>
      </c>
      <c r="J305" s="182" t="e">
        <f t="shared" si="21"/>
        <v>#NUM!</v>
      </c>
      <c r="K305" s="182" t="e">
        <f t="shared" si="19"/>
        <v>#NUM!</v>
      </c>
      <c r="L305" s="182"/>
      <c r="M305" s="184">
        <f t="shared" si="20"/>
        <v>0</v>
      </c>
    </row>
    <row r="306" spans="1:16" x14ac:dyDescent="0.25">
      <c r="A306" s="200"/>
      <c r="J306" s="201" t="e">
        <f t="shared" si="21"/>
        <v>#NUM!</v>
      </c>
    </row>
    <row r="307" spans="1:16" x14ac:dyDescent="0.25">
      <c r="J307" s="201" t="e">
        <f t="shared" si="21"/>
        <v>#NUM!</v>
      </c>
    </row>
    <row r="308" spans="1:16" x14ac:dyDescent="0.25">
      <c r="J308" s="201" t="e">
        <f t="shared" si="21"/>
        <v>#NUM!</v>
      </c>
    </row>
    <row r="309" spans="1:16" x14ac:dyDescent="0.25">
      <c r="J309" s="201" t="e">
        <f t="shared" si="21"/>
        <v>#NUM!</v>
      </c>
    </row>
    <row r="310" spans="1:16" x14ac:dyDescent="0.25">
      <c r="J310" s="201" t="e">
        <f t="shared" si="21"/>
        <v>#NUM!</v>
      </c>
    </row>
    <row r="311" spans="1:16" x14ac:dyDescent="0.25">
      <c r="J311" s="201" t="e">
        <f t="shared" si="21"/>
        <v>#NUM!</v>
      </c>
    </row>
    <row r="312" spans="1:16" x14ac:dyDescent="0.25">
      <c r="J312" s="201" t="e">
        <f t="shared" si="21"/>
        <v>#NUM!</v>
      </c>
    </row>
    <row r="313" spans="1:16" x14ac:dyDescent="0.25">
      <c r="J313" s="201" t="e">
        <f t="shared" si="21"/>
        <v>#NUM!</v>
      </c>
    </row>
    <row r="314" spans="1:16" x14ac:dyDescent="0.25">
      <c r="J314" s="201" t="e">
        <f t="shared" si="21"/>
        <v>#NUM!</v>
      </c>
      <c r="L314" s="203"/>
      <c r="P314" s="193"/>
    </row>
    <row r="315" spans="1:16" x14ac:dyDescent="0.25">
      <c r="J315" s="201" t="e">
        <f t="shared" si="21"/>
        <v>#NUM!</v>
      </c>
      <c r="L315" s="203"/>
      <c r="P315" s="193"/>
    </row>
    <row r="316" spans="1:16" x14ac:dyDescent="0.25">
      <c r="J316" s="201" t="e">
        <f t="shared" si="21"/>
        <v>#NUM!</v>
      </c>
      <c r="L316" s="203"/>
      <c r="P316" s="193"/>
    </row>
    <row r="317" spans="1:16" x14ac:dyDescent="0.25">
      <c r="J317" s="201" t="e">
        <f t="shared" si="21"/>
        <v>#NUM!</v>
      </c>
      <c r="L317" s="203"/>
      <c r="P317" s="193"/>
    </row>
    <row r="318" spans="1:16" x14ac:dyDescent="0.25">
      <c r="J318" s="201" t="e">
        <f t="shared" si="21"/>
        <v>#NUM!</v>
      </c>
    </row>
    <row r="319" spans="1:16" x14ac:dyDescent="0.25">
      <c r="J319" s="201" t="e">
        <f t="shared" si="21"/>
        <v>#NUM!</v>
      </c>
    </row>
    <row r="320" spans="1:16" x14ac:dyDescent="0.25">
      <c r="J320" s="201" t="e">
        <f t="shared" si="21"/>
        <v>#NUM!</v>
      </c>
    </row>
    <row r="321" spans="10:10" x14ac:dyDescent="0.25">
      <c r="J321" s="201" t="e">
        <f t="shared" si="21"/>
        <v>#NUM!</v>
      </c>
    </row>
    <row r="322" spans="10:10" x14ac:dyDescent="0.25">
      <c r="J322" s="201" t="e">
        <f t="shared" si="21"/>
        <v>#NUM!</v>
      </c>
    </row>
    <row r="323" spans="10:10" x14ac:dyDescent="0.25">
      <c r="J323" s="201" t="e">
        <f t="shared" si="21"/>
        <v>#NUM!</v>
      </c>
    </row>
    <row r="324" spans="10:10" x14ac:dyDescent="0.25">
      <c r="J324" s="201" t="e">
        <f t="shared" si="21"/>
        <v>#NUM!</v>
      </c>
    </row>
    <row r="325" spans="10:10" x14ac:dyDescent="0.25">
      <c r="J325" s="201" t="e">
        <f t="shared" si="21"/>
        <v>#NUM!</v>
      </c>
    </row>
    <row r="326" spans="10:10" x14ac:dyDescent="0.25">
      <c r="J326" s="201" t="e">
        <f t="shared" si="21"/>
        <v>#NUM!</v>
      </c>
    </row>
    <row r="327" spans="10:10" x14ac:dyDescent="0.25">
      <c r="J327" s="20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1" t="e">
        <f t="shared" si="22"/>
        <v>#NUM!</v>
      </c>
    </row>
    <row r="329" spans="10:10" x14ac:dyDescent="0.25">
      <c r="J329" s="201" t="e">
        <f t="shared" si="22"/>
        <v>#NUM!</v>
      </c>
    </row>
    <row r="330" spans="10:10" x14ac:dyDescent="0.25">
      <c r="J330" s="201" t="e">
        <f t="shared" si="22"/>
        <v>#NUM!</v>
      </c>
    </row>
    <row r="331" spans="10:10" x14ac:dyDescent="0.25">
      <c r="J331" s="201" t="e">
        <f t="shared" si="22"/>
        <v>#NUM!</v>
      </c>
    </row>
    <row r="332" spans="10:10" x14ac:dyDescent="0.25">
      <c r="J332" s="201" t="e">
        <f t="shared" si="22"/>
        <v>#NUM!</v>
      </c>
    </row>
    <row r="333" spans="10:10" x14ac:dyDescent="0.25">
      <c r="J333" s="201" t="e">
        <f t="shared" si="22"/>
        <v>#NUM!</v>
      </c>
    </row>
    <row r="334" spans="10:10" x14ac:dyDescent="0.25">
      <c r="J334" s="201" t="e">
        <f t="shared" si="22"/>
        <v>#NUM!</v>
      </c>
    </row>
    <row r="335" spans="10:10" x14ac:dyDescent="0.25">
      <c r="J335" s="201" t="e">
        <f t="shared" si="22"/>
        <v>#NUM!</v>
      </c>
    </row>
    <row r="336" spans="10:10" x14ac:dyDescent="0.25">
      <c r="J336" s="201" t="e">
        <f t="shared" si="22"/>
        <v>#NUM!</v>
      </c>
    </row>
    <row r="337" spans="10:10" x14ac:dyDescent="0.25">
      <c r="J337" s="201" t="e">
        <f t="shared" si="22"/>
        <v>#NUM!</v>
      </c>
    </row>
    <row r="338" spans="10:10" x14ac:dyDescent="0.25">
      <c r="J338" s="201" t="e">
        <f t="shared" si="22"/>
        <v>#NUM!</v>
      </c>
    </row>
    <row r="339" spans="10:10" x14ac:dyDescent="0.25">
      <c r="J339" s="201" t="e">
        <f t="shared" si="22"/>
        <v>#NUM!</v>
      </c>
    </row>
    <row r="340" spans="10:10" x14ac:dyDescent="0.25">
      <c r="J340" s="201" t="e">
        <f t="shared" si="22"/>
        <v>#NUM!</v>
      </c>
    </row>
    <row r="341" spans="10:10" x14ac:dyDescent="0.25">
      <c r="J341" s="201" t="e">
        <f t="shared" si="22"/>
        <v>#NUM!</v>
      </c>
    </row>
    <row r="342" spans="10:10" x14ac:dyDescent="0.25">
      <c r="J342" s="201" t="e">
        <f t="shared" si="22"/>
        <v>#NUM!</v>
      </c>
    </row>
    <row r="343" spans="10:10" x14ac:dyDescent="0.25">
      <c r="J343" s="201" t="e">
        <f t="shared" si="22"/>
        <v>#NUM!</v>
      </c>
    </row>
    <row r="344" spans="10:10" x14ac:dyDescent="0.25">
      <c r="J344" s="201" t="e">
        <f t="shared" si="22"/>
        <v>#NUM!</v>
      </c>
    </row>
    <row r="345" spans="10:10" x14ac:dyDescent="0.25">
      <c r="J345" s="201" t="e">
        <f t="shared" si="22"/>
        <v>#NUM!</v>
      </c>
    </row>
    <row r="346" spans="10:10" x14ac:dyDescent="0.25">
      <c r="J346" s="201" t="e">
        <f t="shared" si="22"/>
        <v>#NUM!</v>
      </c>
    </row>
    <row r="347" spans="10:10" x14ac:dyDescent="0.25">
      <c r="J347" s="201" t="e">
        <f t="shared" si="22"/>
        <v>#NUM!</v>
      </c>
    </row>
    <row r="348" spans="10:10" x14ac:dyDescent="0.25">
      <c r="J348" s="201" t="e">
        <f t="shared" si="22"/>
        <v>#NUM!</v>
      </c>
    </row>
    <row r="349" spans="10:10" x14ac:dyDescent="0.25">
      <c r="J349" s="201" t="e">
        <f t="shared" si="22"/>
        <v>#NUM!</v>
      </c>
    </row>
    <row r="350" spans="10:10" x14ac:dyDescent="0.25">
      <c r="J350" s="201" t="e">
        <f t="shared" si="22"/>
        <v>#NUM!</v>
      </c>
    </row>
    <row r="351" spans="10:10" x14ac:dyDescent="0.25">
      <c r="J351" s="201" t="e">
        <f t="shared" si="22"/>
        <v>#NUM!</v>
      </c>
    </row>
    <row r="352" spans="10:10" x14ac:dyDescent="0.25">
      <c r="J352" s="201" t="e">
        <f t="shared" si="22"/>
        <v>#NUM!</v>
      </c>
    </row>
    <row r="353" spans="10:10" x14ac:dyDescent="0.25">
      <c r="J353" s="201" t="e">
        <f t="shared" si="22"/>
        <v>#NUM!</v>
      </c>
    </row>
    <row r="354" spans="10:10" x14ac:dyDescent="0.25">
      <c r="J354" s="201" t="e">
        <f t="shared" si="22"/>
        <v>#NUM!</v>
      </c>
    </row>
    <row r="355" spans="10:10" x14ac:dyDescent="0.25">
      <c r="J355" s="201" t="e">
        <f t="shared" si="22"/>
        <v>#NUM!</v>
      </c>
    </row>
    <row r="356" spans="10:10" x14ac:dyDescent="0.25">
      <c r="J356" s="201" t="e">
        <f t="shared" si="22"/>
        <v>#NUM!</v>
      </c>
    </row>
    <row r="357" spans="10:10" x14ac:dyDescent="0.25">
      <c r="J357" s="201" t="e">
        <f t="shared" si="22"/>
        <v>#NUM!</v>
      </c>
    </row>
    <row r="358" spans="10:10" x14ac:dyDescent="0.25">
      <c r="J358" s="201" t="e">
        <f t="shared" si="22"/>
        <v>#NUM!</v>
      </c>
    </row>
    <row r="359" spans="10:10" x14ac:dyDescent="0.25">
      <c r="J359" s="201" t="e">
        <f t="shared" si="22"/>
        <v>#NUM!</v>
      </c>
    </row>
    <row r="360" spans="10:10" x14ac:dyDescent="0.25">
      <c r="J360" s="201" t="e">
        <f t="shared" si="22"/>
        <v>#NUM!</v>
      </c>
    </row>
    <row r="361" spans="10:10" x14ac:dyDescent="0.25">
      <c r="J361" s="201" t="e">
        <f t="shared" si="22"/>
        <v>#NUM!</v>
      </c>
    </row>
    <row r="362" spans="10:10" x14ac:dyDescent="0.25">
      <c r="J362" s="201" t="e">
        <f t="shared" si="22"/>
        <v>#NUM!</v>
      </c>
    </row>
    <row r="363" spans="10:10" x14ac:dyDescent="0.25">
      <c r="J363" s="201" t="e">
        <f t="shared" si="22"/>
        <v>#NUM!</v>
      </c>
    </row>
    <row r="364" spans="10:10" x14ac:dyDescent="0.25">
      <c r="J364" s="201" t="e">
        <f t="shared" si="22"/>
        <v>#NUM!</v>
      </c>
    </row>
    <row r="365" spans="10:10" x14ac:dyDescent="0.25">
      <c r="J365" s="201" t="e">
        <f t="shared" si="22"/>
        <v>#NUM!</v>
      </c>
    </row>
    <row r="366" spans="10:10" x14ac:dyDescent="0.25">
      <c r="J366" s="201" t="e">
        <f t="shared" si="22"/>
        <v>#NUM!</v>
      </c>
    </row>
    <row r="367" spans="10:10" x14ac:dyDescent="0.25">
      <c r="J367" s="201" t="e">
        <f t="shared" si="22"/>
        <v>#NUM!</v>
      </c>
    </row>
    <row r="368" spans="10:10" x14ac:dyDescent="0.25">
      <c r="J368" s="201" t="e">
        <f t="shared" si="22"/>
        <v>#NUM!</v>
      </c>
    </row>
    <row r="369" spans="10:10" x14ac:dyDescent="0.25">
      <c r="J369" s="201" t="e">
        <f t="shared" si="22"/>
        <v>#NUM!</v>
      </c>
    </row>
    <row r="370" spans="10:10" x14ac:dyDescent="0.25">
      <c r="J370" s="201" t="e">
        <f t="shared" si="22"/>
        <v>#NUM!</v>
      </c>
    </row>
    <row r="371" spans="10:10" x14ac:dyDescent="0.25">
      <c r="J371" s="201" t="e">
        <f t="shared" si="22"/>
        <v>#NUM!</v>
      </c>
    </row>
    <row r="372" spans="10:10" x14ac:dyDescent="0.25">
      <c r="J372" s="201" t="e">
        <f t="shared" si="22"/>
        <v>#NUM!</v>
      </c>
    </row>
    <row r="373" spans="10:10" x14ac:dyDescent="0.25">
      <c r="J373" s="201" t="e">
        <f t="shared" si="22"/>
        <v>#NUM!</v>
      </c>
    </row>
    <row r="374" spans="10:10" x14ac:dyDescent="0.25">
      <c r="J374" s="201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BF1A7AF4-9BE7-4018-B77C-69749B79AAC0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BCFB-BBE3-4E20-AC5E-1357C6E5F96E}">
  <sheetPr>
    <tabColor rgb="FF92D050"/>
  </sheetPr>
  <dimension ref="A1:AL374"/>
  <sheetViews>
    <sheetView zoomScaleNormal="100" workbookViewId="0">
      <selection activeCell="C16" sqref="C16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22</v>
      </c>
      <c r="I1" s="172" t="s">
        <v>23</v>
      </c>
      <c r="J1" s="172" t="s">
        <v>24</v>
      </c>
      <c r="K1" s="173" t="s">
        <v>99</v>
      </c>
      <c r="L1" s="174"/>
      <c r="M1" s="174"/>
    </row>
    <row r="2" spans="1:36" x14ac:dyDescent="0.25">
      <c r="A2" s="170"/>
      <c r="B2" s="22" t="s">
        <v>26</v>
      </c>
      <c r="C2" s="130" t="s">
        <v>119</v>
      </c>
      <c r="D2" s="70"/>
      <c r="E2" s="23"/>
      <c r="F2" s="23"/>
      <c r="G2" s="23"/>
      <c r="H2" s="176">
        <v>0</v>
      </c>
      <c r="I2" s="177">
        <v>50</v>
      </c>
      <c r="J2" s="177">
        <v>10</v>
      </c>
      <c r="K2" s="204">
        <f>3*H2^(1/3)</f>
        <v>0</v>
      </c>
      <c r="L2" s="174"/>
      <c r="M2" s="174"/>
    </row>
    <row r="3" spans="1:36" x14ac:dyDescent="0.25">
      <c r="A3" s="170"/>
      <c r="B3" s="179" t="s">
        <v>28</v>
      </c>
      <c r="C3" s="71" t="s">
        <v>120</v>
      </c>
      <c r="D3" s="71"/>
      <c r="E3" s="28"/>
      <c r="F3" s="28"/>
      <c r="G3" s="28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74"/>
      <c r="I4" s="174"/>
      <c r="J4" s="205"/>
      <c r="K4" s="174"/>
      <c r="L4" s="174"/>
      <c r="M4" s="174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80" t="s">
        <v>36</v>
      </c>
      <c r="I5" s="181" t="s">
        <v>37</v>
      </c>
      <c r="J5" s="206" t="s">
        <v>38</v>
      </c>
      <c r="K5" s="181" t="s">
        <v>39</v>
      </c>
      <c r="L5" s="181" t="s">
        <v>40</v>
      </c>
      <c r="M5" s="180" t="s">
        <v>41</v>
      </c>
    </row>
    <row r="6" spans="1:36" ht="14.45" customHeight="1" x14ac:dyDescent="0.25">
      <c r="A6" s="103">
        <f>M6</f>
        <v>0</v>
      </c>
      <c r="B6" s="36" t="str">
        <f>IF(H6&gt;$H$2,"",(ROW()-5))</f>
        <v/>
      </c>
      <c r="C6" s="37"/>
      <c r="D6" s="37"/>
      <c r="E6" s="37"/>
      <c r="F6" s="37" t="s">
        <v>102</v>
      </c>
      <c r="G6" s="30"/>
      <c r="H6" s="182">
        <v>1</v>
      </c>
      <c r="I6" s="183" t="str">
        <f t="shared" ref="I6:I69" si="0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1">J6*$J$2</f>
        <v>#NUM!</v>
      </c>
      <c r="L6" s="184">
        <f>3*K2</f>
        <v>0</v>
      </c>
      <c r="M6" s="184">
        <f t="shared" ref="M6:M69" si="2">IF(I6&lt;&gt;"",K6+I6+L6,0)</f>
        <v>0</v>
      </c>
    </row>
    <row r="7" spans="1:36" ht="14.45" customHeight="1" x14ac:dyDescent="0.25">
      <c r="A7" s="102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102</v>
      </c>
      <c r="G7" s="30"/>
      <c r="H7" s="185">
        <v>2</v>
      </c>
      <c r="I7" s="186" t="str">
        <f t="shared" si="0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1"/>
        <v>#NUM!</v>
      </c>
      <c r="L7" s="187">
        <f>2*K2</f>
        <v>0</v>
      </c>
      <c r="M7" s="187">
        <f t="shared" si="2"/>
        <v>0</v>
      </c>
    </row>
    <row r="8" spans="1:36" ht="14.45" customHeight="1" x14ac:dyDescent="0.25">
      <c r="A8" s="103">
        <f t="shared" si="3"/>
        <v>0</v>
      </c>
      <c r="B8" s="36" t="str">
        <f t="shared" si="4"/>
        <v/>
      </c>
      <c r="C8" s="37"/>
      <c r="D8" s="37"/>
      <c r="E8" s="37"/>
      <c r="F8" s="37" t="s">
        <v>102</v>
      </c>
      <c r="G8" s="30"/>
      <c r="H8" s="182">
        <v>3</v>
      </c>
      <c r="I8" s="183" t="str">
        <f t="shared" si="0"/>
        <v/>
      </c>
      <c r="J8" s="182" t="e">
        <f t="shared" si="5"/>
        <v>#NUM!</v>
      </c>
      <c r="K8" s="182" t="e">
        <f t="shared" si="1"/>
        <v>#NUM!</v>
      </c>
      <c r="L8" s="184">
        <f>K2</f>
        <v>0</v>
      </c>
      <c r="M8" s="184">
        <f t="shared" si="2"/>
        <v>0</v>
      </c>
    </row>
    <row r="9" spans="1:36" s="175" customFormat="1" ht="14.45" customHeight="1" x14ac:dyDescent="0.25">
      <c r="A9" s="102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185">
        <v>3</v>
      </c>
      <c r="I9" s="186" t="str">
        <f t="shared" si="0"/>
        <v/>
      </c>
      <c r="J9" s="185" t="e">
        <f t="shared" si="5"/>
        <v>#NUM!</v>
      </c>
      <c r="K9" s="185" t="e">
        <f t="shared" si="1"/>
        <v>#NUM!</v>
      </c>
      <c r="L9" s="187">
        <f>K2</f>
        <v>0</v>
      </c>
      <c r="M9" s="187">
        <f t="shared" si="2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42</v>
      </c>
      <c r="AI9" s="175">
        <v>23</v>
      </c>
    </row>
    <row r="10" spans="1:36" ht="14.45" customHeight="1" x14ac:dyDescent="0.25">
      <c r="A10" s="103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182">
        <v>5</v>
      </c>
      <c r="I10" s="183" t="str">
        <f t="shared" si="0"/>
        <v/>
      </c>
      <c r="J10" s="182" t="e">
        <f t="shared" si="5"/>
        <v>#NUM!</v>
      </c>
      <c r="K10" s="182" t="e">
        <f t="shared" si="1"/>
        <v>#NUM!</v>
      </c>
      <c r="L10" s="182"/>
      <c r="M10" s="184">
        <f t="shared" si="2"/>
        <v>0</v>
      </c>
      <c r="V10" s="188"/>
      <c r="Z10" s="189"/>
      <c r="AA10" s="189"/>
      <c r="AG10" s="190"/>
      <c r="AH10" s="175" t="s">
        <v>43</v>
      </c>
      <c r="AI10" s="175">
        <v>45</v>
      </c>
    </row>
    <row r="11" spans="1:36" ht="14.45" customHeight="1" x14ac:dyDescent="0.25">
      <c r="A11" s="102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185">
        <v>6</v>
      </c>
      <c r="I11" s="186" t="str">
        <f t="shared" si="0"/>
        <v/>
      </c>
      <c r="J11" s="185" t="e">
        <f t="shared" si="5"/>
        <v>#NUM!</v>
      </c>
      <c r="K11" s="185" t="e">
        <f t="shared" si="1"/>
        <v>#NUM!</v>
      </c>
      <c r="L11" s="185"/>
      <c r="M11" s="187">
        <f t="shared" si="2"/>
        <v>0</v>
      </c>
      <c r="V11" s="191"/>
      <c r="Z11" s="189"/>
      <c r="AA11" s="189"/>
      <c r="AG11" s="190"/>
      <c r="AH11" s="175" t="s">
        <v>44</v>
      </c>
      <c r="AI11" s="175">
        <v>50</v>
      </c>
    </row>
    <row r="12" spans="1:36" ht="14.45" customHeight="1" x14ac:dyDescent="0.25">
      <c r="A12" s="103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182">
        <v>7</v>
      </c>
      <c r="I12" s="183" t="str">
        <f t="shared" si="0"/>
        <v/>
      </c>
      <c r="J12" s="182" t="e">
        <f t="shared" si="5"/>
        <v>#NUM!</v>
      </c>
      <c r="K12" s="182" t="e">
        <f t="shared" si="1"/>
        <v>#NUM!</v>
      </c>
      <c r="L12" s="182"/>
      <c r="M12" s="184">
        <f t="shared" si="2"/>
        <v>0</v>
      </c>
      <c r="Z12" s="189"/>
      <c r="AA12" s="189"/>
      <c r="AG12" s="190"/>
      <c r="AH12" s="175" t="s">
        <v>45</v>
      </c>
      <c r="AI12" s="175">
        <f>AI11-1</f>
        <v>49</v>
      </c>
    </row>
    <row r="13" spans="1:36" ht="14.45" customHeight="1" x14ac:dyDescent="0.25">
      <c r="A13" s="102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185">
        <v>8</v>
      </c>
      <c r="I13" s="186" t="str">
        <f t="shared" si="0"/>
        <v/>
      </c>
      <c r="J13" s="185" t="e">
        <f t="shared" si="5"/>
        <v>#NUM!</v>
      </c>
      <c r="K13" s="185" t="e">
        <f t="shared" si="1"/>
        <v>#NUM!</v>
      </c>
      <c r="L13" s="185"/>
      <c r="M13" s="187">
        <f t="shared" si="2"/>
        <v>0</v>
      </c>
      <c r="X13" s="188"/>
      <c r="AG13" s="190"/>
      <c r="AH13" s="175" t="s">
        <v>46</v>
      </c>
      <c r="AI13" s="175">
        <f>LOG(AI9)</f>
        <v>1.3617278360175928</v>
      </c>
    </row>
    <row r="14" spans="1:36" x14ac:dyDescent="0.25">
      <c r="A14" s="103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182">
        <v>9</v>
      </c>
      <c r="I14" s="183" t="str">
        <f t="shared" si="0"/>
        <v/>
      </c>
      <c r="J14" s="182" t="e">
        <f t="shared" si="5"/>
        <v>#NUM!</v>
      </c>
      <c r="K14" s="182" t="e">
        <f t="shared" si="1"/>
        <v>#NUM!</v>
      </c>
      <c r="L14" s="182"/>
      <c r="M14" s="184">
        <f t="shared" si="2"/>
        <v>0</v>
      </c>
      <c r="X14" s="192"/>
      <c r="Z14" s="189"/>
      <c r="AA14" s="189"/>
      <c r="AG14" s="190"/>
      <c r="AH14" s="175" t="s">
        <v>47</v>
      </c>
      <c r="AI14" s="175">
        <f>LOG(AI10)</f>
        <v>1.6532125137753437</v>
      </c>
    </row>
    <row r="15" spans="1:36" x14ac:dyDescent="0.25">
      <c r="A15" s="102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185">
        <v>10</v>
      </c>
      <c r="I15" s="186" t="str">
        <f t="shared" si="0"/>
        <v/>
      </c>
      <c r="J15" s="185" t="e">
        <f t="shared" si="5"/>
        <v>#NUM!</v>
      </c>
      <c r="K15" s="185" t="e">
        <f t="shared" si="1"/>
        <v>#NUM!</v>
      </c>
      <c r="L15" s="185"/>
      <c r="M15" s="187">
        <f t="shared" si="2"/>
        <v>0</v>
      </c>
      <c r="X15" s="188"/>
      <c r="Z15" s="189"/>
      <c r="AA15" s="189"/>
    </row>
    <row r="16" spans="1:36" x14ac:dyDescent="0.25">
      <c r="A16" s="103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182">
        <v>11</v>
      </c>
      <c r="I16" s="183" t="str">
        <f t="shared" si="0"/>
        <v/>
      </c>
      <c r="J16" s="182" t="e">
        <f t="shared" si="5"/>
        <v>#NUM!</v>
      </c>
      <c r="K16" s="182" t="e">
        <f t="shared" si="1"/>
        <v>#NUM!</v>
      </c>
      <c r="L16" s="182"/>
      <c r="M16" s="184">
        <f t="shared" si="2"/>
        <v>0</v>
      </c>
      <c r="R16" s="193"/>
      <c r="Z16" s="189"/>
      <c r="AA16" s="189"/>
      <c r="AH16" s="194" t="s">
        <v>48</v>
      </c>
      <c r="AI16" s="175">
        <f>AI11-AI12*AI13/AI14</f>
        <v>9.6393909380186855</v>
      </c>
      <c r="AJ16" s="175" t="s">
        <v>49</v>
      </c>
    </row>
    <row r="17" spans="1:19" x14ac:dyDescent="0.25">
      <c r="A17" s="102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185">
        <v>12</v>
      </c>
      <c r="I17" s="186" t="str">
        <f t="shared" si="0"/>
        <v/>
      </c>
      <c r="J17" s="185" t="e">
        <f t="shared" si="5"/>
        <v>#NUM!</v>
      </c>
      <c r="K17" s="185" t="e">
        <f t="shared" si="1"/>
        <v>#NUM!</v>
      </c>
      <c r="L17" s="185"/>
      <c r="M17" s="187">
        <f t="shared" si="2"/>
        <v>0</v>
      </c>
    </row>
    <row r="18" spans="1:19" x14ac:dyDescent="0.25">
      <c r="A18" s="103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182">
        <v>13</v>
      </c>
      <c r="I18" s="183" t="str">
        <f t="shared" si="0"/>
        <v/>
      </c>
      <c r="J18" s="182" t="e">
        <f t="shared" si="5"/>
        <v>#NUM!</v>
      </c>
      <c r="K18" s="182" t="e">
        <f t="shared" si="1"/>
        <v>#NUM!</v>
      </c>
      <c r="L18" s="182"/>
      <c r="M18" s="184">
        <f t="shared" si="2"/>
        <v>0</v>
      </c>
    </row>
    <row r="19" spans="1:19" x14ac:dyDescent="0.25">
      <c r="A19" s="102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185">
        <v>14</v>
      </c>
      <c r="I19" s="186" t="str">
        <f t="shared" si="0"/>
        <v/>
      </c>
      <c r="J19" s="185" t="e">
        <f t="shared" si="5"/>
        <v>#NUM!</v>
      </c>
      <c r="K19" s="185" t="e">
        <f t="shared" si="1"/>
        <v>#NUM!</v>
      </c>
      <c r="L19" s="185"/>
      <c r="M19" s="187">
        <f t="shared" si="2"/>
        <v>0</v>
      </c>
    </row>
    <row r="20" spans="1:19" x14ac:dyDescent="0.25">
      <c r="A20" s="103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182">
        <v>15</v>
      </c>
      <c r="I20" s="183" t="str">
        <f t="shared" si="0"/>
        <v/>
      </c>
      <c r="J20" s="182" t="e">
        <f t="shared" si="5"/>
        <v>#NUM!</v>
      </c>
      <c r="K20" s="182" t="e">
        <f t="shared" si="1"/>
        <v>#NUM!</v>
      </c>
      <c r="L20" s="182"/>
      <c r="M20" s="184">
        <f t="shared" si="2"/>
        <v>0</v>
      </c>
      <c r="R20" s="195"/>
      <c r="S20" s="196"/>
    </row>
    <row r="21" spans="1:19" x14ac:dyDescent="0.25">
      <c r="A21" s="102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185">
        <v>16</v>
      </c>
      <c r="I21" s="186" t="str">
        <f t="shared" si="0"/>
        <v/>
      </c>
      <c r="J21" s="185" t="e">
        <f t="shared" si="5"/>
        <v>#NUM!</v>
      </c>
      <c r="K21" s="185" t="e">
        <f t="shared" si="1"/>
        <v>#NUM!</v>
      </c>
      <c r="L21" s="185"/>
      <c r="M21" s="187">
        <f t="shared" si="2"/>
        <v>0</v>
      </c>
    </row>
    <row r="22" spans="1:19" x14ac:dyDescent="0.25">
      <c r="A22" s="103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182">
        <v>17</v>
      </c>
      <c r="I22" s="183" t="str">
        <f t="shared" si="0"/>
        <v/>
      </c>
      <c r="J22" s="182" t="e">
        <f t="shared" si="5"/>
        <v>#NUM!</v>
      </c>
      <c r="K22" s="182" t="e">
        <f t="shared" si="1"/>
        <v>#NUM!</v>
      </c>
      <c r="L22" s="182"/>
      <c r="M22" s="184">
        <f t="shared" si="2"/>
        <v>0</v>
      </c>
    </row>
    <row r="23" spans="1:19" x14ac:dyDescent="0.25">
      <c r="A23" s="102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185">
        <v>18</v>
      </c>
      <c r="I23" s="186" t="str">
        <f t="shared" si="0"/>
        <v/>
      </c>
      <c r="J23" s="185" t="e">
        <f t="shared" si="5"/>
        <v>#NUM!</v>
      </c>
      <c r="K23" s="185" t="e">
        <f t="shared" si="1"/>
        <v>#NUM!</v>
      </c>
      <c r="L23" s="185"/>
      <c r="M23" s="187">
        <f t="shared" si="2"/>
        <v>0</v>
      </c>
    </row>
    <row r="24" spans="1:19" x14ac:dyDescent="0.25">
      <c r="A24" s="103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182">
        <v>19</v>
      </c>
      <c r="I24" s="183" t="str">
        <f t="shared" si="0"/>
        <v/>
      </c>
      <c r="J24" s="182" t="e">
        <f t="shared" si="5"/>
        <v>#NUM!</v>
      </c>
      <c r="K24" s="182" t="e">
        <f t="shared" si="1"/>
        <v>#NUM!</v>
      </c>
      <c r="L24" s="182"/>
      <c r="M24" s="184">
        <f t="shared" si="2"/>
        <v>0</v>
      </c>
      <c r="R24" s="195"/>
      <c r="S24" s="196"/>
    </row>
    <row r="25" spans="1:19" x14ac:dyDescent="0.25">
      <c r="A25" s="102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185">
        <v>20</v>
      </c>
      <c r="I25" s="186" t="str">
        <f t="shared" si="0"/>
        <v/>
      </c>
      <c r="J25" s="185" t="e">
        <f t="shared" si="5"/>
        <v>#NUM!</v>
      </c>
      <c r="K25" s="185" t="e">
        <f t="shared" si="1"/>
        <v>#NUM!</v>
      </c>
      <c r="L25" s="185"/>
      <c r="M25" s="187">
        <f t="shared" si="2"/>
        <v>0</v>
      </c>
    </row>
    <row r="26" spans="1:19" x14ac:dyDescent="0.25">
      <c r="A26" s="103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182">
        <v>21</v>
      </c>
      <c r="I26" s="183" t="str">
        <f t="shared" si="0"/>
        <v/>
      </c>
      <c r="J26" s="182" t="e">
        <f t="shared" si="5"/>
        <v>#NUM!</v>
      </c>
      <c r="K26" s="182" t="e">
        <f t="shared" si="1"/>
        <v>#NUM!</v>
      </c>
      <c r="L26" s="182"/>
      <c r="M26" s="184">
        <f t="shared" si="2"/>
        <v>0</v>
      </c>
    </row>
    <row r="27" spans="1:19" x14ac:dyDescent="0.25">
      <c r="A27" s="102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185">
        <v>22</v>
      </c>
      <c r="I27" s="186" t="str">
        <f t="shared" si="0"/>
        <v/>
      </c>
      <c r="J27" s="185" t="e">
        <f t="shared" si="5"/>
        <v>#NUM!</v>
      </c>
      <c r="K27" s="185" t="e">
        <f t="shared" si="1"/>
        <v>#NUM!</v>
      </c>
      <c r="L27" s="185"/>
      <c r="M27" s="187">
        <f t="shared" si="2"/>
        <v>0</v>
      </c>
    </row>
    <row r="28" spans="1:19" x14ac:dyDescent="0.25">
      <c r="A28" s="103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182">
        <v>23</v>
      </c>
      <c r="I28" s="183" t="str">
        <f t="shared" si="0"/>
        <v/>
      </c>
      <c r="J28" s="182" t="e">
        <f t="shared" si="5"/>
        <v>#NUM!</v>
      </c>
      <c r="K28" s="182" t="e">
        <f t="shared" si="1"/>
        <v>#NUM!</v>
      </c>
      <c r="L28" s="182"/>
      <c r="M28" s="184">
        <f t="shared" si="2"/>
        <v>0</v>
      </c>
      <c r="R28" s="195"/>
      <c r="S28" s="196"/>
    </row>
    <row r="29" spans="1:19" x14ac:dyDescent="0.25">
      <c r="A29" s="102">
        <f t="shared" si="3"/>
        <v>0</v>
      </c>
      <c r="B29" s="42" t="str">
        <f t="shared" si="4"/>
        <v/>
      </c>
      <c r="C29" s="43"/>
      <c r="D29" s="43"/>
      <c r="E29" s="43"/>
      <c r="F29" s="43"/>
      <c r="G29" s="170"/>
      <c r="H29" s="185">
        <v>24</v>
      </c>
      <c r="I29" s="186" t="str">
        <f t="shared" si="0"/>
        <v/>
      </c>
      <c r="J29" s="185" t="e">
        <f t="shared" si="5"/>
        <v>#NUM!</v>
      </c>
      <c r="K29" s="185" t="e">
        <f t="shared" si="1"/>
        <v>#NUM!</v>
      </c>
      <c r="L29" s="185"/>
      <c r="M29" s="187">
        <f t="shared" si="2"/>
        <v>0</v>
      </c>
    </row>
    <row r="30" spans="1:19" x14ac:dyDescent="0.25">
      <c r="A30" s="103">
        <f t="shared" si="3"/>
        <v>0</v>
      </c>
      <c r="B30" s="36" t="str">
        <f t="shared" si="4"/>
        <v/>
      </c>
      <c r="C30" s="37"/>
      <c r="D30" s="37"/>
      <c r="E30" s="37"/>
      <c r="F30" s="37"/>
      <c r="G30" s="170"/>
      <c r="H30" s="182">
        <v>25</v>
      </c>
      <c r="I30" s="183" t="str">
        <f t="shared" si="0"/>
        <v/>
      </c>
      <c r="J30" s="182" t="e">
        <f t="shared" si="5"/>
        <v>#NUM!</v>
      </c>
      <c r="K30" s="182" t="e">
        <f t="shared" si="1"/>
        <v>#NUM!</v>
      </c>
      <c r="L30" s="182"/>
      <c r="M30" s="184">
        <f t="shared" si="2"/>
        <v>0</v>
      </c>
    </row>
    <row r="31" spans="1:19" x14ac:dyDescent="0.25">
      <c r="A31" s="102">
        <f t="shared" si="3"/>
        <v>0</v>
      </c>
      <c r="B31" s="42" t="str">
        <f t="shared" si="4"/>
        <v/>
      </c>
      <c r="C31" s="43"/>
      <c r="D31" s="43"/>
      <c r="E31" s="43"/>
      <c r="F31" s="43"/>
      <c r="G31" s="170"/>
      <c r="H31" s="185">
        <v>26</v>
      </c>
      <c r="I31" s="186" t="str">
        <f t="shared" si="0"/>
        <v/>
      </c>
      <c r="J31" s="185" t="e">
        <f t="shared" si="5"/>
        <v>#NUM!</v>
      </c>
      <c r="K31" s="185" t="e">
        <f t="shared" si="1"/>
        <v>#NUM!</v>
      </c>
      <c r="L31" s="185"/>
      <c r="M31" s="187">
        <f t="shared" si="2"/>
        <v>0</v>
      </c>
    </row>
    <row r="32" spans="1:19" x14ac:dyDescent="0.25">
      <c r="A32" s="103">
        <f t="shared" si="3"/>
        <v>0</v>
      </c>
      <c r="B32" s="36" t="str">
        <f t="shared" si="4"/>
        <v/>
      </c>
      <c r="C32" s="37"/>
      <c r="D32" s="37"/>
      <c r="E32" s="37"/>
      <c r="F32" s="37"/>
      <c r="G32" s="170"/>
      <c r="H32" s="182">
        <v>27</v>
      </c>
      <c r="I32" s="183" t="str">
        <f t="shared" si="0"/>
        <v/>
      </c>
      <c r="J32" s="182" t="e">
        <f t="shared" si="5"/>
        <v>#NUM!</v>
      </c>
      <c r="K32" s="182" t="e">
        <f t="shared" si="1"/>
        <v>#NUM!</v>
      </c>
      <c r="L32" s="182"/>
      <c r="M32" s="184">
        <f t="shared" si="2"/>
        <v>0</v>
      </c>
      <c r="R32" s="195"/>
      <c r="S32" s="196"/>
    </row>
    <row r="33" spans="1:21" x14ac:dyDescent="0.25">
      <c r="A33" s="102">
        <f t="shared" si="3"/>
        <v>0</v>
      </c>
      <c r="B33" s="42" t="str">
        <f t="shared" si="4"/>
        <v/>
      </c>
      <c r="C33" s="43"/>
      <c r="D33" s="43"/>
      <c r="E33" s="43"/>
      <c r="F33" s="43"/>
      <c r="G33" s="170"/>
      <c r="H33" s="185">
        <v>28</v>
      </c>
      <c r="I33" s="186" t="str">
        <f t="shared" si="0"/>
        <v/>
      </c>
      <c r="J33" s="185" t="e">
        <f t="shared" si="5"/>
        <v>#NUM!</v>
      </c>
      <c r="K33" s="185" t="e">
        <f t="shared" si="1"/>
        <v>#NUM!</v>
      </c>
      <c r="L33" s="185"/>
      <c r="M33" s="187">
        <f t="shared" si="2"/>
        <v>0</v>
      </c>
    </row>
    <row r="34" spans="1:21" x14ac:dyDescent="0.25">
      <c r="A34" s="103">
        <f t="shared" si="3"/>
        <v>0</v>
      </c>
      <c r="B34" s="36" t="str">
        <f t="shared" si="4"/>
        <v/>
      </c>
      <c r="C34" s="37"/>
      <c r="D34" s="37"/>
      <c r="E34" s="37"/>
      <c r="F34" s="37"/>
      <c r="G34" s="170"/>
      <c r="H34" s="182">
        <v>29</v>
      </c>
      <c r="I34" s="183" t="str">
        <f t="shared" si="0"/>
        <v/>
      </c>
      <c r="J34" s="182" t="e">
        <f t="shared" si="5"/>
        <v>#NUM!</v>
      </c>
      <c r="K34" s="182" t="e">
        <f t="shared" si="1"/>
        <v>#NUM!</v>
      </c>
      <c r="L34" s="182"/>
      <c r="M34" s="184">
        <f t="shared" si="2"/>
        <v>0</v>
      </c>
    </row>
    <row r="35" spans="1:21" x14ac:dyDescent="0.25">
      <c r="A35" s="102">
        <f t="shared" si="3"/>
        <v>0</v>
      </c>
      <c r="B35" s="42" t="str">
        <f t="shared" si="4"/>
        <v/>
      </c>
      <c r="C35" s="43"/>
      <c r="D35" s="43"/>
      <c r="E35" s="43"/>
      <c r="F35" s="43"/>
      <c r="G35" s="170"/>
      <c r="H35" s="185">
        <v>30</v>
      </c>
      <c r="I35" s="186" t="str">
        <f t="shared" si="0"/>
        <v/>
      </c>
      <c r="J35" s="185" t="e">
        <f t="shared" si="5"/>
        <v>#NUM!</v>
      </c>
      <c r="K35" s="185" t="e">
        <f t="shared" si="1"/>
        <v>#NUM!</v>
      </c>
      <c r="L35" s="185"/>
      <c r="M35" s="187">
        <f t="shared" si="2"/>
        <v>0</v>
      </c>
    </row>
    <row r="36" spans="1:21" x14ac:dyDescent="0.25">
      <c r="A36" s="103">
        <f t="shared" si="3"/>
        <v>0</v>
      </c>
      <c r="B36" s="36" t="str">
        <f t="shared" si="4"/>
        <v/>
      </c>
      <c r="C36" s="37"/>
      <c r="D36" s="37"/>
      <c r="E36" s="37"/>
      <c r="F36" s="37"/>
      <c r="G36" s="170"/>
      <c r="H36" s="182">
        <v>31</v>
      </c>
      <c r="I36" s="183" t="str">
        <f t="shared" si="0"/>
        <v/>
      </c>
      <c r="J36" s="182" t="e">
        <f t="shared" si="5"/>
        <v>#NUM!</v>
      </c>
      <c r="K36" s="182" t="e">
        <f t="shared" si="1"/>
        <v>#NUM!</v>
      </c>
      <c r="L36" s="182"/>
      <c r="M36" s="184">
        <f t="shared" si="2"/>
        <v>0</v>
      </c>
      <c r="R36" s="195"/>
      <c r="S36" s="196"/>
    </row>
    <row r="37" spans="1:21" x14ac:dyDescent="0.25">
      <c r="A37" s="102">
        <f t="shared" si="3"/>
        <v>0</v>
      </c>
      <c r="B37" s="42" t="str">
        <f t="shared" si="4"/>
        <v/>
      </c>
      <c r="C37" s="43"/>
      <c r="D37" s="43"/>
      <c r="E37" s="43"/>
      <c r="F37" s="43"/>
      <c r="G37" s="170"/>
      <c r="H37" s="185">
        <v>32</v>
      </c>
      <c r="I37" s="186" t="str">
        <f t="shared" si="0"/>
        <v/>
      </c>
      <c r="J37" s="185" t="e">
        <f t="shared" si="5"/>
        <v>#NUM!</v>
      </c>
      <c r="K37" s="185" t="e">
        <f t="shared" si="1"/>
        <v>#NUM!</v>
      </c>
      <c r="L37" s="185"/>
      <c r="M37" s="187">
        <f t="shared" si="2"/>
        <v>0</v>
      </c>
    </row>
    <row r="38" spans="1:21" x14ac:dyDescent="0.25">
      <c r="A38" s="103"/>
      <c r="B38" s="36" t="str">
        <f t="shared" si="4"/>
        <v/>
      </c>
      <c r="C38" s="37"/>
      <c r="D38" s="37"/>
      <c r="E38" s="37"/>
      <c r="F38" s="37"/>
      <c r="G38" s="170"/>
      <c r="H38" s="182">
        <v>33</v>
      </c>
      <c r="I38" s="183" t="str">
        <f t="shared" si="0"/>
        <v/>
      </c>
      <c r="J38" s="182" t="e">
        <f t="shared" si="5"/>
        <v>#NUM!</v>
      </c>
      <c r="K38" s="182" t="e">
        <f t="shared" si="1"/>
        <v>#NUM!</v>
      </c>
      <c r="L38" s="182"/>
      <c r="M38" s="184">
        <f t="shared" si="2"/>
        <v>0</v>
      </c>
    </row>
    <row r="39" spans="1:21" x14ac:dyDescent="0.25">
      <c r="A39" s="102"/>
      <c r="B39" s="42" t="str">
        <f t="shared" si="4"/>
        <v/>
      </c>
      <c r="C39" s="43"/>
      <c r="D39" s="43"/>
      <c r="E39" s="43"/>
      <c r="F39" s="43"/>
      <c r="G39" s="170"/>
      <c r="H39" s="185">
        <v>34</v>
      </c>
      <c r="I39" s="186" t="str">
        <f t="shared" si="0"/>
        <v/>
      </c>
      <c r="J39" s="185" t="e">
        <f t="shared" si="5"/>
        <v>#NUM!</v>
      </c>
      <c r="K39" s="185" t="e">
        <f t="shared" si="1"/>
        <v>#NUM!</v>
      </c>
      <c r="L39" s="185"/>
      <c r="M39" s="187">
        <f t="shared" si="2"/>
        <v>0</v>
      </c>
    </row>
    <row r="40" spans="1:21" x14ac:dyDescent="0.25">
      <c r="A40" s="103"/>
      <c r="B40" s="36" t="str">
        <f t="shared" si="4"/>
        <v/>
      </c>
      <c r="C40" s="37"/>
      <c r="D40" s="37"/>
      <c r="E40" s="37"/>
      <c r="F40" s="37"/>
      <c r="G40" s="170"/>
      <c r="H40" s="182">
        <v>35</v>
      </c>
      <c r="I40" s="183" t="str">
        <f t="shared" si="0"/>
        <v/>
      </c>
      <c r="J40" s="182" t="e">
        <f t="shared" si="5"/>
        <v>#NUM!</v>
      </c>
      <c r="K40" s="182" t="e">
        <f t="shared" si="1"/>
        <v>#NUM!</v>
      </c>
      <c r="L40" s="182"/>
      <c r="M40" s="184">
        <f t="shared" si="2"/>
        <v>0</v>
      </c>
    </row>
    <row r="41" spans="1:21" x14ac:dyDescent="0.25">
      <c r="A41" s="102"/>
      <c r="B41" s="42" t="str">
        <f t="shared" si="4"/>
        <v/>
      </c>
      <c r="C41" s="43"/>
      <c r="D41" s="43"/>
      <c r="E41" s="43"/>
      <c r="F41" s="43"/>
      <c r="G41" s="170"/>
      <c r="H41" s="185">
        <v>36</v>
      </c>
      <c r="I41" s="186" t="str">
        <f t="shared" si="0"/>
        <v/>
      </c>
      <c r="J41" s="185" t="e">
        <f t="shared" si="5"/>
        <v>#NUM!</v>
      </c>
      <c r="K41" s="185" t="e">
        <f t="shared" si="1"/>
        <v>#NUM!</v>
      </c>
      <c r="L41" s="185"/>
      <c r="M41" s="187">
        <f t="shared" si="2"/>
        <v>0</v>
      </c>
      <c r="S41" s="197"/>
    </row>
    <row r="42" spans="1:21" x14ac:dyDescent="0.25">
      <c r="A42" s="103"/>
      <c r="B42" s="36" t="str">
        <f t="shared" si="4"/>
        <v/>
      </c>
      <c r="C42" s="37"/>
      <c r="D42" s="37"/>
      <c r="E42" s="37"/>
      <c r="F42" s="37"/>
      <c r="G42" s="170"/>
      <c r="H42" s="182">
        <v>37</v>
      </c>
      <c r="I42" s="183" t="str">
        <f t="shared" si="0"/>
        <v/>
      </c>
      <c r="J42" s="182" t="e">
        <f t="shared" si="5"/>
        <v>#NUM!</v>
      </c>
      <c r="K42" s="182" t="e">
        <f t="shared" si="1"/>
        <v>#NUM!</v>
      </c>
      <c r="L42" s="182"/>
      <c r="M42" s="184">
        <f t="shared" si="2"/>
        <v>0</v>
      </c>
    </row>
    <row r="43" spans="1:21" x14ac:dyDescent="0.25">
      <c r="A43" s="102"/>
      <c r="B43" s="42" t="str">
        <f t="shared" si="4"/>
        <v/>
      </c>
      <c r="C43" s="43"/>
      <c r="D43" s="43"/>
      <c r="E43" s="43"/>
      <c r="F43" s="43"/>
      <c r="G43" s="170"/>
      <c r="H43" s="185">
        <v>38</v>
      </c>
      <c r="I43" s="186" t="str">
        <f t="shared" si="0"/>
        <v/>
      </c>
      <c r="J43" s="185" t="e">
        <f t="shared" si="5"/>
        <v>#NUM!</v>
      </c>
      <c r="K43" s="185" t="e">
        <f t="shared" si="1"/>
        <v>#NUM!</v>
      </c>
      <c r="L43" s="185"/>
      <c r="M43" s="187">
        <f t="shared" si="2"/>
        <v>0</v>
      </c>
    </row>
    <row r="44" spans="1:21" x14ac:dyDescent="0.25">
      <c r="A44" s="103"/>
      <c r="B44" s="36" t="str">
        <f t="shared" si="4"/>
        <v/>
      </c>
      <c r="C44" s="37"/>
      <c r="D44" s="37"/>
      <c r="E44" s="37"/>
      <c r="F44" s="37"/>
      <c r="G44" s="170"/>
      <c r="H44" s="182">
        <v>39</v>
      </c>
      <c r="I44" s="183" t="str">
        <f t="shared" si="0"/>
        <v/>
      </c>
      <c r="J44" s="182" t="e">
        <f t="shared" si="5"/>
        <v>#NUM!</v>
      </c>
      <c r="K44" s="182" t="e">
        <f t="shared" si="1"/>
        <v>#NUM!</v>
      </c>
      <c r="L44" s="182"/>
      <c r="M44" s="184">
        <f t="shared" si="2"/>
        <v>0</v>
      </c>
    </row>
    <row r="45" spans="1:21" x14ac:dyDescent="0.25">
      <c r="A45" s="102"/>
      <c r="B45" s="42" t="str">
        <f t="shared" si="4"/>
        <v/>
      </c>
      <c r="C45" s="43"/>
      <c r="D45" s="43"/>
      <c r="E45" s="43"/>
      <c r="F45" s="43"/>
      <c r="G45" s="170"/>
      <c r="H45" s="185">
        <v>40</v>
      </c>
      <c r="I45" s="186" t="str">
        <f t="shared" si="0"/>
        <v/>
      </c>
      <c r="J45" s="185" t="e">
        <f t="shared" si="5"/>
        <v>#NUM!</v>
      </c>
      <c r="K45" s="185" t="e">
        <f t="shared" si="1"/>
        <v>#NUM!</v>
      </c>
      <c r="L45" s="185"/>
      <c r="M45" s="187">
        <f t="shared" si="2"/>
        <v>0</v>
      </c>
    </row>
    <row r="46" spans="1:21" x14ac:dyDescent="0.25">
      <c r="A46" s="103"/>
      <c r="B46" s="36" t="str">
        <f t="shared" si="4"/>
        <v/>
      </c>
      <c r="C46" s="37"/>
      <c r="D46" s="37"/>
      <c r="E46" s="37"/>
      <c r="F46" s="37"/>
      <c r="G46" s="170"/>
      <c r="H46" s="182">
        <v>41</v>
      </c>
      <c r="I46" s="183" t="str">
        <f t="shared" si="0"/>
        <v/>
      </c>
      <c r="J46" s="182" t="e">
        <f t="shared" si="5"/>
        <v>#NUM!</v>
      </c>
      <c r="K46" s="182" t="e">
        <f t="shared" si="1"/>
        <v>#NUM!</v>
      </c>
      <c r="L46" s="182"/>
      <c r="M46" s="184">
        <f t="shared" si="2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102"/>
      <c r="B47" s="42" t="str">
        <f t="shared" si="4"/>
        <v/>
      </c>
      <c r="C47" s="43"/>
      <c r="D47" s="43"/>
      <c r="E47" s="43"/>
      <c r="F47" s="43"/>
      <c r="G47" s="170"/>
      <c r="H47" s="185">
        <v>42</v>
      </c>
      <c r="I47" s="186" t="str">
        <f t="shared" si="0"/>
        <v/>
      </c>
      <c r="J47" s="185" t="e">
        <f t="shared" si="5"/>
        <v>#NUM!</v>
      </c>
      <c r="K47" s="185" t="e">
        <f t="shared" si="1"/>
        <v>#NUM!</v>
      </c>
      <c r="L47" s="185"/>
      <c r="M47" s="187">
        <f t="shared" si="2"/>
        <v>0</v>
      </c>
    </row>
    <row r="48" spans="1:21" x14ac:dyDescent="0.25">
      <c r="A48" s="103"/>
      <c r="B48" s="36" t="str">
        <f t="shared" si="4"/>
        <v/>
      </c>
      <c r="C48" s="37"/>
      <c r="D48" s="37"/>
      <c r="E48" s="37"/>
      <c r="F48" s="37"/>
      <c r="G48" s="170"/>
      <c r="H48" s="182">
        <v>43</v>
      </c>
      <c r="I48" s="183" t="str">
        <f t="shared" si="0"/>
        <v/>
      </c>
      <c r="J48" s="182" t="e">
        <f t="shared" si="5"/>
        <v>#NUM!</v>
      </c>
      <c r="K48" s="182" t="e">
        <f t="shared" si="1"/>
        <v>#NUM!</v>
      </c>
      <c r="L48" s="182"/>
      <c r="M48" s="184">
        <f t="shared" si="2"/>
        <v>0</v>
      </c>
    </row>
    <row r="49" spans="1:13" x14ac:dyDescent="0.25">
      <c r="A49" s="102"/>
      <c r="B49" s="42" t="str">
        <f t="shared" si="4"/>
        <v/>
      </c>
      <c r="C49" s="43"/>
      <c r="D49" s="43"/>
      <c r="E49" s="43"/>
      <c r="F49" s="43"/>
      <c r="G49" s="170"/>
      <c r="H49" s="185">
        <v>44</v>
      </c>
      <c r="I49" s="186" t="str">
        <f t="shared" si="0"/>
        <v/>
      </c>
      <c r="J49" s="185" t="e">
        <f t="shared" si="5"/>
        <v>#NUM!</v>
      </c>
      <c r="K49" s="185" t="e">
        <f t="shared" si="1"/>
        <v>#NUM!</v>
      </c>
      <c r="L49" s="185"/>
      <c r="M49" s="187">
        <f t="shared" si="2"/>
        <v>0</v>
      </c>
    </row>
    <row r="50" spans="1:13" x14ac:dyDescent="0.25">
      <c r="A50" s="103"/>
      <c r="B50" s="36" t="str">
        <f t="shared" si="4"/>
        <v/>
      </c>
      <c r="C50" s="37"/>
      <c r="D50" s="37"/>
      <c r="E50" s="37"/>
      <c r="F50" s="37"/>
      <c r="G50" s="170"/>
      <c r="H50" s="182">
        <v>45</v>
      </c>
      <c r="I50" s="183" t="str">
        <f t="shared" si="0"/>
        <v/>
      </c>
      <c r="J50" s="182" t="e">
        <f t="shared" si="5"/>
        <v>#NUM!</v>
      </c>
      <c r="K50" s="182" t="e">
        <f t="shared" si="1"/>
        <v>#NUM!</v>
      </c>
      <c r="L50" s="182"/>
      <c r="M50" s="184">
        <f t="shared" si="2"/>
        <v>0</v>
      </c>
    </row>
    <row r="51" spans="1:13" x14ac:dyDescent="0.25">
      <c r="A51" s="102"/>
      <c r="B51" s="42" t="str">
        <f t="shared" si="4"/>
        <v/>
      </c>
      <c r="C51" s="43"/>
      <c r="D51" s="43"/>
      <c r="E51" s="43"/>
      <c r="F51" s="43"/>
      <c r="G51" s="170"/>
      <c r="H51" s="185">
        <v>46</v>
      </c>
      <c r="I51" s="186" t="str">
        <f t="shared" si="0"/>
        <v/>
      </c>
      <c r="J51" s="185" t="e">
        <f t="shared" si="5"/>
        <v>#NUM!</v>
      </c>
      <c r="K51" s="185" t="e">
        <f t="shared" si="1"/>
        <v>#NUM!</v>
      </c>
      <c r="L51" s="185"/>
      <c r="M51" s="187">
        <f t="shared" si="2"/>
        <v>0</v>
      </c>
    </row>
    <row r="52" spans="1:13" x14ac:dyDescent="0.25">
      <c r="A52" s="103"/>
      <c r="B52" s="36" t="str">
        <f t="shared" si="4"/>
        <v/>
      </c>
      <c r="C52" s="37"/>
      <c r="D52" s="37"/>
      <c r="E52" s="37"/>
      <c r="F52" s="37"/>
      <c r="G52" s="170"/>
      <c r="H52" s="182">
        <v>47</v>
      </c>
      <c r="I52" s="183" t="str">
        <f t="shared" si="0"/>
        <v/>
      </c>
      <c r="J52" s="182" t="e">
        <f t="shared" si="5"/>
        <v>#NUM!</v>
      </c>
      <c r="K52" s="182" t="e">
        <f t="shared" si="1"/>
        <v>#NUM!</v>
      </c>
      <c r="L52" s="182"/>
      <c r="M52" s="184">
        <f t="shared" si="2"/>
        <v>0</v>
      </c>
    </row>
    <row r="53" spans="1:13" x14ac:dyDescent="0.25">
      <c r="A53" s="102"/>
      <c r="B53" s="42" t="str">
        <f t="shared" si="4"/>
        <v/>
      </c>
      <c r="C53" s="43"/>
      <c r="D53" s="43"/>
      <c r="E53" s="43"/>
      <c r="F53" s="43"/>
      <c r="G53" s="170"/>
      <c r="H53" s="185">
        <v>48</v>
      </c>
      <c r="I53" s="186" t="str">
        <f t="shared" si="0"/>
        <v/>
      </c>
      <c r="J53" s="185" t="e">
        <f t="shared" si="5"/>
        <v>#NUM!</v>
      </c>
      <c r="K53" s="185" t="e">
        <f t="shared" si="1"/>
        <v>#NUM!</v>
      </c>
      <c r="L53" s="185"/>
      <c r="M53" s="187">
        <f t="shared" si="2"/>
        <v>0</v>
      </c>
    </row>
    <row r="54" spans="1:13" x14ac:dyDescent="0.25">
      <c r="A54" s="103"/>
      <c r="B54" s="36" t="str">
        <f t="shared" si="4"/>
        <v/>
      </c>
      <c r="C54" s="37"/>
      <c r="D54" s="37"/>
      <c r="E54" s="37"/>
      <c r="F54" s="37"/>
      <c r="G54" s="170"/>
      <c r="H54" s="182">
        <v>49</v>
      </c>
      <c r="I54" s="183" t="str">
        <f t="shared" si="0"/>
        <v/>
      </c>
      <c r="J54" s="182" t="e">
        <f t="shared" si="5"/>
        <v>#NUM!</v>
      </c>
      <c r="K54" s="182" t="e">
        <f t="shared" si="1"/>
        <v>#NUM!</v>
      </c>
      <c r="L54" s="182"/>
      <c r="M54" s="184">
        <f t="shared" si="2"/>
        <v>0</v>
      </c>
    </row>
    <row r="55" spans="1:13" x14ac:dyDescent="0.25">
      <c r="A55" s="102"/>
      <c r="B55" s="42" t="str">
        <f t="shared" si="4"/>
        <v/>
      </c>
      <c r="C55" s="43"/>
      <c r="D55" s="43"/>
      <c r="E55" s="43"/>
      <c r="F55" s="43"/>
      <c r="G55" s="170"/>
      <c r="H55" s="185">
        <v>50</v>
      </c>
      <c r="I55" s="186" t="str">
        <f t="shared" si="0"/>
        <v/>
      </c>
      <c r="J55" s="185" t="e">
        <f t="shared" si="5"/>
        <v>#NUM!</v>
      </c>
      <c r="K55" s="185" t="e">
        <f t="shared" si="1"/>
        <v>#NUM!</v>
      </c>
      <c r="L55" s="185"/>
      <c r="M55" s="187">
        <f t="shared" si="2"/>
        <v>0</v>
      </c>
    </row>
    <row r="56" spans="1:13" x14ac:dyDescent="0.25">
      <c r="A56" s="103"/>
      <c r="B56" s="36" t="str">
        <f t="shared" si="4"/>
        <v/>
      </c>
      <c r="C56" s="37"/>
      <c r="D56" s="37"/>
      <c r="E56" s="37"/>
      <c r="F56" s="37"/>
      <c r="G56" s="170"/>
      <c r="H56" s="182">
        <v>51</v>
      </c>
      <c r="I56" s="183" t="str">
        <f t="shared" si="0"/>
        <v/>
      </c>
      <c r="J56" s="182" t="e">
        <f t="shared" si="5"/>
        <v>#NUM!</v>
      </c>
      <c r="K56" s="182" t="e">
        <f t="shared" si="1"/>
        <v>#NUM!</v>
      </c>
      <c r="L56" s="182"/>
      <c r="M56" s="184">
        <f t="shared" si="2"/>
        <v>0</v>
      </c>
    </row>
    <row r="57" spans="1:13" x14ac:dyDescent="0.25">
      <c r="A57" s="102"/>
      <c r="B57" s="42" t="str">
        <f t="shared" si="4"/>
        <v/>
      </c>
      <c r="C57" s="43"/>
      <c r="D57" s="43"/>
      <c r="E57" s="43"/>
      <c r="F57" s="43"/>
      <c r="G57" s="170"/>
      <c r="H57" s="185">
        <v>52</v>
      </c>
      <c r="I57" s="186" t="str">
        <f t="shared" si="0"/>
        <v/>
      </c>
      <c r="J57" s="185" t="e">
        <f t="shared" si="5"/>
        <v>#NUM!</v>
      </c>
      <c r="K57" s="185" t="e">
        <f t="shared" si="1"/>
        <v>#NUM!</v>
      </c>
      <c r="L57" s="185"/>
      <c r="M57" s="187">
        <f t="shared" si="2"/>
        <v>0</v>
      </c>
    </row>
    <row r="58" spans="1:13" x14ac:dyDescent="0.25">
      <c r="A58" s="103"/>
      <c r="B58" s="36" t="str">
        <f t="shared" si="4"/>
        <v/>
      </c>
      <c r="C58" s="37"/>
      <c r="D58" s="37"/>
      <c r="E58" s="37"/>
      <c r="F58" s="37"/>
      <c r="G58" s="170"/>
      <c r="H58" s="182">
        <v>53</v>
      </c>
      <c r="I58" s="183" t="str">
        <f t="shared" si="0"/>
        <v/>
      </c>
      <c r="J58" s="182" t="e">
        <f t="shared" si="5"/>
        <v>#NUM!</v>
      </c>
      <c r="K58" s="182" t="e">
        <f t="shared" si="1"/>
        <v>#NUM!</v>
      </c>
      <c r="L58" s="182"/>
      <c r="M58" s="184">
        <f t="shared" si="2"/>
        <v>0</v>
      </c>
    </row>
    <row r="59" spans="1:13" x14ac:dyDescent="0.25">
      <c r="A59" s="102"/>
      <c r="B59" s="42" t="str">
        <f t="shared" si="4"/>
        <v/>
      </c>
      <c r="C59" s="43"/>
      <c r="D59" s="43"/>
      <c r="E59" s="43"/>
      <c r="F59" s="43"/>
      <c r="G59" s="170"/>
      <c r="H59" s="185">
        <v>54</v>
      </c>
      <c r="I59" s="186" t="str">
        <f t="shared" si="0"/>
        <v/>
      </c>
      <c r="J59" s="185" t="e">
        <f t="shared" si="5"/>
        <v>#NUM!</v>
      </c>
      <c r="K59" s="185" t="e">
        <f t="shared" si="1"/>
        <v>#NUM!</v>
      </c>
      <c r="L59" s="185"/>
      <c r="M59" s="187">
        <f t="shared" si="2"/>
        <v>0</v>
      </c>
    </row>
    <row r="60" spans="1:13" x14ac:dyDescent="0.25">
      <c r="A60" s="103"/>
      <c r="B60" s="36" t="str">
        <f t="shared" si="4"/>
        <v/>
      </c>
      <c r="C60" s="37"/>
      <c r="D60" s="37"/>
      <c r="E60" s="37"/>
      <c r="F60" s="37"/>
      <c r="G60" s="170"/>
      <c r="H60" s="182">
        <v>55</v>
      </c>
      <c r="I60" s="183" t="str">
        <f t="shared" si="0"/>
        <v/>
      </c>
      <c r="J60" s="182" t="e">
        <f t="shared" si="5"/>
        <v>#NUM!</v>
      </c>
      <c r="K60" s="182" t="e">
        <f t="shared" si="1"/>
        <v>#NUM!</v>
      </c>
      <c r="L60" s="182"/>
      <c r="M60" s="184">
        <f t="shared" si="2"/>
        <v>0</v>
      </c>
    </row>
    <row r="61" spans="1:13" x14ac:dyDescent="0.25">
      <c r="A61" s="102"/>
      <c r="B61" s="42" t="str">
        <f t="shared" si="4"/>
        <v/>
      </c>
      <c r="C61" s="43"/>
      <c r="D61" s="43"/>
      <c r="E61" s="43"/>
      <c r="F61" s="43"/>
      <c r="G61" s="170"/>
      <c r="H61" s="185">
        <v>56</v>
      </c>
      <c r="I61" s="186" t="str">
        <f t="shared" si="0"/>
        <v/>
      </c>
      <c r="J61" s="185" t="e">
        <f t="shared" si="5"/>
        <v>#NUM!</v>
      </c>
      <c r="K61" s="185" t="e">
        <f t="shared" si="1"/>
        <v>#NUM!</v>
      </c>
      <c r="L61" s="185"/>
      <c r="M61" s="187">
        <f t="shared" si="2"/>
        <v>0</v>
      </c>
    </row>
    <row r="62" spans="1:13" x14ac:dyDescent="0.25">
      <c r="A62" s="103"/>
      <c r="B62" s="36" t="str">
        <f t="shared" si="4"/>
        <v/>
      </c>
      <c r="C62" s="37"/>
      <c r="D62" s="37"/>
      <c r="E62" s="37"/>
      <c r="F62" s="37"/>
      <c r="G62" s="170"/>
      <c r="H62" s="182">
        <v>57</v>
      </c>
      <c r="I62" s="183" t="str">
        <f t="shared" si="0"/>
        <v/>
      </c>
      <c r="J62" s="182" t="e">
        <f t="shared" si="5"/>
        <v>#NUM!</v>
      </c>
      <c r="K62" s="182" t="e">
        <f t="shared" si="1"/>
        <v>#NUM!</v>
      </c>
      <c r="L62" s="182"/>
      <c r="M62" s="184">
        <f t="shared" si="2"/>
        <v>0</v>
      </c>
    </row>
    <row r="63" spans="1:13" x14ac:dyDescent="0.25">
      <c r="A63" s="102"/>
      <c r="B63" s="42" t="str">
        <f t="shared" si="4"/>
        <v/>
      </c>
      <c r="C63" s="43"/>
      <c r="D63" s="43"/>
      <c r="E63" s="43"/>
      <c r="F63" s="43"/>
      <c r="G63" s="170"/>
      <c r="H63" s="185">
        <v>58</v>
      </c>
      <c r="I63" s="186" t="str">
        <f t="shared" si="0"/>
        <v/>
      </c>
      <c r="J63" s="185" t="e">
        <f t="shared" si="5"/>
        <v>#NUM!</v>
      </c>
      <c r="K63" s="185" t="e">
        <f t="shared" si="1"/>
        <v>#NUM!</v>
      </c>
      <c r="L63" s="185"/>
      <c r="M63" s="187">
        <f t="shared" si="2"/>
        <v>0</v>
      </c>
    </row>
    <row r="64" spans="1:13" x14ac:dyDescent="0.25">
      <c r="A64" s="103"/>
      <c r="B64" s="36" t="str">
        <f t="shared" si="4"/>
        <v/>
      </c>
      <c r="C64" s="37"/>
      <c r="D64" s="37"/>
      <c r="E64" s="37"/>
      <c r="F64" s="37"/>
      <c r="G64" s="170"/>
      <c r="H64" s="182">
        <v>59</v>
      </c>
      <c r="I64" s="183" t="str">
        <f t="shared" si="0"/>
        <v/>
      </c>
      <c r="J64" s="182" t="e">
        <f t="shared" si="5"/>
        <v>#NUM!</v>
      </c>
      <c r="K64" s="182" t="e">
        <f t="shared" si="1"/>
        <v>#NUM!</v>
      </c>
      <c r="L64" s="182"/>
      <c r="M64" s="184">
        <f t="shared" si="2"/>
        <v>0</v>
      </c>
    </row>
    <row r="65" spans="1:13" x14ac:dyDescent="0.25">
      <c r="A65" s="102"/>
      <c r="B65" s="42" t="str">
        <f t="shared" si="4"/>
        <v/>
      </c>
      <c r="C65" s="43"/>
      <c r="D65" s="43"/>
      <c r="E65" s="43"/>
      <c r="F65" s="43"/>
      <c r="G65" s="170"/>
      <c r="H65" s="185">
        <v>60</v>
      </c>
      <c r="I65" s="186" t="str">
        <f t="shared" si="0"/>
        <v/>
      </c>
      <c r="J65" s="185" t="e">
        <f t="shared" si="5"/>
        <v>#NUM!</v>
      </c>
      <c r="K65" s="185" t="e">
        <f t="shared" si="1"/>
        <v>#NUM!</v>
      </c>
      <c r="L65" s="185"/>
      <c r="M65" s="187">
        <f t="shared" si="2"/>
        <v>0</v>
      </c>
    </row>
    <row r="66" spans="1:13" x14ac:dyDescent="0.25">
      <c r="A66" s="207"/>
      <c r="B66" s="36"/>
      <c r="G66" s="170"/>
      <c r="H66" s="182">
        <v>61</v>
      </c>
      <c r="I66" s="183" t="str">
        <f t="shared" si="0"/>
        <v/>
      </c>
      <c r="J66" s="182" t="e">
        <f t="shared" si="5"/>
        <v>#NUM!</v>
      </c>
      <c r="K66" s="182" t="e">
        <f t="shared" si="1"/>
        <v>#NUM!</v>
      </c>
      <c r="L66" s="182"/>
      <c r="M66" s="184">
        <f t="shared" si="2"/>
        <v>0</v>
      </c>
    </row>
    <row r="67" spans="1:13" x14ac:dyDescent="0.25">
      <c r="A67" s="207"/>
      <c r="B67" s="42"/>
      <c r="G67" s="170"/>
      <c r="H67" s="182">
        <v>62</v>
      </c>
      <c r="I67" s="183" t="str">
        <f t="shared" si="0"/>
        <v/>
      </c>
      <c r="J67" s="182" t="e">
        <f t="shared" si="5"/>
        <v>#NUM!</v>
      </c>
      <c r="K67" s="182" t="e">
        <f t="shared" si="1"/>
        <v>#NUM!</v>
      </c>
      <c r="L67" s="182"/>
      <c r="M67" s="184">
        <f t="shared" si="2"/>
        <v>0</v>
      </c>
    </row>
    <row r="68" spans="1:13" x14ac:dyDescent="0.25">
      <c r="A68" s="207"/>
      <c r="B68" s="36"/>
      <c r="G68" s="170"/>
      <c r="H68" s="182">
        <v>63</v>
      </c>
      <c r="I68" s="183" t="str">
        <f t="shared" si="0"/>
        <v/>
      </c>
      <c r="J68" s="182" t="e">
        <f t="shared" si="5"/>
        <v>#NUM!</v>
      </c>
      <c r="K68" s="182" t="e">
        <f t="shared" si="1"/>
        <v>#NUM!</v>
      </c>
      <c r="L68" s="182"/>
      <c r="M68" s="184">
        <f t="shared" si="2"/>
        <v>0</v>
      </c>
    </row>
    <row r="69" spans="1:13" x14ac:dyDescent="0.25">
      <c r="A69" s="207"/>
      <c r="B69" s="42"/>
      <c r="G69" s="170"/>
      <c r="H69" s="182">
        <v>64</v>
      </c>
      <c r="I69" s="183" t="str">
        <f t="shared" si="0"/>
        <v/>
      </c>
      <c r="J69" s="182" t="e">
        <f t="shared" si="5"/>
        <v>#NUM!</v>
      </c>
      <c r="K69" s="182" t="e">
        <f t="shared" si="1"/>
        <v>#NUM!</v>
      </c>
      <c r="L69" s="182"/>
      <c r="M69" s="184">
        <f t="shared" si="2"/>
        <v>0</v>
      </c>
    </row>
    <row r="70" spans="1:13" x14ac:dyDescent="0.25">
      <c r="A70" s="207"/>
      <c r="G70" s="170"/>
      <c r="H70" s="182">
        <v>65</v>
      </c>
      <c r="I70" s="183" t="str">
        <f t="shared" ref="I70:I133" si="6">IF(H70&lt;$H$2+1,($I$2-($I$2-1)*(LOG(H70)/LOG($H$2))),"")</f>
        <v/>
      </c>
      <c r="J70" s="182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207"/>
      <c r="G71" s="170"/>
      <c r="H71" s="182">
        <v>66</v>
      </c>
      <c r="I71" s="183" t="str">
        <f t="shared" si="6"/>
        <v/>
      </c>
      <c r="J71" s="182" t="e">
        <f t="shared" ref="J71:J134" si="9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207"/>
      <c r="G72" s="170"/>
      <c r="H72" s="182">
        <v>67</v>
      </c>
      <c r="I72" s="183" t="str">
        <f t="shared" si="6"/>
        <v/>
      </c>
      <c r="J72" s="182" t="e">
        <f t="shared" si="9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207"/>
      <c r="G73" s="170"/>
      <c r="H73" s="182">
        <v>68</v>
      </c>
      <c r="I73" s="183" t="str">
        <f t="shared" si="6"/>
        <v/>
      </c>
      <c r="J73" s="182" t="e">
        <f t="shared" si="9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207"/>
      <c r="G74" s="170"/>
      <c r="H74" s="182">
        <v>69</v>
      </c>
      <c r="I74" s="183" t="str">
        <f t="shared" si="6"/>
        <v/>
      </c>
      <c r="J74" s="182" t="e">
        <f t="shared" si="9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207"/>
      <c r="G75" s="170"/>
      <c r="H75" s="182">
        <v>70</v>
      </c>
      <c r="I75" s="183" t="str">
        <f t="shared" si="6"/>
        <v/>
      </c>
      <c r="J75" s="182" t="e">
        <f t="shared" si="9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207"/>
      <c r="G76" s="170"/>
      <c r="H76" s="182">
        <v>71</v>
      </c>
      <c r="I76" s="183" t="str">
        <f t="shared" si="6"/>
        <v/>
      </c>
      <c r="J76" s="182" t="e">
        <f t="shared" si="9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207"/>
      <c r="G77" s="170"/>
      <c r="H77" s="182">
        <v>72</v>
      </c>
      <c r="I77" s="183" t="str">
        <f t="shared" si="6"/>
        <v/>
      </c>
      <c r="J77" s="182" t="e">
        <f t="shared" si="9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207"/>
      <c r="G78" s="170"/>
      <c r="H78" s="182">
        <v>73</v>
      </c>
      <c r="I78" s="183" t="str">
        <f t="shared" si="6"/>
        <v/>
      </c>
      <c r="J78" s="182" t="e">
        <f t="shared" si="9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207"/>
      <c r="G79" s="170"/>
      <c r="H79" s="182">
        <v>74</v>
      </c>
      <c r="I79" s="183" t="str">
        <f t="shared" si="6"/>
        <v/>
      </c>
      <c r="J79" s="182" t="e">
        <f t="shared" si="9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207"/>
      <c r="G80" s="170"/>
      <c r="H80" s="182">
        <v>75</v>
      </c>
      <c r="I80" s="183" t="str">
        <f t="shared" si="6"/>
        <v/>
      </c>
      <c r="J80" s="182" t="e">
        <f t="shared" si="9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207"/>
      <c r="G81" s="170"/>
      <c r="H81" s="182">
        <v>76</v>
      </c>
      <c r="I81" s="183" t="str">
        <f t="shared" si="6"/>
        <v/>
      </c>
      <c r="J81" s="182" t="e">
        <f t="shared" si="9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207"/>
      <c r="G82" s="170"/>
      <c r="H82" s="182">
        <v>77</v>
      </c>
      <c r="I82" s="183" t="str">
        <f t="shared" si="6"/>
        <v/>
      </c>
      <c r="J82" s="182" t="e">
        <f t="shared" si="9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207"/>
      <c r="G83" s="170"/>
      <c r="H83" s="182">
        <v>78</v>
      </c>
      <c r="I83" s="183" t="str">
        <f t="shared" si="6"/>
        <v/>
      </c>
      <c r="J83" s="182" t="e">
        <f t="shared" si="9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207"/>
      <c r="G84" s="170"/>
      <c r="H84" s="182">
        <v>79</v>
      </c>
      <c r="I84" s="183" t="str">
        <f t="shared" si="6"/>
        <v/>
      </c>
      <c r="J84" s="182" t="e">
        <f t="shared" si="9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207"/>
      <c r="G85" s="170"/>
      <c r="H85" s="182">
        <v>80</v>
      </c>
      <c r="I85" s="183" t="str">
        <f t="shared" si="6"/>
        <v/>
      </c>
      <c r="J85" s="182" t="e">
        <f t="shared" si="9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207"/>
      <c r="G86" s="170"/>
      <c r="H86" s="182">
        <v>81</v>
      </c>
      <c r="I86" s="183" t="str">
        <f t="shared" si="6"/>
        <v/>
      </c>
      <c r="J86" s="182" t="e">
        <f t="shared" si="9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207"/>
      <c r="G87" s="170"/>
      <c r="H87" s="182">
        <v>82</v>
      </c>
      <c r="I87" s="183" t="str">
        <f t="shared" si="6"/>
        <v/>
      </c>
      <c r="J87" s="182" t="e">
        <f t="shared" si="9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207"/>
      <c r="G88" s="170"/>
      <c r="H88" s="182">
        <v>83</v>
      </c>
      <c r="I88" s="183" t="str">
        <f t="shared" si="6"/>
        <v/>
      </c>
      <c r="J88" s="182" t="e">
        <f t="shared" si="9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207"/>
      <c r="G89" s="170"/>
      <c r="H89" s="182">
        <v>84</v>
      </c>
      <c r="I89" s="183" t="str">
        <f t="shared" si="6"/>
        <v/>
      </c>
      <c r="J89" s="182" t="e">
        <f t="shared" si="9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207"/>
      <c r="G90" s="170"/>
      <c r="H90" s="182">
        <v>85</v>
      </c>
      <c r="I90" s="183" t="str">
        <f t="shared" si="6"/>
        <v/>
      </c>
      <c r="J90" s="182" t="e">
        <f t="shared" si="9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207"/>
      <c r="G91" s="170"/>
      <c r="H91" s="182">
        <v>86</v>
      </c>
      <c r="I91" s="183" t="str">
        <f t="shared" si="6"/>
        <v/>
      </c>
      <c r="J91" s="182" t="e">
        <f t="shared" si="9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207"/>
      <c r="G92" s="170"/>
      <c r="H92" s="182">
        <v>87</v>
      </c>
      <c r="I92" s="183" t="str">
        <f t="shared" si="6"/>
        <v/>
      </c>
      <c r="J92" s="182" t="e">
        <f t="shared" si="9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207"/>
      <c r="G93" s="170"/>
      <c r="H93" s="182">
        <v>88</v>
      </c>
      <c r="I93" s="183" t="str">
        <f t="shared" si="6"/>
        <v/>
      </c>
      <c r="J93" s="182" t="e">
        <f t="shared" si="9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207"/>
      <c r="G94" s="170"/>
      <c r="H94" s="182">
        <v>89</v>
      </c>
      <c r="I94" s="183" t="str">
        <f t="shared" si="6"/>
        <v/>
      </c>
      <c r="J94" s="182" t="e">
        <f t="shared" si="9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207"/>
      <c r="G95" s="170"/>
      <c r="H95" s="182">
        <v>90</v>
      </c>
      <c r="I95" s="183" t="str">
        <f t="shared" si="6"/>
        <v/>
      </c>
      <c r="J95" s="182" t="e">
        <f t="shared" si="9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207"/>
      <c r="G96" s="170"/>
      <c r="H96" s="182">
        <v>91</v>
      </c>
      <c r="I96" s="183" t="str">
        <f t="shared" si="6"/>
        <v/>
      </c>
      <c r="J96" s="182" t="e">
        <f t="shared" si="9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207"/>
      <c r="G97" s="170"/>
      <c r="H97" s="182">
        <v>92</v>
      </c>
      <c r="I97" s="183" t="str">
        <f t="shared" si="6"/>
        <v/>
      </c>
      <c r="J97" s="182" t="e">
        <f t="shared" si="9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207"/>
      <c r="G98" s="170"/>
      <c r="H98" s="182">
        <v>93</v>
      </c>
      <c r="I98" s="183" t="str">
        <f t="shared" si="6"/>
        <v/>
      </c>
      <c r="J98" s="182" t="e">
        <f t="shared" si="9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207"/>
      <c r="G99" s="170"/>
      <c r="H99" s="182">
        <v>94</v>
      </c>
      <c r="I99" s="183" t="str">
        <f t="shared" si="6"/>
        <v/>
      </c>
      <c r="J99" s="182" t="e">
        <f t="shared" si="9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207"/>
      <c r="G100" s="170"/>
      <c r="H100" s="182">
        <v>95</v>
      </c>
      <c r="I100" s="183" t="str">
        <f t="shared" si="6"/>
        <v/>
      </c>
      <c r="J100" s="182" t="e">
        <f t="shared" si="9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2" t="e">
        <f t="shared" si="9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2" t="e">
        <f t="shared" si="9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2" t="e">
        <f t="shared" si="9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2" t="e">
        <f t="shared" si="9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2" t="e">
        <f t="shared" si="9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2" t="e">
        <f t="shared" si="9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2" t="e">
        <f t="shared" si="9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2" t="e">
        <f t="shared" si="9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2" t="e">
        <f t="shared" si="9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2" t="e">
        <f t="shared" si="9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2" t="e">
        <f t="shared" si="9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2" t="e">
        <f t="shared" si="9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2" t="e">
        <f t="shared" si="9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2" t="e">
        <f t="shared" si="9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2" t="e">
        <f t="shared" si="9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2" t="e">
        <f t="shared" si="9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2" t="e">
        <f t="shared" si="9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2" t="e">
        <f t="shared" si="9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2" t="e">
        <f t="shared" si="9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2" t="e">
        <f t="shared" si="9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2" t="e">
        <f t="shared" si="9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2" t="e">
        <f t="shared" si="9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2" t="e">
        <f t="shared" si="9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2" t="e">
        <f t="shared" si="9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2" t="e">
        <f t="shared" si="9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2" t="e">
        <f t="shared" si="9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2" t="e">
        <f t="shared" si="9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2" t="e">
        <f t="shared" si="9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2" t="e">
        <f t="shared" si="9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2" t="e">
        <f t="shared" si="9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2" t="e">
        <f t="shared" si="9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2" t="e">
        <f t="shared" si="9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2" t="e">
        <f t="shared" si="9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0">IF(H134&lt;$H$2+1,($I$2-($I$2-1)*(LOG(H134)/LOG($H$2))),"")</f>
        <v/>
      </c>
      <c r="J134" s="182" t="e">
        <f t="shared" si="9"/>
        <v>#NUM!</v>
      </c>
      <c r="K134" s="182" t="e">
        <f t="shared" ref="K134:K197" si="11">J134*$J$2</f>
        <v>#NUM!</v>
      </c>
      <c r="L134" s="182"/>
      <c r="M134" s="184">
        <f t="shared" ref="M134:M197" si="12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0"/>
        <v/>
      </c>
      <c r="J135" s="182" t="e">
        <f t="shared" ref="J135:J198" si="13">INT(LOG($H$2,2))-ROUNDUP(LOG(H135,2),0)+IF(OR($H$2=1,$H$2=2,$H$2=4,$H$2=8,$H$2=16,$H$2=32,$H$2=64,$H$2=128,$H$2=256),0,1)</f>
        <v>#NUM!</v>
      </c>
      <c r="K135" s="182" t="e">
        <f t="shared" si="11"/>
        <v>#NUM!</v>
      </c>
      <c r="L135" s="182"/>
      <c r="M135" s="184">
        <f t="shared" si="12"/>
        <v>0</v>
      </c>
    </row>
    <row r="136" spans="1:13" x14ac:dyDescent="0.25">
      <c r="A136" s="199"/>
      <c r="G136" s="170"/>
      <c r="H136" s="182">
        <v>131</v>
      </c>
      <c r="I136" s="183" t="str">
        <f t="shared" si="10"/>
        <v/>
      </c>
      <c r="J136" s="182" t="e">
        <f t="shared" si="13"/>
        <v>#NUM!</v>
      </c>
      <c r="K136" s="182" t="e">
        <f t="shared" si="11"/>
        <v>#NUM!</v>
      </c>
      <c r="L136" s="182"/>
      <c r="M136" s="184">
        <f t="shared" si="12"/>
        <v>0</v>
      </c>
    </row>
    <row r="137" spans="1:13" x14ac:dyDescent="0.25">
      <c r="A137" s="199"/>
      <c r="G137" s="170"/>
      <c r="H137" s="182">
        <v>132</v>
      </c>
      <c r="I137" s="183" t="str">
        <f t="shared" si="10"/>
        <v/>
      </c>
      <c r="J137" s="182" t="e">
        <f t="shared" si="13"/>
        <v>#NUM!</v>
      </c>
      <c r="K137" s="182" t="e">
        <f t="shared" si="11"/>
        <v>#NUM!</v>
      </c>
      <c r="L137" s="182"/>
      <c r="M137" s="184">
        <f t="shared" si="12"/>
        <v>0</v>
      </c>
    </row>
    <row r="138" spans="1:13" x14ac:dyDescent="0.25">
      <c r="A138" s="199"/>
      <c r="G138" s="170"/>
      <c r="H138" s="182">
        <v>133</v>
      </c>
      <c r="I138" s="183" t="str">
        <f t="shared" si="10"/>
        <v/>
      </c>
      <c r="J138" s="182" t="e">
        <f t="shared" si="13"/>
        <v>#NUM!</v>
      </c>
      <c r="K138" s="182" t="e">
        <f t="shared" si="11"/>
        <v>#NUM!</v>
      </c>
      <c r="L138" s="182"/>
      <c r="M138" s="184">
        <f t="shared" si="12"/>
        <v>0</v>
      </c>
    </row>
    <row r="139" spans="1:13" x14ac:dyDescent="0.25">
      <c r="A139" s="199"/>
      <c r="G139" s="170"/>
      <c r="H139" s="182">
        <v>134</v>
      </c>
      <c r="I139" s="183" t="str">
        <f t="shared" si="10"/>
        <v/>
      </c>
      <c r="J139" s="182" t="e">
        <f t="shared" si="13"/>
        <v>#NUM!</v>
      </c>
      <c r="K139" s="182" t="e">
        <f t="shared" si="11"/>
        <v>#NUM!</v>
      </c>
      <c r="L139" s="182"/>
      <c r="M139" s="184">
        <f t="shared" si="12"/>
        <v>0</v>
      </c>
    </row>
    <row r="140" spans="1:13" x14ac:dyDescent="0.25">
      <c r="A140" s="199"/>
      <c r="G140" s="170"/>
      <c r="H140" s="182">
        <v>135</v>
      </c>
      <c r="I140" s="183" t="str">
        <f t="shared" si="10"/>
        <v/>
      </c>
      <c r="J140" s="182" t="e">
        <f t="shared" si="13"/>
        <v>#NUM!</v>
      </c>
      <c r="K140" s="182" t="e">
        <f t="shared" si="11"/>
        <v>#NUM!</v>
      </c>
      <c r="L140" s="182"/>
      <c r="M140" s="184">
        <f t="shared" si="12"/>
        <v>0</v>
      </c>
    </row>
    <row r="141" spans="1:13" x14ac:dyDescent="0.25">
      <c r="A141" s="199"/>
      <c r="G141" s="170"/>
      <c r="H141" s="182">
        <v>136</v>
      </c>
      <c r="I141" s="183" t="str">
        <f t="shared" si="10"/>
        <v/>
      </c>
      <c r="J141" s="182" t="e">
        <f t="shared" si="13"/>
        <v>#NUM!</v>
      </c>
      <c r="K141" s="182" t="e">
        <f t="shared" si="11"/>
        <v>#NUM!</v>
      </c>
      <c r="L141" s="182"/>
      <c r="M141" s="184">
        <f t="shared" si="12"/>
        <v>0</v>
      </c>
    </row>
    <row r="142" spans="1:13" x14ac:dyDescent="0.25">
      <c r="A142" s="199"/>
      <c r="G142" s="170"/>
      <c r="H142" s="182">
        <v>137</v>
      </c>
      <c r="I142" s="183" t="str">
        <f t="shared" si="10"/>
        <v/>
      </c>
      <c r="J142" s="182" t="e">
        <f t="shared" si="13"/>
        <v>#NUM!</v>
      </c>
      <c r="K142" s="182" t="e">
        <f t="shared" si="11"/>
        <v>#NUM!</v>
      </c>
      <c r="L142" s="182"/>
      <c r="M142" s="184">
        <f t="shared" si="12"/>
        <v>0</v>
      </c>
    </row>
    <row r="143" spans="1:13" x14ac:dyDescent="0.25">
      <c r="A143" s="199"/>
      <c r="G143" s="170"/>
      <c r="H143" s="182">
        <v>138</v>
      </c>
      <c r="I143" s="183" t="str">
        <f t="shared" si="10"/>
        <v/>
      </c>
      <c r="J143" s="182" t="e">
        <f t="shared" si="13"/>
        <v>#NUM!</v>
      </c>
      <c r="K143" s="182" t="e">
        <f t="shared" si="11"/>
        <v>#NUM!</v>
      </c>
      <c r="L143" s="182"/>
      <c r="M143" s="184">
        <f t="shared" si="12"/>
        <v>0</v>
      </c>
    </row>
    <row r="144" spans="1:13" x14ac:dyDescent="0.25">
      <c r="A144" s="199"/>
      <c r="G144" s="170"/>
      <c r="H144" s="182">
        <v>139</v>
      </c>
      <c r="I144" s="183" t="str">
        <f t="shared" si="10"/>
        <v/>
      </c>
      <c r="J144" s="182" t="e">
        <f t="shared" si="13"/>
        <v>#NUM!</v>
      </c>
      <c r="K144" s="182" t="e">
        <f t="shared" si="11"/>
        <v>#NUM!</v>
      </c>
      <c r="L144" s="182"/>
      <c r="M144" s="184">
        <f t="shared" si="12"/>
        <v>0</v>
      </c>
    </row>
    <row r="145" spans="1:13" x14ac:dyDescent="0.25">
      <c r="A145" s="199"/>
      <c r="G145" s="170"/>
      <c r="H145" s="182">
        <v>140</v>
      </c>
      <c r="I145" s="183" t="str">
        <f t="shared" si="10"/>
        <v/>
      </c>
      <c r="J145" s="182" t="e">
        <f t="shared" si="13"/>
        <v>#NUM!</v>
      </c>
      <c r="K145" s="182" t="e">
        <f t="shared" si="11"/>
        <v>#NUM!</v>
      </c>
      <c r="L145" s="182"/>
      <c r="M145" s="184">
        <f t="shared" si="12"/>
        <v>0</v>
      </c>
    </row>
    <row r="146" spans="1:13" x14ac:dyDescent="0.25">
      <c r="A146" s="199"/>
      <c r="G146" s="170"/>
      <c r="H146" s="182">
        <v>141</v>
      </c>
      <c r="I146" s="183" t="str">
        <f t="shared" si="10"/>
        <v/>
      </c>
      <c r="J146" s="182" t="e">
        <f t="shared" si="13"/>
        <v>#NUM!</v>
      </c>
      <c r="K146" s="182" t="e">
        <f t="shared" si="11"/>
        <v>#NUM!</v>
      </c>
      <c r="L146" s="182"/>
      <c r="M146" s="184">
        <f t="shared" si="12"/>
        <v>0</v>
      </c>
    </row>
    <row r="147" spans="1:13" x14ac:dyDescent="0.25">
      <c r="A147" s="199"/>
      <c r="G147" s="170"/>
      <c r="H147" s="182">
        <v>142</v>
      </c>
      <c r="I147" s="183" t="str">
        <f t="shared" si="10"/>
        <v/>
      </c>
      <c r="J147" s="182" t="e">
        <f t="shared" si="13"/>
        <v>#NUM!</v>
      </c>
      <c r="K147" s="182" t="e">
        <f t="shared" si="11"/>
        <v>#NUM!</v>
      </c>
      <c r="L147" s="182"/>
      <c r="M147" s="184">
        <f t="shared" si="12"/>
        <v>0</v>
      </c>
    </row>
    <row r="148" spans="1:13" x14ac:dyDescent="0.25">
      <c r="A148" s="199"/>
      <c r="G148" s="170"/>
      <c r="H148" s="182">
        <v>143</v>
      </c>
      <c r="I148" s="183" t="str">
        <f t="shared" si="10"/>
        <v/>
      </c>
      <c r="J148" s="182" t="e">
        <f t="shared" si="13"/>
        <v>#NUM!</v>
      </c>
      <c r="K148" s="182" t="e">
        <f t="shared" si="11"/>
        <v>#NUM!</v>
      </c>
      <c r="L148" s="182"/>
      <c r="M148" s="184">
        <f t="shared" si="12"/>
        <v>0</v>
      </c>
    </row>
    <row r="149" spans="1:13" x14ac:dyDescent="0.25">
      <c r="A149" s="199"/>
      <c r="G149" s="170"/>
      <c r="H149" s="182">
        <v>144</v>
      </c>
      <c r="I149" s="183" t="str">
        <f t="shared" si="10"/>
        <v/>
      </c>
      <c r="J149" s="182" t="e">
        <f t="shared" si="13"/>
        <v>#NUM!</v>
      </c>
      <c r="K149" s="182" t="e">
        <f t="shared" si="11"/>
        <v>#NUM!</v>
      </c>
      <c r="L149" s="182"/>
      <c r="M149" s="184">
        <f t="shared" si="12"/>
        <v>0</v>
      </c>
    </row>
    <row r="150" spans="1:13" x14ac:dyDescent="0.25">
      <c r="A150" s="199"/>
      <c r="G150" s="170"/>
      <c r="H150" s="182">
        <v>145</v>
      </c>
      <c r="I150" s="183" t="str">
        <f t="shared" si="10"/>
        <v/>
      </c>
      <c r="J150" s="182" t="e">
        <f t="shared" si="13"/>
        <v>#NUM!</v>
      </c>
      <c r="K150" s="182" t="e">
        <f t="shared" si="11"/>
        <v>#NUM!</v>
      </c>
      <c r="L150" s="182"/>
      <c r="M150" s="184">
        <f t="shared" si="12"/>
        <v>0</v>
      </c>
    </row>
    <row r="151" spans="1:13" x14ac:dyDescent="0.25">
      <c r="A151" s="199"/>
      <c r="G151" s="170"/>
      <c r="H151" s="182">
        <v>146</v>
      </c>
      <c r="I151" s="183" t="str">
        <f t="shared" si="10"/>
        <v/>
      </c>
      <c r="J151" s="182" t="e">
        <f t="shared" si="13"/>
        <v>#NUM!</v>
      </c>
      <c r="K151" s="182" t="e">
        <f t="shared" si="11"/>
        <v>#NUM!</v>
      </c>
      <c r="L151" s="182"/>
      <c r="M151" s="184">
        <f t="shared" si="12"/>
        <v>0</v>
      </c>
    </row>
    <row r="152" spans="1:13" x14ac:dyDescent="0.25">
      <c r="A152" s="199"/>
      <c r="G152" s="170"/>
      <c r="H152" s="182">
        <v>147</v>
      </c>
      <c r="I152" s="183" t="str">
        <f t="shared" si="10"/>
        <v/>
      </c>
      <c r="J152" s="182" t="e">
        <f t="shared" si="13"/>
        <v>#NUM!</v>
      </c>
      <c r="K152" s="182" t="e">
        <f t="shared" si="11"/>
        <v>#NUM!</v>
      </c>
      <c r="L152" s="182"/>
      <c r="M152" s="184">
        <f t="shared" si="12"/>
        <v>0</v>
      </c>
    </row>
    <row r="153" spans="1:13" x14ac:dyDescent="0.25">
      <c r="A153" s="199"/>
      <c r="G153" s="170"/>
      <c r="H153" s="182">
        <v>148</v>
      </c>
      <c r="I153" s="183" t="str">
        <f t="shared" si="10"/>
        <v/>
      </c>
      <c r="J153" s="182" t="e">
        <f t="shared" si="13"/>
        <v>#NUM!</v>
      </c>
      <c r="K153" s="182" t="e">
        <f t="shared" si="11"/>
        <v>#NUM!</v>
      </c>
      <c r="L153" s="182"/>
      <c r="M153" s="184">
        <f t="shared" si="12"/>
        <v>0</v>
      </c>
    </row>
    <row r="154" spans="1:13" x14ac:dyDescent="0.25">
      <c r="A154" s="199"/>
      <c r="G154" s="170"/>
      <c r="H154" s="182">
        <v>149</v>
      </c>
      <c r="I154" s="183" t="str">
        <f t="shared" si="10"/>
        <v/>
      </c>
      <c r="J154" s="182" t="e">
        <f t="shared" si="13"/>
        <v>#NUM!</v>
      </c>
      <c r="K154" s="182" t="e">
        <f t="shared" si="11"/>
        <v>#NUM!</v>
      </c>
      <c r="L154" s="182"/>
      <c r="M154" s="184">
        <f t="shared" si="12"/>
        <v>0</v>
      </c>
    </row>
    <row r="155" spans="1:13" x14ac:dyDescent="0.25">
      <c r="A155" s="199"/>
      <c r="G155" s="170"/>
      <c r="H155" s="182">
        <v>150</v>
      </c>
      <c r="I155" s="183" t="str">
        <f t="shared" si="10"/>
        <v/>
      </c>
      <c r="J155" s="182" t="e">
        <f t="shared" si="13"/>
        <v>#NUM!</v>
      </c>
      <c r="K155" s="182" t="e">
        <f t="shared" si="11"/>
        <v>#NUM!</v>
      </c>
      <c r="L155" s="182"/>
      <c r="M155" s="184">
        <f t="shared" si="12"/>
        <v>0</v>
      </c>
    </row>
    <row r="156" spans="1:13" x14ac:dyDescent="0.25">
      <c r="A156" s="199"/>
      <c r="G156" s="170"/>
      <c r="H156" s="182">
        <v>151</v>
      </c>
      <c r="I156" s="183" t="str">
        <f t="shared" si="10"/>
        <v/>
      </c>
      <c r="J156" s="182" t="e">
        <f t="shared" si="13"/>
        <v>#NUM!</v>
      </c>
      <c r="K156" s="182" t="e">
        <f t="shared" si="11"/>
        <v>#NUM!</v>
      </c>
      <c r="L156" s="182"/>
      <c r="M156" s="184">
        <f t="shared" si="12"/>
        <v>0</v>
      </c>
    </row>
    <row r="157" spans="1:13" x14ac:dyDescent="0.25">
      <c r="A157" s="199"/>
      <c r="G157" s="170"/>
      <c r="H157" s="182">
        <v>152</v>
      </c>
      <c r="I157" s="183" t="str">
        <f t="shared" si="10"/>
        <v/>
      </c>
      <c r="J157" s="182" t="e">
        <f t="shared" si="13"/>
        <v>#NUM!</v>
      </c>
      <c r="K157" s="182" t="e">
        <f t="shared" si="11"/>
        <v>#NUM!</v>
      </c>
      <c r="L157" s="182"/>
      <c r="M157" s="184">
        <f t="shared" si="12"/>
        <v>0</v>
      </c>
    </row>
    <row r="158" spans="1:13" x14ac:dyDescent="0.25">
      <c r="A158" s="199"/>
      <c r="G158" s="170"/>
      <c r="H158" s="182">
        <v>153</v>
      </c>
      <c r="I158" s="183" t="str">
        <f t="shared" si="10"/>
        <v/>
      </c>
      <c r="J158" s="182" t="e">
        <f t="shared" si="13"/>
        <v>#NUM!</v>
      </c>
      <c r="K158" s="182" t="e">
        <f t="shared" si="11"/>
        <v>#NUM!</v>
      </c>
      <c r="L158" s="182"/>
      <c r="M158" s="184">
        <f t="shared" si="12"/>
        <v>0</v>
      </c>
    </row>
    <row r="159" spans="1:13" x14ac:dyDescent="0.25">
      <c r="A159" s="199"/>
      <c r="G159" s="170"/>
      <c r="H159" s="182">
        <v>154</v>
      </c>
      <c r="I159" s="183" t="str">
        <f t="shared" si="10"/>
        <v/>
      </c>
      <c r="J159" s="182" t="e">
        <f t="shared" si="13"/>
        <v>#NUM!</v>
      </c>
      <c r="K159" s="182" t="e">
        <f t="shared" si="11"/>
        <v>#NUM!</v>
      </c>
      <c r="L159" s="182"/>
      <c r="M159" s="184">
        <f t="shared" si="12"/>
        <v>0</v>
      </c>
    </row>
    <row r="160" spans="1:13" x14ac:dyDescent="0.25">
      <c r="A160" s="199"/>
      <c r="G160" s="170"/>
      <c r="H160" s="182">
        <v>155</v>
      </c>
      <c r="I160" s="183" t="str">
        <f t="shared" si="10"/>
        <v/>
      </c>
      <c r="J160" s="182" t="e">
        <f t="shared" si="13"/>
        <v>#NUM!</v>
      </c>
      <c r="K160" s="182" t="e">
        <f t="shared" si="11"/>
        <v>#NUM!</v>
      </c>
      <c r="L160" s="182"/>
      <c r="M160" s="184">
        <f t="shared" si="12"/>
        <v>0</v>
      </c>
    </row>
    <row r="161" spans="1:13" x14ac:dyDescent="0.25">
      <c r="A161" s="199"/>
      <c r="G161" s="170"/>
      <c r="H161" s="182">
        <v>156</v>
      </c>
      <c r="I161" s="183" t="str">
        <f t="shared" si="10"/>
        <v/>
      </c>
      <c r="J161" s="182" t="e">
        <f t="shared" si="13"/>
        <v>#NUM!</v>
      </c>
      <c r="K161" s="182" t="e">
        <f t="shared" si="11"/>
        <v>#NUM!</v>
      </c>
      <c r="L161" s="182"/>
      <c r="M161" s="184">
        <f t="shared" si="12"/>
        <v>0</v>
      </c>
    </row>
    <row r="162" spans="1:13" x14ac:dyDescent="0.25">
      <c r="A162" s="199"/>
      <c r="G162" s="170"/>
      <c r="H162" s="182">
        <v>157</v>
      </c>
      <c r="I162" s="183" t="str">
        <f t="shared" si="10"/>
        <v/>
      </c>
      <c r="J162" s="182" t="e">
        <f t="shared" si="13"/>
        <v>#NUM!</v>
      </c>
      <c r="K162" s="182" t="e">
        <f t="shared" si="11"/>
        <v>#NUM!</v>
      </c>
      <c r="L162" s="182"/>
      <c r="M162" s="184">
        <f t="shared" si="12"/>
        <v>0</v>
      </c>
    </row>
    <row r="163" spans="1:13" x14ac:dyDescent="0.25">
      <c r="A163" s="199"/>
      <c r="G163" s="170"/>
      <c r="H163" s="182">
        <v>158</v>
      </c>
      <c r="I163" s="183" t="str">
        <f t="shared" si="10"/>
        <v/>
      </c>
      <c r="J163" s="182" t="e">
        <f t="shared" si="13"/>
        <v>#NUM!</v>
      </c>
      <c r="K163" s="182" t="e">
        <f t="shared" si="11"/>
        <v>#NUM!</v>
      </c>
      <c r="L163" s="182"/>
      <c r="M163" s="184">
        <f t="shared" si="12"/>
        <v>0</v>
      </c>
    </row>
    <row r="164" spans="1:13" x14ac:dyDescent="0.25">
      <c r="A164" s="199"/>
      <c r="G164" s="170"/>
      <c r="H164" s="182">
        <v>159</v>
      </c>
      <c r="I164" s="183" t="str">
        <f t="shared" si="10"/>
        <v/>
      </c>
      <c r="J164" s="182" t="e">
        <f t="shared" si="13"/>
        <v>#NUM!</v>
      </c>
      <c r="K164" s="182" t="e">
        <f t="shared" si="11"/>
        <v>#NUM!</v>
      </c>
      <c r="L164" s="182"/>
      <c r="M164" s="184">
        <f t="shared" si="12"/>
        <v>0</v>
      </c>
    </row>
    <row r="165" spans="1:13" x14ac:dyDescent="0.25">
      <c r="A165" s="199"/>
      <c r="G165" s="170"/>
      <c r="H165" s="182">
        <v>160</v>
      </c>
      <c r="I165" s="183" t="str">
        <f t="shared" si="10"/>
        <v/>
      </c>
      <c r="J165" s="182" t="e">
        <f t="shared" si="13"/>
        <v>#NUM!</v>
      </c>
      <c r="K165" s="182" t="e">
        <f t="shared" si="11"/>
        <v>#NUM!</v>
      </c>
      <c r="L165" s="182"/>
      <c r="M165" s="184">
        <f t="shared" si="12"/>
        <v>0</v>
      </c>
    </row>
    <row r="166" spans="1:13" x14ac:dyDescent="0.25">
      <c r="A166" s="199"/>
      <c r="G166" s="170"/>
      <c r="H166" s="182">
        <v>161</v>
      </c>
      <c r="I166" s="183" t="str">
        <f t="shared" si="10"/>
        <v/>
      </c>
      <c r="J166" s="182" t="e">
        <f t="shared" si="13"/>
        <v>#NUM!</v>
      </c>
      <c r="K166" s="182" t="e">
        <f t="shared" si="11"/>
        <v>#NUM!</v>
      </c>
      <c r="L166" s="182"/>
      <c r="M166" s="184">
        <f t="shared" si="12"/>
        <v>0</v>
      </c>
    </row>
    <row r="167" spans="1:13" x14ac:dyDescent="0.25">
      <c r="A167" s="199"/>
      <c r="G167" s="170"/>
      <c r="H167" s="182">
        <v>162</v>
      </c>
      <c r="I167" s="183" t="str">
        <f t="shared" si="10"/>
        <v/>
      </c>
      <c r="J167" s="182" t="e">
        <f t="shared" si="13"/>
        <v>#NUM!</v>
      </c>
      <c r="K167" s="182" t="e">
        <f t="shared" si="11"/>
        <v>#NUM!</v>
      </c>
      <c r="L167" s="182"/>
      <c r="M167" s="184">
        <f t="shared" si="12"/>
        <v>0</v>
      </c>
    </row>
    <row r="168" spans="1:13" x14ac:dyDescent="0.25">
      <c r="A168" s="199"/>
      <c r="G168" s="170"/>
      <c r="H168" s="182">
        <v>163</v>
      </c>
      <c r="I168" s="183" t="str">
        <f t="shared" si="10"/>
        <v/>
      </c>
      <c r="J168" s="182" t="e">
        <f t="shared" si="13"/>
        <v>#NUM!</v>
      </c>
      <c r="K168" s="182" t="e">
        <f t="shared" si="11"/>
        <v>#NUM!</v>
      </c>
      <c r="L168" s="182"/>
      <c r="M168" s="184">
        <f t="shared" si="12"/>
        <v>0</v>
      </c>
    </row>
    <row r="169" spans="1:13" x14ac:dyDescent="0.25">
      <c r="A169" s="199"/>
      <c r="C169" s="198" t="s">
        <v>42</v>
      </c>
      <c r="G169" s="170"/>
      <c r="H169" s="182">
        <v>164</v>
      </c>
      <c r="I169" s="183" t="str">
        <f t="shared" si="10"/>
        <v/>
      </c>
      <c r="J169" s="182" t="e">
        <f t="shared" si="13"/>
        <v>#NUM!</v>
      </c>
      <c r="K169" s="182" t="e">
        <f t="shared" si="11"/>
        <v>#NUM!</v>
      </c>
      <c r="L169" s="182"/>
      <c r="M169" s="184">
        <f t="shared" si="12"/>
        <v>0</v>
      </c>
    </row>
    <row r="170" spans="1:13" x14ac:dyDescent="0.25">
      <c r="A170" s="199"/>
      <c r="G170" s="170"/>
      <c r="H170" s="182">
        <v>165</v>
      </c>
      <c r="I170" s="183" t="str">
        <f t="shared" si="10"/>
        <v/>
      </c>
      <c r="J170" s="182" t="e">
        <f t="shared" si="13"/>
        <v>#NUM!</v>
      </c>
      <c r="K170" s="182" t="e">
        <f t="shared" si="11"/>
        <v>#NUM!</v>
      </c>
      <c r="L170" s="182"/>
      <c r="M170" s="184">
        <f t="shared" si="12"/>
        <v>0</v>
      </c>
    </row>
    <row r="171" spans="1:13" x14ac:dyDescent="0.25">
      <c r="A171" s="199"/>
      <c r="G171" s="170"/>
      <c r="H171" s="182">
        <v>166</v>
      </c>
      <c r="I171" s="183" t="str">
        <f t="shared" si="10"/>
        <v/>
      </c>
      <c r="J171" s="182" t="e">
        <f t="shared" si="13"/>
        <v>#NUM!</v>
      </c>
      <c r="K171" s="182" t="e">
        <f t="shared" si="11"/>
        <v>#NUM!</v>
      </c>
      <c r="L171" s="182"/>
      <c r="M171" s="184">
        <f t="shared" si="12"/>
        <v>0</v>
      </c>
    </row>
    <row r="172" spans="1:13" x14ac:dyDescent="0.25">
      <c r="A172" s="199"/>
      <c r="G172" s="170"/>
      <c r="H172" s="182">
        <v>167</v>
      </c>
      <c r="I172" s="183" t="str">
        <f t="shared" si="10"/>
        <v/>
      </c>
      <c r="J172" s="182" t="e">
        <f t="shared" si="13"/>
        <v>#NUM!</v>
      </c>
      <c r="K172" s="182" t="e">
        <f t="shared" si="11"/>
        <v>#NUM!</v>
      </c>
      <c r="L172" s="182"/>
      <c r="M172" s="184">
        <f t="shared" si="12"/>
        <v>0</v>
      </c>
    </row>
    <row r="173" spans="1:13" x14ac:dyDescent="0.25">
      <c r="A173" s="199"/>
      <c r="G173" s="170"/>
      <c r="H173" s="182">
        <v>168</v>
      </c>
      <c r="I173" s="183" t="str">
        <f t="shared" si="10"/>
        <v/>
      </c>
      <c r="J173" s="182" t="e">
        <f t="shared" si="13"/>
        <v>#NUM!</v>
      </c>
      <c r="K173" s="182" t="e">
        <f t="shared" si="11"/>
        <v>#NUM!</v>
      </c>
      <c r="L173" s="182"/>
      <c r="M173" s="184">
        <f t="shared" si="12"/>
        <v>0</v>
      </c>
    </row>
    <row r="174" spans="1:13" x14ac:dyDescent="0.25">
      <c r="A174" s="199"/>
      <c r="G174" s="170"/>
      <c r="H174" s="182">
        <v>169</v>
      </c>
      <c r="I174" s="183" t="str">
        <f t="shared" si="10"/>
        <v/>
      </c>
      <c r="J174" s="182" t="e">
        <f t="shared" si="13"/>
        <v>#NUM!</v>
      </c>
      <c r="K174" s="182" t="e">
        <f t="shared" si="11"/>
        <v>#NUM!</v>
      </c>
      <c r="L174" s="182"/>
      <c r="M174" s="184">
        <f t="shared" si="12"/>
        <v>0</v>
      </c>
    </row>
    <row r="175" spans="1:13" x14ac:dyDescent="0.25">
      <c r="A175" s="199"/>
      <c r="G175" s="170"/>
      <c r="H175" s="182">
        <v>170</v>
      </c>
      <c r="I175" s="183" t="str">
        <f t="shared" si="10"/>
        <v/>
      </c>
      <c r="J175" s="182" t="e">
        <f t="shared" si="13"/>
        <v>#NUM!</v>
      </c>
      <c r="K175" s="182" t="e">
        <f t="shared" si="11"/>
        <v>#NUM!</v>
      </c>
      <c r="L175" s="182"/>
      <c r="M175" s="184">
        <f t="shared" si="12"/>
        <v>0</v>
      </c>
    </row>
    <row r="176" spans="1:13" x14ac:dyDescent="0.25">
      <c r="A176" s="199"/>
      <c r="G176" s="170"/>
      <c r="H176" s="182">
        <v>171</v>
      </c>
      <c r="I176" s="183" t="str">
        <f t="shared" si="10"/>
        <v/>
      </c>
      <c r="J176" s="182" t="e">
        <f t="shared" si="13"/>
        <v>#NUM!</v>
      </c>
      <c r="K176" s="182" t="e">
        <f t="shared" si="11"/>
        <v>#NUM!</v>
      </c>
      <c r="L176" s="182"/>
      <c r="M176" s="184">
        <f t="shared" si="12"/>
        <v>0</v>
      </c>
    </row>
    <row r="177" spans="1:13" x14ac:dyDescent="0.25">
      <c r="A177" s="199"/>
      <c r="G177" s="170"/>
      <c r="H177" s="182">
        <v>172</v>
      </c>
      <c r="I177" s="183" t="str">
        <f t="shared" si="10"/>
        <v/>
      </c>
      <c r="J177" s="182" t="e">
        <f t="shared" si="13"/>
        <v>#NUM!</v>
      </c>
      <c r="K177" s="182" t="e">
        <f t="shared" si="11"/>
        <v>#NUM!</v>
      </c>
      <c r="L177" s="182"/>
      <c r="M177" s="184">
        <f t="shared" si="12"/>
        <v>0</v>
      </c>
    </row>
    <row r="178" spans="1:13" x14ac:dyDescent="0.25">
      <c r="A178" s="199"/>
      <c r="G178" s="170"/>
      <c r="H178" s="182">
        <v>173</v>
      </c>
      <c r="I178" s="183" t="str">
        <f t="shared" si="10"/>
        <v/>
      </c>
      <c r="J178" s="182" t="e">
        <f t="shared" si="13"/>
        <v>#NUM!</v>
      </c>
      <c r="K178" s="182" t="e">
        <f t="shared" si="11"/>
        <v>#NUM!</v>
      </c>
      <c r="L178" s="182"/>
      <c r="M178" s="184">
        <f t="shared" si="12"/>
        <v>0</v>
      </c>
    </row>
    <row r="179" spans="1:13" x14ac:dyDescent="0.25">
      <c r="A179" s="199"/>
      <c r="G179" s="170"/>
      <c r="H179" s="182">
        <v>174</v>
      </c>
      <c r="I179" s="183" t="str">
        <f t="shared" si="10"/>
        <v/>
      </c>
      <c r="J179" s="182" t="e">
        <f t="shared" si="13"/>
        <v>#NUM!</v>
      </c>
      <c r="K179" s="182" t="e">
        <f t="shared" si="11"/>
        <v>#NUM!</v>
      </c>
      <c r="L179" s="182"/>
      <c r="M179" s="184">
        <f t="shared" si="12"/>
        <v>0</v>
      </c>
    </row>
    <row r="180" spans="1:13" x14ac:dyDescent="0.25">
      <c r="A180" s="199"/>
      <c r="G180" s="170"/>
      <c r="H180" s="182">
        <v>175</v>
      </c>
      <c r="I180" s="183" t="str">
        <f t="shared" si="10"/>
        <v/>
      </c>
      <c r="J180" s="182" t="e">
        <f t="shared" si="13"/>
        <v>#NUM!</v>
      </c>
      <c r="K180" s="182" t="e">
        <f t="shared" si="11"/>
        <v>#NUM!</v>
      </c>
      <c r="L180" s="182"/>
      <c r="M180" s="184">
        <f t="shared" si="12"/>
        <v>0</v>
      </c>
    </row>
    <row r="181" spans="1:13" x14ac:dyDescent="0.25">
      <c r="A181" s="199"/>
      <c r="G181" s="170"/>
      <c r="H181" s="182">
        <v>176</v>
      </c>
      <c r="I181" s="183" t="str">
        <f t="shared" si="10"/>
        <v/>
      </c>
      <c r="J181" s="182" t="e">
        <f t="shared" si="13"/>
        <v>#NUM!</v>
      </c>
      <c r="K181" s="182" t="e">
        <f t="shared" si="11"/>
        <v>#NUM!</v>
      </c>
      <c r="L181" s="182"/>
      <c r="M181" s="184">
        <f t="shared" si="12"/>
        <v>0</v>
      </c>
    </row>
    <row r="182" spans="1:13" x14ac:dyDescent="0.25">
      <c r="A182" s="199"/>
      <c r="G182" s="170"/>
      <c r="H182" s="182">
        <v>177</v>
      </c>
      <c r="I182" s="183" t="str">
        <f t="shared" si="10"/>
        <v/>
      </c>
      <c r="J182" s="182" t="e">
        <f t="shared" si="13"/>
        <v>#NUM!</v>
      </c>
      <c r="K182" s="182" t="e">
        <f t="shared" si="11"/>
        <v>#NUM!</v>
      </c>
      <c r="L182" s="182"/>
      <c r="M182" s="184">
        <f t="shared" si="12"/>
        <v>0</v>
      </c>
    </row>
    <row r="183" spans="1:13" x14ac:dyDescent="0.25">
      <c r="A183" s="199"/>
      <c r="G183" s="170"/>
      <c r="H183" s="182">
        <v>178</v>
      </c>
      <c r="I183" s="183" t="str">
        <f t="shared" si="10"/>
        <v/>
      </c>
      <c r="J183" s="182" t="e">
        <f t="shared" si="13"/>
        <v>#NUM!</v>
      </c>
      <c r="K183" s="182" t="e">
        <f t="shared" si="11"/>
        <v>#NUM!</v>
      </c>
      <c r="L183" s="182"/>
      <c r="M183" s="184">
        <f t="shared" si="12"/>
        <v>0</v>
      </c>
    </row>
    <row r="184" spans="1:13" x14ac:dyDescent="0.25">
      <c r="A184" s="199"/>
      <c r="G184" s="170"/>
      <c r="H184" s="182">
        <v>179</v>
      </c>
      <c r="I184" s="183" t="str">
        <f t="shared" si="10"/>
        <v/>
      </c>
      <c r="J184" s="182" t="e">
        <f t="shared" si="13"/>
        <v>#NUM!</v>
      </c>
      <c r="K184" s="182" t="e">
        <f t="shared" si="11"/>
        <v>#NUM!</v>
      </c>
      <c r="L184" s="182"/>
      <c r="M184" s="184">
        <f t="shared" si="12"/>
        <v>0</v>
      </c>
    </row>
    <row r="185" spans="1:13" x14ac:dyDescent="0.25">
      <c r="A185" s="199"/>
      <c r="G185" s="170"/>
      <c r="H185" s="182">
        <v>180</v>
      </c>
      <c r="I185" s="183" t="str">
        <f t="shared" si="10"/>
        <v/>
      </c>
      <c r="J185" s="182" t="e">
        <f t="shared" si="13"/>
        <v>#NUM!</v>
      </c>
      <c r="K185" s="182" t="e">
        <f t="shared" si="11"/>
        <v>#NUM!</v>
      </c>
      <c r="L185" s="182"/>
      <c r="M185" s="184">
        <f t="shared" si="12"/>
        <v>0</v>
      </c>
    </row>
    <row r="186" spans="1:13" x14ac:dyDescent="0.25">
      <c r="A186" s="199"/>
      <c r="G186" s="170"/>
      <c r="H186" s="182">
        <v>181</v>
      </c>
      <c r="I186" s="183" t="str">
        <f t="shared" si="10"/>
        <v/>
      </c>
      <c r="J186" s="182" t="e">
        <f t="shared" si="13"/>
        <v>#NUM!</v>
      </c>
      <c r="K186" s="182" t="e">
        <f t="shared" si="11"/>
        <v>#NUM!</v>
      </c>
      <c r="L186" s="182"/>
      <c r="M186" s="184">
        <f t="shared" si="12"/>
        <v>0</v>
      </c>
    </row>
    <row r="187" spans="1:13" x14ac:dyDescent="0.25">
      <c r="A187" s="199"/>
      <c r="G187" s="170"/>
      <c r="H187" s="182">
        <v>182</v>
      </c>
      <c r="I187" s="183" t="str">
        <f t="shared" si="10"/>
        <v/>
      </c>
      <c r="J187" s="182" t="e">
        <f t="shared" si="13"/>
        <v>#NUM!</v>
      </c>
      <c r="K187" s="182" t="e">
        <f t="shared" si="11"/>
        <v>#NUM!</v>
      </c>
      <c r="L187" s="182"/>
      <c r="M187" s="184">
        <f t="shared" si="12"/>
        <v>0</v>
      </c>
    </row>
    <row r="188" spans="1:13" x14ac:dyDescent="0.25">
      <c r="A188" s="199"/>
      <c r="G188" s="170"/>
      <c r="H188" s="182">
        <v>183</v>
      </c>
      <c r="I188" s="183" t="str">
        <f t="shared" si="10"/>
        <v/>
      </c>
      <c r="J188" s="182" t="e">
        <f t="shared" si="13"/>
        <v>#NUM!</v>
      </c>
      <c r="K188" s="182" t="e">
        <f t="shared" si="11"/>
        <v>#NUM!</v>
      </c>
      <c r="L188" s="182"/>
      <c r="M188" s="184">
        <f t="shared" si="12"/>
        <v>0</v>
      </c>
    </row>
    <row r="189" spans="1:13" x14ac:dyDescent="0.25">
      <c r="A189" s="199"/>
      <c r="G189" s="170"/>
      <c r="H189" s="182">
        <v>184</v>
      </c>
      <c r="I189" s="183" t="str">
        <f t="shared" si="10"/>
        <v/>
      </c>
      <c r="J189" s="182" t="e">
        <f t="shared" si="13"/>
        <v>#NUM!</v>
      </c>
      <c r="K189" s="182" t="e">
        <f t="shared" si="11"/>
        <v>#NUM!</v>
      </c>
      <c r="L189" s="182"/>
      <c r="M189" s="184">
        <f t="shared" si="12"/>
        <v>0</v>
      </c>
    </row>
    <row r="190" spans="1:13" x14ac:dyDescent="0.25">
      <c r="A190" s="199"/>
      <c r="G190" s="170"/>
      <c r="H190" s="182">
        <v>185</v>
      </c>
      <c r="I190" s="183" t="str">
        <f t="shared" si="10"/>
        <v/>
      </c>
      <c r="J190" s="182" t="e">
        <f t="shared" si="13"/>
        <v>#NUM!</v>
      </c>
      <c r="K190" s="182" t="e">
        <f t="shared" si="11"/>
        <v>#NUM!</v>
      </c>
      <c r="L190" s="182"/>
      <c r="M190" s="184">
        <f t="shared" si="12"/>
        <v>0</v>
      </c>
    </row>
    <row r="191" spans="1:13" x14ac:dyDescent="0.25">
      <c r="A191" s="199"/>
      <c r="G191" s="170"/>
      <c r="H191" s="182">
        <v>186</v>
      </c>
      <c r="I191" s="183" t="str">
        <f t="shared" si="10"/>
        <v/>
      </c>
      <c r="J191" s="182" t="e">
        <f t="shared" si="13"/>
        <v>#NUM!</v>
      </c>
      <c r="K191" s="182" t="e">
        <f t="shared" si="11"/>
        <v>#NUM!</v>
      </c>
      <c r="L191" s="182"/>
      <c r="M191" s="184">
        <f t="shared" si="12"/>
        <v>0</v>
      </c>
    </row>
    <row r="192" spans="1:13" x14ac:dyDescent="0.25">
      <c r="A192" s="199"/>
      <c r="G192" s="170"/>
      <c r="H192" s="182">
        <v>187</v>
      </c>
      <c r="I192" s="183" t="str">
        <f t="shared" si="10"/>
        <v/>
      </c>
      <c r="J192" s="182" t="e">
        <f t="shared" si="13"/>
        <v>#NUM!</v>
      </c>
      <c r="K192" s="182" t="e">
        <f t="shared" si="11"/>
        <v>#NUM!</v>
      </c>
      <c r="L192" s="182"/>
      <c r="M192" s="184">
        <f t="shared" si="12"/>
        <v>0</v>
      </c>
    </row>
    <row r="193" spans="1:13" x14ac:dyDescent="0.25">
      <c r="A193" s="199"/>
      <c r="G193" s="170"/>
      <c r="H193" s="182">
        <v>188</v>
      </c>
      <c r="I193" s="183" t="str">
        <f t="shared" si="10"/>
        <v/>
      </c>
      <c r="J193" s="182" t="e">
        <f t="shared" si="13"/>
        <v>#NUM!</v>
      </c>
      <c r="K193" s="182" t="e">
        <f t="shared" si="11"/>
        <v>#NUM!</v>
      </c>
      <c r="L193" s="182"/>
      <c r="M193" s="184">
        <f t="shared" si="12"/>
        <v>0</v>
      </c>
    </row>
    <row r="194" spans="1:13" x14ac:dyDescent="0.25">
      <c r="A194" s="199"/>
      <c r="G194" s="170"/>
      <c r="H194" s="182">
        <v>189</v>
      </c>
      <c r="I194" s="183" t="str">
        <f t="shared" si="10"/>
        <v/>
      </c>
      <c r="J194" s="182" t="e">
        <f t="shared" si="13"/>
        <v>#NUM!</v>
      </c>
      <c r="K194" s="182" t="e">
        <f t="shared" si="11"/>
        <v>#NUM!</v>
      </c>
      <c r="L194" s="182"/>
      <c r="M194" s="184">
        <f t="shared" si="12"/>
        <v>0</v>
      </c>
    </row>
    <row r="195" spans="1:13" x14ac:dyDescent="0.25">
      <c r="A195" s="199"/>
      <c r="G195" s="170"/>
      <c r="H195" s="182">
        <v>190</v>
      </c>
      <c r="I195" s="183" t="str">
        <f t="shared" si="10"/>
        <v/>
      </c>
      <c r="J195" s="182" t="e">
        <f t="shared" si="13"/>
        <v>#NUM!</v>
      </c>
      <c r="K195" s="182" t="e">
        <f t="shared" si="11"/>
        <v>#NUM!</v>
      </c>
      <c r="L195" s="182"/>
      <c r="M195" s="184">
        <f t="shared" si="12"/>
        <v>0</v>
      </c>
    </row>
    <row r="196" spans="1:13" x14ac:dyDescent="0.25">
      <c r="A196" s="199"/>
      <c r="G196" s="170"/>
      <c r="H196" s="182">
        <v>191</v>
      </c>
      <c r="I196" s="183" t="str">
        <f t="shared" si="10"/>
        <v/>
      </c>
      <c r="J196" s="182" t="e">
        <f t="shared" si="13"/>
        <v>#NUM!</v>
      </c>
      <c r="K196" s="182" t="e">
        <f t="shared" si="11"/>
        <v>#NUM!</v>
      </c>
      <c r="L196" s="182"/>
      <c r="M196" s="184">
        <f t="shared" si="12"/>
        <v>0</v>
      </c>
    </row>
    <row r="197" spans="1:13" x14ac:dyDescent="0.25">
      <c r="A197" s="199"/>
      <c r="G197" s="170"/>
      <c r="H197" s="182">
        <v>192</v>
      </c>
      <c r="I197" s="183" t="str">
        <f t="shared" si="10"/>
        <v/>
      </c>
      <c r="J197" s="182" t="e">
        <f t="shared" si="13"/>
        <v>#NUM!</v>
      </c>
      <c r="K197" s="182" t="e">
        <f t="shared" si="11"/>
        <v>#NUM!</v>
      </c>
      <c r="L197" s="182"/>
      <c r="M197" s="184">
        <f t="shared" si="12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4">IF(H198&lt;$H$2+1,($I$2-($I$2-1)*(LOG(H198)/LOG($H$2))),"")</f>
        <v/>
      </c>
      <c r="J198" s="182" t="e">
        <f t="shared" si="13"/>
        <v>#NUM!</v>
      </c>
      <c r="K198" s="182" t="e">
        <f t="shared" ref="K198:K261" si="15">J198*$J$2</f>
        <v>#NUM!</v>
      </c>
      <c r="L198" s="182"/>
      <c r="M198" s="184">
        <f t="shared" ref="M198:M261" si="16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4"/>
        <v/>
      </c>
      <c r="J199" s="182" t="e">
        <f t="shared" ref="J199:J262" si="17">INT(LOG($H$2,2))-ROUNDUP(LOG(H199,2),0)+IF(OR($H$2=1,$H$2=2,$H$2=4,$H$2=8,$H$2=16,$H$2=32,$H$2=64,$H$2=128,$H$2=256),0,1)</f>
        <v>#NUM!</v>
      </c>
      <c r="K199" s="182" t="e">
        <f t="shared" si="15"/>
        <v>#NUM!</v>
      </c>
      <c r="L199" s="182"/>
      <c r="M199" s="184">
        <f t="shared" si="16"/>
        <v>0</v>
      </c>
    </row>
    <row r="200" spans="1:13" x14ac:dyDescent="0.25">
      <c r="A200" s="199"/>
      <c r="G200" s="170"/>
      <c r="H200" s="182">
        <v>195</v>
      </c>
      <c r="I200" s="183" t="str">
        <f t="shared" si="14"/>
        <v/>
      </c>
      <c r="J200" s="182" t="e">
        <f t="shared" si="17"/>
        <v>#NUM!</v>
      </c>
      <c r="K200" s="182" t="e">
        <f t="shared" si="15"/>
        <v>#NUM!</v>
      </c>
      <c r="L200" s="182"/>
      <c r="M200" s="184">
        <f t="shared" si="16"/>
        <v>0</v>
      </c>
    </row>
    <row r="201" spans="1:13" x14ac:dyDescent="0.25">
      <c r="A201" s="199"/>
      <c r="G201" s="170"/>
      <c r="H201" s="182">
        <v>196</v>
      </c>
      <c r="I201" s="183" t="str">
        <f t="shared" si="14"/>
        <v/>
      </c>
      <c r="J201" s="182" t="e">
        <f t="shared" si="17"/>
        <v>#NUM!</v>
      </c>
      <c r="K201" s="182" t="e">
        <f t="shared" si="15"/>
        <v>#NUM!</v>
      </c>
      <c r="L201" s="182"/>
      <c r="M201" s="184">
        <f t="shared" si="16"/>
        <v>0</v>
      </c>
    </row>
    <row r="202" spans="1:13" x14ac:dyDescent="0.25">
      <c r="A202" s="199"/>
      <c r="G202" s="170"/>
      <c r="H202" s="182">
        <v>197</v>
      </c>
      <c r="I202" s="183" t="str">
        <f t="shared" si="14"/>
        <v/>
      </c>
      <c r="J202" s="182" t="e">
        <f t="shared" si="17"/>
        <v>#NUM!</v>
      </c>
      <c r="K202" s="182" t="e">
        <f t="shared" si="15"/>
        <v>#NUM!</v>
      </c>
      <c r="L202" s="182"/>
      <c r="M202" s="184">
        <f t="shared" si="16"/>
        <v>0</v>
      </c>
    </row>
    <row r="203" spans="1:13" x14ac:dyDescent="0.25">
      <c r="A203" s="199"/>
      <c r="G203" s="170"/>
      <c r="H203" s="182">
        <v>198</v>
      </c>
      <c r="I203" s="183" t="str">
        <f t="shared" si="14"/>
        <v/>
      </c>
      <c r="J203" s="182" t="e">
        <f t="shared" si="17"/>
        <v>#NUM!</v>
      </c>
      <c r="K203" s="182" t="e">
        <f t="shared" si="15"/>
        <v>#NUM!</v>
      </c>
      <c r="L203" s="182"/>
      <c r="M203" s="184">
        <f t="shared" si="16"/>
        <v>0</v>
      </c>
    </row>
    <row r="204" spans="1:13" x14ac:dyDescent="0.25">
      <c r="A204" s="199"/>
      <c r="G204" s="170"/>
      <c r="H204" s="182">
        <v>199</v>
      </c>
      <c r="I204" s="183" t="str">
        <f t="shared" si="14"/>
        <v/>
      </c>
      <c r="J204" s="182" t="e">
        <f t="shared" si="17"/>
        <v>#NUM!</v>
      </c>
      <c r="K204" s="182" t="e">
        <f t="shared" si="15"/>
        <v>#NUM!</v>
      </c>
      <c r="L204" s="182"/>
      <c r="M204" s="184">
        <f t="shared" si="16"/>
        <v>0</v>
      </c>
    </row>
    <row r="205" spans="1:13" x14ac:dyDescent="0.25">
      <c r="A205" s="199"/>
      <c r="G205" s="170"/>
      <c r="H205" s="182">
        <v>200</v>
      </c>
      <c r="I205" s="183" t="str">
        <f t="shared" si="14"/>
        <v/>
      </c>
      <c r="J205" s="182" t="e">
        <f t="shared" si="17"/>
        <v>#NUM!</v>
      </c>
      <c r="K205" s="182" t="e">
        <f t="shared" si="15"/>
        <v>#NUM!</v>
      </c>
      <c r="L205" s="182"/>
      <c r="M205" s="184">
        <f t="shared" si="16"/>
        <v>0</v>
      </c>
    </row>
    <row r="206" spans="1:13" x14ac:dyDescent="0.25">
      <c r="A206" s="199"/>
      <c r="G206" s="170"/>
      <c r="H206" s="182">
        <v>201</v>
      </c>
      <c r="I206" s="183" t="str">
        <f t="shared" si="14"/>
        <v/>
      </c>
      <c r="J206" s="182" t="e">
        <f t="shared" si="17"/>
        <v>#NUM!</v>
      </c>
      <c r="K206" s="182" t="e">
        <f t="shared" si="15"/>
        <v>#NUM!</v>
      </c>
      <c r="L206" s="182"/>
      <c r="M206" s="184">
        <f t="shared" si="16"/>
        <v>0</v>
      </c>
    </row>
    <row r="207" spans="1:13" x14ac:dyDescent="0.25">
      <c r="A207" s="199"/>
      <c r="G207" s="170"/>
      <c r="H207" s="182">
        <v>202</v>
      </c>
      <c r="I207" s="183" t="str">
        <f t="shared" si="14"/>
        <v/>
      </c>
      <c r="J207" s="182" t="e">
        <f t="shared" si="17"/>
        <v>#NUM!</v>
      </c>
      <c r="K207" s="182" t="e">
        <f t="shared" si="15"/>
        <v>#NUM!</v>
      </c>
      <c r="L207" s="182"/>
      <c r="M207" s="184">
        <f t="shared" si="16"/>
        <v>0</v>
      </c>
    </row>
    <row r="208" spans="1:13" x14ac:dyDescent="0.25">
      <c r="A208" s="199"/>
      <c r="G208" s="170"/>
      <c r="H208" s="182">
        <v>203</v>
      </c>
      <c r="I208" s="183" t="str">
        <f t="shared" si="14"/>
        <v/>
      </c>
      <c r="J208" s="182" t="e">
        <f t="shared" si="17"/>
        <v>#NUM!</v>
      </c>
      <c r="K208" s="182" t="e">
        <f t="shared" si="15"/>
        <v>#NUM!</v>
      </c>
      <c r="L208" s="182"/>
      <c r="M208" s="184">
        <f t="shared" si="16"/>
        <v>0</v>
      </c>
    </row>
    <row r="209" spans="1:13" x14ac:dyDescent="0.25">
      <c r="A209" s="199"/>
      <c r="G209" s="170"/>
      <c r="H209" s="182">
        <v>204</v>
      </c>
      <c r="I209" s="183" t="str">
        <f t="shared" si="14"/>
        <v/>
      </c>
      <c r="J209" s="182" t="e">
        <f t="shared" si="17"/>
        <v>#NUM!</v>
      </c>
      <c r="K209" s="182" t="e">
        <f t="shared" si="15"/>
        <v>#NUM!</v>
      </c>
      <c r="L209" s="182"/>
      <c r="M209" s="184">
        <f t="shared" si="16"/>
        <v>0</v>
      </c>
    </row>
    <row r="210" spans="1:13" x14ac:dyDescent="0.25">
      <c r="A210" s="199"/>
      <c r="G210" s="170"/>
      <c r="H210" s="182">
        <v>205</v>
      </c>
      <c r="I210" s="183" t="str">
        <f t="shared" si="14"/>
        <v/>
      </c>
      <c r="J210" s="182" t="e">
        <f t="shared" si="17"/>
        <v>#NUM!</v>
      </c>
      <c r="K210" s="182" t="e">
        <f t="shared" si="15"/>
        <v>#NUM!</v>
      </c>
      <c r="L210" s="182"/>
      <c r="M210" s="184">
        <f t="shared" si="16"/>
        <v>0</v>
      </c>
    </row>
    <row r="211" spans="1:13" x14ac:dyDescent="0.25">
      <c r="A211" s="199"/>
      <c r="G211" s="170"/>
      <c r="H211" s="182">
        <v>206</v>
      </c>
      <c r="I211" s="183" t="str">
        <f t="shared" si="14"/>
        <v/>
      </c>
      <c r="J211" s="182" t="e">
        <f t="shared" si="17"/>
        <v>#NUM!</v>
      </c>
      <c r="K211" s="182" t="e">
        <f t="shared" si="15"/>
        <v>#NUM!</v>
      </c>
      <c r="L211" s="182"/>
      <c r="M211" s="184">
        <f t="shared" si="16"/>
        <v>0</v>
      </c>
    </row>
    <row r="212" spans="1:13" x14ac:dyDescent="0.25">
      <c r="A212" s="199"/>
      <c r="G212" s="170"/>
      <c r="H212" s="182">
        <v>207</v>
      </c>
      <c r="I212" s="183" t="str">
        <f t="shared" si="14"/>
        <v/>
      </c>
      <c r="J212" s="182" t="e">
        <f t="shared" si="17"/>
        <v>#NUM!</v>
      </c>
      <c r="K212" s="182" t="e">
        <f t="shared" si="15"/>
        <v>#NUM!</v>
      </c>
      <c r="L212" s="182"/>
      <c r="M212" s="184">
        <f t="shared" si="16"/>
        <v>0</v>
      </c>
    </row>
    <row r="213" spans="1:13" x14ac:dyDescent="0.25">
      <c r="A213" s="199"/>
      <c r="G213" s="170"/>
      <c r="H213" s="182">
        <v>208</v>
      </c>
      <c r="I213" s="183" t="str">
        <f t="shared" si="14"/>
        <v/>
      </c>
      <c r="J213" s="182" t="e">
        <f t="shared" si="17"/>
        <v>#NUM!</v>
      </c>
      <c r="K213" s="182" t="e">
        <f t="shared" si="15"/>
        <v>#NUM!</v>
      </c>
      <c r="L213" s="182"/>
      <c r="M213" s="184">
        <f t="shared" si="16"/>
        <v>0</v>
      </c>
    </row>
    <row r="214" spans="1:13" x14ac:dyDescent="0.25">
      <c r="A214" s="199"/>
      <c r="G214" s="170"/>
      <c r="H214" s="182">
        <v>209</v>
      </c>
      <c r="I214" s="183" t="str">
        <f t="shared" si="14"/>
        <v/>
      </c>
      <c r="J214" s="182" t="e">
        <f t="shared" si="17"/>
        <v>#NUM!</v>
      </c>
      <c r="K214" s="182" t="e">
        <f t="shared" si="15"/>
        <v>#NUM!</v>
      </c>
      <c r="L214" s="182"/>
      <c r="M214" s="184">
        <f t="shared" si="16"/>
        <v>0</v>
      </c>
    </row>
    <row r="215" spans="1:13" x14ac:dyDescent="0.25">
      <c r="A215" s="199"/>
      <c r="G215" s="170"/>
      <c r="H215" s="182">
        <v>210</v>
      </c>
      <c r="I215" s="183" t="str">
        <f t="shared" si="14"/>
        <v/>
      </c>
      <c r="J215" s="182" t="e">
        <f t="shared" si="17"/>
        <v>#NUM!</v>
      </c>
      <c r="K215" s="182" t="e">
        <f t="shared" si="15"/>
        <v>#NUM!</v>
      </c>
      <c r="L215" s="182"/>
      <c r="M215" s="184">
        <f t="shared" si="16"/>
        <v>0</v>
      </c>
    </row>
    <row r="216" spans="1:13" x14ac:dyDescent="0.25">
      <c r="A216" s="199"/>
      <c r="G216" s="170"/>
      <c r="H216" s="182">
        <v>211</v>
      </c>
      <c r="I216" s="183" t="str">
        <f t="shared" si="14"/>
        <v/>
      </c>
      <c r="J216" s="182" t="e">
        <f t="shared" si="17"/>
        <v>#NUM!</v>
      </c>
      <c r="K216" s="182" t="e">
        <f t="shared" si="15"/>
        <v>#NUM!</v>
      </c>
      <c r="L216" s="182"/>
      <c r="M216" s="184">
        <f t="shared" si="16"/>
        <v>0</v>
      </c>
    </row>
    <row r="217" spans="1:13" x14ac:dyDescent="0.25">
      <c r="A217" s="199"/>
      <c r="G217" s="170"/>
      <c r="H217" s="182">
        <v>212</v>
      </c>
      <c r="I217" s="183" t="str">
        <f t="shared" si="14"/>
        <v/>
      </c>
      <c r="J217" s="182" t="e">
        <f t="shared" si="17"/>
        <v>#NUM!</v>
      </c>
      <c r="K217" s="182" t="e">
        <f t="shared" si="15"/>
        <v>#NUM!</v>
      </c>
      <c r="L217" s="182"/>
      <c r="M217" s="184">
        <f t="shared" si="16"/>
        <v>0</v>
      </c>
    </row>
    <row r="218" spans="1:13" x14ac:dyDescent="0.25">
      <c r="A218" s="199"/>
      <c r="G218" s="170"/>
      <c r="H218" s="182">
        <v>213</v>
      </c>
      <c r="I218" s="183" t="str">
        <f t="shared" si="14"/>
        <v/>
      </c>
      <c r="J218" s="182" t="e">
        <f t="shared" si="17"/>
        <v>#NUM!</v>
      </c>
      <c r="K218" s="182" t="e">
        <f t="shared" si="15"/>
        <v>#NUM!</v>
      </c>
      <c r="L218" s="182"/>
      <c r="M218" s="184">
        <f t="shared" si="16"/>
        <v>0</v>
      </c>
    </row>
    <row r="219" spans="1:13" x14ac:dyDescent="0.25">
      <c r="A219" s="199"/>
      <c r="G219" s="170"/>
      <c r="H219" s="182">
        <v>214</v>
      </c>
      <c r="I219" s="183" t="str">
        <f t="shared" si="14"/>
        <v/>
      </c>
      <c r="J219" s="182" t="e">
        <f t="shared" si="17"/>
        <v>#NUM!</v>
      </c>
      <c r="K219" s="182" t="e">
        <f t="shared" si="15"/>
        <v>#NUM!</v>
      </c>
      <c r="L219" s="182"/>
      <c r="M219" s="184">
        <f t="shared" si="16"/>
        <v>0</v>
      </c>
    </row>
    <row r="220" spans="1:13" x14ac:dyDescent="0.25">
      <c r="A220" s="199"/>
      <c r="G220" s="170"/>
      <c r="H220" s="182">
        <v>215</v>
      </c>
      <c r="I220" s="183" t="str">
        <f t="shared" si="14"/>
        <v/>
      </c>
      <c r="J220" s="182" t="e">
        <f t="shared" si="17"/>
        <v>#NUM!</v>
      </c>
      <c r="K220" s="182" t="e">
        <f t="shared" si="15"/>
        <v>#NUM!</v>
      </c>
      <c r="L220" s="182"/>
      <c r="M220" s="184">
        <f t="shared" si="16"/>
        <v>0</v>
      </c>
    </row>
    <row r="221" spans="1:13" x14ac:dyDescent="0.25">
      <c r="A221" s="199"/>
      <c r="G221" s="170"/>
      <c r="H221" s="182">
        <v>216</v>
      </c>
      <c r="I221" s="183" t="str">
        <f t="shared" si="14"/>
        <v/>
      </c>
      <c r="J221" s="182" t="e">
        <f t="shared" si="17"/>
        <v>#NUM!</v>
      </c>
      <c r="K221" s="182" t="e">
        <f t="shared" si="15"/>
        <v>#NUM!</v>
      </c>
      <c r="L221" s="182"/>
      <c r="M221" s="184">
        <f t="shared" si="16"/>
        <v>0</v>
      </c>
    </row>
    <row r="222" spans="1:13" x14ac:dyDescent="0.25">
      <c r="A222" s="199"/>
      <c r="G222" s="170"/>
      <c r="H222" s="182">
        <v>217</v>
      </c>
      <c r="I222" s="183" t="str">
        <f t="shared" si="14"/>
        <v/>
      </c>
      <c r="J222" s="182" t="e">
        <f t="shared" si="17"/>
        <v>#NUM!</v>
      </c>
      <c r="K222" s="182" t="e">
        <f t="shared" si="15"/>
        <v>#NUM!</v>
      </c>
      <c r="L222" s="182"/>
      <c r="M222" s="184">
        <f t="shared" si="16"/>
        <v>0</v>
      </c>
    </row>
    <row r="223" spans="1:13" x14ac:dyDescent="0.25">
      <c r="A223" s="199"/>
      <c r="G223" s="170"/>
      <c r="H223" s="182">
        <v>218</v>
      </c>
      <c r="I223" s="183" t="str">
        <f t="shared" si="14"/>
        <v/>
      </c>
      <c r="J223" s="182" t="e">
        <f t="shared" si="17"/>
        <v>#NUM!</v>
      </c>
      <c r="K223" s="182" t="e">
        <f t="shared" si="15"/>
        <v>#NUM!</v>
      </c>
      <c r="L223" s="182"/>
      <c r="M223" s="184">
        <f t="shared" si="16"/>
        <v>0</v>
      </c>
    </row>
    <row r="224" spans="1:13" x14ac:dyDescent="0.25">
      <c r="A224" s="199"/>
      <c r="G224" s="170"/>
      <c r="H224" s="182">
        <v>219</v>
      </c>
      <c r="I224" s="183" t="str">
        <f t="shared" si="14"/>
        <v/>
      </c>
      <c r="J224" s="182" t="e">
        <f t="shared" si="17"/>
        <v>#NUM!</v>
      </c>
      <c r="K224" s="182" t="e">
        <f t="shared" si="15"/>
        <v>#NUM!</v>
      </c>
      <c r="L224" s="182"/>
      <c r="M224" s="184">
        <f t="shared" si="16"/>
        <v>0</v>
      </c>
    </row>
    <row r="225" spans="1:13" x14ac:dyDescent="0.25">
      <c r="A225" s="199"/>
      <c r="G225" s="170"/>
      <c r="H225" s="182">
        <v>220</v>
      </c>
      <c r="I225" s="183" t="str">
        <f t="shared" si="14"/>
        <v/>
      </c>
      <c r="J225" s="182" t="e">
        <f t="shared" si="17"/>
        <v>#NUM!</v>
      </c>
      <c r="K225" s="182" t="e">
        <f t="shared" si="15"/>
        <v>#NUM!</v>
      </c>
      <c r="L225" s="182"/>
      <c r="M225" s="184">
        <f t="shared" si="16"/>
        <v>0</v>
      </c>
    </row>
    <row r="226" spans="1:13" x14ac:dyDescent="0.25">
      <c r="A226" s="199"/>
      <c r="G226" s="170"/>
      <c r="H226" s="182">
        <v>221</v>
      </c>
      <c r="I226" s="183" t="str">
        <f t="shared" si="14"/>
        <v/>
      </c>
      <c r="J226" s="182" t="e">
        <f t="shared" si="17"/>
        <v>#NUM!</v>
      </c>
      <c r="K226" s="182" t="e">
        <f t="shared" si="15"/>
        <v>#NUM!</v>
      </c>
      <c r="L226" s="182"/>
      <c r="M226" s="184">
        <f t="shared" si="16"/>
        <v>0</v>
      </c>
    </row>
    <row r="227" spans="1:13" x14ac:dyDescent="0.25">
      <c r="A227" s="199"/>
      <c r="G227" s="170"/>
      <c r="H227" s="182">
        <v>222</v>
      </c>
      <c r="I227" s="183" t="str">
        <f t="shared" si="14"/>
        <v/>
      </c>
      <c r="J227" s="182" t="e">
        <f t="shared" si="17"/>
        <v>#NUM!</v>
      </c>
      <c r="K227" s="182" t="e">
        <f t="shared" si="15"/>
        <v>#NUM!</v>
      </c>
      <c r="L227" s="182"/>
      <c r="M227" s="184">
        <f t="shared" si="16"/>
        <v>0</v>
      </c>
    </row>
    <row r="228" spans="1:13" x14ac:dyDescent="0.25">
      <c r="A228" s="199"/>
      <c r="G228" s="170"/>
      <c r="H228" s="182">
        <v>223</v>
      </c>
      <c r="I228" s="183" t="str">
        <f t="shared" si="14"/>
        <v/>
      </c>
      <c r="J228" s="182" t="e">
        <f t="shared" si="17"/>
        <v>#NUM!</v>
      </c>
      <c r="K228" s="182" t="e">
        <f t="shared" si="15"/>
        <v>#NUM!</v>
      </c>
      <c r="L228" s="182"/>
      <c r="M228" s="184">
        <f t="shared" si="16"/>
        <v>0</v>
      </c>
    </row>
    <row r="229" spans="1:13" x14ac:dyDescent="0.25">
      <c r="A229" s="199"/>
      <c r="G229" s="170"/>
      <c r="H229" s="182">
        <v>224</v>
      </c>
      <c r="I229" s="183" t="str">
        <f t="shared" si="14"/>
        <v/>
      </c>
      <c r="J229" s="182" t="e">
        <f t="shared" si="17"/>
        <v>#NUM!</v>
      </c>
      <c r="K229" s="182" t="e">
        <f t="shared" si="15"/>
        <v>#NUM!</v>
      </c>
      <c r="L229" s="182"/>
      <c r="M229" s="184">
        <f t="shared" si="16"/>
        <v>0</v>
      </c>
    </row>
    <row r="230" spans="1:13" x14ac:dyDescent="0.25">
      <c r="A230" s="199"/>
      <c r="G230" s="170"/>
      <c r="H230" s="182">
        <v>225</v>
      </c>
      <c r="I230" s="183" t="str">
        <f t="shared" si="14"/>
        <v/>
      </c>
      <c r="J230" s="182" t="e">
        <f t="shared" si="17"/>
        <v>#NUM!</v>
      </c>
      <c r="K230" s="182" t="e">
        <f t="shared" si="15"/>
        <v>#NUM!</v>
      </c>
      <c r="L230" s="182"/>
      <c r="M230" s="184">
        <f t="shared" si="16"/>
        <v>0</v>
      </c>
    </row>
    <row r="231" spans="1:13" x14ac:dyDescent="0.25">
      <c r="A231" s="199"/>
      <c r="G231" s="170"/>
      <c r="H231" s="182">
        <v>226</v>
      </c>
      <c r="I231" s="183" t="str">
        <f t="shared" si="14"/>
        <v/>
      </c>
      <c r="J231" s="182" t="e">
        <f t="shared" si="17"/>
        <v>#NUM!</v>
      </c>
      <c r="K231" s="182" t="e">
        <f t="shared" si="15"/>
        <v>#NUM!</v>
      </c>
      <c r="L231" s="182"/>
      <c r="M231" s="184">
        <f t="shared" si="16"/>
        <v>0</v>
      </c>
    </row>
    <row r="232" spans="1:13" x14ac:dyDescent="0.25">
      <c r="A232" s="199"/>
      <c r="G232" s="170"/>
      <c r="H232" s="182">
        <v>227</v>
      </c>
      <c r="I232" s="183" t="str">
        <f t="shared" si="14"/>
        <v/>
      </c>
      <c r="J232" s="182" t="e">
        <f t="shared" si="17"/>
        <v>#NUM!</v>
      </c>
      <c r="K232" s="182" t="e">
        <f t="shared" si="15"/>
        <v>#NUM!</v>
      </c>
      <c r="L232" s="182"/>
      <c r="M232" s="184">
        <f t="shared" si="16"/>
        <v>0</v>
      </c>
    </row>
    <row r="233" spans="1:13" x14ac:dyDescent="0.25">
      <c r="A233" s="199"/>
      <c r="G233" s="170"/>
      <c r="H233" s="182">
        <v>228</v>
      </c>
      <c r="I233" s="183" t="str">
        <f t="shared" si="14"/>
        <v/>
      </c>
      <c r="J233" s="182" t="e">
        <f t="shared" si="17"/>
        <v>#NUM!</v>
      </c>
      <c r="K233" s="182" t="e">
        <f t="shared" si="15"/>
        <v>#NUM!</v>
      </c>
      <c r="L233" s="182"/>
      <c r="M233" s="184">
        <f t="shared" si="16"/>
        <v>0</v>
      </c>
    </row>
    <row r="234" spans="1:13" x14ac:dyDescent="0.25">
      <c r="A234" s="199"/>
      <c r="G234" s="170"/>
      <c r="H234" s="182">
        <v>229</v>
      </c>
      <c r="I234" s="183" t="str">
        <f t="shared" si="14"/>
        <v/>
      </c>
      <c r="J234" s="182" t="e">
        <f t="shared" si="17"/>
        <v>#NUM!</v>
      </c>
      <c r="K234" s="182" t="e">
        <f t="shared" si="15"/>
        <v>#NUM!</v>
      </c>
      <c r="L234" s="182"/>
      <c r="M234" s="184">
        <f t="shared" si="16"/>
        <v>0</v>
      </c>
    </row>
    <row r="235" spans="1:13" x14ac:dyDescent="0.25">
      <c r="A235" s="199"/>
      <c r="G235" s="170"/>
      <c r="H235" s="182">
        <v>230</v>
      </c>
      <c r="I235" s="183" t="str">
        <f t="shared" si="14"/>
        <v/>
      </c>
      <c r="J235" s="182" t="e">
        <f t="shared" si="17"/>
        <v>#NUM!</v>
      </c>
      <c r="K235" s="182" t="e">
        <f t="shared" si="15"/>
        <v>#NUM!</v>
      </c>
      <c r="L235" s="182"/>
      <c r="M235" s="184">
        <f t="shared" si="16"/>
        <v>0</v>
      </c>
    </row>
    <row r="236" spans="1:13" x14ac:dyDescent="0.25">
      <c r="A236" s="199"/>
      <c r="G236" s="170"/>
      <c r="H236" s="182">
        <v>231</v>
      </c>
      <c r="I236" s="183" t="str">
        <f t="shared" si="14"/>
        <v/>
      </c>
      <c r="J236" s="182" t="e">
        <f t="shared" si="17"/>
        <v>#NUM!</v>
      </c>
      <c r="K236" s="182" t="e">
        <f t="shared" si="15"/>
        <v>#NUM!</v>
      </c>
      <c r="L236" s="182"/>
      <c r="M236" s="184">
        <f t="shared" si="16"/>
        <v>0</v>
      </c>
    </row>
    <row r="237" spans="1:13" x14ac:dyDescent="0.25">
      <c r="A237" s="199"/>
      <c r="G237" s="170"/>
      <c r="H237" s="182">
        <v>232</v>
      </c>
      <c r="I237" s="183" t="str">
        <f t="shared" si="14"/>
        <v/>
      </c>
      <c r="J237" s="182" t="e">
        <f t="shared" si="17"/>
        <v>#NUM!</v>
      </c>
      <c r="K237" s="182" t="e">
        <f t="shared" si="15"/>
        <v>#NUM!</v>
      </c>
      <c r="L237" s="182"/>
      <c r="M237" s="184">
        <f t="shared" si="16"/>
        <v>0</v>
      </c>
    </row>
    <row r="238" spans="1:13" x14ac:dyDescent="0.25">
      <c r="A238" s="199"/>
      <c r="G238" s="170"/>
      <c r="H238" s="182">
        <v>233</v>
      </c>
      <c r="I238" s="183" t="str">
        <f t="shared" si="14"/>
        <v/>
      </c>
      <c r="J238" s="182" t="e">
        <f t="shared" si="17"/>
        <v>#NUM!</v>
      </c>
      <c r="K238" s="182" t="e">
        <f t="shared" si="15"/>
        <v>#NUM!</v>
      </c>
      <c r="L238" s="182"/>
      <c r="M238" s="184">
        <f t="shared" si="16"/>
        <v>0</v>
      </c>
    </row>
    <row r="239" spans="1:13" x14ac:dyDescent="0.25">
      <c r="A239" s="199"/>
      <c r="G239" s="170"/>
      <c r="H239" s="182">
        <v>234</v>
      </c>
      <c r="I239" s="183" t="str">
        <f t="shared" si="14"/>
        <v/>
      </c>
      <c r="J239" s="182" t="e">
        <f t="shared" si="17"/>
        <v>#NUM!</v>
      </c>
      <c r="K239" s="182" t="e">
        <f t="shared" si="15"/>
        <v>#NUM!</v>
      </c>
      <c r="L239" s="182"/>
      <c r="M239" s="184">
        <f t="shared" si="16"/>
        <v>0</v>
      </c>
    </row>
    <row r="240" spans="1:13" x14ac:dyDescent="0.25">
      <c r="A240" s="199"/>
      <c r="G240" s="170"/>
      <c r="H240" s="182">
        <v>235</v>
      </c>
      <c r="I240" s="183" t="str">
        <f t="shared" si="14"/>
        <v/>
      </c>
      <c r="J240" s="182" t="e">
        <f t="shared" si="17"/>
        <v>#NUM!</v>
      </c>
      <c r="K240" s="182" t="e">
        <f t="shared" si="15"/>
        <v>#NUM!</v>
      </c>
      <c r="L240" s="182"/>
      <c r="M240" s="184">
        <f t="shared" si="16"/>
        <v>0</v>
      </c>
    </row>
    <row r="241" spans="1:13" x14ac:dyDescent="0.25">
      <c r="A241" s="199"/>
      <c r="G241" s="170"/>
      <c r="H241" s="182">
        <v>236</v>
      </c>
      <c r="I241" s="183" t="str">
        <f t="shared" si="14"/>
        <v/>
      </c>
      <c r="J241" s="182" t="e">
        <f t="shared" si="17"/>
        <v>#NUM!</v>
      </c>
      <c r="K241" s="182" t="e">
        <f t="shared" si="15"/>
        <v>#NUM!</v>
      </c>
      <c r="L241" s="182"/>
      <c r="M241" s="184">
        <f t="shared" si="16"/>
        <v>0</v>
      </c>
    </row>
    <row r="242" spans="1:13" x14ac:dyDescent="0.25">
      <c r="A242" s="199"/>
      <c r="G242" s="170"/>
      <c r="H242" s="182">
        <v>237</v>
      </c>
      <c r="I242" s="183" t="str">
        <f t="shared" si="14"/>
        <v/>
      </c>
      <c r="J242" s="182" t="e">
        <f t="shared" si="17"/>
        <v>#NUM!</v>
      </c>
      <c r="K242" s="182" t="e">
        <f t="shared" si="15"/>
        <v>#NUM!</v>
      </c>
      <c r="L242" s="182"/>
      <c r="M242" s="184">
        <f t="shared" si="16"/>
        <v>0</v>
      </c>
    </row>
    <row r="243" spans="1:13" x14ac:dyDescent="0.25">
      <c r="A243" s="199"/>
      <c r="G243" s="170"/>
      <c r="H243" s="182">
        <v>238</v>
      </c>
      <c r="I243" s="183" t="str">
        <f t="shared" si="14"/>
        <v/>
      </c>
      <c r="J243" s="182" t="e">
        <f t="shared" si="17"/>
        <v>#NUM!</v>
      </c>
      <c r="K243" s="182" t="e">
        <f t="shared" si="15"/>
        <v>#NUM!</v>
      </c>
      <c r="L243" s="182"/>
      <c r="M243" s="184">
        <f t="shared" si="16"/>
        <v>0</v>
      </c>
    </row>
    <row r="244" spans="1:13" x14ac:dyDescent="0.25">
      <c r="A244" s="199"/>
      <c r="G244" s="170"/>
      <c r="H244" s="182">
        <v>239</v>
      </c>
      <c r="I244" s="183" t="str">
        <f t="shared" si="14"/>
        <v/>
      </c>
      <c r="J244" s="182" t="e">
        <f t="shared" si="17"/>
        <v>#NUM!</v>
      </c>
      <c r="K244" s="182" t="e">
        <f t="shared" si="15"/>
        <v>#NUM!</v>
      </c>
      <c r="L244" s="182"/>
      <c r="M244" s="184">
        <f t="shared" si="16"/>
        <v>0</v>
      </c>
    </row>
    <row r="245" spans="1:13" x14ac:dyDescent="0.25">
      <c r="A245" s="199"/>
      <c r="G245" s="170"/>
      <c r="H245" s="182">
        <v>240</v>
      </c>
      <c r="I245" s="183" t="str">
        <f t="shared" si="14"/>
        <v/>
      </c>
      <c r="J245" s="182" t="e">
        <f t="shared" si="17"/>
        <v>#NUM!</v>
      </c>
      <c r="K245" s="182" t="e">
        <f t="shared" si="15"/>
        <v>#NUM!</v>
      </c>
      <c r="L245" s="182"/>
      <c r="M245" s="184">
        <f t="shared" si="16"/>
        <v>0</v>
      </c>
    </row>
    <row r="246" spans="1:13" x14ac:dyDescent="0.25">
      <c r="A246" s="199"/>
      <c r="G246" s="170"/>
      <c r="H246" s="182">
        <v>241</v>
      </c>
      <c r="I246" s="183" t="str">
        <f t="shared" si="14"/>
        <v/>
      </c>
      <c r="J246" s="182" t="e">
        <f t="shared" si="17"/>
        <v>#NUM!</v>
      </c>
      <c r="K246" s="182" t="e">
        <f t="shared" si="15"/>
        <v>#NUM!</v>
      </c>
      <c r="L246" s="182"/>
      <c r="M246" s="184">
        <f t="shared" si="16"/>
        <v>0</v>
      </c>
    </row>
    <row r="247" spans="1:13" x14ac:dyDescent="0.25">
      <c r="A247" s="199"/>
      <c r="G247" s="170"/>
      <c r="H247" s="182">
        <v>242</v>
      </c>
      <c r="I247" s="183" t="str">
        <f t="shared" si="14"/>
        <v/>
      </c>
      <c r="J247" s="182" t="e">
        <f t="shared" si="17"/>
        <v>#NUM!</v>
      </c>
      <c r="K247" s="182" t="e">
        <f t="shared" si="15"/>
        <v>#NUM!</v>
      </c>
      <c r="L247" s="182"/>
      <c r="M247" s="184">
        <f t="shared" si="16"/>
        <v>0</v>
      </c>
    </row>
    <row r="248" spans="1:13" x14ac:dyDescent="0.25">
      <c r="A248" s="199"/>
      <c r="G248" s="170"/>
      <c r="H248" s="182">
        <v>243</v>
      </c>
      <c r="I248" s="183" t="str">
        <f t="shared" si="14"/>
        <v/>
      </c>
      <c r="J248" s="182" t="e">
        <f t="shared" si="17"/>
        <v>#NUM!</v>
      </c>
      <c r="K248" s="182" t="e">
        <f t="shared" si="15"/>
        <v>#NUM!</v>
      </c>
      <c r="L248" s="182"/>
      <c r="M248" s="184">
        <f t="shared" si="16"/>
        <v>0</v>
      </c>
    </row>
    <row r="249" spans="1:13" x14ac:dyDescent="0.25">
      <c r="A249" s="199"/>
      <c r="G249" s="170"/>
      <c r="H249" s="182">
        <v>244</v>
      </c>
      <c r="I249" s="183" t="str">
        <f t="shared" si="14"/>
        <v/>
      </c>
      <c r="J249" s="182" t="e">
        <f t="shared" si="17"/>
        <v>#NUM!</v>
      </c>
      <c r="K249" s="182" t="e">
        <f t="shared" si="15"/>
        <v>#NUM!</v>
      </c>
      <c r="L249" s="182"/>
      <c r="M249" s="184">
        <f t="shared" si="16"/>
        <v>0</v>
      </c>
    </row>
    <row r="250" spans="1:13" x14ac:dyDescent="0.25">
      <c r="A250" s="199"/>
      <c r="G250" s="170"/>
      <c r="H250" s="182">
        <v>245</v>
      </c>
      <c r="I250" s="183" t="str">
        <f t="shared" si="14"/>
        <v/>
      </c>
      <c r="J250" s="182" t="e">
        <f t="shared" si="17"/>
        <v>#NUM!</v>
      </c>
      <c r="K250" s="182" t="e">
        <f t="shared" si="15"/>
        <v>#NUM!</v>
      </c>
      <c r="L250" s="182"/>
      <c r="M250" s="184">
        <f t="shared" si="16"/>
        <v>0</v>
      </c>
    </row>
    <row r="251" spans="1:13" x14ac:dyDescent="0.25">
      <c r="A251" s="199"/>
      <c r="G251" s="170"/>
      <c r="H251" s="182">
        <v>246</v>
      </c>
      <c r="I251" s="183" t="str">
        <f t="shared" si="14"/>
        <v/>
      </c>
      <c r="J251" s="182" t="e">
        <f t="shared" si="17"/>
        <v>#NUM!</v>
      </c>
      <c r="K251" s="182" t="e">
        <f t="shared" si="15"/>
        <v>#NUM!</v>
      </c>
      <c r="L251" s="182"/>
      <c r="M251" s="184">
        <f t="shared" si="16"/>
        <v>0</v>
      </c>
    </row>
    <row r="252" spans="1:13" x14ac:dyDescent="0.25">
      <c r="A252" s="199"/>
      <c r="G252" s="170"/>
      <c r="H252" s="182">
        <v>247</v>
      </c>
      <c r="I252" s="183" t="str">
        <f t="shared" si="14"/>
        <v/>
      </c>
      <c r="J252" s="182" t="e">
        <f t="shared" si="17"/>
        <v>#NUM!</v>
      </c>
      <c r="K252" s="182" t="e">
        <f t="shared" si="15"/>
        <v>#NUM!</v>
      </c>
      <c r="L252" s="182"/>
      <c r="M252" s="184">
        <f t="shared" si="16"/>
        <v>0</v>
      </c>
    </row>
    <row r="253" spans="1:13" x14ac:dyDescent="0.25">
      <c r="A253" s="199"/>
      <c r="G253" s="170"/>
      <c r="H253" s="182">
        <v>248</v>
      </c>
      <c r="I253" s="183" t="str">
        <f t="shared" si="14"/>
        <v/>
      </c>
      <c r="J253" s="182" t="e">
        <f t="shared" si="17"/>
        <v>#NUM!</v>
      </c>
      <c r="K253" s="182" t="e">
        <f t="shared" si="15"/>
        <v>#NUM!</v>
      </c>
      <c r="L253" s="182"/>
      <c r="M253" s="184">
        <f t="shared" si="16"/>
        <v>0</v>
      </c>
    </row>
    <row r="254" spans="1:13" x14ac:dyDescent="0.25">
      <c r="A254" s="199"/>
      <c r="G254" s="170"/>
      <c r="H254" s="182">
        <v>249</v>
      </c>
      <c r="I254" s="183" t="str">
        <f t="shared" si="14"/>
        <v/>
      </c>
      <c r="J254" s="182" t="e">
        <f t="shared" si="17"/>
        <v>#NUM!</v>
      </c>
      <c r="K254" s="182" t="e">
        <f t="shared" si="15"/>
        <v>#NUM!</v>
      </c>
      <c r="L254" s="182"/>
      <c r="M254" s="184">
        <f t="shared" si="16"/>
        <v>0</v>
      </c>
    </row>
    <row r="255" spans="1:13" x14ac:dyDescent="0.25">
      <c r="A255" s="199"/>
      <c r="G255" s="170"/>
      <c r="H255" s="182">
        <v>250</v>
      </c>
      <c r="I255" s="183" t="str">
        <f t="shared" si="14"/>
        <v/>
      </c>
      <c r="J255" s="182" t="e">
        <f t="shared" si="17"/>
        <v>#NUM!</v>
      </c>
      <c r="K255" s="182" t="e">
        <f t="shared" si="15"/>
        <v>#NUM!</v>
      </c>
      <c r="L255" s="182"/>
      <c r="M255" s="184">
        <f t="shared" si="16"/>
        <v>0</v>
      </c>
    </row>
    <row r="256" spans="1:13" x14ac:dyDescent="0.25">
      <c r="A256" s="199"/>
      <c r="G256" s="170"/>
      <c r="H256" s="182">
        <v>251</v>
      </c>
      <c r="I256" s="183" t="str">
        <f t="shared" si="14"/>
        <v/>
      </c>
      <c r="J256" s="182" t="e">
        <f t="shared" si="17"/>
        <v>#NUM!</v>
      </c>
      <c r="K256" s="182" t="e">
        <f t="shared" si="15"/>
        <v>#NUM!</v>
      </c>
      <c r="L256" s="182"/>
      <c r="M256" s="184">
        <f t="shared" si="16"/>
        <v>0</v>
      </c>
    </row>
    <row r="257" spans="1:13" x14ac:dyDescent="0.25">
      <c r="A257" s="199"/>
      <c r="G257" s="170"/>
      <c r="H257" s="182">
        <v>252</v>
      </c>
      <c r="I257" s="183" t="str">
        <f t="shared" si="14"/>
        <v/>
      </c>
      <c r="J257" s="182" t="e">
        <f t="shared" si="17"/>
        <v>#NUM!</v>
      </c>
      <c r="K257" s="182" t="e">
        <f t="shared" si="15"/>
        <v>#NUM!</v>
      </c>
      <c r="L257" s="182"/>
      <c r="M257" s="184">
        <f t="shared" si="16"/>
        <v>0</v>
      </c>
    </row>
    <row r="258" spans="1:13" x14ac:dyDescent="0.25">
      <c r="A258" s="199"/>
      <c r="G258" s="170"/>
      <c r="H258" s="182">
        <v>253</v>
      </c>
      <c r="I258" s="183" t="str">
        <f t="shared" si="14"/>
        <v/>
      </c>
      <c r="J258" s="182" t="e">
        <f t="shared" si="17"/>
        <v>#NUM!</v>
      </c>
      <c r="K258" s="182" t="e">
        <f t="shared" si="15"/>
        <v>#NUM!</v>
      </c>
      <c r="L258" s="182"/>
      <c r="M258" s="184">
        <f t="shared" si="16"/>
        <v>0</v>
      </c>
    </row>
    <row r="259" spans="1:13" x14ac:dyDescent="0.25">
      <c r="A259" s="199"/>
      <c r="G259" s="170"/>
      <c r="H259" s="182">
        <v>254</v>
      </c>
      <c r="I259" s="183" t="str">
        <f t="shared" si="14"/>
        <v/>
      </c>
      <c r="J259" s="182" t="e">
        <f t="shared" si="17"/>
        <v>#NUM!</v>
      </c>
      <c r="K259" s="182" t="e">
        <f t="shared" si="15"/>
        <v>#NUM!</v>
      </c>
      <c r="L259" s="182"/>
      <c r="M259" s="184">
        <f t="shared" si="16"/>
        <v>0</v>
      </c>
    </row>
    <row r="260" spans="1:13" x14ac:dyDescent="0.25">
      <c r="A260" s="199"/>
      <c r="G260" s="170"/>
      <c r="H260" s="182">
        <v>255</v>
      </c>
      <c r="I260" s="183" t="str">
        <f t="shared" si="14"/>
        <v/>
      </c>
      <c r="J260" s="182" t="e">
        <f t="shared" si="17"/>
        <v>#NUM!</v>
      </c>
      <c r="K260" s="182" t="e">
        <f t="shared" si="15"/>
        <v>#NUM!</v>
      </c>
      <c r="L260" s="182"/>
      <c r="M260" s="184">
        <f t="shared" si="16"/>
        <v>0</v>
      </c>
    </row>
    <row r="261" spans="1:13" x14ac:dyDescent="0.25">
      <c r="A261" s="199"/>
      <c r="G261" s="170"/>
      <c r="H261" s="182">
        <v>256</v>
      </c>
      <c r="I261" s="183" t="str">
        <f t="shared" si="14"/>
        <v/>
      </c>
      <c r="J261" s="182" t="e">
        <f t="shared" si="17"/>
        <v>#NUM!</v>
      </c>
      <c r="K261" s="182" t="e">
        <f t="shared" si="15"/>
        <v>#NUM!</v>
      </c>
      <c r="L261" s="182"/>
      <c r="M261" s="184">
        <f t="shared" si="16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8">IF(H262&lt;$H$2+1,($I$2-($I$2-1)*(LOG(H262)/LOG($H$2))),"")</f>
        <v/>
      </c>
      <c r="J262" s="182" t="e">
        <f t="shared" si="17"/>
        <v>#NUM!</v>
      </c>
      <c r="K262" s="182" t="e">
        <f t="shared" ref="K262:K305" si="19">J262*$J$2</f>
        <v>#NUM!</v>
      </c>
      <c r="L262" s="182"/>
      <c r="M262" s="184">
        <f t="shared" ref="M262:M305" si="20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8"/>
        <v/>
      </c>
      <c r="J263" s="182" t="e">
        <f t="shared" ref="J263:J326" si="21">INT(LOG($H$2,2))-ROUNDUP(LOG(H263,2),0)+IF(OR($H$2=1,$H$2=2,$H$2=4,$H$2=8,$H$2=16,$H$2=32,$H$2=64,$H$2=128,$H$2=256),0,1)</f>
        <v>#NUM!</v>
      </c>
      <c r="K263" s="182" t="e">
        <f t="shared" si="19"/>
        <v>#NUM!</v>
      </c>
      <c r="L263" s="182"/>
      <c r="M263" s="184">
        <f t="shared" si="20"/>
        <v>0</v>
      </c>
    </row>
    <row r="264" spans="1:13" x14ac:dyDescent="0.25">
      <c r="A264" s="199"/>
      <c r="G264" s="170"/>
      <c r="H264" s="182">
        <v>259</v>
      </c>
      <c r="I264" s="183" t="str">
        <f t="shared" si="18"/>
        <v/>
      </c>
      <c r="J264" s="182" t="e">
        <f t="shared" si="21"/>
        <v>#NUM!</v>
      </c>
      <c r="K264" s="182" t="e">
        <f t="shared" si="19"/>
        <v>#NUM!</v>
      </c>
      <c r="L264" s="182"/>
      <c r="M264" s="184">
        <f t="shared" si="20"/>
        <v>0</v>
      </c>
    </row>
    <row r="265" spans="1:13" x14ac:dyDescent="0.25">
      <c r="A265" s="199"/>
      <c r="G265" s="170"/>
      <c r="H265" s="182">
        <v>260</v>
      </c>
      <c r="I265" s="183" t="str">
        <f t="shared" si="18"/>
        <v/>
      </c>
      <c r="J265" s="182" t="e">
        <f t="shared" si="21"/>
        <v>#NUM!</v>
      </c>
      <c r="K265" s="182" t="e">
        <f t="shared" si="19"/>
        <v>#NUM!</v>
      </c>
      <c r="L265" s="182"/>
      <c r="M265" s="184">
        <f t="shared" si="20"/>
        <v>0</v>
      </c>
    </row>
    <row r="266" spans="1:13" x14ac:dyDescent="0.25">
      <c r="A266" s="199"/>
      <c r="G266" s="170"/>
      <c r="H266" s="182">
        <v>261</v>
      </c>
      <c r="I266" s="183" t="str">
        <f t="shared" si="18"/>
        <v/>
      </c>
      <c r="J266" s="182" t="e">
        <f t="shared" si="21"/>
        <v>#NUM!</v>
      </c>
      <c r="K266" s="182" t="e">
        <f t="shared" si="19"/>
        <v>#NUM!</v>
      </c>
      <c r="L266" s="182"/>
      <c r="M266" s="184">
        <f t="shared" si="20"/>
        <v>0</v>
      </c>
    </row>
    <row r="267" spans="1:13" x14ac:dyDescent="0.25">
      <c r="A267" s="199"/>
      <c r="G267" s="170"/>
      <c r="H267" s="182">
        <v>262</v>
      </c>
      <c r="I267" s="183" t="str">
        <f t="shared" si="18"/>
        <v/>
      </c>
      <c r="J267" s="182" t="e">
        <f t="shared" si="21"/>
        <v>#NUM!</v>
      </c>
      <c r="K267" s="182" t="e">
        <f t="shared" si="19"/>
        <v>#NUM!</v>
      </c>
      <c r="L267" s="182"/>
      <c r="M267" s="184">
        <f t="shared" si="20"/>
        <v>0</v>
      </c>
    </row>
    <row r="268" spans="1:13" x14ac:dyDescent="0.25">
      <c r="A268" s="199"/>
      <c r="G268" s="170"/>
      <c r="H268" s="182">
        <v>263</v>
      </c>
      <c r="I268" s="183" t="str">
        <f t="shared" si="18"/>
        <v/>
      </c>
      <c r="J268" s="182" t="e">
        <f t="shared" si="21"/>
        <v>#NUM!</v>
      </c>
      <c r="K268" s="182" t="e">
        <f t="shared" si="19"/>
        <v>#NUM!</v>
      </c>
      <c r="L268" s="182"/>
      <c r="M268" s="184">
        <f t="shared" si="20"/>
        <v>0</v>
      </c>
    </row>
    <row r="269" spans="1:13" x14ac:dyDescent="0.25">
      <c r="A269" s="199"/>
      <c r="G269" s="170"/>
      <c r="H269" s="182">
        <v>264</v>
      </c>
      <c r="I269" s="183" t="str">
        <f t="shared" si="18"/>
        <v/>
      </c>
      <c r="J269" s="182" t="e">
        <f t="shared" si="21"/>
        <v>#NUM!</v>
      </c>
      <c r="K269" s="182" t="e">
        <f t="shared" si="19"/>
        <v>#NUM!</v>
      </c>
      <c r="L269" s="182"/>
      <c r="M269" s="184">
        <f t="shared" si="20"/>
        <v>0</v>
      </c>
    </row>
    <row r="270" spans="1:13" x14ac:dyDescent="0.25">
      <c r="A270" s="199"/>
      <c r="G270" s="170"/>
      <c r="H270" s="182">
        <v>265</v>
      </c>
      <c r="I270" s="183" t="str">
        <f t="shared" si="18"/>
        <v/>
      </c>
      <c r="J270" s="182" t="e">
        <f t="shared" si="21"/>
        <v>#NUM!</v>
      </c>
      <c r="K270" s="182" t="e">
        <f t="shared" si="19"/>
        <v>#NUM!</v>
      </c>
      <c r="L270" s="182"/>
      <c r="M270" s="184">
        <f t="shared" si="20"/>
        <v>0</v>
      </c>
    </row>
    <row r="271" spans="1:13" x14ac:dyDescent="0.25">
      <c r="A271" s="199"/>
      <c r="G271" s="170"/>
      <c r="H271" s="182">
        <v>266</v>
      </c>
      <c r="I271" s="183" t="str">
        <f t="shared" si="18"/>
        <v/>
      </c>
      <c r="J271" s="182" t="e">
        <f t="shared" si="21"/>
        <v>#NUM!</v>
      </c>
      <c r="K271" s="182" t="e">
        <f t="shared" si="19"/>
        <v>#NUM!</v>
      </c>
      <c r="L271" s="182"/>
      <c r="M271" s="184">
        <f t="shared" si="20"/>
        <v>0</v>
      </c>
    </row>
    <row r="272" spans="1:13" x14ac:dyDescent="0.25">
      <c r="A272" s="199"/>
      <c r="G272" s="170"/>
      <c r="H272" s="182">
        <v>267</v>
      </c>
      <c r="I272" s="183" t="str">
        <f t="shared" si="18"/>
        <v/>
      </c>
      <c r="J272" s="182" t="e">
        <f t="shared" si="21"/>
        <v>#NUM!</v>
      </c>
      <c r="K272" s="182" t="e">
        <f t="shared" si="19"/>
        <v>#NUM!</v>
      </c>
      <c r="L272" s="182"/>
      <c r="M272" s="184">
        <f t="shared" si="20"/>
        <v>0</v>
      </c>
    </row>
    <row r="273" spans="1:13" x14ac:dyDescent="0.25">
      <c r="A273" s="199"/>
      <c r="G273" s="170"/>
      <c r="H273" s="182">
        <v>268</v>
      </c>
      <c r="I273" s="183" t="str">
        <f t="shared" si="18"/>
        <v/>
      </c>
      <c r="J273" s="182" t="e">
        <f t="shared" si="21"/>
        <v>#NUM!</v>
      </c>
      <c r="K273" s="182" t="e">
        <f t="shared" si="19"/>
        <v>#NUM!</v>
      </c>
      <c r="L273" s="182"/>
      <c r="M273" s="184">
        <f t="shared" si="20"/>
        <v>0</v>
      </c>
    </row>
    <row r="274" spans="1:13" x14ac:dyDescent="0.25">
      <c r="A274" s="199"/>
      <c r="G274" s="170"/>
      <c r="H274" s="182">
        <v>269</v>
      </c>
      <c r="I274" s="183" t="str">
        <f t="shared" si="18"/>
        <v/>
      </c>
      <c r="J274" s="182" t="e">
        <f t="shared" si="21"/>
        <v>#NUM!</v>
      </c>
      <c r="K274" s="182" t="e">
        <f t="shared" si="19"/>
        <v>#NUM!</v>
      </c>
      <c r="L274" s="182"/>
      <c r="M274" s="184">
        <f t="shared" si="20"/>
        <v>0</v>
      </c>
    </row>
    <row r="275" spans="1:13" x14ac:dyDescent="0.25">
      <c r="A275" s="199"/>
      <c r="G275" s="170"/>
      <c r="H275" s="182">
        <v>270</v>
      </c>
      <c r="I275" s="183" t="str">
        <f t="shared" si="18"/>
        <v/>
      </c>
      <c r="J275" s="182" t="e">
        <f t="shared" si="21"/>
        <v>#NUM!</v>
      </c>
      <c r="K275" s="182" t="e">
        <f t="shared" si="19"/>
        <v>#NUM!</v>
      </c>
      <c r="L275" s="182"/>
      <c r="M275" s="184">
        <f t="shared" si="20"/>
        <v>0</v>
      </c>
    </row>
    <row r="276" spans="1:13" x14ac:dyDescent="0.25">
      <c r="A276" s="199"/>
      <c r="G276" s="170"/>
      <c r="H276" s="182">
        <v>271</v>
      </c>
      <c r="I276" s="183" t="str">
        <f t="shared" si="18"/>
        <v/>
      </c>
      <c r="J276" s="182" t="e">
        <f t="shared" si="21"/>
        <v>#NUM!</v>
      </c>
      <c r="K276" s="182" t="e">
        <f t="shared" si="19"/>
        <v>#NUM!</v>
      </c>
      <c r="L276" s="182"/>
      <c r="M276" s="184">
        <f t="shared" si="20"/>
        <v>0</v>
      </c>
    </row>
    <row r="277" spans="1:13" x14ac:dyDescent="0.25">
      <c r="A277" s="199"/>
      <c r="G277" s="170"/>
      <c r="H277" s="182">
        <v>272</v>
      </c>
      <c r="I277" s="183" t="str">
        <f t="shared" si="18"/>
        <v/>
      </c>
      <c r="J277" s="182" t="e">
        <f t="shared" si="21"/>
        <v>#NUM!</v>
      </c>
      <c r="K277" s="182" t="e">
        <f t="shared" si="19"/>
        <v>#NUM!</v>
      </c>
      <c r="L277" s="182"/>
      <c r="M277" s="184">
        <f t="shared" si="20"/>
        <v>0</v>
      </c>
    </row>
    <row r="278" spans="1:13" x14ac:dyDescent="0.25">
      <c r="A278" s="199"/>
      <c r="G278" s="170"/>
      <c r="H278" s="182">
        <v>273</v>
      </c>
      <c r="I278" s="183" t="str">
        <f t="shared" si="18"/>
        <v/>
      </c>
      <c r="J278" s="182" t="e">
        <f t="shared" si="21"/>
        <v>#NUM!</v>
      </c>
      <c r="K278" s="182" t="e">
        <f t="shared" si="19"/>
        <v>#NUM!</v>
      </c>
      <c r="L278" s="182"/>
      <c r="M278" s="184">
        <f t="shared" si="20"/>
        <v>0</v>
      </c>
    </row>
    <row r="279" spans="1:13" x14ac:dyDescent="0.25">
      <c r="A279" s="199"/>
      <c r="G279" s="170"/>
      <c r="H279" s="182">
        <v>274</v>
      </c>
      <c r="I279" s="183" t="str">
        <f t="shared" si="18"/>
        <v/>
      </c>
      <c r="J279" s="182" t="e">
        <f t="shared" si="21"/>
        <v>#NUM!</v>
      </c>
      <c r="K279" s="182" t="e">
        <f t="shared" si="19"/>
        <v>#NUM!</v>
      </c>
      <c r="L279" s="182"/>
      <c r="M279" s="184">
        <f t="shared" si="20"/>
        <v>0</v>
      </c>
    </row>
    <row r="280" spans="1:13" x14ac:dyDescent="0.25">
      <c r="A280" s="199"/>
      <c r="G280" s="170"/>
      <c r="H280" s="182">
        <v>275</v>
      </c>
      <c r="I280" s="183" t="str">
        <f t="shared" si="18"/>
        <v/>
      </c>
      <c r="J280" s="182" t="e">
        <f t="shared" si="21"/>
        <v>#NUM!</v>
      </c>
      <c r="K280" s="182" t="e">
        <f t="shared" si="19"/>
        <v>#NUM!</v>
      </c>
      <c r="L280" s="182"/>
      <c r="M280" s="184">
        <f t="shared" si="20"/>
        <v>0</v>
      </c>
    </row>
    <row r="281" spans="1:13" x14ac:dyDescent="0.25">
      <c r="A281" s="199"/>
      <c r="G281" s="170"/>
      <c r="H281" s="182">
        <v>276</v>
      </c>
      <c r="I281" s="183" t="str">
        <f t="shared" si="18"/>
        <v/>
      </c>
      <c r="J281" s="182" t="e">
        <f t="shared" si="21"/>
        <v>#NUM!</v>
      </c>
      <c r="K281" s="182" t="e">
        <f t="shared" si="19"/>
        <v>#NUM!</v>
      </c>
      <c r="L281" s="182"/>
      <c r="M281" s="184">
        <f t="shared" si="20"/>
        <v>0</v>
      </c>
    </row>
    <row r="282" spans="1:13" x14ac:dyDescent="0.25">
      <c r="A282" s="199"/>
      <c r="G282" s="170"/>
      <c r="H282" s="182">
        <v>277</v>
      </c>
      <c r="I282" s="183" t="str">
        <f t="shared" si="18"/>
        <v/>
      </c>
      <c r="J282" s="182" t="e">
        <f t="shared" si="21"/>
        <v>#NUM!</v>
      </c>
      <c r="K282" s="182" t="e">
        <f t="shared" si="19"/>
        <v>#NUM!</v>
      </c>
      <c r="L282" s="182"/>
      <c r="M282" s="184">
        <f t="shared" si="20"/>
        <v>0</v>
      </c>
    </row>
    <row r="283" spans="1:13" x14ac:dyDescent="0.25">
      <c r="A283" s="199"/>
      <c r="G283" s="170"/>
      <c r="H283" s="182">
        <v>278</v>
      </c>
      <c r="I283" s="183" t="str">
        <f t="shared" si="18"/>
        <v/>
      </c>
      <c r="J283" s="182" t="e">
        <f t="shared" si="21"/>
        <v>#NUM!</v>
      </c>
      <c r="K283" s="182" t="e">
        <f t="shared" si="19"/>
        <v>#NUM!</v>
      </c>
      <c r="L283" s="182"/>
      <c r="M283" s="184">
        <f t="shared" si="20"/>
        <v>0</v>
      </c>
    </row>
    <row r="284" spans="1:13" x14ac:dyDescent="0.25">
      <c r="A284" s="199"/>
      <c r="G284" s="170"/>
      <c r="H284" s="182">
        <v>279</v>
      </c>
      <c r="I284" s="183" t="str">
        <f t="shared" si="18"/>
        <v/>
      </c>
      <c r="J284" s="182" t="e">
        <f t="shared" si="21"/>
        <v>#NUM!</v>
      </c>
      <c r="K284" s="182" t="e">
        <f t="shared" si="19"/>
        <v>#NUM!</v>
      </c>
      <c r="L284" s="182"/>
      <c r="M284" s="184">
        <f t="shared" si="20"/>
        <v>0</v>
      </c>
    </row>
    <row r="285" spans="1:13" x14ac:dyDescent="0.25">
      <c r="A285" s="199"/>
      <c r="G285" s="170"/>
      <c r="H285" s="182">
        <v>280</v>
      </c>
      <c r="I285" s="183" t="str">
        <f t="shared" si="18"/>
        <v/>
      </c>
      <c r="J285" s="182" t="e">
        <f t="shared" si="21"/>
        <v>#NUM!</v>
      </c>
      <c r="K285" s="182" t="e">
        <f t="shared" si="19"/>
        <v>#NUM!</v>
      </c>
      <c r="L285" s="182"/>
      <c r="M285" s="184">
        <f t="shared" si="20"/>
        <v>0</v>
      </c>
    </row>
    <row r="286" spans="1:13" x14ac:dyDescent="0.25">
      <c r="A286" s="199"/>
      <c r="G286" s="170"/>
      <c r="H286" s="182">
        <v>281</v>
      </c>
      <c r="I286" s="183" t="str">
        <f t="shared" si="18"/>
        <v/>
      </c>
      <c r="J286" s="182" t="e">
        <f t="shared" si="21"/>
        <v>#NUM!</v>
      </c>
      <c r="K286" s="182" t="e">
        <f t="shared" si="19"/>
        <v>#NUM!</v>
      </c>
      <c r="L286" s="182"/>
      <c r="M286" s="184">
        <f t="shared" si="20"/>
        <v>0</v>
      </c>
    </row>
    <row r="287" spans="1:13" x14ac:dyDescent="0.25">
      <c r="A287" s="199"/>
      <c r="G287" s="170"/>
      <c r="H287" s="182">
        <v>282</v>
      </c>
      <c r="I287" s="183" t="str">
        <f t="shared" si="18"/>
        <v/>
      </c>
      <c r="J287" s="182" t="e">
        <f t="shared" si="21"/>
        <v>#NUM!</v>
      </c>
      <c r="K287" s="182" t="e">
        <f t="shared" si="19"/>
        <v>#NUM!</v>
      </c>
      <c r="L287" s="182"/>
      <c r="M287" s="184">
        <f t="shared" si="20"/>
        <v>0</v>
      </c>
    </row>
    <row r="288" spans="1:13" x14ac:dyDescent="0.25">
      <c r="A288" s="199"/>
      <c r="G288" s="170"/>
      <c r="H288" s="182">
        <v>283</v>
      </c>
      <c r="I288" s="183" t="str">
        <f t="shared" si="18"/>
        <v/>
      </c>
      <c r="J288" s="182" t="e">
        <f t="shared" si="21"/>
        <v>#NUM!</v>
      </c>
      <c r="K288" s="182" t="e">
        <f t="shared" si="19"/>
        <v>#NUM!</v>
      </c>
      <c r="L288" s="182"/>
      <c r="M288" s="184">
        <f t="shared" si="20"/>
        <v>0</v>
      </c>
    </row>
    <row r="289" spans="1:13" x14ac:dyDescent="0.25">
      <c r="A289" s="199"/>
      <c r="G289" s="170"/>
      <c r="H289" s="182">
        <v>284</v>
      </c>
      <c r="I289" s="183" t="str">
        <f t="shared" si="18"/>
        <v/>
      </c>
      <c r="J289" s="182" t="e">
        <f t="shared" si="21"/>
        <v>#NUM!</v>
      </c>
      <c r="K289" s="182" t="e">
        <f t="shared" si="19"/>
        <v>#NUM!</v>
      </c>
      <c r="L289" s="182"/>
      <c r="M289" s="184">
        <f t="shared" si="20"/>
        <v>0</v>
      </c>
    </row>
    <row r="290" spans="1:13" x14ac:dyDescent="0.25">
      <c r="A290" s="199"/>
      <c r="G290" s="170"/>
      <c r="H290" s="182">
        <v>285</v>
      </c>
      <c r="I290" s="183" t="str">
        <f t="shared" si="18"/>
        <v/>
      </c>
      <c r="J290" s="182" t="e">
        <f t="shared" si="21"/>
        <v>#NUM!</v>
      </c>
      <c r="K290" s="182" t="e">
        <f t="shared" si="19"/>
        <v>#NUM!</v>
      </c>
      <c r="L290" s="182"/>
      <c r="M290" s="184">
        <f t="shared" si="20"/>
        <v>0</v>
      </c>
    </row>
    <row r="291" spans="1:13" x14ac:dyDescent="0.25">
      <c r="A291" s="199"/>
      <c r="G291" s="170"/>
      <c r="H291" s="182">
        <v>286</v>
      </c>
      <c r="I291" s="183" t="str">
        <f t="shared" si="18"/>
        <v/>
      </c>
      <c r="J291" s="182" t="e">
        <f t="shared" si="21"/>
        <v>#NUM!</v>
      </c>
      <c r="K291" s="182" t="e">
        <f t="shared" si="19"/>
        <v>#NUM!</v>
      </c>
      <c r="L291" s="182"/>
      <c r="M291" s="184">
        <f t="shared" si="20"/>
        <v>0</v>
      </c>
    </row>
    <row r="292" spans="1:13" x14ac:dyDescent="0.25">
      <c r="A292" s="199"/>
      <c r="G292" s="170"/>
      <c r="H292" s="182">
        <v>287</v>
      </c>
      <c r="I292" s="183" t="str">
        <f t="shared" si="18"/>
        <v/>
      </c>
      <c r="J292" s="182" t="e">
        <f t="shared" si="21"/>
        <v>#NUM!</v>
      </c>
      <c r="K292" s="182" t="e">
        <f t="shared" si="19"/>
        <v>#NUM!</v>
      </c>
      <c r="L292" s="182"/>
      <c r="M292" s="184">
        <f t="shared" si="20"/>
        <v>0</v>
      </c>
    </row>
    <row r="293" spans="1:13" x14ac:dyDescent="0.25">
      <c r="A293" s="199"/>
      <c r="G293" s="170"/>
      <c r="H293" s="182">
        <v>288</v>
      </c>
      <c r="I293" s="183" t="str">
        <f t="shared" si="18"/>
        <v/>
      </c>
      <c r="J293" s="182" t="e">
        <f t="shared" si="21"/>
        <v>#NUM!</v>
      </c>
      <c r="K293" s="182" t="e">
        <f t="shared" si="19"/>
        <v>#NUM!</v>
      </c>
      <c r="L293" s="182"/>
      <c r="M293" s="184">
        <f t="shared" si="20"/>
        <v>0</v>
      </c>
    </row>
    <row r="294" spans="1:13" x14ac:dyDescent="0.25">
      <c r="A294" s="199"/>
      <c r="G294" s="170"/>
      <c r="H294" s="182">
        <v>289</v>
      </c>
      <c r="I294" s="183" t="str">
        <f t="shared" si="18"/>
        <v/>
      </c>
      <c r="J294" s="182" t="e">
        <f t="shared" si="21"/>
        <v>#NUM!</v>
      </c>
      <c r="K294" s="182" t="e">
        <f t="shared" si="19"/>
        <v>#NUM!</v>
      </c>
      <c r="L294" s="182"/>
      <c r="M294" s="184">
        <f t="shared" si="20"/>
        <v>0</v>
      </c>
    </row>
    <row r="295" spans="1:13" x14ac:dyDescent="0.25">
      <c r="A295" s="199"/>
      <c r="G295" s="170"/>
      <c r="H295" s="182">
        <v>290</v>
      </c>
      <c r="I295" s="183" t="str">
        <f t="shared" si="18"/>
        <v/>
      </c>
      <c r="J295" s="182" t="e">
        <f t="shared" si="21"/>
        <v>#NUM!</v>
      </c>
      <c r="K295" s="182" t="e">
        <f t="shared" si="19"/>
        <v>#NUM!</v>
      </c>
      <c r="L295" s="182"/>
      <c r="M295" s="184">
        <f t="shared" si="20"/>
        <v>0</v>
      </c>
    </row>
    <row r="296" spans="1:13" x14ac:dyDescent="0.25">
      <c r="A296" s="199"/>
      <c r="G296" s="170"/>
      <c r="H296" s="182">
        <v>291</v>
      </c>
      <c r="I296" s="183" t="str">
        <f t="shared" si="18"/>
        <v/>
      </c>
      <c r="J296" s="182" t="e">
        <f t="shared" si="21"/>
        <v>#NUM!</v>
      </c>
      <c r="K296" s="182" t="e">
        <f t="shared" si="19"/>
        <v>#NUM!</v>
      </c>
      <c r="L296" s="182"/>
      <c r="M296" s="184">
        <f t="shared" si="20"/>
        <v>0</v>
      </c>
    </row>
    <row r="297" spans="1:13" x14ac:dyDescent="0.25">
      <c r="A297" s="199"/>
      <c r="G297" s="170"/>
      <c r="H297" s="182">
        <v>292</v>
      </c>
      <c r="I297" s="183" t="str">
        <f t="shared" si="18"/>
        <v/>
      </c>
      <c r="J297" s="182" t="e">
        <f t="shared" si="21"/>
        <v>#NUM!</v>
      </c>
      <c r="K297" s="182" t="e">
        <f t="shared" si="19"/>
        <v>#NUM!</v>
      </c>
      <c r="L297" s="182"/>
      <c r="M297" s="184">
        <f t="shared" si="20"/>
        <v>0</v>
      </c>
    </row>
    <row r="298" spans="1:13" x14ac:dyDescent="0.25">
      <c r="A298" s="199"/>
      <c r="G298" s="170"/>
      <c r="H298" s="182">
        <v>293</v>
      </c>
      <c r="I298" s="183" t="str">
        <f t="shared" si="18"/>
        <v/>
      </c>
      <c r="J298" s="182" t="e">
        <f t="shared" si="21"/>
        <v>#NUM!</v>
      </c>
      <c r="K298" s="182" t="e">
        <f t="shared" si="19"/>
        <v>#NUM!</v>
      </c>
      <c r="L298" s="182"/>
      <c r="M298" s="184">
        <f t="shared" si="20"/>
        <v>0</v>
      </c>
    </row>
    <row r="299" spans="1:13" x14ac:dyDescent="0.25">
      <c r="A299" s="199"/>
      <c r="G299" s="170"/>
      <c r="H299" s="182">
        <v>294</v>
      </c>
      <c r="I299" s="183" t="str">
        <f t="shared" si="18"/>
        <v/>
      </c>
      <c r="J299" s="182" t="e">
        <f t="shared" si="21"/>
        <v>#NUM!</v>
      </c>
      <c r="K299" s="182" t="e">
        <f t="shared" si="19"/>
        <v>#NUM!</v>
      </c>
      <c r="L299" s="182"/>
      <c r="M299" s="184">
        <f t="shared" si="20"/>
        <v>0</v>
      </c>
    </row>
    <row r="300" spans="1:13" x14ac:dyDescent="0.25">
      <c r="A300" s="199"/>
      <c r="G300" s="170"/>
      <c r="H300" s="182">
        <v>295</v>
      </c>
      <c r="I300" s="183" t="str">
        <f t="shared" si="18"/>
        <v/>
      </c>
      <c r="J300" s="182" t="e">
        <f t="shared" si="21"/>
        <v>#NUM!</v>
      </c>
      <c r="K300" s="182" t="e">
        <f t="shared" si="19"/>
        <v>#NUM!</v>
      </c>
      <c r="L300" s="182"/>
      <c r="M300" s="184">
        <f t="shared" si="20"/>
        <v>0</v>
      </c>
    </row>
    <row r="301" spans="1:13" x14ac:dyDescent="0.25">
      <c r="A301" s="199"/>
      <c r="G301" s="170"/>
      <c r="H301" s="182">
        <v>296</v>
      </c>
      <c r="I301" s="183" t="str">
        <f t="shared" si="18"/>
        <v/>
      </c>
      <c r="J301" s="182" t="e">
        <f t="shared" si="21"/>
        <v>#NUM!</v>
      </c>
      <c r="K301" s="182" t="e">
        <f t="shared" si="19"/>
        <v>#NUM!</v>
      </c>
      <c r="L301" s="182"/>
      <c r="M301" s="184">
        <f t="shared" si="20"/>
        <v>0</v>
      </c>
    </row>
    <row r="302" spans="1:13" x14ac:dyDescent="0.25">
      <c r="A302" s="199"/>
      <c r="G302" s="170"/>
      <c r="H302" s="182">
        <v>297</v>
      </c>
      <c r="I302" s="183" t="str">
        <f t="shared" si="18"/>
        <v/>
      </c>
      <c r="J302" s="182" t="e">
        <f t="shared" si="21"/>
        <v>#NUM!</v>
      </c>
      <c r="K302" s="182" t="e">
        <f t="shared" si="19"/>
        <v>#NUM!</v>
      </c>
      <c r="L302" s="182"/>
      <c r="M302" s="184">
        <f t="shared" si="20"/>
        <v>0</v>
      </c>
    </row>
    <row r="303" spans="1:13" x14ac:dyDescent="0.25">
      <c r="A303" s="199"/>
      <c r="G303" s="170"/>
      <c r="H303" s="182">
        <v>298</v>
      </c>
      <c r="I303" s="183" t="str">
        <f t="shared" si="18"/>
        <v/>
      </c>
      <c r="J303" s="182" t="e">
        <f t="shared" si="21"/>
        <v>#NUM!</v>
      </c>
      <c r="K303" s="182" t="e">
        <f t="shared" si="19"/>
        <v>#NUM!</v>
      </c>
      <c r="L303" s="182"/>
      <c r="M303" s="184">
        <f t="shared" si="20"/>
        <v>0</v>
      </c>
    </row>
    <row r="304" spans="1:13" x14ac:dyDescent="0.25">
      <c r="A304" s="199"/>
      <c r="G304" s="170"/>
      <c r="H304" s="182">
        <v>299</v>
      </c>
      <c r="I304" s="183" t="str">
        <f t="shared" si="18"/>
        <v/>
      </c>
      <c r="J304" s="182" t="e">
        <f t="shared" si="21"/>
        <v>#NUM!</v>
      </c>
      <c r="K304" s="182" t="e">
        <f t="shared" si="19"/>
        <v>#NUM!</v>
      </c>
      <c r="L304" s="182"/>
      <c r="M304" s="184">
        <f t="shared" si="20"/>
        <v>0</v>
      </c>
    </row>
    <row r="305" spans="1:16" x14ac:dyDescent="0.25">
      <c r="A305" s="199"/>
      <c r="G305" s="170"/>
      <c r="H305" s="182">
        <v>300</v>
      </c>
      <c r="I305" s="183" t="str">
        <f t="shared" si="18"/>
        <v/>
      </c>
      <c r="J305" s="182" t="e">
        <f t="shared" si="21"/>
        <v>#NUM!</v>
      </c>
      <c r="K305" s="182" t="e">
        <f t="shared" si="19"/>
        <v>#NUM!</v>
      </c>
      <c r="L305" s="182"/>
      <c r="M305" s="184">
        <f t="shared" si="20"/>
        <v>0</v>
      </c>
    </row>
    <row r="306" spans="1:16" x14ac:dyDescent="0.25">
      <c r="A306" s="200"/>
      <c r="J306" s="201" t="e">
        <f t="shared" si="21"/>
        <v>#NUM!</v>
      </c>
    </row>
    <row r="307" spans="1:16" x14ac:dyDescent="0.25">
      <c r="J307" s="201" t="e">
        <f t="shared" si="21"/>
        <v>#NUM!</v>
      </c>
    </row>
    <row r="308" spans="1:16" x14ac:dyDescent="0.25">
      <c r="J308" s="201" t="e">
        <f t="shared" si="21"/>
        <v>#NUM!</v>
      </c>
    </row>
    <row r="309" spans="1:16" x14ac:dyDescent="0.25">
      <c r="J309" s="201" t="e">
        <f t="shared" si="21"/>
        <v>#NUM!</v>
      </c>
    </row>
    <row r="310" spans="1:16" x14ac:dyDescent="0.25">
      <c r="J310" s="201" t="e">
        <f t="shared" si="21"/>
        <v>#NUM!</v>
      </c>
    </row>
    <row r="311" spans="1:16" x14ac:dyDescent="0.25">
      <c r="J311" s="201" t="e">
        <f t="shared" si="21"/>
        <v>#NUM!</v>
      </c>
    </row>
    <row r="312" spans="1:16" x14ac:dyDescent="0.25">
      <c r="J312" s="201" t="e">
        <f t="shared" si="21"/>
        <v>#NUM!</v>
      </c>
    </row>
    <row r="313" spans="1:16" x14ac:dyDescent="0.25">
      <c r="J313" s="201" t="e">
        <f t="shared" si="21"/>
        <v>#NUM!</v>
      </c>
    </row>
    <row r="314" spans="1:16" x14ac:dyDescent="0.25">
      <c r="J314" s="201" t="e">
        <f t="shared" si="21"/>
        <v>#NUM!</v>
      </c>
      <c r="L314" s="203"/>
      <c r="P314" s="193"/>
    </row>
    <row r="315" spans="1:16" x14ac:dyDescent="0.25">
      <c r="J315" s="201" t="e">
        <f t="shared" si="21"/>
        <v>#NUM!</v>
      </c>
      <c r="L315" s="203"/>
      <c r="P315" s="193"/>
    </row>
    <row r="316" spans="1:16" x14ac:dyDescent="0.25">
      <c r="J316" s="201" t="e">
        <f t="shared" si="21"/>
        <v>#NUM!</v>
      </c>
      <c r="L316" s="203"/>
      <c r="P316" s="193"/>
    </row>
    <row r="317" spans="1:16" x14ac:dyDescent="0.25">
      <c r="J317" s="201" t="e">
        <f t="shared" si="21"/>
        <v>#NUM!</v>
      </c>
      <c r="L317" s="203"/>
      <c r="P317" s="193"/>
    </row>
    <row r="318" spans="1:16" x14ac:dyDescent="0.25">
      <c r="J318" s="201" t="e">
        <f t="shared" si="21"/>
        <v>#NUM!</v>
      </c>
    </row>
    <row r="319" spans="1:16" x14ac:dyDescent="0.25">
      <c r="J319" s="201" t="e">
        <f t="shared" si="21"/>
        <v>#NUM!</v>
      </c>
    </row>
    <row r="320" spans="1:16" x14ac:dyDescent="0.25">
      <c r="J320" s="201" t="e">
        <f t="shared" si="21"/>
        <v>#NUM!</v>
      </c>
    </row>
    <row r="321" spans="10:10" x14ac:dyDescent="0.25">
      <c r="J321" s="201" t="e">
        <f t="shared" si="21"/>
        <v>#NUM!</v>
      </c>
    </row>
    <row r="322" spans="10:10" x14ac:dyDescent="0.25">
      <c r="J322" s="201" t="e">
        <f t="shared" si="21"/>
        <v>#NUM!</v>
      </c>
    </row>
    <row r="323" spans="10:10" x14ac:dyDescent="0.25">
      <c r="J323" s="201" t="e">
        <f t="shared" si="21"/>
        <v>#NUM!</v>
      </c>
    </row>
    <row r="324" spans="10:10" x14ac:dyDescent="0.25">
      <c r="J324" s="201" t="e">
        <f t="shared" si="21"/>
        <v>#NUM!</v>
      </c>
    </row>
    <row r="325" spans="10:10" x14ac:dyDescent="0.25">
      <c r="J325" s="201" t="e">
        <f t="shared" si="21"/>
        <v>#NUM!</v>
      </c>
    </row>
    <row r="326" spans="10:10" x14ac:dyDescent="0.25">
      <c r="J326" s="201" t="e">
        <f t="shared" si="21"/>
        <v>#NUM!</v>
      </c>
    </row>
    <row r="327" spans="10:10" x14ac:dyDescent="0.25">
      <c r="J327" s="20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1" t="e">
        <f t="shared" si="22"/>
        <v>#NUM!</v>
      </c>
    </row>
    <row r="329" spans="10:10" x14ac:dyDescent="0.25">
      <c r="J329" s="201" t="e">
        <f t="shared" si="22"/>
        <v>#NUM!</v>
      </c>
    </row>
    <row r="330" spans="10:10" x14ac:dyDescent="0.25">
      <c r="J330" s="201" t="e">
        <f t="shared" si="22"/>
        <v>#NUM!</v>
      </c>
    </row>
    <row r="331" spans="10:10" x14ac:dyDescent="0.25">
      <c r="J331" s="201" t="e">
        <f t="shared" si="22"/>
        <v>#NUM!</v>
      </c>
    </row>
    <row r="332" spans="10:10" x14ac:dyDescent="0.25">
      <c r="J332" s="201" t="e">
        <f t="shared" si="22"/>
        <v>#NUM!</v>
      </c>
    </row>
    <row r="333" spans="10:10" x14ac:dyDescent="0.25">
      <c r="J333" s="201" t="e">
        <f t="shared" si="22"/>
        <v>#NUM!</v>
      </c>
    </row>
    <row r="334" spans="10:10" x14ac:dyDescent="0.25">
      <c r="J334" s="201" t="e">
        <f t="shared" si="22"/>
        <v>#NUM!</v>
      </c>
    </row>
    <row r="335" spans="10:10" x14ac:dyDescent="0.25">
      <c r="J335" s="201" t="e">
        <f t="shared" si="22"/>
        <v>#NUM!</v>
      </c>
    </row>
    <row r="336" spans="10:10" x14ac:dyDescent="0.25">
      <c r="J336" s="201" t="e">
        <f t="shared" si="22"/>
        <v>#NUM!</v>
      </c>
    </row>
    <row r="337" spans="10:10" x14ac:dyDescent="0.25">
      <c r="J337" s="201" t="e">
        <f t="shared" si="22"/>
        <v>#NUM!</v>
      </c>
    </row>
    <row r="338" spans="10:10" x14ac:dyDescent="0.25">
      <c r="J338" s="201" t="e">
        <f t="shared" si="22"/>
        <v>#NUM!</v>
      </c>
    </row>
    <row r="339" spans="10:10" x14ac:dyDescent="0.25">
      <c r="J339" s="201" t="e">
        <f t="shared" si="22"/>
        <v>#NUM!</v>
      </c>
    </row>
    <row r="340" spans="10:10" x14ac:dyDescent="0.25">
      <c r="J340" s="201" t="e">
        <f t="shared" si="22"/>
        <v>#NUM!</v>
      </c>
    </row>
    <row r="341" spans="10:10" x14ac:dyDescent="0.25">
      <c r="J341" s="201" t="e">
        <f t="shared" si="22"/>
        <v>#NUM!</v>
      </c>
    </row>
    <row r="342" spans="10:10" x14ac:dyDescent="0.25">
      <c r="J342" s="201" t="e">
        <f t="shared" si="22"/>
        <v>#NUM!</v>
      </c>
    </row>
    <row r="343" spans="10:10" x14ac:dyDescent="0.25">
      <c r="J343" s="201" t="e">
        <f t="shared" si="22"/>
        <v>#NUM!</v>
      </c>
    </row>
    <row r="344" spans="10:10" x14ac:dyDescent="0.25">
      <c r="J344" s="201" t="e">
        <f t="shared" si="22"/>
        <v>#NUM!</v>
      </c>
    </row>
    <row r="345" spans="10:10" x14ac:dyDescent="0.25">
      <c r="J345" s="201" t="e">
        <f t="shared" si="22"/>
        <v>#NUM!</v>
      </c>
    </row>
    <row r="346" spans="10:10" x14ac:dyDescent="0.25">
      <c r="J346" s="201" t="e">
        <f t="shared" si="22"/>
        <v>#NUM!</v>
      </c>
    </row>
    <row r="347" spans="10:10" x14ac:dyDescent="0.25">
      <c r="J347" s="201" t="e">
        <f t="shared" si="22"/>
        <v>#NUM!</v>
      </c>
    </row>
    <row r="348" spans="10:10" x14ac:dyDescent="0.25">
      <c r="J348" s="201" t="e">
        <f t="shared" si="22"/>
        <v>#NUM!</v>
      </c>
    </row>
    <row r="349" spans="10:10" x14ac:dyDescent="0.25">
      <c r="J349" s="201" t="e">
        <f t="shared" si="22"/>
        <v>#NUM!</v>
      </c>
    </row>
    <row r="350" spans="10:10" x14ac:dyDescent="0.25">
      <c r="J350" s="201" t="e">
        <f t="shared" si="22"/>
        <v>#NUM!</v>
      </c>
    </row>
    <row r="351" spans="10:10" x14ac:dyDescent="0.25">
      <c r="J351" s="201" t="e">
        <f t="shared" si="22"/>
        <v>#NUM!</v>
      </c>
    </row>
    <row r="352" spans="10:10" x14ac:dyDescent="0.25">
      <c r="J352" s="201" t="e">
        <f t="shared" si="22"/>
        <v>#NUM!</v>
      </c>
    </row>
    <row r="353" spans="10:10" x14ac:dyDescent="0.25">
      <c r="J353" s="201" t="e">
        <f t="shared" si="22"/>
        <v>#NUM!</v>
      </c>
    </row>
    <row r="354" spans="10:10" x14ac:dyDescent="0.25">
      <c r="J354" s="201" t="e">
        <f t="shared" si="22"/>
        <v>#NUM!</v>
      </c>
    </row>
    <row r="355" spans="10:10" x14ac:dyDescent="0.25">
      <c r="J355" s="201" t="e">
        <f t="shared" si="22"/>
        <v>#NUM!</v>
      </c>
    </row>
    <row r="356" spans="10:10" x14ac:dyDescent="0.25">
      <c r="J356" s="201" t="e">
        <f t="shared" si="22"/>
        <v>#NUM!</v>
      </c>
    </row>
    <row r="357" spans="10:10" x14ac:dyDescent="0.25">
      <c r="J357" s="201" t="e">
        <f t="shared" si="22"/>
        <v>#NUM!</v>
      </c>
    </row>
    <row r="358" spans="10:10" x14ac:dyDescent="0.25">
      <c r="J358" s="201" t="e">
        <f t="shared" si="22"/>
        <v>#NUM!</v>
      </c>
    </row>
    <row r="359" spans="10:10" x14ac:dyDescent="0.25">
      <c r="J359" s="201" t="e">
        <f t="shared" si="22"/>
        <v>#NUM!</v>
      </c>
    </row>
    <row r="360" spans="10:10" x14ac:dyDescent="0.25">
      <c r="J360" s="201" t="e">
        <f t="shared" si="22"/>
        <v>#NUM!</v>
      </c>
    </row>
    <row r="361" spans="10:10" x14ac:dyDescent="0.25">
      <c r="J361" s="201" t="e">
        <f t="shared" si="22"/>
        <v>#NUM!</v>
      </c>
    </row>
    <row r="362" spans="10:10" x14ac:dyDescent="0.25">
      <c r="J362" s="201" t="e">
        <f t="shared" si="22"/>
        <v>#NUM!</v>
      </c>
    </row>
    <row r="363" spans="10:10" x14ac:dyDescent="0.25">
      <c r="J363" s="201" t="e">
        <f t="shared" si="22"/>
        <v>#NUM!</v>
      </c>
    </row>
    <row r="364" spans="10:10" x14ac:dyDescent="0.25">
      <c r="J364" s="201" t="e">
        <f t="shared" si="22"/>
        <v>#NUM!</v>
      </c>
    </row>
    <row r="365" spans="10:10" x14ac:dyDescent="0.25">
      <c r="J365" s="201" t="e">
        <f t="shared" si="22"/>
        <v>#NUM!</v>
      </c>
    </row>
    <row r="366" spans="10:10" x14ac:dyDescent="0.25">
      <c r="J366" s="201" t="e">
        <f t="shared" si="22"/>
        <v>#NUM!</v>
      </c>
    </row>
    <row r="367" spans="10:10" x14ac:dyDescent="0.25">
      <c r="J367" s="201" t="e">
        <f t="shared" si="22"/>
        <v>#NUM!</v>
      </c>
    </row>
    <row r="368" spans="10:10" x14ac:dyDescent="0.25">
      <c r="J368" s="201" t="e">
        <f t="shared" si="22"/>
        <v>#NUM!</v>
      </c>
    </row>
    <row r="369" spans="10:10" x14ac:dyDescent="0.25">
      <c r="J369" s="201" t="e">
        <f t="shared" si="22"/>
        <v>#NUM!</v>
      </c>
    </row>
    <row r="370" spans="10:10" x14ac:dyDescent="0.25">
      <c r="J370" s="201" t="e">
        <f t="shared" si="22"/>
        <v>#NUM!</v>
      </c>
    </row>
    <row r="371" spans="10:10" x14ac:dyDescent="0.25">
      <c r="J371" s="201" t="e">
        <f t="shared" si="22"/>
        <v>#NUM!</v>
      </c>
    </row>
    <row r="372" spans="10:10" x14ac:dyDescent="0.25">
      <c r="J372" s="201" t="e">
        <f t="shared" si="22"/>
        <v>#NUM!</v>
      </c>
    </row>
    <row r="373" spans="10:10" x14ac:dyDescent="0.25">
      <c r="J373" s="201" t="e">
        <f t="shared" si="22"/>
        <v>#NUM!</v>
      </c>
    </row>
    <row r="374" spans="10:10" x14ac:dyDescent="0.25">
      <c r="J374" s="201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8EB34271-0792-4B4E-ACBE-54EE0093B9D5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6A37-529D-434D-970D-A3DA4ADD5131}">
  <sheetPr>
    <tabColor rgb="FF92D050"/>
  </sheetPr>
  <dimension ref="A1:AL317"/>
  <sheetViews>
    <sheetView workbookViewId="0">
      <selection activeCell="A17" sqref="A17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22</v>
      </c>
      <c r="I1" s="172" t="s">
        <v>23</v>
      </c>
      <c r="J1" s="172" t="s">
        <v>24</v>
      </c>
      <c r="K1" s="173" t="s">
        <v>99</v>
      </c>
      <c r="L1" s="174"/>
      <c r="M1" s="174"/>
    </row>
    <row r="2" spans="1:36" x14ac:dyDescent="0.25">
      <c r="A2" s="170"/>
      <c r="B2" s="22" t="s">
        <v>26</v>
      </c>
      <c r="C2" s="245" t="s">
        <v>121</v>
      </c>
      <c r="D2" s="70"/>
      <c r="E2" s="23"/>
      <c r="F2" s="23"/>
      <c r="G2" s="23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x14ac:dyDescent="0.25">
      <c r="A3" s="170"/>
      <c r="B3" s="179" t="s">
        <v>28</v>
      </c>
      <c r="C3" s="71" t="s">
        <v>122</v>
      </c>
      <c r="D3" s="71"/>
      <c r="E3" s="28"/>
      <c r="F3" s="28"/>
      <c r="G3" s="28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74"/>
      <c r="I4" s="174"/>
      <c r="J4" s="205"/>
      <c r="K4" s="174"/>
      <c r="L4" s="174"/>
      <c r="M4" s="174"/>
    </row>
    <row r="5" spans="1:36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80" t="s">
        <v>36</v>
      </c>
      <c r="I5" s="181" t="s">
        <v>37</v>
      </c>
      <c r="J5" s="206" t="s">
        <v>38</v>
      </c>
      <c r="K5" s="181" t="s">
        <v>39</v>
      </c>
      <c r="L5" s="181" t="s">
        <v>40</v>
      </c>
      <c r="M5" s="180" t="s">
        <v>41</v>
      </c>
    </row>
    <row r="6" spans="1:36" ht="14.45" customHeight="1" x14ac:dyDescent="0.25">
      <c r="A6" s="103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182">
        <v>1</v>
      </c>
      <c r="I6" s="183" t="str">
        <f t="shared" ref="I6:I69" si="1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185">
        <v>2</v>
      </c>
      <c r="I7" s="186" t="str">
        <f t="shared" si="1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103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182">
        <v>3</v>
      </c>
      <c r="I8" s="183" t="str">
        <f t="shared" si="1"/>
        <v/>
      </c>
      <c r="J8" s="182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102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42</v>
      </c>
      <c r="AI9" s="175">
        <v>23</v>
      </c>
    </row>
    <row r="10" spans="1:36" ht="14.45" customHeight="1" x14ac:dyDescent="0.25">
      <c r="A10" s="103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182">
        <v>5</v>
      </c>
      <c r="I10" s="183" t="str">
        <f t="shared" si="1"/>
        <v/>
      </c>
      <c r="J10" s="182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43</v>
      </c>
      <c r="AI10" s="175">
        <v>45</v>
      </c>
    </row>
    <row r="11" spans="1:36" ht="14.45" customHeight="1" x14ac:dyDescent="0.25">
      <c r="A11" s="102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185">
        <v>6</v>
      </c>
      <c r="I11" s="186" t="str">
        <f t="shared" si="1"/>
        <v/>
      </c>
      <c r="J11" s="185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44</v>
      </c>
      <c r="AI11" s="175">
        <v>50</v>
      </c>
    </row>
    <row r="12" spans="1:36" ht="14.45" customHeight="1" x14ac:dyDescent="0.25">
      <c r="A12" s="103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182">
        <v>7</v>
      </c>
      <c r="I12" s="183" t="str">
        <f t="shared" si="1"/>
        <v/>
      </c>
      <c r="J12" s="182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45</v>
      </c>
      <c r="AI12" s="175">
        <f>AI11-1</f>
        <v>49</v>
      </c>
    </row>
    <row r="13" spans="1:36" ht="14.45" customHeight="1" x14ac:dyDescent="0.25">
      <c r="A13" s="102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185">
        <v>8</v>
      </c>
      <c r="I13" s="186" t="str">
        <f t="shared" si="1"/>
        <v/>
      </c>
      <c r="J13" s="185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46</v>
      </c>
      <c r="AI13" s="175">
        <f>LOG(AI9)</f>
        <v>1.3617278360175928</v>
      </c>
    </row>
    <row r="14" spans="1:36" x14ac:dyDescent="0.25">
      <c r="A14" s="103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182">
        <v>9</v>
      </c>
      <c r="I14" s="183" t="str">
        <f t="shared" si="1"/>
        <v/>
      </c>
      <c r="J14" s="182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47</v>
      </c>
      <c r="AI14" s="175">
        <f>LOG(AI10)</f>
        <v>1.6532125137753437</v>
      </c>
    </row>
    <row r="15" spans="1:36" x14ac:dyDescent="0.25">
      <c r="A15" s="102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185">
        <v>10</v>
      </c>
      <c r="I15" s="186" t="str">
        <f t="shared" si="1"/>
        <v/>
      </c>
      <c r="J15" s="185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103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182">
        <v>11</v>
      </c>
      <c r="I16" s="183" t="str">
        <f t="shared" si="1"/>
        <v/>
      </c>
      <c r="J16" s="182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48</v>
      </c>
      <c r="AI16" s="175">
        <f>AI11-AI12*AI13/AI14</f>
        <v>9.6393909380186855</v>
      </c>
      <c r="AJ16" s="175" t="s">
        <v>49</v>
      </c>
    </row>
    <row r="17" spans="1:19" x14ac:dyDescent="0.25">
      <c r="A17" s="102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185">
        <v>12</v>
      </c>
      <c r="I17" s="186" t="str">
        <f t="shared" si="1"/>
        <v/>
      </c>
      <c r="J17" s="185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103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182">
        <v>13</v>
      </c>
      <c r="I18" s="183" t="str">
        <f t="shared" si="1"/>
        <v/>
      </c>
      <c r="J18" s="182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102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185">
        <v>14</v>
      </c>
      <c r="I19" s="186" t="str">
        <f t="shared" si="1"/>
        <v/>
      </c>
      <c r="J19" s="185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103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182">
        <v>15</v>
      </c>
      <c r="I20" s="183" t="str">
        <f t="shared" si="1"/>
        <v/>
      </c>
      <c r="J20" s="182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102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185">
        <v>16</v>
      </c>
      <c r="I21" s="186" t="str">
        <f t="shared" si="1"/>
        <v/>
      </c>
      <c r="J21" s="185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103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182">
        <v>17</v>
      </c>
      <c r="I22" s="183" t="str">
        <f t="shared" si="1"/>
        <v/>
      </c>
      <c r="J22" s="182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102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185">
        <v>18</v>
      </c>
      <c r="I23" s="186" t="str">
        <f t="shared" si="1"/>
        <v/>
      </c>
      <c r="J23" s="185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103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182">
        <v>19</v>
      </c>
      <c r="I24" s="183" t="str">
        <f t="shared" si="1"/>
        <v/>
      </c>
      <c r="J24" s="182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102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185">
        <v>20</v>
      </c>
      <c r="I25" s="186" t="str">
        <f t="shared" si="1"/>
        <v/>
      </c>
      <c r="J25" s="185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103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182">
        <v>21</v>
      </c>
      <c r="I26" s="183" t="str">
        <f t="shared" si="1"/>
        <v/>
      </c>
      <c r="J26" s="182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102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185">
        <v>22</v>
      </c>
      <c r="I27" s="186" t="str">
        <f t="shared" si="1"/>
        <v/>
      </c>
      <c r="J27" s="185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103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182">
        <v>23</v>
      </c>
      <c r="I28" s="183" t="str">
        <f t="shared" si="1"/>
        <v/>
      </c>
      <c r="J28" s="182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102">
        <f t="shared" si="4"/>
        <v>0</v>
      </c>
      <c r="B29" s="42" t="str">
        <f t="shared" si="0"/>
        <v/>
      </c>
      <c r="C29" s="43"/>
      <c r="D29" s="43"/>
      <c r="E29" s="43"/>
      <c r="F29" s="43"/>
      <c r="G29" s="170"/>
      <c r="H29" s="185">
        <v>24</v>
      </c>
      <c r="I29" s="186" t="str">
        <f t="shared" si="1"/>
        <v/>
      </c>
      <c r="J29" s="185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103">
        <f t="shared" si="4"/>
        <v>0</v>
      </c>
      <c r="B30" s="36" t="str">
        <f t="shared" si="0"/>
        <v/>
      </c>
      <c r="C30" s="37"/>
      <c r="D30" s="37"/>
      <c r="E30" s="37"/>
      <c r="F30" s="37"/>
      <c r="G30" s="170"/>
      <c r="H30" s="182">
        <v>25</v>
      </c>
      <c r="I30" s="183" t="str">
        <f t="shared" si="1"/>
        <v/>
      </c>
      <c r="J30" s="182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102">
        <f t="shared" si="4"/>
        <v>0</v>
      </c>
      <c r="B31" s="42" t="str">
        <f t="shared" si="0"/>
        <v/>
      </c>
      <c r="C31" s="43"/>
      <c r="D31" s="43"/>
      <c r="E31" s="43"/>
      <c r="F31" s="43"/>
      <c r="G31" s="170"/>
      <c r="H31" s="185">
        <v>26</v>
      </c>
      <c r="I31" s="186" t="str">
        <f t="shared" si="1"/>
        <v/>
      </c>
      <c r="J31" s="185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103">
        <f t="shared" si="4"/>
        <v>0</v>
      </c>
      <c r="B32" s="36" t="str">
        <f t="shared" si="0"/>
        <v/>
      </c>
      <c r="C32" s="37"/>
      <c r="D32" s="37"/>
      <c r="E32" s="37"/>
      <c r="F32" s="37"/>
      <c r="G32" s="170"/>
      <c r="H32" s="182">
        <v>27</v>
      </c>
      <c r="I32" s="183" t="str">
        <f t="shared" si="1"/>
        <v/>
      </c>
      <c r="J32" s="182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19" x14ac:dyDescent="0.25">
      <c r="A33" s="102">
        <f t="shared" si="4"/>
        <v>0</v>
      </c>
      <c r="B33" s="42" t="str">
        <f t="shared" si="0"/>
        <v/>
      </c>
      <c r="C33" s="43"/>
      <c r="D33" s="43"/>
      <c r="E33" s="43"/>
      <c r="F33" s="43"/>
      <c r="G33" s="170"/>
      <c r="H33" s="185">
        <v>28</v>
      </c>
      <c r="I33" s="186" t="str">
        <f t="shared" si="1"/>
        <v/>
      </c>
      <c r="J33" s="185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19" x14ac:dyDescent="0.25">
      <c r="A34" s="103">
        <f t="shared" si="4"/>
        <v>0</v>
      </c>
      <c r="B34" s="36" t="str">
        <f t="shared" si="0"/>
        <v/>
      </c>
      <c r="C34" s="37"/>
      <c r="D34" s="37"/>
      <c r="E34" s="37"/>
      <c r="F34" s="37"/>
      <c r="G34" s="170"/>
      <c r="H34" s="182">
        <v>29</v>
      </c>
      <c r="I34" s="183" t="str">
        <f t="shared" si="1"/>
        <v/>
      </c>
      <c r="J34" s="182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19" x14ac:dyDescent="0.25">
      <c r="A35" s="102">
        <f t="shared" si="4"/>
        <v>0</v>
      </c>
      <c r="B35" s="42" t="str">
        <f t="shared" si="0"/>
        <v/>
      </c>
      <c r="C35" s="43"/>
      <c r="D35" s="43"/>
      <c r="E35" s="43"/>
      <c r="F35" s="43"/>
      <c r="G35" s="170"/>
      <c r="H35" s="185">
        <v>30</v>
      </c>
      <c r="I35" s="186" t="str">
        <f t="shared" si="1"/>
        <v/>
      </c>
      <c r="J35" s="185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19" x14ac:dyDescent="0.25">
      <c r="A36" s="103">
        <f t="shared" si="4"/>
        <v>0</v>
      </c>
      <c r="B36" s="36" t="str">
        <f t="shared" si="0"/>
        <v/>
      </c>
      <c r="C36" s="37"/>
      <c r="D36" s="37"/>
      <c r="E36" s="37"/>
      <c r="F36" s="37"/>
      <c r="G36" s="170"/>
      <c r="H36" s="182">
        <v>31</v>
      </c>
      <c r="I36" s="183" t="str">
        <f t="shared" si="1"/>
        <v/>
      </c>
      <c r="J36" s="182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19" x14ac:dyDescent="0.25">
      <c r="A37" s="102">
        <f t="shared" si="4"/>
        <v>0</v>
      </c>
      <c r="B37" s="42" t="str">
        <f t="shared" si="0"/>
        <v/>
      </c>
      <c r="C37" s="43"/>
      <c r="D37" s="43"/>
      <c r="E37" s="43"/>
      <c r="F37" s="43"/>
      <c r="G37" s="170"/>
      <c r="H37" s="185">
        <v>32</v>
      </c>
      <c r="I37" s="186" t="str">
        <f t="shared" si="1"/>
        <v/>
      </c>
      <c r="J37" s="185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19" x14ac:dyDescent="0.25">
      <c r="A38" s="103">
        <f t="shared" si="4"/>
        <v>0</v>
      </c>
      <c r="B38" s="36" t="str">
        <f t="shared" si="0"/>
        <v/>
      </c>
      <c r="C38" s="37"/>
      <c r="D38" s="37"/>
      <c r="E38" s="37"/>
      <c r="F38" s="37"/>
      <c r="G38" s="170"/>
      <c r="H38" s="182">
        <v>33</v>
      </c>
      <c r="I38" s="183" t="str">
        <f t="shared" si="1"/>
        <v/>
      </c>
      <c r="J38" s="182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19" x14ac:dyDescent="0.25">
      <c r="A39" s="102">
        <f t="shared" si="4"/>
        <v>0</v>
      </c>
      <c r="B39" s="42" t="str">
        <f t="shared" si="0"/>
        <v/>
      </c>
      <c r="C39" s="43"/>
      <c r="D39" s="43"/>
      <c r="E39" s="43"/>
      <c r="F39" s="43"/>
      <c r="G39" s="170"/>
      <c r="H39" s="185">
        <v>34</v>
      </c>
      <c r="I39" s="186" t="str">
        <f t="shared" si="1"/>
        <v/>
      </c>
      <c r="J39" s="185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19" x14ac:dyDescent="0.25">
      <c r="A40" s="103">
        <f t="shared" si="4"/>
        <v>0</v>
      </c>
      <c r="B40" s="36" t="str">
        <f t="shared" si="0"/>
        <v/>
      </c>
      <c r="C40" s="37"/>
      <c r="D40" s="37"/>
      <c r="E40" s="37"/>
      <c r="F40" s="37"/>
      <c r="G40" s="170"/>
      <c r="H40" s="182">
        <v>35</v>
      </c>
      <c r="I40" s="183" t="str">
        <f t="shared" si="1"/>
        <v/>
      </c>
      <c r="J40" s="182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19" x14ac:dyDescent="0.25">
      <c r="A41" s="102">
        <f t="shared" si="4"/>
        <v>0</v>
      </c>
      <c r="B41" s="42" t="str">
        <f t="shared" si="0"/>
        <v/>
      </c>
      <c r="C41" s="43"/>
      <c r="D41" s="43"/>
      <c r="E41" s="43"/>
      <c r="F41" s="43"/>
      <c r="G41" s="170"/>
      <c r="H41" s="185">
        <v>36</v>
      </c>
      <c r="I41" s="186" t="str">
        <f t="shared" si="1"/>
        <v/>
      </c>
      <c r="J41" s="185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19" x14ac:dyDescent="0.25">
      <c r="A42" s="103">
        <f t="shared" si="4"/>
        <v>0</v>
      </c>
      <c r="B42" s="36" t="str">
        <f t="shared" si="0"/>
        <v/>
      </c>
      <c r="C42" s="37"/>
      <c r="D42" s="37"/>
      <c r="E42" s="37"/>
      <c r="F42" s="37"/>
      <c r="G42" s="170"/>
      <c r="H42" s="182">
        <v>37</v>
      </c>
      <c r="I42" s="183" t="str">
        <f t="shared" si="1"/>
        <v/>
      </c>
      <c r="J42" s="182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19" x14ac:dyDescent="0.25">
      <c r="A43" s="102">
        <f t="shared" si="4"/>
        <v>0</v>
      </c>
      <c r="B43" s="42" t="str">
        <f t="shared" si="0"/>
        <v/>
      </c>
      <c r="C43" s="43"/>
      <c r="D43" s="43"/>
      <c r="E43" s="43"/>
      <c r="F43" s="43"/>
      <c r="G43" s="170"/>
      <c r="H43" s="185">
        <v>38</v>
      </c>
      <c r="I43" s="186" t="str">
        <f t="shared" si="1"/>
        <v/>
      </c>
      <c r="J43" s="185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19" x14ac:dyDescent="0.25">
      <c r="A44" s="103">
        <f t="shared" si="4"/>
        <v>0</v>
      </c>
      <c r="B44" s="36" t="str">
        <f t="shared" si="0"/>
        <v/>
      </c>
      <c r="C44" s="37"/>
      <c r="D44" s="37"/>
      <c r="E44" s="37"/>
      <c r="F44" s="37"/>
      <c r="G44" s="170"/>
      <c r="H44" s="182">
        <v>39</v>
      </c>
      <c r="I44" s="183" t="str">
        <f t="shared" si="1"/>
        <v/>
      </c>
      <c r="J44" s="182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19" x14ac:dyDescent="0.25">
      <c r="A45" s="102">
        <f t="shared" si="4"/>
        <v>0</v>
      </c>
      <c r="B45" s="42" t="str">
        <f t="shared" si="0"/>
        <v/>
      </c>
      <c r="C45" s="43"/>
      <c r="D45" s="43"/>
      <c r="E45" s="43"/>
      <c r="F45" s="43"/>
      <c r="G45" s="170"/>
      <c r="H45" s="185">
        <v>40</v>
      </c>
      <c r="I45" s="186" t="str">
        <f t="shared" si="1"/>
        <v/>
      </c>
      <c r="J45" s="185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19" x14ac:dyDescent="0.25">
      <c r="A46" s="103">
        <f t="shared" si="4"/>
        <v>0</v>
      </c>
      <c r="B46" s="36" t="str">
        <f t="shared" si="0"/>
        <v/>
      </c>
      <c r="C46" s="37"/>
      <c r="D46" s="37"/>
      <c r="E46" s="37"/>
      <c r="F46" s="37"/>
      <c r="G46" s="170"/>
      <c r="H46" s="182">
        <v>41</v>
      </c>
      <c r="I46" s="183" t="str">
        <f t="shared" si="1"/>
        <v/>
      </c>
      <c r="J46" s="182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</row>
    <row r="47" spans="1:19" x14ac:dyDescent="0.25">
      <c r="A47" s="102">
        <f t="shared" si="4"/>
        <v>0</v>
      </c>
      <c r="B47" s="42" t="str">
        <f t="shared" si="0"/>
        <v/>
      </c>
      <c r="C47" s="43"/>
      <c r="D47" s="43"/>
      <c r="E47" s="43"/>
      <c r="F47" s="43"/>
      <c r="G47" s="170"/>
      <c r="H47" s="185">
        <v>42</v>
      </c>
      <c r="I47" s="186" t="str">
        <f t="shared" si="1"/>
        <v/>
      </c>
      <c r="J47" s="185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19" x14ac:dyDescent="0.25">
      <c r="A48" s="103">
        <f t="shared" si="4"/>
        <v>0</v>
      </c>
      <c r="B48" s="36" t="str">
        <f t="shared" si="0"/>
        <v/>
      </c>
      <c r="C48" s="37"/>
      <c r="D48" s="37"/>
      <c r="E48" s="37"/>
      <c r="F48" s="37"/>
      <c r="G48" s="170"/>
      <c r="H48" s="182">
        <v>43</v>
      </c>
      <c r="I48" s="183" t="str">
        <f t="shared" si="1"/>
        <v/>
      </c>
      <c r="J48" s="182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38" x14ac:dyDescent="0.25">
      <c r="A49" s="102">
        <f t="shared" si="4"/>
        <v>0</v>
      </c>
      <c r="B49" s="42" t="str">
        <f t="shared" si="0"/>
        <v/>
      </c>
      <c r="C49" s="43"/>
      <c r="D49" s="43"/>
      <c r="E49" s="43"/>
      <c r="F49" s="43"/>
      <c r="G49" s="170"/>
      <c r="H49" s="185">
        <v>44</v>
      </c>
      <c r="I49" s="186" t="str">
        <f t="shared" si="1"/>
        <v/>
      </c>
      <c r="J49" s="185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38" x14ac:dyDescent="0.25">
      <c r="A50" s="103">
        <f t="shared" si="4"/>
        <v>0</v>
      </c>
      <c r="B50" s="36" t="str">
        <f t="shared" si="0"/>
        <v/>
      </c>
      <c r="C50" s="37"/>
      <c r="D50" s="37"/>
      <c r="E50" s="37"/>
      <c r="F50" s="37"/>
      <c r="G50" s="170"/>
      <c r="H50" s="182">
        <v>45</v>
      </c>
      <c r="I50" s="183" t="str">
        <f t="shared" si="1"/>
        <v/>
      </c>
      <c r="J50" s="182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38" x14ac:dyDescent="0.25">
      <c r="A51" s="102">
        <f t="shared" si="4"/>
        <v>0</v>
      </c>
      <c r="B51" s="42" t="str">
        <f t="shared" si="0"/>
        <v/>
      </c>
      <c r="C51" s="43"/>
      <c r="D51" s="43"/>
      <c r="E51" s="43"/>
      <c r="F51" s="43"/>
      <c r="G51" s="170"/>
      <c r="H51" s="185">
        <v>46</v>
      </c>
      <c r="I51" s="186" t="str">
        <f t="shared" si="1"/>
        <v/>
      </c>
      <c r="J51" s="185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38" x14ac:dyDescent="0.25">
      <c r="A52" s="103">
        <f t="shared" si="4"/>
        <v>0</v>
      </c>
      <c r="B52" s="36" t="str">
        <f t="shared" si="0"/>
        <v/>
      </c>
      <c r="C52" s="37"/>
      <c r="D52" s="37"/>
      <c r="E52" s="37"/>
      <c r="F52" s="37"/>
      <c r="G52" s="170"/>
      <c r="H52" s="182">
        <v>47</v>
      </c>
      <c r="I52" s="183" t="str">
        <f t="shared" si="1"/>
        <v/>
      </c>
      <c r="J52" s="182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38" x14ac:dyDescent="0.25">
      <c r="A53" s="102">
        <f t="shared" si="4"/>
        <v>0</v>
      </c>
      <c r="B53" s="42" t="str">
        <f t="shared" si="0"/>
        <v/>
      </c>
      <c r="C53" s="43"/>
      <c r="D53" s="43"/>
      <c r="E53" s="43"/>
      <c r="F53" s="43"/>
      <c r="G53" s="170"/>
      <c r="H53" s="185">
        <v>48</v>
      </c>
      <c r="I53" s="186" t="str">
        <f t="shared" si="1"/>
        <v/>
      </c>
      <c r="J53" s="185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38" x14ac:dyDescent="0.25">
      <c r="A54" s="103">
        <f t="shared" si="4"/>
        <v>0</v>
      </c>
      <c r="B54" s="36" t="str">
        <f t="shared" si="0"/>
        <v/>
      </c>
      <c r="C54" s="37"/>
      <c r="D54" s="37"/>
      <c r="E54" s="37"/>
      <c r="F54" s="37"/>
      <c r="G54" s="170"/>
      <c r="H54" s="182">
        <v>49</v>
      </c>
      <c r="I54" s="183" t="str">
        <f t="shared" si="1"/>
        <v/>
      </c>
      <c r="J54" s="182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38" x14ac:dyDescent="0.25">
      <c r="A55" s="102">
        <f t="shared" si="4"/>
        <v>0</v>
      </c>
      <c r="B55" s="42" t="str">
        <f t="shared" si="0"/>
        <v/>
      </c>
      <c r="C55" s="43"/>
      <c r="D55" s="43"/>
      <c r="E55" s="43"/>
      <c r="F55" s="43"/>
      <c r="G55" s="170"/>
      <c r="H55" s="185">
        <v>50</v>
      </c>
      <c r="I55" s="186" t="str">
        <f t="shared" si="1"/>
        <v/>
      </c>
      <c r="J55" s="185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38" x14ac:dyDescent="0.25">
      <c r="A56" s="103">
        <f t="shared" si="4"/>
        <v>0</v>
      </c>
      <c r="B56" s="36" t="str">
        <f t="shared" si="0"/>
        <v/>
      </c>
      <c r="C56" s="37"/>
      <c r="D56" s="37"/>
      <c r="E56" s="37"/>
      <c r="F56" s="37"/>
      <c r="G56" s="170"/>
      <c r="H56" s="182">
        <v>51</v>
      </c>
      <c r="I56" s="183" t="str">
        <f t="shared" si="1"/>
        <v/>
      </c>
      <c r="J56" s="182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38" s="170" customFormat="1" x14ac:dyDescent="0.25">
      <c r="A57" s="102">
        <f t="shared" si="4"/>
        <v>0</v>
      </c>
      <c r="B57" s="42" t="str">
        <f t="shared" si="0"/>
        <v/>
      </c>
      <c r="C57" s="43"/>
      <c r="D57" s="43"/>
      <c r="E57" s="43"/>
      <c r="F57" s="43"/>
      <c r="H57" s="185">
        <v>52</v>
      </c>
      <c r="I57" s="186" t="str">
        <f t="shared" si="1"/>
        <v/>
      </c>
      <c r="J57" s="185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</row>
    <row r="58" spans="1:38" s="170" customFormat="1" x14ac:dyDescent="0.25">
      <c r="A58" s="103">
        <f t="shared" si="4"/>
        <v>0</v>
      </c>
      <c r="B58" s="36" t="str">
        <f t="shared" si="0"/>
        <v/>
      </c>
      <c r="C58" s="37"/>
      <c r="D58" s="37"/>
      <c r="E58" s="37"/>
      <c r="F58" s="37"/>
      <c r="H58" s="182">
        <v>53</v>
      </c>
      <c r="I58" s="183" t="str">
        <f t="shared" si="1"/>
        <v/>
      </c>
      <c r="J58" s="182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</row>
    <row r="59" spans="1:38" s="170" customFormat="1" x14ac:dyDescent="0.25">
      <c r="A59" s="102">
        <f t="shared" si="4"/>
        <v>0</v>
      </c>
      <c r="B59" s="42" t="str">
        <f t="shared" si="0"/>
        <v/>
      </c>
      <c r="C59" s="43"/>
      <c r="D59" s="43"/>
      <c r="E59" s="43"/>
      <c r="F59" s="43"/>
      <c r="H59" s="185">
        <v>54</v>
      </c>
      <c r="I59" s="186" t="str">
        <f t="shared" si="1"/>
        <v/>
      </c>
      <c r="J59" s="185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</row>
    <row r="60" spans="1:38" s="170" customFormat="1" x14ac:dyDescent="0.25">
      <c r="A60" s="103">
        <f t="shared" si="4"/>
        <v>0</v>
      </c>
      <c r="B60" s="36" t="str">
        <f t="shared" si="0"/>
        <v/>
      </c>
      <c r="C60" s="37"/>
      <c r="D60" s="37"/>
      <c r="E60" s="37"/>
      <c r="F60" s="37"/>
      <c r="H60" s="182">
        <v>55</v>
      </c>
      <c r="I60" s="183" t="str">
        <f t="shared" si="1"/>
        <v/>
      </c>
      <c r="J60" s="182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</row>
    <row r="61" spans="1:38" s="170" customFormat="1" x14ac:dyDescent="0.25">
      <c r="A61" s="102">
        <f t="shared" si="4"/>
        <v>0</v>
      </c>
      <c r="B61" s="42" t="str">
        <f t="shared" si="0"/>
        <v/>
      </c>
      <c r="C61" s="43"/>
      <c r="D61" s="43"/>
      <c r="E61" s="43"/>
      <c r="F61" s="43"/>
      <c r="H61" s="185">
        <v>56</v>
      </c>
      <c r="I61" s="186" t="str">
        <f t="shared" si="1"/>
        <v/>
      </c>
      <c r="J61" s="185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</row>
    <row r="62" spans="1:38" s="170" customFormat="1" x14ac:dyDescent="0.25">
      <c r="A62" s="103">
        <f t="shared" si="4"/>
        <v>0</v>
      </c>
      <c r="B62" s="36" t="str">
        <f t="shared" si="0"/>
        <v/>
      </c>
      <c r="C62" s="37"/>
      <c r="D62" s="37"/>
      <c r="E62" s="37"/>
      <c r="F62" s="37"/>
      <c r="H62" s="182">
        <v>57</v>
      </c>
      <c r="I62" s="183" t="str">
        <f t="shared" si="1"/>
        <v/>
      </c>
      <c r="J62" s="182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</row>
    <row r="63" spans="1:38" s="170" customFormat="1" x14ac:dyDescent="0.25">
      <c r="A63" s="102">
        <f t="shared" si="4"/>
        <v>0</v>
      </c>
      <c r="B63" s="42" t="str">
        <f t="shared" si="0"/>
        <v/>
      </c>
      <c r="C63" s="43"/>
      <c r="D63" s="43"/>
      <c r="E63" s="43"/>
      <c r="F63" s="43"/>
      <c r="H63" s="185">
        <v>58</v>
      </c>
      <c r="I63" s="186" t="str">
        <f t="shared" si="1"/>
        <v/>
      </c>
      <c r="J63" s="185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</row>
    <row r="64" spans="1:38" s="170" customFormat="1" x14ac:dyDescent="0.25">
      <c r="A64" s="103">
        <f t="shared" si="4"/>
        <v>0</v>
      </c>
      <c r="B64" s="36" t="str">
        <f t="shared" si="0"/>
        <v/>
      </c>
      <c r="C64" s="37"/>
      <c r="D64" s="37"/>
      <c r="E64" s="37"/>
      <c r="F64" s="37"/>
      <c r="H64" s="182">
        <v>59</v>
      </c>
      <c r="I64" s="183" t="str">
        <f t="shared" si="1"/>
        <v/>
      </c>
      <c r="J64" s="182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</row>
    <row r="65" spans="1:38" s="170" customFormat="1" x14ac:dyDescent="0.25">
      <c r="A65" s="102">
        <f t="shared" si="4"/>
        <v>0</v>
      </c>
      <c r="B65" s="42" t="str">
        <f t="shared" si="0"/>
        <v/>
      </c>
      <c r="C65" s="43"/>
      <c r="D65" s="43"/>
      <c r="E65" s="43"/>
      <c r="F65" s="43"/>
      <c r="H65" s="185">
        <v>60</v>
      </c>
      <c r="I65" s="186" t="str">
        <f t="shared" si="1"/>
        <v/>
      </c>
      <c r="J65" s="185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</row>
    <row r="66" spans="1:38" s="170" customFormat="1" x14ac:dyDescent="0.25">
      <c r="A66" s="103">
        <f t="shared" si="4"/>
        <v>0</v>
      </c>
      <c r="B66" s="36" t="str">
        <f t="shared" si="0"/>
        <v/>
      </c>
      <c r="C66" s="37"/>
      <c r="D66" s="37"/>
      <c r="E66" s="37"/>
      <c r="F66" s="37"/>
      <c r="H66" s="182">
        <v>61</v>
      </c>
      <c r="I66" s="183" t="str">
        <f t="shared" si="1"/>
        <v/>
      </c>
      <c r="J66" s="182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</row>
    <row r="67" spans="1:38" s="170" customFormat="1" x14ac:dyDescent="0.25">
      <c r="A67" s="102">
        <f t="shared" si="4"/>
        <v>0</v>
      </c>
      <c r="B67" s="42" t="str">
        <f t="shared" si="0"/>
        <v/>
      </c>
      <c r="C67" s="43"/>
      <c r="D67" s="43"/>
      <c r="E67" s="43"/>
      <c r="F67" s="43"/>
      <c r="H67" s="185">
        <v>62</v>
      </c>
      <c r="I67" s="186" t="str">
        <f t="shared" si="1"/>
        <v/>
      </c>
      <c r="J67" s="185" t="e">
        <f t="shared" si="5"/>
        <v>#NUM!</v>
      </c>
      <c r="K67" s="185" t="e">
        <f t="shared" si="2"/>
        <v>#NUM!</v>
      </c>
      <c r="L67" s="185"/>
      <c r="M67" s="187">
        <f t="shared" si="3"/>
        <v>0</v>
      </c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</row>
    <row r="68" spans="1:38" s="170" customFormat="1" x14ac:dyDescent="0.25">
      <c r="A68" s="103">
        <f t="shared" si="4"/>
        <v>0</v>
      </c>
      <c r="B68" s="36" t="str">
        <f t="shared" si="0"/>
        <v/>
      </c>
      <c r="C68" s="37"/>
      <c r="D68" s="37"/>
      <c r="E68" s="37"/>
      <c r="F68" s="37"/>
      <c r="H68" s="182">
        <v>63</v>
      </c>
      <c r="I68" s="183" t="str">
        <f t="shared" si="1"/>
        <v/>
      </c>
      <c r="J68" s="182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</row>
    <row r="69" spans="1:38" s="170" customFormat="1" x14ac:dyDescent="0.25">
      <c r="A69" s="102">
        <f t="shared" si="4"/>
        <v>0</v>
      </c>
      <c r="B69" s="42" t="str">
        <f t="shared" si="0"/>
        <v/>
      </c>
      <c r="C69" s="43"/>
      <c r="D69" s="43"/>
      <c r="E69" s="43"/>
      <c r="F69" s="43"/>
      <c r="H69" s="185">
        <v>64</v>
      </c>
      <c r="I69" s="186" t="str">
        <f t="shared" si="1"/>
        <v/>
      </c>
      <c r="J69" s="185" t="e">
        <f t="shared" si="5"/>
        <v>#NUM!</v>
      </c>
      <c r="K69" s="185" t="e">
        <f t="shared" si="2"/>
        <v>#NUM!</v>
      </c>
      <c r="L69" s="185"/>
      <c r="M69" s="187">
        <f t="shared" si="3"/>
        <v>0</v>
      </c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</row>
    <row r="70" spans="1:38" s="170" customFormat="1" x14ac:dyDescent="0.25">
      <c r="A70" s="103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182">
        <v>65</v>
      </c>
      <c r="I70" s="183" t="str">
        <f t="shared" ref="I70:I133" si="7">IF(H70&lt;$H$2+1,($I$2-($I$2-1)*(LOG(H70)/LOG($H$2))),"")</f>
        <v/>
      </c>
      <c r="J70" s="182" t="e">
        <f t="shared" si="5"/>
        <v>#NUM!</v>
      </c>
      <c r="K70" s="182" t="e">
        <f t="shared" ref="K70:K133" si="8">J70*$J$2</f>
        <v>#NUM!</v>
      </c>
      <c r="L70" s="182"/>
      <c r="M70" s="184">
        <f t="shared" ref="M70:M133" si="9">IF(I70&lt;&gt;"",K70+I70+L70,0)</f>
        <v>0</v>
      </c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</row>
    <row r="71" spans="1:38" s="170" customFormat="1" x14ac:dyDescent="0.25">
      <c r="A71" s="102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185">
        <v>66</v>
      </c>
      <c r="I71" s="186" t="str">
        <f t="shared" si="7"/>
        <v/>
      </c>
      <c r="J71" s="185" t="e">
        <f t="shared" ref="J71:J134" si="11">INT(LOG($H$2,2))-ROUNDUP(LOG(H71,2),0)+IF(OR($H$2=1,$H$2=2,$H$2=4,$H$2=8,$H$2=16,$H$2=32,$H$2=64,$H$2=128,$H$2=256),0,1)</f>
        <v>#NUM!</v>
      </c>
      <c r="K71" s="185" t="e">
        <f t="shared" si="8"/>
        <v>#NUM!</v>
      </c>
      <c r="L71" s="185"/>
      <c r="M71" s="187">
        <f t="shared" si="9"/>
        <v>0</v>
      </c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</row>
    <row r="72" spans="1:38" s="170" customFormat="1" x14ac:dyDescent="0.25">
      <c r="A72" s="103">
        <f t="shared" si="10"/>
        <v>0</v>
      </c>
      <c r="B72" s="36" t="str">
        <f t="shared" si="6"/>
        <v/>
      </c>
      <c r="C72" s="37"/>
      <c r="D72" s="37"/>
      <c r="E72" s="37"/>
      <c r="F72" s="37"/>
      <c r="H72" s="182">
        <v>67</v>
      </c>
      <c r="I72" s="183" t="str">
        <f t="shared" si="7"/>
        <v/>
      </c>
      <c r="J72" s="182" t="e">
        <f t="shared" si="11"/>
        <v>#NUM!</v>
      </c>
      <c r="K72" s="182" t="e">
        <f t="shared" si="8"/>
        <v>#NUM!</v>
      </c>
      <c r="L72" s="182"/>
      <c r="M72" s="184">
        <f t="shared" si="9"/>
        <v>0</v>
      </c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</row>
    <row r="73" spans="1:38" s="170" customFormat="1" x14ac:dyDescent="0.25">
      <c r="A73" s="102">
        <f t="shared" si="10"/>
        <v>0</v>
      </c>
      <c r="B73" s="42" t="str">
        <f t="shared" si="6"/>
        <v/>
      </c>
      <c r="C73" s="43"/>
      <c r="D73" s="43"/>
      <c r="E73" s="43"/>
      <c r="F73" s="43"/>
      <c r="H73" s="185">
        <v>68</v>
      </c>
      <c r="I73" s="186" t="str">
        <f t="shared" si="7"/>
        <v/>
      </c>
      <c r="J73" s="185" t="e">
        <f t="shared" si="11"/>
        <v>#NUM!</v>
      </c>
      <c r="K73" s="185" t="e">
        <f t="shared" si="8"/>
        <v>#NUM!</v>
      </c>
      <c r="L73" s="185"/>
      <c r="M73" s="187">
        <f t="shared" si="9"/>
        <v>0</v>
      </c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</row>
    <row r="74" spans="1:38" s="170" customFormat="1" x14ac:dyDescent="0.25">
      <c r="A74" s="103">
        <f t="shared" si="10"/>
        <v>0</v>
      </c>
      <c r="B74" s="36" t="str">
        <f t="shared" si="6"/>
        <v/>
      </c>
      <c r="C74" s="37"/>
      <c r="D74" s="37"/>
      <c r="E74" s="37"/>
      <c r="F74" s="37"/>
      <c r="H74" s="182">
        <v>69</v>
      </c>
      <c r="I74" s="183" t="str">
        <f t="shared" si="7"/>
        <v/>
      </c>
      <c r="J74" s="182" t="e">
        <f t="shared" si="11"/>
        <v>#NUM!</v>
      </c>
      <c r="K74" s="182" t="e">
        <f t="shared" si="8"/>
        <v>#NUM!</v>
      </c>
      <c r="L74" s="182"/>
      <c r="M74" s="184">
        <f t="shared" si="9"/>
        <v>0</v>
      </c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</row>
    <row r="75" spans="1:38" s="170" customFormat="1" x14ac:dyDescent="0.25">
      <c r="A75" s="102">
        <f t="shared" si="10"/>
        <v>0</v>
      </c>
      <c r="B75" s="42" t="str">
        <f t="shared" si="6"/>
        <v/>
      </c>
      <c r="C75" s="43"/>
      <c r="D75" s="43"/>
      <c r="E75" s="43"/>
      <c r="F75" s="43"/>
      <c r="H75" s="185">
        <v>70</v>
      </c>
      <c r="I75" s="186" t="str">
        <f t="shared" si="7"/>
        <v/>
      </c>
      <c r="J75" s="185" t="e">
        <f t="shared" si="11"/>
        <v>#NUM!</v>
      </c>
      <c r="K75" s="185" t="e">
        <f t="shared" si="8"/>
        <v>#NUM!</v>
      </c>
      <c r="L75" s="185"/>
      <c r="M75" s="187">
        <f t="shared" si="9"/>
        <v>0</v>
      </c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</row>
    <row r="76" spans="1:38" s="170" customFormat="1" x14ac:dyDescent="0.25">
      <c r="A76" s="103">
        <f t="shared" si="10"/>
        <v>0</v>
      </c>
      <c r="B76" s="36" t="str">
        <f t="shared" si="6"/>
        <v/>
      </c>
      <c r="C76" s="37"/>
      <c r="D76" s="37"/>
      <c r="E76" s="37"/>
      <c r="F76" s="37"/>
      <c r="H76" s="182">
        <v>71</v>
      </c>
      <c r="I76" s="183" t="str">
        <f t="shared" si="7"/>
        <v/>
      </c>
      <c r="J76" s="182" t="e">
        <f t="shared" si="11"/>
        <v>#NUM!</v>
      </c>
      <c r="K76" s="182" t="e">
        <f t="shared" si="8"/>
        <v>#NUM!</v>
      </c>
      <c r="L76" s="182"/>
      <c r="M76" s="184">
        <f t="shared" si="9"/>
        <v>0</v>
      </c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</row>
    <row r="77" spans="1:38" s="170" customFormat="1" x14ac:dyDescent="0.25">
      <c r="A77" s="102">
        <f t="shared" si="10"/>
        <v>0</v>
      </c>
      <c r="B77" s="42" t="str">
        <f t="shared" si="6"/>
        <v/>
      </c>
      <c r="C77" s="43"/>
      <c r="D77" s="43"/>
      <c r="E77" s="43"/>
      <c r="F77" s="43"/>
      <c r="H77" s="185">
        <v>72</v>
      </c>
      <c r="I77" s="186" t="str">
        <f t="shared" si="7"/>
        <v/>
      </c>
      <c r="J77" s="185" t="e">
        <f t="shared" si="11"/>
        <v>#NUM!</v>
      </c>
      <c r="K77" s="185" t="e">
        <f t="shared" si="8"/>
        <v>#NUM!</v>
      </c>
      <c r="L77" s="185"/>
      <c r="M77" s="187">
        <f t="shared" si="9"/>
        <v>0</v>
      </c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</row>
    <row r="78" spans="1:38" s="170" customFormat="1" x14ac:dyDescent="0.25">
      <c r="A78" s="103">
        <f t="shared" si="10"/>
        <v>0</v>
      </c>
      <c r="B78" s="36" t="str">
        <f t="shared" si="6"/>
        <v/>
      </c>
      <c r="C78" s="37"/>
      <c r="D78" s="37"/>
      <c r="E78" s="37"/>
      <c r="F78" s="37"/>
      <c r="H78" s="182">
        <v>73</v>
      </c>
      <c r="I78" s="183" t="str">
        <f t="shared" si="7"/>
        <v/>
      </c>
      <c r="J78" s="182" t="e">
        <f t="shared" si="11"/>
        <v>#NUM!</v>
      </c>
      <c r="K78" s="182" t="e">
        <f t="shared" si="8"/>
        <v>#NUM!</v>
      </c>
      <c r="L78" s="182"/>
      <c r="M78" s="184">
        <f t="shared" si="9"/>
        <v>0</v>
      </c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</row>
    <row r="79" spans="1:38" s="170" customFormat="1" x14ac:dyDescent="0.25">
      <c r="A79" s="102">
        <f t="shared" si="10"/>
        <v>0</v>
      </c>
      <c r="B79" s="42" t="str">
        <f t="shared" si="6"/>
        <v/>
      </c>
      <c r="C79" s="43"/>
      <c r="D79" s="43"/>
      <c r="E79" s="43"/>
      <c r="F79" s="43"/>
      <c r="H79" s="185">
        <v>74</v>
      </c>
      <c r="I79" s="186" t="str">
        <f t="shared" si="7"/>
        <v/>
      </c>
      <c r="J79" s="185" t="e">
        <f t="shared" si="11"/>
        <v>#NUM!</v>
      </c>
      <c r="K79" s="185" t="e">
        <f t="shared" si="8"/>
        <v>#NUM!</v>
      </c>
      <c r="L79" s="185"/>
      <c r="M79" s="187">
        <f t="shared" si="9"/>
        <v>0</v>
      </c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</row>
    <row r="80" spans="1:38" s="170" customFormat="1" x14ac:dyDescent="0.25">
      <c r="A80" s="103">
        <f t="shared" si="10"/>
        <v>0</v>
      </c>
      <c r="B80" s="36" t="str">
        <f t="shared" si="6"/>
        <v/>
      </c>
      <c r="C80" s="37"/>
      <c r="D80" s="37"/>
      <c r="E80" s="37"/>
      <c r="F80" s="37"/>
      <c r="H80" s="182">
        <v>75</v>
      </c>
      <c r="I80" s="183" t="str">
        <f t="shared" si="7"/>
        <v/>
      </c>
      <c r="J80" s="182" t="e">
        <f t="shared" si="11"/>
        <v>#NUM!</v>
      </c>
      <c r="K80" s="182" t="e">
        <f t="shared" si="8"/>
        <v>#NUM!</v>
      </c>
      <c r="L80" s="182"/>
      <c r="M80" s="184">
        <f t="shared" si="9"/>
        <v>0</v>
      </c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</row>
    <row r="81" spans="1:38" s="170" customFormat="1" x14ac:dyDescent="0.25">
      <c r="A81" s="102">
        <f t="shared" si="10"/>
        <v>0</v>
      </c>
      <c r="B81" s="42" t="str">
        <f t="shared" si="6"/>
        <v/>
      </c>
      <c r="C81" s="43"/>
      <c r="D81" s="43"/>
      <c r="E81" s="43"/>
      <c r="F81" s="43"/>
      <c r="H81" s="185">
        <v>76</v>
      </c>
      <c r="I81" s="186" t="str">
        <f t="shared" si="7"/>
        <v/>
      </c>
      <c r="J81" s="185" t="e">
        <f t="shared" si="11"/>
        <v>#NUM!</v>
      </c>
      <c r="K81" s="185" t="e">
        <f t="shared" si="8"/>
        <v>#NUM!</v>
      </c>
      <c r="L81" s="185"/>
      <c r="M81" s="187">
        <f t="shared" si="9"/>
        <v>0</v>
      </c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</row>
    <row r="82" spans="1:38" s="170" customFormat="1" x14ac:dyDescent="0.25">
      <c r="A82" s="103">
        <f t="shared" si="10"/>
        <v>0</v>
      </c>
      <c r="B82" s="36" t="str">
        <f t="shared" si="6"/>
        <v/>
      </c>
      <c r="C82" s="37"/>
      <c r="D82" s="37"/>
      <c r="E82" s="37"/>
      <c r="F82" s="37"/>
      <c r="H82" s="182">
        <v>77</v>
      </c>
      <c r="I82" s="183" t="str">
        <f t="shared" si="7"/>
        <v/>
      </c>
      <c r="J82" s="182" t="e">
        <f t="shared" si="11"/>
        <v>#NUM!</v>
      </c>
      <c r="K82" s="182" t="e">
        <f t="shared" si="8"/>
        <v>#NUM!</v>
      </c>
      <c r="L82" s="182"/>
      <c r="M82" s="184">
        <f t="shared" si="9"/>
        <v>0</v>
      </c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</row>
    <row r="83" spans="1:38" s="170" customFormat="1" x14ac:dyDescent="0.25">
      <c r="A83" s="102">
        <f t="shared" si="10"/>
        <v>0</v>
      </c>
      <c r="B83" s="42" t="str">
        <f t="shared" si="6"/>
        <v/>
      </c>
      <c r="C83" s="43"/>
      <c r="D83" s="43"/>
      <c r="E83" s="43"/>
      <c r="F83" s="43"/>
      <c r="H83" s="185">
        <v>78</v>
      </c>
      <c r="I83" s="186" t="str">
        <f t="shared" si="7"/>
        <v/>
      </c>
      <c r="J83" s="185" t="e">
        <f t="shared" si="11"/>
        <v>#NUM!</v>
      </c>
      <c r="K83" s="185" t="e">
        <f t="shared" si="8"/>
        <v>#NUM!</v>
      </c>
      <c r="L83" s="185"/>
      <c r="M83" s="187">
        <f t="shared" si="9"/>
        <v>0</v>
      </c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</row>
    <row r="84" spans="1:38" s="170" customFormat="1" x14ac:dyDescent="0.25">
      <c r="A84" s="103">
        <f t="shared" si="10"/>
        <v>0</v>
      </c>
      <c r="B84" s="36" t="str">
        <f t="shared" si="6"/>
        <v/>
      </c>
      <c r="C84" s="37"/>
      <c r="D84" s="37"/>
      <c r="E84" s="37"/>
      <c r="F84" s="37"/>
      <c r="H84" s="182">
        <v>79</v>
      </c>
      <c r="I84" s="183" t="str">
        <f t="shared" si="7"/>
        <v/>
      </c>
      <c r="J84" s="182" t="e">
        <f t="shared" si="11"/>
        <v>#NUM!</v>
      </c>
      <c r="K84" s="182" t="e">
        <f t="shared" si="8"/>
        <v>#NUM!</v>
      </c>
      <c r="L84" s="182"/>
      <c r="M84" s="184">
        <f t="shared" si="9"/>
        <v>0</v>
      </c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</row>
    <row r="85" spans="1:38" s="170" customFormat="1" x14ac:dyDescent="0.25">
      <c r="A85" s="102">
        <f t="shared" si="10"/>
        <v>0</v>
      </c>
      <c r="B85" s="42" t="str">
        <f t="shared" si="6"/>
        <v/>
      </c>
      <c r="C85" s="43"/>
      <c r="D85" s="43"/>
      <c r="E85" s="43"/>
      <c r="F85" s="43"/>
      <c r="H85" s="185">
        <v>80</v>
      </c>
      <c r="I85" s="186" t="str">
        <f t="shared" si="7"/>
        <v/>
      </c>
      <c r="J85" s="185" t="e">
        <f t="shared" si="11"/>
        <v>#NUM!</v>
      </c>
      <c r="K85" s="185" t="e">
        <f t="shared" si="8"/>
        <v>#NUM!</v>
      </c>
      <c r="L85" s="185"/>
      <c r="M85" s="187">
        <f t="shared" si="9"/>
        <v>0</v>
      </c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</row>
    <row r="86" spans="1:38" s="170" customFormat="1" x14ac:dyDescent="0.25">
      <c r="A86" s="103">
        <f t="shared" si="10"/>
        <v>0</v>
      </c>
      <c r="B86" s="36" t="str">
        <f t="shared" si="6"/>
        <v/>
      </c>
      <c r="C86" s="37"/>
      <c r="D86" s="37"/>
      <c r="E86" s="37"/>
      <c r="F86" s="37"/>
      <c r="H86" s="182">
        <v>81</v>
      </c>
      <c r="I86" s="183" t="str">
        <f t="shared" si="7"/>
        <v/>
      </c>
      <c r="J86" s="182" t="e">
        <f t="shared" si="11"/>
        <v>#NUM!</v>
      </c>
      <c r="K86" s="182" t="e">
        <f t="shared" si="8"/>
        <v>#NUM!</v>
      </c>
      <c r="L86" s="182"/>
      <c r="M86" s="184">
        <f t="shared" si="9"/>
        <v>0</v>
      </c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</row>
    <row r="87" spans="1:38" s="170" customFormat="1" x14ac:dyDescent="0.25">
      <c r="A87" s="102">
        <f t="shared" si="10"/>
        <v>0</v>
      </c>
      <c r="B87" s="42" t="str">
        <f t="shared" si="6"/>
        <v/>
      </c>
      <c r="C87" s="43"/>
      <c r="D87" s="43"/>
      <c r="E87" s="43"/>
      <c r="F87" s="43"/>
      <c r="H87" s="185">
        <v>82</v>
      </c>
      <c r="I87" s="186" t="str">
        <f t="shared" si="7"/>
        <v/>
      </c>
      <c r="J87" s="185" t="e">
        <f t="shared" si="11"/>
        <v>#NUM!</v>
      </c>
      <c r="K87" s="185" t="e">
        <f t="shared" si="8"/>
        <v>#NUM!</v>
      </c>
      <c r="L87" s="185"/>
      <c r="M87" s="187">
        <f t="shared" si="9"/>
        <v>0</v>
      </c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</row>
    <row r="88" spans="1:38" s="170" customFormat="1" x14ac:dyDescent="0.25">
      <c r="A88" s="103">
        <f t="shared" si="10"/>
        <v>0</v>
      </c>
      <c r="B88" s="36" t="str">
        <f t="shared" si="6"/>
        <v/>
      </c>
      <c r="C88" s="37"/>
      <c r="D88" s="37"/>
      <c r="E88" s="37"/>
      <c r="F88" s="37"/>
      <c r="H88" s="182">
        <v>83</v>
      </c>
      <c r="I88" s="183" t="str">
        <f t="shared" si="7"/>
        <v/>
      </c>
      <c r="J88" s="182" t="e">
        <f t="shared" si="11"/>
        <v>#NUM!</v>
      </c>
      <c r="K88" s="182" t="e">
        <f t="shared" si="8"/>
        <v>#NUM!</v>
      </c>
      <c r="L88" s="182"/>
      <c r="M88" s="184">
        <f t="shared" si="9"/>
        <v>0</v>
      </c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</row>
    <row r="89" spans="1:38" s="170" customFormat="1" x14ac:dyDescent="0.25">
      <c r="A89" s="102">
        <f t="shared" si="10"/>
        <v>0</v>
      </c>
      <c r="B89" s="42" t="str">
        <f t="shared" si="6"/>
        <v/>
      </c>
      <c r="C89" s="43"/>
      <c r="D89" s="43"/>
      <c r="E89" s="43"/>
      <c r="F89" s="43"/>
      <c r="H89" s="185">
        <v>84</v>
      </c>
      <c r="I89" s="186" t="str">
        <f t="shared" si="7"/>
        <v/>
      </c>
      <c r="J89" s="185" t="e">
        <f t="shared" si="11"/>
        <v>#NUM!</v>
      </c>
      <c r="K89" s="185" t="e">
        <f t="shared" si="8"/>
        <v>#NUM!</v>
      </c>
      <c r="L89" s="185"/>
      <c r="M89" s="187">
        <f t="shared" si="9"/>
        <v>0</v>
      </c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</row>
    <row r="90" spans="1:38" s="170" customFormat="1" x14ac:dyDescent="0.25">
      <c r="A90" s="103">
        <f t="shared" si="10"/>
        <v>0</v>
      </c>
      <c r="B90" s="36" t="str">
        <f t="shared" si="6"/>
        <v/>
      </c>
      <c r="C90" s="37"/>
      <c r="D90" s="37"/>
      <c r="E90" s="37"/>
      <c r="F90" s="37"/>
      <c r="H90" s="182">
        <v>85</v>
      </c>
      <c r="I90" s="183" t="str">
        <f t="shared" si="7"/>
        <v/>
      </c>
      <c r="J90" s="182" t="e">
        <f t="shared" si="11"/>
        <v>#NUM!</v>
      </c>
      <c r="K90" s="182" t="e">
        <f t="shared" si="8"/>
        <v>#NUM!</v>
      </c>
      <c r="L90" s="182"/>
      <c r="M90" s="184">
        <f t="shared" si="9"/>
        <v>0</v>
      </c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</row>
    <row r="91" spans="1:38" s="170" customFormat="1" x14ac:dyDescent="0.25">
      <c r="A91" s="102">
        <f t="shared" si="10"/>
        <v>0</v>
      </c>
      <c r="B91" s="42" t="str">
        <f t="shared" si="6"/>
        <v/>
      </c>
      <c r="C91" s="43"/>
      <c r="D91" s="43"/>
      <c r="E91" s="43"/>
      <c r="F91" s="43"/>
      <c r="H91" s="185">
        <v>86</v>
      </c>
      <c r="I91" s="186" t="str">
        <f t="shared" si="7"/>
        <v/>
      </c>
      <c r="J91" s="185" t="e">
        <f t="shared" si="11"/>
        <v>#NUM!</v>
      </c>
      <c r="K91" s="185" t="e">
        <f t="shared" si="8"/>
        <v>#NUM!</v>
      </c>
      <c r="L91" s="185"/>
      <c r="M91" s="187">
        <f t="shared" si="9"/>
        <v>0</v>
      </c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</row>
    <row r="92" spans="1:38" s="170" customFormat="1" x14ac:dyDescent="0.25">
      <c r="A92" s="103">
        <f t="shared" si="10"/>
        <v>0</v>
      </c>
      <c r="B92" s="36" t="str">
        <f t="shared" si="6"/>
        <v/>
      </c>
      <c r="C92" s="37"/>
      <c r="D92" s="37"/>
      <c r="E92" s="37"/>
      <c r="F92" s="37"/>
      <c r="H92" s="182">
        <v>87</v>
      </c>
      <c r="I92" s="183" t="str">
        <f t="shared" si="7"/>
        <v/>
      </c>
      <c r="J92" s="182" t="e">
        <f t="shared" si="11"/>
        <v>#NUM!</v>
      </c>
      <c r="K92" s="182" t="e">
        <f t="shared" si="8"/>
        <v>#NUM!</v>
      </c>
      <c r="L92" s="182"/>
      <c r="M92" s="184">
        <f t="shared" si="9"/>
        <v>0</v>
      </c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</row>
    <row r="93" spans="1:38" s="170" customFormat="1" x14ac:dyDescent="0.25">
      <c r="A93" s="102">
        <f t="shared" si="10"/>
        <v>0</v>
      </c>
      <c r="B93" s="42" t="str">
        <f t="shared" si="6"/>
        <v/>
      </c>
      <c r="C93" s="43"/>
      <c r="D93" s="43"/>
      <c r="E93" s="43"/>
      <c r="F93" s="43"/>
      <c r="H93" s="185">
        <v>88</v>
      </c>
      <c r="I93" s="186" t="str">
        <f t="shared" si="7"/>
        <v/>
      </c>
      <c r="J93" s="185" t="e">
        <f t="shared" si="11"/>
        <v>#NUM!</v>
      </c>
      <c r="K93" s="185" t="e">
        <f t="shared" si="8"/>
        <v>#NUM!</v>
      </c>
      <c r="L93" s="185"/>
      <c r="M93" s="187">
        <f t="shared" si="9"/>
        <v>0</v>
      </c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</row>
    <row r="94" spans="1:38" s="170" customFormat="1" x14ac:dyDescent="0.25">
      <c r="A94" s="103">
        <f t="shared" si="10"/>
        <v>0</v>
      </c>
      <c r="B94" s="36" t="str">
        <f t="shared" si="6"/>
        <v/>
      </c>
      <c r="C94" s="37"/>
      <c r="D94" s="37"/>
      <c r="E94" s="37"/>
      <c r="F94" s="37"/>
      <c r="H94" s="182">
        <v>89</v>
      </c>
      <c r="I94" s="183" t="str">
        <f t="shared" si="7"/>
        <v/>
      </c>
      <c r="J94" s="182" t="e">
        <f t="shared" si="11"/>
        <v>#NUM!</v>
      </c>
      <c r="K94" s="182" t="e">
        <f t="shared" si="8"/>
        <v>#NUM!</v>
      </c>
      <c r="L94" s="182"/>
      <c r="M94" s="184">
        <f t="shared" si="9"/>
        <v>0</v>
      </c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</row>
    <row r="95" spans="1:38" s="170" customFormat="1" x14ac:dyDescent="0.25">
      <c r="A95" s="102">
        <f t="shared" si="10"/>
        <v>0</v>
      </c>
      <c r="B95" s="42" t="str">
        <f t="shared" si="6"/>
        <v/>
      </c>
      <c r="C95" s="43"/>
      <c r="D95" s="43"/>
      <c r="E95" s="43"/>
      <c r="F95" s="43"/>
      <c r="H95" s="185">
        <v>90</v>
      </c>
      <c r="I95" s="186" t="str">
        <f t="shared" si="7"/>
        <v/>
      </c>
      <c r="J95" s="185" t="e">
        <f t="shared" si="11"/>
        <v>#NUM!</v>
      </c>
      <c r="K95" s="185" t="e">
        <f t="shared" si="8"/>
        <v>#NUM!</v>
      </c>
      <c r="L95" s="185"/>
      <c r="M95" s="187">
        <f t="shared" si="9"/>
        <v>0</v>
      </c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</row>
    <row r="96" spans="1:38" s="170" customFormat="1" x14ac:dyDescent="0.25">
      <c r="A96" s="103">
        <f t="shared" si="10"/>
        <v>0</v>
      </c>
      <c r="B96" s="36" t="str">
        <f t="shared" si="6"/>
        <v/>
      </c>
      <c r="C96" s="37"/>
      <c r="D96" s="37"/>
      <c r="E96" s="37"/>
      <c r="F96" s="37"/>
      <c r="H96" s="182">
        <v>91</v>
      </c>
      <c r="I96" s="183" t="str">
        <f t="shared" si="7"/>
        <v/>
      </c>
      <c r="J96" s="182" t="e">
        <f t="shared" si="11"/>
        <v>#NUM!</v>
      </c>
      <c r="K96" s="182" t="e">
        <f t="shared" si="8"/>
        <v>#NUM!</v>
      </c>
      <c r="L96" s="182"/>
      <c r="M96" s="184">
        <f t="shared" si="9"/>
        <v>0</v>
      </c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</row>
    <row r="97" spans="1:38" s="170" customFormat="1" x14ac:dyDescent="0.25">
      <c r="A97" s="102">
        <f t="shared" si="10"/>
        <v>0</v>
      </c>
      <c r="B97" s="42" t="str">
        <f t="shared" si="6"/>
        <v/>
      </c>
      <c r="C97" s="43"/>
      <c r="D97" s="43"/>
      <c r="E97" s="43"/>
      <c r="F97" s="43"/>
      <c r="H97" s="185">
        <v>92</v>
      </c>
      <c r="I97" s="186" t="str">
        <f t="shared" si="7"/>
        <v/>
      </c>
      <c r="J97" s="185" t="e">
        <f t="shared" si="11"/>
        <v>#NUM!</v>
      </c>
      <c r="K97" s="185" t="e">
        <f t="shared" si="8"/>
        <v>#NUM!</v>
      </c>
      <c r="L97" s="185"/>
      <c r="M97" s="187">
        <f t="shared" si="9"/>
        <v>0</v>
      </c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</row>
    <row r="98" spans="1:38" s="170" customFormat="1" x14ac:dyDescent="0.25">
      <c r="A98" s="103">
        <f t="shared" si="10"/>
        <v>0</v>
      </c>
      <c r="B98" s="36" t="str">
        <f t="shared" si="6"/>
        <v/>
      </c>
      <c r="C98" s="37"/>
      <c r="D98" s="37"/>
      <c r="E98" s="37"/>
      <c r="F98" s="37"/>
      <c r="H98" s="182">
        <v>93</v>
      </c>
      <c r="I98" s="183" t="str">
        <f t="shared" si="7"/>
        <v/>
      </c>
      <c r="J98" s="182" t="e">
        <f t="shared" si="11"/>
        <v>#NUM!</v>
      </c>
      <c r="K98" s="182" t="e">
        <f t="shared" si="8"/>
        <v>#NUM!</v>
      </c>
      <c r="L98" s="182"/>
      <c r="M98" s="184">
        <f t="shared" si="9"/>
        <v>0</v>
      </c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</row>
    <row r="99" spans="1:38" s="170" customFormat="1" x14ac:dyDescent="0.25">
      <c r="A99" s="102">
        <f t="shared" si="10"/>
        <v>0</v>
      </c>
      <c r="B99" s="42" t="str">
        <f t="shared" si="6"/>
        <v/>
      </c>
      <c r="C99" s="43"/>
      <c r="D99" s="43"/>
      <c r="E99" s="43"/>
      <c r="F99" s="43"/>
      <c r="H99" s="185">
        <v>94</v>
      </c>
      <c r="I99" s="186" t="str">
        <f t="shared" si="7"/>
        <v/>
      </c>
      <c r="J99" s="185" t="e">
        <f t="shared" si="11"/>
        <v>#NUM!</v>
      </c>
      <c r="K99" s="185" t="e">
        <f t="shared" si="8"/>
        <v>#NUM!</v>
      </c>
      <c r="L99" s="185"/>
      <c r="M99" s="187">
        <f t="shared" si="9"/>
        <v>0</v>
      </c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</row>
    <row r="100" spans="1:38" s="170" customFormat="1" x14ac:dyDescent="0.25">
      <c r="A100" s="103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182">
        <v>95</v>
      </c>
      <c r="I100" s="183" t="str">
        <f t="shared" si="7"/>
        <v/>
      </c>
      <c r="J100" s="182" t="e">
        <f t="shared" si="11"/>
        <v>#NUM!</v>
      </c>
      <c r="K100" s="182" t="e">
        <f t="shared" si="8"/>
        <v>#NUM!</v>
      </c>
      <c r="L100" s="182"/>
      <c r="M100" s="184">
        <f t="shared" si="9"/>
        <v>0</v>
      </c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</row>
    <row r="101" spans="1:38" s="170" customFormat="1" x14ac:dyDescent="0.25">
      <c r="A101" s="102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185">
        <v>96</v>
      </c>
      <c r="I101" s="186" t="str">
        <f t="shared" si="7"/>
        <v/>
      </c>
      <c r="J101" s="185" t="e">
        <f t="shared" si="11"/>
        <v>#NUM!</v>
      </c>
      <c r="K101" s="185" t="e">
        <f t="shared" si="8"/>
        <v>#NUM!</v>
      </c>
      <c r="L101" s="185"/>
      <c r="M101" s="187">
        <f t="shared" si="9"/>
        <v>0</v>
      </c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</row>
    <row r="102" spans="1:38" s="170" customFormat="1" x14ac:dyDescent="0.25">
      <c r="A102" s="103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182">
        <v>97</v>
      </c>
      <c r="I102" s="183" t="str">
        <f t="shared" si="7"/>
        <v/>
      </c>
      <c r="J102" s="182" t="e">
        <f t="shared" si="11"/>
        <v>#NUM!</v>
      </c>
      <c r="K102" s="182" t="e">
        <f t="shared" si="8"/>
        <v>#NUM!</v>
      </c>
      <c r="L102" s="182"/>
      <c r="M102" s="184">
        <f t="shared" si="9"/>
        <v>0</v>
      </c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</row>
    <row r="103" spans="1:38" s="170" customFormat="1" x14ac:dyDescent="0.25">
      <c r="A103" s="102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185">
        <v>98</v>
      </c>
      <c r="I103" s="186" t="str">
        <f t="shared" si="7"/>
        <v/>
      </c>
      <c r="J103" s="185" t="e">
        <f t="shared" si="11"/>
        <v>#NUM!</v>
      </c>
      <c r="K103" s="185" t="e">
        <f t="shared" si="8"/>
        <v>#NUM!</v>
      </c>
      <c r="L103" s="185"/>
      <c r="M103" s="187">
        <f t="shared" si="9"/>
        <v>0</v>
      </c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</row>
    <row r="104" spans="1:38" s="170" customFormat="1" x14ac:dyDescent="0.25">
      <c r="A104" s="103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182">
        <v>99</v>
      </c>
      <c r="I104" s="183" t="str">
        <f t="shared" si="7"/>
        <v/>
      </c>
      <c r="J104" s="182" t="e">
        <f t="shared" si="11"/>
        <v>#NUM!</v>
      </c>
      <c r="K104" s="182" t="e">
        <f t="shared" si="8"/>
        <v>#NUM!</v>
      </c>
      <c r="L104" s="182"/>
      <c r="M104" s="184">
        <f t="shared" si="9"/>
        <v>0</v>
      </c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</row>
    <row r="105" spans="1:38" s="170" customFormat="1" x14ac:dyDescent="0.25">
      <c r="A105" s="102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185">
        <v>100</v>
      </c>
      <c r="I105" s="186" t="str">
        <f t="shared" si="7"/>
        <v/>
      </c>
      <c r="J105" s="185" t="e">
        <f t="shared" si="11"/>
        <v>#NUM!</v>
      </c>
      <c r="K105" s="185" t="e">
        <f t="shared" si="8"/>
        <v>#NUM!</v>
      </c>
      <c r="L105" s="185"/>
      <c r="M105" s="187">
        <f t="shared" si="9"/>
        <v>0</v>
      </c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</row>
    <row r="106" spans="1:38" s="170" customFormat="1" x14ac:dyDescent="0.25">
      <c r="A106" s="103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182">
        <v>101</v>
      </c>
      <c r="I106" s="183" t="str">
        <f t="shared" si="7"/>
        <v/>
      </c>
      <c r="J106" s="182" t="e">
        <f t="shared" si="11"/>
        <v>#NUM!</v>
      </c>
      <c r="K106" s="182" t="e">
        <f t="shared" si="8"/>
        <v>#NUM!</v>
      </c>
      <c r="L106" s="182"/>
      <c r="M106" s="184">
        <f t="shared" si="9"/>
        <v>0</v>
      </c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</row>
    <row r="107" spans="1:38" s="170" customFormat="1" x14ac:dyDescent="0.25">
      <c r="A107" s="102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185">
        <v>102</v>
      </c>
      <c r="I107" s="186" t="str">
        <f t="shared" si="7"/>
        <v/>
      </c>
      <c r="J107" s="185" t="e">
        <f t="shared" si="11"/>
        <v>#NUM!</v>
      </c>
      <c r="K107" s="185" t="e">
        <f t="shared" si="8"/>
        <v>#NUM!</v>
      </c>
      <c r="L107" s="185"/>
      <c r="M107" s="187">
        <f t="shared" si="9"/>
        <v>0</v>
      </c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</row>
    <row r="108" spans="1:38" s="170" customFormat="1" x14ac:dyDescent="0.25">
      <c r="A108" s="103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182">
        <v>103</v>
      </c>
      <c r="I108" s="183" t="str">
        <f t="shared" si="7"/>
        <v/>
      </c>
      <c r="J108" s="182" t="e">
        <f t="shared" si="11"/>
        <v>#NUM!</v>
      </c>
      <c r="K108" s="182" t="e">
        <f t="shared" si="8"/>
        <v>#NUM!</v>
      </c>
      <c r="L108" s="182"/>
      <c r="M108" s="184">
        <f t="shared" si="9"/>
        <v>0</v>
      </c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</row>
    <row r="109" spans="1:38" s="170" customFormat="1" x14ac:dyDescent="0.25">
      <c r="A109" s="102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185">
        <v>104</v>
      </c>
      <c r="I109" s="186" t="str">
        <f t="shared" si="7"/>
        <v/>
      </c>
      <c r="J109" s="185" t="e">
        <f t="shared" si="11"/>
        <v>#NUM!</v>
      </c>
      <c r="K109" s="185" t="e">
        <f t="shared" si="8"/>
        <v>#NUM!</v>
      </c>
      <c r="L109" s="185"/>
      <c r="M109" s="187">
        <f t="shared" si="9"/>
        <v>0</v>
      </c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</row>
    <row r="110" spans="1:38" s="170" customFormat="1" x14ac:dyDescent="0.25">
      <c r="A110" s="103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182">
        <v>105</v>
      </c>
      <c r="I110" s="183" t="str">
        <f t="shared" si="7"/>
        <v/>
      </c>
      <c r="J110" s="182" t="e">
        <f t="shared" si="11"/>
        <v>#NUM!</v>
      </c>
      <c r="K110" s="182" t="e">
        <f t="shared" si="8"/>
        <v>#NUM!</v>
      </c>
      <c r="L110" s="182"/>
      <c r="M110" s="184">
        <f t="shared" si="9"/>
        <v>0</v>
      </c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</row>
    <row r="111" spans="1:38" s="170" customFormat="1" x14ac:dyDescent="0.25">
      <c r="A111" s="102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185">
        <v>106</v>
      </c>
      <c r="I111" s="186" t="str">
        <f t="shared" si="7"/>
        <v/>
      </c>
      <c r="J111" s="185" t="e">
        <f t="shared" si="11"/>
        <v>#NUM!</v>
      </c>
      <c r="K111" s="185" t="e">
        <f t="shared" si="8"/>
        <v>#NUM!</v>
      </c>
      <c r="L111" s="185"/>
      <c r="M111" s="187">
        <f t="shared" si="9"/>
        <v>0</v>
      </c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</row>
    <row r="112" spans="1:38" s="170" customFormat="1" x14ac:dyDescent="0.25">
      <c r="A112" s="103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182">
        <v>107</v>
      </c>
      <c r="I112" s="183" t="str">
        <f t="shared" si="7"/>
        <v/>
      </c>
      <c r="J112" s="182" t="e">
        <f t="shared" si="11"/>
        <v>#NUM!</v>
      </c>
      <c r="K112" s="182" t="e">
        <f t="shared" si="8"/>
        <v>#NUM!</v>
      </c>
      <c r="L112" s="182"/>
      <c r="M112" s="184">
        <f t="shared" si="9"/>
        <v>0</v>
      </c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</row>
    <row r="113" spans="1:38" s="170" customFormat="1" x14ac:dyDescent="0.25">
      <c r="A113" s="102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185">
        <v>108</v>
      </c>
      <c r="I113" s="186" t="str">
        <f t="shared" si="7"/>
        <v/>
      </c>
      <c r="J113" s="185" t="e">
        <f t="shared" si="11"/>
        <v>#NUM!</v>
      </c>
      <c r="K113" s="185" t="e">
        <f t="shared" si="8"/>
        <v>#NUM!</v>
      </c>
      <c r="L113" s="185"/>
      <c r="M113" s="187">
        <f t="shared" si="9"/>
        <v>0</v>
      </c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</row>
    <row r="114" spans="1:38" s="170" customFormat="1" x14ac:dyDescent="0.25">
      <c r="A114" s="103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182">
        <v>109</v>
      </c>
      <c r="I114" s="183" t="str">
        <f t="shared" si="7"/>
        <v/>
      </c>
      <c r="J114" s="182" t="e">
        <f t="shared" si="11"/>
        <v>#NUM!</v>
      </c>
      <c r="K114" s="182" t="e">
        <f t="shared" si="8"/>
        <v>#NUM!</v>
      </c>
      <c r="L114" s="182"/>
      <c r="M114" s="184">
        <f t="shared" si="9"/>
        <v>0</v>
      </c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</row>
    <row r="115" spans="1:38" s="170" customFormat="1" x14ac:dyDescent="0.25">
      <c r="A115" s="102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185">
        <v>110</v>
      </c>
      <c r="I115" s="186" t="str">
        <f t="shared" si="7"/>
        <v/>
      </c>
      <c r="J115" s="185" t="e">
        <f t="shared" si="11"/>
        <v>#NUM!</v>
      </c>
      <c r="K115" s="185" t="e">
        <f t="shared" si="8"/>
        <v>#NUM!</v>
      </c>
      <c r="L115" s="185"/>
      <c r="M115" s="187">
        <f t="shared" si="9"/>
        <v>0</v>
      </c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</row>
    <row r="116" spans="1:38" s="170" customFormat="1" x14ac:dyDescent="0.25">
      <c r="A116" s="103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182">
        <v>111</v>
      </c>
      <c r="I116" s="183" t="str">
        <f t="shared" si="7"/>
        <v/>
      </c>
      <c r="J116" s="182" t="e">
        <f t="shared" si="11"/>
        <v>#NUM!</v>
      </c>
      <c r="K116" s="182" t="e">
        <f t="shared" si="8"/>
        <v>#NUM!</v>
      </c>
      <c r="L116" s="182"/>
      <c r="M116" s="184">
        <f t="shared" si="9"/>
        <v>0</v>
      </c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</row>
    <row r="117" spans="1:38" s="170" customFormat="1" x14ac:dyDescent="0.25">
      <c r="A117" s="102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185">
        <v>112</v>
      </c>
      <c r="I117" s="186" t="str">
        <f t="shared" si="7"/>
        <v/>
      </c>
      <c r="J117" s="185" t="e">
        <f t="shared" si="11"/>
        <v>#NUM!</v>
      </c>
      <c r="K117" s="185" t="e">
        <f t="shared" si="8"/>
        <v>#NUM!</v>
      </c>
      <c r="L117" s="185"/>
      <c r="M117" s="187">
        <f t="shared" si="9"/>
        <v>0</v>
      </c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</row>
    <row r="118" spans="1:38" s="170" customFormat="1" x14ac:dyDescent="0.25">
      <c r="A118" s="103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182">
        <v>113</v>
      </c>
      <c r="I118" s="183" t="str">
        <f t="shared" si="7"/>
        <v/>
      </c>
      <c r="J118" s="182" t="e">
        <f t="shared" si="11"/>
        <v>#NUM!</v>
      </c>
      <c r="K118" s="182" t="e">
        <f t="shared" si="8"/>
        <v>#NUM!</v>
      </c>
      <c r="L118" s="182"/>
      <c r="M118" s="184">
        <f t="shared" si="9"/>
        <v>0</v>
      </c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</row>
    <row r="119" spans="1:38" s="170" customFormat="1" x14ac:dyDescent="0.25">
      <c r="A119" s="102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185">
        <v>114</v>
      </c>
      <c r="I119" s="186" t="str">
        <f t="shared" si="7"/>
        <v/>
      </c>
      <c r="J119" s="185" t="e">
        <f t="shared" si="11"/>
        <v>#NUM!</v>
      </c>
      <c r="K119" s="185" t="e">
        <f t="shared" si="8"/>
        <v>#NUM!</v>
      </c>
      <c r="L119" s="185"/>
      <c r="M119" s="187">
        <f t="shared" si="9"/>
        <v>0</v>
      </c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</row>
    <row r="120" spans="1:38" s="170" customFormat="1" x14ac:dyDescent="0.25">
      <c r="A120" s="103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182">
        <v>115</v>
      </c>
      <c r="I120" s="183" t="str">
        <f t="shared" si="7"/>
        <v/>
      </c>
      <c r="J120" s="182" t="e">
        <f t="shared" si="11"/>
        <v>#NUM!</v>
      </c>
      <c r="K120" s="182" t="e">
        <f t="shared" si="8"/>
        <v>#NUM!</v>
      </c>
      <c r="L120" s="182"/>
      <c r="M120" s="184">
        <f t="shared" si="9"/>
        <v>0</v>
      </c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</row>
    <row r="121" spans="1:38" s="170" customFormat="1" x14ac:dyDescent="0.25">
      <c r="A121" s="102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185">
        <v>116</v>
      </c>
      <c r="I121" s="186" t="str">
        <f t="shared" si="7"/>
        <v/>
      </c>
      <c r="J121" s="185" t="e">
        <f t="shared" si="11"/>
        <v>#NUM!</v>
      </c>
      <c r="K121" s="185" t="e">
        <f t="shared" si="8"/>
        <v>#NUM!</v>
      </c>
      <c r="L121" s="185"/>
      <c r="M121" s="187">
        <f t="shared" si="9"/>
        <v>0</v>
      </c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</row>
    <row r="122" spans="1:38" s="170" customFormat="1" x14ac:dyDescent="0.25">
      <c r="A122" s="103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182">
        <v>117</v>
      </c>
      <c r="I122" s="183" t="str">
        <f t="shared" si="7"/>
        <v/>
      </c>
      <c r="J122" s="182" t="e">
        <f t="shared" si="11"/>
        <v>#NUM!</v>
      </c>
      <c r="K122" s="182" t="e">
        <f t="shared" si="8"/>
        <v>#NUM!</v>
      </c>
      <c r="L122" s="182"/>
      <c r="M122" s="184">
        <f t="shared" si="9"/>
        <v>0</v>
      </c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</row>
    <row r="123" spans="1:38" s="170" customFormat="1" x14ac:dyDescent="0.25">
      <c r="A123" s="102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185">
        <v>118</v>
      </c>
      <c r="I123" s="186" t="str">
        <f t="shared" si="7"/>
        <v/>
      </c>
      <c r="J123" s="185" t="e">
        <f t="shared" si="11"/>
        <v>#NUM!</v>
      </c>
      <c r="K123" s="185" t="e">
        <f t="shared" si="8"/>
        <v>#NUM!</v>
      </c>
      <c r="L123" s="185"/>
      <c r="M123" s="187">
        <f t="shared" si="9"/>
        <v>0</v>
      </c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</row>
    <row r="124" spans="1:38" s="170" customFormat="1" x14ac:dyDescent="0.25">
      <c r="A124" s="103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182">
        <v>119</v>
      </c>
      <c r="I124" s="183" t="str">
        <f t="shared" si="7"/>
        <v/>
      </c>
      <c r="J124" s="182" t="e">
        <f t="shared" si="11"/>
        <v>#NUM!</v>
      </c>
      <c r="K124" s="182" t="e">
        <f t="shared" si="8"/>
        <v>#NUM!</v>
      </c>
      <c r="L124" s="182"/>
      <c r="M124" s="184">
        <f t="shared" si="9"/>
        <v>0</v>
      </c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</row>
    <row r="125" spans="1:38" s="170" customFormat="1" x14ac:dyDescent="0.25">
      <c r="A125" s="102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185">
        <v>120</v>
      </c>
      <c r="I125" s="186" t="str">
        <f t="shared" si="7"/>
        <v/>
      </c>
      <c r="J125" s="185" t="e">
        <f t="shared" si="11"/>
        <v>#NUM!</v>
      </c>
      <c r="K125" s="185" t="e">
        <f t="shared" si="8"/>
        <v>#NUM!</v>
      </c>
      <c r="L125" s="185"/>
      <c r="M125" s="187">
        <f t="shared" si="9"/>
        <v>0</v>
      </c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</row>
    <row r="126" spans="1:38" s="170" customFormat="1" x14ac:dyDescent="0.25">
      <c r="A126" s="103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182">
        <v>121</v>
      </c>
      <c r="I126" s="183" t="str">
        <f t="shared" si="7"/>
        <v/>
      </c>
      <c r="J126" s="182" t="e">
        <f t="shared" si="11"/>
        <v>#NUM!</v>
      </c>
      <c r="K126" s="182" t="e">
        <f t="shared" si="8"/>
        <v>#NUM!</v>
      </c>
      <c r="L126" s="182"/>
      <c r="M126" s="184">
        <f t="shared" si="9"/>
        <v>0</v>
      </c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</row>
    <row r="127" spans="1:38" s="170" customFormat="1" x14ac:dyDescent="0.25">
      <c r="A127" s="102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185">
        <v>122</v>
      </c>
      <c r="I127" s="186" t="str">
        <f t="shared" si="7"/>
        <v/>
      </c>
      <c r="J127" s="185" t="e">
        <f t="shared" si="11"/>
        <v>#NUM!</v>
      </c>
      <c r="K127" s="185" t="e">
        <f t="shared" si="8"/>
        <v>#NUM!</v>
      </c>
      <c r="L127" s="185"/>
      <c r="M127" s="187">
        <f t="shared" si="9"/>
        <v>0</v>
      </c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</row>
    <row r="128" spans="1:38" s="170" customFormat="1" x14ac:dyDescent="0.25">
      <c r="A128" s="103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182">
        <v>123</v>
      </c>
      <c r="I128" s="183" t="str">
        <f t="shared" si="7"/>
        <v/>
      </c>
      <c r="J128" s="182" t="e">
        <f t="shared" si="11"/>
        <v>#NUM!</v>
      </c>
      <c r="K128" s="182" t="e">
        <f t="shared" si="8"/>
        <v>#NUM!</v>
      </c>
      <c r="L128" s="182"/>
      <c r="M128" s="184">
        <f t="shared" si="9"/>
        <v>0</v>
      </c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</row>
    <row r="129" spans="1:38" s="170" customFormat="1" x14ac:dyDescent="0.25">
      <c r="A129" s="102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185">
        <v>124</v>
      </c>
      <c r="I129" s="186" t="str">
        <f t="shared" si="7"/>
        <v/>
      </c>
      <c r="J129" s="185" t="e">
        <f t="shared" si="11"/>
        <v>#NUM!</v>
      </c>
      <c r="K129" s="185" t="e">
        <f t="shared" si="8"/>
        <v>#NUM!</v>
      </c>
      <c r="L129" s="185"/>
      <c r="M129" s="187">
        <f t="shared" si="9"/>
        <v>0</v>
      </c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</row>
    <row r="130" spans="1:38" s="170" customFormat="1" x14ac:dyDescent="0.25">
      <c r="A130" s="103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182">
        <v>125</v>
      </c>
      <c r="I130" s="183" t="str">
        <f t="shared" si="7"/>
        <v/>
      </c>
      <c r="J130" s="182" t="e">
        <f t="shared" si="11"/>
        <v>#NUM!</v>
      </c>
      <c r="K130" s="182" t="e">
        <f t="shared" si="8"/>
        <v>#NUM!</v>
      </c>
      <c r="L130" s="182"/>
      <c r="M130" s="184">
        <f t="shared" si="9"/>
        <v>0</v>
      </c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</row>
    <row r="131" spans="1:38" s="170" customFormat="1" x14ac:dyDescent="0.25">
      <c r="A131" s="102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185">
        <v>126</v>
      </c>
      <c r="I131" s="186" t="str">
        <f t="shared" si="7"/>
        <v/>
      </c>
      <c r="J131" s="185" t="e">
        <f t="shared" si="11"/>
        <v>#NUM!</v>
      </c>
      <c r="K131" s="185" t="e">
        <f t="shared" si="8"/>
        <v>#NUM!</v>
      </c>
      <c r="L131" s="185"/>
      <c r="M131" s="187">
        <f t="shared" si="9"/>
        <v>0</v>
      </c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</row>
    <row r="132" spans="1:38" s="170" customFormat="1" x14ac:dyDescent="0.25">
      <c r="A132" s="103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182">
        <v>127</v>
      </c>
      <c r="I132" s="183" t="str">
        <f t="shared" si="7"/>
        <v/>
      </c>
      <c r="J132" s="182" t="e">
        <f t="shared" si="11"/>
        <v>#NUM!</v>
      </c>
      <c r="K132" s="182" t="e">
        <f t="shared" si="8"/>
        <v>#NUM!</v>
      </c>
      <c r="L132" s="182"/>
      <c r="M132" s="184">
        <f t="shared" si="9"/>
        <v>0</v>
      </c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</row>
    <row r="133" spans="1:38" s="170" customFormat="1" x14ac:dyDescent="0.25">
      <c r="A133" s="102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185">
        <v>128</v>
      </c>
      <c r="I133" s="186" t="str">
        <f t="shared" si="7"/>
        <v/>
      </c>
      <c r="J133" s="185" t="e">
        <f t="shared" si="11"/>
        <v>#NUM!</v>
      </c>
      <c r="K133" s="185" t="e">
        <f t="shared" si="8"/>
        <v>#NUM!</v>
      </c>
      <c r="L133" s="185"/>
      <c r="M133" s="187">
        <f t="shared" si="9"/>
        <v>0</v>
      </c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</row>
    <row r="134" spans="1:38" s="170" customFormat="1" x14ac:dyDescent="0.25">
      <c r="A134" s="103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182">
        <v>129</v>
      </c>
      <c r="I134" s="183" t="str">
        <f t="shared" ref="I134:I197" si="13">IF(H134&lt;$H$2+1,($I$2-($I$2-1)*(LOG(H134)/LOG($H$2))),"")</f>
        <v/>
      </c>
      <c r="J134" s="182" t="e">
        <f t="shared" si="11"/>
        <v>#NUM!</v>
      </c>
      <c r="K134" s="182" t="e">
        <f t="shared" ref="K134:K197" si="14">J134*$J$2</f>
        <v>#NUM!</v>
      </c>
      <c r="L134" s="182"/>
      <c r="M134" s="184">
        <f t="shared" ref="M134:M197" si="15">IF(I134&lt;&gt;"",K134+I134+L134,0)</f>
        <v>0</v>
      </c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</row>
    <row r="135" spans="1:38" s="170" customFormat="1" x14ac:dyDescent="0.25">
      <c r="A135" s="102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185">
        <v>130</v>
      </c>
      <c r="I135" s="186" t="str">
        <f t="shared" si="13"/>
        <v/>
      </c>
      <c r="J135" s="185" t="e">
        <f t="shared" ref="J135:J198" si="17">INT(LOG($H$2,2))-ROUNDUP(LOG(H135,2),0)+IF(OR($H$2=1,$H$2=2,$H$2=4,$H$2=8,$H$2=16,$H$2=32,$H$2=64,$H$2=128,$H$2=256),0,1)</f>
        <v>#NUM!</v>
      </c>
      <c r="K135" s="185" t="e">
        <f t="shared" si="14"/>
        <v>#NUM!</v>
      </c>
      <c r="L135" s="185"/>
      <c r="M135" s="187">
        <f t="shared" si="15"/>
        <v>0</v>
      </c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</row>
    <row r="136" spans="1:38" s="170" customFormat="1" x14ac:dyDescent="0.25">
      <c r="A136" s="103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182">
        <v>131</v>
      </c>
      <c r="I136" s="183" t="str">
        <f t="shared" si="13"/>
        <v/>
      </c>
      <c r="J136" s="182" t="e">
        <f t="shared" si="17"/>
        <v>#NUM!</v>
      </c>
      <c r="K136" s="182" t="e">
        <f t="shared" si="14"/>
        <v>#NUM!</v>
      </c>
      <c r="L136" s="182"/>
      <c r="M136" s="184">
        <f t="shared" si="15"/>
        <v>0</v>
      </c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</row>
    <row r="137" spans="1:38" s="170" customFormat="1" x14ac:dyDescent="0.25">
      <c r="A137" s="102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185">
        <v>132</v>
      </c>
      <c r="I137" s="186" t="str">
        <f t="shared" si="13"/>
        <v/>
      </c>
      <c r="J137" s="185" t="e">
        <f t="shared" si="17"/>
        <v>#NUM!</v>
      </c>
      <c r="K137" s="185" t="e">
        <f t="shared" si="14"/>
        <v>#NUM!</v>
      </c>
      <c r="L137" s="185"/>
      <c r="M137" s="187">
        <f t="shared" si="15"/>
        <v>0</v>
      </c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</row>
    <row r="138" spans="1:38" s="170" customFormat="1" x14ac:dyDescent="0.25">
      <c r="A138" s="103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182">
        <v>133</v>
      </c>
      <c r="I138" s="183" t="str">
        <f t="shared" si="13"/>
        <v/>
      </c>
      <c r="J138" s="182" t="e">
        <f t="shared" si="17"/>
        <v>#NUM!</v>
      </c>
      <c r="K138" s="182" t="e">
        <f t="shared" si="14"/>
        <v>#NUM!</v>
      </c>
      <c r="L138" s="182"/>
      <c r="M138" s="184">
        <f t="shared" si="15"/>
        <v>0</v>
      </c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</row>
    <row r="139" spans="1:38" s="170" customFormat="1" x14ac:dyDescent="0.25">
      <c r="A139" s="102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185">
        <v>134</v>
      </c>
      <c r="I139" s="186" t="str">
        <f t="shared" si="13"/>
        <v/>
      </c>
      <c r="J139" s="185" t="e">
        <f t="shared" si="17"/>
        <v>#NUM!</v>
      </c>
      <c r="K139" s="185" t="e">
        <f t="shared" si="14"/>
        <v>#NUM!</v>
      </c>
      <c r="L139" s="185"/>
      <c r="M139" s="187">
        <f t="shared" si="15"/>
        <v>0</v>
      </c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</row>
    <row r="140" spans="1:38" s="170" customFormat="1" x14ac:dyDescent="0.25">
      <c r="A140" s="103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182">
        <v>135</v>
      </c>
      <c r="I140" s="183" t="str">
        <f t="shared" si="13"/>
        <v/>
      </c>
      <c r="J140" s="182" t="e">
        <f t="shared" si="17"/>
        <v>#NUM!</v>
      </c>
      <c r="K140" s="182" t="e">
        <f t="shared" si="14"/>
        <v>#NUM!</v>
      </c>
      <c r="L140" s="182"/>
      <c r="M140" s="184">
        <f t="shared" si="15"/>
        <v>0</v>
      </c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</row>
    <row r="141" spans="1:38" x14ac:dyDescent="0.25">
      <c r="A141" s="199"/>
      <c r="G141" s="170"/>
      <c r="H141" s="185">
        <v>136</v>
      </c>
      <c r="I141" s="183" t="str">
        <f t="shared" si="13"/>
        <v/>
      </c>
      <c r="J141" s="182" t="e">
        <f t="shared" si="17"/>
        <v>#NUM!</v>
      </c>
      <c r="K141" s="182" t="e">
        <f t="shared" si="14"/>
        <v>#NUM!</v>
      </c>
      <c r="L141" s="182"/>
      <c r="M141" s="184">
        <f t="shared" si="15"/>
        <v>0</v>
      </c>
    </row>
    <row r="142" spans="1:38" x14ac:dyDescent="0.25">
      <c r="A142" s="199"/>
      <c r="G142" s="170"/>
      <c r="H142" s="182">
        <v>137</v>
      </c>
      <c r="I142" s="183" t="str">
        <f t="shared" si="13"/>
        <v/>
      </c>
      <c r="J142" s="182" t="e">
        <f t="shared" si="17"/>
        <v>#NUM!</v>
      </c>
      <c r="K142" s="182" t="e">
        <f t="shared" si="14"/>
        <v>#NUM!</v>
      </c>
      <c r="L142" s="182"/>
      <c r="M142" s="184">
        <f t="shared" si="15"/>
        <v>0</v>
      </c>
    </row>
    <row r="143" spans="1:38" x14ac:dyDescent="0.25">
      <c r="A143" s="199"/>
      <c r="G143" s="170"/>
      <c r="H143" s="185">
        <v>138</v>
      </c>
      <c r="I143" s="183" t="str">
        <f t="shared" si="13"/>
        <v/>
      </c>
      <c r="J143" s="182" t="e">
        <f t="shared" si="17"/>
        <v>#NUM!</v>
      </c>
      <c r="K143" s="182" t="e">
        <f t="shared" si="14"/>
        <v>#NUM!</v>
      </c>
      <c r="L143" s="182"/>
      <c r="M143" s="184">
        <f t="shared" si="15"/>
        <v>0</v>
      </c>
    </row>
    <row r="144" spans="1:38" x14ac:dyDescent="0.25">
      <c r="A144" s="199"/>
      <c r="G144" s="170"/>
      <c r="H144" s="182">
        <v>139</v>
      </c>
      <c r="I144" s="183" t="str">
        <f t="shared" si="13"/>
        <v/>
      </c>
      <c r="J144" s="182" t="e">
        <f t="shared" si="17"/>
        <v>#NUM!</v>
      </c>
      <c r="K144" s="182" t="e">
        <f t="shared" si="14"/>
        <v>#NUM!</v>
      </c>
      <c r="L144" s="182"/>
      <c r="M144" s="184">
        <f t="shared" si="15"/>
        <v>0</v>
      </c>
    </row>
    <row r="145" spans="1:13" x14ac:dyDescent="0.25">
      <c r="A145" s="199"/>
      <c r="G145" s="170"/>
      <c r="H145" s="185">
        <v>140</v>
      </c>
      <c r="I145" s="183" t="str">
        <f t="shared" si="13"/>
        <v/>
      </c>
      <c r="J145" s="182" t="e">
        <f t="shared" si="17"/>
        <v>#NUM!</v>
      </c>
      <c r="K145" s="182" t="e">
        <f t="shared" si="14"/>
        <v>#NUM!</v>
      </c>
      <c r="L145" s="182"/>
      <c r="M145" s="184">
        <f t="shared" si="15"/>
        <v>0</v>
      </c>
    </row>
    <row r="146" spans="1:13" x14ac:dyDescent="0.25">
      <c r="A146" s="199"/>
      <c r="G146" s="170"/>
      <c r="H146" s="182">
        <v>141</v>
      </c>
      <c r="I146" s="183" t="str">
        <f t="shared" si="13"/>
        <v/>
      </c>
      <c r="J146" s="182" t="e">
        <f t="shared" si="17"/>
        <v>#NUM!</v>
      </c>
      <c r="K146" s="182" t="e">
        <f t="shared" si="14"/>
        <v>#NUM!</v>
      </c>
      <c r="L146" s="182"/>
      <c r="M146" s="184">
        <f t="shared" si="15"/>
        <v>0</v>
      </c>
    </row>
    <row r="147" spans="1:13" x14ac:dyDescent="0.25">
      <c r="A147" s="199"/>
      <c r="G147" s="170"/>
      <c r="H147" s="185">
        <v>142</v>
      </c>
      <c r="I147" s="183" t="str">
        <f t="shared" si="13"/>
        <v/>
      </c>
      <c r="J147" s="182" t="e">
        <f t="shared" si="17"/>
        <v>#NUM!</v>
      </c>
      <c r="K147" s="182" t="e">
        <f t="shared" si="14"/>
        <v>#NUM!</v>
      </c>
      <c r="L147" s="182"/>
      <c r="M147" s="184">
        <f t="shared" si="15"/>
        <v>0</v>
      </c>
    </row>
    <row r="148" spans="1:13" x14ac:dyDescent="0.25">
      <c r="A148" s="199"/>
      <c r="G148" s="170"/>
      <c r="H148" s="182">
        <v>143</v>
      </c>
      <c r="I148" s="183" t="str">
        <f t="shared" si="13"/>
        <v/>
      </c>
      <c r="J148" s="182" t="e">
        <f t="shared" si="17"/>
        <v>#NUM!</v>
      </c>
      <c r="K148" s="182" t="e">
        <f t="shared" si="14"/>
        <v>#NUM!</v>
      </c>
      <c r="L148" s="182"/>
      <c r="M148" s="184">
        <f t="shared" si="15"/>
        <v>0</v>
      </c>
    </row>
    <row r="149" spans="1:13" x14ac:dyDescent="0.25">
      <c r="A149" s="199"/>
      <c r="G149" s="170"/>
      <c r="H149" s="185">
        <v>144</v>
      </c>
      <c r="I149" s="183" t="str">
        <f t="shared" si="13"/>
        <v/>
      </c>
      <c r="J149" s="182" t="e">
        <f t="shared" si="17"/>
        <v>#NUM!</v>
      </c>
      <c r="K149" s="182" t="e">
        <f t="shared" si="14"/>
        <v>#NUM!</v>
      </c>
      <c r="L149" s="182"/>
      <c r="M149" s="184">
        <f t="shared" si="15"/>
        <v>0</v>
      </c>
    </row>
    <row r="150" spans="1:13" x14ac:dyDescent="0.25">
      <c r="A150" s="199"/>
      <c r="G150" s="170"/>
      <c r="H150" s="182">
        <v>145</v>
      </c>
      <c r="I150" s="183" t="str">
        <f t="shared" si="13"/>
        <v/>
      </c>
      <c r="J150" s="182" t="e">
        <f t="shared" si="17"/>
        <v>#NUM!</v>
      </c>
      <c r="K150" s="182" t="e">
        <f t="shared" si="14"/>
        <v>#NUM!</v>
      </c>
      <c r="L150" s="182"/>
      <c r="M150" s="184">
        <f t="shared" si="15"/>
        <v>0</v>
      </c>
    </row>
    <row r="151" spans="1:13" x14ac:dyDescent="0.25">
      <c r="A151" s="199"/>
      <c r="G151" s="170"/>
      <c r="H151" s="185">
        <v>146</v>
      </c>
      <c r="I151" s="183" t="str">
        <f t="shared" si="13"/>
        <v/>
      </c>
      <c r="J151" s="182" t="e">
        <f t="shared" si="17"/>
        <v>#NUM!</v>
      </c>
      <c r="K151" s="182" t="e">
        <f t="shared" si="14"/>
        <v>#NUM!</v>
      </c>
      <c r="L151" s="182"/>
      <c r="M151" s="184">
        <f t="shared" si="15"/>
        <v>0</v>
      </c>
    </row>
    <row r="152" spans="1:13" x14ac:dyDescent="0.25">
      <c r="A152" s="199"/>
      <c r="G152" s="170"/>
      <c r="H152" s="182">
        <v>147</v>
      </c>
      <c r="I152" s="183" t="str">
        <f t="shared" si="13"/>
        <v/>
      </c>
      <c r="J152" s="182" t="e">
        <f t="shared" si="17"/>
        <v>#NUM!</v>
      </c>
      <c r="K152" s="182" t="e">
        <f t="shared" si="14"/>
        <v>#NUM!</v>
      </c>
      <c r="L152" s="182"/>
      <c r="M152" s="184">
        <f t="shared" si="15"/>
        <v>0</v>
      </c>
    </row>
    <row r="153" spans="1:13" x14ac:dyDescent="0.25">
      <c r="A153" s="199"/>
      <c r="G153" s="170"/>
      <c r="H153" s="185">
        <v>148</v>
      </c>
      <c r="I153" s="183" t="str">
        <f t="shared" si="13"/>
        <v/>
      </c>
      <c r="J153" s="182" t="e">
        <f t="shared" si="17"/>
        <v>#NUM!</v>
      </c>
      <c r="K153" s="182" t="e">
        <f t="shared" si="14"/>
        <v>#NUM!</v>
      </c>
      <c r="L153" s="182"/>
      <c r="M153" s="184">
        <f t="shared" si="15"/>
        <v>0</v>
      </c>
    </row>
    <row r="154" spans="1:13" x14ac:dyDescent="0.25">
      <c r="A154" s="199"/>
      <c r="G154" s="170"/>
      <c r="H154" s="182">
        <v>149</v>
      </c>
      <c r="I154" s="183" t="str">
        <f t="shared" si="13"/>
        <v/>
      </c>
      <c r="J154" s="182" t="e">
        <f t="shared" si="17"/>
        <v>#NUM!</v>
      </c>
      <c r="K154" s="182" t="e">
        <f t="shared" si="14"/>
        <v>#NUM!</v>
      </c>
      <c r="L154" s="182"/>
      <c r="M154" s="184">
        <f t="shared" si="15"/>
        <v>0</v>
      </c>
    </row>
    <row r="155" spans="1:13" x14ac:dyDescent="0.25">
      <c r="A155" s="199"/>
      <c r="G155" s="170"/>
      <c r="H155" s="185">
        <v>150</v>
      </c>
      <c r="I155" s="183" t="str">
        <f t="shared" si="13"/>
        <v/>
      </c>
      <c r="J155" s="182" t="e">
        <f t="shared" si="17"/>
        <v>#NUM!</v>
      </c>
      <c r="K155" s="182" t="e">
        <f t="shared" si="14"/>
        <v>#NUM!</v>
      </c>
      <c r="L155" s="182"/>
      <c r="M155" s="184">
        <f t="shared" si="15"/>
        <v>0</v>
      </c>
    </row>
    <row r="156" spans="1:13" x14ac:dyDescent="0.25">
      <c r="A156" s="199"/>
      <c r="G156" s="170"/>
      <c r="H156" s="182">
        <v>151</v>
      </c>
      <c r="I156" s="183" t="str">
        <f t="shared" si="13"/>
        <v/>
      </c>
      <c r="J156" s="182" t="e">
        <f t="shared" si="17"/>
        <v>#NUM!</v>
      </c>
      <c r="K156" s="182" t="e">
        <f t="shared" si="14"/>
        <v>#NUM!</v>
      </c>
      <c r="L156" s="182"/>
      <c r="M156" s="184">
        <f t="shared" si="15"/>
        <v>0</v>
      </c>
    </row>
    <row r="157" spans="1:13" x14ac:dyDescent="0.25">
      <c r="A157" s="199"/>
      <c r="G157" s="170"/>
      <c r="H157" s="185">
        <v>152</v>
      </c>
      <c r="I157" s="183" t="str">
        <f t="shared" si="13"/>
        <v/>
      </c>
      <c r="J157" s="182" t="e">
        <f t="shared" si="17"/>
        <v>#NUM!</v>
      </c>
      <c r="K157" s="182" t="e">
        <f t="shared" si="14"/>
        <v>#NUM!</v>
      </c>
      <c r="L157" s="182"/>
      <c r="M157" s="184">
        <f t="shared" si="15"/>
        <v>0</v>
      </c>
    </row>
    <row r="158" spans="1:13" x14ac:dyDescent="0.25">
      <c r="A158" s="199"/>
      <c r="G158" s="170"/>
      <c r="H158" s="182">
        <v>153</v>
      </c>
      <c r="I158" s="183" t="str">
        <f t="shared" si="13"/>
        <v/>
      </c>
      <c r="J158" s="182" t="e">
        <f t="shared" si="17"/>
        <v>#NUM!</v>
      </c>
      <c r="K158" s="182" t="e">
        <f t="shared" si="14"/>
        <v>#NUM!</v>
      </c>
      <c r="L158" s="182"/>
      <c r="M158" s="184">
        <f t="shared" si="15"/>
        <v>0</v>
      </c>
    </row>
    <row r="159" spans="1:13" x14ac:dyDescent="0.25">
      <c r="A159" s="199"/>
      <c r="G159" s="170"/>
      <c r="H159" s="185">
        <v>154</v>
      </c>
      <c r="I159" s="183" t="str">
        <f t="shared" si="13"/>
        <v/>
      </c>
      <c r="J159" s="182" t="e">
        <f t="shared" si="17"/>
        <v>#NUM!</v>
      </c>
      <c r="K159" s="182" t="e">
        <f t="shared" si="14"/>
        <v>#NUM!</v>
      </c>
      <c r="L159" s="182"/>
      <c r="M159" s="184">
        <f t="shared" si="15"/>
        <v>0</v>
      </c>
    </row>
    <row r="160" spans="1:13" x14ac:dyDescent="0.25">
      <c r="A160" s="199"/>
      <c r="G160" s="170"/>
      <c r="H160" s="182">
        <v>155</v>
      </c>
      <c r="I160" s="183" t="str">
        <f t="shared" si="13"/>
        <v/>
      </c>
      <c r="J160" s="182" t="e">
        <f t="shared" si="17"/>
        <v>#NUM!</v>
      </c>
      <c r="K160" s="182" t="e">
        <f t="shared" si="14"/>
        <v>#NUM!</v>
      </c>
      <c r="L160" s="182"/>
      <c r="M160" s="184">
        <f t="shared" si="15"/>
        <v>0</v>
      </c>
    </row>
    <row r="161" spans="1:13" x14ac:dyDescent="0.25">
      <c r="A161" s="199"/>
      <c r="G161" s="170"/>
      <c r="H161" s="185">
        <v>156</v>
      </c>
      <c r="I161" s="183" t="str">
        <f t="shared" si="13"/>
        <v/>
      </c>
      <c r="J161" s="182" t="e">
        <f t="shared" si="17"/>
        <v>#NUM!</v>
      </c>
      <c r="K161" s="182" t="e">
        <f t="shared" si="14"/>
        <v>#NUM!</v>
      </c>
      <c r="L161" s="182"/>
      <c r="M161" s="184">
        <f t="shared" si="15"/>
        <v>0</v>
      </c>
    </row>
    <row r="162" spans="1:13" x14ac:dyDescent="0.25">
      <c r="A162" s="199"/>
      <c r="G162" s="170"/>
      <c r="H162" s="182">
        <v>157</v>
      </c>
      <c r="I162" s="183" t="str">
        <f t="shared" si="13"/>
        <v/>
      </c>
      <c r="J162" s="182" t="e">
        <f t="shared" si="17"/>
        <v>#NUM!</v>
      </c>
      <c r="K162" s="182" t="e">
        <f t="shared" si="14"/>
        <v>#NUM!</v>
      </c>
      <c r="L162" s="182"/>
      <c r="M162" s="184">
        <f t="shared" si="15"/>
        <v>0</v>
      </c>
    </row>
    <row r="163" spans="1:13" x14ac:dyDescent="0.25">
      <c r="A163" s="199"/>
      <c r="G163" s="170"/>
      <c r="H163" s="185">
        <v>158</v>
      </c>
      <c r="I163" s="183" t="str">
        <f t="shared" si="13"/>
        <v/>
      </c>
      <c r="J163" s="182" t="e">
        <f t="shared" si="17"/>
        <v>#NUM!</v>
      </c>
      <c r="K163" s="182" t="e">
        <f t="shared" si="14"/>
        <v>#NUM!</v>
      </c>
      <c r="L163" s="182"/>
      <c r="M163" s="184">
        <f t="shared" si="15"/>
        <v>0</v>
      </c>
    </row>
    <row r="164" spans="1:13" x14ac:dyDescent="0.25">
      <c r="A164" s="199"/>
      <c r="G164" s="170"/>
      <c r="H164" s="182">
        <v>159</v>
      </c>
      <c r="I164" s="183" t="str">
        <f t="shared" si="13"/>
        <v/>
      </c>
      <c r="J164" s="182" t="e">
        <f t="shared" si="17"/>
        <v>#NUM!</v>
      </c>
      <c r="K164" s="182" t="e">
        <f t="shared" si="14"/>
        <v>#NUM!</v>
      </c>
      <c r="L164" s="182"/>
      <c r="M164" s="184">
        <f t="shared" si="15"/>
        <v>0</v>
      </c>
    </row>
    <row r="165" spans="1:13" x14ac:dyDescent="0.25">
      <c r="A165" s="199"/>
      <c r="G165" s="170"/>
      <c r="H165" s="185">
        <v>160</v>
      </c>
      <c r="I165" s="183" t="str">
        <f t="shared" si="13"/>
        <v/>
      </c>
      <c r="J165" s="182" t="e">
        <f t="shared" si="17"/>
        <v>#NUM!</v>
      </c>
      <c r="K165" s="182" t="e">
        <f t="shared" si="14"/>
        <v>#NUM!</v>
      </c>
      <c r="L165" s="182"/>
      <c r="M165" s="184">
        <f t="shared" si="15"/>
        <v>0</v>
      </c>
    </row>
    <row r="166" spans="1:13" x14ac:dyDescent="0.25">
      <c r="A166" s="199"/>
      <c r="G166" s="170"/>
      <c r="H166" s="182">
        <v>161</v>
      </c>
      <c r="I166" s="183" t="str">
        <f t="shared" si="13"/>
        <v/>
      </c>
      <c r="J166" s="182" t="e">
        <f t="shared" si="17"/>
        <v>#NUM!</v>
      </c>
      <c r="K166" s="182" t="e">
        <f t="shared" si="14"/>
        <v>#NUM!</v>
      </c>
      <c r="L166" s="182"/>
      <c r="M166" s="184">
        <f t="shared" si="15"/>
        <v>0</v>
      </c>
    </row>
    <row r="167" spans="1:13" x14ac:dyDescent="0.25">
      <c r="A167" s="199"/>
      <c r="G167" s="170"/>
      <c r="H167" s="185">
        <v>162</v>
      </c>
      <c r="I167" s="183" t="str">
        <f t="shared" si="13"/>
        <v/>
      </c>
      <c r="J167" s="182" t="e">
        <f t="shared" si="17"/>
        <v>#NUM!</v>
      </c>
      <c r="K167" s="182" t="e">
        <f t="shared" si="14"/>
        <v>#NUM!</v>
      </c>
      <c r="L167" s="182"/>
      <c r="M167" s="184">
        <f t="shared" si="15"/>
        <v>0</v>
      </c>
    </row>
    <row r="168" spans="1:13" x14ac:dyDescent="0.25">
      <c r="A168" s="199"/>
      <c r="G168" s="170"/>
      <c r="H168" s="182">
        <v>163</v>
      </c>
      <c r="I168" s="183" t="str">
        <f t="shared" si="13"/>
        <v/>
      </c>
      <c r="J168" s="182" t="e">
        <f t="shared" si="17"/>
        <v>#NUM!</v>
      </c>
      <c r="K168" s="182" t="e">
        <f t="shared" si="14"/>
        <v>#NUM!</v>
      </c>
      <c r="L168" s="182"/>
      <c r="M168" s="184">
        <f t="shared" si="15"/>
        <v>0</v>
      </c>
    </row>
    <row r="169" spans="1:13" x14ac:dyDescent="0.25">
      <c r="A169" s="199"/>
      <c r="C169" s="198" t="s">
        <v>42</v>
      </c>
      <c r="G169" s="170"/>
      <c r="H169" s="185">
        <v>164</v>
      </c>
      <c r="I169" s="183" t="str">
        <f t="shared" si="13"/>
        <v/>
      </c>
      <c r="J169" s="182" t="e">
        <f t="shared" si="17"/>
        <v>#NUM!</v>
      </c>
      <c r="K169" s="182" t="e">
        <f t="shared" si="14"/>
        <v>#NUM!</v>
      </c>
      <c r="L169" s="182"/>
      <c r="M169" s="184">
        <f t="shared" si="15"/>
        <v>0</v>
      </c>
    </row>
    <row r="170" spans="1:13" x14ac:dyDescent="0.25">
      <c r="A170" s="199"/>
      <c r="G170" s="170"/>
      <c r="H170" s="182">
        <v>165</v>
      </c>
      <c r="I170" s="183" t="str">
        <f t="shared" si="13"/>
        <v/>
      </c>
      <c r="J170" s="182" t="e">
        <f t="shared" si="17"/>
        <v>#NUM!</v>
      </c>
      <c r="K170" s="182" t="e">
        <f t="shared" si="14"/>
        <v>#NUM!</v>
      </c>
      <c r="L170" s="182"/>
      <c r="M170" s="184">
        <f t="shared" si="15"/>
        <v>0</v>
      </c>
    </row>
    <row r="171" spans="1:13" x14ac:dyDescent="0.25">
      <c r="A171" s="199"/>
      <c r="G171" s="170"/>
      <c r="H171" s="185">
        <v>166</v>
      </c>
      <c r="I171" s="183" t="str">
        <f t="shared" si="13"/>
        <v/>
      </c>
      <c r="J171" s="182" t="e">
        <f t="shared" si="17"/>
        <v>#NUM!</v>
      </c>
      <c r="K171" s="182" t="e">
        <f t="shared" si="14"/>
        <v>#NUM!</v>
      </c>
      <c r="L171" s="182"/>
      <c r="M171" s="184">
        <f t="shared" si="15"/>
        <v>0</v>
      </c>
    </row>
    <row r="172" spans="1:13" x14ac:dyDescent="0.25">
      <c r="A172" s="199"/>
      <c r="G172" s="170"/>
      <c r="H172" s="182">
        <v>167</v>
      </c>
      <c r="I172" s="183" t="str">
        <f t="shared" si="13"/>
        <v/>
      </c>
      <c r="J172" s="182" t="e">
        <f t="shared" si="17"/>
        <v>#NUM!</v>
      </c>
      <c r="K172" s="182" t="e">
        <f t="shared" si="14"/>
        <v>#NUM!</v>
      </c>
      <c r="L172" s="182"/>
      <c r="M172" s="184">
        <f t="shared" si="15"/>
        <v>0</v>
      </c>
    </row>
    <row r="173" spans="1:13" x14ac:dyDescent="0.25">
      <c r="A173" s="199"/>
      <c r="G173" s="170"/>
      <c r="H173" s="185">
        <v>168</v>
      </c>
      <c r="I173" s="183" t="str">
        <f t="shared" si="13"/>
        <v/>
      </c>
      <c r="J173" s="182" t="e">
        <f t="shared" si="17"/>
        <v>#NUM!</v>
      </c>
      <c r="K173" s="182" t="e">
        <f t="shared" si="14"/>
        <v>#NUM!</v>
      </c>
      <c r="L173" s="182"/>
      <c r="M173" s="184">
        <f t="shared" si="15"/>
        <v>0</v>
      </c>
    </row>
    <row r="174" spans="1:13" x14ac:dyDescent="0.25">
      <c r="A174" s="199"/>
      <c r="G174" s="170"/>
      <c r="H174" s="182">
        <v>169</v>
      </c>
      <c r="I174" s="183" t="str">
        <f t="shared" si="13"/>
        <v/>
      </c>
      <c r="J174" s="182" t="e">
        <f t="shared" si="17"/>
        <v>#NUM!</v>
      </c>
      <c r="K174" s="182" t="e">
        <f t="shared" si="14"/>
        <v>#NUM!</v>
      </c>
      <c r="L174" s="182"/>
      <c r="M174" s="184">
        <f t="shared" si="15"/>
        <v>0</v>
      </c>
    </row>
    <row r="175" spans="1:13" x14ac:dyDescent="0.25">
      <c r="A175" s="199"/>
      <c r="G175" s="170"/>
      <c r="H175" s="185">
        <v>170</v>
      </c>
      <c r="I175" s="183" t="str">
        <f t="shared" si="13"/>
        <v/>
      </c>
      <c r="J175" s="182" t="e">
        <f t="shared" si="17"/>
        <v>#NUM!</v>
      </c>
      <c r="K175" s="182" t="e">
        <f t="shared" si="14"/>
        <v>#NUM!</v>
      </c>
      <c r="L175" s="182"/>
      <c r="M175" s="184">
        <f t="shared" si="15"/>
        <v>0</v>
      </c>
    </row>
    <row r="176" spans="1:13" x14ac:dyDescent="0.25">
      <c r="A176" s="199"/>
      <c r="G176" s="170"/>
      <c r="H176" s="182">
        <v>171</v>
      </c>
      <c r="I176" s="183" t="str">
        <f t="shared" si="13"/>
        <v/>
      </c>
      <c r="J176" s="182" t="e">
        <f t="shared" si="17"/>
        <v>#NUM!</v>
      </c>
      <c r="K176" s="182" t="e">
        <f t="shared" si="14"/>
        <v>#NUM!</v>
      </c>
      <c r="L176" s="182"/>
      <c r="M176" s="184">
        <f t="shared" si="15"/>
        <v>0</v>
      </c>
    </row>
    <row r="177" spans="1:13" x14ac:dyDescent="0.25">
      <c r="A177" s="199"/>
      <c r="G177" s="170"/>
      <c r="H177" s="185">
        <v>172</v>
      </c>
      <c r="I177" s="183" t="str">
        <f t="shared" si="13"/>
        <v/>
      </c>
      <c r="J177" s="182" t="e">
        <f t="shared" si="17"/>
        <v>#NUM!</v>
      </c>
      <c r="K177" s="182" t="e">
        <f t="shared" si="14"/>
        <v>#NUM!</v>
      </c>
      <c r="L177" s="182"/>
      <c r="M177" s="184">
        <f t="shared" si="15"/>
        <v>0</v>
      </c>
    </row>
    <row r="178" spans="1:13" x14ac:dyDescent="0.25">
      <c r="A178" s="199"/>
      <c r="G178" s="170"/>
      <c r="H178" s="182">
        <v>173</v>
      </c>
      <c r="I178" s="183" t="str">
        <f t="shared" si="13"/>
        <v/>
      </c>
      <c r="J178" s="182" t="e">
        <f t="shared" si="17"/>
        <v>#NUM!</v>
      </c>
      <c r="K178" s="182" t="e">
        <f t="shared" si="14"/>
        <v>#NUM!</v>
      </c>
      <c r="L178" s="182"/>
      <c r="M178" s="184">
        <f t="shared" si="15"/>
        <v>0</v>
      </c>
    </row>
    <row r="179" spans="1:13" x14ac:dyDescent="0.25">
      <c r="A179" s="199"/>
      <c r="G179" s="170"/>
      <c r="H179" s="185">
        <v>174</v>
      </c>
      <c r="I179" s="183" t="str">
        <f t="shared" si="13"/>
        <v/>
      </c>
      <c r="J179" s="182" t="e">
        <f t="shared" si="17"/>
        <v>#NUM!</v>
      </c>
      <c r="K179" s="182" t="e">
        <f t="shared" si="14"/>
        <v>#NUM!</v>
      </c>
      <c r="L179" s="182"/>
      <c r="M179" s="184">
        <f t="shared" si="15"/>
        <v>0</v>
      </c>
    </row>
    <row r="180" spans="1:13" x14ac:dyDescent="0.25">
      <c r="A180" s="199"/>
      <c r="G180" s="170"/>
      <c r="H180" s="182">
        <v>175</v>
      </c>
      <c r="I180" s="183" t="str">
        <f t="shared" si="13"/>
        <v/>
      </c>
      <c r="J180" s="182" t="e">
        <f t="shared" si="17"/>
        <v>#NUM!</v>
      </c>
      <c r="K180" s="182" t="e">
        <f t="shared" si="14"/>
        <v>#NUM!</v>
      </c>
      <c r="L180" s="182"/>
      <c r="M180" s="184">
        <f t="shared" si="15"/>
        <v>0</v>
      </c>
    </row>
    <row r="181" spans="1:13" x14ac:dyDescent="0.25">
      <c r="A181" s="199"/>
      <c r="G181" s="170"/>
      <c r="H181" s="185">
        <v>176</v>
      </c>
      <c r="I181" s="183" t="str">
        <f t="shared" si="13"/>
        <v/>
      </c>
      <c r="J181" s="182" t="e">
        <f t="shared" si="17"/>
        <v>#NUM!</v>
      </c>
      <c r="K181" s="182" t="e">
        <f t="shared" si="14"/>
        <v>#NUM!</v>
      </c>
      <c r="L181" s="182"/>
      <c r="M181" s="184">
        <f t="shared" si="15"/>
        <v>0</v>
      </c>
    </row>
    <row r="182" spans="1:13" x14ac:dyDescent="0.25">
      <c r="A182" s="199"/>
      <c r="G182" s="170"/>
      <c r="H182" s="182">
        <v>177</v>
      </c>
      <c r="I182" s="183" t="str">
        <f t="shared" si="13"/>
        <v/>
      </c>
      <c r="J182" s="182" t="e">
        <f t="shared" si="17"/>
        <v>#NUM!</v>
      </c>
      <c r="K182" s="182" t="e">
        <f t="shared" si="14"/>
        <v>#NUM!</v>
      </c>
      <c r="L182" s="182"/>
      <c r="M182" s="184">
        <f t="shared" si="15"/>
        <v>0</v>
      </c>
    </row>
    <row r="183" spans="1:13" x14ac:dyDescent="0.25">
      <c r="A183" s="199"/>
      <c r="G183" s="170"/>
      <c r="H183" s="185">
        <v>178</v>
      </c>
      <c r="I183" s="183" t="str">
        <f t="shared" si="13"/>
        <v/>
      </c>
      <c r="J183" s="182" t="e">
        <f t="shared" si="17"/>
        <v>#NUM!</v>
      </c>
      <c r="K183" s="182" t="e">
        <f t="shared" si="14"/>
        <v>#NUM!</v>
      </c>
      <c r="L183" s="182"/>
      <c r="M183" s="184">
        <f t="shared" si="15"/>
        <v>0</v>
      </c>
    </row>
    <row r="184" spans="1:13" x14ac:dyDescent="0.25">
      <c r="A184" s="199"/>
      <c r="G184" s="170"/>
      <c r="H184" s="182">
        <v>179</v>
      </c>
      <c r="I184" s="183" t="str">
        <f t="shared" si="13"/>
        <v/>
      </c>
      <c r="J184" s="182" t="e">
        <f t="shared" si="17"/>
        <v>#NUM!</v>
      </c>
      <c r="K184" s="182" t="e">
        <f t="shared" si="14"/>
        <v>#NUM!</v>
      </c>
      <c r="L184" s="182"/>
      <c r="M184" s="184">
        <f t="shared" si="15"/>
        <v>0</v>
      </c>
    </row>
    <row r="185" spans="1:13" x14ac:dyDescent="0.25">
      <c r="A185" s="199"/>
      <c r="G185" s="170"/>
      <c r="H185" s="185">
        <v>180</v>
      </c>
      <c r="I185" s="183" t="str">
        <f t="shared" si="13"/>
        <v/>
      </c>
      <c r="J185" s="182" t="e">
        <f t="shared" si="17"/>
        <v>#NUM!</v>
      </c>
      <c r="K185" s="182" t="e">
        <f t="shared" si="14"/>
        <v>#NUM!</v>
      </c>
      <c r="L185" s="182"/>
      <c r="M185" s="184">
        <f t="shared" si="15"/>
        <v>0</v>
      </c>
    </row>
    <row r="186" spans="1:13" x14ac:dyDescent="0.25">
      <c r="A186" s="199"/>
      <c r="G186" s="170"/>
      <c r="H186" s="182">
        <v>181</v>
      </c>
      <c r="I186" s="183" t="str">
        <f t="shared" si="13"/>
        <v/>
      </c>
      <c r="J186" s="182" t="e">
        <f t="shared" si="17"/>
        <v>#NUM!</v>
      </c>
      <c r="K186" s="182" t="e">
        <f t="shared" si="14"/>
        <v>#NUM!</v>
      </c>
      <c r="L186" s="182"/>
      <c r="M186" s="184">
        <f t="shared" si="15"/>
        <v>0</v>
      </c>
    </row>
    <row r="187" spans="1:13" x14ac:dyDescent="0.25">
      <c r="A187" s="199"/>
      <c r="G187" s="170"/>
      <c r="H187" s="185">
        <v>182</v>
      </c>
      <c r="I187" s="183" t="str">
        <f t="shared" si="13"/>
        <v/>
      </c>
      <c r="J187" s="182" t="e">
        <f t="shared" si="17"/>
        <v>#NUM!</v>
      </c>
      <c r="K187" s="182" t="e">
        <f t="shared" si="14"/>
        <v>#NUM!</v>
      </c>
      <c r="L187" s="182"/>
      <c r="M187" s="184">
        <f t="shared" si="15"/>
        <v>0</v>
      </c>
    </row>
    <row r="188" spans="1:13" x14ac:dyDescent="0.25">
      <c r="A188" s="199"/>
      <c r="G188" s="170"/>
      <c r="H188" s="182">
        <v>183</v>
      </c>
      <c r="I188" s="183" t="str">
        <f t="shared" si="13"/>
        <v/>
      </c>
      <c r="J188" s="182" t="e">
        <f t="shared" si="17"/>
        <v>#NUM!</v>
      </c>
      <c r="K188" s="182" t="e">
        <f t="shared" si="14"/>
        <v>#NUM!</v>
      </c>
      <c r="L188" s="182"/>
      <c r="M188" s="184">
        <f t="shared" si="15"/>
        <v>0</v>
      </c>
    </row>
    <row r="189" spans="1:13" x14ac:dyDescent="0.25">
      <c r="A189" s="199"/>
      <c r="G189" s="170"/>
      <c r="H189" s="185">
        <v>184</v>
      </c>
      <c r="I189" s="183" t="str">
        <f t="shared" si="13"/>
        <v/>
      </c>
      <c r="J189" s="182" t="e">
        <f t="shared" si="17"/>
        <v>#NUM!</v>
      </c>
      <c r="K189" s="182" t="e">
        <f t="shared" si="14"/>
        <v>#NUM!</v>
      </c>
      <c r="L189" s="182"/>
      <c r="M189" s="184">
        <f t="shared" si="15"/>
        <v>0</v>
      </c>
    </row>
    <row r="190" spans="1:13" x14ac:dyDescent="0.25">
      <c r="A190" s="199"/>
      <c r="G190" s="170"/>
      <c r="H190" s="182">
        <v>185</v>
      </c>
      <c r="I190" s="183" t="str">
        <f t="shared" si="13"/>
        <v/>
      </c>
      <c r="J190" s="182" t="e">
        <f t="shared" si="17"/>
        <v>#NUM!</v>
      </c>
      <c r="K190" s="182" t="e">
        <f t="shared" si="14"/>
        <v>#NUM!</v>
      </c>
      <c r="L190" s="182"/>
      <c r="M190" s="184">
        <f t="shared" si="15"/>
        <v>0</v>
      </c>
    </row>
    <row r="191" spans="1:13" x14ac:dyDescent="0.25">
      <c r="A191" s="199"/>
      <c r="G191" s="170"/>
      <c r="H191" s="185">
        <v>186</v>
      </c>
      <c r="I191" s="183" t="str">
        <f t="shared" si="13"/>
        <v/>
      </c>
      <c r="J191" s="182" t="e">
        <f t="shared" si="17"/>
        <v>#NUM!</v>
      </c>
      <c r="K191" s="182" t="e">
        <f t="shared" si="14"/>
        <v>#NUM!</v>
      </c>
      <c r="L191" s="182"/>
      <c r="M191" s="184">
        <f t="shared" si="15"/>
        <v>0</v>
      </c>
    </row>
    <row r="192" spans="1:13" x14ac:dyDescent="0.25">
      <c r="A192" s="199"/>
      <c r="G192" s="170"/>
      <c r="H192" s="182">
        <v>187</v>
      </c>
      <c r="I192" s="183" t="str">
        <f t="shared" si="13"/>
        <v/>
      </c>
      <c r="J192" s="182" t="e">
        <f t="shared" si="17"/>
        <v>#NUM!</v>
      </c>
      <c r="K192" s="182" t="e">
        <f t="shared" si="14"/>
        <v>#NUM!</v>
      </c>
      <c r="L192" s="182"/>
      <c r="M192" s="184">
        <f t="shared" si="15"/>
        <v>0</v>
      </c>
    </row>
    <row r="193" spans="1:13" x14ac:dyDescent="0.25">
      <c r="A193" s="199"/>
      <c r="G193" s="170"/>
      <c r="H193" s="185">
        <v>188</v>
      </c>
      <c r="I193" s="183" t="str">
        <f t="shared" si="13"/>
        <v/>
      </c>
      <c r="J193" s="182" t="e">
        <f t="shared" si="17"/>
        <v>#NUM!</v>
      </c>
      <c r="K193" s="182" t="e">
        <f t="shared" si="14"/>
        <v>#NUM!</v>
      </c>
      <c r="L193" s="182"/>
      <c r="M193" s="184">
        <f t="shared" si="15"/>
        <v>0</v>
      </c>
    </row>
    <row r="194" spans="1:13" x14ac:dyDescent="0.25">
      <c r="A194" s="199"/>
      <c r="G194" s="170"/>
      <c r="H194" s="182">
        <v>189</v>
      </c>
      <c r="I194" s="183" t="str">
        <f t="shared" si="13"/>
        <v/>
      </c>
      <c r="J194" s="182" t="e">
        <f t="shared" si="17"/>
        <v>#NUM!</v>
      </c>
      <c r="K194" s="182" t="e">
        <f t="shared" si="14"/>
        <v>#NUM!</v>
      </c>
      <c r="L194" s="182"/>
      <c r="M194" s="184">
        <f t="shared" si="15"/>
        <v>0</v>
      </c>
    </row>
    <row r="195" spans="1:13" x14ac:dyDescent="0.25">
      <c r="A195" s="199"/>
      <c r="G195" s="170"/>
      <c r="H195" s="185">
        <v>190</v>
      </c>
      <c r="I195" s="183" t="str">
        <f t="shared" si="13"/>
        <v/>
      </c>
      <c r="J195" s="182" t="e">
        <f t="shared" si="17"/>
        <v>#NUM!</v>
      </c>
      <c r="K195" s="182" t="e">
        <f t="shared" si="14"/>
        <v>#NUM!</v>
      </c>
      <c r="L195" s="182"/>
      <c r="M195" s="184">
        <f t="shared" si="15"/>
        <v>0</v>
      </c>
    </row>
    <row r="196" spans="1:13" x14ac:dyDescent="0.25">
      <c r="A196" s="199"/>
      <c r="G196" s="170"/>
      <c r="H196" s="182">
        <v>191</v>
      </c>
      <c r="I196" s="183" t="str">
        <f t="shared" si="13"/>
        <v/>
      </c>
      <c r="J196" s="182" t="e">
        <f t="shared" si="17"/>
        <v>#NUM!</v>
      </c>
      <c r="K196" s="182" t="e">
        <f t="shared" si="14"/>
        <v>#NUM!</v>
      </c>
      <c r="L196" s="182"/>
      <c r="M196" s="184">
        <f t="shared" si="15"/>
        <v>0</v>
      </c>
    </row>
    <row r="197" spans="1:13" x14ac:dyDescent="0.25">
      <c r="A197" s="199"/>
      <c r="G197" s="170"/>
      <c r="H197" s="185">
        <v>192</v>
      </c>
      <c r="I197" s="183" t="str">
        <f t="shared" si="13"/>
        <v/>
      </c>
      <c r="J197" s="182" t="e">
        <f t="shared" si="17"/>
        <v>#NUM!</v>
      </c>
      <c r="K197" s="182" t="e">
        <f t="shared" si="14"/>
        <v>#NUM!</v>
      </c>
      <c r="L197" s="182"/>
      <c r="M197" s="184">
        <f t="shared" si="15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8">IF(H198&lt;$H$2+1,($I$2-($I$2-1)*(LOG(H198)/LOG($H$2))),"")</f>
        <v/>
      </c>
      <c r="J198" s="182" t="e">
        <f t="shared" si="17"/>
        <v>#NUM!</v>
      </c>
      <c r="K198" s="182" t="e">
        <f t="shared" ref="K198:K261" si="19">J198*$J$2</f>
        <v>#NUM!</v>
      </c>
      <c r="L198" s="182"/>
      <c r="M198" s="184">
        <f t="shared" ref="M198:M261" si="20">IF(I198&lt;&gt;"",K198+I198+L198,0)</f>
        <v>0</v>
      </c>
    </row>
    <row r="199" spans="1:13" x14ac:dyDescent="0.25">
      <c r="A199" s="199"/>
      <c r="G199" s="170"/>
      <c r="H199" s="185">
        <v>194</v>
      </c>
      <c r="I199" s="183" t="str">
        <f t="shared" si="18"/>
        <v/>
      </c>
      <c r="J199" s="182" t="e">
        <f t="shared" ref="J199:J262" si="21">INT(LOG($H$2,2))-ROUNDUP(LOG(H199,2),0)+IF(OR($H$2=1,$H$2=2,$H$2=4,$H$2=8,$H$2=16,$H$2=32,$H$2=64,$H$2=128,$H$2=256),0,1)</f>
        <v>#NUM!</v>
      </c>
      <c r="K199" s="182" t="e">
        <f t="shared" si="19"/>
        <v>#NUM!</v>
      </c>
      <c r="L199" s="182"/>
      <c r="M199" s="184">
        <f t="shared" si="20"/>
        <v>0</v>
      </c>
    </row>
    <row r="200" spans="1:13" x14ac:dyDescent="0.25">
      <c r="A200" s="199"/>
      <c r="G200" s="170"/>
      <c r="H200" s="182">
        <v>195</v>
      </c>
      <c r="I200" s="183" t="str">
        <f t="shared" si="18"/>
        <v/>
      </c>
      <c r="J200" s="182" t="e">
        <f t="shared" si="21"/>
        <v>#NUM!</v>
      </c>
      <c r="K200" s="182" t="e">
        <f t="shared" si="19"/>
        <v>#NUM!</v>
      </c>
      <c r="L200" s="182"/>
      <c r="M200" s="184">
        <f t="shared" si="20"/>
        <v>0</v>
      </c>
    </row>
    <row r="201" spans="1:13" x14ac:dyDescent="0.25">
      <c r="A201" s="199"/>
      <c r="G201" s="170"/>
      <c r="H201" s="185">
        <v>196</v>
      </c>
      <c r="I201" s="183" t="str">
        <f t="shared" si="18"/>
        <v/>
      </c>
      <c r="J201" s="182" t="e">
        <f t="shared" si="21"/>
        <v>#NUM!</v>
      </c>
      <c r="K201" s="182" t="e">
        <f t="shared" si="19"/>
        <v>#NUM!</v>
      </c>
      <c r="L201" s="182"/>
      <c r="M201" s="184">
        <f t="shared" si="20"/>
        <v>0</v>
      </c>
    </row>
    <row r="202" spans="1:13" x14ac:dyDescent="0.25">
      <c r="A202" s="199"/>
      <c r="G202" s="170"/>
      <c r="H202" s="182">
        <v>197</v>
      </c>
      <c r="I202" s="183" t="str">
        <f t="shared" si="18"/>
        <v/>
      </c>
      <c r="J202" s="182" t="e">
        <f t="shared" si="21"/>
        <v>#NUM!</v>
      </c>
      <c r="K202" s="182" t="e">
        <f t="shared" si="19"/>
        <v>#NUM!</v>
      </c>
      <c r="L202" s="182"/>
      <c r="M202" s="184">
        <f t="shared" si="20"/>
        <v>0</v>
      </c>
    </row>
    <row r="203" spans="1:13" x14ac:dyDescent="0.25">
      <c r="A203" s="199"/>
      <c r="G203" s="170"/>
      <c r="H203" s="185">
        <v>198</v>
      </c>
      <c r="I203" s="183" t="str">
        <f t="shared" si="18"/>
        <v/>
      </c>
      <c r="J203" s="182" t="e">
        <f t="shared" si="21"/>
        <v>#NUM!</v>
      </c>
      <c r="K203" s="182" t="e">
        <f t="shared" si="19"/>
        <v>#NUM!</v>
      </c>
      <c r="L203" s="182"/>
      <c r="M203" s="184">
        <f t="shared" si="20"/>
        <v>0</v>
      </c>
    </row>
    <row r="204" spans="1:13" x14ac:dyDescent="0.25">
      <c r="A204" s="199"/>
      <c r="G204" s="170"/>
      <c r="H204" s="182">
        <v>199</v>
      </c>
      <c r="I204" s="183" t="str">
        <f t="shared" si="18"/>
        <v/>
      </c>
      <c r="J204" s="182" t="e">
        <f t="shared" si="21"/>
        <v>#NUM!</v>
      </c>
      <c r="K204" s="182" t="e">
        <f t="shared" si="19"/>
        <v>#NUM!</v>
      </c>
      <c r="L204" s="182"/>
      <c r="M204" s="184">
        <f t="shared" si="20"/>
        <v>0</v>
      </c>
    </row>
    <row r="205" spans="1:13" x14ac:dyDescent="0.25">
      <c r="A205" s="199"/>
      <c r="G205" s="170"/>
      <c r="H205" s="185">
        <v>200</v>
      </c>
      <c r="I205" s="183" t="str">
        <f t="shared" si="18"/>
        <v/>
      </c>
      <c r="J205" s="182" t="e">
        <f t="shared" si="21"/>
        <v>#NUM!</v>
      </c>
      <c r="K205" s="182" t="e">
        <f t="shared" si="19"/>
        <v>#NUM!</v>
      </c>
      <c r="L205" s="182"/>
      <c r="M205" s="184">
        <f t="shared" si="20"/>
        <v>0</v>
      </c>
    </row>
    <row r="206" spans="1:13" x14ac:dyDescent="0.25">
      <c r="A206" s="199"/>
      <c r="G206" s="170"/>
      <c r="H206" s="182">
        <v>201</v>
      </c>
      <c r="I206" s="183" t="str">
        <f t="shared" si="18"/>
        <v/>
      </c>
      <c r="J206" s="182" t="e">
        <f t="shared" si="21"/>
        <v>#NUM!</v>
      </c>
      <c r="K206" s="182" t="e">
        <f t="shared" si="19"/>
        <v>#NUM!</v>
      </c>
      <c r="L206" s="182"/>
      <c r="M206" s="184">
        <f t="shared" si="20"/>
        <v>0</v>
      </c>
    </row>
    <row r="207" spans="1:13" x14ac:dyDescent="0.25">
      <c r="A207" s="199"/>
      <c r="G207" s="170"/>
      <c r="H207" s="185">
        <v>202</v>
      </c>
      <c r="I207" s="183" t="str">
        <f t="shared" si="18"/>
        <v/>
      </c>
      <c r="J207" s="182" t="e">
        <f t="shared" si="21"/>
        <v>#NUM!</v>
      </c>
      <c r="K207" s="182" t="e">
        <f t="shared" si="19"/>
        <v>#NUM!</v>
      </c>
      <c r="L207" s="182"/>
      <c r="M207" s="184">
        <f t="shared" si="20"/>
        <v>0</v>
      </c>
    </row>
    <row r="208" spans="1:13" x14ac:dyDescent="0.25">
      <c r="A208" s="199"/>
      <c r="G208" s="170"/>
      <c r="H208" s="182">
        <v>203</v>
      </c>
      <c r="I208" s="183" t="str">
        <f t="shared" si="18"/>
        <v/>
      </c>
      <c r="J208" s="182" t="e">
        <f t="shared" si="21"/>
        <v>#NUM!</v>
      </c>
      <c r="K208" s="182" t="e">
        <f t="shared" si="19"/>
        <v>#NUM!</v>
      </c>
      <c r="L208" s="182"/>
      <c r="M208" s="184">
        <f t="shared" si="20"/>
        <v>0</v>
      </c>
    </row>
    <row r="209" spans="1:13" x14ac:dyDescent="0.25">
      <c r="A209" s="199"/>
      <c r="G209" s="170"/>
      <c r="H209" s="185">
        <v>204</v>
      </c>
      <c r="I209" s="183" t="str">
        <f t="shared" si="18"/>
        <v/>
      </c>
      <c r="J209" s="182" t="e">
        <f t="shared" si="21"/>
        <v>#NUM!</v>
      </c>
      <c r="K209" s="182" t="e">
        <f t="shared" si="19"/>
        <v>#NUM!</v>
      </c>
      <c r="L209" s="182"/>
      <c r="M209" s="184">
        <f t="shared" si="20"/>
        <v>0</v>
      </c>
    </row>
    <row r="210" spans="1:13" x14ac:dyDescent="0.25">
      <c r="A210" s="199"/>
      <c r="G210" s="170"/>
      <c r="H210" s="182">
        <v>205</v>
      </c>
      <c r="I210" s="183" t="str">
        <f t="shared" si="18"/>
        <v/>
      </c>
      <c r="J210" s="182" t="e">
        <f t="shared" si="21"/>
        <v>#NUM!</v>
      </c>
      <c r="K210" s="182" t="e">
        <f t="shared" si="19"/>
        <v>#NUM!</v>
      </c>
      <c r="L210" s="182"/>
      <c r="M210" s="184">
        <f t="shared" si="20"/>
        <v>0</v>
      </c>
    </row>
    <row r="211" spans="1:13" x14ac:dyDescent="0.25">
      <c r="A211" s="199"/>
      <c r="G211" s="170"/>
      <c r="H211" s="185">
        <v>206</v>
      </c>
      <c r="I211" s="183" t="str">
        <f t="shared" si="18"/>
        <v/>
      </c>
      <c r="J211" s="182" t="e">
        <f t="shared" si="21"/>
        <v>#NUM!</v>
      </c>
      <c r="K211" s="182" t="e">
        <f t="shared" si="19"/>
        <v>#NUM!</v>
      </c>
      <c r="L211" s="182"/>
      <c r="M211" s="184">
        <f t="shared" si="20"/>
        <v>0</v>
      </c>
    </row>
    <row r="212" spans="1:13" x14ac:dyDescent="0.25">
      <c r="A212" s="199"/>
      <c r="G212" s="170"/>
      <c r="H212" s="182">
        <v>207</v>
      </c>
      <c r="I212" s="183" t="str">
        <f t="shared" si="18"/>
        <v/>
      </c>
      <c r="J212" s="182" t="e">
        <f t="shared" si="21"/>
        <v>#NUM!</v>
      </c>
      <c r="K212" s="182" t="e">
        <f t="shared" si="19"/>
        <v>#NUM!</v>
      </c>
      <c r="L212" s="182"/>
      <c r="M212" s="184">
        <f t="shared" si="20"/>
        <v>0</v>
      </c>
    </row>
    <row r="213" spans="1:13" x14ac:dyDescent="0.25">
      <c r="A213" s="199"/>
      <c r="G213" s="170"/>
      <c r="H213" s="185">
        <v>208</v>
      </c>
      <c r="I213" s="183" t="str">
        <f t="shared" si="18"/>
        <v/>
      </c>
      <c r="J213" s="182" t="e">
        <f t="shared" si="21"/>
        <v>#NUM!</v>
      </c>
      <c r="K213" s="182" t="e">
        <f t="shared" si="19"/>
        <v>#NUM!</v>
      </c>
      <c r="L213" s="182"/>
      <c r="M213" s="184">
        <f t="shared" si="20"/>
        <v>0</v>
      </c>
    </row>
    <row r="214" spans="1:13" x14ac:dyDescent="0.25">
      <c r="A214" s="199"/>
      <c r="G214" s="170"/>
      <c r="H214" s="182">
        <v>209</v>
      </c>
      <c r="I214" s="183" t="str">
        <f t="shared" si="18"/>
        <v/>
      </c>
      <c r="J214" s="182" t="e">
        <f t="shared" si="21"/>
        <v>#NUM!</v>
      </c>
      <c r="K214" s="182" t="e">
        <f t="shared" si="19"/>
        <v>#NUM!</v>
      </c>
      <c r="L214" s="182"/>
      <c r="M214" s="184">
        <f t="shared" si="20"/>
        <v>0</v>
      </c>
    </row>
    <row r="215" spans="1:13" x14ac:dyDescent="0.25">
      <c r="A215" s="199"/>
      <c r="G215" s="170"/>
      <c r="H215" s="185">
        <v>210</v>
      </c>
      <c r="I215" s="183" t="str">
        <f t="shared" si="18"/>
        <v/>
      </c>
      <c r="J215" s="182" t="e">
        <f t="shared" si="21"/>
        <v>#NUM!</v>
      </c>
      <c r="K215" s="182" t="e">
        <f t="shared" si="19"/>
        <v>#NUM!</v>
      </c>
      <c r="L215" s="182"/>
      <c r="M215" s="184">
        <f t="shared" si="20"/>
        <v>0</v>
      </c>
    </row>
    <row r="216" spans="1:13" x14ac:dyDescent="0.25">
      <c r="A216" s="199"/>
      <c r="G216" s="170"/>
      <c r="H216" s="182">
        <v>211</v>
      </c>
      <c r="I216" s="183" t="str">
        <f t="shared" si="18"/>
        <v/>
      </c>
      <c r="J216" s="182" t="e">
        <f t="shared" si="21"/>
        <v>#NUM!</v>
      </c>
      <c r="K216" s="182" t="e">
        <f t="shared" si="19"/>
        <v>#NUM!</v>
      </c>
      <c r="L216" s="182"/>
      <c r="M216" s="184">
        <f t="shared" si="20"/>
        <v>0</v>
      </c>
    </row>
    <row r="217" spans="1:13" x14ac:dyDescent="0.25">
      <c r="A217" s="199"/>
      <c r="G217" s="170"/>
      <c r="H217" s="185">
        <v>212</v>
      </c>
      <c r="I217" s="183" t="str">
        <f t="shared" si="18"/>
        <v/>
      </c>
      <c r="J217" s="182" t="e">
        <f t="shared" si="21"/>
        <v>#NUM!</v>
      </c>
      <c r="K217" s="182" t="e">
        <f t="shared" si="19"/>
        <v>#NUM!</v>
      </c>
      <c r="L217" s="182"/>
      <c r="M217" s="184">
        <f t="shared" si="20"/>
        <v>0</v>
      </c>
    </row>
    <row r="218" spans="1:13" x14ac:dyDescent="0.25">
      <c r="A218" s="199"/>
      <c r="G218" s="170"/>
      <c r="H218" s="182">
        <v>213</v>
      </c>
      <c r="I218" s="183" t="str">
        <f t="shared" si="18"/>
        <v/>
      </c>
      <c r="J218" s="182" t="e">
        <f t="shared" si="21"/>
        <v>#NUM!</v>
      </c>
      <c r="K218" s="182" t="e">
        <f t="shared" si="19"/>
        <v>#NUM!</v>
      </c>
      <c r="L218" s="182"/>
      <c r="M218" s="184">
        <f t="shared" si="20"/>
        <v>0</v>
      </c>
    </row>
    <row r="219" spans="1:13" x14ac:dyDescent="0.25">
      <c r="A219" s="199"/>
      <c r="G219" s="170"/>
      <c r="H219" s="185">
        <v>214</v>
      </c>
      <c r="I219" s="183" t="str">
        <f t="shared" si="18"/>
        <v/>
      </c>
      <c r="J219" s="182" t="e">
        <f t="shared" si="21"/>
        <v>#NUM!</v>
      </c>
      <c r="K219" s="182" t="e">
        <f t="shared" si="19"/>
        <v>#NUM!</v>
      </c>
      <c r="L219" s="182"/>
      <c r="M219" s="184">
        <f t="shared" si="20"/>
        <v>0</v>
      </c>
    </row>
    <row r="220" spans="1:13" x14ac:dyDescent="0.25">
      <c r="A220" s="199"/>
      <c r="G220" s="170"/>
      <c r="H220" s="182">
        <v>215</v>
      </c>
      <c r="I220" s="183" t="str">
        <f t="shared" si="18"/>
        <v/>
      </c>
      <c r="J220" s="182" t="e">
        <f t="shared" si="21"/>
        <v>#NUM!</v>
      </c>
      <c r="K220" s="182" t="e">
        <f t="shared" si="19"/>
        <v>#NUM!</v>
      </c>
      <c r="L220" s="182"/>
      <c r="M220" s="184">
        <f t="shared" si="20"/>
        <v>0</v>
      </c>
    </row>
    <row r="221" spans="1:13" x14ac:dyDescent="0.25">
      <c r="A221" s="199"/>
      <c r="G221" s="170"/>
      <c r="H221" s="185">
        <v>216</v>
      </c>
      <c r="I221" s="183" t="str">
        <f t="shared" si="18"/>
        <v/>
      </c>
      <c r="J221" s="182" t="e">
        <f t="shared" si="21"/>
        <v>#NUM!</v>
      </c>
      <c r="K221" s="182" t="e">
        <f t="shared" si="19"/>
        <v>#NUM!</v>
      </c>
      <c r="L221" s="182"/>
      <c r="M221" s="184">
        <f t="shared" si="20"/>
        <v>0</v>
      </c>
    </row>
    <row r="222" spans="1:13" x14ac:dyDescent="0.25">
      <c r="A222" s="199"/>
      <c r="G222" s="170"/>
      <c r="H222" s="182">
        <v>217</v>
      </c>
      <c r="I222" s="183" t="str">
        <f t="shared" si="18"/>
        <v/>
      </c>
      <c r="J222" s="182" t="e">
        <f t="shared" si="21"/>
        <v>#NUM!</v>
      </c>
      <c r="K222" s="182" t="e">
        <f t="shared" si="19"/>
        <v>#NUM!</v>
      </c>
      <c r="L222" s="182"/>
      <c r="M222" s="184">
        <f t="shared" si="20"/>
        <v>0</v>
      </c>
    </row>
    <row r="223" spans="1:13" x14ac:dyDescent="0.25">
      <c r="A223" s="199"/>
      <c r="G223" s="170"/>
      <c r="H223" s="185">
        <v>218</v>
      </c>
      <c r="I223" s="183" t="str">
        <f t="shared" si="18"/>
        <v/>
      </c>
      <c r="J223" s="182" t="e">
        <f t="shared" si="21"/>
        <v>#NUM!</v>
      </c>
      <c r="K223" s="182" t="e">
        <f t="shared" si="19"/>
        <v>#NUM!</v>
      </c>
      <c r="L223" s="182"/>
      <c r="M223" s="184">
        <f t="shared" si="20"/>
        <v>0</v>
      </c>
    </row>
    <row r="224" spans="1:13" x14ac:dyDescent="0.25">
      <c r="A224" s="199"/>
      <c r="G224" s="170"/>
      <c r="H224" s="182">
        <v>219</v>
      </c>
      <c r="I224" s="183" t="str">
        <f t="shared" si="18"/>
        <v/>
      </c>
      <c r="J224" s="182" t="e">
        <f t="shared" si="21"/>
        <v>#NUM!</v>
      </c>
      <c r="K224" s="182" t="e">
        <f t="shared" si="19"/>
        <v>#NUM!</v>
      </c>
      <c r="L224" s="182"/>
      <c r="M224" s="184">
        <f t="shared" si="20"/>
        <v>0</v>
      </c>
    </row>
    <row r="225" spans="1:13" x14ac:dyDescent="0.25">
      <c r="A225" s="199"/>
      <c r="G225" s="170"/>
      <c r="H225" s="185">
        <v>220</v>
      </c>
      <c r="I225" s="183" t="str">
        <f t="shared" si="18"/>
        <v/>
      </c>
      <c r="J225" s="182" t="e">
        <f t="shared" si="21"/>
        <v>#NUM!</v>
      </c>
      <c r="K225" s="182" t="e">
        <f t="shared" si="19"/>
        <v>#NUM!</v>
      </c>
      <c r="L225" s="182"/>
      <c r="M225" s="184">
        <f t="shared" si="20"/>
        <v>0</v>
      </c>
    </row>
    <row r="226" spans="1:13" x14ac:dyDescent="0.25">
      <c r="A226" s="199"/>
      <c r="G226" s="170"/>
      <c r="H226" s="182">
        <v>221</v>
      </c>
      <c r="I226" s="183" t="str">
        <f t="shared" si="18"/>
        <v/>
      </c>
      <c r="J226" s="182" t="e">
        <f t="shared" si="21"/>
        <v>#NUM!</v>
      </c>
      <c r="K226" s="182" t="e">
        <f t="shared" si="19"/>
        <v>#NUM!</v>
      </c>
      <c r="L226" s="182"/>
      <c r="M226" s="184">
        <f t="shared" si="20"/>
        <v>0</v>
      </c>
    </row>
    <row r="227" spans="1:13" x14ac:dyDescent="0.25">
      <c r="A227" s="199"/>
      <c r="G227" s="170"/>
      <c r="H227" s="185">
        <v>222</v>
      </c>
      <c r="I227" s="183" t="str">
        <f t="shared" si="18"/>
        <v/>
      </c>
      <c r="J227" s="182" t="e">
        <f t="shared" si="21"/>
        <v>#NUM!</v>
      </c>
      <c r="K227" s="182" t="e">
        <f t="shared" si="19"/>
        <v>#NUM!</v>
      </c>
      <c r="L227" s="182"/>
      <c r="M227" s="184">
        <f t="shared" si="20"/>
        <v>0</v>
      </c>
    </row>
    <row r="228" spans="1:13" x14ac:dyDescent="0.25">
      <c r="A228" s="199"/>
      <c r="G228" s="170"/>
      <c r="H228" s="182">
        <v>223</v>
      </c>
      <c r="I228" s="183" t="str">
        <f t="shared" si="18"/>
        <v/>
      </c>
      <c r="J228" s="182" t="e">
        <f t="shared" si="21"/>
        <v>#NUM!</v>
      </c>
      <c r="K228" s="182" t="e">
        <f t="shared" si="19"/>
        <v>#NUM!</v>
      </c>
      <c r="L228" s="182"/>
      <c r="M228" s="184">
        <f t="shared" si="20"/>
        <v>0</v>
      </c>
    </row>
    <row r="229" spans="1:13" x14ac:dyDescent="0.25">
      <c r="A229" s="199"/>
      <c r="G229" s="170"/>
      <c r="H229" s="185">
        <v>224</v>
      </c>
      <c r="I229" s="183" t="str">
        <f t="shared" si="18"/>
        <v/>
      </c>
      <c r="J229" s="182" t="e">
        <f t="shared" si="21"/>
        <v>#NUM!</v>
      </c>
      <c r="K229" s="182" t="e">
        <f t="shared" si="19"/>
        <v>#NUM!</v>
      </c>
      <c r="L229" s="182"/>
      <c r="M229" s="184">
        <f t="shared" si="20"/>
        <v>0</v>
      </c>
    </row>
    <row r="230" spans="1:13" x14ac:dyDescent="0.25">
      <c r="A230" s="199"/>
      <c r="G230" s="170"/>
      <c r="H230" s="182">
        <v>225</v>
      </c>
      <c r="I230" s="183" t="str">
        <f t="shared" si="18"/>
        <v/>
      </c>
      <c r="J230" s="182" t="e">
        <f t="shared" si="21"/>
        <v>#NUM!</v>
      </c>
      <c r="K230" s="182" t="e">
        <f t="shared" si="19"/>
        <v>#NUM!</v>
      </c>
      <c r="L230" s="182"/>
      <c r="M230" s="184">
        <f t="shared" si="20"/>
        <v>0</v>
      </c>
    </row>
    <row r="231" spans="1:13" x14ac:dyDescent="0.25">
      <c r="A231" s="199"/>
      <c r="G231" s="170"/>
      <c r="H231" s="185">
        <v>226</v>
      </c>
      <c r="I231" s="183" t="str">
        <f t="shared" si="18"/>
        <v/>
      </c>
      <c r="J231" s="182" t="e">
        <f t="shared" si="21"/>
        <v>#NUM!</v>
      </c>
      <c r="K231" s="182" t="e">
        <f t="shared" si="19"/>
        <v>#NUM!</v>
      </c>
      <c r="L231" s="182"/>
      <c r="M231" s="184">
        <f t="shared" si="20"/>
        <v>0</v>
      </c>
    </row>
    <row r="232" spans="1:13" x14ac:dyDescent="0.25">
      <c r="A232" s="199"/>
      <c r="G232" s="170"/>
      <c r="H232" s="182">
        <v>227</v>
      </c>
      <c r="I232" s="183" t="str">
        <f t="shared" si="18"/>
        <v/>
      </c>
      <c r="J232" s="182" t="e">
        <f t="shared" si="21"/>
        <v>#NUM!</v>
      </c>
      <c r="K232" s="182" t="e">
        <f t="shared" si="19"/>
        <v>#NUM!</v>
      </c>
      <c r="L232" s="182"/>
      <c r="M232" s="184">
        <f t="shared" si="20"/>
        <v>0</v>
      </c>
    </row>
    <row r="233" spans="1:13" x14ac:dyDescent="0.25">
      <c r="A233" s="199"/>
      <c r="G233" s="170"/>
      <c r="H233" s="185">
        <v>228</v>
      </c>
      <c r="I233" s="183" t="str">
        <f t="shared" si="18"/>
        <v/>
      </c>
      <c r="J233" s="182" t="e">
        <f t="shared" si="21"/>
        <v>#NUM!</v>
      </c>
      <c r="K233" s="182" t="e">
        <f t="shared" si="19"/>
        <v>#NUM!</v>
      </c>
      <c r="L233" s="182"/>
      <c r="M233" s="184">
        <f t="shared" si="20"/>
        <v>0</v>
      </c>
    </row>
    <row r="234" spans="1:13" x14ac:dyDescent="0.25">
      <c r="A234" s="199"/>
      <c r="G234" s="170"/>
      <c r="H234" s="182">
        <v>229</v>
      </c>
      <c r="I234" s="183" t="str">
        <f t="shared" si="18"/>
        <v/>
      </c>
      <c r="J234" s="182" t="e">
        <f t="shared" si="21"/>
        <v>#NUM!</v>
      </c>
      <c r="K234" s="182" t="e">
        <f t="shared" si="19"/>
        <v>#NUM!</v>
      </c>
      <c r="L234" s="182"/>
      <c r="M234" s="184">
        <f t="shared" si="20"/>
        <v>0</v>
      </c>
    </row>
    <row r="235" spans="1:13" x14ac:dyDescent="0.25">
      <c r="A235" s="199"/>
      <c r="G235" s="170"/>
      <c r="H235" s="185">
        <v>230</v>
      </c>
      <c r="I235" s="183" t="str">
        <f t="shared" si="18"/>
        <v/>
      </c>
      <c r="J235" s="182" t="e">
        <f t="shared" si="21"/>
        <v>#NUM!</v>
      </c>
      <c r="K235" s="182" t="e">
        <f t="shared" si="19"/>
        <v>#NUM!</v>
      </c>
      <c r="L235" s="182"/>
      <c r="M235" s="184">
        <f t="shared" si="20"/>
        <v>0</v>
      </c>
    </row>
    <row r="236" spans="1:13" x14ac:dyDescent="0.25">
      <c r="A236" s="199"/>
      <c r="G236" s="170"/>
      <c r="H236" s="182">
        <v>231</v>
      </c>
      <c r="I236" s="183" t="str">
        <f t="shared" si="18"/>
        <v/>
      </c>
      <c r="J236" s="182" t="e">
        <f t="shared" si="21"/>
        <v>#NUM!</v>
      </c>
      <c r="K236" s="182" t="e">
        <f t="shared" si="19"/>
        <v>#NUM!</v>
      </c>
      <c r="L236" s="182"/>
      <c r="M236" s="184">
        <f t="shared" si="20"/>
        <v>0</v>
      </c>
    </row>
    <row r="237" spans="1:13" x14ac:dyDescent="0.25">
      <c r="A237" s="199"/>
      <c r="G237" s="170"/>
      <c r="H237" s="185">
        <v>232</v>
      </c>
      <c r="I237" s="183" t="str">
        <f t="shared" si="18"/>
        <v/>
      </c>
      <c r="J237" s="182" t="e">
        <f t="shared" si="21"/>
        <v>#NUM!</v>
      </c>
      <c r="K237" s="182" t="e">
        <f t="shared" si="19"/>
        <v>#NUM!</v>
      </c>
      <c r="L237" s="182"/>
      <c r="M237" s="184">
        <f t="shared" si="20"/>
        <v>0</v>
      </c>
    </row>
    <row r="238" spans="1:13" x14ac:dyDescent="0.25">
      <c r="A238" s="199"/>
      <c r="G238" s="170"/>
      <c r="H238" s="182">
        <v>233</v>
      </c>
      <c r="I238" s="183" t="str">
        <f t="shared" si="18"/>
        <v/>
      </c>
      <c r="J238" s="182" t="e">
        <f t="shared" si="21"/>
        <v>#NUM!</v>
      </c>
      <c r="K238" s="182" t="e">
        <f t="shared" si="19"/>
        <v>#NUM!</v>
      </c>
      <c r="L238" s="182"/>
      <c r="M238" s="184">
        <f t="shared" si="20"/>
        <v>0</v>
      </c>
    </row>
    <row r="239" spans="1:13" x14ac:dyDescent="0.25">
      <c r="A239" s="199"/>
      <c r="G239" s="170"/>
      <c r="H239" s="185">
        <v>234</v>
      </c>
      <c r="I239" s="183" t="str">
        <f t="shared" si="18"/>
        <v/>
      </c>
      <c r="J239" s="182" t="e">
        <f t="shared" si="21"/>
        <v>#NUM!</v>
      </c>
      <c r="K239" s="182" t="e">
        <f t="shared" si="19"/>
        <v>#NUM!</v>
      </c>
      <c r="L239" s="182"/>
      <c r="M239" s="184">
        <f t="shared" si="20"/>
        <v>0</v>
      </c>
    </row>
    <row r="240" spans="1:13" x14ac:dyDescent="0.25">
      <c r="A240" s="199"/>
      <c r="G240" s="170"/>
      <c r="H240" s="182">
        <v>235</v>
      </c>
      <c r="I240" s="183" t="str">
        <f t="shared" si="18"/>
        <v/>
      </c>
      <c r="J240" s="182" t="e">
        <f t="shared" si="21"/>
        <v>#NUM!</v>
      </c>
      <c r="K240" s="182" t="e">
        <f t="shared" si="19"/>
        <v>#NUM!</v>
      </c>
      <c r="L240" s="182"/>
      <c r="M240" s="184">
        <f t="shared" si="20"/>
        <v>0</v>
      </c>
    </row>
    <row r="241" spans="1:13" x14ac:dyDescent="0.25">
      <c r="A241" s="199"/>
      <c r="G241" s="170"/>
      <c r="H241" s="185">
        <v>236</v>
      </c>
      <c r="I241" s="183" t="str">
        <f t="shared" si="18"/>
        <v/>
      </c>
      <c r="J241" s="182" t="e">
        <f t="shared" si="21"/>
        <v>#NUM!</v>
      </c>
      <c r="K241" s="182" t="e">
        <f t="shared" si="19"/>
        <v>#NUM!</v>
      </c>
      <c r="L241" s="182"/>
      <c r="M241" s="184">
        <f t="shared" si="20"/>
        <v>0</v>
      </c>
    </row>
    <row r="242" spans="1:13" x14ac:dyDescent="0.25">
      <c r="A242" s="199"/>
      <c r="G242" s="170"/>
      <c r="H242" s="182">
        <v>237</v>
      </c>
      <c r="I242" s="183" t="str">
        <f t="shared" si="18"/>
        <v/>
      </c>
      <c r="J242" s="182" t="e">
        <f t="shared" si="21"/>
        <v>#NUM!</v>
      </c>
      <c r="K242" s="182" t="e">
        <f t="shared" si="19"/>
        <v>#NUM!</v>
      </c>
      <c r="L242" s="182"/>
      <c r="M242" s="184">
        <f t="shared" si="20"/>
        <v>0</v>
      </c>
    </row>
    <row r="243" spans="1:13" x14ac:dyDescent="0.25">
      <c r="A243" s="199"/>
      <c r="G243" s="170"/>
      <c r="H243" s="185">
        <v>238</v>
      </c>
      <c r="I243" s="183" t="str">
        <f t="shared" si="18"/>
        <v/>
      </c>
      <c r="J243" s="182" t="e">
        <f t="shared" si="21"/>
        <v>#NUM!</v>
      </c>
      <c r="K243" s="182" t="e">
        <f t="shared" si="19"/>
        <v>#NUM!</v>
      </c>
      <c r="L243" s="182"/>
      <c r="M243" s="184">
        <f t="shared" si="20"/>
        <v>0</v>
      </c>
    </row>
    <row r="244" spans="1:13" x14ac:dyDescent="0.25">
      <c r="A244" s="199"/>
      <c r="G244" s="170"/>
      <c r="H244" s="182">
        <v>239</v>
      </c>
      <c r="I244" s="183" t="str">
        <f t="shared" si="18"/>
        <v/>
      </c>
      <c r="J244" s="182" t="e">
        <f t="shared" si="21"/>
        <v>#NUM!</v>
      </c>
      <c r="K244" s="182" t="e">
        <f t="shared" si="19"/>
        <v>#NUM!</v>
      </c>
      <c r="L244" s="182"/>
      <c r="M244" s="184">
        <f t="shared" si="20"/>
        <v>0</v>
      </c>
    </row>
    <row r="245" spans="1:13" x14ac:dyDescent="0.25">
      <c r="A245" s="199"/>
      <c r="G245" s="170"/>
      <c r="H245" s="185">
        <v>240</v>
      </c>
      <c r="I245" s="183" t="str">
        <f t="shared" si="18"/>
        <v/>
      </c>
      <c r="J245" s="182" t="e">
        <f t="shared" si="21"/>
        <v>#NUM!</v>
      </c>
      <c r="K245" s="182" t="e">
        <f t="shared" si="19"/>
        <v>#NUM!</v>
      </c>
      <c r="L245" s="182"/>
      <c r="M245" s="184">
        <f t="shared" si="20"/>
        <v>0</v>
      </c>
    </row>
    <row r="246" spans="1:13" x14ac:dyDescent="0.25">
      <c r="A246" s="199"/>
      <c r="G246" s="170"/>
      <c r="H246" s="182">
        <v>241</v>
      </c>
      <c r="I246" s="183" t="str">
        <f t="shared" si="18"/>
        <v/>
      </c>
      <c r="J246" s="182" t="e">
        <f t="shared" si="21"/>
        <v>#NUM!</v>
      </c>
      <c r="K246" s="182" t="e">
        <f t="shared" si="19"/>
        <v>#NUM!</v>
      </c>
      <c r="L246" s="182"/>
      <c r="M246" s="184">
        <f t="shared" si="20"/>
        <v>0</v>
      </c>
    </row>
    <row r="247" spans="1:13" x14ac:dyDescent="0.25">
      <c r="A247" s="199"/>
      <c r="G247" s="170"/>
      <c r="H247" s="185">
        <v>242</v>
      </c>
      <c r="I247" s="183" t="str">
        <f t="shared" si="18"/>
        <v/>
      </c>
      <c r="J247" s="182" t="e">
        <f t="shared" si="21"/>
        <v>#NUM!</v>
      </c>
      <c r="K247" s="182" t="e">
        <f t="shared" si="19"/>
        <v>#NUM!</v>
      </c>
      <c r="L247" s="182"/>
      <c r="M247" s="184">
        <f t="shared" si="20"/>
        <v>0</v>
      </c>
    </row>
    <row r="248" spans="1:13" x14ac:dyDescent="0.25">
      <c r="A248" s="199"/>
      <c r="G248" s="170"/>
      <c r="H248" s="182">
        <v>243</v>
      </c>
      <c r="I248" s="183" t="str">
        <f t="shared" si="18"/>
        <v/>
      </c>
      <c r="J248" s="182" t="e">
        <f t="shared" si="21"/>
        <v>#NUM!</v>
      </c>
      <c r="K248" s="182" t="e">
        <f t="shared" si="19"/>
        <v>#NUM!</v>
      </c>
      <c r="L248" s="182"/>
      <c r="M248" s="184">
        <f t="shared" si="20"/>
        <v>0</v>
      </c>
    </row>
    <row r="249" spans="1:13" x14ac:dyDescent="0.25">
      <c r="A249" s="199"/>
      <c r="G249" s="170"/>
      <c r="H249" s="185">
        <v>244</v>
      </c>
      <c r="I249" s="183" t="str">
        <f t="shared" si="18"/>
        <v/>
      </c>
      <c r="J249" s="182" t="e">
        <f t="shared" si="21"/>
        <v>#NUM!</v>
      </c>
      <c r="K249" s="182" t="e">
        <f t="shared" si="19"/>
        <v>#NUM!</v>
      </c>
      <c r="L249" s="182"/>
      <c r="M249" s="184">
        <f t="shared" si="20"/>
        <v>0</v>
      </c>
    </row>
    <row r="250" spans="1:13" x14ac:dyDescent="0.25">
      <c r="A250" s="199"/>
      <c r="G250" s="170"/>
      <c r="H250" s="182">
        <v>245</v>
      </c>
      <c r="I250" s="183" t="str">
        <f t="shared" si="18"/>
        <v/>
      </c>
      <c r="J250" s="182" t="e">
        <f t="shared" si="21"/>
        <v>#NUM!</v>
      </c>
      <c r="K250" s="182" t="e">
        <f t="shared" si="19"/>
        <v>#NUM!</v>
      </c>
      <c r="L250" s="182"/>
      <c r="M250" s="184">
        <f t="shared" si="20"/>
        <v>0</v>
      </c>
    </row>
    <row r="251" spans="1:13" x14ac:dyDescent="0.25">
      <c r="A251" s="199"/>
      <c r="G251" s="170"/>
      <c r="H251" s="185">
        <v>246</v>
      </c>
      <c r="I251" s="183" t="str">
        <f t="shared" si="18"/>
        <v/>
      </c>
      <c r="J251" s="182" t="e">
        <f t="shared" si="21"/>
        <v>#NUM!</v>
      </c>
      <c r="K251" s="182" t="e">
        <f t="shared" si="19"/>
        <v>#NUM!</v>
      </c>
      <c r="L251" s="182"/>
      <c r="M251" s="184">
        <f t="shared" si="20"/>
        <v>0</v>
      </c>
    </row>
    <row r="252" spans="1:13" x14ac:dyDescent="0.25">
      <c r="A252" s="199"/>
      <c r="G252" s="170"/>
      <c r="H252" s="182">
        <v>247</v>
      </c>
      <c r="I252" s="183" t="str">
        <f t="shared" si="18"/>
        <v/>
      </c>
      <c r="J252" s="182" t="e">
        <f t="shared" si="21"/>
        <v>#NUM!</v>
      </c>
      <c r="K252" s="182" t="e">
        <f t="shared" si="19"/>
        <v>#NUM!</v>
      </c>
      <c r="L252" s="182"/>
      <c r="M252" s="184">
        <f t="shared" si="20"/>
        <v>0</v>
      </c>
    </row>
    <row r="253" spans="1:13" x14ac:dyDescent="0.25">
      <c r="A253" s="199"/>
      <c r="G253" s="170"/>
      <c r="H253" s="185">
        <v>248</v>
      </c>
      <c r="I253" s="183" t="str">
        <f t="shared" si="18"/>
        <v/>
      </c>
      <c r="J253" s="182" t="e">
        <f t="shared" si="21"/>
        <v>#NUM!</v>
      </c>
      <c r="K253" s="182" t="e">
        <f t="shared" si="19"/>
        <v>#NUM!</v>
      </c>
      <c r="L253" s="182"/>
      <c r="M253" s="184">
        <f t="shared" si="20"/>
        <v>0</v>
      </c>
    </row>
    <row r="254" spans="1:13" x14ac:dyDescent="0.25">
      <c r="A254" s="199"/>
      <c r="G254" s="170"/>
      <c r="H254" s="182">
        <v>249</v>
      </c>
      <c r="I254" s="183" t="str">
        <f t="shared" si="18"/>
        <v/>
      </c>
      <c r="J254" s="182" t="e">
        <f t="shared" si="21"/>
        <v>#NUM!</v>
      </c>
      <c r="K254" s="182" t="e">
        <f t="shared" si="19"/>
        <v>#NUM!</v>
      </c>
      <c r="L254" s="182"/>
      <c r="M254" s="184">
        <f t="shared" si="20"/>
        <v>0</v>
      </c>
    </row>
    <row r="255" spans="1:13" x14ac:dyDescent="0.25">
      <c r="A255" s="199"/>
      <c r="G255" s="170"/>
      <c r="H255" s="185">
        <v>250</v>
      </c>
      <c r="I255" s="183" t="str">
        <f t="shared" si="18"/>
        <v/>
      </c>
      <c r="J255" s="182" t="e">
        <f t="shared" si="21"/>
        <v>#NUM!</v>
      </c>
      <c r="K255" s="182" t="e">
        <f t="shared" si="19"/>
        <v>#NUM!</v>
      </c>
      <c r="L255" s="182"/>
      <c r="M255" s="184">
        <f t="shared" si="20"/>
        <v>0</v>
      </c>
    </row>
    <row r="256" spans="1:13" x14ac:dyDescent="0.25">
      <c r="A256" s="199"/>
      <c r="G256" s="170"/>
      <c r="H256" s="182">
        <v>251</v>
      </c>
      <c r="I256" s="183" t="str">
        <f t="shared" si="18"/>
        <v/>
      </c>
      <c r="J256" s="182" t="e">
        <f t="shared" si="21"/>
        <v>#NUM!</v>
      </c>
      <c r="K256" s="182" t="e">
        <f t="shared" si="19"/>
        <v>#NUM!</v>
      </c>
      <c r="L256" s="182"/>
      <c r="M256" s="184">
        <f t="shared" si="20"/>
        <v>0</v>
      </c>
    </row>
    <row r="257" spans="1:13" x14ac:dyDescent="0.25">
      <c r="A257" s="199"/>
      <c r="G257" s="170"/>
      <c r="H257" s="185">
        <v>252</v>
      </c>
      <c r="I257" s="183" t="str">
        <f t="shared" si="18"/>
        <v/>
      </c>
      <c r="J257" s="182" t="e">
        <f t="shared" si="21"/>
        <v>#NUM!</v>
      </c>
      <c r="K257" s="182" t="e">
        <f t="shared" si="19"/>
        <v>#NUM!</v>
      </c>
      <c r="L257" s="182"/>
      <c r="M257" s="184">
        <f t="shared" si="20"/>
        <v>0</v>
      </c>
    </row>
    <row r="258" spans="1:13" x14ac:dyDescent="0.25">
      <c r="A258" s="199"/>
      <c r="G258" s="170"/>
      <c r="H258" s="182">
        <v>253</v>
      </c>
      <c r="I258" s="183" t="str">
        <f t="shared" si="18"/>
        <v/>
      </c>
      <c r="J258" s="182" t="e">
        <f t="shared" si="21"/>
        <v>#NUM!</v>
      </c>
      <c r="K258" s="182" t="e">
        <f t="shared" si="19"/>
        <v>#NUM!</v>
      </c>
      <c r="L258" s="182"/>
      <c r="M258" s="184">
        <f t="shared" si="20"/>
        <v>0</v>
      </c>
    </row>
    <row r="259" spans="1:13" x14ac:dyDescent="0.25">
      <c r="A259" s="199"/>
      <c r="G259" s="170"/>
      <c r="H259" s="185">
        <v>254</v>
      </c>
      <c r="I259" s="183" t="str">
        <f t="shared" si="18"/>
        <v/>
      </c>
      <c r="J259" s="182" t="e">
        <f t="shared" si="21"/>
        <v>#NUM!</v>
      </c>
      <c r="K259" s="182" t="e">
        <f t="shared" si="19"/>
        <v>#NUM!</v>
      </c>
      <c r="L259" s="182"/>
      <c r="M259" s="184">
        <f t="shared" si="20"/>
        <v>0</v>
      </c>
    </row>
    <row r="260" spans="1:13" x14ac:dyDescent="0.25">
      <c r="A260" s="199"/>
      <c r="G260" s="170"/>
      <c r="H260" s="182">
        <v>255</v>
      </c>
      <c r="I260" s="183" t="str">
        <f t="shared" si="18"/>
        <v/>
      </c>
      <c r="J260" s="182" t="e">
        <f t="shared" si="21"/>
        <v>#NUM!</v>
      </c>
      <c r="K260" s="182" t="e">
        <f t="shared" si="19"/>
        <v>#NUM!</v>
      </c>
      <c r="L260" s="182"/>
      <c r="M260" s="184">
        <f t="shared" si="20"/>
        <v>0</v>
      </c>
    </row>
    <row r="261" spans="1:13" x14ac:dyDescent="0.25">
      <c r="A261" s="199"/>
      <c r="G261" s="170"/>
      <c r="H261" s="185">
        <v>256</v>
      </c>
      <c r="I261" s="183" t="str">
        <f t="shared" si="18"/>
        <v/>
      </c>
      <c r="J261" s="182" t="e">
        <f t="shared" si="21"/>
        <v>#NUM!</v>
      </c>
      <c r="K261" s="182" t="e">
        <f t="shared" si="19"/>
        <v>#NUM!</v>
      </c>
      <c r="L261" s="182"/>
      <c r="M261" s="184">
        <f t="shared" si="20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22">IF(H262&lt;$H$2+1,($I$2-($I$2-1)*(LOG(H262)/LOG($H$2))),"")</f>
        <v/>
      </c>
      <c r="J262" s="182" t="e">
        <f t="shared" si="21"/>
        <v>#NUM!</v>
      </c>
      <c r="K262" s="182" t="e">
        <f t="shared" ref="K262:K305" si="23">J262*$J$2</f>
        <v>#NUM!</v>
      </c>
      <c r="L262" s="182"/>
      <c r="M262" s="184">
        <f t="shared" ref="M262:M305" si="24">IF(I262&lt;&gt;"",K262+I262+L262,0)</f>
        <v>0</v>
      </c>
    </row>
    <row r="263" spans="1:13" x14ac:dyDescent="0.25">
      <c r="A263" s="199"/>
      <c r="G263" s="170"/>
      <c r="H263" s="185">
        <v>258</v>
      </c>
      <c r="I263" s="183" t="str">
        <f t="shared" si="22"/>
        <v/>
      </c>
      <c r="J263" s="182" t="e">
        <f t="shared" ref="J263:J305" si="25">INT(LOG($H$2,2))-ROUNDUP(LOG(H263,2),0)+IF(OR($H$2=1,$H$2=2,$H$2=4,$H$2=8,$H$2=16,$H$2=32,$H$2=64,$H$2=128,$H$2=256),0,1)</f>
        <v>#NUM!</v>
      </c>
      <c r="K263" s="182" t="e">
        <f t="shared" si="23"/>
        <v>#NUM!</v>
      </c>
      <c r="L263" s="182"/>
      <c r="M263" s="184">
        <f t="shared" si="24"/>
        <v>0</v>
      </c>
    </row>
    <row r="264" spans="1:13" x14ac:dyDescent="0.25">
      <c r="A264" s="199"/>
      <c r="G264" s="170"/>
      <c r="H264" s="182">
        <v>259</v>
      </c>
      <c r="I264" s="183" t="str">
        <f t="shared" si="22"/>
        <v/>
      </c>
      <c r="J264" s="182" t="e">
        <f t="shared" si="25"/>
        <v>#NUM!</v>
      </c>
      <c r="K264" s="182" t="e">
        <f t="shared" si="23"/>
        <v>#NUM!</v>
      </c>
      <c r="L264" s="182"/>
      <c r="M264" s="184">
        <f t="shared" si="24"/>
        <v>0</v>
      </c>
    </row>
    <row r="265" spans="1:13" x14ac:dyDescent="0.25">
      <c r="A265" s="199"/>
      <c r="G265" s="170"/>
      <c r="H265" s="185">
        <v>260</v>
      </c>
      <c r="I265" s="183" t="str">
        <f t="shared" si="22"/>
        <v/>
      </c>
      <c r="J265" s="182" t="e">
        <f t="shared" si="25"/>
        <v>#NUM!</v>
      </c>
      <c r="K265" s="182" t="e">
        <f t="shared" si="23"/>
        <v>#NUM!</v>
      </c>
      <c r="L265" s="182"/>
      <c r="M265" s="184">
        <f t="shared" si="24"/>
        <v>0</v>
      </c>
    </row>
    <row r="266" spans="1:13" x14ac:dyDescent="0.25">
      <c r="A266" s="199"/>
      <c r="G266" s="170"/>
      <c r="H266" s="182">
        <v>261</v>
      </c>
      <c r="I266" s="183" t="str">
        <f t="shared" si="22"/>
        <v/>
      </c>
      <c r="J266" s="182" t="e">
        <f t="shared" si="25"/>
        <v>#NUM!</v>
      </c>
      <c r="K266" s="182" t="e">
        <f t="shared" si="23"/>
        <v>#NUM!</v>
      </c>
      <c r="L266" s="182"/>
      <c r="M266" s="184">
        <f t="shared" si="24"/>
        <v>0</v>
      </c>
    </row>
    <row r="267" spans="1:13" x14ac:dyDescent="0.25">
      <c r="A267" s="199"/>
      <c r="G267" s="170"/>
      <c r="H267" s="185">
        <v>262</v>
      </c>
      <c r="I267" s="183" t="str">
        <f t="shared" si="22"/>
        <v/>
      </c>
      <c r="J267" s="182" t="e">
        <f t="shared" si="25"/>
        <v>#NUM!</v>
      </c>
      <c r="K267" s="182" t="e">
        <f t="shared" si="23"/>
        <v>#NUM!</v>
      </c>
      <c r="L267" s="182"/>
      <c r="M267" s="184">
        <f t="shared" si="24"/>
        <v>0</v>
      </c>
    </row>
    <row r="268" spans="1:13" x14ac:dyDescent="0.25">
      <c r="A268" s="199"/>
      <c r="G268" s="170"/>
      <c r="H268" s="182">
        <v>263</v>
      </c>
      <c r="I268" s="183" t="str">
        <f t="shared" si="22"/>
        <v/>
      </c>
      <c r="J268" s="182" t="e">
        <f t="shared" si="25"/>
        <v>#NUM!</v>
      </c>
      <c r="K268" s="182" t="e">
        <f t="shared" si="23"/>
        <v>#NUM!</v>
      </c>
      <c r="L268" s="182"/>
      <c r="M268" s="184">
        <f t="shared" si="24"/>
        <v>0</v>
      </c>
    </row>
    <row r="269" spans="1:13" x14ac:dyDescent="0.25">
      <c r="A269" s="199"/>
      <c r="G269" s="170"/>
      <c r="H269" s="185">
        <v>264</v>
      </c>
      <c r="I269" s="183" t="str">
        <f t="shared" si="22"/>
        <v/>
      </c>
      <c r="J269" s="182" t="e">
        <f t="shared" si="25"/>
        <v>#NUM!</v>
      </c>
      <c r="K269" s="182" t="e">
        <f t="shared" si="23"/>
        <v>#NUM!</v>
      </c>
      <c r="L269" s="182"/>
      <c r="M269" s="184">
        <f t="shared" si="24"/>
        <v>0</v>
      </c>
    </row>
    <row r="270" spans="1:13" x14ac:dyDescent="0.25">
      <c r="A270" s="199"/>
      <c r="G270" s="170"/>
      <c r="H270" s="182">
        <v>265</v>
      </c>
      <c r="I270" s="183" t="str">
        <f t="shared" si="22"/>
        <v/>
      </c>
      <c r="J270" s="182" t="e">
        <f t="shared" si="25"/>
        <v>#NUM!</v>
      </c>
      <c r="K270" s="182" t="e">
        <f t="shared" si="23"/>
        <v>#NUM!</v>
      </c>
      <c r="L270" s="182"/>
      <c r="M270" s="184">
        <f t="shared" si="24"/>
        <v>0</v>
      </c>
    </row>
    <row r="271" spans="1:13" x14ac:dyDescent="0.25">
      <c r="A271" s="199"/>
      <c r="G271" s="170"/>
      <c r="H271" s="185">
        <v>266</v>
      </c>
      <c r="I271" s="183" t="str">
        <f t="shared" si="22"/>
        <v/>
      </c>
      <c r="J271" s="182" t="e">
        <f t="shared" si="25"/>
        <v>#NUM!</v>
      </c>
      <c r="K271" s="182" t="e">
        <f t="shared" si="23"/>
        <v>#NUM!</v>
      </c>
      <c r="L271" s="182"/>
      <c r="M271" s="184">
        <f t="shared" si="24"/>
        <v>0</v>
      </c>
    </row>
    <row r="272" spans="1:13" x14ac:dyDescent="0.25">
      <c r="A272" s="199"/>
      <c r="G272" s="170"/>
      <c r="H272" s="182">
        <v>267</v>
      </c>
      <c r="I272" s="183" t="str">
        <f t="shared" si="22"/>
        <v/>
      </c>
      <c r="J272" s="182" t="e">
        <f t="shared" si="25"/>
        <v>#NUM!</v>
      </c>
      <c r="K272" s="182" t="e">
        <f t="shared" si="23"/>
        <v>#NUM!</v>
      </c>
      <c r="L272" s="182"/>
      <c r="M272" s="184">
        <f t="shared" si="24"/>
        <v>0</v>
      </c>
    </row>
    <row r="273" spans="1:13" x14ac:dyDescent="0.25">
      <c r="A273" s="199"/>
      <c r="G273" s="170"/>
      <c r="H273" s="185">
        <v>268</v>
      </c>
      <c r="I273" s="183" t="str">
        <f t="shared" si="22"/>
        <v/>
      </c>
      <c r="J273" s="182" t="e">
        <f t="shared" si="25"/>
        <v>#NUM!</v>
      </c>
      <c r="K273" s="182" t="e">
        <f t="shared" si="23"/>
        <v>#NUM!</v>
      </c>
      <c r="L273" s="182"/>
      <c r="M273" s="184">
        <f t="shared" si="24"/>
        <v>0</v>
      </c>
    </row>
    <row r="274" spans="1:13" x14ac:dyDescent="0.25">
      <c r="A274" s="199"/>
      <c r="G274" s="170"/>
      <c r="H274" s="182">
        <v>269</v>
      </c>
      <c r="I274" s="183" t="str">
        <f t="shared" si="22"/>
        <v/>
      </c>
      <c r="J274" s="182" t="e">
        <f t="shared" si="25"/>
        <v>#NUM!</v>
      </c>
      <c r="K274" s="182" t="e">
        <f t="shared" si="23"/>
        <v>#NUM!</v>
      </c>
      <c r="L274" s="182"/>
      <c r="M274" s="184">
        <f t="shared" si="24"/>
        <v>0</v>
      </c>
    </row>
    <row r="275" spans="1:13" x14ac:dyDescent="0.25">
      <c r="A275" s="199"/>
      <c r="G275" s="170"/>
      <c r="H275" s="185">
        <v>270</v>
      </c>
      <c r="I275" s="183" t="str">
        <f t="shared" si="22"/>
        <v/>
      </c>
      <c r="J275" s="182" t="e">
        <f t="shared" si="25"/>
        <v>#NUM!</v>
      </c>
      <c r="K275" s="182" t="e">
        <f t="shared" si="23"/>
        <v>#NUM!</v>
      </c>
      <c r="L275" s="182"/>
      <c r="M275" s="184">
        <f t="shared" si="24"/>
        <v>0</v>
      </c>
    </row>
    <row r="276" spans="1:13" x14ac:dyDescent="0.25">
      <c r="A276" s="199"/>
      <c r="G276" s="170"/>
      <c r="H276" s="182">
        <v>271</v>
      </c>
      <c r="I276" s="183" t="str">
        <f t="shared" si="22"/>
        <v/>
      </c>
      <c r="J276" s="182" t="e">
        <f t="shared" si="25"/>
        <v>#NUM!</v>
      </c>
      <c r="K276" s="182" t="e">
        <f t="shared" si="23"/>
        <v>#NUM!</v>
      </c>
      <c r="L276" s="182"/>
      <c r="M276" s="184">
        <f t="shared" si="24"/>
        <v>0</v>
      </c>
    </row>
    <row r="277" spans="1:13" x14ac:dyDescent="0.25">
      <c r="A277" s="199"/>
      <c r="G277" s="170"/>
      <c r="H277" s="185">
        <v>272</v>
      </c>
      <c r="I277" s="183" t="str">
        <f t="shared" si="22"/>
        <v/>
      </c>
      <c r="J277" s="182" t="e">
        <f t="shared" si="25"/>
        <v>#NUM!</v>
      </c>
      <c r="K277" s="182" t="e">
        <f t="shared" si="23"/>
        <v>#NUM!</v>
      </c>
      <c r="L277" s="182"/>
      <c r="M277" s="184">
        <f t="shared" si="24"/>
        <v>0</v>
      </c>
    </row>
    <row r="278" spans="1:13" x14ac:dyDescent="0.25">
      <c r="A278" s="199"/>
      <c r="G278" s="170"/>
      <c r="H278" s="182">
        <v>273</v>
      </c>
      <c r="I278" s="183" t="str">
        <f t="shared" si="22"/>
        <v/>
      </c>
      <c r="J278" s="182" t="e">
        <f t="shared" si="25"/>
        <v>#NUM!</v>
      </c>
      <c r="K278" s="182" t="e">
        <f t="shared" si="23"/>
        <v>#NUM!</v>
      </c>
      <c r="L278" s="182"/>
      <c r="M278" s="184">
        <f t="shared" si="24"/>
        <v>0</v>
      </c>
    </row>
    <row r="279" spans="1:13" x14ac:dyDescent="0.25">
      <c r="A279" s="199"/>
      <c r="G279" s="170"/>
      <c r="H279" s="185">
        <v>274</v>
      </c>
      <c r="I279" s="183" t="str">
        <f t="shared" si="22"/>
        <v/>
      </c>
      <c r="J279" s="182" t="e">
        <f t="shared" si="25"/>
        <v>#NUM!</v>
      </c>
      <c r="K279" s="182" t="e">
        <f t="shared" si="23"/>
        <v>#NUM!</v>
      </c>
      <c r="L279" s="182"/>
      <c r="M279" s="184">
        <f t="shared" si="24"/>
        <v>0</v>
      </c>
    </row>
    <row r="280" spans="1:13" x14ac:dyDescent="0.25">
      <c r="A280" s="199"/>
      <c r="G280" s="170"/>
      <c r="H280" s="182">
        <v>275</v>
      </c>
      <c r="I280" s="183" t="str">
        <f t="shared" si="22"/>
        <v/>
      </c>
      <c r="J280" s="182" t="e">
        <f t="shared" si="25"/>
        <v>#NUM!</v>
      </c>
      <c r="K280" s="182" t="e">
        <f t="shared" si="23"/>
        <v>#NUM!</v>
      </c>
      <c r="L280" s="182"/>
      <c r="M280" s="184">
        <f t="shared" si="24"/>
        <v>0</v>
      </c>
    </row>
    <row r="281" spans="1:13" x14ac:dyDescent="0.25">
      <c r="A281" s="199"/>
      <c r="G281" s="170"/>
      <c r="H281" s="185">
        <v>276</v>
      </c>
      <c r="I281" s="183" t="str">
        <f t="shared" si="22"/>
        <v/>
      </c>
      <c r="J281" s="182" t="e">
        <f t="shared" si="25"/>
        <v>#NUM!</v>
      </c>
      <c r="K281" s="182" t="e">
        <f t="shared" si="23"/>
        <v>#NUM!</v>
      </c>
      <c r="L281" s="182"/>
      <c r="M281" s="184">
        <f t="shared" si="24"/>
        <v>0</v>
      </c>
    </row>
    <row r="282" spans="1:13" x14ac:dyDescent="0.25">
      <c r="A282" s="199"/>
      <c r="G282" s="170"/>
      <c r="H282" s="182">
        <v>277</v>
      </c>
      <c r="I282" s="183" t="str">
        <f t="shared" si="22"/>
        <v/>
      </c>
      <c r="J282" s="182" t="e">
        <f t="shared" si="25"/>
        <v>#NUM!</v>
      </c>
      <c r="K282" s="182" t="e">
        <f t="shared" si="23"/>
        <v>#NUM!</v>
      </c>
      <c r="L282" s="182"/>
      <c r="M282" s="184">
        <f t="shared" si="24"/>
        <v>0</v>
      </c>
    </row>
    <row r="283" spans="1:13" x14ac:dyDescent="0.25">
      <c r="A283" s="199"/>
      <c r="G283" s="170"/>
      <c r="H283" s="185">
        <v>278</v>
      </c>
      <c r="I283" s="183" t="str">
        <f t="shared" si="22"/>
        <v/>
      </c>
      <c r="J283" s="182" t="e">
        <f t="shared" si="25"/>
        <v>#NUM!</v>
      </c>
      <c r="K283" s="182" t="e">
        <f t="shared" si="23"/>
        <v>#NUM!</v>
      </c>
      <c r="L283" s="182"/>
      <c r="M283" s="184">
        <f t="shared" si="24"/>
        <v>0</v>
      </c>
    </row>
    <row r="284" spans="1:13" x14ac:dyDescent="0.25">
      <c r="A284" s="199"/>
      <c r="G284" s="170"/>
      <c r="H284" s="182">
        <v>279</v>
      </c>
      <c r="I284" s="183" t="str">
        <f t="shared" si="22"/>
        <v/>
      </c>
      <c r="J284" s="182" t="e">
        <f t="shared" si="25"/>
        <v>#NUM!</v>
      </c>
      <c r="K284" s="182" t="e">
        <f t="shared" si="23"/>
        <v>#NUM!</v>
      </c>
      <c r="L284" s="182"/>
      <c r="M284" s="184">
        <f t="shared" si="24"/>
        <v>0</v>
      </c>
    </row>
    <row r="285" spans="1:13" x14ac:dyDescent="0.25">
      <c r="A285" s="199"/>
      <c r="G285" s="170"/>
      <c r="H285" s="185">
        <v>280</v>
      </c>
      <c r="I285" s="183" t="str">
        <f t="shared" si="22"/>
        <v/>
      </c>
      <c r="J285" s="182" t="e">
        <f t="shared" si="25"/>
        <v>#NUM!</v>
      </c>
      <c r="K285" s="182" t="e">
        <f t="shared" si="23"/>
        <v>#NUM!</v>
      </c>
      <c r="L285" s="182"/>
      <c r="M285" s="184">
        <f t="shared" si="24"/>
        <v>0</v>
      </c>
    </row>
    <row r="286" spans="1:13" x14ac:dyDescent="0.25">
      <c r="A286" s="199"/>
      <c r="G286" s="170"/>
      <c r="H286" s="182">
        <v>281</v>
      </c>
      <c r="I286" s="183" t="str">
        <f t="shared" si="22"/>
        <v/>
      </c>
      <c r="J286" s="182" t="e">
        <f t="shared" si="25"/>
        <v>#NUM!</v>
      </c>
      <c r="K286" s="182" t="e">
        <f t="shared" si="23"/>
        <v>#NUM!</v>
      </c>
      <c r="L286" s="182"/>
      <c r="M286" s="184">
        <f t="shared" si="24"/>
        <v>0</v>
      </c>
    </row>
    <row r="287" spans="1:13" x14ac:dyDescent="0.25">
      <c r="A287" s="199"/>
      <c r="G287" s="170"/>
      <c r="H287" s="185">
        <v>282</v>
      </c>
      <c r="I287" s="183" t="str">
        <f t="shared" si="22"/>
        <v/>
      </c>
      <c r="J287" s="182" t="e">
        <f t="shared" si="25"/>
        <v>#NUM!</v>
      </c>
      <c r="K287" s="182" t="e">
        <f t="shared" si="23"/>
        <v>#NUM!</v>
      </c>
      <c r="L287" s="182"/>
      <c r="M287" s="184">
        <f t="shared" si="24"/>
        <v>0</v>
      </c>
    </row>
    <row r="288" spans="1:13" x14ac:dyDescent="0.25">
      <c r="A288" s="199"/>
      <c r="G288" s="170"/>
      <c r="H288" s="182">
        <v>283</v>
      </c>
      <c r="I288" s="183" t="str">
        <f t="shared" si="22"/>
        <v/>
      </c>
      <c r="J288" s="182" t="e">
        <f t="shared" si="25"/>
        <v>#NUM!</v>
      </c>
      <c r="K288" s="182" t="e">
        <f t="shared" si="23"/>
        <v>#NUM!</v>
      </c>
      <c r="L288" s="182"/>
      <c r="M288" s="184">
        <f t="shared" si="24"/>
        <v>0</v>
      </c>
    </row>
    <row r="289" spans="1:13" x14ac:dyDescent="0.25">
      <c r="A289" s="199"/>
      <c r="G289" s="170"/>
      <c r="H289" s="185">
        <v>284</v>
      </c>
      <c r="I289" s="183" t="str">
        <f t="shared" si="22"/>
        <v/>
      </c>
      <c r="J289" s="182" t="e">
        <f t="shared" si="25"/>
        <v>#NUM!</v>
      </c>
      <c r="K289" s="182" t="e">
        <f t="shared" si="23"/>
        <v>#NUM!</v>
      </c>
      <c r="L289" s="182"/>
      <c r="M289" s="184">
        <f t="shared" si="24"/>
        <v>0</v>
      </c>
    </row>
    <row r="290" spans="1:13" x14ac:dyDescent="0.25">
      <c r="A290" s="199"/>
      <c r="G290" s="170"/>
      <c r="H290" s="182">
        <v>285</v>
      </c>
      <c r="I290" s="183" t="str">
        <f t="shared" si="22"/>
        <v/>
      </c>
      <c r="J290" s="182" t="e">
        <f t="shared" si="25"/>
        <v>#NUM!</v>
      </c>
      <c r="K290" s="182" t="e">
        <f t="shared" si="23"/>
        <v>#NUM!</v>
      </c>
      <c r="L290" s="182"/>
      <c r="M290" s="184">
        <f t="shared" si="24"/>
        <v>0</v>
      </c>
    </row>
    <row r="291" spans="1:13" x14ac:dyDescent="0.25">
      <c r="A291" s="199"/>
      <c r="G291" s="170"/>
      <c r="H291" s="185">
        <v>286</v>
      </c>
      <c r="I291" s="183" t="str">
        <f t="shared" si="22"/>
        <v/>
      </c>
      <c r="J291" s="182" t="e">
        <f t="shared" si="25"/>
        <v>#NUM!</v>
      </c>
      <c r="K291" s="182" t="e">
        <f t="shared" si="23"/>
        <v>#NUM!</v>
      </c>
      <c r="L291" s="182"/>
      <c r="M291" s="184">
        <f t="shared" si="24"/>
        <v>0</v>
      </c>
    </row>
    <row r="292" spans="1:13" x14ac:dyDescent="0.25">
      <c r="A292" s="199"/>
      <c r="G292" s="170"/>
      <c r="H292" s="182">
        <v>287</v>
      </c>
      <c r="I292" s="183" t="str">
        <f t="shared" si="22"/>
        <v/>
      </c>
      <c r="J292" s="182" t="e">
        <f t="shared" si="25"/>
        <v>#NUM!</v>
      </c>
      <c r="K292" s="182" t="e">
        <f t="shared" si="23"/>
        <v>#NUM!</v>
      </c>
      <c r="L292" s="182"/>
      <c r="M292" s="184">
        <f t="shared" si="24"/>
        <v>0</v>
      </c>
    </row>
    <row r="293" spans="1:13" x14ac:dyDescent="0.25">
      <c r="A293" s="199"/>
      <c r="G293" s="170"/>
      <c r="H293" s="182">
        <v>288</v>
      </c>
      <c r="I293" s="183" t="str">
        <f t="shared" si="22"/>
        <v/>
      </c>
      <c r="J293" s="182" t="e">
        <f t="shared" si="25"/>
        <v>#NUM!</v>
      </c>
      <c r="K293" s="182" t="e">
        <f t="shared" si="23"/>
        <v>#NUM!</v>
      </c>
      <c r="L293" s="182"/>
      <c r="M293" s="184">
        <f t="shared" si="24"/>
        <v>0</v>
      </c>
    </row>
    <row r="294" spans="1:13" x14ac:dyDescent="0.25">
      <c r="A294" s="199"/>
      <c r="G294" s="170"/>
      <c r="H294" s="182">
        <v>289</v>
      </c>
      <c r="I294" s="183" t="str">
        <f t="shared" si="22"/>
        <v/>
      </c>
      <c r="J294" s="182" t="e">
        <f t="shared" si="25"/>
        <v>#NUM!</v>
      </c>
      <c r="K294" s="182" t="e">
        <f t="shared" si="23"/>
        <v>#NUM!</v>
      </c>
      <c r="L294" s="182"/>
      <c r="M294" s="184">
        <f t="shared" si="24"/>
        <v>0</v>
      </c>
    </row>
    <row r="295" spans="1:13" x14ac:dyDescent="0.25">
      <c r="A295" s="199"/>
      <c r="G295" s="170"/>
      <c r="H295" s="182">
        <v>290</v>
      </c>
      <c r="I295" s="183" t="str">
        <f t="shared" si="22"/>
        <v/>
      </c>
      <c r="J295" s="182" t="e">
        <f t="shared" si="25"/>
        <v>#NUM!</v>
      </c>
      <c r="K295" s="182" t="e">
        <f t="shared" si="23"/>
        <v>#NUM!</v>
      </c>
      <c r="L295" s="182"/>
      <c r="M295" s="184">
        <f t="shared" si="24"/>
        <v>0</v>
      </c>
    </row>
    <row r="296" spans="1:13" x14ac:dyDescent="0.25">
      <c r="A296" s="199"/>
      <c r="G296" s="170"/>
      <c r="H296" s="182">
        <v>291</v>
      </c>
      <c r="I296" s="183" t="str">
        <f t="shared" si="22"/>
        <v/>
      </c>
      <c r="J296" s="182" t="e">
        <f t="shared" si="25"/>
        <v>#NUM!</v>
      </c>
      <c r="K296" s="182" t="e">
        <f t="shared" si="23"/>
        <v>#NUM!</v>
      </c>
      <c r="L296" s="182"/>
      <c r="M296" s="184">
        <f t="shared" si="24"/>
        <v>0</v>
      </c>
    </row>
    <row r="297" spans="1:13" x14ac:dyDescent="0.25">
      <c r="A297" s="199"/>
      <c r="G297" s="170"/>
      <c r="H297" s="182">
        <v>292</v>
      </c>
      <c r="I297" s="183" t="str">
        <f t="shared" si="22"/>
        <v/>
      </c>
      <c r="J297" s="182" t="e">
        <f t="shared" si="25"/>
        <v>#NUM!</v>
      </c>
      <c r="K297" s="182" t="e">
        <f t="shared" si="23"/>
        <v>#NUM!</v>
      </c>
      <c r="L297" s="182"/>
      <c r="M297" s="184">
        <f t="shared" si="24"/>
        <v>0</v>
      </c>
    </row>
    <row r="298" spans="1:13" x14ac:dyDescent="0.25">
      <c r="A298" s="199"/>
      <c r="G298" s="170"/>
      <c r="H298" s="182">
        <v>293</v>
      </c>
      <c r="I298" s="183" t="str">
        <f t="shared" si="22"/>
        <v/>
      </c>
      <c r="J298" s="182" t="e">
        <f t="shared" si="25"/>
        <v>#NUM!</v>
      </c>
      <c r="K298" s="182" t="e">
        <f t="shared" si="23"/>
        <v>#NUM!</v>
      </c>
      <c r="L298" s="182"/>
      <c r="M298" s="184">
        <f t="shared" si="24"/>
        <v>0</v>
      </c>
    </row>
    <row r="299" spans="1:13" x14ac:dyDescent="0.25">
      <c r="A299" s="199"/>
      <c r="G299" s="170"/>
      <c r="H299" s="182">
        <v>294</v>
      </c>
      <c r="I299" s="183" t="str">
        <f t="shared" si="22"/>
        <v/>
      </c>
      <c r="J299" s="182" t="e">
        <f t="shared" si="25"/>
        <v>#NUM!</v>
      </c>
      <c r="K299" s="182" t="e">
        <f t="shared" si="23"/>
        <v>#NUM!</v>
      </c>
      <c r="L299" s="182"/>
      <c r="M299" s="184">
        <f t="shared" si="24"/>
        <v>0</v>
      </c>
    </row>
    <row r="300" spans="1:13" x14ac:dyDescent="0.25">
      <c r="A300" s="199"/>
      <c r="G300" s="170"/>
      <c r="H300" s="182">
        <v>295</v>
      </c>
      <c r="I300" s="183" t="str">
        <f t="shared" si="22"/>
        <v/>
      </c>
      <c r="J300" s="182" t="e">
        <f t="shared" si="25"/>
        <v>#NUM!</v>
      </c>
      <c r="K300" s="182" t="e">
        <f t="shared" si="23"/>
        <v>#NUM!</v>
      </c>
      <c r="L300" s="182"/>
      <c r="M300" s="184">
        <f t="shared" si="24"/>
        <v>0</v>
      </c>
    </row>
    <row r="301" spans="1:13" x14ac:dyDescent="0.25">
      <c r="A301" s="199"/>
      <c r="G301" s="170"/>
      <c r="H301" s="182">
        <v>296</v>
      </c>
      <c r="I301" s="183" t="str">
        <f t="shared" si="22"/>
        <v/>
      </c>
      <c r="J301" s="182" t="e">
        <f t="shared" si="25"/>
        <v>#NUM!</v>
      </c>
      <c r="K301" s="182" t="e">
        <f t="shared" si="23"/>
        <v>#NUM!</v>
      </c>
      <c r="L301" s="182"/>
      <c r="M301" s="184">
        <f t="shared" si="24"/>
        <v>0</v>
      </c>
    </row>
    <row r="302" spans="1:13" x14ac:dyDescent="0.25">
      <c r="A302" s="199"/>
      <c r="G302" s="170"/>
      <c r="H302" s="182">
        <v>297</v>
      </c>
      <c r="I302" s="183" t="str">
        <f t="shared" si="22"/>
        <v/>
      </c>
      <c r="J302" s="182" t="e">
        <f t="shared" si="25"/>
        <v>#NUM!</v>
      </c>
      <c r="K302" s="182" t="e">
        <f t="shared" si="23"/>
        <v>#NUM!</v>
      </c>
      <c r="L302" s="182"/>
      <c r="M302" s="184">
        <f t="shared" si="24"/>
        <v>0</v>
      </c>
    </row>
    <row r="303" spans="1:13" x14ac:dyDescent="0.25">
      <c r="A303" s="199"/>
      <c r="G303" s="170"/>
      <c r="H303" s="182">
        <v>298</v>
      </c>
      <c r="I303" s="183" t="str">
        <f t="shared" si="22"/>
        <v/>
      </c>
      <c r="J303" s="182" t="e">
        <f t="shared" si="25"/>
        <v>#NUM!</v>
      </c>
      <c r="K303" s="182" t="e">
        <f t="shared" si="23"/>
        <v>#NUM!</v>
      </c>
      <c r="L303" s="182"/>
      <c r="M303" s="184">
        <f t="shared" si="24"/>
        <v>0</v>
      </c>
    </row>
    <row r="304" spans="1:13" x14ac:dyDescent="0.25">
      <c r="A304" s="199"/>
      <c r="G304" s="170"/>
      <c r="H304" s="182">
        <v>299</v>
      </c>
      <c r="I304" s="183" t="str">
        <f t="shared" si="22"/>
        <v/>
      </c>
      <c r="J304" s="182" t="e">
        <f t="shared" si="25"/>
        <v>#NUM!</v>
      </c>
      <c r="K304" s="182" t="e">
        <f t="shared" si="23"/>
        <v>#NUM!</v>
      </c>
      <c r="L304" s="182"/>
      <c r="M304" s="184">
        <f t="shared" si="24"/>
        <v>0</v>
      </c>
    </row>
    <row r="305" spans="1:16" x14ac:dyDescent="0.25">
      <c r="A305" s="199"/>
      <c r="G305" s="170"/>
      <c r="H305" s="182">
        <v>300</v>
      </c>
      <c r="I305" s="183" t="str">
        <f t="shared" si="22"/>
        <v/>
      </c>
      <c r="J305" s="182" t="e">
        <f t="shared" si="25"/>
        <v>#NUM!</v>
      </c>
      <c r="K305" s="182" t="e">
        <f t="shared" si="23"/>
        <v>#NUM!</v>
      </c>
      <c r="L305" s="182"/>
      <c r="M305" s="184">
        <f t="shared" si="24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6:K305">
    <cfRule type="cellIs" dxfId="3" priority="1" operator="lessThanOrEqual">
      <formula>0</formula>
    </cfRule>
  </conditionalFormatting>
  <hyperlinks>
    <hyperlink ref="C2" r:id="rId1" xr:uid="{6A967D05-7E19-4D1C-B89E-B4269B4A242F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E862-154D-4E72-A336-939C9517DEFF}">
  <sheetPr>
    <tabColor rgb="FF92D050"/>
  </sheetPr>
  <dimension ref="A1:AM317"/>
  <sheetViews>
    <sheetView workbookViewId="0">
      <selection activeCell="C25" sqref="C25"/>
    </sheetView>
  </sheetViews>
  <sheetFormatPr defaultColWidth="8.875" defaultRowHeight="14.3" x14ac:dyDescent="0.25"/>
  <cols>
    <col min="1" max="1" width="8" style="84" customWidth="1"/>
    <col min="2" max="2" width="8.25" style="84" customWidth="1"/>
    <col min="3" max="3" width="34.75" style="84" customWidth="1"/>
    <col min="4" max="4" width="11.25" style="84" customWidth="1"/>
    <col min="5" max="6" width="8.875" style="84"/>
    <col min="7" max="7" width="0.875" style="84" customWidth="1"/>
    <col min="8" max="8" width="8.875" style="88"/>
    <col min="9" max="9" width="11" style="88" customWidth="1"/>
    <col min="10" max="10" width="15.25" style="88" customWidth="1"/>
    <col min="11" max="11" width="8.75" style="88" customWidth="1"/>
    <col min="12" max="12" width="11" style="88" customWidth="1"/>
    <col min="13" max="13" width="11.75" style="88" customWidth="1"/>
    <col min="14" max="14" width="11.75" style="87" customWidth="1"/>
    <col min="15" max="16" width="13.875" style="86" customWidth="1"/>
    <col min="17" max="19" width="8.875" style="86"/>
    <col min="20" max="21" width="8.875" style="85"/>
    <col min="22" max="22" width="12.125" style="85" customWidth="1"/>
    <col min="23" max="23" width="27.375" style="85" customWidth="1"/>
    <col min="24" max="39" width="8.875" style="85"/>
    <col min="40" max="16384" width="8.875" style="84"/>
  </cols>
  <sheetData>
    <row r="1" spans="1:37" s="85" customFormat="1" x14ac:dyDescent="0.25">
      <c r="A1" s="86"/>
      <c r="B1" s="86"/>
      <c r="C1" s="86"/>
      <c r="D1" s="86"/>
      <c r="E1" s="86"/>
      <c r="F1" s="86"/>
      <c r="G1" s="86"/>
      <c r="H1" s="124" t="s">
        <v>22</v>
      </c>
      <c r="I1" s="123" t="s">
        <v>23</v>
      </c>
      <c r="J1" s="123" t="s">
        <v>24</v>
      </c>
      <c r="K1" s="122" t="s">
        <v>64</v>
      </c>
      <c r="L1" s="129" t="s">
        <v>65</v>
      </c>
      <c r="M1" s="128"/>
      <c r="N1" s="116"/>
      <c r="O1" s="86"/>
      <c r="P1" s="86"/>
      <c r="Q1" s="86"/>
      <c r="R1" s="86"/>
      <c r="S1" s="86"/>
    </row>
    <row r="2" spans="1:37" s="85" customFormat="1" ht="14.3" customHeight="1" x14ac:dyDescent="0.25">
      <c r="A2" s="86"/>
      <c r="B2" s="22" t="s">
        <v>26</v>
      </c>
      <c r="C2" s="289" t="s">
        <v>123</v>
      </c>
      <c r="D2" s="289"/>
      <c r="E2" s="23"/>
      <c r="F2" s="23"/>
      <c r="G2" s="23"/>
      <c r="H2" s="121">
        <v>20</v>
      </c>
      <c r="I2" s="120">
        <v>50</v>
      </c>
      <c r="J2" s="120">
        <v>10</v>
      </c>
      <c r="K2" s="126">
        <f>3*H2^(1/3)</f>
        <v>8.1432528497847194</v>
      </c>
      <c r="L2" s="127">
        <v>1.2</v>
      </c>
      <c r="M2" s="116"/>
      <c r="N2" s="116"/>
      <c r="O2" s="86"/>
      <c r="P2" s="86"/>
      <c r="Q2" s="86"/>
      <c r="R2" s="86"/>
      <c r="S2" s="86"/>
    </row>
    <row r="3" spans="1:37" s="85" customFormat="1" ht="14.3" customHeight="1" x14ac:dyDescent="0.25">
      <c r="A3" s="86"/>
      <c r="B3" s="118" t="s">
        <v>28</v>
      </c>
      <c r="C3" s="290">
        <v>2023</v>
      </c>
      <c r="D3" s="290"/>
      <c r="E3" s="28"/>
      <c r="F3" s="28"/>
      <c r="G3" s="28"/>
      <c r="H3" s="116"/>
      <c r="I3" s="116"/>
      <c r="J3" s="117"/>
      <c r="K3" s="116"/>
      <c r="L3" s="116"/>
      <c r="M3" s="116"/>
      <c r="N3" s="116"/>
      <c r="O3" s="86"/>
      <c r="P3" s="86"/>
      <c r="Q3" s="86"/>
      <c r="R3" s="86"/>
      <c r="S3" s="86"/>
    </row>
    <row r="4" spans="1:37" s="85" customFormat="1" ht="10.199999999999999" customHeight="1" x14ac:dyDescent="0.25">
      <c r="A4" s="30"/>
      <c r="B4" s="28"/>
      <c r="C4" s="30"/>
      <c r="D4" s="30"/>
      <c r="E4" s="30"/>
      <c r="F4" s="30"/>
      <c r="G4" s="30"/>
      <c r="H4" s="116"/>
      <c r="I4" s="116"/>
      <c r="J4" s="117"/>
      <c r="K4" s="116"/>
      <c r="L4" s="116"/>
      <c r="M4" s="116"/>
      <c r="N4" s="116"/>
      <c r="O4" s="86"/>
      <c r="P4" s="86"/>
      <c r="Q4" s="86"/>
      <c r="R4" s="86"/>
      <c r="S4" s="86"/>
    </row>
    <row r="5" spans="1:37" s="85" customFormat="1" ht="34.65" x14ac:dyDescent="0.25">
      <c r="A5" s="1" t="s">
        <v>30</v>
      </c>
      <c r="B5" s="3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0"/>
      <c r="H5" s="113" t="s">
        <v>36</v>
      </c>
      <c r="I5" s="114" t="s">
        <v>37</v>
      </c>
      <c r="J5" s="115" t="s">
        <v>38</v>
      </c>
      <c r="K5" s="114" t="s">
        <v>39</v>
      </c>
      <c r="L5" s="114" t="s">
        <v>40</v>
      </c>
      <c r="M5" s="113" t="s">
        <v>41</v>
      </c>
      <c r="N5" s="113" t="s">
        <v>68</v>
      </c>
      <c r="O5" s="86"/>
      <c r="P5" s="86"/>
      <c r="Q5" s="86"/>
      <c r="R5" s="86"/>
      <c r="S5" s="86"/>
    </row>
    <row r="6" spans="1:37" s="85" customFormat="1" ht="14.45" customHeight="1" x14ac:dyDescent="0.25">
      <c r="A6" s="103">
        <f t="shared" ref="A6:A69" si="0">N6</f>
        <v>149.315710259225</v>
      </c>
      <c r="B6" s="36">
        <f t="shared" ref="B6:B25" si="1">IF(H6&gt;$H$2,"",(ROW()-5))</f>
        <v>1</v>
      </c>
      <c r="C6" s="37" t="s">
        <v>124</v>
      </c>
      <c r="D6" s="37" t="s">
        <v>125</v>
      </c>
      <c r="E6" s="37" t="s">
        <v>126</v>
      </c>
      <c r="F6" s="37"/>
      <c r="G6" s="30"/>
      <c r="H6" s="93">
        <v>1</v>
      </c>
      <c r="I6" s="94">
        <f t="shared" ref="I6:I69" si="2">IF(H6&lt;$H$2+1,($I$2-($I$2-1)*(LOG(H6)/LOG($H$2))),"")</f>
        <v>50</v>
      </c>
      <c r="J6" s="93">
        <f t="shared" ref="J6:J69" si="3">INT(LOG($H$2,2))-ROUNDUP(LOG(H6,2),0)+IF(OR($H$2=1,$H$2=2,$H$2=4,$H$2=8,$H$2=16,$H$2=32,$H$2=64,$H$2=128,$H$2=256),0,1)</f>
        <v>5</v>
      </c>
      <c r="K6" s="93">
        <f t="shared" ref="K6:K69" si="4">J6*$J$2</f>
        <v>50</v>
      </c>
      <c r="L6" s="92">
        <f>3*K2</f>
        <v>24.429758549354158</v>
      </c>
      <c r="M6" s="92">
        <f t="shared" ref="M6:M69" si="5">IF(I6&lt;&gt;"",K6+I6+L6,0)</f>
        <v>124.42975854935416</v>
      </c>
      <c r="N6" s="92">
        <f t="shared" ref="N6:N69" si="6">IF(I6&lt;&gt;"",M6*L$2,0)</f>
        <v>149.315710259225</v>
      </c>
      <c r="O6" s="86"/>
      <c r="P6" s="86"/>
      <c r="Q6" s="86"/>
      <c r="R6" s="86"/>
      <c r="S6" s="86"/>
    </row>
    <row r="7" spans="1:37" s="85" customFormat="1" ht="14.45" customHeight="1" x14ac:dyDescent="0.25">
      <c r="A7" s="102">
        <f t="shared" si="0"/>
        <v>113.93876790568949</v>
      </c>
      <c r="B7" s="42">
        <f t="shared" si="1"/>
        <v>2</v>
      </c>
      <c r="C7" s="43" t="s">
        <v>127</v>
      </c>
      <c r="D7" s="43" t="s">
        <v>128</v>
      </c>
      <c r="E7" s="43" t="s">
        <v>129</v>
      </c>
      <c r="F7" s="43"/>
      <c r="G7" s="30"/>
      <c r="H7" s="98">
        <v>2</v>
      </c>
      <c r="I7" s="99">
        <f t="shared" si="2"/>
        <v>38.662467555171801</v>
      </c>
      <c r="J7" s="98">
        <f t="shared" si="3"/>
        <v>4</v>
      </c>
      <c r="K7" s="98">
        <f t="shared" si="4"/>
        <v>40</v>
      </c>
      <c r="L7" s="97">
        <f>2*K2</f>
        <v>16.286505699569439</v>
      </c>
      <c r="M7" s="97">
        <f t="shared" si="5"/>
        <v>94.948973254741247</v>
      </c>
      <c r="N7" s="97">
        <f t="shared" si="6"/>
        <v>113.93876790568949</v>
      </c>
      <c r="O7" s="86"/>
      <c r="P7" s="86"/>
      <c r="Q7" s="86"/>
      <c r="R7" s="86"/>
      <c r="S7" s="86"/>
    </row>
    <row r="8" spans="1:37" s="85" customFormat="1" ht="14.45" customHeight="1" x14ac:dyDescent="0.25">
      <c r="A8" s="103">
        <f t="shared" si="0"/>
        <v>84.208426888827091</v>
      </c>
      <c r="B8" s="36">
        <f t="shared" si="1"/>
        <v>3</v>
      </c>
      <c r="C8" s="37" t="s">
        <v>130</v>
      </c>
      <c r="D8" s="37" t="s">
        <v>131</v>
      </c>
      <c r="E8" s="37" t="s">
        <v>126</v>
      </c>
      <c r="F8" s="37"/>
      <c r="G8" s="30"/>
      <c r="H8" s="93">
        <v>3</v>
      </c>
      <c r="I8" s="94">
        <f t="shared" si="2"/>
        <v>32.030436224237853</v>
      </c>
      <c r="J8" s="93">
        <f t="shared" si="3"/>
        <v>3</v>
      </c>
      <c r="K8" s="93">
        <f t="shared" si="4"/>
        <v>30</v>
      </c>
      <c r="L8" s="92">
        <f>K2</f>
        <v>8.1432528497847194</v>
      </c>
      <c r="M8" s="92">
        <f t="shared" si="5"/>
        <v>70.173689074022576</v>
      </c>
      <c r="N8" s="92">
        <f t="shared" si="6"/>
        <v>84.208426888827091</v>
      </c>
      <c r="O8" s="86"/>
      <c r="P8" s="86"/>
      <c r="Q8" s="86"/>
      <c r="R8" s="86"/>
      <c r="S8" s="86"/>
    </row>
    <row r="9" spans="1:37" s="85" customFormat="1" ht="14.45" customHeight="1" x14ac:dyDescent="0.25">
      <c r="A9" s="102">
        <f t="shared" si="0"/>
        <v>84.208426888827091</v>
      </c>
      <c r="B9" s="42">
        <f t="shared" si="1"/>
        <v>4</v>
      </c>
      <c r="C9" s="43" t="s">
        <v>132</v>
      </c>
      <c r="D9" s="43" t="s">
        <v>133</v>
      </c>
      <c r="E9" s="43" t="s">
        <v>134</v>
      </c>
      <c r="F9" s="43"/>
      <c r="G9" s="30"/>
      <c r="H9" s="98">
        <v>3</v>
      </c>
      <c r="I9" s="99">
        <f t="shared" si="2"/>
        <v>32.030436224237853</v>
      </c>
      <c r="J9" s="98">
        <f t="shared" si="3"/>
        <v>3</v>
      </c>
      <c r="K9" s="98">
        <f t="shared" si="4"/>
        <v>30</v>
      </c>
      <c r="L9" s="97">
        <f>K2</f>
        <v>8.1432528497847194</v>
      </c>
      <c r="M9" s="97">
        <f t="shared" si="5"/>
        <v>70.173689074022576</v>
      </c>
      <c r="N9" s="97">
        <f t="shared" si="6"/>
        <v>84.208426888827091</v>
      </c>
      <c r="O9" s="86"/>
      <c r="P9" s="86"/>
      <c r="Q9" s="86"/>
      <c r="R9" s="86"/>
      <c r="S9" s="86"/>
      <c r="V9" s="109"/>
      <c r="Z9" s="108"/>
      <c r="AA9" s="108"/>
      <c r="AG9" s="110"/>
      <c r="AH9" s="85" t="s">
        <v>42</v>
      </c>
      <c r="AI9" s="85">
        <v>23</v>
      </c>
    </row>
    <row r="10" spans="1:37" s="85" customFormat="1" ht="14.45" customHeight="1" x14ac:dyDescent="0.25">
      <c r="A10" s="103">
        <f t="shared" si="0"/>
        <v>52.410077867587674</v>
      </c>
      <c r="B10" s="36">
        <f t="shared" si="1"/>
        <v>5</v>
      </c>
      <c r="C10" s="37" t="s">
        <v>135</v>
      </c>
      <c r="D10" s="37" t="s">
        <v>136</v>
      </c>
      <c r="E10" s="37" t="s">
        <v>129</v>
      </c>
      <c r="F10" s="37"/>
      <c r="G10" s="30"/>
      <c r="H10" s="93">
        <v>5</v>
      </c>
      <c r="I10" s="94">
        <f t="shared" si="2"/>
        <v>23.675064889656397</v>
      </c>
      <c r="J10" s="93">
        <f t="shared" si="3"/>
        <v>2</v>
      </c>
      <c r="K10" s="93">
        <f t="shared" si="4"/>
        <v>20</v>
      </c>
      <c r="L10" s="93"/>
      <c r="M10" s="92">
        <f t="shared" si="5"/>
        <v>43.675064889656397</v>
      </c>
      <c r="N10" s="92">
        <f t="shared" si="6"/>
        <v>52.410077867587674</v>
      </c>
      <c r="O10" s="86"/>
      <c r="P10" s="86"/>
      <c r="Q10" s="86"/>
      <c r="R10" s="86"/>
      <c r="S10" s="86"/>
      <c r="W10" s="109"/>
      <c r="AA10" s="108"/>
      <c r="AB10" s="108"/>
      <c r="AH10" s="110"/>
      <c r="AI10" s="85" t="s">
        <v>43</v>
      </c>
      <c r="AJ10" s="85">
        <v>45</v>
      </c>
    </row>
    <row r="11" spans="1:37" s="85" customFormat="1" ht="14.45" customHeight="1" x14ac:dyDescent="0.25">
      <c r="A11" s="102">
        <f t="shared" si="0"/>
        <v>48.831484535291587</v>
      </c>
      <c r="B11" s="42">
        <f t="shared" si="1"/>
        <v>6</v>
      </c>
      <c r="C11" s="43" t="s">
        <v>137</v>
      </c>
      <c r="D11" s="43" t="s">
        <v>138</v>
      </c>
      <c r="E11" s="43" t="s">
        <v>126</v>
      </c>
      <c r="F11" s="43"/>
      <c r="G11" s="30"/>
      <c r="H11" s="98">
        <v>6</v>
      </c>
      <c r="I11" s="99">
        <f t="shared" si="2"/>
        <v>20.692903779409654</v>
      </c>
      <c r="J11" s="98">
        <f t="shared" si="3"/>
        <v>2</v>
      </c>
      <c r="K11" s="98">
        <f t="shared" si="4"/>
        <v>20</v>
      </c>
      <c r="L11" s="98"/>
      <c r="M11" s="97">
        <f t="shared" si="5"/>
        <v>40.692903779409654</v>
      </c>
      <c r="N11" s="97">
        <f t="shared" si="6"/>
        <v>48.831484535291587</v>
      </c>
      <c r="O11" s="86"/>
      <c r="P11" s="86"/>
      <c r="Q11" s="86"/>
      <c r="R11" s="86"/>
      <c r="S11" s="86"/>
      <c r="W11" s="112"/>
      <c r="AA11" s="108"/>
      <c r="AB11" s="108"/>
      <c r="AH11" s="110"/>
      <c r="AI11" s="85" t="s">
        <v>44</v>
      </c>
      <c r="AJ11" s="85">
        <v>50</v>
      </c>
    </row>
    <row r="12" spans="1:37" s="85" customFormat="1" ht="14.45" customHeight="1" x14ac:dyDescent="0.25">
      <c r="A12" s="103">
        <f t="shared" si="0"/>
        <v>45.805826984428535</v>
      </c>
      <c r="B12" s="36">
        <f t="shared" si="1"/>
        <v>7</v>
      </c>
      <c r="C12" s="37" t="s">
        <v>139</v>
      </c>
      <c r="D12" s="37" t="s">
        <v>140</v>
      </c>
      <c r="E12" s="37" t="s">
        <v>134</v>
      </c>
      <c r="F12" s="37"/>
      <c r="G12" s="30"/>
      <c r="H12" s="93">
        <v>7</v>
      </c>
      <c r="I12" s="94">
        <f t="shared" si="2"/>
        <v>18.171522487023775</v>
      </c>
      <c r="J12" s="93">
        <f t="shared" si="3"/>
        <v>2</v>
      </c>
      <c r="K12" s="93">
        <f t="shared" si="4"/>
        <v>20</v>
      </c>
      <c r="L12" s="93"/>
      <c r="M12" s="92">
        <f t="shared" si="5"/>
        <v>38.171522487023779</v>
      </c>
      <c r="N12" s="92">
        <f t="shared" si="6"/>
        <v>45.805826984428535</v>
      </c>
      <c r="O12" s="86"/>
      <c r="P12" s="86"/>
      <c r="Q12" s="86"/>
      <c r="R12" s="86"/>
      <c r="S12" s="86"/>
      <c r="AA12" s="108"/>
      <c r="AB12" s="108"/>
      <c r="AH12" s="110"/>
      <c r="AI12" s="85" t="s">
        <v>45</v>
      </c>
      <c r="AJ12" s="85">
        <f>AJ11-1</f>
        <v>49</v>
      </c>
    </row>
    <row r="13" spans="1:37" s="85" customFormat="1" ht="14.45" customHeight="1" x14ac:dyDescent="0.25">
      <c r="A13" s="102">
        <f t="shared" si="0"/>
        <v>43.184883198618486</v>
      </c>
      <c r="B13" s="42">
        <f t="shared" si="1"/>
        <v>8</v>
      </c>
      <c r="C13" s="43" t="s">
        <v>141</v>
      </c>
      <c r="D13" s="43" t="s">
        <v>142</v>
      </c>
      <c r="E13" s="43" t="s">
        <v>143</v>
      </c>
      <c r="F13" s="43"/>
      <c r="G13" s="30"/>
      <c r="H13" s="98">
        <v>8</v>
      </c>
      <c r="I13" s="99">
        <f t="shared" si="2"/>
        <v>15.987402665515404</v>
      </c>
      <c r="J13" s="98">
        <f t="shared" si="3"/>
        <v>2</v>
      </c>
      <c r="K13" s="98">
        <f t="shared" si="4"/>
        <v>20</v>
      </c>
      <c r="L13" s="98"/>
      <c r="M13" s="97">
        <f t="shared" si="5"/>
        <v>35.987402665515404</v>
      </c>
      <c r="N13" s="97">
        <f t="shared" si="6"/>
        <v>43.184883198618486</v>
      </c>
      <c r="O13" s="86"/>
      <c r="P13" s="86"/>
      <c r="Q13" s="86"/>
      <c r="R13" s="86"/>
      <c r="S13" s="86"/>
      <c r="Y13" s="109"/>
      <c r="AH13" s="110"/>
      <c r="AI13" s="85" t="s">
        <v>46</v>
      </c>
      <c r="AJ13" s="85" t="e">
        <f>LOG(AJ9)</f>
        <v>#NUM!</v>
      </c>
    </row>
    <row r="14" spans="1:37" s="85" customFormat="1" x14ac:dyDescent="0.25">
      <c r="A14" s="103">
        <f t="shared" si="0"/>
        <v>28.873046938170845</v>
      </c>
      <c r="B14" s="36">
        <f t="shared" si="1"/>
        <v>9</v>
      </c>
      <c r="C14" s="37" t="s">
        <v>144</v>
      </c>
      <c r="D14" s="37" t="s">
        <v>145</v>
      </c>
      <c r="E14" s="37" t="s">
        <v>126</v>
      </c>
      <c r="F14" s="37"/>
      <c r="G14" s="30"/>
      <c r="H14" s="93">
        <v>9</v>
      </c>
      <c r="I14" s="94">
        <f t="shared" si="2"/>
        <v>14.060872448475706</v>
      </c>
      <c r="J14" s="93">
        <f t="shared" si="3"/>
        <v>1</v>
      </c>
      <c r="K14" s="93">
        <f t="shared" si="4"/>
        <v>10</v>
      </c>
      <c r="L14" s="93"/>
      <c r="M14" s="92">
        <f t="shared" si="5"/>
        <v>24.060872448475706</v>
      </c>
      <c r="N14" s="92">
        <f t="shared" si="6"/>
        <v>28.873046938170845</v>
      </c>
      <c r="O14" s="86"/>
      <c r="P14" s="86"/>
      <c r="Q14" s="86"/>
      <c r="R14" s="86"/>
      <c r="S14" s="86"/>
      <c r="Y14" s="111"/>
      <c r="AA14" s="108"/>
      <c r="AB14" s="108"/>
      <c r="AH14" s="110"/>
      <c r="AI14" s="85" t="s">
        <v>47</v>
      </c>
      <c r="AJ14" s="85">
        <f>LOG(AJ10)</f>
        <v>1.6532125137753437</v>
      </c>
    </row>
    <row r="15" spans="1:37" s="85" customFormat="1" x14ac:dyDescent="0.25">
      <c r="A15" s="102">
        <f t="shared" si="0"/>
        <v>26.805038933793846</v>
      </c>
      <c r="B15" s="42">
        <f t="shared" si="1"/>
        <v>10</v>
      </c>
      <c r="C15" s="43" t="s">
        <v>146</v>
      </c>
      <c r="D15" s="43" t="s">
        <v>147</v>
      </c>
      <c r="E15" s="43" t="s">
        <v>148</v>
      </c>
      <c r="F15" s="43"/>
      <c r="G15" s="30"/>
      <c r="H15" s="98">
        <v>10</v>
      </c>
      <c r="I15" s="99">
        <f t="shared" si="2"/>
        <v>12.337532444828206</v>
      </c>
      <c r="J15" s="98">
        <f t="shared" si="3"/>
        <v>1</v>
      </c>
      <c r="K15" s="98">
        <f t="shared" si="4"/>
        <v>10</v>
      </c>
      <c r="L15" s="98"/>
      <c r="M15" s="97">
        <f t="shared" si="5"/>
        <v>22.337532444828206</v>
      </c>
      <c r="N15" s="97">
        <f t="shared" si="6"/>
        <v>26.805038933793846</v>
      </c>
      <c r="O15" s="86"/>
      <c r="P15" s="86"/>
      <c r="Q15" s="86"/>
      <c r="R15" s="86"/>
      <c r="S15" s="86"/>
      <c r="Y15" s="109"/>
      <c r="AA15" s="108"/>
      <c r="AB15" s="108"/>
    </row>
    <row r="16" spans="1:37" s="85" customFormat="1" ht="25.85" x14ac:dyDescent="0.25">
      <c r="A16" s="103">
        <f t="shared" si="0"/>
        <v>24.934298139642127</v>
      </c>
      <c r="B16" s="36">
        <f t="shared" si="1"/>
        <v>11</v>
      </c>
      <c r="C16" s="37" t="s">
        <v>149</v>
      </c>
      <c r="D16" s="37" t="s">
        <v>150</v>
      </c>
      <c r="E16" s="37" t="s">
        <v>134</v>
      </c>
      <c r="F16" s="37"/>
      <c r="G16" s="30"/>
      <c r="H16" s="93">
        <v>11</v>
      </c>
      <c r="I16" s="94">
        <f t="shared" si="2"/>
        <v>10.778581783035108</v>
      </c>
      <c r="J16" s="93">
        <f t="shared" si="3"/>
        <v>1</v>
      </c>
      <c r="K16" s="93">
        <f t="shared" si="4"/>
        <v>10</v>
      </c>
      <c r="L16" s="93"/>
      <c r="M16" s="92">
        <f t="shared" si="5"/>
        <v>20.778581783035108</v>
      </c>
      <c r="N16" s="92">
        <f t="shared" si="6"/>
        <v>24.934298139642127</v>
      </c>
      <c r="O16" s="86"/>
      <c r="P16" s="86"/>
      <c r="Q16" s="86"/>
      <c r="R16" s="86"/>
      <c r="S16" s="89"/>
      <c r="AA16" s="108"/>
      <c r="AB16" s="108"/>
      <c r="AI16" s="107" t="s">
        <v>48</v>
      </c>
      <c r="AJ16" s="85" t="e">
        <f>AJ11-AJ12*AJ13/AJ14</f>
        <v>#NUM!</v>
      </c>
      <c r="AK16" s="85" t="s">
        <v>49</v>
      </c>
    </row>
    <row r="17" spans="1:20" s="85" customFormat="1" x14ac:dyDescent="0.25">
      <c r="A17" s="102">
        <f t="shared" si="0"/>
        <v>23.226445601497737</v>
      </c>
      <c r="B17" s="42">
        <f t="shared" si="1"/>
        <v>12</v>
      </c>
      <c r="C17" s="43" t="s">
        <v>151</v>
      </c>
      <c r="D17" s="43" t="s">
        <v>152</v>
      </c>
      <c r="E17" s="43" t="s">
        <v>143</v>
      </c>
      <c r="F17" s="43"/>
      <c r="G17" s="30"/>
      <c r="H17" s="98">
        <v>12</v>
      </c>
      <c r="I17" s="99">
        <f t="shared" si="2"/>
        <v>9.3553713345814487</v>
      </c>
      <c r="J17" s="98">
        <f t="shared" si="3"/>
        <v>1</v>
      </c>
      <c r="K17" s="98">
        <f t="shared" si="4"/>
        <v>10</v>
      </c>
      <c r="L17" s="98"/>
      <c r="M17" s="97">
        <f t="shared" si="5"/>
        <v>19.355371334581449</v>
      </c>
      <c r="N17" s="97">
        <f t="shared" si="6"/>
        <v>23.226445601497737</v>
      </c>
      <c r="O17" s="86"/>
      <c r="P17" s="86"/>
      <c r="Q17" s="86"/>
      <c r="R17" s="86"/>
      <c r="S17" s="86"/>
    </row>
    <row r="18" spans="1:20" s="85" customFormat="1" x14ac:dyDescent="0.25">
      <c r="A18" s="103">
        <f t="shared" si="0"/>
        <v>21.655373562533338</v>
      </c>
      <c r="B18" s="36">
        <f t="shared" si="1"/>
        <v>13</v>
      </c>
      <c r="C18" s="37" t="s">
        <v>153</v>
      </c>
      <c r="D18" s="37" t="s">
        <v>138</v>
      </c>
      <c r="E18" s="37" t="s">
        <v>129</v>
      </c>
      <c r="F18" s="37"/>
      <c r="G18" s="30"/>
      <c r="H18" s="93">
        <v>13</v>
      </c>
      <c r="I18" s="94">
        <f t="shared" si="2"/>
        <v>8.046144635444449</v>
      </c>
      <c r="J18" s="93">
        <f t="shared" si="3"/>
        <v>1</v>
      </c>
      <c r="K18" s="93">
        <f t="shared" si="4"/>
        <v>10</v>
      </c>
      <c r="L18" s="93"/>
      <c r="M18" s="92">
        <f t="shared" si="5"/>
        <v>18.046144635444449</v>
      </c>
      <c r="N18" s="92">
        <f t="shared" si="6"/>
        <v>21.655373562533338</v>
      </c>
      <c r="O18" s="86"/>
      <c r="P18" s="86"/>
      <c r="Q18" s="86"/>
      <c r="R18" s="86"/>
      <c r="S18" s="86"/>
    </row>
    <row r="19" spans="1:20" s="85" customFormat="1" x14ac:dyDescent="0.25">
      <c r="A19" s="102">
        <f t="shared" si="0"/>
        <v>20.200788050634696</v>
      </c>
      <c r="B19" s="42">
        <f t="shared" si="1"/>
        <v>14</v>
      </c>
      <c r="C19" s="43" t="s">
        <v>154</v>
      </c>
      <c r="D19" s="43" t="s">
        <v>155</v>
      </c>
      <c r="E19" s="43" t="s">
        <v>156</v>
      </c>
      <c r="F19" s="43"/>
      <c r="G19" s="30"/>
      <c r="H19" s="98">
        <v>14</v>
      </c>
      <c r="I19" s="99">
        <f t="shared" si="2"/>
        <v>6.8339900421955804</v>
      </c>
      <c r="J19" s="98">
        <f t="shared" si="3"/>
        <v>1</v>
      </c>
      <c r="K19" s="98">
        <f t="shared" si="4"/>
        <v>10</v>
      </c>
      <c r="L19" s="98"/>
      <c r="M19" s="97">
        <f t="shared" si="5"/>
        <v>16.83399004219558</v>
      </c>
      <c r="N19" s="97">
        <f t="shared" si="6"/>
        <v>20.200788050634696</v>
      </c>
      <c r="O19" s="86"/>
      <c r="P19" s="86"/>
      <c r="Q19" s="86"/>
      <c r="R19" s="86"/>
      <c r="S19" s="86"/>
    </row>
    <row r="20" spans="1:20" s="85" customFormat="1" x14ac:dyDescent="0.25">
      <c r="A20" s="103">
        <f t="shared" si="0"/>
        <v>18.8466013366731</v>
      </c>
      <c r="B20" s="36">
        <f t="shared" si="1"/>
        <v>15</v>
      </c>
      <c r="C20" s="37" t="s">
        <v>157</v>
      </c>
      <c r="D20" s="37" t="s">
        <v>158</v>
      </c>
      <c r="E20" s="37" t="s">
        <v>129</v>
      </c>
      <c r="F20" s="37"/>
      <c r="G20" s="30"/>
      <c r="H20" s="93">
        <v>15</v>
      </c>
      <c r="I20" s="94">
        <f t="shared" si="2"/>
        <v>5.7055011138942504</v>
      </c>
      <c r="J20" s="93">
        <f t="shared" si="3"/>
        <v>1</v>
      </c>
      <c r="K20" s="93">
        <f t="shared" si="4"/>
        <v>10</v>
      </c>
      <c r="L20" s="93"/>
      <c r="M20" s="92">
        <f t="shared" si="5"/>
        <v>15.70550111389425</v>
      </c>
      <c r="N20" s="92">
        <f t="shared" si="6"/>
        <v>18.8466013366731</v>
      </c>
      <c r="O20" s="86"/>
      <c r="P20" s="86"/>
      <c r="Q20" s="86"/>
      <c r="R20" s="86"/>
      <c r="S20" s="106"/>
      <c r="T20" s="105"/>
    </row>
    <row r="21" spans="1:20" s="85" customFormat="1" x14ac:dyDescent="0.25">
      <c r="A21" s="102">
        <f t="shared" si="0"/>
        <v>17.579844264824636</v>
      </c>
      <c r="B21" s="42">
        <f t="shared" si="1"/>
        <v>16</v>
      </c>
      <c r="C21" s="43" t="s">
        <v>159</v>
      </c>
      <c r="D21" s="43" t="s">
        <v>160</v>
      </c>
      <c r="E21" s="43" t="s">
        <v>161</v>
      </c>
      <c r="F21" s="43"/>
      <c r="G21" s="30"/>
      <c r="H21" s="98">
        <v>16</v>
      </c>
      <c r="I21" s="99">
        <f t="shared" si="2"/>
        <v>4.6498702206871982</v>
      </c>
      <c r="J21" s="98">
        <f t="shared" si="3"/>
        <v>1</v>
      </c>
      <c r="K21" s="98">
        <f t="shared" si="4"/>
        <v>10</v>
      </c>
      <c r="L21" s="98"/>
      <c r="M21" s="97">
        <f t="shared" si="5"/>
        <v>14.649870220687198</v>
      </c>
      <c r="N21" s="97">
        <f t="shared" si="6"/>
        <v>17.579844264824636</v>
      </c>
      <c r="O21" s="86"/>
      <c r="P21" s="86"/>
      <c r="Q21" s="86"/>
      <c r="R21" s="86"/>
      <c r="S21" s="86"/>
    </row>
    <row r="22" spans="1:20" s="85" customFormat="1" x14ac:dyDescent="0.25">
      <c r="A22" s="103">
        <f t="shared" si="0"/>
        <v>4.3899089043535495</v>
      </c>
      <c r="B22" s="36">
        <f t="shared" si="1"/>
        <v>17</v>
      </c>
      <c r="C22" s="37" t="s">
        <v>162</v>
      </c>
      <c r="D22" s="37" t="s">
        <v>163</v>
      </c>
      <c r="E22" s="37" t="s">
        <v>129</v>
      </c>
      <c r="F22" s="37"/>
      <c r="G22" s="30"/>
      <c r="H22" s="93">
        <v>17</v>
      </c>
      <c r="I22" s="94">
        <f t="shared" si="2"/>
        <v>3.6582574202946248</v>
      </c>
      <c r="J22" s="93">
        <f t="shared" si="3"/>
        <v>0</v>
      </c>
      <c r="K22" s="93">
        <f t="shared" si="4"/>
        <v>0</v>
      </c>
      <c r="L22" s="93"/>
      <c r="M22" s="92">
        <f t="shared" si="5"/>
        <v>3.6582574202946248</v>
      </c>
      <c r="N22" s="92">
        <f t="shared" si="6"/>
        <v>4.3899089043535495</v>
      </c>
      <c r="O22" s="86"/>
      <c r="P22" s="86"/>
      <c r="Q22" s="86"/>
      <c r="R22" s="86"/>
      <c r="S22" s="86"/>
    </row>
    <row r="23" spans="1:20" s="85" customFormat="1" x14ac:dyDescent="0.25">
      <c r="A23" s="102">
        <f t="shared" si="0"/>
        <v>3.268008004377009</v>
      </c>
      <c r="B23" s="42">
        <f t="shared" si="1"/>
        <v>18</v>
      </c>
      <c r="C23" s="43" t="s">
        <v>164</v>
      </c>
      <c r="D23" s="43" t="s">
        <v>165</v>
      </c>
      <c r="E23" s="43" t="s">
        <v>134</v>
      </c>
      <c r="F23" s="43"/>
      <c r="G23" s="30"/>
      <c r="H23" s="98">
        <v>18</v>
      </c>
      <c r="I23" s="99">
        <f t="shared" si="2"/>
        <v>2.7233400036475075</v>
      </c>
      <c r="J23" s="98">
        <f t="shared" si="3"/>
        <v>0</v>
      </c>
      <c r="K23" s="98">
        <f t="shared" si="4"/>
        <v>0</v>
      </c>
      <c r="L23" s="98"/>
      <c r="M23" s="97">
        <f t="shared" si="5"/>
        <v>2.7233400036475075</v>
      </c>
      <c r="N23" s="97">
        <f t="shared" si="6"/>
        <v>3.268008004377009</v>
      </c>
      <c r="O23" s="86"/>
      <c r="P23" s="86"/>
      <c r="Q23" s="86"/>
      <c r="R23" s="86"/>
      <c r="S23" s="86"/>
    </row>
    <row r="24" spans="1:20" s="85" customFormat="1" x14ac:dyDescent="0.25">
      <c r="A24" s="103">
        <f t="shared" si="0"/>
        <v>2.206780791665969</v>
      </c>
      <c r="B24" s="36">
        <f t="shared" si="1"/>
        <v>19</v>
      </c>
      <c r="C24" s="37" t="s">
        <v>166</v>
      </c>
      <c r="D24" s="37" t="s">
        <v>167</v>
      </c>
      <c r="E24" s="37" t="s">
        <v>134</v>
      </c>
      <c r="F24" s="37"/>
      <c r="G24" s="30"/>
      <c r="H24" s="93">
        <v>19</v>
      </c>
      <c r="I24" s="94">
        <f t="shared" si="2"/>
        <v>1.8389839930549741</v>
      </c>
      <c r="J24" s="93">
        <f t="shared" si="3"/>
        <v>0</v>
      </c>
      <c r="K24" s="93">
        <f t="shared" si="4"/>
        <v>0</v>
      </c>
      <c r="L24" s="93"/>
      <c r="M24" s="92">
        <f t="shared" si="5"/>
        <v>1.8389839930549741</v>
      </c>
      <c r="N24" s="92">
        <f t="shared" si="6"/>
        <v>2.206780791665969</v>
      </c>
      <c r="O24" s="86"/>
      <c r="P24" s="86"/>
      <c r="Q24" s="86"/>
      <c r="R24" s="86"/>
      <c r="S24" s="106"/>
      <c r="T24" s="105"/>
    </row>
    <row r="25" spans="1:20" s="85" customFormat="1" x14ac:dyDescent="0.25">
      <c r="A25" s="102">
        <f t="shared" si="0"/>
        <v>1.2</v>
      </c>
      <c r="B25" s="42">
        <f t="shared" si="1"/>
        <v>20</v>
      </c>
      <c r="C25" s="43" t="s">
        <v>168</v>
      </c>
      <c r="D25" s="43" t="s">
        <v>169</v>
      </c>
      <c r="E25" s="43" t="s">
        <v>143</v>
      </c>
      <c r="F25" s="43"/>
      <c r="G25" s="30"/>
      <c r="H25" s="98">
        <v>20</v>
      </c>
      <c r="I25" s="99">
        <f t="shared" si="2"/>
        <v>1</v>
      </c>
      <c r="J25" s="98">
        <f t="shared" si="3"/>
        <v>0</v>
      </c>
      <c r="K25" s="98">
        <f t="shared" si="4"/>
        <v>0</v>
      </c>
      <c r="L25" s="98"/>
      <c r="M25" s="97">
        <f t="shared" si="5"/>
        <v>1</v>
      </c>
      <c r="N25" s="97">
        <f t="shared" si="6"/>
        <v>1.2</v>
      </c>
      <c r="O25" s="86"/>
      <c r="P25" s="86"/>
      <c r="Q25" s="86"/>
      <c r="R25" s="86"/>
      <c r="S25" s="86"/>
    </row>
    <row r="26" spans="1:20" s="85" customFormat="1" x14ac:dyDescent="0.25">
      <c r="A26" s="103">
        <f t="shared" si="0"/>
        <v>0</v>
      </c>
      <c r="B26" s="36" t="str">
        <f t="shared" ref="B26:B73" si="7">IF(H26&gt;$H$2,"",(ROW()-5))</f>
        <v/>
      </c>
      <c r="C26" s="37"/>
      <c r="D26" s="37"/>
      <c r="E26" s="37"/>
      <c r="F26" s="37"/>
      <c r="G26" s="30"/>
      <c r="H26" s="93">
        <v>21</v>
      </c>
      <c r="I26" s="94" t="str">
        <f t="shared" si="2"/>
        <v/>
      </c>
      <c r="J26" s="93">
        <f t="shared" si="3"/>
        <v>0</v>
      </c>
      <c r="K26" s="93">
        <f t="shared" si="4"/>
        <v>0</v>
      </c>
      <c r="L26" s="93"/>
      <c r="M26" s="92">
        <f t="shared" si="5"/>
        <v>0</v>
      </c>
      <c r="N26" s="92">
        <f t="shared" si="6"/>
        <v>0</v>
      </c>
      <c r="O26" s="86"/>
      <c r="P26" s="86"/>
      <c r="Q26" s="86"/>
      <c r="R26" s="86"/>
      <c r="S26" s="86"/>
    </row>
    <row r="27" spans="1:20" s="85" customFormat="1" x14ac:dyDescent="0.25">
      <c r="A27" s="102">
        <f t="shared" si="0"/>
        <v>0</v>
      </c>
      <c r="B27" s="42" t="str">
        <f t="shared" si="7"/>
        <v/>
      </c>
      <c r="C27" s="43"/>
      <c r="D27" s="43"/>
      <c r="E27" s="43"/>
      <c r="F27" s="43"/>
      <c r="G27" s="30"/>
      <c r="H27" s="98">
        <v>22</v>
      </c>
      <c r="I27" s="99" t="str">
        <f t="shared" si="2"/>
        <v/>
      </c>
      <c r="J27" s="98">
        <f t="shared" si="3"/>
        <v>0</v>
      </c>
      <c r="K27" s="98">
        <f t="shared" si="4"/>
        <v>0</v>
      </c>
      <c r="L27" s="98"/>
      <c r="M27" s="97">
        <f t="shared" si="5"/>
        <v>0</v>
      </c>
      <c r="N27" s="97">
        <f t="shared" si="6"/>
        <v>0</v>
      </c>
      <c r="O27" s="86"/>
      <c r="P27" s="86"/>
      <c r="Q27" s="86"/>
      <c r="R27" s="86"/>
      <c r="S27" s="86"/>
    </row>
    <row r="28" spans="1:20" s="85" customFormat="1" x14ac:dyDescent="0.25">
      <c r="A28" s="103">
        <f t="shared" si="0"/>
        <v>0</v>
      </c>
      <c r="B28" s="36" t="str">
        <f t="shared" si="7"/>
        <v/>
      </c>
      <c r="C28" s="37"/>
      <c r="D28" s="37"/>
      <c r="E28" s="37"/>
      <c r="F28" s="37"/>
      <c r="G28" s="30"/>
      <c r="H28" s="93">
        <v>23</v>
      </c>
      <c r="I28" s="94" t="str">
        <f t="shared" si="2"/>
        <v/>
      </c>
      <c r="J28" s="93">
        <f t="shared" si="3"/>
        <v>0</v>
      </c>
      <c r="K28" s="93">
        <f t="shared" si="4"/>
        <v>0</v>
      </c>
      <c r="L28" s="93"/>
      <c r="M28" s="92">
        <f t="shared" si="5"/>
        <v>0</v>
      </c>
      <c r="N28" s="92">
        <f t="shared" si="6"/>
        <v>0</v>
      </c>
      <c r="O28" s="86"/>
      <c r="P28" s="86"/>
      <c r="Q28" s="86"/>
      <c r="R28" s="86"/>
      <c r="S28" s="106"/>
      <c r="T28" s="105"/>
    </row>
    <row r="29" spans="1:20" s="85" customFormat="1" x14ac:dyDescent="0.25">
      <c r="A29" s="102">
        <f t="shared" si="0"/>
        <v>0</v>
      </c>
      <c r="B29" s="42" t="str">
        <f t="shared" si="7"/>
        <v/>
      </c>
      <c r="C29" s="43"/>
      <c r="D29" s="43"/>
      <c r="E29" s="43"/>
      <c r="F29" s="43"/>
      <c r="G29" s="86"/>
      <c r="H29" s="98">
        <v>24</v>
      </c>
      <c r="I29" s="99" t="str">
        <f t="shared" si="2"/>
        <v/>
      </c>
      <c r="J29" s="98">
        <f t="shared" si="3"/>
        <v>0</v>
      </c>
      <c r="K29" s="98">
        <f t="shared" si="4"/>
        <v>0</v>
      </c>
      <c r="L29" s="98"/>
      <c r="M29" s="97">
        <f t="shared" si="5"/>
        <v>0</v>
      </c>
      <c r="N29" s="97">
        <f t="shared" si="6"/>
        <v>0</v>
      </c>
      <c r="O29" s="86"/>
      <c r="P29" s="86"/>
      <c r="Q29" s="86"/>
      <c r="R29" s="86"/>
      <c r="S29" s="86"/>
    </row>
    <row r="30" spans="1:20" s="85" customFormat="1" x14ac:dyDescent="0.25">
      <c r="A30" s="103">
        <f t="shared" si="0"/>
        <v>0</v>
      </c>
      <c r="B30" s="36" t="str">
        <f t="shared" si="7"/>
        <v/>
      </c>
      <c r="C30" s="37"/>
      <c r="D30" s="37"/>
      <c r="E30" s="37"/>
      <c r="F30" s="37"/>
      <c r="G30" s="86"/>
      <c r="H30" s="93">
        <v>25</v>
      </c>
      <c r="I30" s="94" t="str">
        <f t="shared" si="2"/>
        <v/>
      </c>
      <c r="J30" s="93">
        <f t="shared" si="3"/>
        <v>0</v>
      </c>
      <c r="K30" s="93">
        <f t="shared" si="4"/>
        <v>0</v>
      </c>
      <c r="L30" s="93"/>
      <c r="M30" s="92">
        <f t="shared" si="5"/>
        <v>0</v>
      </c>
      <c r="N30" s="92">
        <f t="shared" si="6"/>
        <v>0</v>
      </c>
      <c r="O30" s="86"/>
      <c r="P30" s="86"/>
      <c r="Q30" s="86"/>
      <c r="R30" s="86"/>
      <c r="S30" s="86"/>
    </row>
    <row r="31" spans="1:20" s="85" customFormat="1" x14ac:dyDescent="0.25">
      <c r="A31" s="102">
        <f t="shared" si="0"/>
        <v>0</v>
      </c>
      <c r="B31" s="42" t="str">
        <f t="shared" si="7"/>
        <v/>
      </c>
      <c r="C31" s="43"/>
      <c r="D31" s="43"/>
      <c r="E31" s="43"/>
      <c r="F31" s="43"/>
      <c r="G31" s="86"/>
      <c r="H31" s="98">
        <v>26</v>
      </c>
      <c r="I31" s="99" t="str">
        <f t="shared" si="2"/>
        <v/>
      </c>
      <c r="J31" s="98">
        <f t="shared" si="3"/>
        <v>0</v>
      </c>
      <c r="K31" s="98">
        <f t="shared" si="4"/>
        <v>0</v>
      </c>
      <c r="L31" s="98"/>
      <c r="M31" s="97">
        <f t="shared" si="5"/>
        <v>0</v>
      </c>
      <c r="N31" s="97">
        <f t="shared" si="6"/>
        <v>0</v>
      </c>
      <c r="O31" s="86"/>
      <c r="P31" s="86"/>
      <c r="Q31" s="86"/>
      <c r="R31" s="86"/>
      <c r="S31" s="86"/>
    </row>
    <row r="32" spans="1:20" s="85" customFormat="1" x14ac:dyDescent="0.25">
      <c r="A32" s="103">
        <f t="shared" si="0"/>
        <v>0</v>
      </c>
      <c r="B32" s="36" t="str">
        <f t="shared" si="7"/>
        <v/>
      </c>
      <c r="C32" s="37"/>
      <c r="D32" s="37"/>
      <c r="E32" s="37"/>
      <c r="F32" s="37"/>
      <c r="G32" s="86"/>
      <c r="H32" s="93">
        <v>27</v>
      </c>
      <c r="I32" s="94" t="str">
        <f t="shared" si="2"/>
        <v/>
      </c>
      <c r="J32" s="93">
        <f t="shared" si="3"/>
        <v>0</v>
      </c>
      <c r="K32" s="93">
        <f t="shared" si="4"/>
        <v>0</v>
      </c>
      <c r="L32" s="93"/>
      <c r="M32" s="92">
        <f t="shared" si="5"/>
        <v>0</v>
      </c>
      <c r="N32" s="92">
        <f t="shared" si="6"/>
        <v>0</v>
      </c>
      <c r="O32" s="86"/>
      <c r="P32" s="86"/>
      <c r="Q32" s="86"/>
      <c r="R32" s="86"/>
      <c r="S32" s="106"/>
      <c r="T32" s="105"/>
    </row>
    <row r="33" spans="1:20" s="85" customFormat="1" x14ac:dyDescent="0.25">
      <c r="A33" s="102">
        <f t="shared" si="0"/>
        <v>0</v>
      </c>
      <c r="B33" s="42" t="str">
        <f t="shared" si="7"/>
        <v/>
      </c>
      <c r="C33" s="43"/>
      <c r="D33" s="43"/>
      <c r="E33" s="43"/>
      <c r="F33" s="43"/>
      <c r="G33" s="86"/>
      <c r="H33" s="98">
        <v>28</v>
      </c>
      <c r="I33" s="99" t="str">
        <f t="shared" si="2"/>
        <v/>
      </c>
      <c r="J33" s="98">
        <f t="shared" si="3"/>
        <v>0</v>
      </c>
      <c r="K33" s="98">
        <f t="shared" si="4"/>
        <v>0</v>
      </c>
      <c r="L33" s="98"/>
      <c r="M33" s="97">
        <f t="shared" si="5"/>
        <v>0</v>
      </c>
      <c r="N33" s="97">
        <f t="shared" si="6"/>
        <v>0</v>
      </c>
      <c r="O33" s="86"/>
      <c r="P33" s="86"/>
      <c r="Q33" s="86"/>
      <c r="R33" s="86"/>
      <c r="S33" s="86"/>
    </row>
    <row r="34" spans="1:20" s="85" customFormat="1" x14ac:dyDescent="0.25">
      <c r="A34" s="103">
        <f t="shared" si="0"/>
        <v>0</v>
      </c>
      <c r="B34" s="36" t="str">
        <f t="shared" si="7"/>
        <v/>
      </c>
      <c r="C34" s="37"/>
      <c r="D34" s="37"/>
      <c r="E34" s="37"/>
      <c r="F34" s="37"/>
      <c r="G34" s="86"/>
      <c r="H34" s="93">
        <v>29</v>
      </c>
      <c r="I34" s="94" t="str">
        <f t="shared" si="2"/>
        <v/>
      </c>
      <c r="J34" s="93">
        <f t="shared" si="3"/>
        <v>0</v>
      </c>
      <c r="K34" s="93">
        <f t="shared" si="4"/>
        <v>0</v>
      </c>
      <c r="L34" s="93"/>
      <c r="M34" s="92">
        <f t="shared" si="5"/>
        <v>0</v>
      </c>
      <c r="N34" s="92">
        <f t="shared" si="6"/>
        <v>0</v>
      </c>
      <c r="O34" s="86"/>
      <c r="P34" s="86"/>
      <c r="Q34" s="86"/>
      <c r="R34" s="86"/>
      <c r="S34" s="86"/>
    </row>
    <row r="35" spans="1:20" s="85" customFormat="1" x14ac:dyDescent="0.25">
      <c r="A35" s="102">
        <f t="shared" si="0"/>
        <v>0</v>
      </c>
      <c r="B35" s="42" t="str">
        <f t="shared" si="7"/>
        <v/>
      </c>
      <c r="C35" s="43"/>
      <c r="D35" s="43"/>
      <c r="E35" s="43"/>
      <c r="F35" s="43"/>
      <c r="G35" s="86"/>
      <c r="H35" s="98">
        <v>30</v>
      </c>
      <c r="I35" s="99" t="str">
        <f t="shared" si="2"/>
        <v/>
      </c>
      <c r="J35" s="98">
        <f t="shared" si="3"/>
        <v>0</v>
      </c>
      <c r="K35" s="98">
        <f t="shared" si="4"/>
        <v>0</v>
      </c>
      <c r="L35" s="98"/>
      <c r="M35" s="97">
        <f t="shared" si="5"/>
        <v>0</v>
      </c>
      <c r="N35" s="97">
        <f t="shared" si="6"/>
        <v>0</v>
      </c>
      <c r="O35" s="86"/>
      <c r="P35" s="86"/>
      <c r="Q35" s="86"/>
      <c r="R35" s="86"/>
      <c r="S35" s="86"/>
    </row>
    <row r="36" spans="1:20" s="85" customFormat="1" x14ac:dyDescent="0.25">
      <c r="A36" s="103">
        <f t="shared" si="0"/>
        <v>0</v>
      </c>
      <c r="B36" s="36" t="str">
        <f t="shared" si="7"/>
        <v/>
      </c>
      <c r="C36" s="37"/>
      <c r="D36" s="37"/>
      <c r="E36" s="37"/>
      <c r="F36" s="37"/>
      <c r="G36" s="86"/>
      <c r="H36" s="93">
        <v>31</v>
      </c>
      <c r="I36" s="94" t="str">
        <f t="shared" si="2"/>
        <v/>
      </c>
      <c r="J36" s="93">
        <f t="shared" si="3"/>
        <v>0</v>
      </c>
      <c r="K36" s="93">
        <f t="shared" si="4"/>
        <v>0</v>
      </c>
      <c r="L36" s="93"/>
      <c r="M36" s="92">
        <f t="shared" si="5"/>
        <v>0</v>
      </c>
      <c r="N36" s="92">
        <f t="shared" si="6"/>
        <v>0</v>
      </c>
      <c r="O36" s="86"/>
      <c r="P36" s="86"/>
      <c r="Q36" s="86"/>
      <c r="R36" s="86"/>
      <c r="S36" s="106"/>
      <c r="T36" s="105"/>
    </row>
    <row r="37" spans="1:20" s="85" customFormat="1" x14ac:dyDescent="0.25">
      <c r="A37" s="102">
        <f t="shared" si="0"/>
        <v>0</v>
      </c>
      <c r="B37" s="42" t="str">
        <f t="shared" si="7"/>
        <v/>
      </c>
      <c r="C37" s="43"/>
      <c r="D37" s="43"/>
      <c r="E37" s="43"/>
      <c r="F37" s="43"/>
      <c r="G37" s="86"/>
      <c r="H37" s="98">
        <v>32</v>
      </c>
      <c r="I37" s="99" t="str">
        <f t="shared" si="2"/>
        <v/>
      </c>
      <c r="J37" s="98">
        <f t="shared" si="3"/>
        <v>0</v>
      </c>
      <c r="K37" s="98">
        <f t="shared" si="4"/>
        <v>0</v>
      </c>
      <c r="L37" s="98"/>
      <c r="M37" s="97">
        <f t="shared" si="5"/>
        <v>0</v>
      </c>
      <c r="N37" s="97">
        <f t="shared" si="6"/>
        <v>0</v>
      </c>
      <c r="O37" s="86"/>
      <c r="P37" s="86"/>
      <c r="Q37" s="86"/>
      <c r="R37" s="86"/>
      <c r="S37" s="86"/>
    </row>
    <row r="38" spans="1:20" s="85" customFormat="1" x14ac:dyDescent="0.25">
      <c r="A38" s="103">
        <f t="shared" si="0"/>
        <v>0</v>
      </c>
      <c r="B38" s="36" t="str">
        <f t="shared" si="7"/>
        <v/>
      </c>
      <c r="C38" s="37"/>
      <c r="D38" s="37"/>
      <c r="E38" s="37"/>
      <c r="F38" s="37"/>
      <c r="G38" s="86"/>
      <c r="H38" s="93">
        <v>33</v>
      </c>
      <c r="I38" s="94" t="str">
        <f t="shared" si="2"/>
        <v/>
      </c>
      <c r="J38" s="93">
        <f t="shared" si="3"/>
        <v>-1</v>
      </c>
      <c r="K38" s="93">
        <f t="shared" si="4"/>
        <v>-10</v>
      </c>
      <c r="L38" s="93"/>
      <c r="M38" s="92">
        <f t="shared" si="5"/>
        <v>0</v>
      </c>
      <c r="N38" s="92">
        <f t="shared" si="6"/>
        <v>0</v>
      </c>
      <c r="O38" s="86"/>
      <c r="P38" s="86"/>
      <c r="Q38" s="86"/>
      <c r="R38" s="86"/>
      <c r="S38" s="106"/>
      <c r="T38" s="105"/>
    </row>
    <row r="39" spans="1:20" s="85" customFormat="1" x14ac:dyDescent="0.25">
      <c r="A39" s="102">
        <f t="shared" si="0"/>
        <v>0</v>
      </c>
      <c r="B39" s="42" t="str">
        <f t="shared" si="7"/>
        <v/>
      </c>
      <c r="C39" s="43"/>
      <c r="D39" s="43"/>
      <c r="E39" s="43"/>
      <c r="F39" s="43"/>
      <c r="G39" s="86"/>
      <c r="H39" s="98">
        <v>34</v>
      </c>
      <c r="I39" s="99" t="str">
        <f t="shared" si="2"/>
        <v/>
      </c>
      <c r="J39" s="98">
        <f t="shared" si="3"/>
        <v>-1</v>
      </c>
      <c r="K39" s="98">
        <f t="shared" si="4"/>
        <v>-10</v>
      </c>
      <c r="L39" s="98"/>
      <c r="M39" s="97">
        <f t="shared" si="5"/>
        <v>0</v>
      </c>
      <c r="N39" s="97">
        <f t="shared" si="6"/>
        <v>0</v>
      </c>
      <c r="O39" s="86"/>
      <c r="P39" s="86"/>
      <c r="Q39" s="86"/>
      <c r="R39" s="86"/>
      <c r="S39" s="86"/>
    </row>
    <row r="40" spans="1:20" s="85" customFormat="1" x14ac:dyDescent="0.25">
      <c r="A40" s="103">
        <f t="shared" si="0"/>
        <v>0</v>
      </c>
      <c r="B40" s="36" t="str">
        <f t="shared" si="7"/>
        <v/>
      </c>
      <c r="C40" s="37"/>
      <c r="D40" s="37"/>
      <c r="E40" s="37"/>
      <c r="F40" s="37"/>
      <c r="G40" s="86"/>
      <c r="H40" s="93">
        <v>35</v>
      </c>
      <c r="I40" s="94" t="str">
        <f t="shared" si="2"/>
        <v/>
      </c>
      <c r="J40" s="93">
        <f t="shared" si="3"/>
        <v>-1</v>
      </c>
      <c r="K40" s="93">
        <f t="shared" si="4"/>
        <v>-10</v>
      </c>
      <c r="L40" s="93"/>
      <c r="M40" s="92">
        <f t="shared" si="5"/>
        <v>0</v>
      </c>
      <c r="N40" s="92">
        <f t="shared" si="6"/>
        <v>0</v>
      </c>
      <c r="O40" s="86"/>
      <c r="P40" s="86"/>
      <c r="Q40" s="86"/>
      <c r="R40" s="86"/>
      <c r="S40" s="106"/>
      <c r="T40" s="105"/>
    </row>
    <row r="41" spans="1:20" s="85" customFormat="1" x14ac:dyDescent="0.25">
      <c r="A41" s="102">
        <f t="shared" si="0"/>
        <v>0</v>
      </c>
      <c r="B41" s="42" t="str">
        <f t="shared" si="7"/>
        <v/>
      </c>
      <c r="C41" s="43"/>
      <c r="D41" s="43"/>
      <c r="E41" s="43"/>
      <c r="F41" s="43"/>
      <c r="G41" s="86"/>
      <c r="H41" s="98">
        <v>36</v>
      </c>
      <c r="I41" s="99" t="str">
        <f t="shared" si="2"/>
        <v/>
      </c>
      <c r="J41" s="98">
        <f t="shared" si="3"/>
        <v>-1</v>
      </c>
      <c r="K41" s="98">
        <f t="shared" si="4"/>
        <v>-10</v>
      </c>
      <c r="L41" s="98"/>
      <c r="M41" s="97">
        <f t="shared" si="5"/>
        <v>0</v>
      </c>
      <c r="N41" s="97">
        <f t="shared" si="6"/>
        <v>0</v>
      </c>
      <c r="O41" s="86"/>
      <c r="P41" s="86"/>
      <c r="Q41" s="86"/>
      <c r="R41" s="86"/>
      <c r="S41" s="86"/>
    </row>
    <row r="42" spans="1:20" s="85" customFormat="1" x14ac:dyDescent="0.25">
      <c r="A42" s="103">
        <f t="shared" si="0"/>
        <v>0</v>
      </c>
      <c r="B42" s="36" t="str">
        <f t="shared" si="7"/>
        <v/>
      </c>
      <c r="C42" s="37"/>
      <c r="D42" s="37"/>
      <c r="E42" s="37"/>
      <c r="F42" s="37"/>
      <c r="G42" s="86"/>
      <c r="H42" s="93">
        <v>37</v>
      </c>
      <c r="I42" s="94" t="str">
        <f t="shared" si="2"/>
        <v/>
      </c>
      <c r="J42" s="93">
        <f t="shared" si="3"/>
        <v>-1</v>
      </c>
      <c r="K42" s="93">
        <f t="shared" si="4"/>
        <v>-10</v>
      </c>
      <c r="L42" s="93"/>
      <c r="M42" s="92">
        <f t="shared" si="5"/>
        <v>0</v>
      </c>
      <c r="N42" s="92">
        <f t="shared" si="6"/>
        <v>0</v>
      </c>
      <c r="O42" s="86"/>
      <c r="P42" s="86"/>
      <c r="Q42" s="86"/>
      <c r="R42" s="86"/>
      <c r="S42" s="106"/>
      <c r="T42" s="105"/>
    </row>
    <row r="43" spans="1:20" s="85" customFormat="1" x14ac:dyDescent="0.25">
      <c r="A43" s="102">
        <f t="shared" si="0"/>
        <v>0</v>
      </c>
      <c r="B43" s="42" t="str">
        <f t="shared" si="7"/>
        <v/>
      </c>
      <c r="C43" s="43"/>
      <c r="D43" s="43"/>
      <c r="E43" s="43"/>
      <c r="F43" s="43"/>
      <c r="G43" s="86"/>
      <c r="H43" s="98">
        <v>38</v>
      </c>
      <c r="I43" s="99" t="str">
        <f t="shared" si="2"/>
        <v/>
      </c>
      <c r="J43" s="98">
        <f t="shared" si="3"/>
        <v>-1</v>
      </c>
      <c r="K43" s="98">
        <f t="shared" si="4"/>
        <v>-10</v>
      </c>
      <c r="L43" s="98"/>
      <c r="M43" s="97">
        <f t="shared" si="5"/>
        <v>0</v>
      </c>
      <c r="N43" s="97">
        <f t="shared" si="6"/>
        <v>0</v>
      </c>
      <c r="O43" s="86"/>
      <c r="P43" s="86"/>
      <c r="Q43" s="86"/>
      <c r="R43" s="86"/>
      <c r="S43" s="86"/>
    </row>
    <row r="44" spans="1:20" s="85" customFormat="1" x14ac:dyDescent="0.25">
      <c r="A44" s="103">
        <f t="shared" si="0"/>
        <v>0</v>
      </c>
      <c r="B44" s="36" t="str">
        <f t="shared" si="7"/>
        <v/>
      </c>
      <c r="C44" s="37"/>
      <c r="D44" s="37"/>
      <c r="E44" s="37"/>
      <c r="F44" s="37"/>
      <c r="G44" s="86"/>
      <c r="H44" s="93">
        <v>39</v>
      </c>
      <c r="I44" s="94" t="str">
        <f t="shared" si="2"/>
        <v/>
      </c>
      <c r="J44" s="93">
        <f t="shared" si="3"/>
        <v>-1</v>
      </c>
      <c r="K44" s="93">
        <f t="shared" si="4"/>
        <v>-10</v>
      </c>
      <c r="L44" s="93"/>
      <c r="M44" s="92">
        <f t="shared" si="5"/>
        <v>0</v>
      </c>
      <c r="N44" s="92">
        <f t="shared" si="6"/>
        <v>0</v>
      </c>
      <c r="O44" s="86"/>
      <c r="P44" s="86"/>
      <c r="Q44" s="86"/>
      <c r="R44" s="86"/>
      <c r="S44" s="106"/>
      <c r="T44" s="105"/>
    </row>
    <row r="45" spans="1:20" s="85" customFormat="1" x14ac:dyDescent="0.25">
      <c r="A45" s="102">
        <f t="shared" si="0"/>
        <v>0</v>
      </c>
      <c r="B45" s="42" t="str">
        <f t="shared" si="7"/>
        <v/>
      </c>
      <c r="C45" s="43"/>
      <c r="D45" s="43"/>
      <c r="E45" s="43"/>
      <c r="F45" s="43"/>
      <c r="G45" s="86"/>
      <c r="H45" s="98">
        <v>40</v>
      </c>
      <c r="I45" s="99" t="str">
        <f t="shared" si="2"/>
        <v/>
      </c>
      <c r="J45" s="98">
        <f t="shared" si="3"/>
        <v>-1</v>
      </c>
      <c r="K45" s="98">
        <f t="shared" si="4"/>
        <v>-10</v>
      </c>
      <c r="L45" s="98"/>
      <c r="M45" s="97">
        <f t="shared" si="5"/>
        <v>0</v>
      </c>
      <c r="N45" s="97">
        <f t="shared" si="6"/>
        <v>0</v>
      </c>
      <c r="O45" s="86"/>
      <c r="P45" s="86"/>
      <c r="Q45" s="86"/>
      <c r="R45" s="86"/>
      <c r="S45" s="86"/>
    </row>
    <row r="46" spans="1:20" s="85" customFormat="1" x14ac:dyDescent="0.25">
      <c r="A46" s="103">
        <f t="shared" si="0"/>
        <v>0</v>
      </c>
      <c r="B46" s="36" t="str">
        <f t="shared" si="7"/>
        <v/>
      </c>
      <c r="C46" s="37"/>
      <c r="D46" s="37"/>
      <c r="E46" s="37"/>
      <c r="F46" s="37"/>
      <c r="G46" s="86"/>
      <c r="H46" s="93">
        <v>41</v>
      </c>
      <c r="I46" s="94" t="str">
        <f t="shared" si="2"/>
        <v/>
      </c>
      <c r="J46" s="93">
        <f t="shared" si="3"/>
        <v>-1</v>
      </c>
      <c r="K46" s="93">
        <f t="shared" si="4"/>
        <v>-10</v>
      </c>
      <c r="L46" s="93"/>
      <c r="M46" s="92">
        <f t="shared" si="5"/>
        <v>0</v>
      </c>
      <c r="N46" s="92">
        <f t="shared" si="6"/>
        <v>0</v>
      </c>
      <c r="O46" s="86"/>
      <c r="P46" s="86"/>
      <c r="Q46" s="86"/>
      <c r="R46" s="86"/>
      <c r="S46" s="106"/>
      <c r="T46" s="105"/>
    </row>
    <row r="47" spans="1:20" s="85" customFormat="1" x14ac:dyDescent="0.25">
      <c r="A47" s="102">
        <f t="shared" si="0"/>
        <v>0</v>
      </c>
      <c r="B47" s="42" t="str">
        <f t="shared" si="7"/>
        <v/>
      </c>
      <c r="C47" s="43"/>
      <c r="D47" s="43"/>
      <c r="E47" s="43"/>
      <c r="F47" s="43"/>
      <c r="G47" s="86"/>
      <c r="H47" s="98">
        <v>42</v>
      </c>
      <c r="I47" s="99" t="str">
        <f t="shared" si="2"/>
        <v/>
      </c>
      <c r="J47" s="98">
        <f t="shared" si="3"/>
        <v>-1</v>
      </c>
      <c r="K47" s="98">
        <f t="shared" si="4"/>
        <v>-10</v>
      </c>
      <c r="L47" s="98"/>
      <c r="M47" s="97">
        <f t="shared" si="5"/>
        <v>0</v>
      </c>
      <c r="N47" s="97">
        <f t="shared" si="6"/>
        <v>0</v>
      </c>
      <c r="O47" s="86"/>
      <c r="P47" s="86"/>
      <c r="Q47" s="86"/>
      <c r="R47" s="86"/>
      <c r="S47" s="86"/>
    </row>
    <row r="48" spans="1:20" s="85" customFormat="1" x14ac:dyDescent="0.25">
      <c r="A48" s="103">
        <f t="shared" si="0"/>
        <v>0</v>
      </c>
      <c r="B48" s="36" t="str">
        <f t="shared" si="7"/>
        <v/>
      </c>
      <c r="C48" s="37"/>
      <c r="D48" s="37"/>
      <c r="E48" s="37"/>
      <c r="F48" s="37"/>
      <c r="G48" s="86"/>
      <c r="H48" s="93">
        <v>43</v>
      </c>
      <c r="I48" s="94" t="str">
        <f t="shared" si="2"/>
        <v/>
      </c>
      <c r="J48" s="93">
        <f t="shared" si="3"/>
        <v>-1</v>
      </c>
      <c r="K48" s="93">
        <f t="shared" si="4"/>
        <v>-10</v>
      </c>
      <c r="L48" s="93"/>
      <c r="M48" s="92">
        <f t="shared" si="5"/>
        <v>0</v>
      </c>
      <c r="N48" s="92">
        <f t="shared" si="6"/>
        <v>0</v>
      </c>
      <c r="O48" s="86"/>
      <c r="P48" s="86"/>
      <c r="Q48" s="86"/>
      <c r="R48" s="86"/>
      <c r="S48" s="106"/>
      <c r="T48" s="105"/>
    </row>
    <row r="49" spans="1:20" s="85" customFormat="1" x14ac:dyDescent="0.25">
      <c r="A49" s="102">
        <f t="shared" si="0"/>
        <v>0</v>
      </c>
      <c r="B49" s="42" t="str">
        <f t="shared" si="7"/>
        <v/>
      </c>
      <c r="C49" s="43"/>
      <c r="D49" s="43"/>
      <c r="E49" s="43"/>
      <c r="F49" s="43"/>
      <c r="G49" s="86"/>
      <c r="H49" s="98">
        <v>44</v>
      </c>
      <c r="I49" s="99" t="str">
        <f t="shared" si="2"/>
        <v/>
      </c>
      <c r="J49" s="98">
        <f t="shared" si="3"/>
        <v>-1</v>
      </c>
      <c r="K49" s="98">
        <f t="shared" si="4"/>
        <v>-10</v>
      </c>
      <c r="L49" s="98"/>
      <c r="M49" s="97">
        <f t="shared" si="5"/>
        <v>0</v>
      </c>
      <c r="N49" s="97">
        <f t="shared" si="6"/>
        <v>0</v>
      </c>
      <c r="O49" s="86"/>
      <c r="P49" s="86"/>
      <c r="Q49" s="86"/>
      <c r="R49" s="86"/>
      <c r="S49" s="86"/>
    </row>
    <row r="50" spans="1:20" s="85" customFormat="1" x14ac:dyDescent="0.25">
      <c r="A50" s="103">
        <f t="shared" si="0"/>
        <v>0</v>
      </c>
      <c r="B50" s="36" t="str">
        <f t="shared" si="7"/>
        <v/>
      </c>
      <c r="C50" s="37"/>
      <c r="D50" s="37"/>
      <c r="E50" s="37"/>
      <c r="F50" s="37"/>
      <c r="G50" s="86"/>
      <c r="H50" s="93">
        <v>45</v>
      </c>
      <c r="I50" s="94" t="str">
        <f t="shared" si="2"/>
        <v/>
      </c>
      <c r="J50" s="93">
        <f t="shared" si="3"/>
        <v>-1</v>
      </c>
      <c r="K50" s="93">
        <f t="shared" si="4"/>
        <v>-10</v>
      </c>
      <c r="L50" s="93"/>
      <c r="M50" s="92">
        <f t="shared" si="5"/>
        <v>0</v>
      </c>
      <c r="N50" s="92">
        <f t="shared" si="6"/>
        <v>0</v>
      </c>
      <c r="O50" s="86"/>
      <c r="P50" s="86"/>
      <c r="Q50" s="86"/>
      <c r="R50" s="86"/>
      <c r="S50" s="106"/>
      <c r="T50" s="105"/>
    </row>
    <row r="51" spans="1:20" s="85" customFormat="1" x14ac:dyDescent="0.25">
      <c r="A51" s="102">
        <f t="shared" si="0"/>
        <v>0</v>
      </c>
      <c r="B51" s="42" t="str">
        <f t="shared" si="7"/>
        <v/>
      </c>
      <c r="C51" s="43"/>
      <c r="D51" s="43"/>
      <c r="E51" s="43"/>
      <c r="F51" s="43"/>
      <c r="G51" s="86"/>
      <c r="H51" s="98">
        <v>46</v>
      </c>
      <c r="I51" s="99" t="str">
        <f t="shared" si="2"/>
        <v/>
      </c>
      <c r="J51" s="98">
        <f t="shared" si="3"/>
        <v>-1</v>
      </c>
      <c r="K51" s="98">
        <f t="shared" si="4"/>
        <v>-10</v>
      </c>
      <c r="L51" s="98"/>
      <c r="M51" s="97">
        <f t="shared" si="5"/>
        <v>0</v>
      </c>
      <c r="N51" s="97">
        <f t="shared" si="6"/>
        <v>0</v>
      </c>
      <c r="O51" s="86"/>
      <c r="P51" s="86"/>
      <c r="Q51" s="86"/>
      <c r="R51" s="86"/>
      <c r="S51" s="86"/>
    </row>
    <row r="52" spans="1:20" s="85" customFormat="1" x14ac:dyDescent="0.25">
      <c r="A52" s="103">
        <f t="shared" si="0"/>
        <v>0</v>
      </c>
      <c r="B52" s="36" t="str">
        <f t="shared" si="7"/>
        <v/>
      </c>
      <c r="C52" s="37"/>
      <c r="D52" s="37"/>
      <c r="E52" s="37"/>
      <c r="F52" s="37"/>
      <c r="G52" s="86"/>
      <c r="H52" s="93">
        <v>47</v>
      </c>
      <c r="I52" s="94" t="str">
        <f t="shared" si="2"/>
        <v/>
      </c>
      <c r="J52" s="93">
        <f t="shared" si="3"/>
        <v>-1</v>
      </c>
      <c r="K52" s="93">
        <f t="shared" si="4"/>
        <v>-10</v>
      </c>
      <c r="L52" s="93"/>
      <c r="M52" s="92">
        <f t="shared" si="5"/>
        <v>0</v>
      </c>
      <c r="N52" s="92">
        <f t="shared" si="6"/>
        <v>0</v>
      </c>
      <c r="O52" s="86"/>
      <c r="P52" s="86"/>
      <c r="Q52" s="86"/>
      <c r="R52" s="86"/>
      <c r="S52" s="106"/>
      <c r="T52" s="105"/>
    </row>
    <row r="53" spans="1:20" s="85" customFormat="1" x14ac:dyDescent="0.25">
      <c r="A53" s="102">
        <f t="shared" si="0"/>
        <v>0</v>
      </c>
      <c r="B53" s="42" t="str">
        <f t="shared" si="7"/>
        <v/>
      </c>
      <c r="C53" s="43"/>
      <c r="D53" s="43"/>
      <c r="E53" s="43"/>
      <c r="F53" s="43"/>
      <c r="G53" s="86"/>
      <c r="H53" s="98">
        <v>48</v>
      </c>
      <c r="I53" s="99" t="str">
        <f t="shared" si="2"/>
        <v/>
      </c>
      <c r="J53" s="98">
        <f t="shared" si="3"/>
        <v>-1</v>
      </c>
      <c r="K53" s="98">
        <f t="shared" si="4"/>
        <v>-10</v>
      </c>
      <c r="L53" s="98"/>
      <c r="M53" s="97">
        <f t="shared" si="5"/>
        <v>0</v>
      </c>
      <c r="N53" s="97">
        <f t="shared" si="6"/>
        <v>0</v>
      </c>
      <c r="O53" s="86"/>
      <c r="P53" s="86"/>
      <c r="Q53" s="86"/>
      <c r="R53" s="86"/>
      <c r="S53" s="86"/>
    </row>
    <row r="54" spans="1:20" s="85" customFormat="1" x14ac:dyDescent="0.25">
      <c r="A54" s="103">
        <f t="shared" si="0"/>
        <v>0</v>
      </c>
      <c r="B54" s="36" t="str">
        <f t="shared" si="7"/>
        <v/>
      </c>
      <c r="C54" s="37"/>
      <c r="D54" s="37"/>
      <c r="E54" s="37"/>
      <c r="F54" s="37"/>
      <c r="G54" s="86"/>
      <c r="H54" s="93">
        <v>49</v>
      </c>
      <c r="I54" s="94" t="str">
        <f t="shared" si="2"/>
        <v/>
      </c>
      <c r="J54" s="93">
        <f t="shared" si="3"/>
        <v>-1</v>
      </c>
      <c r="K54" s="93">
        <f t="shared" si="4"/>
        <v>-10</v>
      </c>
      <c r="L54" s="93"/>
      <c r="M54" s="92">
        <f t="shared" si="5"/>
        <v>0</v>
      </c>
      <c r="N54" s="92">
        <f t="shared" si="6"/>
        <v>0</v>
      </c>
      <c r="O54" s="86"/>
      <c r="P54" s="86"/>
      <c r="Q54" s="86"/>
      <c r="R54" s="86"/>
      <c r="S54" s="106"/>
      <c r="T54" s="105"/>
    </row>
    <row r="55" spans="1:20" s="85" customFormat="1" x14ac:dyDescent="0.25">
      <c r="A55" s="102">
        <f t="shared" si="0"/>
        <v>0</v>
      </c>
      <c r="B55" s="42" t="str">
        <f t="shared" si="7"/>
        <v/>
      </c>
      <c r="C55" s="43"/>
      <c r="D55" s="43"/>
      <c r="E55" s="43"/>
      <c r="F55" s="43"/>
      <c r="G55" s="86"/>
      <c r="H55" s="98">
        <v>50</v>
      </c>
      <c r="I55" s="99" t="str">
        <f t="shared" si="2"/>
        <v/>
      </c>
      <c r="J55" s="98">
        <f t="shared" si="3"/>
        <v>-1</v>
      </c>
      <c r="K55" s="98">
        <f t="shared" si="4"/>
        <v>-10</v>
      </c>
      <c r="L55" s="98"/>
      <c r="M55" s="97">
        <f t="shared" si="5"/>
        <v>0</v>
      </c>
      <c r="N55" s="97">
        <f t="shared" si="6"/>
        <v>0</v>
      </c>
      <c r="O55" s="86"/>
      <c r="P55" s="86"/>
      <c r="Q55" s="86"/>
      <c r="R55" s="86"/>
      <c r="S55" s="86"/>
    </row>
    <row r="56" spans="1:20" s="85" customFormat="1" x14ac:dyDescent="0.25">
      <c r="A56" s="103">
        <f t="shared" si="0"/>
        <v>0</v>
      </c>
      <c r="B56" s="36" t="str">
        <f t="shared" si="7"/>
        <v/>
      </c>
      <c r="C56" s="37"/>
      <c r="D56" s="37"/>
      <c r="E56" s="37"/>
      <c r="F56" s="37"/>
      <c r="G56" s="86"/>
      <c r="H56" s="93">
        <v>51</v>
      </c>
      <c r="I56" s="94" t="str">
        <f t="shared" si="2"/>
        <v/>
      </c>
      <c r="J56" s="93">
        <f t="shared" si="3"/>
        <v>-1</v>
      </c>
      <c r="K56" s="93">
        <f t="shared" si="4"/>
        <v>-10</v>
      </c>
      <c r="L56" s="93"/>
      <c r="M56" s="92">
        <f t="shared" si="5"/>
        <v>0</v>
      </c>
      <c r="N56" s="92">
        <f t="shared" si="6"/>
        <v>0</v>
      </c>
      <c r="O56" s="86"/>
      <c r="P56" s="86"/>
      <c r="Q56" s="86"/>
      <c r="R56" s="86"/>
      <c r="S56" s="106"/>
      <c r="T56" s="105"/>
    </row>
    <row r="57" spans="1:20" s="85" customFormat="1" x14ac:dyDescent="0.25">
      <c r="A57" s="102">
        <f t="shared" si="0"/>
        <v>0</v>
      </c>
      <c r="B57" s="42" t="str">
        <f t="shared" si="7"/>
        <v/>
      </c>
      <c r="C57" s="43"/>
      <c r="D57" s="43"/>
      <c r="E57" s="43"/>
      <c r="F57" s="43"/>
      <c r="G57" s="86"/>
      <c r="H57" s="98">
        <v>52</v>
      </c>
      <c r="I57" s="99" t="str">
        <f t="shared" si="2"/>
        <v/>
      </c>
      <c r="J57" s="98">
        <f t="shared" si="3"/>
        <v>-1</v>
      </c>
      <c r="K57" s="98">
        <f t="shared" si="4"/>
        <v>-10</v>
      </c>
      <c r="L57" s="98"/>
      <c r="M57" s="97">
        <f t="shared" si="5"/>
        <v>0</v>
      </c>
      <c r="N57" s="97">
        <f t="shared" si="6"/>
        <v>0</v>
      </c>
      <c r="O57" s="86"/>
      <c r="P57" s="86"/>
      <c r="Q57" s="86"/>
      <c r="R57" s="86"/>
      <c r="S57" s="86"/>
    </row>
    <row r="58" spans="1:20" s="85" customFormat="1" x14ac:dyDescent="0.25">
      <c r="A58" s="103">
        <f t="shared" si="0"/>
        <v>0</v>
      </c>
      <c r="B58" s="36" t="str">
        <f t="shared" si="7"/>
        <v/>
      </c>
      <c r="C58" s="37"/>
      <c r="D58" s="37"/>
      <c r="E58" s="37"/>
      <c r="F58" s="37"/>
      <c r="G58" s="86"/>
      <c r="H58" s="93">
        <v>53</v>
      </c>
      <c r="I58" s="94" t="str">
        <f t="shared" si="2"/>
        <v/>
      </c>
      <c r="J58" s="93">
        <f t="shared" si="3"/>
        <v>-1</v>
      </c>
      <c r="K58" s="93">
        <f t="shared" si="4"/>
        <v>-10</v>
      </c>
      <c r="L58" s="93"/>
      <c r="M58" s="92">
        <f t="shared" si="5"/>
        <v>0</v>
      </c>
      <c r="N58" s="92">
        <f t="shared" si="6"/>
        <v>0</v>
      </c>
      <c r="O58" s="86"/>
      <c r="P58" s="86"/>
      <c r="Q58" s="86"/>
      <c r="R58" s="86"/>
      <c r="S58" s="106"/>
      <c r="T58" s="105"/>
    </row>
    <row r="59" spans="1:20" s="85" customFormat="1" x14ac:dyDescent="0.25">
      <c r="A59" s="102">
        <f t="shared" si="0"/>
        <v>0</v>
      </c>
      <c r="B59" s="42" t="str">
        <f t="shared" si="7"/>
        <v/>
      </c>
      <c r="C59" s="43"/>
      <c r="D59" s="43"/>
      <c r="E59" s="43"/>
      <c r="F59" s="43"/>
      <c r="G59" s="86"/>
      <c r="H59" s="98">
        <v>54</v>
      </c>
      <c r="I59" s="99" t="str">
        <f t="shared" si="2"/>
        <v/>
      </c>
      <c r="J59" s="98">
        <f t="shared" si="3"/>
        <v>-1</v>
      </c>
      <c r="K59" s="98">
        <f t="shared" si="4"/>
        <v>-10</v>
      </c>
      <c r="L59" s="98"/>
      <c r="M59" s="97">
        <f t="shared" si="5"/>
        <v>0</v>
      </c>
      <c r="N59" s="97">
        <f t="shared" si="6"/>
        <v>0</v>
      </c>
      <c r="O59" s="86"/>
      <c r="P59" s="86"/>
      <c r="Q59" s="86"/>
      <c r="R59" s="86"/>
      <c r="S59" s="86"/>
    </row>
    <row r="60" spans="1:20" s="85" customFormat="1" x14ac:dyDescent="0.25">
      <c r="A60" s="103">
        <f t="shared" si="0"/>
        <v>0</v>
      </c>
      <c r="B60" s="36" t="str">
        <f t="shared" si="7"/>
        <v/>
      </c>
      <c r="C60" s="37"/>
      <c r="D60" s="37"/>
      <c r="E60" s="37"/>
      <c r="F60" s="37"/>
      <c r="G60" s="86"/>
      <c r="H60" s="93">
        <v>55</v>
      </c>
      <c r="I60" s="94" t="str">
        <f t="shared" si="2"/>
        <v/>
      </c>
      <c r="J60" s="93">
        <f t="shared" si="3"/>
        <v>-1</v>
      </c>
      <c r="K60" s="93">
        <f t="shared" si="4"/>
        <v>-10</v>
      </c>
      <c r="L60" s="93"/>
      <c r="M60" s="92">
        <f t="shared" si="5"/>
        <v>0</v>
      </c>
      <c r="N60" s="92">
        <f t="shared" si="6"/>
        <v>0</v>
      </c>
      <c r="O60" s="86"/>
      <c r="P60" s="86"/>
      <c r="Q60" s="86"/>
      <c r="R60" s="86"/>
      <c r="S60" s="106"/>
      <c r="T60" s="105"/>
    </row>
    <row r="61" spans="1:20" s="85" customFormat="1" x14ac:dyDescent="0.25">
      <c r="A61" s="102">
        <f t="shared" si="0"/>
        <v>0</v>
      </c>
      <c r="B61" s="42" t="str">
        <f t="shared" si="7"/>
        <v/>
      </c>
      <c r="C61" s="43"/>
      <c r="D61" s="43"/>
      <c r="E61" s="43"/>
      <c r="F61" s="43"/>
      <c r="G61" s="86"/>
      <c r="H61" s="98">
        <v>56</v>
      </c>
      <c r="I61" s="99" t="str">
        <f t="shared" si="2"/>
        <v/>
      </c>
      <c r="J61" s="98">
        <f t="shared" si="3"/>
        <v>-1</v>
      </c>
      <c r="K61" s="98">
        <f t="shared" si="4"/>
        <v>-10</v>
      </c>
      <c r="L61" s="98"/>
      <c r="M61" s="97">
        <f t="shared" si="5"/>
        <v>0</v>
      </c>
      <c r="N61" s="97">
        <f t="shared" si="6"/>
        <v>0</v>
      </c>
      <c r="O61" s="86"/>
      <c r="P61" s="86"/>
      <c r="Q61" s="86"/>
      <c r="R61" s="86"/>
      <c r="S61" s="86"/>
    </row>
    <row r="62" spans="1:20" s="85" customFormat="1" x14ac:dyDescent="0.25">
      <c r="A62" s="103">
        <f t="shared" si="0"/>
        <v>0</v>
      </c>
      <c r="B62" s="36" t="str">
        <f t="shared" si="7"/>
        <v/>
      </c>
      <c r="C62" s="37"/>
      <c r="D62" s="37"/>
      <c r="E62" s="37"/>
      <c r="F62" s="37"/>
      <c r="G62" s="86"/>
      <c r="H62" s="93">
        <v>57</v>
      </c>
      <c r="I62" s="94" t="str">
        <f t="shared" si="2"/>
        <v/>
      </c>
      <c r="J62" s="93">
        <f t="shared" si="3"/>
        <v>-1</v>
      </c>
      <c r="K62" s="93">
        <f t="shared" si="4"/>
        <v>-10</v>
      </c>
      <c r="L62" s="93"/>
      <c r="M62" s="92">
        <f t="shared" si="5"/>
        <v>0</v>
      </c>
      <c r="N62" s="92">
        <f t="shared" si="6"/>
        <v>0</v>
      </c>
      <c r="O62" s="86"/>
      <c r="P62" s="86"/>
      <c r="Q62" s="86"/>
      <c r="R62" s="86"/>
      <c r="S62" s="106"/>
      <c r="T62" s="105"/>
    </row>
    <row r="63" spans="1:20" s="85" customFormat="1" x14ac:dyDescent="0.25">
      <c r="A63" s="102">
        <f t="shared" si="0"/>
        <v>0</v>
      </c>
      <c r="B63" s="42" t="str">
        <f t="shared" si="7"/>
        <v/>
      </c>
      <c r="C63" s="43"/>
      <c r="D63" s="43"/>
      <c r="E63" s="43"/>
      <c r="F63" s="43"/>
      <c r="G63" s="86"/>
      <c r="H63" s="98">
        <v>58</v>
      </c>
      <c r="I63" s="99" t="str">
        <f t="shared" si="2"/>
        <v/>
      </c>
      <c r="J63" s="98">
        <f t="shared" si="3"/>
        <v>-1</v>
      </c>
      <c r="K63" s="98">
        <f t="shared" si="4"/>
        <v>-10</v>
      </c>
      <c r="L63" s="98"/>
      <c r="M63" s="97">
        <f t="shared" si="5"/>
        <v>0</v>
      </c>
      <c r="N63" s="97">
        <f t="shared" si="6"/>
        <v>0</v>
      </c>
      <c r="O63" s="86"/>
      <c r="P63" s="86"/>
      <c r="Q63" s="86"/>
      <c r="R63" s="86"/>
      <c r="S63" s="86"/>
    </row>
    <row r="64" spans="1:20" s="85" customFormat="1" x14ac:dyDescent="0.25">
      <c r="A64" s="103">
        <f t="shared" si="0"/>
        <v>0</v>
      </c>
      <c r="B64" s="36" t="str">
        <f t="shared" si="7"/>
        <v/>
      </c>
      <c r="C64" s="37"/>
      <c r="D64" s="37"/>
      <c r="E64" s="37"/>
      <c r="F64" s="37"/>
      <c r="G64" s="86"/>
      <c r="H64" s="93">
        <v>59</v>
      </c>
      <c r="I64" s="94" t="str">
        <f t="shared" si="2"/>
        <v/>
      </c>
      <c r="J64" s="93">
        <f t="shared" si="3"/>
        <v>-1</v>
      </c>
      <c r="K64" s="93">
        <f t="shared" si="4"/>
        <v>-10</v>
      </c>
      <c r="L64" s="93"/>
      <c r="M64" s="92">
        <f t="shared" si="5"/>
        <v>0</v>
      </c>
      <c r="N64" s="92">
        <f t="shared" si="6"/>
        <v>0</v>
      </c>
      <c r="O64" s="86"/>
      <c r="P64" s="86"/>
      <c r="Q64" s="86"/>
      <c r="R64" s="86"/>
      <c r="S64" s="106"/>
      <c r="T64" s="105"/>
    </row>
    <row r="65" spans="1:20" s="85" customFormat="1" x14ac:dyDescent="0.25">
      <c r="A65" s="102">
        <f t="shared" si="0"/>
        <v>0</v>
      </c>
      <c r="B65" s="42" t="str">
        <f t="shared" si="7"/>
        <v/>
      </c>
      <c r="C65" s="43"/>
      <c r="D65" s="43"/>
      <c r="E65" s="43"/>
      <c r="F65" s="43"/>
      <c r="G65" s="86"/>
      <c r="H65" s="98">
        <v>60</v>
      </c>
      <c r="I65" s="99" t="str">
        <f t="shared" si="2"/>
        <v/>
      </c>
      <c r="J65" s="98">
        <f t="shared" si="3"/>
        <v>-1</v>
      </c>
      <c r="K65" s="98">
        <f t="shared" si="4"/>
        <v>-10</v>
      </c>
      <c r="L65" s="98"/>
      <c r="M65" s="97">
        <f t="shared" si="5"/>
        <v>0</v>
      </c>
      <c r="N65" s="97">
        <f t="shared" si="6"/>
        <v>0</v>
      </c>
      <c r="O65" s="86"/>
      <c r="P65" s="86"/>
      <c r="Q65" s="86"/>
      <c r="R65" s="86"/>
      <c r="S65" s="86"/>
    </row>
    <row r="66" spans="1:20" s="85" customFormat="1" x14ac:dyDescent="0.25">
      <c r="A66" s="103">
        <f t="shared" si="0"/>
        <v>0</v>
      </c>
      <c r="B66" s="36" t="str">
        <f t="shared" si="7"/>
        <v/>
      </c>
      <c r="C66" s="37"/>
      <c r="D66" s="37"/>
      <c r="E66" s="37"/>
      <c r="F66" s="37"/>
      <c r="G66" s="86"/>
      <c r="H66" s="93">
        <v>61</v>
      </c>
      <c r="I66" s="94" t="str">
        <f t="shared" si="2"/>
        <v/>
      </c>
      <c r="J66" s="93">
        <f t="shared" si="3"/>
        <v>-1</v>
      </c>
      <c r="K66" s="93">
        <f t="shared" si="4"/>
        <v>-10</v>
      </c>
      <c r="L66" s="93"/>
      <c r="M66" s="92">
        <f t="shared" si="5"/>
        <v>0</v>
      </c>
      <c r="N66" s="92">
        <f t="shared" si="6"/>
        <v>0</v>
      </c>
      <c r="O66" s="86"/>
      <c r="P66" s="86"/>
      <c r="Q66" s="86"/>
      <c r="R66" s="86"/>
      <c r="S66" s="106"/>
      <c r="T66" s="105"/>
    </row>
    <row r="67" spans="1:20" s="85" customFormat="1" x14ac:dyDescent="0.25">
      <c r="A67" s="102">
        <f t="shared" si="0"/>
        <v>0</v>
      </c>
      <c r="B67" s="42" t="str">
        <f t="shared" si="7"/>
        <v/>
      </c>
      <c r="C67" s="43"/>
      <c r="D67" s="43"/>
      <c r="E67" s="43"/>
      <c r="F67" s="43"/>
      <c r="G67" s="86"/>
      <c r="H67" s="98">
        <v>62</v>
      </c>
      <c r="I67" s="99" t="str">
        <f t="shared" si="2"/>
        <v/>
      </c>
      <c r="J67" s="98">
        <f t="shared" si="3"/>
        <v>-1</v>
      </c>
      <c r="K67" s="98">
        <f t="shared" si="4"/>
        <v>-10</v>
      </c>
      <c r="L67" s="98"/>
      <c r="M67" s="97">
        <f t="shared" si="5"/>
        <v>0</v>
      </c>
      <c r="N67" s="97">
        <f t="shared" si="6"/>
        <v>0</v>
      </c>
      <c r="O67" s="86"/>
      <c r="P67" s="86"/>
      <c r="Q67" s="86"/>
      <c r="R67" s="86"/>
      <c r="S67" s="86"/>
    </row>
    <row r="68" spans="1:20" s="85" customFormat="1" x14ac:dyDescent="0.25">
      <c r="A68" s="103">
        <f t="shared" si="0"/>
        <v>0</v>
      </c>
      <c r="B68" s="36" t="str">
        <f t="shared" si="7"/>
        <v/>
      </c>
      <c r="C68" s="37"/>
      <c r="D68" s="37"/>
      <c r="E68" s="37"/>
      <c r="F68" s="37"/>
      <c r="G68" s="86"/>
      <c r="H68" s="93">
        <v>63</v>
      </c>
      <c r="I68" s="94" t="str">
        <f t="shared" si="2"/>
        <v/>
      </c>
      <c r="J68" s="93">
        <f t="shared" si="3"/>
        <v>-1</v>
      </c>
      <c r="K68" s="93">
        <f t="shared" si="4"/>
        <v>-10</v>
      </c>
      <c r="L68" s="93"/>
      <c r="M68" s="92">
        <f t="shared" si="5"/>
        <v>0</v>
      </c>
      <c r="N68" s="92">
        <f t="shared" si="6"/>
        <v>0</v>
      </c>
      <c r="O68" s="86"/>
      <c r="P68" s="86"/>
      <c r="Q68" s="86"/>
      <c r="R68" s="86"/>
      <c r="S68" s="106"/>
      <c r="T68" s="105"/>
    </row>
    <row r="69" spans="1:20" s="85" customFormat="1" x14ac:dyDescent="0.25">
      <c r="A69" s="102">
        <f t="shared" si="0"/>
        <v>0</v>
      </c>
      <c r="B69" s="42" t="str">
        <f t="shared" si="7"/>
        <v/>
      </c>
      <c r="C69" s="43"/>
      <c r="D69" s="43"/>
      <c r="E69" s="43"/>
      <c r="F69" s="43"/>
      <c r="G69" s="86"/>
      <c r="H69" s="98">
        <v>64</v>
      </c>
      <c r="I69" s="99" t="str">
        <f t="shared" si="2"/>
        <v/>
      </c>
      <c r="J69" s="98">
        <f t="shared" si="3"/>
        <v>-1</v>
      </c>
      <c r="K69" s="98">
        <f t="shared" si="4"/>
        <v>-10</v>
      </c>
      <c r="L69" s="98"/>
      <c r="M69" s="97">
        <f t="shared" si="5"/>
        <v>0</v>
      </c>
      <c r="N69" s="97">
        <f t="shared" si="6"/>
        <v>0</v>
      </c>
      <c r="O69" s="86"/>
      <c r="P69" s="86"/>
      <c r="Q69" s="86"/>
      <c r="R69" s="86"/>
      <c r="S69" s="86"/>
    </row>
    <row r="70" spans="1:20" s="85" customFormat="1" x14ac:dyDescent="0.25">
      <c r="A70" s="103">
        <f t="shared" ref="A70:A133" si="8">N70</f>
        <v>0</v>
      </c>
      <c r="B70" s="36" t="str">
        <f t="shared" si="7"/>
        <v/>
      </c>
      <c r="C70" s="37"/>
      <c r="D70" s="37"/>
      <c r="E70" s="37"/>
      <c r="F70" s="37"/>
      <c r="G70" s="86"/>
      <c r="H70" s="93">
        <v>65</v>
      </c>
      <c r="I70" s="94" t="str">
        <f t="shared" ref="I70:I133" si="9">IF(H70&lt;$H$2+1,($I$2-($I$2-1)*(LOG(H70)/LOG($H$2))),"")</f>
        <v/>
      </c>
      <c r="J70" s="93">
        <f t="shared" ref="J70:J133" si="10">INT(LOG($H$2,2))-ROUNDUP(LOG(H70,2),0)+IF(OR($H$2=1,$H$2=2,$H$2=4,$H$2=8,$H$2=16,$H$2=32,$H$2=64,$H$2=128,$H$2=256),0,1)</f>
        <v>-2</v>
      </c>
      <c r="K70" s="93">
        <f t="shared" ref="K70:K133" si="11">J70*$J$2</f>
        <v>-20</v>
      </c>
      <c r="L70" s="93"/>
      <c r="M70" s="92">
        <f t="shared" ref="M70:M133" si="12">IF(I70&lt;&gt;"",K70+I70+L70,0)</f>
        <v>0</v>
      </c>
      <c r="N70" s="92">
        <f t="shared" ref="N70:N133" si="13">IF(I70&lt;&gt;"",M70*L$2,0)</f>
        <v>0</v>
      </c>
      <c r="O70" s="86"/>
      <c r="P70" s="86"/>
      <c r="Q70" s="86"/>
      <c r="R70" s="86"/>
      <c r="S70" s="106"/>
      <c r="T70" s="105"/>
    </row>
    <row r="71" spans="1:20" s="85" customFormat="1" x14ac:dyDescent="0.25">
      <c r="A71" s="102">
        <f t="shared" si="8"/>
        <v>0</v>
      </c>
      <c r="B71" s="42" t="str">
        <f t="shared" si="7"/>
        <v/>
      </c>
      <c r="C71" s="43"/>
      <c r="D71" s="43"/>
      <c r="E71" s="43"/>
      <c r="F71" s="43"/>
      <c r="G71" s="86"/>
      <c r="H71" s="98">
        <v>66</v>
      </c>
      <c r="I71" s="99" t="str">
        <f t="shared" si="9"/>
        <v/>
      </c>
      <c r="J71" s="98">
        <f t="shared" si="10"/>
        <v>-2</v>
      </c>
      <c r="K71" s="98">
        <f t="shared" si="11"/>
        <v>-20</v>
      </c>
      <c r="L71" s="98"/>
      <c r="M71" s="97">
        <f t="shared" si="12"/>
        <v>0</v>
      </c>
      <c r="N71" s="97">
        <f t="shared" si="13"/>
        <v>0</v>
      </c>
      <c r="O71" s="86"/>
      <c r="P71" s="86"/>
      <c r="Q71" s="86"/>
      <c r="R71" s="86"/>
      <c r="S71" s="86"/>
    </row>
    <row r="72" spans="1:20" s="85" customFormat="1" x14ac:dyDescent="0.25">
      <c r="A72" s="103">
        <f t="shared" si="8"/>
        <v>0</v>
      </c>
      <c r="B72" s="36" t="str">
        <f t="shared" si="7"/>
        <v/>
      </c>
      <c r="C72" s="37"/>
      <c r="D72" s="37"/>
      <c r="E72" s="37"/>
      <c r="F72" s="37"/>
      <c r="G72" s="86"/>
      <c r="H72" s="93">
        <v>67</v>
      </c>
      <c r="I72" s="94" t="str">
        <f t="shared" si="9"/>
        <v/>
      </c>
      <c r="J72" s="93">
        <f t="shared" si="10"/>
        <v>-2</v>
      </c>
      <c r="K72" s="93">
        <f t="shared" si="11"/>
        <v>-20</v>
      </c>
      <c r="L72" s="93"/>
      <c r="M72" s="92">
        <f t="shared" si="12"/>
        <v>0</v>
      </c>
      <c r="N72" s="92">
        <f t="shared" si="13"/>
        <v>0</v>
      </c>
      <c r="O72" s="86"/>
      <c r="P72" s="86"/>
      <c r="Q72" s="86"/>
      <c r="R72" s="86"/>
      <c r="S72" s="106"/>
      <c r="T72" s="105"/>
    </row>
    <row r="73" spans="1:20" s="85" customFormat="1" x14ac:dyDescent="0.25">
      <c r="A73" s="102">
        <f t="shared" si="8"/>
        <v>0</v>
      </c>
      <c r="B73" s="42" t="str">
        <f t="shared" si="7"/>
        <v/>
      </c>
      <c r="C73" s="43"/>
      <c r="D73" s="43"/>
      <c r="E73" s="43"/>
      <c r="F73" s="43"/>
      <c r="G73" s="86"/>
      <c r="H73" s="98">
        <v>68</v>
      </c>
      <c r="I73" s="99" t="str">
        <f t="shared" si="9"/>
        <v/>
      </c>
      <c r="J73" s="98">
        <f t="shared" si="10"/>
        <v>-2</v>
      </c>
      <c r="K73" s="98">
        <f t="shared" si="11"/>
        <v>-20</v>
      </c>
      <c r="L73" s="98"/>
      <c r="M73" s="97">
        <f t="shared" si="12"/>
        <v>0</v>
      </c>
      <c r="N73" s="97">
        <f t="shared" si="13"/>
        <v>0</v>
      </c>
      <c r="O73" s="86"/>
      <c r="P73" s="86"/>
      <c r="Q73" s="86"/>
      <c r="R73" s="86"/>
      <c r="S73" s="86"/>
    </row>
    <row r="74" spans="1:20" s="85" customFormat="1" x14ac:dyDescent="0.25">
      <c r="A74" s="103">
        <f t="shared" si="8"/>
        <v>0</v>
      </c>
      <c r="B74" s="36" t="str">
        <f t="shared" ref="B74:B137" si="14">IF(H74&gt;$H$2,"",(ROW()-5))</f>
        <v/>
      </c>
      <c r="C74" s="37"/>
      <c r="D74" s="37"/>
      <c r="E74" s="37"/>
      <c r="F74" s="37"/>
      <c r="G74" s="86"/>
      <c r="H74" s="93">
        <v>69</v>
      </c>
      <c r="I74" s="94" t="str">
        <f t="shared" si="9"/>
        <v/>
      </c>
      <c r="J74" s="93">
        <f t="shared" si="10"/>
        <v>-2</v>
      </c>
      <c r="K74" s="93">
        <f t="shared" si="11"/>
        <v>-20</v>
      </c>
      <c r="L74" s="93"/>
      <c r="M74" s="92">
        <f t="shared" si="12"/>
        <v>0</v>
      </c>
      <c r="N74" s="92">
        <f t="shared" si="13"/>
        <v>0</v>
      </c>
      <c r="O74" s="86"/>
      <c r="P74" s="86"/>
      <c r="Q74" s="86"/>
      <c r="R74" s="86"/>
      <c r="S74" s="106"/>
      <c r="T74" s="105"/>
    </row>
    <row r="75" spans="1:20" s="85" customFormat="1" x14ac:dyDescent="0.25">
      <c r="A75" s="102">
        <f t="shared" si="8"/>
        <v>0</v>
      </c>
      <c r="B75" s="42" t="str">
        <f t="shared" si="14"/>
        <v/>
      </c>
      <c r="C75" s="43"/>
      <c r="D75" s="43"/>
      <c r="E75" s="43"/>
      <c r="F75" s="43"/>
      <c r="G75" s="86"/>
      <c r="H75" s="98">
        <v>70</v>
      </c>
      <c r="I75" s="99" t="str">
        <f t="shared" si="9"/>
        <v/>
      </c>
      <c r="J75" s="98">
        <f t="shared" si="10"/>
        <v>-2</v>
      </c>
      <c r="K75" s="98">
        <f t="shared" si="11"/>
        <v>-20</v>
      </c>
      <c r="L75" s="98"/>
      <c r="M75" s="97">
        <f t="shared" si="12"/>
        <v>0</v>
      </c>
      <c r="N75" s="97">
        <f t="shared" si="13"/>
        <v>0</v>
      </c>
      <c r="O75" s="86"/>
      <c r="P75" s="86"/>
      <c r="Q75" s="86"/>
      <c r="R75" s="86"/>
      <c r="S75" s="86"/>
    </row>
    <row r="76" spans="1:20" s="85" customFormat="1" x14ac:dyDescent="0.25">
      <c r="A76" s="103">
        <f t="shared" si="8"/>
        <v>0</v>
      </c>
      <c r="B76" s="36" t="str">
        <f t="shared" si="14"/>
        <v/>
      </c>
      <c r="C76" s="37"/>
      <c r="D76" s="37"/>
      <c r="E76" s="37"/>
      <c r="F76" s="37"/>
      <c r="G76" s="86"/>
      <c r="H76" s="93">
        <v>71</v>
      </c>
      <c r="I76" s="94" t="str">
        <f t="shared" si="9"/>
        <v/>
      </c>
      <c r="J76" s="93">
        <f t="shared" si="10"/>
        <v>-2</v>
      </c>
      <c r="K76" s="93">
        <f t="shared" si="11"/>
        <v>-20</v>
      </c>
      <c r="L76" s="93"/>
      <c r="M76" s="92">
        <f t="shared" si="12"/>
        <v>0</v>
      </c>
      <c r="N76" s="92">
        <f t="shared" si="13"/>
        <v>0</v>
      </c>
      <c r="O76" s="86"/>
      <c r="P76" s="86"/>
      <c r="Q76" s="86"/>
      <c r="R76" s="86"/>
      <c r="S76" s="106"/>
      <c r="T76" s="105"/>
    </row>
    <row r="77" spans="1:20" s="85" customFormat="1" x14ac:dyDescent="0.25">
      <c r="A77" s="102">
        <f t="shared" si="8"/>
        <v>0</v>
      </c>
      <c r="B77" s="42" t="str">
        <f t="shared" si="14"/>
        <v/>
      </c>
      <c r="C77" s="43"/>
      <c r="D77" s="43"/>
      <c r="E77" s="43"/>
      <c r="F77" s="43"/>
      <c r="G77" s="86"/>
      <c r="H77" s="98">
        <v>72</v>
      </c>
      <c r="I77" s="99" t="str">
        <f t="shared" si="9"/>
        <v/>
      </c>
      <c r="J77" s="98">
        <f t="shared" si="10"/>
        <v>-2</v>
      </c>
      <c r="K77" s="98">
        <f t="shared" si="11"/>
        <v>-20</v>
      </c>
      <c r="L77" s="98"/>
      <c r="M77" s="97">
        <f t="shared" si="12"/>
        <v>0</v>
      </c>
      <c r="N77" s="97">
        <f t="shared" si="13"/>
        <v>0</v>
      </c>
      <c r="O77" s="86"/>
      <c r="P77" s="86"/>
      <c r="Q77" s="86"/>
      <c r="R77" s="86"/>
      <c r="S77" s="86"/>
    </row>
    <row r="78" spans="1:20" s="85" customFormat="1" x14ac:dyDescent="0.25">
      <c r="A78" s="103">
        <f t="shared" si="8"/>
        <v>0</v>
      </c>
      <c r="B78" s="36" t="str">
        <f t="shared" si="14"/>
        <v/>
      </c>
      <c r="C78" s="37"/>
      <c r="D78" s="37"/>
      <c r="E78" s="37"/>
      <c r="F78" s="37"/>
      <c r="G78" s="86"/>
      <c r="H78" s="93">
        <v>73</v>
      </c>
      <c r="I78" s="94" t="str">
        <f t="shared" si="9"/>
        <v/>
      </c>
      <c r="J78" s="93">
        <f t="shared" si="10"/>
        <v>-2</v>
      </c>
      <c r="K78" s="93">
        <f t="shared" si="11"/>
        <v>-20</v>
      </c>
      <c r="L78" s="93"/>
      <c r="M78" s="92">
        <f t="shared" si="12"/>
        <v>0</v>
      </c>
      <c r="N78" s="92">
        <f t="shared" si="13"/>
        <v>0</v>
      </c>
      <c r="O78" s="86"/>
      <c r="P78" s="86"/>
      <c r="Q78" s="86"/>
      <c r="R78" s="86"/>
      <c r="S78" s="106"/>
      <c r="T78" s="105"/>
    </row>
    <row r="79" spans="1:20" s="85" customFormat="1" x14ac:dyDescent="0.25">
      <c r="A79" s="102">
        <f t="shared" si="8"/>
        <v>0</v>
      </c>
      <c r="B79" s="42" t="str">
        <f t="shared" si="14"/>
        <v/>
      </c>
      <c r="C79" s="43"/>
      <c r="D79" s="43"/>
      <c r="E79" s="43"/>
      <c r="F79" s="43"/>
      <c r="G79" s="86"/>
      <c r="H79" s="98">
        <v>74</v>
      </c>
      <c r="I79" s="99" t="str">
        <f t="shared" si="9"/>
        <v/>
      </c>
      <c r="J79" s="98">
        <f t="shared" si="10"/>
        <v>-2</v>
      </c>
      <c r="K79" s="98">
        <f t="shared" si="11"/>
        <v>-20</v>
      </c>
      <c r="L79" s="98"/>
      <c r="M79" s="97">
        <f t="shared" si="12"/>
        <v>0</v>
      </c>
      <c r="N79" s="97">
        <f t="shared" si="13"/>
        <v>0</v>
      </c>
      <c r="O79" s="86"/>
      <c r="P79" s="86"/>
      <c r="Q79" s="86"/>
      <c r="R79" s="86"/>
      <c r="S79" s="86"/>
    </row>
    <row r="80" spans="1:20" s="85" customFormat="1" x14ac:dyDescent="0.25">
      <c r="A80" s="103">
        <f t="shared" si="8"/>
        <v>0</v>
      </c>
      <c r="B80" s="36" t="str">
        <f t="shared" si="14"/>
        <v/>
      </c>
      <c r="C80" s="37"/>
      <c r="D80" s="37"/>
      <c r="E80" s="37"/>
      <c r="F80" s="37"/>
      <c r="G80" s="86"/>
      <c r="H80" s="93">
        <v>75</v>
      </c>
      <c r="I80" s="94" t="str">
        <f t="shared" si="9"/>
        <v/>
      </c>
      <c r="J80" s="93">
        <f t="shared" si="10"/>
        <v>-2</v>
      </c>
      <c r="K80" s="93">
        <f t="shared" si="11"/>
        <v>-20</v>
      </c>
      <c r="L80" s="93"/>
      <c r="M80" s="92">
        <f t="shared" si="12"/>
        <v>0</v>
      </c>
      <c r="N80" s="92">
        <f t="shared" si="13"/>
        <v>0</v>
      </c>
      <c r="O80" s="86"/>
      <c r="P80" s="86"/>
      <c r="Q80" s="86"/>
      <c r="R80" s="86"/>
      <c r="S80" s="106"/>
      <c r="T80" s="105"/>
    </row>
    <row r="81" spans="1:20" s="85" customFormat="1" x14ac:dyDescent="0.25">
      <c r="A81" s="102">
        <f t="shared" si="8"/>
        <v>0</v>
      </c>
      <c r="B81" s="42" t="str">
        <f t="shared" si="14"/>
        <v/>
      </c>
      <c r="C81" s="43"/>
      <c r="D81" s="43"/>
      <c r="E81" s="43"/>
      <c r="F81" s="43"/>
      <c r="G81" s="86"/>
      <c r="H81" s="98">
        <v>76</v>
      </c>
      <c r="I81" s="99" t="str">
        <f t="shared" si="9"/>
        <v/>
      </c>
      <c r="J81" s="98">
        <f t="shared" si="10"/>
        <v>-2</v>
      </c>
      <c r="K81" s="98">
        <f t="shared" si="11"/>
        <v>-20</v>
      </c>
      <c r="L81" s="98"/>
      <c r="M81" s="97">
        <f t="shared" si="12"/>
        <v>0</v>
      </c>
      <c r="N81" s="97">
        <f t="shared" si="13"/>
        <v>0</v>
      </c>
      <c r="O81" s="86"/>
      <c r="P81" s="86"/>
      <c r="Q81" s="86"/>
      <c r="R81" s="86"/>
      <c r="S81" s="86"/>
    </row>
    <row r="82" spans="1:20" s="85" customFormat="1" x14ac:dyDescent="0.25">
      <c r="A82" s="103">
        <f t="shared" si="8"/>
        <v>0</v>
      </c>
      <c r="B82" s="36" t="str">
        <f t="shared" si="14"/>
        <v/>
      </c>
      <c r="C82" s="37"/>
      <c r="D82" s="37"/>
      <c r="E82" s="37"/>
      <c r="F82" s="37"/>
      <c r="G82" s="86"/>
      <c r="H82" s="93">
        <v>77</v>
      </c>
      <c r="I82" s="94" t="str">
        <f t="shared" si="9"/>
        <v/>
      </c>
      <c r="J82" s="93">
        <f t="shared" si="10"/>
        <v>-2</v>
      </c>
      <c r="K82" s="93">
        <f t="shared" si="11"/>
        <v>-20</v>
      </c>
      <c r="L82" s="93"/>
      <c r="M82" s="92">
        <f t="shared" si="12"/>
        <v>0</v>
      </c>
      <c r="N82" s="92">
        <f t="shared" si="13"/>
        <v>0</v>
      </c>
      <c r="O82" s="86"/>
      <c r="P82" s="86"/>
      <c r="Q82" s="86"/>
      <c r="R82" s="86"/>
      <c r="S82" s="106"/>
      <c r="T82" s="105"/>
    </row>
    <row r="83" spans="1:20" s="85" customFormat="1" x14ac:dyDescent="0.25">
      <c r="A83" s="102">
        <f t="shared" si="8"/>
        <v>0</v>
      </c>
      <c r="B83" s="42" t="str">
        <f t="shared" si="14"/>
        <v/>
      </c>
      <c r="C83" s="43"/>
      <c r="D83" s="43"/>
      <c r="E83" s="43"/>
      <c r="F83" s="43"/>
      <c r="G83" s="86"/>
      <c r="H83" s="98">
        <v>78</v>
      </c>
      <c r="I83" s="99" t="str">
        <f t="shared" si="9"/>
        <v/>
      </c>
      <c r="J83" s="98">
        <f t="shared" si="10"/>
        <v>-2</v>
      </c>
      <c r="K83" s="98">
        <f t="shared" si="11"/>
        <v>-20</v>
      </c>
      <c r="L83" s="98"/>
      <c r="M83" s="97">
        <f t="shared" si="12"/>
        <v>0</v>
      </c>
      <c r="N83" s="97">
        <f t="shared" si="13"/>
        <v>0</v>
      </c>
      <c r="O83" s="86"/>
      <c r="P83" s="86"/>
      <c r="Q83" s="86"/>
      <c r="R83" s="86"/>
      <c r="S83" s="86"/>
    </row>
    <row r="84" spans="1:20" s="85" customFormat="1" x14ac:dyDescent="0.25">
      <c r="A84" s="103">
        <f t="shared" si="8"/>
        <v>0</v>
      </c>
      <c r="B84" s="36" t="str">
        <f t="shared" si="14"/>
        <v/>
      </c>
      <c r="C84" s="37"/>
      <c r="D84" s="37"/>
      <c r="E84" s="37"/>
      <c r="F84" s="37"/>
      <c r="G84" s="86"/>
      <c r="H84" s="93">
        <v>79</v>
      </c>
      <c r="I84" s="94" t="str">
        <f t="shared" si="9"/>
        <v/>
      </c>
      <c r="J84" s="93">
        <f t="shared" si="10"/>
        <v>-2</v>
      </c>
      <c r="K84" s="93">
        <f t="shared" si="11"/>
        <v>-20</v>
      </c>
      <c r="L84" s="93"/>
      <c r="M84" s="92">
        <f t="shared" si="12"/>
        <v>0</v>
      </c>
      <c r="N84" s="92">
        <f t="shared" si="13"/>
        <v>0</v>
      </c>
      <c r="O84" s="86"/>
      <c r="P84" s="86"/>
      <c r="Q84" s="86"/>
      <c r="R84" s="86"/>
      <c r="S84" s="106"/>
      <c r="T84" s="105"/>
    </row>
    <row r="85" spans="1:20" s="85" customFormat="1" x14ac:dyDescent="0.25">
      <c r="A85" s="102">
        <f t="shared" si="8"/>
        <v>0</v>
      </c>
      <c r="B85" s="42" t="str">
        <f t="shared" si="14"/>
        <v/>
      </c>
      <c r="C85" s="43"/>
      <c r="D85" s="43"/>
      <c r="E85" s="43"/>
      <c r="F85" s="43"/>
      <c r="G85" s="86"/>
      <c r="H85" s="98">
        <v>80</v>
      </c>
      <c r="I85" s="99" t="str">
        <f t="shared" si="9"/>
        <v/>
      </c>
      <c r="J85" s="98">
        <f t="shared" si="10"/>
        <v>-2</v>
      </c>
      <c r="K85" s="98">
        <f t="shared" si="11"/>
        <v>-20</v>
      </c>
      <c r="L85" s="98"/>
      <c r="M85" s="97">
        <f t="shared" si="12"/>
        <v>0</v>
      </c>
      <c r="N85" s="97">
        <f t="shared" si="13"/>
        <v>0</v>
      </c>
      <c r="O85" s="86"/>
      <c r="P85" s="86"/>
      <c r="Q85" s="86"/>
      <c r="R85" s="86"/>
      <c r="S85" s="86"/>
    </row>
    <row r="86" spans="1:20" s="85" customFormat="1" x14ac:dyDescent="0.25">
      <c r="A86" s="103">
        <f t="shared" si="8"/>
        <v>0</v>
      </c>
      <c r="B86" s="36" t="str">
        <f t="shared" si="14"/>
        <v/>
      </c>
      <c r="C86" s="37"/>
      <c r="D86" s="37"/>
      <c r="E86" s="37"/>
      <c r="F86" s="37"/>
      <c r="G86" s="86"/>
      <c r="H86" s="93">
        <v>81</v>
      </c>
      <c r="I86" s="94" t="str">
        <f t="shared" si="9"/>
        <v/>
      </c>
      <c r="J86" s="93">
        <f t="shared" si="10"/>
        <v>-2</v>
      </c>
      <c r="K86" s="93">
        <f t="shared" si="11"/>
        <v>-20</v>
      </c>
      <c r="L86" s="93"/>
      <c r="M86" s="92">
        <f t="shared" si="12"/>
        <v>0</v>
      </c>
      <c r="N86" s="92">
        <f t="shared" si="13"/>
        <v>0</v>
      </c>
      <c r="O86" s="86"/>
      <c r="P86" s="86"/>
      <c r="Q86" s="86"/>
      <c r="R86" s="86"/>
      <c r="S86" s="106"/>
      <c r="T86" s="105"/>
    </row>
    <row r="87" spans="1:20" s="85" customFormat="1" x14ac:dyDescent="0.25">
      <c r="A87" s="102">
        <f t="shared" si="8"/>
        <v>0</v>
      </c>
      <c r="B87" s="42" t="str">
        <f t="shared" si="14"/>
        <v/>
      </c>
      <c r="C87" s="43"/>
      <c r="D87" s="43"/>
      <c r="E87" s="43"/>
      <c r="F87" s="43"/>
      <c r="G87" s="86"/>
      <c r="H87" s="98">
        <v>82</v>
      </c>
      <c r="I87" s="99" t="str">
        <f t="shared" si="9"/>
        <v/>
      </c>
      <c r="J87" s="98">
        <f t="shared" si="10"/>
        <v>-2</v>
      </c>
      <c r="K87" s="98">
        <f t="shared" si="11"/>
        <v>-20</v>
      </c>
      <c r="L87" s="98"/>
      <c r="M87" s="97">
        <f t="shared" si="12"/>
        <v>0</v>
      </c>
      <c r="N87" s="97">
        <f t="shared" si="13"/>
        <v>0</v>
      </c>
      <c r="O87" s="86"/>
      <c r="P87" s="86"/>
      <c r="Q87" s="86"/>
      <c r="R87" s="86"/>
      <c r="S87" s="86"/>
    </row>
    <row r="88" spans="1:20" s="85" customFormat="1" x14ac:dyDescent="0.25">
      <c r="A88" s="103">
        <f t="shared" si="8"/>
        <v>0</v>
      </c>
      <c r="B88" s="36" t="str">
        <f t="shared" si="14"/>
        <v/>
      </c>
      <c r="C88" s="37"/>
      <c r="D88" s="37"/>
      <c r="E88" s="37"/>
      <c r="F88" s="37"/>
      <c r="G88" s="86"/>
      <c r="H88" s="93">
        <v>83</v>
      </c>
      <c r="I88" s="94" t="str">
        <f t="shared" si="9"/>
        <v/>
      </c>
      <c r="J88" s="93">
        <f t="shared" si="10"/>
        <v>-2</v>
      </c>
      <c r="K88" s="93">
        <f t="shared" si="11"/>
        <v>-20</v>
      </c>
      <c r="L88" s="93"/>
      <c r="M88" s="92">
        <f t="shared" si="12"/>
        <v>0</v>
      </c>
      <c r="N88" s="92">
        <f t="shared" si="13"/>
        <v>0</v>
      </c>
      <c r="O88" s="86"/>
      <c r="P88" s="86"/>
      <c r="Q88" s="86"/>
      <c r="R88" s="86"/>
      <c r="S88" s="106"/>
      <c r="T88" s="105"/>
    </row>
    <row r="89" spans="1:20" s="85" customFormat="1" x14ac:dyDescent="0.25">
      <c r="A89" s="102">
        <f t="shared" si="8"/>
        <v>0</v>
      </c>
      <c r="B89" s="42" t="str">
        <f t="shared" si="14"/>
        <v/>
      </c>
      <c r="C89" s="43"/>
      <c r="D89" s="43"/>
      <c r="E89" s="43"/>
      <c r="F89" s="43"/>
      <c r="G89" s="86"/>
      <c r="H89" s="98">
        <v>84</v>
      </c>
      <c r="I89" s="99" t="str">
        <f t="shared" si="9"/>
        <v/>
      </c>
      <c r="J89" s="98">
        <f t="shared" si="10"/>
        <v>-2</v>
      </c>
      <c r="K89" s="98">
        <f t="shared" si="11"/>
        <v>-20</v>
      </c>
      <c r="L89" s="98"/>
      <c r="M89" s="97">
        <f t="shared" si="12"/>
        <v>0</v>
      </c>
      <c r="N89" s="97">
        <f t="shared" si="13"/>
        <v>0</v>
      </c>
      <c r="O89" s="86"/>
      <c r="P89" s="86"/>
      <c r="Q89" s="86"/>
      <c r="R89" s="86"/>
      <c r="S89" s="86"/>
    </row>
    <row r="90" spans="1:20" s="85" customFormat="1" x14ac:dyDescent="0.25">
      <c r="A90" s="103">
        <f t="shared" si="8"/>
        <v>0</v>
      </c>
      <c r="B90" s="36" t="str">
        <f t="shared" si="14"/>
        <v/>
      </c>
      <c r="C90" s="37"/>
      <c r="D90" s="37"/>
      <c r="E90" s="37"/>
      <c r="F90" s="37"/>
      <c r="G90" s="86"/>
      <c r="H90" s="93">
        <v>85</v>
      </c>
      <c r="I90" s="94" t="str">
        <f t="shared" si="9"/>
        <v/>
      </c>
      <c r="J90" s="93">
        <f t="shared" si="10"/>
        <v>-2</v>
      </c>
      <c r="K90" s="93">
        <f t="shared" si="11"/>
        <v>-20</v>
      </c>
      <c r="L90" s="93"/>
      <c r="M90" s="92">
        <f t="shared" si="12"/>
        <v>0</v>
      </c>
      <c r="N90" s="92">
        <f t="shared" si="13"/>
        <v>0</v>
      </c>
      <c r="O90" s="86"/>
      <c r="P90" s="86"/>
      <c r="Q90" s="86"/>
      <c r="R90" s="86"/>
      <c r="S90" s="106"/>
      <c r="T90" s="105"/>
    </row>
    <row r="91" spans="1:20" s="85" customFormat="1" x14ac:dyDescent="0.25">
      <c r="A91" s="102">
        <f t="shared" si="8"/>
        <v>0</v>
      </c>
      <c r="B91" s="42" t="str">
        <f t="shared" si="14"/>
        <v/>
      </c>
      <c r="C91" s="43"/>
      <c r="D91" s="43"/>
      <c r="E91" s="43"/>
      <c r="F91" s="43"/>
      <c r="G91" s="86"/>
      <c r="H91" s="98">
        <v>86</v>
      </c>
      <c r="I91" s="99" t="str">
        <f t="shared" si="9"/>
        <v/>
      </c>
      <c r="J91" s="98">
        <f t="shared" si="10"/>
        <v>-2</v>
      </c>
      <c r="K91" s="98">
        <f t="shared" si="11"/>
        <v>-20</v>
      </c>
      <c r="L91" s="98"/>
      <c r="M91" s="97">
        <f t="shared" si="12"/>
        <v>0</v>
      </c>
      <c r="N91" s="97">
        <f t="shared" si="13"/>
        <v>0</v>
      </c>
      <c r="O91" s="86"/>
      <c r="P91" s="86"/>
      <c r="Q91" s="86"/>
      <c r="R91" s="86"/>
      <c r="S91" s="86"/>
    </row>
    <row r="92" spans="1:20" s="85" customFormat="1" x14ac:dyDescent="0.25">
      <c r="A92" s="103">
        <f t="shared" si="8"/>
        <v>0</v>
      </c>
      <c r="B92" s="36" t="str">
        <f t="shared" si="14"/>
        <v/>
      </c>
      <c r="C92" s="37"/>
      <c r="D92" s="37"/>
      <c r="E92" s="37"/>
      <c r="F92" s="37"/>
      <c r="G92" s="86"/>
      <c r="H92" s="93">
        <v>87</v>
      </c>
      <c r="I92" s="94" t="str">
        <f t="shared" si="9"/>
        <v/>
      </c>
      <c r="J92" s="93">
        <f t="shared" si="10"/>
        <v>-2</v>
      </c>
      <c r="K92" s="93">
        <f t="shared" si="11"/>
        <v>-20</v>
      </c>
      <c r="L92" s="93"/>
      <c r="M92" s="92">
        <f t="shared" si="12"/>
        <v>0</v>
      </c>
      <c r="N92" s="92">
        <f t="shared" si="13"/>
        <v>0</v>
      </c>
      <c r="O92" s="86"/>
      <c r="P92" s="86"/>
      <c r="Q92" s="86"/>
      <c r="R92" s="86"/>
      <c r="S92" s="106"/>
      <c r="T92" s="105"/>
    </row>
    <row r="93" spans="1:20" s="85" customFormat="1" x14ac:dyDescent="0.25">
      <c r="A93" s="102">
        <f t="shared" si="8"/>
        <v>0</v>
      </c>
      <c r="B93" s="42" t="str">
        <f t="shared" si="14"/>
        <v/>
      </c>
      <c r="C93" s="43"/>
      <c r="D93" s="43"/>
      <c r="E93" s="43"/>
      <c r="F93" s="43"/>
      <c r="G93" s="86"/>
      <c r="H93" s="98">
        <v>88</v>
      </c>
      <c r="I93" s="99" t="str">
        <f t="shared" si="9"/>
        <v/>
      </c>
      <c r="J93" s="98">
        <f t="shared" si="10"/>
        <v>-2</v>
      </c>
      <c r="K93" s="98">
        <f t="shared" si="11"/>
        <v>-20</v>
      </c>
      <c r="L93" s="98"/>
      <c r="M93" s="97">
        <f t="shared" si="12"/>
        <v>0</v>
      </c>
      <c r="N93" s="97">
        <f t="shared" si="13"/>
        <v>0</v>
      </c>
      <c r="O93" s="86"/>
      <c r="P93" s="86"/>
      <c r="Q93" s="86"/>
      <c r="R93" s="86"/>
      <c r="S93" s="86"/>
    </row>
    <row r="94" spans="1:20" s="85" customFormat="1" x14ac:dyDescent="0.25">
      <c r="A94" s="103">
        <f t="shared" si="8"/>
        <v>0</v>
      </c>
      <c r="B94" s="36" t="str">
        <f t="shared" si="14"/>
        <v/>
      </c>
      <c r="C94" s="37"/>
      <c r="D94" s="37"/>
      <c r="E94" s="37"/>
      <c r="F94" s="37"/>
      <c r="G94" s="86"/>
      <c r="H94" s="93">
        <v>89</v>
      </c>
      <c r="I94" s="94" t="str">
        <f t="shared" si="9"/>
        <v/>
      </c>
      <c r="J94" s="93">
        <f t="shared" si="10"/>
        <v>-2</v>
      </c>
      <c r="K94" s="93">
        <f t="shared" si="11"/>
        <v>-20</v>
      </c>
      <c r="L94" s="93"/>
      <c r="M94" s="92">
        <f t="shared" si="12"/>
        <v>0</v>
      </c>
      <c r="N94" s="92">
        <f t="shared" si="13"/>
        <v>0</v>
      </c>
      <c r="O94" s="86"/>
      <c r="P94" s="86"/>
      <c r="Q94" s="86"/>
      <c r="R94" s="86"/>
      <c r="S94" s="106"/>
      <c r="T94" s="105"/>
    </row>
    <row r="95" spans="1:20" s="85" customFormat="1" x14ac:dyDescent="0.25">
      <c r="A95" s="102">
        <f t="shared" si="8"/>
        <v>0</v>
      </c>
      <c r="B95" s="42" t="str">
        <f t="shared" si="14"/>
        <v/>
      </c>
      <c r="C95" s="43"/>
      <c r="D95" s="43"/>
      <c r="E95" s="43"/>
      <c r="F95" s="43"/>
      <c r="G95" s="86"/>
      <c r="H95" s="98">
        <v>90</v>
      </c>
      <c r="I95" s="99" t="str">
        <f t="shared" si="9"/>
        <v/>
      </c>
      <c r="J95" s="98">
        <f t="shared" si="10"/>
        <v>-2</v>
      </c>
      <c r="K95" s="98">
        <f t="shared" si="11"/>
        <v>-20</v>
      </c>
      <c r="L95" s="98"/>
      <c r="M95" s="97">
        <f t="shared" si="12"/>
        <v>0</v>
      </c>
      <c r="N95" s="97">
        <f t="shared" si="13"/>
        <v>0</v>
      </c>
      <c r="O95" s="86"/>
      <c r="P95" s="86"/>
      <c r="Q95" s="86"/>
      <c r="R95" s="86"/>
      <c r="S95" s="86"/>
    </row>
    <row r="96" spans="1:20" s="85" customFormat="1" x14ac:dyDescent="0.25">
      <c r="A96" s="103">
        <f t="shared" si="8"/>
        <v>0</v>
      </c>
      <c r="B96" s="36" t="str">
        <f t="shared" si="14"/>
        <v/>
      </c>
      <c r="C96" s="37"/>
      <c r="D96" s="37"/>
      <c r="E96" s="37"/>
      <c r="F96" s="37"/>
      <c r="G96" s="86"/>
      <c r="H96" s="93">
        <v>91</v>
      </c>
      <c r="I96" s="94" t="str">
        <f t="shared" si="9"/>
        <v/>
      </c>
      <c r="J96" s="93">
        <f t="shared" si="10"/>
        <v>-2</v>
      </c>
      <c r="K96" s="93">
        <f t="shared" si="11"/>
        <v>-20</v>
      </c>
      <c r="L96" s="93"/>
      <c r="M96" s="92">
        <f t="shared" si="12"/>
        <v>0</v>
      </c>
      <c r="N96" s="92">
        <f t="shared" si="13"/>
        <v>0</v>
      </c>
      <c r="O96" s="86"/>
      <c r="P96" s="86"/>
      <c r="Q96" s="86"/>
      <c r="R96" s="86"/>
      <c r="S96" s="106"/>
      <c r="T96" s="105"/>
    </row>
    <row r="97" spans="1:20" s="85" customFormat="1" x14ac:dyDescent="0.25">
      <c r="A97" s="102">
        <f t="shared" si="8"/>
        <v>0</v>
      </c>
      <c r="B97" s="42" t="str">
        <f t="shared" si="14"/>
        <v/>
      </c>
      <c r="C97" s="43"/>
      <c r="D97" s="43"/>
      <c r="E97" s="43"/>
      <c r="F97" s="43"/>
      <c r="G97" s="86"/>
      <c r="H97" s="98">
        <v>92</v>
      </c>
      <c r="I97" s="99" t="str">
        <f t="shared" si="9"/>
        <v/>
      </c>
      <c r="J97" s="98">
        <f t="shared" si="10"/>
        <v>-2</v>
      </c>
      <c r="K97" s="98">
        <f t="shared" si="11"/>
        <v>-20</v>
      </c>
      <c r="L97" s="98"/>
      <c r="M97" s="97">
        <f t="shared" si="12"/>
        <v>0</v>
      </c>
      <c r="N97" s="97">
        <f t="shared" si="13"/>
        <v>0</v>
      </c>
      <c r="O97" s="86"/>
      <c r="P97" s="86"/>
      <c r="Q97" s="86"/>
      <c r="R97" s="86"/>
      <c r="S97" s="86"/>
    </row>
    <row r="98" spans="1:20" s="85" customFormat="1" x14ac:dyDescent="0.25">
      <c r="A98" s="103">
        <f t="shared" si="8"/>
        <v>0</v>
      </c>
      <c r="B98" s="36" t="str">
        <f t="shared" si="14"/>
        <v/>
      </c>
      <c r="C98" s="37"/>
      <c r="D98" s="37"/>
      <c r="E98" s="37"/>
      <c r="F98" s="37"/>
      <c r="G98" s="86"/>
      <c r="H98" s="93">
        <v>93</v>
      </c>
      <c r="I98" s="94" t="str">
        <f t="shared" si="9"/>
        <v/>
      </c>
      <c r="J98" s="93">
        <f t="shared" si="10"/>
        <v>-2</v>
      </c>
      <c r="K98" s="93">
        <f t="shared" si="11"/>
        <v>-20</v>
      </c>
      <c r="L98" s="93"/>
      <c r="M98" s="92">
        <f t="shared" si="12"/>
        <v>0</v>
      </c>
      <c r="N98" s="92">
        <f t="shared" si="13"/>
        <v>0</v>
      </c>
      <c r="O98" s="86"/>
      <c r="P98" s="86"/>
      <c r="Q98" s="86"/>
      <c r="R98" s="86"/>
      <c r="S98" s="106"/>
      <c r="T98" s="105"/>
    </row>
    <row r="99" spans="1:20" s="85" customFormat="1" x14ac:dyDescent="0.25">
      <c r="A99" s="102">
        <f t="shared" si="8"/>
        <v>0</v>
      </c>
      <c r="B99" s="42" t="str">
        <f t="shared" si="14"/>
        <v/>
      </c>
      <c r="C99" s="43"/>
      <c r="D99" s="43"/>
      <c r="E99" s="43"/>
      <c r="F99" s="43"/>
      <c r="G99" s="86"/>
      <c r="H99" s="98">
        <v>94</v>
      </c>
      <c r="I99" s="99" t="str">
        <f t="shared" si="9"/>
        <v/>
      </c>
      <c r="J99" s="98">
        <f t="shared" si="10"/>
        <v>-2</v>
      </c>
      <c r="K99" s="98">
        <f t="shared" si="11"/>
        <v>-20</v>
      </c>
      <c r="L99" s="98"/>
      <c r="M99" s="97">
        <f t="shared" si="12"/>
        <v>0</v>
      </c>
      <c r="N99" s="97">
        <f t="shared" si="13"/>
        <v>0</v>
      </c>
      <c r="O99" s="86"/>
      <c r="P99" s="86"/>
      <c r="Q99" s="86"/>
      <c r="R99" s="86"/>
      <c r="S99" s="86"/>
    </row>
    <row r="100" spans="1:20" s="85" customFormat="1" x14ac:dyDescent="0.25">
      <c r="A100" s="103">
        <f t="shared" si="8"/>
        <v>0</v>
      </c>
      <c r="B100" s="36" t="str">
        <f t="shared" si="14"/>
        <v/>
      </c>
      <c r="C100" s="37"/>
      <c r="D100" s="37"/>
      <c r="E100" s="37"/>
      <c r="F100" s="37"/>
      <c r="G100" s="86"/>
      <c r="H100" s="93">
        <v>95</v>
      </c>
      <c r="I100" s="94" t="str">
        <f t="shared" si="9"/>
        <v/>
      </c>
      <c r="J100" s="93">
        <f t="shared" si="10"/>
        <v>-2</v>
      </c>
      <c r="K100" s="93">
        <f t="shared" si="11"/>
        <v>-20</v>
      </c>
      <c r="L100" s="93"/>
      <c r="M100" s="92">
        <f t="shared" si="12"/>
        <v>0</v>
      </c>
      <c r="N100" s="92">
        <f t="shared" si="13"/>
        <v>0</v>
      </c>
      <c r="O100" s="86"/>
      <c r="P100" s="86"/>
      <c r="Q100" s="86"/>
      <c r="R100" s="86"/>
      <c r="S100" s="106"/>
      <c r="T100" s="105"/>
    </row>
    <row r="101" spans="1:20" s="85" customFormat="1" x14ac:dyDescent="0.25">
      <c r="A101" s="102">
        <f t="shared" si="8"/>
        <v>0</v>
      </c>
      <c r="B101" s="42" t="str">
        <f t="shared" si="14"/>
        <v/>
      </c>
      <c r="C101" s="43"/>
      <c r="D101" s="43"/>
      <c r="E101" s="43"/>
      <c r="F101" s="43"/>
      <c r="G101" s="86"/>
      <c r="H101" s="98">
        <v>96</v>
      </c>
      <c r="I101" s="99" t="str">
        <f t="shared" si="9"/>
        <v/>
      </c>
      <c r="J101" s="98">
        <f t="shared" si="10"/>
        <v>-2</v>
      </c>
      <c r="K101" s="98">
        <f t="shared" si="11"/>
        <v>-20</v>
      </c>
      <c r="L101" s="98"/>
      <c r="M101" s="97">
        <f t="shared" si="12"/>
        <v>0</v>
      </c>
      <c r="N101" s="97">
        <f t="shared" si="13"/>
        <v>0</v>
      </c>
      <c r="O101" s="86"/>
      <c r="P101" s="86"/>
      <c r="Q101" s="86"/>
      <c r="R101" s="86"/>
      <c r="S101" s="86"/>
    </row>
    <row r="102" spans="1:20" s="85" customFormat="1" x14ac:dyDescent="0.25">
      <c r="A102" s="103">
        <f t="shared" si="8"/>
        <v>0</v>
      </c>
      <c r="B102" s="36" t="str">
        <f t="shared" si="14"/>
        <v/>
      </c>
      <c r="C102" s="37"/>
      <c r="D102" s="37"/>
      <c r="E102" s="37"/>
      <c r="F102" s="37"/>
      <c r="G102" s="86"/>
      <c r="H102" s="93">
        <v>97</v>
      </c>
      <c r="I102" s="94" t="str">
        <f t="shared" si="9"/>
        <v/>
      </c>
      <c r="J102" s="93">
        <f t="shared" si="10"/>
        <v>-2</v>
      </c>
      <c r="K102" s="93">
        <f t="shared" si="11"/>
        <v>-20</v>
      </c>
      <c r="L102" s="93"/>
      <c r="M102" s="92">
        <f t="shared" si="12"/>
        <v>0</v>
      </c>
      <c r="N102" s="92">
        <f t="shared" si="13"/>
        <v>0</v>
      </c>
      <c r="O102" s="86"/>
      <c r="P102" s="86"/>
      <c r="Q102" s="86"/>
      <c r="R102" s="86"/>
      <c r="S102" s="106"/>
      <c r="T102" s="105"/>
    </row>
    <row r="103" spans="1:20" s="85" customFormat="1" x14ac:dyDescent="0.25">
      <c r="A103" s="102">
        <f t="shared" si="8"/>
        <v>0</v>
      </c>
      <c r="B103" s="42" t="str">
        <f t="shared" si="14"/>
        <v/>
      </c>
      <c r="C103" s="43"/>
      <c r="D103" s="43"/>
      <c r="E103" s="43"/>
      <c r="F103" s="43"/>
      <c r="G103" s="86"/>
      <c r="H103" s="98">
        <v>98</v>
      </c>
      <c r="I103" s="99" t="str">
        <f t="shared" si="9"/>
        <v/>
      </c>
      <c r="J103" s="98">
        <f t="shared" si="10"/>
        <v>-2</v>
      </c>
      <c r="K103" s="98">
        <f t="shared" si="11"/>
        <v>-20</v>
      </c>
      <c r="L103" s="98"/>
      <c r="M103" s="97">
        <f t="shared" si="12"/>
        <v>0</v>
      </c>
      <c r="N103" s="97">
        <f t="shared" si="13"/>
        <v>0</v>
      </c>
      <c r="O103" s="86"/>
      <c r="P103" s="86"/>
      <c r="Q103" s="86"/>
      <c r="R103" s="86"/>
      <c r="S103" s="86"/>
    </row>
    <row r="104" spans="1:20" s="85" customFormat="1" x14ac:dyDescent="0.25">
      <c r="A104" s="103">
        <f t="shared" si="8"/>
        <v>0</v>
      </c>
      <c r="B104" s="36" t="str">
        <f t="shared" si="14"/>
        <v/>
      </c>
      <c r="C104" s="37"/>
      <c r="D104" s="37"/>
      <c r="E104" s="37"/>
      <c r="F104" s="37"/>
      <c r="G104" s="86"/>
      <c r="H104" s="93">
        <v>99</v>
      </c>
      <c r="I104" s="94" t="str">
        <f t="shared" si="9"/>
        <v/>
      </c>
      <c r="J104" s="93">
        <f t="shared" si="10"/>
        <v>-2</v>
      </c>
      <c r="K104" s="93">
        <f t="shared" si="11"/>
        <v>-20</v>
      </c>
      <c r="L104" s="93"/>
      <c r="M104" s="92">
        <f t="shared" si="12"/>
        <v>0</v>
      </c>
      <c r="N104" s="92">
        <f t="shared" si="13"/>
        <v>0</v>
      </c>
      <c r="O104" s="86"/>
      <c r="P104" s="86"/>
      <c r="Q104" s="86"/>
      <c r="R104" s="86"/>
      <c r="S104" s="106"/>
      <c r="T104" s="105"/>
    </row>
    <row r="105" spans="1:20" s="85" customFormat="1" x14ac:dyDescent="0.25">
      <c r="A105" s="102">
        <f t="shared" si="8"/>
        <v>0</v>
      </c>
      <c r="B105" s="42" t="str">
        <f t="shared" si="14"/>
        <v/>
      </c>
      <c r="C105" s="43"/>
      <c r="D105" s="43"/>
      <c r="E105" s="43"/>
      <c r="F105" s="43"/>
      <c r="G105" s="86"/>
      <c r="H105" s="98">
        <v>100</v>
      </c>
      <c r="I105" s="99" t="str">
        <f t="shared" si="9"/>
        <v/>
      </c>
      <c r="J105" s="98">
        <f t="shared" si="10"/>
        <v>-2</v>
      </c>
      <c r="K105" s="98">
        <f t="shared" si="11"/>
        <v>-20</v>
      </c>
      <c r="L105" s="98"/>
      <c r="M105" s="97">
        <f t="shared" si="12"/>
        <v>0</v>
      </c>
      <c r="N105" s="97">
        <f t="shared" si="13"/>
        <v>0</v>
      </c>
      <c r="O105" s="86"/>
      <c r="P105" s="86"/>
      <c r="Q105" s="86"/>
      <c r="R105" s="86"/>
      <c r="S105" s="86"/>
    </row>
    <row r="106" spans="1:20" s="85" customFormat="1" x14ac:dyDescent="0.25">
      <c r="A106" s="103">
        <f t="shared" si="8"/>
        <v>0</v>
      </c>
      <c r="B106" s="36" t="str">
        <f t="shared" si="14"/>
        <v/>
      </c>
      <c r="C106" s="37"/>
      <c r="D106" s="37"/>
      <c r="E106" s="37"/>
      <c r="F106" s="37"/>
      <c r="G106" s="86"/>
      <c r="H106" s="93">
        <v>101</v>
      </c>
      <c r="I106" s="94" t="str">
        <f t="shared" si="9"/>
        <v/>
      </c>
      <c r="J106" s="93">
        <f t="shared" si="10"/>
        <v>-2</v>
      </c>
      <c r="K106" s="93">
        <f t="shared" si="11"/>
        <v>-20</v>
      </c>
      <c r="L106" s="93"/>
      <c r="M106" s="92">
        <f t="shared" si="12"/>
        <v>0</v>
      </c>
      <c r="N106" s="92">
        <f t="shared" si="13"/>
        <v>0</v>
      </c>
      <c r="O106" s="86"/>
      <c r="P106" s="86"/>
      <c r="Q106" s="86"/>
      <c r="R106" s="86"/>
      <c r="S106" s="106"/>
      <c r="T106" s="105"/>
    </row>
    <row r="107" spans="1:20" s="85" customFormat="1" x14ac:dyDescent="0.25">
      <c r="A107" s="102">
        <f t="shared" si="8"/>
        <v>0</v>
      </c>
      <c r="B107" s="42" t="str">
        <f t="shared" si="14"/>
        <v/>
      </c>
      <c r="C107" s="43"/>
      <c r="D107" s="43"/>
      <c r="E107" s="43"/>
      <c r="F107" s="43"/>
      <c r="G107" s="86"/>
      <c r="H107" s="98">
        <v>102</v>
      </c>
      <c r="I107" s="99" t="str">
        <f t="shared" si="9"/>
        <v/>
      </c>
      <c r="J107" s="98">
        <f t="shared" si="10"/>
        <v>-2</v>
      </c>
      <c r="K107" s="98">
        <f t="shared" si="11"/>
        <v>-20</v>
      </c>
      <c r="L107" s="98"/>
      <c r="M107" s="97">
        <f t="shared" si="12"/>
        <v>0</v>
      </c>
      <c r="N107" s="97">
        <f t="shared" si="13"/>
        <v>0</v>
      </c>
      <c r="O107" s="86"/>
      <c r="P107" s="86"/>
      <c r="Q107" s="86"/>
      <c r="R107" s="86"/>
      <c r="S107" s="86"/>
    </row>
    <row r="108" spans="1:20" s="85" customFormat="1" x14ac:dyDescent="0.25">
      <c r="A108" s="103">
        <f t="shared" si="8"/>
        <v>0</v>
      </c>
      <c r="B108" s="36" t="str">
        <f t="shared" si="14"/>
        <v/>
      </c>
      <c r="C108" s="37"/>
      <c r="D108" s="37"/>
      <c r="E108" s="37"/>
      <c r="F108" s="37"/>
      <c r="G108" s="86"/>
      <c r="H108" s="93">
        <v>103</v>
      </c>
      <c r="I108" s="94" t="str">
        <f t="shared" si="9"/>
        <v/>
      </c>
      <c r="J108" s="93">
        <f t="shared" si="10"/>
        <v>-2</v>
      </c>
      <c r="K108" s="93">
        <f t="shared" si="11"/>
        <v>-20</v>
      </c>
      <c r="L108" s="93"/>
      <c r="M108" s="92">
        <f t="shared" si="12"/>
        <v>0</v>
      </c>
      <c r="N108" s="92">
        <f t="shared" si="13"/>
        <v>0</v>
      </c>
      <c r="O108" s="86"/>
      <c r="P108" s="86"/>
      <c r="Q108" s="86"/>
      <c r="R108" s="86"/>
      <c r="S108" s="106"/>
      <c r="T108" s="105"/>
    </row>
    <row r="109" spans="1:20" s="85" customFormat="1" x14ac:dyDescent="0.25">
      <c r="A109" s="102">
        <f t="shared" si="8"/>
        <v>0</v>
      </c>
      <c r="B109" s="42" t="str">
        <f t="shared" si="14"/>
        <v/>
      </c>
      <c r="C109" s="43"/>
      <c r="D109" s="43"/>
      <c r="E109" s="43"/>
      <c r="F109" s="43"/>
      <c r="G109" s="86"/>
      <c r="H109" s="98">
        <v>104</v>
      </c>
      <c r="I109" s="99" t="str">
        <f t="shared" si="9"/>
        <v/>
      </c>
      <c r="J109" s="98">
        <f t="shared" si="10"/>
        <v>-2</v>
      </c>
      <c r="K109" s="98">
        <f t="shared" si="11"/>
        <v>-20</v>
      </c>
      <c r="L109" s="98"/>
      <c r="M109" s="97">
        <f t="shared" si="12"/>
        <v>0</v>
      </c>
      <c r="N109" s="97">
        <f t="shared" si="13"/>
        <v>0</v>
      </c>
      <c r="O109" s="86"/>
      <c r="P109" s="86"/>
      <c r="Q109" s="86"/>
      <c r="R109" s="86"/>
      <c r="S109" s="86"/>
    </row>
    <row r="110" spans="1:20" s="85" customFormat="1" x14ac:dyDescent="0.25">
      <c r="A110" s="103">
        <f t="shared" si="8"/>
        <v>0</v>
      </c>
      <c r="B110" s="36" t="str">
        <f t="shared" si="14"/>
        <v/>
      </c>
      <c r="C110" s="37"/>
      <c r="D110" s="37"/>
      <c r="E110" s="37"/>
      <c r="F110" s="37"/>
      <c r="G110" s="86"/>
      <c r="H110" s="93">
        <v>105</v>
      </c>
      <c r="I110" s="94" t="str">
        <f t="shared" si="9"/>
        <v/>
      </c>
      <c r="J110" s="93">
        <f t="shared" si="10"/>
        <v>-2</v>
      </c>
      <c r="K110" s="93">
        <f t="shared" si="11"/>
        <v>-20</v>
      </c>
      <c r="L110" s="93"/>
      <c r="M110" s="92">
        <f t="shared" si="12"/>
        <v>0</v>
      </c>
      <c r="N110" s="92">
        <f t="shared" si="13"/>
        <v>0</v>
      </c>
      <c r="O110" s="86"/>
      <c r="P110" s="86"/>
      <c r="Q110" s="86"/>
      <c r="R110" s="86"/>
      <c r="S110" s="106"/>
      <c r="T110" s="105"/>
    </row>
    <row r="111" spans="1:20" s="85" customFormat="1" x14ac:dyDescent="0.25">
      <c r="A111" s="102">
        <f t="shared" si="8"/>
        <v>0</v>
      </c>
      <c r="B111" s="42" t="str">
        <f t="shared" si="14"/>
        <v/>
      </c>
      <c r="C111" s="43"/>
      <c r="D111" s="43"/>
      <c r="E111" s="43"/>
      <c r="F111" s="43"/>
      <c r="G111" s="86"/>
      <c r="H111" s="98">
        <v>106</v>
      </c>
      <c r="I111" s="99" t="str">
        <f t="shared" si="9"/>
        <v/>
      </c>
      <c r="J111" s="98">
        <f t="shared" si="10"/>
        <v>-2</v>
      </c>
      <c r="K111" s="98">
        <f t="shared" si="11"/>
        <v>-20</v>
      </c>
      <c r="L111" s="98"/>
      <c r="M111" s="97">
        <f t="shared" si="12"/>
        <v>0</v>
      </c>
      <c r="N111" s="97">
        <f t="shared" si="13"/>
        <v>0</v>
      </c>
      <c r="O111" s="86"/>
      <c r="P111" s="86"/>
      <c r="Q111" s="86"/>
      <c r="R111" s="86"/>
      <c r="S111" s="86"/>
    </row>
    <row r="112" spans="1:20" s="85" customFormat="1" x14ac:dyDescent="0.25">
      <c r="A112" s="103">
        <f t="shared" si="8"/>
        <v>0</v>
      </c>
      <c r="B112" s="36" t="str">
        <f t="shared" si="14"/>
        <v/>
      </c>
      <c r="C112" s="37"/>
      <c r="D112" s="37"/>
      <c r="E112" s="37"/>
      <c r="F112" s="37"/>
      <c r="G112" s="86"/>
      <c r="H112" s="93">
        <v>107</v>
      </c>
      <c r="I112" s="94" t="str">
        <f t="shared" si="9"/>
        <v/>
      </c>
      <c r="J112" s="93">
        <f t="shared" si="10"/>
        <v>-2</v>
      </c>
      <c r="K112" s="93">
        <f t="shared" si="11"/>
        <v>-20</v>
      </c>
      <c r="L112" s="93"/>
      <c r="M112" s="92">
        <f t="shared" si="12"/>
        <v>0</v>
      </c>
      <c r="N112" s="92">
        <f t="shared" si="13"/>
        <v>0</v>
      </c>
      <c r="O112" s="86"/>
      <c r="P112" s="86"/>
      <c r="Q112" s="86"/>
      <c r="R112" s="86"/>
      <c r="S112" s="106"/>
      <c r="T112" s="105"/>
    </row>
    <row r="113" spans="1:20" s="85" customFormat="1" x14ac:dyDescent="0.25">
      <c r="A113" s="102">
        <f t="shared" si="8"/>
        <v>0</v>
      </c>
      <c r="B113" s="42" t="str">
        <f t="shared" si="14"/>
        <v/>
      </c>
      <c r="C113" s="43"/>
      <c r="D113" s="43"/>
      <c r="E113" s="43"/>
      <c r="F113" s="43"/>
      <c r="G113" s="86"/>
      <c r="H113" s="98">
        <v>108</v>
      </c>
      <c r="I113" s="99" t="str">
        <f t="shared" si="9"/>
        <v/>
      </c>
      <c r="J113" s="98">
        <f t="shared" si="10"/>
        <v>-2</v>
      </c>
      <c r="K113" s="98">
        <f t="shared" si="11"/>
        <v>-20</v>
      </c>
      <c r="L113" s="98"/>
      <c r="M113" s="97">
        <f t="shared" si="12"/>
        <v>0</v>
      </c>
      <c r="N113" s="97">
        <f t="shared" si="13"/>
        <v>0</v>
      </c>
      <c r="O113" s="86"/>
      <c r="P113" s="86"/>
      <c r="Q113" s="86"/>
      <c r="R113" s="86"/>
      <c r="S113" s="86"/>
    </row>
    <row r="114" spans="1:20" s="85" customFormat="1" x14ac:dyDescent="0.25">
      <c r="A114" s="103">
        <f t="shared" si="8"/>
        <v>0</v>
      </c>
      <c r="B114" s="36" t="str">
        <f t="shared" si="14"/>
        <v/>
      </c>
      <c r="C114" s="37"/>
      <c r="D114" s="37"/>
      <c r="E114" s="37"/>
      <c r="F114" s="37"/>
      <c r="G114" s="86"/>
      <c r="H114" s="93">
        <v>109</v>
      </c>
      <c r="I114" s="94" t="str">
        <f t="shared" si="9"/>
        <v/>
      </c>
      <c r="J114" s="93">
        <f t="shared" si="10"/>
        <v>-2</v>
      </c>
      <c r="K114" s="93">
        <f t="shared" si="11"/>
        <v>-20</v>
      </c>
      <c r="L114" s="93"/>
      <c r="M114" s="92">
        <f t="shared" si="12"/>
        <v>0</v>
      </c>
      <c r="N114" s="92">
        <f t="shared" si="13"/>
        <v>0</v>
      </c>
      <c r="O114" s="86"/>
      <c r="P114" s="86"/>
      <c r="Q114" s="86"/>
      <c r="R114" s="86"/>
      <c r="S114" s="106"/>
      <c r="T114" s="105"/>
    </row>
    <row r="115" spans="1:20" s="85" customFormat="1" x14ac:dyDescent="0.25">
      <c r="A115" s="102">
        <f t="shared" si="8"/>
        <v>0</v>
      </c>
      <c r="B115" s="42" t="str">
        <f t="shared" si="14"/>
        <v/>
      </c>
      <c r="C115" s="43"/>
      <c r="D115" s="43"/>
      <c r="E115" s="43"/>
      <c r="F115" s="43"/>
      <c r="G115" s="86"/>
      <c r="H115" s="98">
        <v>110</v>
      </c>
      <c r="I115" s="99" t="str">
        <f t="shared" si="9"/>
        <v/>
      </c>
      <c r="J115" s="98">
        <f t="shared" si="10"/>
        <v>-2</v>
      </c>
      <c r="K115" s="98">
        <f t="shared" si="11"/>
        <v>-20</v>
      </c>
      <c r="L115" s="98"/>
      <c r="M115" s="97">
        <f t="shared" si="12"/>
        <v>0</v>
      </c>
      <c r="N115" s="97">
        <f t="shared" si="13"/>
        <v>0</v>
      </c>
      <c r="O115" s="86"/>
      <c r="P115" s="86"/>
      <c r="Q115" s="86"/>
      <c r="R115" s="86"/>
      <c r="S115" s="86"/>
    </row>
    <row r="116" spans="1:20" s="85" customFormat="1" x14ac:dyDescent="0.25">
      <c r="A116" s="103">
        <f t="shared" si="8"/>
        <v>0</v>
      </c>
      <c r="B116" s="36" t="str">
        <f t="shared" si="14"/>
        <v/>
      </c>
      <c r="C116" s="37"/>
      <c r="D116" s="37"/>
      <c r="E116" s="37"/>
      <c r="F116" s="37"/>
      <c r="G116" s="86"/>
      <c r="H116" s="93">
        <v>111</v>
      </c>
      <c r="I116" s="94" t="str">
        <f t="shared" si="9"/>
        <v/>
      </c>
      <c r="J116" s="93">
        <f t="shared" si="10"/>
        <v>-2</v>
      </c>
      <c r="K116" s="93">
        <f t="shared" si="11"/>
        <v>-20</v>
      </c>
      <c r="L116" s="93"/>
      <c r="M116" s="92">
        <f t="shared" si="12"/>
        <v>0</v>
      </c>
      <c r="N116" s="92">
        <f t="shared" si="13"/>
        <v>0</v>
      </c>
      <c r="O116" s="86"/>
      <c r="P116" s="86"/>
      <c r="Q116" s="86"/>
      <c r="R116" s="86"/>
      <c r="S116" s="106"/>
      <c r="T116" s="105"/>
    </row>
    <row r="117" spans="1:20" s="85" customFormat="1" x14ac:dyDescent="0.25">
      <c r="A117" s="102">
        <f t="shared" si="8"/>
        <v>0</v>
      </c>
      <c r="B117" s="42" t="str">
        <f t="shared" si="14"/>
        <v/>
      </c>
      <c r="C117" s="43"/>
      <c r="D117" s="43"/>
      <c r="E117" s="43"/>
      <c r="F117" s="43"/>
      <c r="G117" s="86"/>
      <c r="H117" s="98">
        <v>112</v>
      </c>
      <c r="I117" s="99" t="str">
        <f t="shared" si="9"/>
        <v/>
      </c>
      <c r="J117" s="98">
        <f t="shared" si="10"/>
        <v>-2</v>
      </c>
      <c r="K117" s="98">
        <f t="shared" si="11"/>
        <v>-20</v>
      </c>
      <c r="L117" s="98"/>
      <c r="M117" s="97">
        <f t="shared" si="12"/>
        <v>0</v>
      </c>
      <c r="N117" s="97">
        <f t="shared" si="13"/>
        <v>0</v>
      </c>
      <c r="O117" s="86"/>
      <c r="P117" s="86"/>
      <c r="Q117" s="86"/>
      <c r="R117" s="86"/>
      <c r="S117" s="86"/>
    </row>
    <row r="118" spans="1:20" s="85" customFormat="1" x14ac:dyDescent="0.25">
      <c r="A118" s="103">
        <f t="shared" si="8"/>
        <v>0</v>
      </c>
      <c r="B118" s="36" t="str">
        <f t="shared" si="14"/>
        <v/>
      </c>
      <c r="C118" s="37"/>
      <c r="D118" s="37"/>
      <c r="E118" s="37"/>
      <c r="F118" s="37"/>
      <c r="G118" s="86"/>
      <c r="H118" s="93">
        <v>113</v>
      </c>
      <c r="I118" s="94" t="str">
        <f t="shared" si="9"/>
        <v/>
      </c>
      <c r="J118" s="93">
        <f t="shared" si="10"/>
        <v>-2</v>
      </c>
      <c r="K118" s="93">
        <f t="shared" si="11"/>
        <v>-20</v>
      </c>
      <c r="L118" s="93"/>
      <c r="M118" s="92">
        <f t="shared" si="12"/>
        <v>0</v>
      </c>
      <c r="N118" s="92">
        <f t="shared" si="13"/>
        <v>0</v>
      </c>
      <c r="O118" s="86"/>
      <c r="P118" s="86"/>
      <c r="Q118" s="86"/>
      <c r="R118" s="86"/>
      <c r="S118" s="106"/>
      <c r="T118" s="105"/>
    </row>
    <row r="119" spans="1:20" s="85" customFormat="1" x14ac:dyDescent="0.25">
      <c r="A119" s="102">
        <f t="shared" si="8"/>
        <v>0</v>
      </c>
      <c r="B119" s="42" t="str">
        <f t="shared" si="14"/>
        <v/>
      </c>
      <c r="C119" s="43"/>
      <c r="D119" s="43"/>
      <c r="E119" s="43"/>
      <c r="F119" s="43"/>
      <c r="G119" s="86"/>
      <c r="H119" s="98">
        <v>114</v>
      </c>
      <c r="I119" s="99" t="str">
        <f t="shared" si="9"/>
        <v/>
      </c>
      <c r="J119" s="98">
        <f t="shared" si="10"/>
        <v>-2</v>
      </c>
      <c r="K119" s="98">
        <f t="shared" si="11"/>
        <v>-20</v>
      </c>
      <c r="L119" s="98"/>
      <c r="M119" s="97">
        <f t="shared" si="12"/>
        <v>0</v>
      </c>
      <c r="N119" s="97">
        <f t="shared" si="13"/>
        <v>0</v>
      </c>
      <c r="O119" s="86"/>
      <c r="P119" s="86"/>
      <c r="Q119" s="86"/>
      <c r="R119" s="86"/>
      <c r="S119" s="86"/>
    </row>
    <row r="120" spans="1:20" s="85" customFormat="1" x14ac:dyDescent="0.25">
      <c r="A120" s="103">
        <f t="shared" si="8"/>
        <v>0</v>
      </c>
      <c r="B120" s="36" t="str">
        <f t="shared" si="14"/>
        <v/>
      </c>
      <c r="C120" s="37"/>
      <c r="D120" s="37"/>
      <c r="E120" s="37"/>
      <c r="F120" s="37"/>
      <c r="G120" s="86"/>
      <c r="H120" s="93">
        <v>115</v>
      </c>
      <c r="I120" s="94" t="str">
        <f t="shared" si="9"/>
        <v/>
      </c>
      <c r="J120" s="93">
        <f t="shared" si="10"/>
        <v>-2</v>
      </c>
      <c r="K120" s="93">
        <f t="shared" si="11"/>
        <v>-20</v>
      </c>
      <c r="L120" s="93"/>
      <c r="M120" s="92">
        <f t="shared" si="12"/>
        <v>0</v>
      </c>
      <c r="N120" s="92">
        <f t="shared" si="13"/>
        <v>0</v>
      </c>
      <c r="O120" s="86"/>
      <c r="P120" s="86"/>
      <c r="Q120" s="86"/>
      <c r="R120" s="86"/>
      <c r="S120" s="106"/>
      <c r="T120" s="105"/>
    </row>
    <row r="121" spans="1:20" s="85" customFormat="1" x14ac:dyDescent="0.25">
      <c r="A121" s="102">
        <f t="shared" si="8"/>
        <v>0</v>
      </c>
      <c r="B121" s="42" t="str">
        <f t="shared" si="14"/>
        <v/>
      </c>
      <c r="C121" s="43"/>
      <c r="D121" s="43"/>
      <c r="E121" s="43"/>
      <c r="F121" s="43"/>
      <c r="G121" s="86"/>
      <c r="H121" s="98">
        <v>116</v>
      </c>
      <c r="I121" s="99" t="str">
        <f t="shared" si="9"/>
        <v/>
      </c>
      <c r="J121" s="98">
        <f t="shared" si="10"/>
        <v>-2</v>
      </c>
      <c r="K121" s="98">
        <f t="shared" si="11"/>
        <v>-20</v>
      </c>
      <c r="L121" s="98"/>
      <c r="M121" s="97">
        <f t="shared" si="12"/>
        <v>0</v>
      </c>
      <c r="N121" s="97">
        <f t="shared" si="13"/>
        <v>0</v>
      </c>
      <c r="O121" s="86"/>
      <c r="P121" s="86"/>
      <c r="Q121" s="86"/>
      <c r="R121" s="86"/>
      <c r="S121" s="86"/>
    </row>
    <row r="122" spans="1:20" s="85" customFormat="1" x14ac:dyDescent="0.25">
      <c r="A122" s="103">
        <f t="shared" si="8"/>
        <v>0</v>
      </c>
      <c r="B122" s="36" t="str">
        <f t="shared" si="14"/>
        <v/>
      </c>
      <c r="C122" s="37"/>
      <c r="D122" s="37"/>
      <c r="E122" s="37"/>
      <c r="F122" s="37"/>
      <c r="G122" s="86"/>
      <c r="H122" s="93">
        <v>117</v>
      </c>
      <c r="I122" s="94" t="str">
        <f t="shared" si="9"/>
        <v/>
      </c>
      <c r="J122" s="93">
        <f t="shared" si="10"/>
        <v>-2</v>
      </c>
      <c r="K122" s="93">
        <f t="shared" si="11"/>
        <v>-20</v>
      </c>
      <c r="L122" s="93"/>
      <c r="M122" s="92">
        <f t="shared" si="12"/>
        <v>0</v>
      </c>
      <c r="N122" s="92">
        <f t="shared" si="13"/>
        <v>0</v>
      </c>
      <c r="O122" s="86"/>
      <c r="P122" s="86"/>
      <c r="Q122" s="86"/>
      <c r="R122" s="86"/>
      <c r="S122" s="106"/>
      <c r="T122" s="105"/>
    </row>
    <row r="123" spans="1:20" s="85" customFormat="1" x14ac:dyDescent="0.25">
      <c r="A123" s="102">
        <f t="shared" si="8"/>
        <v>0</v>
      </c>
      <c r="B123" s="42" t="str">
        <f t="shared" si="14"/>
        <v/>
      </c>
      <c r="C123" s="43"/>
      <c r="D123" s="43"/>
      <c r="E123" s="43"/>
      <c r="F123" s="43"/>
      <c r="G123" s="86"/>
      <c r="H123" s="98">
        <v>118</v>
      </c>
      <c r="I123" s="99" t="str">
        <f t="shared" si="9"/>
        <v/>
      </c>
      <c r="J123" s="98">
        <f t="shared" si="10"/>
        <v>-2</v>
      </c>
      <c r="K123" s="98">
        <f t="shared" si="11"/>
        <v>-20</v>
      </c>
      <c r="L123" s="98"/>
      <c r="M123" s="97">
        <f t="shared" si="12"/>
        <v>0</v>
      </c>
      <c r="N123" s="97">
        <f t="shared" si="13"/>
        <v>0</v>
      </c>
      <c r="O123" s="86"/>
      <c r="P123" s="86"/>
      <c r="Q123" s="86"/>
      <c r="R123" s="86"/>
      <c r="S123" s="86"/>
    </row>
    <row r="124" spans="1:20" s="85" customFormat="1" x14ac:dyDescent="0.25">
      <c r="A124" s="103">
        <f t="shared" si="8"/>
        <v>0</v>
      </c>
      <c r="B124" s="36" t="str">
        <f t="shared" si="14"/>
        <v/>
      </c>
      <c r="C124" s="37"/>
      <c r="D124" s="37"/>
      <c r="E124" s="37"/>
      <c r="F124" s="37"/>
      <c r="G124" s="86"/>
      <c r="H124" s="93">
        <v>119</v>
      </c>
      <c r="I124" s="94" t="str">
        <f t="shared" si="9"/>
        <v/>
      </c>
      <c r="J124" s="93">
        <f t="shared" si="10"/>
        <v>-2</v>
      </c>
      <c r="K124" s="93">
        <f t="shared" si="11"/>
        <v>-20</v>
      </c>
      <c r="L124" s="93"/>
      <c r="M124" s="92">
        <f t="shared" si="12"/>
        <v>0</v>
      </c>
      <c r="N124" s="92">
        <f t="shared" si="13"/>
        <v>0</v>
      </c>
      <c r="O124" s="86"/>
      <c r="P124" s="86"/>
      <c r="Q124" s="86"/>
      <c r="R124" s="86"/>
      <c r="S124" s="106"/>
      <c r="T124" s="105"/>
    </row>
    <row r="125" spans="1:20" s="85" customFormat="1" x14ac:dyDescent="0.25">
      <c r="A125" s="102">
        <f t="shared" si="8"/>
        <v>0</v>
      </c>
      <c r="B125" s="42" t="str">
        <f t="shared" si="14"/>
        <v/>
      </c>
      <c r="C125" s="43"/>
      <c r="D125" s="43"/>
      <c r="E125" s="43"/>
      <c r="F125" s="43"/>
      <c r="G125" s="86"/>
      <c r="H125" s="98">
        <v>120</v>
      </c>
      <c r="I125" s="99" t="str">
        <f t="shared" si="9"/>
        <v/>
      </c>
      <c r="J125" s="98">
        <f t="shared" si="10"/>
        <v>-2</v>
      </c>
      <c r="K125" s="98">
        <f t="shared" si="11"/>
        <v>-20</v>
      </c>
      <c r="L125" s="98"/>
      <c r="M125" s="97">
        <f t="shared" si="12"/>
        <v>0</v>
      </c>
      <c r="N125" s="97">
        <f t="shared" si="13"/>
        <v>0</v>
      </c>
      <c r="O125" s="86"/>
      <c r="P125" s="86"/>
      <c r="Q125" s="86"/>
      <c r="R125" s="86"/>
      <c r="S125" s="86"/>
    </row>
    <row r="126" spans="1:20" s="85" customFormat="1" x14ac:dyDescent="0.25">
      <c r="A126" s="103">
        <f t="shared" si="8"/>
        <v>0</v>
      </c>
      <c r="B126" s="36" t="str">
        <f t="shared" si="14"/>
        <v/>
      </c>
      <c r="C126" s="37"/>
      <c r="D126" s="37"/>
      <c r="E126" s="37"/>
      <c r="F126" s="37"/>
      <c r="G126" s="86"/>
      <c r="H126" s="93">
        <v>121</v>
      </c>
      <c r="I126" s="94" t="str">
        <f t="shared" si="9"/>
        <v/>
      </c>
      <c r="J126" s="93">
        <f t="shared" si="10"/>
        <v>-2</v>
      </c>
      <c r="K126" s="93">
        <f t="shared" si="11"/>
        <v>-20</v>
      </c>
      <c r="L126" s="93"/>
      <c r="M126" s="92">
        <f t="shared" si="12"/>
        <v>0</v>
      </c>
      <c r="N126" s="92">
        <f t="shared" si="13"/>
        <v>0</v>
      </c>
      <c r="O126" s="86"/>
      <c r="P126" s="86"/>
      <c r="Q126" s="86"/>
      <c r="R126" s="86"/>
      <c r="S126" s="106"/>
      <c r="T126" s="105"/>
    </row>
    <row r="127" spans="1:20" s="85" customFormat="1" x14ac:dyDescent="0.25">
      <c r="A127" s="102">
        <f t="shared" si="8"/>
        <v>0</v>
      </c>
      <c r="B127" s="42" t="str">
        <f t="shared" si="14"/>
        <v/>
      </c>
      <c r="C127" s="43"/>
      <c r="D127" s="43"/>
      <c r="E127" s="43"/>
      <c r="F127" s="43"/>
      <c r="G127" s="86"/>
      <c r="H127" s="98">
        <v>122</v>
      </c>
      <c r="I127" s="99" t="str">
        <f t="shared" si="9"/>
        <v/>
      </c>
      <c r="J127" s="98">
        <f t="shared" si="10"/>
        <v>-2</v>
      </c>
      <c r="K127" s="98">
        <f t="shared" si="11"/>
        <v>-20</v>
      </c>
      <c r="L127" s="98"/>
      <c r="M127" s="97">
        <f t="shared" si="12"/>
        <v>0</v>
      </c>
      <c r="N127" s="97">
        <f t="shared" si="13"/>
        <v>0</v>
      </c>
      <c r="O127" s="86"/>
      <c r="P127" s="86"/>
      <c r="Q127" s="86"/>
      <c r="R127" s="86"/>
      <c r="S127" s="86"/>
    </row>
    <row r="128" spans="1:20" s="85" customFormat="1" x14ac:dyDescent="0.25">
      <c r="A128" s="103">
        <f t="shared" si="8"/>
        <v>0</v>
      </c>
      <c r="B128" s="36" t="str">
        <f t="shared" si="14"/>
        <v/>
      </c>
      <c r="C128" s="37"/>
      <c r="D128" s="37"/>
      <c r="E128" s="37"/>
      <c r="F128" s="37"/>
      <c r="G128" s="86"/>
      <c r="H128" s="93">
        <v>123</v>
      </c>
      <c r="I128" s="94" t="str">
        <f t="shared" si="9"/>
        <v/>
      </c>
      <c r="J128" s="93">
        <f t="shared" si="10"/>
        <v>-2</v>
      </c>
      <c r="K128" s="93">
        <f t="shared" si="11"/>
        <v>-20</v>
      </c>
      <c r="L128" s="93"/>
      <c r="M128" s="92">
        <f t="shared" si="12"/>
        <v>0</v>
      </c>
      <c r="N128" s="92">
        <f t="shared" si="13"/>
        <v>0</v>
      </c>
      <c r="O128" s="86"/>
      <c r="P128" s="86"/>
      <c r="Q128" s="86"/>
      <c r="R128" s="86"/>
      <c r="S128" s="106"/>
      <c r="T128" s="105"/>
    </row>
    <row r="129" spans="1:20" s="85" customFormat="1" x14ac:dyDescent="0.25">
      <c r="A129" s="102">
        <f t="shared" si="8"/>
        <v>0</v>
      </c>
      <c r="B129" s="42" t="str">
        <f t="shared" si="14"/>
        <v/>
      </c>
      <c r="C129" s="43"/>
      <c r="D129" s="43"/>
      <c r="E129" s="43"/>
      <c r="F129" s="43"/>
      <c r="G129" s="86"/>
      <c r="H129" s="98">
        <v>124</v>
      </c>
      <c r="I129" s="99" t="str">
        <f t="shared" si="9"/>
        <v/>
      </c>
      <c r="J129" s="98">
        <f t="shared" si="10"/>
        <v>-2</v>
      </c>
      <c r="K129" s="98">
        <f t="shared" si="11"/>
        <v>-20</v>
      </c>
      <c r="L129" s="98"/>
      <c r="M129" s="97">
        <f t="shared" si="12"/>
        <v>0</v>
      </c>
      <c r="N129" s="97">
        <f t="shared" si="13"/>
        <v>0</v>
      </c>
      <c r="O129" s="86"/>
      <c r="P129" s="86"/>
      <c r="Q129" s="86"/>
      <c r="R129" s="86"/>
      <c r="S129" s="86"/>
    </row>
    <row r="130" spans="1:20" s="85" customFormat="1" x14ac:dyDescent="0.25">
      <c r="A130" s="103">
        <f t="shared" si="8"/>
        <v>0</v>
      </c>
      <c r="B130" s="36" t="str">
        <f t="shared" si="14"/>
        <v/>
      </c>
      <c r="C130" s="37"/>
      <c r="D130" s="37"/>
      <c r="E130" s="37"/>
      <c r="F130" s="37"/>
      <c r="G130" s="86"/>
      <c r="H130" s="93">
        <v>125</v>
      </c>
      <c r="I130" s="94" t="str">
        <f t="shared" si="9"/>
        <v/>
      </c>
      <c r="J130" s="93">
        <f t="shared" si="10"/>
        <v>-2</v>
      </c>
      <c r="K130" s="93">
        <f t="shared" si="11"/>
        <v>-20</v>
      </c>
      <c r="L130" s="93"/>
      <c r="M130" s="92">
        <f t="shared" si="12"/>
        <v>0</v>
      </c>
      <c r="N130" s="92">
        <f t="shared" si="13"/>
        <v>0</v>
      </c>
      <c r="O130" s="86"/>
      <c r="P130" s="86"/>
      <c r="Q130" s="86"/>
      <c r="R130" s="86"/>
      <c r="S130" s="106"/>
      <c r="T130" s="105"/>
    </row>
    <row r="131" spans="1:20" s="85" customFormat="1" x14ac:dyDescent="0.25">
      <c r="A131" s="102">
        <f t="shared" si="8"/>
        <v>0</v>
      </c>
      <c r="B131" s="42" t="str">
        <f t="shared" si="14"/>
        <v/>
      </c>
      <c r="C131" s="43"/>
      <c r="D131" s="43"/>
      <c r="E131" s="43"/>
      <c r="F131" s="43"/>
      <c r="G131" s="86"/>
      <c r="H131" s="98">
        <v>126</v>
      </c>
      <c r="I131" s="99" t="str">
        <f t="shared" si="9"/>
        <v/>
      </c>
      <c r="J131" s="98">
        <f t="shared" si="10"/>
        <v>-2</v>
      </c>
      <c r="K131" s="98">
        <f t="shared" si="11"/>
        <v>-20</v>
      </c>
      <c r="L131" s="98"/>
      <c r="M131" s="97">
        <f t="shared" si="12"/>
        <v>0</v>
      </c>
      <c r="N131" s="97">
        <f t="shared" si="13"/>
        <v>0</v>
      </c>
      <c r="O131" s="86"/>
      <c r="P131" s="86"/>
      <c r="Q131" s="86"/>
      <c r="R131" s="86"/>
      <c r="S131" s="86"/>
    </row>
    <row r="132" spans="1:20" s="85" customFormat="1" x14ac:dyDescent="0.25">
      <c r="A132" s="103">
        <f t="shared" si="8"/>
        <v>0</v>
      </c>
      <c r="B132" s="36" t="str">
        <f t="shared" si="14"/>
        <v/>
      </c>
      <c r="C132" s="37"/>
      <c r="D132" s="37"/>
      <c r="E132" s="37"/>
      <c r="F132" s="37"/>
      <c r="G132" s="86"/>
      <c r="H132" s="93">
        <v>127</v>
      </c>
      <c r="I132" s="94" t="str">
        <f t="shared" si="9"/>
        <v/>
      </c>
      <c r="J132" s="93">
        <f t="shared" si="10"/>
        <v>-2</v>
      </c>
      <c r="K132" s="93">
        <f t="shared" si="11"/>
        <v>-20</v>
      </c>
      <c r="L132" s="93"/>
      <c r="M132" s="92">
        <f t="shared" si="12"/>
        <v>0</v>
      </c>
      <c r="N132" s="92">
        <f t="shared" si="13"/>
        <v>0</v>
      </c>
      <c r="O132" s="86"/>
      <c r="P132" s="86"/>
      <c r="Q132" s="86"/>
      <c r="R132" s="86"/>
      <c r="S132" s="106"/>
      <c r="T132" s="105"/>
    </row>
    <row r="133" spans="1:20" s="85" customFormat="1" x14ac:dyDescent="0.25">
      <c r="A133" s="102">
        <f t="shared" si="8"/>
        <v>0</v>
      </c>
      <c r="B133" s="42" t="str">
        <f t="shared" si="14"/>
        <v/>
      </c>
      <c r="C133" s="43"/>
      <c r="D133" s="43"/>
      <c r="E133" s="43"/>
      <c r="F133" s="43"/>
      <c r="G133" s="86"/>
      <c r="H133" s="98">
        <v>128</v>
      </c>
      <c r="I133" s="99" t="str">
        <f t="shared" si="9"/>
        <v/>
      </c>
      <c r="J133" s="98">
        <f t="shared" si="10"/>
        <v>-2</v>
      </c>
      <c r="K133" s="98">
        <f t="shared" si="11"/>
        <v>-20</v>
      </c>
      <c r="L133" s="98"/>
      <c r="M133" s="97">
        <f t="shared" si="12"/>
        <v>0</v>
      </c>
      <c r="N133" s="97">
        <f t="shared" si="13"/>
        <v>0</v>
      </c>
      <c r="O133" s="86"/>
      <c r="P133" s="86"/>
      <c r="Q133" s="86"/>
      <c r="R133" s="86"/>
      <c r="S133" s="86"/>
    </row>
    <row r="134" spans="1:20" s="85" customFormat="1" x14ac:dyDescent="0.25">
      <c r="A134" s="103">
        <f t="shared" ref="A134:A197" si="15">N134</f>
        <v>0</v>
      </c>
      <c r="B134" s="36" t="str">
        <f t="shared" si="14"/>
        <v/>
      </c>
      <c r="C134" s="37"/>
      <c r="D134" s="37"/>
      <c r="E134" s="37"/>
      <c r="F134" s="37"/>
      <c r="G134" s="86"/>
      <c r="H134" s="93">
        <v>129</v>
      </c>
      <c r="I134" s="94" t="str">
        <f t="shared" ref="I134:I197" si="16">IF(H134&lt;$H$2+1,($I$2-($I$2-1)*(LOG(H134)/LOG($H$2))),"")</f>
        <v/>
      </c>
      <c r="J134" s="93">
        <f t="shared" ref="J134:J197" si="17">INT(LOG($H$2,2))-ROUNDUP(LOG(H134,2),0)+IF(OR($H$2=1,$H$2=2,$H$2=4,$H$2=8,$H$2=16,$H$2=32,$H$2=64,$H$2=128,$H$2=256),0,1)</f>
        <v>-3</v>
      </c>
      <c r="K134" s="93">
        <f t="shared" ref="K134:K197" si="18">J134*$J$2</f>
        <v>-30</v>
      </c>
      <c r="L134" s="93"/>
      <c r="M134" s="92">
        <f t="shared" ref="M134:M197" si="19">IF(I134&lt;&gt;"",K134+I134+L134,0)</f>
        <v>0</v>
      </c>
      <c r="N134" s="92">
        <f t="shared" ref="N134:N197" si="20">IF(I134&lt;&gt;"",M134*L$2,0)</f>
        <v>0</v>
      </c>
      <c r="O134" s="86"/>
      <c r="P134" s="86"/>
      <c r="Q134" s="86"/>
      <c r="R134" s="86"/>
      <c r="S134" s="106"/>
      <c r="T134" s="105"/>
    </row>
    <row r="135" spans="1:20" s="85" customFormat="1" x14ac:dyDescent="0.25">
      <c r="A135" s="102">
        <f t="shared" si="15"/>
        <v>0</v>
      </c>
      <c r="B135" s="42" t="str">
        <f t="shared" si="14"/>
        <v/>
      </c>
      <c r="C135" s="43"/>
      <c r="D135" s="43"/>
      <c r="E135" s="43"/>
      <c r="F135" s="43"/>
      <c r="G135" s="86"/>
      <c r="H135" s="98">
        <v>130</v>
      </c>
      <c r="I135" s="99" t="str">
        <f t="shared" si="16"/>
        <v/>
      </c>
      <c r="J135" s="98">
        <f t="shared" si="17"/>
        <v>-3</v>
      </c>
      <c r="K135" s="98">
        <f t="shared" si="18"/>
        <v>-30</v>
      </c>
      <c r="L135" s="98"/>
      <c r="M135" s="97">
        <f t="shared" si="19"/>
        <v>0</v>
      </c>
      <c r="N135" s="97">
        <f t="shared" si="20"/>
        <v>0</v>
      </c>
      <c r="O135" s="86"/>
      <c r="P135" s="86"/>
      <c r="Q135" s="86"/>
      <c r="R135" s="86"/>
      <c r="S135" s="86"/>
    </row>
    <row r="136" spans="1:20" s="85" customFormat="1" x14ac:dyDescent="0.25">
      <c r="A136" s="103">
        <f t="shared" si="15"/>
        <v>0</v>
      </c>
      <c r="B136" s="36" t="str">
        <f t="shared" si="14"/>
        <v/>
      </c>
      <c r="C136" s="37"/>
      <c r="D136" s="37"/>
      <c r="E136" s="37"/>
      <c r="F136" s="37"/>
      <c r="G136" s="86"/>
      <c r="H136" s="93">
        <v>131</v>
      </c>
      <c r="I136" s="94" t="str">
        <f t="shared" si="16"/>
        <v/>
      </c>
      <c r="J136" s="93">
        <f t="shared" si="17"/>
        <v>-3</v>
      </c>
      <c r="K136" s="93">
        <f t="shared" si="18"/>
        <v>-30</v>
      </c>
      <c r="L136" s="93"/>
      <c r="M136" s="92">
        <f t="shared" si="19"/>
        <v>0</v>
      </c>
      <c r="N136" s="92">
        <f t="shared" si="20"/>
        <v>0</v>
      </c>
      <c r="O136" s="86"/>
      <c r="P136" s="86"/>
      <c r="Q136" s="86"/>
      <c r="R136" s="86"/>
      <c r="S136" s="106"/>
      <c r="T136" s="105"/>
    </row>
    <row r="137" spans="1:20" s="85" customFormat="1" x14ac:dyDescent="0.25">
      <c r="A137" s="102">
        <f t="shared" si="15"/>
        <v>0</v>
      </c>
      <c r="B137" s="42" t="str">
        <f t="shared" si="14"/>
        <v/>
      </c>
      <c r="C137" s="43"/>
      <c r="D137" s="43"/>
      <c r="E137" s="43"/>
      <c r="F137" s="43"/>
      <c r="G137" s="86"/>
      <c r="H137" s="98">
        <v>132</v>
      </c>
      <c r="I137" s="99" t="str">
        <f t="shared" si="16"/>
        <v/>
      </c>
      <c r="J137" s="98">
        <f t="shared" si="17"/>
        <v>-3</v>
      </c>
      <c r="K137" s="98">
        <f t="shared" si="18"/>
        <v>-30</v>
      </c>
      <c r="L137" s="98"/>
      <c r="M137" s="97">
        <f t="shared" si="19"/>
        <v>0</v>
      </c>
      <c r="N137" s="97">
        <f t="shared" si="20"/>
        <v>0</v>
      </c>
      <c r="O137" s="86"/>
      <c r="P137" s="86"/>
      <c r="Q137" s="86"/>
      <c r="R137" s="86"/>
      <c r="S137" s="86"/>
    </row>
    <row r="138" spans="1:20" s="85" customFormat="1" x14ac:dyDescent="0.25">
      <c r="A138" s="103">
        <f t="shared" si="15"/>
        <v>0</v>
      </c>
      <c r="B138" s="36" t="str">
        <f t="shared" ref="B138:B201" si="21">IF(H138&gt;$H$2,"",(ROW()-5))</f>
        <v/>
      </c>
      <c r="C138" s="37"/>
      <c r="D138" s="37"/>
      <c r="E138" s="37"/>
      <c r="F138" s="37"/>
      <c r="G138" s="86"/>
      <c r="H138" s="93">
        <v>133</v>
      </c>
      <c r="I138" s="94" t="str">
        <f t="shared" si="16"/>
        <v/>
      </c>
      <c r="J138" s="93">
        <f t="shared" si="17"/>
        <v>-3</v>
      </c>
      <c r="K138" s="93">
        <f t="shared" si="18"/>
        <v>-30</v>
      </c>
      <c r="L138" s="93"/>
      <c r="M138" s="92">
        <f t="shared" si="19"/>
        <v>0</v>
      </c>
      <c r="N138" s="92">
        <f t="shared" si="20"/>
        <v>0</v>
      </c>
      <c r="O138" s="86"/>
      <c r="P138" s="86"/>
      <c r="Q138" s="86"/>
      <c r="R138" s="86"/>
      <c r="S138" s="106"/>
      <c r="T138" s="105"/>
    </row>
    <row r="139" spans="1:20" s="85" customFormat="1" x14ac:dyDescent="0.25">
      <c r="A139" s="102">
        <f t="shared" si="15"/>
        <v>0</v>
      </c>
      <c r="B139" s="42" t="str">
        <f t="shared" si="21"/>
        <v/>
      </c>
      <c r="C139" s="43"/>
      <c r="D139" s="43"/>
      <c r="E139" s="43"/>
      <c r="F139" s="43"/>
      <c r="G139" s="86"/>
      <c r="H139" s="98">
        <v>134</v>
      </c>
      <c r="I139" s="99" t="str">
        <f t="shared" si="16"/>
        <v/>
      </c>
      <c r="J139" s="98">
        <f t="shared" si="17"/>
        <v>-3</v>
      </c>
      <c r="K139" s="98">
        <f t="shared" si="18"/>
        <v>-30</v>
      </c>
      <c r="L139" s="98"/>
      <c r="M139" s="97">
        <f t="shared" si="19"/>
        <v>0</v>
      </c>
      <c r="N139" s="97">
        <f t="shared" si="20"/>
        <v>0</v>
      </c>
      <c r="O139" s="86"/>
      <c r="P139" s="86"/>
      <c r="Q139" s="86"/>
      <c r="R139" s="86"/>
      <c r="S139" s="86"/>
    </row>
    <row r="140" spans="1:20" s="85" customFormat="1" x14ac:dyDescent="0.25">
      <c r="A140" s="103">
        <f t="shared" si="15"/>
        <v>0</v>
      </c>
      <c r="B140" s="36" t="str">
        <f t="shared" si="21"/>
        <v/>
      </c>
      <c r="C140" s="37"/>
      <c r="D140" s="37"/>
      <c r="E140" s="37"/>
      <c r="F140" s="37"/>
      <c r="G140" s="86"/>
      <c r="H140" s="93">
        <v>135</v>
      </c>
      <c r="I140" s="94" t="str">
        <f t="shared" si="16"/>
        <v/>
      </c>
      <c r="J140" s="93">
        <f t="shared" si="17"/>
        <v>-3</v>
      </c>
      <c r="K140" s="93">
        <f t="shared" si="18"/>
        <v>-30</v>
      </c>
      <c r="L140" s="93"/>
      <c r="M140" s="92">
        <f t="shared" si="19"/>
        <v>0</v>
      </c>
      <c r="N140" s="92">
        <f t="shared" si="20"/>
        <v>0</v>
      </c>
      <c r="O140" s="86"/>
      <c r="P140" s="86"/>
      <c r="Q140" s="86"/>
      <c r="R140" s="86"/>
      <c r="S140" s="106"/>
      <c r="T140" s="105"/>
    </row>
    <row r="141" spans="1:20" s="85" customFormat="1" x14ac:dyDescent="0.25">
      <c r="A141" s="102">
        <f t="shared" si="15"/>
        <v>0</v>
      </c>
      <c r="B141" s="42" t="str">
        <f t="shared" si="21"/>
        <v/>
      </c>
      <c r="C141" s="43"/>
      <c r="D141" s="43"/>
      <c r="E141" s="43"/>
      <c r="F141" s="43"/>
      <c r="G141" s="86"/>
      <c r="H141" s="98">
        <v>136</v>
      </c>
      <c r="I141" s="99" t="str">
        <f t="shared" si="16"/>
        <v/>
      </c>
      <c r="J141" s="98">
        <f t="shared" si="17"/>
        <v>-3</v>
      </c>
      <c r="K141" s="98">
        <f t="shared" si="18"/>
        <v>-30</v>
      </c>
      <c r="L141" s="98"/>
      <c r="M141" s="97">
        <f t="shared" si="19"/>
        <v>0</v>
      </c>
      <c r="N141" s="97">
        <f t="shared" si="20"/>
        <v>0</v>
      </c>
      <c r="O141" s="86"/>
      <c r="P141" s="86"/>
      <c r="Q141" s="86"/>
      <c r="R141" s="86"/>
      <c r="S141" s="86"/>
    </row>
    <row r="142" spans="1:20" s="85" customFormat="1" x14ac:dyDescent="0.25">
      <c r="A142" s="103">
        <f t="shared" si="15"/>
        <v>0</v>
      </c>
      <c r="B142" s="36" t="str">
        <f t="shared" si="21"/>
        <v/>
      </c>
      <c r="C142" s="37"/>
      <c r="D142" s="37"/>
      <c r="E142" s="37"/>
      <c r="F142" s="37"/>
      <c r="G142" s="86"/>
      <c r="H142" s="93">
        <v>137</v>
      </c>
      <c r="I142" s="94" t="str">
        <f t="shared" si="16"/>
        <v/>
      </c>
      <c r="J142" s="93">
        <f t="shared" si="17"/>
        <v>-3</v>
      </c>
      <c r="K142" s="93">
        <f t="shared" si="18"/>
        <v>-30</v>
      </c>
      <c r="L142" s="93"/>
      <c r="M142" s="92">
        <f t="shared" si="19"/>
        <v>0</v>
      </c>
      <c r="N142" s="92">
        <f t="shared" si="20"/>
        <v>0</v>
      </c>
      <c r="O142" s="86"/>
      <c r="P142" s="86"/>
      <c r="Q142" s="86"/>
      <c r="R142" s="86"/>
      <c r="S142" s="106"/>
      <c r="T142" s="105"/>
    </row>
    <row r="143" spans="1:20" s="85" customFormat="1" x14ac:dyDescent="0.25">
      <c r="A143" s="102">
        <f t="shared" si="15"/>
        <v>0</v>
      </c>
      <c r="B143" s="42" t="str">
        <f t="shared" si="21"/>
        <v/>
      </c>
      <c r="C143" s="43"/>
      <c r="D143" s="43"/>
      <c r="E143" s="43"/>
      <c r="F143" s="43"/>
      <c r="G143" s="86"/>
      <c r="H143" s="98">
        <v>138</v>
      </c>
      <c r="I143" s="99" t="str">
        <f t="shared" si="16"/>
        <v/>
      </c>
      <c r="J143" s="98">
        <f t="shared" si="17"/>
        <v>-3</v>
      </c>
      <c r="K143" s="98">
        <f t="shared" si="18"/>
        <v>-30</v>
      </c>
      <c r="L143" s="98"/>
      <c r="M143" s="97">
        <f t="shared" si="19"/>
        <v>0</v>
      </c>
      <c r="N143" s="97">
        <f t="shared" si="20"/>
        <v>0</v>
      </c>
      <c r="O143" s="86"/>
      <c r="P143" s="86"/>
      <c r="Q143" s="86"/>
      <c r="R143" s="86"/>
      <c r="S143" s="86"/>
    </row>
    <row r="144" spans="1:20" s="85" customFormat="1" x14ac:dyDescent="0.25">
      <c r="A144" s="103">
        <f t="shared" si="15"/>
        <v>0</v>
      </c>
      <c r="B144" s="36" t="str">
        <f t="shared" si="21"/>
        <v/>
      </c>
      <c r="C144" s="37"/>
      <c r="D144" s="37"/>
      <c r="E144" s="37"/>
      <c r="F144" s="37"/>
      <c r="G144" s="86"/>
      <c r="H144" s="93">
        <v>139</v>
      </c>
      <c r="I144" s="94" t="str">
        <f t="shared" si="16"/>
        <v/>
      </c>
      <c r="J144" s="93">
        <f t="shared" si="17"/>
        <v>-3</v>
      </c>
      <c r="K144" s="93">
        <f t="shared" si="18"/>
        <v>-30</v>
      </c>
      <c r="L144" s="93"/>
      <c r="M144" s="92">
        <f t="shared" si="19"/>
        <v>0</v>
      </c>
      <c r="N144" s="92">
        <f t="shared" si="20"/>
        <v>0</v>
      </c>
      <c r="O144" s="86"/>
      <c r="P144" s="86"/>
      <c r="Q144" s="86"/>
      <c r="R144" s="86"/>
      <c r="S144" s="106"/>
      <c r="T144" s="105"/>
    </row>
    <row r="145" spans="1:20" s="85" customFormat="1" x14ac:dyDescent="0.25">
      <c r="A145" s="102">
        <f t="shared" si="15"/>
        <v>0</v>
      </c>
      <c r="B145" s="42" t="str">
        <f t="shared" si="21"/>
        <v/>
      </c>
      <c r="C145" s="43"/>
      <c r="D145" s="43"/>
      <c r="E145" s="43"/>
      <c r="F145" s="43"/>
      <c r="G145" s="86"/>
      <c r="H145" s="98">
        <v>140</v>
      </c>
      <c r="I145" s="99" t="str">
        <f t="shared" si="16"/>
        <v/>
      </c>
      <c r="J145" s="98">
        <f t="shared" si="17"/>
        <v>-3</v>
      </c>
      <c r="K145" s="98">
        <f t="shared" si="18"/>
        <v>-30</v>
      </c>
      <c r="L145" s="98"/>
      <c r="M145" s="97">
        <f t="shared" si="19"/>
        <v>0</v>
      </c>
      <c r="N145" s="97">
        <f t="shared" si="20"/>
        <v>0</v>
      </c>
      <c r="O145" s="86"/>
      <c r="P145" s="86"/>
      <c r="Q145" s="86"/>
      <c r="R145" s="86"/>
      <c r="S145" s="86"/>
    </row>
    <row r="146" spans="1:20" s="85" customFormat="1" x14ac:dyDescent="0.25">
      <c r="A146" s="103">
        <f t="shared" si="15"/>
        <v>0</v>
      </c>
      <c r="B146" s="36" t="str">
        <f t="shared" si="21"/>
        <v/>
      </c>
      <c r="C146" s="37"/>
      <c r="D146" s="37"/>
      <c r="E146" s="37"/>
      <c r="F146" s="37"/>
      <c r="G146" s="86"/>
      <c r="H146" s="93">
        <v>141</v>
      </c>
      <c r="I146" s="94" t="str">
        <f t="shared" si="16"/>
        <v/>
      </c>
      <c r="J146" s="93">
        <f t="shared" si="17"/>
        <v>-3</v>
      </c>
      <c r="K146" s="93">
        <f t="shared" si="18"/>
        <v>-30</v>
      </c>
      <c r="L146" s="93"/>
      <c r="M146" s="92">
        <f t="shared" si="19"/>
        <v>0</v>
      </c>
      <c r="N146" s="92">
        <f t="shared" si="20"/>
        <v>0</v>
      </c>
      <c r="O146" s="86"/>
      <c r="P146" s="86"/>
      <c r="Q146" s="86"/>
      <c r="R146" s="86"/>
      <c r="S146" s="106"/>
      <c r="T146" s="105"/>
    </row>
    <row r="147" spans="1:20" s="85" customFormat="1" x14ac:dyDescent="0.25">
      <c r="A147" s="102">
        <f t="shared" si="15"/>
        <v>0</v>
      </c>
      <c r="B147" s="42" t="str">
        <f t="shared" si="21"/>
        <v/>
      </c>
      <c r="C147" s="43"/>
      <c r="D147" s="43"/>
      <c r="E147" s="43"/>
      <c r="F147" s="43"/>
      <c r="G147" s="86"/>
      <c r="H147" s="98">
        <v>142</v>
      </c>
      <c r="I147" s="99" t="str">
        <f t="shared" si="16"/>
        <v/>
      </c>
      <c r="J147" s="98">
        <f t="shared" si="17"/>
        <v>-3</v>
      </c>
      <c r="K147" s="98">
        <f t="shared" si="18"/>
        <v>-30</v>
      </c>
      <c r="L147" s="98"/>
      <c r="M147" s="97">
        <f t="shared" si="19"/>
        <v>0</v>
      </c>
      <c r="N147" s="97">
        <f t="shared" si="20"/>
        <v>0</v>
      </c>
      <c r="O147" s="86"/>
      <c r="P147" s="86"/>
      <c r="Q147" s="86"/>
      <c r="R147" s="86"/>
      <c r="S147" s="86"/>
    </row>
    <row r="148" spans="1:20" s="85" customFormat="1" x14ac:dyDescent="0.25">
      <c r="A148" s="103">
        <f t="shared" si="15"/>
        <v>0</v>
      </c>
      <c r="B148" s="36" t="str">
        <f t="shared" si="21"/>
        <v/>
      </c>
      <c r="C148" s="37"/>
      <c r="D148" s="37"/>
      <c r="E148" s="37"/>
      <c r="F148" s="37"/>
      <c r="G148" s="86"/>
      <c r="H148" s="93">
        <v>143</v>
      </c>
      <c r="I148" s="94" t="str">
        <f t="shared" si="16"/>
        <v/>
      </c>
      <c r="J148" s="93">
        <f t="shared" si="17"/>
        <v>-3</v>
      </c>
      <c r="K148" s="93">
        <f t="shared" si="18"/>
        <v>-30</v>
      </c>
      <c r="L148" s="93"/>
      <c r="M148" s="92">
        <f t="shared" si="19"/>
        <v>0</v>
      </c>
      <c r="N148" s="92">
        <f t="shared" si="20"/>
        <v>0</v>
      </c>
      <c r="O148" s="86"/>
      <c r="P148" s="86"/>
      <c r="Q148" s="86"/>
      <c r="R148" s="86"/>
      <c r="S148" s="106"/>
      <c r="T148" s="105"/>
    </row>
    <row r="149" spans="1:20" s="85" customFormat="1" x14ac:dyDescent="0.25">
      <c r="A149" s="102">
        <f t="shared" si="15"/>
        <v>0</v>
      </c>
      <c r="B149" s="42" t="str">
        <f t="shared" si="21"/>
        <v/>
      </c>
      <c r="C149" s="43"/>
      <c r="D149" s="43"/>
      <c r="E149" s="43"/>
      <c r="F149" s="43"/>
      <c r="G149" s="86"/>
      <c r="H149" s="98">
        <v>144</v>
      </c>
      <c r="I149" s="99" t="str">
        <f t="shared" si="16"/>
        <v/>
      </c>
      <c r="J149" s="98">
        <f t="shared" si="17"/>
        <v>-3</v>
      </c>
      <c r="K149" s="98">
        <f t="shared" si="18"/>
        <v>-30</v>
      </c>
      <c r="L149" s="98"/>
      <c r="M149" s="97">
        <f t="shared" si="19"/>
        <v>0</v>
      </c>
      <c r="N149" s="97">
        <f t="shared" si="20"/>
        <v>0</v>
      </c>
      <c r="O149" s="86"/>
      <c r="P149" s="86"/>
      <c r="Q149" s="86"/>
      <c r="R149" s="86"/>
      <c r="S149" s="86"/>
    </row>
    <row r="150" spans="1:20" s="85" customFormat="1" x14ac:dyDescent="0.25">
      <c r="A150" s="103">
        <f t="shared" si="15"/>
        <v>0</v>
      </c>
      <c r="B150" s="36" t="str">
        <f t="shared" si="21"/>
        <v/>
      </c>
      <c r="C150" s="37"/>
      <c r="D150" s="37"/>
      <c r="E150" s="37"/>
      <c r="F150" s="37"/>
      <c r="G150" s="86"/>
      <c r="H150" s="93">
        <v>145</v>
      </c>
      <c r="I150" s="94" t="str">
        <f t="shared" si="16"/>
        <v/>
      </c>
      <c r="J150" s="93">
        <f t="shared" si="17"/>
        <v>-3</v>
      </c>
      <c r="K150" s="93">
        <f t="shared" si="18"/>
        <v>-30</v>
      </c>
      <c r="L150" s="93"/>
      <c r="M150" s="92">
        <f t="shared" si="19"/>
        <v>0</v>
      </c>
      <c r="N150" s="92">
        <f t="shared" si="20"/>
        <v>0</v>
      </c>
      <c r="O150" s="86"/>
      <c r="P150" s="86"/>
      <c r="Q150" s="86"/>
      <c r="R150" s="86"/>
      <c r="S150" s="106"/>
      <c r="T150" s="105"/>
    </row>
    <row r="151" spans="1:20" s="85" customFormat="1" x14ac:dyDescent="0.25">
      <c r="A151" s="102">
        <f t="shared" si="15"/>
        <v>0</v>
      </c>
      <c r="B151" s="42" t="str">
        <f t="shared" si="21"/>
        <v/>
      </c>
      <c r="C151" s="43"/>
      <c r="D151" s="43"/>
      <c r="E151" s="43"/>
      <c r="F151" s="43"/>
      <c r="G151" s="86"/>
      <c r="H151" s="98">
        <v>146</v>
      </c>
      <c r="I151" s="99" t="str">
        <f t="shared" si="16"/>
        <v/>
      </c>
      <c r="J151" s="98">
        <f t="shared" si="17"/>
        <v>-3</v>
      </c>
      <c r="K151" s="98">
        <f t="shared" si="18"/>
        <v>-30</v>
      </c>
      <c r="L151" s="98"/>
      <c r="M151" s="97">
        <f t="shared" si="19"/>
        <v>0</v>
      </c>
      <c r="N151" s="97">
        <f t="shared" si="20"/>
        <v>0</v>
      </c>
      <c r="O151" s="86"/>
      <c r="P151" s="86"/>
      <c r="Q151" s="86"/>
      <c r="R151" s="86"/>
      <c r="S151" s="86"/>
    </row>
    <row r="152" spans="1:20" s="85" customFormat="1" x14ac:dyDescent="0.25">
      <c r="A152" s="103">
        <f t="shared" si="15"/>
        <v>0</v>
      </c>
      <c r="B152" s="36" t="str">
        <f t="shared" si="21"/>
        <v/>
      </c>
      <c r="C152" s="37"/>
      <c r="D152" s="37"/>
      <c r="E152" s="37"/>
      <c r="F152" s="37"/>
      <c r="G152" s="86"/>
      <c r="H152" s="93">
        <v>147</v>
      </c>
      <c r="I152" s="94" t="str">
        <f t="shared" si="16"/>
        <v/>
      </c>
      <c r="J152" s="93">
        <f t="shared" si="17"/>
        <v>-3</v>
      </c>
      <c r="K152" s="93">
        <f t="shared" si="18"/>
        <v>-30</v>
      </c>
      <c r="L152" s="93"/>
      <c r="M152" s="92">
        <f t="shared" si="19"/>
        <v>0</v>
      </c>
      <c r="N152" s="92">
        <f t="shared" si="20"/>
        <v>0</v>
      </c>
      <c r="O152" s="86"/>
      <c r="P152" s="86"/>
      <c r="Q152" s="86"/>
      <c r="R152" s="86"/>
      <c r="S152" s="106"/>
      <c r="T152" s="105"/>
    </row>
    <row r="153" spans="1:20" s="85" customFormat="1" x14ac:dyDescent="0.25">
      <c r="A153" s="102">
        <f t="shared" si="15"/>
        <v>0</v>
      </c>
      <c r="B153" s="42" t="str">
        <f t="shared" si="21"/>
        <v/>
      </c>
      <c r="C153" s="43"/>
      <c r="D153" s="43"/>
      <c r="E153" s="43"/>
      <c r="F153" s="43"/>
      <c r="G153" s="86"/>
      <c r="H153" s="98">
        <v>148</v>
      </c>
      <c r="I153" s="99" t="str">
        <f t="shared" si="16"/>
        <v/>
      </c>
      <c r="J153" s="98">
        <f t="shared" si="17"/>
        <v>-3</v>
      </c>
      <c r="K153" s="98">
        <f t="shared" si="18"/>
        <v>-30</v>
      </c>
      <c r="L153" s="98"/>
      <c r="M153" s="97">
        <f t="shared" si="19"/>
        <v>0</v>
      </c>
      <c r="N153" s="97">
        <f t="shared" si="20"/>
        <v>0</v>
      </c>
      <c r="O153" s="86"/>
      <c r="P153" s="86"/>
      <c r="Q153" s="86"/>
      <c r="R153" s="86"/>
      <c r="S153" s="86"/>
    </row>
    <row r="154" spans="1:20" s="85" customFormat="1" x14ac:dyDescent="0.25">
      <c r="A154" s="103">
        <f t="shared" si="15"/>
        <v>0</v>
      </c>
      <c r="B154" s="36" t="str">
        <f t="shared" si="21"/>
        <v/>
      </c>
      <c r="C154" s="37"/>
      <c r="D154" s="37"/>
      <c r="E154" s="37"/>
      <c r="F154" s="37"/>
      <c r="G154" s="86"/>
      <c r="H154" s="93">
        <v>149</v>
      </c>
      <c r="I154" s="94" t="str">
        <f t="shared" si="16"/>
        <v/>
      </c>
      <c r="J154" s="93">
        <f t="shared" si="17"/>
        <v>-3</v>
      </c>
      <c r="K154" s="93">
        <f t="shared" si="18"/>
        <v>-30</v>
      </c>
      <c r="L154" s="93"/>
      <c r="M154" s="92">
        <f t="shared" si="19"/>
        <v>0</v>
      </c>
      <c r="N154" s="92">
        <f t="shared" si="20"/>
        <v>0</v>
      </c>
      <c r="O154" s="86"/>
      <c r="P154" s="86"/>
      <c r="Q154" s="86"/>
      <c r="R154" s="86"/>
      <c r="S154" s="106"/>
      <c r="T154" s="105"/>
    </row>
    <row r="155" spans="1:20" s="85" customFormat="1" x14ac:dyDescent="0.25">
      <c r="A155" s="102">
        <f t="shared" si="15"/>
        <v>0</v>
      </c>
      <c r="B155" s="42" t="str">
        <f t="shared" si="21"/>
        <v/>
      </c>
      <c r="C155" s="43"/>
      <c r="D155" s="43"/>
      <c r="E155" s="43"/>
      <c r="F155" s="43"/>
      <c r="G155" s="86"/>
      <c r="H155" s="98">
        <v>150</v>
      </c>
      <c r="I155" s="99" t="str">
        <f t="shared" si="16"/>
        <v/>
      </c>
      <c r="J155" s="98">
        <f t="shared" si="17"/>
        <v>-3</v>
      </c>
      <c r="K155" s="98">
        <f t="shared" si="18"/>
        <v>-30</v>
      </c>
      <c r="L155" s="98"/>
      <c r="M155" s="97">
        <f t="shared" si="19"/>
        <v>0</v>
      </c>
      <c r="N155" s="97">
        <f t="shared" si="20"/>
        <v>0</v>
      </c>
      <c r="O155" s="86"/>
      <c r="P155" s="86"/>
      <c r="Q155" s="86"/>
      <c r="R155" s="86"/>
      <c r="S155" s="86"/>
    </row>
    <row r="156" spans="1:20" s="85" customFormat="1" x14ac:dyDescent="0.25">
      <c r="A156" s="103">
        <f t="shared" si="15"/>
        <v>0</v>
      </c>
      <c r="B156" s="36" t="str">
        <f t="shared" si="21"/>
        <v/>
      </c>
      <c r="C156" s="37"/>
      <c r="D156" s="37"/>
      <c r="E156" s="37"/>
      <c r="F156" s="37"/>
      <c r="G156" s="86"/>
      <c r="H156" s="93">
        <v>151</v>
      </c>
      <c r="I156" s="94" t="str">
        <f t="shared" si="16"/>
        <v/>
      </c>
      <c r="J156" s="93">
        <f t="shared" si="17"/>
        <v>-3</v>
      </c>
      <c r="K156" s="93">
        <f t="shared" si="18"/>
        <v>-30</v>
      </c>
      <c r="L156" s="93"/>
      <c r="M156" s="92">
        <f t="shared" si="19"/>
        <v>0</v>
      </c>
      <c r="N156" s="92">
        <f t="shared" si="20"/>
        <v>0</v>
      </c>
      <c r="O156" s="86"/>
      <c r="P156" s="86"/>
      <c r="Q156" s="86"/>
      <c r="R156" s="86"/>
      <c r="S156" s="106"/>
      <c r="T156" s="105"/>
    </row>
    <row r="157" spans="1:20" s="85" customFormat="1" x14ac:dyDescent="0.25">
      <c r="A157" s="102">
        <f t="shared" si="15"/>
        <v>0</v>
      </c>
      <c r="B157" s="42" t="str">
        <f t="shared" si="21"/>
        <v/>
      </c>
      <c r="C157" s="43"/>
      <c r="D157" s="43"/>
      <c r="E157" s="43"/>
      <c r="F157" s="43"/>
      <c r="G157" s="86"/>
      <c r="H157" s="98">
        <v>152</v>
      </c>
      <c r="I157" s="99" t="str">
        <f t="shared" si="16"/>
        <v/>
      </c>
      <c r="J157" s="98">
        <f t="shared" si="17"/>
        <v>-3</v>
      </c>
      <c r="K157" s="98">
        <f t="shared" si="18"/>
        <v>-30</v>
      </c>
      <c r="L157" s="98"/>
      <c r="M157" s="97">
        <f t="shared" si="19"/>
        <v>0</v>
      </c>
      <c r="N157" s="97">
        <f t="shared" si="20"/>
        <v>0</v>
      </c>
      <c r="O157" s="86"/>
      <c r="P157" s="86"/>
      <c r="Q157" s="86"/>
      <c r="R157" s="86"/>
      <c r="S157" s="86"/>
    </row>
    <row r="158" spans="1:20" s="85" customFormat="1" x14ac:dyDescent="0.25">
      <c r="A158" s="103">
        <f t="shared" si="15"/>
        <v>0</v>
      </c>
      <c r="B158" s="36" t="str">
        <f t="shared" si="21"/>
        <v/>
      </c>
      <c r="C158" s="37"/>
      <c r="D158" s="37"/>
      <c r="E158" s="37"/>
      <c r="F158" s="37"/>
      <c r="G158" s="86"/>
      <c r="H158" s="93">
        <v>153</v>
      </c>
      <c r="I158" s="94" t="str">
        <f t="shared" si="16"/>
        <v/>
      </c>
      <c r="J158" s="93">
        <f t="shared" si="17"/>
        <v>-3</v>
      </c>
      <c r="K158" s="93">
        <f t="shared" si="18"/>
        <v>-30</v>
      </c>
      <c r="L158" s="93"/>
      <c r="M158" s="92">
        <f t="shared" si="19"/>
        <v>0</v>
      </c>
      <c r="N158" s="92">
        <f t="shared" si="20"/>
        <v>0</v>
      </c>
      <c r="O158" s="86"/>
      <c r="P158" s="86"/>
      <c r="Q158" s="86"/>
      <c r="R158" s="86"/>
      <c r="S158" s="106"/>
      <c r="T158" s="105"/>
    </row>
    <row r="159" spans="1:20" s="85" customFormat="1" x14ac:dyDescent="0.25">
      <c r="A159" s="102">
        <f t="shared" si="15"/>
        <v>0</v>
      </c>
      <c r="B159" s="42" t="str">
        <f t="shared" si="21"/>
        <v/>
      </c>
      <c r="C159" s="43"/>
      <c r="D159" s="43"/>
      <c r="E159" s="43"/>
      <c r="F159" s="43"/>
      <c r="G159" s="86"/>
      <c r="H159" s="98">
        <v>154</v>
      </c>
      <c r="I159" s="99" t="str">
        <f t="shared" si="16"/>
        <v/>
      </c>
      <c r="J159" s="98">
        <f t="shared" si="17"/>
        <v>-3</v>
      </c>
      <c r="K159" s="98">
        <f t="shared" si="18"/>
        <v>-30</v>
      </c>
      <c r="L159" s="98"/>
      <c r="M159" s="97">
        <f t="shared" si="19"/>
        <v>0</v>
      </c>
      <c r="N159" s="97">
        <f t="shared" si="20"/>
        <v>0</v>
      </c>
      <c r="O159" s="86"/>
      <c r="P159" s="86"/>
      <c r="Q159" s="86"/>
      <c r="R159" s="86"/>
      <c r="S159" s="86"/>
    </row>
    <row r="160" spans="1:20" s="85" customFormat="1" x14ac:dyDescent="0.25">
      <c r="A160" s="103">
        <f t="shared" si="15"/>
        <v>0</v>
      </c>
      <c r="B160" s="36" t="str">
        <f t="shared" si="21"/>
        <v/>
      </c>
      <c r="C160" s="37"/>
      <c r="D160" s="37"/>
      <c r="E160" s="37"/>
      <c r="F160" s="37"/>
      <c r="G160" s="86"/>
      <c r="H160" s="93">
        <v>155</v>
      </c>
      <c r="I160" s="94" t="str">
        <f t="shared" si="16"/>
        <v/>
      </c>
      <c r="J160" s="93">
        <f t="shared" si="17"/>
        <v>-3</v>
      </c>
      <c r="K160" s="93">
        <f t="shared" si="18"/>
        <v>-30</v>
      </c>
      <c r="L160" s="93"/>
      <c r="M160" s="92">
        <f t="shared" si="19"/>
        <v>0</v>
      </c>
      <c r="N160" s="92">
        <f t="shared" si="20"/>
        <v>0</v>
      </c>
      <c r="O160" s="86"/>
      <c r="P160" s="86"/>
      <c r="Q160" s="86"/>
      <c r="R160" s="86"/>
      <c r="S160" s="106"/>
      <c r="T160" s="105"/>
    </row>
    <row r="161" spans="1:20" s="85" customFormat="1" x14ac:dyDescent="0.25">
      <c r="A161" s="102">
        <f t="shared" si="15"/>
        <v>0</v>
      </c>
      <c r="B161" s="42" t="str">
        <f t="shared" si="21"/>
        <v/>
      </c>
      <c r="C161" s="43"/>
      <c r="D161" s="43"/>
      <c r="E161" s="43"/>
      <c r="F161" s="43"/>
      <c r="G161" s="86"/>
      <c r="H161" s="98">
        <v>156</v>
      </c>
      <c r="I161" s="99" t="str">
        <f t="shared" si="16"/>
        <v/>
      </c>
      <c r="J161" s="98">
        <f t="shared" si="17"/>
        <v>-3</v>
      </c>
      <c r="K161" s="98">
        <f t="shared" si="18"/>
        <v>-30</v>
      </c>
      <c r="L161" s="98"/>
      <c r="M161" s="97">
        <f t="shared" si="19"/>
        <v>0</v>
      </c>
      <c r="N161" s="97">
        <f t="shared" si="20"/>
        <v>0</v>
      </c>
      <c r="O161" s="86"/>
      <c r="P161" s="86"/>
      <c r="Q161" s="86"/>
      <c r="R161" s="86"/>
      <c r="S161" s="86"/>
    </row>
    <row r="162" spans="1:20" s="85" customFormat="1" x14ac:dyDescent="0.25">
      <c r="A162" s="103">
        <f t="shared" si="15"/>
        <v>0</v>
      </c>
      <c r="B162" s="36" t="str">
        <f t="shared" si="21"/>
        <v/>
      </c>
      <c r="C162" s="37"/>
      <c r="D162" s="37"/>
      <c r="E162" s="37"/>
      <c r="F162" s="37"/>
      <c r="G162" s="86"/>
      <c r="H162" s="93">
        <v>157</v>
      </c>
      <c r="I162" s="94" t="str">
        <f t="shared" si="16"/>
        <v/>
      </c>
      <c r="J162" s="93">
        <f t="shared" si="17"/>
        <v>-3</v>
      </c>
      <c r="K162" s="93">
        <f t="shared" si="18"/>
        <v>-30</v>
      </c>
      <c r="L162" s="93"/>
      <c r="M162" s="92">
        <f t="shared" si="19"/>
        <v>0</v>
      </c>
      <c r="N162" s="92">
        <f t="shared" si="20"/>
        <v>0</v>
      </c>
      <c r="O162" s="86"/>
      <c r="P162" s="86"/>
      <c r="Q162" s="86"/>
      <c r="R162" s="86"/>
      <c r="S162" s="106"/>
      <c r="T162" s="105"/>
    </row>
    <row r="163" spans="1:20" s="85" customFormat="1" x14ac:dyDescent="0.25">
      <c r="A163" s="102">
        <f t="shared" si="15"/>
        <v>0</v>
      </c>
      <c r="B163" s="42" t="str">
        <f t="shared" si="21"/>
        <v/>
      </c>
      <c r="C163" s="43"/>
      <c r="D163" s="43"/>
      <c r="E163" s="43"/>
      <c r="F163" s="43"/>
      <c r="G163" s="86"/>
      <c r="H163" s="98">
        <v>158</v>
      </c>
      <c r="I163" s="99" t="str">
        <f t="shared" si="16"/>
        <v/>
      </c>
      <c r="J163" s="98">
        <f t="shared" si="17"/>
        <v>-3</v>
      </c>
      <c r="K163" s="98">
        <f t="shared" si="18"/>
        <v>-30</v>
      </c>
      <c r="L163" s="98"/>
      <c r="M163" s="97">
        <f t="shared" si="19"/>
        <v>0</v>
      </c>
      <c r="N163" s="97">
        <f t="shared" si="20"/>
        <v>0</v>
      </c>
      <c r="O163" s="86"/>
      <c r="P163" s="86"/>
      <c r="Q163" s="86"/>
      <c r="R163" s="86"/>
      <c r="S163" s="86"/>
    </row>
    <row r="164" spans="1:20" s="85" customFormat="1" x14ac:dyDescent="0.25">
      <c r="A164" s="103">
        <f t="shared" si="15"/>
        <v>0</v>
      </c>
      <c r="B164" s="36" t="str">
        <f t="shared" si="21"/>
        <v/>
      </c>
      <c r="C164" s="37"/>
      <c r="D164" s="37"/>
      <c r="E164" s="37"/>
      <c r="F164" s="37"/>
      <c r="G164" s="86"/>
      <c r="H164" s="93">
        <v>159</v>
      </c>
      <c r="I164" s="94" t="str">
        <f t="shared" si="16"/>
        <v/>
      </c>
      <c r="J164" s="93">
        <f t="shared" si="17"/>
        <v>-3</v>
      </c>
      <c r="K164" s="93">
        <f t="shared" si="18"/>
        <v>-30</v>
      </c>
      <c r="L164" s="93"/>
      <c r="M164" s="92">
        <f t="shared" si="19"/>
        <v>0</v>
      </c>
      <c r="N164" s="92">
        <f t="shared" si="20"/>
        <v>0</v>
      </c>
      <c r="O164" s="86"/>
      <c r="P164" s="86"/>
      <c r="Q164" s="86"/>
      <c r="R164" s="86"/>
      <c r="S164" s="106"/>
      <c r="T164" s="105"/>
    </row>
    <row r="165" spans="1:20" s="85" customFormat="1" x14ac:dyDescent="0.25">
      <c r="A165" s="102">
        <f t="shared" si="15"/>
        <v>0</v>
      </c>
      <c r="B165" s="42" t="str">
        <f t="shared" si="21"/>
        <v/>
      </c>
      <c r="C165" s="43"/>
      <c r="D165" s="43"/>
      <c r="E165" s="43"/>
      <c r="F165" s="43"/>
      <c r="G165" s="86"/>
      <c r="H165" s="98">
        <v>160</v>
      </c>
      <c r="I165" s="99" t="str">
        <f t="shared" si="16"/>
        <v/>
      </c>
      <c r="J165" s="98">
        <f t="shared" si="17"/>
        <v>-3</v>
      </c>
      <c r="K165" s="98">
        <f t="shared" si="18"/>
        <v>-30</v>
      </c>
      <c r="L165" s="98"/>
      <c r="M165" s="97">
        <f t="shared" si="19"/>
        <v>0</v>
      </c>
      <c r="N165" s="97">
        <f t="shared" si="20"/>
        <v>0</v>
      </c>
      <c r="O165" s="86"/>
      <c r="P165" s="86"/>
      <c r="Q165" s="86"/>
      <c r="R165" s="86"/>
      <c r="S165" s="86"/>
    </row>
    <row r="166" spans="1:20" s="85" customFormat="1" x14ac:dyDescent="0.25">
      <c r="A166" s="103">
        <f t="shared" si="15"/>
        <v>0</v>
      </c>
      <c r="B166" s="36" t="str">
        <f t="shared" si="21"/>
        <v/>
      </c>
      <c r="C166" s="37"/>
      <c r="D166" s="37"/>
      <c r="E166" s="37"/>
      <c r="F166" s="37"/>
      <c r="G166" s="86"/>
      <c r="H166" s="93">
        <v>161</v>
      </c>
      <c r="I166" s="94" t="str">
        <f t="shared" si="16"/>
        <v/>
      </c>
      <c r="J166" s="93">
        <f t="shared" si="17"/>
        <v>-3</v>
      </c>
      <c r="K166" s="93">
        <f t="shared" si="18"/>
        <v>-30</v>
      </c>
      <c r="L166" s="93"/>
      <c r="M166" s="92">
        <f t="shared" si="19"/>
        <v>0</v>
      </c>
      <c r="N166" s="92">
        <f t="shared" si="20"/>
        <v>0</v>
      </c>
      <c r="O166" s="86"/>
      <c r="P166" s="86"/>
      <c r="Q166" s="86"/>
      <c r="R166" s="86"/>
      <c r="S166" s="106"/>
      <c r="T166" s="105"/>
    </row>
    <row r="167" spans="1:20" s="85" customFormat="1" x14ac:dyDescent="0.25">
      <c r="A167" s="102">
        <f t="shared" si="15"/>
        <v>0</v>
      </c>
      <c r="B167" s="42" t="str">
        <f t="shared" si="21"/>
        <v/>
      </c>
      <c r="C167" s="43"/>
      <c r="D167" s="43"/>
      <c r="E167" s="43"/>
      <c r="F167" s="43"/>
      <c r="G167" s="86"/>
      <c r="H167" s="98">
        <v>162</v>
      </c>
      <c r="I167" s="99" t="str">
        <f t="shared" si="16"/>
        <v/>
      </c>
      <c r="J167" s="98">
        <f t="shared" si="17"/>
        <v>-3</v>
      </c>
      <c r="K167" s="98">
        <f t="shared" si="18"/>
        <v>-30</v>
      </c>
      <c r="L167" s="98"/>
      <c r="M167" s="97">
        <f t="shared" si="19"/>
        <v>0</v>
      </c>
      <c r="N167" s="97">
        <f t="shared" si="20"/>
        <v>0</v>
      </c>
      <c r="O167" s="86"/>
      <c r="P167" s="86"/>
      <c r="Q167" s="86"/>
      <c r="R167" s="86"/>
      <c r="S167" s="86"/>
    </row>
    <row r="168" spans="1:20" s="85" customFormat="1" x14ac:dyDescent="0.25">
      <c r="A168" s="103">
        <f t="shared" si="15"/>
        <v>0</v>
      </c>
      <c r="B168" s="36" t="str">
        <f t="shared" si="21"/>
        <v/>
      </c>
      <c r="C168" s="37"/>
      <c r="D168" s="37"/>
      <c r="E168" s="37"/>
      <c r="F168" s="37"/>
      <c r="G168" s="86"/>
      <c r="H168" s="93">
        <v>163</v>
      </c>
      <c r="I168" s="94" t="str">
        <f t="shared" si="16"/>
        <v/>
      </c>
      <c r="J168" s="93">
        <f t="shared" si="17"/>
        <v>-3</v>
      </c>
      <c r="K168" s="93">
        <f t="shared" si="18"/>
        <v>-30</v>
      </c>
      <c r="L168" s="93"/>
      <c r="M168" s="92">
        <f t="shared" si="19"/>
        <v>0</v>
      </c>
      <c r="N168" s="92">
        <f t="shared" si="20"/>
        <v>0</v>
      </c>
      <c r="O168" s="86"/>
      <c r="P168" s="86"/>
      <c r="Q168" s="86"/>
      <c r="R168" s="86"/>
      <c r="S168" s="106"/>
      <c r="T168" s="105"/>
    </row>
    <row r="169" spans="1:20" s="85" customFormat="1" x14ac:dyDescent="0.25">
      <c r="A169" s="102">
        <f t="shared" si="15"/>
        <v>0</v>
      </c>
      <c r="B169" s="42" t="str">
        <f t="shared" si="21"/>
        <v/>
      </c>
      <c r="C169" s="43"/>
      <c r="D169" s="43"/>
      <c r="E169" s="43"/>
      <c r="F169" s="43"/>
      <c r="G169" s="86"/>
      <c r="H169" s="98">
        <v>164</v>
      </c>
      <c r="I169" s="99" t="str">
        <f t="shared" si="16"/>
        <v/>
      </c>
      <c r="J169" s="98">
        <f t="shared" si="17"/>
        <v>-3</v>
      </c>
      <c r="K169" s="98">
        <f t="shared" si="18"/>
        <v>-30</v>
      </c>
      <c r="L169" s="98"/>
      <c r="M169" s="97">
        <f t="shared" si="19"/>
        <v>0</v>
      </c>
      <c r="N169" s="97">
        <f t="shared" si="20"/>
        <v>0</v>
      </c>
      <c r="O169" s="86"/>
      <c r="P169" s="86"/>
      <c r="Q169" s="86"/>
      <c r="R169" s="86"/>
      <c r="S169" s="86"/>
    </row>
    <row r="170" spans="1:20" s="85" customFormat="1" x14ac:dyDescent="0.25">
      <c r="A170" s="103">
        <f t="shared" si="15"/>
        <v>0</v>
      </c>
      <c r="B170" s="36" t="str">
        <f t="shared" si="21"/>
        <v/>
      </c>
      <c r="C170" s="37"/>
      <c r="D170" s="37"/>
      <c r="E170" s="37"/>
      <c r="F170" s="37"/>
      <c r="G170" s="86"/>
      <c r="H170" s="93">
        <v>165</v>
      </c>
      <c r="I170" s="94" t="str">
        <f t="shared" si="16"/>
        <v/>
      </c>
      <c r="J170" s="93">
        <f t="shared" si="17"/>
        <v>-3</v>
      </c>
      <c r="K170" s="93">
        <f t="shared" si="18"/>
        <v>-30</v>
      </c>
      <c r="L170" s="93"/>
      <c r="M170" s="92">
        <f t="shared" si="19"/>
        <v>0</v>
      </c>
      <c r="N170" s="92">
        <f t="shared" si="20"/>
        <v>0</v>
      </c>
      <c r="O170" s="86"/>
      <c r="P170" s="86"/>
      <c r="Q170" s="86"/>
      <c r="R170" s="86"/>
      <c r="S170" s="106"/>
      <c r="T170" s="105"/>
    </row>
    <row r="171" spans="1:20" s="85" customFormat="1" x14ac:dyDescent="0.25">
      <c r="A171" s="102">
        <f t="shared" si="15"/>
        <v>0</v>
      </c>
      <c r="B171" s="42" t="str">
        <f t="shared" si="21"/>
        <v/>
      </c>
      <c r="C171" s="43"/>
      <c r="D171" s="43"/>
      <c r="E171" s="43"/>
      <c r="F171" s="43"/>
      <c r="G171" s="86"/>
      <c r="H171" s="98">
        <v>166</v>
      </c>
      <c r="I171" s="99" t="str">
        <f t="shared" si="16"/>
        <v/>
      </c>
      <c r="J171" s="98">
        <f t="shared" si="17"/>
        <v>-3</v>
      </c>
      <c r="K171" s="98">
        <f t="shared" si="18"/>
        <v>-30</v>
      </c>
      <c r="L171" s="98"/>
      <c r="M171" s="97">
        <f t="shared" si="19"/>
        <v>0</v>
      </c>
      <c r="N171" s="97">
        <f t="shared" si="20"/>
        <v>0</v>
      </c>
      <c r="O171" s="86"/>
      <c r="P171" s="86"/>
      <c r="Q171" s="86"/>
      <c r="R171" s="86"/>
      <c r="S171" s="86"/>
    </row>
    <row r="172" spans="1:20" s="85" customFormat="1" x14ac:dyDescent="0.25">
      <c r="A172" s="103">
        <f t="shared" si="15"/>
        <v>0</v>
      </c>
      <c r="B172" s="36" t="str">
        <f t="shared" si="21"/>
        <v/>
      </c>
      <c r="C172" s="37"/>
      <c r="D172" s="37"/>
      <c r="E172" s="37"/>
      <c r="F172" s="37"/>
      <c r="G172" s="86"/>
      <c r="H172" s="93">
        <v>167</v>
      </c>
      <c r="I172" s="94" t="str">
        <f t="shared" si="16"/>
        <v/>
      </c>
      <c r="J172" s="93">
        <f t="shared" si="17"/>
        <v>-3</v>
      </c>
      <c r="K172" s="93">
        <f t="shared" si="18"/>
        <v>-30</v>
      </c>
      <c r="L172" s="93"/>
      <c r="M172" s="92">
        <f t="shared" si="19"/>
        <v>0</v>
      </c>
      <c r="N172" s="92">
        <f t="shared" si="20"/>
        <v>0</v>
      </c>
      <c r="O172" s="86"/>
      <c r="P172" s="86"/>
      <c r="Q172" s="86"/>
      <c r="R172" s="86"/>
      <c r="S172" s="106"/>
      <c r="T172" s="105"/>
    </row>
    <row r="173" spans="1:20" s="85" customFormat="1" x14ac:dyDescent="0.25">
      <c r="A173" s="102">
        <f t="shared" si="15"/>
        <v>0</v>
      </c>
      <c r="B173" s="42" t="str">
        <f t="shared" si="21"/>
        <v/>
      </c>
      <c r="C173" s="43"/>
      <c r="D173" s="43"/>
      <c r="E173" s="43"/>
      <c r="F173" s="43"/>
      <c r="G173" s="86"/>
      <c r="H173" s="98">
        <v>168</v>
      </c>
      <c r="I173" s="99" t="str">
        <f t="shared" si="16"/>
        <v/>
      </c>
      <c r="J173" s="98">
        <f t="shared" si="17"/>
        <v>-3</v>
      </c>
      <c r="K173" s="98">
        <f t="shared" si="18"/>
        <v>-30</v>
      </c>
      <c r="L173" s="98"/>
      <c r="M173" s="97">
        <f t="shared" si="19"/>
        <v>0</v>
      </c>
      <c r="N173" s="97">
        <f t="shared" si="20"/>
        <v>0</v>
      </c>
      <c r="O173" s="86"/>
      <c r="P173" s="86"/>
      <c r="Q173" s="86"/>
      <c r="R173" s="86"/>
      <c r="S173" s="86"/>
    </row>
    <row r="174" spans="1:20" s="85" customFormat="1" x14ac:dyDescent="0.25">
      <c r="A174" s="103">
        <f t="shared" si="15"/>
        <v>0</v>
      </c>
      <c r="B174" s="36" t="str">
        <f t="shared" si="21"/>
        <v/>
      </c>
      <c r="C174" s="37"/>
      <c r="D174" s="37"/>
      <c r="E174" s="37"/>
      <c r="F174" s="37"/>
      <c r="G174" s="86"/>
      <c r="H174" s="93">
        <v>169</v>
      </c>
      <c r="I174" s="94" t="str">
        <f t="shared" si="16"/>
        <v/>
      </c>
      <c r="J174" s="93">
        <f t="shared" si="17"/>
        <v>-3</v>
      </c>
      <c r="K174" s="93">
        <f t="shared" si="18"/>
        <v>-30</v>
      </c>
      <c r="L174" s="93"/>
      <c r="M174" s="92">
        <f t="shared" si="19"/>
        <v>0</v>
      </c>
      <c r="N174" s="92">
        <f t="shared" si="20"/>
        <v>0</v>
      </c>
      <c r="O174" s="86"/>
      <c r="P174" s="86"/>
      <c r="Q174" s="86"/>
      <c r="R174" s="86"/>
      <c r="S174" s="106"/>
      <c r="T174" s="105"/>
    </row>
    <row r="175" spans="1:20" s="85" customFormat="1" x14ac:dyDescent="0.25">
      <c r="A175" s="102">
        <f t="shared" si="15"/>
        <v>0</v>
      </c>
      <c r="B175" s="42" t="str">
        <f t="shared" si="21"/>
        <v/>
      </c>
      <c r="C175" s="43"/>
      <c r="D175" s="43"/>
      <c r="E175" s="43"/>
      <c r="F175" s="43"/>
      <c r="G175" s="86"/>
      <c r="H175" s="98">
        <v>170</v>
      </c>
      <c r="I175" s="99" t="str">
        <f t="shared" si="16"/>
        <v/>
      </c>
      <c r="J175" s="98">
        <f t="shared" si="17"/>
        <v>-3</v>
      </c>
      <c r="K175" s="98">
        <f t="shared" si="18"/>
        <v>-30</v>
      </c>
      <c r="L175" s="98"/>
      <c r="M175" s="97">
        <f t="shared" si="19"/>
        <v>0</v>
      </c>
      <c r="N175" s="97">
        <f t="shared" si="20"/>
        <v>0</v>
      </c>
      <c r="O175" s="86"/>
      <c r="P175" s="86"/>
      <c r="Q175" s="86"/>
      <c r="R175" s="86"/>
      <c r="S175" s="86"/>
    </row>
    <row r="176" spans="1:20" s="85" customFormat="1" x14ac:dyDescent="0.25">
      <c r="A176" s="103">
        <f t="shared" si="15"/>
        <v>0</v>
      </c>
      <c r="B176" s="36" t="str">
        <f t="shared" si="21"/>
        <v/>
      </c>
      <c r="C176" s="37"/>
      <c r="D176" s="37"/>
      <c r="E176" s="37"/>
      <c r="F176" s="37"/>
      <c r="G176" s="86"/>
      <c r="H176" s="93">
        <v>171</v>
      </c>
      <c r="I176" s="94" t="str">
        <f t="shared" si="16"/>
        <v/>
      </c>
      <c r="J176" s="93">
        <f t="shared" si="17"/>
        <v>-3</v>
      </c>
      <c r="K176" s="93">
        <f t="shared" si="18"/>
        <v>-30</v>
      </c>
      <c r="L176" s="93"/>
      <c r="M176" s="92">
        <f t="shared" si="19"/>
        <v>0</v>
      </c>
      <c r="N176" s="92">
        <f t="shared" si="20"/>
        <v>0</v>
      </c>
      <c r="O176" s="86"/>
      <c r="P176" s="86"/>
      <c r="Q176" s="86"/>
      <c r="R176" s="86"/>
      <c r="S176" s="106"/>
      <c r="T176" s="105"/>
    </row>
    <row r="177" spans="1:20" s="85" customFormat="1" x14ac:dyDescent="0.25">
      <c r="A177" s="102">
        <f t="shared" si="15"/>
        <v>0</v>
      </c>
      <c r="B177" s="42" t="str">
        <f t="shared" si="21"/>
        <v/>
      </c>
      <c r="C177" s="43"/>
      <c r="D177" s="43"/>
      <c r="E177" s="43"/>
      <c r="F177" s="43"/>
      <c r="G177" s="86"/>
      <c r="H177" s="98">
        <v>172</v>
      </c>
      <c r="I177" s="99" t="str">
        <f t="shared" si="16"/>
        <v/>
      </c>
      <c r="J177" s="98">
        <f t="shared" si="17"/>
        <v>-3</v>
      </c>
      <c r="K177" s="98">
        <f t="shared" si="18"/>
        <v>-30</v>
      </c>
      <c r="L177" s="98"/>
      <c r="M177" s="97">
        <f t="shared" si="19"/>
        <v>0</v>
      </c>
      <c r="N177" s="97">
        <f t="shared" si="20"/>
        <v>0</v>
      </c>
      <c r="O177" s="86"/>
      <c r="P177" s="86"/>
      <c r="Q177" s="86"/>
      <c r="R177" s="86"/>
      <c r="S177" s="86"/>
    </row>
    <row r="178" spans="1:20" s="85" customFormat="1" x14ac:dyDescent="0.25">
      <c r="A178" s="103">
        <f t="shared" si="15"/>
        <v>0</v>
      </c>
      <c r="B178" s="36" t="str">
        <f t="shared" si="21"/>
        <v/>
      </c>
      <c r="C178" s="37"/>
      <c r="D178" s="37"/>
      <c r="E178" s="37"/>
      <c r="F178" s="37"/>
      <c r="G178" s="86"/>
      <c r="H178" s="93">
        <v>173</v>
      </c>
      <c r="I178" s="94" t="str">
        <f t="shared" si="16"/>
        <v/>
      </c>
      <c r="J178" s="93">
        <f t="shared" si="17"/>
        <v>-3</v>
      </c>
      <c r="K178" s="93">
        <f t="shared" si="18"/>
        <v>-30</v>
      </c>
      <c r="L178" s="93"/>
      <c r="M178" s="92">
        <f t="shared" si="19"/>
        <v>0</v>
      </c>
      <c r="N178" s="92">
        <f t="shared" si="20"/>
        <v>0</v>
      </c>
      <c r="O178" s="86"/>
      <c r="P178" s="86"/>
      <c r="Q178" s="86"/>
      <c r="R178" s="86"/>
      <c r="S178" s="106"/>
      <c r="T178" s="105"/>
    </row>
    <row r="179" spans="1:20" s="85" customFormat="1" x14ac:dyDescent="0.25">
      <c r="A179" s="102">
        <f t="shared" si="15"/>
        <v>0</v>
      </c>
      <c r="B179" s="42" t="str">
        <f t="shared" si="21"/>
        <v/>
      </c>
      <c r="C179" s="43"/>
      <c r="D179" s="43"/>
      <c r="E179" s="43"/>
      <c r="F179" s="43"/>
      <c r="G179" s="86"/>
      <c r="H179" s="98">
        <v>174</v>
      </c>
      <c r="I179" s="99" t="str">
        <f t="shared" si="16"/>
        <v/>
      </c>
      <c r="J179" s="98">
        <f t="shared" si="17"/>
        <v>-3</v>
      </c>
      <c r="K179" s="98">
        <f t="shared" si="18"/>
        <v>-30</v>
      </c>
      <c r="L179" s="98"/>
      <c r="M179" s="97">
        <f t="shared" si="19"/>
        <v>0</v>
      </c>
      <c r="N179" s="97">
        <f t="shared" si="20"/>
        <v>0</v>
      </c>
      <c r="O179" s="86"/>
      <c r="P179" s="86"/>
      <c r="Q179" s="86"/>
      <c r="R179" s="86"/>
      <c r="S179" s="86"/>
    </row>
    <row r="180" spans="1:20" s="85" customFormat="1" x14ac:dyDescent="0.25">
      <c r="A180" s="103">
        <f t="shared" si="15"/>
        <v>0</v>
      </c>
      <c r="B180" s="36" t="str">
        <f t="shared" si="21"/>
        <v/>
      </c>
      <c r="C180" s="37"/>
      <c r="D180" s="37"/>
      <c r="E180" s="37"/>
      <c r="F180" s="37"/>
      <c r="G180" s="86"/>
      <c r="H180" s="93">
        <v>175</v>
      </c>
      <c r="I180" s="94" t="str">
        <f t="shared" si="16"/>
        <v/>
      </c>
      <c r="J180" s="93">
        <f t="shared" si="17"/>
        <v>-3</v>
      </c>
      <c r="K180" s="93">
        <f t="shared" si="18"/>
        <v>-30</v>
      </c>
      <c r="L180" s="93"/>
      <c r="M180" s="92">
        <f t="shared" si="19"/>
        <v>0</v>
      </c>
      <c r="N180" s="92">
        <f t="shared" si="20"/>
        <v>0</v>
      </c>
      <c r="O180" s="86"/>
      <c r="P180" s="86"/>
      <c r="Q180" s="86"/>
      <c r="R180" s="86"/>
      <c r="S180" s="106"/>
      <c r="T180" s="105"/>
    </row>
    <row r="181" spans="1:20" s="85" customFormat="1" x14ac:dyDescent="0.25">
      <c r="A181" s="102">
        <f t="shared" si="15"/>
        <v>0</v>
      </c>
      <c r="B181" s="42" t="str">
        <f t="shared" si="21"/>
        <v/>
      </c>
      <c r="C181" s="43"/>
      <c r="D181" s="43"/>
      <c r="E181" s="43"/>
      <c r="F181" s="43"/>
      <c r="G181" s="86"/>
      <c r="H181" s="98">
        <v>176</v>
      </c>
      <c r="I181" s="99" t="str">
        <f t="shared" si="16"/>
        <v/>
      </c>
      <c r="J181" s="98">
        <f t="shared" si="17"/>
        <v>-3</v>
      </c>
      <c r="K181" s="98">
        <f t="shared" si="18"/>
        <v>-30</v>
      </c>
      <c r="L181" s="98"/>
      <c r="M181" s="97">
        <f t="shared" si="19"/>
        <v>0</v>
      </c>
      <c r="N181" s="97">
        <f t="shared" si="20"/>
        <v>0</v>
      </c>
      <c r="O181" s="86"/>
      <c r="P181" s="86"/>
      <c r="Q181" s="86"/>
      <c r="R181" s="86"/>
      <c r="S181" s="86"/>
    </row>
    <row r="182" spans="1:20" s="85" customFormat="1" x14ac:dyDescent="0.25">
      <c r="A182" s="103">
        <f t="shared" si="15"/>
        <v>0</v>
      </c>
      <c r="B182" s="36" t="str">
        <f t="shared" si="21"/>
        <v/>
      </c>
      <c r="C182" s="37"/>
      <c r="D182" s="37"/>
      <c r="E182" s="37"/>
      <c r="F182" s="37"/>
      <c r="G182" s="86"/>
      <c r="H182" s="93">
        <v>177</v>
      </c>
      <c r="I182" s="94" t="str">
        <f t="shared" si="16"/>
        <v/>
      </c>
      <c r="J182" s="93">
        <f t="shared" si="17"/>
        <v>-3</v>
      </c>
      <c r="K182" s="93">
        <f t="shared" si="18"/>
        <v>-30</v>
      </c>
      <c r="L182" s="93"/>
      <c r="M182" s="92">
        <f t="shared" si="19"/>
        <v>0</v>
      </c>
      <c r="N182" s="92">
        <f t="shared" si="20"/>
        <v>0</v>
      </c>
      <c r="O182" s="86"/>
      <c r="P182" s="86"/>
      <c r="Q182" s="86"/>
      <c r="R182" s="86"/>
      <c r="S182" s="106"/>
      <c r="T182" s="105"/>
    </row>
    <row r="183" spans="1:20" s="85" customFormat="1" x14ac:dyDescent="0.25">
      <c r="A183" s="102">
        <f t="shared" si="15"/>
        <v>0</v>
      </c>
      <c r="B183" s="42" t="str">
        <f t="shared" si="21"/>
        <v/>
      </c>
      <c r="C183" s="43"/>
      <c r="D183" s="43"/>
      <c r="E183" s="43"/>
      <c r="F183" s="43"/>
      <c r="G183" s="86"/>
      <c r="H183" s="98">
        <v>178</v>
      </c>
      <c r="I183" s="99" t="str">
        <f t="shared" si="16"/>
        <v/>
      </c>
      <c r="J183" s="98">
        <f t="shared" si="17"/>
        <v>-3</v>
      </c>
      <c r="K183" s="98">
        <f t="shared" si="18"/>
        <v>-30</v>
      </c>
      <c r="L183" s="98"/>
      <c r="M183" s="97">
        <f t="shared" si="19"/>
        <v>0</v>
      </c>
      <c r="N183" s="97">
        <f t="shared" si="20"/>
        <v>0</v>
      </c>
      <c r="O183" s="86"/>
      <c r="P183" s="86"/>
      <c r="Q183" s="86"/>
      <c r="R183" s="86"/>
      <c r="S183" s="86"/>
    </row>
    <row r="184" spans="1:20" s="85" customFormat="1" x14ac:dyDescent="0.25">
      <c r="A184" s="103">
        <f t="shared" si="15"/>
        <v>0</v>
      </c>
      <c r="B184" s="36" t="str">
        <f t="shared" si="21"/>
        <v/>
      </c>
      <c r="C184" s="37"/>
      <c r="D184" s="37"/>
      <c r="E184" s="37"/>
      <c r="F184" s="37"/>
      <c r="G184" s="86"/>
      <c r="H184" s="93">
        <v>179</v>
      </c>
      <c r="I184" s="94" t="str">
        <f t="shared" si="16"/>
        <v/>
      </c>
      <c r="J184" s="93">
        <f t="shared" si="17"/>
        <v>-3</v>
      </c>
      <c r="K184" s="93">
        <f t="shared" si="18"/>
        <v>-30</v>
      </c>
      <c r="L184" s="93"/>
      <c r="M184" s="92">
        <f t="shared" si="19"/>
        <v>0</v>
      </c>
      <c r="N184" s="92">
        <f t="shared" si="20"/>
        <v>0</v>
      </c>
      <c r="O184" s="86"/>
      <c r="P184" s="86"/>
      <c r="Q184" s="86"/>
      <c r="R184" s="86"/>
      <c r="S184" s="106"/>
      <c r="T184" s="105"/>
    </row>
    <row r="185" spans="1:20" s="85" customFormat="1" x14ac:dyDescent="0.25">
      <c r="A185" s="102">
        <f t="shared" si="15"/>
        <v>0</v>
      </c>
      <c r="B185" s="42" t="str">
        <f t="shared" si="21"/>
        <v/>
      </c>
      <c r="C185" s="43"/>
      <c r="D185" s="43"/>
      <c r="E185" s="43"/>
      <c r="F185" s="43"/>
      <c r="G185" s="86"/>
      <c r="H185" s="98">
        <v>180</v>
      </c>
      <c r="I185" s="99" t="str">
        <f t="shared" si="16"/>
        <v/>
      </c>
      <c r="J185" s="98">
        <f t="shared" si="17"/>
        <v>-3</v>
      </c>
      <c r="K185" s="98">
        <f t="shared" si="18"/>
        <v>-30</v>
      </c>
      <c r="L185" s="98"/>
      <c r="M185" s="97">
        <f t="shared" si="19"/>
        <v>0</v>
      </c>
      <c r="N185" s="97">
        <f t="shared" si="20"/>
        <v>0</v>
      </c>
      <c r="O185" s="86"/>
      <c r="P185" s="86"/>
      <c r="Q185" s="86"/>
      <c r="R185" s="86"/>
      <c r="S185" s="86"/>
    </row>
    <row r="186" spans="1:20" s="85" customFormat="1" x14ac:dyDescent="0.25">
      <c r="A186" s="103">
        <f t="shared" si="15"/>
        <v>0</v>
      </c>
      <c r="B186" s="36" t="str">
        <f t="shared" si="21"/>
        <v/>
      </c>
      <c r="C186" s="37"/>
      <c r="D186" s="37"/>
      <c r="E186" s="37"/>
      <c r="F186" s="37"/>
      <c r="G186" s="86"/>
      <c r="H186" s="93">
        <v>181</v>
      </c>
      <c r="I186" s="94" t="str">
        <f t="shared" si="16"/>
        <v/>
      </c>
      <c r="J186" s="93">
        <f t="shared" si="17"/>
        <v>-3</v>
      </c>
      <c r="K186" s="93">
        <f t="shared" si="18"/>
        <v>-30</v>
      </c>
      <c r="L186" s="93"/>
      <c r="M186" s="92">
        <f t="shared" si="19"/>
        <v>0</v>
      </c>
      <c r="N186" s="92">
        <f t="shared" si="20"/>
        <v>0</v>
      </c>
      <c r="O186" s="86"/>
      <c r="P186" s="86"/>
      <c r="Q186" s="86"/>
      <c r="R186" s="86"/>
      <c r="S186" s="106"/>
      <c r="T186" s="105"/>
    </row>
    <row r="187" spans="1:20" s="85" customFormat="1" x14ac:dyDescent="0.25">
      <c r="A187" s="102">
        <f t="shared" si="15"/>
        <v>0</v>
      </c>
      <c r="B187" s="42" t="str">
        <f t="shared" si="21"/>
        <v/>
      </c>
      <c r="C187" s="43"/>
      <c r="D187" s="43"/>
      <c r="E187" s="43"/>
      <c r="F187" s="43"/>
      <c r="G187" s="86"/>
      <c r="H187" s="98">
        <v>182</v>
      </c>
      <c r="I187" s="99" t="str">
        <f t="shared" si="16"/>
        <v/>
      </c>
      <c r="J187" s="98">
        <f t="shared" si="17"/>
        <v>-3</v>
      </c>
      <c r="K187" s="98">
        <f t="shared" si="18"/>
        <v>-30</v>
      </c>
      <c r="L187" s="98"/>
      <c r="M187" s="97">
        <f t="shared" si="19"/>
        <v>0</v>
      </c>
      <c r="N187" s="97">
        <f t="shared" si="20"/>
        <v>0</v>
      </c>
      <c r="O187" s="86"/>
      <c r="P187" s="86"/>
      <c r="Q187" s="86"/>
      <c r="R187" s="86"/>
      <c r="S187" s="86"/>
    </row>
    <row r="188" spans="1:20" s="85" customFormat="1" x14ac:dyDescent="0.25">
      <c r="A188" s="103">
        <f t="shared" si="15"/>
        <v>0</v>
      </c>
      <c r="B188" s="36" t="str">
        <f t="shared" si="21"/>
        <v/>
      </c>
      <c r="C188" s="37"/>
      <c r="D188" s="37"/>
      <c r="E188" s="37"/>
      <c r="F188" s="37"/>
      <c r="G188" s="86"/>
      <c r="H188" s="93">
        <v>183</v>
      </c>
      <c r="I188" s="94" t="str">
        <f t="shared" si="16"/>
        <v/>
      </c>
      <c r="J188" s="93">
        <f t="shared" si="17"/>
        <v>-3</v>
      </c>
      <c r="K188" s="93">
        <f t="shared" si="18"/>
        <v>-30</v>
      </c>
      <c r="L188" s="93"/>
      <c r="M188" s="92">
        <f t="shared" si="19"/>
        <v>0</v>
      </c>
      <c r="N188" s="92">
        <f t="shared" si="20"/>
        <v>0</v>
      </c>
      <c r="O188" s="86"/>
      <c r="P188" s="86"/>
      <c r="Q188" s="86"/>
      <c r="R188" s="86"/>
      <c r="S188" s="106"/>
      <c r="T188" s="105"/>
    </row>
    <row r="189" spans="1:20" s="85" customFormat="1" x14ac:dyDescent="0.25">
      <c r="A189" s="102">
        <f t="shared" si="15"/>
        <v>0</v>
      </c>
      <c r="B189" s="42" t="str">
        <f t="shared" si="21"/>
        <v/>
      </c>
      <c r="C189" s="43"/>
      <c r="D189" s="43"/>
      <c r="E189" s="43"/>
      <c r="F189" s="43"/>
      <c r="G189" s="86"/>
      <c r="H189" s="98">
        <v>184</v>
      </c>
      <c r="I189" s="99" t="str">
        <f t="shared" si="16"/>
        <v/>
      </c>
      <c r="J189" s="98">
        <f t="shared" si="17"/>
        <v>-3</v>
      </c>
      <c r="K189" s="98">
        <f t="shared" si="18"/>
        <v>-30</v>
      </c>
      <c r="L189" s="98"/>
      <c r="M189" s="97">
        <f t="shared" si="19"/>
        <v>0</v>
      </c>
      <c r="N189" s="97">
        <f t="shared" si="20"/>
        <v>0</v>
      </c>
      <c r="O189" s="86"/>
      <c r="P189" s="86"/>
      <c r="Q189" s="86"/>
      <c r="R189" s="86"/>
      <c r="S189" s="86"/>
    </row>
    <row r="190" spans="1:20" s="85" customFormat="1" x14ac:dyDescent="0.25">
      <c r="A190" s="103">
        <f t="shared" si="15"/>
        <v>0</v>
      </c>
      <c r="B190" s="36" t="str">
        <f t="shared" si="21"/>
        <v/>
      </c>
      <c r="C190" s="37"/>
      <c r="D190" s="37"/>
      <c r="E190" s="37"/>
      <c r="F190" s="37"/>
      <c r="G190" s="86"/>
      <c r="H190" s="93">
        <v>185</v>
      </c>
      <c r="I190" s="94" t="str">
        <f t="shared" si="16"/>
        <v/>
      </c>
      <c r="J190" s="93">
        <f t="shared" si="17"/>
        <v>-3</v>
      </c>
      <c r="K190" s="93">
        <f t="shared" si="18"/>
        <v>-30</v>
      </c>
      <c r="L190" s="93"/>
      <c r="M190" s="92">
        <f t="shared" si="19"/>
        <v>0</v>
      </c>
      <c r="N190" s="92">
        <f t="shared" si="20"/>
        <v>0</v>
      </c>
      <c r="O190" s="86"/>
      <c r="P190" s="86"/>
      <c r="Q190" s="86"/>
      <c r="R190" s="86"/>
      <c r="S190" s="106"/>
      <c r="T190" s="105"/>
    </row>
    <row r="191" spans="1:20" s="85" customFormat="1" x14ac:dyDescent="0.25">
      <c r="A191" s="102">
        <f t="shared" si="15"/>
        <v>0</v>
      </c>
      <c r="B191" s="42" t="str">
        <f t="shared" si="21"/>
        <v/>
      </c>
      <c r="C191" s="43"/>
      <c r="D191" s="43"/>
      <c r="E191" s="43"/>
      <c r="F191" s="43"/>
      <c r="G191" s="86"/>
      <c r="H191" s="98">
        <v>186</v>
      </c>
      <c r="I191" s="99" t="str">
        <f t="shared" si="16"/>
        <v/>
      </c>
      <c r="J191" s="98">
        <f t="shared" si="17"/>
        <v>-3</v>
      </c>
      <c r="K191" s="98">
        <f t="shared" si="18"/>
        <v>-30</v>
      </c>
      <c r="L191" s="98"/>
      <c r="M191" s="97">
        <f t="shared" si="19"/>
        <v>0</v>
      </c>
      <c r="N191" s="97">
        <f t="shared" si="20"/>
        <v>0</v>
      </c>
      <c r="O191" s="86"/>
      <c r="P191" s="86"/>
      <c r="Q191" s="86"/>
      <c r="R191" s="86"/>
      <c r="S191" s="86"/>
    </row>
    <row r="192" spans="1:20" s="85" customFormat="1" x14ac:dyDescent="0.25">
      <c r="A192" s="103">
        <f t="shared" si="15"/>
        <v>0</v>
      </c>
      <c r="B192" s="36" t="str">
        <f t="shared" si="21"/>
        <v/>
      </c>
      <c r="C192" s="37"/>
      <c r="D192" s="37"/>
      <c r="E192" s="37"/>
      <c r="F192" s="37"/>
      <c r="G192" s="86"/>
      <c r="H192" s="93">
        <v>187</v>
      </c>
      <c r="I192" s="94" t="str">
        <f t="shared" si="16"/>
        <v/>
      </c>
      <c r="J192" s="93">
        <f t="shared" si="17"/>
        <v>-3</v>
      </c>
      <c r="K192" s="93">
        <f t="shared" si="18"/>
        <v>-30</v>
      </c>
      <c r="L192" s="93"/>
      <c r="M192" s="92">
        <f t="shared" si="19"/>
        <v>0</v>
      </c>
      <c r="N192" s="92">
        <f t="shared" si="20"/>
        <v>0</v>
      </c>
      <c r="O192" s="86"/>
      <c r="P192" s="86"/>
      <c r="Q192" s="86"/>
      <c r="R192" s="86"/>
      <c r="S192" s="106"/>
      <c r="T192" s="105"/>
    </row>
    <row r="193" spans="1:20" s="85" customFormat="1" x14ac:dyDescent="0.25">
      <c r="A193" s="102">
        <f t="shared" si="15"/>
        <v>0</v>
      </c>
      <c r="B193" s="42" t="str">
        <f t="shared" si="21"/>
        <v/>
      </c>
      <c r="C193" s="43"/>
      <c r="D193" s="43"/>
      <c r="E193" s="43"/>
      <c r="F193" s="43"/>
      <c r="G193" s="86"/>
      <c r="H193" s="98">
        <v>188</v>
      </c>
      <c r="I193" s="99" t="str">
        <f t="shared" si="16"/>
        <v/>
      </c>
      <c r="J193" s="98">
        <f t="shared" si="17"/>
        <v>-3</v>
      </c>
      <c r="K193" s="98">
        <f t="shared" si="18"/>
        <v>-30</v>
      </c>
      <c r="L193" s="98"/>
      <c r="M193" s="97">
        <f t="shared" si="19"/>
        <v>0</v>
      </c>
      <c r="N193" s="97">
        <f t="shared" si="20"/>
        <v>0</v>
      </c>
      <c r="O193" s="86"/>
      <c r="P193" s="86"/>
      <c r="Q193" s="86"/>
      <c r="R193" s="86"/>
      <c r="S193" s="86"/>
    </row>
    <row r="194" spans="1:20" s="85" customFormat="1" x14ac:dyDescent="0.25">
      <c r="A194" s="103">
        <f t="shared" si="15"/>
        <v>0</v>
      </c>
      <c r="B194" s="36" t="str">
        <f t="shared" si="21"/>
        <v/>
      </c>
      <c r="C194" s="37"/>
      <c r="D194" s="37"/>
      <c r="E194" s="37"/>
      <c r="F194" s="37"/>
      <c r="G194" s="86"/>
      <c r="H194" s="93">
        <v>189</v>
      </c>
      <c r="I194" s="94" t="str">
        <f t="shared" si="16"/>
        <v/>
      </c>
      <c r="J194" s="93">
        <f t="shared" si="17"/>
        <v>-3</v>
      </c>
      <c r="K194" s="93">
        <f t="shared" si="18"/>
        <v>-30</v>
      </c>
      <c r="L194" s="93"/>
      <c r="M194" s="92">
        <f t="shared" si="19"/>
        <v>0</v>
      </c>
      <c r="N194" s="92">
        <f t="shared" si="20"/>
        <v>0</v>
      </c>
      <c r="O194" s="86"/>
      <c r="P194" s="86"/>
      <c r="Q194" s="86"/>
      <c r="R194" s="86"/>
      <c r="S194" s="106"/>
      <c r="T194" s="105"/>
    </row>
    <row r="195" spans="1:20" s="85" customFormat="1" x14ac:dyDescent="0.25">
      <c r="A195" s="102">
        <f t="shared" si="15"/>
        <v>0</v>
      </c>
      <c r="B195" s="42" t="str">
        <f t="shared" si="21"/>
        <v/>
      </c>
      <c r="C195" s="43"/>
      <c r="D195" s="43"/>
      <c r="E195" s="43"/>
      <c r="F195" s="43"/>
      <c r="G195" s="86"/>
      <c r="H195" s="98">
        <v>190</v>
      </c>
      <c r="I195" s="99" t="str">
        <f t="shared" si="16"/>
        <v/>
      </c>
      <c r="J195" s="98">
        <f t="shared" si="17"/>
        <v>-3</v>
      </c>
      <c r="K195" s="98">
        <f t="shared" si="18"/>
        <v>-30</v>
      </c>
      <c r="L195" s="98"/>
      <c r="M195" s="97">
        <f t="shared" si="19"/>
        <v>0</v>
      </c>
      <c r="N195" s="97">
        <f t="shared" si="20"/>
        <v>0</v>
      </c>
      <c r="O195" s="86"/>
      <c r="P195" s="86"/>
      <c r="Q195" s="86"/>
      <c r="R195" s="86"/>
      <c r="S195" s="86"/>
    </row>
    <row r="196" spans="1:20" s="85" customFormat="1" x14ac:dyDescent="0.25">
      <c r="A196" s="103">
        <f t="shared" si="15"/>
        <v>0</v>
      </c>
      <c r="B196" s="36" t="str">
        <f t="shared" si="21"/>
        <v/>
      </c>
      <c r="C196" s="37" t="s">
        <v>42</v>
      </c>
      <c r="D196" s="37"/>
      <c r="E196" s="37"/>
      <c r="F196" s="37"/>
      <c r="G196" s="86"/>
      <c r="H196" s="93">
        <v>191</v>
      </c>
      <c r="I196" s="94" t="str">
        <f t="shared" si="16"/>
        <v/>
      </c>
      <c r="J196" s="93">
        <f t="shared" si="17"/>
        <v>-3</v>
      </c>
      <c r="K196" s="93">
        <f t="shared" si="18"/>
        <v>-30</v>
      </c>
      <c r="L196" s="93"/>
      <c r="M196" s="92">
        <f t="shared" si="19"/>
        <v>0</v>
      </c>
      <c r="N196" s="92">
        <f t="shared" si="20"/>
        <v>0</v>
      </c>
      <c r="O196" s="86"/>
      <c r="P196" s="86"/>
      <c r="Q196" s="86"/>
      <c r="R196" s="86"/>
      <c r="S196" s="106"/>
      <c r="T196" s="105"/>
    </row>
    <row r="197" spans="1:20" s="85" customFormat="1" x14ac:dyDescent="0.25">
      <c r="A197" s="102">
        <f t="shared" si="15"/>
        <v>0</v>
      </c>
      <c r="B197" s="42" t="str">
        <f t="shared" si="21"/>
        <v/>
      </c>
      <c r="C197" s="43" t="s">
        <v>42</v>
      </c>
      <c r="D197" s="43"/>
      <c r="E197" s="43"/>
      <c r="F197" s="43"/>
      <c r="G197" s="86"/>
      <c r="H197" s="98">
        <v>192</v>
      </c>
      <c r="I197" s="99" t="str">
        <f t="shared" si="16"/>
        <v/>
      </c>
      <c r="J197" s="98">
        <f t="shared" si="17"/>
        <v>-3</v>
      </c>
      <c r="K197" s="98">
        <f t="shared" si="18"/>
        <v>-30</v>
      </c>
      <c r="L197" s="98"/>
      <c r="M197" s="97">
        <f t="shared" si="19"/>
        <v>0</v>
      </c>
      <c r="N197" s="97">
        <f t="shared" si="20"/>
        <v>0</v>
      </c>
      <c r="O197" s="86"/>
      <c r="P197" s="86"/>
      <c r="Q197" s="86"/>
      <c r="R197" s="86"/>
      <c r="S197" s="86"/>
    </row>
    <row r="198" spans="1:20" s="85" customFormat="1" x14ac:dyDescent="0.25">
      <c r="A198" s="103">
        <f t="shared" ref="A198:A261" si="22">N198</f>
        <v>0</v>
      </c>
      <c r="B198" s="36" t="str">
        <f t="shared" si="21"/>
        <v/>
      </c>
      <c r="C198" s="37" t="s">
        <v>42</v>
      </c>
      <c r="D198" s="37"/>
      <c r="E198" s="37"/>
      <c r="F198" s="37"/>
      <c r="G198" s="86"/>
      <c r="H198" s="93">
        <v>193</v>
      </c>
      <c r="I198" s="94" t="str">
        <f t="shared" ref="I198:I261" si="23">IF(H198&lt;$H$2+1,($I$2-($I$2-1)*(LOG(H198)/LOG($H$2))),"")</f>
        <v/>
      </c>
      <c r="J198" s="93">
        <f t="shared" ref="J198:J261" si="24">INT(LOG($H$2,2))-ROUNDUP(LOG(H198,2),0)+IF(OR($H$2=1,$H$2=2,$H$2=4,$H$2=8,$H$2=16,$H$2=32,$H$2=64,$H$2=128,$H$2=256),0,1)</f>
        <v>-3</v>
      </c>
      <c r="K198" s="93">
        <f t="shared" ref="K198:K261" si="25">J198*$J$2</f>
        <v>-30</v>
      </c>
      <c r="L198" s="93"/>
      <c r="M198" s="92">
        <f t="shared" ref="M198:M261" si="26">IF(I198&lt;&gt;"",K198+I198+L198,0)</f>
        <v>0</v>
      </c>
      <c r="N198" s="92">
        <f t="shared" ref="N198:N261" si="27">IF(I198&lt;&gt;"",M198*L$2,0)</f>
        <v>0</v>
      </c>
      <c r="O198" s="86"/>
      <c r="P198" s="86"/>
      <c r="Q198" s="86"/>
      <c r="R198" s="86"/>
      <c r="S198" s="106"/>
      <c r="T198" s="105"/>
    </row>
    <row r="199" spans="1:20" s="85" customFormat="1" x14ac:dyDescent="0.25">
      <c r="A199" s="102">
        <f t="shared" si="22"/>
        <v>0</v>
      </c>
      <c r="B199" s="42" t="str">
        <f t="shared" si="21"/>
        <v/>
      </c>
      <c r="C199" s="43" t="s">
        <v>42</v>
      </c>
      <c r="D199" s="43"/>
      <c r="E199" s="43"/>
      <c r="F199" s="43"/>
      <c r="G199" s="86"/>
      <c r="H199" s="98">
        <v>194</v>
      </c>
      <c r="I199" s="99" t="str">
        <f t="shared" si="23"/>
        <v/>
      </c>
      <c r="J199" s="98">
        <f t="shared" si="24"/>
        <v>-3</v>
      </c>
      <c r="K199" s="98">
        <f t="shared" si="25"/>
        <v>-30</v>
      </c>
      <c r="L199" s="98"/>
      <c r="M199" s="97">
        <f t="shared" si="26"/>
        <v>0</v>
      </c>
      <c r="N199" s="97">
        <f t="shared" si="27"/>
        <v>0</v>
      </c>
      <c r="O199" s="86"/>
      <c r="P199" s="86"/>
      <c r="Q199" s="86"/>
      <c r="R199" s="86"/>
      <c r="S199" s="86"/>
    </row>
    <row r="200" spans="1:20" s="85" customFormat="1" x14ac:dyDescent="0.25">
      <c r="A200" s="103">
        <f t="shared" si="22"/>
        <v>0</v>
      </c>
      <c r="B200" s="36" t="str">
        <f t="shared" si="21"/>
        <v/>
      </c>
      <c r="C200" s="37" t="s">
        <v>42</v>
      </c>
      <c r="D200" s="37"/>
      <c r="E200" s="37"/>
      <c r="F200" s="37"/>
      <c r="G200" s="86"/>
      <c r="H200" s="93">
        <v>195</v>
      </c>
      <c r="I200" s="94" t="str">
        <f t="shared" si="23"/>
        <v/>
      </c>
      <c r="J200" s="93">
        <f t="shared" si="24"/>
        <v>-3</v>
      </c>
      <c r="K200" s="93">
        <f t="shared" si="25"/>
        <v>-30</v>
      </c>
      <c r="L200" s="93"/>
      <c r="M200" s="92">
        <f t="shared" si="26"/>
        <v>0</v>
      </c>
      <c r="N200" s="92">
        <f t="shared" si="27"/>
        <v>0</v>
      </c>
      <c r="O200" s="86"/>
      <c r="P200" s="86"/>
      <c r="Q200" s="86"/>
      <c r="R200" s="86"/>
      <c r="S200" s="106"/>
      <c r="T200" s="105"/>
    </row>
    <row r="201" spans="1:20" s="85" customFormat="1" x14ac:dyDescent="0.25">
      <c r="A201" s="102">
        <f t="shared" si="22"/>
        <v>0</v>
      </c>
      <c r="B201" s="42" t="str">
        <f t="shared" si="21"/>
        <v/>
      </c>
      <c r="C201" s="43" t="s">
        <v>42</v>
      </c>
      <c r="D201" s="43"/>
      <c r="E201" s="43"/>
      <c r="F201" s="43"/>
      <c r="G201" s="86"/>
      <c r="H201" s="98">
        <v>196</v>
      </c>
      <c r="I201" s="99" t="str">
        <f t="shared" si="23"/>
        <v/>
      </c>
      <c r="J201" s="98">
        <f t="shared" si="24"/>
        <v>-3</v>
      </c>
      <c r="K201" s="98">
        <f t="shared" si="25"/>
        <v>-30</v>
      </c>
      <c r="L201" s="98"/>
      <c r="M201" s="97">
        <f t="shared" si="26"/>
        <v>0</v>
      </c>
      <c r="N201" s="97">
        <f t="shared" si="27"/>
        <v>0</v>
      </c>
      <c r="O201" s="86"/>
      <c r="P201" s="86"/>
      <c r="Q201" s="86"/>
      <c r="R201" s="86"/>
      <c r="S201" s="86"/>
    </row>
    <row r="202" spans="1:20" s="85" customFormat="1" x14ac:dyDescent="0.25">
      <c r="A202" s="103">
        <f t="shared" si="22"/>
        <v>0</v>
      </c>
      <c r="B202" s="36" t="str">
        <f t="shared" ref="B202:B250" si="28">IF(H202&gt;$H$2,"",(ROW()-5))</f>
        <v/>
      </c>
      <c r="C202" s="37" t="s">
        <v>42</v>
      </c>
      <c r="D202" s="37"/>
      <c r="E202" s="37"/>
      <c r="F202" s="37"/>
      <c r="G202" s="86"/>
      <c r="H202" s="93">
        <v>197</v>
      </c>
      <c r="I202" s="94" t="str">
        <f t="shared" si="23"/>
        <v/>
      </c>
      <c r="J202" s="93">
        <f t="shared" si="24"/>
        <v>-3</v>
      </c>
      <c r="K202" s="93">
        <f t="shared" si="25"/>
        <v>-30</v>
      </c>
      <c r="L202" s="93"/>
      <c r="M202" s="92">
        <f t="shared" si="26"/>
        <v>0</v>
      </c>
      <c r="N202" s="92">
        <f t="shared" si="27"/>
        <v>0</v>
      </c>
      <c r="O202" s="86"/>
      <c r="P202" s="86"/>
      <c r="Q202" s="86"/>
      <c r="R202" s="86"/>
      <c r="S202" s="106"/>
      <c r="T202" s="105"/>
    </row>
    <row r="203" spans="1:20" s="85" customFormat="1" x14ac:dyDescent="0.25">
      <c r="A203" s="102">
        <f t="shared" si="22"/>
        <v>0</v>
      </c>
      <c r="B203" s="42" t="str">
        <f t="shared" si="28"/>
        <v/>
      </c>
      <c r="C203" s="43" t="s">
        <v>42</v>
      </c>
      <c r="D203" s="43"/>
      <c r="E203" s="43"/>
      <c r="F203" s="43"/>
      <c r="G203" s="86"/>
      <c r="H203" s="98">
        <v>198</v>
      </c>
      <c r="I203" s="99" t="str">
        <f t="shared" si="23"/>
        <v/>
      </c>
      <c r="J203" s="98">
        <f t="shared" si="24"/>
        <v>-3</v>
      </c>
      <c r="K203" s="98">
        <f t="shared" si="25"/>
        <v>-30</v>
      </c>
      <c r="L203" s="98"/>
      <c r="M203" s="97">
        <f t="shared" si="26"/>
        <v>0</v>
      </c>
      <c r="N203" s="97">
        <f t="shared" si="27"/>
        <v>0</v>
      </c>
      <c r="O203" s="86"/>
      <c r="P203" s="86"/>
      <c r="Q203" s="86"/>
      <c r="R203" s="86"/>
      <c r="S203" s="86"/>
    </row>
    <row r="204" spans="1:20" s="85" customFormat="1" x14ac:dyDescent="0.25">
      <c r="A204" s="103">
        <f t="shared" si="22"/>
        <v>0</v>
      </c>
      <c r="B204" s="36" t="str">
        <f t="shared" si="28"/>
        <v/>
      </c>
      <c r="C204" s="37" t="s">
        <v>42</v>
      </c>
      <c r="D204" s="37"/>
      <c r="E204" s="37"/>
      <c r="F204" s="37"/>
      <c r="G204" s="86"/>
      <c r="H204" s="93">
        <v>199</v>
      </c>
      <c r="I204" s="94" t="str">
        <f t="shared" si="23"/>
        <v/>
      </c>
      <c r="J204" s="93">
        <f t="shared" si="24"/>
        <v>-3</v>
      </c>
      <c r="K204" s="93">
        <f t="shared" si="25"/>
        <v>-30</v>
      </c>
      <c r="L204" s="93"/>
      <c r="M204" s="92">
        <f t="shared" si="26"/>
        <v>0</v>
      </c>
      <c r="N204" s="92">
        <f t="shared" si="27"/>
        <v>0</v>
      </c>
      <c r="O204" s="86"/>
      <c r="P204" s="86"/>
      <c r="Q204" s="86"/>
      <c r="R204" s="86"/>
      <c r="S204" s="106"/>
      <c r="T204" s="105"/>
    </row>
    <row r="205" spans="1:20" s="85" customFormat="1" x14ac:dyDescent="0.25">
      <c r="A205" s="102">
        <f t="shared" si="22"/>
        <v>0</v>
      </c>
      <c r="B205" s="42" t="str">
        <f t="shared" si="28"/>
        <v/>
      </c>
      <c r="C205" s="43" t="s">
        <v>42</v>
      </c>
      <c r="D205" s="43"/>
      <c r="E205" s="43"/>
      <c r="F205" s="43"/>
      <c r="G205" s="86"/>
      <c r="H205" s="98">
        <v>200</v>
      </c>
      <c r="I205" s="99" t="str">
        <f t="shared" si="23"/>
        <v/>
      </c>
      <c r="J205" s="98">
        <f t="shared" si="24"/>
        <v>-3</v>
      </c>
      <c r="K205" s="98">
        <f t="shared" si="25"/>
        <v>-30</v>
      </c>
      <c r="L205" s="98"/>
      <c r="M205" s="97">
        <f t="shared" si="26"/>
        <v>0</v>
      </c>
      <c r="N205" s="97">
        <f t="shared" si="27"/>
        <v>0</v>
      </c>
      <c r="O205" s="86"/>
      <c r="P205" s="86"/>
      <c r="Q205" s="86"/>
      <c r="R205" s="86"/>
      <c r="S205" s="86"/>
    </row>
    <row r="206" spans="1:20" s="85" customFormat="1" x14ac:dyDescent="0.25">
      <c r="A206" s="103">
        <f t="shared" si="22"/>
        <v>0</v>
      </c>
      <c r="B206" s="36" t="str">
        <f t="shared" si="28"/>
        <v/>
      </c>
      <c r="C206" s="37" t="s">
        <v>42</v>
      </c>
      <c r="D206" s="37"/>
      <c r="E206" s="37"/>
      <c r="F206" s="37"/>
      <c r="G206" s="86"/>
      <c r="H206" s="93">
        <v>201</v>
      </c>
      <c r="I206" s="94" t="str">
        <f t="shared" si="23"/>
        <v/>
      </c>
      <c r="J206" s="93">
        <f t="shared" si="24"/>
        <v>-3</v>
      </c>
      <c r="K206" s="93">
        <f t="shared" si="25"/>
        <v>-30</v>
      </c>
      <c r="L206" s="93"/>
      <c r="M206" s="92">
        <f t="shared" si="26"/>
        <v>0</v>
      </c>
      <c r="N206" s="92">
        <f t="shared" si="27"/>
        <v>0</v>
      </c>
      <c r="O206" s="86"/>
      <c r="P206" s="86"/>
      <c r="Q206" s="86"/>
      <c r="R206" s="86"/>
      <c r="S206" s="106"/>
      <c r="T206" s="105"/>
    </row>
    <row r="207" spans="1:20" s="85" customFormat="1" x14ac:dyDescent="0.25">
      <c r="A207" s="102">
        <f t="shared" si="22"/>
        <v>0</v>
      </c>
      <c r="B207" s="42" t="str">
        <f t="shared" si="28"/>
        <v/>
      </c>
      <c r="C207" s="43" t="s">
        <v>42</v>
      </c>
      <c r="D207" s="43"/>
      <c r="E207" s="43"/>
      <c r="F207" s="43"/>
      <c r="G207" s="86"/>
      <c r="H207" s="98">
        <v>202</v>
      </c>
      <c r="I207" s="99" t="str">
        <f t="shared" si="23"/>
        <v/>
      </c>
      <c r="J207" s="98">
        <f t="shared" si="24"/>
        <v>-3</v>
      </c>
      <c r="K207" s="98">
        <f t="shared" si="25"/>
        <v>-30</v>
      </c>
      <c r="L207" s="98"/>
      <c r="M207" s="97">
        <f t="shared" si="26"/>
        <v>0</v>
      </c>
      <c r="N207" s="97">
        <f t="shared" si="27"/>
        <v>0</v>
      </c>
      <c r="O207" s="86"/>
      <c r="P207" s="86"/>
      <c r="Q207" s="86"/>
      <c r="R207" s="86"/>
      <c r="S207" s="86"/>
    </row>
    <row r="208" spans="1:20" s="85" customFormat="1" x14ac:dyDescent="0.25">
      <c r="A208" s="103">
        <f t="shared" si="22"/>
        <v>0</v>
      </c>
      <c r="B208" s="36" t="str">
        <f t="shared" si="28"/>
        <v/>
      </c>
      <c r="C208" s="37" t="s">
        <v>42</v>
      </c>
      <c r="D208" s="37"/>
      <c r="E208" s="37"/>
      <c r="F208" s="37"/>
      <c r="G208" s="86"/>
      <c r="H208" s="93">
        <v>203</v>
      </c>
      <c r="I208" s="94" t="str">
        <f t="shared" si="23"/>
        <v/>
      </c>
      <c r="J208" s="93">
        <f t="shared" si="24"/>
        <v>-3</v>
      </c>
      <c r="K208" s="93">
        <f t="shared" si="25"/>
        <v>-30</v>
      </c>
      <c r="L208" s="93"/>
      <c r="M208" s="92">
        <f t="shared" si="26"/>
        <v>0</v>
      </c>
      <c r="N208" s="92">
        <f t="shared" si="27"/>
        <v>0</v>
      </c>
      <c r="O208" s="86"/>
      <c r="P208" s="86"/>
      <c r="Q208" s="86"/>
      <c r="R208" s="86"/>
      <c r="S208" s="106"/>
      <c r="T208" s="105"/>
    </row>
    <row r="209" spans="1:20" s="85" customFormat="1" x14ac:dyDescent="0.25">
      <c r="A209" s="102">
        <f t="shared" si="22"/>
        <v>0</v>
      </c>
      <c r="B209" s="42" t="str">
        <f t="shared" si="28"/>
        <v/>
      </c>
      <c r="C209" s="43" t="s">
        <v>42</v>
      </c>
      <c r="D209" s="43"/>
      <c r="E209" s="43"/>
      <c r="F209" s="43"/>
      <c r="G209" s="86"/>
      <c r="H209" s="98">
        <v>204</v>
      </c>
      <c r="I209" s="99" t="str">
        <f t="shared" si="23"/>
        <v/>
      </c>
      <c r="J209" s="98">
        <f t="shared" si="24"/>
        <v>-3</v>
      </c>
      <c r="K209" s="98">
        <f t="shared" si="25"/>
        <v>-30</v>
      </c>
      <c r="L209" s="98"/>
      <c r="M209" s="97">
        <f t="shared" si="26"/>
        <v>0</v>
      </c>
      <c r="N209" s="97">
        <f t="shared" si="27"/>
        <v>0</v>
      </c>
      <c r="O209" s="86"/>
      <c r="P209" s="86"/>
      <c r="Q209" s="86"/>
      <c r="R209" s="86"/>
      <c r="S209" s="86"/>
    </row>
    <row r="210" spans="1:20" s="85" customFormat="1" x14ac:dyDescent="0.25">
      <c r="A210" s="103">
        <f t="shared" si="22"/>
        <v>0</v>
      </c>
      <c r="B210" s="36" t="str">
        <f t="shared" si="28"/>
        <v/>
      </c>
      <c r="C210" s="37" t="s">
        <v>42</v>
      </c>
      <c r="D210" s="37"/>
      <c r="E210" s="37"/>
      <c r="F210" s="37"/>
      <c r="G210" s="86"/>
      <c r="H210" s="93">
        <v>205</v>
      </c>
      <c r="I210" s="94" t="str">
        <f t="shared" si="23"/>
        <v/>
      </c>
      <c r="J210" s="93">
        <f t="shared" si="24"/>
        <v>-3</v>
      </c>
      <c r="K210" s="93">
        <f t="shared" si="25"/>
        <v>-30</v>
      </c>
      <c r="L210" s="93"/>
      <c r="M210" s="92">
        <f t="shared" si="26"/>
        <v>0</v>
      </c>
      <c r="N210" s="92">
        <f t="shared" si="27"/>
        <v>0</v>
      </c>
      <c r="O210" s="86"/>
      <c r="P210" s="86"/>
      <c r="Q210" s="86"/>
      <c r="R210" s="86"/>
      <c r="S210" s="106"/>
      <c r="T210" s="105"/>
    </row>
    <row r="211" spans="1:20" s="85" customFormat="1" x14ac:dyDescent="0.25">
      <c r="A211" s="102">
        <f t="shared" si="22"/>
        <v>0</v>
      </c>
      <c r="B211" s="42" t="str">
        <f t="shared" si="28"/>
        <v/>
      </c>
      <c r="C211" s="43" t="s">
        <v>42</v>
      </c>
      <c r="D211" s="43"/>
      <c r="E211" s="43"/>
      <c r="F211" s="43"/>
      <c r="G211" s="86"/>
      <c r="H211" s="98">
        <v>206</v>
      </c>
      <c r="I211" s="99" t="str">
        <f t="shared" si="23"/>
        <v/>
      </c>
      <c r="J211" s="98">
        <f t="shared" si="24"/>
        <v>-3</v>
      </c>
      <c r="K211" s="98">
        <f t="shared" si="25"/>
        <v>-30</v>
      </c>
      <c r="L211" s="98"/>
      <c r="M211" s="97">
        <f t="shared" si="26"/>
        <v>0</v>
      </c>
      <c r="N211" s="97">
        <f t="shared" si="27"/>
        <v>0</v>
      </c>
      <c r="O211" s="86"/>
      <c r="P211" s="86"/>
      <c r="Q211" s="86"/>
      <c r="R211" s="86"/>
      <c r="S211" s="86"/>
    </row>
    <row r="212" spans="1:20" s="85" customFormat="1" x14ac:dyDescent="0.25">
      <c r="A212" s="103">
        <f t="shared" si="22"/>
        <v>0</v>
      </c>
      <c r="B212" s="36" t="str">
        <f t="shared" si="28"/>
        <v/>
      </c>
      <c r="C212" s="37" t="s">
        <v>42</v>
      </c>
      <c r="D212" s="37"/>
      <c r="E212" s="37"/>
      <c r="F212" s="37"/>
      <c r="G212" s="86"/>
      <c r="H212" s="93">
        <v>207</v>
      </c>
      <c r="I212" s="94" t="str">
        <f t="shared" si="23"/>
        <v/>
      </c>
      <c r="J212" s="93">
        <f t="shared" si="24"/>
        <v>-3</v>
      </c>
      <c r="K212" s="93">
        <f t="shared" si="25"/>
        <v>-30</v>
      </c>
      <c r="L212" s="93"/>
      <c r="M212" s="92">
        <f t="shared" si="26"/>
        <v>0</v>
      </c>
      <c r="N212" s="92">
        <f t="shared" si="27"/>
        <v>0</v>
      </c>
      <c r="O212" s="86"/>
      <c r="P212" s="86"/>
      <c r="Q212" s="86"/>
      <c r="R212" s="86"/>
      <c r="S212" s="106"/>
      <c r="T212" s="105"/>
    </row>
    <row r="213" spans="1:20" s="85" customFormat="1" x14ac:dyDescent="0.25">
      <c r="A213" s="102">
        <f t="shared" si="22"/>
        <v>0</v>
      </c>
      <c r="B213" s="42" t="str">
        <f t="shared" si="28"/>
        <v/>
      </c>
      <c r="C213" s="43" t="s">
        <v>42</v>
      </c>
      <c r="D213" s="43"/>
      <c r="E213" s="43"/>
      <c r="F213" s="43"/>
      <c r="G213" s="86"/>
      <c r="H213" s="98">
        <v>208</v>
      </c>
      <c r="I213" s="99" t="str">
        <f t="shared" si="23"/>
        <v/>
      </c>
      <c r="J213" s="98">
        <f t="shared" si="24"/>
        <v>-3</v>
      </c>
      <c r="K213" s="98">
        <f t="shared" si="25"/>
        <v>-30</v>
      </c>
      <c r="L213" s="98"/>
      <c r="M213" s="97">
        <f t="shared" si="26"/>
        <v>0</v>
      </c>
      <c r="N213" s="97">
        <f t="shared" si="27"/>
        <v>0</v>
      </c>
      <c r="O213" s="86"/>
      <c r="P213" s="86"/>
      <c r="Q213" s="86"/>
      <c r="R213" s="86"/>
      <c r="S213" s="86"/>
    </row>
    <row r="214" spans="1:20" s="85" customFormat="1" x14ac:dyDescent="0.25">
      <c r="A214" s="103">
        <f t="shared" si="22"/>
        <v>0</v>
      </c>
      <c r="B214" s="36" t="str">
        <f t="shared" si="28"/>
        <v/>
      </c>
      <c r="C214" s="37" t="s">
        <v>42</v>
      </c>
      <c r="D214" s="37"/>
      <c r="E214" s="37"/>
      <c r="F214" s="37"/>
      <c r="G214" s="86"/>
      <c r="H214" s="93">
        <v>209</v>
      </c>
      <c r="I214" s="94" t="str">
        <f t="shared" si="23"/>
        <v/>
      </c>
      <c r="J214" s="93">
        <f t="shared" si="24"/>
        <v>-3</v>
      </c>
      <c r="K214" s="93">
        <f t="shared" si="25"/>
        <v>-30</v>
      </c>
      <c r="L214" s="93"/>
      <c r="M214" s="92">
        <f t="shared" si="26"/>
        <v>0</v>
      </c>
      <c r="N214" s="92">
        <f t="shared" si="27"/>
        <v>0</v>
      </c>
      <c r="O214" s="86"/>
      <c r="P214" s="86"/>
      <c r="Q214" s="86"/>
      <c r="R214" s="86"/>
      <c r="S214" s="106"/>
      <c r="T214" s="105"/>
    </row>
    <row r="215" spans="1:20" s="85" customFormat="1" x14ac:dyDescent="0.25">
      <c r="A215" s="102">
        <f t="shared" si="22"/>
        <v>0</v>
      </c>
      <c r="B215" s="42" t="str">
        <f t="shared" si="28"/>
        <v/>
      </c>
      <c r="C215" s="43" t="s">
        <v>42</v>
      </c>
      <c r="D215" s="43"/>
      <c r="E215" s="43"/>
      <c r="F215" s="43"/>
      <c r="G215" s="86"/>
      <c r="H215" s="98">
        <v>210</v>
      </c>
      <c r="I215" s="99" t="str">
        <f t="shared" si="23"/>
        <v/>
      </c>
      <c r="J215" s="98">
        <f t="shared" si="24"/>
        <v>-3</v>
      </c>
      <c r="K215" s="98">
        <f t="shared" si="25"/>
        <v>-30</v>
      </c>
      <c r="L215" s="98"/>
      <c r="M215" s="97">
        <f t="shared" si="26"/>
        <v>0</v>
      </c>
      <c r="N215" s="97">
        <f t="shared" si="27"/>
        <v>0</v>
      </c>
      <c r="O215" s="86"/>
      <c r="P215" s="86"/>
      <c r="Q215" s="86"/>
      <c r="R215" s="86"/>
      <c r="S215" s="86"/>
    </row>
    <row r="216" spans="1:20" s="85" customFormat="1" x14ac:dyDescent="0.25">
      <c r="A216" s="103">
        <f t="shared" si="22"/>
        <v>0</v>
      </c>
      <c r="B216" s="36" t="str">
        <f t="shared" si="28"/>
        <v/>
      </c>
      <c r="C216" s="37" t="s">
        <v>42</v>
      </c>
      <c r="D216" s="37"/>
      <c r="E216" s="37"/>
      <c r="F216" s="37"/>
      <c r="G216" s="86"/>
      <c r="H216" s="93">
        <v>211</v>
      </c>
      <c r="I216" s="94" t="str">
        <f t="shared" si="23"/>
        <v/>
      </c>
      <c r="J216" s="93">
        <f t="shared" si="24"/>
        <v>-3</v>
      </c>
      <c r="K216" s="93">
        <f t="shared" si="25"/>
        <v>-30</v>
      </c>
      <c r="L216" s="93"/>
      <c r="M216" s="92">
        <f t="shared" si="26"/>
        <v>0</v>
      </c>
      <c r="N216" s="92">
        <f t="shared" si="27"/>
        <v>0</v>
      </c>
      <c r="O216" s="86"/>
      <c r="P216" s="86"/>
      <c r="Q216" s="86"/>
      <c r="R216" s="86"/>
      <c r="S216" s="106"/>
      <c r="T216" s="105"/>
    </row>
    <row r="217" spans="1:20" s="85" customFormat="1" x14ac:dyDescent="0.25">
      <c r="A217" s="102">
        <f t="shared" si="22"/>
        <v>0</v>
      </c>
      <c r="B217" s="42" t="str">
        <f t="shared" si="28"/>
        <v/>
      </c>
      <c r="C217" s="43" t="s">
        <v>42</v>
      </c>
      <c r="D217" s="43"/>
      <c r="E217" s="43"/>
      <c r="F217" s="43"/>
      <c r="G217" s="86"/>
      <c r="H217" s="98">
        <v>212</v>
      </c>
      <c r="I217" s="99" t="str">
        <f t="shared" si="23"/>
        <v/>
      </c>
      <c r="J217" s="98">
        <f t="shared" si="24"/>
        <v>-3</v>
      </c>
      <c r="K217" s="98">
        <f t="shared" si="25"/>
        <v>-30</v>
      </c>
      <c r="L217" s="98"/>
      <c r="M217" s="97">
        <f t="shared" si="26"/>
        <v>0</v>
      </c>
      <c r="N217" s="97">
        <f t="shared" si="27"/>
        <v>0</v>
      </c>
      <c r="O217" s="86"/>
      <c r="P217" s="86"/>
      <c r="Q217" s="86"/>
      <c r="R217" s="86"/>
      <c r="S217" s="86"/>
    </row>
    <row r="218" spans="1:20" s="85" customFormat="1" x14ac:dyDescent="0.25">
      <c r="A218" s="103">
        <f t="shared" si="22"/>
        <v>0</v>
      </c>
      <c r="B218" s="36" t="str">
        <f t="shared" si="28"/>
        <v/>
      </c>
      <c r="C218" s="37" t="s">
        <v>42</v>
      </c>
      <c r="D218" s="37"/>
      <c r="E218" s="37"/>
      <c r="F218" s="37"/>
      <c r="G218" s="86"/>
      <c r="H218" s="93">
        <v>213</v>
      </c>
      <c r="I218" s="94" t="str">
        <f t="shared" si="23"/>
        <v/>
      </c>
      <c r="J218" s="93">
        <f t="shared" si="24"/>
        <v>-3</v>
      </c>
      <c r="K218" s="93">
        <f t="shared" si="25"/>
        <v>-30</v>
      </c>
      <c r="L218" s="93"/>
      <c r="M218" s="92">
        <f t="shared" si="26"/>
        <v>0</v>
      </c>
      <c r="N218" s="92">
        <f t="shared" si="27"/>
        <v>0</v>
      </c>
      <c r="O218" s="86"/>
      <c r="P218" s="86"/>
      <c r="Q218" s="86"/>
      <c r="R218" s="86"/>
      <c r="S218" s="106"/>
      <c r="T218" s="105"/>
    </row>
    <row r="219" spans="1:20" s="85" customFormat="1" x14ac:dyDescent="0.25">
      <c r="A219" s="102">
        <f t="shared" si="22"/>
        <v>0</v>
      </c>
      <c r="B219" s="42" t="str">
        <f t="shared" si="28"/>
        <v/>
      </c>
      <c r="C219" s="43" t="s">
        <v>42</v>
      </c>
      <c r="D219" s="43"/>
      <c r="E219" s="43"/>
      <c r="F219" s="43"/>
      <c r="G219" s="86"/>
      <c r="H219" s="98">
        <v>214</v>
      </c>
      <c r="I219" s="99" t="str">
        <f t="shared" si="23"/>
        <v/>
      </c>
      <c r="J219" s="98">
        <f t="shared" si="24"/>
        <v>-3</v>
      </c>
      <c r="K219" s="98">
        <f t="shared" si="25"/>
        <v>-30</v>
      </c>
      <c r="L219" s="98"/>
      <c r="M219" s="97">
        <f t="shared" si="26"/>
        <v>0</v>
      </c>
      <c r="N219" s="97">
        <f t="shared" si="27"/>
        <v>0</v>
      </c>
      <c r="O219" s="86"/>
      <c r="P219" s="86"/>
      <c r="Q219" s="86"/>
      <c r="R219" s="86"/>
      <c r="S219" s="86"/>
    </row>
    <row r="220" spans="1:20" s="85" customFormat="1" x14ac:dyDescent="0.25">
      <c r="A220" s="103">
        <f t="shared" si="22"/>
        <v>0</v>
      </c>
      <c r="B220" s="36" t="str">
        <f t="shared" si="28"/>
        <v/>
      </c>
      <c r="C220" s="37" t="s">
        <v>42</v>
      </c>
      <c r="D220" s="37"/>
      <c r="E220" s="37"/>
      <c r="F220" s="37"/>
      <c r="G220" s="86"/>
      <c r="H220" s="93">
        <v>215</v>
      </c>
      <c r="I220" s="94" t="str">
        <f t="shared" si="23"/>
        <v/>
      </c>
      <c r="J220" s="93">
        <f t="shared" si="24"/>
        <v>-3</v>
      </c>
      <c r="K220" s="93">
        <f t="shared" si="25"/>
        <v>-30</v>
      </c>
      <c r="L220" s="93"/>
      <c r="M220" s="92">
        <f t="shared" si="26"/>
        <v>0</v>
      </c>
      <c r="N220" s="92">
        <f t="shared" si="27"/>
        <v>0</v>
      </c>
      <c r="O220" s="86"/>
      <c r="P220" s="86"/>
      <c r="Q220" s="86"/>
      <c r="R220" s="86"/>
      <c r="S220" s="106"/>
      <c r="T220" s="105"/>
    </row>
    <row r="221" spans="1:20" s="85" customFormat="1" x14ac:dyDescent="0.25">
      <c r="A221" s="102">
        <f t="shared" si="22"/>
        <v>0</v>
      </c>
      <c r="B221" s="42" t="str">
        <f t="shared" si="28"/>
        <v/>
      </c>
      <c r="C221" s="43" t="s">
        <v>42</v>
      </c>
      <c r="D221" s="43"/>
      <c r="E221" s="43"/>
      <c r="F221" s="43"/>
      <c r="G221" s="86"/>
      <c r="H221" s="98">
        <v>216</v>
      </c>
      <c r="I221" s="99" t="str">
        <f t="shared" si="23"/>
        <v/>
      </c>
      <c r="J221" s="98">
        <f t="shared" si="24"/>
        <v>-3</v>
      </c>
      <c r="K221" s="98">
        <f t="shared" si="25"/>
        <v>-30</v>
      </c>
      <c r="L221" s="98"/>
      <c r="M221" s="97">
        <f t="shared" si="26"/>
        <v>0</v>
      </c>
      <c r="N221" s="97">
        <f t="shared" si="27"/>
        <v>0</v>
      </c>
      <c r="O221" s="86"/>
      <c r="P221" s="86"/>
      <c r="Q221" s="86"/>
      <c r="R221" s="86"/>
      <c r="S221" s="86"/>
    </row>
    <row r="222" spans="1:20" s="85" customFormat="1" x14ac:dyDescent="0.25">
      <c r="A222" s="103">
        <f t="shared" si="22"/>
        <v>0</v>
      </c>
      <c r="B222" s="36" t="str">
        <f t="shared" si="28"/>
        <v/>
      </c>
      <c r="C222" s="37" t="s">
        <v>42</v>
      </c>
      <c r="D222" s="37"/>
      <c r="E222" s="37"/>
      <c r="F222" s="37"/>
      <c r="G222" s="86"/>
      <c r="H222" s="93">
        <v>217</v>
      </c>
      <c r="I222" s="94" t="str">
        <f t="shared" si="23"/>
        <v/>
      </c>
      <c r="J222" s="93">
        <f t="shared" si="24"/>
        <v>-3</v>
      </c>
      <c r="K222" s="93">
        <f t="shared" si="25"/>
        <v>-30</v>
      </c>
      <c r="L222" s="93"/>
      <c r="M222" s="92">
        <f t="shared" si="26"/>
        <v>0</v>
      </c>
      <c r="N222" s="92">
        <f t="shared" si="27"/>
        <v>0</v>
      </c>
      <c r="O222" s="86"/>
      <c r="P222" s="86"/>
      <c r="Q222" s="86"/>
      <c r="R222" s="86"/>
      <c r="S222" s="106"/>
      <c r="T222" s="105"/>
    </row>
    <row r="223" spans="1:20" s="85" customFormat="1" x14ac:dyDescent="0.25">
      <c r="A223" s="102">
        <f t="shared" si="22"/>
        <v>0</v>
      </c>
      <c r="B223" s="42" t="str">
        <f t="shared" si="28"/>
        <v/>
      </c>
      <c r="C223" s="43" t="s">
        <v>42</v>
      </c>
      <c r="D223" s="43"/>
      <c r="E223" s="43"/>
      <c r="F223" s="43"/>
      <c r="G223" s="86"/>
      <c r="H223" s="98">
        <v>218</v>
      </c>
      <c r="I223" s="99" t="str">
        <f t="shared" si="23"/>
        <v/>
      </c>
      <c r="J223" s="98">
        <f t="shared" si="24"/>
        <v>-3</v>
      </c>
      <c r="K223" s="98">
        <f t="shared" si="25"/>
        <v>-30</v>
      </c>
      <c r="L223" s="98"/>
      <c r="M223" s="97">
        <f t="shared" si="26"/>
        <v>0</v>
      </c>
      <c r="N223" s="97">
        <f t="shared" si="27"/>
        <v>0</v>
      </c>
      <c r="O223" s="86"/>
      <c r="P223" s="86"/>
      <c r="Q223" s="86"/>
      <c r="R223" s="86"/>
      <c r="S223" s="86"/>
    </row>
    <row r="224" spans="1:20" s="85" customFormat="1" x14ac:dyDescent="0.25">
      <c r="A224" s="103">
        <f t="shared" si="22"/>
        <v>0</v>
      </c>
      <c r="B224" s="36" t="str">
        <f t="shared" si="28"/>
        <v/>
      </c>
      <c r="C224" s="37" t="s">
        <v>42</v>
      </c>
      <c r="D224" s="37"/>
      <c r="E224" s="37"/>
      <c r="F224" s="37"/>
      <c r="G224" s="86"/>
      <c r="H224" s="93">
        <v>219</v>
      </c>
      <c r="I224" s="94" t="str">
        <f t="shared" si="23"/>
        <v/>
      </c>
      <c r="J224" s="93">
        <f t="shared" si="24"/>
        <v>-3</v>
      </c>
      <c r="K224" s="93">
        <f t="shared" si="25"/>
        <v>-30</v>
      </c>
      <c r="L224" s="93"/>
      <c r="M224" s="92">
        <f t="shared" si="26"/>
        <v>0</v>
      </c>
      <c r="N224" s="92">
        <f t="shared" si="27"/>
        <v>0</v>
      </c>
      <c r="O224" s="86"/>
      <c r="P224" s="86"/>
      <c r="Q224" s="86"/>
      <c r="R224" s="86"/>
      <c r="S224" s="106"/>
      <c r="T224" s="105"/>
    </row>
    <row r="225" spans="1:20" s="85" customFormat="1" x14ac:dyDescent="0.25">
      <c r="A225" s="102">
        <f t="shared" si="22"/>
        <v>0</v>
      </c>
      <c r="B225" s="42" t="str">
        <f t="shared" si="28"/>
        <v/>
      </c>
      <c r="C225" s="43" t="s">
        <v>42</v>
      </c>
      <c r="D225" s="43"/>
      <c r="E225" s="43"/>
      <c r="F225" s="43"/>
      <c r="G225" s="86"/>
      <c r="H225" s="98">
        <v>220</v>
      </c>
      <c r="I225" s="99" t="str">
        <f t="shared" si="23"/>
        <v/>
      </c>
      <c r="J225" s="98">
        <f t="shared" si="24"/>
        <v>-3</v>
      </c>
      <c r="K225" s="98">
        <f t="shared" si="25"/>
        <v>-30</v>
      </c>
      <c r="L225" s="98"/>
      <c r="M225" s="97">
        <f t="shared" si="26"/>
        <v>0</v>
      </c>
      <c r="N225" s="97">
        <f t="shared" si="27"/>
        <v>0</v>
      </c>
      <c r="O225" s="86"/>
      <c r="P225" s="86"/>
      <c r="Q225" s="86"/>
      <c r="R225" s="86"/>
      <c r="S225" s="86"/>
    </row>
    <row r="226" spans="1:20" s="85" customFormat="1" x14ac:dyDescent="0.25">
      <c r="A226" s="103">
        <f t="shared" si="22"/>
        <v>0</v>
      </c>
      <c r="B226" s="36" t="str">
        <f t="shared" si="28"/>
        <v/>
      </c>
      <c r="C226" s="37" t="s">
        <v>42</v>
      </c>
      <c r="D226" s="37"/>
      <c r="E226" s="37"/>
      <c r="F226" s="37"/>
      <c r="G226" s="86"/>
      <c r="H226" s="93">
        <v>221</v>
      </c>
      <c r="I226" s="94" t="str">
        <f t="shared" si="23"/>
        <v/>
      </c>
      <c r="J226" s="93">
        <f t="shared" si="24"/>
        <v>-3</v>
      </c>
      <c r="K226" s="93">
        <f t="shared" si="25"/>
        <v>-30</v>
      </c>
      <c r="L226" s="93"/>
      <c r="M226" s="92">
        <f t="shared" si="26"/>
        <v>0</v>
      </c>
      <c r="N226" s="92">
        <f t="shared" si="27"/>
        <v>0</v>
      </c>
      <c r="O226" s="86"/>
      <c r="P226" s="86"/>
      <c r="Q226" s="86"/>
      <c r="R226" s="86"/>
      <c r="S226" s="106"/>
      <c r="T226" s="105"/>
    </row>
    <row r="227" spans="1:20" s="85" customFormat="1" x14ac:dyDescent="0.25">
      <c r="A227" s="102">
        <f t="shared" si="22"/>
        <v>0</v>
      </c>
      <c r="B227" s="42" t="str">
        <f t="shared" si="28"/>
        <v/>
      </c>
      <c r="C227" s="43" t="s">
        <v>42</v>
      </c>
      <c r="D227" s="43"/>
      <c r="E227" s="43"/>
      <c r="F227" s="43"/>
      <c r="G227" s="86"/>
      <c r="H227" s="98">
        <v>222</v>
      </c>
      <c r="I227" s="99" t="str">
        <f t="shared" si="23"/>
        <v/>
      </c>
      <c r="J227" s="98">
        <f t="shared" si="24"/>
        <v>-3</v>
      </c>
      <c r="K227" s="98">
        <f t="shared" si="25"/>
        <v>-30</v>
      </c>
      <c r="L227" s="98"/>
      <c r="M227" s="97">
        <f t="shared" si="26"/>
        <v>0</v>
      </c>
      <c r="N227" s="97">
        <f t="shared" si="27"/>
        <v>0</v>
      </c>
      <c r="O227" s="86"/>
      <c r="P227" s="86"/>
      <c r="Q227" s="86"/>
      <c r="R227" s="86"/>
      <c r="S227" s="86"/>
    </row>
    <row r="228" spans="1:20" s="85" customFormat="1" x14ac:dyDescent="0.25">
      <c r="A228" s="103">
        <f t="shared" si="22"/>
        <v>0</v>
      </c>
      <c r="B228" s="36" t="str">
        <f t="shared" si="28"/>
        <v/>
      </c>
      <c r="C228" s="37" t="s">
        <v>42</v>
      </c>
      <c r="D228" s="37"/>
      <c r="E228" s="37"/>
      <c r="F228" s="37"/>
      <c r="G228" s="86"/>
      <c r="H228" s="93">
        <v>223</v>
      </c>
      <c r="I228" s="94" t="str">
        <f t="shared" si="23"/>
        <v/>
      </c>
      <c r="J228" s="93">
        <f t="shared" si="24"/>
        <v>-3</v>
      </c>
      <c r="K228" s="93">
        <f t="shared" si="25"/>
        <v>-30</v>
      </c>
      <c r="L228" s="93"/>
      <c r="M228" s="92">
        <f t="shared" si="26"/>
        <v>0</v>
      </c>
      <c r="N228" s="92">
        <f t="shared" si="27"/>
        <v>0</v>
      </c>
      <c r="O228" s="86"/>
      <c r="P228" s="86"/>
      <c r="Q228" s="86"/>
      <c r="R228" s="86"/>
      <c r="S228" s="106"/>
      <c r="T228" s="105"/>
    </row>
    <row r="229" spans="1:20" s="85" customFormat="1" x14ac:dyDescent="0.25">
      <c r="A229" s="102">
        <f t="shared" si="22"/>
        <v>0</v>
      </c>
      <c r="B229" s="42" t="str">
        <f t="shared" si="28"/>
        <v/>
      </c>
      <c r="C229" s="43" t="s">
        <v>42</v>
      </c>
      <c r="D229" s="43"/>
      <c r="E229" s="43"/>
      <c r="F229" s="43"/>
      <c r="G229" s="86"/>
      <c r="H229" s="98">
        <v>224</v>
      </c>
      <c r="I229" s="99" t="str">
        <f t="shared" si="23"/>
        <v/>
      </c>
      <c r="J229" s="98">
        <f t="shared" si="24"/>
        <v>-3</v>
      </c>
      <c r="K229" s="98">
        <f t="shared" si="25"/>
        <v>-30</v>
      </c>
      <c r="L229" s="98"/>
      <c r="M229" s="97">
        <f t="shared" si="26"/>
        <v>0</v>
      </c>
      <c r="N229" s="97">
        <f t="shared" si="27"/>
        <v>0</v>
      </c>
      <c r="O229" s="86"/>
      <c r="P229" s="86"/>
      <c r="Q229" s="86"/>
      <c r="R229" s="86"/>
      <c r="S229" s="86"/>
    </row>
    <row r="230" spans="1:20" s="85" customFormat="1" x14ac:dyDescent="0.25">
      <c r="A230" s="103">
        <f t="shared" si="22"/>
        <v>0</v>
      </c>
      <c r="B230" s="36" t="str">
        <f t="shared" si="28"/>
        <v/>
      </c>
      <c r="C230" s="37" t="s">
        <v>42</v>
      </c>
      <c r="D230" s="37"/>
      <c r="E230" s="37"/>
      <c r="F230" s="37"/>
      <c r="G230" s="86"/>
      <c r="H230" s="93">
        <v>225</v>
      </c>
      <c r="I230" s="94" t="str">
        <f t="shared" si="23"/>
        <v/>
      </c>
      <c r="J230" s="93">
        <f t="shared" si="24"/>
        <v>-3</v>
      </c>
      <c r="K230" s="93">
        <f t="shared" si="25"/>
        <v>-30</v>
      </c>
      <c r="L230" s="93"/>
      <c r="M230" s="92">
        <f t="shared" si="26"/>
        <v>0</v>
      </c>
      <c r="N230" s="92">
        <f t="shared" si="27"/>
        <v>0</v>
      </c>
      <c r="O230" s="86"/>
      <c r="P230" s="86"/>
      <c r="Q230" s="86"/>
      <c r="R230" s="86"/>
      <c r="S230" s="106"/>
      <c r="T230" s="105"/>
    </row>
    <row r="231" spans="1:20" s="85" customFormat="1" x14ac:dyDescent="0.25">
      <c r="A231" s="102">
        <f t="shared" si="22"/>
        <v>0</v>
      </c>
      <c r="B231" s="42" t="str">
        <f t="shared" si="28"/>
        <v/>
      </c>
      <c r="C231" s="43" t="s">
        <v>42</v>
      </c>
      <c r="D231" s="43"/>
      <c r="E231" s="43"/>
      <c r="F231" s="43"/>
      <c r="G231" s="86"/>
      <c r="H231" s="98">
        <v>226</v>
      </c>
      <c r="I231" s="99" t="str">
        <f t="shared" si="23"/>
        <v/>
      </c>
      <c r="J231" s="98">
        <f t="shared" si="24"/>
        <v>-3</v>
      </c>
      <c r="K231" s="98">
        <f t="shared" si="25"/>
        <v>-30</v>
      </c>
      <c r="L231" s="98"/>
      <c r="M231" s="97">
        <f t="shared" si="26"/>
        <v>0</v>
      </c>
      <c r="N231" s="97">
        <f t="shared" si="27"/>
        <v>0</v>
      </c>
      <c r="O231" s="86"/>
      <c r="P231" s="86"/>
      <c r="Q231" s="86"/>
      <c r="R231" s="86"/>
      <c r="S231" s="86"/>
    </row>
    <row r="232" spans="1:20" s="85" customFormat="1" x14ac:dyDescent="0.25">
      <c r="A232" s="103">
        <f t="shared" si="22"/>
        <v>0</v>
      </c>
      <c r="B232" s="36" t="str">
        <f t="shared" si="28"/>
        <v/>
      </c>
      <c r="C232" s="37" t="s">
        <v>42</v>
      </c>
      <c r="D232" s="37"/>
      <c r="E232" s="37"/>
      <c r="F232" s="37"/>
      <c r="G232" s="86"/>
      <c r="H232" s="93">
        <v>227</v>
      </c>
      <c r="I232" s="94" t="str">
        <f t="shared" si="23"/>
        <v/>
      </c>
      <c r="J232" s="93">
        <f t="shared" si="24"/>
        <v>-3</v>
      </c>
      <c r="K232" s="93">
        <f t="shared" si="25"/>
        <v>-30</v>
      </c>
      <c r="L232" s="93"/>
      <c r="M232" s="92">
        <f t="shared" si="26"/>
        <v>0</v>
      </c>
      <c r="N232" s="92">
        <f t="shared" si="27"/>
        <v>0</v>
      </c>
      <c r="O232" s="86"/>
      <c r="P232" s="86"/>
      <c r="Q232" s="86"/>
      <c r="R232" s="86"/>
      <c r="S232" s="106"/>
      <c r="T232" s="105"/>
    </row>
    <row r="233" spans="1:20" s="85" customFormat="1" x14ac:dyDescent="0.25">
      <c r="A233" s="102">
        <f t="shared" si="22"/>
        <v>0</v>
      </c>
      <c r="B233" s="42" t="str">
        <f t="shared" si="28"/>
        <v/>
      </c>
      <c r="C233" s="43" t="s">
        <v>42</v>
      </c>
      <c r="D233" s="43"/>
      <c r="E233" s="43"/>
      <c r="F233" s="43"/>
      <c r="G233" s="86"/>
      <c r="H233" s="98">
        <v>228</v>
      </c>
      <c r="I233" s="99" t="str">
        <f t="shared" si="23"/>
        <v/>
      </c>
      <c r="J233" s="98">
        <f t="shared" si="24"/>
        <v>-3</v>
      </c>
      <c r="K233" s="98">
        <f t="shared" si="25"/>
        <v>-30</v>
      </c>
      <c r="L233" s="98"/>
      <c r="M233" s="97">
        <f t="shared" si="26"/>
        <v>0</v>
      </c>
      <c r="N233" s="97">
        <f t="shared" si="27"/>
        <v>0</v>
      </c>
      <c r="O233" s="86"/>
      <c r="P233" s="86"/>
      <c r="Q233" s="86"/>
      <c r="R233" s="86"/>
      <c r="S233" s="86"/>
    </row>
    <row r="234" spans="1:20" s="85" customFormat="1" x14ac:dyDescent="0.25">
      <c r="A234" s="103">
        <f t="shared" si="22"/>
        <v>0</v>
      </c>
      <c r="B234" s="36" t="str">
        <f t="shared" si="28"/>
        <v/>
      </c>
      <c r="C234" s="37" t="s">
        <v>42</v>
      </c>
      <c r="D234" s="37"/>
      <c r="E234" s="37"/>
      <c r="F234" s="37"/>
      <c r="G234" s="86"/>
      <c r="H234" s="93">
        <v>229</v>
      </c>
      <c r="I234" s="94" t="str">
        <f t="shared" si="23"/>
        <v/>
      </c>
      <c r="J234" s="93">
        <f t="shared" si="24"/>
        <v>-3</v>
      </c>
      <c r="K234" s="93">
        <f t="shared" si="25"/>
        <v>-30</v>
      </c>
      <c r="L234" s="93"/>
      <c r="M234" s="92">
        <f t="shared" si="26"/>
        <v>0</v>
      </c>
      <c r="N234" s="92">
        <f t="shared" si="27"/>
        <v>0</v>
      </c>
      <c r="O234" s="86"/>
      <c r="P234" s="86"/>
      <c r="Q234" s="86"/>
      <c r="R234" s="86"/>
      <c r="S234" s="106"/>
      <c r="T234" s="105"/>
    </row>
    <row r="235" spans="1:20" s="85" customFormat="1" x14ac:dyDescent="0.25">
      <c r="A235" s="102">
        <f t="shared" si="22"/>
        <v>0</v>
      </c>
      <c r="B235" s="42" t="str">
        <f t="shared" si="28"/>
        <v/>
      </c>
      <c r="C235" s="43" t="s">
        <v>42</v>
      </c>
      <c r="D235" s="43"/>
      <c r="E235" s="43"/>
      <c r="F235" s="43"/>
      <c r="G235" s="86"/>
      <c r="H235" s="98">
        <v>230</v>
      </c>
      <c r="I235" s="99" t="str">
        <f t="shared" si="23"/>
        <v/>
      </c>
      <c r="J235" s="98">
        <f t="shared" si="24"/>
        <v>-3</v>
      </c>
      <c r="K235" s="98">
        <f t="shared" si="25"/>
        <v>-30</v>
      </c>
      <c r="L235" s="98"/>
      <c r="M235" s="97">
        <f t="shared" si="26"/>
        <v>0</v>
      </c>
      <c r="N235" s="97">
        <f t="shared" si="27"/>
        <v>0</v>
      </c>
      <c r="O235" s="86"/>
      <c r="P235" s="86"/>
      <c r="Q235" s="86"/>
      <c r="R235" s="86"/>
      <c r="S235" s="86"/>
    </row>
    <row r="236" spans="1:20" s="85" customFormat="1" x14ac:dyDescent="0.25">
      <c r="A236" s="103">
        <f t="shared" si="22"/>
        <v>0</v>
      </c>
      <c r="B236" s="36" t="str">
        <f t="shared" si="28"/>
        <v/>
      </c>
      <c r="C236" s="37" t="s">
        <v>42</v>
      </c>
      <c r="D236" s="37"/>
      <c r="E236" s="37"/>
      <c r="F236" s="37"/>
      <c r="G236" s="86"/>
      <c r="H236" s="93">
        <v>231</v>
      </c>
      <c r="I236" s="94" t="str">
        <f t="shared" si="23"/>
        <v/>
      </c>
      <c r="J236" s="93">
        <f t="shared" si="24"/>
        <v>-3</v>
      </c>
      <c r="K236" s="93">
        <f t="shared" si="25"/>
        <v>-30</v>
      </c>
      <c r="L236" s="93"/>
      <c r="M236" s="92">
        <f t="shared" si="26"/>
        <v>0</v>
      </c>
      <c r="N236" s="92">
        <f t="shared" si="27"/>
        <v>0</v>
      </c>
      <c r="O236" s="86"/>
      <c r="P236" s="86"/>
      <c r="Q236" s="86"/>
      <c r="R236" s="86"/>
      <c r="S236" s="106"/>
      <c r="T236" s="105"/>
    </row>
    <row r="237" spans="1:20" s="85" customFormat="1" x14ac:dyDescent="0.25">
      <c r="A237" s="102">
        <f t="shared" si="22"/>
        <v>0</v>
      </c>
      <c r="B237" s="42" t="str">
        <f t="shared" si="28"/>
        <v/>
      </c>
      <c r="C237" s="43" t="s">
        <v>42</v>
      </c>
      <c r="D237" s="43"/>
      <c r="E237" s="43"/>
      <c r="F237" s="43"/>
      <c r="G237" s="86"/>
      <c r="H237" s="98">
        <v>232</v>
      </c>
      <c r="I237" s="99" t="str">
        <f t="shared" si="23"/>
        <v/>
      </c>
      <c r="J237" s="98">
        <f t="shared" si="24"/>
        <v>-3</v>
      </c>
      <c r="K237" s="98">
        <f t="shared" si="25"/>
        <v>-30</v>
      </c>
      <c r="L237" s="98"/>
      <c r="M237" s="97">
        <f t="shared" si="26"/>
        <v>0</v>
      </c>
      <c r="N237" s="97">
        <f t="shared" si="27"/>
        <v>0</v>
      </c>
      <c r="O237" s="86"/>
      <c r="P237" s="86"/>
      <c r="Q237" s="86"/>
      <c r="R237" s="86"/>
      <c r="S237" s="86"/>
    </row>
    <row r="238" spans="1:20" s="85" customFormat="1" x14ac:dyDescent="0.25">
      <c r="A238" s="103">
        <f t="shared" si="22"/>
        <v>0</v>
      </c>
      <c r="B238" s="36" t="str">
        <f t="shared" si="28"/>
        <v/>
      </c>
      <c r="C238" s="37" t="s">
        <v>42</v>
      </c>
      <c r="D238" s="37"/>
      <c r="E238" s="37"/>
      <c r="F238" s="37"/>
      <c r="G238" s="86"/>
      <c r="H238" s="93">
        <v>233</v>
      </c>
      <c r="I238" s="94" t="str">
        <f t="shared" si="23"/>
        <v/>
      </c>
      <c r="J238" s="93">
        <f t="shared" si="24"/>
        <v>-3</v>
      </c>
      <c r="K238" s="93">
        <f t="shared" si="25"/>
        <v>-30</v>
      </c>
      <c r="L238" s="93"/>
      <c r="M238" s="92">
        <f t="shared" si="26"/>
        <v>0</v>
      </c>
      <c r="N238" s="92">
        <f t="shared" si="27"/>
        <v>0</v>
      </c>
      <c r="O238" s="86"/>
      <c r="P238" s="86"/>
      <c r="Q238" s="86"/>
      <c r="R238" s="86"/>
      <c r="S238" s="106"/>
      <c r="T238" s="105"/>
    </row>
    <row r="239" spans="1:20" s="85" customFormat="1" x14ac:dyDescent="0.25">
      <c r="A239" s="102">
        <f t="shared" si="22"/>
        <v>0</v>
      </c>
      <c r="B239" s="42" t="str">
        <f t="shared" si="28"/>
        <v/>
      </c>
      <c r="C239" s="43" t="s">
        <v>42</v>
      </c>
      <c r="D239" s="43"/>
      <c r="E239" s="43"/>
      <c r="F239" s="43"/>
      <c r="G239" s="86"/>
      <c r="H239" s="98">
        <v>234</v>
      </c>
      <c r="I239" s="99" t="str">
        <f t="shared" si="23"/>
        <v/>
      </c>
      <c r="J239" s="98">
        <f t="shared" si="24"/>
        <v>-3</v>
      </c>
      <c r="K239" s="98">
        <f t="shared" si="25"/>
        <v>-30</v>
      </c>
      <c r="L239" s="98"/>
      <c r="M239" s="97">
        <f t="shared" si="26"/>
        <v>0</v>
      </c>
      <c r="N239" s="97">
        <f t="shared" si="27"/>
        <v>0</v>
      </c>
      <c r="O239" s="86"/>
      <c r="P239" s="86"/>
      <c r="Q239" s="86"/>
      <c r="R239" s="86"/>
      <c r="S239" s="86"/>
    </row>
    <row r="240" spans="1:20" s="85" customFormat="1" x14ac:dyDescent="0.25">
      <c r="A240" s="103">
        <f t="shared" si="22"/>
        <v>0</v>
      </c>
      <c r="B240" s="36" t="str">
        <f t="shared" si="28"/>
        <v/>
      </c>
      <c r="C240" s="37" t="s">
        <v>42</v>
      </c>
      <c r="D240" s="37"/>
      <c r="E240" s="37"/>
      <c r="F240" s="37"/>
      <c r="G240" s="86"/>
      <c r="H240" s="93">
        <v>235</v>
      </c>
      <c r="I240" s="94" t="str">
        <f t="shared" si="23"/>
        <v/>
      </c>
      <c r="J240" s="93">
        <f t="shared" si="24"/>
        <v>-3</v>
      </c>
      <c r="K240" s="93">
        <f t="shared" si="25"/>
        <v>-30</v>
      </c>
      <c r="L240" s="93"/>
      <c r="M240" s="92">
        <f t="shared" si="26"/>
        <v>0</v>
      </c>
      <c r="N240" s="92">
        <f t="shared" si="27"/>
        <v>0</v>
      </c>
      <c r="O240" s="86"/>
      <c r="P240" s="86"/>
      <c r="Q240" s="86"/>
      <c r="R240" s="86"/>
      <c r="S240" s="106"/>
      <c r="T240" s="105"/>
    </row>
    <row r="241" spans="1:20" s="85" customFormat="1" x14ac:dyDescent="0.25">
      <c r="A241" s="102">
        <f t="shared" si="22"/>
        <v>0</v>
      </c>
      <c r="B241" s="42" t="str">
        <f t="shared" si="28"/>
        <v/>
      </c>
      <c r="C241" s="43" t="s">
        <v>42</v>
      </c>
      <c r="D241" s="43"/>
      <c r="E241" s="43"/>
      <c r="F241" s="43"/>
      <c r="G241" s="86"/>
      <c r="H241" s="98">
        <v>236</v>
      </c>
      <c r="I241" s="99" t="str">
        <f t="shared" si="23"/>
        <v/>
      </c>
      <c r="J241" s="98">
        <f t="shared" si="24"/>
        <v>-3</v>
      </c>
      <c r="K241" s="98">
        <f t="shared" si="25"/>
        <v>-30</v>
      </c>
      <c r="L241" s="98"/>
      <c r="M241" s="97">
        <f t="shared" si="26"/>
        <v>0</v>
      </c>
      <c r="N241" s="97">
        <f t="shared" si="27"/>
        <v>0</v>
      </c>
      <c r="O241" s="86"/>
      <c r="P241" s="86"/>
      <c r="Q241" s="86"/>
      <c r="R241" s="86"/>
      <c r="S241" s="86"/>
    </row>
    <row r="242" spans="1:20" s="85" customFormat="1" x14ac:dyDescent="0.25">
      <c r="A242" s="103">
        <f t="shared" si="22"/>
        <v>0</v>
      </c>
      <c r="B242" s="36" t="str">
        <f t="shared" si="28"/>
        <v/>
      </c>
      <c r="C242" s="37" t="s">
        <v>42</v>
      </c>
      <c r="D242" s="37"/>
      <c r="E242" s="37"/>
      <c r="F242" s="37"/>
      <c r="G242" s="86"/>
      <c r="H242" s="93">
        <v>237</v>
      </c>
      <c r="I242" s="94" t="str">
        <f t="shared" si="23"/>
        <v/>
      </c>
      <c r="J242" s="93">
        <f t="shared" si="24"/>
        <v>-3</v>
      </c>
      <c r="K242" s="93">
        <f t="shared" si="25"/>
        <v>-30</v>
      </c>
      <c r="L242" s="93"/>
      <c r="M242" s="92">
        <f t="shared" si="26"/>
        <v>0</v>
      </c>
      <c r="N242" s="92">
        <f t="shared" si="27"/>
        <v>0</v>
      </c>
      <c r="O242" s="86"/>
      <c r="P242" s="86"/>
      <c r="Q242" s="86"/>
      <c r="R242" s="86"/>
      <c r="S242" s="106"/>
      <c r="T242" s="105"/>
    </row>
    <row r="243" spans="1:20" s="85" customFormat="1" x14ac:dyDescent="0.25">
      <c r="A243" s="102">
        <f t="shared" si="22"/>
        <v>0</v>
      </c>
      <c r="B243" s="42" t="str">
        <f t="shared" si="28"/>
        <v/>
      </c>
      <c r="C243" s="43" t="s">
        <v>42</v>
      </c>
      <c r="D243" s="43"/>
      <c r="E243" s="43"/>
      <c r="F243" s="43"/>
      <c r="G243" s="86"/>
      <c r="H243" s="98">
        <v>238</v>
      </c>
      <c r="I243" s="99" t="str">
        <f t="shared" si="23"/>
        <v/>
      </c>
      <c r="J243" s="98">
        <f t="shared" si="24"/>
        <v>-3</v>
      </c>
      <c r="K243" s="98">
        <f t="shared" si="25"/>
        <v>-30</v>
      </c>
      <c r="L243" s="98"/>
      <c r="M243" s="97">
        <f t="shared" si="26"/>
        <v>0</v>
      </c>
      <c r="N243" s="97">
        <f t="shared" si="27"/>
        <v>0</v>
      </c>
      <c r="O243" s="86"/>
      <c r="P243" s="86"/>
      <c r="Q243" s="86"/>
      <c r="R243" s="86"/>
      <c r="S243" s="86"/>
    </row>
    <row r="244" spans="1:20" s="85" customFormat="1" x14ac:dyDescent="0.25">
      <c r="A244" s="103">
        <f t="shared" si="22"/>
        <v>0</v>
      </c>
      <c r="B244" s="36" t="str">
        <f t="shared" si="28"/>
        <v/>
      </c>
      <c r="C244" s="37" t="s">
        <v>42</v>
      </c>
      <c r="D244" s="37"/>
      <c r="E244" s="37"/>
      <c r="F244" s="37"/>
      <c r="G244" s="86"/>
      <c r="H244" s="93">
        <v>239</v>
      </c>
      <c r="I244" s="94" t="str">
        <f t="shared" si="23"/>
        <v/>
      </c>
      <c r="J244" s="93">
        <f t="shared" si="24"/>
        <v>-3</v>
      </c>
      <c r="K244" s="93">
        <f t="shared" si="25"/>
        <v>-30</v>
      </c>
      <c r="L244" s="93"/>
      <c r="M244" s="92">
        <f t="shared" si="26"/>
        <v>0</v>
      </c>
      <c r="N244" s="92">
        <f t="shared" si="27"/>
        <v>0</v>
      </c>
      <c r="O244" s="86"/>
      <c r="P244" s="86"/>
      <c r="Q244" s="86"/>
      <c r="R244" s="86"/>
      <c r="S244" s="106"/>
      <c r="T244" s="105"/>
    </row>
    <row r="245" spans="1:20" s="85" customFormat="1" x14ac:dyDescent="0.25">
      <c r="A245" s="102">
        <f t="shared" si="22"/>
        <v>0</v>
      </c>
      <c r="B245" s="42" t="str">
        <f t="shared" si="28"/>
        <v/>
      </c>
      <c r="C245" s="43" t="s">
        <v>42</v>
      </c>
      <c r="D245" s="43"/>
      <c r="E245" s="43"/>
      <c r="F245" s="43"/>
      <c r="G245" s="86"/>
      <c r="H245" s="98">
        <v>240</v>
      </c>
      <c r="I245" s="99" t="str">
        <f t="shared" si="23"/>
        <v/>
      </c>
      <c r="J245" s="98">
        <f t="shared" si="24"/>
        <v>-3</v>
      </c>
      <c r="K245" s="98">
        <f t="shared" si="25"/>
        <v>-30</v>
      </c>
      <c r="L245" s="98"/>
      <c r="M245" s="97">
        <f t="shared" si="26"/>
        <v>0</v>
      </c>
      <c r="N245" s="97">
        <f t="shared" si="27"/>
        <v>0</v>
      </c>
      <c r="O245" s="86"/>
      <c r="P245" s="86"/>
      <c r="Q245" s="86"/>
      <c r="R245" s="86"/>
      <c r="S245" s="86"/>
    </row>
    <row r="246" spans="1:20" s="85" customFormat="1" x14ac:dyDescent="0.25">
      <c r="A246" s="103">
        <f t="shared" si="22"/>
        <v>0</v>
      </c>
      <c r="B246" s="36" t="str">
        <f t="shared" si="28"/>
        <v/>
      </c>
      <c r="C246" s="37" t="s">
        <v>42</v>
      </c>
      <c r="D246" s="37"/>
      <c r="E246" s="37"/>
      <c r="F246" s="37"/>
      <c r="G246" s="86"/>
      <c r="H246" s="93">
        <v>241</v>
      </c>
      <c r="I246" s="94" t="str">
        <f t="shared" si="23"/>
        <v/>
      </c>
      <c r="J246" s="93">
        <f t="shared" si="24"/>
        <v>-3</v>
      </c>
      <c r="K246" s="93">
        <f t="shared" si="25"/>
        <v>-30</v>
      </c>
      <c r="L246" s="93"/>
      <c r="M246" s="92">
        <f t="shared" si="26"/>
        <v>0</v>
      </c>
      <c r="N246" s="92">
        <f t="shared" si="27"/>
        <v>0</v>
      </c>
      <c r="O246" s="86"/>
      <c r="P246" s="86"/>
      <c r="Q246" s="86"/>
      <c r="R246" s="86"/>
      <c r="S246" s="106"/>
      <c r="T246" s="105"/>
    </row>
    <row r="247" spans="1:20" s="85" customFormat="1" x14ac:dyDescent="0.25">
      <c r="A247" s="102">
        <f t="shared" si="22"/>
        <v>0</v>
      </c>
      <c r="B247" s="42" t="str">
        <f t="shared" si="28"/>
        <v/>
      </c>
      <c r="C247" s="43" t="s">
        <v>42</v>
      </c>
      <c r="D247" s="43"/>
      <c r="E247" s="43"/>
      <c r="F247" s="43"/>
      <c r="G247" s="86"/>
      <c r="H247" s="98">
        <v>242</v>
      </c>
      <c r="I247" s="99" t="str">
        <f t="shared" si="23"/>
        <v/>
      </c>
      <c r="J247" s="98">
        <f t="shared" si="24"/>
        <v>-3</v>
      </c>
      <c r="K247" s="98">
        <f t="shared" si="25"/>
        <v>-30</v>
      </c>
      <c r="L247" s="98"/>
      <c r="M247" s="97">
        <f t="shared" si="26"/>
        <v>0</v>
      </c>
      <c r="N247" s="97">
        <f t="shared" si="27"/>
        <v>0</v>
      </c>
      <c r="O247" s="86"/>
      <c r="P247" s="86"/>
      <c r="Q247" s="86"/>
      <c r="R247" s="86"/>
      <c r="S247" s="86"/>
    </row>
    <row r="248" spans="1:20" s="85" customFormat="1" x14ac:dyDescent="0.25">
      <c r="A248" s="103">
        <f t="shared" si="22"/>
        <v>0</v>
      </c>
      <c r="B248" s="36" t="str">
        <f t="shared" si="28"/>
        <v/>
      </c>
      <c r="C248" s="37" t="s">
        <v>42</v>
      </c>
      <c r="D248" s="37"/>
      <c r="E248" s="37"/>
      <c r="F248" s="37"/>
      <c r="G248" s="86"/>
      <c r="H248" s="93">
        <v>243</v>
      </c>
      <c r="I248" s="94" t="str">
        <f t="shared" si="23"/>
        <v/>
      </c>
      <c r="J248" s="93">
        <f t="shared" si="24"/>
        <v>-3</v>
      </c>
      <c r="K248" s="93">
        <f t="shared" si="25"/>
        <v>-30</v>
      </c>
      <c r="L248" s="93"/>
      <c r="M248" s="92">
        <f t="shared" si="26"/>
        <v>0</v>
      </c>
      <c r="N248" s="92">
        <f t="shared" si="27"/>
        <v>0</v>
      </c>
      <c r="O248" s="86"/>
      <c r="P248" s="86"/>
      <c r="Q248" s="86"/>
      <c r="R248" s="86"/>
      <c r="S248" s="106"/>
      <c r="T248" s="105"/>
    </row>
    <row r="249" spans="1:20" s="85" customFormat="1" x14ac:dyDescent="0.25">
      <c r="A249" s="102">
        <f t="shared" si="22"/>
        <v>0</v>
      </c>
      <c r="B249" s="42" t="str">
        <f t="shared" si="28"/>
        <v/>
      </c>
      <c r="C249" s="43" t="s">
        <v>42</v>
      </c>
      <c r="D249" s="43"/>
      <c r="E249" s="43"/>
      <c r="F249" s="43"/>
      <c r="G249" s="86"/>
      <c r="H249" s="98">
        <v>244</v>
      </c>
      <c r="I249" s="99" t="str">
        <f t="shared" si="23"/>
        <v/>
      </c>
      <c r="J249" s="98">
        <f t="shared" si="24"/>
        <v>-3</v>
      </c>
      <c r="K249" s="98">
        <f t="shared" si="25"/>
        <v>-30</v>
      </c>
      <c r="L249" s="98"/>
      <c r="M249" s="97">
        <f t="shared" si="26"/>
        <v>0</v>
      </c>
      <c r="N249" s="97">
        <f t="shared" si="27"/>
        <v>0</v>
      </c>
      <c r="O249" s="86"/>
      <c r="P249" s="86"/>
      <c r="Q249" s="86"/>
      <c r="R249" s="86"/>
      <c r="S249" s="86"/>
    </row>
    <row r="250" spans="1:20" s="85" customFormat="1" x14ac:dyDescent="0.25">
      <c r="A250" s="103">
        <f t="shared" si="22"/>
        <v>0</v>
      </c>
      <c r="B250" s="36" t="str">
        <f t="shared" si="28"/>
        <v/>
      </c>
      <c r="C250" s="37" t="s">
        <v>42</v>
      </c>
      <c r="D250" s="37"/>
      <c r="E250" s="37"/>
      <c r="F250" s="37"/>
      <c r="G250" s="86"/>
      <c r="H250" s="93">
        <v>245</v>
      </c>
      <c r="I250" s="94" t="str">
        <f t="shared" si="23"/>
        <v/>
      </c>
      <c r="J250" s="93">
        <f t="shared" si="24"/>
        <v>-3</v>
      </c>
      <c r="K250" s="93">
        <f t="shared" si="25"/>
        <v>-30</v>
      </c>
      <c r="L250" s="93"/>
      <c r="M250" s="92">
        <f t="shared" si="26"/>
        <v>0</v>
      </c>
      <c r="N250" s="92">
        <f t="shared" si="27"/>
        <v>0</v>
      </c>
      <c r="O250" s="86"/>
      <c r="P250" s="86"/>
      <c r="Q250" s="86"/>
      <c r="R250" s="86"/>
      <c r="S250" s="106"/>
      <c r="T250" s="105"/>
    </row>
    <row r="251" spans="1:20" s="85" customFormat="1" x14ac:dyDescent="0.25">
      <c r="A251" s="102">
        <f t="shared" si="22"/>
        <v>0</v>
      </c>
      <c r="B251" s="84"/>
      <c r="C251" s="84"/>
      <c r="D251" s="84"/>
      <c r="E251" s="84"/>
      <c r="F251" s="84"/>
      <c r="G251" s="86"/>
      <c r="H251" s="93">
        <v>246</v>
      </c>
      <c r="I251" s="94" t="str">
        <f t="shared" si="23"/>
        <v/>
      </c>
      <c r="J251" s="93">
        <f t="shared" si="24"/>
        <v>-3</v>
      </c>
      <c r="K251" s="93">
        <f t="shared" si="25"/>
        <v>-30</v>
      </c>
      <c r="L251" s="93"/>
      <c r="M251" s="92">
        <f t="shared" si="26"/>
        <v>0</v>
      </c>
      <c r="N251" s="92">
        <f t="shared" si="27"/>
        <v>0</v>
      </c>
      <c r="O251" s="86"/>
      <c r="P251" s="86"/>
      <c r="Q251" s="86"/>
      <c r="R251" s="86"/>
      <c r="S251" s="86"/>
    </row>
    <row r="252" spans="1:20" s="85" customFormat="1" x14ac:dyDescent="0.25">
      <c r="A252" s="103">
        <f t="shared" si="22"/>
        <v>0</v>
      </c>
      <c r="B252" s="84"/>
      <c r="C252" s="84"/>
      <c r="D252" s="84"/>
      <c r="E252" s="84"/>
      <c r="F252" s="84"/>
      <c r="G252" s="86"/>
      <c r="H252" s="93">
        <v>247</v>
      </c>
      <c r="I252" s="94" t="str">
        <f t="shared" si="23"/>
        <v/>
      </c>
      <c r="J252" s="93">
        <f t="shared" si="24"/>
        <v>-3</v>
      </c>
      <c r="K252" s="93">
        <f t="shared" si="25"/>
        <v>-30</v>
      </c>
      <c r="L252" s="93"/>
      <c r="M252" s="92">
        <f t="shared" si="26"/>
        <v>0</v>
      </c>
      <c r="N252" s="92">
        <f t="shared" si="27"/>
        <v>0</v>
      </c>
      <c r="O252" s="86"/>
      <c r="P252" s="86"/>
      <c r="Q252" s="86"/>
      <c r="R252" s="86"/>
      <c r="S252" s="86"/>
    </row>
    <row r="253" spans="1:20" s="85" customFormat="1" x14ac:dyDescent="0.25">
      <c r="A253" s="102">
        <f t="shared" si="22"/>
        <v>0</v>
      </c>
      <c r="B253" s="84"/>
      <c r="C253" s="84"/>
      <c r="D253" s="84"/>
      <c r="E253" s="84"/>
      <c r="F253" s="84"/>
      <c r="G253" s="86"/>
      <c r="H253" s="93">
        <v>248</v>
      </c>
      <c r="I253" s="94" t="str">
        <f t="shared" si="23"/>
        <v/>
      </c>
      <c r="J253" s="93">
        <f t="shared" si="24"/>
        <v>-3</v>
      </c>
      <c r="K253" s="93">
        <f t="shared" si="25"/>
        <v>-30</v>
      </c>
      <c r="L253" s="93"/>
      <c r="M253" s="92">
        <f t="shared" si="26"/>
        <v>0</v>
      </c>
      <c r="N253" s="92">
        <f t="shared" si="27"/>
        <v>0</v>
      </c>
      <c r="O253" s="86"/>
      <c r="P253" s="86"/>
      <c r="Q253" s="86"/>
      <c r="R253" s="86"/>
      <c r="S253" s="86"/>
    </row>
    <row r="254" spans="1:20" s="85" customFormat="1" x14ac:dyDescent="0.25">
      <c r="A254" s="103">
        <f t="shared" si="22"/>
        <v>0</v>
      </c>
      <c r="B254" s="84"/>
      <c r="C254" s="84"/>
      <c r="D254" s="84"/>
      <c r="E254" s="84"/>
      <c r="F254" s="84"/>
      <c r="G254" s="86"/>
      <c r="H254" s="93">
        <v>249</v>
      </c>
      <c r="I254" s="94" t="str">
        <f t="shared" si="23"/>
        <v/>
      </c>
      <c r="J254" s="93">
        <f t="shared" si="24"/>
        <v>-3</v>
      </c>
      <c r="K254" s="93">
        <f t="shared" si="25"/>
        <v>-30</v>
      </c>
      <c r="L254" s="93"/>
      <c r="M254" s="92">
        <f t="shared" si="26"/>
        <v>0</v>
      </c>
      <c r="N254" s="92">
        <f t="shared" si="27"/>
        <v>0</v>
      </c>
      <c r="O254" s="86"/>
      <c r="P254" s="86"/>
      <c r="Q254" s="86"/>
      <c r="R254" s="86"/>
      <c r="S254" s="86"/>
    </row>
    <row r="255" spans="1:20" s="85" customFormat="1" x14ac:dyDescent="0.25">
      <c r="A255" s="102">
        <f t="shared" si="22"/>
        <v>0</v>
      </c>
      <c r="B255" s="84"/>
      <c r="C255" s="84"/>
      <c r="D255" s="84"/>
      <c r="E255" s="84"/>
      <c r="F255" s="84"/>
      <c r="G255" s="86"/>
      <c r="H255" s="93">
        <v>250</v>
      </c>
      <c r="I255" s="94" t="str">
        <f t="shared" si="23"/>
        <v/>
      </c>
      <c r="J255" s="93">
        <f t="shared" si="24"/>
        <v>-3</v>
      </c>
      <c r="K255" s="93">
        <f t="shared" si="25"/>
        <v>-30</v>
      </c>
      <c r="L255" s="93"/>
      <c r="M255" s="92">
        <f t="shared" si="26"/>
        <v>0</v>
      </c>
      <c r="N255" s="92">
        <f t="shared" si="27"/>
        <v>0</v>
      </c>
      <c r="O255" s="86"/>
      <c r="P255" s="86"/>
      <c r="Q255" s="86"/>
      <c r="R255" s="86"/>
      <c r="S255" s="86"/>
    </row>
    <row r="256" spans="1:20" s="85" customFormat="1" x14ac:dyDescent="0.25">
      <c r="A256" s="103">
        <f t="shared" si="22"/>
        <v>0</v>
      </c>
      <c r="B256" s="84"/>
      <c r="C256" s="84"/>
      <c r="D256" s="84"/>
      <c r="E256" s="84"/>
      <c r="F256" s="84"/>
      <c r="G256" s="86"/>
      <c r="H256" s="93">
        <v>251</v>
      </c>
      <c r="I256" s="94" t="str">
        <f t="shared" si="23"/>
        <v/>
      </c>
      <c r="J256" s="93">
        <f t="shared" si="24"/>
        <v>-3</v>
      </c>
      <c r="K256" s="93">
        <f t="shared" si="25"/>
        <v>-30</v>
      </c>
      <c r="L256" s="93"/>
      <c r="M256" s="92">
        <f t="shared" si="26"/>
        <v>0</v>
      </c>
      <c r="N256" s="92">
        <f t="shared" si="27"/>
        <v>0</v>
      </c>
      <c r="O256" s="86"/>
      <c r="P256" s="86"/>
      <c r="Q256" s="86"/>
      <c r="R256" s="86"/>
      <c r="S256" s="86"/>
    </row>
    <row r="257" spans="1:39" s="86" customFormat="1" x14ac:dyDescent="0.25">
      <c r="A257" s="102">
        <f t="shared" si="22"/>
        <v>0</v>
      </c>
      <c r="B257" s="84"/>
      <c r="C257" s="84"/>
      <c r="D257" s="84"/>
      <c r="E257" s="84"/>
      <c r="F257" s="84"/>
      <c r="H257" s="93">
        <v>252</v>
      </c>
      <c r="I257" s="94" t="str">
        <f t="shared" si="23"/>
        <v/>
      </c>
      <c r="J257" s="93">
        <f t="shared" si="24"/>
        <v>-3</v>
      </c>
      <c r="K257" s="93">
        <f t="shared" si="25"/>
        <v>-30</v>
      </c>
      <c r="L257" s="93"/>
      <c r="M257" s="92">
        <f t="shared" si="26"/>
        <v>0</v>
      </c>
      <c r="N257" s="92">
        <f t="shared" si="27"/>
        <v>0</v>
      </c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</row>
    <row r="258" spans="1:39" s="86" customFormat="1" x14ac:dyDescent="0.25">
      <c r="A258" s="103">
        <f t="shared" si="22"/>
        <v>0</v>
      </c>
      <c r="B258" s="84"/>
      <c r="C258" s="84"/>
      <c r="D258" s="84"/>
      <c r="E258" s="84"/>
      <c r="F258" s="84"/>
      <c r="H258" s="93">
        <v>253</v>
      </c>
      <c r="I258" s="94" t="str">
        <f t="shared" si="23"/>
        <v/>
      </c>
      <c r="J258" s="93">
        <f t="shared" si="24"/>
        <v>-3</v>
      </c>
      <c r="K258" s="93">
        <f t="shared" si="25"/>
        <v>-30</v>
      </c>
      <c r="L258" s="93"/>
      <c r="M258" s="92">
        <f t="shared" si="26"/>
        <v>0</v>
      </c>
      <c r="N258" s="92">
        <f t="shared" si="27"/>
        <v>0</v>
      </c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</row>
    <row r="259" spans="1:39" s="86" customFormat="1" x14ac:dyDescent="0.25">
      <c r="A259" s="102">
        <f t="shared" si="22"/>
        <v>0</v>
      </c>
      <c r="B259" s="84"/>
      <c r="C259" s="84"/>
      <c r="D259" s="84"/>
      <c r="E259" s="84"/>
      <c r="F259" s="84"/>
      <c r="H259" s="93">
        <v>254</v>
      </c>
      <c r="I259" s="94" t="str">
        <f t="shared" si="23"/>
        <v/>
      </c>
      <c r="J259" s="93">
        <f t="shared" si="24"/>
        <v>-3</v>
      </c>
      <c r="K259" s="93">
        <f t="shared" si="25"/>
        <v>-30</v>
      </c>
      <c r="L259" s="93"/>
      <c r="M259" s="92">
        <f t="shared" si="26"/>
        <v>0</v>
      </c>
      <c r="N259" s="92">
        <f t="shared" si="27"/>
        <v>0</v>
      </c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</row>
    <row r="260" spans="1:39" s="86" customFormat="1" x14ac:dyDescent="0.25">
      <c r="A260" s="103">
        <f t="shared" si="22"/>
        <v>0</v>
      </c>
      <c r="B260" s="84"/>
      <c r="C260" s="84"/>
      <c r="D260" s="84"/>
      <c r="E260" s="84"/>
      <c r="F260" s="84"/>
      <c r="H260" s="93">
        <v>255</v>
      </c>
      <c r="I260" s="94" t="str">
        <f t="shared" si="23"/>
        <v/>
      </c>
      <c r="J260" s="93">
        <f t="shared" si="24"/>
        <v>-3</v>
      </c>
      <c r="K260" s="93">
        <f t="shared" si="25"/>
        <v>-30</v>
      </c>
      <c r="L260" s="93"/>
      <c r="M260" s="92">
        <f t="shared" si="26"/>
        <v>0</v>
      </c>
      <c r="N260" s="92">
        <f t="shared" si="27"/>
        <v>0</v>
      </c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</row>
    <row r="261" spans="1:39" s="86" customFormat="1" x14ac:dyDescent="0.25">
      <c r="A261" s="102">
        <f t="shared" si="22"/>
        <v>0</v>
      </c>
      <c r="B261" s="84"/>
      <c r="C261" s="84"/>
      <c r="D261" s="84"/>
      <c r="E261" s="84"/>
      <c r="F261" s="84"/>
      <c r="H261" s="93">
        <v>256</v>
      </c>
      <c r="I261" s="94" t="str">
        <f t="shared" si="23"/>
        <v/>
      </c>
      <c r="J261" s="93">
        <f t="shared" si="24"/>
        <v>-3</v>
      </c>
      <c r="K261" s="93">
        <f t="shared" si="25"/>
        <v>-30</v>
      </c>
      <c r="L261" s="93"/>
      <c r="M261" s="92">
        <f t="shared" si="26"/>
        <v>0</v>
      </c>
      <c r="N261" s="92">
        <f t="shared" si="27"/>
        <v>0</v>
      </c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</row>
    <row r="262" spans="1:39" s="86" customFormat="1" x14ac:dyDescent="0.25">
      <c r="A262" s="103">
        <f t="shared" ref="A262:A305" si="29">N262</f>
        <v>0</v>
      </c>
      <c r="B262" s="84"/>
      <c r="C262" s="84"/>
      <c r="D262" s="84"/>
      <c r="E262" s="84"/>
      <c r="F262" s="84"/>
      <c r="H262" s="93">
        <v>257</v>
      </c>
      <c r="I262" s="94" t="str">
        <f t="shared" ref="I262:I305" si="30">IF(H262&lt;$H$2+1,($I$2-($I$2-1)*(LOG(H262)/LOG($H$2))),"")</f>
        <v/>
      </c>
      <c r="J262" s="93">
        <f t="shared" ref="J262:J305" si="31">INT(LOG($H$2,2))-ROUNDUP(LOG(H262,2),0)+IF(OR($H$2=1,$H$2=2,$H$2=4,$H$2=8,$H$2=16,$H$2=32,$H$2=64,$H$2=128,$H$2=256),0,1)</f>
        <v>-4</v>
      </c>
      <c r="K262" s="93">
        <f t="shared" ref="K262:K305" si="32">J262*$J$2</f>
        <v>-40</v>
      </c>
      <c r="L262" s="93"/>
      <c r="M262" s="92">
        <f t="shared" ref="M262:M305" si="33">IF(I262&lt;&gt;"",K262+I262+L262,0)</f>
        <v>0</v>
      </c>
      <c r="N262" s="92">
        <f t="shared" ref="N262:N305" si="34">IF(I262&lt;&gt;"",M262*L$2,0)</f>
        <v>0</v>
      </c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</row>
    <row r="263" spans="1:39" s="86" customFormat="1" x14ac:dyDescent="0.25">
      <c r="A263" s="102">
        <f t="shared" si="29"/>
        <v>0</v>
      </c>
      <c r="B263" s="84"/>
      <c r="C263" s="84"/>
      <c r="D263" s="84"/>
      <c r="E263" s="84"/>
      <c r="F263" s="84"/>
      <c r="H263" s="93">
        <v>258</v>
      </c>
      <c r="I263" s="94" t="str">
        <f t="shared" si="30"/>
        <v/>
      </c>
      <c r="J263" s="93">
        <f t="shared" si="31"/>
        <v>-4</v>
      </c>
      <c r="K263" s="93">
        <f t="shared" si="32"/>
        <v>-40</v>
      </c>
      <c r="L263" s="93"/>
      <c r="M263" s="92">
        <f t="shared" si="33"/>
        <v>0</v>
      </c>
      <c r="N263" s="92">
        <f t="shared" si="34"/>
        <v>0</v>
      </c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</row>
    <row r="264" spans="1:39" s="86" customFormat="1" x14ac:dyDescent="0.25">
      <c r="A264" s="103">
        <f t="shared" si="29"/>
        <v>0</v>
      </c>
      <c r="B264" s="84"/>
      <c r="C264" s="84"/>
      <c r="D264" s="84"/>
      <c r="E264" s="84"/>
      <c r="F264" s="84"/>
      <c r="H264" s="93">
        <v>259</v>
      </c>
      <c r="I264" s="94" t="str">
        <f t="shared" si="30"/>
        <v/>
      </c>
      <c r="J264" s="93">
        <f t="shared" si="31"/>
        <v>-4</v>
      </c>
      <c r="K264" s="93">
        <f t="shared" si="32"/>
        <v>-40</v>
      </c>
      <c r="L264" s="93"/>
      <c r="M264" s="92">
        <f t="shared" si="33"/>
        <v>0</v>
      </c>
      <c r="N264" s="92">
        <f t="shared" si="34"/>
        <v>0</v>
      </c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</row>
    <row r="265" spans="1:39" s="86" customFormat="1" x14ac:dyDescent="0.25">
      <c r="A265" s="102">
        <f t="shared" si="29"/>
        <v>0</v>
      </c>
      <c r="B265" s="84"/>
      <c r="C265" s="84"/>
      <c r="D265" s="84"/>
      <c r="E265" s="84"/>
      <c r="F265" s="84"/>
      <c r="H265" s="93">
        <v>260</v>
      </c>
      <c r="I265" s="94" t="str">
        <f t="shared" si="30"/>
        <v/>
      </c>
      <c r="J265" s="93">
        <f t="shared" si="31"/>
        <v>-4</v>
      </c>
      <c r="K265" s="93">
        <f t="shared" si="32"/>
        <v>-40</v>
      </c>
      <c r="L265" s="93"/>
      <c r="M265" s="92">
        <f t="shared" si="33"/>
        <v>0</v>
      </c>
      <c r="N265" s="92">
        <f t="shared" si="34"/>
        <v>0</v>
      </c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</row>
    <row r="266" spans="1:39" s="86" customFormat="1" x14ac:dyDescent="0.25">
      <c r="A266" s="103">
        <f t="shared" si="29"/>
        <v>0</v>
      </c>
      <c r="B266" s="84"/>
      <c r="C266" s="84"/>
      <c r="D266" s="84"/>
      <c r="E266" s="84"/>
      <c r="F266" s="84"/>
      <c r="H266" s="93">
        <v>261</v>
      </c>
      <c r="I266" s="94" t="str">
        <f t="shared" si="30"/>
        <v/>
      </c>
      <c r="J266" s="93">
        <f t="shared" si="31"/>
        <v>-4</v>
      </c>
      <c r="K266" s="93">
        <f t="shared" si="32"/>
        <v>-40</v>
      </c>
      <c r="L266" s="93"/>
      <c r="M266" s="92">
        <f t="shared" si="33"/>
        <v>0</v>
      </c>
      <c r="N266" s="92">
        <f t="shared" si="34"/>
        <v>0</v>
      </c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</row>
    <row r="267" spans="1:39" s="86" customFormat="1" x14ac:dyDescent="0.25">
      <c r="A267" s="102">
        <f t="shared" si="29"/>
        <v>0</v>
      </c>
      <c r="B267" s="84"/>
      <c r="C267" s="84"/>
      <c r="D267" s="84"/>
      <c r="E267" s="84"/>
      <c r="F267" s="84"/>
      <c r="H267" s="93">
        <v>262</v>
      </c>
      <c r="I267" s="94" t="str">
        <f t="shared" si="30"/>
        <v/>
      </c>
      <c r="J267" s="93">
        <f t="shared" si="31"/>
        <v>-4</v>
      </c>
      <c r="K267" s="93">
        <f t="shared" si="32"/>
        <v>-40</v>
      </c>
      <c r="L267" s="93"/>
      <c r="M267" s="92">
        <f t="shared" si="33"/>
        <v>0</v>
      </c>
      <c r="N267" s="92">
        <f t="shared" si="34"/>
        <v>0</v>
      </c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</row>
    <row r="268" spans="1:39" s="86" customFormat="1" x14ac:dyDescent="0.25">
      <c r="A268" s="103">
        <f t="shared" si="29"/>
        <v>0</v>
      </c>
      <c r="B268" s="84"/>
      <c r="C268" s="84"/>
      <c r="D268" s="84"/>
      <c r="E268" s="84"/>
      <c r="F268" s="84"/>
      <c r="H268" s="93">
        <v>263</v>
      </c>
      <c r="I268" s="94" t="str">
        <f t="shared" si="30"/>
        <v/>
      </c>
      <c r="J268" s="93">
        <f t="shared" si="31"/>
        <v>-4</v>
      </c>
      <c r="K268" s="93">
        <f t="shared" si="32"/>
        <v>-40</v>
      </c>
      <c r="L268" s="93"/>
      <c r="M268" s="92">
        <f t="shared" si="33"/>
        <v>0</v>
      </c>
      <c r="N268" s="92">
        <f t="shared" si="34"/>
        <v>0</v>
      </c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</row>
    <row r="269" spans="1:39" s="86" customFormat="1" x14ac:dyDescent="0.25">
      <c r="A269" s="102">
        <f t="shared" si="29"/>
        <v>0</v>
      </c>
      <c r="B269" s="84"/>
      <c r="C269" s="84"/>
      <c r="D269" s="84"/>
      <c r="E269" s="84"/>
      <c r="F269" s="84"/>
      <c r="H269" s="93">
        <v>264</v>
      </c>
      <c r="I269" s="94" t="str">
        <f t="shared" si="30"/>
        <v/>
      </c>
      <c r="J269" s="93">
        <f t="shared" si="31"/>
        <v>-4</v>
      </c>
      <c r="K269" s="93">
        <f t="shared" si="32"/>
        <v>-40</v>
      </c>
      <c r="L269" s="93"/>
      <c r="M269" s="92">
        <f t="shared" si="33"/>
        <v>0</v>
      </c>
      <c r="N269" s="92">
        <f t="shared" si="34"/>
        <v>0</v>
      </c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</row>
    <row r="270" spans="1:39" s="86" customFormat="1" x14ac:dyDescent="0.25">
      <c r="A270" s="103">
        <f t="shared" si="29"/>
        <v>0</v>
      </c>
      <c r="B270" s="84"/>
      <c r="C270" s="84"/>
      <c r="D270" s="84"/>
      <c r="E270" s="84"/>
      <c r="F270" s="84"/>
      <c r="H270" s="93">
        <v>265</v>
      </c>
      <c r="I270" s="94" t="str">
        <f t="shared" si="30"/>
        <v/>
      </c>
      <c r="J270" s="93">
        <f t="shared" si="31"/>
        <v>-4</v>
      </c>
      <c r="K270" s="93">
        <f t="shared" si="32"/>
        <v>-40</v>
      </c>
      <c r="L270" s="93"/>
      <c r="M270" s="92">
        <f t="shared" si="33"/>
        <v>0</v>
      </c>
      <c r="N270" s="92">
        <f t="shared" si="34"/>
        <v>0</v>
      </c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</row>
    <row r="271" spans="1:39" s="86" customFormat="1" x14ac:dyDescent="0.25">
      <c r="A271" s="102">
        <f t="shared" si="29"/>
        <v>0</v>
      </c>
      <c r="B271" s="84"/>
      <c r="C271" s="84"/>
      <c r="D271" s="84"/>
      <c r="E271" s="84"/>
      <c r="F271" s="84"/>
      <c r="H271" s="93">
        <v>266</v>
      </c>
      <c r="I271" s="94" t="str">
        <f t="shared" si="30"/>
        <v/>
      </c>
      <c r="J271" s="93">
        <f t="shared" si="31"/>
        <v>-4</v>
      </c>
      <c r="K271" s="93">
        <f t="shared" si="32"/>
        <v>-40</v>
      </c>
      <c r="L271" s="93"/>
      <c r="M271" s="92">
        <f t="shared" si="33"/>
        <v>0</v>
      </c>
      <c r="N271" s="92">
        <f t="shared" si="34"/>
        <v>0</v>
      </c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</row>
    <row r="272" spans="1:39" s="86" customFormat="1" x14ac:dyDescent="0.25">
      <c r="A272" s="103">
        <f t="shared" si="29"/>
        <v>0</v>
      </c>
      <c r="B272" s="84"/>
      <c r="C272" s="84"/>
      <c r="D272" s="84"/>
      <c r="E272" s="84"/>
      <c r="F272" s="84"/>
      <c r="H272" s="93">
        <v>267</v>
      </c>
      <c r="I272" s="94" t="str">
        <f t="shared" si="30"/>
        <v/>
      </c>
      <c r="J272" s="93">
        <f t="shared" si="31"/>
        <v>-4</v>
      </c>
      <c r="K272" s="93">
        <f t="shared" si="32"/>
        <v>-40</v>
      </c>
      <c r="L272" s="93"/>
      <c r="M272" s="92">
        <f t="shared" si="33"/>
        <v>0</v>
      </c>
      <c r="N272" s="92">
        <f t="shared" si="34"/>
        <v>0</v>
      </c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</row>
    <row r="273" spans="1:39" s="86" customFormat="1" x14ac:dyDescent="0.25">
      <c r="A273" s="102">
        <f t="shared" si="29"/>
        <v>0</v>
      </c>
      <c r="B273" s="84"/>
      <c r="C273" s="84"/>
      <c r="D273" s="84"/>
      <c r="E273" s="84"/>
      <c r="F273" s="84"/>
      <c r="H273" s="93">
        <v>268</v>
      </c>
      <c r="I273" s="94" t="str">
        <f t="shared" si="30"/>
        <v/>
      </c>
      <c r="J273" s="93">
        <f t="shared" si="31"/>
        <v>-4</v>
      </c>
      <c r="K273" s="93">
        <f t="shared" si="32"/>
        <v>-40</v>
      </c>
      <c r="L273" s="93"/>
      <c r="M273" s="92">
        <f t="shared" si="33"/>
        <v>0</v>
      </c>
      <c r="N273" s="92">
        <f t="shared" si="34"/>
        <v>0</v>
      </c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</row>
    <row r="274" spans="1:39" s="86" customFormat="1" x14ac:dyDescent="0.25">
      <c r="A274" s="103">
        <f t="shared" si="29"/>
        <v>0</v>
      </c>
      <c r="B274" s="84"/>
      <c r="C274" s="84"/>
      <c r="D274" s="84"/>
      <c r="E274" s="84"/>
      <c r="F274" s="84"/>
      <c r="H274" s="93">
        <v>269</v>
      </c>
      <c r="I274" s="94" t="str">
        <f t="shared" si="30"/>
        <v/>
      </c>
      <c r="J274" s="93">
        <f t="shared" si="31"/>
        <v>-4</v>
      </c>
      <c r="K274" s="93">
        <f t="shared" si="32"/>
        <v>-40</v>
      </c>
      <c r="L274" s="93"/>
      <c r="M274" s="92">
        <f t="shared" si="33"/>
        <v>0</v>
      </c>
      <c r="N274" s="92">
        <f t="shared" si="34"/>
        <v>0</v>
      </c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</row>
    <row r="275" spans="1:39" s="86" customFormat="1" x14ac:dyDescent="0.25">
      <c r="A275" s="102">
        <f t="shared" si="29"/>
        <v>0</v>
      </c>
      <c r="B275" s="84"/>
      <c r="C275" s="84"/>
      <c r="D275" s="84"/>
      <c r="E275" s="84"/>
      <c r="F275" s="84"/>
      <c r="H275" s="93">
        <v>270</v>
      </c>
      <c r="I275" s="94" t="str">
        <f t="shared" si="30"/>
        <v/>
      </c>
      <c r="J275" s="93">
        <f t="shared" si="31"/>
        <v>-4</v>
      </c>
      <c r="K275" s="93">
        <f t="shared" si="32"/>
        <v>-40</v>
      </c>
      <c r="L275" s="93"/>
      <c r="M275" s="92">
        <f t="shared" si="33"/>
        <v>0</v>
      </c>
      <c r="N275" s="92">
        <f t="shared" si="34"/>
        <v>0</v>
      </c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</row>
    <row r="276" spans="1:39" s="86" customFormat="1" x14ac:dyDescent="0.25">
      <c r="A276" s="103">
        <f t="shared" si="29"/>
        <v>0</v>
      </c>
      <c r="B276" s="84"/>
      <c r="C276" s="84"/>
      <c r="D276" s="84"/>
      <c r="E276" s="84"/>
      <c r="F276" s="84"/>
      <c r="H276" s="93">
        <v>271</v>
      </c>
      <c r="I276" s="94" t="str">
        <f t="shared" si="30"/>
        <v/>
      </c>
      <c r="J276" s="93">
        <f t="shared" si="31"/>
        <v>-4</v>
      </c>
      <c r="K276" s="93">
        <f t="shared" si="32"/>
        <v>-40</v>
      </c>
      <c r="L276" s="93"/>
      <c r="M276" s="92">
        <f t="shared" si="33"/>
        <v>0</v>
      </c>
      <c r="N276" s="92">
        <f t="shared" si="34"/>
        <v>0</v>
      </c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</row>
    <row r="277" spans="1:39" s="86" customFormat="1" x14ac:dyDescent="0.25">
      <c r="A277" s="102">
        <f t="shared" si="29"/>
        <v>0</v>
      </c>
      <c r="B277" s="84"/>
      <c r="C277" s="84"/>
      <c r="D277" s="84"/>
      <c r="E277" s="84"/>
      <c r="F277" s="84"/>
      <c r="H277" s="93">
        <v>272</v>
      </c>
      <c r="I277" s="94" t="str">
        <f t="shared" si="30"/>
        <v/>
      </c>
      <c r="J277" s="93">
        <f t="shared" si="31"/>
        <v>-4</v>
      </c>
      <c r="K277" s="93">
        <f t="shared" si="32"/>
        <v>-40</v>
      </c>
      <c r="L277" s="93"/>
      <c r="M277" s="92">
        <f t="shared" si="33"/>
        <v>0</v>
      </c>
      <c r="N277" s="92">
        <f t="shared" si="34"/>
        <v>0</v>
      </c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</row>
    <row r="278" spans="1:39" s="86" customFormat="1" x14ac:dyDescent="0.25">
      <c r="A278" s="103">
        <f t="shared" si="29"/>
        <v>0</v>
      </c>
      <c r="B278" s="84"/>
      <c r="C278" s="84"/>
      <c r="D278" s="84"/>
      <c r="E278" s="84"/>
      <c r="F278" s="84"/>
      <c r="H278" s="93">
        <v>273</v>
      </c>
      <c r="I278" s="94" t="str">
        <f t="shared" si="30"/>
        <v/>
      </c>
      <c r="J278" s="93">
        <f t="shared" si="31"/>
        <v>-4</v>
      </c>
      <c r="K278" s="93">
        <f t="shared" si="32"/>
        <v>-40</v>
      </c>
      <c r="L278" s="93"/>
      <c r="M278" s="92">
        <f t="shared" si="33"/>
        <v>0</v>
      </c>
      <c r="N278" s="92">
        <f t="shared" si="34"/>
        <v>0</v>
      </c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</row>
    <row r="279" spans="1:39" s="86" customFormat="1" x14ac:dyDescent="0.25">
      <c r="A279" s="102">
        <f t="shared" si="29"/>
        <v>0</v>
      </c>
      <c r="B279" s="84"/>
      <c r="C279" s="84"/>
      <c r="D279" s="84"/>
      <c r="E279" s="84"/>
      <c r="F279" s="84"/>
      <c r="H279" s="93">
        <v>274</v>
      </c>
      <c r="I279" s="94" t="str">
        <f t="shared" si="30"/>
        <v/>
      </c>
      <c r="J279" s="93">
        <f t="shared" si="31"/>
        <v>-4</v>
      </c>
      <c r="K279" s="93">
        <f t="shared" si="32"/>
        <v>-40</v>
      </c>
      <c r="L279" s="93"/>
      <c r="M279" s="92">
        <f t="shared" si="33"/>
        <v>0</v>
      </c>
      <c r="N279" s="92">
        <f t="shared" si="34"/>
        <v>0</v>
      </c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</row>
    <row r="280" spans="1:39" s="86" customFormat="1" x14ac:dyDescent="0.25">
      <c r="A280" s="103">
        <f t="shared" si="29"/>
        <v>0</v>
      </c>
      <c r="B280" s="84"/>
      <c r="C280" s="84"/>
      <c r="D280" s="84"/>
      <c r="E280" s="84"/>
      <c r="F280" s="84"/>
      <c r="H280" s="93">
        <v>275</v>
      </c>
      <c r="I280" s="94" t="str">
        <f t="shared" si="30"/>
        <v/>
      </c>
      <c r="J280" s="93">
        <f t="shared" si="31"/>
        <v>-4</v>
      </c>
      <c r="K280" s="93">
        <f t="shared" si="32"/>
        <v>-40</v>
      </c>
      <c r="L280" s="93"/>
      <c r="M280" s="92">
        <f t="shared" si="33"/>
        <v>0</v>
      </c>
      <c r="N280" s="92">
        <f t="shared" si="34"/>
        <v>0</v>
      </c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</row>
    <row r="281" spans="1:39" s="86" customFormat="1" x14ac:dyDescent="0.25">
      <c r="A281" s="102">
        <f t="shared" si="29"/>
        <v>0</v>
      </c>
      <c r="B281" s="84"/>
      <c r="C281" s="84"/>
      <c r="D281" s="84"/>
      <c r="E281" s="84"/>
      <c r="F281" s="84"/>
      <c r="H281" s="93">
        <v>276</v>
      </c>
      <c r="I281" s="94" t="str">
        <f t="shared" si="30"/>
        <v/>
      </c>
      <c r="J281" s="93">
        <f t="shared" si="31"/>
        <v>-4</v>
      </c>
      <c r="K281" s="93">
        <f t="shared" si="32"/>
        <v>-40</v>
      </c>
      <c r="L281" s="93"/>
      <c r="M281" s="92">
        <f t="shared" si="33"/>
        <v>0</v>
      </c>
      <c r="N281" s="92">
        <f t="shared" si="34"/>
        <v>0</v>
      </c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</row>
    <row r="282" spans="1:39" s="86" customFormat="1" x14ac:dyDescent="0.25">
      <c r="A282" s="103">
        <f t="shared" si="29"/>
        <v>0</v>
      </c>
      <c r="B282" s="84"/>
      <c r="C282" s="84"/>
      <c r="D282" s="84"/>
      <c r="E282" s="84"/>
      <c r="F282" s="84"/>
      <c r="H282" s="93">
        <v>277</v>
      </c>
      <c r="I282" s="94" t="str">
        <f t="shared" si="30"/>
        <v/>
      </c>
      <c r="J282" s="93">
        <f t="shared" si="31"/>
        <v>-4</v>
      </c>
      <c r="K282" s="93">
        <f t="shared" si="32"/>
        <v>-40</v>
      </c>
      <c r="L282" s="93"/>
      <c r="M282" s="92">
        <f t="shared" si="33"/>
        <v>0</v>
      </c>
      <c r="N282" s="92">
        <f t="shared" si="34"/>
        <v>0</v>
      </c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</row>
    <row r="283" spans="1:39" s="86" customFormat="1" x14ac:dyDescent="0.25">
      <c r="A283" s="102">
        <f t="shared" si="29"/>
        <v>0</v>
      </c>
      <c r="B283" s="84"/>
      <c r="C283" s="84"/>
      <c r="D283" s="84"/>
      <c r="E283" s="84"/>
      <c r="F283" s="84"/>
      <c r="H283" s="93">
        <v>278</v>
      </c>
      <c r="I283" s="94" t="str">
        <f t="shared" si="30"/>
        <v/>
      </c>
      <c r="J283" s="93">
        <f t="shared" si="31"/>
        <v>-4</v>
      </c>
      <c r="K283" s="93">
        <f t="shared" si="32"/>
        <v>-40</v>
      </c>
      <c r="L283" s="93"/>
      <c r="M283" s="92">
        <f t="shared" si="33"/>
        <v>0</v>
      </c>
      <c r="N283" s="92">
        <f t="shared" si="34"/>
        <v>0</v>
      </c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</row>
    <row r="284" spans="1:39" s="86" customFormat="1" x14ac:dyDescent="0.25">
      <c r="A284" s="103">
        <f t="shared" si="29"/>
        <v>0</v>
      </c>
      <c r="B284" s="84"/>
      <c r="C284" s="84"/>
      <c r="D284" s="84"/>
      <c r="E284" s="84"/>
      <c r="F284" s="84"/>
      <c r="H284" s="93">
        <v>279</v>
      </c>
      <c r="I284" s="94" t="str">
        <f t="shared" si="30"/>
        <v/>
      </c>
      <c r="J284" s="93">
        <f t="shared" si="31"/>
        <v>-4</v>
      </c>
      <c r="K284" s="93">
        <f t="shared" si="32"/>
        <v>-40</v>
      </c>
      <c r="L284" s="93"/>
      <c r="M284" s="92">
        <f t="shared" si="33"/>
        <v>0</v>
      </c>
      <c r="N284" s="92">
        <f t="shared" si="34"/>
        <v>0</v>
      </c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</row>
    <row r="285" spans="1:39" s="86" customFormat="1" x14ac:dyDescent="0.25">
      <c r="A285" s="102">
        <f t="shared" si="29"/>
        <v>0</v>
      </c>
      <c r="B285" s="84"/>
      <c r="C285" s="84"/>
      <c r="D285" s="84"/>
      <c r="E285" s="84"/>
      <c r="F285" s="84"/>
      <c r="H285" s="93">
        <v>280</v>
      </c>
      <c r="I285" s="94" t="str">
        <f t="shared" si="30"/>
        <v/>
      </c>
      <c r="J285" s="93">
        <f t="shared" si="31"/>
        <v>-4</v>
      </c>
      <c r="K285" s="93">
        <f t="shared" si="32"/>
        <v>-40</v>
      </c>
      <c r="L285" s="93"/>
      <c r="M285" s="92">
        <f t="shared" si="33"/>
        <v>0</v>
      </c>
      <c r="N285" s="92">
        <f t="shared" si="34"/>
        <v>0</v>
      </c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</row>
    <row r="286" spans="1:39" s="86" customFormat="1" x14ac:dyDescent="0.25">
      <c r="A286" s="103">
        <f t="shared" si="29"/>
        <v>0</v>
      </c>
      <c r="B286" s="84"/>
      <c r="C286" s="84"/>
      <c r="D286" s="84"/>
      <c r="E286" s="84"/>
      <c r="F286" s="84"/>
      <c r="H286" s="93">
        <v>281</v>
      </c>
      <c r="I286" s="94" t="str">
        <f t="shared" si="30"/>
        <v/>
      </c>
      <c r="J286" s="93">
        <f t="shared" si="31"/>
        <v>-4</v>
      </c>
      <c r="K286" s="93">
        <f t="shared" si="32"/>
        <v>-40</v>
      </c>
      <c r="L286" s="93"/>
      <c r="M286" s="92">
        <f t="shared" si="33"/>
        <v>0</v>
      </c>
      <c r="N286" s="92">
        <f t="shared" si="34"/>
        <v>0</v>
      </c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</row>
    <row r="287" spans="1:39" s="86" customFormat="1" x14ac:dyDescent="0.25">
      <c r="A287" s="102">
        <f t="shared" si="29"/>
        <v>0</v>
      </c>
      <c r="B287" s="84"/>
      <c r="C287" s="84"/>
      <c r="D287" s="84"/>
      <c r="E287" s="84"/>
      <c r="F287" s="84"/>
      <c r="H287" s="93">
        <v>282</v>
      </c>
      <c r="I287" s="94" t="str">
        <f t="shared" si="30"/>
        <v/>
      </c>
      <c r="J287" s="93">
        <f t="shared" si="31"/>
        <v>-4</v>
      </c>
      <c r="K287" s="93">
        <f t="shared" si="32"/>
        <v>-40</v>
      </c>
      <c r="L287" s="93"/>
      <c r="M287" s="92">
        <f t="shared" si="33"/>
        <v>0</v>
      </c>
      <c r="N287" s="92">
        <f t="shared" si="34"/>
        <v>0</v>
      </c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</row>
    <row r="288" spans="1:39" s="86" customFormat="1" x14ac:dyDescent="0.25">
      <c r="A288" s="103">
        <f t="shared" si="29"/>
        <v>0</v>
      </c>
      <c r="B288" s="84"/>
      <c r="C288" s="84"/>
      <c r="D288" s="84"/>
      <c r="E288" s="84"/>
      <c r="F288" s="84"/>
      <c r="H288" s="93">
        <v>283</v>
      </c>
      <c r="I288" s="94" t="str">
        <f t="shared" si="30"/>
        <v/>
      </c>
      <c r="J288" s="93">
        <f t="shared" si="31"/>
        <v>-4</v>
      </c>
      <c r="K288" s="93">
        <f t="shared" si="32"/>
        <v>-40</v>
      </c>
      <c r="L288" s="93"/>
      <c r="M288" s="92">
        <f t="shared" si="33"/>
        <v>0</v>
      </c>
      <c r="N288" s="92">
        <f t="shared" si="34"/>
        <v>0</v>
      </c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</row>
    <row r="289" spans="1:39" s="86" customFormat="1" x14ac:dyDescent="0.25">
      <c r="A289" s="102">
        <f t="shared" si="29"/>
        <v>0</v>
      </c>
      <c r="B289" s="84"/>
      <c r="C289" s="84"/>
      <c r="D289" s="84"/>
      <c r="E289" s="84"/>
      <c r="F289" s="84"/>
      <c r="H289" s="93">
        <v>284</v>
      </c>
      <c r="I289" s="94" t="str">
        <f t="shared" si="30"/>
        <v/>
      </c>
      <c r="J289" s="93">
        <f t="shared" si="31"/>
        <v>-4</v>
      </c>
      <c r="K289" s="93">
        <f t="shared" si="32"/>
        <v>-40</v>
      </c>
      <c r="L289" s="93"/>
      <c r="M289" s="92">
        <f t="shared" si="33"/>
        <v>0</v>
      </c>
      <c r="N289" s="92">
        <f t="shared" si="34"/>
        <v>0</v>
      </c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</row>
    <row r="290" spans="1:39" s="86" customFormat="1" x14ac:dyDescent="0.25">
      <c r="A290" s="103">
        <f t="shared" si="29"/>
        <v>0</v>
      </c>
      <c r="B290" s="84"/>
      <c r="C290" s="84"/>
      <c r="D290" s="84"/>
      <c r="E290" s="84"/>
      <c r="F290" s="84"/>
      <c r="H290" s="93">
        <v>285</v>
      </c>
      <c r="I290" s="94" t="str">
        <f t="shared" si="30"/>
        <v/>
      </c>
      <c r="J290" s="93">
        <f t="shared" si="31"/>
        <v>-4</v>
      </c>
      <c r="K290" s="93">
        <f t="shared" si="32"/>
        <v>-40</v>
      </c>
      <c r="L290" s="93"/>
      <c r="M290" s="92">
        <f t="shared" si="33"/>
        <v>0</v>
      </c>
      <c r="N290" s="92">
        <f t="shared" si="34"/>
        <v>0</v>
      </c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</row>
    <row r="291" spans="1:39" s="86" customFormat="1" x14ac:dyDescent="0.25">
      <c r="A291" s="102">
        <f t="shared" si="29"/>
        <v>0</v>
      </c>
      <c r="B291" s="84"/>
      <c r="C291" s="84"/>
      <c r="D291" s="84"/>
      <c r="E291" s="84"/>
      <c r="F291" s="84"/>
      <c r="H291" s="93">
        <v>286</v>
      </c>
      <c r="I291" s="94" t="str">
        <f t="shared" si="30"/>
        <v/>
      </c>
      <c r="J291" s="93">
        <f t="shared" si="31"/>
        <v>-4</v>
      </c>
      <c r="K291" s="93">
        <f t="shared" si="32"/>
        <v>-40</v>
      </c>
      <c r="L291" s="93"/>
      <c r="M291" s="92">
        <f t="shared" si="33"/>
        <v>0</v>
      </c>
      <c r="N291" s="92">
        <f t="shared" si="34"/>
        <v>0</v>
      </c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</row>
    <row r="292" spans="1:39" s="86" customFormat="1" x14ac:dyDescent="0.25">
      <c r="A292" s="103">
        <f t="shared" si="29"/>
        <v>0</v>
      </c>
      <c r="B292" s="84"/>
      <c r="C292" s="84"/>
      <c r="D292" s="84"/>
      <c r="E292" s="84"/>
      <c r="F292" s="84"/>
      <c r="H292" s="93">
        <v>287</v>
      </c>
      <c r="I292" s="94" t="str">
        <f t="shared" si="30"/>
        <v/>
      </c>
      <c r="J292" s="93">
        <f t="shared" si="31"/>
        <v>-4</v>
      </c>
      <c r="K292" s="93">
        <f t="shared" si="32"/>
        <v>-40</v>
      </c>
      <c r="L292" s="93"/>
      <c r="M292" s="92">
        <f t="shared" si="33"/>
        <v>0</v>
      </c>
      <c r="N292" s="92">
        <f t="shared" si="34"/>
        <v>0</v>
      </c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</row>
    <row r="293" spans="1:39" s="86" customFormat="1" x14ac:dyDescent="0.25">
      <c r="A293" s="102">
        <f t="shared" si="29"/>
        <v>0</v>
      </c>
      <c r="B293" s="84"/>
      <c r="C293" s="84"/>
      <c r="D293" s="84"/>
      <c r="E293" s="84"/>
      <c r="F293" s="84"/>
      <c r="H293" s="93">
        <v>288</v>
      </c>
      <c r="I293" s="94" t="str">
        <f t="shared" si="30"/>
        <v/>
      </c>
      <c r="J293" s="93">
        <f t="shared" si="31"/>
        <v>-4</v>
      </c>
      <c r="K293" s="93">
        <f t="shared" si="32"/>
        <v>-40</v>
      </c>
      <c r="L293" s="93"/>
      <c r="M293" s="92">
        <f t="shared" si="33"/>
        <v>0</v>
      </c>
      <c r="N293" s="92">
        <f t="shared" si="34"/>
        <v>0</v>
      </c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</row>
    <row r="294" spans="1:39" s="86" customFormat="1" x14ac:dyDescent="0.25">
      <c r="A294" s="103">
        <f t="shared" si="29"/>
        <v>0</v>
      </c>
      <c r="B294" s="84"/>
      <c r="C294" s="84"/>
      <c r="D294" s="84"/>
      <c r="E294" s="84"/>
      <c r="F294" s="84"/>
      <c r="H294" s="93">
        <v>289</v>
      </c>
      <c r="I294" s="94" t="str">
        <f t="shared" si="30"/>
        <v/>
      </c>
      <c r="J294" s="93">
        <f t="shared" si="31"/>
        <v>-4</v>
      </c>
      <c r="K294" s="93">
        <f t="shared" si="32"/>
        <v>-40</v>
      </c>
      <c r="L294" s="93"/>
      <c r="M294" s="92">
        <f t="shared" si="33"/>
        <v>0</v>
      </c>
      <c r="N294" s="92">
        <f t="shared" si="34"/>
        <v>0</v>
      </c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</row>
    <row r="295" spans="1:39" s="86" customFormat="1" x14ac:dyDescent="0.25">
      <c r="A295" s="102">
        <f t="shared" si="29"/>
        <v>0</v>
      </c>
      <c r="B295" s="84"/>
      <c r="C295" s="84"/>
      <c r="D295" s="84"/>
      <c r="E295" s="84"/>
      <c r="F295" s="84"/>
      <c r="H295" s="93">
        <v>290</v>
      </c>
      <c r="I295" s="94" t="str">
        <f t="shared" si="30"/>
        <v/>
      </c>
      <c r="J295" s="93">
        <f t="shared" si="31"/>
        <v>-4</v>
      </c>
      <c r="K295" s="93">
        <f t="shared" si="32"/>
        <v>-40</v>
      </c>
      <c r="L295" s="93"/>
      <c r="M295" s="92">
        <f t="shared" si="33"/>
        <v>0</v>
      </c>
      <c r="N295" s="92">
        <f t="shared" si="34"/>
        <v>0</v>
      </c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</row>
    <row r="296" spans="1:39" s="86" customFormat="1" x14ac:dyDescent="0.25">
      <c r="A296" s="103">
        <f t="shared" si="29"/>
        <v>0</v>
      </c>
      <c r="B296" s="84"/>
      <c r="C296" s="84"/>
      <c r="D296" s="84"/>
      <c r="E296" s="84"/>
      <c r="F296" s="84"/>
      <c r="H296" s="93">
        <v>291</v>
      </c>
      <c r="I296" s="94" t="str">
        <f t="shared" si="30"/>
        <v/>
      </c>
      <c r="J296" s="93">
        <f t="shared" si="31"/>
        <v>-4</v>
      </c>
      <c r="K296" s="93">
        <f t="shared" si="32"/>
        <v>-40</v>
      </c>
      <c r="L296" s="93"/>
      <c r="M296" s="92">
        <f t="shared" si="33"/>
        <v>0</v>
      </c>
      <c r="N296" s="92">
        <f t="shared" si="34"/>
        <v>0</v>
      </c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</row>
    <row r="297" spans="1:39" s="86" customFormat="1" x14ac:dyDescent="0.25">
      <c r="A297" s="102">
        <f t="shared" si="29"/>
        <v>0</v>
      </c>
      <c r="B297" s="84"/>
      <c r="C297" s="84"/>
      <c r="D297" s="84"/>
      <c r="E297" s="84"/>
      <c r="F297" s="84"/>
      <c r="H297" s="93">
        <v>292</v>
      </c>
      <c r="I297" s="94" t="str">
        <f t="shared" si="30"/>
        <v/>
      </c>
      <c r="J297" s="93">
        <f t="shared" si="31"/>
        <v>-4</v>
      </c>
      <c r="K297" s="93">
        <f t="shared" si="32"/>
        <v>-40</v>
      </c>
      <c r="L297" s="93"/>
      <c r="M297" s="92">
        <f t="shared" si="33"/>
        <v>0</v>
      </c>
      <c r="N297" s="92">
        <f t="shared" si="34"/>
        <v>0</v>
      </c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</row>
    <row r="298" spans="1:39" s="86" customFormat="1" x14ac:dyDescent="0.25">
      <c r="A298" s="103">
        <f t="shared" si="29"/>
        <v>0</v>
      </c>
      <c r="B298" s="84"/>
      <c r="C298" s="84"/>
      <c r="D298" s="84"/>
      <c r="E298" s="84"/>
      <c r="F298" s="84"/>
      <c r="H298" s="93">
        <v>293</v>
      </c>
      <c r="I298" s="94" t="str">
        <f t="shared" si="30"/>
        <v/>
      </c>
      <c r="J298" s="93">
        <f t="shared" si="31"/>
        <v>-4</v>
      </c>
      <c r="K298" s="93">
        <f t="shared" si="32"/>
        <v>-40</v>
      </c>
      <c r="L298" s="93"/>
      <c r="M298" s="92">
        <f t="shared" si="33"/>
        <v>0</v>
      </c>
      <c r="N298" s="92">
        <f t="shared" si="34"/>
        <v>0</v>
      </c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</row>
    <row r="299" spans="1:39" s="86" customFormat="1" x14ac:dyDescent="0.25">
      <c r="A299" s="102">
        <f t="shared" si="29"/>
        <v>0</v>
      </c>
      <c r="B299" s="84"/>
      <c r="C299" s="84"/>
      <c r="D299" s="84"/>
      <c r="E299" s="84"/>
      <c r="F299" s="84"/>
      <c r="H299" s="93">
        <v>294</v>
      </c>
      <c r="I299" s="94" t="str">
        <f t="shared" si="30"/>
        <v/>
      </c>
      <c r="J299" s="93">
        <f t="shared" si="31"/>
        <v>-4</v>
      </c>
      <c r="K299" s="93">
        <f t="shared" si="32"/>
        <v>-40</v>
      </c>
      <c r="L299" s="93"/>
      <c r="M299" s="92">
        <f t="shared" si="33"/>
        <v>0</v>
      </c>
      <c r="N299" s="92">
        <f t="shared" si="34"/>
        <v>0</v>
      </c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</row>
    <row r="300" spans="1:39" s="86" customFormat="1" x14ac:dyDescent="0.25">
      <c r="A300" s="103">
        <f t="shared" si="29"/>
        <v>0</v>
      </c>
      <c r="B300" s="84"/>
      <c r="C300" s="84"/>
      <c r="D300" s="84"/>
      <c r="E300" s="84"/>
      <c r="F300" s="84"/>
      <c r="H300" s="93">
        <v>295</v>
      </c>
      <c r="I300" s="94" t="str">
        <f t="shared" si="30"/>
        <v/>
      </c>
      <c r="J300" s="93">
        <f t="shared" si="31"/>
        <v>-4</v>
      </c>
      <c r="K300" s="93">
        <f t="shared" si="32"/>
        <v>-40</v>
      </c>
      <c r="L300" s="93"/>
      <c r="M300" s="92">
        <f t="shared" si="33"/>
        <v>0</v>
      </c>
      <c r="N300" s="92">
        <f t="shared" si="34"/>
        <v>0</v>
      </c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</row>
    <row r="301" spans="1:39" s="86" customFormat="1" x14ac:dyDescent="0.25">
      <c r="A301" s="102">
        <f t="shared" si="29"/>
        <v>0</v>
      </c>
      <c r="B301" s="84"/>
      <c r="C301" s="84"/>
      <c r="D301" s="84"/>
      <c r="E301" s="84"/>
      <c r="F301" s="84"/>
      <c r="H301" s="93">
        <v>296</v>
      </c>
      <c r="I301" s="94" t="str">
        <f t="shared" si="30"/>
        <v/>
      </c>
      <c r="J301" s="93">
        <f t="shared" si="31"/>
        <v>-4</v>
      </c>
      <c r="K301" s="93">
        <f t="shared" si="32"/>
        <v>-40</v>
      </c>
      <c r="L301" s="93"/>
      <c r="M301" s="92">
        <f t="shared" si="33"/>
        <v>0</v>
      </c>
      <c r="N301" s="92">
        <f t="shared" si="34"/>
        <v>0</v>
      </c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</row>
    <row r="302" spans="1:39" s="86" customFormat="1" x14ac:dyDescent="0.25">
      <c r="A302" s="103">
        <f t="shared" si="29"/>
        <v>0</v>
      </c>
      <c r="B302" s="84"/>
      <c r="C302" s="84"/>
      <c r="D302" s="84"/>
      <c r="E302" s="84"/>
      <c r="F302" s="84"/>
      <c r="H302" s="93">
        <v>297</v>
      </c>
      <c r="I302" s="94" t="str">
        <f t="shared" si="30"/>
        <v/>
      </c>
      <c r="J302" s="93">
        <f t="shared" si="31"/>
        <v>-4</v>
      </c>
      <c r="K302" s="93">
        <f t="shared" si="32"/>
        <v>-40</v>
      </c>
      <c r="L302" s="93"/>
      <c r="M302" s="92">
        <f t="shared" si="33"/>
        <v>0</v>
      </c>
      <c r="N302" s="92">
        <f t="shared" si="34"/>
        <v>0</v>
      </c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</row>
    <row r="303" spans="1:39" s="86" customFormat="1" x14ac:dyDescent="0.25">
      <c r="A303" s="102">
        <f t="shared" si="29"/>
        <v>0</v>
      </c>
      <c r="B303" s="84"/>
      <c r="C303" s="84"/>
      <c r="D303" s="84"/>
      <c r="E303" s="84"/>
      <c r="F303" s="84"/>
      <c r="H303" s="93">
        <v>298</v>
      </c>
      <c r="I303" s="94" t="str">
        <f t="shared" si="30"/>
        <v/>
      </c>
      <c r="J303" s="93">
        <f t="shared" si="31"/>
        <v>-4</v>
      </c>
      <c r="K303" s="93">
        <f t="shared" si="32"/>
        <v>-40</v>
      </c>
      <c r="L303" s="93"/>
      <c r="M303" s="92">
        <f t="shared" si="33"/>
        <v>0</v>
      </c>
      <c r="N303" s="92">
        <f t="shared" si="34"/>
        <v>0</v>
      </c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</row>
    <row r="304" spans="1:39" s="86" customFormat="1" x14ac:dyDescent="0.25">
      <c r="A304" s="103">
        <f t="shared" si="29"/>
        <v>0</v>
      </c>
      <c r="B304" s="84"/>
      <c r="C304" s="84"/>
      <c r="D304" s="84"/>
      <c r="E304" s="84"/>
      <c r="F304" s="84"/>
      <c r="H304" s="93">
        <v>299</v>
      </c>
      <c r="I304" s="94" t="str">
        <f t="shared" si="30"/>
        <v/>
      </c>
      <c r="J304" s="93">
        <f t="shared" si="31"/>
        <v>-4</v>
      </c>
      <c r="K304" s="93">
        <f t="shared" si="32"/>
        <v>-40</v>
      </c>
      <c r="L304" s="93"/>
      <c r="M304" s="92">
        <f t="shared" si="33"/>
        <v>0</v>
      </c>
      <c r="N304" s="92">
        <f t="shared" si="34"/>
        <v>0</v>
      </c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</row>
    <row r="305" spans="1:39" s="86" customFormat="1" x14ac:dyDescent="0.25">
      <c r="A305" s="102">
        <f t="shared" si="29"/>
        <v>0</v>
      </c>
      <c r="B305" s="84"/>
      <c r="C305" s="84"/>
      <c r="D305" s="84"/>
      <c r="E305" s="84"/>
      <c r="F305" s="84"/>
      <c r="H305" s="93">
        <v>300</v>
      </c>
      <c r="I305" s="94" t="str">
        <f t="shared" si="30"/>
        <v/>
      </c>
      <c r="J305" s="93">
        <f t="shared" si="31"/>
        <v>-4</v>
      </c>
      <c r="K305" s="93">
        <f t="shared" si="32"/>
        <v>-40</v>
      </c>
      <c r="L305" s="93"/>
      <c r="M305" s="92">
        <f t="shared" si="33"/>
        <v>0</v>
      </c>
      <c r="N305" s="92">
        <f t="shared" si="34"/>
        <v>0</v>
      </c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</row>
    <row r="306" spans="1:39" s="86" customFormat="1" x14ac:dyDescent="0.25">
      <c r="A306" s="91"/>
      <c r="B306" s="84"/>
      <c r="C306" s="84"/>
      <c r="D306" s="84"/>
      <c r="E306" s="84"/>
      <c r="F306" s="84"/>
      <c r="G306" s="84"/>
      <c r="H306" s="88"/>
      <c r="I306" s="88"/>
      <c r="J306" s="88"/>
      <c r="K306" s="88"/>
      <c r="L306" s="88"/>
      <c r="M306" s="88"/>
      <c r="N306" s="87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</row>
    <row r="314" spans="1:39" s="86" customFormat="1" x14ac:dyDescent="0.25">
      <c r="A314" s="84"/>
      <c r="B314" s="84"/>
      <c r="C314" s="84"/>
      <c r="D314" s="84"/>
      <c r="E314" s="84"/>
      <c r="F314" s="84"/>
      <c r="G314" s="84"/>
      <c r="H314" s="88"/>
      <c r="I314" s="88"/>
      <c r="J314" s="88"/>
      <c r="K314" s="88"/>
      <c r="L314" s="90"/>
      <c r="M314" s="90"/>
      <c r="N314" s="87"/>
      <c r="Q314" s="89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</row>
    <row r="315" spans="1:39" s="86" customFormat="1" x14ac:dyDescent="0.25">
      <c r="A315" s="84"/>
      <c r="B315" s="84"/>
      <c r="C315" s="84"/>
      <c r="D315" s="84"/>
      <c r="E315" s="84"/>
      <c r="F315" s="84"/>
      <c r="G315" s="84"/>
      <c r="H315" s="88"/>
      <c r="I315" s="88"/>
      <c r="J315" s="88"/>
      <c r="K315" s="88"/>
      <c r="L315" s="90"/>
      <c r="M315" s="90"/>
      <c r="N315" s="87"/>
      <c r="Q315" s="89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</row>
    <row r="316" spans="1:39" s="86" customFormat="1" x14ac:dyDescent="0.25">
      <c r="A316" s="84"/>
      <c r="B316" s="84"/>
      <c r="C316" s="84"/>
      <c r="D316" s="84"/>
      <c r="E316" s="84"/>
      <c r="F316" s="84"/>
      <c r="G316" s="84"/>
      <c r="H316" s="88"/>
      <c r="I316" s="88"/>
      <c r="J316" s="88"/>
      <c r="K316" s="88"/>
      <c r="L316" s="90"/>
      <c r="M316" s="90"/>
      <c r="N316" s="87"/>
      <c r="Q316" s="89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</row>
    <row r="317" spans="1:39" s="86" customFormat="1" x14ac:dyDescent="0.25">
      <c r="A317" s="84"/>
      <c r="B317" s="84"/>
      <c r="C317" s="84"/>
      <c r="D317" s="84"/>
      <c r="E317" s="84"/>
      <c r="F317" s="84"/>
      <c r="G317" s="84"/>
      <c r="H317" s="88"/>
      <c r="I317" s="88"/>
      <c r="J317" s="88"/>
      <c r="K317" s="88"/>
      <c r="L317" s="90"/>
      <c r="M317" s="90"/>
      <c r="N317" s="87"/>
      <c r="Q317" s="89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8079548-98B4-446D-94F7-ED30C654725C}"/>
    <hyperlink ref="C2:D2" r:id="rId2" display="Thionville" xr:uid="{C5C82EE9-6EFB-4755-9587-42580B6F4BC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2024-06-26T08:34:16Z</dcterms:modified>
  <cp:category/>
  <cp:contentStatus/>
</cp:coreProperties>
</file>