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https://d.docs.live.net/07038eb1d96bf1ab/Ranking SPWS/Sezon 2023 - 2024/Floret 2023-2024/"/>
    </mc:Choice>
  </mc:AlternateContent>
  <xr:revisionPtr revIDLastSave="732" documentId="11_4014B4142B22322B0CF197C4CF3350B57195E149" xr6:coauthVersionLast="47" xr6:coauthVersionMax="47" xr10:uidLastSave="{CF2394D1-649C-4EE0-9A23-7D47A53FCBD3}"/>
  <bookViews>
    <workbookView xWindow="-109" yWindow="-109" windowWidth="26301" windowHeight="14169" tabRatio="714" xr2:uid="{00000000-000D-0000-FFFF-FFFF00000000}"/>
  </bookViews>
  <sheets>
    <sheet name="All" sheetId="2" r:id="rId1"/>
    <sheet name="MP (1)" sheetId="5" r:id="rId2"/>
    <sheet name="MP (2)" sheetId="12" r:id="rId3"/>
    <sheet name="GP1 (1)" sheetId="6" r:id="rId4"/>
    <sheet name="GP1 (2)" sheetId="13" r:id="rId5"/>
    <sheet name="GP2 (1)" sheetId="8" r:id="rId6"/>
    <sheet name="GP2 (2)" sheetId="14" r:id="rId7"/>
    <sheet name="GP3 (1)" sheetId="9" r:id="rId8"/>
    <sheet name="GP3 (2)" sheetId="15" r:id="rId9"/>
    <sheet name="GP4 (1)" sheetId="10" r:id="rId10"/>
    <sheet name="GP4 (2)" sheetId="16" r:id="rId11"/>
    <sheet name="GP5 (1)" sheetId="11" r:id="rId12"/>
    <sheet name="GP5 (2)" sheetId="18" r:id="rId13"/>
    <sheet name="GP6 (1)" sheetId="19" r:id="rId14"/>
    <sheet name="GP6 (2)" sheetId="20" r:id="rId15"/>
    <sheet name="GP7 (1)" sheetId="21" r:id="rId16"/>
    <sheet name="GP7 (2)" sheetId="22" r:id="rId17"/>
    <sheet name="GP8 (1)" sheetId="23" r:id="rId18"/>
    <sheet name="GP8 (2)" sheetId="24" r:id="rId19"/>
  </sheets>
  <definedNames>
    <definedName name="_xlnm._FilterDatabase" localSheetId="0" hidden="1">All!$A$4:$BI$94</definedName>
    <definedName name="_xlnm._FilterDatabase" localSheetId="5" hidden="1">'GP2 (1)'!$A$5:$L$5</definedName>
    <definedName name="_xlnm._FilterDatabase" localSheetId="6" hidden="1">'GP2 (2)'!$A$5:$L$5</definedName>
    <definedName name="_xlnm._FilterDatabase" localSheetId="7" hidden="1">'GP3 (1)'!$A$5:$L$50</definedName>
    <definedName name="_xlnm._FilterDatabase" localSheetId="8" hidden="1">'GP3 (2)'!$A$5:$L$5</definedName>
    <definedName name="_xlnm._FilterDatabase" localSheetId="9" hidden="1">'GP4 (1)'!$A$5:$L$23</definedName>
    <definedName name="_xlnm._FilterDatabase" localSheetId="10" hidden="1">'GP4 (2)'!$A$5:$L$20</definedName>
    <definedName name="_xlnm._FilterDatabase" localSheetId="11" hidden="1">'GP5 (1)'!$A$5:$L$5</definedName>
    <definedName name="_xlnm._FilterDatabase" localSheetId="12" hidden="1">'GP5 (2)'!$A$5:$L$5</definedName>
    <definedName name="_xlnm._FilterDatabase" localSheetId="13" hidden="1">'GP6 (1)'!#REF!</definedName>
    <definedName name="_xlnm._FilterDatabase" localSheetId="15" hidden="1">'GP7 (1)'!$A$5:$L$5</definedName>
    <definedName name="_xlnm._FilterDatabase" localSheetId="16" hidden="1">'GP7 (2)'!$A$5:$L$5</definedName>
    <definedName name="_xlnm._FilterDatabase" localSheetId="17" hidden="1">'GP8 (1)'!$A$5:$L$5</definedName>
    <definedName name="_xlnm._FilterDatabase" localSheetId="18" hidden="1">'GP8 (2)'!$A$5:$L$5</definedName>
    <definedName name="_xlnm._FilterDatabase" localSheetId="1" hidden="1">'MP (1)'!$A$5:$L$5</definedName>
    <definedName name="_xlnm._FilterDatabase" localSheetId="2" hidden="1">'MP (2)'!$A$5:$L$5</definedName>
    <definedName name="ExternalData_1" localSheetId="13" hidden="1">'GP6 (1)'!$A$5:$K$21</definedName>
    <definedName name="ExternalData_1" localSheetId="14" hidden="1">'GP6 (2)'!$A$5:$K$21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94" i="2" l="1"/>
  <c r="AX93" i="2"/>
  <c r="AX92" i="2"/>
  <c r="AX91" i="2"/>
  <c r="AX90" i="2"/>
  <c r="AX89" i="2"/>
  <c r="AX88" i="2"/>
  <c r="AX87" i="2"/>
  <c r="AX86" i="2"/>
  <c r="AX85" i="2"/>
  <c r="AX84" i="2"/>
  <c r="AX83" i="2"/>
  <c r="AX82" i="2"/>
  <c r="AX81" i="2"/>
  <c r="AX80" i="2"/>
  <c r="AX79" i="2"/>
  <c r="AX78" i="2"/>
  <c r="AX77" i="2"/>
  <c r="AX76" i="2"/>
  <c r="AX75" i="2"/>
  <c r="AX74" i="2"/>
  <c r="AX73" i="2"/>
  <c r="AX72" i="2"/>
  <c r="AX71" i="2"/>
  <c r="AX70" i="2"/>
  <c r="AX69" i="2"/>
  <c r="AX68" i="2"/>
  <c r="AX67" i="2"/>
  <c r="AX66" i="2"/>
  <c r="AX65" i="2"/>
  <c r="AX64" i="2"/>
  <c r="AX48" i="2"/>
  <c r="AX63" i="2"/>
  <c r="AX62" i="2"/>
  <c r="AX61" i="2"/>
  <c r="AX60" i="2"/>
  <c r="AX59" i="2"/>
  <c r="AX58" i="2"/>
  <c r="AX57" i="2"/>
  <c r="AX54" i="2"/>
  <c r="AX53" i="2"/>
  <c r="AX55" i="2"/>
  <c r="AX56" i="2"/>
  <c r="AX52" i="2"/>
  <c r="AX51" i="2"/>
  <c r="AX50" i="2"/>
  <c r="AX49" i="2"/>
  <c r="AX45" i="2"/>
  <c r="AX47" i="2"/>
  <c r="AX46" i="2"/>
  <c r="AX44" i="2"/>
  <c r="AX43" i="2"/>
  <c r="AX42" i="2"/>
  <c r="AX41" i="2"/>
  <c r="AX36" i="2"/>
  <c r="AX40" i="2"/>
  <c r="AX39" i="2"/>
  <c r="AX38" i="2"/>
  <c r="AX37" i="2"/>
  <c r="AX35" i="2"/>
  <c r="AX34" i="2"/>
  <c r="AX33" i="2"/>
  <c r="AX32" i="2"/>
  <c r="AX31" i="2"/>
  <c r="AX30" i="2"/>
  <c r="AX29" i="2"/>
  <c r="AX28" i="2"/>
  <c r="AX27" i="2"/>
  <c r="AX26" i="2"/>
  <c r="AX25" i="2"/>
  <c r="AX24" i="2"/>
  <c r="AX23" i="2"/>
  <c r="AX22" i="2"/>
  <c r="AX20" i="2"/>
  <c r="AX21" i="2"/>
  <c r="AX19" i="2"/>
  <c r="AX18" i="2"/>
  <c r="AX17" i="2"/>
  <c r="AX15" i="2"/>
  <c r="AX16" i="2"/>
  <c r="AX14" i="2"/>
  <c r="AX13" i="2"/>
  <c r="AX12" i="2"/>
  <c r="AX11" i="2"/>
  <c r="AX10" i="2"/>
  <c r="AX8" i="2"/>
  <c r="AX9" i="2"/>
  <c r="AX7" i="2"/>
  <c r="AX6" i="2"/>
  <c r="AX5" i="2"/>
  <c r="AE94" i="2"/>
  <c r="AE93" i="2"/>
  <c r="AE92" i="2"/>
  <c r="AE91" i="2"/>
  <c r="AE90" i="2"/>
  <c r="AE89" i="2"/>
  <c r="AE88" i="2"/>
  <c r="AE87" i="2"/>
  <c r="AE86" i="2"/>
  <c r="AE85" i="2"/>
  <c r="AE84" i="2"/>
  <c r="AE83" i="2"/>
  <c r="AE82" i="2"/>
  <c r="AE81" i="2"/>
  <c r="AE80" i="2"/>
  <c r="AE79" i="2"/>
  <c r="AE78" i="2"/>
  <c r="AE77" i="2"/>
  <c r="AE76" i="2"/>
  <c r="AE75" i="2"/>
  <c r="AE74" i="2"/>
  <c r="AE73" i="2"/>
  <c r="AE72" i="2"/>
  <c r="AE71" i="2"/>
  <c r="AE70" i="2"/>
  <c r="AE69" i="2"/>
  <c r="AE68" i="2"/>
  <c r="AE67" i="2"/>
  <c r="AE66" i="2"/>
  <c r="AE65" i="2"/>
  <c r="AE64" i="2"/>
  <c r="AE48" i="2"/>
  <c r="AE63" i="2"/>
  <c r="AE62" i="2"/>
  <c r="AE61" i="2"/>
  <c r="AE60" i="2"/>
  <c r="AE59" i="2"/>
  <c r="AE58" i="2"/>
  <c r="AE57" i="2"/>
  <c r="AE54" i="2"/>
  <c r="AE53" i="2"/>
  <c r="AE55" i="2"/>
  <c r="AE56" i="2"/>
  <c r="AE52" i="2"/>
  <c r="AE51" i="2"/>
  <c r="AE50" i="2"/>
  <c r="AE49" i="2"/>
  <c r="AE45" i="2"/>
  <c r="AE47" i="2"/>
  <c r="AE46" i="2"/>
  <c r="AE44" i="2"/>
  <c r="AE43" i="2"/>
  <c r="AE42" i="2"/>
  <c r="AE41" i="2"/>
  <c r="AE36" i="2"/>
  <c r="AE40" i="2"/>
  <c r="AE39" i="2"/>
  <c r="AE38" i="2"/>
  <c r="AE37" i="2"/>
  <c r="AE35" i="2"/>
  <c r="AE34" i="2"/>
  <c r="AE33" i="2"/>
  <c r="AE32" i="2"/>
  <c r="AE31" i="2"/>
  <c r="AE30" i="2"/>
  <c r="AE29" i="2"/>
  <c r="AE28" i="2"/>
  <c r="AE27" i="2"/>
  <c r="AE26" i="2"/>
  <c r="AE25" i="2"/>
  <c r="AE24" i="2"/>
  <c r="AE23" i="2"/>
  <c r="AE22" i="2"/>
  <c r="AE20" i="2"/>
  <c r="AE21" i="2"/>
  <c r="AE19" i="2"/>
  <c r="AE18" i="2"/>
  <c r="AE17" i="2"/>
  <c r="AE15" i="2"/>
  <c r="AE16" i="2"/>
  <c r="AE14" i="2"/>
  <c r="AE13" i="2"/>
  <c r="AE12" i="2"/>
  <c r="AE11" i="2"/>
  <c r="AE10" i="2"/>
  <c r="AE8" i="2"/>
  <c r="AE9" i="2"/>
  <c r="AE7" i="2"/>
  <c r="AE6" i="2"/>
  <c r="AE5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48" i="2"/>
  <c r="L63" i="2"/>
  <c r="L62" i="2"/>
  <c r="L61" i="2"/>
  <c r="L60" i="2"/>
  <c r="L59" i="2"/>
  <c r="L58" i="2"/>
  <c r="L57" i="2"/>
  <c r="L54" i="2"/>
  <c r="L53" i="2"/>
  <c r="L55" i="2"/>
  <c r="L56" i="2"/>
  <c r="L52" i="2"/>
  <c r="L51" i="2"/>
  <c r="L50" i="2"/>
  <c r="L49" i="2"/>
  <c r="L45" i="2"/>
  <c r="L47" i="2"/>
  <c r="L46" i="2"/>
  <c r="L44" i="2"/>
  <c r="L43" i="2"/>
  <c r="L42" i="2"/>
  <c r="L41" i="2"/>
  <c r="L36" i="2"/>
  <c r="L40" i="2"/>
  <c r="L39" i="2"/>
  <c r="L38" i="2"/>
  <c r="L37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0" i="2"/>
  <c r="L21" i="2"/>
  <c r="L19" i="2"/>
  <c r="L18" i="2"/>
  <c r="L17" i="2"/>
  <c r="L15" i="2"/>
  <c r="L16" i="2"/>
  <c r="L14" i="2"/>
  <c r="L13" i="2"/>
  <c r="L12" i="2"/>
  <c r="L11" i="2"/>
  <c r="L10" i="2"/>
  <c r="L8" i="2"/>
  <c r="L9" i="2"/>
  <c r="L7" i="2"/>
  <c r="L6" i="2"/>
  <c r="L5" i="2"/>
  <c r="AT94" i="2"/>
  <c r="AT93" i="2"/>
  <c r="AT92" i="2"/>
  <c r="AT91" i="2"/>
  <c r="AT90" i="2"/>
  <c r="AT89" i="2"/>
  <c r="AT88" i="2"/>
  <c r="AT87" i="2"/>
  <c r="AT86" i="2"/>
  <c r="AT85" i="2"/>
  <c r="AT84" i="2"/>
  <c r="AT83" i="2"/>
  <c r="AT82" i="2"/>
  <c r="AT81" i="2"/>
  <c r="AT80" i="2"/>
  <c r="AT79" i="2"/>
  <c r="AT78" i="2"/>
  <c r="AT77" i="2"/>
  <c r="AT76" i="2"/>
  <c r="AT75" i="2"/>
  <c r="AT74" i="2"/>
  <c r="AT73" i="2"/>
  <c r="AT72" i="2"/>
  <c r="AT71" i="2"/>
  <c r="AT70" i="2"/>
  <c r="AT69" i="2"/>
  <c r="AT68" i="2"/>
  <c r="AT67" i="2"/>
  <c r="AT66" i="2"/>
  <c r="AT65" i="2"/>
  <c r="AT64" i="2"/>
  <c r="AT48" i="2"/>
  <c r="AT63" i="2"/>
  <c r="AT62" i="2"/>
  <c r="AT61" i="2"/>
  <c r="AT60" i="2"/>
  <c r="AT59" i="2"/>
  <c r="AT58" i="2"/>
  <c r="AT57" i="2"/>
  <c r="AT54" i="2"/>
  <c r="AT53" i="2"/>
  <c r="AT55" i="2"/>
  <c r="AT56" i="2"/>
  <c r="AT52" i="2"/>
  <c r="AT51" i="2"/>
  <c r="AT50" i="2"/>
  <c r="AT49" i="2"/>
  <c r="AT45" i="2"/>
  <c r="AT47" i="2"/>
  <c r="AT46" i="2"/>
  <c r="AT44" i="2"/>
  <c r="AT43" i="2"/>
  <c r="AT42" i="2"/>
  <c r="AT41" i="2"/>
  <c r="AT36" i="2"/>
  <c r="AT40" i="2"/>
  <c r="AT39" i="2"/>
  <c r="AT38" i="2"/>
  <c r="AT37" i="2"/>
  <c r="AT35" i="2"/>
  <c r="AT34" i="2"/>
  <c r="AT33" i="2"/>
  <c r="AT32" i="2"/>
  <c r="AT31" i="2"/>
  <c r="AT30" i="2"/>
  <c r="AT29" i="2"/>
  <c r="AT28" i="2"/>
  <c r="AT27" i="2"/>
  <c r="AT26" i="2"/>
  <c r="AT25" i="2"/>
  <c r="AT24" i="2"/>
  <c r="AT23" i="2"/>
  <c r="AT22" i="2"/>
  <c r="AT20" i="2"/>
  <c r="AT21" i="2"/>
  <c r="AT19" i="2"/>
  <c r="AT18" i="2"/>
  <c r="AT17" i="2"/>
  <c r="AT15" i="2"/>
  <c r="AT16" i="2"/>
  <c r="AT14" i="2"/>
  <c r="AT13" i="2"/>
  <c r="AT12" i="2"/>
  <c r="AT11" i="2"/>
  <c r="AT10" i="2"/>
  <c r="AT8" i="2"/>
  <c r="AT9" i="2"/>
  <c r="AT7" i="2"/>
  <c r="AT6" i="2"/>
  <c r="AT5" i="2"/>
  <c r="AA94" i="2"/>
  <c r="AA93" i="2"/>
  <c r="AA92" i="2"/>
  <c r="AA91" i="2"/>
  <c r="AA90" i="2"/>
  <c r="AA89" i="2"/>
  <c r="AA88" i="2"/>
  <c r="AA87" i="2"/>
  <c r="AA86" i="2"/>
  <c r="AA85" i="2"/>
  <c r="AA84" i="2"/>
  <c r="AA83" i="2"/>
  <c r="AA82" i="2"/>
  <c r="AA81" i="2"/>
  <c r="AA80" i="2"/>
  <c r="AA79" i="2"/>
  <c r="AA78" i="2"/>
  <c r="AA77" i="2"/>
  <c r="AA76" i="2"/>
  <c r="AA75" i="2"/>
  <c r="AA74" i="2"/>
  <c r="AA73" i="2"/>
  <c r="AA72" i="2"/>
  <c r="AA71" i="2"/>
  <c r="AA70" i="2"/>
  <c r="AA69" i="2"/>
  <c r="AA68" i="2"/>
  <c r="AA67" i="2"/>
  <c r="AA66" i="2"/>
  <c r="AA65" i="2"/>
  <c r="AA64" i="2"/>
  <c r="AA48" i="2"/>
  <c r="AA63" i="2"/>
  <c r="AA62" i="2"/>
  <c r="AA61" i="2"/>
  <c r="AA60" i="2"/>
  <c r="AA59" i="2"/>
  <c r="AA58" i="2"/>
  <c r="AA57" i="2"/>
  <c r="AA54" i="2"/>
  <c r="AA53" i="2"/>
  <c r="AA55" i="2"/>
  <c r="AA56" i="2"/>
  <c r="AA52" i="2"/>
  <c r="AA51" i="2"/>
  <c r="AA50" i="2"/>
  <c r="AA49" i="2"/>
  <c r="AA45" i="2"/>
  <c r="AA47" i="2"/>
  <c r="AA46" i="2"/>
  <c r="AA44" i="2"/>
  <c r="AA43" i="2"/>
  <c r="AA42" i="2"/>
  <c r="AA41" i="2"/>
  <c r="AA36" i="2"/>
  <c r="AA40" i="2"/>
  <c r="AA39" i="2"/>
  <c r="AA38" i="2"/>
  <c r="AA37" i="2"/>
  <c r="AA35" i="2"/>
  <c r="AA34" i="2"/>
  <c r="AA33" i="2"/>
  <c r="AA32" i="2"/>
  <c r="AA31" i="2"/>
  <c r="AA30" i="2"/>
  <c r="AA29" i="2"/>
  <c r="AA28" i="2"/>
  <c r="AA27" i="2"/>
  <c r="AA26" i="2"/>
  <c r="AA25" i="2"/>
  <c r="AA24" i="2"/>
  <c r="AA23" i="2"/>
  <c r="AA22" i="2"/>
  <c r="AA20" i="2"/>
  <c r="AA21" i="2"/>
  <c r="AA19" i="2"/>
  <c r="AA18" i="2"/>
  <c r="AA17" i="2"/>
  <c r="AA15" i="2"/>
  <c r="AA16" i="2"/>
  <c r="AA14" i="2"/>
  <c r="AA13" i="2"/>
  <c r="AA12" i="2"/>
  <c r="AA11" i="2"/>
  <c r="AA10" i="2"/>
  <c r="AA8" i="2"/>
  <c r="AA9" i="2"/>
  <c r="AA7" i="2"/>
  <c r="AA6" i="2"/>
  <c r="AA5" i="2"/>
  <c r="T7" i="2"/>
  <c r="U7" i="2"/>
  <c r="T10" i="2"/>
  <c r="U10" i="2"/>
  <c r="T5" i="2"/>
  <c r="U5" i="2"/>
  <c r="T9" i="2"/>
  <c r="U9" i="2"/>
  <c r="T16" i="2"/>
  <c r="U16" i="2"/>
  <c r="T13" i="2"/>
  <c r="U13" i="2"/>
  <c r="T8" i="2"/>
  <c r="U8" i="2"/>
  <c r="T11" i="2"/>
  <c r="U11" i="2"/>
  <c r="T12" i="2"/>
  <c r="U12" i="2"/>
  <c r="T15" i="2"/>
  <c r="U15" i="2"/>
  <c r="T14" i="2"/>
  <c r="U14" i="2"/>
  <c r="T35" i="2"/>
  <c r="U35" i="2"/>
  <c r="T17" i="2"/>
  <c r="U17" i="2"/>
  <c r="T32" i="2"/>
  <c r="U32" i="2"/>
  <c r="T19" i="2"/>
  <c r="U19" i="2"/>
  <c r="T6" i="2"/>
  <c r="U6" i="2"/>
  <c r="T36" i="2"/>
  <c r="U36" i="2"/>
  <c r="T28" i="2"/>
  <c r="U28" i="2"/>
  <c r="T22" i="2"/>
  <c r="U22" i="2"/>
  <c r="T40" i="2"/>
  <c r="U40" i="2"/>
  <c r="T31" i="2"/>
  <c r="U31" i="2"/>
  <c r="T29" i="2"/>
  <c r="U29" i="2"/>
  <c r="T18" i="2"/>
  <c r="U18" i="2"/>
  <c r="T23" i="2"/>
  <c r="U23" i="2"/>
  <c r="T37" i="2"/>
  <c r="U37" i="2"/>
  <c r="T24" i="2"/>
  <c r="U24" i="2"/>
  <c r="T25" i="2"/>
  <c r="U25" i="2"/>
  <c r="T52" i="2"/>
  <c r="U52" i="2"/>
  <c r="T59" i="2"/>
  <c r="U59" i="2"/>
  <c r="T20" i="2"/>
  <c r="U20" i="2"/>
  <c r="T21" i="2"/>
  <c r="U21" i="2"/>
  <c r="T27" i="2"/>
  <c r="U27" i="2"/>
  <c r="T54" i="2"/>
  <c r="U54" i="2"/>
  <c r="T39" i="2"/>
  <c r="U39" i="2"/>
  <c r="T34" i="2"/>
  <c r="U34" i="2"/>
  <c r="T42" i="2"/>
  <c r="U42" i="2"/>
  <c r="T38" i="2"/>
  <c r="U38" i="2"/>
  <c r="T43" i="2"/>
  <c r="U43" i="2"/>
  <c r="T62" i="2"/>
  <c r="U62" i="2"/>
  <c r="T56" i="2"/>
  <c r="U56" i="2"/>
  <c r="T55" i="2"/>
  <c r="U55" i="2"/>
  <c r="T46" i="2"/>
  <c r="U46" i="2"/>
  <c r="T63" i="2"/>
  <c r="U63" i="2"/>
  <c r="T49" i="2"/>
  <c r="U49" i="2"/>
  <c r="T53" i="2"/>
  <c r="U53" i="2"/>
  <c r="T57" i="2"/>
  <c r="U57" i="2"/>
  <c r="T58" i="2"/>
  <c r="U58" i="2"/>
  <c r="T60" i="2"/>
  <c r="U60" i="2"/>
  <c r="T61" i="2"/>
  <c r="U61" i="2"/>
  <c r="T41" i="2"/>
  <c r="U41" i="2"/>
  <c r="T51" i="2"/>
  <c r="U51" i="2"/>
  <c r="T50" i="2"/>
  <c r="U50" i="2"/>
  <c r="T26" i="2"/>
  <c r="U26" i="2"/>
  <c r="T30" i="2"/>
  <c r="U30" i="2"/>
  <c r="T33" i="2"/>
  <c r="U33" i="2"/>
  <c r="T45" i="2"/>
  <c r="U45" i="2"/>
  <c r="T47" i="2"/>
  <c r="U47" i="2"/>
  <c r="T44" i="2"/>
  <c r="U44" i="2"/>
  <c r="T48" i="2"/>
  <c r="U48" i="2"/>
  <c r="T64" i="2"/>
  <c r="U64" i="2"/>
  <c r="T65" i="2"/>
  <c r="U65" i="2"/>
  <c r="T66" i="2"/>
  <c r="U66" i="2"/>
  <c r="T67" i="2"/>
  <c r="U67" i="2"/>
  <c r="T68" i="2"/>
  <c r="U68" i="2"/>
  <c r="T69" i="2"/>
  <c r="U69" i="2"/>
  <c r="T70" i="2"/>
  <c r="U70" i="2"/>
  <c r="T71" i="2"/>
  <c r="U71" i="2"/>
  <c r="T72" i="2"/>
  <c r="U72" i="2"/>
  <c r="T73" i="2"/>
  <c r="U73" i="2"/>
  <c r="T74" i="2"/>
  <c r="U74" i="2"/>
  <c r="T75" i="2"/>
  <c r="U75" i="2"/>
  <c r="T76" i="2"/>
  <c r="U76" i="2"/>
  <c r="T77" i="2"/>
  <c r="U77" i="2"/>
  <c r="T78" i="2"/>
  <c r="U78" i="2"/>
  <c r="T79" i="2"/>
  <c r="U79" i="2"/>
  <c r="T80" i="2"/>
  <c r="U80" i="2"/>
  <c r="T81" i="2"/>
  <c r="U81" i="2"/>
  <c r="T82" i="2"/>
  <c r="U82" i="2"/>
  <c r="T83" i="2"/>
  <c r="U83" i="2"/>
  <c r="T84" i="2"/>
  <c r="U84" i="2"/>
  <c r="T85" i="2"/>
  <c r="U85" i="2"/>
  <c r="T86" i="2"/>
  <c r="U86" i="2"/>
  <c r="T87" i="2"/>
  <c r="U87" i="2"/>
  <c r="T88" i="2"/>
  <c r="U88" i="2"/>
  <c r="T89" i="2"/>
  <c r="U89" i="2"/>
  <c r="T90" i="2"/>
  <c r="U90" i="2"/>
  <c r="T91" i="2"/>
  <c r="U91" i="2"/>
  <c r="T92" i="2"/>
  <c r="U92" i="2"/>
  <c r="T93" i="2"/>
  <c r="U93" i="2"/>
  <c r="T94" i="2"/>
  <c r="U94" i="2"/>
  <c r="R7" i="2"/>
  <c r="S7" i="2"/>
  <c r="R10" i="2"/>
  <c r="S10" i="2"/>
  <c r="R5" i="2"/>
  <c r="S5" i="2"/>
  <c r="R9" i="2"/>
  <c r="S9" i="2"/>
  <c r="R16" i="2"/>
  <c r="S16" i="2"/>
  <c r="R13" i="2"/>
  <c r="S13" i="2"/>
  <c r="R8" i="2"/>
  <c r="S8" i="2"/>
  <c r="R11" i="2"/>
  <c r="S11" i="2"/>
  <c r="R12" i="2"/>
  <c r="S12" i="2"/>
  <c r="R15" i="2"/>
  <c r="S15" i="2"/>
  <c r="R14" i="2"/>
  <c r="S14" i="2"/>
  <c r="R35" i="2"/>
  <c r="S35" i="2"/>
  <c r="R17" i="2"/>
  <c r="S17" i="2"/>
  <c r="R32" i="2"/>
  <c r="S32" i="2"/>
  <c r="R19" i="2"/>
  <c r="S19" i="2"/>
  <c r="R6" i="2"/>
  <c r="S6" i="2"/>
  <c r="R36" i="2"/>
  <c r="S36" i="2"/>
  <c r="R28" i="2"/>
  <c r="S28" i="2"/>
  <c r="R22" i="2"/>
  <c r="S22" i="2"/>
  <c r="R40" i="2"/>
  <c r="S40" i="2"/>
  <c r="R31" i="2"/>
  <c r="S31" i="2"/>
  <c r="R29" i="2"/>
  <c r="S29" i="2"/>
  <c r="R18" i="2"/>
  <c r="S18" i="2"/>
  <c r="R23" i="2"/>
  <c r="S23" i="2"/>
  <c r="R37" i="2"/>
  <c r="S37" i="2"/>
  <c r="R24" i="2"/>
  <c r="S24" i="2"/>
  <c r="R25" i="2"/>
  <c r="S25" i="2"/>
  <c r="R52" i="2"/>
  <c r="S52" i="2"/>
  <c r="R59" i="2"/>
  <c r="S59" i="2"/>
  <c r="R20" i="2"/>
  <c r="S20" i="2"/>
  <c r="R21" i="2"/>
  <c r="S21" i="2"/>
  <c r="R27" i="2"/>
  <c r="S27" i="2"/>
  <c r="R54" i="2"/>
  <c r="S54" i="2"/>
  <c r="R39" i="2"/>
  <c r="S39" i="2"/>
  <c r="R34" i="2"/>
  <c r="S34" i="2"/>
  <c r="R42" i="2"/>
  <c r="S42" i="2"/>
  <c r="R38" i="2"/>
  <c r="S38" i="2"/>
  <c r="R43" i="2"/>
  <c r="S43" i="2"/>
  <c r="R62" i="2"/>
  <c r="S62" i="2"/>
  <c r="R56" i="2"/>
  <c r="S56" i="2"/>
  <c r="R55" i="2"/>
  <c r="S55" i="2"/>
  <c r="R46" i="2"/>
  <c r="S46" i="2"/>
  <c r="R63" i="2"/>
  <c r="S63" i="2"/>
  <c r="R49" i="2"/>
  <c r="S49" i="2"/>
  <c r="R53" i="2"/>
  <c r="S53" i="2"/>
  <c r="R57" i="2"/>
  <c r="S57" i="2"/>
  <c r="R58" i="2"/>
  <c r="S58" i="2"/>
  <c r="R60" i="2"/>
  <c r="S60" i="2"/>
  <c r="R61" i="2"/>
  <c r="S61" i="2"/>
  <c r="R41" i="2"/>
  <c r="S41" i="2"/>
  <c r="R51" i="2"/>
  <c r="S51" i="2"/>
  <c r="R50" i="2"/>
  <c r="S50" i="2"/>
  <c r="R26" i="2"/>
  <c r="S26" i="2"/>
  <c r="R30" i="2"/>
  <c r="S30" i="2"/>
  <c r="R33" i="2"/>
  <c r="S33" i="2"/>
  <c r="R45" i="2"/>
  <c r="S45" i="2"/>
  <c r="R47" i="2"/>
  <c r="S47" i="2"/>
  <c r="R44" i="2"/>
  <c r="S44" i="2"/>
  <c r="R48" i="2"/>
  <c r="S48" i="2"/>
  <c r="R64" i="2"/>
  <c r="S64" i="2"/>
  <c r="R65" i="2"/>
  <c r="S65" i="2"/>
  <c r="R66" i="2"/>
  <c r="S66" i="2"/>
  <c r="R67" i="2"/>
  <c r="S67" i="2"/>
  <c r="R68" i="2"/>
  <c r="S68" i="2"/>
  <c r="R69" i="2"/>
  <c r="S69" i="2"/>
  <c r="R70" i="2"/>
  <c r="S70" i="2"/>
  <c r="R71" i="2"/>
  <c r="S71" i="2"/>
  <c r="R72" i="2"/>
  <c r="S72" i="2"/>
  <c r="R73" i="2"/>
  <c r="S73" i="2"/>
  <c r="R74" i="2"/>
  <c r="S74" i="2"/>
  <c r="R75" i="2"/>
  <c r="S75" i="2"/>
  <c r="R76" i="2"/>
  <c r="S76" i="2"/>
  <c r="R77" i="2"/>
  <c r="S77" i="2"/>
  <c r="R78" i="2"/>
  <c r="S78" i="2"/>
  <c r="R79" i="2"/>
  <c r="S79" i="2"/>
  <c r="R80" i="2"/>
  <c r="S80" i="2"/>
  <c r="R81" i="2"/>
  <c r="S81" i="2"/>
  <c r="R82" i="2"/>
  <c r="S82" i="2"/>
  <c r="R83" i="2"/>
  <c r="S83" i="2"/>
  <c r="R84" i="2"/>
  <c r="S84" i="2"/>
  <c r="R85" i="2"/>
  <c r="S85" i="2"/>
  <c r="R86" i="2"/>
  <c r="S86" i="2"/>
  <c r="R87" i="2"/>
  <c r="S87" i="2"/>
  <c r="R88" i="2"/>
  <c r="S88" i="2"/>
  <c r="R89" i="2"/>
  <c r="S89" i="2"/>
  <c r="R90" i="2"/>
  <c r="S90" i="2"/>
  <c r="R91" i="2"/>
  <c r="S91" i="2"/>
  <c r="R92" i="2"/>
  <c r="S92" i="2"/>
  <c r="R93" i="2"/>
  <c r="S93" i="2"/>
  <c r="R94" i="2"/>
  <c r="S94" i="2"/>
  <c r="P7" i="2"/>
  <c r="Q7" i="2"/>
  <c r="P10" i="2"/>
  <c r="Q10" i="2"/>
  <c r="P5" i="2"/>
  <c r="Q5" i="2"/>
  <c r="P9" i="2"/>
  <c r="Q9" i="2"/>
  <c r="P16" i="2"/>
  <c r="Q16" i="2"/>
  <c r="P13" i="2"/>
  <c r="Q13" i="2"/>
  <c r="P8" i="2"/>
  <c r="Q8" i="2"/>
  <c r="P11" i="2"/>
  <c r="Q11" i="2"/>
  <c r="P12" i="2"/>
  <c r="Q12" i="2"/>
  <c r="P15" i="2"/>
  <c r="Q15" i="2"/>
  <c r="P14" i="2"/>
  <c r="Q14" i="2"/>
  <c r="P35" i="2"/>
  <c r="Q35" i="2"/>
  <c r="P17" i="2"/>
  <c r="Q17" i="2"/>
  <c r="P32" i="2"/>
  <c r="Q32" i="2"/>
  <c r="P19" i="2"/>
  <c r="Q19" i="2"/>
  <c r="P6" i="2"/>
  <c r="Q6" i="2"/>
  <c r="P36" i="2"/>
  <c r="Q36" i="2"/>
  <c r="P28" i="2"/>
  <c r="Q28" i="2"/>
  <c r="P22" i="2"/>
  <c r="Q22" i="2"/>
  <c r="P40" i="2"/>
  <c r="Q40" i="2"/>
  <c r="P31" i="2"/>
  <c r="Q31" i="2"/>
  <c r="P29" i="2"/>
  <c r="Q29" i="2"/>
  <c r="P18" i="2"/>
  <c r="Q18" i="2"/>
  <c r="P23" i="2"/>
  <c r="Q23" i="2"/>
  <c r="P37" i="2"/>
  <c r="Q37" i="2"/>
  <c r="P24" i="2"/>
  <c r="Q24" i="2"/>
  <c r="P25" i="2"/>
  <c r="Q25" i="2"/>
  <c r="P52" i="2"/>
  <c r="Q52" i="2"/>
  <c r="P59" i="2"/>
  <c r="Q59" i="2"/>
  <c r="P20" i="2"/>
  <c r="Q20" i="2"/>
  <c r="P21" i="2"/>
  <c r="Q21" i="2"/>
  <c r="P27" i="2"/>
  <c r="Q27" i="2"/>
  <c r="P54" i="2"/>
  <c r="Q54" i="2"/>
  <c r="P39" i="2"/>
  <c r="Q39" i="2"/>
  <c r="P34" i="2"/>
  <c r="Q34" i="2"/>
  <c r="P42" i="2"/>
  <c r="Q42" i="2"/>
  <c r="P38" i="2"/>
  <c r="Q38" i="2"/>
  <c r="P43" i="2"/>
  <c r="Q43" i="2"/>
  <c r="P62" i="2"/>
  <c r="Q62" i="2"/>
  <c r="P56" i="2"/>
  <c r="Q56" i="2"/>
  <c r="P55" i="2"/>
  <c r="Q55" i="2"/>
  <c r="P46" i="2"/>
  <c r="Q46" i="2"/>
  <c r="P63" i="2"/>
  <c r="Q63" i="2"/>
  <c r="P49" i="2"/>
  <c r="Q49" i="2"/>
  <c r="P53" i="2"/>
  <c r="Q53" i="2"/>
  <c r="P57" i="2"/>
  <c r="Q57" i="2"/>
  <c r="P58" i="2"/>
  <c r="Q58" i="2"/>
  <c r="P60" i="2"/>
  <c r="Q60" i="2"/>
  <c r="P61" i="2"/>
  <c r="Q61" i="2"/>
  <c r="P41" i="2"/>
  <c r="Q41" i="2"/>
  <c r="P51" i="2"/>
  <c r="Q51" i="2"/>
  <c r="P50" i="2"/>
  <c r="Q50" i="2"/>
  <c r="P26" i="2"/>
  <c r="Q26" i="2"/>
  <c r="P30" i="2"/>
  <c r="Q30" i="2"/>
  <c r="P33" i="2"/>
  <c r="Q33" i="2"/>
  <c r="P45" i="2"/>
  <c r="Q45" i="2"/>
  <c r="P47" i="2"/>
  <c r="Q47" i="2"/>
  <c r="P44" i="2"/>
  <c r="Q44" i="2"/>
  <c r="P48" i="2"/>
  <c r="Q48" i="2"/>
  <c r="P64" i="2"/>
  <c r="Q64" i="2"/>
  <c r="P65" i="2"/>
  <c r="Q65" i="2"/>
  <c r="P66" i="2"/>
  <c r="Q66" i="2"/>
  <c r="P67" i="2"/>
  <c r="Q67" i="2"/>
  <c r="P68" i="2"/>
  <c r="Q68" i="2"/>
  <c r="P69" i="2"/>
  <c r="Q69" i="2"/>
  <c r="P70" i="2"/>
  <c r="Q70" i="2"/>
  <c r="P71" i="2"/>
  <c r="Q71" i="2"/>
  <c r="P72" i="2"/>
  <c r="Q72" i="2"/>
  <c r="P73" i="2"/>
  <c r="Q73" i="2"/>
  <c r="P74" i="2"/>
  <c r="Q74" i="2"/>
  <c r="P75" i="2"/>
  <c r="Q75" i="2"/>
  <c r="P76" i="2"/>
  <c r="Q76" i="2"/>
  <c r="P77" i="2"/>
  <c r="Q77" i="2"/>
  <c r="P78" i="2"/>
  <c r="Q78" i="2"/>
  <c r="P79" i="2"/>
  <c r="Q79" i="2"/>
  <c r="P80" i="2"/>
  <c r="Q80" i="2"/>
  <c r="P81" i="2"/>
  <c r="Q81" i="2"/>
  <c r="P82" i="2"/>
  <c r="Q82" i="2"/>
  <c r="P83" i="2"/>
  <c r="Q83" i="2"/>
  <c r="P84" i="2"/>
  <c r="Q84" i="2"/>
  <c r="P85" i="2"/>
  <c r="Q85" i="2"/>
  <c r="P86" i="2"/>
  <c r="Q86" i="2"/>
  <c r="P87" i="2"/>
  <c r="Q87" i="2"/>
  <c r="P88" i="2"/>
  <c r="Q88" i="2"/>
  <c r="P89" i="2"/>
  <c r="Q89" i="2"/>
  <c r="P90" i="2"/>
  <c r="Q90" i="2"/>
  <c r="P91" i="2"/>
  <c r="Q91" i="2"/>
  <c r="P92" i="2"/>
  <c r="Q92" i="2"/>
  <c r="P93" i="2"/>
  <c r="Q93" i="2"/>
  <c r="P94" i="2"/>
  <c r="Q94" i="2"/>
  <c r="O94" i="2"/>
  <c r="N94" i="2"/>
  <c r="O93" i="2"/>
  <c r="N93" i="2"/>
  <c r="O92" i="2"/>
  <c r="N92" i="2"/>
  <c r="O91" i="2"/>
  <c r="N91" i="2"/>
  <c r="O90" i="2"/>
  <c r="N90" i="2"/>
  <c r="O89" i="2"/>
  <c r="N89" i="2"/>
  <c r="O88" i="2"/>
  <c r="N88" i="2"/>
  <c r="O87" i="2"/>
  <c r="N87" i="2"/>
  <c r="O86" i="2"/>
  <c r="N86" i="2"/>
  <c r="O85" i="2"/>
  <c r="N85" i="2"/>
  <c r="O84" i="2"/>
  <c r="N84" i="2"/>
  <c r="O83" i="2"/>
  <c r="N83" i="2"/>
  <c r="O82" i="2"/>
  <c r="N82" i="2"/>
  <c r="O81" i="2"/>
  <c r="N81" i="2"/>
  <c r="O80" i="2"/>
  <c r="N80" i="2"/>
  <c r="O79" i="2"/>
  <c r="N79" i="2"/>
  <c r="O78" i="2"/>
  <c r="N78" i="2"/>
  <c r="O77" i="2"/>
  <c r="N77" i="2"/>
  <c r="O76" i="2"/>
  <c r="N76" i="2"/>
  <c r="O75" i="2"/>
  <c r="N75" i="2"/>
  <c r="O74" i="2"/>
  <c r="N74" i="2"/>
  <c r="O73" i="2"/>
  <c r="N73" i="2"/>
  <c r="O72" i="2"/>
  <c r="N72" i="2"/>
  <c r="O71" i="2"/>
  <c r="N71" i="2"/>
  <c r="O70" i="2"/>
  <c r="N70" i="2"/>
  <c r="O69" i="2"/>
  <c r="N69" i="2"/>
  <c r="O68" i="2"/>
  <c r="N68" i="2"/>
  <c r="O67" i="2"/>
  <c r="N67" i="2"/>
  <c r="O66" i="2"/>
  <c r="N66" i="2"/>
  <c r="O65" i="2"/>
  <c r="N65" i="2"/>
  <c r="O64" i="2"/>
  <c r="N64" i="2"/>
  <c r="O48" i="2"/>
  <c r="N48" i="2"/>
  <c r="O44" i="2"/>
  <c r="N44" i="2"/>
  <c r="O47" i="2"/>
  <c r="N47" i="2"/>
  <c r="O45" i="2"/>
  <c r="N45" i="2"/>
  <c r="O33" i="2"/>
  <c r="N33" i="2"/>
  <c r="O30" i="2"/>
  <c r="N30" i="2"/>
  <c r="O26" i="2"/>
  <c r="N26" i="2"/>
  <c r="O50" i="2"/>
  <c r="N50" i="2"/>
  <c r="O51" i="2"/>
  <c r="N51" i="2"/>
  <c r="O41" i="2"/>
  <c r="N41" i="2"/>
  <c r="O61" i="2"/>
  <c r="N61" i="2"/>
  <c r="O60" i="2"/>
  <c r="N60" i="2"/>
  <c r="O58" i="2"/>
  <c r="N58" i="2"/>
  <c r="O57" i="2"/>
  <c r="N57" i="2"/>
  <c r="O53" i="2"/>
  <c r="N53" i="2"/>
  <c r="O49" i="2"/>
  <c r="N49" i="2"/>
  <c r="O63" i="2"/>
  <c r="N63" i="2"/>
  <c r="O46" i="2"/>
  <c r="N46" i="2"/>
  <c r="O55" i="2"/>
  <c r="N55" i="2"/>
  <c r="O56" i="2"/>
  <c r="N56" i="2"/>
  <c r="O62" i="2"/>
  <c r="N62" i="2"/>
  <c r="O43" i="2"/>
  <c r="N43" i="2"/>
  <c r="O38" i="2"/>
  <c r="N38" i="2"/>
  <c r="O42" i="2"/>
  <c r="N42" i="2"/>
  <c r="O34" i="2"/>
  <c r="N34" i="2"/>
  <c r="O39" i="2"/>
  <c r="N39" i="2"/>
  <c r="O54" i="2"/>
  <c r="N54" i="2"/>
  <c r="O27" i="2"/>
  <c r="N27" i="2"/>
  <c r="O21" i="2"/>
  <c r="N21" i="2"/>
  <c r="O20" i="2"/>
  <c r="N20" i="2"/>
  <c r="O59" i="2"/>
  <c r="N59" i="2"/>
  <c r="O52" i="2"/>
  <c r="N52" i="2"/>
  <c r="O25" i="2"/>
  <c r="N25" i="2"/>
  <c r="O24" i="2"/>
  <c r="N24" i="2"/>
  <c r="O37" i="2"/>
  <c r="N37" i="2"/>
  <c r="O23" i="2"/>
  <c r="N23" i="2"/>
  <c r="O18" i="2"/>
  <c r="N18" i="2"/>
  <c r="O29" i="2"/>
  <c r="N29" i="2"/>
  <c r="O31" i="2"/>
  <c r="N31" i="2"/>
  <c r="O40" i="2"/>
  <c r="N40" i="2"/>
  <c r="O22" i="2"/>
  <c r="N22" i="2"/>
  <c r="O28" i="2"/>
  <c r="N28" i="2"/>
  <c r="O36" i="2"/>
  <c r="N36" i="2"/>
  <c r="O6" i="2"/>
  <c r="N6" i="2"/>
  <c r="O19" i="2"/>
  <c r="N19" i="2"/>
  <c r="O32" i="2"/>
  <c r="N32" i="2"/>
  <c r="O17" i="2"/>
  <c r="N17" i="2"/>
  <c r="O35" i="2"/>
  <c r="N35" i="2"/>
  <c r="O14" i="2"/>
  <c r="N14" i="2"/>
  <c r="O15" i="2"/>
  <c r="N15" i="2"/>
  <c r="O12" i="2"/>
  <c r="N12" i="2"/>
  <c r="O11" i="2"/>
  <c r="N11" i="2"/>
  <c r="O8" i="2"/>
  <c r="N8" i="2"/>
  <c r="O13" i="2"/>
  <c r="N13" i="2"/>
  <c r="O16" i="2"/>
  <c r="N16" i="2"/>
  <c r="O9" i="2"/>
  <c r="N9" i="2"/>
  <c r="O5" i="2"/>
  <c r="N5" i="2"/>
  <c r="O10" i="2"/>
  <c r="N10" i="2"/>
  <c r="O7" i="2"/>
  <c r="N7" i="2"/>
  <c r="AM7" i="2"/>
  <c r="AN7" i="2"/>
  <c r="AM10" i="2"/>
  <c r="AN10" i="2"/>
  <c r="AM5" i="2"/>
  <c r="AN5" i="2"/>
  <c r="AM9" i="2"/>
  <c r="AN9" i="2"/>
  <c r="AM16" i="2"/>
  <c r="AN16" i="2"/>
  <c r="AM13" i="2"/>
  <c r="AN13" i="2"/>
  <c r="AM8" i="2"/>
  <c r="AN8" i="2"/>
  <c r="AM11" i="2"/>
  <c r="AN11" i="2"/>
  <c r="AM12" i="2"/>
  <c r="AN12" i="2"/>
  <c r="AM15" i="2"/>
  <c r="AN15" i="2"/>
  <c r="AM14" i="2"/>
  <c r="AN14" i="2"/>
  <c r="AM35" i="2"/>
  <c r="AN35" i="2"/>
  <c r="AM17" i="2"/>
  <c r="AN17" i="2"/>
  <c r="AM32" i="2"/>
  <c r="AN32" i="2"/>
  <c r="AM19" i="2"/>
  <c r="AN19" i="2"/>
  <c r="AM6" i="2"/>
  <c r="AN6" i="2"/>
  <c r="AM36" i="2"/>
  <c r="AN36" i="2"/>
  <c r="AM28" i="2"/>
  <c r="AN28" i="2"/>
  <c r="AM22" i="2"/>
  <c r="AN22" i="2"/>
  <c r="AM40" i="2"/>
  <c r="AN40" i="2"/>
  <c r="AM31" i="2"/>
  <c r="AN31" i="2"/>
  <c r="AM29" i="2"/>
  <c r="AN29" i="2"/>
  <c r="AM18" i="2"/>
  <c r="AN18" i="2"/>
  <c r="AM23" i="2"/>
  <c r="AN23" i="2"/>
  <c r="AM37" i="2"/>
  <c r="AN37" i="2"/>
  <c r="AM24" i="2"/>
  <c r="AN24" i="2"/>
  <c r="AM25" i="2"/>
  <c r="AN25" i="2"/>
  <c r="AM52" i="2"/>
  <c r="AN52" i="2"/>
  <c r="AM59" i="2"/>
  <c r="AN59" i="2"/>
  <c r="AM20" i="2"/>
  <c r="AN20" i="2"/>
  <c r="AM21" i="2"/>
  <c r="AN21" i="2"/>
  <c r="AM27" i="2"/>
  <c r="AN27" i="2"/>
  <c r="AM54" i="2"/>
  <c r="AN54" i="2"/>
  <c r="AM39" i="2"/>
  <c r="AN39" i="2"/>
  <c r="AM34" i="2"/>
  <c r="AN34" i="2"/>
  <c r="AM42" i="2"/>
  <c r="AN42" i="2"/>
  <c r="AM38" i="2"/>
  <c r="AN38" i="2"/>
  <c r="AM43" i="2"/>
  <c r="AN43" i="2"/>
  <c r="AM62" i="2"/>
  <c r="AN62" i="2"/>
  <c r="AM56" i="2"/>
  <c r="AN56" i="2"/>
  <c r="AM55" i="2"/>
  <c r="AN55" i="2"/>
  <c r="AM46" i="2"/>
  <c r="AN46" i="2"/>
  <c r="AM63" i="2"/>
  <c r="AN63" i="2"/>
  <c r="AM49" i="2"/>
  <c r="AN49" i="2"/>
  <c r="AM53" i="2"/>
  <c r="AN53" i="2"/>
  <c r="AM57" i="2"/>
  <c r="AN57" i="2"/>
  <c r="AM58" i="2"/>
  <c r="AN58" i="2"/>
  <c r="AM60" i="2"/>
  <c r="AN60" i="2"/>
  <c r="AM61" i="2"/>
  <c r="AN61" i="2"/>
  <c r="AM41" i="2"/>
  <c r="AN41" i="2"/>
  <c r="AM51" i="2"/>
  <c r="AN51" i="2"/>
  <c r="AM50" i="2"/>
  <c r="AN50" i="2"/>
  <c r="AM26" i="2"/>
  <c r="AN26" i="2"/>
  <c r="AM30" i="2"/>
  <c r="AN30" i="2"/>
  <c r="AM33" i="2"/>
  <c r="AN33" i="2"/>
  <c r="AM45" i="2"/>
  <c r="AN45" i="2"/>
  <c r="AM47" i="2"/>
  <c r="AN47" i="2"/>
  <c r="AM44" i="2"/>
  <c r="AN44" i="2"/>
  <c r="AM48" i="2"/>
  <c r="AN48" i="2"/>
  <c r="AM64" i="2"/>
  <c r="AN64" i="2"/>
  <c r="AM65" i="2"/>
  <c r="AN65" i="2"/>
  <c r="AM66" i="2"/>
  <c r="AN66" i="2"/>
  <c r="AM67" i="2"/>
  <c r="AN67" i="2"/>
  <c r="AM68" i="2"/>
  <c r="AN68" i="2"/>
  <c r="AM69" i="2"/>
  <c r="AN69" i="2"/>
  <c r="AM70" i="2"/>
  <c r="AN70" i="2"/>
  <c r="AM71" i="2"/>
  <c r="AN71" i="2"/>
  <c r="AM72" i="2"/>
  <c r="AN72" i="2"/>
  <c r="AM73" i="2"/>
  <c r="AN73" i="2"/>
  <c r="AM74" i="2"/>
  <c r="AN74" i="2"/>
  <c r="AM75" i="2"/>
  <c r="AN75" i="2"/>
  <c r="AM76" i="2"/>
  <c r="AN76" i="2"/>
  <c r="AM77" i="2"/>
  <c r="AN77" i="2"/>
  <c r="AM78" i="2"/>
  <c r="AN78" i="2"/>
  <c r="AM79" i="2"/>
  <c r="AN79" i="2"/>
  <c r="AM80" i="2"/>
  <c r="AN80" i="2"/>
  <c r="AM81" i="2"/>
  <c r="AN81" i="2"/>
  <c r="AM82" i="2"/>
  <c r="AN82" i="2"/>
  <c r="AM83" i="2"/>
  <c r="AN83" i="2"/>
  <c r="AM84" i="2"/>
  <c r="AN84" i="2"/>
  <c r="AM85" i="2"/>
  <c r="AN85" i="2"/>
  <c r="AM86" i="2"/>
  <c r="AN86" i="2"/>
  <c r="AM87" i="2"/>
  <c r="AN87" i="2"/>
  <c r="AM88" i="2"/>
  <c r="AN88" i="2"/>
  <c r="AM89" i="2"/>
  <c r="AN89" i="2"/>
  <c r="AM90" i="2"/>
  <c r="AN90" i="2"/>
  <c r="AM91" i="2"/>
  <c r="AN91" i="2"/>
  <c r="AM92" i="2"/>
  <c r="AN92" i="2"/>
  <c r="AM93" i="2"/>
  <c r="AN93" i="2"/>
  <c r="AM94" i="2"/>
  <c r="AN94" i="2"/>
  <c r="AK7" i="2"/>
  <c r="AL7" i="2"/>
  <c r="AK10" i="2"/>
  <c r="AL10" i="2"/>
  <c r="AK5" i="2"/>
  <c r="AL5" i="2"/>
  <c r="AK9" i="2"/>
  <c r="AL9" i="2"/>
  <c r="AK16" i="2"/>
  <c r="AL16" i="2"/>
  <c r="AK13" i="2"/>
  <c r="AL13" i="2"/>
  <c r="AK8" i="2"/>
  <c r="AL8" i="2"/>
  <c r="AK11" i="2"/>
  <c r="AL11" i="2"/>
  <c r="AK12" i="2"/>
  <c r="AL12" i="2"/>
  <c r="AK15" i="2"/>
  <c r="AL15" i="2"/>
  <c r="AK14" i="2"/>
  <c r="AL14" i="2"/>
  <c r="AK35" i="2"/>
  <c r="AL35" i="2"/>
  <c r="AK17" i="2"/>
  <c r="AL17" i="2"/>
  <c r="AK32" i="2"/>
  <c r="AL32" i="2"/>
  <c r="AK19" i="2"/>
  <c r="AL19" i="2"/>
  <c r="AK6" i="2"/>
  <c r="AL6" i="2"/>
  <c r="AK36" i="2"/>
  <c r="AL36" i="2"/>
  <c r="AK28" i="2"/>
  <c r="AL28" i="2"/>
  <c r="AK22" i="2"/>
  <c r="AL22" i="2"/>
  <c r="AK40" i="2"/>
  <c r="AL40" i="2"/>
  <c r="AK31" i="2"/>
  <c r="AL31" i="2"/>
  <c r="AK29" i="2"/>
  <c r="AL29" i="2"/>
  <c r="AK18" i="2"/>
  <c r="AL18" i="2"/>
  <c r="AK23" i="2"/>
  <c r="AL23" i="2"/>
  <c r="AK37" i="2"/>
  <c r="AL37" i="2"/>
  <c r="AK24" i="2"/>
  <c r="AL24" i="2"/>
  <c r="AK25" i="2"/>
  <c r="AL25" i="2"/>
  <c r="AK52" i="2"/>
  <c r="AL52" i="2"/>
  <c r="AK59" i="2"/>
  <c r="AL59" i="2"/>
  <c r="AK20" i="2"/>
  <c r="AL20" i="2"/>
  <c r="AK21" i="2"/>
  <c r="AL21" i="2"/>
  <c r="AK27" i="2"/>
  <c r="AL27" i="2"/>
  <c r="AK54" i="2"/>
  <c r="AL54" i="2"/>
  <c r="AK39" i="2"/>
  <c r="AL39" i="2"/>
  <c r="AK34" i="2"/>
  <c r="AL34" i="2"/>
  <c r="AK42" i="2"/>
  <c r="AL42" i="2"/>
  <c r="AK38" i="2"/>
  <c r="AL38" i="2"/>
  <c r="AK43" i="2"/>
  <c r="AL43" i="2"/>
  <c r="AK62" i="2"/>
  <c r="AL62" i="2"/>
  <c r="AK56" i="2"/>
  <c r="AL56" i="2"/>
  <c r="AK55" i="2"/>
  <c r="AL55" i="2"/>
  <c r="AK46" i="2"/>
  <c r="AL46" i="2"/>
  <c r="AK63" i="2"/>
  <c r="AL63" i="2"/>
  <c r="AK49" i="2"/>
  <c r="AL49" i="2"/>
  <c r="AK53" i="2"/>
  <c r="AL53" i="2"/>
  <c r="AK57" i="2"/>
  <c r="AL57" i="2"/>
  <c r="AK58" i="2"/>
  <c r="AL58" i="2"/>
  <c r="AK60" i="2"/>
  <c r="AL60" i="2"/>
  <c r="AK61" i="2"/>
  <c r="AL61" i="2"/>
  <c r="AK41" i="2"/>
  <c r="AL41" i="2"/>
  <c r="AK51" i="2"/>
  <c r="AL51" i="2"/>
  <c r="AK50" i="2"/>
  <c r="AL50" i="2"/>
  <c r="AK26" i="2"/>
  <c r="AL26" i="2"/>
  <c r="AK30" i="2"/>
  <c r="AL30" i="2"/>
  <c r="AK33" i="2"/>
  <c r="AL33" i="2"/>
  <c r="AK45" i="2"/>
  <c r="AL45" i="2"/>
  <c r="AK47" i="2"/>
  <c r="AL47" i="2"/>
  <c r="AK44" i="2"/>
  <c r="AL44" i="2"/>
  <c r="AK48" i="2"/>
  <c r="AL48" i="2"/>
  <c r="AK64" i="2"/>
  <c r="AL64" i="2"/>
  <c r="AK65" i="2"/>
  <c r="AL65" i="2"/>
  <c r="AK66" i="2"/>
  <c r="AL66" i="2"/>
  <c r="AK67" i="2"/>
  <c r="AL67" i="2"/>
  <c r="AK68" i="2"/>
  <c r="AL68" i="2"/>
  <c r="AK69" i="2"/>
  <c r="AL69" i="2"/>
  <c r="AK70" i="2"/>
  <c r="AL70" i="2"/>
  <c r="AK71" i="2"/>
  <c r="AL71" i="2"/>
  <c r="AK72" i="2"/>
  <c r="AL72" i="2"/>
  <c r="AK73" i="2"/>
  <c r="AL73" i="2"/>
  <c r="AK74" i="2"/>
  <c r="AL74" i="2"/>
  <c r="AK75" i="2"/>
  <c r="AL75" i="2"/>
  <c r="AK76" i="2"/>
  <c r="AL76" i="2"/>
  <c r="AK77" i="2"/>
  <c r="AL77" i="2"/>
  <c r="AK78" i="2"/>
  <c r="AL78" i="2"/>
  <c r="AK79" i="2"/>
  <c r="AL79" i="2"/>
  <c r="AK80" i="2"/>
  <c r="AL80" i="2"/>
  <c r="AK81" i="2"/>
  <c r="AL81" i="2"/>
  <c r="AK82" i="2"/>
  <c r="AL82" i="2"/>
  <c r="AK83" i="2"/>
  <c r="AL83" i="2"/>
  <c r="AK84" i="2"/>
  <c r="AL84" i="2"/>
  <c r="AK85" i="2"/>
  <c r="AL85" i="2"/>
  <c r="AK86" i="2"/>
  <c r="AL86" i="2"/>
  <c r="AK87" i="2"/>
  <c r="AL87" i="2"/>
  <c r="AK88" i="2"/>
  <c r="AL88" i="2"/>
  <c r="AK89" i="2"/>
  <c r="AL89" i="2"/>
  <c r="AK90" i="2"/>
  <c r="AL90" i="2"/>
  <c r="AK91" i="2"/>
  <c r="AL91" i="2"/>
  <c r="AK92" i="2"/>
  <c r="AL92" i="2"/>
  <c r="AK93" i="2"/>
  <c r="AL93" i="2"/>
  <c r="AK94" i="2"/>
  <c r="AL94" i="2"/>
  <c r="AI7" i="2"/>
  <c r="AJ7" i="2"/>
  <c r="AI10" i="2"/>
  <c r="AJ10" i="2"/>
  <c r="AI5" i="2"/>
  <c r="AJ5" i="2"/>
  <c r="AI9" i="2"/>
  <c r="AJ9" i="2"/>
  <c r="AI16" i="2"/>
  <c r="AJ16" i="2"/>
  <c r="AI13" i="2"/>
  <c r="AJ13" i="2"/>
  <c r="AI8" i="2"/>
  <c r="AJ8" i="2"/>
  <c r="AI11" i="2"/>
  <c r="AJ11" i="2"/>
  <c r="AI12" i="2"/>
  <c r="AJ12" i="2"/>
  <c r="AI15" i="2"/>
  <c r="AJ15" i="2"/>
  <c r="AI14" i="2"/>
  <c r="AJ14" i="2"/>
  <c r="AI35" i="2"/>
  <c r="AJ35" i="2"/>
  <c r="AI17" i="2"/>
  <c r="AJ17" i="2"/>
  <c r="AI32" i="2"/>
  <c r="AJ32" i="2"/>
  <c r="AI19" i="2"/>
  <c r="AJ19" i="2"/>
  <c r="AI6" i="2"/>
  <c r="AJ6" i="2"/>
  <c r="AI36" i="2"/>
  <c r="AJ36" i="2"/>
  <c r="AI28" i="2"/>
  <c r="AJ28" i="2"/>
  <c r="AI22" i="2"/>
  <c r="AJ22" i="2"/>
  <c r="AI40" i="2"/>
  <c r="AJ40" i="2"/>
  <c r="AI31" i="2"/>
  <c r="AJ31" i="2"/>
  <c r="AI29" i="2"/>
  <c r="AJ29" i="2"/>
  <c r="AI18" i="2"/>
  <c r="AJ18" i="2"/>
  <c r="AI23" i="2"/>
  <c r="AJ23" i="2"/>
  <c r="AI37" i="2"/>
  <c r="AJ37" i="2"/>
  <c r="AI24" i="2"/>
  <c r="AJ24" i="2"/>
  <c r="AI25" i="2"/>
  <c r="AJ25" i="2"/>
  <c r="AI52" i="2"/>
  <c r="AJ52" i="2"/>
  <c r="AI59" i="2"/>
  <c r="AJ59" i="2"/>
  <c r="AI20" i="2"/>
  <c r="AJ20" i="2"/>
  <c r="AI21" i="2"/>
  <c r="AJ21" i="2"/>
  <c r="AI27" i="2"/>
  <c r="AJ27" i="2"/>
  <c r="AI54" i="2"/>
  <c r="AJ54" i="2"/>
  <c r="AI39" i="2"/>
  <c r="AJ39" i="2"/>
  <c r="AI34" i="2"/>
  <c r="AJ34" i="2"/>
  <c r="AI42" i="2"/>
  <c r="AJ42" i="2"/>
  <c r="AI38" i="2"/>
  <c r="AJ38" i="2"/>
  <c r="AI43" i="2"/>
  <c r="AJ43" i="2"/>
  <c r="AI62" i="2"/>
  <c r="AJ62" i="2"/>
  <c r="AI56" i="2"/>
  <c r="AJ56" i="2"/>
  <c r="AI55" i="2"/>
  <c r="AJ55" i="2"/>
  <c r="AI46" i="2"/>
  <c r="AJ46" i="2"/>
  <c r="AI63" i="2"/>
  <c r="AJ63" i="2"/>
  <c r="AI49" i="2"/>
  <c r="AJ49" i="2"/>
  <c r="AI53" i="2"/>
  <c r="AJ53" i="2"/>
  <c r="AI57" i="2"/>
  <c r="AJ57" i="2"/>
  <c r="AI58" i="2"/>
  <c r="AJ58" i="2"/>
  <c r="AI60" i="2"/>
  <c r="AJ60" i="2"/>
  <c r="AI61" i="2"/>
  <c r="AJ61" i="2"/>
  <c r="AI41" i="2"/>
  <c r="AJ41" i="2"/>
  <c r="AI51" i="2"/>
  <c r="AJ51" i="2"/>
  <c r="AI50" i="2"/>
  <c r="AJ50" i="2"/>
  <c r="AI26" i="2"/>
  <c r="AJ26" i="2"/>
  <c r="AI30" i="2"/>
  <c r="AJ30" i="2"/>
  <c r="AI33" i="2"/>
  <c r="AJ33" i="2"/>
  <c r="AI45" i="2"/>
  <c r="AJ45" i="2"/>
  <c r="AI47" i="2"/>
  <c r="AJ47" i="2"/>
  <c r="AI44" i="2"/>
  <c r="AJ44" i="2"/>
  <c r="AI48" i="2"/>
  <c r="AJ48" i="2"/>
  <c r="AI64" i="2"/>
  <c r="AJ64" i="2"/>
  <c r="AI65" i="2"/>
  <c r="AJ65" i="2"/>
  <c r="AI66" i="2"/>
  <c r="AJ66" i="2"/>
  <c r="AI67" i="2"/>
  <c r="AJ67" i="2"/>
  <c r="AI68" i="2"/>
  <c r="AJ68" i="2"/>
  <c r="AI69" i="2"/>
  <c r="AJ69" i="2"/>
  <c r="AI70" i="2"/>
  <c r="AJ70" i="2"/>
  <c r="AI71" i="2"/>
  <c r="AJ71" i="2"/>
  <c r="AI72" i="2"/>
  <c r="AJ72" i="2"/>
  <c r="AI73" i="2"/>
  <c r="AJ73" i="2"/>
  <c r="AI74" i="2"/>
  <c r="AJ74" i="2"/>
  <c r="AI75" i="2"/>
  <c r="AJ75" i="2"/>
  <c r="AI76" i="2"/>
  <c r="AJ76" i="2"/>
  <c r="AI77" i="2"/>
  <c r="AJ77" i="2"/>
  <c r="AI78" i="2"/>
  <c r="AJ78" i="2"/>
  <c r="AI79" i="2"/>
  <c r="AJ79" i="2"/>
  <c r="AI80" i="2"/>
  <c r="AJ80" i="2"/>
  <c r="AI81" i="2"/>
  <c r="AJ81" i="2"/>
  <c r="AI82" i="2"/>
  <c r="AJ82" i="2"/>
  <c r="AI83" i="2"/>
  <c r="AJ83" i="2"/>
  <c r="AI84" i="2"/>
  <c r="AJ84" i="2"/>
  <c r="AI85" i="2"/>
  <c r="AJ85" i="2"/>
  <c r="AI86" i="2"/>
  <c r="AJ86" i="2"/>
  <c r="AI87" i="2"/>
  <c r="AJ87" i="2"/>
  <c r="AI88" i="2"/>
  <c r="AJ88" i="2"/>
  <c r="AI89" i="2"/>
  <c r="AJ89" i="2"/>
  <c r="AI90" i="2"/>
  <c r="AJ90" i="2"/>
  <c r="AI91" i="2"/>
  <c r="AJ91" i="2"/>
  <c r="AI92" i="2"/>
  <c r="AJ92" i="2"/>
  <c r="AI93" i="2"/>
  <c r="AJ93" i="2"/>
  <c r="AI94" i="2"/>
  <c r="AJ94" i="2"/>
  <c r="AH94" i="2"/>
  <c r="AG94" i="2"/>
  <c r="AH93" i="2"/>
  <c r="AG93" i="2"/>
  <c r="AH92" i="2"/>
  <c r="AG92" i="2"/>
  <c r="AH91" i="2"/>
  <c r="AG91" i="2"/>
  <c r="AH90" i="2"/>
  <c r="AG90" i="2"/>
  <c r="AH89" i="2"/>
  <c r="AG89" i="2"/>
  <c r="AH88" i="2"/>
  <c r="AG88" i="2"/>
  <c r="AH87" i="2"/>
  <c r="AG87" i="2"/>
  <c r="AH86" i="2"/>
  <c r="AG86" i="2"/>
  <c r="AH85" i="2"/>
  <c r="AG85" i="2"/>
  <c r="AH84" i="2"/>
  <c r="AG84" i="2"/>
  <c r="AH83" i="2"/>
  <c r="AG83" i="2"/>
  <c r="AH82" i="2"/>
  <c r="AG82" i="2"/>
  <c r="AH81" i="2"/>
  <c r="AG81" i="2"/>
  <c r="AH80" i="2"/>
  <c r="AG80" i="2"/>
  <c r="AH79" i="2"/>
  <c r="AG79" i="2"/>
  <c r="AH78" i="2"/>
  <c r="AG78" i="2"/>
  <c r="AH77" i="2"/>
  <c r="AG77" i="2"/>
  <c r="AH76" i="2"/>
  <c r="AG76" i="2"/>
  <c r="AH75" i="2"/>
  <c r="AG75" i="2"/>
  <c r="AH74" i="2"/>
  <c r="AG74" i="2"/>
  <c r="AH73" i="2"/>
  <c r="AG73" i="2"/>
  <c r="AH72" i="2"/>
  <c r="AG72" i="2"/>
  <c r="AH71" i="2"/>
  <c r="AG71" i="2"/>
  <c r="AH70" i="2"/>
  <c r="AG70" i="2"/>
  <c r="AH69" i="2"/>
  <c r="AG69" i="2"/>
  <c r="AH68" i="2"/>
  <c r="AG68" i="2"/>
  <c r="AH67" i="2"/>
  <c r="AG67" i="2"/>
  <c r="AH66" i="2"/>
  <c r="AG66" i="2"/>
  <c r="AH65" i="2"/>
  <c r="AG65" i="2"/>
  <c r="AH64" i="2"/>
  <c r="AG64" i="2"/>
  <c r="AH48" i="2"/>
  <c r="AG48" i="2"/>
  <c r="AH44" i="2"/>
  <c r="AG44" i="2"/>
  <c r="AH47" i="2"/>
  <c r="AG47" i="2"/>
  <c r="AH45" i="2"/>
  <c r="AG45" i="2"/>
  <c r="AH33" i="2"/>
  <c r="AG33" i="2"/>
  <c r="AH30" i="2"/>
  <c r="AG30" i="2"/>
  <c r="AH26" i="2"/>
  <c r="AG26" i="2"/>
  <c r="AH50" i="2"/>
  <c r="AG50" i="2"/>
  <c r="AH51" i="2"/>
  <c r="AG51" i="2"/>
  <c r="AH41" i="2"/>
  <c r="AG41" i="2"/>
  <c r="AH61" i="2"/>
  <c r="AG61" i="2"/>
  <c r="AH60" i="2"/>
  <c r="AG60" i="2"/>
  <c r="AH58" i="2"/>
  <c r="AG58" i="2"/>
  <c r="AH57" i="2"/>
  <c r="AG57" i="2"/>
  <c r="AH53" i="2"/>
  <c r="AG53" i="2"/>
  <c r="AH49" i="2"/>
  <c r="AG49" i="2"/>
  <c r="AH63" i="2"/>
  <c r="AG63" i="2"/>
  <c r="AH46" i="2"/>
  <c r="AG46" i="2"/>
  <c r="AH55" i="2"/>
  <c r="AG55" i="2"/>
  <c r="AH56" i="2"/>
  <c r="AG56" i="2"/>
  <c r="AH62" i="2"/>
  <c r="AG62" i="2"/>
  <c r="AH43" i="2"/>
  <c r="AG43" i="2"/>
  <c r="AH38" i="2"/>
  <c r="AG38" i="2"/>
  <c r="AH42" i="2"/>
  <c r="AG42" i="2"/>
  <c r="AH34" i="2"/>
  <c r="AG34" i="2"/>
  <c r="AH39" i="2"/>
  <c r="AG39" i="2"/>
  <c r="AH54" i="2"/>
  <c r="AG54" i="2"/>
  <c r="AH27" i="2"/>
  <c r="AG27" i="2"/>
  <c r="AH21" i="2"/>
  <c r="AG21" i="2"/>
  <c r="AH20" i="2"/>
  <c r="AG20" i="2"/>
  <c r="AH59" i="2"/>
  <c r="AG59" i="2"/>
  <c r="AH52" i="2"/>
  <c r="AG52" i="2"/>
  <c r="AH25" i="2"/>
  <c r="AG25" i="2"/>
  <c r="AH24" i="2"/>
  <c r="AG24" i="2"/>
  <c r="AH37" i="2"/>
  <c r="AG37" i="2"/>
  <c r="AH23" i="2"/>
  <c r="AG23" i="2"/>
  <c r="AH18" i="2"/>
  <c r="AG18" i="2"/>
  <c r="AH29" i="2"/>
  <c r="AG29" i="2"/>
  <c r="AH31" i="2"/>
  <c r="AG31" i="2"/>
  <c r="AH40" i="2"/>
  <c r="AG40" i="2"/>
  <c r="AH22" i="2"/>
  <c r="AG22" i="2"/>
  <c r="AH28" i="2"/>
  <c r="AG28" i="2"/>
  <c r="AH36" i="2"/>
  <c r="AG36" i="2"/>
  <c r="AH6" i="2"/>
  <c r="AG6" i="2"/>
  <c r="AH19" i="2"/>
  <c r="AG19" i="2"/>
  <c r="AH32" i="2"/>
  <c r="AG32" i="2"/>
  <c r="AH17" i="2"/>
  <c r="AG17" i="2"/>
  <c r="AH35" i="2"/>
  <c r="AG35" i="2"/>
  <c r="AH14" i="2"/>
  <c r="AG14" i="2"/>
  <c r="AH15" i="2"/>
  <c r="AG15" i="2"/>
  <c r="AH12" i="2"/>
  <c r="AG12" i="2"/>
  <c r="AH11" i="2"/>
  <c r="AG11" i="2"/>
  <c r="AH8" i="2"/>
  <c r="AG8" i="2"/>
  <c r="AH13" i="2"/>
  <c r="AG13" i="2"/>
  <c r="AH16" i="2"/>
  <c r="AG16" i="2"/>
  <c r="AH9" i="2"/>
  <c r="AG9" i="2"/>
  <c r="AH5" i="2"/>
  <c r="AG5" i="2"/>
  <c r="AH10" i="2"/>
  <c r="AG10" i="2"/>
  <c r="AH7" i="2"/>
  <c r="AG7" i="2"/>
  <c r="BF7" i="2"/>
  <c r="BG7" i="2"/>
  <c r="BF10" i="2"/>
  <c r="BG10" i="2"/>
  <c r="BF5" i="2"/>
  <c r="BG5" i="2"/>
  <c r="BF9" i="2"/>
  <c r="BG9" i="2"/>
  <c r="BF16" i="2"/>
  <c r="BG16" i="2"/>
  <c r="BF13" i="2"/>
  <c r="BG13" i="2"/>
  <c r="BF8" i="2"/>
  <c r="BG8" i="2"/>
  <c r="BF11" i="2"/>
  <c r="BG11" i="2"/>
  <c r="BF12" i="2"/>
  <c r="BG12" i="2"/>
  <c r="BF15" i="2"/>
  <c r="BG15" i="2"/>
  <c r="BF14" i="2"/>
  <c r="BG14" i="2"/>
  <c r="BF35" i="2"/>
  <c r="BG35" i="2"/>
  <c r="BF17" i="2"/>
  <c r="BG17" i="2"/>
  <c r="BF32" i="2"/>
  <c r="BG32" i="2"/>
  <c r="BF19" i="2"/>
  <c r="BG19" i="2"/>
  <c r="BF6" i="2"/>
  <c r="BG6" i="2"/>
  <c r="BF36" i="2"/>
  <c r="BG36" i="2"/>
  <c r="BF28" i="2"/>
  <c r="BG28" i="2"/>
  <c r="BF22" i="2"/>
  <c r="BG22" i="2"/>
  <c r="BF40" i="2"/>
  <c r="BG40" i="2"/>
  <c r="BF31" i="2"/>
  <c r="BG31" i="2"/>
  <c r="BF29" i="2"/>
  <c r="BG29" i="2"/>
  <c r="BF18" i="2"/>
  <c r="BG18" i="2"/>
  <c r="BF23" i="2"/>
  <c r="BG23" i="2"/>
  <c r="BF37" i="2"/>
  <c r="BG37" i="2"/>
  <c r="BF24" i="2"/>
  <c r="BG24" i="2"/>
  <c r="BF25" i="2"/>
  <c r="BG25" i="2"/>
  <c r="BF52" i="2"/>
  <c r="BG52" i="2"/>
  <c r="BF59" i="2"/>
  <c r="BG59" i="2"/>
  <c r="BF20" i="2"/>
  <c r="BG20" i="2"/>
  <c r="BF21" i="2"/>
  <c r="BG21" i="2"/>
  <c r="BF27" i="2"/>
  <c r="BG27" i="2"/>
  <c r="BF54" i="2"/>
  <c r="BG54" i="2"/>
  <c r="BF39" i="2"/>
  <c r="BG39" i="2"/>
  <c r="BF34" i="2"/>
  <c r="BG34" i="2"/>
  <c r="BF42" i="2"/>
  <c r="BG42" i="2"/>
  <c r="BF38" i="2"/>
  <c r="BG38" i="2"/>
  <c r="BF43" i="2"/>
  <c r="BG43" i="2"/>
  <c r="BF62" i="2"/>
  <c r="BG62" i="2"/>
  <c r="BF56" i="2"/>
  <c r="BG56" i="2"/>
  <c r="BF55" i="2"/>
  <c r="BG55" i="2"/>
  <c r="BF46" i="2"/>
  <c r="BG46" i="2"/>
  <c r="BF63" i="2"/>
  <c r="BG63" i="2"/>
  <c r="BF49" i="2"/>
  <c r="BG49" i="2"/>
  <c r="BF53" i="2"/>
  <c r="BG53" i="2"/>
  <c r="BF57" i="2"/>
  <c r="BG57" i="2"/>
  <c r="BF58" i="2"/>
  <c r="BG58" i="2"/>
  <c r="BF60" i="2"/>
  <c r="BG60" i="2"/>
  <c r="BF61" i="2"/>
  <c r="BG61" i="2"/>
  <c r="BF41" i="2"/>
  <c r="BG41" i="2"/>
  <c r="BF51" i="2"/>
  <c r="BG51" i="2"/>
  <c r="BF50" i="2"/>
  <c r="BG50" i="2"/>
  <c r="BF26" i="2"/>
  <c r="BG26" i="2"/>
  <c r="BF30" i="2"/>
  <c r="BG30" i="2"/>
  <c r="BF33" i="2"/>
  <c r="BG33" i="2"/>
  <c r="BF45" i="2"/>
  <c r="BG45" i="2"/>
  <c r="BF47" i="2"/>
  <c r="BG47" i="2"/>
  <c r="BF44" i="2"/>
  <c r="BG44" i="2"/>
  <c r="BF48" i="2"/>
  <c r="BG48" i="2"/>
  <c r="BF64" i="2"/>
  <c r="BG64" i="2"/>
  <c r="BF65" i="2"/>
  <c r="BG65" i="2"/>
  <c r="BF66" i="2"/>
  <c r="BG66" i="2"/>
  <c r="BF67" i="2"/>
  <c r="BG67" i="2"/>
  <c r="BF68" i="2"/>
  <c r="BG68" i="2"/>
  <c r="BF69" i="2"/>
  <c r="BG69" i="2"/>
  <c r="BF70" i="2"/>
  <c r="BG70" i="2"/>
  <c r="BF71" i="2"/>
  <c r="BG71" i="2"/>
  <c r="BF72" i="2"/>
  <c r="BG72" i="2"/>
  <c r="BF73" i="2"/>
  <c r="BG73" i="2"/>
  <c r="BF74" i="2"/>
  <c r="BG74" i="2"/>
  <c r="BF75" i="2"/>
  <c r="BG75" i="2"/>
  <c r="BF76" i="2"/>
  <c r="BG76" i="2"/>
  <c r="BF77" i="2"/>
  <c r="BG77" i="2"/>
  <c r="BF78" i="2"/>
  <c r="BG78" i="2"/>
  <c r="BF79" i="2"/>
  <c r="BG79" i="2"/>
  <c r="BF80" i="2"/>
  <c r="BG80" i="2"/>
  <c r="BF81" i="2"/>
  <c r="BG81" i="2"/>
  <c r="BF82" i="2"/>
  <c r="BG82" i="2"/>
  <c r="BF83" i="2"/>
  <c r="BG83" i="2"/>
  <c r="BF84" i="2"/>
  <c r="BG84" i="2"/>
  <c r="BF85" i="2"/>
  <c r="BG85" i="2"/>
  <c r="BF86" i="2"/>
  <c r="BG86" i="2"/>
  <c r="BF87" i="2"/>
  <c r="BG87" i="2"/>
  <c r="BF88" i="2"/>
  <c r="BG88" i="2"/>
  <c r="BF89" i="2"/>
  <c r="BG89" i="2"/>
  <c r="BF90" i="2"/>
  <c r="BG90" i="2"/>
  <c r="BF91" i="2"/>
  <c r="BG91" i="2"/>
  <c r="BF92" i="2"/>
  <c r="BG92" i="2"/>
  <c r="BF93" i="2"/>
  <c r="BG93" i="2"/>
  <c r="BF94" i="2"/>
  <c r="BG94" i="2"/>
  <c r="BD7" i="2"/>
  <c r="BE7" i="2"/>
  <c r="BD10" i="2"/>
  <c r="BE10" i="2"/>
  <c r="BD5" i="2"/>
  <c r="BE5" i="2"/>
  <c r="BD9" i="2"/>
  <c r="BE9" i="2"/>
  <c r="BD16" i="2"/>
  <c r="BE16" i="2"/>
  <c r="BD13" i="2"/>
  <c r="BE13" i="2"/>
  <c r="BD8" i="2"/>
  <c r="BE8" i="2"/>
  <c r="BD11" i="2"/>
  <c r="BE11" i="2"/>
  <c r="BD12" i="2"/>
  <c r="BE12" i="2"/>
  <c r="BD15" i="2"/>
  <c r="BE15" i="2"/>
  <c r="BD14" i="2"/>
  <c r="BE14" i="2"/>
  <c r="BD35" i="2"/>
  <c r="BE35" i="2"/>
  <c r="BD17" i="2"/>
  <c r="BE17" i="2"/>
  <c r="BD32" i="2"/>
  <c r="BE32" i="2"/>
  <c r="BD19" i="2"/>
  <c r="BE19" i="2"/>
  <c r="BD6" i="2"/>
  <c r="BE6" i="2"/>
  <c r="BD36" i="2"/>
  <c r="BE36" i="2"/>
  <c r="BD28" i="2"/>
  <c r="BE28" i="2"/>
  <c r="BD22" i="2"/>
  <c r="BE22" i="2"/>
  <c r="BD40" i="2"/>
  <c r="BE40" i="2"/>
  <c r="BD31" i="2"/>
  <c r="BE31" i="2"/>
  <c r="BD29" i="2"/>
  <c r="BE29" i="2"/>
  <c r="BD18" i="2"/>
  <c r="BE18" i="2"/>
  <c r="BD23" i="2"/>
  <c r="BE23" i="2"/>
  <c r="BD37" i="2"/>
  <c r="BE37" i="2"/>
  <c r="BD24" i="2"/>
  <c r="BE24" i="2"/>
  <c r="BD25" i="2"/>
  <c r="BE25" i="2"/>
  <c r="BD52" i="2"/>
  <c r="BE52" i="2"/>
  <c r="BD59" i="2"/>
  <c r="BE59" i="2"/>
  <c r="BD20" i="2"/>
  <c r="BE20" i="2"/>
  <c r="BD21" i="2"/>
  <c r="BE21" i="2"/>
  <c r="BD27" i="2"/>
  <c r="BE27" i="2"/>
  <c r="BD54" i="2"/>
  <c r="BE54" i="2"/>
  <c r="BD39" i="2"/>
  <c r="BE39" i="2"/>
  <c r="BD34" i="2"/>
  <c r="BE34" i="2"/>
  <c r="BD42" i="2"/>
  <c r="BE42" i="2"/>
  <c r="BD38" i="2"/>
  <c r="BE38" i="2"/>
  <c r="BD43" i="2"/>
  <c r="BE43" i="2"/>
  <c r="BD62" i="2"/>
  <c r="BE62" i="2"/>
  <c r="BD56" i="2"/>
  <c r="BE56" i="2"/>
  <c r="BD55" i="2"/>
  <c r="BE55" i="2"/>
  <c r="BD46" i="2"/>
  <c r="BE46" i="2"/>
  <c r="BD63" i="2"/>
  <c r="BE63" i="2"/>
  <c r="BD49" i="2"/>
  <c r="BE49" i="2"/>
  <c r="BD53" i="2"/>
  <c r="BE53" i="2"/>
  <c r="BD57" i="2"/>
  <c r="BE57" i="2"/>
  <c r="BD58" i="2"/>
  <c r="BE58" i="2"/>
  <c r="BD60" i="2"/>
  <c r="BE60" i="2"/>
  <c r="BD61" i="2"/>
  <c r="BE61" i="2"/>
  <c r="BD41" i="2"/>
  <c r="BE41" i="2"/>
  <c r="BD51" i="2"/>
  <c r="BE51" i="2"/>
  <c r="BD50" i="2"/>
  <c r="BE50" i="2"/>
  <c r="BD26" i="2"/>
  <c r="BE26" i="2"/>
  <c r="BD30" i="2"/>
  <c r="BE30" i="2"/>
  <c r="BD33" i="2"/>
  <c r="BE33" i="2"/>
  <c r="BD45" i="2"/>
  <c r="BE45" i="2"/>
  <c r="BD47" i="2"/>
  <c r="BE47" i="2"/>
  <c r="BD44" i="2"/>
  <c r="BE44" i="2"/>
  <c r="BD48" i="2"/>
  <c r="BE48" i="2"/>
  <c r="BD64" i="2"/>
  <c r="BE64" i="2"/>
  <c r="BD65" i="2"/>
  <c r="BE65" i="2"/>
  <c r="BD66" i="2"/>
  <c r="BE66" i="2"/>
  <c r="BD67" i="2"/>
  <c r="BE67" i="2"/>
  <c r="BD68" i="2"/>
  <c r="BE68" i="2"/>
  <c r="BD69" i="2"/>
  <c r="BE69" i="2"/>
  <c r="BD70" i="2"/>
  <c r="BE70" i="2"/>
  <c r="BD71" i="2"/>
  <c r="BE71" i="2"/>
  <c r="BD72" i="2"/>
  <c r="BE72" i="2"/>
  <c r="BD73" i="2"/>
  <c r="BE73" i="2"/>
  <c r="BD74" i="2"/>
  <c r="BE74" i="2"/>
  <c r="BD75" i="2"/>
  <c r="BE75" i="2"/>
  <c r="BD76" i="2"/>
  <c r="BE76" i="2"/>
  <c r="BD77" i="2"/>
  <c r="BE77" i="2"/>
  <c r="BD78" i="2"/>
  <c r="BE78" i="2"/>
  <c r="BD79" i="2"/>
  <c r="BE79" i="2"/>
  <c r="BD80" i="2"/>
  <c r="BE80" i="2"/>
  <c r="BD81" i="2"/>
  <c r="BE81" i="2"/>
  <c r="BD82" i="2"/>
  <c r="BE82" i="2"/>
  <c r="BD83" i="2"/>
  <c r="BE83" i="2"/>
  <c r="BD84" i="2"/>
  <c r="BE84" i="2"/>
  <c r="BD85" i="2"/>
  <c r="BE85" i="2"/>
  <c r="BD86" i="2"/>
  <c r="BE86" i="2"/>
  <c r="BD87" i="2"/>
  <c r="BE87" i="2"/>
  <c r="BD88" i="2"/>
  <c r="BE88" i="2"/>
  <c r="BD89" i="2"/>
  <c r="BE89" i="2"/>
  <c r="BD90" i="2"/>
  <c r="BE90" i="2"/>
  <c r="BD91" i="2"/>
  <c r="BE91" i="2"/>
  <c r="BD92" i="2"/>
  <c r="BE92" i="2"/>
  <c r="BD93" i="2"/>
  <c r="BE93" i="2"/>
  <c r="BD94" i="2"/>
  <c r="BE94" i="2"/>
  <c r="BB7" i="2"/>
  <c r="BC7" i="2"/>
  <c r="BB10" i="2"/>
  <c r="BC10" i="2"/>
  <c r="BB5" i="2"/>
  <c r="BC5" i="2"/>
  <c r="BB9" i="2"/>
  <c r="BC9" i="2"/>
  <c r="BB16" i="2"/>
  <c r="BC16" i="2"/>
  <c r="BB13" i="2"/>
  <c r="BC13" i="2"/>
  <c r="BB8" i="2"/>
  <c r="BC8" i="2"/>
  <c r="BB11" i="2"/>
  <c r="BC11" i="2"/>
  <c r="BB12" i="2"/>
  <c r="BC12" i="2"/>
  <c r="BB15" i="2"/>
  <c r="BC15" i="2"/>
  <c r="BB14" i="2"/>
  <c r="BC14" i="2"/>
  <c r="BB35" i="2"/>
  <c r="BC35" i="2"/>
  <c r="BB17" i="2"/>
  <c r="BC17" i="2"/>
  <c r="BB32" i="2"/>
  <c r="BC32" i="2"/>
  <c r="BB19" i="2"/>
  <c r="BC19" i="2"/>
  <c r="BB6" i="2"/>
  <c r="BC6" i="2"/>
  <c r="BB36" i="2"/>
  <c r="BC36" i="2"/>
  <c r="BB28" i="2"/>
  <c r="BC28" i="2"/>
  <c r="BB22" i="2"/>
  <c r="BC22" i="2"/>
  <c r="BB40" i="2"/>
  <c r="BC40" i="2"/>
  <c r="BB31" i="2"/>
  <c r="BC31" i="2"/>
  <c r="BB29" i="2"/>
  <c r="BC29" i="2"/>
  <c r="BB18" i="2"/>
  <c r="BC18" i="2"/>
  <c r="BB23" i="2"/>
  <c r="BC23" i="2"/>
  <c r="BB37" i="2"/>
  <c r="BC37" i="2"/>
  <c r="BB24" i="2"/>
  <c r="BC24" i="2"/>
  <c r="BB25" i="2"/>
  <c r="BC25" i="2"/>
  <c r="BB52" i="2"/>
  <c r="BC52" i="2"/>
  <c r="BB59" i="2"/>
  <c r="BC59" i="2"/>
  <c r="BB20" i="2"/>
  <c r="BC20" i="2"/>
  <c r="BB21" i="2"/>
  <c r="BC21" i="2"/>
  <c r="BB27" i="2"/>
  <c r="BC27" i="2"/>
  <c r="BB54" i="2"/>
  <c r="BC54" i="2"/>
  <c r="BB39" i="2"/>
  <c r="BC39" i="2"/>
  <c r="BB34" i="2"/>
  <c r="BC34" i="2"/>
  <c r="BB42" i="2"/>
  <c r="BC42" i="2"/>
  <c r="BB38" i="2"/>
  <c r="BC38" i="2"/>
  <c r="BB43" i="2"/>
  <c r="BC43" i="2"/>
  <c r="BB62" i="2"/>
  <c r="BC62" i="2"/>
  <c r="BB56" i="2"/>
  <c r="BC56" i="2"/>
  <c r="BB55" i="2"/>
  <c r="BC55" i="2"/>
  <c r="BB46" i="2"/>
  <c r="BC46" i="2"/>
  <c r="BB63" i="2"/>
  <c r="BC63" i="2"/>
  <c r="BB49" i="2"/>
  <c r="BC49" i="2"/>
  <c r="BB53" i="2"/>
  <c r="BC53" i="2"/>
  <c r="BB57" i="2"/>
  <c r="BC57" i="2"/>
  <c r="BB58" i="2"/>
  <c r="BC58" i="2"/>
  <c r="BB60" i="2"/>
  <c r="BC60" i="2"/>
  <c r="BB61" i="2"/>
  <c r="BC61" i="2"/>
  <c r="BB41" i="2"/>
  <c r="BC41" i="2"/>
  <c r="BB51" i="2"/>
  <c r="BC51" i="2"/>
  <c r="BB50" i="2"/>
  <c r="BC50" i="2"/>
  <c r="BB26" i="2"/>
  <c r="BC26" i="2"/>
  <c r="BB30" i="2"/>
  <c r="BC30" i="2"/>
  <c r="BB33" i="2"/>
  <c r="BC33" i="2"/>
  <c r="BB45" i="2"/>
  <c r="BC45" i="2"/>
  <c r="BB47" i="2"/>
  <c r="BC47" i="2"/>
  <c r="BB44" i="2"/>
  <c r="BC44" i="2"/>
  <c r="BB48" i="2"/>
  <c r="BC48" i="2"/>
  <c r="BB64" i="2"/>
  <c r="BC64" i="2"/>
  <c r="BB65" i="2"/>
  <c r="BC65" i="2"/>
  <c r="BB66" i="2"/>
  <c r="BC66" i="2"/>
  <c r="BB67" i="2"/>
  <c r="BC67" i="2"/>
  <c r="BB68" i="2"/>
  <c r="BC68" i="2"/>
  <c r="BB69" i="2"/>
  <c r="BC69" i="2"/>
  <c r="BB70" i="2"/>
  <c r="BC70" i="2"/>
  <c r="BB71" i="2"/>
  <c r="BC71" i="2"/>
  <c r="BB72" i="2"/>
  <c r="BC72" i="2"/>
  <c r="BB73" i="2"/>
  <c r="BC73" i="2"/>
  <c r="BB74" i="2"/>
  <c r="BC74" i="2"/>
  <c r="BB75" i="2"/>
  <c r="BC75" i="2"/>
  <c r="BB76" i="2"/>
  <c r="BC76" i="2"/>
  <c r="BB77" i="2"/>
  <c r="BC77" i="2"/>
  <c r="BB78" i="2"/>
  <c r="BC78" i="2"/>
  <c r="BB79" i="2"/>
  <c r="BC79" i="2"/>
  <c r="BB80" i="2"/>
  <c r="BC80" i="2"/>
  <c r="BB81" i="2"/>
  <c r="BC81" i="2"/>
  <c r="BB82" i="2"/>
  <c r="BC82" i="2"/>
  <c r="BB83" i="2"/>
  <c r="BC83" i="2"/>
  <c r="BB84" i="2"/>
  <c r="BC84" i="2"/>
  <c r="BB85" i="2"/>
  <c r="BC85" i="2"/>
  <c r="BB86" i="2"/>
  <c r="BC86" i="2"/>
  <c r="BB87" i="2"/>
  <c r="BC87" i="2"/>
  <c r="BB88" i="2"/>
  <c r="BC88" i="2"/>
  <c r="BB89" i="2"/>
  <c r="BC89" i="2"/>
  <c r="BB90" i="2"/>
  <c r="BC90" i="2"/>
  <c r="BB91" i="2"/>
  <c r="BC91" i="2"/>
  <c r="BB92" i="2"/>
  <c r="BC92" i="2"/>
  <c r="BB93" i="2"/>
  <c r="BC93" i="2"/>
  <c r="BB94" i="2"/>
  <c r="BC94" i="2"/>
  <c r="BA94" i="2"/>
  <c r="AZ94" i="2"/>
  <c r="BA93" i="2"/>
  <c r="AZ93" i="2"/>
  <c r="BA92" i="2"/>
  <c r="AZ92" i="2"/>
  <c r="BA91" i="2"/>
  <c r="AZ91" i="2"/>
  <c r="BA90" i="2"/>
  <c r="AZ90" i="2"/>
  <c r="BA89" i="2"/>
  <c r="AZ89" i="2"/>
  <c r="BA88" i="2"/>
  <c r="AZ88" i="2"/>
  <c r="BA87" i="2"/>
  <c r="AZ87" i="2"/>
  <c r="BA86" i="2"/>
  <c r="AZ86" i="2"/>
  <c r="BA85" i="2"/>
  <c r="AZ85" i="2"/>
  <c r="BA84" i="2"/>
  <c r="AZ84" i="2"/>
  <c r="BA83" i="2"/>
  <c r="AZ83" i="2"/>
  <c r="BA82" i="2"/>
  <c r="AZ82" i="2"/>
  <c r="BA81" i="2"/>
  <c r="AZ81" i="2"/>
  <c r="BA80" i="2"/>
  <c r="AZ80" i="2"/>
  <c r="BA79" i="2"/>
  <c r="AZ79" i="2"/>
  <c r="BA78" i="2"/>
  <c r="AZ78" i="2"/>
  <c r="BA77" i="2"/>
  <c r="AZ77" i="2"/>
  <c r="BA76" i="2"/>
  <c r="AZ76" i="2"/>
  <c r="BA75" i="2"/>
  <c r="AZ75" i="2"/>
  <c r="BA74" i="2"/>
  <c r="AZ74" i="2"/>
  <c r="BA73" i="2"/>
  <c r="AZ73" i="2"/>
  <c r="BA72" i="2"/>
  <c r="AZ72" i="2"/>
  <c r="BA71" i="2"/>
  <c r="AZ71" i="2"/>
  <c r="BA70" i="2"/>
  <c r="AZ70" i="2"/>
  <c r="BA69" i="2"/>
  <c r="AZ69" i="2"/>
  <c r="BA68" i="2"/>
  <c r="AZ68" i="2"/>
  <c r="BA67" i="2"/>
  <c r="AZ67" i="2"/>
  <c r="BA66" i="2"/>
  <c r="AZ66" i="2"/>
  <c r="BA65" i="2"/>
  <c r="AZ65" i="2"/>
  <c r="BA64" i="2"/>
  <c r="AZ64" i="2"/>
  <c r="BA48" i="2"/>
  <c r="AZ48" i="2"/>
  <c r="BA44" i="2"/>
  <c r="AZ44" i="2"/>
  <c r="BA47" i="2"/>
  <c r="AZ47" i="2"/>
  <c r="BA45" i="2"/>
  <c r="AZ45" i="2"/>
  <c r="BA33" i="2"/>
  <c r="AZ33" i="2"/>
  <c r="BA30" i="2"/>
  <c r="AZ30" i="2"/>
  <c r="BA26" i="2"/>
  <c r="AZ26" i="2"/>
  <c r="BA50" i="2"/>
  <c r="AZ50" i="2"/>
  <c r="BA51" i="2"/>
  <c r="AZ51" i="2"/>
  <c r="BA41" i="2"/>
  <c r="AZ41" i="2"/>
  <c r="BA61" i="2"/>
  <c r="AZ61" i="2"/>
  <c r="BA60" i="2"/>
  <c r="AZ60" i="2"/>
  <c r="BA58" i="2"/>
  <c r="AZ58" i="2"/>
  <c r="BA57" i="2"/>
  <c r="AZ57" i="2"/>
  <c r="BA53" i="2"/>
  <c r="AZ53" i="2"/>
  <c r="BA49" i="2"/>
  <c r="AZ49" i="2"/>
  <c r="BA63" i="2"/>
  <c r="AZ63" i="2"/>
  <c r="BA46" i="2"/>
  <c r="AZ46" i="2"/>
  <c r="BA55" i="2"/>
  <c r="AZ55" i="2"/>
  <c r="BA56" i="2"/>
  <c r="AZ56" i="2"/>
  <c r="BA62" i="2"/>
  <c r="AZ62" i="2"/>
  <c r="BA43" i="2"/>
  <c r="AZ43" i="2"/>
  <c r="BA38" i="2"/>
  <c r="AZ38" i="2"/>
  <c r="BA42" i="2"/>
  <c r="AZ42" i="2"/>
  <c r="BA34" i="2"/>
  <c r="AZ34" i="2"/>
  <c r="BA39" i="2"/>
  <c r="AZ39" i="2"/>
  <c r="BA54" i="2"/>
  <c r="AZ54" i="2"/>
  <c r="BA27" i="2"/>
  <c r="AZ27" i="2"/>
  <c r="BA21" i="2"/>
  <c r="AZ21" i="2"/>
  <c r="BA20" i="2"/>
  <c r="AZ20" i="2"/>
  <c r="BA59" i="2"/>
  <c r="AZ59" i="2"/>
  <c r="BA52" i="2"/>
  <c r="AZ52" i="2"/>
  <c r="BA25" i="2"/>
  <c r="AZ25" i="2"/>
  <c r="BA24" i="2"/>
  <c r="AZ24" i="2"/>
  <c r="BA37" i="2"/>
  <c r="AZ37" i="2"/>
  <c r="BA23" i="2"/>
  <c r="AZ23" i="2"/>
  <c r="BA18" i="2"/>
  <c r="AZ18" i="2"/>
  <c r="BA29" i="2"/>
  <c r="AZ29" i="2"/>
  <c r="BA31" i="2"/>
  <c r="AZ31" i="2"/>
  <c r="BA40" i="2"/>
  <c r="AZ40" i="2"/>
  <c r="BA22" i="2"/>
  <c r="AZ22" i="2"/>
  <c r="BA28" i="2"/>
  <c r="AZ28" i="2"/>
  <c r="BA36" i="2"/>
  <c r="AZ36" i="2"/>
  <c r="BA6" i="2"/>
  <c r="AZ6" i="2"/>
  <c r="BA19" i="2"/>
  <c r="AZ19" i="2"/>
  <c r="BA32" i="2"/>
  <c r="AZ32" i="2"/>
  <c r="BA17" i="2"/>
  <c r="AZ17" i="2"/>
  <c r="BA35" i="2"/>
  <c r="AZ35" i="2"/>
  <c r="BA14" i="2"/>
  <c r="AZ14" i="2"/>
  <c r="BA15" i="2"/>
  <c r="AZ15" i="2"/>
  <c r="BA12" i="2"/>
  <c r="AZ12" i="2"/>
  <c r="BA11" i="2"/>
  <c r="AZ11" i="2"/>
  <c r="BA8" i="2"/>
  <c r="AZ8" i="2"/>
  <c r="BA13" i="2"/>
  <c r="AZ13" i="2"/>
  <c r="BA16" i="2"/>
  <c r="AZ16" i="2"/>
  <c r="BA9" i="2"/>
  <c r="AZ9" i="2"/>
  <c r="BA5" i="2"/>
  <c r="AZ5" i="2"/>
  <c r="BA10" i="2"/>
  <c r="AZ10" i="2"/>
  <c r="BA7" i="2"/>
  <c r="AZ7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48" i="2"/>
  <c r="H44" i="2"/>
  <c r="H47" i="2"/>
  <c r="H45" i="2"/>
  <c r="H33" i="2"/>
  <c r="H30" i="2"/>
  <c r="H26" i="2"/>
  <c r="H50" i="2"/>
  <c r="H51" i="2"/>
  <c r="H27" i="2"/>
  <c r="H23" i="2"/>
  <c r="H63" i="2"/>
  <c r="H20" i="2"/>
  <c r="H38" i="2"/>
  <c r="H62" i="2"/>
  <c r="H7" i="2"/>
  <c r="H41" i="2"/>
  <c r="H61" i="2"/>
  <c r="H60" i="2"/>
  <c r="H59" i="2"/>
  <c r="H32" i="2"/>
  <c r="H35" i="2"/>
  <c r="H29" i="2"/>
  <c r="H58" i="2"/>
  <c r="H57" i="2"/>
  <c r="H40" i="2"/>
  <c r="H56" i="2"/>
  <c r="H15" i="2"/>
  <c r="H12" i="2"/>
  <c r="H17" i="2"/>
  <c r="H14" i="2"/>
  <c r="H13" i="2"/>
  <c r="H42" i="2"/>
  <c r="H22" i="2"/>
  <c r="H6" i="2"/>
  <c r="H36" i="2"/>
  <c r="H9" i="2"/>
  <c r="H43" i="2"/>
  <c r="H11" i="2"/>
  <c r="H25" i="2"/>
  <c r="H49" i="2"/>
  <c r="H55" i="2"/>
  <c r="H24" i="2"/>
  <c r="H28" i="2"/>
  <c r="H10" i="2"/>
  <c r="H54" i="2"/>
  <c r="H8" i="2"/>
  <c r="H16" i="2"/>
  <c r="H53" i="2"/>
  <c r="H37" i="2"/>
  <c r="H18" i="2"/>
  <c r="H19" i="2"/>
  <c r="H46" i="2"/>
  <c r="H39" i="2"/>
  <c r="H5" i="2"/>
  <c r="H31" i="2"/>
  <c r="H52" i="2"/>
  <c r="H21" i="2"/>
  <c r="H34" i="2"/>
  <c r="A8" i="2" l="1"/>
  <c r="A57" i="2"/>
  <c r="A7" i="2"/>
  <c r="A15" i="2"/>
  <c r="A12" i="2"/>
  <c r="A19" i="2"/>
  <c r="A10" i="2"/>
  <c r="A5" i="2"/>
  <c r="A13" i="2"/>
  <c r="A58" i="2"/>
  <c r="A17" i="2"/>
  <c r="A25" i="2"/>
  <c r="A34" i="2"/>
  <c r="A31" i="2"/>
  <c r="A11" i="2"/>
  <c r="A41" i="2"/>
  <c r="A53" i="2"/>
  <c r="A16" i="2"/>
  <c r="A49" i="2"/>
  <c r="A36" i="2"/>
  <c r="A24" i="2"/>
  <c r="A61" i="2"/>
  <c r="A54" i="2"/>
  <c r="A43" i="2"/>
  <c r="A38" i="2"/>
  <c r="A23" i="2"/>
  <c r="A60" i="2"/>
  <c r="A27" i="2"/>
  <c r="A55" i="2"/>
  <c r="A42" i="2"/>
  <c r="A59" i="2"/>
  <c r="A29" i="2"/>
  <c r="A20" i="2"/>
  <c r="A26" i="2"/>
  <c r="A33" i="2"/>
  <c r="A35" i="2"/>
  <c r="A63" i="2"/>
  <c r="A21" i="2"/>
  <c r="A62" i="2"/>
  <c r="A37" i="2"/>
  <c r="A46" i="2"/>
  <c r="A18" i="2"/>
  <c r="A52" i="2"/>
  <c r="A56" i="2"/>
  <c r="A44" i="2"/>
  <c r="A47" i="2"/>
  <c r="A50" i="2"/>
  <c r="A68" i="2"/>
  <c r="A39" i="2"/>
  <c r="A40" i="2"/>
  <c r="A22" i="2"/>
  <c r="A30" i="2"/>
  <c r="A48" i="2"/>
  <c r="A64" i="2"/>
  <c r="A73" i="2"/>
  <c r="A32" i="2"/>
  <c r="A66" i="2"/>
  <c r="A51" i="2"/>
  <c r="A70" i="2"/>
  <c r="A69" i="2"/>
  <c r="A76" i="2"/>
  <c r="A28" i="2"/>
  <c r="A75" i="2"/>
  <c r="A72" i="2"/>
  <c r="A9" i="2"/>
  <c r="A6" i="2"/>
  <c r="A77" i="2"/>
  <c r="A67" i="2"/>
  <c r="A65" i="2"/>
  <c r="A79" i="2"/>
  <c r="A78" i="2"/>
  <c r="A45" i="2"/>
  <c r="A74" i="2"/>
  <c r="A71" i="2"/>
  <c r="A14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K93" i="2" l="1"/>
  <c r="Z91" i="2"/>
  <c r="AW87" i="2"/>
  <c r="G86" i="2"/>
  <c r="AV93" i="2"/>
  <c r="F92" i="2"/>
  <c r="AC88" i="2"/>
  <c r="AR86" i="2"/>
  <c r="X94" i="2"/>
  <c r="AF92" i="2"/>
  <c r="K92" i="2"/>
  <c r="Z90" i="2"/>
  <c r="AW86" i="2"/>
  <c r="AV92" i="2"/>
  <c r="F91" i="2"/>
  <c r="AC87" i="2"/>
  <c r="AD92" i="2"/>
  <c r="AS90" i="2"/>
  <c r="K87" i="2"/>
  <c r="J93" i="2"/>
  <c r="Y91" i="2"/>
  <c r="AV87" i="2"/>
  <c r="F86" i="2"/>
  <c r="AQ93" i="2"/>
  <c r="AY91" i="2"/>
  <c r="I90" i="2"/>
  <c r="X88" i="2"/>
  <c r="AF86" i="2"/>
  <c r="AU84" i="2"/>
  <c r="E83" i="2"/>
  <c r="M81" i="2"/>
  <c r="AD81" i="2"/>
  <c r="Z83" i="2"/>
  <c r="F81" i="2"/>
  <c r="AW92" i="2"/>
  <c r="G91" i="2"/>
  <c r="AD87" i="2"/>
  <c r="AS85" i="2"/>
  <c r="AC93" i="2"/>
  <c r="AR91" i="2"/>
  <c r="J88" i="2"/>
  <c r="Y86" i="2"/>
  <c r="E94" i="2"/>
  <c r="M92" i="2"/>
  <c r="AB90" i="2"/>
  <c r="AQ88" i="2"/>
  <c r="AY86" i="2"/>
  <c r="I85" i="2"/>
  <c r="X83" i="2"/>
  <c r="AF81" i="2"/>
  <c r="AC81" i="2"/>
  <c r="D76" i="2"/>
  <c r="Y84" i="2"/>
  <c r="M90" i="2"/>
  <c r="AQ86" i="2"/>
  <c r="I83" i="2"/>
  <c r="D90" i="2"/>
  <c r="AP81" i="2"/>
  <c r="W79" i="2"/>
  <c r="AY77" i="2"/>
  <c r="AD75" i="2"/>
  <c r="J73" i="2"/>
  <c r="AQ91" i="2"/>
  <c r="I88" i="2"/>
  <c r="AF84" i="2"/>
  <c r="E81" i="2"/>
  <c r="AD94" i="2"/>
  <c r="AS92" i="2"/>
  <c r="K89" i="2"/>
  <c r="Z87" i="2"/>
  <c r="Y93" i="2"/>
  <c r="AV89" i="2"/>
  <c r="F88" i="2"/>
  <c r="AC84" i="2"/>
  <c r="AY93" i="2"/>
  <c r="I92" i="2"/>
  <c r="AD93" i="2"/>
  <c r="AS91" i="2"/>
  <c r="K88" i="2"/>
  <c r="Z86" i="2"/>
  <c r="J94" i="2"/>
  <c r="Y92" i="2"/>
  <c r="AV88" i="2"/>
  <c r="F87" i="2"/>
  <c r="AW93" i="2"/>
  <c r="G92" i="2"/>
  <c r="AD88" i="2"/>
  <c r="AS86" i="2"/>
  <c r="AC94" i="2"/>
  <c r="AR92" i="2"/>
  <c r="J89" i="2"/>
  <c r="Y87" i="2"/>
  <c r="AV83" i="2"/>
  <c r="M93" i="2"/>
  <c r="AB91" i="2"/>
  <c r="AQ89" i="2"/>
  <c r="AY87" i="2"/>
  <c r="I86" i="2"/>
  <c r="X84" i="2"/>
  <c r="AF82" i="2"/>
  <c r="W86" i="2"/>
  <c r="AV82" i="2"/>
  <c r="D77" i="2"/>
  <c r="K94" i="2"/>
  <c r="Z92" i="2"/>
  <c r="AW88" i="2"/>
  <c r="G87" i="2"/>
  <c r="AV94" i="2"/>
  <c r="F93" i="2"/>
  <c r="AC89" i="2"/>
  <c r="AR87" i="2"/>
  <c r="J84" i="2"/>
  <c r="AF93" i="2"/>
  <c r="AU91" i="2"/>
  <c r="E90" i="2"/>
  <c r="M88" i="2"/>
  <c r="AB86" i="2"/>
  <c r="AQ84" i="2"/>
  <c r="AY82" i="2"/>
  <c r="I81" i="2"/>
  <c r="AS83" i="2"/>
  <c r="AP87" i="2"/>
  <c r="W77" i="2"/>
  <c r="AU93" i="2"/>
  <c r="X89" i="2"/>
  <c r="AU85" i="2"/>
  <c r="M82" i="2"/>
  <c r="Y82" i="2"/>
  <c r="AD83" i="2"/>
  <c r="AQ79" i="2"/>
  <c r="AR85" i="2"/>
  <c r="AU90" i="2"/>
  <c r="M87" i="2"/>
  <c r="AQ83" i="2"/>
  <c r="Z82" i="2"/>
  <c r="W76" i="2"/>
  <c r="W89" i="2"/>
  <c r="AR80" i="2"/>
  <c r="X78" i="2"/>
  <c r="AQ90" i="2"/>
  <c r="I87" i="2"/>
  <c r="AF83" i="2"/>
  <c r="W84" i="2"/>
  <c r="AP73" i="2"/>
  <c r="AF80" i="2"/>
  <c r="K78" i="2"/>
  <c r="AV75" i="2"/>
  <c r="AB73" i="2"/>
  <c r="X71" i="2"/>
  <c r="G94" i="2"/>
  <c r="AD90" i="2"/>
  <c r="AS88" i="2"/>
  <c r="AR94" i="2"/>
  <c r="J91" i="2"/>
  <c r="Y89" i="2"/>
  <c r="AV85" i="2"/>
  <c r="F84" i="2"/>
  <c r="AB93" i="2"/>
  <c r="AW94" i="2"/>
  <c r="G93" i="2"/>
  <c r="AD89" i="2"/>
  <c r="AS87" i="2"/>
  <c r="AR93" i="2"/>
  <c r="J90" i="2"/>
  <c r="Y88" i="2"/>
  <c r="Z93" i="2"/>
  <c r="AW89" i="2"/>
  <c r="G88" i="2"/>
  <c r="F94" i="2"/>
  <c r="AC90" i="2"/>
  <c r="AR88" i="2"/>
  <c r="J85" i="2"/>
  <c r="AF94" i="2"/>
  <c r="AU92" i="2"/>
  <c r="E91" i="2"/>
  <c r="M89" i="2"/>
  <c r="AB87" i="2"/>
  <c r="AQ85" i="2"/>
  <c r="AY83" i="2"/>
  <c r="I82" i="2"/>
  <c r="D86" i="2"/>
  <c r="AR82" i="2"/>
  <c r="AP91" i="2"/>
  <c r="D85" i="2"/>
  <c r="W78" i="2"/>
  <c r="AS93" i="2"/>
  <c r="K90" i="2"/>
  <c r="Z88" i="2"/>
  <c r="Y94" i="2"/>
  <c r="AV90" i="2"/>
  <c r="F89" i="2"/>
  <c r="AC85" i="2"/>
  <c r="AY94" i="2"/>
  <c r="AD86" i="2"/>
  <c r="E93" i="2"/>
  <c r="G89" i="2"/>
  <c r="AC91" i="2"/>
  <c r="AW85" i="2"/>
  <c r="X92" i="2"/>
  <c r="M85" i="2"/>
  <c r="AW84" i="2"/>
  <c r="K86" i="2"/>
  <c r="I93" i="2"/>
  <c r="AF89" i="2"/>
  <c r="E86" i="2"/>
  <c r="AB82" i="2"/>
  <c r="W87" i="2"/>
  <c r="D93" i="2"/>
  <c r="AP82" i="2"/>
  <c r="AP78" i="2"/>
  <c r="E92" i="2"/>
  <c r="AY84" i="2"/>
  <c r="K84" i="2"/>
  <c r="K81" i="2"/>
  <c r="F82" i="2"/>
  <c r="AR76" i="2"/>
  <c r="X86" i="2"/>
  <c r="AP88" i="2"/>
  <c r="K85" i="2"/>
  <c r="AD79" i="2"/>
  <c r="AF76" i="2"/>
  <c r="AU89" i="2"/>
  <c r="X85" i="2"/>
  <c r="AY80" i="2"/>
  <c r="AU78" i="2"/>
  <c r="M75" i="2"/>
  <c r="E70" i="2"/>
  <c r="M68" i="2"/>
  <c r="D81" i="2"/>
  <c r="D88" i="2"/>
  <c r="J81" i="2"/>
  <c r="AR78" i="2"/>
  <c r="X76" i="2"/>
  <c r="AS71" i="2"/>
  <c r="K68" i="2"/>
  <c r="Z66" i="2"/>
  <c r="AV84" i="2"/>
  <c r="X90" i="2"/>
  <c r="AU86" i="2"/>
  <c r="M83" i="2"/>
  <c r="AV81" i="2"/>
  <c r="AR83" i="2"/>
  <c r="Z80" i="2"/>
  <c r="F78" i="2"/>
  <c r="AQ75" i="2"/>
  <c r="M71" i="2"/>
  <c r="AB69" i="2"/>
  <c r="AQ67" i="2"/>
  <c r="M80" i="2"/>
  <c r="AW77" i="2"/>
  <c r="AD84" i="2"/>
  <c r="X80" i="2"/>
  <c r="M73" i="2"/>
  <c r="K71" i="2"/>
  <c r="Z69" i="2"/>
  <c r="AW65" i="2"/>
  <c r="G64" i="2"/>
  <c r="X69" i="2"/>
  <c r="AR77" i="2"/>
  <c r="K80" i="2"/>
  <c r="AB75" i="2"/>
  <c r="G71" i="2"/>
  <c r="AD67" i="2"/>
  <c r="AW47" i="2"/>
  <c r="G45" i="2"/>
  <c r="AD78" i="2"/>
  <c r="K73" i="2"/>
  <c r="Y69" i="2"/>
  <c r="X66" i="2"/>
  <c r="D64" i="2"/>
  <c r="M45" i="2"/>
  <c r="F67" i="2"/>
  <c r="AQ64" i="2"/>
  <c r="AW91" i="2"/>
  <c r="J87" i="2"/>
  <c r="Z94" i="2"/>
  <c r="AR89" i="2"/>
  <c r="K91" i="2"/>
  <c r="AC86" i="2"/>
  <c r="AF90" i="2"/>
  <c r="AB83" i="2"/>
  <c r="AP79" i="2"/>
  <c r="AD91" i="2"/>
  <c r="AV86" i="2"/>
  <c r="AQ92" i="2"/>
  <c r="I89" i="2"/>
  <c r="AF85" i="2"/>
  <c r="E82" i="2"/>
  <c r="G82" i="2"/>
  <c r="AP74" i="2"/>
  <c r="AP86" i="2"/>
  <c r="I91" i="2"/>
  <c r="E84" i="2"/>
  <c r="AW82" i="2"/>
  <c r="D74" i="2"/>
  <c r="AW80" i="2"/>
  <c r="I76" i="2"/>
  <c r="X93" i="2"/>
  <c r="AB85" i="2"/>
  <c r="AQ94" i="2"/>
  <c r="AY88" i="2"/>
  <c r="AB84" i="2"/>
  <c r="W90" i="2"/>
  <c r="AP80" i="2"/>
  <c r="AU71" i="2"/>
  <c r="AF69" i="2"/>
  <c r="AU67" i="2"/>
  <c r="AP84" i="2"/>
  <c r="Y80" i="2"/>
  <c r="E78" i="2"/>
  <c r="AC80" i="2"/>
  <c r="I78" i="2"/>
  <c r="AS75" i="2"/>
  <c r="Y73" i="2"/>
  <c r="AD69" i="2"/>
  <c r="AS67" i="2"/>
  <c r="K64" i="2"/>
  <c r="M94" i="2"/>
  <c r="AB89" i="2"/>
  <c r="AY85" i="2"/>
  <c r="X82" i="2"/>
  <c r="AD82" i="2"/>
  <c r="W75" i="2"/>
  <c r="D73" i="2"/>
  <c r="AW83" i="2"/>
  <c r="AV79" i="2"/>
  <c r="AB77" i="2"/>
  <c r="G75" i="2"/>
  <c r="AR72" i="2"/>
  <c r="AU70" i="2"/>
  <c r="E69" i="2"/>
  <c r="AP93" i="2"/>
  <c r="G83" i="2"/>
  <c r="AS79" i="2"/>
  <c r="Y77" i="2"/>
  <c r="E75" i="2"/>
  <c r="AS70" i="2"/>
  <c r="K67" i="2"/>
  <c r="Z65" i="2"/>
  <c r="AW44" i="2"/>
  <c r="E72" i="2"/>
  <c r="AB68" i="2"/>
  <c r="Z81" i="2"/>
  <c r="E79" i="2"/>
  <c r="K70" i="2"/>
  <c r="G48" i="2"/>
  <c r="Z47" i="2"/>
  <c r="AW30" i="2"/>
  <c r="AS76" i="2"/>
  <c r="F72" i="2"/>
  <c r="AC68" i="2"/>
  <c r="Y48" i="2"/>
  <c r="G90" i="2"/>
  <c r="AC92" i="2"/>
  <c r="Y85" i="2"/>
  <c r="AD85" i="2"/>
  <c r="Z89" i="2"/>
  <c r="AV91" i="2"/>
  <c r="AR84" i="2"/>
  <c r="AU88" i="2"/>
  <c r="AQ81" i="2"/>
  <c r="AS89" i="2"/>
  <c r="J92" i="2"/>
  <c r="F85" i="2"/>
  <c r="X91" i="2"/>
  <c r="AU87" i="2"/>
  <c r="M84" i="2"/>
  <c r="J83" i="2"/>
  <c r="W73" i="2"/>
  <c r="AS81" i="2"/>
  <c r="AB88" i="2"/>
  <c r="X81" i="2"/>
  <c r="G79" i="2"/>
  <c r="X74" i="2"/>
  <c r="AY89" i="2"/>
  <c r="AU82" i="2"/>
  <c r="W94" i="2"/>
  <c r="AP75" i="2"/>
  <c r="AP72" i="2"/>
  <c r="AS77" i="2"/>
  <c r="AY92" i="2"/>
  <c r="E88" i="2"/>
  <c r="AQ82" i="2"/>
  <c r="G85" i="2"/>
  <c r="E77" i="2"/>
  <c r="F74" i="2"/>
  <c r="AY70" i="2"/>
  <c r="I69" i="2"/>
  <c r="K83" i="2"/>
  <c r="AU79" i="2"/>
  <c r="Z77" i="2"/>
  <c r="Y83" i="2"/>
  <c r="AY79" i="2"/>
  <c r="AD77" i="2"/>
  <c r="J75" i="2"/>
  <c r="AU72" i="2"/>
  <c r="AW70" i="2"/>
  <c r="G69" i="2"/>
  <c r="AD65" i="2"/>
  <c r="AS48" i="2"/>
  <c r="AB92" i="2"/>
  <c r="AF88" i="2"/>
  <c r="E85" i="2"/>
  <c r="AB81" i="2"/>
  <c r="Z84" i="2"/>
  <c r="D89" i="2"/>
  <c r="W81" i="2"/>
  <c r="AP77" i="2"/>
  <c r="W72" i="2"/>
  <c r="W82" i="2"/>
  <c r="M79" i="2"/>
  <c r="AW76" i="2"/>
  <c r="AC74" i="2"/>
  <c r="I72" i="2"/>
  <c r="X70" i="2"/>
  <c r="AF68" i="2"/>
  <c r="AR81" i="2"/>
  <c r="F79" i="2"/>
  <c r="AP90" i="2"/>
  <c r="J79" i="2"/>
  <c r="AU76" i="2"/>
  <c r="Z74" i="2"/>
  <c r="G72" i="2"/>
  <c r="AD68" i="2"/>
  <c r="AS66" i="2"/>
  <c r="K48" i="2"/>
  <c r="Z44" i="2"/>
  <c r="I71" i="2"/>
  <c r="AF67" i="2"/>
  <c r="G80" i="2"/>
  <c r="G84" i="2"/>
  <c r="AV77" i="2"/>
  <c r="G73" i="2"/>
  <c r="AS65" i="2"/>
  <c r="D87" i="2"/>
  <c r="AF75" i="2"/>
  <c r="J71" i="2"/>
  <c r="J65" i="2"/>
  <c r="I94" i="2"/>
  <c r="AY90" i="2"/>
  <c r="AS73" i="2"/>
  <c r="D79" i="2"/>
  <c r="J77" i="2"/>
  <c r="AS84" i="2"/>
  <c r="AB70" i="2"/>
  <c r="K79" i="2"/>
  <c r="AD44" i="2"/>
  <c r="D94" i="2"/>
  <c r="AY69" i="2"/>
  <c r="AB78" i="2"/>
  <c r="K76" i="2"/>
  <c r="G68" i="2"/>
  <c r="AW64" i="2"/>
  <c r="AF64" i="2"/>
  <c r="M72" i="2"/>
  <c r="I44" i="2"/>
  <c r="AB30" i="2"/>
  <c r="AQ26" i="2"/>
  <c r="AY51" i="2"/>
  <c r="Y75" i="2"/>
  <c r="I70" i="2"/>
  <c r="W88" i="2"/>
  <c r="AS78" i="2"/>
  <c r="Y81" i="2"/>
  <c r="AC76" i="2"/>
  <c r="AW71" i="2"/>
  <c r="AS64" i="2"/>
  <c r="K44" i="2"/>
  <c r="Z45" i="2"/>
  <c r="G74" i="2"/>
  <c r="F70" i="2"/>
  <c r="AU66" i="2"/>
  <c r="AQ45" i="2"/>
  <c r="W33" i="2"/>
  <c r="AC75" i="2"/>
  <c r="I65" i="2"/>
  <c r="Y47" i="2"/>
  <c r="I26" i="2"/>
  <c r="AU74" i="2"/>
  <c r="AU69" i="2"/>
  <c r="AP85" i="2"/>
  <c r="AU80" i="2"/>
  <c r="F76" i="2"/>
  <c r="AD71" i="2"/>
  <c r="Z64" i="2"/>
  <c r="G44" i="2"/>
  <c r="AD33" i="2"/>
  <c r="AR79" i="2"/>
  <c r="AU73" i="2"/>
  <c r="AV69" i="2"/>
  <c r="AP66" i="2"/>
  <c r="AY44" i="2"/>
  <c r="J33" i="2"/>
  <c r="D84" i="2"/>
  <c r="K75" i="2"/>
  <c r="X67" i="2"/>
  <c r="D65" i="2"/>
  <c r="M47" i="2"/>
  <c r="E26" i="2"/>
  <c r="M51" i="2"/>
  <c r="AB6" i="2"/>
  <c r="AQ21" i="2"/>
  <c r="AY18" i="2"/>
  <c r="I56" i="2"/>
  <c r="X40" i="2"/>
  <c r="AY76" i="2"/>
  <c r="J72" i="2"/>
  <c r="AV65" i="2"/>
  <c r="AB48" i="2"/>
  <c r="AP26" i="2"/>
  <c r="W39" i="2"/>
  <c r="AF70" i="2"/>
  <c r="X79" i="2"/>
  <c r="AC82" i="2"/>
  <c r="G77" i="2"/>
  <c r="X72" i="2"/>
  <c r="AS68" i="2"/>
  <c r="K65" i="2"/>
  <c r="AR90" i="2"/>
  <c r="AS94" i="2"/>
  <c r="E87" i="2"/>
  <c r="X87" i="2"/>
  <c r="J86" i="2"/>
  <c r="AP76" i="2"/>
  <c r="E89" i="2"/>
  <c r="D75" i="2"/>
  <c r="AF91" i="2"/>
  <c r="Y79" i="2"/>
  <c r="AQ68" i="2"/>
  <c r="AF74" i="2"/>
  <c r="AW66" i="2"/>
  <c r="M91" i="2"/>
  <c r="D83" i="2"/>
  <c r="I68" i="2"/>
  <c r="AV73" i="2"/>
  <c r="M70" i="2"/>
  <c r="Y74" i="2"/>
  <c r="AB33" i="2"/>
  <c r="W71" i="2"/>
  <c r="AB66" i="2"/>
  <c r="AC48" i="2"/>
  <c r="E30" i="2"/>
  <c r="M26" i="2"/>
  <c r="AB51" i="2"/>
  <c r="AQ6" i="2"/>
  <c r="E73" i="2"/>
  <c r="M69" i="2"/>
  <c r="AC83" i="2"/>
  <c r="AF77" i="2"/>
  <c r="F80" i="2"/>
  <c r="Z67" i="2"/>
  <c r="AW48" i="2"/>
  <c r="AS47" i="2"/>
  <c r="K33" i="2"/>
  <c r="AY72" i="2"/>
  <c r="J69" i="2"/>
  <c r="AV48" i="2"/>
  <c r="AB44" i="2"/>
  <c r="AR30" i="2"/>
  <c r="AS80" i="2"/>
  <c r="AY66" i="2"/>
  <c r="AU45" i="2"/>
  <c r="AQ50" i="2"/>
  <c r="AF72" i="2"/>
  <c r="AY68" i="2"/>
  <c r="W93" i="2"/>
  <c r="AW74" i="2"/>
  <c r="G67" i="2"/>
  <c r="AD48" i="2"/>
  <c r="G33" i="2"/>
  <c r="X77" i="2"/>
  <c r="F66" i="2"/>
  <c r="AQ48" i="2"/>
  <c r="W44" i="2"/>
  <c r="J80" i="2"/>
  <c r="E74" i="2"/>
  <c r="D70" i="2"/>
  <c r="Y64" i="2"/>
  <c r="AP45" i="2"/>
  <c r="AF50" i="2"/>
  <c r="E6" i="2"/>
  <c r="M21" i="2"/>
  <c r="AB18" i="2"/>
  <c r="AQ52" i="2"/>
  <c r="AR75" i="2"/>
  <c r="AR67" i="2"/>
  <c r="M65" i="2"/>
  <c r="AC47" i="2"/>
  <c r="D30" i="2"/>
  <c r="AP6" i="2"/>
  <c r="K74" i="2"/>
  <c r="AQ69" i="2"/>
  <c r="J78" i="2"/>
  <c r="AU94" i="2"/>
  <c r="W91" i="2"/>
  <c r="Y90" i="2"/>
  <c r="AU83" i="2"/>
  <c r="D80" i="2"/>
  <c r="AF87" i="2"/>
  <c r="AY81" i="2"/>
  <c r="AP94" i="2"/>
  <c r="M86" i="2"/>
  <c r="D78" i="2"/>
  <c r="Z76" i="2"/>
  <c r="D91" i="2"/>
  <c r="K82" i="2"/>
  <c r="K72" i="2"/>
  <c r="G65" i="2"/>
  <c r="AQ87" i="2"/>
  <c r="D92" i="2"/>
  <c r="AY73" i="2"/>
  <c r="AD64" i="2"/>
  <c r="AD45" i="2"/>
  <c r="E44" i="2"/>
  <c r="Y30" i="2"/>
  <c r="AU75" i="2"/>
  <c r="AF33" i="2"/>
  <c r="AU50" i="2"/>
  <c r="E51" i="2"/>
  <c r="M6" i="2"/>
  <c r="AY71" i="2"/>
  <c r="X68" i="2"/>
  <c r="AW78" i="2"/>
  <c r="I74" i="2"/>
  <c r="G70" i="2"/>
  <c r="AD66" i="2"/>
  <c r="AS30" i="2"/>
  <c r="AB76" i="2"/>
  <c r="AV71" i="2"/>
  <c r="M48" i="2"/>
  <c r="Y78" i="2"/>
  <c r="I73" i="2"/>
  <c r="W69" i="2"/>
  <c r="W66" i="2"/>
  <c r="AF44" i="2"/>
  <c r="AV30" i="2"/>
  <c r="M50" i="2"/>
  <c r="AF71" i="2"/>
  <c r="E68" i="2"/>
  <c r="AQ80" i="2"/>
  <c r="Z78" i="2"/>
  <c r="AQ73" i="2"/>
  <c r="AS69" i="2"/>
  <c r="K66" i="2"/>
  <c r="K47" i="2"/>
  <c r="J76" i="2"/>
  <c r="F68" i="2"/>
  <c r="AB65" i="2"/>
  <c r="AR47" i="2"/>
  <c r="J30" i="2"/>
  <c r="AU77" i="2"/>
  <c r="AV72" i="2"/>
  <c r="J66" i="2"/>
  <c r="AU48" i="2"/>
  <c r="F45" i="2"/>
  <c r="AQ30" i="2"/>
  <c r="AY26" i="2"/>
  <c r="I50" i="2"/>
  <c r="AF39" i="2"/>
  <c r="AU22" i="2"/>
  <c r="E18" i="2"/>
  <c r="M52" i="2"/>
  <c r="AD74" i="2"/>
  <c r="Y70" i="2"/>
  <c r="E67" i="2"/>
  <c r="AP64" i="2"/>
  <c r="AY45" i="2"/>
  <c r="D51" i="2"/>
  <c r="Z72" i="2"/>
  <c r="AU68" i="2"/>
  <c r="AB79" i="2"/>
  <c r="AR74" i="2"/>
  <c r="AD70" i="2"/>
  <c r="Z48" i="2"/>
  <c r="AW90" i="2"/>
  <c r="AP92" i="2"/>
  <c r="AW72" i="2"/>
  <c r="AQ71" i="2"/>
  <c r="AP68" i="2"/>
  <c r="D33" i="2"/>
  <c r="AU39" i="2"/>
  <c r="AP83" i="2"/>
  <c r="E65" i="2"/>
  <c r="AR65" i="2"/>
  <c r="X30" i="2"/>
  <c r="AC72" i="2"/>
  <c r="AS45" i="2"/>
  <c r="AR70" i="2"/>
  <c r="I47" i="2"/>
  <c r="AV47" i="2"/>
  <c r="AQ51" i="2"/>
  <c r="AF56" i="2"/>
  <c r="AC69" i="2"/>
  <c r="W45" i="2"/>
  <c r="AD80" i="2"/>
  <c r="AY75" i="2"/>
  <c r="AW67" i="2"/>
  <c r="K45" i="2"/>
  <c r="Z33" i="2"/>
  <c r="I79" i="2"/>
  <c r="AC73" i="2"/>
  <c r="AC66" i="2"/>
  <c r="I64" i="2"/>
  <c r="Y45" i="2"/>
  <c r="E33" i="2"/>
  <c r="AS82" i="2"/>
  <c r="AY74" i="2"/>
  <c r="AP70" i="2"/>
  <c r="AV64" i="2"/>
  <c r="AR33" i="2"/>
  <c r="AY50" i="2"/>
  <c r="I51" i="2"/>
  <c r="X6" i="2"/>
  <c r="AF21" i="2"/>
  <c r="AU18" i="2"/>
  <c r="E56" i="2"/>
  <c r="M40" i="2"/>
  <c r="Y68" i="2"/>
  <c r="AQ65" i="2"/>
  <c r="W48" i="2"/>
  <c r="W30" i="2"/>
  <c r="AP56" i="2"/>
  <c r="M76" i="2"/>
  <c r="AP71" i="2"/>
  <c r="AP44" i="2"/>
  <c r="AC26" i="2"/>
  <c r="AW26" i="2"/>
  <c r="X51" i="2"/>
  <c r="AB22" i="2"/>
  <c r="AY40" i="2"/>
  <c r="AF66" i="2"/>
  <c r="AV44" i="2"/>
  <c r="D67" i="2"/>
  <c r="AC44" i="2"/>
  <c r="AS56" i="2"/>
  <c r="AC28" i="2"/>
  <c r="AV26" i="2"/>
  <c r="AR22" i="2"/>
  <c r="J52" i="2"/>
  <c r="AF14" i="2"/>
  <c r="G51" i="2"/>
  <c r="AD21" i="2"/>
  <c r="D28" i="2"/>
  <c r="I6" i="2"/>
  <c r="M18" i="2"/>
  <c r="AV70" i="2"/>
  <c r="AF73" i="2"/>
  <c r="AV50" i="2"/>
  <c r="X33" i="2"/>
  <c r="K21" i="2"/>
  <c r="AV14" i="2"/>
  <c r="AF45" i="2"/>
  <c r="AR50" i="2"/>
  <c r="J6" i="2"/>
  <c r="F40" i="2"/>
  <c r="E14" i="2"/>
  <c r="AU44" i="2"/>
  <c r="AD26" i="2"/>
  <c r="Z22" i="2"/>
  <c r="AW40" i="2"/>
  <c r="AU21" i="2"/>
  <c r="M56" i="2"/>
  <c r="K77" i="2"/>
  <c r="AV68" i="2"/>
  <c r="W40" i="2"/>
  <c r="AQ78" i="2"/>
  <c r="M66" i="2"/>
  <c r="G22" i="2"/>
  <c r="AD40" i="2"/>
  <c r="F39" i="2"/>
  <c r="AC56" i="2"/>
  <c r="Z50" i="2"/>
  <c r="AW39" i="2"/>
  <c r="AW28" i="2"/>
  <c r="K62" i="2"/>
  <c r="AV32" i="2"/>
  <c r="E43" i="2"/>
  <c r="M29" i="2"/>
  <c r="AB35" i="2"/>
  <c r="AQ63" i="2"/>
  <c r="AY60" i="2"/>
  <c r="I55" i="2"/>
  <c r="X23" i="2"/>
  <c r="W59" i="2"/>
  <c r="D60" i="2"/>
  <c r="AF22" i="2"/>
  <c r="E52" i="2"/>
  <c r="AR66" i="2"/>
  <c r="M33" i="2"/>
  <c r="D6" i="2"/>
  <c r="W22" i="2"/>
  <c r="D56" i="2"/>
  <c r="AP28" i="2"/>
  <c r="AP67" i="2"/>
  <c r="AD50" i="2"/>
  <c r="AD39" i="2"/>
  <c r="AR62" i="2"/>
  <c r="I48" i="2"/>
  <c r="Y52" i="2"/>
  <c r="AQ14" i="2"/>
  <c r="X65" i="2"/>
  <c r="G30" i="2"/>
  <c r="AS21" i="2"/>
  <c r="K56" i="2"/>
  <c r="I28" i="2"/>
  <c r="W62" i="2"/>
  <c r="AC18" i="2"/>
  <c r="AB27" i="2"/>
  <c r="M32" i="2"/>
  <c r="AB20" i="2"/>
  <c r="AQ59" i="2"/>
  <c r="AY54" i="2"/>
  <c r="I63" i="2"/>
  <c r="X60" i="2"/>
  <c r="AF46" i="2"/>
  <c r="Y50" i="2"/>
  <c r="AW62" i="2"/>
  <c r="M9" i="2"/>
  <c r="W43" i="2"/>
  <c r="D54" i="2"/>
  <c r="AP23" i="2"/>
  <c r="F90" i="2"/>
  <c r="I80" i="2"/>
  <c r="D82" i="2"/>
  <c r="I84" i="2"/>
  <c r="AV80" i="2"/>
  <c r="AY78" i="2"/>
  <c r="AV45" i="2"/>
  <c r="E71" i="2"/>
  <c r="AQ77" i="2"/>
  <c r="AQ76" i="2"/>
  <c r="X48" i="2"/>
  <c r="AF26" i="2"/>
  <c r="AC79" i="2"/>
  <c r="AW68" i="2"/>
  <c r="M67" i="2"/>
  <c r="AY6" i="2"/>
  <c r="AU40" i="2"/>
  <c r="Z85" i="2"/>
  <c r="AD73" i="2"/>
  <c r="G66" i="2"/>
  <c r="AD47" i="2"/>
  <c r="F77" i="2"/>
  <c r="AR68" i="2"/>
  <c r="AY65" i="2"/>
  <c r="J44" i="2"/>
  <c r="AC30" i="2"/>
  <c r="AF79" i="2"/>
  <c r="AR73" i="2"/>
  <c r="M64" i="2"/>
  <c r="AC45" i="2"/>
  <c r="I33" i="2"/>
  <c r="AB50" i="2"/>
  <c r="AY39" i="2"/>
  <c r="I21" i="2"/>
  <c r="X18" i="2"/>
  <c r="AF52" i="2"/>
  <c r="W85" i="2"/>
  <c r="Z75" i="2"/>
  <c r="F71" i="2"/>
  <c r="AC67" i="2"/>
  <c r="X47" i="2"/>
  <c r="W51" i="2"/>
  <c r="D22" i="2"/>
  <c r="W83" i="2"/>
  <c r="F75" i="2"/>
  <c r="D71" i="2"/>
  <c r="W47" i="2"/>
  <c r="AF6" i="2"/>
  <c r="AF18" i="2"/>
  <c r="W92" i="2"/>
  <c r="AC71" i="2"/>
  <c r="Y65" i="2"/>
  <c r="AP47" i="2"/>
  <c r="D39" i="2"/>
  <c r="AP18" i="2"/>
  <c r="J74" i="2"/>
  <c r="F26" i="2"/>
  <c r="Z21" i="2"/>
  <c r="AW52" i="2"/>
  <c r="J47" i="2"/>
  <c r="Y6" i="2"/>
  <c r="AV18" i="2"/>
  <c r="I14" i="2"/>
  <c r="AS26" i="2"/>
  <c r="G52" i="2"/>
  <c r="AY21" i="2"/>
  <c r="X56" i="2"/>
  <c r="F69" i="2"/>
  <c r="E45" i="2"/>
  <c r="AV66" i="2"/>
  <c r="AW6" i="2"/>
  <c r="AS40" i="2"/>
  <c r="Y14" i="2"/>
  <c r="AQ66" i="2"/>
  <c r="AV51" i="2"/>
  <c r="AR56" i="2"/>
  <c r="AB28" i="2"/>
  <c r="AP69" i="2"/>
  <c r="G6" i="2"/>
  <c r="AD18" i="2"/>
  <c r="E40" i="2"/>
  <c r="AY22" i="2"/>
  <c r="X52" i="2"/>
  <c r="AV74" i="2"/>
  <c r="J67" i="2"/>
  <c r="AQ33" i="2"/>
  <c r="W6" i="2"/>
  <c r="AD76" i="2"/>
  <c r="AS50" i="2"/>
  <c r="AS39" i="2"/>
  <c r="K18" i="2"/>
  <c r="AU28" i="2"/>
  <c r="AV62" i="2"/>
  <c r="AR48" i="2"/>
  <c r="J21" i="2"/>
  <c r="AU14" i="2"/>
  <c r="AD30" i="2"/>
  <c r="AD51" i="2"/>
  <c r="Z56" i="2"/>
  <c r="AP9" i="2"/>
  <c r="Y22" i="2"/>
  <c r="X32" i="2"/>
  <c r="AF20" i="2"/>
  <c r="AU59" i="2"/>
  <c r="E35" i="2"/>
  <c r="M63" i="2"/>
  <c r="AB60" i="2"/>
  <c r="AQ46" i="2"/>
  <c r="AY42" i="2"/>
  <c r="Y9" i="2"/>
  <c r="AP29" i="2"/>
  <c r="W49" i="2"/>
  <c r="AQ18" i="2"/>
  <c r="I40" i="2"/>
  <c r="AR71" i="2"/>
  <c r="AU47" i="2"/>
  <c r="AP51" i="2"/>
  <c r="AB74" i="2"/>
  <c r="I45" i="2"/>
  <c r="Z51" i="2"/>
  <c r="G56" i="2"/>
  <c r="F28" i="2"/>
  <c r="J26" i="2"/>
  <c r="F22" i="2"/>
  <c r="AC40" i="2"/>
  <c r="M14" i="2"/>
  <c r="D48" i="2"/>
  <c r="AW22" i="2"/>
  <c r="AP14" i="2"/>
  <c r="AW9" i="2"/>
  <c r="AU43" i="2"/>
  <c r="E20" i="2"/>
  <c r="M59" i="2"/>
  <c r="AB54" i="2"/>
  <c r="AQ49" i="2"/>
  <c r="AY55" i="2"/>
  <c r="I46" i="2"/>
  <c r="AV39" i="2"/>
  <c r="E62" i="2"/>
  <c r="AP32" i="2"/>
  <c r="AU81" i="2"/>
  <c r="W80" i="2"/>
  <c r="AF78" i="2"/>
  <c r="Z68" i="2"/>
  <c r="AP89" i="2"/>
  <c r="AR44" i="2"/>
  <c r="X50" i="2"/>
  <c r="AB67" i="2"/>
  <c r="AW45" i="2"/>
  <c r="D72" i="2"/>
  <c r="D44" i="2"/>
  <c r="AU51" i="2"/>
  <c r="F83" i="2"/>
  <c r="AF65" i="2"/>
  <c r="M30" i="2"/>
  <c r="I39" i="2"/>
  <c r="AV78" i="2"/>
  <c r="F64" i="2"/>
  <c r="AB71" i="2"/>
  <c r="Z71" i="2"/>
  <c r="G47" i="2"/>
  <c r="AW75" i="2"/>
  <c r="Y71" i="2"/>
  <c r="AV67" i="2"/>
  <c r="W65" i="2"/>
  <c r="AF47" i="2"/>
  <c r="F30" i="2"/>
  <c r="AD72" i="2"/>
  <c r="E66" i="2"/>
  <c r="AP48" i="2"/>
  <c r="AF30" i="2"/>
  <c r="AU26" i="2"/>
  <c r="E50" i="2"/>
  <c r="AB39" i="2"/>
  <c r="AQ22" i="2"/>
  <c r="AY56" i="2"/>
  <c r="I52" i="2"/>
  <c r="M74" i="2"/>
  <c r="J70" i="2"/>
  <c r="AC64" i="2"/>
  <c r="Y33" i="2"/>
  <c r="AP50" i="2"/>
  <c r="W21" i="2"/>
  <c r="D40" i="2"/>
  <c r="AW79" i="2"/>
  <c r="AW73" i="2"/>
  <c r="Y66" i="2"/>
  <c r="AY30" i="2"/>
  <c r="G50" i="2"/>
  <c r="M39" i="2"/>
  <c r="AQ56" i="2"/>
  <c r="Z79" i="2"/>
  <c r="AR69" i="2"/>
  <c r="AB45" i="2"/>
  <c r="D18" i="2"/>
  <c r="AP40" i="2"/>
  <c r="AB80" i="2"/>
  <c r="Y72" i="2"/>
  <c r="AB47" i="2"/>
  <c r="W68" i="2"/>
  <c r="AD22" i="2"/>
  <c r="AC14" i="2"/>
  <c r="AU33" i="2"/>
  <c r="F50" i="2"/>
  <c r="AC39" i="2"/>
  <c r="E47" i="2"/>
  <c r="AW50" i="2"/>
  <c r="AS18" i="2"/>
  <c r="K40" i="2"/>
  <c r="E21" i="2"/>
  <c r="AB52" i="2"/>
  <c r="I75" i="2"/>
  <c r="W67" i="2"/>
  <c r="AV33" i="2"/>
  <c r="D26" i="2"/>
  <c r="AP22" i="2"/>
  <c r="W56" i="2"/>
  <c r="AV76" i="2"/>
  <c r="W70" i="2"/>
  <c r="Z30" i="2"/>
  <c r="K26" i="2"/>
  <c r="Z18" i="2"/>
  <c r="W64" i="2"/>
  <c r="Y21" i="2"/>
  <c r="AV52" i="2"/>
  <c r="AY14" i="2"/>
  <c r="F33" i="2"/>
  <c r="AS51" i="2"/>
  <c r="K39" i="2"/>
  <c r="E22" i="2"/>
  <c r="AB40" i="2"/>
  <c r="AB72" i="2"/>
  <c r="D66" i="2"/>
  <c r="M44" i="2"/>
  <c r="D50" i="2"/>
  <c r="AS74" i="2"/>
  <c r="AR26" i="2"/>
  <c r="AR45" i="2"/>
  <c r="AW21" i="2"/>
  <c r="K28" i="2"/>
  <c r="Y62" i="2"/>
  <c r="X44" i="2"/>
  <c r="Y26" i="2"/>
  <c r="AV6" i="2"/>
  <c r="AR40" i="2"/>
  <c r="X14" i="2"/>
  <c r="AF48" i="2"/>
  <c r="G21" i="2"/>
  <c r="AD52" i="2"/>
  <c r="D62" i="2"/>
  <c r="AV40" i="2"/>
  <c r="E27" i="2"/>
  <c r="AY43" i="2"/>
  <c r="I20" i="2"/>
  <c r="X59" i="2"/>
  <c r="AF54" i="2"/>
  <c r="AU49" i="2"/>
  <c r="E60" i="2"/>
  <c r="M46" i="2"/>
  <c r="AR6" i="2"/>
  <c r="J62" i="2"/>
  <c r="AU32" i="2"/>
  <c r="D43" i="2"/>
  <c r="AP63" i="2"/>
  <c r="X39" i="2"/>
  <c r="AU56" i="2"/>
  <c r="E80" i="2"/>
  <c r="X64" i="2"/>
  <c r="F44" i="2"/>
  <c r="AS22" i="2"/>
  <c r="K52" i="2"/>
  <c r="AR39" i="2"/>
  <c r="J18" i="2"/>
  <c r="AS28" i="2"/>
  <c r="AU62" i="2"/>
  <c r="G26" i="2"/>
  <c r="AD6" i="2"/>
  <c r="Z40" i="2"/>
  <c r="X43" i="2"/>
  <c r="AF29" i="2"/>
  <c r="AU35" i="2"/>
  <c r="E54" i="2"/>
  <c r="M49" i="2"/>
  <c r="AB55" i="2"/>
  <c r="AQ23" i="2"/>
  <c r="Z27" i="2"/>
  <c r="AP59" i="2"/>
  <c r="W60" i="2"/>
  <c r="AB94" i="2"/>
  <c r="G81" i="2"/>
  <c r="X45" i="2"/>
  <c r="AB26" i="2"/>
  <c r="W50" i="2"/>
  <c r="AQ74" i="2"/>
  <c r="G76" i="2"/>
  <c r="F48" i="2"/>
  <c r="X26" i="2"/>
  <c r="M22" i="2"/>
  <c r="F73" i="2"/>
  <c r="AQ72" i="2"/>
  <c r="E76" i="2"/>
  <c r="W26" i="2"/>
  <c r="AB64" i="2"/>
  <c r="G40" i="2"/>
  <c r="J51" i="2"/>
  <c r="I67" i="2"/>
  <c r="AW56" i="2"/>
  <c r="AF40" i="2"/>
  <c r="AP30" i="2"/>
  <c r="AP52" i="2"/>
  <c r="AD56" i="2"/>
  <c r="AB14" i="2"/>
  <c r="D52" i="2"/>
  <c r="Z52" i="2"/>
  <c r="AC50" i="2"/>
  <c r="AY62" i="2"/>
  <c r="K22" i="2"/>
  <c r="AQ29" i="2"/>
  <c r="AF55" i="2"/>
  <c r="W32" i="2"/>
  <c r="AY52" i="2"/>
  <c r="AW18" i="2"/>
  <c r="K30" i="2"/>
  <c r="J28" i="2"/>
  <c r="D27" i="2"/>
  <c r="AY20" i="2"/>
  <c r="AU60" i="2"/>
  <c r="AV9" i="2"/>
  <c r="AP49" i="2"/>
  <c r="K14" i="2"/>
  <c r="X9" i="2"/>
  <c r="Z43" i="2"/>
  <c r="Z28" i="2"/>
  <c r="D9" i="2"/>
  <c r="AR9" i="2"/>
  <c r="AY29" i="2"/>
  <c r="X54" i="2"/>
  <c r="AU55" i="2"/>
  <c r="D29" i="2"/>
  <c r="G32" i="2"/>
  <c r="AS29" i="2"/>
  <c r="K54" i="2"/>
  <c r="Z49" i="2"/>
  <c r="AW23" i="2"/>
  <c r="G42" i="2"/>
  <c r="AS38" i="2"/>
  <c r="M62" i="2"/>
  <c r="AW32" i="2"/>
  <c r="F43" i="2"/>
  <c r="AC35" i="2"/>
  <c r="AR63" i="2"/>
  <c r="AP27" i="2"/>
  <c r="AW14" i="2"/>
  <c r="AF43" i="2"/>
  <c r="E59" i="2"/>
  <c r="AB49" i="2"/>
  <c r="AY23" i="2"/>
  <c r="AR27" i="2"/>
  <c r="AP20" i="2"/>
  <c r="W23" i="2"/>
  <c r="K9" i="2"/>
  <c r="AS20" i="2"/>
  <c r="AS59" i="2"/>
  <c r="K63" i="2"/>
  <c r="Z60" i="2"/>
  <c r="AW42" i="2"/>
  <c r="G36" i="2"/>
  <c r="AD37" i="2"/>
  <c r="AS41" i="2"/>
  <c r="J40" i="2"/>
  <c r="AY9" i="2"/>
  <c r="AV43" i="2"/>
  <c r="AR51" i="2"/>
  <c r="I9" i="2"/>
  <c r="AB29" i="2"/>
  <c r="AY63" i="2"/>
  <c r="X55" i="2"/>
  <c r="Y56" i="2"/>
  <c r="D63" i="2"/>
  <c r="D42" i="2"/>
  <c r="AQ27" i="2"/>
  <c r="AS43" i="2"/>
  <c r="AD29" i="2"/>
  <c r="AS35" i="2"/>
  <c r="K49" i="2"/>
  <c r="Z55" i="2"/>
  <c r="AW36" i="2"/>
  <c r="G24" i="2"/>
  <c r="AD38" i="2"/>
  <c r="Y39" i="2"/>
  <c r="AV20" i="2"/>
  <c r="F29" i="2"/>
  <c r="D14" i="2"/>
  <c r="X29" i="2"/>
  <c r="AU63" i="2"/>
  <c r="M55" i="2"/>
  <c r="AC52" i="2"/>
  <c r="D32" i="2"/>
  <c r="W46" i="2"/>
  <c r="Y27" i="2"/>
  <c r="Z29" i="2"/>
  <c r="AW63" i="2"/>
  <c r="G49" i="2"/>
  <c r="AD23" i="2"/>
  <c r="AS36" i="2"/>
  <c r="Z38" i="2"/>
  <c r="AC21" i="2"/>
  <c r="AU27" i="2"/>
  <c r="AC32" i="2"/>
  <c r="AR20" i="2"/>
  <c r="J35" i="2"/>
  <c r="Y63" i="2"/>
  <c r="AV46" i="2"/>
  <c r="F23" i="2"/>
  <c r="AC16" i="2"/>
  <c r="AR37" i="2"/>
  <c r="J61" i="2"/>
  <c r="Y53" i="2"/>
  <c r="I24" i="2"/>
  <c r="AW53" i="2"/>
  <c r="AQ58" i="2"/>
  <c r="AY31" i="2"/>
  <c r="I34" i="2"/>
  <c r="X19" i="2"/>
  <c r="E10" i="2"/>
  <c r="AU8" i="2"/>
  <c r="AU37" i="2"/>
  <c r="G53" i="2"/>
  <c r="W31" i="2"/>
  <c r="D10" i="2"/>
  <c r="E16" i="2"/>
  <c r="AW61" i="2"/>
  <c r="AV16" i="2"/>
  <c r="AC37" i="2"/>
  <c r="J41" i="2"/>
  <c r="AR53" i="2"/>
  <c r="M16" i="2"/>
  <c r="K61" i="2"/>
  <c r="E17" i="2"/>
  <c r="AQ31" i="2"/>
  <c r="X5" i="2"/>
  <c r="AQ10" i="2"/>
  <c r="E8" i="2"/>
  <c r="E38" i="2"/>
  <c r="AD53" i="2"/>
  <c r="D8" i="2"/>
  <c r="AU11" i="2"/>
  <c r="AW58" i="2"/>
  <c r="G25" i="2"/>
  <c r="AC78" i="2"/>
  <c r="AW69" i="2"/>
  <c r="Y67" i="2"/>
  <c r="AQ70" i="2"/>
  <c r="X22" i="2"/>
  <c r="AY67" i="2"/>
  <c r="AC70" i="2"/>
  <c r="D47" i="2"/>
  <c r="AQ47" i="2"/>
  <c r="AF51" i="2"/>
  <c r="AB56" i="2"/>
  <c r="J45" i="2"/>
  <c r="W52" i="2"/>
  <c r="E64" i="2"/>
  <c r="K51" i="2"/>
  <c r="I77" i="2"/>
  <c r="Z26" i="2"/>
  <c r="F14" i="2"/>
  <c r="AP33" i="2"/>
  <c r="AF28" i="2"/>
  <c r="AS72" i="2"/>
  <c r="W28" i="2"/>
  <c r="AY47" i="2"/>
  <c r="X28" i="2"/>
  <c r="J64" i="2"/>
  <c r="AS52" i="2"/>
  <c r="J82" i="2"/>
  <c r="AR14" i="2"/>
  <c r="Z14" i="2"/>
  <c r="AY35" i="2"/>
  <c r="AU23" i="2"/>
  <c r="AP65" i="2"/>
  <c r="Y51" i="2"/>
  <c r="G18" i="2"/>
  <c r="F6" i="2"/>
  <c r="I29" i="2"/>
  <c r="E55" i="2"/>
  <c r="W35" i="2"/>
  <c r="D36" i="2"/>
  <c r="AC6" i="2"/>
  <c r="I62" i="2"/>
  <c r="AS32" i="2"/>
  <c r="AP62" i="2"/>
  <c r="J39" i="2"/>
  <c r="AF32" i="2"/>
  <c r="E29" i="2"/>
  <c r="AB63" i="2"/>
  <c r="AY46" i="2"/>
  <c r="M28" i="2"/>
  <c r="AP43" i="2"/>
  <c r="D46" i="2"/>
  <c r="AP36" i="2"/>
  <c r="W16" i="2"/>
  <c r="M27" i="2"/>
  <c r="AD43" i="2"/>
  <c r="AD35" i="2"/>
  <c r="AS63" i="2"/>
  <c r="K55" i="2"/>
  <c r="Z23" i="2"/>
  <c r="AW16" i="2"/>
  <c r="Y32" i="2"/>
  <c r="AV59" i="2"/>
  <c r="F35" i="2"/>
  <c r="AS27" i="2"/>
  <c r="AQ20" i="2"/>
  <c r="I35" i="2"/>
  <c r="AF60" i="2"/>
  <c r="E23" i="2"/>
  <c r="AD9" i="2"/>
  <c r="AP55" i="2"/>
  <c r="AP42" i="2"/>
  <c r="W24" i="2"/>
  <c r="AS62" i="2"/>
  <c r="AD32" i="2"/>
  <c r="K20" i="2"/>
  <c r="AD54" i="2"/>
  <c r="AS49" i="2"/>
  <c r="K46" i="2"/>
  <c r="Z42" i="2"/>
  <c r="G37" i="2"/>
  <c r="G14" i="2"/>
  <c r="Y43" i="2"/>
  <c r="I32" i="2"/>
  <c r="AF59" i="2"/>
  <c r="E63" i="2"/>
  <c r="AB46" i="2"/>
  <c r="AF62" i="2"/>
  <c r="AP35" i="2"/>
  <c r="W36" i="2"/>
  <c r="D16" i="2"/>
  <c r="AV22" i="2"/>
  <c r="AU9" i="2"/>
  <c r="K43" i="2"/>
  <c r="G29" i="2"/>
  <c r="AD63" i="2"/>
  <c r="AS60" i="2"/>
  <c r="K23" i="2"/>
  <c r="Z36" i="2"/>
  <c r="AW37" i="2"/>
  <c r="G38" i="2"/>
  <c r="AV56" i="2"/>
  <c r="X27" i="2"/>
  <c r="J32" i="2"/>
  <c r="Y20" i="2"/>
  <c r="AV54" i="2"/>
  <c r="AR52" i="2"/>
  <c r="E32" i="2"/>
  <c r="AB59" i="2"/>
  <c r="AY49" i="2"/>
  <c r="X46" i="2"/>
  <c r="X62" i="2"/>
  <c r="D49" i="2"/>
  <c r="F18" i="2"/>
  <c r="G43" i="2"/>
  <c r="K35" i="2"/>
  <c r="Z63" i="2"/>
  <c r="AW46" i="2"/>
  <c r="G23" i="2"/>
  <c r="AD16" i="2"/>
  <c r="AS37" i="2"/>
  <c r="K27" i="2"/>
  <c r="F32" i="2"/>
  <c r="AC59" i="2"/>
  <c r="AR54" i="2"/>
  <c r="J60" i="2"/>
  <c r="Y46" i="2"/>
  <c r="AV24" i="2"/>
  <c r="F16" i="2"/>
  <c r="AC41" i="2"/>
  <c r="AR11" i="2"/>
  <c r="M53" i="2"/>
  <c r="M58" i="2"/>
  <c r="AB31" i="2"/>
  <c r="AQ5" i="2"/>
  <c r="AY13" i="2"/>
  <c r="E57" i="2"/>
  <c r="AQ38" i="2"/>
  <c r="AW11" i="2"/>
  <c r="AB17" i="2"/>
  <c r="AP25" i="2"/>
  <c r="W13" i="2"/>
  <c r="D7" i="2"/>
  <c r="W37" i="2"/>
  <c r="M61" i="2"/>
  <c r="AC54" i="2"/>
  <c r="Y60" i="2"/>
  <c r="F46" i="2"/>
  <c r="AC61" i="2"/>
  <c r="J53" i="2"/>
  <c r="AB58" i="2"/>
  <c r="I31" i="2"/>
  <c r="AQ19" i="2"/>
  <c r="AB57" i="2"/>
  <c r="AU36" i="2"/>
  <c r="W25" i="2"/>
  <c r="W74" i="2"/>
  <c r="AS33" i="2"/>
  <c r="AY33" i="2"/>
  <c r="M77" i="2"/>
  <c r="Y76" i="2"/>
  <c r="X73" i="2"/>
  <c r="AW33" i="2"/>
  <c r="D68" i="2"/>
  <c r="AU6" i="2"/>
  <c r="AQ40" i="2"/>
  <c r="AU30" i="2"/>
  <c r="AP39" i="2"/>
  <c r="X21" i="2"/>
  <c r="E48" i="2"/>
  <c r="K6" i="2"/>
  <c r="AY64" i="2"/>
  <c r="F56" i="2"/>
  <c r="I66" i="2"/>
  <c r="X75" i="2"/>
  <c r="AW51" i="2"/>
  <c r="AC62" i="2"/>
  <c r="AC22" i="2"/>
  <c r="AQ39" i="2"/>
  <c r="AU64" i="2"/>
  <c r="AP21" i="2"/>
  <c r="D69" i="2"/>
  <c r="Y18" i="2"/>
  <c r="W14" i="2"/>
  <c r="Z9" i="2"/>
  <c r="I54" i="2"/>
  <c r="J22" i="2"/>
  <c r="AP46" i="2"/>
  <c r="J68" i="2"/>
  <c r="G78" i="2"/>
  <c r="J14" i="2"/>
  <c r="AV21" i="2"/>
  <c r="AR28" i="2"/>
  <c r="F62" i="2"/>
  <c r="X35" i="2"/>
  <c r="M23" i="2"/>
  <c r="D20" i="2"/>
  <c r="AD27" i="2"/>
  <c r="AD20" i="2"/>
  <c r="Y28" i="2"/>
  <c r="AQ43" i="2"/>
  <c r="I59" i="2"/>
  <c r="AF49" i="2"/>
  <c r="E46" i="2"/>
  <c r="AW27" i="2"/>
  <c r="AP60" i="2"/>
  <c r="J56" i="2"/>
  <c r="AC9" i="2"/>
  <c r="AW20" i="2"/>
  <c r="AW59" i="2"/>
  <c r="G35" i="2"/>
  <c r="AD60" i="2"/>
  <c r="AS46" i="2"/>
  <c r="K36" i="2"/>
  <c r="Z16" i="2"/>
  <c r="AW41" i="2"/>
  <c r="F52" i="2"/>
  <c r="F27" i="2"/>
  <c r="J20" i="2"/>
  <c r="Y59" i="2"/>
  <c r="AF9" i="2"/>
  <c r="AU29" i="2"/>
  <c r="M54" i="2"/>
  <c r="AQ55" i="2"/>
  <c r="F21" i="2"/>
  <c r="W63" i="2"/>
  <c r="J50" i="2"/>
  <c r="AV27" i="2"/>
  <c r="AW35" i="2"/>
  <c r="G54" i="2"/>
  <c r="AD55" i="2"/>
  <c r="AS23" i="2"/>
  <c r="K24" i="2"/>
  <c r="G62" i="2"/>
  <c r="AR32" i="2"/>
  <c r="W27" i="2"/>
  <c r="M43" i="2"/>
  <c r="AQ35" i="2"/>
  <c r="I49" i="2"/>
  <c r="AF23" i="2"/>
  <c r="W20" i="2"/>
  <c r="AQ28" i="2"/>
  <c r="F9" i="2"/>
  <c r="AW54" i="2"/>
  <c r="G63" i="2"/>
  <c r="AD46" i="2"/>
  <c r="AS42" i="2"/>
  <c r="K16" i="2"/>
  <c r="Z37" i="2"/>
  <c r="AD28" i="2"/>
  <c r="AS9" i="2"/>
  <c r="AR43" i="2"/>
  <c r="J59" i="2"/>
  <c r="Y54" i="2"/>
  <c r="Z62" i="2"/>
  <c r="I43" i="2"/>
  <c r="AF35" i="2"/>
  <c r="E49" i="2"/>
  <c r="AB23" i="2"/>
  <c r="I27" i="2"/>
  <c r="AP54" i="2"/>
  <c r="D23" i="2"/>
  <c r="AP24" i="2"/>
  <c r="G28" i="2"/>
  <c r="AY32" i="2"/>
  <c r="Z20" i="2"/>
  <c r="AD59" i="2"/>
  <c r="AS54" i="2"/>
  <c r="K60" i="2"/>
  <c r="Z46" i="2"/>
  <c r="AW24" i="2"/>
  <c r="G16" i="2"/>
  <c r="AD41" i="2"/>
  <c r="AV29" i="2"/>
  <c r="F59" i="2"/>
  <c r="AC49" i="2"/>
  <c r="AR55" i="2"/>
  <c r="J42" i="2"/>
  <c r="Y24" i="2"/>
  <c r="AV38" i="2"/>
  <c r="F41" i="2"/>
  <c r="AC17" i="2"/>
  <c r="D37" i="2"/>
  <c r="E61" i="2"/>
  <c r="AP17" i="2"/>
  <c r="AU25" i="2"/>
  <c r="E31" i="2"/>
  <c r="M5" i="2"/>
  <c r="X13" i="2"/>
  <c r="E12" i="2"/>
  <c r="X36" i="2"/>
  <c r="AU41" i="2"/>
  <c r="M11" i="2"/>
  <c r="D17" i="2"/>
  <c r="AP19" i="2"/>
  <c r="W15" i="2"/>
  <c r="AF42" i="2"/>
  <c r="AP11" i="2"/>
  <c r="J63" i="2"/>
  <c r="AV55" i="2"/>
  <c r="Y23" i="2"/>
  <c r="F36" i="2"/>
  <c r="AY25" i="2"/>
  <c r="AB34" i="2"/>
  <c r="I19" i="2"/>
  <c r="X12" i="2"/>
  <c r="I16" i="2"/>
  <c r="I61" i="2"/>
  <c r="AP31" i="2"/>
  <c r="W5" i="2"/>
  <c r="D13" i="2"/>
  <c r="W41" i="2"/>
  <c r="Z70" i="2"/>
  <c r="AS44" i="2"/>
  <c r="AW81" i="2"/>
  <c r="I30" i="2"/>
  <c r="AU52" i="2"/>
  <c r="I22" i="2"/>
  <c r="G39" i="2"/>
  <c r="I18" i="2"/>
  <c r="D35" i="2"/>
  <c r="K50" i="2"/>
  <c r="AV28" i="2"/>
  <c r="W42" i="2"/>
  <c r="AY27" i="2"/>
  <c r="I23" i="2"/>
  <c r="AD42" i="2"/>
  <c r="Z41" i="2"/>
  <c r="AR29" i="2"/>
  <c r="AU46" i="2"/>
  <c r="AR21" i="2"/>
  <c r="Z35" i="2"/>
  <c r="K38" i="2"/>
  <c r="AC20" i="2"/>
  <c r="AU54" i="2"/>
  <c r="AW55" i="2"/>
  <c r="J9" i="2"/>
  <c r="AQ54" i="2"/>
  <c r="W29" i="2"/>
  <c r="D24" i="2"/>
  <c r="AW29" i="2"/>
  <c r="AS55" i="2"/>
  <c r="E9" i="2"/>
  <c r="AV63" i="2"/>
  <c r="AR36" i="2"/>
  <c r="AU19" i="2"/>
  <c r="E41" i="2"/>
  <c r="D34" i="2"/>
  <c r="F20" i="2"/>
  <c r="AC24" i="2"/>
  <c r="AB36" i="2"/>
  <c r="AY5" i="2"/>
  <c r="Z11" i="2"/>
  <c r="AP38" i="2"/>
  <c r="Z58" i="2"/>
  <c r="AW5" i="2"/>
  <c r="Z57" i="2"/>
  <c r="AY41" i="2"/>
  <c r="AF53" i="2"/>
  <c r="J19" i="2"/>
  <c r="F8" i="2"/>
  <c r="AV35" i="2"/>
  <c r="AV60" i="2"/>
  <c r="AC46" i="2"/>
  <c r="F42" i="2"/>
  <c r="AR16" i="2"/>
  <c r="Y37" i="2"/>
  <c r="AY58" i="2"/>
  <c r="AF31" i="2"/>
  <c r="I5" i="2"/>
  <c r="AB10" i="2"/>
  <c r="AF41" i="2"/>
  <c r="X53" i="2"/>
  <c r="W34" i="2"/>
  <c r="D19" i="2"/>
  <c r="AP57" i="2"/>
  <c r="AQ37" i="2"/>
  <c r="AD11" i="2"/>
  <c r="K17" i="2"/>
  <c r="Z25" i="2"/>
  <c r="AW19" i="2"/>
  <c r="G13" i="2"/>
  <c r="AD15" i="2"/>
  <c r="AS8" i="2"/>
  <c r="I36" i="2"/>
  <c r="X61" i="2"/>
  <c r="AV49" i="2"/>
  <c r="AC55" i="2"/>
  <c r="J23" i="2"/>
  <c r="AR24" i="2"/>
  <c r="F38" i="2"/>
  <c r="AU42" i="2"/>
  <c r="AF25" i="2"/>
  <c r="M34" i="2"/>
  <c r="AU13" i="2"/>
  <c r="AF15" i="2"/>
  <c r="AQ11" i="2"/>
  <c r="D5" i="2"/>
  <c r="AP10" i="2"/>
  <c r="W12" i="2"/>
  <c r="AQ36" i="2"/>
  <c r="D41" i="2"/>
  <c r="K53" i="2"/>
  <c r="K58" i="2"/>
  <c r="Z31" i="2"/>
  <c r="AW13" i="2"/>
  <c r="G10" i="2"/>
  <c r="AD7" i="2"/>
  <c r="AB42" i="2"/>
  <c r="X38" i="2"/>
  <c r="AC25" i="2"/>
  <c r="AR34" i="2"/>
  <c r="J13" i="2"/>
  <c r="Y57" i="2"/>
  <c r="AV8" i="2"/>
  <c r="AF13" i="2"/>
  <c r="AQ15" i="2"/>
  <c r="Z8" i="2"/>
  <c r="AV31" i="2"/>
  <c r="AC10" i="2"/>
  <c r="Y34" i="2"/>
  <c r="AR59" i="2"/>
  <c r="J49" i="2"/>
  <c r="AR46" i="2"/>
  <c r="Y42" i="2"/>
  <c r="F24" i="2"/>
  <c r="AQ16" i="2"/>
  <c r="W61" i="2"/>
  <c r="M17" i="2"/>
  <c r="AU31" i="2"/>
  <c r="AB5" i="2"/>
  <c r="E13" i="2"/>
  <c r="X8" i="2"/>
  <c r="M38" i="2"/>
  <c r="AU53" i="2"/>
  <c r="D58" i="2"/>
  <c r="AP34" i="2"/>
  <c r="W19" i="2"/>
  <c r="AW34" i="2"/>
  <c r="G5" i="2"/>
  <c r="AD57" i="2"/>
  <c r="AS15" i="2"/>
  <c r="M24" i="2"/>
  <c r="M41" i="2"/>
  <c r="AR58" i="2"/>
  <c r="J34" i="2"/>
  <c r="Y19" i="2"/>
  <c r="AV12" i="2"/>
  <c r="F15" i="2"/>
  <c r="AY57" i="2"/>
  <c r="AF7" i="2"/>
  <c r="K13" i="2"/>
  <c r="G12" i="2"/>
  <c r="AU38" i="2"/>
  <c r="F17" i="2"/>
  <c r="AR19" i="2"/>
  <c r="J57" i="2"/>
  <c r="AF10" i="2"/>
  <c r="AQ41" i="2"/>
  <c r="J25" i="2"/>
  <c r="Y10" i="2"/>
  <c r="Z5" i="2"/>
  <c r="AV15" i="2"/>
  <c r="AC57" i="2"/>
  <c r="D21" i="2"/>
  <c r="D55" i="2"/>
  <c r="AQ60" i="2"/>
  <c r="Z59" i="2"/>
  <c r="AC43" i="2"/>
  <c r="D59" i="2"/>
  <c r="K29" i="2"/>
  <c r="AD24" i="2"/>
  <c r="AR35" i="2"/>
  <c r="Z24" i="2"/>
  <c r="AV42" i="2"/>
  <c r="I37" i="2"/>
  <c r="X24" i="2"/>
  <c r="AS10" i="2"/>
  <c r="AV7" i="2"/>
  <c r="F55" i="2"/>
  <c r="J11" i="2"/>
  <c r="AU5" i="2"/>
  <c r="AY38" i="2"/>
  <c r="D31" i="2"/>
  <c r="AY16" i="2"/>
  <c r="AW25" i="2"/>
  <c r="AD13" i="2"/>
  <c r="K7" i="2"/>
  <c r="AC5" i="2"/>
  <c r="F60" i="2"/>
  <c r="Y36" i="2"/>
  <c r="D11" i="2"/>
  <c r="AB19" i="2"/>
  <c r="AF61" i="2"/>
  <c r="Z73" i="2"/>
  <c r="AR64" i="2"/>
  <c r="E39" i="2"/>
  <c r="Y44" i="2"/>
  <c r="F47" i="2"/>
  <c r="D45" i="2"/>
  <c r="AB43" i="2"/>
  <c r="AB21" i="2"/>
  <c r="Z6" i="2"/>
  <c r="AP16" i="2"/>
  <c r="AW43" i="2"/>
  <c r="AU20" i="2"/>
  <c r="AQ9" i="2"/>
  <c r="AW49" i="2"/>
  <c r="AS24" i="2"/>
  <c r="AD14" i="2"/>
  <c r="AB32" i="2"/>
  <c r="AS14" i="2"/>
  <c r="G27" i="2"/>
  <c r="AD36" i="2"/>
  <c r="AR18" i="2"/>
  <c r="M60" i="2"/>
  <c r="K59" i="2"/>
  <c r="G46" i="2"/>
  <c r="W9" i="2"/>
  <c r="I60" i="2"/>
  <c r="AP37" i="2"/>
  <c r="G59" i="2"/>
  <c r="AW38" i="2"/>
  <c r="J43" i="2"/>
  <c r="F49" i="2"/>
  <c r="AV53" i="2"/>
  <c r="I17" i="2"/>
  <c r="AY10" i="2"/>
  <c r="AP53" i="2"/>
  <c r="AY61" i="2"/>
  <c r="AB13" i="2"/>
  <c r="W10" i="2"/>
  <c r="AP8" i="2"/>
  <c r="AD25" i="2"/>
  <c r="AD19" i="2"/>
  <c r="AD12" i="2"/>
  <c r="AY11" i="2"/>
  <c r="I12" i="2"/>
  <c r="F58" i="2"/>
  <c r="AQ12" i="2"/>
  <c r="F54" i="2"/>
  <c r="AV23" i="2"/>
  <c r="AC36" i="2"/>
  <c r="J16" i="2"/>
  <c r="AR38" i="2"/>
  <c r="Y61" i="2"/>
  <c r="F53" i="2"/>
  <c r="I11" i="2"/>
  <c r="X58" i="2"/>
  <c r="AY34" i="2"/>
  <c r="AF19" i="2"/>
  <c r="M57" i="2"/>
  <c r="AY24" i="2"/>
  <c r="AS61" i="2"/>
  <c r="D57" i="2"/>
  <c r="AP7" i="2"/>
  <c r="AY53" i="2"/>
  <c r="AS58" i="2"/>
  <c r="K34" i="2"/>
  <c r="Z19" i="2"/>
  <c r="AW12" i="2"/>
  <c r="G15" i="2"/>
  <c r="X16" i="2"/>
  <c r="Z17" i="2"/>
  <c r="J12" i="2"/>
  <c r="J29" i="2"/>
  <c r="AC42" i="2"/>
  <c r="J24" i="2"/>
  <c r="AV37" i="2"/>
  <c r="Y41" i="2"/>
  <c r="F11" i="2"/>
  <c r="AF24" i="2"/>
  <c r="AB61" i="2"/>
  <c r="X17" i="2"/>
  <c r="E25" i="2"/>
  <c r="AF5" i="2"/>
  <c r="I13" i="2"/>
  <c r="I7" i="2"/>
  <c r="AB38" i="2"/>
  <c r="AP15" i="2"/>
  <c r="W8" i="2"/>
  <c r="AB16" i="2"/>
  <c r="AF17" i="2"/>
  <c r="AS25" i="2"/>
  <c r="K5" i="2"/>
  <c r="Z13" i="2"/>
  <c r="AW15" i="2"/>
  <c r="G7" i="2"/>
  <c r="AQ24" i="2"/>
  <c r="AB41" i="2"/>
  <c r="E11" i="2"/>
  <c r="AV58" i="2"/>
  <c r="F25" i="2"/>
  <c r="AC19" i="2"/>
  <c r="AR10" i="2"/>
  <c r="J15" i="2"/>
  <c r="Y8" i="2"/>
  <c r="I10" i="2"/>
  <c r="AU7" i="2"/>
  <c r="W11" i="2"/>
  <c r="AC34" i="2"/>
  <c r="AR12" i="2"/>
  <c r="AU57" i="2"/>
  <c r="K11" i="2"/>
  <c r="AC8" i="2"/>
  <c r="AC60" i="2"/>
  <c r="J46" i="2"/>
  <c r="AV36" i="2"/>
  <c r="Y16" i="2"/>
  <c r="F37" i="2"/>
  <c r="AR61" i="2"/>
  <c r="AB37" i="2"/>
  <c r="AF11" i="2"/>
  <c r="AF58" i="2"/>
  <c r="M31" i="2"/>
  <c r="AY19" i="2"/>
  <c r="AQ57" i="2"/>
  <c r="M42" i="2"/>
  <c r="K41" i="2"/>
  <c r="AY17" i="2"/>
  <c r="AP13" i="2"/>
  <c r="W57" i="2"/>
  <c r="D15" i="2"/>
  <c r="K25" i="2"/>
  <c r="Z34" i="2"/>
  <c r="AW10" i="2"/>
  <c r="G57" i="2"/>
  <c r="AD8" i="2"/>
  <c r="X7" i="2"/>
  <c r="AP61" i="2"/>
  <c r="AC31" i="2"/>
  <c r="AR5" i="2"/>
  <c r="J10" i="2"/>
  <c r="Y12" i="2"/>
  <c r="I57" i="2"/>
  <c r="AB8" i="2"/>
  <c r="AY8" i="2"/>
  <c r="AR25" i="2"/>
  <c r="AY12" i="2"/>
  <c r="AV34" i="2"/>
  <c r="AF57" i="2"/>
  <c r="AS6" i="2"/>
  <c r="AF63" i="2"/>
  <c r="K37" i="2"/>
  <c r="X63" i="2"/>
  <c r="G55" i="2"/>
  <c r="X20" i="2"/>
  <c r="Z32" i="2"/>
  <c r="AQ62" i="2"/>
  <c r="AD49" i="2"/>
  <c r="AC23" i="2"/>
  <c r="AF16" i="2"/>
  <c r="M25" i="2"/>
  <c r="D12" i="2"/>
  <c r="AS34" i="2"/>
  <c r="AR42" i="2"/>
  <c r="AD17" i="2"/>
  <c r="AB7" i="2"/>
  <c r="W58" i="2"/>
  <c r="Z61" i="2"/>
  <c r="G31" i="2"/>
  <c r="AF38" i="2"/>
  <c r="AV17" i="2"/>
  <c r="I58" i="2"/>
  <c r="AU12" i="2"/>
  <c r="K69" i="2"/>
  <c r="AQ44" i="2"/>
  <c r="M78" i="2"/>
  <c r="AC77" i="2"/>
  <c r="E28" i="2"/>
  <c r="W18" i="2"/>
  <c r="AY28" i="2"/>
  <c r="X49" i="2"/>
  <c r="J48" i="2"/>
  <c r="AC65" i="2"/>
  <c r="AQ32" i="2"/>
  <c r="G20" i="2"/>
  <c r="M35" i="2"/>
  <c r="G60" i="2"/>
  <c r="AB9" i="2"/>
  <c r="J54" i="2"/>
  <c r="AY59" i="2"/>
  <c r="AW60" i="2"/>
  <c r="AS16" i="2"/>
  <c r="AC27" i="2"/>
  <c r="AC51" i="2"/>
  <c r="W55" i="2"/>
  <c r="AD62" i="2"/>
  <c r="Z54" i="2"/>
  <c r="AC29" i="2"/>
  <c r="J27" i="2"/>
  <c r="K42" i="2"/>
  <c r="F51" i="2"/>
  <c r="Y29" i="2"/>
  <c r="AY36" i="2"/>
  <c r="X25" i="2"/>
  <c r="E15" i="2"/>
  <c r="AU24" i="2"/>
  <c r="J55" i="2"/>
  <c r="AR41" i="2"/>
  <c r="AU17" i="2"/>
  <c r="AQ7" i="2"/>
  <c r="G11" i="2"/>
  <c r="K15" i="2"/>
  <c r="I53" i="2"/>
  <c r="J5" i="2"/>
  <c r="I8" i="2"/>
  <c r="E7" i="2"/>
  <c r="F63" i="2"/>
  <c r="J38" i="2"/>
  <c r="AV11" i="2"/>
  <c r="Y17" i="2"/>
  <c r="AP41" i="2"/>
  <c r="Z53" i="2"/>
  <c r="AQ25" i="2"/>
  <c r="X34" i="2"/>
  <c r="E19" i="2"/>
  <c r="AU15" i="2"/>
  <c r="D61" i="2"/>
  <c r="I42" i="2"/>
  <c r="I41" i="2"/>
  <c r="W53" i="2"/>
  <c r="AD31" i="2"/>
  <c r="AS5" i="2"/>
  <c r="K10" i="2"/>
  <c r="Z12" i="2"/>
  <c r="AF37" i="2"/>
  <c r="AR31" i="2"/>
  <c r="Y35" i="2"/>
  <c r="AR60" i="2"/>
  <c r="J37" i="2"/>
  <c r="AV61" i="2"/>
  <c r="AC53" i="2"/>
  <c r="AY37" i="2"/>
  <c r="AS11" i="2"/>
  <c r="AU58" i="2"/>
  <c r="X31" i="2"/>
  <c r="E5" i="2"/>
  <c r="M10" i="2"/>
  <c r="AQ42" i="2"/>
  <c r="X41" i="2"/>
  <c r="X11" i="2"/>
  <c r="G17" i="2"/>
  <c r="AD34" i="2"/>
  <c r="AS19" i="2"/>
  <c r="K57" i="2"/>
  <c r="Z15" i="2"/>
  <c r="X15" i="2"/>
  <c r="AU61" i="2"/>
  <c r="Y58" i="2"/>
  <c r="AV5" i="2"/>
  <c r="F19" i="2"/>
  <c r="AC12" i="2"/>
  <c r="AR7" i="2"/>
  <c r="X57" i="2"/>
  <c r="AQ8" i="2"/>
  <c r="Y15" i="2"/>
  <c r="M7" i="2"/>
  <c r="AV10" i="2"/>
  <c r="AC63" i="2"/>
  <c r="J36" i="2"/>
  <c r="AC38" i="2"/>
  <c r="F61" i="2"/>
  <c r="AR17" i="2"/>
  <c r="W38" i="2"/>
  <c r="AQ53" i="2"/>
  <c r="E58" i="2"/>
  <c r="AQ34" i="2"/>
  <c r="M19" i="2"/>
  <c r="AF12" i="2"/>
  <c r="E24" i="2"/>
  <c r="W7" i="2"/>
  <c r="AD58" i="2"/>
  <c r="AS31" i="2"/>
  <c r="K19" i="2"/>
  <c r="Z10" i="2"/>
  <c r="AW7" i="2"/>
  <c r="G8" i="2"/>
  <c r="E37" i="2"/>
  <c r="G61" i="2"/>
  <c r="AQ17" i="2"/>
  <c r="AV25" i="2"/>
  <c r="F31" i="2"/>
  <c r="AC13" i="2"/>
  <c r="AR57" i="2"/>
  <c r="J7" i="2"/>
  <c r="M12" i="2"/>
  <c r="AB53" i="2"/>
  <c r="AW57" i="2"/>
  <c r="AS7" i="2"/>
  <c r="AF36" i="2"/>
  <c r="AD61" i="2"/>
  <c r="Y31" i="2"/>
  <c r="AC7" i="2"/>
  <c r="I15" i="2"/>
  <c r="D53" i="2"/>
  <c r="F5" i="2"/>
  <c r="AR15" i="2"/>
  <c r="AY7" i="2"/>
  <c r="AY48" i="2"/>
  <c r="F65" i="2"/>
  <c r="AC33" i="2"/>
  <c r="Z39" i="2"/>
  <c r="AU65" i="2"/>
  <c r="AF27" i="2"/>
  <c r="Y40" i="2"/>
  <c r="W54" i="2"/>
  <c r="G9" i="2"/>
  <c r="M20" i="2"/>
  <c r="K32" i="2"/>
  <c r="AB62" i="2"/>
  <c r="Y38" i="2"/>
  <c r="AF34" i="2"/>
  <c r="AP12" i="2"/>
  <c r="Y11" i="2"/>
  <c r="Y13" i="2"/>
  <c r="Y49" i="2"/>
  <c r="E36" i="2"/>
  <c r="I25" i="2"/>
  <c r="M13" i="2"/>
  <c r="AS17" i="2"/>
  <c r="AS57" i="2"/>
  <c r="X10" i="2"/>
  <c r="AR23" i="2"/>
  <c r="AU34" i="2"/>
  <c r="AB24" i="2"/>
  <c r="W17" i="2"/>
  <c r="K8" i="2"/>
  <c r="AW17" i="2"/>
  <c r="AV13" i="2"/>
  <c r="F57" i="2"/>
  <c r="AC11" i="2"/>
  <c r="AB25" i="2"/>
  <c r="X37" i="2"/>
  <c r="M36" i="2"/>
  <c r="K12" i="2"/>
  <c r="I38" i="2"/>
  <c r="AC15" i="2"/>
  <c r="K31" i="2"/>
  <c r="AU16" i="2"/>
  <c r="J8" i="2"/>
  <c r="Y7" i="2"/>
  <c r="E34" i="2"/>
  <c r="AD5" i="2"/>
  <c r="AB11" i="2"/>
  <c r="AR8" i="2"/>
  <c r="G19" i="2"/>
  <c r="G34" i="2"/>
  <c r="Y5" i="2"/>
  <c r="J58" i="2"/>
  <c r="AV41" i="2"/>
  <c r="F10" i="2"/>
  <c r="D25" i="2"/>
  <c r="AD10" i="2"/>
  <c r="M8" i="2"/>
  <c r="AV57" i="2"/>
  <c r="AB12" i="2"/>
  <c r="F7" i="2"/>
  <c r="AY15" i="2"/>
  <c r="X42" i="2"/>
  <c r="AQ61" i="2"/>
  <c r="Z7" i="2"/>
  <c r="AV19" i="2"/>
  <c r="AS53" i="2"/>
  <c r="D38" i="2"/>
  <c r="E42" i="2"/>
  <c r="AW8" i="2"/>
  <c r="AP5" i="2"/>
  <c r="AW31" i="2"/>
  <c r="AS12" i="2"/>
  <c r="M37" i="2"/>
  <c r="J31" i="2"/>
  <c r="F12" i="2"/>
  <c r="AF8" i="2"/>
  <c r="AR49" i="2"/>
  <c r="G41" i="2"/>
  <c r="AQ13" i="2"/>
  <c r="AP58" i="2"/>
  <c r="E53" i="2"/>
  <c r="AS13" i="2"/>
  <c r="J17" i="2"/>
  <c r="F13" i="2"/>
  <c r="AU10" i="2"/>
  <c r="F34" i="2"/>
  <c r="AC58" i="2"/>
  <c r="Y55" i="2"/>
  <c r="M15" i="2"/>
  <c r="G58" i="2"/>
  <c r="Y25" i="2"/>
  <c r="AB15" i="2"/>
  <c r="AR13" i="2"/>
  <c r="AO94" i="2" l="1"/>
  <c r="AO93" i="2"/>
  <c r="AO89" i="2"/>
  <c r="AO83" i="2"/>
  <c r="AO5" i="2"/>
  <c r="AO85" i="2"/>
  <c r="AO58" i="2"/>
  <c r="AO12" i="2"/>
  <c r="AO41" i="2"/>
  <c r="AO61" i="2"/>
  <c r="AO13" i="2"/>
  <c r="AO15" i="2"/>
  <c r="AO7" i="2"/>
  <c r="AO8" i="2"/>
  <c r="AO53" i="2"/>
  <c r="AO37" i="2"/>
  <c r="AO16" i="2"/>
  <c r="AO34" i="2"/>
  <c r="AO10" i="2"/>
  <c r="AO57" i="2"/>
  <c r="AO38" i="2"/>
  <c r="AO31" i="2"/>
  <c r="AO11" i="2"/>
  <c r="AO19" i="2"/>
  <c r="AO17" i="2"/>
  <c r="AO24" i="2"/>
  <c r="AO54" i="2"/>
  <c r="AO60" i="2"/>
  <c r="AO46" i="2"/>
  <c r="AO21" i="2"/>
  <c r="AO39" i="2"/>
  <c r="AO25" i="2"/>
  <c r="AO35" i="2"/>
  <c r="AO42" i="2"/>
  <c r="AO55" i="2"/>
  <c r="AO36" i="2"/>
  <c r="AO43" i="2"/>
  <c r="AO62" i="2"/>
  <c r="AO65" i="2"/>
  <c r="AO33" i="2"/>
  <c r="AO20" i="2"/>
  <c r="AO27" i="2"/>
  <c r="AO49" i="2"/>
  <c r="AO52" i="2"/>
  <c r="AO30" i="2"/>
  <c r="AO59" i="2"/>
  <c r="AO63" i="2"/>
  <c r="AO22" i="2"/>
  <c r="AO40" i="2"/>
  <c r="AO50" i="2"/>
  <c r="AO48" i="2"/>
  <c r="AO32" i="2"/>
  <c r="AO14" i="2"/>
  <c r="AO51" i="2"/>
  <c r="AO29" i="2"/>
  <c r="AO9" i="2"/>
  <c r="AO69" i="2"/>
  <c r="AO18" i="2"/>
  <c r="AO47" i="2"/>
  <c r="AO23" i="2"/>
  <c r="AO67" i="2"/>
  <c r="AO28" i="2"/>
  <c r="AO44" i="2"/>
  <c r="AO71" i="2"/>
  <c r="AO56" i="2"/>
  <c r="AO70" i="2"/>
  <c r="AO68" i="2"/>
  <c r="AO92" i="2"/>
  <c r="AO64" i="2"/>
  <c r="AO6" i="2"/>
  <c r="AO45" i="2"/>
  <c r="AO76" i="2"/>
  <c r="AO26" i="2"/>
  <c r="AO66" i="2"/>
  <c r="AO90" i="2"/>
  <c r="AO77" i="2"/>
  <c r="AO72" i="2"/>
  <c r="AO75" i="2"/>
  <c r="AO84" i="2"/>
  <c r="AO80" i="2"/>
  <c r="AO86" i="2"/>
  <c r="AO74" i="2"/>
  <c r="AO79" i="2"/>
  <c r="AO88" i="2"/>
  <c r="AO78" i="2"/>
  <c r="AO82" i="2"/>
  <c r="AO91" i="2"/>
  <c r="AO73" i="2"/>
  <c r="AO87" i="2"/>
  <c r="AO81" i="2"/>
  <c r="C55" i="2"/>
  <c r="C5" i="2"/>
  <c r="C21" i="2"/>
  <c r="C38" i="2"/>
  <c r="C25" i="2"/>
  <c r="V17" i="2"/>
  <c r="V54" i="2"/>
  <c r="C53" i="2"/>
  <c r="V7" i="2"/>
  <c r="V38" i="2"/>
  <c r="V53" i="2"/>
  <c r="C61" i="2"/>
  <c r="V55" i="2"/>
  <c r="V18" i="2"/>
  <c r="V58" i="2"/>
  <c r="C12" i="2"/>
  <c r="C15" i="2"/>
  <c r="V57" i="2"/>
  <c r="V11" i="2"/>
  <c r="V8" i="2"/>
  <c r="C57" i="2"/>
  <c r="V10" i="2"/>
  <c r="V9" i="2"/>
  <c r="C45" i="2"/>
  <c r="C11" i="2"/>
  <c r="C31" i="2"/>
  <c r="C59" i="2"/>
  <c r="V19" i="2"/>
  <c r="C58" i="2"/>
  <c r="V61" i="2"/>
  <c r="C41" i="2"/>
  <c r="V12" i="2"/>
  <c r="C19" i="2"/>
  <c r="V34" i="2"/>
  <c r="C34" i="2"/>
  <c r="C24" i="2"/>
  <c r="V29" i="2"/>
  <c r="V42" i="2"/>
  <c r="C35" i="2"/>
  <c r="V41" i="2"/>
  <c r="C13" i="2"/>
  <c r="V5" i="2"/>
  <c r="V15" i="2"/>
  <c r="C17" i="2"/>
  <c r="C37" i="2"/>
  <c r="C23" i="2"/>
  <c r="V20" i="2"/>
  <c r="V27" i="2"/>
  <c r="V63" i="2"/>
  <c r="C20" i="2"/>
  <c r="V14" i="2"/>
  <c r="C69" i="2"/>
  <c r="C68" i="2"/>
  <c r="V74" i="2"/>
  <c r="V25" i="2"/>
  <c r="V37" i="2"/>
  <c r="C7" i="2"/>
  <c r="V13" i="2"/>
  <c r="C49" i="2"/>
  <c r="C16" i="2"/>
  <c r="V36" i="2"/>
  <c r="V24" i="2"/>
  <c r="V16" i="2"/>
  <c r="C46" i="2"/>
  <c r="C36" i="2"/>
  <c r="V35" i="2"/>
  <c r="V28" i="2"/>
  <c r="V52" i="2"/>
  <c r="C47" i="2"/>
  <c r="C8" i="2"/>
  <c r="C10" i="2"/>
  <c r="V31" i="2"/>
  <c r="V46" i="2"/>
  <c r="C32" i="2"/>
  <c r="C14" i="2"/>
  <c r="C42" i="2"/>
  <c r="C63" i="2"/>
  <c r="V23" i="2"/>
  <c r="C29" i="2"/>
  <c r="C9" i="2"/>
  <c r="C27" i="2"/>
  <c r="V32" i="2"/>
  <c r="C52" i="2"/>
  <c r="V26" i="2"/>
  <c r="V50" i="2"/>
  <c r="V60" i="2"/>
  <c r="C43" i="2"/>
  <c r="C62" i="2"/>
  <c r="C50" i="2"/>
  <c r="C66" i="2"/>
  <c r="V64" i="2"/>
  <c r="V70" i="2"/>
  <c r="V56" i="2"/>
  <c r="C26" i="2"/>
  <c r="V67" i="2"/>
  <c r="V68" i="2"/>
  <c r="C18" i="2"/>
  <c r="C40" i="2"/>
  <c r="V21" i="2"/>
  <c r="V65" i="2"/>
  <c r="C44" i="2"/>
  <c r="C72" i="2"/>
  <c r="V80" i="2"/>
  <c r="C48" i="2"/>
  <c r="V49" i="2"/>
  <c r="V6" i="2"/>
  <c r="C39" i="2"/>
  <c r="V92" i="2"/>
  <c r="V47" i="2"/>
  <c r="C71" i="2"/>
  <c r="V83" i="2"/>
  <c r="C22" i="2"/>
  <c r="V51" i="2"/>
  <c r="V85" i="2"/>
  <c r="C82" i="2"/>
  <c r="C54" i="2"/>
  <c r="V43" i="2"/>
  <c r="V62" i="2"/>
  <c r="C56" i="2"/>
  <c r="V22" i="2"/>
  <c r="C6" i="2"/>
  <c r="C60" i="2"/>
  <c r="V59" i="2"/>
  <c r="V40" i="2"/>
  <c r="C28" i="2"/>
  <c r="C67" i="2"/>
  <c r="V30" i="2"/>
  <c r="V48" i="2"/>
  <c r="V45" i="2"/>
  <c r="C33" i="2"/>
  <c r="C51" i="2"/>
  <c r="V66" i="2"/>
  <c r="V69" i="2"/>
  <c r="C92" i="2"/>
  <c r="C91" i="2"/>
  <c r="C78" i="2"/>
  <c r="C80" i="2"/>
  <c r="V91" i="2"/>
  <c r="C30" i="2"/>
  <c r="C70" i="2"/>
  <c r="V44" i="2"/>
  <c r="V93" i="2"/>
  <c r="V71" i="2"/>
  <c r="C83" i="2"/>
  <c r="C75" i="2"/>
  <c r="V39" i="2"/>
  <c r="C65" i="2"/>
  <c r="C84" i="2"/>
  <c r="V33" i="2"/>
  <c r="V88" i="2"/>
  <c r="C94" i="2"/>
  <c r="C79" i="2"/>
  <c r="C87" i="2"/>
  <c r="V82" i="2"/>
  <c r="V72" i="2"/>
  <c r="V81" i="2"/>
  <c r="C89" i="2"/>
  <c r="V94" i="2"/>
  <c r="V73" i="2"/>
  <c r="C73" i="2"/>
  <c r="V75" i="2"/>
  <c r="V90" i="2"/>
  <c r="C74" i="2"/>
  <c r="C64" i="2"/>
  <c r="C88" i="2"/>
  <c r="C81" i="2"/>
  <c r="C93" i="2"/>
  <c r="V87" i="2"/>
  <c r="V78" i="2"/>
  <c r="C85" i="2"/>
  <c r="C86" i="2"/>
  <c r="V84" i="2"/>
  <c r="V89" i="2"/>
  <c r="V76" i="2"/>
  <c r="V77" i="2"/>
  <c r="C77" i="2"/>
  <c r="V86" i="2"/>
  <c r="V79" i="2"/>
  <c r="C90" i="2"/>
  <c r="C76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A0B605E-6ACE-4DC8-9121-5EC6A4FE0139}" keepAlive="1" name="Query - poolresults (4)" description="Connection to the 'poolresults (4)' query in the workbook." type="5" refreshedVersion="0" background="1" saveData="1">
    <dbPr connection="Provider=Microsoft.Mashup.OleDb.1;Data Source=$Workbook$;Location=&quot;poolresults (4)&quot;;Extended Properties=&quot;&quot;" command="SELECT * FROM [poolresults (4)]"/>
  </connection>
  <connection id="2" xr16:uid="{1363A854-43A5-44EC-AF85-B5F716140BB8}" keepAlive="1" name="Query - poolresults (5)" description="Connection to the 'poolresults (5)' query in the workbook." type="5" refreshedVersion="0" background="1" saveData="1">
    <dbPr connection="Provider=Microsoft.Mashup.OleDb.1;Data Source=$Workbook$;Location=&quot;poolresults (5)&quot;;Extended Properties=&quot;&quot;" command="SELECT * FROM [poolresults (5)]"/>
  </connection>
  <connection id="3" xr16:uid="{533EEF03-B78C-4B07-866D-B1C100453575}" keepAlive="1" name="Query - poolresults (6)" description="Connection to the 'poolresults (6)' query in the workbook." type="5" refreshedVersion="8" background="1" saveData="1">
    <dbPr connection="Provider=Microsoft.Mashup.OleDb.1;Data Source=$Workbook$;Location=&quot;poolresults (6)&quot;;Extended Properties=&quot;&quot;" command="SELECT * FROM [poolresults (6)]"/>
  </connection>
  <connection id="4" xr16:uid="{988A6132-A7CA-4376-8412-6023539DD3D2}" keepAlive="1" name="Query - poolresults (7)" description="Connection to the 'poolresults (7)' query in the workbook." type="5" refreshedVersion="8" background="1" saveData="1">
    <dbPr connection="Provider=Microsoft.Mashup.OleDb.1;Data Source=$Workbook$;Location=&quot;poolresults (7)&quot;;Extended Properties=&quot;&quot;" command="SELECT * FROM [poolresults (7)]"/>
  </connection>
</connections>
</file>

<file path=xl/sharedStrings.xml><?xml version="1.0" encoding="utf-8"?>
<sst xmlns="http://schemas.openxmlformats.org/spreadsheetml/2006/main" count="1741" uniqueCount="186">
  <si>
    <t>L,P,</t>
  </si>
  <si>
    <t>IMIĘ NAZWISKO</t>
  </si>
  <si>
    <t>V/M</t>
  </si>
  <si>
    <t>TS</t>
  </si>
  <si>
    <t>Ind</t>
  </si>
  <si>
    <t>MP</t>
  </si>
  <si>
    <t>GP1</t>
  </si>
  <si>
    <t>GP2</t>
  </si>
  <si>
    <t>GP3</t>
  </si>
  <si>
    <t>GP4</t>
  </si>
  <si>
    <t>GP5</t>
  </si>
  <si>
    <t>GP6</t>
  </si>
  <si>
    <t>GP7</t>
  </si>
  <si>
    <t>GP8</t>
  </si>
  <si>
    <t>BAZAK Jacek</t>
  </si>
  <si>
    <t>MALINOWSKI Piotr</t>
  </si>
  <si>
    <t>SZMIDT Grzegorz</t>
  </si>
  <si>
    <t>LIPKOWSKA Dominika</t>
  </si>
  <si>
    <t>HAŚKO Sergiusz</t>
  </si>
  <si>
    <t>JADCZUK Wojciech</t>
  </si>
  <si>
    <t>KORONA-TRZEBSKI Przemysław</t>
  </si>
  <si>
    <t>POŚPIESZNY Sławomir</t>
  </si>
  <si>
    <t>NIKALAICHUK Aliaksandr</t>
  </si>
  <si>
    <t>NOWAK Szymon</t>
  </si>
  <si>
    <t>GWIAZDA Paweł</t>
  </si>
  <si>
    <t>POKRZYWA Mariusz</t>
  </si>
  <si>
    <t>PAKUŁA Łukasz</t>
  </si>
  <si>
    <t>ĆWIORO Krzysztof</t>
  </si>
  <si>
    <t>BORKOWSKI Andrzej</t>
  </si>
  <si>
    <t>ADAMCZYK Grzegorz</t>
  </si>
  <si>
    <t>WASILCZUK Beata</t>
  </si>
  <si>
    <t>MENCWAL Adam</t>
  </si>
  <si>
    <t>WOJTAS Bogdan</t>
  </si>
  <si>
    <t>JUSZKIEWICZ Piotr</t>
  </si>
  <si>
    <t>KIERSZNICKI Ryszard</t>
  </si>
  <si>
    <t>KOZIEJOWSKI Sebastian</t>
  </si>
  <si>
    <t>GINZERY Tomas</t>
  </si>
  <si>
    <t>JEROZOLIMSKI Marek</t>
  </si>
  <si>
    <t>TOMASZEWSKA Hanna</t>
  </si>
  <si>
    <t>SERAFIN Błażej</t>
  </si>
  <si>
    <t>BARAŃSKI Wacław</t>
  </si>
  <si>
    <t>SAJEWICZ Izabela</t>
  </si>
  <si>
    <t>SZYPUŁOWSKA-GRZYŚ Joanna</t>
  </si>
  <si>
    <t>ADAMCZEWSKI Wojciech</t>
  </si>
  <si>
    <t>RZESZUTKO Jakub</t>
  </si>
  <si>
    <t>DRAPELLA Maciej</t>
  </si>
  <si>
    <t>WYLĘGAŁA Jerzy</t>
  </si>
  <si>
    <t>BONIK-NINARD Agata</t>
  </si>
  <si>
    <t>RUT Agnieszka</t>
  </si>
  <si>
    <t>MAŁASIŃSKI Adam</t>
  </si>
  <si>
    <t>SUROWIEC Tomasz</t>
  </si>
  <si>
    <t>MULSON Irena</t>
  </si>
  <si>
    <t>KOWALSKA Milena</t>
  </si>
  <si>
    <t>SZKODA Marek Tomasz</t>
  </si>
  <si>
    <t>BORKOWSKA Halina</t>
  </si>
  <si>
    <t>FRYDRYCH Szymon</t>
  </si>
  <si>
    <t>SAMECKA -NACZYŃSKA Martyna</t>
  </si>
  <si>
    <t>KASZTELOWICZ Piotr</t>
  </si>
  <si>
    <t>WRONA Grzegorz</t>
  </si>
  <si>
    <t>MILOVA Tatiana</t>
  </si>
  <si>
    <t>ANDERSCH Robert</t>
  </si>
  <si>
    <t>POPRAWA Mariusz</t>
  </si>
  <si>
    <t>KAMIŃSKA Gabriela</t>
  </si>
  <si>
    <t>GLUMA Mateusz</t>
  </si>
  <si>
    <t>HUSAROWA Vera</t>
  </si>
  <si>
    <t>PRZYSTAJKO Daniel</t>
  </si>
  <si>
    <t>RADECKI Andrzej</t>
  </si>
  <si>
    <t>SOKOL Vratislav</t>
  </si>
  <si>
    <t>SOSNOWSKA Aniela</t>
  </si>
  <si>
    <t>STANIEWICZ Witold</t>
  </si>
  <si>
    <t>TARANCZEWSKI Janusz</t>
  </si>
  <si>
    <t>WIŚNIEWSKI Bernard</t>
  </si>
  <si>
    <t>miejsce i data:</t>
  </si>
  <si>
    <t>WARSZAWA 3-4.03.2024</t>
  </si>
  <si>
    <t>2-3.03.2024</t>
  </si>
  <si>
    <t>https://www.fencingtimelive.com/pools/results/89FF43D2902940BBBBDDBFB63EEDF215/54ED22BA9C50480DAFCF983180E0BAD2</t>
  </si>
  <si>
    <t>Place</t>
  </si>
  <si>
    <t>Name</t>
  </si>
  <si>
    <t>V</t>
  </si>
  <si>
    <t>M</t>
  </si>
  <si>
    <t>V / M</t>
  </si>
  <si>
    <t>TR</t>
  </si>
  <si>
    <t>Status</t>
  </si>
  <si>
    <t>Club(s)</t>
  </si>
  <si>
    <t>Division</t>
  </si>
  <si>
    <t>Country</t>
  </si>
  <si>
    <t>Advanced</t>
  </si>
  <si>
    <t>AKS MIKOŁÓW</t>
  </si>
  <si>
    <t> POL</t>
  </si>
  <si>
    <t>WKS KOLEJARZ WROCŁAW</t>
  </si>
  <si>
    <t>KKS KRAKÓW</t>
  </si>
  <si>
    <t>BYTOMSKIE TOWARZYSTWO SZERMIERCZE</t>
  </si>
  <si>
    <t>KS AZS AWFIS GDAŃSK</t>
  </si>
  <si>
    <t>IKS AWF WARSZAWA</t>
  </si>
  <si>
    <t>POKRZYWA MARIUSZ</t>
  </si>
  <si>
    <t>AZS AWF KRAKÓW</t>
  </si>
  <si>
    <t>KS CRACOVIA 1906.</t>
  </si>
  <si>
    <t>AZS AWF WARSZAWA</t>
  </si>
  <si>
    <t>ALEX TORUŃ</t>
  </si>
  <si>
    <t>ZJEDNOCZENI PABIANICE</t>
  </si>
  <si>
    <t>AZS AWF GDAŃSK</t>
  </si>
  <si>
    <t>UKS FLORET Ruda Śląska</t>
  </si>
  <si>
    <t>ST. POLSKICH WETERANÓW SZERMIERKI</t>
  </si>
  <si>
    <t>KSz WARSZAWIANKA</t>
  </si>
  <si>
    <t>26T</t>
  </si>
  <si>
    <t>KRAKÓW 2-3.03.2024</t>
  </si>
  <si>
    <t>https://fencingtimelive,com/pools/results/8FB9AF0939C346DCB4C922FB47AD29AD/DE3C39D4703B46979D1F8AD8A0660926</t>
  </si>
  <si>
    <t xml:space="preserve"> POL</t>
  </si>
  <si>
    <t>MKS KUSY SZCZECIN</t>
  </si>
  <si>
    <t>Alex Toruń</t>
  </si>
  <si>
    <t>PABIANICE</t>
  </si>
  <si>
    <t>13,01,2023</t>
  </si>
  <si>
    <t>https://www,fencingtimelive,com/pools/results/E410C1DEA6F64998AC1C1D8B22761B81/FEC27BCC6875458F8C4CCCA3E309E3DB</t>
  </si>
  <si>
    <t>POL</t>
  </si>
  <si>
    <t>WKS KOLEJARZ WROCŁAW,</t>
  </si>
  <si>
    <t>BLR</t>
  </si>
  <si>
    <t>PTG SOKÓŁ 1893 MIELEC</t>
  </si>
  <si>
    <t>KS SZPADA ŁÓDŹ</t>
  </si>
  <si>
    <t>KS AZS AWFIS GDAŃSK,</t>
  </si>
  <si>
    <t>KS CRACOVIA 1906,</t>
  </si>
  <si>
    <t>UKS 46 ŁÓDŹ</t>
  </si>
  <si>
    <t>https://www,fencingtimelive,com/pools/results/E410C1DEA6F64998AC1C1D8B22761B81/FDD096691A8B4E93812F9EDA282224BB</t>
  </si>
  <si>
    <t>5T</t>
  </si>
  <si>
    <t>10T</t>
  </si>
  <si>
    <t>16T</t>
  </si>
  <si>
    <t>TORUŃ 4-5.03.2023</t>
  </si>
  <si>
    <t>https://www,fencingtimelive,com/pools/results/AB30CCE99E7E4482BF9221473FF2C19E/81304AEB09354516A3303AC8B47CB3C6</t>
  </si>
  <si>
    <t>1T</t>
  </si>
  <si>
    <t>WKS KOLEJARZ WROCŁAW.</t>
  </si>
  <si>
    <t>CZE</t>
  </si>
  <si>
    <t>KS AZS AWFIS GDAŃSK.</t>
  </si>
  <si>
    <t>23T</t>
  </si>
  <si>
    <t>NIEPOŁOMICE 17-18.06.2022</t>
  </si>
  <si>
    <t>https://www.fencingtimelive.com/pools/results/419891F1DFC14B3B8739FD07976712E7/0CE3AE06B63D4CBA97E49DAD8B206BDA</t>
  </si>
  <si>
    <t>KOLEJARZ 24 KATOWICE</t>
  </si>
  <si>
    <t>NIEPOŁOMICE 17-18.06.2023</t>
  </si>
  <si>
    <t>https://www.fencingtimelive.com/pools/results/419891F1DFC14B3B8739FD07976712E7/076E3FCD8DC040F1B34B156A0D60A397</t>
  </si>
  <si>
    <t>1.00</t>
  </si>
  <si>
    <t/>
  </si>
  <si>
    <t>0.83</t>
  </si>
  <si>
    <t>0.80</t>
  </si>
  <si>
    <t>0.67</t>
  </si>
  <si>
    <t>0.60</t>
  </si>
  <si>
    <t>0.50</t>
  </si>
  <si>
    <t>0.40</t>
  </si>
  <si>
    <t>0.33</t>
  </si>
  <si>
    <t>0.20</t>
  </si>
  <si>
    <t>0.17</t>
  </si>
  <si>
    <t>0.00</t>
  </si>
  <si>
    <t>OPOLE 23-24,10,2023</t>
  </si>
  <si>
    <t>https://www.fencingtimelive.com/pools/results/8BA93E9803504D5A9160AC52D2DB7810/3DD0351F9BBC41B18CAC29E63453264C</t>
  </si>
  <si>
    <t>KS SAMORIN</t>
  </si>
  <si>
    <t>https://www.fencingtimelive.com/pools/results/8BA93E9803504D5A9160AC52D2DB7810/E859376BE3C8483F9EB059B729D9EAF7</t>
  </si>
  <si>
    <t>GDAŃSK 28.10.2023</t>
  </si>
  <si>
    <t>https://www.fencingtimelive.com/pools/results/6AF7B17E3A9E45BAA5C4F38FA982185D/9462DF768E9447999EE6A63B054ECDF9</t>
  </si>
  <si>
    <t>TS Alex Toruń</t>
  </si>
  <si>
    <t>https://www.fencingtimelive.com/pools/results/6AF7B17E3A9E45BAA5C4F38FA982185D/AD588885CA584A83A918FD4BEDB9748F</t>
  </si>
  <si>
    <t>6T</t>
  </si>
  <si>
    <t>KRAKÓW 19.11.2023</t>
  </si>
  <si>
    <t>https://www.fencingtimelive.com/pools/results/15FE8FA913B34BC49978C72937C963CE/0F2C4AA0E71A4BAF81DA25BBAF1CE039</t>
  </si>
  <si>
    <t>0.75</t>
  </si>
  <si>
    <t>0.25</t>
  </si>
  <si>
    <t>https://www.fencingtimelive.com/pools/results/15FE8FA913B34BC49978C72937C963CE/84C81B14195641768324043EE1FA50AE</t>
  </si>
  <si>
    <t>1</t>
  </si>
  <si>
    <t>2T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</si>
  <si>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</si>
  <si>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</si>
  <si>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</si>
  <si>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</si>
  <si>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</si>
  <si>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</si>
  <si>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</si>
  <si>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</si>
  <si>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</si>
  <si>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</si>
  <si>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</si>
  <si>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</si>
  <si>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</si>
  <si>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SPAŁA 28.01.2024</t>
  </si>
  <si>
    <t>https://www.fencingtimelive.com/pools/results/1E9CA77195244EB381F160EFC5A70097/AC6BC1B73E024F8E99EF54C0B02C849D</t>
  </si>
  <si>
    <t>IKS WARSZAWA</t>
  </si>
  <si>
    <t>NIEPOŁOMICE 23.06.2024</t>
  </si>
  <si>
    <t>https://www.fencingtimelive.com/pools/results/E27295A9B21E4434B2EFB11E5736ED4A/3237EFED3D1A4D5DB5BAC0C948CC4FCC</t>
  </si>
  <si>
    <t>ŻUKOWSKI Wojciech</t>
  </si>
  <si>
    <t>SZERMIERKA SZCZECIN</t>
  </si>
  <si>
    <t>https://www.fencingtimelive.com/pools/results/E27295A9B21E4434B2EFB11E5736ED4A/8E45C7D54C2A49ED8224DA21ED89A700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</si>
</sst>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name val="Arial"/>
      <family val="2"/>
      <charset val="238"/>
    </font>
    <font>
      <sz val="11"/>
      <color theme="1"/>
      <name val="Calibri"/>
      <family val="2"/>
      <charset val="238"/>
      <scheme val="minor"/>
    </font>
    <font>
      <b/>
      <sz val="11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b/>
      <sz val="10"/>
      <name val="Arial"/>
      <family val="2"/>
      <charset val="238"/>
    </font>
    <font>
      <u/>
      <sz val="10"/>
      <color theme="10"/>
      <name val="Arial"/>
      <family val="2"/>
      <charset val="238"/>
    </font>
    <font>
      <sz val="12"/>
      <color rgb="FF212529"/>
      <name val="Roboto"/>
      <family val="2"/>
      <charset val="1"/>
    </font>
    <font>
      <sz val="11"/>
      <color rgb="FF212529"/>
      <name val="Roboto"/>
    </font>
    <font>
      <sz val="11"/>
      <color rgb="FF008000"/>
      <name val="Roboto"/>
    </font>
    <font>
      <sz val="10"/>
      <color theme="1"/>
      <name val="Arial"/>
      <family val="2"/>
      <charset val="238"/>
    </font>
    <font>
      <sz val="10"/>
      <color rgb="FF212529"/>
      <name val="Roboto"/>
    </font>
    <font>
      <sz val="10"/>
      <color rgb="FF008000"/>
      <name val="Roboto"/>
    </font>
  </fonts>
  <fills count="10">
    <fill>
      <patternFill patternType="none"/>
    </fill>
    <fill>
      <patternFill patternType="gray125"/>
    </fill>
    <fill>
      <patternFill patternType="solid">
        <fgColor indexed="31"/>
        <bgColor indexed="42"/>
      </patternFill>
    </fill>
    <fill>
      <patternFill patternType="solid">
        <fgColor theme="4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3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thin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hair">
        <color auto="1"/>
      </right>
      <top/>
      <bottom style="thin">
        <color indexed="8"/>
      </bottom>
      <diagonal/>
    </border>
    <border>
      <left style="hair">
        <color auto="1"/>
      </left>
      <right/>
      <top/>
      <bottom style="thin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8"/>
      </top>
      <bottom style="thin">
        <color indexed="8"/>
      </bottom>
      <diagonal/>
    </border>
    <border>
      <left style="hair">
        <color auto="1"/>
      </left>
      <right/>
      <top style="thin">
        <color indexed="8"/>
      </top>
      <bottom/>
      <diagonal/>
    </border>
    <border>
      <left/>
      <right style="hair">
        <color auto="1"/>
      </right>
      <top style="thin">
        <color indexed="8"/>
      </top>
      <bottom/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 style="thin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5">
    <xf numFmtId="0" fontId="0" fillId="0" borderId="0"/>
    <xf numFmtId="0" fontId="4" fillId="3" borderId="0" applyNumberFormat="0" applyBorder="0" applyAlignment="0" applyProtection="0"/>
    <xf numFmtId="0" fontId="1" fillId="4" borderId="0" applyNumberFormat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72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center"/>
    </xf>
    <xf numFmtId="0" fontId="3" fillId="0" borderId="4" xfId="0" applyFont="1" applyBorder="1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6" fillId="0" borderId="0" xfId="0" applyFont="1" applyAlignment="1">
      <alignment horizontal="center" vertical="center"/>
    </xf>
    <xf numFmtId="0" fontId="7" fillId="0" borderId="0" xfId="3" applyAlignment="1">
      <alignment horizontal="center" vertical="center" wrapText="1"/>
    </xf>
    <xf numFmtId="0" fontId="5" fillId="3" borderId="0" xfId="1" applyFont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7" fillId="0" borderId="0" xfId="3" applyAlignment="1">
      <alignment vertical="center" wrapText="1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" fillId="4" borderId="16" xfId="2" applyBorder="1" applyAlignment="1">
      <alignment horizontal="left" vertical="center"/>
    </xf>
    <xf numFmtId="0" fontId="1" fillId="4" borderId="17" xfId="2" applyBorder="1" applyAlignment="1">
      <alignment horizontal="left" vertical="center"/>
    </xf>
    <xf numFmtId="0" fontId="1" fillId="4" borderId="18" xfId="2" applyBorder="1" applyAlignment="1">
      <alignment horizontal="left" vertical="center"/>
    </xf>
    <xf numFmtId="0" fontId="1" fillId="4" borderId="20" xfId="2" applyBorder="1" applyAlignment="1">
      <alignment horizontal="left" vertical="center"/>
    </xf>
    <xf numFmtId="14" fontId="6" fillId="0" borderId="0" xfId="0" applyNumberFormat="1" applyFont="1" applyAlignment="1">
      <alignment horizontal="center" vertical="center"/>
    </xf>
    <xf numFmtId="0" fontId="0" fillId="6" borderId="13" xfId="0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13" xfId="0" applyFill="1" applyBorder="1" applyAlignment="1">
      <alignment horizontal="center" vertical="center"/>
    </xf>
    <xf numFmtId="0" fontId="0" fillId="7" borderId="12" xfId="0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2" fontId="0" fillId="5" borderId="8" xfId="0" applyNumberFormat="1" applyFill="1" applyBorder="1" applyAlignment="1">
      <alignment horizontal="center"/>
    </xf>
    <xf numFmtId="0" fontId="8" fillId="8" borderId="24" xfId="0" applyFont="1" applyFill="1" applyBorder="1" applyAlignment="1">
      <alignment wrapText="1"/>
    </xf>
    <xf numFmtId="0" fontId="0" fillId="7" borderId="20" xfId="0" applyFill="1" applyBorder="1" applyAlignment="1">
      <alignment horizontal="center" vertical="center"/>
    </xf>
    <xf numFmtId="0" fontId="9" fillId="8" borderId="26" xfId="0" applyFont="1" applyFill="1" applyBorder="1" applyAlignment="1">
      <alignment vertical="center" wrapText="1"/>
    </xf>
    <xf numFmtId="0" fontId="10" fillId="8" borderId="26" xfId="0" applyFont="1" applyFill="1" applyBorder="1" applyAlignment="1">
      <alignment vertical="center" wrapText="1"/>
    </xf>
    <xf numFmtId="2" fontId="0" fillId="7" borderId="0" xfId="0" applyNumberFormat="1" applyFill="1" applyAlignment="1">
      <alignment horizontal="center" vertical="center"/>
    </xf>
    <xf numFmtId="2" fontId="0" fillId="7" borderId="12" xfId="0" applyNumberFormat="1" applyFill="1" applyBorder="1" applyAlignment="1">
      <alignment horizontal="center" vertical="center"/>
    </xf>
    <xf numFmtId="2" fontId="0" fillId="6" borderId="22" xfId="0" applyNumberFormat="1" applyFill="1" applyBorder="1" applyAlignment="1">
      <alignment horizontal="center" vertical="center"/>
    </xf>
    <xf numFmtId="2" fontId="0" fillId="6" borderId="23" xfId="0" applyNumberFormat="1" applyFill="1" applyBorder="1" applyAlignment="1">
      <alignment horizontal="center" vertical="center"/>
    </xf>
    <xf numFmtId="2" fontId="0" fillId="7" borderId="13" xfId="0" applyNumberFormat="1" applyFill="1" applyBorder="1" applyAlignment="1">
      <alignment horizontal="center" vertical="center"/>
    </xf>
    <xf numFmtId="2" fontId="0" fillId="6" borderId="13" xfId="0" applyNumberFormat="1" applyFill="1" applyBorder="1" applyAlignment="1">
      <alignment horizontal="center" vertical="center"/>
    </xf>
    <xf numFmtId="2" fontId="0" fillId="6" borderId="12" xfId="0" applyNumberFormat="1" applyFill="1" applyBorder="1" applyAlignment="1">
      <alignment horizontal="center" vertical="center"/>
    </xf>
    <xf numFmtId="2" fontId="0" fillId="6" borderId="0" xfId="0" applyNumberFormat="1" applyFill="1" applyAlignment="1">
      <alignment horizontal="center" vertical="center"/>
    </xf>
    <xf numFmtId="0" fontId="11" fillId="9" borderId="27" xfId="0" applyFont="1" applyFill="1" applyBorder="1"/>
    <xf numFmtId="0" fontId="11" fillId="9" borderId="28" xfId="0" applyFont="1" applyFill="1" applyBorder="1"/>
    <xf numFmtId="0" fontId="11" fillId="0" borderId="27" xfId="0" applyFont="1" applyBorder="1"/>
    <xf numFmtId="0" fontId="11" fillId="0" borderId="28" xfId="0" applyFont="1" applyBorder="1"/>
    <xf numFmtId="0" fontId="11" fillId="9" borderId="29" xfId="0" applyFont="1" applyFill="1" applyBorder="1"/>
    <xf numFmtId="0" fontId="11" fillId="0" borderId="29" xfId="0" applyFont="1" applyBorder="1"/>
    <xf numFmtId="0" fontId="12" fillId="0" borderId="26" xfId="0" applyFont="1" applyBorder="1" applyAlignment="1">
      <alignment vertical="center" wrapText="1"/>
    </xf>
    <xf numFmtId="0" fontId="13" fillId="0" borderId="26" xfId="0" applyFont="1" applyBorder="1" applyAlignment="1">
      <alignment vertical="center" wrapText="1"/>
    </xf>
    <xf numFmtId="0" fontId="12" fillId="0" borderId="0" xfId="0" applyFont="1" applyAlignment="1">
      <alignment horizontal="center" vertical="center" wrapText="1"/>
    </xf>
    <xf numFmtId="0" fontId="1" fillId="4" borderId="25" xfId="2" applyBorder="1" applyAlignment="1">
      <alignment horizontal="center" vertical="center"/>
    </xf>
    <xf numFmtId="0" fontId="1" fillId="4" borderId="21" xfId="2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1" fillId="4" borderId="14" xfId="2" applyBorder="1" applyAlignment="1">
      <alignment horizontal="center" vertical="center"/>
    </xf>
    <xf numFmtId="0" fontId="1" fillId="4" borderId="15" xfId="2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1" fillId="4" borderId="19" xfId="2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3" applyAlignment="1">
      <alignment horizontal="center" vertical="center" wrapText="1"/>
    </xf>
    <xf numFmtId="0" fontId="7" fillId="0" borderId="0" xfId="3" applyAlignment="1">
      <alignment horizontal="center" vertical="center"/>
    </xf>
    <xf numFmtId="0" fontId="7" fillId="0" borderId="0" xfId="4" applyAlignment="1">
      <alignment horizontal="center" vertical="center" wrapText="1"/>
    </xf>
    <xf numFmtId="0" fontId="3" fillId="0" borderId="0" xfId="0" applyFont="1" applyBorder="1" applyAlignment="1">
      <alignment horizontal="left"/>
    </xf>
  </cellXfs>
  <cellStyles count="5">
    <cellStyle name="20% — akcent 3" xfId="2" builtinId="38"/>
    <cellStyle name="Akcent 1" xfId="1" builtinId="29"/>
    <cellStyle name="Hiperłącze" xfId="3" builtinId="8"/>
    <cellStyle name="Hyperlink" xfId="4" xr:uid="{00000000-000B-0000-0000-000008000000}"/>
    <cellStyle name="Normalny" xfId="0" builtinId="0"/>
  </cellStyles>
  <dxfs count="29"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connections" Target="connection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FD67430A-1B68-43A7-ACCB-EAEA5CDE8260}" autoFormatId="16" applyNumberFormats="0" applyBorderFormats="0" applyFontFormats="0" applyPatternFormats="0" applyAlignmentFormats="0" applyWidthHeightFormats="0">
  <queryTableRefresh nextId="12">
    <queryTableFields count="11">
      <queryTableField id="1" name="Place" tableColumnId="1"/>
      <queryTableField id="2" name="Name" tableColumnId="2"/>
      <queryTableField id="3" name="V" tableColumnId="3"/>
      <queryTableField id="4" name="M" tableColumnId="4"/>
      <queryTableField id="5" name="V / M" tableColumnId="5"/>
      <queryTableField id="6" name="TS" tableColumnId="6"/>
      <queryTableField id="7" name="TR" tableColumnId="7"/>
      <queryTableField id="8" name="Ind" tableColumnId="8"/>
      <queryTableField id="9" name="Status" tableColumnId="9"/>
      <queryTableField id="10" name="Club(s)" tableColumnId="10"/>
      <queryTableField id="11" name="Country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C0851482-777D-4C6B-A180-CE086A256824}" autoFormatId="16" applyNumberFormats="0" applyBorderFormats="0" applyFontFormats="0" applyPatternFormats="0" applyAlignmentFormats="0" applyWidthHeightFormats="0">
  <queryTableRefresh nextId="12">
    <queryTableFields count="11">
      <queryTableField id="1" name="Place" tableColumnId="1"/>
      <queryTableField id="2" name="Name" tableColumnId="2"/>
      <queryTableField id="3" name="V" tableColumnId="3"/>
      <queryTableField id="4" name="M" tableColumnId="4"/>
      <queryTableField id="5" name="V / M" tableColumnId="5"/>
      <queryTableField id="6" name="TS" tableColumnId="6"/>
      <queryTableField id="7" name="TR" tableColumnId="7"/>
      <queryTableField id="8" name="Ind" tableColumnId="8"/>
      <queryTableField id="9" name="Status" tableColumnId="9"/>
      <queryTableField id="10" name="Club(s)" tableColumnId="10"/>
      <queryTableField id="11" name="Country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2629B0E-80FC-48C7-A74A-FAD25C97D184}" name="poolresults__6" displayName="poolresults__6" ref="A5:K21" tableType="queryTable" totalsRowShown="0" headerRowDxfId="28" dataDxfId="27">
  <autoFilter ref="A5:K21" xr:uid="{B2629B0E-80FC-48C7-A74A-FAD25C97D184}"/>
  <tableColumns count="11">
    <tableColumn id="1" xr3:uid="{1E5484D3-2B41-4AD2-B950-20D9BE7A4854}" uniqueName="1" name="Place" queryTableFieldId="1" dataDxfId="26"/>
    <tableColumn id="2" xr3:uid="{C400DE1E-EA1B-49F6-95A3-89659012C0D1}" uniqueName="2" name="Name" queryTableFieldId="2" dataDxfId="25"/>
    <tableColumn id="3" xr3:uid="{A1FC29A5-E92D-47C1-ACC3-72A606514E16}" uniqueName="3" name="V" queryTableFieldId="3" dataDxfId="24"/>
    <tableColumn id="4" xr3:uid="{56653847-E12E-4F34-A1DF-C4881B0F266A}" uniqueName="4" name="M" queryTableFieldId="4" dataDxfId="23"/>
    <tableColumn id="5" xr3:uid="{7BF27EDF-8FC8-4771-80E8-2F2D9BAE197D}" uniqueName="5" name="V / M" queryTableFieldId="5" dataDxfId="22"/>
    <tableColumn id="6" xr3:uid="{3DB96395-4C8C-42CE-B29B-1855ED7CFECB}" uniqueName="6" name="TS" queryTableFieldId="6" dataDxfId="21"/>
    <tableColumn id="7" xr3:uid="{17D40924-1CD9-411F-926D-D63269255641}" uniqueName="7" name="TR" queryTableFieldId="7" dataDxfId="20"/>
    <tableColumn id="8" xr3:uid="{749FD725-D833-4800-8918-DA3159B28700}" uniqueName="8" name="Ind" queryTableFieldId="8" dataDxfId="19"/>
    <tableColumn id="9" xr3:uid="{12FA5499-79F4-4144-8924-6E71E48EAC02}" uniqueName="9" name="Status" queryTableFieldId="9" dataDxfId="18"/>
    <tableColumn id="10" xr3:uid="{6996EA86-1DD1-4C5A-B0C2-647FDAFDFBB9}" uniqueName="10" name="Club(s)" queryTableFieldId="10" dataDxfId="17"/>
    <tableColumn id="11" xr3:uid="{B192916F-CB57-458C-85A1-1B8A17FB7537}" uniqueName="11" name="Country" queryTableFieldId="11" dataDxfId="1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E0B7DE4-5F49-46A4-9C50-E7EE8CC136DC}" name="poolresults__7" displayName="poolresults__7" ref="A5:K21" tableType="queryTable" totalsRowShown="0" headerRowDxfId="15" dataDxfId="14">
  <autoFilter ref="A5:K21" xr:uid="{FE0B7DE4-5F49-46A4-9C50-E7EE8CC136DC}"/>
  <tableColumns count="11">
    <tableColumn id="1" xr3:uid="{7BB11FBE-A013-4F58-BCA9-D18DA84799B9}" uniqueName="1" name="Place" queryTableFieldId="1" dataDxfId="13"/>
    <tableColumn id="2" xr3:uid="{E3548BCC-8E72-4F85-8EE5-5C2299780ED8}" uniqueName="2" name="Name" queryTableFieldId="2" dataDxfId="12"/>
    <tableColumn id="3" xr3:uid="{2BF7877A-E4CB-496A-B321-91851B1703E5}" uniqueName="3" name="V" queryTableFieldId="3" dataDxfId="11"/>
    <tableColumn id="4" xr3:uid="{044396D0-576B-4CD4-A6E1-DABAE6334E03}" uniqueName="4" name="M" queryTableFieldId="4" dataDxfId="10"/>
    <tableColumn id="5" xr3:uid="{4EECBEF1-DBB7-46CF-A807-EDF48601389F}" uniqueName="5" name="V / M" queryTableFieldId="5" dataDxfId="9"/>
    <tableColumn id="6" xr3:uid="{DEEFE6A9-8D4A-4C88-805E-AB67D43C3008}" uniqueName="6" name="TS" queryTableFieldId="6" dataDxfId="8"/>
    <tableColumn id="7" xr3:uid="{DCB399BA-5EE5-42BF-8E3E-CC419BA49518}" uniqueName="7" name="TR" queryTableFieldId="7" dataDxfId="7"/>
    <tableColumn id="8" xr3:uid="{C2A0F93E-1EAD-4E2F-A4D9-DEC900865327}" uniqueName="8" name="Ind" queryTableFieldId="8" dataDxfId="6"/>
    <tableColumn id="9" xr3:uid="{89C15D11-8125-4766-ACEC-5ABBE4A4A01A}" uniqueName="9" name="Status" queryTableFieldId="9" dataDxfId="5"/>
    <tableColumn id="10" xr3:uid="{823D25AF-0CE0-41E8-8185-FAC6A7948332}" uniqueName="10" name="Club(s)" queryTableFieldId="10" dataDxfId="4"/>
    <tableColumn id="11" xr3:uid="{14467F4C-E43E-4128-9B1E-921F53917C69}" uniqueName="11" name="Country" queryTableFieldId="11" dataDxf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ncingtimelive.com/pools/results/89FF43D2902940BBBBDDBFB63EEDF215/54ED22BA9C50480DAFCF983180E0BAD2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fencingtimelive.com/pools/results/8FB9AF0939C346DCB4C922FB47AD29AD/DE3C39D4703B46979D1F8AD8A0660926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fencingtimelive.com/pools/results/E410C1DEA6F64998AC1C1D8B22761B81/FEC27BCC6875458F8C4CCCA3E309E3DB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fencingtimelive.com/pools/results/E410C1DEA6F64998AC1C1D8B22761B81/FDD096691A8B4E93812F9EDA282224BB" TargetMode="External"/><Relationship Id="rId1" Type="http://schemas.openxmlformats.org/officeDocument/2006/relationships/hyperlink" Target="https://www.fencingtimelive.com/pools/results/E410C1DEA6F64998AC1C1D8B22761B81/FEC27BCC6875458F8C4CCCA3E309E3DB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fencingtimelive.com/pools/results/7D3C636481D54B89A76D780516AA1534/C8040EEC80D5431D9D9F4027380B91F7" TargetMode="External"/><Relationship Id="rId1" Type="http://schemas.openxmlformats.org/officeDocument/2006/relationships/hyperlink" Target="https://www.fencingtimelive.com/pools/results/AB30CCE99E7E4482BF9221473FF2C19E/81304AEB09354516A3303AC8B47CB3C6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fencingtimelive.com/pools/results/7D3C636481D54B89A76D780516AA1534/7B0D2D1CBAEC4699A000580638C39862" TargetMode="External"/><Relationship Id="rId1" Type="http://schemas.openxmlformats.org/officeDocument/2006/relationships/hyperlink" Target="https://www.fencingtimelive.com/pools/results/AB30CCE99E7E4482BF9221473FF2C19E/81304AEB09354516A3303AC8B47CB3C6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ncingtimelive.com/pools/results/419891F1DFC14B3B8739FD07976712E7/0CE3AE06B63D4CBA97E49DAD8B206BDA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ncingtimelive.com/pools/results/419891F1DFC14B3B8739FD07976712E7/076E3FCD8DC040F1B34B156A0D60A397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fencingtimelive.com/pools/results/8BA93E9803504D5A9160AC52D2DB7810/3DD0351F9BBC41B18CAC29E63453264C" TargetMode="External"/><Relationship Id="rId1" Type="http://schemas.openxmlformats.org/officeDocument/2006/relationships/hyperlink" Target="https://www.fencingtimelive.com/pools/results/73219B8F83584E449337FBDBAC586BC1/EAA03DDD8E5444B6A68FA4863DB6604A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ncingtimelive.com/pools/results/8BA93E9803504D5A9160AC52D2DB7810/E859376BE3C8483F9EB059B729D9EAF7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ncingtimelive.com/pools/results/6AF7B17E3A9E45BAA5C4F38FA982185D/9462DF768E9447999EE6A63B054ECDF9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ncingtimelive.com/pools/results/6AF7B17E3A9E45BAA5C4F38FA982185D/AD588885CA584A83A918FD4BEDB9748F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fencingtimelive.com/pools/results/15FE8FA913B34BC49978C72937C963CE/0F2C4AA0E71A4BAF81DA25BBAF1CE039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hyperlink" Target="https://www.fencingtimelive.com/pools/results/15FE8FA913B34BC49978C72937C963CE/84C81B14195641768324043EE1FA50AE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ncingtimelive.com/pools/results/1E9CA77195244EB381F160EFC5A70097/AC6BC1B73E024F8E99EF54C0B02C849D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ncingtimelive.com/pools/results/E27295A9B21E4434B2EFB11E5736ED4A/3237EFED3D1A4D5DB5BAC0C948CC4FCC" TargetMode="Externa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ncingtimelive.com/pools/results/E27295A9B21E4434B2EFB11E5736ED4A/8E45C7D54C2A49ED8224DA21ED89A7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94"/>
  <sheetViews>
    <sheetView tabSelected="1" workbookViewId="0">
      <pane xSplit="3" ySplit="4" topLeftCell="D5" activePane="bottomRight" state="frozen"/>
      <selection pane="topRight" activeCell="E1" sqref="E1"/>
      <selection pane="bottomLeft" activeCell="A5" sqref="A5"/>
      <selection pane="bottomRight" activeCell="C5" sqref="C5"/>
    </sheetView>
  </sheetViews>
  <sheetFormatPr defaultColWidth="11.625" defaultRowHeight="12.75" customHeight="1" x14ac:dyDescent="0.2"/>
  <cols>
    <col min="1" max="1" width="4.75" bestFit="1" customWidth="1"/>
    <col min="2" max="2" width="29" bestFit="1" customWidth="1"/>
    <col min="3" max="3" width="9.75" style="4" customWidth="1"/>
    <col min="4" max="4" width="4.375" style="6" bestFit="1" customWidth="1"/>
    <col min="5" max="5" width="4.75" style="15" customWidth="1"/>
    <col min="6" max="6" width="4.75" style="16" customWidth="1"/>
    <col min="7" max="7" width="4.75" style="15" customWidth="1"/>
    <col min="8" max="8" width="4.75" style="16" customWidth="1"/>
    <col min="9" max="9" width="4.75" style="15" customWidth="1"/>
    <col min="10" max="10" width="4.75" style="16" customWidth="1"/>
    <col min="11" max="11" width="4.75" style="15" customWidth="1"/>
    <col min="12" max="12" width="4.75" style="16" customWidth="1"/>
    <col min="13" max="13" width="4.75" style="15" customWidth="1"/>
    <col min="14" max="14" width="4.75" style="16" customWidth="1"/>
    <col min="15" max="15" width="4.75" style="6" customWidth="1"/>
    <col min="16" max="16" width="4.75" style="16" customWidth="1"/>
    <col min="17" max="17" width="4.75" style="15" customWidth="1"/>
    <col min="18" max="18" width="4.75" style="16" customWidth="1"/>
    <col min="19" max="19" width="4.75" style="6" customWidth="1"/>
    <col min="20" max="20" width="4.75" style="16" customWidth="1"/>
    <col min="21" max="21" width="4.75" style="6" customWidth="1"/>
    <col min="22" max="22" width="4.75" style="12" customWidth="1"/>
    <col min="23" max="23" width="4.75" style="6" customWidth="1"/>
    <col min="24" max="24" width="4.75" style="15" customWidth="1"/>
    <col min="25" max="25" width="4.75" style="16" customWidth="1"/>
    <col min="26" max="26" width="4.75" style="15" customWidth="1"/>
    <col min="27" max="27" width="4.75" style="16" customWidth="1"/>
    <col min="28" max="28" width="4.75" style="15" customWidth="1"/>
    <col min="29" max="29" width="4.75" style="16" customWidth="1"/>
    <col min="30" max="30" width="4.75" style="15" customWidth="1"/>
    <col min="31" max="31" width="4.75" style="16" customWidth="1"/>
    <col min="32" max="32" width="4.75" style="15" customWidth="1"/>
    <col min="33" max="33" width="4.75" style="16" customWidth="1"/>
    <col min="34" max="34" width="4.75" style="6" customWidth="1"/>
    <col min="35" max="35" width="4.75" style="16" customWidth="1"/>
    <col min="36" max="36" width="4.75" style="15" customWidth="1"/>
    <col min="37" max="37" width="4.75" style="16" customWidth="1"/>
    <col min="38" max="38" width="4.75" style="6" customWidth="1"/>
    <col min="39" max="39" width="4.75" style="16" customWidth="1"/>
    <col min="40" max="40" width="4.75" style="6" customWidth="1"/>
    <col min="41" max="41" width="4.75" style="12" customWidth="1"/>
    <col min="42" max="42" width="4.75" style="6" customWidth="1"/>
    <col min="43" max="43" width="4.75" style="15" customWidth="1"/>
    <col min="44" max="44" width="4.75" style="16" customWidth="1"/>
    <col min="45" max="45" width="4.75" style="15" customWidth="1"/>
    <col min="46" max="46" width="4.75" style="16" customWidth="1"/>
    <col min="47" max="47" width="4.75" style="15" customWidth="1"/>
    <col min="48" max="48" width="4.75" style="16" customWidth="1"/>
    <col min="49" max="49" width="4.75" style="15" customWidth="1"/>
    <col min="50" max="50" width="4.75" style="16" customWidth="1"/>
    <col min="51" max="51" width="4.75" style="15" customWidth="1"/>
    <col min="52" max="52" width="4.75" style="16" customWidth="1"/>
    <col min="53" max="53" width="4.75" style="15" customWidth="1"/>
    <col min="54" max="54" width="4.75" style="16" customWidth="1"/>
    <col min="55" max="55" width="4.75" style="15" customWidth="1"/>
    <col min="56" max="56" width="4.75" style="16" customWidth="1"/>
    <col min="57" max="57" width="4.75" style="15" customWidth="1"/>
    <col min="58" max="58" width="4.75" style="16" customWidth="1"/>
    <col min="59" max="59" width="4.75" style="17" customWidth="1"/>
    <col min="60" max="60" width="3.75" customWidth="1"/>
    <col min="61" max="62" width="23.875" bestFit="1" customWidth="1"/>
  </cols>
  <sheetData>
    <row r="1" spans="1:59" ht="12.9" x14ac:dyDescent="0.2">
      <c r="E1" s="6"/>
      <c r="F1" s="6"/>
      <c r="G1" s="6"/>
      <c r="H1" s="6"/>
      <c r="I1" s="6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6"/>
    </row>
    <row r="2" spans="1:59" ht="13.95" customHeight="1" x14ac:dyDescent="0.2">
      <c r="A2" s="59" t="s">
        <v>0</v>
      </c>
      <c r="B2" s="59" t="s">
        <v>1</v>
      </c>
      <c r="C2" s="59" t="s">
        <v>2</v>
      </c>
      <c r="D2" s="61" t="s">
        <v>2</v>
      </c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3"/>
      <c r="V2" s="59" t="s">
        <v>3</v>
      </c>
      <c r="W2" s="61" t="s">
        <v>3</v>
      </c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3"/>
      <c r="AO2" s="59" t="s">
        <v>4</v>
      </c>
      <c r="AP2" s="54" t="s">
        <v>4</v>
      </c>
      <c r="AQ2" s="55"/>
      <c r="AR2" s="55"/>
      <c r="AS2" s="55"/>
      <c r="AT2" s="55"/>
      <c r="AU2" s="55"/>
      <c r="AV2" s="55"/>
      <c r="AW2" s="55"/>
      <c r="AX2" s="55"/>
      <c r="AY2" s="55"/>
      <c r="AZ2" s="55"/>
      <c r="BA2" s="55"/>
      <c r="BB2" s="55"/>
      <c r="BC2" s="55"/>
      <c r="BD2" s="55"/>
      <c r="BE2" s="55"/>
      <c r="BF2" s="55"/>
      <c r="BG2" s="56"/>
    </row>
    <row r="3" spans="1:59" ht="13.95" customHeight="1" x14ac:dyDescent="0.2">
      <c r="A3" s="60"/>
      <c r="B3" s="60"/>
      <c r="C3" s="60"/>
      <c r="D3" s="57" t="s">
        <v>5</v>
      </c>
      <c r="E3" s="58"/>
      <c r="F3" s="58" t="s">
        <v>6</v>
      </c>
      <c r="G3" s="58"/>
      <c r="H3" s="58" t="s">
        <v>7</v>
      </c>
      <c r="I3" s="58"/>
      <c r="J3" s="58" t="s">
        <v>8</v>
      </c>
      <c r="K3" s="58"/>
      <c r="L3" s="58" t="s">
        <v>9</v>
      </c>
      <c r="M3" s="58"/>
      <c r="N3" s="58" t="s">
        <v>10</v>
      </c>
      <c r="O3" s="58"/>
      <c r="P3" s="58" t="s">
        <v>11</v>
      </c>
      <c r="Q3" s="58"/>
      <c r="R3" s="58" t="s">
        <v>12</v>
      </c>
      <c r="S3" s="58"/>
      <c r="T3" s="58" t="s">
        <v>13</v>
      </c>
      <c r="U3" s="64"/>
      <c r="V3" s="60"/>
      <c r="W3" s="57" t="s">
        <v>5</v>
      </c>
      <c r="X3" s="58"/>
      <c r="Y3" s="58" t="s">
        <v>6</v>
      </c>
      <c r="Z3" s="58"/>
      <c r="AA3" s="58" t="s">
        <v>7</v>
      </c>
      <c r="AB3" s="58"/>
      <c r="AC3" s="58" t="s">
        <v>8</v>
      </c>
      <c r="AD3" s="58"/>
      <c r="AE3" s="58" t="s">
        <v>9</v>
      </c>
      <c r="AF3" s="58"/>
      <c r="AG3" s="58" t="s">
        <v>10</v>
      </c>
      <c r="AH3" s="58"/>
      <c r="AI3" s="58" t="s">
        <v>11</v>
      </c>
      <c r="AJ3" s="58"/>
      <c r="AK3" s="58" t="s">
        <v>12</v>
      </c>
      <c r="AL3" s="58"/>
      <c r="AM3" s="58" t="s">
        <v>13</v>
      </c>
      <c r="AN3" s="64"/>
      <c r="AO3" s="60"/>
      <c r="AP3" s="57" t="s">
        <v>5</v>
      </c>
      <c r="AQ3" s="58"/>
      <c r="AR3" s="58" t="s">
        <v>6</v>
      </c>
      <c r="AS3" s="58"/>
      <c r="AT3" s="58" t="s">
        <v>7</v>
      </c>
      <c r="AU3" s="58"/>
      <c r="AV3" s="58" t="s">
        <v>8</v>
      </c>
      <c r="AW3" s="58"/>
      <c r="AX3" s="58" t="s">
        <v>9</v>
      </c>
      <c r="AY3" s="58"/>
      <c r="AZ3" s="58" t="s">
        <v>10</v>
      </c>
      <c r="BA3" s="58"/>
      <c r="BB3" s="58" t="s">
        <v>11</v>
      </c>
      <c r="BC3" s="58"/>
      <c r="BD3" s="58" t="s">
        <v>12</v>
      </c>
      <c r="BE3" s="58"/>
      <c r="BF3" s="52" t="s">
        <v>13</v>
      </c>
      <c r="BG3" s="53"/>
    </row>
    <row r="4" spans="1:59" ht="13.95" customHeight="1" x14ac:dyDescent="0.2">
      <c r="A4" s="65"/>
      <c r="B4" s="65"/>
      <c r="C4" s="60"/>
      <c r="D4" s="19">
        <v>1</v>
      </c>
      <c r="E4" s="20">
        <v>2</v>
      </c>
      <c r="F4" s="21">
        <v>1</v>
      </c>
      <c r="G4" s="20">
        <v>2</v>
      </c>
      <c r="H4" s="21">
        <v>1</v>
      </c>
      <c r="I4" s="20">
        <v>2</v>
      </c>
      <c r="J4" s="21">
        <v>1</v>
      </c>
      <c r="K4" s="20">
        <v>2</v>
      </c>
      <c r="L4" s="21">
        <v>1</v>
      </c>
      <c r="M4" s="20">
        <v>2</v>
      </c>
      <c r="N4" s="21">
        <v>1</v>
      </c>
      <c r="O4" s="20">
        <v>2</v>
      </c>
      <c r="P4" s="21">
        <v>1</v>
      </c>
      <c r="Q4" s="20">
        <v>2</v>
      </c>
      <c r="R4" s="21">
        <v>1</v>
      </c>
      <c r="S4" s="20">
        <v>2</v>
      </c>
      <c r="T4" s="21">
        <v>1</v>
      </c>
      <c r="U4" s="20">
        <v>2</v>
      </c>
      <c r="V4" s="60"/>
      <c r="W4" s="19">
        <v>1</v>
      </c>
      <c r="X4" s="20">
        <v>2</v>
      </c>
      <c r="Y4" s="21">
        <v>1</v>
      </c>
      <c r="Z4" s="20">
        <v>2</v>
      </c>
      <c r="AA4" s="21">
        <v>1</v>
      </c>
      <c r="AB4" s="20">
        <v>2</v>
      </c>
      <c r="AC4" s="21">
        <v>1</v>
      </c>
      <c r="AD4" s="20">
        <v>2</v>
      </c>
      <c r="AE4" s="21">
        <v>1</v>
      </c>
      <c r="AF4" s="20">
        <v>2</v>
      </c>
      <c r="AG4" s="21">
        <v>1</v>
      </c>
      <c r="AH4" s="20">
        <v>2</v>
      </c>
      <c r="AI4" s="21">
        <v>1</v>
      </c>
      <c r="AJ4" s="20">
        <v>2</v>
      </c>
      <c r="AK4" s="21">
        <v>1</v>
      </c>
      <c r="AL4" s="20">
        <v>2</v>
      </c>
      <c r="AM4" s="21">
        <v>1</v>
      </c>
      <c r="AN4" s="20">
        <v>2</v>
      </c>
      <c r="AO4" s="60"/>
      <c r="AP4" s="19">
        <v>1</v>
      </c>
      <c r="AQ4" s="20">
        <v>2</v>
      </c>
      <c r="AR4" s="21">
        <v>1</v>
      </c>
      <c r="AS4" s="20">
        <v>2</v>
      </c>
      <c r="AT4" s="21">
        <v>1</v>
      </c>
      <c r="AU4" s="20">
        <v>2</v>
      </c>
      <c r="AV4" s="21">
        <v>1</v>
      </c>
      <c r="AW4" s="20">
        <v>2</v>
      </c>
      <c r="AX4" s="21">
        <v>1</v>
      </c>
      <c r="AY4" s="20">
        <v>2</v>
      </c>
      <c r="AZ4" s="21">
        <v>1</v>
      </c>
      <c r="BA4" s="20">
        <v>2</v>
      </c>
      <c r="BB4" s="21">
        <v>1</v>
      </c>
      <c r="BC4" s="20">
        <v>2</v>
      </c>
      <c r="BD4" s="21">
        <v>1</v>
      </c>
      <c r="BE4" s="20">
        <v>2</v>
      </c>
      <c r="BF4" s="21">
        <v>1</v>
      </c>
      <c r="BG4" s="22">
        <v>2</v>
      </c>
    </row>
    <row r="5" spans="1:59" ht="14.3" x14ac:dyDescent="0.25">
      <c r="A5" s="1">
        <f>ROW()-4</f>
        <v>1</v>
      </c>
      <c r="B5" s="5" t="s">
        <v>14</v>
      </c>
      <c r="C5" s="30">
        <f>SUM(D5:U5)</f>
        <v>9.4499999999999993</v>
      </c>
      <c r="D5" s="35">
        <f>_xlfn.XLOOKUP($B5,'MP (1)'!$B$6:$B$99,'MP (1)'!$E$6:$E$99,"")</f>
        <v>1</v>
      </c>
      <c r="E5" s="36">
        <f>_xlfn.XLOOKUP($B5,'MP (2)'!$B$6:$B$100,'MP (2)'!$E$6:$E$100,"")</f>
        <v>1</v>
      </c>
      <c r="F5" s="37">
        <f>_xlfn.XLOOKUP($B5,'GP1 (1)'!$B$6:$B$100,'GP1 (1)'!$E$6:$E$100,"")</f>
        <v>1</v>
      </c>
      <c r="G5" s="38">
        <f>_xlfn.XLOOKUP($B5,'GP1 (2)'!$B$6:$B$100,'GP1 (2)'!$E$6:$E$100,"")</f>
        <v>0.8</v>
      </c>
      <c r="H5" s="39">
        <f>_xlfn.XLOOKUP($B5,'GP2 (1)'!$B$6:$B$101,'GP2 (1)'!$E$6:$E$101,"")</f>
        <v>0.8</v>
      </c>
      <c r="I5" s="36">
        <f>_xlfn.XLOOKUP($B5,'GP2 (2)'!$B$6:$B$100,'GP2 (2)'!$E$6:$E$100,"")</f>
        <v>0.6</v>
      </c>
      <c r="J5" s="40" t="str">
        <f>_xlfn.XLOOKUP($B5,'GP3 (1)'!$B$6:$B$100,'GP3 (1)'!$E$6:$E$100,"")</f>
        <v/>
      </c>
      <c r="K5" s="41" t="str">
        <f>_xlfn.XLOOKUP($B5,'GP3 (2)'!$B$6:$B$100,'GP3 (2)'!$E$6:$E$100,"")</f>
        <v/>
      </c>
      <c r="L5" s="39">
        <f>_xlfn.XLOOKUP($B5,'GP4 (1)'!$B$6:$B$66,'GP4 (1)'!$E$6:$E$66,"")</f>
        <v>0.8</v>
      </c>
      <c r="M5" s="36">
        <f>_xlfn.XLOOKUP($B5,'GP4 (2)'!$B$6:$B$100,'GP4 (2)'!$E$6:$E$100,"")</f>
        <v>0.8</v>
      </c>
      <c r="N5" s="40">
        <f>_xlfn.XLOOKUP($B5,'GP5 (1)'!$B$6:$B$99,'GP5 (1)'!$E$6:$E$99,"")</f>
        <v>0.4</v>
      </c>
      <c r="O5" s="42">
        <f>_xlfn.XLOOKUP($B5,'GP5 (2)'!$B$6:$B$99,'GP5 (2)'!$E$6:$E$99,"")</f>
        <v>0.75</v>
      </c>
      <c r="P5" s="39" t="str">
        <f>_xlfn.XLOOKUP($B5,'GP6 (1)'!$B$5:$B$99,'GP6 (1)'!$E$5:$E$99,"")</f>
        <v/>
      </c>
      <c r="Q5" s="36" t="str">
        <f>_xlfn.XLOOKUP($B5,'GP6 (2)'!$B$5:$B$99,'GP6 (2)'!$E$5:$E$99,"")</f>
        <v/>
      </c>
      <c r="R5" s="40" t="str">
        <f>_xlfn.XLOOKUP($B5,'GP7 (1)'!$B$6:$B$100,'GP7 (1)'!$E$6:$E$100,"")</f>
        <v>0.80</v>
      </c>
      <c r="S5" s="42">
        <f>_xlfn.XLOOKUP($B5,'GP7 (2)'!$B$6:$B$100,'GP7 (2)'!$E$6:$E$100,"")</f>
        <v>0.75</v>
      </c>
      <c r="T5" s="39" t="str">
        <f>_xlfn.XLOOKUP($B5,'GP8 (1)'!$B$6:$B$100,'GP8 (1)'!$E$6:$E$100,"")</f>
        <v>0.80</v>
      </c>
      <c r="U5" s="35">
        <f>_xlfn.XLOOKUP($B5,'GP8 (2)'!$B$6:$B$100,'GP8 (2)'!$E$6:$E$100,"")</f>
        <v>0.75</v>
      </c>
      <c r="V5" s="13">
        <f>SUM(W5:AN5)</f>
        <v>311</v>
      </c>
      <c r="W5" s="29">
        <f>_xlfn.XLOOKUP($B5,'MP (1)'!$B$6:$B$99,'MP (1)'!$F$6:$F$99,"")</f>
        <v>28</v>
      </c>
      <c r="X5" s="28">
        <f>_xlfn.XLOOKUP($B5,'MP (2)'!$B$6:$B$100,'MP (2)'!$F$6:$F$100,"")</f>
        <v>30</v>
      </c>
      <c r="Y5" s="24">
        <f>_xlfn.XLOOKUP($B5,'GP1 (1)'!$B$6:$B$100,'GP1 (1)'!$F$6:$F$100,"")</f>
        <v>30</v>
      </c>
      <c r="Z5" s="25">
        <f>_xlfn.XLOOKUP($B5,'GP1 (2)'!$B$6:$B$100,'GP1 (2)'!$F$6:$F$100,"")</f>
        <v>21</v>
      </c>
      <c r="AA5" s="27">
        <f>_xlfn.XLOOKUP($B5,'GP2 (1)'!$B$6:$B$101,'GP2 (1)'!$F$6:$F$101,"")</f>
        <v>22</v>
      </c>
      <c r="AB5" s="28">
        <f>_xlfn.XLOOKUP($B5,'GP2 (2)'!$B$6:$B$100,'GP2 (2)'!$F$6:$F$100,"")</f>
        <v>20</v>
      </c>
      <c r="AC5" s="24" t="str">
        <f>_xlfn.XLOOKUP($B5,'GP3 (1)'!$B$6:$B$100,'GP3 (1)'!$F$6:$F$100,"")</f>
        <v/>
      </c>
      <c r="AD5" s="25" t="str">
        <f>_xlfn.XLOOKUP($B5,'GP3 (2)'!$B$6:$B$100,'GP3 (2)'!$F$6:$F$100,"")</f>
        <v/>
      </c>
      <c r="AE5" s="27">
        <f>_xlfn.XLOOKUP($B5,'GP4 (1)'!$B$6:$B$66,'GP4 (1)'!$F$6:$F$66,"")</f>
        <v>23</v>
      </c>
      <c r="AF5" s="28">
        <f>_xlfn.XLOOKUP($B5,'GP4 (2)'!$B$6:$B$100,'GP4 (2)'!$F$6:$F$100,"")</f>
        <v>23</v>
      </c>
      <c r="AG5" s="24">
        <f>_xlfn.XLOOKUP($B5,'GP5 (1)'!$B$6:$B$99,'GP5 (1)'!$F$6:$F$99,"")</f>
        <v>18</v>
      </c>
      <c r="AH5" s="26">
        <f>_xlfn.XLOOKUP($B5,'GP5 (2)'!$B$6:$B$99,'GP5 (2)'!$F$6:$F$99,"")</f>
        <v>16</v>
      </c>
      <c r="AI5" s="27" t="str">
        <f>_xlfn.XLOOKUP($B5,'GP6 (1)'!$B$5:$B$99,'GP6 (1)'!$F$5:$F$99,"")</f>
        <v/>
      </c>
      <c r="AJ5" s="28" t="str">
        <f>_xlfn.XLOOKUP($B5,'GP6 (2)'!$B$5:$B$99,'GP6 (2)'!$F$5:$F$99,"")</f>
        <v/>
      </c>
      <c r="AK5" s="24">
        <f>_xlfn.XLOOKUP($B5,'GP7 (1)'!$B$6:$B$100,'GP7 (1)'!$F$6:$F$100,"")</f>
        <v>22</v>
      </c>
      <c r="AL5" s="26">
        <f>_xlfn.XLOOKUP($B5,'GP7 (2)'!$B$6:$B$100,'GP7 (2)'!$F$6:$F$100,"")</f>
        <v>18</v>
      </c>
      <c r="AM5" s="27">
        <f>_xlfn.XLOOKUP($B5,'GP8 (1)'!$B$6:$B$100,'GP8 (1)'!$F$6:$F$100,"")</f>
        <v>24</v>
      </c>
      <c r="AN5" s="29">
        <f>_xlfn.XLOOKUP($B5,'GP8 (2)'!$B$6:$B$100,'GP8 (2)'!$F$6:$F$100,"")</f>
        <v>16</v>
      </c>
      <c r="AO5" s="13">
        <f>SUM(AP5:BG5)</f>
        <v>165</v>
      </c>
      <c r="AP5" s="29">
        <f>_xlfn.XLOOKUP($B5,'MP (1)'!$B$6:$B$99,'MP (1)'!$H$6:$H$99,"")</f>
        <v>21</v>
      </c>
      <c r="AQ5" s="28">
        <f>_xlfn.XLOOKUP($B5,'MP (2)'!$B$6:$B$100,'MP (2)'!$H$6:$H$100,"")</f>
        <v>23</v>
      </c>
      <c r="AR5" s="24">
        <f>_xlfn.XLOOKUP($B5,'GP1 (1)'!$B$6:$B$100,'GP1 (1)'!$H$6:$H$100,"")</f>
        <v>25</v>
      </c>
      <c r="AS5" s="25">
        <f>_xlfn.XLOOKUP($B5,'GP1 (2)'!$B$6:$B$100,'GP1 (2)'!$H$6:$H$100,"")</f>
        <v>10</v>
      </c>
      <c r="AT5" s="27">
        <f>_xlfn.XLOOKUP($B5,'GP2 (1)'!$B$6:$B$101,'GP2 (1)'!$H$6:$H$101,"")</f>
        <v>13</v>
      </c>
      <c r="AU5" s="28">
        <f>_xlfn.XLOOKUP($B5,'GP2 (2)'!$B$6:$B$100,'GP2 (2)'!$H$6:$H$100,"")</f>
        <v>4</v>
      </c>
      <c r="AV5" s="24" t="str">
        <f>_xlfn.XLOOKUP($B5,'GP3 (1)'!$B$6:$B$100,'GP3 (1)'!$H$6:$H$100,"")</f>
        <v/>
      </c>
      <c r="AW5" s="25" t="str">
        <f>_xlfn.XLOOKUP($B5,'GP3 (2)'!$B$6:$B$100,'GP3 (2)'!$H$6:$H$100,"")</f>
        <v/>
      </c>
      <c r="AX5" s="27">
        <f>_xlfn.XLOOKUP($B5,'GP4 (1)'!$B$6:$B$66,'GP4 (1)'!$H$6:$H$66,"")</f>
        <v>17</v>
      </c>
      <c r="AY5" s="28">
        <f>_xlfn.XLOOKUP($B5,'GP4 (2)'!$B$6:$B$100,'GP4 (2)'!$H$6:$H$100,"")</f>
        <v>14</v>
      </c>
      <c r="AZ5" s="24">
        <f>_xlfn.XLOOKUP($B5,'GP5 (1)'!$B$6:$B$99,'GP5 (1)'!$H$6:$H$99,"")</f>
        <v>1</v>
      </c>
      <c r="BA5" s="25">
        <f>_xlfn.XLOOKUP($B5,'GP5 (2)'!$B$6:$B$99,'GP5 (2)'!$H$6:$H$99,"")</f>
        <v>3</v>
      </c>
      <c r="BB5" s="27" t="str">
        <f>_xlfn.XLOOKUP($B5,'GP6 (1)'!$B$5:$B$99,'GP6 (1)'!$H$5:$H$99,"")</f>
        <v/>
      </c>
      <c r="BC5" s="28" t="str">
        <f>_xlfn.XLOOKUP($B5,'GP6 (2)'!$B$5:$B$99,'GP6 (2)'!$H$5:$H$99,"")</f>
        <v/>
      </c>
      <c r="BD5" s="24">
        <f>_xlfn.XLOOKUP($B5,'GP7 (1)'!$B$6:$B$100,'GP7 (1)'!$H$6:$H$100,"")</f>
        <v>5</v>
      </c>
      <c r="BE5" s="25">
        <f>_xlfn.XLOOKUP($B5,'GP7 (2)'!$B$6:$B$100,'GP7 (2)'!$H$6:$H$100,"")</f>
        <v>7</v>
      </c>
      <c r="BF5" s="27">
        <f>_xlfn.XLOOKUP($B5,'GP8 (1)'!$B$6:$B$100,'GP8 (1)'!$H$6:$H$100,"")</f>
        <v>15</v>
      </c>
      <c r="BG5" s="32">
        <f>_xlfn.XLOOKUP($B5,'GP8 (2)'!$B$6:$B$100,'GP8 (2)'!$H$6:$H$100,"")</f>
        <v>7</v>
      </c>
    </row>
    <row r="6" spans="1:59" ht="14.3" x14ac:dyDescent="0.25">
      <c r="A6" s="1">
        <f>ROW()-4</f>
        <v>2</v>
      </c>
      <c r="B6" s="5" t="s">
        <v>15</v>
      </c>
      <c r="C6" s="30">
        <f>SUM(D6:U6)</f>
        <v>9.4</v>
      </c>
      <c r="D6" s="35">
        <f>_xlfn.XLOOKUP($B6,'MP (1)'!$B$6:$B$99,'MP (1)'!$E$6:$E$99,"")</f>
        <v>0.6</v>
      </c>
      <c r="E6" s="36">
        <f>_xlfn.XLOOKUP($B6,'MP (2)'!$B$6:$B$100,'MP (2)'!$E$6:$E$100,"")</f>
        <v>0.8</v>
      </c>
      <c r="F6" s="40" t="str">
        <f>_xlfn.XLOOKUP($B6,'GP1 (1)'!$B$6:$B$100,'GP1 (1)'!$E$6:$E$100,"")</f>
        <v/>
      </c>
      <c r="G6" s="41" t="str">
        <f>_xlfn.XLOOKUP($B6,'GP1 (2)'!$B$6:$B$100,'GP1 (2)'!$E$6:$E$100,"")</f>
        <v/>
      </c>
      <c r="H6" s="39">
        <f>_xlfn.XLOOKUP($B6,'GP2 (1)'!$B$6:$B$101,'GP2 (1)'!$E$6:$E$101,"")</f>
        <v>1</v>
      </c>
      <c r="I6" s="36">
        <f>_xlfn.XLOOKUP($B6,'GP2 (2)'!$B$6:$B$100,'GP2 (2)'!$E$6:$E$100,"")</f>
        <v>0.8</v>
      </c>
      <c r="J6" s="40">
        <f>_xlfn.XLOOKUP($B6,'GP3 (1)'!$B$6:$B$100,'GP3 (1)'!$E$6:$E$100,"")</f>
        <v>0.6</v>
      </c>
      <c r="K6" s="41" t="str">
        <f>_xlfn.XLOOKUP($B6,'GP3 (2)'!$B$6:$B$100,'GP3 (2)'!$E$6:$E$100,"")</f>
        <v>1.00</v>
      </c>
      <c r="L6" s="39">
        <f>_xlfn.XLOOKUP($B6,'GP4 (1)'!$B$6:$B$66,'GP4 (1)'!$E$6:$E$66,"")</f>
        <v>1</v>
      </c>
      <c r="M6" s="36">
        <f>_xlfn.XLOOKUP($B6,'GP4 (2)'!$B$6:$B$100,'GP4 (2)'!$E$6:$E$100,"")</f>
        <v>1</v>
      </c>
      <c r="N6" s="40">
        <f>_xlfn.XLOOKUP($B6,'GP5 (1)'!$B$6:$B$99,'GP5 (1)'!$E$6:$E$99,"")</f>
        <v>1</v>
      </c>
      <c r="O6" s="42">
        <f>_xlfn.XLOOKUP($B6,'GP5 (2)'!$B$6:$B$99,'GP5 (2)'!$E$6:$E$99,"")</f>
        <v>0.6</v>
      </c>
      <c r="P6" s="39" t="str">
        <f>_xlfn.XLOOKUP($B6,'GP6 (1)'!$B$5:$B$99,'GP6 (1)'!$E$5:$E$99,"")</f>
        <v>0.75</v>
      </c>
      <c r="Q6" s="36" t="str">
        <f>_xlfn.XLOOKUP($B6,'GP6 (2)'!$B$5:$B$99,'GP6 (2)'!$E$5:$E$99,"")</f>
        <v>0.75</v>
      </c>
      <c r="R6" s="40" t="str">
        <f>_xlfn.XLOOKUP($B6,'GP7 (1)'!$B$6:$B$100,'GP7 (1)'!$E$6:$E$100,"")</f>
        <v>0.60</v>
      </c>
      <c r="S6" s="42">
        <f>_xlfn.XLOOKUP($B6,'GP7 (2)'!$B$6:$B$100,'GP7 (2)'!$E$6:$E$100,"")</f>
        <v>1</v>
      </c>
      <c r="T6" s="39" t="str">
        <f>_xlfn.XLOOKUP($B6,'GP8 (1)'!$B$6:$B$100,'GP8 (1)'!$E$6:$E$100,"")</f>
        <v>0.75</v>
      </c>
      <c r="U6" s="35">
        <f>_xlfn.XLOOKUP($B6,'GP8 (2)'!$B$6:$B$100,'GP8 (2)'!$E$6:$E$100,"")</f>
        <v>1</v>
      </c>
      <c r="V6" s="13">
        <f>SUM(W6:AN6)</f>
        <v>360</v>
      </c>
      <c r="W6" s="29">
        <f>_xlfn.XLOOKUP($B6,'MP (1)'!$B$6:$B$99,'MP (1)'!$F$6:$F$99,"")</f>
        <v>23</v>
      </c>
      <c r="X6" s="28">
        <f>_xlfn.XLOOKUP($B6,'MP (2)'!$B$6:$B$100,'MP (2)'!$F$6:$F$100,"")</f>
        <v>24</v>
      </c>
      <c r="Y6" s="24" t="str">
        <f>_xlfn.XLOOKUP($B6,'GP1 (1)'!$B$6:$B$100,'GP1 (1)'!$F$6:$F$100,"")</f>
        <v/>
      </c>
      <c r="Z6" s="25" t="str">
        <f>_xlfn.XLOOKUP($B6,'GP1 (2)'!$B$6:$B$100,'GP1 (2)'!$F$6:$F$100,"")</f>
        <v/>
      </c>
      <c r="AA6" s="27">
        <f>_xlfn.XLOOKUP($B6,'GP2 (1)'!$B$6:$B$101,'GP2 (1)'!$F$6:$F$101,"")</f>
        <v>25</v>
      </c>
      <c r="AB6" s="28">
        <f>_xlfn.XLOOKUP($B6,'GP2 (2)'!$B$6:$B$100,'GP2 (2)'!$F$6:$F$100,"")</f>
        <v>24</v>
      </c>
      <c r="AC6" s="24">
        <f>_xlfn.XLOOKUP($B6,'GP3 (1)'!$B$6:$B$100,'GP3 (1)'!$F$6:$F$100,"")</f>
        <v>19</v>
      </c>
      <c r="AD6" s="25">
        <f>_xlfn.XLOOKUP($B6,'GP3 (2)'!$B$6:$B$100,'GP3 (2)'!$F$6:$F$100,"")</f>
        <v>30</v>
      </c>
      <c r="AE6" s="27">
        <f>_xlfn.XLOOKUP($B6,'GP4 (1)'!$B$6:$B$66,'GP4 (1)'!$F$6:$F$66,"")</f>
        <v>25</v>
      </c>
      <c r="AF6" s="28">
        <f>_xlfn.XLOOKUP($B6,'GP4 (2)'!$B$6:$B$100,'GP4 (2)'!$F$6:$F$100,"")</f>
        <v>25</v>
      </c>
      <c r="AG6" s="24">
        <f>_xlfn.XLOOKUP($B6,'GP5 (1)'!$B$6:$B$99,'GP5 (1)'!$F$6:$F$99,"")</f>
        <v>25</v>
      </c>
      <c r="AH6" s="26">
        <f>_xlfn.XLOOKUP($B6,'GP5 (2)'!$B$6:$B$99,'GP5 (2)'!$F$6:$F$99,"")</f>
        <v>19</v>
      </c>
      <c r="AI6" s="27">
        <f>_xlfn.XLOOKUP($B6,'GP6 (1)'!$B$5:$B$99,'GP6 (1)'!$F$5:$F$99,"")</f>
        <v>19</v>
      </c>
      <c r="AJ6" s="28">
        <f>_xlfn.XLOOKUP($B6,'GP6 (2)'!$B$5:$B$99,'GP6 (2)'!$F$5:$F$99,"")</f>
        <v>16</v>
      </c>
      <c r="AK6" s="24">
        <f>_xlfn.XLOOKUP($B6,'GP7 (1)'!$B$6:$B$100,'GP7 (1)'!$F$6:$F$100,"")</f>
        <v>20</v>
      </c>
      <c r="AL6" s="26">
        <f>_xlfn.XLOOKUP($B6,'GP7 (2)'!$B$6:$B$100,'GP7 (2)'!$F$6:$F$100,"")</f>
        <v>25</v>
      </c>
      <c r="AM6" s="27">
        <f>_xlfn.XLOOKUP($B6,'GP8 (1)'!$B$6:$B$100,'GP8 (1)'!$F$6:$F$100,"")</f>
        <v>16</v>
      </c>
      <c r="AN6" s="29">
        <f>_xlfn.XLOOKUP($B6,'GP8 (2)'!$B$6:$B$100,'GP8 (2)'!$F$6:$F$100,"")</f>
        <v>25</v>
      </c>
      <c r="AO6" s="13">
        <f>SUM(AP6:BG6)</f>
        <v>191</v>
      </c>
      <c r="AP6" s="29">
        <f>_xlfn.XLOOKUP($B6,'MP (1)'!$B$6:$B$99,'MP (1)'!$H$6:$H$99,"")</f>
        <v>7</v>
      </c>
      <c r="AQ6" s="28">
        <f>_xlfn.XLOOKUP($B6,'MP (2)'!$B$6:$B$100,'MP (2)'!$H$6:$H$100,"")</f>
        <v>15</v>
      </c>
      <c r="AR6" s="24" t="str">
        <f>_xlfn.XLOOKUP($B6,'GP1 (1)'!$B$6:$B$100,'GP1 (1)'!$H$6:$H$100,"")</f>
        <v/>
      </c>
      <c r="AS6" s="25" t="str">
        <f>_xlfn.XLOOKUP($B6,'GP1 (2)'!$B$6:$B$100,'GP1 (2)'!$H$6:$H$100,"")</f>
        <v/>
      </c>
      <c r="AT6" s="27">
        <f>_xlfn.XLOOKUP($B6,'GP2 (1)'!$B$6:$B$101,'GP2 (1)'!$H$6:$H$101,"")</f>
        <v>18</v>
      </c>
      <c r="AU6" s="28">
        <f>_xlfn.XLOOKUP($B6,'GP2 (2)'!$B$6:$B$100,'GP2 (2)'!$H$6:$H$100,"")</f>
        <v>15</v>
      </c>
      <c r="AV6" s="24">
        <f>_xlfn.XLOOKUP($B6,'GP3 (1)'!$B$6:$B$100,'GP3 (1)'!$H$6:$H$100,"")</f>
        <v>8</v>
      </c>
      <c r="AW6" s="25">
        <f>_xlfn.XLOOKUP($B6,'GP3 (2)'!$B$6:$B$100,'GP3 (2)'!$H$6:$H$100,"")</f>
        <v>18</v>
      </c>
      <c r="AX6" s="27">
        <f>_xlfn.XLOOKUP($B6,'GP4 (1)'!$B$6:$B$66,'GP4 (1)'!$H$6:$H$66,"")</f>
        <v>14</v>
      </c>
      <c r="AY6" s="28">
        <f>_xlfn.XLOOKUP($B6,'GP4 (2)'!$B$6:$B$100,'GP4 (2)'!$H$6:$H$100,"")</f>
        <v>17</v>
      </c>
      <c r="AZ6" s="24">
        <f>_xlfn.XLOOKUP($B6,'GP5 (1)'!$B$6:$B$99,'GP5 (1)'!$H$6:$H$99,"")</f>
        <v>12</v>
      </c>
      <c r="BA6" s="25">
        <f>_xlfn.XLOOKUP($B6,'GP5 (2)'!$B$6:$B$99,'GP5 (2)'!$H$6:$H$99,"")</f>
        <v>6</v>
      </c>
      <c r="BB6" s="27">
        <f>_xlfn.XLOOKUP($B6,'GP6 (1)'!$B$5:$B$99,'GP6 (1)'!$H$5:$H$99,"")</f>
        <v>10</v>
      </c>
      <c r="BC6" s="28">
        <f>_xlfn.XLOOKUP($B6,'GP6 (2)'!$B$5:$B$99,'GP6 (2)'!$H$5:$H$99,"")</f>
        <v>8</v>
      </c>
      <c r="BD6" s="24">
        <f>_xlfn.XLOOKUP($B6,'GP7 (1)'!$B$6:$B$100,'GP7 (1)'!$H$6:$H$100,"")</f>
        <v>4</v>
      </c>
      <c r="BE6" s="25">
        <f>_xlfn.XLOOKUP($B6,'GP7 (2)'!$B$6:$B$100,'GP7 (2)'!$H$6:$H$100,"")</f>
        <v>16</v>
      </c>
      <c r="BF6" s="27">
        <f>_xlfn.XLOOKUP($B6,'GP8 (1)'!$B$6:$B$100,'GP8 (1)'!$H$6:$H$100,"")</f>
        <v>7</v>
      </c>
      <c r="BG6" s="32">
        <f>_xlfn.XLOOKUP($B6,'GP8 (2)'!$B$6:$B$100,'GP8 (2)'!$H$6:$H$100,"")</f>
        <v>16</v>
      </c>
    </row>
    <row r="7" spans="1:59" ht="14.3" x14ac:dyDescent="0.25">
      <c r="A7" s="1">
        <f>ROW()-4</f>
        <v>3</v>
      </c>
      <c r="B7" s="5" t="s">
        <v>16</v>
      </c>
      <c r="C7" s="30">
        <f>SUM(D7:U7)</f>
        <v>8.1</v>
      </c>
      <c r="D7" s="35">
        <f>_xlfn.XLOOKUP($B7,'MP (1)'!$B$6:$B$99,'MP (1)'!$E$6:$E$99,"")</f>
        <v>1</v>
      </c>
      <c r="E7" s="36">
        <f>_xlfn.XLOOKUP($B7,'MP (2)'!$B$6:$B$100,'MP (2)'!$E$6:$E$100,"")</f>
        <v>1</v>
      </c>
      <c r="F7" s="40">
        <f>_xlfn.XLOOKUP($B7,'GP1 (1)'!$B$6:$B$100,'GP1 (1)'!$E$6:$E$100,"")</f>
        <v>1</v>
      </c>
      <c r="G7" s="41">
        <f>_xlfn.XLOOKUP($B7,'GP1 (2)'!$B$6:$B$100,'GP1 (2)'!$E$6:$E$100,"")</f>
        <v>0.8</v>
      </c>
      <c r="H7" s="39">
        <f>_xlfn.XLOOKUP($B7,'GP2 (1)'!$B$6:$B$101,'GP2 (1)'!$E$6:$E$101,"")</f>
        <v>1</v>
      </c>
      <c r="I7" s="36">
        <f>_xlfn.XLOOKUP($B7,'GP2 (2)'!$B$6:$B$100,'GP2 (2)'!$E$6:$E$100,"")</f>
        <v>0.8</v>
      </c>
      <c r="J7" s="40">
        <f>_xlfn.XLOOKUP($B7,'GP3 (1)'!$B$6:$B$100,'GP3 (1)'!$E$6:$E$100,"")</f>
        <v>0.83</v>
      </c>
      <c r="K7" s="41" t="str">
        <f>_xlfn.XLOOKUP($B7,'GP3 (2)'!$B$6:$B$100,'GP3 (2)'!$E$6:$E$100,"")</f>
        <v>0.80</v>
      </c>
      <c r="L7" s="39">
        <f>_xlfn.XLOOKUP($B7,'GP4 (1)'!$B$6:$B$66,'GP4 (1)'!$E$6:$E$66,"")</f>
        <v>1</v>
      </c>
      <c r="M7" s="36">
        <f>_xlfn.XLOOKUP($B7,'GP4 (2)'!$B$6:$B$100,'GP4 (2)'!$E$6:$E$100,"")</f>
        <v>0.67</v>
      </c>
      <c r="N7" s="40" t="str">
        <f>_xlfn.XLOOKUP($B7,'GP5 (1)'!$B$6:$B$99,'GP5 (1)'!$E$6:$E$99,"")</f>
        <v/>
      </c>
      <c r="O7" s="42" t="str">
        <f>_xlfn.XLOOKUP($B7,'GP5 (2)'!$B$6:$B$99,'GP5 (2)'!$E$6:$E$99,"")</f>
        <v/>
      </c>
      <c r="P7" s="39" t="str">
        <f>_xlfn.XLOOKUP($B7,'GP6 (1)'!$B$5:$B$99,'GP6 (1)'!$E$5:$E$99,"")</f>
        <v>0.80</v>
      </c>
      <c r="Q7" s="36" t="str">
        <f>_xlfn.XLOOKUP($B7,'GP6 (2)'!$B$5:$B$99,'GP6 (2)'!$E$5:$E$99,"")</f>
        <v>1.00</v>
      </c>
      <c r="R7" s="40" t="str">
        <f>_xlfn.XLOOKUP($B7,'GP7 (1)'!$B$6:$B$100,'GP7 (1)'!$E$6:$E$100,"")</f>
        <v/>
      </c>
      <c r="S7" s="42" t="str">
        <f>_xlfn.XLOOKUP($B7,'GP7 (2)'!$B$6:$B$100,'GP7 (2)'!$E$6:$E$100,"")</f>
        <v/>
      </c>
      <c r="T7" s="39" t="str">
        <f>_xlfn.XLOOKUP($B7,'GP8 (1)'!$B$6:$B$100,'GP8 (1)'!$E$6:$E$100,"")</f>
        <v/>
      </c>
      <c r="U7" s="35" t="str">
        <f>_xlfn.XLOOKUP($B7,'GP8 (2)'!$B$6:$B$100,'GP8 (2)'!$E$6:$E$100,"")</f>
        <v/>
      </c>
      <c r="V7" s="13">
        <f>SUM(W7:AN7)</f>
        <v>302</v>
      </c>
      <c r="W7" s="29">
        <f>_xlfn.XLOOKUP($B7,'MP (1)'!$B$6:$B$99,'MP (1)'!$F$6:$F$99,"")</f>
        <v>29</v>
      </c>
      <c r="X7" s="28">
        <f>_xlfn.XLOOKUP($B7,'MP (2)'!$B$6:$B$100,'MP (2)'!$F$6:$F$100,"")</f>
        <v>30</v>
      </c>
      <c r="Y7" s="24">
        <f>_xlfn.XLOOKUP($B7,'GP1 (1)'!$B$6:$B$100,'GP1 (1)'!$F$6:$F$100,"")</f>
        <v>24</v>
      </c>
      <c r="Z7" s="25">
        <f>_xlfn.XLOOKUP($B7,'GP1 (2)'!$B$6:$B$100,'GP1 (2)'!$F$6:$F$100,"")</f>
        <v>21</v>
      </c>
      <c r="AA7" s="27">
        <f>_xlfn.XLOOKUP($B7,'GP2 (1)'!$B$6:$B$101,'GP2 (1)'!$F$6:$F$101,"")</f>
        <v>25</v>
      </c>
      <c r="AB7" s="28">
        <f>_xlfn.XLOOKUP($B7,'GP2 (2)'!$B$6:$B$100,'GP2 (2)'!$F$6:$F$100,"")</f>
        <v>23</v>
      </c>
      <c r="AC7" s="24">
        <f>_xlfn.XLOOKUP($B7,'GP3 (1)'!$B$6:$B$100,'GP3 (1)'!$F$6:$F$100,"")</f>
        <v>29</v>
      </c>
      <c r="AD7" s="25">
        <f>_xlfn.XLOOKUP($B7,'GP3 (2)'!$B$6:$B$100,'GP3 (2)'!$F$6:$F$100,"")</f>
        <v>23</v>
      </c>
      <c r="AE7" s="27">
        <f>_xlfn.XLOOKUP($B7,'GP4 (1)'!$B$6:$B$66,'GP4 (1)'!$F$6:$F$66,"")</f>
        <v>29</v>
      </c>
      <c r="AF7" s="28">
        <f>_xlfn.XLOOKUP($B7,'GP4 (2)'!$B$6:$B$100,'GP4 (2)'!$F$6:$F$100,"")</f>
        <v>26</v>
      </c>
      <c r="AG7" s="24" t="str">
        <f>_xlfn.XLOOKUP($B7,'GP5 (1)'!$B$6:$B$99,'GP5 (1)'!$F$6:$F$99,"")</f>
        <v/>
      </c>
      <c r="AH7" s="26" t="str">
        <f>_xlfn.XLOOKUP($B7,'GP5 (2)'!$B$6:$B$99,'GP5 (2)'!$F$6:$F$99,"")</f>
        <v/>
      </c>
      <c r="AI7" s="27">
        <f>_xlfn.XLOOKUP($B7,'GP6 (1)'!$B$5:$B$99,'GP6 (1)'!$F$5:$F$99,"")</f>
        <v>23</v>
      </c>
      <c r="AJ7" s="28">
        <f>_xlfn.XLOOKUP($B7,'GP6 (2)'!$B$5:$B$99,'GP6 (2)'!$F$5:$F$99,"")</f>
        <v>20</v>
      </c>
      <c r="AK7" s="24" t="str">
        <f>_xlfn.XLOOKUP($B7,'GP7 (1)'!$B$6:$B$100,'GP7 (1)'!$F$6:$F$100,"")</f>
        <v/>
      </c>
      <c r="AL7" s="26" t="str">
        <f>_xlfn.XLOOKUP($B7,'GP7 (2)'!$B$6:$B$100,'GP7 (2)'!$F$6:$F$100,"")</f>
        <v/>
      </c>
      <c r="AM7" s="27" t="str">
        <f>_xlfn.XLOOKUP($B7,'GP8 (1)'!$B$6:$B$100,'GP8 (1)'!$F$6:$F$100,"")</f>
        <v/>
      </c>
      <c r="AN7" s="29" t="str">
        <f>_xlfn.XLOOKUP($B7,'GP8 (2)'!$B$6:$B$100,'GP8 (2)'!$F$6:$F$100,"")</f>
        <v/>
      </c>
      <c r="AO7" s="13">
        <f>SUM(AP7:BG7)</f>
        <v>194</v>
      </c>
      <c r="AP7" s="29">
        <f>_xlfn.XLOOKUP($B7,'MP (1)'!$B$6:$B$99,'MP (1)'!$H$6:$H$99,"")</f>
        <v>20</v>
      </c>
      <c r="AQ7" s="28">
        <f>_xlfn.XLOOKUP($B7,'MP (2)'!$B$6:$B$100,'MP (2)'!$H$6:$H$100,"")</f>
        <v>25</v>
      </c>
      <c r="AR7" s="24">
        <f>_xlfn.XLOOKUP($B7,'GP1 (1)'!$B$6:$B$100,'GP1 (1)'!$H$6:$H$100,"")</f>
        <v>17</v>
      </c>
      <c r="AS7" s="25">
        <f>_xlfn.XLOOKUP($B7,'GP1 (2)'!$B$6:$B$100,'GP1 (2)'!$H$6:$H$100,"")</f>
        <v>13</v>
      </c>
      <c r="AT7" s="27">
        <f>_xlfn.XLOOKUP($B7,'GP2 (1)'!$B$6:$B$101,'GP2 (1)'!$H$6:$H$101,"")</f>
        <v>18</v>
      </c>
      <c r="AU7" s="28">
        <f>_xlfn.XLOOKUP($B7,'GP2 (2)'!$B$6:$B$100,'GP2 (2)'!$H$6:$H$100,"")</f>
        <v>7</v>
      </c>
      <c r="AV7" s="24">
        <f>_xlfn.XLOOKUP($B7,'GP3 (1)'!$B$6:$B$100,'GP3 (1)'!$H$6:$H$100,"")</f>
        <v>18</v>
      </c>
      <c r="AW7" s="25">
        <f>_xlfn.XLOOKUP($B7,'GP3 (2)'!$B$6:$B$100,'GP3 (2)'!$H$6:$H$100,"")</f>
        <v>15</v>
      </c>
      <c r="AX7" s="27">
        <f>_xlfn.XLOOKUP($B7,'GP4 (1)'!$B$6:$B$66,'GP4 (1)'!$H$6:$H$66,"")</f>
        <v>18</v>
      </c>
      <c r="AY7" s="28">
        <f>_xlfn.XLOOKUP($B7,'GP4 (2)'!$B$6:$B$100,'GP4 (2)'!$H$6:$H$100,"")</f>
        <v>13</v>
      </c>
      <c r="AZ7" s="24" t="str">
        <f>_xlfn.XLOOKUP($B7,'GP5 (1)'!$B$6:$B$99,'GP5 (1)'!$H$6:$H$99,"")</f>
        <v/>
      </c>
      <c r="BA7" s="25" t="str">
        <f>_xlfn.XLOOKUP($B7,'GP5 (2)'!$B$6:$B$99,'GP5 (2)'!$H$6:$H$99,"")</f>
        <v/>
      </c>
      <c r="BB7" s="27">
        <f>_xlfn.XLOOKUP($B7,'GP6 (1)'!$B$5:$B$99,'GP6 (1)'!$H$5:$H$99,"")</f>
        <v>16</v>
      </c>
      <c r="BC7" s="28">
        <f>_xlfn.XLOOKUP($B7,'GP6 (2)'!$B$5:$B$99,'GP6 (2)'!$H$5:$H$99,"")</f>
        <v>14</v>
      </c>
      <c r="BD7" s="24" t="str">
        <f>_xlfn.XLOOKUP($B7,'GP7 (1)'!$B$6:$B$100,'GP7 (1)'!$H$6:$H$100,"")</f>
        <v/>
      </c>
      <c r="BE7" s="25" t="str">
        <f>_xlfn.XLOOKUP($B7,'GP7 (2)'!$B$6:$B$100,'GP7 (2)'!$H$6:$H$100,"")</f>
        <v/>
      </c>
      <c r="BF7" s="27" t="str">
        <f>_xlfn.XLOOKUP($B7,'GP8 (1)'!$B$6:$B$100,'GP8 (1)'!$H$6:$H$100,"")</f>
        <v/>
      </c>
      <c r="BG7" s="32" t="str">
        <f>_xlfn.XLOOKUP($B7,'GP8 (2)'!$B$6:$B$100,'GP8 (2)'!$H$6:$H$100,"")</f>
        <v/>
      </c>
    </row>
    <row r="8" spans="1:59" ht="14.3" x14ac:dyDescent="0.25">
      <c r="A8" s="1">
        <f>ROW()-4</f>
        <v>4</v>
      </c>
      <c r="B8" s="5" t="s">
        <v>18</v>
      </c>
      <c r="C8" s="30">
        <f>SUM(D8:U8)</f>
        <v>7.81</v>
      </c>
      <c r="D8" s="35">
        <f>_xlfn.XLOOKUP($B8,'MP (1)'!$B$6:$B$99,'MP (1)'!$E$6:$E$99,"")</f>
        <v>0.83</v>
      </c>
      <c r="E8" s="36">
        <f>_xlfn.XLOOKUP($B8,'MP (2)'!$B$6:$B$100,'MP (2)'!$E$6:$E$100,"")</f>
        <v>0.8</v>
      </c>
      <c r="F8" s="40" t="str">
        <f>_xlfn.XLOOKUP($B8,'GP1 (1)'!$B$6:$B$100,'GP1 (1)'!$E$6:$E$100,"")</f>
        <v/>
      </c>
      <c r="G8" s="41" t="str">
        <f>_xlfn.XLOOKUP($B8,'GP1 (2)'!$B$6:$B$100,'GP1 (2)'!$E$6:$E$100,"")</f>
        <v/>
      </c>
      <c r="H8" s="39">
        <f>_xlfn.XLOOKUP($B8,'GP2 (1)'!$B$6:$B$101,'GP2 (1)'!$E$6:$E$101,"")</f>
        <v>0.6</v>
      </c>
      <c r="I8" s="36">
        <f>_xlfn.XLOOKUP($B8,'GP2 (2)'!$B$6:$B$100,'GP2 (2)'!$E$6:$E$100,"")</f>
        <v>1</v>
      </c>
      <c r="J8" s="40">
        <f>_xlfn.XLOOKUP($B8,'GP3 (1)'!$B$6:$B$100,'GP3 (1)'!$E$6:$E$100,"")</f>
        <v>0.6</v>
      </c>
      <c r="K8" s="41" t="str">
        <f>_xlfn.XLOOKUP($B8,'GP3 (2)'!$B$6:$B$100,'GP3 (2)'!$E$6:$E$100,"")</f>
        <v>0.80</v>
      </c>
      <c r="L8" s="39">
        <f>_xlfn.XLOOKUP($B8,'GP4 (1)'!$B$6:$B$66,'GP4 (1)'!$E$6:$E$66,"")</f>
        <v>0.83</v>
      </c>
      <c r="M8" s="36">
        <f>_xlfn.XLOOKUP($B8,'GP4 (2)'!$B$6:$B$100,'GP4 (2)'!$E$6:$E$100,"")</f>
        <v>0.8</v>
      </c>
      <c r="N8" s="40">
        <f>_xlfn.XLOOKUP($B8,'GP5 (1)'!$B$6:$B$99,'GP5 (1)'!$E$6:$E$99,"")</f>
        <v>1</v>
      </c>
      <c r="O8" s="42">
        <f>_xlfn.XLOOKUP($B8,'GP5 (2)'!$B$6:$B$99,'GP5 (2)'!$E$6:$E$99,"")</f>
        <v>0.75</v>
      </c>
      <c r="P8" s="39" t="str">
        <f>_xlfn.XLOOKUP($B8,'GP6 (1)'!$B$5:$B$99,'GP6 (1)'!$E$5:$E$99,"")</f>
        <v>0.50</v>
      </c>
      <c r="Q8" s="36" t="str">
        <f>_xlfn.XLOOKUP($B8,'GP6 (2)'!$B$5:$B$99,'GP6 (2)'!$E$5:$E$99,"")</f>
        <v>0.60</v>
      </c>
      <c r="R8" s="40" t="str">
        <f>_xlfn.XLOOKUP($B8,'GP7 (1)'!$B$6:$B$100,'GP7 (1)'!$E$6:$E$100,"")</f>
        <v/>
      </c>
      <c r="S8" s="42" t="str">
        <f>_xlfn.XLOOKUP($B8,'GP7 (2)'!$B$6:$B$100,'GP7 (2)'!$E$6:$E$100,"")</f>
        <v/>
      </c>
      <c r="T8" s="39" t="str">
        <f>_xlfn.XLOOKUP($B8,'GP8 (1)'!$B$6:$B$100,'GP8 (1)'!$E$6:$E$100,"")</f>
        <v>1.00</v>
      </c>
      <c r="U8" s="35">
        <f>_xlfn.XLOOKUP($B8,'GP8 (2)'!$B$6:$B$100,'GP8 (2)'!$E$6:$E$100,"")</f>
        <v>0.6</v>
      </c>
      <c r="V8" s="13">
        <f>SUM(W8:AN8)</f>
        <v>300</v>
      </c>
      <c r="W8" s="29">
        <f>_xlfn.XLOOKUP($B8,'MP (1)'!$B$6:$B$99,'MP (1)'!$F$6:$F$99,"")</f>
        <v>27</v>
      </c>
      <c r="X8" s="28">
        <f>_xlfn.XLOOKUP($B8,'MP (2)'!$B$6:$B$100,'MP (2)'!$F$6:$F$100,"")</f>
        <v>21</v>
      </c>
      <c r="Y8" s="24" t="str">
        <f>_xlfn.XLOOKUP($B8,'GP1 (1)'!$B$6:$B$100,'GP1 (1)'!$F$6:$F$100,"")</f>
        <v/>
      </c>
      <c r="Z8" s="25" t="str">
        <f>_xlfn.XLOOKUP($B8,'GP1 (2)'!$B$6:$B$100,'GP1 (2)'!$F$6:$F$100,"")</f>
        <v/>
      </c>
      <c r="AA8" s="27">
        <f>_xlfn.XLOOKUP($B8,'GP2 (1)'!$B$6:$B$101,'GP2 (1)'!$F$6:$F$101,"")</f>
        <v>17</v>
      </c>
      <c r="AB8" s="28">
        <f>_xlfn.XLOOKUP($B8,'GP2 (2)'!$B$6:$B$100,'GP2 (2)'!$F$6:$F$100,"")</f>
        <v>25</v>
      </c>
      <c r="AC8" s="24">
        <f>_xlfn.XLOOKUP($B8,'GP3 (1)'!$B$6:$B$100,'GP3 (1)'!$F$6:$F$100,"")</f>
        <v>19</v>
      </c>
      <c r="AD8" s="25">
        <f>_xlfn.XLOOKUP($B8,'GP3 (2)'!$B$6:$B$100,'GP3 (2)'!$F$6:$F$100,"")</f>
        <v>23</v>
      </c>
      <c r="AE8" s="27">
        <f>_xlfn.XLOOKUP($B8,'GP4 (1)'!$B$6:$B$66,'GP4 (1)'!$F$6:$F$66,"")</f>
        <v>29</v>
      </c>
      <c r="AF8" s="28">
        <f>_xlfn.XLOOKUP($B8,'GP4 (2)'!$B$6:$B$100,'GP4 (2)'!$F$6:$F$100,"")</f>
        <v>22</v>
      </c>
      <c r="AG8" s="24">
        <f>_xlfn.XLOOKUP($B8,'GP5 (1)'!$B$6:$B$99,'GP5 (1)'!$F$6:$F$99,"")</f>
        <v>20</v>
      </c>
      <c r="AH8" s="26">
        <f>_xlfn.XLOOKUP($B8,'GP5 (2)'!$B$6:$B$99,'GP5 (2)'!$F$6:$F$99,"")</f>
        <v>16</v>
      </c>
      <c r="AI8" s="27">
        <f>_xlfn.XLOOKUP($B8,'GP6 (1)'!$B$5:$B$99,'GP6 (1)'!$F$5:$F$99,"")</f>
        <v>17</v>
      </c>
      <c r="AJ8" s="28">
        <f>_xlfn.XLOOKUP($B8,'GP6 (2)'!$B$5:$B$99,'GP6 (2)'!$F$5:$F$99,"")</f>
        <v>23</v>
      </c>
      <c r="AK8" s="24" t="str">
        <f>_xlfn.XLOOKUP($B8,'GP7 (1)'!$B$6:$B$100,'GP7 (1)'!$F$6:$F$100,"")</f>
        <v/>
      </c>
      <c r="AL8" s="26" t="str">
        <f>_xlfn.XLOOKUP($B8,'GP7 (2)'!$B$6:$B$100,'GP7 (2)'!$F$6:$F$100,"")</f>
        <v/>
      </c>
      <c r="AM8" s="27">
        <f>_xlfn.XLOOKUP($B8,'GP8 (1)'!$B$6:$B$100,'GP8 (1)'!$F$6:$F$100,"")</f>
        <v>20</v>
      </c>
      <c r="AN8" s="29">
        <f>_xlfn.XLOOKUP($B8,'GP8 (2)'!$B$6:$B$100,'GP8 (2)'!$F$6:$F$100,"")</f>
        <v>21</v>
      </c>
      <c r="AO8" s="13">
        <f>SUM(AP8:BG8)</f>
        <v>128</v>
      </c>
      <c r="AP8" s="29">
        <f>_xlfn.XLOOKUP($B8,'MP (1)'!$B$6:$B$99,'MP (1)'!$H$6:$H$99,"")</f>
        <v>15</v>
      </c>
      <c r="AQ8" s="28">
        <f>_xlfn.XLOOKUP($B8,'MP (2)'!$B$6:$B$100,'MP (2)'!$H$6:$H$100,"")</f>
        <v>12</v>
      </c>
      <c r="AR8" s="24" t="str">
        <f>_xlfn.XLOOKUP($B8,'GP1 (1)'!$B$6:$B$100,'GP1 (1)'!$H$6:$H$100,"")</f>
        <v/>
      </c>
      <c r="AS8" s="25" t="str">
        <f>_xlfn.XLOOKUP($B8,'GP1 (2)'!$B$6:$B$100,'GP1 (2)'!$H$6:$H$100,"")</f>
        <v/>
      </c>
      <c r="AT8" s="27">
        <f>_xlfn.XLOOKUP($B8,'GP2 (1)'!$B$6:$B$101,'GP2 (1)'!$H$6:$H$101,"")</f>
        <v>0</v>
      </c>
      <c r="AU8" s="28">
        <f>_xlfn.XLOOKUP($B8,'GP2 (2)'!$B$6:$B$100,'GP2 (2)'!$H$6:$H$100,"")</f>
        <v>15</v>
      </c>
      <c r="AV8" s="24">
        <f>_xlfn.XLOOKUP($B8,'GP3 (1)'!$B$6:$B$100,'GP3 (1)'!$H$6:$H$100,"")</f>
        <v>6</v>
      </c>
      <c r="AW8" s="25">
        <f>_xlfn.XLOOKUP($B8,'GP3 (2)'!$B$6:$B$100,'GP3 (2)'!$H$6:$H$100,"")</f>
        <v>7</v>
      </c>
      <c r="AX8" s="27">
        <f>_xlfn.XLOOKUP($B8,'GP4 (1)'!$B$6:$B$66,'GP4 (1)'!$H$6:$H$66,"")</f>
        <v>14</v>
      </c>
      <c r="AY8" s="28">
        <f>_xlfn.XLOOKUP($B8,'GP4 (2)'!$B$6:$B$100,'GP4 (2)'!$H$6:$H$100,"")</f>
        <v>9</v>
      </c>
      <c r="AZ8" s="24">
        <f>_xlfn.XLOOKUP($B8,'GP5 (1)'!$B$6:$B$99,'GP5 (1)'!$H$6:$H$99,"")</f>
        <v>12</v>
      </c>
      <c r="BA8" s="25">
        <f>_xlfn.XLOOKUP($B8,'GP5 (2)'!$B$6:$B$99,'GP5 (2)'!$H$6:$H$99,"")</f>
        <v>3</v>
      </c>
      <c r="BB8" s="27">
        <f>_xlfn.XLOOKUP($B8,'GP6 (1)'!$B$5:$B$99,'GP6 (1)'!$H$5:$H$99,"")</f>
        <v>1</v>
      </c>
      <c r="BC8" s="28">
        <f>_xlfn.XLOOKUP($B8,'GP6 (2)'!$B$5:$B$99,'GP6 (2)'!$H$5:$H$99,"")</f>
        <v>9</v>
      </c>
      <c r="BD8" s="24" t="str">
        <f>_xlfn.XLOOKUP($B8,'GP7 (1)'!$B$6:$B$100,'GP7 (1)'!$H$6:$H$100,"")</f>
        <v/>
      </c>
      <c r="BE8" s="25" t="str">
        <f>_xlfn.XLOOKUP($B8,'GP7 (2)'!$B$6:$B$100,'GP7 (2)'!$H$6:$H$100,"")</f>
        <v/>
      </c>
      <c r="BF8" s="27">
        <f>_xlfn.XLOOKUP($B8,'GP8 (1)'!$B$6:$B$100,'GP8 (1)'!$H$6:$H$100,"")</f>
        <v>17</v>
      </c>
      <c r="BG8" s="32">
        <f>_xlfn.XLOOKUP($B8,'GP8 (2)'!$B$6:$B$100,'GP8 (2)'!$H$6:$H$100,"")</f>
        <v>8</v>
      </c>
    </row>
    <row r="9" spans="1:59" ht="14.3" x14ac:dyDescent="0.25">
      <c r="A9" s="1">
        <f>ROW()-4</f>
        <v>5</v>
      </c>
      <c r="B9" s="5" t="s">
        <v>17</v>
      </c>
      <c r="C9" s="30">
        <f>SUM(D9:U9)</f>
        <v>7.7299999999999995</v>
      </c>
      <c r="D9" s="35">
        <f>_xlfn.XLOOKUP($B9,'MP (1)'!$B$6:$B$99,'MP (1)'!$E$6:$E$99,"")</f>
        <v>0.8</v>
      </c>
      <c r="E9" s="36">
        <f>_xlfn.XLOOKUP($B9,'MP (2)'!$B$6:$B$100,'MP (2)'!$E$6:$E$100,"")</f>
        <v>0.8</v>
      </c>
      <c r="F9" s="40">
        <f>_xlfn.XLOOKUP($B9,'GP1 (1)'!$B$6:$B$100,'GP1 (1)'!$E$6:$E$100,"")</f>
        <v>0.33</v>
      </c>
      <c r="G9" s="41">
        <f>_xlfn.XLOOKUP($B9,'GP1 (2)'!$B$6:$B$100,'GP1 (2)'!$E$6:$E$100,"")</f>
        <v>0.6</v>
      </c>
      <c r="H9" s="39">
        <f>_xlfn.XLOOKUP($B9,'GP2 (1)'!$B$6:$B$101,'GP2 (1)'!$E$6:$E$101,"")</f>
        <v>1</v>
      </c>
      <c r="I9" s="36">
        <f>_xlfn.XLOOKUP($B9,'GP2 (2)'!$B$6:$B$100,'GP2 (2)'!$E$6:$E$100,"")</f>
        <v>1</v>
      </c>
      <c r="J9" s="40" t="str">
        <f>_xlfn.XLOOKUP($B9,'GP3 (1)'!$B$6:$B$100,'GP3 (1)'!$E$6:$E$100,"")</f>
        <v/>
      </c>
      <c r="K9" s="41" t="str">
        <f>_xlfn.XLOOKUP($B9,'GP3 (2)'!$B$6:$B$100,'GP3 (2)'!$E$6:$E$100,"")</f>
        <v/>
      </c>
      <c r="L9" s="39">
        <f>_xlfn.XLOOKUP($B9,'GP4 (1)'!$B$6:$B$66,'GP4 (1)'!$E$6:$E$66,"")</f>
        <v>0.6</v>
      </c>
      <c r="M9" s="36">
        <f>_xlfn.XLOOKUP($B9,'GP4 (2)'!$B$6:$B$100,'GP4 (2)'!$E$6:$E$100,"")</f>
        <v>0.4</v>
      </c>
      <c r="N9" s="40">
        <f>_xlfn.XLOOKUP($B9,'GP5 (1)'!$B$6:$B$99,'GP5 (1)'!$E$6:$E$99,"")</f>
        <v>1</v>
      </c>
      <c r="O9" s="42">
        <f>_xlfn.XLOOKUP($B9,'GP5 (2)'!$B$6:$B$99,'GP5 (2)'!$E$6:$E$99,"")</f>
        <v>0.6</v>
      </c>
      <c r="P9" s="39" t="str">
        <f>_xlfn.XLOOKUP($B9,'GP6 (1)'!$B$5:$B$99,'GP6 (1)'!$E$5:$E$99,"")</f>
        <v/>
      </c>
      <c r="Q9" s="36" t="str">
        <f>_xlfn.XLOOKUP($B9,'GP6 (2)'!$B$5:$B$99,'GP6 (2)'!$E$5:$E$99,"")</f>
        <v/>
      </c>
      <c r="R9" s="40" t="str">
        <f>_xlfn.XLOOKUP($B9,'GP7 (1)'!$B$6:$B$100,'GP7 (1)'!$E$6:$E$100,"")</f>
        <v>1.00</v>
      </c>
      <c r="S9" s="42">
        <f>_xlfn.XLOOKUP($B9,'GP7 (2)'!$B$6:$B$100,'GP7 (2)'!$E$6:$E$100,"")</f>
        <v>0.6</v>
      </c>
      <c r="T9" s="39" t="str">
        <f>_xlfn.XLOOKUP($B9,'GP8 (1)'!$B$6:$B$100,'GP8 (1)'!$E$6:$E$100,"")</f>
        <v/>
      </c>
      <c r="U9" s="35" t="str">
        <f>_xlfn.XLOOKUP($B9,'GP8 (2)'!$B$6:$B$100,'GP8 (2)'!$E$6:$E$100,"")</f>
        <v/>
      </c>
      <c r="V9" s="13">
        <f>SUM(W9:AN9)</f>
        <v>255</v>
      </c>
      <c r="W9" s="29">
        <f>_xlfn.XLOOKUP($B9,'MP (1)'!$B$6:$B$99,'MP (1)'!$F$6:$F$99,"")</f>
        <v>23</v>
      </c>
      <c r="X9" s="28">
        <f>_xlfn.XLOOKUP($B9,'MP (2)'!$B$6:$B$100,'MP (2)'!$F$6:$F$100,"")</f>
        <v>21</v>
      </c>
      <c r="Y9" s="24">
        <f>_xlfn.XLOOKUP($B9,'GP1 (1)'!$B$6:$B$100,'GP1 (1)'!$F$6:$F$100,"")</f>
        <v>21</v>
      </c>
      <c r="Z9" s="25">
        <f>_xlfn.XLOOKUP($B9,'GP1 (2)'!$B$6:$B$100,'GP1 (2)'!$F$6:$F$100,"")</f>
        <v>16</v>
      </c>
      <c r="AA9" s="27">
        <f>_xlfn.XLOOKUP($B9,'GP2 (1)'!$B$6:$B$101,'GP2 (1)'!$F$6:$F$101,"")</f>
        <v>25</v>
      </c>
      <c r="AB9" s="28">
        <f>_xlfn.XLOOKUP($B9,'GP2 (2)'!$B$6:$B$100,'GP2 (2)'!$F$6:$F$100,"")</f>
        <v>25</v>
      </c>
      <c r="AC9" s="24" t="str">
        <f>_xlfn.XLOOKUP($B9,'GP3 (1)'!$B$6:$B$100,'GP3 (1)'!$F$6:$F$100,"")</f>
        <v/>
      </c>
      <c r="AD9" s="25" t="str">
        <f>_xlfn.XLOOKUP($B9,'GP3 (2)'!$B$6:$B$100,'GP3 (2)'!$F$6:$F$100,"")</f>
        <v/>
      </c>
      <c r="AE9" s="27">
        <f>_xlfn.XLOOKUP($B9,'GP4 (1)'!$B$6:$B$66,'GP4 (1)'!$F$6:$F$66,"")</f>
        <v>20</v>
      </c>
      <c r="AF9" s="28">
        <f>_xlfn.XLOOKUP($B9,'GP4 (2)'!$B$6:$B$100,'GP4 (2)'!$F$6:$F$100,"")</f>
        <v>15</v>
      </c>
      <c r="AG9" s="24">
        <f>_xlfn.XLOOKUP($B9,'GP5 (1)'!$B$6:$B$99,'GP5 (1)'!$F$6:$F$99,"")</f>
        <v>25</v>
      </c>
      <c r="AH9" s="26">
        <f>_xlfn.XLOOKUP($B9,'GP5 (2)'!$B$6:$B$99,'GP5 (2)'!$F$6:$F$99,"")</f>
        <v>21</v>
      </c>
      <c r="AI9" s="27" t="str">
        <f>_xlfn.XLOOKUP($B9,'GP6 (1)'!$B$5:$B$99,'GP6 (1)'!$F$5:$F$99,"")</f>
        <v/>
      </c>
      <c r="AJ9" s="28" t="str">
        <f>_xlfn.XLOOKUP($B9,'GP6 (2)'!$B$5:$B$99,'GP6 (2)'!$F$5:$F$99,"")</f>
        <v/>
      </c>
      <c r="AK9" s="24">
        <f>_xlfn.XLOOKUP($B9,'GP7 (1)'!$B$6:$B$100,'GP7 (1)'!$F$6:$F$100,"")</f>
        <v>20</v>
      </c>
      <c r="AL9" s="26">
        <f>_xlfn.XLOOKUP($B9,'GP7 (2)'!$B$6:$B$100,'GP7 (2)'!$F$6:$F$100,"")</f>
        <v>23</v>
      </c>
      <c r="AM9" s="27" t="str">
        <f>_xlfn.XLOOKUP($B9,'GP8 (1)'!$B$6:$B$100,'GP8 (1)'!$F$6:$F$100,"")</f>
        <v/>
      </c>
      <c r="AN9" s="29" t="str">
        <f>_xlfn.XLOOKUP($B9,'GP8 (2)'!$B$6:$B$100,'GP8 (2)'!$F$6:$F$100,"")</f>
        <v/>
      </c>
      <c r="AO9" s="13">
        <f>SUM(AP9:BG9)</f>
        <v>83</v>
      </c>
      <c r="AP9" s="29">
        <f>_xlfn.XLOOKUP($B9,'MP (1)'!$B$6:$B$99,'MP (1)'!$H$6:$H$99,"")</f>
        <v>8</v>
      </c>
      <c r="AQ9" s="28">
        <f>_xlfn.XLOOKUP($B9,'MP (2)'!$B$6:$B$100,'MP (2)'!$H$6:$H$100,"")</f>
        <v>9</v>
      </c>
      <c r="AR9" s="24">
        <f>_xlfn.XLOOKUP($B9,'GP1 (1)'!$B$6:$B$100,'GP1 (1)'!$H$6:$H$100,"")</f>
        <v>-3</v>
      </c>
      <c r="AS9" s="25">
        <f>_xlfn.XLOOKUP($B9,'GP1 (2)'!$B$6:$B$100,'GP1 (2)'!$H$6:$H$100,"")</f>
        <v>-2</v>
      </c>
      <c r="AT9" s="27">
        <f>_xlfn.XLOOKUP($B9,'GP2 (1)'!$B$6:$B$101,'GP2 (1)'!$H$6:$H$101,"")</f>
        <v>12</v>
      </c>
      <c r="AU9" s="28">
        <f>_xlfn.XLOOKUP($B9,'GP2 (2)'!$B$6:$B$100,'GP2 (2)'!$H$6:$H$100,"")</f>
        <v>14</v>
      </c>
      <c r="AV9" s="24" t="str">
        <f>_xlfn.XLOOKUP($B9,'GP3 (1)'!$B$6:$B$100,'GP3 (1)'!$H$6:$H$100,"")</f>
        <v/>
      </c>
      <c r="AW9" s="25" t="str">
        <f>_xlfn.XLOOKUP($B9,'GP3 (2)'!$B$6:$B$100,'GP3 (2)'!$H$6:$H$100,"")</f>
        <v/>
      </c>
      <c r="AX9" s="27">
        <f>_xlfn.XLOOKUP($B9,'GP4 (1)'!$B$6:$B$66,'GP4 (1)'!$H$6:$H$66,"")</f>
        <v>3</v>
      </c>
      <c r="AY9" s="28">
        <f>_xlfn.XLOOKUP($B9,'GP4 (2)'!$B$6:$B$100,'GP4 (2)'!$H$6:$H$100,"")</f>
        <v>0</v>
      </c>
      <c r="AZ9" s="24">
        <f>_xlfn.XLOOKUP($B9,'GP5 (1)'!$B$6:$B$99,'GP5 (1)'!$H$6:$H$99,"")</f>
        <v>15</v>
      </c>
      <c r="BA9" s="25">
        <f>_xlfn.XLOOKUP($B9,'GP5 (2)'!$B$6:$B$99,'GP5 (2)'!$H$6:$H$99,"")</f>
        <v>8</v>
      </c>
      <c r="BB9" s="27" t="str">
        <f>_xlfn.XLOOKUP($B9,'GP6 (1)'!$B$5:$B$99,'GP6 (1)'!$H$5:$H$99,"")</f>
        <v/>
      </c>
      <c r="BC9" s="28" t="str">
        <f>_xlfn.XLOOKUP($B9,'GP6 (2)'!$B$5:$B$99,'GP6 (2)'!$H$5:$H$99,"")</f>
        <v/>
      </c>
      <c r="BD9" s="24">
        <f>_xlfn.XLOOKUP($B9,'GP7 (1)'!$B$6:$B$100,'GP7 (1)'!$H$6:$H$100,"")</f>
        <v>12</v>
      </c>
      <c r="BE9" s="25">
        <f>_xlfn.XLOOKUP($B9,'GP7 (2)'!$B$6:$B$100,'GP7 (2)'!$H$6:$H$100,"")</f>
        <v>7</v>
      </c>
      <c r="BF9" s="27" t="str">
        <f>_xlfn.XLOOKUP($B9,'GP8 (1)'!$B$6:$B$100,'GP8 (1)'!$H$6:$H$100,"")</f>
        <v/>
      </c>
      <c r="BG9" s="32" t="str">
        <f>_xlfn.XLOOKUP($B9,'GP8 (2)'!$B$6:$B$100,'GP8 (2)'!$H$6:$H$100,"")</f>
        <v/>
      </c>
    </row>
    <row r="10" spans="1:59" ht="14.3" x14ac:dyDescent="0.25">
      <c r="A10" s="1">
        <f>ROW()-4</f>
        <v>6</v>
      </c>
      <c r="B10" s="5" t="s">
        <v>19</v>
      </c>
      <c r="C10" s="30">
        <f>SUM(D10:U10)</f>
        <v>7.26</v>
      </c>
      <c r="D10" s="35">
        <f>_xlfn.XLOOKUP($B10,'MP (1)'!$B$6:$B$99,'MP (1)'!$E$6:$E$99,"")</f>
        <v>0.83</v>
      </c>
      <c r="E10" s="36">
        <f>_xlfn.XLOOKUP($B10,'MP (2)'!$B$6:$B$100,'MP (2)'!$E$6:$E$100,"")</f>
        <v>0.5</v>
      </c>
      <c r="F10" s="40">
        <f>_xlfn.XLOOKUP($B10,'GP1 (1)'!$B$6:$B$100,'GP1 (1)'!$E$6:$E$100,"")</f>
        <v>0.83</v>
      </c>
      <c r="G10" s="41">
        <f>_xlfn.XLOOKUP($B10,'GP1 (2)'!$B$6:$B$100,'GP1 (2)'!$E$6:$E$100,"")</f>
        <v>1</v>
      </c>
      <c r="H10" s="39">
        <f>_xlfn.XLOOKUP($B10,'GP2 (1)'!$B$6:$B$101,'GP2 (1)'!$E$6:$E$101,"")</f>
        <v>1</v>
      </c>
      <c r="I10" s="36">
        <f>_xlfn.XLOOKUP($B10,'GP2 (2)'!$B$6:$B$100,'GP2 (2)'!$E$6:$E$100,"")</f>
        <v>0.6</v>
      </c>
      <c r="J10" s="40">
        <f>_xlfn.XLOOKUP($B10,'GP3 (1)'!$B$6:$B$100,'GP3 (1)'!$E$6:$E$100,"")</f>
        <v>1</v>
      </c>
      <c r="K10" s="41" t="str">
        <f>_xlfn.XLOOKUP($B10,'GP3 (2)'!$B$6:$B$100,'GP3 (2)'!$E$6:$E$100,"")</f>
        <v>0.80</v>
      </c>
      <c r="L10" s="39" t="str">
        <f>_xlfn.XLOOKUP($B10,'GP4 (1)'!$B$6:$B$66,'GP4 (1)'!$E$6:$E$66,"")</f>
        <v/>
      </c>
      <c r="M10" s="36" t="str">
        <f>_xlfn.XLOOKUP($B10,'GP4 (2)'!$B$6:$B$100,'GP4 (2)'!$E$6:$E$100,"")</f>
        <v/>
      </c>
      <c r="N10" s="40" t="str">
        <f>_xlfn.XLOOKUP($B10,'GP5 (1)'!$B$6:$B$99,'GP5 (1)'!$E$6:$E$99,"")</f>
        <v/>
      </c>
      <c r="O10" s="42" t="str">
        <f>_xlfn.XLOOKUP($B10,'GP5 (2)'!$B$6:$B$99,'GP5 (2)'!$E$6:$E$99,"")</f>
        <v/>
      </c>
      <c r="P10" s="39" t="str">
        <f>_xlfn.XLOOKUP($B10,'GP6 (1)'!$B$5:$B$99,'GP6 (1)'!$E$5:$E$99,"")</f>
        <v>0.75</v>
      </c>
      <c r="Q10" s="36" t="str">
        <f>_xlfn.XLOOKUP($B10,'GP6 (2)'!$B$5:$B$99,'GP6 (2)'!$E$5:$E$99,"")</f>
        <v>1.00</v>
      </c>
      <c r="R10" s="40" t="str">
        <f>_xlfn.XLOOKUP($B10,'GP7 (1)'!$B$6:$B$100,'GP7 (1)'!$E$6:$E$100,"")</f>
        <v>0.50</v>
      </c>
      <c r="S10" s="42">
        <f>_xlfn.XLOOKUP($B10,'GP7 (2)'!$B$6:$B$100,'GP7 (2)'!$E$6:$E$100,"")</f>
        <v>0.5</v>
      </c>
      <c r="T10" s="39" t="str">
        <f>_xlfn.XLOOKUP($B10,'GP8 (1)'!$B$6:$B$100,'GP8 (1)'!$E$6:$E$100,"")</f>
        <v>0.80</v>
      </c>
      <c r="U10" s="35">
        <f>_xlfn.XLOOKUP($B10,'GP8 (2)'!$B$6:$B$100,'GP8 (2)'!$E$6:$E$100,"")</f>
        <v>1</v>
      </c>
      <c r="V10" s="13">
        <f>SUM(W10:AN10)</f>
        <v>311</v>
      </c>
      <c r="W10" s="29">
        <f>_xlfn.XLOOKUP($B10,'MP (1)'!$B$6:$B$99,'MP (1)'!$F$6:$F$99,"")</f>
        <v>29</v>
      </c>
      <c r="X10" s="28">
        <f>_xlfn.XLOOKUP($B10,'MP (2)'!$B$6:$B$100,'MP (2)'!$F$6:$F$100,"")</f>
        <v>23</v>
      </c>
      <c r="Y10" s="24">
        <f>_xlfn.XLOOKUP($B10,'GP1 (1)'!$B$6:$B$100,'GP1 (1)'!$F$6:$F$100,"")</f>
        <v>27</v>
      </c>
      <c r="Z10" s="25">
        <f>_xlfn.XLOOKUP($B10,'GP1 (2)'!$B$6:$B$100,'GP1 (2)'!$F$6:$F$100,"")</f>
        <v>25</v>
      </c>
      <c r="AA10" s="27">
        <f>_xlfn.XLOOKUP($B10,'GP2 (1)'!$B$6:$B$101,'GP2 (1)'!$F$6:$F$101,"")</f>
        <v>25</v>
      </c>
      <c r="AB10" s="28">
        <f>_xlfn.XLOOKUP($B10,'GP2 (2)'!$B$6:$B$100,'GP2 (2)'!$F$6:$F$100,"")</f>
        <v>21</v>
      </c>
      <c r="AC10" s="24">
        <f>_xlfn.XLOOKUP($B10,'GP3 (1)'!$B$6:$B$100,'GP3 (1)'!$F$6:$F$100,"")</f>
        <v>25</v>
      </c>
      <c r="AD10" s="25">
        <f>_xlfn.XLOOKUP($B10,'GP3 (2)'!$B$6:$B$100,'GP3 (2)'!$F$6:$F$100,"")</f>
        <v>22</v>
      </c>
      <c r="AE10" s="27" t="str">
        <f>_xlfn.XLOOKUP($B10,'GP4 (1)'!$B$6:$B$66,'GP4 (1)'!$F$6:$F$66,"")</f>
        <v/>
      </c>
      <c r="AF10" s="28" t="str">
        <f>_xlfn.XLOOKUP($B10,'GP4 (2)'!$B$6:$B$100,'GP4 (2)'!$F$6:$F$100,"")</f>
        <v/>
      </c>
      <c r="AG10" s="24" t="str">
        <f>_xlfn.XLOOKUP($B10,'GP5 (1)'!$B$6:$B$99,'GP5 (1)'!$F$6:$F$99,"")</f>
        <v/>
      </c>
      <c r="AH10" s="26" t="str">
        <f>_xlfn.XLOOKUP($B10,'GP5 (2)'!$B$6:$B$99,'GP5 (2)'!$F$6:$F$99,"")</f>
        <v/>
      </c>
      <c r="AI10" s="27">
        <f>_xlfn.XLOOKUP($B10,'GP6 (1)'!$B$5:$B$99,'GP6 (1)'!$F$5:$F$99,"")</f>
        <v>19</v>
      </c>
      <c r="AJ10" s="28">
        <f>_xlfn.XLOOKUP($B10,'GP6 (2)'!$B$5:$B$99,'GP6 (2)'!$F$5:$F$99,"")</f>
        <v>20</v>
      </c>
      <c r="AK10" s="24">
        <f>_xlfn.XLOOKUP($B10,'GP7 (1)'!$B$6:$B$100,'GP7 (1)'!$F$6:$F$100,"")</f>
        <v>15</v>
      </c>
      <c r="AL10" s="26">
        <f>_xlfn.XLOOKUP($B10,'GP7 (2)'!$B$6:$B$100,'GP7 (2)'!$F$6:$F$100,"")</f>
        <v>17</v>
      </c>
      <c r="AM10" s="27">
        <f>_xlfn.XLOOKUP($B10,'GP8 (1)'!$B$6:$B$100,'GP8 (1)'!$F$6:$F$100,"")</f>
        <v>23</v>
      </c>
      <c r="AN10" s="29">
        <f>_xlfn.XLOOKUP($B10,'GP8 (2)'!$B$6:$B$100,'GP8 (2)'!$F$6:$F$100,"")</f>
        <v>20</v>
      </c>
      <c r="AO10" s="13">
        <f>SUM(AP10:BG10)</f>
        <v>156</v>
      </c>
      <c r="AP10" s="29">
        <f>_xlfn.XLOOKUP($B10,'MP (1)'!$B$6:$B$99,'MP (1)'!$H$6:$H$99,"")</f>
        <v>17</v>
      </c>
      <c r="AQ10" s="28">
        <f>_xlfn.XLOOKUP($B10,'MP (2)'!$B$6:$B$100,'MP (2)'!$H$6:$H$100,"")</f>
        <v>5</v>
      </c>
      <c r="AR10" s="24">
        <f>_xlfn.XLOOKUP($B10,'GP1 (1)'!$B$6:$B$100,'GP1 (1)'!$H$6:$H$100,"")</f>
        <v>13</v>
      </c>
      <c r="AS10" s="25">
        <f>_xlfn.XLOOKUP($B10,'GP1 (2)'!$B$6:$B$100,'GP1 (2)'!$H$6:$H$100,"")</f>
        <v>21</v>
      </c>
      <c r="AT10" s="27">
        <f>_xlfn.XLOOKUP($B10,'GP2 (1)'!$B$6:$B$101,'GP2 (1)'!$H$6:$H$101,"")</f>
        <v>14</v>
      </c>
      <c r="AU10" s="28">
        <f>_xlfn.XLOOKUP($B10,'GP2 (2)'!$B$6:$B$100,'GP2 (2)'!$H$6:$H$100,"")</f>
        <v>7</v>
      </c>
      <c r="AV10" s="24">
        <f>_xlfn.XLOOKUP($B10,'GP3 (1)'!$B$6:$B$100,'GP3 (1)'!$H$6:$H$100,"")</f>
        <v>15</v>
      </c>
      <c r="AW10" s="25">
        <f>_xlfn.XLOOKUP($B10,'GP3 (2)'!$B$6:$B$100,'GP3 (2)'!$H$6:$H$100,"")</f>
        <v>10</v>
      </c>
      <c r="AX10" s="27" t="str">
        <f>_xlfn.XLOOKUP($B10,'GP4 (1)'!$B$6:$B$66,'GP4 (1)'!$H$6:$H$66,"")</f>
        <v/>
      </c>
      <c r="AY10" s="28" t="str">
        <f>_xlfn.XLOOKUP($B10,'GP4 (2)'!$B$6:$B$100,'GP4 (2)'!$H$6:$H$100,"")</f>
        <v/>
      </c>
      <c r="AZ10" s="24" t="str">
        <f>_xlfn.XLOOKUP($B10,'GP5 (1)'!$B$6:$B$99,'GP5 (1)'!$H$6:$H$99,"")</f>
        <v/>
      </c>
      <c r="BA10" s="25" t="str">
        <f>_xlfn.XLOOKUP($B10,'GP5 (2)'!$B$6:$B$99,'GP5 (2)'!$H$6:$H$99,"")</f>
        <v/>
      </c>
      <c r="BB10" s="27">
        <f>_xlfn.XLOOKUP($B10,'GP6 (1)'!$B$5:$B$99,'GP6 (1)'!$H$5:$H$99,"")</f>
        <v>8</v>
      </c>
      <c r="BC10" s="28">
        <f>_xlfn.XLOOKUP($B10,'GP6 (2)'!$B$5:$B$99,'GP6 (2)'!$H$5:$H$99,"")</f>
        <v>14</v>
      </c>
      <c r="BD10" s="24">
        <f>_xlfn.XLOOKUP($B10,'GP7 (1)'!$B$6:$B$100,'GP7 (1)'!$H$6:$H$100,"")</f>
        <v>-1</v>
      </c>
      <c r="BE10" s="25">
        <f>_xlfn.XLOOKUP($B10,'GP7 (2)'!$B$6:$B$100,'GP7 (2)'!$H$6:$H$100,"")</f>
        <v>3</v>
      </c>
      <c r="BF10" s="27">
        <f>_xlfn.XLOOKUP($B10,'GP8 (1)'!$B$6:$B$100,'GP8 (1)'!$H$6:$H$100,"")</f>
        <v>14</v>
      </c>
      <c r="BG10" s="32">
        <f>_xlfn.XLOOKUP($B10,'GP8 (2)'!$B$6:$B$100,'GP8 (2)'!$H$6:$H$100,"")</f>
        <v>16</v>
      </c>
    </row>
    <row r="11" spans="1:59" ht="14.3" x14ac:dyDescent="0.25">
      <c r="A11" s="1">
        <f>ROW()-4</f>
        <v>7</v>
      </c>
      <c r="B11" s="5" t="s">
        <v>20</v>
      </c>
      <c r="C11" s="30">
        <f>SUM(D11:U11)</f>
        <v>6.93</v>
      </c>
      <c r="D11" s="35">
        <f>_xlfn.XLOOKUP($B11,'MP (1)'!$B$6:$B$99,'MP (1)'!$E$6:$E$99,"")</f>
        <v>0.67</v>
      </c>
      <c r="E11" s="36">
        <f>_xlfn.XLOOKUP($B11,'MP (2)'!$B$6:$B$100,'MP (2)'!$E$6:$E$100,"")</f>
        <v>0.83</v>
      </c>
      <c r="F11" s="40">
        <f>_xlfn.XLOOKUP($B11,'GP1 (1)'!$B$6:$B$100,'GP1 (1)'!$E$6:$E$100,"")</f>
        <v>0.6</v>
      </c>
      <c r="G11" s="41">
        <f>_xlfn.XLOOKUP($B11,'GP1 (2)'!$B$6:$B$100,'GP1 (2)'!$E$6:$E$100,"")</f>
        <v>0.8</v>
      </c>
      <c r="H11" s="39">
        <f>_xlfn.XLOOKUP($B11,'GP2 (1)'!$B$6:$B$101,'GP2 (1)'!$E$6:$E$101,"")</f>
        <v>0.8</v>
      </c>
      <c r="I11" s="36">
        <f>_xlfn.XLOOKUP($B11,'GP2 (2)'!$B$6:$B$100,'GP2 (2)'!$E$6:$E$100,"")</f>
        <v>1</v>
      </c>
      <c r="J11" s="40">
        <f>_xlfn.XLOOKUP($B11,'GP3 (1)'!$B$6:$B$100,'GP3 (1)'!$E$6:$E$100,"")</f>
        <v>0.83</v>
      </c>
      <c r="K11" s="41" t="str">
        <f>_xlfn.XLOOKUP($B11,'GP3 (2)'!$B$6:$B$100,'GP3 (2)'!$E$6:$E$100,"")</f>
        <v>0.60</v>
      </c>
      <c r="L11" s="39" t="str">
        <f>_xlfn.XLOOKUP($B11,'GP4 (1)'!$B$6:$B$66,'GP4 (1)'!$E$6:$E$66,"")</f>
        <v/>
      </c>
      <c r="M11" s="36" t="str">
        <f>_xlfn.XLOOKUP($B11,'GP4 (2)'!$B$6:$B$100,'GP4 (2)'!$E$6:$E$100,"")</f>
        <v/>
      </c>
      <c r="N11" s="40" t="str">
        <f>_xlfn.XLOOKUP($B11,'GP5 (1)'!$B$6:$B$99,'GP5 (1)'!$E$6:$E$99,"")</f>
        <v/>
      </c>
      <c r="O11" s="42" t="str">
        <f>_xlfn.XLOOKUP($B11,'GP5 (2)'!$B$6:$B$99,'GP5 (2)'!$E$6:$E$99,"")</f>
        <v/>
      </c>
      <c r="P11" s="39" t="str">
        <f>_xlfn.XLOOKUP($B11,'GP6 (1)'!$B$5:$B$99,'GP6 (1)'!$E$5:$E$99,"")</f>
        <v>0.50</v>
      </c>
      <c r="Q11" s="36" t="str">
        <f>_xlfn.XLOOKUP($B11,'GP6 (2)'!$B$5:$B$99,'GP6 (2)'!$E$5:$E$99,"")</f>
        <v>0.50</v>
      </c>
      <c r="R11" s="40" t="str">
        <f>_xlfn.XLOOKUP($B11,'GP7 (1)'!$B$6:$B$100,'GP7 (1)'!$E$6:$E$100,"")</f>
        <v>0.75</v>
      </c>
      <c r="S11" s="42">
        <f>_xlfn.XLOOKUP($B11,'GP7 (2)'!$B$6:$B$100,'GP7 (2)'!$E$6:$E$100,"")</f>
        <v>0.6</v>
      </c>
      <c r="T11" s="39" t="str">
        <f>_xlfn.XLOOKUP($B11,'GP8 (1)'!$B$6:$B$100,'GP8 (1)'!$E$6:$E$100,"")</f>
        <v>0.60</v>
      </c>
      <c r="U11" s="35">
        <f>_xlfn.XLOOKUP($B11,'GP8 (2)'!$B$6:$B$100,'GP8 (2)'!$E$6:$E$100,"")</f>
        <v>0.8</v>
      </c>
      <c r="V11" s="13">
        <f>SUM(W11:AN11)</f>
        <v>283</v>
      </c>
      <c r="W11" s="29">
        <f>_xlfn.XLOOKUP($B11,'MP (1)'!$B$6:$B$99,'MP (1)'!$F$6:$F$99,"")</f>
        <v>22</v>
      </c>
      <c r="X11" s="28">
        <f>_xlfn.XLOOKUP($B11,'MP (2)'!$B$6:$B$100,'MP (2)'!$F$6:$F$100,"")</f>
        <v>25</v>
      </c>
      <c r="Y11" s="24">
        <f>_xlfn.XLOOKUP($B11,'GP1 (1)'!$B$6:$B$100,'GP1 (1)'!$F$6:$F$100,"")</f>
        <v>21</v>
      </c>
      <c r="Z11" s="25">
        <f>_xlfn.XLOOKUP($B11,'GP1 (2)'!$B$6:$B$100,'GP1 (2)'!$F$6:$F$100,"")</f>
        <v>21</v>
      </c>
      <c r="AA11" s="27">
        <f>_xlfn.XLOOKUP($B11,'GP2 (1)'!$B$6:$B$101,'GP2 (1)'!$F$6:$F$101,"")</f>
        <v>23</v>
      </c>
      <c r="AB11" s="28">
        <f>_xlfn.XLOOKUP($B11,'GP2 (2)'!$B$6:$B$100,'GP2 (2)'!$F$6:$F$100,"")</f>
        <v>25</v>
      </c>
      <c r="AC11" s="24">
        <f>_xlfn.XLOOKUP($B11,'GP3 (1)'!$B$6:$B$100,'GP3 (1)'!$F$6:$F$100,"")</f>
        <v>29</v>
      </c>
      <c r="AD11" s="25">
        <f>_xlfn.XLOOKUP($B11,'GP3 (2)'!$B$6:$B$100,'GP3 (2)'!$F$6:$F$100,"")</f>
        <v>20</v>
      </c>
      <c r="AE11" s="27" t="str">
        <f>_xlfn.XLOOKUP($B11,'GP4 (1)'!$B$6:$B$66,'GP4 (1)'!$F$6:$F$66,"")</f>
        <v/>
      </c>
      <c r="AF11" s="28" t="str">
        <f>_xlfn.XLOOKUP($B11,'GP4 (2)'!$B$6:$B$100,'GP4 (2)'!$F$6:$F$100,"")</f>
        <v/>
      </c>
      <c r="AG11" s="24" t="str">
        <f>_xlfn.XLOOKUP($B11,'GP5 (1)'!$B$6:$B$99,'GP5 (1)'!$F$6:$F$99,"")</f>
        <v/>
      </c>
      <c r="AH11" s="26" t="str">
        <f>_xlfn.XLOOKUP($B11,'GP5 (2)'!$B$6:$B$99,'GP5 (2)'!$F$6:$F$99,"")</f>
        <v/>
      </c>
      <c r="AI11" s="27">
        <f>_xlfn.XLOOKUP($B11,'GP6 (1)'!$B$5:$B$99,'GP6 (1)'!$F$5:$F$99,"")</f>
        <v>11</v>
      </c>
      <c r="AJ11" s="28">
        <f>_xlfn.XLOOKUP($B11,'GP6 (2)'!$B$5:$B$99,'GP6 (2)'!$F$5:$F$99,"")</f>
        <v>12</v>
      </c>
      <c r="AK11" s="24">
        <f>_xlfn.XLOOKUP($B11,'GP7 (1)'!$B$6:$B$100,'GP7 (1)'!$F$6:$F$100,"")</f>
        <v>18</v>
      </c>
      <c r="AL11" s="26">
        <f>_xlfn.XLOOKUP($B11,'GP7 (2)'!$B$6:$B$100,'GP7 (2)'!$F$6:$F$100,"")</f>
        <v>17</v>
      </c>
      <c r="AM11" s="27">
        <f>_xlfn.XLOOKUP($B11,'GP8 (1)'!$B$6:$B$100,'GP8 (1)'!$F$6:$F$100,"")</f>
        <v>19</v>
      </c>
      <c r="AN11" s="29">
        <f>_xlfn.XLOOKUP($B11,'GP8 (2)'!$B$6:$B$100,'GP8 (2)'!$F$6:$F$100,"")</f>
        <v>20</v>
      </c>
      <c r="AO11" s="13">
        <f>SUM(AP11:BG11)</f>
        <v>93</v>
      </c>
      <c r="AP11" s="29">
        <f>_xlfn.XLOOKUP($B11,'MP (1)'!$B$6:$B$99,'MP (1)'!$H$6:$H$99,"")</f>
        <v>4</v>
      </c>
      <c r="AQ11" s="28">
        <f>_xlfn.XLOOKUP($B11,'MP (2)'!$B$6:$B$100,'MP (2)'!$H$6:$H$100,"")</f>
        <v>12</v>
      </c>
      <c r="AR11" s="24">
        <f>_xlfn.XLOOKUP($B11,'GP1 (1)'!$B$6:$B$100,'GP1 (1)'!$H$6:$H$100,"")</f>
        <v>7</v>
      </c>
      <c r="AS11" s="25">
        <f>_xlfn.XLOOKUP($B11,'GP1 (2)'!$B$6:$B$100,'GP1 (2)'!$H$6:$H$100,"")</f>
        <v>11</v>
      </c>
      <c r="AT11" s="27">
        <f>_xlfn.XLOOKUP($B11,'GP2 (1)'!$B$6:$B$101,'GP2 (1)'!$H$6:$H$101,"")</f>
        <v>12</v>
      </c>
      <c r="AU11" s="28">
        <f>_xlfn.XLOOKUP($B11,'GP2 (2)'!$B$6:$B$100,'GP2 (2)'!$H$6:$H$100,"")</f>
        <v>16</v>
      </c>
      <c r="AV11" s="24">
        <f>_xlfn.XLOOKUP($B11,'GP3 (1)'!$B$6:$B$100,'GP3 (1)'!$H$6:$H$100,"")</f>
        <v>11</v>
      </c>
      <c r="AW11" s="25">
        <f>_xlfn.XLOOKUP($B11,'GP3 (2)'!$B$6:$B$100,'GP3 (2)'!$H$6:$H$100,"")</f>
        <v>6</v>
      </c>
      <c r="AX11" s="27" t="str">
        <f>_xlfn.XLOOKUP($B11,'GP4 (1)'!$B$6:$B$66,'GP4 (1)'!$H$6:$H$66,"")</f>
        <v/>
      </c>
      <c r="AY11" s="28" t="str">
        <f>_xlfn.XLOOKUP($B11,'GP4 (2)'!$B$6:$B$100,'GP4 (2)'!$H$6:$H$100,"")</f>
        <v/>
      </c>
      <c r="AZ11" s="24" t="str">
        <f>_xlfn.XLOOKUP($B11,'GP5 (1)'!$B$6:$B$99,'GP5 (1)'!$H$6:$H$99,"")</f>
        <v/>
      </c>
      <c r="BA11" s="25" t="str">
        <f>_xlfn.XLOOKUP($B11,'GP5 (2)'!$B$6:$B$99,'GP5 (2)'!$H$6:$H$99,"")</f>
        <v/>
      </c>
      <c r="BB11" s="27">
        <f>_xlfn.XLOOKUP($B11,'GP6 (1)'!$B$5:$B$99,'GP6 (1)'!$H$5:$H$99,"")</f>
        <v>-5</v>
      </c>
      <c r="BC11" s="28">
        <f>_xlfn.XLOOKUP($B11,'GP6 (2)'!$B$5:$B$99,'GP6 (2)'!$H$5:$H$99,"")</f>
        <v>0</v>
      </c>
      <c r="BD11" s="24">
        <f>_xlfn.XLOOKUP($B11,'GP7 (1)'!$B$6:$B$100,'GP7 (1)'!$H$6:$H$100,"")</f>
        <v>6</v>
      </c>
      <c r="BE11" s="25">
        <f>_xlfn.XLOOKUP($B11,'GP7 (2)'!$B$6:$B$100,'GP7 (2)'!$H$6:$H$100,"")</f>
        <v>0</v>
      </c>
      <c r="BF11" s="27">
        <f>_xlfn.XLOOKUP($B11,'GP8 (1)'!$B$6:$B$100,'GP8 (1)'!$H$6:$H$100,"")</f>
        <v>4</v>
      </c>
      <c r="BG11" s="32">
        <f>_xlfn.XLOOKUP($B11,'GP8 (2)'!$B$6:$B$100,'GP8 (2)'!$H$6:$H$100,"")</f>
        <v>9</v>
      </c>
    </row>
    <row r="12" spans="1:59" ht="14.3" x14ac:dyDescent="0.25">
      <c r="A12" s="1">
        <f>ROW()-4</f>
        <v>8</v>
      </c>
      <c r="B12" s="5" t="s">
        <v>21</v>
      </c>
      <c r="C12" s="30">
        <f>SUM(D12:U12)</f>
        <v>6.09</v>
      </c>
      <c r="D12" s="35">
        <f>_xlfn.XLOOKUP($B12,'MP (1)'!$B$6:$B$99,'MP (1)'!$E$6:$E$99,"")</f>
        <v>0.67</v>
      </c>
      <c r="E12" s="36">
        <f>_xlfn.XLOOKUP($B12,'MP (2)'!$B$6:$B$100,'MP (2)'!$E$6:$E$100,"")</f>
        <v>0.67</v>
      </c>
      <c r="F12" s="40" t="str">
        <f>_xlfn.XLOOKUP($B12,'GP1 (1)'!$B$6:$B$100,'GP1 (1)'!$E$6:$E$100,"")</f>
        <v/>
      </c>
      <c r="G12" s="41" t="str">
        <f>_xlfn.XLOOKUP($B12,'GP1 (2)'!$B$6:$B$100,'GP1 (2)'!$E$6:$E$100,"")</f>
        <v/>
      </c>
      <c r="H12" s="39">
        <f>_xlfn.XLOOKUP($B12,'GP2 (1)'!$B$6:$B$101,'GP2 (1)'!$E$6:$E$101,"")</f>
        <v>0.6</v>
      </c>
      <c r="I12" s="36">
        <f>_xlfn.XLOOKUP($B12,'GP2 (2)'!$B$6:$B$100,'GP2 (2)'!$E$6:$E$100,"")</f>
        <v>0.6</v>
      </c>
      <c r="J12" s="40">
        <f>_xlfn.XLOOKUP($B12,'GP3 (1)'!$B$6:$B$100,'GP3 (1)'!$E$6:$E$100,"")</f>
        <v>0.4</v>
      </c>
      <c r="K12" s="41" t="str">
        <f>_xlfn.XLOOKUP($B12,'GP3 (2)'!$B$6:$B$100,'GP3 (2)'!$E$6:$E$100,"")</f>
        <v>0.83</v>
      </c>
      <c r="L12" s="39">
        <f>_xlfn.XLOOKUP($B12,'GP4 (1)'!$B$6:$B$66,'GP4 (1)'!$E$6:$E$66,"")</f>
        <v>0.8</v>
      </c>
      <c r="M12" s="36">
        <f>_xlfn.XLOOKUP($B12,'GP4 (2)'!$B$6:$B$100,'GP4 (2)'!$E$6:$E$100,"")</f>
        <v>0.8</v>
      </c>
      <c r="N12" s="40">
        <f>_xlfn.XLOOKUP($B12,'GP5 (1)'!$B$6:$B$99,'GP5 (1)'!$E$6:$E$99,"")</f>
        <v>0.8</v>
      </c>
      <c r="O12" s="42">
        <f>_xlfn.XLOOKUP($B12,'GP5 (2)'!$B$6:$B$99,'GP5 (2)'!$E$6:$E$99,"")</f>
        <v>0.75</v>
      </c>
      <c r="P12" s="39" t="str">
        <f>_xlfn.XLOOKUP($B12,'GP6 (1)'!$B$5:$B$99,'GP6 (1)'!$E$5:$E$99,"")</f>
        <v>1.00</v>
      </c>
      <c r="Q12" s="36" t="str">
        <f>_xlfn.XLOOKUP($B12,'GP6 (2)'!$B$5:$B$99,'GP6 (2)'!$E$5:$E$99,"")</f>
        <v>0.50</v>
      </c>
      <c r="R12" s="40" t="str">
        <f>_xlfn.XLOOKUP($B12,'GP7 (1)'!$B$6:$B$100,'GP7 (1)'!$E$6:$E$100,"")</f>
        <v/>
      </c>
      <c r="S12" s="42" t="str">
        <f>_xlfn.XLOOKUP($B12,'GP7 (2)'!$B$6:$B$100,'GP7 (2)'!$E$6:$E$100,"")</f>
        <v/>
      </c>
      <c r="T12" s="39" t="str">
        <f>_xlfn.XLOOKUP($B12,'GP8 (1)'!$B$6:$B$100,'GP8 (1)'!$E$6:$E$100,"")</f>
        <v/>
      </c>
      <c r="U12" s="35" t="str">
        <f>_xlfn.XLOOKUP($B12,'GP8 (2)'!$B$6:$B$100,'GP8 (2)'!$E$6:$E$100,"")</f>
        <v/>
      </c>
      <c r="V12" s="13">
        <f>SUM(W12:AN12)</f>
        <v>239</v>
      </c>
      <c r="W12" s="29">
        <f>_xlfn.XLOOKUP($B12,'MP (1)'!$B$6:$B$99,'MP (1)'!$F$6:$F$99,"")</f>
        <v>24</v>
      </c>
      <c r="X12" s="28">
        <f>_xlfn.XLOOKUP($B12,'MP (2)'!$B$6:$B$100,'MP (2)'!$F$6:$F$100,"")</f>
        <v>21</v>
      </c>
      <c r="Y12" s="24" t="str">
        <f>_xlfn.XLOOKUP($B12,'GP1 (1)'!$B$6:$B$100,'GP1 (1)'!$F$6:$F$100,"")</f>
        <v/>
      </c>
      <c r="Z12" s="25" t="str">
        <f>_xlfn.XLOOKUP($B12,'GP1 (2)'!$B$6:$B$100,'GP1 (2)'!$F$6:$F$100,"")</f>
        <v/>
      </c>
      <c r="AA12" s="27">
        <f>_xlfn.XLOOKUP($B12,'GP2 (1)'!$B$6:$B$101,'GP2 (1)'!$F$6:$F$101,"")</f>
        <v>19</v>
      </c>
      <c r="AB12" s="28">
        <f>_xlfn.XLOOKUP($B12,'GP2 (2)'!$B$6:$B$100,'GP2 (2)'!$F$6:$F$100,"")</f>
        <v>20</v>
      </c>
      <c r="AC12" s="24">
        <f>_xlfn.XLOOKUP($B12,'GP3 (1)'!$B$6:$B$100,'GP3 (1)'!$F$6:$F$100,"")</f>
        <v>13</v>
      </c>
      <c r="AD12" s="25">
        <f>_xlfn.XLOOKUP($B12,'GP3 (2)'!$B$6:$B$100,'GP3 (2)'!$F$6:$F$100,"")</f>
        <v>25</v>
      </c>
      <c r="AE12" s="27">
        <f>_xlfn.XLOOKUP($B12,'GP4 (1)'!$B$6:$B$66,'GP4 (1)'!$F$6:$F$66,"")</f>
        <v>20</v>
      </c>
      <c r="AF12" s="28">
        <f>_xlfn.XLOOKUP($B12,'GP4 (2)'!$B$6:$B$100,'GP4 (2)'!$F$6:$F$100,"")</f>
        <v>22</v>
      </c>
      <c r="AG12" s="24">
        <f>_xlfn.XLOOKUP($B12,'GP5 (1)'!$B$6:$B$99,'GP5 (1)'!$F$6:$F$99,"")</f>
        <v>22</v>
      </c>
      <c r="AH12" s="26">
        <f>_xlfn.XLOOKUP($B12,'GP5 (2)'!$B$6:$B$99,'GP5 (2)'!$F$6:$F$99,"")</f>
        <v>19</v>
      </c>
      <c r="AI12" s="27">
        <f>_xlfn.XLOOKUP($B12,'GP6 (1)'!$B$5:$B$99,'GP6 (1)'!$F$5:$F$99,"")</f>
        <v>19</v>
      </c>
      <c r="AJ12" s="28">
        <f>_xlfn.XLOOKUP($B12,'GP6 (2)'!$B$5:$B$99,'GP6 (2)'!$F$5:$F$99,"")</f>
        <v>15</v>
      </c>
      <c r="AK12" s="24" t="str">
        <f>_xlfn.XLOOKUP($B12,'GP7 (1)'!$B$6:$B$100,'GP7 (1)'!$F$6:$F$100,"")</f>
        <v/>
      </c>
      <c r="AL12" s="26" t="str">
        <f>_xlfn.XLOOKUP($B12,'GP7 (2)'!$B$6:$B$100,'GP7 (2)'!$F$6:$F$100,"")</f>
        <v/>
      </c>
      <c r="AM12" s="27" t="str">
        <f>_xlfn.XLOOKUP($B12,'GP8 (1)'!$B$6:$B$100,'GP8 (1)'!$F$6:$F$100,"")</f>
        <v/>
      </c>
      <c r="AN12" s="29" t="str">
        <f>_xlfn.XLOOKUP($B12,'GP8 (2)'!$B$6:$B$100,'GP8 (2)'!$F$6:$F$100,"")</f>
        <v/>
      </c>
      <c r="AO12" s="13">
        <f>SUM(AP12:BG12)</f>
        <v>86</v>
      </c>
      <c r="AP12" s="29">
        <f>_xlfn.XLOOKUP($B12,'MP (1)'!$B$6:$B$99,'MP (1)'!$H$6:$H$99,"")</f>
        <v>10</v>
      </c>
      <c r="AQ12" s="28">
        <f>_xlfn.XLOOKUP($B12,'MP (2)'!$B$6:$B$100,'MP (2)'!$H$6:$H$100,"")</f>
        <v>6</v>
      </c>
      <c r="AR12" s="24" t="str">
        <f>_xlfn.XLOOKUP($B12,'GP1 (1)'!$B$6:$B$100,'GP1 (1)'!$H$6:$H$100,"")</f>
        <v/>
      </c>
      <c r="AS12" s="25" t="str">
        <f>_xlfn.XLOOKUP($B12,'GP1 (2)'!$B$6:$B$100,'GP1 (2)'!$H$6:$H$100,"")</f>
        <v/>
      </c>
      <c r="AT12" s="27">
        <f>_xlfn.XLOOKUP($B12,'GP2 (1)'!$B$6:$B$101,'GP2 (1)'!$H$6:$H$101,"")</f>
        <v>6</v>
      </c>
      <c r="AU12" s="28">
        <f>_xlfn.XLOOKUP($B12,'GP2 (2)'!$B$6:$B$100,'GP2 (2)'!$H$6:$H$100,"")</f>
        <v>4</v>
      </c>
      <c r="AV12" s="24">
        <f>_xlfn.XLOOKUP($B12,'GP3 (1)'!$B$6:$B$100,'GP3 (1)'!$H$6:$H$100,"")</f>
        <v>-5</v>
      </c>
      <c r="AW12" s="25">
        <f>_xlfn.XLOOKUP($B12,'GP3 (2)'!$B$6:$B$100,'GP3 (2)'!$H$6:$H$100,"")</f>
        <v>11</v>
      </c>
      <c r="AX12" s="27">
        <f>_xlfn.XLOOKUP($B12,'GP4 (1)'!$B$6:$B$66,'GP4 (1)'!$H$6:$H$66,"")</f>
        <v>11</v>
      </c>
      <c r="AY12" s="28">
        <f>_xlfn.XLOOKUP($B12,'GP4 (2)'!$B$6:$B$100,'GP4 (2)'!$H$6:$H$100,"")</f>
        <v>11</v>
      </c>
      <c r="AZ12" s="24">
        <f>_xlfn.XLOOKUP($B12,'GP5 (1)'!$B$6:$B$99,'GP5 (1)'!$H$6:$H$99,"")</f>
        <v>12</v>
      </c>
      <c r="BA12" s="25">
        <f>_xlfn.XLOOKUP($B12,'GP5 (2)'!$B$6:$B$99,'GP5 (2)'!$H$6:$H$99,"")</f>
        <v>9</v>
      </c>
      <c r="BB12" s="27">
        <f>_xlfn.XLOOKUP($B12,'GP6 (1)'!$B$5:$B$99,'GP6 (1)'!$H$5:$H$99,"")</f>
        <v>12</v>
      </c>
      <c r="BC12" s="28">
        <f>_xlfn.XLOOKUP($B12,'GP6 (2)'!$B$5:$B$99,'GP6 (2)'!$H$5:$H$99,"")</f>
        <v>-1</v>
      </c>
      <c r="BD12" s="24" t="str">
        <f>_xlfn.XLOOKUP($B12,'GP7 (1)'!$B$6:$B$100,'GP7 (1)'!$H$6:$H$100,"")</f>
        <v/>
      </c>
      <c r="BE12" s="25" t="str">
        <f>_xlfn.XLOOKUP($B12,'GP7 (2)'!$B$6:$B$100,'GP7 (2)'!$H$6:$H$100,"")</f>
        <v/>
      </c>
      <c r="BF12" s="27" t="str">
        <f>_xlfn.XLOOKUP($B12,'GP8 (1)'!$B$6:$B$100,'GP8 (1)'!$H$6:$H$100,"")</f>
        <v/>
      </c>
      <c r="BG12" s="32" t="str">
        <f>_xlfn.XLOOKUP($B12,'GP8 (2)'!$B$6:$B$100,'GP8 (2)'!$H$6:$H$100,"")</f>
        <v/>
      </c>
    </row>
    <row r="13" spans="1:59" ht="14.3" x14ac:dyDescent="0.25">
      <c r="A13" s="1">
        <f>ROW()-4</f>
        <v>9</v>
      </c>
      <c r="B13" s="5" t="s">
        <v>22</v>
      </c>
      <c r="C13" s="30">
        <f>SUM(D13:U13)</f>
        <v>5.97</v>
      </c>
      <c r="D13" s="35" t="str">
        <f>_xlfn.XLOOKUP($B13,'MP (1)'!$B$6:$B$99,'MP (1)'!$E$6:$E$99,"")</f>
        <v/>
      </c>
      <c r="E13" s="36" t="str">
        <f>_xlfn.XLOOKUP($B13,'MP (2)'!$B$6:$B$100,'MP (2)'!$E$6:$E$100,"")</f>
        <v/>
      </c>
      <c r="F13" s="40">
        <f>_xlfn.XLOOKUP($B13,'GP1 (1)'!$B$6:$B$100,'GP1 (1)'!$E$6:$E$100,"")</f>
        <v>1</v>
      </c>
      <c r="G13" s="41">
        <f>_xlfn.XLOOKUP($B13,'GP1 (2)'!$B$6:$B$100,'GP1 (2)'!$E$6:$E$100,"")</f>
        <v>0.8</v>
      </c>
      <c r="H13" s="39">
        <f>_xlfn.XLOOKUP($B13,'GP2 (1)'!$B$6:$B$101,'GP2 (1)'!$E$6:$E$101,"")</f>
        <v>0.6</v>
      </c>
      <c r="I13" s="36">
        <f>_xlfn.XLOOKUP($B13,'GP2 (2)'!$B$6:$B$100,'GP2 (2)'!$E$6:$E$100,"")</f>
        <v>0.6</v>
      </c>
      <c r="J13" s="40">
        <f>_xlfn.XLOOKUP($B13,'GP3 (1)'!$B$6:$B$100,'GP3 (1)'!$E$6:$E$100,"")</f>
        <v>1</v>
      </c>
      <c r="K13" s="41" t="str">
        <f>_xlfn.XLOOKUP($B13,'GP3 (2)'!$B$6:$B$100,'GP3 (2)'!$E$6:$E$100,"")</f>
        <v>0.50</v>
      </c>
      <c r="L13" s="39">
        <f>_xlfn.XLOOKUP($B13,'GP4 (1)'!$B$6:$B$66,'GP4 (1)'!$E$6:$E$66,"")</f>
        <v>0.8</v>
      </c>
      <c r="M13" s="36">
        <f>_xlfn.XLOOKUP($B13,'GP4 (2)'!$B$6:$B$100,'GP4 (2)'!$E$6:$E$100,"")</f>
        <v>0.67</v>
      </c>
      <c r="N13" s="40">
        <f>_xlfn.XLOOKUP($B13,'GP5 (1)'!$B$6:$B$99,'GP5 (1)'!$E$6:$E$99,"")</f>
        <v>0.5</v>
      </c>
      <c r="O13" s="42">
        <f>_xlfn.XLOOKUP($B13,'GP5 (2)'!$B$6:$B$99,'GP5 (2)'!$E$6:$E$99,"")</f>
        <v>0</v>
      </c>
      <c r="P13" s="39" t="str">
        <f>_xlfn.XLOOKUP($B13,'GP6 (1)'!$B$5:$B$99,'GP6 (1)'!$E$5:$E$99,"")</f>
        <v>1.00</v>
      </c>
      <c r="Q13" s="36" t="str">
        <f>_xlfn.XLOOKUP($B13,'GP6 (2)'!$B$5:$B$99,'GP6 (2)'!$E$5:$E$99,"")</f>
        <v>1.00</v>
      </c>
      <c r="R13" s="40" t="str">
        <f>_xlfn.XLOOKUP($B13,'GP7 (1)'!$B$6:$B$100,'GP7 (1)'!$E$6:$E$100,"")</f>
        <v/>
      </c>
      <c r="S13" s="42" t="str">
        <f>_xlfn.XLOOKUP($B13,'GP7 (2)'!$B$6:$B$100,'GP7 (2)'!$E$6:$E$100,"")</f>
        <v/>
      </c>
      <c r="T13" s="39" t="str">
        <f>_xlfn.XLOOKUP($B13,'GP8 (1)'!$B$6:$B$100,'GP8 (1)'!$E$6:$E$100,"")</f>
        <v/>
      </c>
      <c r="U13" s="35" t="str">
        <f>_xlfn.XLOOKUP($B13,'GP8 (2)'!$B$6:$B$100,'GP8 (2)'!$E$6:$E$100,"")</f>
        <v/>
      </c>
      <c r="V13" s="13">
        <f>SUM(W13:AN13)</f>
        <v>255</v>
      </c>
      <c r="W13" s="29" t="str">
        <f>_xlfn.XLOOKUP($B13,'MP (1)'!$B$6:$B$99,'MP (1)'!$F$6:$F$99,"")</f>
        <v/>
      </c>
      <c r="X13" s="28" t="str">
        <f>_xlfn.XLOOKUP($B13,'MP (2)'!$B$6:$B$100,'MP (2)'!$F$6:$F$100,"")</f>
        <v/>
      </c>
      <c r="Y13" s="24">
        <f>_xlfn.XLOOKUP($B13,'GP1 (1)'!$B$6:$B$100,'GP1 (1)'!$F$6:$F$100,"")</f>
        <v>25</v>
      </c>
      <c r="Z13" s="25">
        <f>_xlfn.XLOOKUP($B13,'GP1 (2)'!$B$6:$B$100,'GP1 (2)'!$F$6:$F$100,"")</f>
        <v>23</v>
      </c>
      <c r="AA13" s="27">
        <f>_xlfn.XLOOKUP($B13,'GP2 (1)'!$B$6:$B$101,'GP2 (1)'!$F$6:$F$101,"")</f>
        <v>16</v>
      </c>
      <c r="AB13" s="28">
        <f>_xlfn.XLOOKUP($B13,'GP2 (2)'!$B$6:$B$100,'GP2 (2)'!$F$6:$F$100,"")</f>
        <v>20</v>
      </c>
      <c r="AC13" s="24">
        <f>_xlfn.XLOOKUP($B13,'GP3 (1)'!$B$6:$B$100,'GP3 (1)'!$F$6:$F$100,"")</f>
        <v>25</v>
      </c>
      <c r="AD13" s="25">
        <f>_xlfn.XLOOKUP($B13,'GP3 (2)'!$B$6:$B$100,'GP3 (2)'!$F$6:$F$100,"")</f>
        <v>23</v>
      </c>
      <c r="AE13" s="27">
        <f>_xlfn.XLOOKUP($B13,'GP4 (1)'!$B$6:$B$66,'GP4 (1)'!$F$6:$F$66,"")</f>
        <v>20</v>
      </c>
      <c r="AF13" s="28">
        <f>_xlfn.XLOOKUP($B13,'GP4 (2)'!$B$6:$B$100,'GP4 (2)'!$F$6:$F$100,"")</f>
        <v>25</v>
      </c>
      <c r="AG13" s="24">
        <f>_xlfn.XLOOKUP($B13,'GP5 (1)'!$B$6:$B$99,'GP5 (1)'!$F$6:$F$99,"")</f>
        <v>17</v>
      </c>
      <c r="AH13" s="26">
        <f>_xlfn.XLOOKUP($B13,'GP5 (2)'!$B$6:$B$99,'GP5 (2)'!$F$6:$F$99,"")</f>
        <v>11</v>
      </c>
      <c r="AI13" s="27">
        <f>_xlfn.XLOOKUP($B13,'GP6 (1)'!$B$5:$B$99,'GP6 (1)'!$F$5:$F$99,"")</f>
        <v>25</v>
      </c>
      <c r="AJ13" s="28">
        <f>_xlfn.XLOOKUP($B13,'GP6 (2)'!$B$5:$B$99,'GP6 (2)'!$F$5:$F$99,"")</f>
        <v>25</v>
      </c>
      <c r="AK13" s="24" t="str">
        <f>_xlfn.XLOOKUP($B13,'GP7 (1)'!$B$6:$B$100,'GP7 (1)'!$F$6:$F$100,"")</f>
        <v/>
      </c>
      <c r="AL13" s="26" t="str">
        <f>_xlfn.XLOOKUP($B13,'GP7 (2)'!$B$6:$B$100,'GP7 (2)'!$F$6:$F$100,"")</f>
        <v/>
      </c>
      <c r="AM13" s="27" t="str">
        <f>_xlfn.XLOOKUP($B13,'GP8 (1)'!$B$6:$B$100,'GP8 (1)'!$F$6:$F$100,"")</f>
        <v/>
      </c>
      <c r="AN13" s="29" t="str">
        <f>_xlfn.XLOOKUP($B13,'GP8 (2)'!$B$6:$B$100,'GP8 (2)'!$F$6:$F$100,"")</f>
        <v/>
      </c>
      <c r="AO13" s="13">
        <f>SUM(AP13:BG13)</f>
        <v>103</v>
      </c>
      <c r="AP13" s="29" t="str">
        <f>_xlfn.XLOOKUP($B13,'MP (1)'!$B$6:$B$99,'MP (1)'!$H$6:$H$99,"")</f>
        <v/>
      </c>
      <c r="AQ13" s="28" t="str">
        <f>_xlfn.XLOOKUP($B13,'MP (2)'!$B$6:$B$100,'MP (2)'!$H$6:$H$100,"")</f>
        <v/>
      </c>
      <c r="AR13" s="24">
        <f>_xlfn.XLOOKUP($B13,'GP1 (1)'!$B$6:$B$100,'GP1 (1)'!$H$6:$H$100,"")</f>
        <v>17</v>
      </c>
      <c r="AS13" s="25">
        <f>_xlfn.XLOOKUP($B13,'GP1 (2)'!$B$6:$B$100,'GP1 (2)'!$H$6:$H$100,"")</f>
        <v>12</v>
      </c>
      <c r="AT13" s="27">
        <f>_xlfn.XLOOKUP($B13,'GP2 (1)'!$B$6:$B$101,'GP2 (1)'!$H$6:$H$101,"")</f>
        <v>-3</v>
      </c>
      <c r="AU13" s="28">
        <f>_xlfn.XLOOKUP($B13,'GP2 (2)'!$B$6:$B$100,'GP2 (2)'!$H$6:$H$100,"")</f>
        <v>7</v>
      </c>
      <c r="AV13" s="24">
        <f>_xlfn.XLOOKUP($B13,'GP3 (1)'!$B$6:$B$100,'GP3 (1)'!$H$6:$H$100,"")</f>
        <v>16</v>
      </c>
      <c r="AW13" s="25">
        <f>_xlfn.XLOOKUP($B13,'GP3 (2)'!$B$6:$B$100,'GP3 (2)'!$H$6:$H$100,"")</f>
        <v>2</v>
      </c>
      <c r="AX13" s="27">
        <f>_xlfn.XLOOKUP($B13,'GP4 (1)'!$B$6:$B$66,'GP4 (1)'!$H$6:$H$66,"")</f>
        <v>9</v>
      </c>
      <c r="AY13" s="28">
        <f>_xlfn.XLOOKUP($B13,'GP4 (2)'!$B$6:$B$100,'GP4 (2)'!$H$6:$H$100,"")</f>
        <v>10</v>
      </c>
      <c r="AZ13" s="24">
        <f>_xlfn.XLOOKUP($B13,'GP5 (1)'!$B$6:$B$99,'GP5 (1)'!$H$6:$H$99,"")</f>
        <v>6</v>
      </c>
      <c r="BA13" s="25">
        <f>_xlfn.XLOOKUP($B13,'GP5 (2)'!$B$6:$B$99,'GP5 (2)'!$H$6:$H$99,"")</f>
        <v>-9</v>
      </c>
      <c r="BB13" s="27">
        <f>_xlfn.XLOOKUP($B13,'GP6 (1)'!$B$5:$B$99,'GP6 (1)'!$H$5:$H$99,"")</f>
        <v>15</v>
      </c>
      <c r="BC13" s="28">
        <f>_xlfn.XLOOKUP($B13,'GP6 (2)'!$B$5:$B$99,'GP6 (2)'!$H$5:$H$99,"")</f>
        <v>21</v>
      </c>
      <c r="BD13" s="24" t="str">
        <f>_xlfn.XLOOKUP($B13,'GP7 (1)'!$B$6:$B$100,'GP7 (1)'!$H$6:$H$100,"")</f>
        <v/>
      </c>
      <c r="BE13" s="25" t="str">
        <f>_xlfn.XLOOKUP($B13,'GP7 (2)'!$B$6:$B$100,'GP7 (2)'!$H$6:$H$100,"")</f>
        <v/>
      </c>
      <c r="BF13" s="27" t="str">
        <f>_xlfn.XLOOKUP($B13,'GP8 (1)'!$B$6:$B$100,'GP8 (1)'!$H$6:$H$100,"")</f>
        <v/>
      </c>
      <c r="BG13" s="32" t="str">
        <f>_xlfn.XLOOKUP($B13,'GP8 (2)'!$B$6:$B$100,'GP8 (2)'!$H$6:$H$100,"")</f>
        <v/>
      </c>
    </row>
    <row r="14" spans="1:59" ht="14.3" x14ac:dyDescent="0.25">
      <c r="A14" s="1">
        <f>ROW()-4</f>
        <v>10</v>
      </c>
      <c r="B14" s="5" t="s">
        <v>23</v>
      </c>
      <c r="C14" s="30">
        <f>SUM(D14:U14)</f>
        <v>5.7200000000000006</v>
      </c>
      <c r="D14" s="35">
        <f>_xlfn.XLOOKUP($B14,'MP (1)'!$B$6:$B$99,'MP (1)'!$E$6:$E$99,"")</f>
        <v>0.5</v>
      </c>
      <c r="E14" s="36">
        <f>_xlfn.XLOOKUP($B14,'MP (2)'!$B$6:$B$100,'MP (2)'!$E$6:$E$100,"")</f>
        <v>0.67</v>
      </c>
      <c r="F14" s="40" t="str">
        <f>_xlfn.XLOOKUP($B14,'GP1 (1)'!$B$6:$B$100,'GP1 (1)'!$E$6:$E$100,"")</f>
        <v/>
      </c>
      <c r="G14" s="41" t="str">
        <f>_xlfn.XLOOKUP($B14,'GP1 (2)'!$B$6:$B$100,'GP1 (2)'!$E$6:$E$100,"")</f>
        <v/>
      </c>
      <c r="H14" s="39">
        <f>_xlfn.XLOOKUP($B14,'GP2 (1)'!$B$6:$B$101,'GP2 (1)'!$E$6:$E$101,"")</f>
        <v>0.8</v>
      </c>
      <c r="I14" s="36">
        <f>_xlfn.XLOOKUP($B14,'GP2 (2)'!$B$6:$B$100,'GP2 (2)'!$E$6:$E$100,"")</f>
        <v>0.8</v>
      </c>
      <c r="J14" s="40">
        <f>_xlfn.XLOOKUP($B14,'GP3 (1)'!$B$6:$B$100,'GP3 (1)'!$E$6:$E$100,"")</f>
        <v>0.6</v>
      </c>
      <c r="K14" s="41" t="str">
        <f>_xlfn.XLOOKUP($B14,'GP3 (2)'!$B$6:$B$100,'GP3 (2)'!$E$6:$E$100,"")</f>
        <v>0.40</v>
      </c>
      <c r="L14" s="39" t="str">
        <f>_xlfn.XLOOKUP($B14,'GP4 (1)'!$B$6:$B$66,'GP4 (1)'!$E$6:$E$66,"")</f>
        <v/>
      </c>
      <c r="M14" s="36" t="str">
        <f>_xlfn.XLOOKUP($B14,'GP4 (2)'!$B$6:$B$100,'GP4 (2)'!$E$6:$E$100,"")</f>
        <v/>
      </c>
      <c r="N14" s="40">
        <f>_xlfn.XLOOKUP($B14,'GP5 (1)'!$B$6:$B$99,'GP5 (1)'!$E$6:$E$99,"")</f>
        <v>0.6</v>
      </c>
      <c r="O14" s="42">
        <f>_xlfn.XLOOKUP($B14,'GP5 (2)'!$B$6:$B$99,'GP5 (2)'!$E$6:$E$99,"")</f>
        <v>1</v>
      </c>
      <c r="P14" s="39" t="str">
        <f>_xlfn.XLOOKUP($B14,'GP6 (1)'!$B$5:$B$99,'GP6 (1)'!$E$5:$E$99,"")</f>
        <v/>
      </c>
      <c r="Q14" s="36" t="str">
        <f>_xlfn.XLOOKUP($B14,'GP6 (2)'!$B$5:$B$99,'GP6 (2)'!$E$5:$E$99,"")</f>
        <v/>
      </c>
      <c r="R14" s="40" t="str">
        <f>_xlfn.XLOOKUP($B14,'GP7 (1)'!$B$6:$B$100,'GP7 (1)'!$E$6:$E$100,"")</f>
        <v>0.80</v>
      </c>
      <c r="S14" s="42">
        <f>_xlfn.XLOOKUP($B14,'GP7 (2)'!$B$6:$B$100,'GP7 (2)'!$E$6:$E$100,"")</f>
        <v>0.75</v>
      </c>
      <c r="T14" s="39" t="str">
        <f>_xlfn.XLOOKUP($B14,'GP8 (1)'!$B$6:$B$100,'GP8 (1)'!$E$6:$E$100,"")</f>
        <v/>
      </c>
      <c r="U14" s="35" t="str">
        <f>_xlfn.XLOOKUP($B14,'GP8 (2)'!$B$6:$B$100,'GP8 (2)'!$E$6:$E$100,"")</f>
        <v/>
      </c>
      <c r="V14" s="13">
        <f>SUM(W14:AN14)</f>
        <v>206</v>
      </c>
      <c r="W14" s="29">
        <f>_xlfn.XLOOKUP($B14,'MP (1)'!$B$6:$B$99,'MP (1)'!$F$6:$F$99,"")</f>
        <v>20</v>
      </c>
      <c r="X14" s="28">
        <f>_xlfn.XLOOKUP($B14,'MP (2)'!$B$6:$B$100,'MP (2)'!$F$6:$F$100,"")</f>
        <v>24</v>
      </c>
      <c r="Y14" s="24" t="str">
        <f>_xlfn.XLOOKUP($B14,'GP1 (1)'!$B$6:$B$100,'GP1 (1)'!$F$6:$F$100,"")</f>
        <v/>
      </c>
      <c r="Z14" s="25" t="str">
        <f>_xlfn.XLOOKUP($B14,'GP1 (2)'!$B$6:$B$100,'GP1 (2)'!$F$6:$F$100,"")</f>
        <v/>
      </c>
      <c r="AA14" s="27">
        <f>_xlfn.XLOOKUP($B14,'GP2 (1)'!$B$6:$B$101,'GP2 (1)'!$F$6:$F$101,"")</f>
        <v>21</v>
      </c>
      <c r="AB14" s="28">
        <f>_xlfn.XLOOKUP($B14,'GP2 (2)'!$B$6:$B$100,'GP2 (2)'!$F$6:$F$100,"")</f>
        <v>24</v>
      </c>
      <c r="AC14" s="24">
        <f>_xlfn.XLOOKUP($B14,'GP3 (1)'!$B$6:$B$100,'GP3 (1)'!$F$6:$F$100,"")</f>
        <v>17</v>
      </c>
      <c r="AD14" s="25">
        <f>_xlfn.XLOOKUP($B14,'GP3 (2)'!$B$6:$B$100,'GP3 (2)'!$F$6:$F$100,"")</f>
        <v>18</v>
      </c>
      <c r="AE14" s="27" t="str">
        <f>_xlfn.XLOOKUP($B14,'GP4 (1)'!$B$6:$B$66,'GP4 (1)'!$F$6:$F$66,"")</f>
        <v/>
      </c>
      <c r="AF14" s="28" t="str">
        <f>_xlfn.XLOOKUP($B14,'GP4 (2)'!$B$6:$B$100,'GP4 (2)'!$F$6:$F$100,"")</f>
        <v/>
      </c>
      <c r="AG14" s="24">
        <f>_xlfn.XLOOKUP($B14,'GP5 (1)'!$B$6:$B$99,'GP5 (1)'!$F$6:$F$99,"")</f>
        <v>15</v>
      </c>
      <c r="AH14" s="26">
        <f>_xlfn.XLOOKUP($B14,'GP5 (2)'!$B$6:$B$99,'GP5 (2)'!$F$6:$F$99,"")</f>
        <v>25</v>
      </c>
      <c r="AI14" s="27" t="str">
        <f>_xlfn.XLOOKUP($B14,'GP6 (1)'!$B$5:$B$99,'GP6 (1)'!$F$5:$F$99,"")</f>
        <v/>
      </c>
      <c r="AJ14" s="28" t="str">
        <f>_xlfn.XLOOKUP($B14,'GP6 (2)'!$B$5:$B$99,'GP6 (2)'!$F$5:$F$99,"")</f>
        <v/>
      </c>
      <c r="AK14" s="24">
        <f>_xlfn.XLOOKUP($B14,'GP7 (1)'!$B$6:$B$100,'GP7 (1)'!$F$6:$F$100,"")</f>
        <v>24</v>
      </c>
      <c r="AL14" s="26">
        <f>_xlfn.XLOOKUP($B14,'GP7 (2)'!$B$6:$B$100,'GP7 (2)'!$F$6:$F$100,"")</f>
        <v>18</v>
      </c>
      <c r="AM14" s="27" t="str">
        <f>_xlfn.XLOOKUP($B14,'GP8 (1)'!$B$6:$B$100,'GP8 (1)'!$F$6:$F$100,"")</f>
        <v/>
      </c>
      <c r="AN14" s="29" t="str">
        <f>_xlfn.XLOOKUP($B14,'GP8 (2)'!$B$6:$B$100,'GP8 (2)'!$F$6:$F$100,"")</f>
        <v/>
      </c>
      <c r="AO14" s="13">
        <f>SUM(AP14:BG14)</f>
        <v>73</v>
      </c>
      <c r="AP14" s="29">
        <f>_xlfn.XLOOKUP($B14,'MP (1)'!$B$6:$B$99,'MP (1)'!$H$6:$H$99,"")</f>
        <v>3</v>
      </c>
      <c r="AQ14" s="28">
        <f>_xlfn.XLOOKUP($B14,'MP (2)'!$B$6:$B$100,'MP (2)'!$H$6:$H$100,"")</f>
        <v>10</v>
      </c>
      <c r="AR14" s="24" t="str">
        <f>_xlfn.XLOOKUP($B14,'GP1 (1)'!$B$6:$B$100,'GP1 (1)'!$H$6:$H$100,"")</f>
        <v/>
      </c>
      <c r="AS14" s="25" t="str">
        <f>_xlfn.XLOOKUP($B14,'GP1 (2)'!$B$6:$B$100,'GP1 (2)'!$H$6:$H$100,"")</f>
        <v/>
      </c>
      <c r="AT14" s="27">
        <f>_xlfn.XLOOKUP($B14,'GP2 (1)'!$B$6:$B$101,'GP2 (1)'!$H$6:$H$101,"")</f>
        <v>13</v>
      </c>
      <c r="AU14" s="28">
        <f>_xlfn.XLOOKUP($B14,'GP2 (2)'!$B$6:$B$100,'GP2 (2)'!$H$6:$H$100,"")</f>
        <v>11</v>
      </c>
      <c r="AV14" s="24">
        <f>_xlfn.XLOOKUP($B14,'GP3 (1)'!$B$6:$B$100,'GP3 (1)'!$H$6:$H$100,"")</f>
        <v>3</v>
      </c>
      <c r="AW14" s="25">
        <f>_xlfn.XLOOKUP($B14,'GP3 (2)'!$B$6:$B$100,'GP3 (2)'!$H$6:$H$100,"")</f>
        <v>0</v>
      </c>
      <c r="AX14" s="27" t="str">
        <f>_xlfn.XLOOKUP($B14,'GP4 (1)'!$B$6:$B$66,'GP4 (1)'!$H$6:$H$66,"")</f>
        <v/>
      </c>
      <c r="AY14" s="28" t="str">
        <f>_xlfn.XLOOKUP($B14,'GP4 (2)'!$B$6:$B$100,'GP4 (2)'!$H$6:$H$100,"")</f>
        <v/>
      </c>
      <c r="AZ14" s="24">
        <f>_xlfn.XLOOKUP($B14,'GP5 (1)'!$B$6:$B$99,'GP5 (1)'!$H$6:$H$99,"")</f>
        <v>2</v>
      </c>
      <c r="BA14" s="25">
        <f>_xlfn.XLOOKUP($B14,'GP5 (2)'!$B$6:$B$99,'GP5 (2)'!$H$6:$H$99,"")</f>
        <v>17</v>
      </c>
      <c r="BB14" s="27" t="str">
        <f>_xlfn.XLOOKUP($B14,'GP6 (1)'!$B$5:$B$99,'GP6 (1)'!$H$5:$H$99,"")</f>
        <v/>
      </c>
      <c r="BC14" s="28" t="str">
        <f>_xlfn.XLOOKUP($B14,'GP6 (2)'!$B$5:$B$99,'GP6 (2)'!$H$5:$H$99,"")</f>
        <v/>
      </c>
      <c r="BD14" s="24">
        <f>_xlfn.XLOOKUP($B14,'GP7 (1)'!$B$6:$B$100,'GP7 (1)'!$H$6:$H$100,"")</f>
        <v>7</v>
      </c>
      <c r="BE14" s="25">
        <f>_xlfn.XLOOKUP($B14,'GP7 (2)'!$B$6:$B$100,'GP7 (2)'!$H$6:$H$100,"")</f>
        <v>7</v>
      </c>
      <c r="BF14" s="27" t="str">
        <f>_xlfn.XLOOKUP($B14,'GP8 (1)'!$B$6:$B$100,'GP8 (1)'!$H$6:$H$100,"")</f>
        <v/>
      </c>
      <c r="BG14" s="32" t="str">
        <f>_xlfn.XLOOKUP($B14,'GP8 (2)'!$B$6:$B$100,'GP8 (2)'!$H$6:$H$100,"")</f>
        <v/>
      </c>
    </row>
    <row r="15" spans="1:59" ht="14.3" x14ac:dyDescent="0.25">
      <c r="A15" s="1">
        <f>ROW()-4</f>
        <v>11</v>
      </c>
      <c r="B15" s="5" t="s">
        <v>25</v>
      </c>
      <c r="C15" s="30">
        <f>SUM(D15:U15)</f>
        <v>5.44</v>
      </c>
      <c r="D15" s="35">
        <f>_xlfn.XLOOKUP($B15,'MP (1)'!$B$6:$B$99,'MP (1)'!$E$6:$E$99,"")</f>
        <v>0.67</v>
      </c>
      <c r="E15" s="36">
        <f>_xlfn.XLOOKUP($B15,'MP (2)'!$B$6:$B$100,'MP (2)'!$E$6:$E$100,"")</f>
        <v>0.67</v>
      </c>
      <c r="F15" s="40">
        <f>_xlfn.XLOOKUP($B15,'GP1 (1)'!$B$6:$B$100,'GP1 (1)'!$E$6:$E$100,"")</f>
        <v>0.8</v>
      </c>
      <c r="G15" s="41">
        <f>_xlfn.XLOOKUP($B15,'GP1 (2)'!$B$6:$B$100,'GP1 (2)'!$E$6:$E$100,"")</f>
        <v>0.8</v>
      </c>
      <c r="H15" s="39" t="str">
        <f>_xlfn.XLOOKUP($B15,'GP2 (1)'!$B$6:$B$101,'GP2 (1)'!$E$6:$E$101,"")</f>
        <v/>
      </c>
      <c r="I15" s="36" t="str">
        <f>_xlfn.XLOOKUP($B15,'GP2 (2)'!$B$6:$B$100,'GP2 (2)'!$E$6:$E$100,"")</f>
        <v/>
      </c>
      <c r="J15" s="40">
        <f>_xlfn.XLOOKUP($B15,'GP3 (1)'!$B$6:$B$100,'GP3 (1)'!$E$6:$E$100,"")</f>
        <v>0.6</v>
      </c>
      <c r="K15" s="41" t="str">
        <f>_xlfn.XLOOKUP($B15,'GP3 (2)'!$B$6:$B$100,'GP3 (2)'!$E$6:$E$100,"")</f>
        <v>0.67</v>
      </c>
      <c r="L15" s="39" t="str">
        <f>_xlfn.XLOOKUP($B15,'GP4 (1)'!$B$6:$B$66,'GP4 (1)'!$E$6:$E$66,"")</f>
        <v/>
      </c>
      <c r="M15" s="36" t="str">
        <f>_xlfn.XLOOKUP($B15,'GP4 (2)'!$B$6:$B$100,'GP4 (2)'!$E$6:$E$100,"")</f>
        <v/>
      </c>
      <c r="N15" s="40">
        <f>_xlfn.XLOOKUP($B15,'GP5 (1)'!$B$6:$B$99,'GP5 (1)'!$E$6:$E$99,"")</f>
        <v>0.6</v>
      </c>
      <c r="O15" s="42">
        <f>_xlfn.XLOOKUP($B15,'GP5 (2)'!$B$6:$B$99,'GP5 (2)'!$E$6:$E$99,"")</f>
        <v>0.8</v>
      </c>
      <c r="P15" s="39" t="str">
        <f>_xlfn.XLOOKUP($B15,'GP6 (1)'!$B$5:$B$99,'GP6 (1)'!$E$5:$E$99,"")</f>
        <v>0.50</v>
      </c>
      <c r="Q15" s="36" t="str">
        <f>_xlfn.XLOOKUP($B15,'GP6 (2)'!$B$5:$B$99,'GP6 (2)'!$E$5:$E$99,"")</f>
        <v>0.75</v>
      </c>
      <c r="R15" s="40" t="str">
        <f>_xlfn.XLOOKUP($B15,'GP7 (1)'!$B$6:$B$100,'GP7 (1)'!$E$6:$E$100,"")</f>
        <v/>
      </c>
      <c r="S15" s="42" t="str">
        <f>_xlfn.XLOOKUP($B15,'GP7 (2)'!$B$6:$B$100,'GP7 (2)'!$E$6:$E$100,"")</f>
        <v/>
      </c>
      <c r="T15" s="39" t="str">
        <f>_xlfn.XLOOKUP($B15,'GP8 (1)'!$B$6:$B$100,'GP8 (1)'!$E$6:$E$100,"")</f>
        <v>0.50</v>
      </c>
      <c r="U15" s="35">
        <f>_xlfn.XLOOKUP($B15,'GP8 (2)'!$B$6:$B$100,'GP8 (2)'!$E$6:$E$100,"")</f>
        <v>0.5</v>
      </c>
      <c r="V15" s="13">
        <f>SUM(W15:AN15)</f>
        <v>228</v>
      </c>
      <c r="W15" s="29">
        <f>_xlfn.XLOOKUP($B15,'MP (1)'!$B$6:$B$99,'MP (1)'!$F$6:$F$99,"")</f>
        <v>23</v>
      </c>
      <c r="X15" s="28">
        <f>_xlfn.XLOOKUP($B15,'MP (2)'!$B$6:$B$100,'MP (2)'!$F$6:$F$100,"")</f>
        <v>19</v>
      </c>
      <c r="Y15" s="24">
        <f>_xlfn.XLOOKUP($B15,'GP1 (1)'!$B$6:$B$100,'GP1 (1)'!$F$6:$F$100,"")</f>
        <v>23</v>
      </c>
      <c r="Z15" s="25">
        <f>_xlfn.XLOOKUP($B15,'GP1 (2)'!$B$6:$B$100,'GP1 (2)'!$F$6:$F$100,"")</f>
        <v>21</v>
      </c>
      <c r="AA15" s="27" t="str">
        <f>_xlfn.XLOOKUP($B15,'GP2 (1)'!$B$6:$B$101,'GP2 (1)'!$F$6:$F$101,"")</f>
        <v/>
      </c>
      <c r="AB15" s="28" t="str">
        <f>_xlfn.XLOOKUP($B15,'GP2 (2)'!$B$6:$B$100,'GP2 (2)'!$F$6:$F$100,"")</f>
        <v/>
      </c>
      <c r="AC15" s="24">
        <f>_xlfn.XLOOKUP($B15,'GP3 (1)'!$B$6:$B$100,'GP3 (1)'!$F$6:$F$100,"")</f>
        <v>22</v>
      </c>
      <c r="AD15" s="25">
        <f>_xlfn.XLOOKUP($B15,'GP3 (2)'!$B$6:$B$100,'GP3 (2)'!$F$6:$F$100,"")</f>
        <v>25</v>
      </c>
      <c r="AE15" s="27" t="str">
        <f>_xlfn.XLOOKUP($B15,'GP4 (1)'!$B$6:$B$66,'GP4 (1)'!$F$6:$F$66,"")</f>
        <v/>
      </c>
      <c r="AF15" s="28" t="str">
        <f>_xlfn.XLOOKUP($B15,'GP4 (2)'!$B$6:$B$100,'GP4 (2)'!$F$6:$F$100,"")</f>
        <v/>
      </c>
      <c r="AG15" s="24">
        <f>_xlfn.XLOOKUP($B15,'GP5 (1)'!$B$6:$B$99,'GP5 (1)'!$F$6:$F$99,"")</f>
        <v>21</v>
      </c>
      <c r="AH15" s="26">
        <f>_xlfn.XLOOKUP($B15,'GP5 (2)'!$B$6:$B$99,'GP5 (2)'!$F$6:$F$99,"")</f>
        <v>20</v>
      </c>
      <c r="AI15" s="27">
        <f>_xlfn.XLOOKUP($B15,'GP6 (1)'!$B$5:$B$99,'GP6 (1)'!$F$5:$F$99,"")</f>
        <v>14</v>
      </c>
      <c r="AJ15" s="28">
        <f>_xlfn.XLOOKUP($B15,'GP6 (2)'!$B$5:$B$99,'GP6 (2)'!$F$5:$F$99,"")</f>
        <v>16</v>
      </c>
      <c r="AK15" s="24" t="str">
        <f>_xlfn.XLOOKUP($B15,'GP7 (1)'!$B$6:$B$100,'GP7 (1)'!$F$6:$F$100,"")</f>
        <v/>
      </c>
      <c r="AL15" s="26" t="str">
        <f>_xlfn.XLOOKUP($B15,'GP7 (2)'!$B$6:$B$100,'GP7 (2)'!$F$6:$F$100,"")</f>
        <v/>
      </c>
      <c r="AM15" s="27">
        <f>_xlfn.XLOOKUP($B15,'GP8 (1)'!$B$6:$B$100,'GP8 (1)'!$F$6:$F$100,"")</f>
        <v>12</v>
      </c>
      <c r="AN15" s="29">
        <f>_xlfn.XLOOKUP($B15,'GP8 (2)'!$B$6:$B$100,'GP8 (2)'!$F$6:$F$100,"")</f>
        <v>12</v>
      </c>
      <c r="AO15" s="13">
        <f>SUM(AP15:BG15)</f>
        <v>75</v>
      </c>
      <c r="AP15" s="29">
        <f>_xlfn.XLOOKUP($B15,'MP (1)'!$B$6:$B$99,'MP (1)'!$H$6:$H$99,"")</f>
        <v>8</v>
      </c>
      <c r="AQ15" s="28">
        <f>_xlfn.XLOOKUP($B15,'MP (2)'!$B$6:$B$100,'MP (2)'!$H$6:$H$100,"")</f>
        <v>3</v>
      </c>
      <c r="AR15" s="24">
        <f>_xlfn.XLOOKUP($B15,'GP1 (1)'!$B$6:$B$100,'GP1 (1)'!$H$6:$H$100,"")</f>
        <v>11</v>
      </c>
      <c r="AS15" s="25">
        <f>_xlfn.XLOOKUP($B15,'GP1 (2)'!$B$6:$B$100,'GP1 (2)'!$H$6:$H$100,"")</f>
        <v>11</v>
      </c>
      <c r="AT15" s="27" t="str">
        <f>_xlfn.XLOOKUP($B15,'GP2 (1)'!$B$6:$B$101,'GP2 (1)'!$H$6:$H$101,"")</f>
        <v/>
      </c>
      <c r="AU15" s="28" t="str">
        <f>_xlfn.XLOOKUP($B15,'GP2 (2)'!$B$6:$B$100,'GP2 (2)'!$H$6:$H$100,"")</f>
        <v/>
      </c>
      <c r="AV15" s="24">
        <f>_xlfn.XLOOKUP($B15,'GP3 (1)'!$B$6:$B$100,'GP3 (1)'!$H$6:$H$100,"")</f>
        <v>7</v>
      </c>
      <c r="AW15" s="25">
        <f>_xlfn.XLOOKUP($B15,'GP3 (2)'!$B$6:$B$100,'GP3 (2)'!$H$6:$H$100,"")</f>
        <v>8</v>
      </c>
      <c r="AX15" s="27" t="str">
        <f>_xlfn.XLOOKUP($B15,'GP4 (1)'!$B$6:$B$66,'GP4 (1)'!$H$6:$H$66,"")</f>
        <v/>
      </c>
      <c r="AY15" s="28" t="str">
        <f>_xlfn.XLOOKUP($B15,'GP4 (2)'!$B$6:$B$100,'GP4 (2)'!$H$6:$H$100,"")</f>
        <v/>
      </c>
      <c r="AZ15" s="24">
        <f>_xlfn.XLOOKUP($B15,'GP5 (1)'!$B$6:$B$99,'GP5 (1)'!$H$6:$H$99,"")</f>
        <v>6</v>
      </c>
      <c r="BA15" s="25">
        <f>_xlfn.XLOOKUP($B15,'GP5 (2)'!$B$6:$B$99,'GP5 (2)'!$H$6:$H$99,"")</f>
        <v>12</v>
      </c>
      <c r="BB15" s="27">
        <f>_xlfn.XLOOKUP($B15,'GP6 (1)'!$B$5:$B$99,'GP6 (1)'!$H$5:$H$99,"")</f>
        <v>2</v>
      </c>
      <c r="BC15" s="28">
        <f>_xlfn.XLOOKUP($B15,'GP6 (2)'!$B$5:$B$99,'GP6 (2)'!$H$5:$H$99,"")</f>
        <v>9</v>
      </c>
      <c r="BD15" s="24" t="str">
        <f>_xlfn.XLOOKUP($B15,'GP7 (1)'!$B$6:$B$100,'GP7 (1)'!$H$6:$H$100,"")</f>
        <v/>
      </c>
      <c r="BE15" s="25" t="str">
        <f>_xlfn.XLOOKUP($B15,'GP7 (2)'!$B$6:$B$100,'GP7 (2)'!$H$6:$H$100,"")</f>
        <v/>
      </c>
      <c r="BF15" s="27">
        <f>_xlfn.XLOOKUP($B15,'GP8 (1)'!$B$6:$B$100,'GP8 (1)'!$H$6:$H$100,"")</f>
        <v>-1</v>
      </c>
      <c r="BG15" s="32">
        <f>_xlfn.XLOOKUP($B15,'GP8 (2)'!$B$6:$B$100,'GP8 (2)'!$H$6:$H$100,"")</f>
        <v>-1</v>
      </c>
    </row>
    <row r="16" spans="1:59" ht="14.3" x14ac:dyDescent="0.25">
      <c r="A16" s="1">
        <f>ROW()-4</f>
        <v>12</v>
      </c>
      <c r="B16" s="5" t="s">
        <v>24</v>
      </c>
      <c r="C16" s="30">
        <f>SUM(D16:U16)</f>
        <v>5</v>
      </c>
      <c r="D16" s="35" t="str">
        <f>_xlfn.XLOOKUP($B16,'MP (1)'!$B$6:$B$99,'MP (1)'!$E$6:$E$99,"")</f>
        <v/>
      </c>
      <c r="E16" s="36" t="str">
        <f>_xlfn.XLOOKUP($B16,'MP (2)'!$B$6:$B$100,'MP (2)'!$E$6:$E$100,"")</f>
        <v/>
      </c>
      <c r="F16" s="40">
        <f>_xlfn.XLOOKUP($B16,'GP1 (1)'!$B$6:$B$100,'GP1 (1)'!$E$6:$E$100,"")</f>
        <v>0.8</v>
      </c>
      <c r="G16" s="41">
        <f>_xlfn.XLOOKUP($B16,'GP1 (2)'!$B$6:$B$100,'GP1 (2)'!$E$6:$E$100,"")</f>
        <v>1</v>
      </c>
      <c r="H16" s="39">
        <f>_xlfn.XLOOKUP($B16,'GP2 (1)'!$B$6:$B$101,'GP2 (1)'!$E$6:$E$101,"")</f>
        <v>0.4</v>
      </c>
      <c r="I16" s="36">
        <f>_xlfn.XLOOKUP($B16,'GP2 (2)'!$B$6:$B$100,'GP2 (2)'!$E$6:$E$100,"")</f>
        <v>0.6</v>
      </c>
      <c r="J16" s="40">
        <f>_xlfn.XLOOKUP($B16,'GP3 (1)'!$B$6:$B$100,'GP3 (1)'!$E$6:$E$100,"")</f>
        <v>0.4</v>
      </c>
      <c r="K16" s="41" t="str">
        <f>_xlfn.XLOOKUP($B16,'GP3 (2)'!$B$6:$B$100,'GP3 (2)'!$E$6:$E$100,"")</f>
        <v>0.33</v>
      </c>
      <c r="L16" s="39">
        <f>_xlfn.XLOOKUP($B16,'GP4 (1)'!$B$6:$B$66,'GP4 (1)'!$E$6:$E$66,"")</f>
        <v>0.6</v>
      </c>
      <c r="M16" s="36">
        <f>_xlfn.XLOOKUP($B16,'GP4 (2)'!$B$6:$B$100,'GP4 (2)'!$E$6:$E$100,"")</f>
        <v>0.6</v>
      </c>
      <c r="N16" s="40" t="str">
        <f>_xlfn.XLOOKUP($B16,'GP5 (1)'!$B$6:$B$99,'GP5 (1)'!$E$6:$E$99,"")</f>
        <v/>
      </c>
      <c r="O16" s="42" t="str">
        <f>_xlfn.XLOOKUP($B16,'GP5 (2)'!$B$6:$B$99,'GP5 (2)'!$E$6:$E$99,"")</f>
        <v/>
      </c>
      <c r="P16" s="39" t="str">
        <f>_xlfn.XLOOKUP($B16,'GP6 (1)'!$B$5:$B$99,'GP6 (1)'!$E$5:$E$99,"")</f>
        <v>0.60</v>
      </c>
      <c r="Q16" s="36" t="str">
        <f>_xlfn.XLOOKUP($B16,'GP6 (2)'!$B$5:$B$99,'GP6 (2)'!$E$5:$E$99,"")</f>
        <v>0.80</v>
      </c>
      <c r="R16" s="40" t="str">
        <f>_xlfn.XLOOKUP($B16,'GP7 (1)'!$B$6:$B$100,'GP7 (1)'!$E$6:$E$100,"")</f>
        <v>0.40</v>
      </c>
      <c r="S16" s="42">
        <f>_xlfn.XLOOKUP($B16,'GP7 (2)'!$B$6:$B$100,'GP7 (2)'!$E$6:$E$100,"")</f>
        <v>0.6</v>
      </c>
      <c r="T16" s="39" t="str">
        <f>_xlfn.XLOOKUP($B16,'GP8 (1)'!$B$6:$B$100,'GP8 (1)'!$E$6:$E$100,"")</f>
        <v/>
      </c>
      <c r="U16" s="35" t="str">
        <f>_xlfn.XLOOKUP($B16,'GP8 (2)'!$B$6:$B$100,'GP8 (2)'!$E$6:$E$100,"")</f>
        <v/>
      </c>
      <c r="V16" s="13">
        <f>SUM(W16:AN16)</f>
        <v>235</v>
      </c>
      <c r="W16" s="29" t="str">
        <f>_xlfn.XLOOKUP($B16,'MP (1)'!$B$6:$B$99,'MP (1)'!$F$6:$F$99,"")</f>
        <v/>
      </c>
      <c r="X16" s="28" t="str">
        <f>_xlfn.XLOOKUP($B16,'MP (2)'!$B$6:$B$100,'MP (2)'!$F$6:$F$100,"")</f>
        <v/>
      </c>
      <c r="Y16" s="24">
        <f>_xlfn.XLOOKUP($B16,'GP1 (1)'!$B$6:$B$100,'GP1 (1)'!$F$6:$F$100,"")</f>
        <v>21</v>
      </c>
      <c r="Z16" s="25">
        <f>_xlfn.XLOOKUP($B16,'GP1 (2)'!$B$6:$B$100,'GP1 (2)'!$F$6:$F$100,"")</f>
        <v>22</v>
      </c>
      <c r="AA16" s="27">
        <f>_xlfn.XLOOKUP($B16,'GP2 (1)'!$B$6:$B$101,'GP2 (1)'!$F$6:$F$101,"")</f>
        <v>17</v>
      </c>
      <c r="AB16" s="28">
        <f>_xlfn.XLOOKUP($B16,'GP2 (2)'!$B$6:$B$100,'GP2 (2)'!$F$6:$F$100,"")</f>
        <v>21</v>
      </c>
      <c r="AC16" s="24">
        <f>_xlfn.XLOOKUP($B16,'GP3 (1)'!$B$6:$B$100,'GP3 (1)'!$F$6:$F$100,"")</f>
        <v>15</v>
      </c>
      <c r="AD16" s="25">
        <f>_xlfn.XLOOKUP($B16,'GP3 (2)'!$B$6:$B$100,'GP3 (2)'!$F$6:$F$100,"")</f>
        <v>21</v>
      </c>
      <c r="AE16" s="27">
        <f>_xlfn.XLOOKUP($B16,'GP4 (1)'!$B$6:$B$66,'GP4 (1)'!$F$6:$F$66,"")</f>
        <v>21</v>
      </c>
      <c r="AF16" s="28">
        <f>_xlfn.XLOOKUP($B16,'GP4 (2)'!$B$6:$B$100,'GP4 (2)'!$F$6:$F$100,"")</f>
        <v>18</v>
      </c>
      <c r="AG16" s="24" t="str">
        <f>_xlfn.XLOOKUP($B16,'GP5 (1)'!$B$6:$B$99,'GP5 (1)'!$F$6:$F$99,"")</f>
        <v/>
      </c>
      <c r="AH16" s="26" t="str">
        <f>_xlfn.XLOOKUP($B16,'GP5 (2)'!$B$6:$B$99,'GP5 (2)'!$F$6:$F$99,"")</f>
        <v/>
      </c>
      <c r="AI16" s="27">
        <f>_xlfn.XLOOKUP($B16,'GP6 (1)'!$B$5:$B$99,'GP6 (1)'!$F$5:$F$99,"")</f>
        <v>19</v>
      </c>
      <c r="AJ16" s="28">
        <f>_xlfn.XLOOKUP($B16,'GP6 (2)'!$B$5:$B$99,'GP6 (2)'!$F$5:$F$99,"")</f>
        <v>20</v>
      </c>
      <c r="AK16" s="24">
        <f>_xlfn.XLOOKUP($B16,'GP7 (1)'!$B$6:$B$100,'GP7 (1)'!$F$6:$F$100,"")</f>
        <v>20</v>
      </c>
      <c r="AL16" s="26">
        <f>_xlfn.XLOOKUP($B16,'GP7 (2)'!$B$6:$B$100,'GP7 (2)'!$F$6:$F$100,"")</f>
        <v>20</v>
      </c>
      <c r="AM16" s="27" t="str">
        <f>_xlfn.XLOOKUP($B16,'GP8 (1)'!$B$6:$B$100,'GP8 (1)'!$F$6:$F$100,"")</f>
        <v/>
      </c>
      <c r="AN16" s="29" t="str">
        <f>_xlfn.XLOOKUP($B16,'GP8 (2)'!$B$6:$B$100,'GP8 (2)'!$F$6:$F$100,"")</f>
        <v/>
      </c>
      <c r="AO16" s="13">
        <f>SUM(AP16:BG16)</f>
        <v>59</v>
      </c>
      <c r="AP16" s="29" t="str">
        <f>_xlfn.XLOOKUP($B16,'MP (1)'!$B$6:$B$99,'MP (1)'!$H$6:$H$99,"")</f>
        <v/>
      </c>
      <c r="AQ16" s="28" t="str">
        <f>_xlfn.XLOOKUP($B16,'MP (2)'!$B$6:$B$100,'MP (2)'!$H$6:$H$100,"")</f>
        <v/>
      </c>
      <c r="AR16" s="24">
        <f>_xlfn.XLOOKUP($B16,'GP1 (1)'!$B$6:$B$100,'GP1 (1)'!$H$6:$H$100,"")</f>
        <v>9</v>
      </c>
      <c r="AS16" s="25">
        <f>_xlfn.XLOOKUP($B16,'GP1 (2)'!$B$6:$B$100,'GP1 (2)'!$H$6:$H$100,"")</f>
        <v>18</v>
      </c>
      <c r="AT16" s="27">
        <f>_xlfn.XLOOKUP($B16,'GP2 (1)'!$B$6:$B$101,'GP2 (1)'!$H$6:$H$101,"")</f>
        <v>-1</v>
      </c>
      <c r="AU16" s="28">
        <f>_xlfn.XLOOKUP($B16,'GP2 (2)'!$B$6:$B$100,'GP2 (2)'!$H$6:$H$100,"")</f>
        <v>4</v>
      </c>
      <c r="AV16" s="24">
        <f>_xlfn.XLOOKUP($B16,'GP3 (1)'!$B$6:$B$100,'GP3 (1)'!$H$6:$H$100,"")</f>
        <v>-5</v>
      </c>
      <c r="AW16" s="25">
        <f>_xlfn.XLOOKUP($B16,'GP3 (2)'!$B$6:$B$100,'GP3 (2)'!$H$6:$H$100,"")</f>
        <v>1</v>
      </c>
      <c r="AX16" s="27">
        <f>_xlfn.XLOOKUP($B16,'GP4 (1)'!$B$6:$B$66,'GP4 (1)'!$H$6:$H$66,"")</f>
        <v>6</v>
      </c>
      <c r="AY16" s="28">
        <f>_xlfn.XLOOKUP($B16,'GP4 (2)'!$B$6:$B$100,'GP4 (2)'!$H$6:$H$100,"")</f>
        <v>6</v>
      </c>
      <c r="AZ16" s="24" t="str">
        <f>_xlfn.XLOOKUP($B16,'GP5 (1)'!$B$6:$B$99,'GP5 (1)'!$H$6:$H$99,"")</f>
        <v/>
      </c>
      <c r="BA16" s="25" t="str">
        <f>_xlfn.XLOOKUP($B16,'GP5 (2)'!$B$6:$B$99,'GP5 (2)'!$H$6:$H$99,"")</f>
        <v/>
      </c>
      <c r="BB16" s="27">
        <f>_xlfn.XLOOKUP($B16,'GP6 (1)'!$B$5:$B$99,'GP6 (1)'!$H$5:$H$99,"")</f>
        <v>5</v>
      </c>
      <c r="BC16" s="28">
        <f>_xlfn.XLOOKUP($B16,'GP6 (2)'!$B$5:$B$99,'GP6 (2)'!$H$5:$H$99,"")</f>
        <v>9</v>
      </c>
      <c r="BD16" s="24">
        <f>_xlfn.XLOOKUP($B16,'GP7 (1)'!$B$6:$B$100,'GP7 (1)'!$H$6:$H$100,"")</f>
        <v>1</v>
      </c>
      <c r="BE16" s="25">
        <f>_xlfn.XLOOKUP($B16,'GP7 (2)'!$B$6:$B$100,'GP7 (2)'!$H$6:$H$100,"")</f>
        <v>6</v>
      </c>
      <c r="BF16" s="27" t="str">
        <f>_xlfn.XLOOKUP($B16,'GP8 (1)'!$B$6:$B$100,'GP8 (1)'!$H$6:$H$100,"")</f>
        <v/>
      </c>
      <c r="BG16" s="32" t="str">
        <f>_xlfn.XLOOKUP($B16,'GP8 (2)'!$B$6:$B$100,'GP8 (2)'!$H$6:$H$100,"")</f>
        <v/>
      </c>
    </row>
    <row r="17" spans="1:59" ht="14.3" x14ac:dyDescent="0.25">
      <c r="A17" s="1">
        <f>ROW()-4</f>
        <v>13</v>
      </c>
      <c r="B17" s="5" t="s">
        <v>26</v>
      </c>
      <c r="C17" s="30">
        <f>SUM(D17:U17)</f>
        <v>3.1500000000000004</v>
      </c>
      <c r="D17" s="35" t="str">
        <f>_xlfn.XLOOKUP($B17,'MP (1)'!$B$6:$B$99,'MP (1)'!$E$6:$E$99,"")</f>
        <v/>
      </c>
      <c r="E17" s="36" t="str">
        <f>_xlfn.XLOOKUP($B17,'MP (2)'!$B$6:$B$100,'MP (2)'!$E$6:$E$100,"")</f>
        <v/>
      </c>
      <c r="F17" s="40" t="str">
        <f>_xlfn.XLOOKUP($B17,'GP1 (1)'!$B$6:$B$100,'GP1 (1)'!$E$6:$E$100,"")</f>
        <v/>
      </c>
      <c r="G17" s="41" t="str">
        <f>_xlfn.XLOOKUP($B17,'GP1 (2)'!$B$6:$B$100,'GP1 (2)'!$E$6:$E$100,"")</f>
        <v/>
      </c>
      <c r="H17" s="39">
        <f>_xlfn.XLOOKUP($B17,'GP2 (1)'!$B$6:$B$101,'GP2 (1)'!$E$6:$E$101,"")</f>
        <v>0.6</v>
      </c>
      <c r="I17" s="36">
        <f>_xlfn.XLOOKUP($B17,'GP2 (2)'!$B$6:$B$100,'GP2 (2)'!$E$6:$E$100,"")</f>
        <v>0.4</v>
      </c>
      <c r="J17" s="40">
        <f>_xlfn.XLOOKUP($B17,'GP3 (1)'!$B$6:$B$100,'GP3 (1)'!$E$6:$E$100,"")</f>
        <v>0.6</v>
      </c>
      <c r="K17" s="41" t="str">
        <f>_xlfn.XLOOKUP($B17,'GP3 (2)'!$B$6:$B$100,'GP3 (2)'!$E$6:$E$100,"")</f>
        <v>0.60</v>
      </c>
      <c r="L17" s="39" t="str">
        <f>_xlfn.XLOOKUP($B17,'GP4 (1)'!$B$6:$B$66,'GP4 (1)'!$E$6:$E$66,"")</f>
        <v/>
      </c>
      <c r="M17" s="36" t="str">
        <f>_xlfn.XLOOKUP($B17,'GP4 (2)'!$B$6:$B$100,'GP4 (2)'!$E$6:$E$100,"")</f>
        <v/>
      </c>
      <c r="N17" s="40">
        <f>_xlfn.XLOOKUP($B17,'GP5 (1)'!$B$6:$B$99,'GP5 (1)'!$E$6:$E$99,"")</f>
        <v>0.75</v>
      </c>
      <c r="O17" s="42">
        <f>_xlfn.XLOOKUP($B17,'GP5 (2)'!$B$6:$B$99,'GP5 (2)'!$E$6:$E$99,"")</f>
        <v>0.8</v>
      </c>
      <c r="P17" s="39" t="str">
        <f>_xlfn.XLOOKUP($B17,'GP6 (1)'!$B$5:$B$99,'GP6 (1)'!$E$5:$E$99,"")</f>
        <v/>
      </c>
      <c r="Q17" s="36" t="str">
        <f>_xlfn.XLOOKUP($B17,'GP6 (2)'!$B$5:$B$99,'GP6 (2)'!$E$5:$E$99,"")</f>
        <v/>
      </c>
      <c r="R17" s="40" t="str">
        <f>_xlfn.XLOOKUP($B17,'GP7 (1)'!$B$6:$B$100,'GP7 (1)'!$E$6:$E$100,"")</f>
        <v/>
      </c>
      <c r="S17" s="42" t="str">
        <f>_xlfn.XLOOKUP($B17,'GP7 (2)'!$B$6:$B$100,'GP7 (2)'!$E$6:$E$100,"")</f>
        <v/>
      </c>
      <c r="T17" s="39" t="str">
        <f>_xlfn.XLOOKUP($B17,'GP8 (1)'!$B$6:$B$100,'GP8 (1)'!$E$6:$E$100,"")</f>
        <v/>
      </c>
      <c r="U17" s="35" t="str">
        <f>_xlfn.XLOOKUP($B17,'GP8 (2)'!$B$6:$B$100,'GP8 (2)'!$E$6:$E$100,"")</f>
        <v/>
      </c>
      <c r="V17" s="13">
        <f>SUM(W17:AN17)</f>
        <v>119</v>
      </c>
      <c r="W17" s="29" t="str">
        <f>_xlfn.XLOOKUP($B17,'MP (1)'!$B$6:$B$99,'MP (1)'!$F$6:$F$99,"")</f>
        <v/>
      </c>
      <c r="X17" s="28" t="str">
        <f>_xlfn.XLOOKUP($B17,'MP (2)'!$B$6:$B$100,'MP (2)'!$F$6:$F$100,"")</f>
        <v/>
      </c>
      <c r="Y17" s="24" t="str">
        <f>_xlfn.XLOOKUP($B17,'GP1 (1)'!$B$6:$B$100,'GP1 (1)'!$F$6:$F$100,"")</f>
        <v/>
      </c>
      <c r="Z17" s="25" t="str">
        <f>_xlfn.XLOOKUP($B17,'GP1 (2)'!$B$6:$B$100,'GP1 (2)'!$F$6:$F$100,"")</f>
        <v/>
      </c>
      <c r="AA17" s="27">
        <f>_xlfn.XLOOKUP($B17,'GP2 (1)'!$B$6:$B$101,'GP2 (1)'!$F$6:$F$101,"")</f>
        <v>19</v>
      </c>
      <c r="AB17" s="28">
        <f>_xlfn.XLOOKUP($B17,'GP2 (2)'!$B$6:$B$100,'GP2 (2)'!$F$6:$F$100,"")</f>
        <v>17</v>
      </c>
      <c r="AC17" s="24">
        <f>_xlfn.XLOOKUP($B17,'GP3 (1)'!$B$6:$B$100,'GP3 (1)'!$F$6:$F$100,"")</f>
        <v>22</v>
      </c>
      <c r="AD17" s="25">
        <f>_xlfn.XLOOKUP($B17,'GP3 (2)'!$B$6:$B$100,'GP3 (2)'!$F$6:$F$100,"")</f>
        <v>19</v>
      </c>
      <c r="AE17" s="27" t="str">
        <f>_xlfn.XLOOKUP($B17,'GP4 (1)'!$B$6:$B$66,'GP4 (1)'!$F$6:$F$66,"")</f>
        <v/>
      </c>
      <c r="AF17" s="28" t="str">
        <f>_xlfn.XLOOKUP($B17,'GP4 (2)'!$B$6:$B$100,'GP4 (2)'!$F$6:$F$100,"")</f>
        <v/>
      </c>
      <c r="AG17" s="24">
        <f>_xlfn.XLOOKUP($B17,'GP5 (1)'!$B$6:$B$99,'GP5 (1)'!$F$6:$F$99,"")</f>
        <v>18</v>
      </c>
      <c r="AH17" s="26">
        <f>_xlfn.XLOOKUP($B17,'GP5 (2)'!$B$6:$B$99,'GP5 (2)'!$F$6:$F$99,"")</f>
        <v>24</v>
      </c>
      <c r="AI17" s="27" t="str">
        <f>_xlfn.XLOOKUP($B17,'GP6 (1)'!$B$5:$B$99,'GP6 (1)'!$F$5:$F$99,"")</f>
        <v/>
      </c>
      <c r="AJ17" s="28" t="str">
        <f>_xlfn.XLOOKUP($B17,'GP6 (2)'!$B$5:$B$99,'GP6 (2)'!$F$5:$F$99,"")</f>
        <v/>
      </c>
      <c r="AK17" s="24" t="str">
        <f>_xlfn.XLOOKUP($B17,'GP7 (1)'!$B$6:$B$100,'GP7 (1)'!$F$6:$F$100,"")</f>
        <v/>
      </c>
      <c r="AL17" s="26" t="str">
        <f>_xlfn.XLOOKUP($B17,'GP7 (2)'!$B$6:$B$100,'GP7 (2)'!$F$6:$F$100,"")</f>
        <v/>
      </c>
      <c r="AM17" s="27" t="str">
        <f>_xlfn.XLOOKUP($B17,'GP8 (1)'!$B$6:$B$100,'GP8 (1)'!$F$6:$F$100,"")</f>
        <v/>
      </c>
      <c r="AN17" s="29" t="str">
        <f>_xlfn.XLOOKUP($B17,'GP8 (2)'!$B$6:$B$100,'GP8 (2)'!$F$6:$F$100,"")</f>
        <v/>
      </c>
      <c r="AO17" s="13">
        <f>SUM(AP17:BG17)</f>
        <v>37</v>
      </c>
      <c r="AP17" s="29" t="str">
        <f>_xlfn.XLOOKUP($B17,'MP (1)'!$B$6:$B$99,'MP (1)'!$H$6:$H$99,"")</f>
        <v/>
      </c>
      <c r="AQ17" s="28" t="str">
        <f>_xlfn.XLOOKUP($B17,'MP (2)'!$B$6:$B$100,'MP (2)'!$H$6:$H$100,"")</f>
        <v/>
      </c>
      <c r="AR17" s="24" t="str">
        <f>_xlfn.XLOOKUP($B17,'GP1 (1)'!$B$6:$B$100,'GP1 (1)'!$H$6:$H$100,"")</f>
        <v/>
      </c>
      <c r="AS17" s="25" t="str">
        <f>_xlfn.XLOOKUP($B17,'GP1 (2)'!$B$6:$B$100,'GP1 (2)'!$H$6:$H$100,"")</f>
        <v/>
      </c>
      <c r="AT17" s="27">
        <f>_xlfn.XLOOKUP($B17,'GP2 (1)'!$B$6:$B$101,'GP2 (1)'!$H$6:$H$101,"")</f>
        <v>5</v>
      </c>
      <c r="AU17" s="28">
        <f>_xlfn.XLOOKUP($B17,'GP2 (2)'!$B$6:$B$100,'GP2 (2)'!$H$6:$H$100,"")</f>
        <v>0</v>
      </c>
      <c r="AV17" s="24">
        <f>_xlfn.XLOOKUP($B17,'GP3 (1)'!$B$6:$B$100,'GP3 (1)'!$H$6:$H$100,"")</f>
        <v>5</v>
      </c>
      <c r="AW17" s="25">
        <f>_xlfn.XLOOKUP($B17,'GP3 (2)'!$B$6:$B$100,'GP3 (2)'!$H$6:$H$100,"")</f>
        <v>6</v>
      </c>
      <c r="AX17" s="27" t="str">
        <f>_xlfn.XLOOKUP($B17,'GP4 (1)'!$B$6:$B$66,'GP4 (1)'!$H$6:$H$66,"")</f>
        <v/>
      </c>
      <c r="AY17" s="28" t="str">
        <f>_xlfn.XLOOKUP($B17,'GP4 (2)'!$B$6:$B$100,'GP4 (2)'!$H$6:$H$100,"")</f>
        <v/>
      </c>
      <c r="AZ17" s="24">
        <f>_xlfn.XLOOKUP($B17,'GP5 (1)'!$B$6:$B$99,'GP5 (1)'!$H$6:$H$99,"")</f>
        <v>4</v>
      </c>
      <c r="BA17" s="25">
        <f>_xlfn.XLOOKUP($B17,'GP5 (2)'!$B$6:$B$99,'GP5 (2)'!$H$6:$H$99,"")</f>
        <v>17</v>
      </c>
      <c r="BB17" s="27" t="str">
        <f>_xlfn.XLOOKUP($B17,'GP6 (1)'!$B$5:$B$99,'GP6 (1)'!$H$5:$H$99,"")</f>
        <v/>
      </c>
      <c r="BC17" s="28" t="str">
        <f>_xlfn.XLOOKUP($B17,'GP6 (2)'!$B$5:$B$99,'GP6 (2)'!$H$5:$H$99,"")</f>
        <v/>
      </c>
      <c r="BD17" s="24" t="str">
        <f>_xlfn.XLOOKUP($B17,'GP7 (1)'!$B$6:$B$100,'GP7 (1)'!$H$6:$H$100,"")</f>
        <v/>
      </c>
      <c r="BE17" s="25" t="str">
        <f>_xlfn.XLOOKUP($B17,'GP7 (2)'!$B$6:$B$100,'GP7 (2)'!$H$6:$H$100,"")</f>
        <v/>
      </c>
      <c r="BF17" s="27" t="str">
        <f>_xlfn.XLOOKUP($B17,'GP8 (1)'!$B$6:$B$100,'GP8 (1)'!$H$6:$H$100,"")</f>
        <v/>
      </c>
      <c r="BG17" s="32" t="str">
        <f>_xlfn.XLOOKUP($B17,'GP8 (2)'!$B$6:$B$100,'GP8 (2)'!$H$6:$H$100,"")</f>
        <v/>
      </c>
    </row>
    <row r="18" spans="1:59" ht="13.1" customHeight="1" x14ac:dyDescent="0.25">
      <c r="A18" s="1">
        <f>ROW()-4</f>
        <v>14</v>
      </c>
      <c r="B18" s="5" t="s">
        <v>27</v>
      </c>
      <c r="C18" s="30">
        <f>SUM(D18:U18)</f>
        <v>3.14</v>
      </c>
      <c r="D18" s="35">
        <f>_xlfn.XLOOKUP($B18,'MP (1)'!$B$6:$B$99,'MP (1)'!$E$6:$E$99,"")</f>
        <v>0</v>
      </c>
      <c r="E18" s="36">
        <f>_xlfn.XLOOKUP($B18,'MP (2)'!$B$6:$B$100,'MP (2)'!$E$6:$E$100,"")</f>
        <v>0.17</v>
      </c>
      <c r="F18" s="40">
        <f>_xlfn.XLOOKUP($B18,'GP1 (1)'!$B$6:$B$100,'GP1 (1)'!$E$6:$E$100,"")</f>
        <v>0.67</v>
      </c>
      <c r="G18" s="41">
        <f>_xlfn.XLOOKUP($B18,'GP1 (2)'!$B$6:$B$100,'GP1 (2)'!$E$6:$E$100,"")</f>
        <v>0.6</v>
      </c>
      <c r="H18" s="39">
        <f>_xlfn.XLOOKUP($B18,'GP2 (1)'!$B$6:$B$101,'GP2 (1)'!$E$6:$E$101,"")</f>
        <v>0.2</v>
      </c>
      <c r="I18" s="36">
        <f>_xlfn.XLOOKUP($B18,'GP2 (2)'!$B$6:$B$100,'GP2 (2)'!$E$6:$E$100,"")</f>
        <v>0.2</v>
      </c>
      <c r="J18" s="40" t="str">
        <f>_xlfn.XLOOKUP($B18,'GP3 (1)'!$B$6:$B$100,'GP3 (1)'!$E$6:$E$100,"")</f>
        <v/>
      </c>
      <c r="K18" s="41" t="str">
        <f>_xlfn.XLOOKUP($B18,'GP3 (2)'!$B$6:$B$100,'GP3 (2)'!$E$6:$E$100,"")</f>
        <v/>
      </c>
      <c r="L18" s="39">
        <f>_xlfn.XLOOKUP($B18,'GP4 (1)'!$B$6:$B$66,'GP4 (1)'!$E$6:$E$66,"")</f>
        <v>0.4</v>
      </c>
      <c r="M18" s="36">
        <f>_xlfn.XLOOKUP($B18,'GP4 (2)'!$B$6:$B$100,'GP4 (2)'!$E$6:$E$100,"")</f>
        <v>0.5</v>
      </c>
      <c r="N18" s="40">
        <f>_xlfn.XLOOKUP($B18,'GP5 (1)'!$B$6:$B$99,'GP5 (1)'!$E$6:$E$99,"")</f>
        <v>0.2</v>
      </c>
      <c r="O18" s="42">
        <f>_xlfn.XLOOKUP($B18,'GP5 (2)'!$B$6:$B$99,'GP5 (2)'!$E$6:$E$99,"")</f>
        <v>0.2</v>
      </c>
      <c r="P18" s="39" t="str">
        <f>_xlfn.XLOOKUP($B18,'GP6 (1)'!$B$5:$B$99,'GP6 (1)'!$E$5:$E$99,"")</f>
        <v/>
      </c>
      <c r="Q18" s="36" t="str">
        <f>_xlfn.XLOOKUP($B18,'GP6 (2)'!$B$5:$B$99,'GP6 (2)'!$E$5:$E$99,"")</f>
        <v/>
      </c>
      <c r="R18" s="40" t="str">
        <f>_xlfn.XLOOKUP($B18,'GP7 (1)'!$B$6:$B$100,'GP7 (1)'!$E$6:$E$100,"")</f>
        <v>0.25</v>
      </c>
      <c r="S18" s="42">
        <f>_xlfn.XLOOKUP($B18,'GP7 (2)'!$B$6:$B$100,'GP7 (2)'!$E$6:$E$100,"")</f>
        <v>0</v>
      </c>
      <c r="T18" s="39" t="str">
        <f>_xlfn.XLOOKUP($B18,'GP8 (1)'!$B$6:$B$100,'GP8 (1)'!$E$6:$E$100,"")</f>
        <v/>
      </c>
      <c r="U18" s="35" t="str">
        <f>_xlfn.XLOOKUP($B18,'GP8 (2)'!$B$6:$B$100,'GP8 (2)'!$E$6:$E$100,"")</f>
        <v/>
      </c>
      <c r="V18" s="13">
        <f>SUM(W18:AN18)</f>
        <v>153</v>
      </c>
      <c r="W18" s="29">
        <f>_xlfn.XLOOKUP($B18,'MP (1)'!$B$6:$B$99,'MP (1)'!$F$6:$F$99,"")</f>
        <v>9</v>
      </c>
      <c r="X18" s="28">
        <f>_xlfn.XLOOKUP($B18,'MP (2)'!$B$6:$B$100,'MP (2)'!$F$6:$F$100,"")</f>
        <v>13</v>
      </c>
      <c r="Y18" s="24">
        <f>_xlfn.XLOOKUP($B18,'GP1 (1)'!$B$6:$B$100,'GP1 (1)'!$F$6:$F$100,"")</f>
        <v>24</v>
      </c>
      <c r="Z18" s="25">
        <f>_xlfn.XLOOKUP($B18,'GP1 (2)'!$B$6:$B$100,'GP1 (2)'!$F$6:$F$100,"")</f>
        <v>18</v>
      </c>
      <c r="AA18" s="27">
        <f>_xlfn.XLOOKUP($B18,'GP2 (1)'!$B$6:$B$101,'GP2 (1)'!$F$6:$F$101,"")</f>
        <v>12</v>
      </c>
      <c r="AB18" s="28">
        <f>_xlfn.XLOOKUP($B18,'GP2 (2)'!$B$6:$B$100,'GP2 (2)'!$F$6:$F$100,"")</f>
        <v>12</v>
      </c>
      <c r="AC18" s="24" t="str">
        <f>_xlfn.XLOOKUP($B18,'GP3 (1)'!$B$6:$B$100,'GP3 (1)'!$F$6:$F$100,"")</f>
        <v/>
      </c>
      <c r="AD18" s="25" t="str">
        <f>_xlfn.XLOOKUP($B18,'GP3 (2)'!$B$6:$B$100,'GP3 (2)'!$F$6:$F$100,"")</f>
        <v/>
      </c>
      <c r="AE18" s="27">
        <f>_xlfn.XLOOKUP($B18,'GP4 (1)'!$B$6:$B$66,'GP4 (1)'!$F$6:$F$66,"")</f>
        <v>12</v>
      </c>
      <c r="AF18" s="28">
        <f>_xlfn.XLOOKUP($B18,'GP4 (2)'!$B$6:$B$100,'GP4 (2)'!$F$6:$F$100,"")</f>
        <v>16</v>
      </c>
      <c r="AG18" s="24">
        <f>_xlfn.XLOOKUP($B18,'GP5 (1)'!$B$6:$B$99,'GP5 (1)'!$F$6:$F$99,"")</f>
        <v>13</v>
      </c>
      <c r="AH18" s="26">
        <f>_xlfn.XLOOKUP($B18,'GP5 (2)'!$B$6:$B$99,'GP5 (2)'!$F$6:$F$99,"")</f>
        <v>7</v>
      </c>
      <c r="AI18" s="27" t="str">
        <f>_xlfn.XLOOKUP($B18,'GP6 (1)'!$B$5:$B$99,'GP6 (1)'!$F$5:$F$99,"")</f>
        <v/>
      </c>
      <c r="AJ18" s="28" t="str">
        <f>_xlfn.XLOOKUP($B18,'GP6 (2)'!$B$5:$B$99,'GP6 (2)'!$F$5:$F$99,"")</f>
        <v/>
      </c>
      <c r="AK18" s="24">
        <f>_xlfn.XLOOKUP($B18,'GP7 (1)'!$B$6:$B$100,'GP7 (1)'!$F$6:$F$100,"")</f>
        <v>12</v>
      </c>
      <c r="AL18" s="26">
        <f>_xlfn.XLOOKUP($B18,'GP7 (2)'!$B$6:$B$100,'GP7 (2)'!$F$6:$F$100,"")</f>
        <v>5</v>
      </c>
      <c r="AM18" s="27" t="str">
        <f>_xlfn.XLOOKUP($B18,'GP8 (1)'!$B$6:$B$100,'GP8 (1)'!$F$6:$F$100,"")</f>
        <v/>
      </c>
      <c r="AN18" s="29" t="str">
        <f>_xlfn.XLOOKUP($B18,'GP8 (2)'!$B$6:$B$100,'GP8 (2)'!$F$6:$F$100,"")</f>
        <v/>
      </c>
      <c r="AO18" s="13">
        <f>SUM(AP18:BG18)</f>
        <v>-113</v>
      </c>
      <c r="AP18" s="29">
        <f>_xlfn.XLOOKUP($B18,'MP (1)'!$B$6:$B$99,'MP (1)'!$H$6:$H$99,"")</f>
        <v>-21</v>
      </c>
      <c r="AQ18" s="28">
        <f>_xlfn.XLOOKUP($B18,'MP (2)'!$B$6:$B$100,'MP (2)'!$H$6:$H$100,"")</f>
        <v>-15</v>
      </c>
      <c r="AR18" s="24">
        <f>_xlfn.XLOOKUP($B18,'GP1 (1)'!$B$6:$B$100,'GP1 (1)'!$H$6:$H$100,"")</f>
        <v>7</v>
      </c>
      <c r="AS18" s="25">
        <f>_xlfn.XLOOKUP($B18,'GP1 (2)'!$B$6:$B$100,'GP1 (2)'!$H$6:$H$100,"")</f>
        <v>0</v>
      </c>
      <c r="AT18" s="27">
        <f>_xlfn.XLOOKUP($B18,'GP2 (1)'!$B$6:$B$101,'GP2 (1)'!$H$6:$H$101,"")</f>
        <v>-9</v>
      </c>
      <c r="AU18" s="28">
        <f>_xlfn.XLOOKUP($B18,'GP2 (2)'!$B$6:$B$100,'GP2 (2)'!$H$6:$H$100,"")</f>
        <v>-10</v>
      </c>
      <c r="AV18" s="24" t="str">
        <f>_xlfn.XLOOKUP($B18,'GP3 (1)'!$B$6:$B$100,'GP3 (1)'!$H$6:$H$100,"")</f>
        <v/>
      </c>
      <c r="AW18" s="25" t="str">
        <f>_xlfn.XLOOKUP($B18,'GP3 (2)'!$B$6:$B$100,'GP3 (2)'!$H$6:$H$100,"")</f>
        <v/>
      </c>
      <c r="AX18" s="27">
        <f>_xlfn.XLOOKUP($B18,'GP4 (1)'!$B$6:$B$66,'GP4 (1)'!$H$6:$H$66,"")</f>
        <v>-11</v>
      </c>
      <c r="AY18" s="28">
        <f>_xlfn.XLOOKUP($B18,'GP4 (2)'!$B$6:$B$100,'GP4 (2)'!$H$6:$H$100,"")</f>
        <v>-8</v>
      </c>
      <c r="AZ18" s="24">
        <f>_xlfn.XLOOKUP($B18,'GP5 (1)'!$B$6:$B$99,'GP5 (1)'!$H$6:$H$99,"")</f>
        <v>-10</v>
      </c>
      <c r="BA18" s="25">
        <f>_xlfn.XLOOKUP($B18,'GP5 (2)'!$B$6:$B$99,'GP5 (2)'!$H$6:$H$99,"")</f>
        <v>-15</v>
      </c>
      <c r="BB18" s="27" t="str">
        <f>_xlfn.XLOOKUP($B18,'GP6 (1)'!$B$5:$B$99,'GP6 (1)'!$H$5:$H$99,"")</f>
        <v/>
      </c>
      <c r="BC18" s="28" t="str">
        <f>_xlfn.XLOOKUP($B18,'GP6 (2)'!$B$5:$B$99,'GP6 (2)'!$H$5:$H$99,"")</f>
        <v/>
      </c>
      <c r="BD18" s="24">
        <f>_xlfn.XLOOKUP($B18,'GP7 (1)'!$B$6:$B$100,'GP7 (1)'!$H$6:$H$100,"")</f>
        <v>-6</v>
      </c>
      <c r="BE18" s="25">
        <f>_xlfn.XLOOKUP($B18,'GP7 (2)'!$B$6:$B$100,'GP7 (2)'!$H$6:$H$100,"")</f>
        <v>-15</v>
      </c>
      <c r="BF18" s="27" t="str">
        <f>_xlfn.XLOOKUP($B18,'GP8 (1)'!$B$6:$B$100,'GP8 (1)'!$H$6:$H$100,"")</f>
        <v/>
      </c>
      <c r="BG18" s="32" t="str">
        <f>_xlfn.XLOOKUP($B18,'GP8 (2)'!$B$6:$B$100,'GP8 (2)'!$H$6:$H$100,"")</f>
        <v/>
      </c>
    </row>
    <row r="19" spans="1:59" ht="13.1" customHeight="1" x14ac:dyDescent="0.25">
      <c r="A19" s="1">
        <f>ROW()-4</f>
        <v>15</v>
      </c>
      <c r="B19" s="5" t="s">
        <v>28</v>
      </c>
      <c r="C19" s="30">
        <f>SUM(D19:U19)</f>
        <v>3.03</v>
      </c>
      <c r="D19" s="35" t="str">
        <f>_xlfn.XLOOKUP($B19,'MP (1)'!$B$6:$B$99,'MP (1)'!$E$6:$E$99,"")</f>
        <v/>
      </c>
      <c r="E19" s="36" t="str">
        <f>_xlfn.XLOOKUP($B19,'MP (2)'!$B$6:$B$100,'MP (2)'!$E$6:$E$100,"")</f>
        <v/>
      </c>
      <c r="F19" s="40">
        <f>_xlfn.XLOOKUP($B19,'GP1 (1)'!$B$6:$B$100,'GP1 (1)'!$E$6:$E$100,"")</f>
        <v>0.2</v>
      </c>
      <c r="G19" s="41">
        <f>_xlfn.XLOOKUP($B19,'GP1 (2)'!$B$6:$B$100,'GP1 (2)'!$E$6:$E$100,"")</f>
        <v>0.4</v>
      </c>
      <c r="H19" s="39">
        <f>_xlfn.XLOOKUP($B19,'GP2 (1)'!$B$6:$B$101,'GP2 (1)'!$E$6:$E$101,"")</f>
        <v>0.4</v>
      </c>
      <c r="I19" s="36">
        <f>_xlfn.XLOOKUP($B19,'GP2 (2)'!$B$6:$B$100,'GP2 (2)'!$E$6:$E$100,"")</f>
        <v>0.4</v>
      </c>
      <c r="J19" s="40">
        <f>_xlfn.XLOOKUP($B19,'GP3 (1)'!$B$6:$B$100,'GP3 (1)'!$E$6:$E$100,"")</f>
        <v>0.5</v>
      </c>
      <c r="K19" s="41" t="str">
        <f>_xlfn.XLOOKUP($B19,'GP3 (2)'!$B$6:$B$100,'GP3 (2)'!$E$6:$E$100,"")</f>
        <v>0.20</v>
      </c>
      <c r="L19" s="39">
        <f>_xlfn.XLOOKUP($B19,'GP4 (1)'!$B$6:$B$66,'GP4 (1)'!$E$6:$E$66,"")</f>
        <v>0.33</v>
      </c>
      <c r="M19" s="36">
        <f>_xlfn.XLOOKUP($B19,'GP4 (2)'!$B$6:$B$100,'GP4 (2)'!$E$6:$E$100,"")</f>
        <v>0.4</v>
      </c>
      <c r="N19" s="40">
        <f>_xlfn.XLOOKUP($B19,'GP5 (1)'!$B$6:$B$99,'GP5 (1)'!$E$6:$E$99,"")</f>
        <v>0</v>
      </c>
      <c r="O19" s="42">
        <f>_xlfn.XLOOKUP($B19,'GP5 (2)'!$B$6:$B$99,'GP5 (2)'!$E$6:$E$99,"")</f>
        <v>0.4</v>
      </c>
      <c r="P19" s="39" t="str">
        <f>_xlfn.XLOOKUP($B19,'GP6 (1)'!$B$5:$B$99,'GP6 (1)'!$E$5:$E$99,"")</f>
        <v>0.25</v>
      </c>
      <c r="Q19" s="36" t="str">
        <f>_xlfn.XLOOKUP($B19,'GP6 (2)'!$B$5:$B$99,'GP6 (2)'!$E$5:$E$99,"")</f>
        <v>0.25</v>
      </c>
      <c r="R19" s="40" t="str">
        <f>_xlfn.XLOOKUP($B19,'GP7 (1)'!$B$6:$B$100,'GP7 (1)'!$E$6:$E$100,"")</f>
        <v/>
      </c>
      <c r="S19" s="42" t="str">
        <f>_xlfn.XLOOKUP($B19,'GP7 (2)'!$B$6:$B$100,'GP7 (2)'!$E$6:$E$100,"")</f>
        <v/>
      </c>
      <c r="T19" s="39" t="str">
        <f>_xlfn.XLOOKUP($B19,'GP8 (1)'!$B$6:$B$100,'GP8 (1)'!$E$6:$E$100,"")</f>
        <v/>
      </c>
      <c r="U19" s="35" t="str">
        <f>_xlfn.XLOOKUP($B19,'GP8 (2)'!$B$6:$B$100,'GP8 (2)'!$E$6:$E$100,"")</f>
        <v/>
      </c>
      <c r="V19" s="13">
        <f>SUM(W19:AN19)</f>
        <v>153</v>
      </c>
      <c r="W19" s="29" t="str">
        <f>_xlfn.XLOOKUP($B19,'MP (1)'!$B$6:$B$99,'MP (1)'!$F$6:$F$99,"")</f>
        <v/>
      </c>
      <c r="X19" s="28" t="str">
        <f>_xlfn.XLOOKUP($B19,'MP (2)'!$B$6:$B$100,'MP (2)'!$F$6:$F$100,"")</f>
        <v/>
      </c>
      <c r="Y19" s="24">
        <f>_xlfn.XLOOKUP($B19,'GP1 (1)'!$B$6:$B$100,'GP1 (1)'!$F$6:$F$100,"")</f>
        <v>13</v>
      </c>
      <c r="Z19" s="25">
        <f>_xlfn.XLOOKUP($B19,'GP1 (2)'!$B$6:$B$100,'GP1 (2)'!$F$6:$F$100,"")</f>
        <v>14</v>
      </c>
      <c r="AA19" s="27">
        <f>_xlfn.XLOOKUP($B19,'GP2 (1)'!$B$6:$B$101,'GP2 (1)'!$F$6:$F$101,"")</f>
        <v>15</v>
      </c>
      <c r="AB19" s="28">
        <f>_xlfn.XLOOKUP($B19,'GP2 (2)'!$B$6:$B$100,'GP2 (2)'!$F$6:$F$100,"")</f>
        <v>15</v>
      </c>
      <c r="AC19" s="24">
        <f>_xlfn.XLOOKUP($B19,'GP3 (1)'!$B$6:$B$100,'GP3 (1)'!$F$6:$F$100,"")</f>
        <v>20</v>
      </c>
      <c r="AD19" s="25">
        <f>_xlfn.XLOOKUP($B19,'GP3 (2)'!$B$6:$B$100,'GP3 (2)'!$F$6:$F$100,"")</f>
        <v>7</v>
      </c>
      <c r="AE19" s="27">
        <f>_xlfn.XLOOKUP($B19,'GP4 (1)'!$B$6:$B$66,'GP4 (1)'!$F$6:$F$66,"")</f>
        <v>15</v>
      </c>
      <c r="AF19" s="28">
        <f>_xlfn.XLOOKUP($B19,'GP4 (2)'!$B$6:$B$100,'GP4 (2)'!$F$6:$F$100,"")</f>
        <v>13</v>
      </c>
      <c r="AG19" s="24">
        <f>_xlfn.XLOOKUP($B19,'GP5 (1)'!$B$6:$B$99,'GP5 (1)'!$F$6:$F$99,"")</f>
        <v>6</v>
      </c>
      <c r="AH19" s="26">
        <f>_xlfn.XLOOKUP($B19,'GP5 (2)'!$B$6:$B$99,'GP5 (2)'!$F$6:$F$99,"")</f>
        <v>14</v>
      </c>
      <c r="AI19" s="27">
        <f>_xlfn.XLOOKUP($B19,'GP6 (1)'!$B$5:$B$99,'GP6 (1)'!$F$5:$F$99,"")</f>
        <v>11</v>
      </c>
      <c r="AJ19" s="28">
        <f>_xlfn.XLOOKUP($B19,'GP6 (2)'!$B$5:$B$99,'GP6 (2)'!$F$5:$F$99,"")</f>
        <v>10</v>
      </c>
      <c r="AK19" s="24" t="str">
        <f>_xlfn.XLOOKUP($B19,'GP7 (1)'!$B$6:$B$100,'GP7 (1)'!$F$6:$F$100,"")</f>
        <v/>
      </c>
      <c r="AL19" s="26" t="str">
        <f>_xlfn.XLOOKUP($B19,'GP7 (2)'!$B$6:$B$100,'GP7 (2)'!$F$6:$F$100,"")</f>
        <v/>
      </c>
      <c r="AM19" s="27" t="str">
        <f>_xlfn.XLOOKUP($B19,'GP8 (1)'!$B$6:$B$100,'GP8 (1)'!$F$6:$F$100,"")</f>
        <v/>
      </c>
      <c r="AN19" s="29" t="str">
        <f>_xlfn.XLOOKUP($B19,'GP8 (2)'!$B$6:$B$100,'GP8 (2)'!$F$6:$F$100,"")</f>
        <v/>
      </c>
      <c r="AO19" s="13">
        <f>SUM(AP19:BG19)</f>
        <v>-78</v>
      </c>
      <c r="AP19" s="29" t="str">
        <f>_xlfn.XLOOKUP($B19,'MP (1)'!$B$6:$B$99,'MP (1)'!$H$6:$H$99,"")</f>
        <v/>
      </c>
      <c r="AQ19" s="28" t="str">
        <f>_xlfn.XLOOKUP($B19,'MP (2)'!$B$6:$B$100,'MP (2)'!$H$6:$H$100,"")</f>
        <v/>
      </c>
      <c r="AR19" s="24">
        <f>_xlfn.XLOOKUP($B19,'GP1 (1)'!$B$6:$B$100,'GP1 (1)'!$H$6:$H$100,"")</f>
        <v>-8</v>
      </c>
      <c r="AS19" s="25">
        <f>_xlfn.XLOOKUP($B19,'GP1 (2)'!$B$6:$B$100,'GP1 (2)'!$H$6:$H$100,"")</f>
        <v>-5</v>
      </c>
      <c r="AT19" s="27">
        <f>_xlfn.XLOOKUP($B19,'GP2 (1)'!$B$6:$B$101,'GP2 (1)'!$H$6:$H$101,"")</f>
        <v>-3</v>
      </c>
      <c r="AU19" s="28">
        <f>_xlfn.XLOOKUP($B19,'GP2 (2)'!$B$6:$B$100,'GP2 (2)'!$H$6:$H$100,"")</f>
        <v>-6</v>
      </c>
      <c r="AV19" s="24">
        <f>_xlfn.XLOOKUP($B19,'GP3 (1)'!$B$6:$B$100,'GP3 (1)'!$H$6:$H$100,"")</f>
        <v>-1</v>
      </c>
      <c r="AW19" s="25">
        <f>_xlfn.XLOOKUP($B19,'GP3 (2)'!$B$6:$B$100,'GP3 (2)'!$H$6:$H$100,"")</f>
        <v>-14</v>
      </c>
      <c r="AX19" s="27">
        <f>_xlfn.XLOOKUP($B19,'GP4 (1)'!$B$6:$B$66,'GP4 (1)'!$H$6:$H$66,"")</f>
        <v>-9</v>
      </c>
      <c r="AY19" s="28">
        <f>_xlfn.XLOOKUP($B19,'GP4 (2)'!$B$6:$B$100,'GP4 (2)'!$H$6:$H$100,"")</f>
        <v>-6</v>
      </c>
      <c r="AZ19" s="24">
        <f>_xlfn.XLOOKUP($B19,'GP5 (1)'!$B$6:$B$99,'GP5 (1)'!$H$6:$H$99,"")</f>
        <v>-14</v>
      </c>
      <c r="BA19" s="25">
        <f>_xlfn.XLOOKUP($B19,'GP5 (2)'!$B$6:$B$99,'GP5 (2)'!$H$6:$H$99,"")</f>
        <v>0</v>
      </c>
      <c r="BB19" s="27">
        <f>_xlfn.XLOOKUP($B19,'GP6 (1)'!$B$5:$B$99,'GP6 (1)'!$H$5:$H$99,"")</f>
        <v>-3</v>
      </c>
      <c r="BC19" s="28">
        <f>_xlfn.XLOOKUP($B19,'GP6 (2)'!$B$5:$B$99,'GP6 (2)'!$H$5:$H$99,"")</f>
        <v>-9</v>
      </c>
      <c r="BD19" s="24" t="str">
        <f>_xlfn.XLOOKUP($B19,'GP7 (1)'!$B$6:$B$100,'GP7 (1)'!$H$6:$H$100,"")</f>
        <v/>
      </c>
      <c r="BE19" s="25" t="str">
        <f>_xlfn.XLOOKUP($B19,'GP7 (2)'!$B$6:$B$100,'GP7 (2)'!$H$6:$H$100,"")</f>
        <v/>
      </c>
      <c r="BF19" s="27" t="str">
        <f>_xlfn.XLOOKUP($B19,'GP8 (1)'!$B$6:$B$100,'GP8 (1)'!$H$6:$H$100,"")</f>
        <v/>
      </c>
      <c r="BG19" s="32" t="str">
        <f>_xlfn.XLOOKUP($B19,'GP8 (2)'!$B$6:$B$100,'GP8 (2)'!$H$6:$H$100,"")</f>
        <v/>
      </c>
    </row>
    <row r="20" spans="1:59" ht="13.1" customHeight="1" x14ac:dyDescent="0.25">
      <c r="A20" s="1">
        <f>ROW()-4</f>
        <v>16</v>
      </c>
      <c r="B20" s="5" t="s">
        <v>30</v>
      </c>
      <c r="C20" s="30">
        <f>SUM(D20:U20)</f>
        <v>2.73</v>
      </c>
      <c r="D20" s="35">
        <f>_xlfn.XLOOKUP($B20,'MP (1)'!$B$6:$B$99,'MP (1)'!$E$6:$E$99,"")</f>
        <v>0.5</v>
      </c>
      <c r="E20" s="36">
        <f>_xlfn.XLOOKUP($B20,'MP (2)'!$B$6:$B$100,'MP (2)'!$E$6:$E$100,"")</f>
        <v>0.5</v>
      </c>
      <c r="F20" s="40" t="str">
        <f>_xlfn.XLOOKUP($B20,'GP1 (1)'!$B$6:$B$100,'GP1 (1)'!$E$6:$E$100,"")</f>
        <v/>
      </c>
      <c r="G20" s="41" t="str">
        <f>_xlfn.XLOOKUP($B20,'GP1 (2)'!$B$6:$B$100,'GP1 (2)'!$E$6:$E$100,"")</f>
        <v/>
      </c>
      <c r="H20" s="39" t="str">
        <f>_xlfn.XLOOKUP($B20,'GP2 (1)'!$B$6:$B$101,'GP2 (1)'!$E$6:$E$101,"")</f>
        <v/>
      </c>
      <c r="I20" s="36" t="str">
        <f>_xlfn.XLOOKUP($B20,'GP2 (2)'!$B$6:$B$100,'GP2 (2)'!$E$6:$E$100,"")</f>
        <v/>
      </c>
      <c r="J20" s="40" t="str">
        <f>_xlfn.XLOOKUP($B20,'GP3 (1)'!$B$6:$B$100,'GP3 (1)'!$E$6:$E$100,"")</f>
        <v/>
      </c>
      <c r="K20" s="41" t="str">
        <f>_xlfn.XLOOKUP($B20,'GP3 (2)'!$B$6:$B$100,'GP3 (2)'!$E$6:$E$100,"")</f>
        <v/>
      </c>
      <c r="L20" s="39">
        <f>_xlfn.XLOOKUP($B20,'GP4 (1)'!$B$6:$B$66,'GP4 (1)'!$E$6:$E$66,"")</f>
        <v>0.33</v>
      </c>
      <c r="M20" s="36">
        <f>_xlfn.XLOOKUP($B20,'GP4 (2)'!$B$6:$B$100,'GP4 (2)'!$E$6:$E$100,"")</f>
        <v>0.5</v>
      </c>
      <c r="N20" s="40" t="str">
        <f>_xlfn.XLOOKUP($B20,'GP5 (1)'!$B$6:$B$99,'GP5 (1)'!$E$6:$E$99,"")</f>
        <v/>
      </c>
      <c r="O20" s="42" t="str">
        <f>_xlfn.XLOOKUP($B20,'GP5 (2)'!$B$6:$B$99,'GP5 (2)'!$E$6:$E$99,"")</f>
        <v/>
      </c>
      <c r="P20" s="39" t="str">
        <f>_xlfn.XLOOKUP($B20,'GP6 (1)'!$B$5:$B$99,'GP6 (1)'!$E$5:$E$99,"")</f>
        <v/>
      </c>
      <c r="Q20" s="36" t="str">
        <f>_xlfn.XLOOKUP($B20,'GP6 (2)'!$B$5:$B$99,'GP6 (2)'!$E$5:$E$99,"")</f>
        <v/>
      </c>
      <c r="R20" s="40" t="str">
        <f>_xlfn.XLOOKUP($B20,'GP7 (1)'!$B$6:$B$100,'GP7 (1)'!$E$6:$E$100,"")</f>
        <v>0.20</v>
      </c>
      <c r="S20" s="42">
        <f>_xlfn.XLOOKUP($B20,'GP7 (2)'!$B$6:$B$100,'GP7 (2)'!$E$6:$E$100,"")</f>
        <v>0.5</v>
      </c>
      <c r="T20" s="39" t="str">
        <f>_xlfn.XLOOKUP($B20,'GP8 (1)'!$B$6:$B$100,'GP8 (1)'!$E$6:$E$100,"")</f>
        <v>0.25</v>
      </c>
      <c r="U20" s="35">
        <f>_xlfn.XLOOKUP($B20,'GP8 (2)'!$B$6:$B$100,'GP8 (2)'!$E$6:$E$100,"")</f>
        <v>0.4</v>
      </c>
      <c r="V20" s="13">
        <f>SUM(W20:AN20)</f>
        <v>133</v>
      </c>
      <c r="W20" s="29">
        <f>_xlfn.XLOOKUP($B20,'MP (1)'!$B$6:$B$99,'MP (1)'!$F$6:$F$99,"")</f>
        <v>22</v>
      </c>
      <c r="X20" s="28">
        <f>_xlfn.XLOOKUP($B20,'MP (2)'!$B$6:$B$100,'MP (2)'!$F$6:$F$100,"")</f>
        <v>21</v>
      </c>
      <c r="Y20" s="24" t="str">
        <f>_xlfn.XLOOKUP($B20,'GP1 (1)'!$B$6:$B$100,'GP1 (1)'!$F$6:$F$100,"")</f>
        <v/>
      </c>
      <c r="Z20" s="25" t="str">
        <f>_xlfn.XLOOKUP($B20,'GP1 (2)'!$B$6:$B$100,'GP1 (2)'!$F$6:$F$100,"")</f>
        <v/>
      </c>
      <c r="AA20" s="27" t="str">
        <f>_xlfn.XLOOKUP($B20,'GP2 (1)'!$B$6:$B$101,'GP2 (1)'!$F$6:$F$101,"")</f>
        <v/>
      </c>
      <c r="AB20" s="28" t="str">
        <f>_xlfn.XLOOKUP($B20,'GP2 (2)'!$B$6:$B$100,'GP2 (2)'!$F$6:$F$100,"")</f>
        <v/>
      </c>
      <c r="AC20" s="24" t="str">
        <f>_xlfn.XLOOKUP($B20,'GP3 (1)'!$B$6:$B$100,'GP3 (1)'!$F$6:$F$100,"")</f>
        <v/>
      </c>
      <c r="AD20" s="25" t="str">
        <f>_xlfn.XLOOKUP($B20,'GP3 (2)'!$B$6:$B$100,'GP3 (2)'!$F$6:$F$100,"")</f>
        <v/>
      </c>
      <c r="AE20" s="27">
        <f>_xlfn.XLOOKUP($B20,'GP4 (1)'!$B$6:$B$66,'GP4 (1)'!$F$6:$F$66,"")</f>
        <v>20</v>
      </c>
      <c r="AF20" s="28">
        <f>_xlfn.XLOOKUP($B20,'GP4 (2)'!$B$6:$B$100,'GP4 (2)'!$F$6:$F$100,"")</f>
        <v>22</v>
      </c>
      <c r="AG20" s="24" t="str">
        <f>_xlfn.XLOOKUP($B20,'GP5 (1)'!$B$6:$B$99,'GP5 (1)'!$F$6:$F$99,"")</f>
        <v/>
      </c>
      <c r="AH20" s="26" t="str">
        <f>_xlfn.XLOOKUP($B20,'GP5 (2)'!$B$6:$B$99,'GP5 (2)'!$F$6:$F$99,"")</f>
        <v/>
      </c>
      <c r="AI20" s="27" t="str">
        <f>_xlfn.XLOOKUP($B20,'GP6 (1)'!$B$5:$B$99,'GP6 (1)'!$F$5:$F$99,"")</f>
        <v/>
      </c>
      <c r="AJ20" s="28" t="str">
        <f>_xlfn.XLOOKUP($B20,'GP6 (2)'!$B$5:$B$99,'GP6 (2)'!$F$5:$F$99,"")</f>
        <v/>
      </c>
      <c r="AK20" s="24">
        <f>_xlfn.XLOOKUP($B20,'GP7 (1)'!$B$6:$B$100,'GP7 (1)'!$F$6:$F$100,"")</f>
        <v>13</v>
      </c>
      <c r="AL20" s="26">
        <f>_xlfn.XLOOKUP($B20,'GP7 (2)'!$B$6:$B$100,'GP7 (2)'!$F$6:$F$100,"")</f>
        <v>14</v>
      </c>
      <c r="AM20" s="27">
        <f>_xlfn.XLOOKUP($B20,'GP8 (1)'!$B$6:$B$100,'GP8 (1)'!$F$6:$F$100,"")</f>
        <v>8</v>
      </c>
      <c r="AN20" s="29">
        <f>_xlfn.XLOOKUP($B20,'GP8 (2)'!$B$6:$B$100,'GP8 (2)'!$F$6:$F$100,"")</f>
        <v>13</v>
      </c>
      <c r="AO20" s="13">
        <f>SUM(AP20:BG20)</f>
        <v>-34</v>
      </c>
      <c r="AP20" s="29">
        <f>_xlfn.XLOOKUP($B20,'MP (1)'!$B$6:$B$99,'MP (1)'!$H$6:$H$99,"")</f>
        <v>3</v>
      </c>
      <c r="AQ20" s="28">
        <f>_xlfn.XLOOKUP($B20,'MP (2)'!$B$6:$B$100,'MP (2)'!$H$6:$H$100,"")</f>
        <v>-4</v>
      </c>
      <c r="AR20" s="24" t="str">
        <f>_xlfn.XLOOKUP($B20,'GP1 (1)'!$B$6:$B$100,'GP1 (1)'!$H$6:$H$100,"")</f>
        <v/>
      </c>
      <c r="AS20" s="25" t="str">
        <f>_xlfn.XLOOKUP($B20,'GP1 (2)'!$B$6:$B$100,'GP1 (2)'!$H$6:$H$100,"")</f>
        <v/>
      </c>
      <c r="AT20" s="27" t="str">
        <f>_xlfn.XLOOKUP($B20,'GP2 (1)'!$B$6:$B$101,'GP2 (1)'!$H$6:$H$101,"")</f>
        <v/>
      </c>
      <c r="AU20" s="28" t="str">
        <f>_xlfn.XLOOKUP($B20,'GP2 (2)'!$B$6:$B$100,'GP2 (2)'!$H$6:$H$100,"")</f>
        <v/>
      </c>
      <c r="AV20" s="24" t="str">
        <f>_xlfn.XLOOKUP($B20,'GP3 (1)'!$B$6:$B$100,'GP3 (1)'!$H$6:$H$100,"")</f>
        <v/>
      </c>
      <c r="AW20" s="25" t="str">
        <f>_xlfn.XLOOKUP($B20,'GP3 (2)'!$B$6:$B$100,'GP3 (2)'!$H$6:$H$100,"")</f>
        <v/>
      </c>
      <c r="AX20" s="27">
        <f>_xlfn.XLOOKUP($B20,'GP4 (1)'!$B$6:$B$66,'GP4 (1)'!$H$6:$H$66,"")</f>
        <v>-6</v>
      </c>
      <c r="AY20" s="28">
        <f>_xlfn.XLOOKUP($B20,'GP4 (2)'!$B$6:$B$100,'GP4 (2)'!$H$6:$H$100,"")</f>
        <v>2</v>
      </c>
      <c r="AZ20" s="24" t="str">
        <f>_xlfn.XLOOKUP($B20,'GP5 (1)'!$B$6:$B$99,'GP5 (1)'!$H$6:$H$99,"")</f>
        <v/>
      </c>
      <c r="BA20" s="25" t="str">
        <f>_xlfn.XLOOKUP($B20,'GP5 (2)'!$B$6:$B$99,'GP5 (2)'!$H$6:$H$99,"")</f>
        <v/>
      </c>
      <c r="BB20" s="27" t="str">
        <f>_xlfn.XLOOKUP($B20,'GP6 (1)'!$B$5:$B$99,'GP6 (1)'!$H$5:$H$99,"")</f>
        <v/>
      </c>
      <c r="BC20" s="28" t="str">
        <f>_xlfn.XLOOKUP($B20,'GP6 (2)'!$B$5:$B$99,'GP6 (2)'!$H$5:$H$99,"")</f>
        <v/>
      </c>
      <c r="BD20" s="24">
        <f>_xlfn.XLOOKUP($B20,'GP7 (1)'!$B$6:$B$100,'GP7 (1)'!$H$6:$H$100,"")</f>
        <v>-11</v>
      </c>
      <c r="BE20" s="25">
        <f>_xlfn.XLOOKUP($B20,'GP7 (2)'!$B$6:$B$100,'GP7 (2)'!$H$6:$H$100,"")</f>
        <v>-2</v>
      </c>
      <c r="BF20" s="27">
        <f>_xlfn.XLOOKUP($B20,'GP8 (1)'!$B$6:$B$100,'GP8 (1)'!$H$6:$H$100,"")</f>
        <v>-10</v>
      </c>
      <c r="BG20" s="32">
        <f>_xlfn.XLOOKUP($B20,'GP8 (2)'!$B$6:$B$100,'GP8 (2)'!$H$6:$H$100,"")</f>
        <v>-6</v>
      </c>
    </row>
    <row r="21" spans="1:59" ht="13.1" customHeight="1" x14ac:dyDescent="0.25">
      <c r="A21" s="1">
        <f>ROW()-4</f>
        <v>17</v>
      </c>
      <c r="B21" s="5" t="s">
        <v>29</v>
      </c>
      <c r="C21" s="30">
        <f>SUM(D21:U21)</f>
        <v>2.65</v>
      </c>
      <c r="D21" s="35">
        <f>_xlfn.XLOOKUP($B21,'MP (1)'!$B$6:$B$99,'MP (1)'!$E$6:$E$99,"")</f>
        <v>0.6</v>
      </c>
      <c r="E21" s="36">
        <f>_xlfn.XLOOKUP($B21,'MP (2)'!$B$6:$B$100,'MP (2)'!$E$6:$E$100,"")</f>
        <v>0.4</v>
      </c>
      <c r="F21" s="40">
        <f>_xlfn.XLOOKUP($B21,'GP1 (1)'!$B$6:$B$100,'GP1 (1)'!$E$6:$E$100,"")</f>
        <v>0.2</v>
      </c>
      <c r="G21" s="41">
        <f>_xlfn.XLOOKUP($B21,'GP1 (2)'!$B$6:$B$100,'GP1 (2)'!$E$6:$E$100,"")</f>
        <v>0.2</v>
      </c>
      <c r="H21" s="39">
        <f>_xlfn.XLOOKUP($B21,'GP2 (1)'!$B$6:$B$101,'GP2 (1)'!$E$6:$E$101,"")</f>
        <v>0.2</v>
      </c>
      <c r="I21" s="36">
        <f>_xlfn.XLOOKUP($B21,'GP2 (2)'!$B$6:$B$100,'GP2 (2)'!$E$6:$E$100,"")</f>
        <v>0.2</v>
      </c>
      <c r="J21" s="40">
        <f>_xlfn.XLOOKUP($B21,'GP3 (1)'!$B$6:$B$100,'GP3 (1)'!$E$6:$E$100,"")</f>
        <v>0</v>
      </c>
      <c r="K21" s="41" t="str">
        <f>_xlfn.XLOOKUP($B21,'GP3 (2)'!$B$6:$B$100,'GP3 (2)'!$E$6:$E$100,"")</f>
        <v>0.17</v>
      </c>
      <c r="L21" s="39" t="str">
        <f>_xlfn.XLOOKUP($B21,'GP4 (1)'!$B$6:$B$66,'GP4 (1)'!$E$6:$E$66,"")</f>
        <v/>
      </c>
      <c r="M21" s="36" t="str">
        <f>_xlfn.XLOOKUP($B21,'GP4 (2)'!$B$6:$B$100,'GP4 (2)'!$E$6:$E$100,"")</f>
        <v/>
      </c>
      <c r="N21" s="40">
        <f>_xlfn.XLOOKUP($B21,'GP5 (1)'!$B$6:$B$99,'GP5 (1)'!$E$6:$E$99,"")</f>
        <v>0.25</v>
      </c>
      <c r="O21" s="42">
        <f>_xlfn.XLOOKUP($B21,'GP5 (2)'!$B$6:$B$99,'GP5 (2)'!$E$6:$E$99,"")</f>
        <v>0.4</v>
      </c>
      <c r="P21" s="39" t="str">
        <f>_xlfn.XLOOKUP($B21,'GP6 (1)'!$B$5:$B$99,'GP6 (1)'!$E$5:$E$99,"")</f>
        <v>0.40</v>
      </c>
      <c r="Q21" s="36" t="str">
        <f>_xlfn.XLOOKUP($B21,'GP6 (2)'!$B$5:$B$99,'GP6 (2)'!$E$5:$E$99,"")</f>
        <v>0.25</v>
      </c>
      <c r="R21" s="40" t="str">
        <f>_xlfn.XLOOKUP($B21,'GP7 (1)'!$B$6:$B$100,'GP7 (1)'!$E$6:$E$100,"")</f>
        <v>0.20</v>
      </c>
      <c r="S21" s="42">
        <f>_xlfn.XLOOKUP($B21,'GP7 (2)'!$B$6:$B$100,'GP7 (2)'!$E$6:$E$100,"")</f>
        <v>0.2</v>
      </c>
      <c r="T21" s="39" t="str">
        <f>_xlfn.XLOOKUP($B21,'GP8 (1)'!$B$6:$B$100,'GP8 (1)'!$E$6:$E$100,"")</f>
        <v/>
      </c>
      <c r="U21" s="35" t="str">
        <f>_xlfn.XLOOKUP($B21,'GP8 (2)'!$B$6:$B$100,'GP8 (2)'!$E$6:$E$100,"")</f>
        <v/>
      </c>
      <c r="V21" s="13">
        <f>SUM(W21:AN21)</f>
        <v>162</v>
      </c>
      <c r="W21" s="29">
        <f>_xlfn.XLOOKUP($B21,'MP (1)'!$B$6:$B$99,'MP (1)'!$F$6:$F$99,"")</f>
        <v>20</v>
      </c>
      <c r="X21" s="28">
        <f>_xlfn.XLOOKUP($B21,'MP (2)'!$B$6:$B$100,'MP (2)'!$F$6:$F$100,"")</f>
        <v>12</v>
      </c>
      <c r="Y21" s="24">
        <f>_xlfn.XLOOKUP($B21,'GP1 (1)'!$B$6:$B$100,'GP1 (1)'!$F$6:$F$100,"")</f>
        <v>9</v>
      </c>
      <c r="Z21" s="25">
        <f>_xlfn.XLOOKUP($B21,'GP1 (2)'!$B$6:$B$100,'GP1 (2)'!$F$6:$F$100,"")</f>
        <v>11</v>
      </c>
      <c r="AA21" s="27">
        <f>_xlfn.XLOOKUP($B21,'GP2 (1)'!$B$6:$B$101,'GP2 (1)'!$F$6:$F$101,"")</f>
        <v>9</v>
      </c>
      <c r="AB21" s="28">
        <f>_xlfn.XLOOKUP($B21,'GP2 (2)'!$B$6:$B$100,'GP2 (2)'!$F$6:$F$100,"")</f>
        <v>11</v>
      </c>
      <c r="AC21" s="24">
        <f>_xlfn.XLOOKUP($B21,'GP3 (1)'!$B$6:$B$100,'GP3 (1)'!$F$6:$F$100,"")</f>
        <v>8</v>
      </c>
      <c r="AD21" s="25">
        <f>_xlfn.XLOOKUP($B21,'GP3 (2)'!$B$6:$B$100,'GP3 (2)'!$F$6:$F$100,"")</f>
        <v>11</v>
      </c>
      <c r="AE21" s="27" t="str">
        <f>_xlfn.XLOOKUP($B21,'GP4 (1)'!$B$6:$B$66,'GP4 (1)'!$F$6:$F$66,"")</f>
        <v/>
      </c>
      <c r="AF21" s="28" t="str">
        <f>_xlfn.XLOOKUP($B21,'GP4 (2)'!$B$6:$B$100,'GP4 (2)'!$F$6:$F$100,"")</f>
        <v/>
      </c>
      <c r="AG21" s="24">
        <f>_xlfn.XLOOKUP($B21,'GP5 (1)'!$B$6:$B$99,'GP5 (1)'!$F$6:$F$99,"")</f>
        <v>10</v>
      </c>
      <c r="AH21" s="26">
        <f>_xlfn.XLOOKUP($B21,'GP5 (2)'!$B$6:$B$99,'GP5 (2)'!$F$6:$F$99,"")</f>
        <v>13</v>
      </c>
      <c r="AI21" s="27">
        <f>_xlfn.XLOOKUP($B21,'GP6 (1)'!$B$5:$B$99,'GP6 (1)'!$F$5:$F$99,"")</f>
        <v>13</v>
      </c>
      <c r="AJ21" s="28">
        <f>_xlfn.XLOOKUP($B21,'GP6 (2)'!$B$5:$B$99,'GP6 (2)'!$F$5:$F$99,"")</f>
        <v>10</v>
      </c>
      <c r="AK21" s="24">
        <f>_xlfn.XLOOKUP($B21,'GP7 (1)'!$B$6:$B$100,'GP7 (1)'!$F$6:$F$100,"")</f>
        <v>15</v>
      </c>
      <c r="AL21" s="26">
        <f>_xlfn.XLOOKUP($B21,'GP7 (2)'!$B$6:$B$100,'GP7 (2)'!$F$6:$F$100,"")</f>
        <v>10</v>
      </c>
      <c r="AM21" s="27" t="str">
        <f>_xlfn.XLOOKUP($B21,'GP8 (1)'!$B$6:$B$100,'GP8 (1)'!$F$6:$F$100,"")</f>
        <v/>
      </c>
      <c r="AN21" s="29" t="str">
        <f>_xlfn.XLOOKUP($B21,'GP8 (2)'!$B$6:$B$100,'GP8 (2)'!$F$6:$F$100,"")</f>
        <v/>
      </c>
      <c r="AO21" s="13">
        <f>SUM(AP21:BG21)</f>
        <v>-130</v>
      </c>
      <c r="AP21" s="29">
        <f>_xlfn.XLOOKUP($B21,'MP (1)'!$B$6:$B$99,'MP (1)'!$H$6:$H$99,"")</f>
        <v>1</v>
      </c>
      <c r="AQ21" s="28">
        <f>_xlfn.XLOOKUP($B21,'MP (2)'!$B$6:$B$100,'MP (2)'!$H$6:$H$100,"")</f>
        <v>-6</v>
      </c>
      <c r="AR21" s="24">
        <f>_xlfn.XLOOKUP($B21,'GP1 (1)'!$B$6:$B$100,'GP1 (1)'!$H$6:$H$100,"")</f>
        <v>-11</v>
      </c>
      <c r="AS21" s="25">
        <f>_xlfn.XLOOKUP($B21,'GP1 (2)'!$B$6:$B$100,'GP1 (2)'!$H$6:$H$100,"")</f>
        <v>-12</v>
      </c>
      <c r="AT21" s="27">
        <f>_xlfn.XLOOKUP($B21,'GP2 (1)'!$B$6:$B$101,'GP2 (1)'!$H$6:$H$101,"")</f>
        <v>-12</v>
      </c>
      <c r="AU21" s="28">
        <f>_xlfn.XLOOKUP($B21,'GP2 (2)'!$B$6:$B$100,'GP2 (2)'!$H$6:$H$100,"")</f>
        <v>-11</v>
      </c>
      <c r="AV21" s="24">
        <f>_xlfn.XLOOKUP($B21,'GP3 (1)'!$B$6:$B$100,'GP3 (1)'!$H$6:$H$100,"")</f>
        <v>-17</v>
      </c>
      <c r="AW21" s="25">
        <f>_xlfn.XLOOKUP($B21,'GP3 (2)'!$B$6:$B$100,'GP3 (2)'!$H$6:$H$100,"")</f>
        <v>-14</v>
      </c>
      <c r="AX21" s="27" t="str">
        <f>_xlfn.XLOOKUP($B21,'GP4 (1)'!$B$6:$B$66,'GP4 (1)'!$H$6:$H$66,"")</f>
        <v/>
      </c>
      <c r="AY21" s="28" t="str">
        <f>_xlfn.XLOOKUP($B21,'GP4 (2)'!$B$6:$B$100,'GP4 (2)'!$H$6:$H$100,"")</f>
        <v/>
      </c>
      <c r="AZ21" s="24">
        <f>_xlfn.XLOOKUP($B21,'GP5 (1)'!$B$6:$B$99,'GP5 (1)'!$H$6:$H$99,"")</f>
        <v>-8</v>
      </c>
      <c r="BA21" s="25">
        <f>_xlfn.XLOOKUP($B21,'GP5 (2)'!$B$6:$B$99,'GP5 (2)'!$H$6:$H$99,"")</f>
        <v>-6</v>
      </c>
      <c r="BB21" s="27">
        <f>_xlfn.XLOOKUP($B21,'GP6 (1)'!$B$5:$B$99,'GP6 (1)'!$H$5:$H$99,"")</f>
        <v>-9</v>
      </c>
      <c r="BC21" s="28">
        <f>_xlfn.XLOOKUP($B21,'GP6 (2)'!$B$5:$B$99,'GP6 (2)'!$H$5:$H$99,"")</f>
        <v>-7</v>
      </c>
      <c r="BD21" s="24">
        <f>_xlfn.XLOOKUP($B21,'GP7 (1)'!$B$6:$B$100,'GP7 (1)'!$H$6:$H$100,"")</f>
        <v>-6</v>
      </c>
      <c r="BE21" s="25">
        <f>_xlfn.XLOOKUP($B21,'GP7 (2)'!$B$6:$B$100,'GP7 (2)'!$H$6:$H$100,"")</f>
        <v>-12</v>
      </c>
      <c r="BF21" s="27" t="str">
        <f>_xlfn.XLOOKUP($B21,'GP8 (1)'!$B$6:$B$100,'GP8 (1)'!$H$6:$H$100,"")</f>
        <v/>
      </c>
      <c r="BG21" s="32" t="str">
        <f>_xlfn.XLOOKUP($B21,'GP8 (2)'!$B$6:$B$100,'GP8 (2)'!$H$6:$H$100,"")</f>
        <v/>
      </c>
    </row>
    <row r="22" spans="1:59" ht="13.1" customHeight="1" x14ac:dyDescent="0.25">
      <c r="A22" s="1">
        <f>ROW()-4</f>
        <v>18</v>
      </c>
      <c r="B22" s="5" t="s">
        <v>31</v>
      </c>
      <c r="C22" s="30">
        <f>SUM(D22:U22)</f>
        <v>2.2000000000000002</v>
      </c>
      <c r="D22" s="35" t="str">
        <f>_xlfn.XLOOKUP($B22,'MP (1)'!$B$6:$B$99,'MP (1)'!$E$6:$E$99,"")</f>
        <v/>
      </c>
      <c r="E22" s="36" t="str">
        <f>_xlfn.XLOOKUP($B22,'MP (2)'!$B$6:$B$100,'MP (2)'!$E$6:$E$100,"")</f>
        <v/>
      </c>
      <c r="F22" s="40">
        <f>_xlfn.XLOOKUP($B22,'GP1 (1)'!$B$6:$B$100,'GP1 (1)'!$E$6:$E$100,"")</f>
        <v>0.6</v>
      </c>
      <c r="G22" s="41">
        <f>_xlfn.XLOOKUP($B22,'GP1 (2)'!$B$6:$B$100,'GP1 (2)'!$E$6:$E$100,"")</f>
        <v>0.4</v>
      </c>
      <c r="H22" s="39">
        <f>_xlfn.XLOOKUP($B22,'GP2 (1)'!$B$6:$B$101,'GP2 (1)'!$E$6:$E$101,"")</f>
        <v>0.6</v>
      </c>
      <c r="I22" s="36">
        <f>_xlfn.XLOOKUP($B22,'GP2 (2)'!$B$6:$B$100,'GP2 (2)'!$E$6:$E$100,"")</f>
        <v>0.6</v>
      </c>
      <c r="J22" s="40" t="str">
        <f>_xlfn.XLOOKUP($B22,'GP3 (1)'!$B$6:$B$100,'GP3 (1)'!$E$6:$E$100,"")</f>
        <v/>
      </c>
      <c r="K22" s="41" t="str">
        <f>_xlfn.XLOOKUP($B22,'GP3 (2)'!$B$6:$B$100,'GP3 (2)'!$E$6:$E$100,"")</f>
        <v/>
      </c>
      <c r="L22" s="39" t="str">
        <f>_xlfn.XLOOKUP($B22,'GP4 (1)'!$B$6:$B$66,'GP4 (1)'!$E$6:$E$66,"")</f>
        <v/>
      </c>
      <c r="M22" s="36" t="str">
        <f>_xlfn.XLOOKUP($B22,'GP4 (2)'!$B$6:$B$100,'GP4 (2)'!$E$6:$E$100,"")</f>
        <v/>
      </c>
      <c r="N22" s="40" t="str">
        <f>_xlfn.XLOOKUP($B22,'GP5 (1)'!$B$6:$B$99,'GP5 (1)'!$E$6:$E$99,"")</f>
        <v/>
      </c>
      <c r="O22" s="42" t="str">
        <f>_xlfn.XLOOKUP($B22,'GP5 (2)'!$B$6:$B$99,'GP5 (2)'!$E$6:$E$99,"")</f>
        <v/>
      </c>
      <c r="P22" s="39" t="str">
        <f>_xlfn.XLOOKUP($B22,'GP6 (1)'!$B$5:$B$99,'GP6 (1)'!$E$5:$E$99,"")</f>
        <v/>
      </c>
      <c r="Q22" s="36" t="str">
        <f>_xlfn.XLOOKUP($B22,'GP6 (2)'!$B$5:$B$99,'GP6 (2)'!$E$5:$E$99,"")</f>
        <v/>
      </c>
      <c r="R22" s="40" t="str">
        <f>_xlfn.XLOOKUP($B22,'GP7 (1)'!$B$6:$B$100,'GP7 (1)'!$E$6:$E$100,"")</f>
        <v/>
      </c>
      <c r="S22" s="42" t="str">
        <f>_xlfn.XLOOKUP($B22,'GP7 (2)'!$B$6:$B$100,'GP7 (2)'!$E$6:$E$100,"")</f>
        <v/>
      </c>
      <c r="T22" s="39" t="str">
        <f>_xlfn.XLOOKUP($B22,'GP8 (1)'!$B$6:$B$100,'GP8 (1)'!$E$6:$E$100,"")</f>
        <v/>
      </c>
      <c r="U22" s="35" t="str">
        <f>_xlfn.XLOOKUP($B22,'GP8 (2)'!$B$6:$B$100,'GP8 (2)'!$E$6:$E$100,"")</f>
        <v/>
      </c>
      <c r="V22" s="13">
        <f>SUM(W22:AN22)</f>
        <v>77</v>
      </c>
      <c r="W22" s="29" t="str">
        <f>_xlfn.XLOOKUP($B22,'MP (1)'!$B$6:$B$99,'MP (1)'!$F$6:$F$99,"")</f>
        <v/>
      </c>
      <c r="X22" s="28" t="str">
        <f>_xlfn.XLOOKUP($B22,'MP (2)'!$B$6:$B$100,'MP (2)'!$F$6:$F$100,"")</f>
        <v/>
      </c>
      <c r="Y22" s="24">
        <f>_xlfn.XLOOKUP($B22,'GP1 (1)'!$B$6:$B$100,'GP1 (1)'!$F$6:$F$100,"")</f>
        <v>20</v>
      </c>
      <c r="Z22" s="25">
        <f>_xlfn.XLOOKUP($B22,'GP1 (2)'!$B$6:$B$100,'GP1 (2)'!$F$6:$F$100,"")</f>
        <v>16</v>
      </c>
      <c r="AA22" s="27">
        <f>_xlfn.XLOOKUP($B22,'GP2 (1)'!$B$6:$B$101,'GP2 (1)'!$F$6:$F$101,"")</f>
        <v>20</v>
      </c>
      <c r="AB22" s="28">
        <f>_xlfn.XLOOKUP($B22,'GP2 (2)'!$B$6:$B$100,'GP2 (2)'!$F$6:$F$100,"")</f>
        <v>21</v>
      </c>
      <c r="AC22" s="24" t="str">
        <f>_xlfn.XLOOKUP($B22,'GP3 (1)'!$B$6:$B$100,'GP3 (1)'!$F$6:$F$100,"")</f>
        <v/>
      </c>
      <c r="AD22" s="25" t="str">
        <f>_xlfn.XLOOKUP($B22,'GP3 (2)'!$B$6:$B$100,'GP3 (2)'!$F$6:$F$100,"")</f>
        <v/>
      </c>
      <c r="AE22" s="27" t="str">
        <f>_xlfn.XLOOKUP($B22,'GP4 (1)'!$B$6:$B$66,'GP4 (1)'!$F$6:$F$66,"")</f>
        <v/>
      </c>
      <c r="AF22" s="28" t="str">
        <f>_xlfn.XLOOKUP($B22,'GP4 (2)'!$B$6:$B$100,'GP4 (2)'!$F$6:$F$100,"")</f>
        <v/>
      </c>
      <c r="AG22" s="24" t="str">
        <f>_xlfn.XLOOKUP($B22,'GP5 (1)'!$B$6:$B$99,'GP5 (1)'!$F$6:$F$99,"")</f>
        <v/>
      </c>
      <c r="AH22" s="26" t="str">
        <f>_xlfn.XLOOKUP($B22,'GP5 (2)'!$B$6:$B$99,'GP5 (2)'!$F$6:$F$99,"")</f>
        <v/>
      </c>
      <c r="AI22" s="27" t="str">
        <f>_xlfn.XLOOKUP($B22,'GP6 (1)'!$B$5:$B$99,'GP6 (1)'!$F$5:$F$99,"")</f>
        <v/>
      </c>
      <c r="AJ22" s="28" t="str">
        <f>_xlfn.XLOOKUP($B22,'GP6 (2)'!$B$5:$B$99,'GP6 (2)'!$F$5:$F$99,"")</f>
        <v/>
      </c>
      <c r="AK22" s="24" t="str">
        <f>_xlfn.XLOOKUP($B22,'GP7 (1)'!$B$6:$B$100,'GP7 (1)'!$F$6:$F$100,"")</f>
        <v/>
      </c>
      <c r="AL22" s="26" t="str">
        <f>_xlfn.XLOOKUP($B22,'GP7 (2)'!$B$6:$B$100,'GP7 (2)'!$F$6:$F$100,"")</f>
        <v/>
      </c>
      <c r="AM22" s="27" t="str">
        <f>_xlfn.XLOOKUP($B22,'GP8 (1)'!$B$6:$B$100,'GP8 (1)'!$F$6:$F$100,"")</f>
        <v/>
      </c>
      <c r="AN22" s="29" t="str">
        <f>_xlfn.XLOOKUP($B22,'GP8 (2)'!$B$6:$B$100,'GP8 (2)'!$F$6:$F$100,"")</f>
        <v/>
      </c>
      <c r="AO22" s="13">
        <f>SUM(AP22:BG22)</f>
        <v>5</v>
      </c>
      <c r="AP22" s="29" t="str">
        <f>_xlfn.XLOOKUP($B22,'MP (1)'!$B$6:$B$99,'MP (1)'!$H$6:$H$99,"")</f>
        <v/>
      </c>
      <c r="AQ22" s="28" t="str">
        <f>_xlfn.XLOOKUP($B22,'MP (2)'!$B$6:$B$100,'MP (2)'!$H$6:$H$100,"")</f>
        <v/>
      </c>
      <c r="AR22" s="24">
        <f>_xlfn.XLOOKUP($B22,'GP1 (1)'!$B$6:$B$100,'GP1 (1)'!$H$6:$H$100,"")</f>
        <v>1</v>
      </c>
      <c r="AS22" s="25">
        <f>_xlfn.XLOOKUP($B22,'GP1 (2)'!$B$6:$B$100,'GP1 (2)'!$H$6:$H$100,"")</f>
        <v>-3</v>
      </c>
      <c r="AT22" s="27">
        <f>_xlfn.XLOOKUP($B22,'GP2 (1)'!$B$6:$B$101,'GP2 (1)'!$H$6:$H$101,"")</f>
        <v>6</v>
      </c>
      <c r="AU22" s="28">
        <f>_xlfn.XLOOKUP($B22,'GP2 (2)'!$B$6:$B$100,'GP2 (2)'!$H$6:$H$100,"")</f>
        <v>1</v>
      </c>
      <c r="AV22" s="24" t="str">
        <f>_xlfn.XLOOKUP($B22,'GP3 (1)'!$B$6:$B$100,'GP3 (1)'!$H$6:$H$100,"")</f>
        <v/>
      </c>
      <c r="AW22" s="25" t="str">
        <f>_xlfn.XLOOKUP($B22,'GP3 (2)'!$B$6:$B$100,'GP3 (2)'!$H$6:$H$100,"")</f>
        <v/>
      </c>
      <c r="AX22" s="27" t="str">
        <f>_xlfn.XLOOKUP($B22,'GP4 (1)'!$B$6:$B$66,'GP4 (1)'!$H$6:$H$66,"")</f>
        <v/>
      </c>
      <c r="AY22" s="28" t="str">
        <f>_xlfn.XLOOKUP($B22,'GP4 (2)'!$B$6:$B$100,'GP4 (2)'!$H$6:$H$100,"")</f>
        <v/>
      </c>
      <c r="AZ22" s="24" t="str">
        <f>_xlfn.XLOOKUP($B22,'GP5 (1)'!$B$6:$B$99,'GP5 (1)'!$H$6:$H$99,"")</f>
        <v/>
      </c>
      <c r="BA22" s="25" t="str">
        <f>_xlfn.XLOOKUP($B22,'GP5 (2)'!$B$6:$B$99,'GP5 (2)'!$H$6:$H$99,"")</f>
        <v/>
      </c>
      <c r="BB22" s="27" t="str">
        <f>_xlfn.XLOOKUP($B22,'GP6 (1)'!$B$5:$B$99,'GP6 (1)'!$H$5:$H$99,"")</f>
        <v/>
      </c>
      <c r="BC22" s="28" t="str">
        <f>_xlfn.XLOOKUP($B22,'GP6 (2)'!$B$5:$B$99,'GP6 (2)'!$H$5:$H$99,"")</f>
        <v/>
      </c>
      <c r="BD22" s="24" t="str">
        <f>_xlfn.XLOOKUP($B22,'GP7 (1)'!$B$6:$B$100,'GP7 (1)'!$H$6:$H$100,"")</f>
        <v/>
      </c>
      <c r="BE22" s="25" t="str">
        <f>_xlfn.XLOOKUP($B22,'GP7 (2)'!$B$6:$B$100,'GP7 (2)'!$H$6:$H$100,"")</f>
        <v/>
      </c>
      <c r="BF22" s="27" t="str">
        <f>_xlfn.XLOOKUP($B22,'GP8 (1)'!$B$6:$B$100,'GP8 (1)'!$H$6:$H$100,"")</f>
        <v/>
      </c>
      <c r="BG22" s="32" t="str">
        <f>_xlfn.XLOOKUP($B22,'GP8 (2)'!$B$6:$B$100,'GP8 (2)'!$H$6:$H$100,"")</f>
        <v/>
      </c>
    </row>
    <row r="23" spans="1:59" ht="13.1" customHeight="1" x14ac:dyDescent="0.25">
      <c r="A23" s="1">
        <f>ROW()-4</f>
        <v>19</v>
      </c>
      <c r="B23" s="5" t="s">
        <v>32</v>
      </c>
      <c r="C23" s="30">
        <f>SUM(D23:U23)</f>
        <v>1.9100000000000001</v>
      </c>
      <c r="D23" s="35">
        <f>_xlfn.XLOOKUP($B23,'MP (1)'!$B$6:$B$99,'MP (1)'!$E$6:$E$99,"")</f>
        <v>0.4</v>
      </c>
      <c r="E23" s="36">
        <f>_xlfn.XLOOKUP($B23,'MP (2)'!$B$6:$B$100,'MP (2)'!$E$6:$E$100,"")</f>
        <v>0.17</v>
      </c>
      <c r="F23" s="40">
        <f>_xlfn.XLOOKUP($B23,'GP1 (1)'!$B$6:$B$100,'GP1 (1)'!$E$6:$E$100,"")</f>
        <v>0.4</v>
      </c>
      <c r="G23" s="41" t="str">
        <f>_xlfn.XLOOKUP($B23,'GP1 (2)'!$B$6:$B$100,'GP1 (2)'!$E$6:$E$100,"")</f>
        <v/>
      </c>
      <c r="H23" s="39" t="str">
        <f>_xlfn.XLOOKUP($B23,'GP2 (1)'!$B$6:$B$101,'GP2 (1)'!$E$6:$E$101,"")</f>
        <v/>
      </c>
      <c r="I23" s="36" t="str">
        <f>_xlfn.XLOOKUP($B23,'GP2 (2)'!$B$6:$B$100,'GP2 (2)'!$E$6:$E$100,"")</f>
        <v/>
      </c>
      <c r="J23" s="40">
        <f>_xlfn.XLOOKUP($B23,'GP3 (1)'!$B$6:$B$100,'GP3 (1)'!$E$6:$E$100,"")</f>
        <v>0.17</v>
      </c>
      <c r="K23" s="41" t="str">
        <f>_xlfn.XLOOKUP($B23,'GP3 (2)'!$B$6:$B$100,'GP3 (2)'!$E$6:$E$100,"")</f>
        <v>0.40</v>
      </c>
      <c r="L23" s="39">
        <f>_xlfn.XLOOKUP($B23,'GP4 (1)'!$B$6:$B$66,'GP4 (1)'!$E$6:$E$66,"")</f>
        <v>0.17</v>
      </c>
      <c r="M23" s="36">
        <f>_xlfn.XLOOKUP($B23,'GP4 (2)'!$B$6:$B$100,'GP4 (2)'!$E$6:$E$100,"")</f>
        <v>0.6</v>
      </c>
      <c r="N23" s="40" t="str">
        <f>_xlfn.XLOOKUP($B23,'GP5 (1)'!$B$6:$B$99,'GP5 (1)'!$E$6:$E$99,"")</f>
        <v/>
      </c>
      <c r="O23" s="42" t="str">
        <f>_xlfn.XLOOKUP($B23,'GP5 (2)'!$B$6:$B$99,'GP5 (2)'!$E$6:$E$99,"")</f>
        <v/>
      </c>
      <c r="P23" s="39" t="str">
        <f>_xlfn.XLOOKUP($B23,'GP6 (1)'!$B$5:$B$99,'GP6 (1)'!$E$5:$E$99,"")</f>
        <v/>
      </c>
      <c r="Q23" s="36" t="str">
        <f>_xlfn.XLOOKUP($B23,'GP6 (2)'!$B$5:$B$99,'GP6 (2)'!$E$5:$E$99,"")</f>
        <v/>
      </c>
      <c r="R23" s="40" t="str">
        <f>_xlfn.XLOOKUP($B23,'GP7 (1)'!$B$6:$B$100,'GP7 (1)'!$E$6:$E$100,"")</f>
        <v/>
      </c>
      <c r="S23" s="42" t="str">
        <f>_xlfn.XLOOKUP($B23,'GP7 (2)'!$B$6:$B$100,'GP7 (2)'!$E$6:$E$100,"")</f>
        <v/>
      </c>
      <c r="T23" s="39" t="str">
        <f>_xlfn.XLOOKUP($B23,'GP8 (1)'!$B$6:$B$100,'GP8 (1)'!$E$6:$E$100,"")</f>
        <v/>
      </c>
      <c r="U23" s="35" t="str">
        <f>_xlfn.XLOOKUP($B23,'GP8 (2)'!$B$6:$B$100,'GP8 (2)'!$E$6:$E$100,"")</f>
        <v/>
      </c>
      <c r="V23" s="13">
        <f>SUM(W23:AN23)</f>
        <v>105</v>
      </c>
      <c r="W23" s="29">
        <f>_xlfn.XLOOKUP($B23,'MP (1)'!$B$6:$B$99,'MP (1)'!$F$6:$F$99,"")</f>
        <v>15</v>
      </c>
      <c r="X23" s="28">
        <f>_xlfn.XLOOKUP($B23,'MP (2)'!$B$6:$B$100,'MP (2)'!$F$6:$F$100,"")</f>
        <v>14</v>
      </c>
      <c r="Y23" s="24">
        <f>_xlfn.XLOOKUP($B23,'GP1 (1)'!$B$6:$B$100,'GP1 (1)'!$F$6:$F$100,"")</f>
        <v>15</v>
      </c>
      <c r="Z23" s="25" t="str">
        <f>_xlfn.XLOOKUP($B23,'GP1 (2)'!$B$6:$B$100,'GP1 (2)'!$F$6:$F$100,"")</f>
        <v/>
      </c>
      <c r="AA23" s="27" t="str">
        <f>_xlfn.XLOOKUP($B23,'GP2 (1)'!$B$6:$B$101,'GP2 (1)'!$F$6:$F$101,"")</f>
        <v/>
      </c>
      <c r="AB23" s="28" t="str">
        <f>_xlfn.XLOOKUP($B23,'GP2 (2)'!$B$6:$B$100,'GP2 (2)'!$F$6:$F$100,"")</f>
        <v/>
      </c>
      <c r="AC23" s="24">
        <f>_xlfn.XLOOKUP($B23,'GP3 (1)'!$B$6:$B$100,'GP3 (1)'!$F$6:$F$100,"")</f>
        <v>13</v>
      </c>
      <c r="AD23" s="25">
        <f>_xlfn.XLOOKUP($B23,'GP3 (2)'!$B$6:$B$100,'GP3 (2)'!$F$6:$F$100,"")</f>
        <v>14</v>
      </c>
      <c r="AE23" s="27">
        <f>_xlfn.XLOOKUP($B23,'GP4 (1)'!$B$6:$B$66,'GP4 (1)'!$F$6:$F$66,"")</f>
        <v>14</v>
      </c>
      <c r="AF23" s="28">
        <f>_xlfn.XLOOKUP($B23,'GP4 (2)'!$B$6:$B$100,'GP4 (2)'!$F$6:$F$100,"")</f>
        <v>20</v>
      </c>
      <c r="AG23" s="24" t="str">
        <f>_xlfn.XLOOKUP($B23,'GP5 (1)'!$B$6:$B$99,'GP5 (1)'!$F$6:$F$99,"")</f>
        <v/>
      </c>
      <c r="AH23" s="26" t="str">
        <f>_xlfn.XLOOKUP($B23,'GP5 (2)'!$B$6:$B$99,'GP5 (2)'!$F$6:$F$99,"")</f>
        <v/>
      </c>
      <c r="AI23" s="27" t="str">
        <f>_xlfn.XLOOKUP($B23,'GP6 (1)'!$B$5:$B$99,'GP6 (1)'!$F$5:$F$99,"")</f>
        <v/>
      </c>
      <c r="AJ23" s="28" t="str">
        <f>_xlfn.XLOOKUP($B23,'GP6 (2)'!$B$5:$B$99,'GP6 (2)'!$F$5:$F$99,"")</f>
        <v/>
      </c>
      <c r="AK23" s="24" t="str">
        <f>_xlfn.XLOOKUP($B23,'GP7 (1)'!$B$6:$B$100,'GP7 (1)'!$F$6:$F$100,"")</f>
        <v/>
      </c>
      <c r="AL23" s="26" t="str">
        <f>_xlfn.XLOOKUP($B23,'GP7 (2)'!$B$6:$B$100,'GP7 (2)'!$F$6:$F$100,"")</f>
        <v/>
      </c>
      <c r="AM23" s="27" t="str">
        <f>_xlfn.XLOOKUP($B23,'GP8 (1)'!$B$6:$B$100,'GP8 (1)'!$F$6:$F$100,"")</f>
        <v/>
      </c>
      <c r="AN23" s="29" t="str">
        <f>_xlfn.XLOOKUP($B23,'GP8 (2)'!$B$6:$B$100,'GP8 (2)'!$F$6:$F$100,"")</f>
        <v/>
      </c>
      <c r="AO23" s="13">
        <f>SUM(AP23:BG23)</f>
        <v>-50</v>
      </c>
      <c r="AP23" s="29">
        <f>_xlfn.XLOOKUP($B23,'MP (1)'!$B$6:$B$99,'MP (1)'!$H$6:$H$99,"")</f>
        <v>-8</v>
      </c>
      <c r="AQ23" s="28">
        <f>_xlfn.XLOOKUP($B23,'MP (2)'!$B$6:$B$100,'MP (2)'!$H$6:$H$100,"")</f>
        <v>-14</v>
      </c>
      <c r="AR23" s="24">
        <f>_xlfn.XLOOKUP($B23,'GP1 (1)'!$B$6:$B$100,'GP1 (1)'!$H$6:$H$100,"")</f>
        <v>0</v>
      </c>
      <c r="AS23" s="25" t="str">
        <f>_xlfn.XLOOKUP($B23,'GP1 (2)'!$B$6:$B$100,'GP1 (2)'!$H$6:$H$100,"")</f>
        <v/>
      </c>
      <c r="AT23" s="27" t="str">
        <f>_xlfn.XLOOKUP($B23,'GP2 (1)'!$B$6:$B$101,'GP2 (1)'!$H$6:$H$101,"")</f>
        <v/>
      </c>
      <c r="AU23" s="28" t="str">
        <f>_xlfn.XLOOKUP($B23,'GP2 (2)'!$B$6:$B$100,'GP2 (2)'!$H$6:$H$100,"")</f>
        <v/>
      </c>
      <c r="AV23" s="24">
        <f>_xlfn.XLOOKUP($B23,'GP3 (1)'!$B$6:$B$100,'GP3 (1)'!$H$6:$H$100,"")</f>
        <v>-15</v>
      </c>
      <c r="AW23" s="25">
        <f>_xlfn.XLOOKUP($B23,'GP3 (2)'!$B$6:$B$100,'GP3 (2)'!$H$6:$H$100,"")</f>
        <v>-4</v>
      </c>
      <c r="AX23" s="27">
        <f>_xlfn.XLOOKUP($B23,'GP4 (1)'!$B$6:$B$66,'GP4 (1)'!$H$6:$H$66,"")</f>
        <v>-15</v>
      </c>
      <c r="AY23" s="28">
        <f>_xlfn.XLOOKUP($B23,'GP4 (2)'!$B$6:$B$100,'GP4 (2)'!$H$6:$H$100,"")</f>
        <v>6</v>
      </c>
      <c r="AZ23" s="24" t="str">
        <f>_xlfn.XLOOKUP($B23,'GP5 (1)'!$B$6:$B$99,'GP5 (1)'!$H$6:$H$99,"")</f>
        <v/>
      </c>
      <c r="BA23" s="25" t="str">
        <f>_xlfn.XLOOKUP($B23,'GP5 (2)'!$B$6:$B$99,'GP5 (2)'!$H$6:$H$99,"")</f>
        <v/>
      </c>
      <c r="BB23" s="27" t="str">
        <f>_xlfn.XLOOKUP($B23,'GP6 (1)'!$B$5:$B$99,'GP6 (1)'!$H$5:$H$99,"")</f>
        <v/>
      </c>
      <c r="BC23" s="28" t="str">
        <f>_xlfn.XLOOKUP($B23,'GP6 (2)'!$B$5:$B$99,'GP6 (2)'!$H$5:$H$99,"")</f>
        <v/>
      </c>
      <c r="BD23" s="24" t="str">
        <f>_xlfn.XLOOKUP($B23,'GP7 (1)'!$B$6:$B$100,'GP7 (1)'!$H$6:$H$100,"")</f>
        <v/>
      </c>
      <c r="BE23" s="25" t="str">
        <f>_xlfn.XLOOKUP($B23,'GP7 (2)'!$B$6:$B$100,'GP7 (2)'!$H$6:$H$100,"")</f>
        <v/>
      </c>
      <c r="BF23" s="27" t="str">
        <f>_xlfn.XLOOKUP($B23,'GP8 (1)'!$B$6:$B$100,'GP8 (1)'!$H$6:$H$100,"")</f>
        <v/>
      </c>
      <c r="BG23" s="32" t="str">
        <f>_xlfn.XLOOKUP($B23,'GP8 (2)'!$B$6:$B$100,'GP8 (2)'!$H$6:$H$100,"")</f>
        <v/>
      </c>
    </row>
    <row r="24" spans="1:59" ht="13.1" customHeight="1" x14ac:dyDescent="0.25">
      <c r="A24" s="1">
        <f>ROW()-4</f>
        <v>20</v>
      </c>
      <c r="B24" s="5" t="s">
        <v>33</v>
      </c>
      <c r="C24" s="30">
        <f>SUM(D24:U24)</f>
        <v>1.83</v>
      </c>
      <c r="D24" s="35">
        <f>_xlfn.XLOOKUP($B24,'MP (1)'!$B$6:$B$99,'MP (1)'!$E$6:$E$99,"")</f>
        <v>0.33</v>
      </c>
      <c r="E24" s="36">
        <f>_xlfn.XLOOKUP($B24,'MP (2)'!$B$6:$B$100,'MP (2)'!$E$6:$E$100,"")</f>
        <v>0.2</v>
      </c>
      <c r="F24" s="40">
        <f>_xlfn.XLOOKUP($B24,'GP1 (1)'!$B$6:$B$100,'GP1 (1)'!$E$6:$E$100,"")</f>
        <v>0.33</v>
      </c>
      <c r="G24" s="41">
        <f>_xlfn.XLOOKUP($B24,'GP1 (2)'!$B$6:$B$100,'GP1 (2)'!$E$6:$E$100,"")</f>
        <v>0</v>
      </c>
      <c r="H24" s="39">
        <f>_xlfn.XLOOKUP($B24,'GP2 (1)'!$B$6:$B$101,'GP2 (1)'!$E$6:$E$101,"")</f>
        <v>0.4</v>
      </c>
      <c r="I24" s="36">
        <f>_xlfn.XLOOKUP($B24,'GP2 (2)'!$B$6:$B$100,'GP2 (2)'!$E$6:$E$100,"")</f>
        <v>0.4</v>
      </c>
      <c r="J24" s="40" t="str">
        <f>_xlfn.XLOOKUP($B24,'GP3 (1)'!$B$6:$B$100,'GP3 (1)'!$E$6:$E$100,"")</f>
        <v/>
      </c>
      <c r="K24" s="41" t="str">
        <f>_xlfn.XLOOKUP($B24,'GP3 (2)'!$B$6:$B$100,'GP3 (2)'!$E$6:$E$100,"")</f>
        <v/>
      </c>
      <c r="L24" s="39">
        <f>_xlfn.XLOOKUP($B24,'GP4 (1)'!$B$6:$B$66,'GP4 (1)'!$E$6:$E$66,"")</f>
        <v>0.17</v>
      </c>
      <c r="M24" s="36">
        <f>_xlfn.XLOOKUP($B24,'GP4 (2)'!$B$6:$B$100,'GP4 (2)'!$E$6:$E$100,"")</f>
        <v>0</v>
      </c>
      <c r="N24" s="40" t="str">
        <f>_xlfn.XLOOKUP($B24,'GP5 (1)'!$B$6:$B$99,'GP5 (1)'!$E$6:$E$99,"")</f>
        <v/>
      </c>
      <c r="O24" s="42" t="str">
        <f>_xlfn.XLOOKUP($B24,'GP5 (2)'!$B$6:$B$99,'GP5 (2)'!$E$6:$E$99,"")</f>
        <v/>
      </c>
      <c r="P24" s="39" t="str">
        <f>_xlfn.XLOOKUP($B24,'GP6 (1)'!$B$5:$B$99,'GP6 (1)'!$E$5:$E$99,"")</f>
        <v>0.00</v>
      </c>
      <c r="Q24" s="36" t="str">
        <f>_xlfn.XLOOKUP($B24,'GP6 (2)'!$B$5:$B$99,'GP6 (2)'!$E$5:$E$99,"")</f>
        <v>0.00</v>
      </c>
      <c r="R24" s="40" t="str">
        <f>_xlfn.XLOOKUP($B24,'GP7 (1)'!$B$6:$B$100,'GP7 (1)'!$E$6:$E$100,"")</f>
        <v>0.00</v>
      </c>
      <c r="S24" s="42">
        <f>_xlfn.XLOOKUP($B24,'GP7 (2)'!$B$6:$B$100,'GP7 (2)'!$E$6:$E$100,"")</f>
        <v>0</v>
      </c>
      <c r="T24" s="39" t="str">
        <f>_xlfn.XLOOKUP($B24,'GP8 (1)'!$B$6:$B$100,'GP8 (1)'!$E$6:$E$100,"")</f>
        <v/>
      </c>
      <c r="U24" s="35" t="str">
        <f>_xlfn.XLOOKUP($B24,'GP8 (2)'!$B$6:$B$100,'GP8 (2)'!$E$6:$E$100,"")</f>
        <v/>
      </c>
      <c r="V24" s="13">
        <f>SUM(W24:AN24)</f>
        <v>128</v>
      </c>
      <c r="W24" s="29">
        <f>_xlfn.XLOOKUP($B24,'MP (1)'!$B$6:$B$99,'MP (1)'!$F$6:$F$99,"")</f>
        <v>11</v>
      </c>
      <c r="X24" s="28">
        <f>_xlfn.XLOOKUP($B24,'MP (2)'!$B$6:$B$100,'MP (2)'!$F$6:$F$100,"")</f>
        <v>7</v>
      </c>
      <c r="Y24" s="24">
        <f>_xlfn.XLOOKUP($B24,'GP1 (1)'!$B$6:$B$100,'GP1 (1)'!$F$6:$F$100,"")</f>
        <v>16</v>
      </c>
      <c r="Z24" s="25">
        <f>_xlfn.XLOOKUP($B24,'GP1 (2)'!$B$6:$B$100,'GP1 (2)'!$F$6:$F$100,"")</f>
        <v>8</v>
      </c>
      <c r="AA24" s="27">
        <f>_xlfn.XLOOKUP($B24,'GP2 (1)'!$B$6:$B$101,'GP2 (1)'!$F$6:$F$101,"")</f>
        <v>14</v>
      </c>
      <c r="AB24" s="28">
        <f>_xlfn.XLOOKUP($B24,'GP2 (2)'!$B$6:$B$100,'GP2 (2)'!$F$6:$F$100,"")</f>
        <v>15</v>
      </c>
      <c r="AC24" s="24" t="str">
        <f>_xlfn.XLOOKUP($B24,'GP3 (1)'!$B$6:$B$100,'GP3 (1)'!$F$6:$F$100,"")</f>
        <v/>
      </c>
      <c r="AD24" s="25" t="str">
        <f>_xlfn.XLOOKUP($B24,'GP3 (2)'!$B$6:$B$100,'GP3 (2)'!$F$6:$F$100,"")</f>
        <v/>
      </c>
      <c r="AE24" s="27">
        <f>_xlfn.XLOOKUP($B24,'GP4 (1)'!$B$6:$B$66,'GP4 (1)'!$F$6:$F$66,"")</f>
        <v>13</v>
      </c>
      <c r="AF24" s="28">
        <f>_xlfn.XLOOKUP($B24,'GP4 (2)'!$B$6:$B$100,'GP4 (2)'!$F$6:$F$100,"")</f>
        <v>10</v>
      </c>
      <c r="AG24" s="24" t="str">
        <f>_xlfn.XLOOKUP($B24,'GP5 (1)'!$B$6:$B$99,'GP5 (1)'!$F$6:$F$99,"")</f>
        <v/>
      </c>
      <c r="AH24" s="26" t="str">
        <f>_xlfn.XLOOKUP($B24,'GP5 (2)'!$B$6:$B$99,'GP5 (2)'!$F$6:$F$99,"")</f>
        <v/>
      </c>
      <c r="AI24" s="27">
        <f>_xlfn.XLOOKUP($B24,'GP6 (1)'!$B$5:$B$99,'GP6 (1)'!$F$5:$F$99,"")</f>
        <v>10</v>
      </c>
      <c r="AJ24" s="28">
        <f>_xlfn.XLOOKUP($B24,'GP6 (2)'!$B$5:$B$99,'GP6 (2)'!$F$5:$F$99,"")</f>
        <v>7</v>
      </c>
      <c r="AK24" s="24">
        <f>_xlfn.XLOOKUP($B24,'GP7 (1)'!$B$6:$B$100,'GP7 (1)'!$F$6:$F$100,"")</f>
        <v>9</v>
      </c>
      <c r="AL24" s="26">
        <f>_xlfn.XLOOKUP($B24,'GP7 (2)'!$B$6:$B$100,'GP7 (2)'!$F$6:$F$100,"")</f>
        <v>8</v>
      </c>
      <c r="AM24" s="27" t="str">
        <f>_xlfn.XLOOKUP($B24,'GP8 (1)'!$B$6:$B$100,'GP8 (1)'!$F$6:$F$100,"")</f>
        <v/>
      </c>
      <c r="AN24" s="29" t="str">
        <f>_xlfn.XLOOKUP($B24,'GP8 (2)'!$B$6:$B$100,'GP8 (2)'!$F$6:$F$100,"")</f>
        <v/>
      </c>
      <c r="AO24" s="13">
        <f>SUM(AP24:BG24)</f>
        <v>-158</v>
      </c>
      <c r="AP24" s="29">
        <f>_xlfn.XLOOKUP($B24,'MP (1)'!$B$6:$B$99,'MP (1)'!$H$6:$H$99,"")</f>
        <v>-15</v>
      </c>
      <c r="AQ24" s="28">
        <f>_xlfn.XLOOKUP($B24,'MP (2)'!$B$6:$B$100,'MP (2)'!$H$6:$H$100,"")</f>
        <v>-16</v>
      </c>
      <c r="AR24" s="24">
        <f>_xlfn.XLOOKUP($B24,'GP1 (1)'!$B$6:$B$100,'GP1 (1)'!$H$6:$H$100,"")</f>
        <v>-11</v>
      </c>
      <c r="AS24" s="25">
        <f>_xlfn.XLOOKUP($B24,'GP1 (2)'!$B$6:$B$100,'GP1 (2)'!$H$6:$H$100,"")</f>
        <v>-17</v>
      </c>
      <c r="AT24" s="27">
        <f>_xlfn.XLOOKUP($B24,'GP2 (1)'!$B$6:$B$101,'GP2 (1)'!$H$6:$H$101,"")</f>
        <v>-3</v>
      </c>
      <c r="AU24" s="28">
        <f>_xlfn.XLOOKUP($B24,'GP2 (2)'!$B$6:$B$100,'GP2 (2)'!$H$6:$H$100,"")</f>
        <v>-5</v>
      </c>
      <c r="AV24" s="24" t="str">
        <f>_xlfn.XLOOKUP($B24,'GP3 (1)'!$B$6:$B$100,'GP3 (1)'!$H$6:$H$100,"")</f>
        <v/>
      </c>
      <c r="AW24" s="25" t="str">
        <f>_xlfn.XLOOKUP($B24,'GP3 (2)'!$B$6:$B$100,'GP3 (2)'!$H$6:$H$100,"")</f>
        <v/>
      </c>
      <c r="AX24" s="27">
        <f>_xlfn.XLOOKUP($B24,'GP4 (1)'!$B$6:$B$66,'GP4 (1)'!$H$6:$H$66,"")</f>
        <v>-15</v>
      </c>
      <c r="AY24" s="28">
        <f>_xlfn.XLOOKUP($B24,'GP4 (2)'!$B$6:$B$100,'GP4 (2)'!$H$6:$H$100,"")</f>
        <v>-20</v>
      </c>
      <c r="AZ24" s="24" t="str">
        <f>_xlfn.XLOOKUP($B24,'GP5 (1)'!$B$6:$B$99,'GP5 (1)'!$H$6:$H$99,"")</f>
        <v/>
      </c>
      <c r="BA24" s="25" t="str">
        <f>_xlfn.XLOOKUP($B24,'GP5 (2)'!$B$6:$B$99,'GP5 (2)'!$H$6:$H$99,"")</f>
        <v/>
      </c>
      <c r="BB24" s="27">
        <f>_xlfn.XLOOKUP($B24,'GP6 (1)'!$B$5:$B$99,'GP6 (1)'!$H$5:$H$99,"")</f>
        <v>-15</v>
      </c>
      <c r="BC24" s="28">
        <f>_xlfn.XLOOKUP($B24,'GP6 (2)'!$B$5:$B$99,'GP6 (2)'!$H$5:$H$99,"")</f>
        <v>-13</v>
      </c>
      <c r="BD24" s="24">
        <f>_xlfn.XLOOKUP($B24,'GP7 (1)'!$B$6:$B$100,'GP7 (1)'!$H$6:$H$100,"")</f>
        <v>-11</v>
      </c>
      <c r="BE24" s="25">
        <f>_xlfn.XLOOKUP($B24,'GP7 (2)'!$B$6:$B$100,'GP7 (2)'!$H$6:$H$100,"")</f>
        <v>-17</v>
      </c>
      <c r="BF24" s="27" t="str">
        <f>_xlfn.XLOOKUP($B24,'GP8 (1)'!$B$6:$B$100,'GP8 (1)'!$H$6:$H$100,"")</f>
        <v/>
      </c>
      <c r="BG24" s="32" t="str">
        <f>_xlfn.XLOOKUP($B24,'GP8 (2)'!$B$6:$B$100,'GP8 (2)'!$H$6:$H$100,"")</f>
        <v/>
      </c>
    </row>
    <row r="25" spans="1:59" ht="13.1" customHeight="1" x14ac:dyDescent="0.25">
      <c r="A25" s="1">
        <f>ROW()-4</f>
        <v>21</v>
      </c>
      <c r="B25" s="5" t="s">
        <v>34</v>
      </c>
      <c r="C25" s="30">
        <f>SUM(D25:U25)</f>
        <v>1.77</v>
      </c>
      <c r="D25" s="35">
        <f>_xlfn.XLOOKUP($B25,'MP (1)'!$B$6:$B$99,'MP (1)'!$E$6:$E$99,"")</f>
        <v>0</v>
      </c>
      <c r="E25" s="36">
        <f>_xlfn.XLOOKUP($B25,'MP (2)'!$B$6:$B$100,'MP (2)'!$E$6:$E$100,"")</f>
        <v>0.17</v>
      </c>
      <c r="F25" s="40">
        <f>_xlfn.XLOOKUP($B25,'GP1 (1)'!$B$6:$B$100,'GP1 (1)'!$E$6:$E$100,"")</f>
        <v>0.2</v>
      </c>
      <c r="G25" s="41">
        <f>_xlfn.XLOOKUP($B25,'GP1 (2)'!$B$6:$B$100,'GP1 (2)'!$E$6:$E$100,"")</f>
        <v>0.4</v>
      </c>
      <c r="H25" s="39" t="str">
        <f>_xlfn.XLOOKUP($B25,'GP2 (1)'!$B$6:$B$101,'GP2 (1)'!$E$6:$E$101,"")</f>
        <v/>
      </c>
      <c r="I25" s="36" t="str">
        <f>_xlfn.XLOOKUP($B25,'GP2 (2)'!$B$6:$B$100,'GP2 (2)'!$E$6:$E$100,"")</f>
        <v/>
      </c>
      <c r="J25" s="40" t="str">
        <f>_xlfn.XLOOKUP($B25,'GP3 (1)'!$B$6:$B$100,'GP3 (1)'!$E$6:$E$100,"")</f>
        <v/>
      </c>
      <c r="K25" s="41" t="str">
        <f>_xlfn.XLOOKUP($B25,'GP3 (2)'!$B$6:$B$100,'GP3 (2)'!$E$6:$E$100,"")</f>
        <v/>
      </c>
      <c r="L25" s="39">
        <f>_xlfn.XLOOKUP($B25,'GP4 (1)'!$B$6:$B$66,'GP4 (1)'!$E$6:$E$66,"")</f>
        <v>0.2</v>
      </c>
      <c r="M25" s="36">
        <f>_xlfn.XLOOKUP($B25,'GP4 (2)'!$B$6:$B$100,'GP4 (2)'!$E$6:$E$100,"")</f>
        <v>0.4</v>
      </c>
      <c r="N25" s="40">
        <f>_xlfn.XLOOKUP($B25,'GP5 (1)'!$B$6:$B$99,'GP5 (1)'!$E$6:$E$99,"")</f>
        <v>0.2</v>
      </c>
      <c r="O25" s="42">
        <f>_xlfn.XLOOKUP($B25,'GP5 (2)'!$B$6:$B$99,'GP5 (2)'!$E$6:$E$99,"")</f>
        <v>0.2</v>
      </c>
      <c r="P25" s="39" t="str">
        <f>_xlfn.XLOOKUP($B25,'GP6 (1)'!$B$5:$B$99,'GP6 (1)'!$E$5:$E$99,"")</f>
        <v>0.25</v>
      </c>
      <c r="Q25" s="36" t="str">
        <f>_xlfn.XLOOKUP($B25,'GP6 (2)'!$B$5:$B$99,'GP6 (2)'!$E$5:$E$99,"")</f>
        <v>0.40</v>
      </c>
      <c r="R25" s="40" t="str">
        <f>_xlfn.XLOOKUP($B25,'GP7 (1)'!$B$6:$B$100,'GP7 (1)'!$E$6:$E$100,"")</f>
        <v/>
      </c>
      <c r="S25" s="42" t="str">
        <f>_xlfn.XLOOKUP($B25,'GP7 (2)'!$B$6:$B$100,'GP7 (2)'!$E$6:$E$100,"")</f>
        <v/>
      </c>
      <c r="T25" s="39" t="str">
        <f>_xlfn.XLOOKUP($B25,'GP8 (1)'!$B$6:$B$100,'GP8 (1)'!$E$6:$E$100,"")</f>
        <v>0.20</v>
      </c>
      <c r="U25" s="35">
        <f>_xlfn.XLOOKUP($B25,'GP8 (2)'!$B$6:$B$100,'GP8 (2)'!$E$6:$E$100,"")</f>
        <v>0</v>
      </c>
      <c r="V25" s="13">
        <f>SUM(W25:AN25)</f>
        <v>141</v>
      </c>
      <c r="W25" s="29">
        <f>_xlfn.XLOOKUP($B25,'MP (1)'!$B$6:$B$99,'MP (1)'!$F$6:$F$99,"")</f>
        <v>9</v>
      </c>
      <c r="X25" s="28">
        <f>_xlfn.XLOOKUP($B25,'MP (2)'!$B$6:$B$100,'MP (2)'!$F$6:$F$100,"")</f>
        <v>14</v>
      </c>
      <c r="Y25" s="24">
        <f>_xlfn.XLOOKUP($B25,'GP1 (1)'!$B$6:$B$100,'GP1 (1)'!$F$6:$F$100,"")</f>
        <v>15</v>
      </c>
      <c r="Z25" s="25">
        <f>_xlfn.XLOOKUP($B25,'GP1 (2)'!$B$6:$B$100,'GP1 (2)'!$F$6:$F$100,"")</f>
        <v>16</v>
      </c>
      <c r="AA25" s="27" t="str">
        <f>_xlfn.XLOOKUP($B25,'GP2 (1)'!$B$6:$B$101,'GP2 (1)'!$F$6:$F$101,"")</f>
        <v/>
      </c>
      <c r="AB25" s="28" t="str">
        <f>_xlfn.XLOOKUP($B25,'GP2 (2)'!$B$6:$B$100,'GP2 (2)'!$F$6:$F$100,"")</f>
        <v/>
      </c>
      <c r="AC25" s="24" t="str">
        <f>_xlfn.XLOOKUP($B25,'GP3 (1)'!$B$6:$B$100,'GP3 (1)'!$F$6:$F$100,"")</f>
        <v/>
      </c>
      <c r="AD25" s="25" t="str">
        <f>_xlfn.XLOOKUP($B25,'GP3 (2)'!$B$6:$B$100,'GP3 (2)'!$F$6:$F$100,"")</f>
        <v/>
      </c>
      <c r="AE25" s="27">
        <f>_xlfn.XLOOKUP($B25,'GP4 (1)'!$B$6:$B$66,'GP4 (1)'!$F$6:$F$66,"")</f>
        <v>13</v>
      </c>
      <c r="AF25" s="28">
        <f>_xlfn.XLOOKUP($B25,'GP4 (2)'!$B$6:$B$100,'GP4 (2)'!$F$6:$F$100,"")</f>
        <v>17</v>
      </c>
      <c r="AG25" s="24">
        <f>_xlfn.XLOOKUP($B25,'GP5 (1)'!$B$6:$B$99,'GP5 (1)'!$F$6:$F$99,"")</f>
        <v>11</v>
      </c>
      <c r="AH25" s="26">
        <f>_xlfn.XLOOKUP($B25,'GP5 (2)'!$B$6:$B$99,'GP5 (2)'!$F$6:$F$99,"")</f>
        <v>9</v>
      </c>
      <c r="AI25" s="27">
        <f>_xlfn.XLOOKUP($B25,'GP6 (1)'!$B$5:$B$99,'GP6 (1)'!$F$5:$F$99,"")</f>
        <v>11</v>
      </c>
      <c r="AJ25" s="28">
        <f>_xlfn.XLOOKUP($B25,'GP6 (2)'!$B$5:$B$99,'GP6 (2)'!$F$5:$F$99,"")</f>
        <v>14</v>
      </c>
      <c r="AK25" s="24" t="str">
        <f>_xlfn.XLOOKUP($B25,'GP7 (1)'!$B$6:$B$100,'GP7 (1)'!$F$6:$F$100,"")</f>
        <v/>
      </c>
      <c r="AL25" s="26" t="str">
        <f>_xlfn.XLOOKUP($B25,'GP7 (2)'!$B$6:$B$100,'GP7 (2)'!$F$6:$F$100,"")</f>
        <v/>
      </c>
      <c r="AM25" s="27">
        <f>_xlfn.XLOOKUP($B25,'GP8 (1)'!$B$6:$B$100,'GP8 (1)'!$F$6:$F$100,"")</f>
        <v>7</v>
      </c>
      <c r="AN25" s="29">
        <f>_xlfn.XLOOKUP($B25,'GP8 (2)'!$B$6:$B$100,'GP8 (2)'!$F$6:$F$100,"")</f>
        <v>5</v>
      </c>
      <c r="AO25" s="13">
        <f>SUM(AP25:BG25)</f>
        <v>-121</v>
      </c>
      <c r="AP25" s="29">
        <f>_xlfn.XLOOKUP($B25,'MP (1)'!$B$6:$B$99,'MP (1)'!$H$6:$H$99,"")</f>
        <v>-21</v>
      </c>
      <c r="AQ25" s="28">
        <f>_xlfn.XLOOKUP($B25,'MP (2)'!$B$6:$B$100,'MP (2)'!$H$6:$H$100,"")</f>
        <v>-15</v>
      </c>
      <c r="AR25" s="24">
        <f>_xlfn.XLOOKUP($B25,'GP1 (1)'!$B$6:$B$100,'GP1 (1)'!$H$6:$H$100,"")</f>
        <v>-8</v>
      </c>
      <c r="AS25" s="25">
        <f>_xlfn.XLOOKUP($B25,'GP1 (2)'!$B$6:$B$100,'GP1 (2)'!$H$6:$H$100,"")</f>
        <v>-3</v>
      </c>
      <c r="AT25" s="27" t="str">
        <f>_xlfn.XLOOKUP($B25,'GP2 (1)'!$B$6:$B$101,'GP2 (1)'!$H$6:$H$101,"")</f>
        <v/>
      </c>
      <c r="AU25" s="28" t="str">
        <f>_xlfn.XLOOKUP($B25,'GP2 (2)'!$B$6:$B$100,'GP2 (2)'!$H$6:$H$100,"")</f>
        <v/>
      </c>
      <c r="AV25" s="24" t="str">
        <f>_xlfn.XLOOKUP($B25,'GP3 (1)'!$B$6:$B$100,'GP3 (1)'!$H$6:$H$100,"")</f>
        <v/>
      </c>
      <c r="AW25" s="25" t="str">
        <f>_xlfn.XLOOKUP($B25,'GP3 (2)'!$B$6:$B$100,'GP3 (2)'!$H$6:$H$100,"")</f>
        <v/>
      </c>
      <c r="AX25" s="27">
        <f>_xlfn.XLOOKUP($B25,'GP4 (1)'!$B$6:$B$66,'GP4 (1)'!$H$6:$H$66,"")</f>
        <v>-9</v>
      </c>
      <c r="AY25" s="28">
        <f>_xlfn.XLOOKUP($B25,'GP4 (2)'!$B$6:$B$100,'GP4 (2)'!$H$6:$H$100,"")</f>
        <v>1</v>
      </c>
      <c r="AZ25" s="24">
        <f>_xlfn.XLOOKUP($B25,'GP5 (1)'!$B$6:$B$99,'GP5 (1)'!$H$6:$H$99,"")</f>
        <v>-12</v>
      </c>
      <c r="BA25" s="25">
        <f>_xlfn.XLOOKUP($B25,'GP5 (2)'!$B$6:$B$99,'GP5 (2)'!$H$6:$H$99,"")</f>
        <v>-13</v>
      </c>
      <c r="BB25" s="27">
        <f>_xlfn.XLOOKUP($B25,'GP6 (1)'!$B$5:$B$99,'GP6 (1)'!$H$5:$H$99,"")</f>
        <v>-8</v>
      </c>
      <c r="BC25" s="28">
        <f>_xlfn.XLOOKUP($B25,'GP6 (2)'!$B$5:$B$99,'GP6 (2)'!$H$5:$H$99,"")</f>
        <v>-3</v>
      </c>
      <c r="BD25" s="24" t="str">
        <f>_xlfn.XLOOKUP($B25,'GP7 (1)'!$B$6:$B$100,'GP7 (1)'!$H$6:$H$100,"")</f>
        <v/>
      </c>
      <c r="BE25" s="25" t="str">
        <f>_xlfn.XLOOKUP($B25,'GP7 (2)'!$B$6:$B$100,'GP7 (2)'!$H$6:$H$100,"")</f>
        <v/>
      </c>
      <c r="BF25" s="27">
        <f>_xlfn.XLOOKUP($B25,'GP8 (1)'!$B$6:$B$100,'GP8 (1)'!$H$6:$H$100,"")</f>
        <v>-15</v>
      </c>
      <c r="BG25" s="32">
        <f>_xlfn.XLOOKUP($B25,'GP8 (2)'!$B$6:$B$100,'GP8 (2)'!$H$6:$H$100,"")</f>
        <v>-15</v>
      </c>
    </row>
    <row r="26" spans="1:59" ht="13.1" customHeight="1" x14ac:dyDescent="0.25">
      <c r="A26" s="1">
        <f>ROW()-4</f>
        <v>22</v>
      </c>
      <c r="B26" s="5" t="s">
        <v>35</v>
      </c>
      <c r="C26" s="30">
        <f>SUM(D26:U26)</f>
        <v>1.67</v>
      </c>
      <c r="D26" s="35">
        <f>_xlfn.XLOOKUP($B26,'MP (1)'!$B$6:$B$99,'MP (1)'!$E$6:$E$99,"")</f>
        <v>0.67</v>
      </c>
      <c r="E26" s="36">
        <f>_xlfn.XLOOKUP($B26,'MP (2)'!$B$6:$B$100,'MP (2)'!$E$6:$E$100,"")</f>
        <v>1</v>
      </c>
      <c r="F26" s="40" t="str">
        <f>_xlfn.XLOOKUP($B26,'GP1 (1)'!$B$6:$B$100,'GP1 (1)'!$E$6:$E$100,"")</f>
        <v/>
      </c>
      <c r="G26" s="41" t="str">
        <f>_xlfn.XLOOKUP($B26,'GP1 (2)'!$B$6:$B$100,'GP1 (2)'!$E$6:$E$100,"")</f>
        <v/>
      </c>
      <c r="H26" s="39" t="str">
        <f>_xlfn.XLOOKUP($B26,'GP2 (1)'!$B$6:$B$101,'GP2 (1)'!$E$6:$E$101,"")</f>
        <v/>
      </c>
      <c r="I26" s="36" t="str">
        <f>_xlfn.XLOOKUP($B26,'GP2 (2)'!$B$6:$B$100,'GP2 (2)'!$E$6:$E$100,"")</f>
        <v/>
      </c>
      <c r="J26" s="40" t="str">
        <f>_xlfn.XLOOKUP($B26,'GP3 (1)'!$B$6:$B$100,'GP3 (1)'!$E$6:$E$100,"")</f>
        <v/>
      </c>
      <c r="K26" s="41" t="str">
        <f>_xlfn.XLOOKUP($B26,'GP3 (2)'!$B$6:$B$100,'GP3 (2)'!$E$6:$E$100,"")</f>
        <v/>
      </c>
      <c r="L26" s="39" t="str">
        <f>_xlfn.XLOOKUP($B26,'GP4 (1)'!$B$6:$B$66,'GP4 (1)'!$E$6:$E$66,"")</f>
        <v/>
      </c>
      <c r="M26" s="36" t="str">
        <f>_xlfn.XLOOKUP($B26,'GP4 (2)'!$B$6:$B$100,'GP4 (2)'!$E$6:$E$100,"")</f>
        <v/>
      </c>
      <c r="N26" s="40" t="str">
        <f>_xlfn.XLOOKUP($B26,'GP5 (1)'!$B$6:$B$99,'GP5 (1)'!$E$6:$E$99,"")</f>
        <v/>
      </c>
      <c r="O26" s="42" t="str">
        <f>_xlfn.XLOOKUP($B26,'GP5 (2)'!$B$6:$B$99,'GP5 (2)'!$E$6:$E$99,"")</f>
        <v/>
      </c>
      <c r="P26" s="39" t="str">
        <f>_xlfn.XLOOKUP($B26,'GP6 (1)'!$B$5:$B$99,'GP6 (1)'!$E$5:$E$99,"")</f>
        <v/>
      </c>
      <c r="Q26" s="36" t="str">
        <f>_xlfn.XLOOKUP($B26,'GP6 (2)'!$B$5:$B$99,'GP6 (2)'!$E$5:$E$99,"")</f>
        <v/>
      </c>
      <c r="R26" s="40" t="str">
        <f>_xlfn.XLOOKUP($B26,'GP7 (1)'!$B$6:$B$100,'GP7 (1)'!$E$6:$E$100,"")</f>
        <v/>
      </c>
      <c r="S26" s="42" t="str">
        <f>_xlfn.XLOOKUP($B26,'GP7 (2)'!$B$6:$B$100,'GP7 (2)'!$E$6:$E$100,"")</f>
        <v/>
      </c>
      <c r="T26" s="39" t="str">
        <f>_xlfn.XLOOKUP($B26,'GP8 (1)'!$B$6:$B$100,'GP8 (1)'!$E$6:$E$100,"")</f>
        <v/>
      </c>
      <c r="U26" s="35" t="str">
        <f>_xlfn.XLOOKUP($B26,'GP8 (2)'!$B$6:$B$100,'GP8 (2)'!$E$6:$E$100,"")</f>
        <v/>
      </c>
      <c r="V26" s="13">
        <f>SUM(W26:AN26)</f>
        <v>57</v>
      </c>
      <c r="W26" s="29">
        <f>_xlfn.XLOOKUP($B26,'MP (1)'!$B$6:$B$99,'MP (1)'!$F$6:$F$99,"")</f>
        <v>27</v>
      </c>
      <c r="X26" s="28">
        <f>_xlfn.XLOOKUP($B26,'MP (2)'!$B$6:$B$100,'MP (2)'!$F$6:$F$100,"")</f>
        <v>30</v>
      </c>
      <c r="Y26" s="24" t="str">
        <f>_xlfn.XLOOKUP($B26,'GP1 (1)'!$B$6:$B$100,'GP1 (1)'!$F$6:$F$100,"")</f>
        <v/>
      </c>
      <c r="Z26" s="25" t="str">
        <f>_xlfn.XLOOKUP($B26,'GP1 (2)'!$B$6:$B$100,'GP1 (2)'!$F$6:$F$100,"")</f>
        <v/>
      </c>
      <c r="AA26" s="27" t="str">
        <f>_xlfn.XLOOKUP($B26,'GP2 (1)'!$B$6:$B$101,'GP2 (1)'!$F$6:$F$101,"")</f>
        <v/>
      </c>
      <c r="AB26" s="28" t="str">
        <f>_xlfn.XLOOKUP($B26,'GP2 (2)'!$B$6:$B$100,'GP2 (2)'!$F$6:$F$100,"")</f>
        <v/>
      </c>
      <c r="AC26" s="24" t="str">
        <f>_xlfn.XLOOKUP($B26,'GP3 (1)'!$B$6:$B$100,'GP3 (1)'!$F$6:$F$100,"")</f>
        <v/>
      </c>
      <c r="AD26" s="25" t="str">
        <f>_xlfn.XLOOKUP($B26,'GP3 (2)'!$B$6:$B$100,'GP3 (2)'!$F$6:$F$100,"")</f>
        <v/>
      </c>
      <c r="AE26" s="27" t="str">
        <f>_xlfn.XLOOKUP($B26,'GP4 (1)'!$B$6:$B$66,'GP4 (1)'!$F$6:$F$66,"")</f>
        <v/>
      </c>
      <c r="AF26" s="28" t="str">
        <f>_xlfn.XLOOKUP($B26,'GP4 (2)'!$B$6:$B$100,'GP4 (2)'!$F$6:$F$100,"")</f>
        <v/>
      </c>
      <c r="AG26" s="24" t="str">
        <f>_xlfn.XLOOKUP($B26,'GP5 (1)'!$B$6:$B$99,'GP5 (1)'!$F$6:$F$99,"")</f>
        <v/>
      </c>
      <c r="AH26" s="26" t="str">
        <f>_xlfn.XLOOKUP($B26,'GP5 (2)'!$B$6:$B$99,'GP5 (2)'!$F$6:$F$99,"")</f>
        <v/>
      </c>
      <c r="AI26" s="27" t="str">
        <f>_xlfn.XLOOKUP($B26,'GP6 (1)'!$B$5:$B$99,'GP6 (1)'!$F$5:$F$99,"")</f>
        <v/>
      </c>
      <c r="AJ26" s="28" t="str">
        <f>_xlfn.XLOOKUP($B26,'GP6 (2)'!$B$5:$B$99,'GP6 (2)'!$F$5:$F$99,"")</f>
        <v/>
      </c>
      <c r="AK26" s="24" t="str">
        <f>_xlfn.XLOOKUP($B26,'GP7 (1)'!$B$6:$B$100,'GP7 (1)'!$F$6:$F$100,"")</f>
        <v/>
      </c>
      <c r="AL26" s="26" t="str">
        <f>_xlfn.XLOOKUP($B26,'GP7 (2)'!$B$6:$B$100,'GP7 (2)'!$F$6:$F$100,"")</f>
        <v/>
      </c>
      <c r="AM26" s="27" t="str">
        <f>_xlfn.XLOOKUP($B26,'GP8 (1)'!$B$6:$B$100,'GP8 (1)'!$F$6:$F$100,"")</f>
        <v/>
      </c>
      <c r="AN26" s="29" t="str">
        <f>_xlfn.XLOOKUP($B26,'GP8 (2)'!$B$6:$B$100,'GP8 (2)'!$F$6:$F$100,"")</f>
        <v/>
      </c>
      <c r="AO26" s="13">
        <f>SUM(AP26:BG26)</f>
        <v>32</v>
      </c>
      <c r="AP26" s="29">
        <f>_xlfn.XLOOKUP($B26,'MP (1)'!$B$6:$B$99,'MP (1)'!$H$6:$H$99,"")</f>
        <v>14</v>
      </c>
      <c r="AQ26" s="28">
        <f>_xlfn.XLOOKUP($B26,'MP (2)'!$B$6:$B$100,'MP (2)'!$H$6:$H$100,"")</f>
        <v>18</v>
      </c>
      <c r="AR26" s="24" t="str">
        <f>_xlfn.XLOOKUP($B26,'GP1 (1)'!$B$6:$B$100,'GP1 (1)'!$H$6:$H$100,"")</f>
        <v/>
      </c>
      <c r="AS26" s="25" t="str">
        <f>_xlfn.XLOOKUP($B26,'GP1 (2)'!$B$6:$B$100,'GP1 (2)'!$H$6:$H$100,"")</f>
        <v/>
      </c>
      <c r="AT26" s="27" t="str">
        <f>_xlfn.XLOOKUP($B26,'GP2 (1)'!$B$6:$B$101,'GP2 (1)'!$H$6:$H$101,"")</f>
        <v/>
      </c>
      <c r="AU26" s="28" t="str">
        <f>_xlfn.XLOOKUP($B26,'GP2 (2)'!$B$6:$B$100,'GP2 (2)'!$H$6:$H$100,"")</f>
        <v/>
      </c>
      <c r="AV26" s="24" t="str">
        <f>_xlfn.XLOOKUP($B26,'GP3 (1)'!$B$6:$B$100,'GP3 (1)'!$H$6:$H$100,"")</f>
        <v/>
      </c>
      <c r="AW26" s="25" t="str">
        <f>_xlfn.XLOOKUP($B26,'GP3 (2)'!$B$6:$B$100,'GP3 (2)'!$H$6:$H$100,"")</f>
        <v/>
      </c>
      <c r="AX26" s="27" t="str">
        <f>_xlfn.XLOOKUP($B26,'GP4 (1)'!$B$6:$B$66,'GP4 (1)'!$H$6:$H$66,"")</f>
        <v/>
      </c>
      <c r="AY26" s="28" t="str">
        <f>_xlfn.XLOOKUP($B26,'GP4 (2)'!$B$6:$B$100,'GP4 (2)'!$H$6:$H$100,"")</f>
        <v/>
      </c>
      <c r="AZ26" s="24" t="str">
        <f>_xlfn.XLOOKUP($B26,'GP5 (1)'!$B$6:$B$99,'GP5 (1)'!$H$6:$H$99,"")</f>
        <v/>
      </c>
      <c r="BA26" s="25" t="str">
        <f>_xlfn.XLOOKUP($B26,'GP5 (2)'!$B$6:$B$99,'GP5 (2)'!$H$6:$H$99,"")</f>
        <v/>
      </c>
      <c r="BB26" s="27" t="str">
        <f>_xlfn.XLOOKUP($B26,'GP6 (1)'!$B$5:$B$99,'GP6 (1)'!$H$5:$H$99,"")</f>
        <v/>
      </c>
      <c r="BC26" s="28" t="str">
        <f>_xlfn.XLOOKUP($B26,'GP6 (2)'!$B$5:$B$99,'GP6 (2)'!$H$5:$H$99,"")</f>
        <v/>
      </c>
      <c r="BD26" s="24" t="str">
        <f>_xlfn.XLOOKUP($B26,'GP7 (1)'!$B$6:$B$100,'GP7 (1)'!$H$6:$H$100,"")</f>
        <v/>
      </c>
      <c r="BE26" s="25" t="str">
        <f>_xlfn.XLOOKUP($B26,'GP7 (2)'!$B$6:$B$100,'GP7 (2)'!$H$6:$H$100,"")</f>
        <v/>
      </c>
      <c r="BF26" s="27" t="str">
        <f>_xlfn.XLOOKUP($B26,'GP8 (1)'!$B$6:$B$100,'GP8 (1)'!$H$6:$H$100,"")</f>
        <v/>
      </c>
      <c r="BG26" s="32" t="str">
        <f>_xlfn.XLOOKUP($B26,'GP8 (2)'!$B$6:$B$100,'GP8 (2)'!$H$6:$H$100,"")</f>
        <v/>
      </c>
    </row>
    <row r="27" spans="1:59" ht="13.1" customHeight="1" x14ac:dyDescent="0.25">
      <c r="A27" s="1">
        <f>ROW()-4</f>
        <v>23</v>
      </c>
      <c r="B27" s="5" t="s">
        <v>36</v>
      </c>
      <c r="C27" s="30">
        <f>SUM(D27:U27)</f>
        <v>1.67</v>
      </c>
      <c r="D27" s="35" t="str">
        <f>_xlfn.XLOOKUP($B27,'MP (1)'!$B$6:$B$99,'MP (1)'!$E$6:$E$99,"")</f>
        <v/>
      </c>
      <c r="E27" s="36" t="str">
        <f>_xlfn.XLOOKUP($B27,'MP (2)'!$B$6:$B$100,'MP (2)'!$E$6:$E$100,"")</f>
        <v/>
      </c>
      <c r="F27" s="40" t="str">
        <f>_xlfn.XLOOKUP($B27,'GP1 (1)'!$B$6:$B$100,'GP1 (1)'!$E$6:$E$100,"")</f>
        <v/>
      </c>
      <c r="G27" s="41" t="str">
        <f>_xlfn.XLOOKUP($B27,'GP1 (2)'!$B$6:$B$100,'GP1 (2)'!$E$6:$E$100,"")</f>
        <v/>
      </c>
      <c r="H27" s="39" t="str">
        <f>_xlfn.XLOOKUP($B27,'GP2 (1)'!$B$6:$B$101,'GP2 (1)'!$E$6:$E$101,"")</f>
        <v/>
      </c>
      <c r="I27" s="36" t="str">
        <f>_xlfn.XLOOKUP($B27,'GP2 (2)'!$B$6:$B$100,'GP2 (2)'!$E$6:$E$100,"")</f>
        <v/>
      </c>
      <c r="J27" s="40" t="str">
        <f>_xlfn.XLOOKUP($B27,'GP3 (1)'!$B$6:$B$100,'GP3 (1)'!$E$6:$E$100,"")</f>
        <v/>
      </c>
      <c r="K27" s="41" t="str">
        <f>_xlfn.XLOOKUP($B27,'GP3 (2)'!$B$6:$B$100,'GP3 (2)'!$E$6:$E$100,"")</f>
        <v/>
      </c>
      <c r="L27" s="39">
        <f>_xlfn.XLOOKUP($B27,'GP4 (1)'!$B$6:$B$66,'GP4 (1)'!$E$6:$E$66,"")</f>
        <v>0.67</v>
      </c>
      <c r="M27" s="36">
        <f>_xlfn.XLOOKUP($B27,'GP4 (2)'!$B$6:$B$100,'GP4 (2)'!$E$6:$E$100,"")</f>
        <v>1</v>
      </c>
      <c r="N27" s="40" t="str">
        <f>_xlfn.XLOOKUP($B27,'GP5 (1)'!$B$6:$B$99,'GP5 (1)'!$E$6:$E$99,"")</f>
        <v/>
      </c>
      <c r="O27" s="42" t="str">
        <f>_xlfn.XLOOKUP($B27,'GP5 (2)'!$B$6:$B$99,'GP5 (2)'!$E$6:$E$99,"")</f>
        <v/>
      </c>
      <c r="P27" s="39" t="str">
        <f>_xlfn.XLOOKUP($B27,'GP6 (1)'!$B$5:$B$99,'GP6 (1)'!$E$5:$E$99,"")</f>
        <v/>
      </c>
      <c r="Q27" s="36" t="str">
        <f>_xlfn.XLOOKUP($B27,'GP6 (2)'!$B$5:$B$99,'GP6 (2)'!$E$5:$E$99,"")</f>
        <v/>
      </c>
      <c r="R27" s="40" t="str">
        <f>_xlfn.XLOOKUP($B27,'GP7 (1)'!$B$6:$B$100,'GP7 (1)'!$E$6:$E$100,"")</f>
        <v/>
      </c>
      <c r="S27" s="42" t="str">
        <f>_xlfn.XLOOKUP($B27,'GP7 (2)'!$B$6:$B$100,'GP7 (2)'!$E$6:$E$100,"")</f>
        <v/>
      </c>
      <c r="T27" s="39" t="str">
        <f>_xlfn.XLOOKUP($B27,'GP8 (1)'!$B$6:$B$100,'GP8 (1)'!$E$6:$E$100,"")</f>
        <v/>
      </c>
      <c r="U27" s="35" t="str">
        <f>_xlfn.XLOOKUP($B27,'GP8 (2)'!$B$6:$B$100,'GP8 (2)'!$E$6:$E$100,"")</f>
        <v/>
      </c>
      <c r="V27" s="13">
        <f>SUM(W27:AN27)</f>
        <v>54</v>
      </c>
      <c r="W27" s="29" t="str">
        <f>_xlfn.XLOOKUP($B27,'MP (1)'!$B$6:$B$99,'MP (1)'!$F$6:$F$99,"")</f>
        <v/>
      </c>
      <c r="X27" s="28" t="str">
        <f>_xlfn.XLOOKUP($B27,'MP (2)'!$B$6:$B$100,'MP (2)'!$F$6:$F$100,"")</f>
        <v/>
      </c>
      <c r="Y27" s="24" t="str">
        <f>_xlfn.XLOOKUP($B27,'GP1 (1)'!$B$6:$B$100,'GP1 (1)'!$F$6:$F$100,"")</f>
        <v/>
      </c>
      <c r="Z27" s="25" t="str">
        <f>_xlfn.XLOOKUP($B27,'GP1 (2)'!$B$6:$B$100,'GP1 (2)'!$F$6:$F$100,"")</f>
        <v/>
      </c>
      <c r="AA27" s="27" t="str">
        <f>_xlfn.XLOOKUP($B27,'GP2 (1)'!$B$6:$B$101,'GP2 (1)'!$F$6:$F$101,"")</f>
        <v/>
      </c>
      <c r="AB27" s="28" t="str">
        <f>_xlfn.XLOOKUP($B27,'GP2 (2)'!$B$6:$B$100,'GP2 (2)'!$F$6:$F$100,"")</f>
        <v/>
      </c>
      <c r="AC27" s="24" t="str">
        <f>_xlfn.XLOOKUP($B27,'GP3 (1)'!$B$6:$B$100,'GP3 (1)'!$F$6:$F$100,"")</f>
        <v/>
      </c>
      <c r="AD27" s="25" t="str">
        <f>_xlfn.XLOOKUP($B27,'GP3 (2)'!$B$6:$B$100,'GP3 (2)'!$F$6:$F$100,"")</f>
        <v/>
      </c>
      <c r="AE27" s="27">
        <f>_xlfn.XLOOKUP($B27,'GP4 (1)'!$B$6:$B$66,'GP4 (1)'!$F$6:$F$66,"")</f>
        <v>24</v>
      </c>
      <c r="AF27" s="28">
        <f>_xlfn.XLOOKUP($B27,'GP4 (2)'!$B$6:$B$100,'GP4 (2)'!$F$6:$F$100,"")</f>
        <v>30</v>
      </c>
      <c r="AG27" s="24" t="str">
        <f>_xlfn.XLOOKUP($B27,'GP5 (1)'!$B$6:$B$99,'GP5 (1)'!$F$6:$F$99,"")</f>
        <v/>
      </c>
      <c r="AH27" s="26" t="str">
        <f>_xlfn.XLOOKUP($B27,'GP5 (2)'!$B$6:$B$99,'GP5 (2)'!$F$6:$F$99,"")</f>
        <v/>
      </c>
      <c r="AI27" s="27" t="str">
        <f>_xlfn.XLOOKUP($B27,'GP6 (1)'!$B$5:$B$99,'GP6 (1)'!$F$5:$F$99,"")</f>
        <v/>
      </c>
      <c r="AJ27" s="28" t="str">
        <f>_xlfn.XLOOKUP($B27,'GP6 (2)'!$B$5:$B$99,'GP6 (2)'!$F$5:$F$99,"")</f>
        <v/>
      </c>
      <c r="AK27" s="24" t="str">
        <f>_xlfn.XLOOKUP($B27,'GP7 (1)'!$B$6:$B$100,'GP7 (1)'!$F$6:$F$100,"")</f>
        <v/>
      </c>
      <c r="AL27" s="26" t="str">
        <f>_xlfn.XLOOKUP($B27,'GP7 (2)'!$B$6:$B$100,'GP7 (2)'!$F$6:$F$100,"")</f>
        <v/>
      </c>
      <c r="AM27" s="27" t="str">
        <f>_xlfn.XLOOKUP($B27,'GP8 (1)'!$B$6:$B$100,'GP8 (1)'!$F$6:$F$100,"")</f>
        <v/>
      </c>
      <c r="AN27" s="29" t="str">
        <f>_xlfn.XLOOKUP($B27,'GP8 (2)'!$B$6:$B$100,'GP8 (2)'!$F$6:$F$100,"")</f>
        <v/>
      </c>
      <c r="AO27" s="13">
        <f>SUM(AP27:BG27)</f>
        <v>39</v>
      </c>
      <c r="AP27" s="29" t="str">
        <f>_xlfn.XLOOKUP($B27,'MP (1)'!$B$6:$B$99,'MP (1)'!$H$6:$H$99,"")</f>
        <v/>
      </c>
      <c r="AQ27" s="28" t="str">
        <f>_xlfn.XLOOKUP($B27,'MP (2)'!$B$6:$B$100,'MP (2)'!$H$6:$H$100,"")</f>
        <v/>
      </c>
      <c r="AR27" s="24" t="str">
        <f>_xlfn.XLOOKUP($B27,'GP1 (1)'!$B$6:$B$100,'GP1 (1)'!$H$6:$H$100,"")</f>
        <v/>
      </c>
      <c r="AS27" s="25" t="str">
        <f>_xlfn.XLOOKUP($B27,'GP1 (2)'!$B$6:$B$100,'GP1 (2)'!$H$6:$H$100,"")</f>
        <v/>
      </c>
      <c r="AT27" s="27" t="str">
        <f>_xlfn.XLOOKUP($B27,'GP2 (1)'!$B$6:$B$101,'GP2 (1)'!$H$6:$H$101,"")</f>
        <v/>
      </c>
      <c r="AU27" s="28" t="str">
        <f>_xlfn.XLOOKUP($B27,'GP2 (2)'!$B$6:$B$100,'GP2 (2)'!$H$6:$H$100,"")</f>
        <v/>
      </c>
      <c r="AV27" s="24" t="str">
        <f>_xlfn.XLOOKUP($B27,'GP3 (1)'!$B$6:$B$100,'GP3 (1)'!$H$6:$H$100,"")</f>
        <v/>
      </c>
      <c r="AW27" s="25" t="str">
        <f>_xlfn.XLOOKUP($B27,'GP3 (2)'!$B$6:$B$100,'GP3 (2)'!$H$6:$H$100,"")</f>
        <v/>
      </c>
      <c r="AX27" s="27">
        <f>_xlfn.XLOOKUP($B27,'GP4 (1)'!$B$6:$B$66,'GP4 (1)'!$H$6:$H$66,"")</f>
        <v>13</v>
      </c>
      <c r="AY27" s="28">
        <f>_xlfn.XLOOKUP($B27,'GP4 (2)'!$B$6:$B$100,'GP4 (2)'!$H$6:$H$100,"")</f>
        <v>26</v>
      </c>
      <c r="AZ27" s="24" t="str">
        <f>_xlfn.XLOOKUP($B27,'GP5 (1)'!$B$6:$B$99,'GP5 (1)'!$H$6:$H$99,"")</f>
        <v/>
      </c>
      <c r="BA27" s="25" t="str">
        <f>_xlfn.XLOOKUP($B27,'GP5 (2)'!$B$6:$B$99,'GP5 (2)'!$H$6:$H$99,"")</f>
        <v/>
      </c>
      <c r="BB27" s="27" t="str">
        <f>_xlfn.XLOOKUP($B27,'GP6 (1)'!$B$5:$B$99,'GP6 (1)'!$H$5:$H$99,"")</f>
        <v/>
      </c>
      <c r="BC27" s="28" t="str">
        <f>_xlfn.XLOOKUP($B27,'GP6 (2)'!$B$5:$B$99,'GP6 (2)'!$H$5:$H$99,"")</f>
        <v/>
      </c>
      <c r="BD27" s="24" t="str">
        <f>_xlfn.XLOOKUP($B27,'GP7 (1)'!$B$6:$B$100,'GP7 (1)'!$H$6:$H$100,"")</f>
        <v/>
      </c>
      <c r="BE27" s="25" t="str">
        <f>_xlfn.XLOOKUP($B27,'GP7 (2)'!$B$6:$B$100,'GP7 (2)'!$H$6:$H$100,"")</f>
        <v/>
      </c>
      <c r="BF27" s="27" t="str">
        <f>_xlfn.XLOOKUP($B27,'GP8 (1)'!$B$6:$B$100,'GP8 (1)'!$H$6:$H$100,"")</f>
        <v/>
      </c>
      <c r="BG27" s="32" t="str">
        <f>_xlfn.XLOOKUP($B27,'GP8 (2)'!$B$6:$B$100,'GP8 (2)'!$H$6:$H$100,"")</f>
        <v/>
      </c>
    </row>
    <row r="28" spans="1:59" ht="13.1" customHeight="1" x14ac:dyDescent="0.25">
      <c r="A28" s="1">
        <f>ROW()-4</f>
        <v>24</v>
      </c>
      <c r="B28" s="5" t="s">
        <v>37</v>
      </c>
      <c r="C28" s="30">
        <f>SUM(D28:U28)</f>
        <v>1.6</v>
      </c>
      <c r="D28" s="35" t="str">
        <f>_xlfn.XLOOKUP($B28,'MP (1)'!$B$6:$B$99,'MP (1)'!$E$6:$E$99,"")</f>
        <v/>
      </c>
      <c r="E28" s="36" t="str">
        <f>_xlfn.XLOOKUP($B28,'MP (2)'!$B$6:$B$100,'MP (2)'!$E$6:$E$100,"")</f>
        <v/>
      </c>
      <c r="F28" s="40" t="str">
        <f>_xlfn.XLOOKUP($B28,'GP1 (1)'!$B$6:$B$100,'GP1 (1)'!$E$6:$E$100,"")</f>
        <v/>
      </c>
      <c r="G28" s="41" t="str">
        <f>_xlfn.XLOOKUP($B28,'GP1 (2)'!$B$6:$B$100,'GP1 (2)'!$E$6:$E$100,"")</f>
        <v/>
      </c>
      <c r="H28" s="39" t="str">
        <f>_xlfn.XLOOKUP($B28,'GP2 (1)'!$B$6:$B$101,'GP2 (1)'!$E$6:$E$101,"")</f>
        <v/>
      </c>
      <c r="I28" s="36" t="str">
        <f>_xlfn.XLOOKUP($B28,'GP2 (2)'!$B$6:$B$100,'GP2 (2)'!$E$6:$E$100,"")</f>
        <v/>
      </c>
      <c r="J28" s="40" t="str">
        <f>_xlfn.XLOOKUP($B28,'GP3 (1)'!$B$6:$B$100,'GP3 (1)'!$E$6:$E$100,"")</f>
        <v/>
      </c>
      <c r="K28" s="41" t="str">
        <f>_xlfn.XLOOKUP($B28,'GP3 (2)'!$B$6:$B$100,'GP3 (2)'!$E$6:$E$100,"")</f>
        <v/>
      </c>
      <c r="L28" s="39" t="str">
        <f>_xlfn.XLOOKUP($B28,'GP4 (1)'!$B$6:$B$66,'GP4 (1)'!$E$6:$E$66,"")</f>
        <v/>
      </c>
      <c r="M28" s="36" t="str">
        <f>_xlfn.XLOOKUP($B28,'GP4 (2)'!$B$6:$B$100,'GP4 (2)'!$E$6:$E$100,"")</f>
        <v/>
      </c>
      <c r="N28" s="40">
        <f>_xlfn.XLOOKUP($B28,'GP5 (1)'!$B$6:$B$99,'GP5 (1)'!$E$6:$E$99,"")</f>
        <v>0.6</v>
      </c>
      <c r="O28" s="42">
        <f>_xlfn.XLOOKUP($B28,'GP5 (2)'!$B$6:$B$99,'GP5 (2)'!$E$6:$E$99,"")</f>
        <v>1</v>
      </c>
      <c r="P28" s="39" t="str">
        <f>_xlfn.XLOOKUP($B28,'GP6 (1)'!$B$5:$B$99,'GP6 (1)'!$E$5:$E$99,"")</f>
        <v/>
      </c>
      <c r="Q28" s="36" t="str">
        <f>_xlfn.XLOOKUP($B28,'GP6 (2)'!$B$5:$B$99,'GP6 (2)'!$E$5:$E$99,"")</f>
        <v/>
      </c>
      <c r="R28" s="40" t="str">
        <f>_xlfn.XLOOKUP($B28,'GP7 (1)'!$B$6:$B$100,'GP7 (1)'!$E$6:$E$100,"")</f>
        <v/>
      </c>
      <c r="S28" s="42" t="str">
        <f>_xlfn.XLOOKUP($B28,'GP7 (2)'!$B$6:$B$100,'GP7 (2)'!$E$6:$E$100,"")</f>
        <v/>
      </c>
      <c r="T28" s="39" t="str">
        <f>_xlfn.XLOOKUP($B28,'GP8 (1)'!$B$6:$B$100,'GP8 (1)'!$E$6:$E$100,"")</f>
        <v/>
      </c>
      <c r="U28" s="35" t="str">
        <f>_xlfn.XLOOKUP($B28,'GP8 (2)'!$B$6:$B$100,'GP8 (2)'!$E$6:$E$100,"")</f>
        <v/>
      </c>
      <c r="V28" s="13">
        <f>SUM(W28:AN28)</f>
        <v>43</v>
      </c>
      <c r="W28" s="29" t="str">
        <f>_xlfn.XLOOKUP($B28,'MP (1)'!$B$6:$B$99,'MP (1)'!$F$6:$F$99,"")</f>
        <v/>
      </c>
      <c r="X28" s="28" t="str">
        <f>_xlfn.XLOOKUP($B28,'MP (2)'!$B$6:$B$100,'MP (2)'!$F$6:$F$100,"")</f>
        <v/>
      </c>
      <c r="Y28" s="24" t="str">
        <f>_xlfn.XLOOKUP($B28,'GP1 (1)'!$B$6:$B$100,'GP1 (1)'!$F$6:$F$100,"")</f>
        <v/>
      </c>
      <c r="Z28" s="25" t="str">
        <f>_xlfn.XLOOKUP($B28,'GP1 (2)'!$B$6:$B$100,'GP1 (2)'!$F$6:$F$100,"")</f>
        <v/>
      </c>
      <c r="AA28" s="27" t="str">
        <f>_xlfn.XLOOKUP($B28,'GP2 (1)'!$B$6:$B$101,'GP2 (1)'!$F$6:$F$101,"")</f>
        <v/>
      </c>
      <c r="AB28" s="28" t="str">
        <f>_xlfn.XLOOKUP($B28,'GP2 (2)'!$B$6:$B$100,'GP2 (2)'!$F$6:$F$100,"")</f>
        <v/>
      </c>
      <c r="AC28" s="24" t="str">
        <f>_xlfn.XLOOKUP($B28,'GP3 (1)'!$B$6:$B$100,'GP3 (1)'!$F$6:$F$100,"")</f>
        <v/>
      </c>
      <c r="AD28" s="25" t="str">
        <f>_xlfn.XLOOKUP($B28,'GP3 (2)'!$B$6:$B$100,'GP3 (2)'!$F$6:$F$100,"")</f>
        <v/>
      </c>
      <c r="AE28" s="27" t="str">
        <f>_xlfn.XLOOKUP($B28,'GP4 (1)'!$B$6:$B$66,'GP4 (1)'!$F$6:$F$66,"")</f>
        <v/>
      </c>
      <c r="AF28" s="28" t="str">
        <f>_xlfn.XLOOKUP($B28,'GP4 (2)'!$B$6:$B$100,'GP4 (2)'!$F$6:$F$100,"")</f>
        <v/>
      </c>
      <c r="AG28" s="24">
        <f>_xlfn.XLOOKUP($B28,'GP5 (1)'!$B$6:$B$99,'GP5 (1)'!$F$6:$F$99,"")</f>
        <v>18</v>
      </c>
      <c r="AH28" s="26">
        <f>_xlfn.XLOOKUP($B28,'GP5 (2)'!$B$6:$B$99,'GP5 (2)'!$F$6:$F$99,"")</f>
        <v>25</v>
      </c>
      <c r="AI28" s="27" t="str">
        <f>_xlfn.XLOOKUP($B28,'GP6 (1)'!$B$5:$B$99,'GP6 (1)'!$F$5:$F$99,"")</f>
        <v/>
      </c>
      <c r="AJ28" s="28" t="str">
        <f>_xlfn.XLOOKUP($B28,'GP6 (2)'!$B$5:$B$99,'GP6 (2)'!$F$5:$F$99,"")</f>
        <v/>
      </c>
      <c r="AK28" s="24" t="str">
        <f>_xlfn.XLOOKUP($B28,'GP7 (1)'!$B$6:$B$100,'GP7 (1)'!$F$6:$F$100,"")</f>
        <v/>
      </c>
      <c r="AL28" s="26" t="str">
        <f>_xlfn.XLOOKUP($B28,'GP7 (2)'!$B$6:$B$100,'GP7 (2)'!$F$6:$F$100,"")</f>
        <v/>
      </c>
      <c r="AM28" s="27" t="str">
        <f>_xlfn.XLOOKUP($B28,'GP8 (1)'!$B$6:$B$100,'GP8 (1)'!$F$6:$F$100,"")</f>
        <v/>
      </c>
      <c r="AN28" s="29" t="str">
        <f>_xlfn.XLOOKUP($B28,'GP8 (2)'!$B$6:$B$100,'GP8 (2)'!$F$6:$F$100,"")</f>
        <v/>
      </c>
      <c r="AO28" s="13">
        <f>SUM(AP28:BG28)</f>
        <v>24</v>
      </c>
      <c r="AP28" s="29" t="str">
        <f>_xlfn.XLOOKUP($B28,'MP (1)'!$B$6:$B$99,'MP (1)'!$H$6:$H$99,"")</f>
        <v/>
      </c>
      <c r="AQ28" s="28" t="str">
        <f>_xlfn.XLOOKUP($B28,'MP (2)'!$B$6:$B$100,'MP (2)'!$H$6:$H$100,"")</f>
        <v/>
      </c>
      <c r="AR28" s="24" t="str">
        <f>_xlfn.XLOOKUP($B28,'GP1 (1)'!$B$6:$B$100,'GP1 (1)'!$H$6:$H$100,"")</f>
        <v/>
      </c>
      <c r="AS28" s="25" t="str">
        <f>_xlfn.XLOOKUP($B28,'GP1 (2)'!$B$6:$B$100,'GP1 (2)'!$H$6:$H$100,"")</f>
        <v/>
      </c>
      <c r="AT28" s="27" t="str">
        <f>_xlfn.XLOOKUP($B28,'GP2 (1)'!$B$6:$B$101,'GP2 (1)'!$H$6:$H$101,"")</f>
        <v/>
      </c>
      <c r="AU28" s="28" t="str">
        <f>_xlfn.XLOOKUP($B28,'GP2 (2)'!$B$6:$B$100,'GP2 (2)'!$H$6:$H$100,"")</f>
        <v/>
      </c>
      <c r="AV28" s="24" t="str">
        <f>_xlfn.XLOOKUP($B28,'GP3 (1)'!$B$6:$B$100,'GP3 (1)'!$H$6:$H$100,"")</f>
        <v/>
      </c>
      <c r="AW28" s="25" t="str">
        <f>_xlfn.XLOOKUP($B28,'GP3 (2)'!$B$6:$B$100,'GP3 (2)'!$H$6:$H$100,"")</f>
        <v/>
      </c>
      <c r="AX28" s="27" t="str">
        <f>_xlfn.XLOOKUP($B28,'GP4 (1)'!$B$6:$B$66,'GP4 (1)'!$H$6:$H$66,"")</f>
        <v/>
      </c>
      <c r="AY28" s="28" t="str">
        <f>_xlfn.XLOOKUP($B28,'GP4 (2)'!$B$6:$B$100,'GP4 (2)'!$H$6:$H$100,"")</f>
        <v/>
      </c>
      <c r="AZ28" s="24">
        <f>_xlfn.XLOOKUP($B28,'GP5 (1)'!$B$6:$B$99,'GP5 (1)'!$H$6:$H$99,"")</f>
        <v>7</v>
      </c>
      <c r="BA28" s="25">
        <f>_xlfn.XLOOKUP($B28,'GP5 (2)'!$B$6:$B$99,'GP5 (2)'!$H$6:$H$99,"")</f>
        <v>17</v>
      </c>
      <c r="BB28" s="27" t="str">
        <f>_xlfn.XLOOKUP($B28,'GP6 (1)'!$B$5:$B$99,'GP6 (1)'!$H$5:$H$99,"")</f>
        <v/>
      </c>
      <c r="BC28" s="28" t="str">
        <f>_xlfn.XLOOKUP($B28,'GP6 (2)'!$B$5:$B$99,'GP6 (2)'!$H$5:$H$99,"")</f>
        <v/>
      </c>
      <c r="BD28" s="24" t="str">
        <f>_xlfn.XLOOKUP($B28,'GP7 (1)'!$B$6:$B$100,'GP7 (1)'!$H$6:$H$100,"")</f>
        <v/>
      </c>
      <c r="BE28" s="25" t="str">
        <f>_xlfn.XLOOKUP($B28,'GP7 (2)'!$B$6:$B$100,'GP7 (2)'!$H$6:$H$100,"")</f>
        <v/>
      </c>
      <c r="BF28" s="27" t="str">
        <f>_xlfn.XLOOKUP($B28,'GP8 (1)'!$B$6:$B$100,'GP8 (1)'!$H$6:$H$100,"")</f>
        <v/>
      </c>
      <c r="BG28" s="32" t="str">
        <f>_xlfn.XLOOKUP($B28,'GP8 (2)'!$B$6:$B$100,'GP8 (2)'!$H$6:$H$100,"")</f>
        <v/>
      </c>
    </row>
    <row r="29" spans="1:59" ht="13.1" customHeight="1" x14ac:dyDescent="0.25">
      <c r="A29" s="1">
        <f>ROW()-4</f>
        <v>25</v>
      </c>
      <c r="B29" s="5" t="s">
        <v>38</v>
      </c>
      <c r="C29" s="30">
        <f>SUM(D29:U29)</f>
        <v>1.46</v>
      </c>
      <c r="D29" s="35">
        <f>_xlfn.XLOOKUP($B29,'MP (1)'!$B$6:$B$99,'MP (1)'!$E$6:$E$99,"")</f>
        <v>0.33</v>
      </c>
      <c r="E29" s="36">
        <f>_xlfn.XLOOKUP($B29,'MP (2)'!$B$6:$B$100,'MP (2)'!$E$6:$E$100,"")</f>
        <v>0.33</v>
      </c>
      <c r="F29" s="40" t="str">
        <f>_xlfn.XLOOKUP($B29,'GP1 (1)'!$B$6:$B$100,'GP1 (1)'!$E$6:$E$100,"")</f>
        <v/>
      </c>
      <c r="G29" s="41" t="str">
        <f>_xlfn.XLOOKUP($B29,'GP1 (2)'!$B$6:$B$100,'GP1 (2)'!$E$6:$E$100,"")</f>
        <v/>
      </c>
      <c r="H29" s="39">
        <f>_xlfn.XLOOKUP($B29,'GP2 (1)'!$B$6:$B$101,'GP2 (1)'!$E$6:$E$101,"")</f>
        <v>0.2</v>
      </c>
      <c r="I29" s="36">
        <f>_xlfn.XLOOKUP($B29,'GP2 (2)'!$B$6:$B$100,'GP2 (2)'!$E$6:$E$100,"")</f>
        <v>0.6</v>
      </c>
      <c r="J29" s="40" t="str">
        <f>_xlfn.XLOOKUP($B29,'GP3 (1)'!$B$6:$B$100,'GP3 (1)'!$E$6:$E$100,"")</f>
        <v/>
      </c>
      <c r="K29" s="41" t="str">
        <f>_xlfn.XLOOKUP($B29,'GP3 (2)'!$B$6:$B$100,'GP3 (2)'!$E$6:$E$100,"")</f>
        <v/>
      </c>
      <c r="L29" s="39" t="str">
        <f>_xlfn.XLOOKUP($B29,'GP4 (1)'!$B$6:$B$66,'GP4 (1)'!$E$6:$E$66,"")</f>
        <v/>
      </c>
      <c r="M29" s="36" t="str">
        <f>_xlfn.XLOOKUP($B29,'GP4 (2)'!$B$6:$B$100,'GP4 (2)'!$E$6:$E$100,"")</f>
        <v/>
      </c>
      <c r="N29" s="40" t="str">
        <f>_xlfn.XLOOKUP($B29,'GP5 (1)'!$B$6:$B$99,'GP5 (1)'!$E$6:$E$99,"")</f>
        <v/>
      </c>
      <c r="O29" s="42" t="str">
        <f>_xlfn.XLOOKUP($B29,'GP5 (2)'!$B$6:$B$99,'GP5 (2)'!$E$6:$E$99,"")</f>
        <v/>
      </c>
      <c r="P29" s="39" t="str">
        <f>_xlfn.XLOOKUP($B29,'GP6 (1)'!$B$5:$B$99,'GP6 (1)'!$E$5:$E$99,"")</f>
        <v/>
      </c>
      <c r="Q29" s="36" t="str">
        <f>_xlfn.XLOOKUP($B29,'GP6 (2)'!$B$5:$B$99,'GP6 (2)'!$E$5:$E$99,"")</f>
        <v/>
      </c>
      <c r="R29" s="40" t="str">
        <f>_xlfn.XLOOKUP($B29,'GP7 (1)'!$B$6:$B$100,'GP7 (1)'!$E$6:$E$100,"")</f>
        <v/>
      </c>
      <c r="S29" s="42" t="str">
        <f>_xlfn.XLOOKUP($B29,'GP7 (2)'!$B$6:$B$100,'GP7 (2)'!$E$6:$E$100,"")</f>
        <v/>
      </c>
      <c r="T29" s="39" t="str">
        <f>_xlfn.XLOOKUP($B29,'GP8 (1)'!$B$6:$B$100,'GP8 (1)'!$E$6:$E$100,"")</f>
        <v/>
      </c>
      <c r="U29" s="35" t="str">
        <f>_xlfn.XLOOKUP($B29,'GP8 (2)'!$B$6:$B$100,'GP8 (2)'!$E$6:$E$100,"")</f>
        <v/>
      </c>
      <c r="V29" s="13">
        <f>SUM(W29:AN29)</f>
        <v>62</v>
      </c>
      <c r="W29" s="29">
        <f>_xlfn.XLOOKUP($B29,'MP (1)'!$B$6:$B$99,'MP (1)'!$F$6:$F$99,"")</f>
        <v>17</v>
      </c>
      <c r="X29" s="28">
        <f>_xlfn.XLOOKUP($B29,'MP (2)'!$B$6:$B$100,'MP (2)'!$F$6:$F$100,"")</f>
        <v>16</v>
      </c>
      <c r="Y29" s="24" t="str">
        <f>_xlfn.XLOOKUP($B29,'GP1 (1)'!$B$6:$B$100,'GP1 (1)'!$F$6:$F$100,"")</f>
        <v/>
      </c>
      <c r="Z29" s="25" t="str">
        <f>_xlfn.XLOOKUP($B29,'GP1 (2)'!$B$6:$B$100,'GP1 (2)'!$F$6:$F$100,"")</f>
        <v/>
      </c>
      <c r="AA29" s="27">
        <f>_xlfn.XLOOKUP($B29,'GP2 (1)'!$B$6:$B$101,'GP2 (1)'!$F$6:$F$101,"")</f>
        <v>13</v>
      </c>
      <c r="AB29" s="28">
        <f>_xlfn.XLOOKUP($B29,'GP2 (2)'!$B$6:$B$100,'GP2 (2)'!$F$6:$F$100,"")</f>
        <v>16</v>
      </c>
      <c r="AC29" s="24" t="str">
        <f>_xlfn.XLOOKUP($B29,'GP3 (1)'!$B$6:$B$100,'GP3 (1)'!$F$6:$F$100,"")</f>
        <v/>
      </c>
      <c r="AD29" s="25" t="str">
        <f>_xlfn.XLOOKUP($B29,'GP3 (2)'!$B$6:$B$100,'GP3 (2)'!$F$6:$F$100,"")</f>
        <v/>
      </c>
      <c r="AE29" s="27" t="str">
        <f>_xlfn.XLOOKUP($B29,'GP4 (1)'!$B$6:$B$66,'GP4 (1)'!$F$6:$F$66,"")</f>
        <v/>
      </c>
      <c r="AF29" s="28" t="str">
        <f>_xlfn.XLOOKUP($B29,'GP4 (2)'!$B$6:$B$100,'GP4 (2)'!$F$6:$F$100,"")</f>
        <v/>
      </c>
      <c r="AG29" s="24" t="str">
        <f>_xlfn.XLOOKUP($B29,'GP5 (1)'!$B$6:$B$99,'GP5 (1)'!$F$6:$F$99,"")</f>
        <v/>
      </c>
      <c r="AH29" s="26" t="str">
        <f>_xlfn.XLOOKUP($B29,'GP5 (2)'!$B$6:$B$99,'GP5 (2)'!$F$6:$F$99,"")</f>
        <v/>
      </c>
      <c r="AI29" s="27" t="str">
        <f>_xlfn.XLOOKUP($B29,'GP6 (1)'!$B$5:$B$99,'GP6 (1)'!$F$5:$F$99,"")</f>
        <v/>
      </c>
      <c r="AJ29" s="28" t="str">
        <f>_xlfn.XLOOKUP($B29,'GP6 (2)'!$B$5:$B$99,'GP6 (2)'!$F$5:$F$99,"")</f>
        <v/>
      </c>
      <c r="AK29" s="24" t="str">
        <f>_xlfn.XLOOKUP($B29,'GP7 (1)'!$B$6:$B$100,'GP7 (1)'!$F$6:$F$100,"")</f>
        <v/>
      </c>
      <c r="AL29" s="26" t="str">
        <f>_xlfn.XLOOKUP($B29,'GP7 (2)'!$B$6:$B$100,'GP7 (2)'!$F$6:$F$100,"")</f>
        <v/>
      </c>
      <c r="AM29" s="27" t="str">
        <f>_xlfn.XLOOKUP($B29,'GP8 (1)'!$B$6:$B$100,'GP8 (1)'!$F$6:$F$100,"")</f>
        <v/>
      </c>
      <c r="AN29" s="29" t="str">
        <f>_xlfn.XLOOKUP($B29,'GP8 (2)'!$B$6:$B$100,'GP8 (2)'!$F$6:$F$100,"")</f>
        <v/>
      </c>
      <c r="AO29" s="13">
        <f>SUM(AP29:BG29)</f>
        <v>-26</v>
      </c>
      <c r="AP29" s="29">
        <f>_xlfn.XLOOKUP($B29,'MP (1)'!$B$6:$B$99,'MP (1)'!$H$6:$H$99,"")</f>
        <v>-8</v>
      </c>
      <c r="AQ29" s="28">
        <f>_xlfn.XLOOKUP($B29,'MP (2)'!$B$6:$B$100,'MP (2)'!$H$6:$H$100,"")</f>
        <v>-8</v>
      </c>
      <c r="AR29" s="24" t="str">
        <f>_xlfn.XLOOKUP($B29,'GP1 (1)'!$B$6:$B$100,'GP1 (1)'!$H$6:$H$100,"")</f>
        <v/>
      </c>
      <c r="AS29" s="25" t="str">
        <f>_xlfn.XLOOKUP($B29,'GP1 (2)'!$B$6:$B$100,'GP1 (2)'!$H$6:$H$100,"")</f>
        <v/>
      </c>
      <c r="AT29" s="27">
        <f>_xlfn.XLOOKUP($B29,'GP2 (1)'!$B$6:$B$101,'GP2 (1)'!$H$6:$H$101,"")</f>
        <v>-9</v>
      </c>
      <c r="AU29" s="28">
        <f>_xlfn.XLOOKUP($B29,'GP2 (2)'!$B$6:$B$100,'GP2 (2)'!$H$6:$H$100,"")</f>
        <v>-1</v>
      </c>
      <c r="AV29" s="24" t="str">
        <f>_xlfn.XLOOKUP($B29,'GP3 (1)'!$B$6:$B$100,'GP3 (1)'!$H$6:$H$100,"")</f>
        <v/>
      </c>
      <c r="AW29" s="25" t="str">
        <f>_xlfn.XLOOKUP($B29,'GP3 (2)'!$B$6:$B$100,'GP3 (2)'!$H$6:$H$100,"")</f>
        <v/>
      </c>
      <c r="AX29" s="27" t="str">
        <f>_xlfn.XLOOKUP($B29,'GP4 (1)'!$B$6:$B$66,'GP4 (1)'!$H$6:$H$66,"")</f>
        <v/>
      </c>
      <c r="AY29" s="28" t="str">
        <f>_xlfn.XLOOKUP($B29,'GP4 (2)'!$B$6:$B$100,'GP4 (2)'!$H$6:$H$100,"")</f>
        <v/>
      </c>
      <c r="AZ29" s="24" t="str">
        <f>_xlfn.XLOOKUP($B29,'GP5 (1)'!$B$6:$B$99,'GP5 (1)'!$H$6:$H$99,"")</f>
        <v/>
      </c>
      <c r="BA29" s="25" t="str">
        <f>_xlfn.XLOOKUP($B29,'GP5 (2)'!$B$6:$B$99,'GP5 (2)'!$H$6:$H$99,"")</f>
        <v/>
      </c>
      <c r="BB29" s="27" t="str">
        <f>_xlfn.XLOOKUP($B29,'GP6 (1)'!$B$5:$B$99,'GP6 (1)'!$H$5:$H$99,"")</f>
        <v/>
      </c>
      <c r="BC29" s="28" t="str">
        <f>_xlfn.XLOOKUP($B29,'GP6 (2)'!$B$5:$B$99,'GP6 (2)'!$H$5:$H$99,"")</f>
        <v/>
      </c>
      <c r="BD29" s="24" t="str">
        <f>_xlfn.XLOOKUP($B29,'GP7 (1)'!$B$6:$B$100,'GP7 (1)'!$H$6:$H$100,"")</f>
        <v/>
      </c>
      <c r="BE29" s="25" t="str">
        <f>_xlfn.XLOOKUP($B29,'GP7 (2)'!$B$6:$B$100,'GP7 (2)'!$H$6:$H$100,"")</f>
        <v/>
      </c>
      <c r="BF29" s="27" t="str">
        <f>_xlfn.XLOOKUP($B29,'GP8 (1)'!$B$6:$B$100,'GP8 (1)'!$H$6:$H$100,"")</f>
        <v/>
      </c>
      <c r="BG29" s="32" t="str">
        <f>_xlfn.XLOOKUP($B29,'GP8 (2)'!$B$6:$B$100,'GP8 (2)'!$H$6:$H$100,"")</f>
        <v/>
      </c>
    </row>
    <row r="30" spans="1:59" ht="13.1" customHeight="1" x14ac:dyDescent="0.25">
      <c r="A30" s="1">
        <f>ROW()-4</f>
        <v>26</v>
      </c>
      <c r="B30" s="5" t="s">
        <v>39</v>
      </c>
      <c r="C30" s="30">
        <f>SUM(D30:U30)</f>
        <v>1.43</v>
      </c>
      <c r="D30" s="35">
        <f>_xlfn.XLOOKUP($B30,'MP (1)'!$B$6:$B$99,'MP (1)'!$E$6:$E$99,"")</f>
        <v>0.6</v>
      </c>
      <c r="E30" s="36">
        <f>_xlfn.XLOOKUP($B30,'MP (2)'!$B$6:$B$100,'MP (2)'!$E$6:$E$100,"")</f>
        <v>0.83</v>
      </c>
      <c r="F30" s="40" t="str">
        <f>_xlfn.XLOOKUP($B30,'GP1 (1)'!$B$6:$B$100,'GP1 (1)'!$E$6:$E$100,"")</f>
        <v/>
      </c>
      <c r="G30" s="41" t="str">
        <f>_xlfn.XLOOKUP($B30,'GP1 (2)'!$B$6:$B$100,'GP1 (2)'!$E$6:$E$100,"")</f>
        <v/>
      </c>
      <c r="H30" s="39" t="str">
        <f>_xlfn.XLOOKUP($B30,'GP2 (1)'!$B$6:$B$101,'GP2 (1)'!$E$6:$E$101,"")</f>
        <v/>
      </c>
      <c r="I30" s="36" t="str">
        <f>_xlfn.XLOOKUP($B30,'GP2 (2)'!$B$6:$B$100,'GP2 (2)'!$E$6:$E$100,"")</f>
        <v/>
      </c>
      <c r="J30" s="40" t="str">
        <f>_xlfn.XLOOKUP($B30,'GP3 (1)'!$B$6:$B$100,'GP3 (1)'!$E$6:$E$100,"")</f>
        <v/>
      </c>
      <c r="K30" s="41" t="str">
        <f>_xlfn.XLOOKUP($B30,'GP3 (2)'!$B$6:$B$100,'GP3 (2)'!$E$6:$E$100,"")</f>
        <v/>
      </c>
      <c r="L30" s="39" t="str">
        <f>_xlfn.XLOOKUP($B30,'GP4 (1)'!$B$6:$B$66,'GP4 (1)'!$E$6:$E$66,"")</f>
        <v/>
      </c>
      <c r="M30" s="36" t="str">
        <f>_xlfn.XLOOKUP($B30,'GP4 (2)'!$B$6:$B$100,'GP4 (2)'!$E$6:$E$100,"")</f>
        <v/>
      </c>
      <c r="N30" s="40" t="str">
        <f>_xlfn.XLOOKUP($B30,'GP5 (1)'!$B$6:$B$99,'GP5 (1)'!$E$6:$E$99,"")</f>
        <v/>
      </c>
      <c r="O30" s="42" t="str">
        <f>_xlfn.XLOOKUP($B30,'GP5 (2)'!$B$6:$B$99,'GP5 (2)'!$E$6:$E$99,"")</f>
        <v/>
      </c>
      <c r="P30" s="39" t="str">
        <f>_xlfn.XLOOKUP($B30,'GP6 (1)'!$B$5:$B$99,'GP6 (1)'!$E$5:$E$99,"")</f>
        <v/>
      </c>
      <c r="Q30" s="36" t="str">
        <f>_xlfn.XLOOKUP($B30,'GP6 (2)'!$B$5:$B$99,'GP6 (2)'!$E$5:$E$99,"")</f>
        <v/>
      </c>
      <c r="R30" s="40" t="str">
        <f>_xlfn.XLOOKUP($B30,'GP7 (1)'!$B$6:$B$100,'GP7 (1)'!$E$6:$E$100,"")</f>
        <v/>
      </c>
      <c r="S30" s="42" t="str">
        <f>_xlfn.XLOOKUP($B30,'GP7 (2)'!$B$6:$B$100,'GP7 (2)'!$E$6:$E$100,"")</f>
        <v/>
      </c>
      <c r="T30" s="39" t="str">
        <f>_xlfn.XLOOKUP($B30,'GP8 (1)'!$B$6:$B$100,'GP8 (1)'!$E$6:$E$100,"")</f>
        <v/>
      </c>
      <c r="U30" s="35" t="str">
        <f>_xlfn.XLOOKUP($B30,'GP8 (2)'!$B$6:$B$100,'GP8 (2)'!$E$6:$E$100,"")</f>
        <v/>
      </c>
      <c r="V30" s="13">
        <f>SUM(W30:AN30)</f>
        <v>51</v>
      </c>
      <c r="W30" s="29">
        <f>_xlfn.XLOOKUP($B30,'MP (1)'!$B$6:$B$99,'MP (1)'!$F$6:$F$99,"")</f>
        <v>23</v>
      </c>
      <c r="X30" s="28">
        <f>_xlfn.XLOOKUP($B30,'MP (2)'!$B$6:$B$100,'MP (2)'!$F$6:$F$100,"")</f>
        <v>28</v>
      </c>
      <c r="Y30" s="24" t="str">
        <f>_xlfn.XLOOKUP($B30,'GP1 (1)'!$B$6:$B$100,'GP1 (1)'!$F$6:$F$100,"")</f>
        <v/>
      </c>
      <c r="Z30" s="25" t="str">
        <f>_xlfn.XLOOKUP($B30,'GP1 (2)'!$B$6:$B$100,'GP1 (2)'!$F$6:$F$100,"")</f>
        <v/>
      </c>
      <c r="AA30" s="27" t="str">
        <f>_xlfn.XLOOKUP($B30,'GP2 (1)'!$B$6:$B$101,'GP2 (1)'!$F$6:$F$101,"")</f>
        <v/>
      </c>
      <c r="AB30" s="28" t="str">
        <f>_xlfn.XLOOKUP($B30,'GP2 (2)'!$B$6:$B$100,'GP2 (2)'!$F$6:$F$100,"")</f>
        <v/>
      </c>
      <c r="AC30" s="24" t="str">
        <f>_xlfn.XLOOKUP($B30,'GP3 (1)'!$B$6:$B$100,'GP3 (1)'!$F$6:$F$100,"")</f>
        <v/>
      </c>
      <c r="AD30" s="25" t="str">
        <f>_xlfn.XLOOKUP($B30,'GP3 (2)'!$B$6:$B$100,'GP3 (2)'!$F$6:$F$100,"")</f>
        <v/>
      </c>
      <c r="AE30" s="27" t="str">
        <f>_xlfn.XLOOKUP($B30,'GP4 (1)'!$B$6:$B$66,'GP4 (1)'!$F$6:$F$66,"")</f>
        <v/>
      </c>
      <c r="AF30" s="28" t="str">
        <f>_xlfn.XLOOKUP($B30,'GP4 (2)'!$B$6:$B$100,'GP4 (2)'!$F$6:$F$100,"")</f>
        <v/>
      </c>
      <c r="AG30" s="24" t="str">
        <f>_xlfn.XLOOKUP($B30,'GP5 (1)'!$B$6:$B$99,'GP5 (1)'!$F$6:$F$99,"")</f>
        <v/>
      </c>
      <c r="AH30" s="26" t="str">
        <f>_xlfn.XLOOKUP($B30,'GP5 (2)'!$B$6:$B$99,'GP5 (2)'!$F$6:$F$99,"")</f>
        <v/>
      </c>
      <c r="AI30" s="27" t="str">
        <f>_xlfn.XLOOKUP($B30,'GP6 (1)'!$B$5:$B$99,'GP6 (1)'!$F$5:$F$99,"")</f>
        <v/>
      </c>
      <c r="AJ30" s="28" t="str">
        <f>_xlfn.XLOOKUP($B30,'GP6 (2)'!$B$5:$B$99,'GP6 (2)'!$F$5:$F$99,"")</f>
        <v/>
      </c>
      <c r="AK30" s="24" t="str">
        <f>_xlfn.XLOOKUP($B30,'GP7 (1)'!$B$6:$B$100,'GP7 (1)'!$F$6:$F$100,"")</f>
        <v/>
      </c>
      <c r="AL30" s="26" t="str">
        <f>_xlfn.XLOOKUP($B30,'GP7 (2)'!$B$6:$B$100,'GP7 (2)'!$F$6:$F$100,"")</f>
        <v/>
      </c>
      <c r="AM30" s="27" t="str">
        <f>_xlfn.XLOOKUP($B30,'GP8 (1)'!$B$6:$B$100,'GP8 (1)'!$F$6:$F$100,"")</f>
        <v/>
      </c>
      <c r="AN30" s="29" t="str">
        <f>_xlfn.XLOOKUP($B30,'GP8 (2)'!$B$6:$B$100,'GP8 (2)'!$F$6:$F$100,"")</f>
        <v/>
      </c>
      <c r="AO30" s="13">
        <f>SUM(AP30:BG30)</f>
        <v>22</v>
      </c>
      <c r="AP30" s="29">
        <f>_xlfn.XLOOKUP($B30,'MP (1)'!$B$6:$B$99,'MP (1)'!$H$6:$H$99,"")</f>
        <v>8</v>
      </c>
      <c r="AQ30" s="28">
        <f>_xlfn.XLOOKUP($B30,'MP (2)'!$B$6:$B$100,'MP (2)'!$H$6:$H$100,"")</f>
        <v>14</v>
      </c>
      <c r="AR30" s="24" t="str">
        <f>_xlfn.XLOOKUP($B30,'GP1 (1)'!$B$6:$B$100,'GP1 (1)'!$H$6:$H$100,"")</f>
        <v/>
      </c>
      <c r="AS30" s="25" t="str">
        <f>_xlfn.XLOOKUP($B30,'GP1 (2)'!$B$6:$B$100,'GP1 (2)'!$H$6:$H$100,"")</f>
        <v/>
      </c>
      <c r="AT30" s="27" t="str">
        <f>_xlfn.XLOOKUP($B30,'GP2 (1)'!$B$6:$B$101,'GP2 (1)'!$H$6:$H$101,"")</f>
        <v/>
      </c>
      <c r="AU30" s="28" t="str">
        <f>_xlfn.XLOOKUP($B30,'GP2 (2)'!$B$6:$B$100,'GP2 (2)'!$H$6:$H$100,"")</f>
        <v/>
      </c>
      <c r="AV30" s="24" t="str">
        <f>_xlfn.XLOOKUP($B30,'GP3 (1)'!$B$6:$B$100,'GP3 (1)'!$H$6:$H$100,"")</f>
        <v/>
      </c>
      <c r="AW30" s="25" t="str">
        <f>_xlfn.XLOOKUP($B30,'GP3 (2)'!$B$6:$B$100,'GP3 (2)'!$H$6:$H$100,"")</f>
        <v/>
      </c>
      <c r="AX30" s="27" t="str">
        <f>_xlfn.XLOOKUP($B30,'GP4 (1)'!$B$6:$B$66,'GP4 (1)'!$H$6:$H$66,"")</f>
        <v/>
      </c>
      <c r="AY30" s="28" t="str">
        <f>_xlfn.XLOOKUP($B30,'GP4 (2)'!$B$6:$B$100,'GP4 (2)'!$H$6:$H$100,"")</f>
        <v/>
      </c>
      <c r="AZ30" s="24" t="str">
        <f>_xlfn.XLOOKUP($B30,'GP5 (1)'!$B$6:$B$99,'GP5 (1)'!$H$6:$H$99,"")</f>
        <v/>
      </c>
      <c r="BA30" s="25" t="str">
        <f>_xlfn.XLOOKUP($B30,'GP5 (2)'!$B$6:$B$99,'GP5 (2)'!$H$6:$H$99,"")</f>
        <v/>
      </c>
      <c r="BB30" s="27" t="str">
        <f>_xlfn.XLOOKUP($B30,'GP6 (1)'!$B$5:$B$99,'GP6 (1)'!$H$5:$H$99,"")</f>
        <v/>
      </c>
      <c r="BC30" s="28" t="str">
        <f>_xlfn.XLOOKUP($B30,'GP6 (2)'!$B$5:$B$99,'GP6 (2)'!$H$5:$H$99,"")</f>
        <v/>
      </c>
      <c r="BD30" s="24" t="str">
        <f>_xlfn.XLOOKUP($B30,'GP7 (1)'!$B$6:$B$100,'GP7 (1)'!$H$6:$H$100,"")</f>
        <v/>
      </c>
      <c r="BE30" s="25" t="str">
        <f>_xlfn.XLOOKUP($B30,'GP7 (2)'!$B$6:$B$100,'GP7 (2)'!$H$6:$H$100,"")</f>
        <v/>
      </c>
      <c r="BF30" s="27" t="str">
        <f>_xlfn.XLOOKUP($B30,'GP8 (1)'!$B$6:$B$100,'GP8 (1)'!$H$6:$H$100,"")</f>
        <v/>
      </c>
      <c r="BG30" s="32" t="str">
        <f>_xlfn.XLOOKUP($B30,'GP8 (2)'!$B$6:$B$100,'GP8 (2)'!$H$6:$H$100,"")</f>
        <v/>
      </c>
    </row>
    <row r="31" spans="1:59" ht="13.1" customHeight="1" x14ac:dyDescent="0.25">
      <c r="A31" s="1">
        <f>ROW()-4</f>
        <v>27</v>
      </c>
      <c r="B31" s="5" t="s">
        <v>40</v>
      </c>
      <c r="C31" s="30">
        <f>SUM(D31:U31)</f>
        <v>1.4000000000000001</v>
      </c>
      <c r="D31" s="35" t="str">
        <f>_xlfn.XLOOKUP($B31,'MP (1)'!$B$6:$B$99,'MP (1)'!$E$6:$E$99,"")</f>
        <v/>
      </c>
      <c r="E31" s="36" t="str">
        <f>_xlfn.XLOOKUP($B31,'MP (2)'!$B$6:$B$100,'MP (2)'!$E$6:$E$100,"")</f>
        <v/>
      </c>
      <c r="F31" s="40">
        <f>_xlfn.XLOOKUP($B31,'GP1 (1)'!$B$6:$B$100,'GP1 (1)'!$E$6:$E$100,"")</f>
        <v>0.2</v>
      </c>
      <c r="G31" s="41">
        <f>_xlfn.XLOOKUP($B31,'GP1 (2)'!$B$6:$B$100,'GP1 (2)'!$E$6:$E$100,"")</f>
        <v>0.2</v>
      </c>
      <c r="H31" s="39">
        <f>_xlfn.XLOOKUP($B31,'GP2 (1)'!$B$6:$B$101,'GP2 (1)'!$E$6:$E$101,"")</f>
        <v>0</v>
      </c>
      <c r="I31" s="36">
        <f>_xlfn.XLOOKUP($B31,'GP2 (2)'!$B$6:$B$100,'GP2 (2)'!$E$6:$E$100,"")</f>
        <v>0.2</v>
      </c>
      <c r="J31" s="40">
        <f>_xlfn.XLOOKUP($B31,'GP3 (1)'!$B$6:$B$100,'GP3 (1)'!$E$6:$E$100,"")</f>
        <v>0.2</v>
      </c>
      <c r="K31" s="41" t="str">
        <f>_xlfn.XLOOKUP($B31,'GP3 (2)'!$B$6:$B$100,'GP3 (2)'!$E$6:$E$100,"")</f>
        <v>0.00</v>
      </c>
      <c r="L31" s="39">
        <f>_xlfn.XLOOKUP($B31,'GP4 (1)'!$B$6:$B$66,'GP4 (1)'!$E$6:$E$66,"")</f>
        <v>0.4</v>
      </c>
      <c r="M31" s="36">
        <f>_xlfn.XLOOKUP($B31,'GP4 (2)'!$B$6:$B$100,'GP4 (2)'!$E$6:$E$100,"")</f>
        <v>0.2</v>
      </c>
      <c r="N31" s="40" t="str">
        <f>_xlfn.XLOOKUP($B31,'GP5 (1)'!$B$6:$B$99,'GP5 (1)'!$E$6:$E$99,"")</f>
        <v/>
      </c>
      <c r="O31" s="42" t="str">
        <f>_xlfn.XLOOKUP($B31,'GP5 (2)'!$B$6:$B$99,'GP5 (2)'!$E$6:$E$99,"")</f>
        <v/>
      </c>
      <c r="P31" s="39" t="str">
        <f>_xlfn.XLOOKUP($B31,'GP6 (1)'!$B$5:$B$99,'GP6 (1)'!$E$5:$E$99,"")</f>
        <v/>
      </c>
      <c r="Q31" s="36" t="str">
        <f>_xlfn.XLOOKUP($B31,'GP6 (2)'!$B$5:$B$99,'GP6 (2)'!$E$5:$E$99,"")</f>
        <v/>
      </c>
      <c r="R31" s="40" t="str">
        <f>_xlfn.XLOOKUP($B31,'GP7 (1)'!$B$6:$B$100,'GP7 (1)'!$E$6:$E$100,"")</f>
        <v/>
      </c>
      <c r="S31" s="42" t="str">
        <f>_xlfn.XLOOKUP($B31,'GP7 (2)'!$B$6:$B$100,'GP7 (2)'!$E$6:$E$100,"")</f>
        <v/>
      </c>
      <c r="T31" s="39" t="str">
        <f>_xlfn.XLOOKUP($B31,'GP8 (1)'!$B$6:$B$100,'GP8 (1)'!$E$6:$E$100,"")</f>
        <v/>
      </c>
      <c r="U31" s="35" t="str">
        <f>_xlfn.XLOOKUP($B31,'GP8 (2)'!$B$6:$B$100,'GP8 (2)'!$E$6:$E$100,"")</f>
        <v/>
      </c>
      <c r="V31" s="13">
        <f>SUM(W31:AN31)</f>
        <v>82</v>
      </c>
      <c r="W31" s="29" t="str">
        <f>_xlfn.XLOOKUP($B31,'MP (1)'!$B$6:$B$99,'MP (1)'!$F$6:$F$99,"")</f>
        <v/>
      </c>
      <c r="X31" s="28" t="str">
        <f>_xlfn.XLOOKUP($B31,'MP (2)'!$B$6:$B$100,'MP (2)'!$F$6:$F$100,"")</f>
        <v/>
      </c>
      <c r="Y31" s="24">
        <f>_xlfn.XLOOKUP($B31,'GP1 (1)'!$B$6:$B$100,'GP1 (1)'!$F$6:$F$100,"")</f>
        <v>10</v>
      </c>
      <c r="Z31" s="25">
        <f>_xlfn.XLOOKUP($B31,'GP1 (2)'!$B$6:$B$100,'GP1 (2)'!$F$6:$F$100,"")</f>
        <v>12</v>
      </c>
      <c r="AA31" s="27">
        <f>_xlfn.XLOOKUP($B31,'GP2 (1)'!$B$6:$B$101,'GP2 (1)'!$F$6:$F$101,"")</f>
        <v>7</v>
      </c>
      <c r="AB31" s="28">
        <f>_xlfn.XLOOKUP($B31,'GP2 (2)'!$B$6:$B$100,'GP2 (2)'!$F$6:$F$100,"")</f>
        <v>9</v>
      </c>
      <c r="AC31" s="24">
        <f>_xlfn.XLOOKUP($B31,'GP3 (1)'!$B$6:$B$100,'GP3 (1)'!$F$6:$F$100,"")</f>
        <v>10</v>
      </c>
      <c r="AD31" s="25">
        <f>_xlfn.XLOOKUP($B31,'GP3 (2)'!$B$6:$B$100,'GP3 (2)'!$F$6:$F$100,"")</f>
        <v>7</v>
      </c>
      <c r="AE31" s="27">
        <f>_xlfn.XLOOKUP($B31,'GP4 (1)'!$B$6:$B$66,'GP4 (1)'!$F$6:$F$66,"")</f>
        <v>18</v>
      </c>
      <c r="AF31" s="28">
        <f>_xlfn.XLOOKUP($B31,'GP4 (2)'!$B$6:$B$100,'GP4 (2)'!$F$6:$F$100,"")</f>
        <v>9</v>
      </c>
      <c r="AG31" s="24" t="str">
        <f>_xlfn.XLOOKUP($B31,'GP5 (1)'!$B$6:$B$99,'GP5 (1)'!$F$6:$F$99,"")</f>
        <v/>
      </c>
      <c r="AH31" s="26" t="str">
        <f>_xlfn.XLOOKUP($B31,'GP5 (2)'!$B$6:$B$99,'GP5 (2)'!$F$6:$F$99,"")</f>
        <v/>
      </c>
      <c r="AI31" s="27" t="str">
        <f>_xlfn.XLOOKUP($B31,'GP6 (1)'!$B$5:$B$99,'GP6 (1)'!$F$5:$F$99,"")</f>
        <v/>
      </c>
      <c r="AJ31" s="28" t="str">
        <f>_xlfn.XLOOKUP($B31,'GP6 (2)'!$B$5:$B$99,'GP6 (2)'!$F$5:$F$99,"")</f>
        <v/>
      </c>
      <c r="AK31" s="24" t="str">
        <f>_xlfn.XLOOKUP($B31,'GP7 (1)'!$B$6:$B$100,'GP7 (1)'!$F$6:$F$100,"")</f>
        <v/>
      </c>
      <c r="AL31" s="26" t="str">
        <f>_xlfn.XLOOKUP($B31,'GP7 (2)'!$B$6:$B$100,'GP7 (2)'!$F$6:$F$100,"")</f>
        <v/>
      </c>
      <c r="AM31" s="27" t="str">
        <f>_xlfn.XLOOKUP($B31,'GP8 (1)'!$B$6:$B$100,'GP8 (1)'!$F$6:$F$100,"")</f>
        <v/>
      </c>
      <c r="AN31" s="29" t="str">
        <f>_xlfn.XLOOKUP($B31,'GP8 (2)'!$B$6:$B$100,'GP8 (2)'!$F$6:$F$100,"")</f>
        <v/>
      </c>
      <c r="AO31" s="13">
        <f>SUM(AP31:BG31)</f>
        <v>-102</v>
      </c>
      <c r="AP31" s="29" t="str">
        <f>_xlfn.XLOOKUP($B31,'MP (1)'!$B$6:$B$99,'MP (1)'!$H$6:$H$99,"")</f>
        <v/>
      </c>
      <c r="AQ31" s="28" t="str">
        <f>_xlfn.XLOOKUP($B31,'MP (2)'!$B$6:$B$100,'MP (2)'!$H$6:$H$100,"")</f>
        <v/>
      </c>
      <c r="AR31" s="24">
        <f>_xlfn.XLOOKUP($B31,'GP1 (1)'!$B$6:$B$100,'GP1 (1)'!$H$6:$H$100,"")</f>
        <v>-13</v>
      </c>
      <c r="AS31" s="25">
        <f>_xlfn.XLOOKUP($B31,'GP1 (2)'!$B$6:$B$100,'GP1 (2)'!$H$6:$H$100,"")</f>
        <v>-12</v>
      </c>
      <c r="AT31" s="27">
        <f>_xlfn.XLOOKUP($B31,'GP2 (1)'!$B$6:$B$101,'GP2 (1)'!$H$6:$H$101,"")</f>
        <v>-18</v>
      </c>
      <c r="AU31" s="28">
        <f>_xlfn.XLOOKUP($B31,'GP2 (2)'!$B$6:$B$100,'GP2 (2)'!$H$6:$H$100,"")</f>
        <v>-14</v>
      </c>
      <c r="AV31" s="24">
        <f>_xlfn.XLOOKUP($B31,'GP3 (1)'!$B$6:$B$100,'GP3 (1)'!$H$6:$H$100,"")</f>
        <v>-10</v>
      </c>
      <c r="AW31" s="25">
        <f>_xlfn.XLOOKUP($B31,'GP3 (2)'!$B$6:$B$100,'GP3 (2)'!$H$6:$H$100,"")</f>
        <v>-18</v>
      </c>
      <c r="AX31" s="27">
        <f>_xlfn.XLOOKUP($B31,'GP4 (1)'!$B$6:$B$66,'GP4 (1)'!$H$6:$H$66,"")</f>
        <v>-4</v>
      </c>
      <c r="AY31" s="28">
        <f>_xlfn.XLOOKUP($B31,'GP4 (2)'!$B$6:$B$100,'GP4 (2)'!$H$6:$H$100,"")</f>
        <v>-13</v>
      </c>
      <c r="AZ31" s="24" t="str">
        <f>_xlfn.XLOOKUP($B31,'GP5 (1)'!$B$6:$B$99,'GP5 (1)'!$H$6:$H$99,"")</f>
        <v/>
      </c>
      <c r="BA31" s="25" t="str">
        <f>_xlfn.XLOOKUP($B31,'GP5 (2)'!$B$6:$B$99,'GP5 (2)'!$H$6:$H$99,"")</f>
        <v/>
      </c>
      <c r="BB31" s="27" t="str">
        <f>_xlfn.XLOOKUP($B31,'GP6 (1)'!$B$5:$B$99,'GP6 (1)'!$H$5:$H$99,"")</f>
        <v/>
      </c>
      <c r="BC31" s="28" t="str">
        <f>_xlfn.XLOOKUP($B31,'GP6 (2)'!$B$5:$B$99,'GP6 (2)'!$H$5:$H$99,"")</f>
        <v/>
      </c>
      <c r="BD31" s="24" t="str">
        <f>_xlfn.XLOOKUP($B31,'GP7 (1)'!$B$6:$B$100,'GP7 (1)'!$H$6:$H$100,"")</f>
        <v/>
      </c>
      <c r="BE31" s="25" t="str">
        <f>_xlfn.XLOOKUP($B31,'GP7 (2)'!$B$6:$B$100,'GP7 (2)'!$H$6:$H$100,"")</f>
        <v/>
      </c>
      <c r="BF31" s="27" t="str">
        <f>_xlfn.XLOOKUP($B31,'GP8 (1)'!$B$6:$B$100,'GP8 (1)'!$H$6:$H$100,"")</f>
        <v/>
      </c>
      <c r="BG31" s="32" t="str">
        <f>_xlfn.XLOOKUP($B31,'GP8 (2)'!$B$6:$B$100,'GP8 (2)'!$H$6:$H$100,"")</f>
        <v/>
      </c>
    </row>
    <row r="32" spans="1:59" ht="13.1" customHeight="1" x14ac:dyDescent="0.25">
      <c r="A32" s="1">
        <f>ROW()-4</f>
        <v>28</v>
      </c>
      <c r="B32" s="5" t="s">
        <v>41</v>
      </c>
      <c r="C32" s="30">
        <f>SUM(D32:U32)</f>
        <v>1.34</v>
      </c>
      <c r="D32" s="35">
        <f>_xlfn.XLOOKUP($B32,'MP (1)'!$B$6:$B$99,'MP (1)'!$E$6:$E$99,"")</f>
        <v>0.67</v>
      </c>
      <c r="E32" s="36">
        <f>_xlfn.XLOOKUP($B32,'MP (2)'!$B$6:$B$100,'MP (2)'!$E$6:$E$100,"")</f>
        <v>0.67</v>
      </c>
      <c r="F32" s="40" t="str">
        <f>_xlfn.XLOOKUP($B32,'GP1 (1)'!$B$6:$B$100,'GP1 (1)'!$E$6:$E$100,"")</f>
        <v/>
      </c>
      <c r="G32" s="41" t="str">
        <f>_xlfn.XLOOKUP($B32,'GP1 (2)'!$B$6:$B$100,'GP1 (2)'!$E$6:$E$100,"")</f>
        <v/>
      </c>
      <c r="H32" s="39" t="str">
        <f>_xlfn.XLOOKUP($B32,'GP2 (1)'!$B$6:$B$101,'GP2 (1)'!$E$6:$E$101,"")</f>
        <v/>
      </c>
      <c r="I32" s="36" t="str">
        <f>_xlfn.XLOOKUP($B32,'GP2 (2)'!$B$6:$B$100,'GP2 (2)'!$E$6:$E$100,"")</f>
        <v/>
      </c>
      <c r="J32" s="40" t="str">
        <f>_xlfn.XLOOKUP($B32,'GP3 (1)'!$B$6:$B$100,'GP3 (1)'!$E$6:$E$100,"")</f>
        <v/>
      </c>
      <c r="K32" s="41" t="str">
        <f>_xlfn.XLOOKUP($B32,'GP3 (2)'!$B$6:$B$100,'GP3 (2)'!$E$6:$E$100,"")</f>
        <v/>
      </c>
      <c r="L32" s="39" t="str">
        <f>_xlfn.XLOOKUP($B32,'GP4 (1)'!$B$6:$B$66,'GP4 (1)'!$E$6:$E$66,"")</f>
        <v/>
      </c>
      <c r="M32" s="36" t="str">
        <f>_xlfn.XLOOKUP($B32,'GP4 (2)'!$B$6:$B$100,'GP4 (2)'!$E$6:$E$100,"")</f>
        <v/>
      </c>
      <c r="N32" s="40" t="str">
        <f>_xlfn.XLOOKUP($B32,'GP5 (1)'!$B$6:$B$99,'GP5 (1)'!$E$6:$E$99,"")</f>
        <v/>
      </c>
      <c r="O32" s="42" t="str">
        <f>_xlfn.XLOOKUP($B32,'GP5 (2)'!$B$6:$B$99,'GP5 (2)'!$E$6:$E$99,"")</f>
        <v/>
      </c>
      <c r="P32" s="39" t="str">
        <f>_xlfn.XLOOKUP($B32,'GP6 (1)'!$B$5:$B$99,'GP6 (1)'!$E$5:$E$99,"")</f>
        <v/>
      </c>
      <c r="Q32" s="36" t="str">
        <f>_xlfn.XLOOKUP($B32,'GP6 (2)'!$B$5:$B$99,'GP6 (2)'!$E$5:$E$99,"")</f>
        <v/>
      </c>
      <c r="R32" s="40" t="str">
        <f>_xlfn.XLOOKUP($B32,'GP7 (1)'!$B$6:$B$100,'GP7 (1)'!$E$6:$E$100,"")</f>
        <v/>
      </c>
      <c r="S32" s="42" t="str">
        <f>_xlfn.XLOOKUP($B32,'GP7 (2)'!$B$6:$B$100,'GP7 (2)'!$E$6:$E$100,"")</f>
        <v/>
      </c>
      <c r="T32" s="39" t="str">
        <f>_xlfn.XLOOKUP($B32,'GP8 (1)'!$B$6:$B$100,'GP8 (1)'!$E$6:$E$100,"")</f>
        <v/>
      </c>
      <c r="U32" s="35" t="str">
        <f>_xlfn.XLOOKUP($B32,'GP8 (2)'!$B$6:$B$100,'GP8 (2)'!$E$6:$E$100,"")</f>
        <v/>
      </c>
      <c r="V32" s="13">
        <f>SUM(W32:AN32)</f>
        <v>47</v>
      </c>
      <c r="W32" s="29">
        <f>_xlfn.XLOOKUP($B32,'MP (1)'!$B$6:$B$99,'MP (1)'!$F$6:$F$99,"")</f>
        <v>23</v>
      </c>
      <c r="X32" s="28">
        <f>_xlfn.XLOOKUP($B32,'MP (2)'!$B$6:$B$100,'MP (2)'!$F$6:$F$100,"")</f>
        <v>24</v>
      </c>
      <c r="Y32" s="24" t="str">
        <f>_xlfn.XLOOKUP($B32,'GP1 (1)'!$B$6:$B$100,'GP1 (1)'!$F$6:$F$100,"")</f>
        <v/>
      </c>
      <c r="Z32" s="25" t="str">
        <f>_xlfn.XLOOKUP($B32,'GP1 (2)'!$B$6:$B$100,'GP1 (2)'!$F$6:$F$100,"")</f>
        <v/>
      </c>
      <c r="AA32" s="27" t="str">
        <f>_xlfn.XLOOKUP($B32,'GP2 (1)'!$B$6:$B$101,'GP2 (1)'!$F$6:$F$101,"")</f>
        <v/>
      </c>
      <c r="AB32" s="28" t="str">
        <f>_xlfn.XLOOKUP($B32,'GP2 (2)'!$B$6:$B$100,'GP2 (2)'!$F$6:$F$100,"")</f>
        <v/>
      </c>
      <c r="AC32" s="24" t="str">
        <f>_xlfn.XLOOKUP($B32,'GP3 (1)'!$B$6:$B$100,'GP3 (1)'!$F$6:$F$100,"")</f>
        <v/>
      </c>
      <c r="AD32" s="25" t="str">
        <f>_xlfn.XLOOKUP($B32,'GP3 (2)'!$B$6:$B$100,'GP3 (2)'!$F$6:$F$100,"")</f>
        <v/>
      </c>
      <c r="AE32" s="27" t="str">
        <f>_xlfn.XLOOKUP($B32,'GP4 (1)'!$B$6:$B$66,'GP4 (1)'!$F$6:$F$66,"")</f>
        <v/>
      </c>
      <c r="AF32" s="28" t="str">
        <f>_xlfn.XLOOKUP($B32,'GP4 (2)'!$B$6:$B$100,'GP4 (2)'!$F$6:$F$100,"")</f>
        <v/>
      </c>
      <c r="AG32" s="24" t="str">
        <f>_xlfn.XLOOKUP($B32,'GP5 (1)'!$B$6:$B$99,'GP5 (1)'!$F$6:$F$99,"")</f>
        <v/>
      </c>
      <c r="AH32" s="26" t="str">
        <f>_xlfn.XLOOKUP($B32,'GP5 (2)'!$B$6:$B$99,'GP5 (2)'!$F$6:$F$99,"")</f>
        <v/>
      </c>
      <c r="AI32" s="27" t="str">
        <f>_xlfn.XLOOKUP($B32,'GP6 (1)'!$B$5:$B$99,'GP6 (1)'!$F$5:$F$99,"")</f>
        <v/>
      </c>
      <c r="AJ32" s="28" t="str">
        <f>_xlfn.XLOOKUP($B32,'GP6 (2)'!$B$5:$B$99,'GP6 (2)'!$F$5:$F$99,"")</f>
        <v/>
      </c>
      <c r="AK32" s="24" t="str">
        <f>_xlfn.XLOOKUP($B32,'GP7 (1)'!$B$6:$B$100,'GP7 (1)'!$F$6:$F$100,"")</f>
        <v/>
      </c>
      <c r="AL32" s="26" t="str">
        <f>_xlfn.XLOOKUP($B32,'GP7 (2)'!$B$6:$B$100,'GP7 (2)'!$F$6:$F$100,"")</f>
        <v/>
      </c>
      <c r="AM32" s="27" t="str">
        <f>_xlfn.XLOOKUP($B32,'GP8 (1)'!$B$6:$B$100,'GP8 (1)'!$F$6:$F$100,"")</f>
        <v/>
      </c>
      <c r="AN32" s="29" t="str">
        <f>_xlfn.XLOOKUP($B32,'GP8 (2)'!$B$6:$B$100,'GP8 (2)'!$F$6:$F$100,"")</f>
        <v/>
      </c>
      <c r="AO32" s="13">
        <f>SUM(AP32:BG32)</f>
        <v>18</v>
      </c>
      <c r="AP32" s="29">
        <f>_xlfn.XLOOKUP($B32,'MP (1)'!$B$6:$B$99,'MP (1)'!$H$6:$H$99,"")</f>
        <v>7</v>
      </c>
      <c r="AQ32" s="28">
        <f>_xlfn.XLOOKUP($B32,'MP (2)'!$B$6:$B$100,'MP (2)'!$H$6:$H$100,"")</f>
        <v>11</v>
      </c>
      <c r="AR32" s="24" t="str">
        <f>_xlfn.XLOOKUP($B32,'GP1 (1)'!$B$6:$B$100,'GP1 (1)'!$H$6:$H$100,"")</f>
        <v/>
      </c>
      <c r="AS32" s="25" t="str">
        <f>_xlfn.XLOOKUP($B32,'GP1 (2)'!$B$6:$B$100,'GP1 (2)'!$H$6:$H$100,"")</f>
        <v/>
      </c>
      <c r="AT32" s="27" t="str">
        <f>_xlfn.XLOOKUP($B32,'GP2 (1)'!$B$6:$B$101,'GP2 (1)'!$H$6:$H$101,"")</f>
        <v/>
      </c>
      <c r="AU32" s="28" t="str">
        <f>_xlfn.XLOOKUP($B32,'GP2 (2)'!$B$6:$B$100,'GP2 (2)'!$H$6:$H$100,"")</f>
        <v/>
      </c>
      <c r="AV32" s="24" t="str">
        <f>_xlfn.XLOOKUP($B32,'GP3 (1)'!$B$6:$B$100,'GP3 (1)'!$H$6:$H$100,"")</f>
        <v/>
      </c>
      <c r="AW32" s="25" t="str">
        <f>_xlfn.XLOOKUP($B32,'GP3 (2)'!$B$6:$B$100,'GP3 (2)'!$H$6:$H$100,"")</f>
        <v/>
      </c>
      <c r="AX32" s="27" t="str">
        <f>_xlfn.XLOOKUP($B32,'GP4 (1)'!$B$6:$B$66,'GP4 (1)'!$H$6:$H$66,"")</f>
        <v/>
      </c>
      <c r="AY32" s="28" t="str">
        <f>_xlfn.XLOOKUP($B32,'GP4 (2)'!$B$6:$B$100,'GP4 (2)'!$H$6:$H$100,"")</f>
        <v/>
      </c>
      <c r="AZ32" s="24" t="str">
        <f>_xlfn.XLOOKUP($B32,'GP5 (1)'!$B$6:$B$99,'GP5 (1)'!$H$6:$H$99,"")</f>
        <v/>
      </c>
      <c r="BA32" s="25" t="str">
        <f>_xlfn.XLOOKUP($B32,'GP5 (2)'!$B$6:$B$99,'GP5 (2)'!$H$6:$H$99,"")</f>
        <v/>
      </c>
      <c r="BB32" s="27" t="str">
        <f>_xlfn.XLOOKUP($B32,'GP6 (1)'!$B$5:$B$99,'GP6 (1)'!$H$5:$H$99,"")</f>
        <v/>
      </c>
      <c r="BC32" s="28" t="str">
        <f>_xlfn.XLOOKUP($B32,'GP6 (2)'!$B$5:$B$99,'GP6 (2)'!$H$5:$H$99,"")</f>
        <v/>
      </c>
      <c r="BD32" s="24" t="str">
        <f>_xlfn.XLOOKUP($B32,'GP7 (1)'!$B$6:$B$100,'GP7 (1)'!$H$6:$H$100,"")</f>
        <v/>
      </c>
      <c r="BE32" s="25" t="str">
        <f>_xlfn.XLOOKUP($B32,'GP7 (2)'!$B$6:$B$100,'GP7 (2)'!$H$6:$H$100,"")</f>
        <v/>
      </c>
      <c r="BF32" s="27" t="str">
        <f>_xlfn.XLOOKUP($B32,'GP8 (1)'!$B$6:$B$100,'GP8 (1)'!$H$6:$H$100,"")</f>
        <v/>
      </c>
      <c r="BG32" s="32" t="str">
        <f>_xlfn.XLOOKUP($B32,'GP8 (2)'!$B$6:$B$100,'GP8 (2)'!$H$6:$H$100,"")</f>
        <v/>
      </c>
    </row>
    <row r="33" spans="1:59" ht="13.1" customHeight="1" x14ac:dyDescent="0.25">
      <c r="A33" s="1">
        <f>ROW()-4</f>
        <v>29</v>
      </c>
      <c r="B33" s="5" t="s">
        <v>42</v>
      </c>
      <c r="C33" s="30">
        <f>SUM(D33:U33)</f>
        <v>1.17</v>
      </c>
      <c r="D33" s="35">
        <f>_xlfn.XLOOKUP($B33,'MP (1)'!$B$6:$B$99,'MP (1)'!$E$6:$E$99,"")</f>
        <v>0.5</v>
      </c>
      <c r="E33" s="36">
        <f>_xlfn.XLOOKUP($B33,'MP (2)'!$B$6:$B$100,'MP (2)'!$E$6:$E$100,"")</f>
        <v>0.67</v>
      </c>
      <c r="F33" s="40" t="str">
        <f>_xlfn.XLOOKUP($B33,'GP1 (1)'!$B$6:$B$100,'GP1 (1)'!$E$6:$E$100,"")</f>
        <v/>
      </c>
      <c r="G33" s="41" t="str">
        <f>_xlfn.XLOOKUP($B33,'GP1 (2)'!$B$6:$B$100,'GP1 (2)'!$E$6:$E$100,"")</f>
        <v/>
      </c>
      <c r="H33" s="39" t="str">
        <f>_xlfn.XLOOKUP($B33,'GP2 (1)'!$B$6:$B$101,'GP2 (1)'!$E$6:$E$101,"")</f>
        <v/>
      </c>
      <c r="I33" s="36" t="str">
        <f>_xlfn.XLOOKUP($B33,'GP2 (2)'!$B$6:$B$100,'GP2 (2)'!$E$6:$E$100,"")</f>
        <v/>
      </c>
      <c r="J33" s="40" t="str">
        <f>_xlfn.XLOOKUP($B33,'GP3 (1)'!$B$6:$B$100,'GP3 (1)'!$E$6:$E$100,"")</f>
        <v/>
      </c>
      <c r="K33" s="41" t="str">
        <f>_xlfn.XLOOKUP($B33,'GP3 (2)'!$B$6:$B$100,'GP3 (2)'!$E$6:$E$100,"")</f>
        <v/>
      </c>
      <c r="L33" s="39" t="str">
        <f>_xlfn.XLOOKUP($B33,'GP4 (1)'!$B$6:$B$66,'GP4 (1)'!$E$6:$E$66,"")</f>
        <v/>
      </c>
      <c r="M33" s="36" t="str">
        <f>_xlfn.XLOOKUP($B33,'GP4 (2)'!$B$6:$B$100,'GP4 (2)'!$E$6:$E$100,"")</f>
        <v/>
      </c>
      <c r="N33" s="40" t="str">
        <f>_xlfn.XLOOKUP($B33,'GP5 (1)'!$B$6:$B$99,'GP5 (1)'!$E$6:$E$99,"")</f>
        <v/>
      </c>
      <c r="O33" s="42" t="str">
        <f>_xlfn.XLOOKUP($B33,'GP5 (2)'!$B$6:$B$99,'GP5 (2)'!$E$6:$E$99,"")</f>
        <v/>
      </c>
      <c r="P33" s="39" t="str">
        <f>_xlfn.XLOOKUP($B33,'GP6 (1)'!$B$5:$B$99,'GP6 (1)'!$E$5:$E$99,"")</f>
        <v/>
      </c>
      <c r="Q33" s="36" t="str">
        <f>_xlfn.XLOOKUP($B33,'GP6 (2)'!$B$5:$B$99,'GP6 (2)'!$E$5:$E$99,"")</f>
        <v/>
      </c>
      <c r="R33" s="40" t="str">
        <f>_xlfn.XLOOKUP($B33,'GP7 (1)'!$B$6:$B$100,'GP7 (1)'!$E$6:$E$100,"")</f>
        <v/>
      </c>
      <c r="S33" s="42" t="str">
        <f>_xlfn.XLOOKUP($B33,'GP7 (2)'!$B$6:$B$100,'GP7 (2)'!$E$6:$E$100,"")</f>
        <v/>
      </c>
      <c r="T33" s="39" t="str">
        <f>_xlfn.XLOOKUP($B33,'GP8 (1)'!$B$6:$B$100,'GP8 (1)'!$E$6:$E$100,"")</f>
        <v/>
      </c>
      <c r="U33" s="35" t="str">
        <f>_xlfn.XLOOKUP($B33,'GP8 (2)'!$B$6:$B$100,'GP8 (2)'!$E$6:$E$100,"")</f>
        <v/>
      </c>
      <c r="V33" s="13">
        <f>SUM(W33:AN33)</f>
        <v>42</v>
      </c>
      <c r="W33" s="29">
        <f>_xlfn.XLOOKUP($B33,'MP (1)'!$B$6:$B$99,'MP (1)'!$F$6:$F$99,"")</f>
        <v>20</v>
      </c>
      <c r="X33" s="28">
        <f>_xlfn.XLOOKUP($B33,'MP (2)'!$B$6:$B$100,'MP (2)'!$F$6:$F$100,"")</f>
        <v>22</v>
      </c>
      <c r="Y33" s="24" t="str">
        <f>_xlfn.XLOOKUP($B33,'GP1 (1)'!$B$6:$B$100,'GP1 (1)'!$F$6:$F$100,"")</f>
        <v/>
      </c>
      <c r="Z33" s="25" t="str">
        <f>_xlfn.XLOOKUP($B33,'GP1 (2)'!$B$6:$B$100,'GP1 (2)'!$F$6:$F$100,"")</f>
        <v/>
      </c>
      <c r="AA33" s="27" t="str">
        <f>_xlfn.XLOOKUP($B33,'GP2 (1)'!$B$6:$B$101,'GP2 (1)'!$F$6:$F$101,"")</f>
        <v/>
      </c>
      <c r="AB33" s="28" t="str">
        <f>_xlfn.XLOOKUP($B33,'GP2 (2)'!$B$6:$B$100,'GP2 (2)'!$F$6:$F$100,"")</f>
        <v/>
      </c>
      <c r="AC33" s="24" t="str">
        <f>_xlfn.XLOOKUP($B33,'GP3 (1)'!$B$6:$B$100,'GP3 (1)'!$F$6:$F$100,"")</f>
        <v/>
      </c>
      <c r="AD33" s="25" t="str">
        <f>_xlfn.XLOOKUP($B33,'GP3 (2)'!$B$6:$B$100,'GP3 (2)'!$F$6:$F$100,"")</f>
        <v/>
      </c>
      <c r="AE33" s="27" t="str">
        <f>_xlfn.XLOOKUP($B33,'GP4 (1)'!$B$6:$B$66,'GP4 (1)'!$F$6:$F$66,"")</f>
        <v/>
      </c>
      <c r="AF33" s="28" t="str">
        <f>_xlfn.XLOOKUP($B33,'GP4 (2)'!$B$6:$B$100,'GP4 (2)'!$F$6:$F$100,"")</f>
        <v/>
      </c>
      <c r="AG33" s="24" t="str">
        <f>_xlfn.XLOOKUP($B33,'GP5 (1)'!$B$6:$B$99,'GP5 (1)'!$F$6:$F$99,"")</f>
        <v/>
      </c>
      <c r="AH33" s="26" t="str">
        <f>_xlfn.XLOOKUP($B33,'GP5 (2)'!$B$6:$B$99,'GP5 (2)'!$F$6:$F$99,"")</f>
        <v/>
      </c>
      <c r="AI33" s="27" t="str">
        <f>_xlfn.XLOOKUP($B33,'GP6 (1)'!$B$5:$B$99,'GP6 (1)'!$F$5:$F$99,"")</f>
        <v/>
      </c>
      <c r="AJ33" s="28" t="str">
        <f>_xlfn.XLOOKUP($B33,'GP6 (2)'!$B$5:$B$99,'GP6 (2)'!$F$5:$F$99,"")</f>
        <v/>
      </c>
      <c r="AK33" s="24" t="str">
        <f>_xlfn.XLOOKUP($B33,'GP7 (1)'!$B$6:$B$100,'GP7 (1)'!$F$6:$F$100,"")</f>
        <v/>
      </c>
      <c r="AL33" s="26" t="str">
        <f>_xlfn.XLOOKUP($B33,'GP7 (2)'!$B$6:$B$100,'GP7 (2)'!$F$6:$F$100,"")</f>
        <v/>
      </c>
      <c r="AM33" s="27" t="str">
        <f>_xlfn.XLOOKUP($B33,'GP8 (1)'!$B$6:$B$100,'GP8 (1)'!$F$6:$F$100,"")</f>
        <v/>
      </c>
      <c r="AN33" s="29" t="str">
        <f>_xlfn.XLOOKUP($B33,'GP8 (2)'!$B$6:$B$100,'GP8 (2)'!$F$6:$F$100,"")</f>
        <v/>
      </c>
      <c r="AO33" s="13">
        <f>SUM(AP33:BG33)</f>
        <v>4</v>
      </c>
      <c r="AP33" s="29">
        <f>_xlfn.XLOOKUP($B33,'MP (1)'!$B$6:$B$99,'MP (1)'!$H$6:$H$99,"")</f>
        <v>-2</v>
      </c>
      <c r="AQ33" s="28">
        <f>_xlfn.XLOOKUP($B33,'MP (2)'!$B$6:$B$100,'MP (2)'!$H$6:$H$100,"")</f>
        <v>6</v>
      </c>
      <c r="AR33" s="24" t="str">
        <f>_xlfn.XLOOKUP($B33,'GP1 (1)'!$B$6:$B$100,'GP1 (1)'!$H$6:$H$100,"")</f>
        <v/>
      </c>
      <c r="AS33" s="25" t="str">
        <f>_xlfn.XLOOKUP($B33,'GP1 (2)'!$B$6:$B$100,'GP1 (2)'!$H$6:$H$100,"")</f>
        <v/>
      </c>
      <c r="AT33" s="27" t="str">
        <f>_xlfn.XLOOKUP($B33,'GP2 (1)'!$B$6:$B$101,'GP2 (1)'!$H$6:$H$101,"")</f>
        <v/>
      </c>
      <c r="AU33" s="28" t="str">
        <f>_xlfn.XLOOKUP($B33,'GP2 (2)'!$B$6:$B$100,'GP2 (2)'!$H$6:$H$100,"")</f>
        <v/>
      </c>
      <c r="AV33" s="24" t="str">
        <f>_xlfn.XLOOKUP($B33,'GP3 (1)'!$B$6:$B$100,'GP3 (1)'!$H$6:$H$100,"")</f>
        <v/>
      </c>
      <c r="AW33" s="25" t="str">
        <f>_xlfn.XLOOKUP($B33,'GP3 (2)'!$B$6:$B$100,'GP3 (2)'!$H$6:$H$100,"")</f>
        <v/>
      </c>
      <c r="AX33" s="27" t="str">
        <f>_xlfn.XLOOKUP($B33,'GP4 (1)'!$B$6:$B$66,'GP4 (1)'!$H$6:$H$66,"")</f>
        <v/>
      </c>
      <c r="AY33" s="28" t="str">
        <f>_xlfn.XLOOKUP($B33,'GP4 (2)'!$B$6:$B$100,'GP4 (2)'!$H$6:$H$100,"")</f>
        <v/>
      </c>
      <c r="AZ33" s="24" t="str">
        <f>_xlfn.XLOOKUP($B33,'GP5 (1)'!$B$6:$B$99,'GP5 (1)'!$H$6:$H$99,"")</f>
        <v/>
      </c>
      <c r="BA33" s="25" t="str">
        <f>_xlfn.XLOOKUP($B33,'GP5 (2)'!$B$6:$B$99,'GP5 (2)'!$H$6:$H$99,"")</f>
        <v/>
      </c>
      <c r="BB33" s="27" t="str">
        <f>_xlfn.XLOOKUP($B33,'GP6 (1)'!$B$5:$B$99,'GP6 (1)'!$H$5:$H$99,"")</f>
        <v/>
      </c>
      <c r="BC33" s="28" t="str">
        <f>_xlfn.XLOOKUP($B33,'GP6 (2)'!$B$5:$B$99,'GP6 (2)'!$H$5:$H$99,"")</f>
        <v/>
      </c>
      <c r="BD33" s="24" t="str">
        <f>_xlfn.XLOOKUP($B33,'GP7 (1)'!$B$6:$B$100,'GP7 (1)'!$H$6:$H$100,"")</f>
        <v/>
      </c>
      <c r="BE33" s="25" t="str">
        <f>_xlfn.XLOOKUP($B33,'GP7 (2)'!$B$6:$B$100,'GP7 (2)'!$H$6:$H$100,"")</f>
        <v/>
      </c>
      <c r="BF33" s="27" t="str">
        <f>_xlfn.XLOOKUP($B33,'GP8 (1)'!$B$6:$B$100,'GP8 (1)'!$H$6:$H$100,"")</f>
        <v/>
      </c>
      <c r="BG33" s="32" t="str">
        <f>_xlfn.XLOOKUP($B33,'GP8 (2)'!$B$6:$B$100,'GP8 (2)'!$H$6:$H$100,"")</f>
        <v/>
      </c>
    </row>
    <row r="34" spans="1:59" ht="13.1" customHeight="1" x14ac:dyDescent="0.25">
      <c r="A34" s="1">
        <f>ROW()-4</f>
        <v>30</v>
      </c>
      <c r="B34" s="5" t="s">
        <v>43</v>
      </c>
      <c r="C34" s="30">
        <f>SUM(D34:U34)</f>
        <v>0.83000000000000007</v>
      </c>
      <c r="D34" s="35">
        <f>_xlfn.XLOOKUP($B34,'MP (1)'!$B$6:$B$99,'MP (1)'!$E$6:$E$99,"")</f>
        <v>0.5</v>
      </c>
      <c r="E34" s="36">
        <f>_xlfn.XLOOKUP($B34,'MP (2)'!$B$6:$B$100,'MP (2)'!$E$6:$E$100,"")</f>
        <v>0.33</v>
      </c>
      <c r="F34" s="40" t="str">
        <f>_xlfn.XLOOKUP($B34,'GP1 (1)'!$B$6:$B$100,'GP1 (1)'!$E$6:$E$100,"")</f>
        <v/>
      </c>
      <c r="G34" s="41" t="str">
        <f>_xlfn.XLOOKUP($B34,'GP1 (2)'!$B$6:$B$100,'GP1 (2)'!$E$6:$E$100,"")</f>
        <v/>
      </c>
      <c r="H34" s="39" t="str">
        <f>_xlfn.XLOOKUP($B34,'GP2 (1)'!$B$6:$B$101,'GP2 (1)'!$E$6:$E$101,"")</f>
        <v/>
      </c>
      <c r="I34" s="36" t="str">
        <f>_xlfn.XLOOKUP($B34,'GP2 (2)'!$B$6:$B$100,'GP2 (2)'!$E$6:$E$100,"")</f>
        <v/>
      </c>
      <c r="J34" s="40" t="str">
        <f>_xlfn.XLOOKUP($B34,'GP3 (1)'!$B$6:$B$100,'GP3 (1)'!$E$6:$E$100,"")</f>
        <v/>
      </c>
      <c r="K34" s="41" t="str">
        <f>_xlfn.XLOOKUP($B34,'GP3 (2)'!$B$6:$B$100,'GP3 (2)'!$E$6:$E$100,"")</f>
        <v/>
      </c>
      <c r="L34" s="39" t="str">
        <f>_xlfn.XLOOKUP($B34,'GP4 (1)'!$B$6:$B$66,'GP4 (1)'!$E$6:$E$66,"")</f>
        <v/>
      </c>
      <c r="M34" s="36" t="str">
        <f>_xlfn.XLOOKUP($B34,'GP4 (2)'!$B$6:$B$100,'GP4 (2)'!$E$6:$E$100,"")</f>
        <v/>
      </c>
      <c r="N34" s="40" t="str">
        <f>_xlfn.XLOOKUP($B34,'GP5 (1)'!$B$6:$B$99,'GP5 (1)'!$E$6:$E$99,"")</f>
        <v/>
      </c>
      <c r="O34" s="42" t="str">
        <f>_xlfn.XLOOKUP($B34,'GP5 (2)'!$B$6:$B$99,'GP5 (2)'!$E$6:$E$99,"")</f>
        <v/>
      </c>
      <c r="P34" s="39" t="str">
        <f>_xlfn.XLOOKUP($B34,'GP6 (1)'!$B$5:$B$99,'GP6 (1)'!$E$5:$E$99,"")</f>
        <v/>
      </c>
      <c r="Q34" s="36" t="str">
        <f>_xlfn.XLOOKUP($B34,'GP6 (2)'!$B$5:$B$99,'GP6 (2)'!$E$5:$E$99,"")</f>
        <v/>
      </c>
      <c r="R34" s="40" t="str">
        <f>_xlfn.XLOOKUP($B34,'GP7 (1)'!$B$6:$B$100,'GP7 (1)'!$E$6:$E$100,"")</f>
        <v/>
      </c>
      <c r="S34" s="42" t="str">
        <f>_xlfn.XLOOKUP($B34,'GP7 (2)'!$B$6:$B$100,'GP7 (2)'!$E$6:$E$100,"")</f>
        <v/>
      </c>
      <c r="T34" s="39" t="str">
        <f>_xlfn.XLOOKUP($B34,'GP8 (1)'!$B$6:$B$100,'GP8 (1)'!$E$6:$E$100,"")</f>
        <v/>
      </c>
      <c r="U34" s="35" t="str">
        <f>_xlfn.XLOOKUP($B34,'GP8 (2)'!$B$6:$B$100,'GP8 (2)'!$E$6:$E$100,"")</f>
        <v/>
      </c>
      <c r="V34" s="13">
        <f>SUM(W34:AN34)</f>
        <v>34</v>
      </c>
      <c r="W34" s="29">
        <f>_xlfn.XLOOKUP($B34,'MP (1)'!$B$6:$B$99,'MP (1)'!$F$6:$F$99,"")</f>
        <v>19</v>
      </c>
      <c r="X34" s="28">
        <f>_xlfn.XLOOKUP($B34,'MP (2)'!$B$6:$B$100,'MP (2)'!$F$6:$F$100,"")</f>
        <v>15</v>
      </c>
      <c r="Y34" s="24" t="str">
        <f>_xlfn.XLOOKUP($B34,'GP1 (1)'!$B$6:$B$100,'GP1 (1)'!$F$6:$F$100,"")</f>
        <v/>
      </c>
      <c r="Z34" s="25" t="str">
        <f>_xlfn.XLOOKUP($B34,'GP1 (2)'!$B$6:$B$100,'GP1 (2)'!$F$6:$F$100,"")</f>
        <v/>
      </c>
      <c r="AA34" s="27" t="str">
        <f>_xlfn.XLOOKUP($B34,'GP2 (1)'!$B$6:$B$101,'GP2 (1)'!$F$6:$F$101,"")</f>
        <v/>
      </c>
      <c r="AB34" s="28" t="str">
        <f>_xlfn.XLOOKUP($B34,'GP2 (2)'!$B$6:$B$100,'GP2 (2)'!$F$6:$F$100,"")</f>
        <v/>
      </c>
      <c r="AC34" s="24" t="str">
        <f>_xlfn.XLOOKUP($B34,'GP3 (1)'!$B$6:$B$100,'GP3 (1)'!$F$6:$F$100,"")</f>
        <v/>
      </c>
      <c r="AD34" s="25" t="str">
        <f>_xlfn.XLOOKUP($B34,'GP3 (2)'!$B$6:$B$100,'GP3 (2)'!$F$6:$F$100,"")</f>
        <v/>
      </c>
      <c r="AE34" s="27" t="str">
        <f>_xlfn.XLOOKUP($B34,'GP4 (1)'!$B$6:$B$66,'GP4 (1)'!$F$6:$F$66,"")</f>
        <v/>
      </c>
      <c r="AF34" s="28" t="str">
        <f>_xlfn.XLOOKUP($B34,'GP4 (2)'!$B$6:$B$100,'GP4 (2)'!$F$6:$F$100,"")</f>
        <v/>
      </c>
      <c r="AG34" s="24" t="str">
        <f>_xlfn.XLOOKUP($B34,'GP5 (1)'!$B$6:$B$99,'GP5 (1)'!$F$6:$F$99,"")</f>
        <v/>
      </c>
      <c r="AH34" s="26" t="str">
        <f>_xlfn.XLOOKUP($B34,'GP5 (2)'!$B$6:$B$99,'GP5 (2)'!$F$6:$F$99,"")</f>
        <v/>
      </c>
      <c r="AI34" s="27" t="str">
        <f>_xlfn.XLOOKUP($B34,'GP6 (1)'!$B$5:$B$99,'GP6 (1)'!$F$5:$F$99,"")</f>
        <v/>
      </c>
      <c r="AJ34" s="28" t="str">
        <f>_xlfn.XLOOKUP($B34,'GP6 (2)'!$B$5:$B$99,'GP6 (2)'!$F$5:$F$99,"")</f>
        <v/>
      </c>
      <c r="AK34" s="24" t="str">
        <f>_xlfn.XLOOKUP($B34,'GP7 (1)'!$B$6:$B$100,'GP7 (1)'!$F$6:$F$100,"")</f>
        <v/>
      </c>
      <c r="AL34" s="26" t="str">
        <f>_xlfn.XLOOKUP($B34,'GP7 (2)'!$B$6:$B$100,'GP7 (2)'!$F$6:$F$100,"")</f>
        <v/>
      </c>
      <c r="AM34" s="27" t="str">
        <f>_xlfn.XLOOKUP($B34,'GP8 (1)'!$B$6:$B$100,'GP8 (1)'!$F$6:$F$100,"")</f>
        <v/>
      </c>
      <c r="AN34" s="29" t="str">
        <f>_xlfn.XLOOKUP($B34,'GP8 (2)'!$B$6:$B$100,'GP8 (2)'!$F$6:$F$100,"")</f>
        <v/>
      </c>
      <c r="AO34" s="13">
        <f>SUM(AP34:BG34)</f>
        <v>-15</v>
      </c>
      <c r="AP34" s="29">
        <f>_xlfn.XLOOKUP($B34,'MP (1)'!$B$6:$B$99,'MP (1)'!$H$6:$H$99,"")</f>
        <v>-5</v>
      </c>
      <c r="AQ34" s="28">
        <f>_xlfn.XLOOKUP($B34,'MP (2)'!$B$6:$B$100,'MP (2)'!$H$6:$H$100,"")</f>
        <v>-10</v>
      </c>
      <c r="AR34" s="24" t="str">
        <f>_xlfn.XLOOKUP($B34,'GP1 (1)'!$B$6:$B$100,'GP1 (1)'!$H$6:$H$100,"")</f>
        <v/>
      </c>
      <c r="AS34" s="25" t="str">
        <f>_xlfn.XLOOKUP($B34,'GP1 (2)'!$B$6:$B$100,'GP1 (2)'!$H$6:$H$100,"")</f>
        <v/>
      </c>
      <c r="AT34" s="27" t="str">
        <f>_xlfn.XLOOKUP($B34,'GP2 (1)'!$B$6:$B$101,'GP2 (1)'!$H$6:$H$101,"")</f>
        <v/>
      </c>
      <c r="AU34" s="28" t="str">
        <f>_xlfn.XLOOKUP($B34,'GP2 (2)'!$B$6:$B$100,'GP2 (2)'!$H$6:$H$100,"")</f>
        <v/>
      </c>
      <c r="AV34" s="24" t="str">
        <f>_xlfn.XLOOKUP($B34,'GP3 (1)'!$B$6:$B$100,'GP3 (1)'!$H$6:$H$100,"")</f>
        <v/>
      </c>
      <c r="AW34" s="25" t="str">
        <f>_xlfn.XLOOKUP($B34,'GP3 (2)'!$B$6:$B$100,'GP3 (2)'!$H$6:$H$100,"")</f>
        <v/>
      </c>
      <c r="AX34" s="27" t="str">
        <f>_xlfn.XLOOKUP($B34,'GP4 (1)'!$B$6:$B$66,'GP4 (1)'!$H$6:$H$66,"")</f>
        <v/>
      </c>
      <c r="AY34" s="28" t="str">
        <f>_xlfn.XLOOKUP($B34,'GP4 (2)'!$B$6:$B$100,'GP4 (2)'!$H$6:$H$100,"")</f>
        <v/>
      </c>
      <c r="AZ34" s="24" t="str">
        <f>_xlfn.XLOOKUP($B34,'GP5 (1)'!$B$6:$B$99,'GP5 (1)'!$H$6:$H$99,"")</f>
        <v/>
      </c>
      <c r="BA34" s="25" t="str">
        <f>_xlfn.XLOOKUP($B34,'GP5 (2)'!$B$6:$B$99,'GP5 (2)'!$H$6:$H$99,"")</f>
        <v/>
      </c>
      <c r="BB34" s="27" t="str">
        <f>_xlfn.XLOOKUP($B34,'GP6 (1)'!$B$5:$B$99,'GP6 (1)'!$H$5:$H$99,"")</f>
        <v/>
      </c>
      <c r="BC34" s="28" t="str">
        <f>_xlfn.XLOOKUP($B34,'GP6 (2)'!$B$5:$B$99,'GP6 (2)'!$H$5:$H$99,"")</f>
        <v/>
      </c>
      <c r="BD34" s="24" t="str">
        <f>_xlfn.XLOOKUP($B34,'GP7 (1)'!$B$6:$B$100,'GP7 (1)'!$H$6:$H$100,"")</f>
        <v/>
      </c>
      <c r="BE34" s="25" t="str">
        <f>_xlfn.XLOOKUP($B34,'GP7 (2)'!$B$6:$B$100,'GP7 (2)'!$H$6:$H$100,"")</f>
        <v/>
      </c>
      <c r="BF34" s="27" t="str">
        <f>_xlfn.XLOOKUP($B34,'GP8 (1)'!$B$6:$B$100,'GP8 (1)'!$H$6:$H$100,"")</f>
        <v/>
      </c>
      <c r="BG34" s="32" t="str">
        <f>_xlfn.XLOOKUP($B34,'GP8 (2)'!$B$6:$B$100,'GP8 (2)'!$H$6:$H$100,"")</f>
        <v/>
      </c>
    </row>
    <row r="35" spans="1:59" ht="13.1" customHeight="1" x14ac:dyDescent="0.25">
      <c r="A35" s="1">
        <f>ROW()-4</f>
        <v>31</v>
      </c>
      <c r="B35" s="5" t="s">
        <v>44</v>
      </c>
      <c r="C35" s="30">
        <f>SUM(D35:U35)</f>
        <v>0.83</v>
      </c>
      <c r="D35" s="35" t="str">
        <f>_xlfn.XLOOKUP($B35,'MP (1)'!$B$6:$B$99,'MP (1)'!$E$6:$E$99,"")</f>
        <v/>
      </c>
      <c r="E35" s="36" t="str">
        <f>_xlfn.XLOOKUP($B35,'MP (2)'!$B$6:$B$100,'MP (2)'!$E$6:$E$100,"")</f>
        <v/>
      </c>
      <c r="F35" s="40" t="str">
        <f>_xlfn.XLOOKUP($B35,'GP1 (1)'!$B$6:$B$100,'GP1 (1)'!$E$6:$E$100,"")</f>
        <v/>
      </c>
      <c r="G35" s="41" t="str">
        <f>_xlfn.XLOOKUP($B35,'GP1 (2)'!$B$6:$B$100,'GP1 (2)'!$E$6:$E$100,"")</f>
        <v/>
      </c>
      <c r="H35" s="39" t="str">
        <f>_xlfn.XLOOKUP($B35,'GP2 (1)'!$B$6:$B$101,'GP2 (1)'!$E$6:$E$101,"")</f>
        <v/>
      </c>
      <c r="I35" s="36" t="str">
        <f>_xlfn.XLOOKUP($B35,'GP2 (2)'!$B$6:$B$100,'GP2 (2)'!$E$6:$E$100,"")</f>
        <v/>
      </c>
      <c r="J35" s="40">
        <f>_xlfn.XLOOKUP($B35,'GP3 (1)'!$B$6:$B$100,'GP3 (1)'!$E$6:$E$100,"")</f>
        <v>0.83</v>
      </c>
      <c r="K35" s="41" t="str">
        <f>_xlfn.XLOOKUP($B35,'GP3 (2)'!$B$6:$B$100,'GP3 (2)'!$E$6:$E$100,"")</f>
        <v>1.00</v>
      </c>
      <c r="L35" s="39" t="str">
        <f>_xlfn.XLOOKUP($B35,'GP4 (1)'!$B$6:$B$66,'GP4 (1)'!$E$6:$E$66,"")</f>
        <v/>
      </c>
      <c r="M35" s="36" t="str">
        <f>_xlfn.XLOOKUP($B35,'GP4 (2)'!$B$6:$B$100,'GP4 (2)'!$E$6:$E$100,"")</f>
        <v/>
      </c>
      <c r="N35" s="40" t="str">
        <f>_xlfn.XLOOKUP($B35,'GP5 (1)'!$B$6:$B$99,'GP5 (1)'!$E$6:$E$99,"")</f>
        <v/>
      </c>
      <c r="O35" s="42" t="str">
        <f>_xlfn.XLOOKUP($B35,'GP5 (2)'!$B$6:$B$99,'GP5 (2)'!$E$6:$E$99,"")</f>
        <v/>
      </c>
      <c r="P35" s="39" t="str">
        <f>_xlfn.XLOOKUP($B35,'GP6 (1)'!$B$5:$B$99,'GP6 (1)'!$E$5:$E$99,"")</f>
        <v/>
      </c>
      <c r="Q35" s="36" t="str">
        <f>_xlfn.XLOOKUP($B35,'GP6 (2)'!$B$5:$B$99,'GP6 (2)'!$E$5:$E$99,"")</f>
        <v/>
      </c>
      <c r="R35" s="40" t="str">
        <f>_xlfn.XLOOKUP($B35,'GP7 (1)'!$B$6:$B$100,'GP7 (1)'!$E$6:$E$100,"")</f>
        <v/>
      </c>
      <c r="S35" s="42" t="str">
        <f>_xlfn.XLOOKUP($B35,'GP7 (2)'!$B$6:$B$100,'GP7 (2)'!$E$6:$E$100,"")</f>
        <v/>
      </c>
      <c r="T35" s="39" t="str">
        <f>_xlfn.XLOOKUP($B35,'GP8 (1)'!$B$6:$B$100,'GP8 (1)'!$E$6:$E$100,"")</f>
        <v/>
      </c>
      <c r="U35" s="35" t="str">
        <f>_xlfn.XLOOKUP($B35,'GP8 (2)'!$B$6:$B$100,'GP8 (2)'!$E$6:$E$100,"")</f>
        <v/>
      </c>
      <c r="V35" s="13">
        <f>SUM(W35:AN35)</f>
        <v>54</v>
      </c>
      <c r="W35" s="29" t="str">
        <f>_xlfn.XLOOKUP($B35,'MP (1)'!$B$6:$B$99,'MP (1)'!$F$6:$F$99,"")</f>
        <v/>
      </c>
      <c r="X35" s="28" t="str">
        <f>_xlfn.XLOOKUP($B35,'MP (2)'!$B$6:$B$100,'MP (2)'!$F$6:$F$100,"")</f>
        <v/>
      </c>
      <c r="Y35" s="24" t="str">
        <f>_xlfn.XLOOKUP($B35,'GP1 (1)'!$B$6:$B$100,'GP1 (1)'!$F$6:$F$100,"")</f>
        <v/>
      </c>
      <c r="Z35" s="25" t="str">
        <f>_xlfn.XLOOKUP($B35,'GP1 (2)'!$B$6:$B$100,'GP1 (2)'!$F$6:$F$100,"")</f>
        <v/>
      </c>
      <c r="AA35" s="27" t="str">
        <f>_xlfn.XLOOKUP($B35,'GP2 (1)'!$B$6:$B$101,'GP2 (1)'!$F$6:$F$101,"")</f>
        <v/>
      </c>
      <c r="AB35" s="28" t="str">
        <f>_xlfn.XLOOKUP($B35,'GP2 (2)'!$B$6:$B$100,'GP2 (2)'!$F$6:$F$100,"")</f>
        <v/>
      </c>
      <c r="AC35" s="24">
        <f>_xlfn.XLOOKUP($B35,'GP3 (1)'!$B$6:$B$100,'GP3 (1)'!$F$6:$F$100,"")</f>
        <v>29</v>
      </c>
      <c r="AD35" s="25">
        <f>_xlfn.XLOOKUP($B35,'GP3 (2)'!$B$6:$B$100,'GP3 (2)'!$F$6:$F$100,"")</f>
        <v>25</v>
      </c>
      <c r="AE35" s="27" t="str">
        <f>_xlfn.XLOOKUP($B35,'GP4 (1)'!$B$6:$B$66,'GP4 (1)'!$F$6:$F$66,"")</f>
        <v/>
      </c>
      <c r="AF35" s="28" t="str">
        <f>_xlfn.XLOOKUP($B35,'GP4 (2)'!$B$6:$B$100,'GP4 (2)'!$F$6:$F$100,"")</f>
        <v/>
      </c>
      <c r="AG35" s="24" t="str">
        <f>_xlfn.XLOOKUP($B35,'GP5 (1)'!$B$6:$B$99,'GP5 (1)'!$F$6:$F$99,"")</f>
        <v/>
      </c>
      <c r="AH35" s="26" t="str">
        <f>_xlfn.XLOOKUP($B35,'GP5 (2)'!$B$6:$B$99,'GP5 (2)'!$F$6:$F$99,"")</f>
        <v/>
      </c>
      <c r="AI35" s="27" t="str">
        <f>_xlfn.XLOOKUP($B35,'GP6 (1)'!$B$5:$B$99,'GP6 (1)'!$F$5:$F$99,"")</f>
        <v/>
      </c>
      <c r="AJ35" s="28" t="str">
        <f>_xlfn.XLOOKUP($B35,'GP6 (2)'!$B$5:$B$99,'GP6 (2)'!$F$5:$F$99,"")</f>
        <v/>
      </c>
      <c r="AK35" s="24" t="str">
        <f>_xlfn.XLOOKUP($B35,'GP7 (1)'!$B$6:$B$100,'GP7 (1)'!$F$6:$F$100,"")</f>
        <v/>
      </c>
      <c r="AL35" s="26" t="str">
        <f>_xlfn.XLOOKUP($B35,'GP7 (2)'!$B$6:$B$100,'GP7 (2)'!$F$6:$F$100,"")</f>
        <v/>
      </c>
      <c r="AM35" s="27" t="str">
        <f>_xlfn.XLOOKUP($B35,'GP8 (1)'!$B$6:$B$100,'GP8 (1)'!$F$6:$F$100,"")</f>
        <v/>
      </c>
      <c r="AN35" s="29" t="str">
        <f>_xlfn.XLOOKUP($B35,'GP8 (2)'!$B$6:$B$100,'GP8 (2)'!$F$6:$F$100,"")</f>
        <v/>
      </c>
      <c r="AO35" s="13">
        <f>SUM(AP35:BG35)</f>
        <v>32</v>
      </c>
      <c r="AP35" s="29" t="str">
        <f>_xlfn.XLOOKUP($B35,'MP (1)'!$B$6:$B$99,'MP (1)'!$H$6:$H$99,"")</f>
        <v/>
      </c>
      <c r="AQ35" s="28" t="str">
        <f>_xlfn.XLOOKUP($B35,'MP (2)'!$B$6:$B$100,'MP (2)'!$H$6:$H$100,"")</f>
        <v/>
      </c>
      <c r="AR35" s="24" t="str">
        <f>_xlfn.XLOOKUP($B35,'GP1 (1)'!$B$6:$B$100,'GP1 (1)'!$H$6:$H$100,"")</f>
        <v/>
      </c>
      <c r="AS35" s="25" t="str">
        <f>_xlfn.XLOOKUP($B35,'GP1 (2)'!$B$6:$B$100,'GP1 (2)'!$H$6:$H$100,"")</f>
        <v/>
      </c>
      <c r="AT35" s="27" t="str">
        <f>_xlfn.XLOOKUP($B35,'GP2 (1)'!$B$6:$B$101,'GP2 (1)'!$H$6:$H$101,"")</f>
        <v/>
      </c>
      <c r="AU35" s="28" t="str">
        <f>_xlfn.XLOOKUP($B35,'GP2 (2)'!$B$6:$B$100,'GP2 (2)'!$H$6:$H$100,"")</f>
        <v/>
      </c>
      <c r="AV35" s="24">
        <f>_xlfn.XLOOKUP($B35,'GP3 (1)'!$B$6:$B$100,'GP3 (1)'!$H$6:$H$100,"")</f>
        <v>17</v>
      </c>
      <c r="AW35" s="25">
        <f>_xlfn.XLOOKUP($B35,'GP3 (2)'!$B$6:$B$100,'GP3 (2)'!$H$6:$H$100,"")</f>
        <v>15</v>
      </c>
      <c r="AX35" s="27" t="str">
        <f>_xlfn.XLOOKUP($B35,'GP4 (1)'!$B$6:$B$66,'GP4 (1)'!$H$6:$H$66,"")</f>
        <v/>
      </c>
      <c r="AY35" s="28" t="str">
        <f>_xlfn.XLOOKUP($B35,'GP4 (2)'!$B$6:$B$100,'GP4 (2)'!$H$6:$H$100,"")</f>
        <v/>
      </c>
      <c r="AZ35" s="24" t="str">
        <f>_xlfn.XLOOKUP($B35,'GP5 (1)'!$B$6:$B$99,'GP5 (1)'!$H$6:$H$99,"")</f>
        <v/>
      </c>
      <c r="BA35" s="25" t="str">
        <f>_xlfn.XLOOKUP($B35,'GP5 (2)'!$B$6:$B$99,'GP5 (2)'!$H$6:$H$99,"")</f>
        <v/>
      </c>
      <c r="BB35" s="27" t="str">
        <f>_xlfn.XLOOKUP($B35,'GP6 (1)'!$B$5:$B$99,'GP6 (1)'!$H$5:$H$99,"")</f>
        <v/>
      </c>
      <c r="BC35" s="28" t="str">
        <f>_xlfn.XLOOKUP($B35,'GP6 (2)'!$B$5:$B$99,'GP6 (2)'!$H$5:$H$99,"")</f>
        <v/>
      </c>
      <c r="BD35" s="24" t="str">
        <f>_xlfn.XLOOKUP($B35,'GP7 (1)'!$B$6:$B$100,'GP7 (1)'!$H$6:$H$100,"")</f>
        <v/>
      </c>
      <c r="BE35" s="25" t="str">
        <f>_xlfn.XLOOKUP($B35,'GP7 (2)'!$B$6:$B$100,'GP7 (2)'!$H$6:$H$100,"")</f>
        <v/>
      </c>
      <c r="BF35" s="27" t="str">
        <f>_xlfn.XLOOKUP($B35,'GP8 (1)'!$B$6:$B$100,'GP8 (1)'!$H$6:$H$100,"")</f>
        <v/>
      </c>
      <c r="BG35" s="32" t="str">
        <f>_xlfn.XLOOKUP($B35,'GP8 (2)'!$B$6:$B$100,'GP8 (2)'!$H$6:$H$100,"")</f>
        <v/>
      </c>
    </row>
    <row r="36" spans="1:59" ht="13.1" customHeight="1" x14ac:dyDescent="0.25">
      <c r="A36" s="1">
        <f>ROW()-4</f>
        <v>32</v>
      </c>
      <c r="B36" s="5" t="s">
        <v>49</v>
      </c>
      <c r="C36" s="30">
        <f>SUM(D36:U36)</f>
        <v>0.7</v>
      </c>
      <c r="D36" s="35">
        <f>_xlfn.XLOOKUP($B36,'MP (1)'!$B$6:$B$99,'MP (1)'!$E$6:$E$99,"")</f>
        <v>0.17</v>
      </c>
      <c r="E36" s="36">
        <f>_xlfn.XLOOKUP($B36,'MP (2)'!$B$6:$B$100,'MP (2)'!$E$6:$E$100,"")</f>
        <v>0</v>
      </c>
      <c r="F36" s="40" t="str">
        <f>_xlfn.XLOOKUP($B36,'GP1 (1)'!$B$6:$B$100,'GP1 (1)'!$E$6:$E$100,"")</f>
        <v/>
      </c>
      <c r="G36" s="41" t="str">
        <f>_xlfn.XLOOKUP($B36,'GP1 (2)'!$B$6:$B$100,'GP1 (2)'!$E$6:$E$100,"")</f>
        <v/>
      </c>
      <c r="H36" s="39" t="str">
        <f>_xlfn.XLOOKUP($B36,'GP2 (1)'!$B$6:$B$101,'GP2 (1)'!$E$6:$E$101,"")</f>
        <v/>
      </c>
      <c r="I36" s="36" t="str">
        <f>_xlfn.XLOOKUP($B36,'GP2 (2)'!$B$6:$B$100,'GP2 (2)'!$E$6:$E$100,"")</f>
        <v/>
      </c>
      <c r="J36" s="40">
        <f>_xlfn.XLOOKUP($B36,'GP3 (1)'!$B$6:$B$100,'GP3 (1)'!$E$6:$E$100,"")</f>
        <v>0.33</v>
      </c>
      <c r="K36" s="41" t="str">
        <f>_xlfn.XLOOKUP($B36,'GP3 (2)'!$B$6:$B$100,'GP3 (2)'!$E$6:$E$100,"")</f>
        <v>0.40</v>
      </c>
      <c r="L36" s="39" t="str">
        <f>_xlfn.XLOOKUP($B36,'GP4 (1)'!$B$6:$B$66,'GP4 (1)'!$E$6:$E$66,"")</f>
        <v/>
      </c>
      <c r="M36" s="36" t="str">
        <f>_xlfn.XLOOKUP($B36,'GP4 (2)'!$B$6:$B$100,'GP4 (2)'!$E$6:$E$100,"")</f>
        <v/>
      </c>
      <c r="N36" s="40" t="str">
        <f>_xlfn.XLOOKUP($B36,'GP5 (1)'!$B$6:$B$99,'GP5 (1)'!$E$6:$E$99,"")</f>
        <v/>
      </c>
      <c r="O36" s="42" t="str">
        <f>_xlfn.XLOOKUP($B36,'GP5 (2)'!$B$6:$B$99,'GP5 (2)'!$E$6:$E$99,"")</f>
        <v/>
      </c>
      <c r="P36" s="39" t="str">
        <f>_xlfn.XLOOKUP($B36,'GP6 (1)'!$B$5:$B$99,'GP6 (1)'!$E$5:$E$99,"")</f>
        <v>0.25</v>
      </c>
      <c r="Q36" s="36" t="str">
        <f>_xlfn.XLOOKUP($B36,'GP6 (2)'!$B$5:$B$99,'GP6 (2)'!$E$5:$E$99,"")</f>
        <v>0.00</v>
      </c>
      <c r="R36" s="40" t="str">
        <f>_xlfn.XLOOKUP($B36,'GP7 (1)'!$B$6:$B$100,'GP7 (1)'!$E$6:$E$100,"")</f>
        <v/>
      </c>
      <c r="S36" s="42" t="str">
        <f>_xlfn.XLOOKUP($B36,'GP7 (2)'!$B$6:$B$100,'GP7 (2)'!$E$6:$E$100,"")</f>
        <v/>
      </c>
      <c r="T36" s="39" t="str">
        <f>_xlfn.XLOOKUP($B36,'GP8 (1)'!$B$6:$B$100,'GP8 (1)'!$E$6:$E$100,"")</f>
        <v>0.40</v>
      </c>
      <c r="U36" s="35">
        <f>_xlfn.XLOOKUP($B36,'GP8 (2)'!$B$6:$B$100,'GP8 (2)'!$E$6:$E$100,"")</f>
        <v>0.2</v>
      </c>
      <c r="V36" s="13">
        <f>SUM(W36:AN36)</f>
        <v>94</v>
      </c>
      <c r="W36" s="29">
        <f>_xlfn.XLOOKUP($B36,'MP (1)'!$B$6:$B$99,'MP (1)'!$F$6:$F$99,"")</f>
        <v>14</v>
      </c>
      <c r="X36" s="28">
        <f>_xlfn.XLOOKUP($B36,'MP (2)'!$B$6:$B$100,'MP (2)'!$F$6:$F$100,"")</f>
        <v>6</v>
      </c>
      <c r="Y36" s="24" t="str">
        <f>_xlfn.XLOOKUP($B36,'GP1 (1)'!$B$6:$B$100,'GP1 (1)'!$F$6:$F$100,"")</f>
        <v/>
      </c>
      <c r="Z36" s="25" t="str">
        <f>_xlfn.XLOOKUP($B36,'GP1 (2)'!$B$6:$B$100,'GP1 (2)'!$F$6:$F$100,"")</f>
        <v/>
      </c>
      <c r="AA36" s="27" t="str">
        <f>_xlfn.XLOOKUP($B36,'GP2 (1)'!$B$6:$B$101,'GP2 (1)'!$F$6:$F$101,"")</f>
        <v/>
      </c>
      <c r="AB36" s="28" t="str">
        <f>_xlfn.XLOOKUP($B36,'GP2 (2)'!$B$6:$B$100,'GP2 (2)'!$F$6:$F$100,"")</f>
        <v/>
      </c>
      <c r="AC36" s="24">
        <f>_xlfn.XLOOKUP($B36,'GP3 (1)'!$B$6:$B$100,'GP3 (1)'!$F$6:$F$100,"")</f>
        <v>14</v>
      </c>
      <c r="AD36" s="25">
        <f>_xlfn.XLOOKUP($B36,'GP3 (2)'!$B$6:$B$100,'GP3 (2)'!$F$6:$F$100,"")</f>
        <v>18</v>
      </c>
      <c r="AE36" s="27" t="str">
        <f>_xlfn.XLOOKUP($B36,'GP4 (1)'!$B$6:$B$66,'GP4 (1)'!$F$6:$F$66,"")</f>
        <v/>
      </c>
      <c r="AF36" s="28" t="str">
        <f>_xlfn.XLOOKUP($B36,'GP4 (2)'!$B$6:$B$100,'GP4 (2)'!$F$6:$F$100,"")</f>
        <v/>
      </c>
      <c r="AG36" s="24" t="str">
        <f>_xlfn.XLOOKUP($B36,'GP5 (1)'!$B$6:$B$99,'GP5 (1)'!$F$6:$F$99,"")</f>
        <v/>
      </c>
      <c r="AH36" s="26" t="str">
        <f>_xlfn.XLOOKUP($B36,'GP5 (2)'!$B$6:$B$99,'GP5 (2)'!$F$6:$F$99,"")</f>
        <v/>
      </c>
      <c r="AI36" s="27">
        <f>_xlfn.XLOOKUP($B36,'GP6 (1)'!$B$5:$B$99,'GP6 (1)'!$F$5:$F$99,"")</f>
        <v>12</v>
      </c>
      <c r="AJ36" s="28">
        <f>_xlfn.XLOOKUP($B36,'GP6 (2)'!$B$5:$B$99,'GP6 (2)'!$F$5:$F$99,"")</f>
        <v>5</v>
      </c>
      <c r="AK36" s="24" t="str">
        <f>_xlfn.XLOOKUP($B36,'GP7 (1)'!$B$6:$B$100,'GP7 (1)'!$F$6:$F$100,"")</f>
        <v/>
      </c>
      <c r="AL36" s="26" t="str">
        <f>_xlfn.XLOOKUP($B36,'GP7 (2)'!$B$6:$B$100,'GP7 (2)'!$F$6:$F$100,"")</f>
        <v/>
      </c>
      <c r="AM36" s="27">
        <f>_xlfn.XLOOKUP($B36,'GP8 (1)'!$B$6:$B$100,'GP8 (1)'!$F$6:$F$100,"")</f>
        <v>12</v>
      </c>
      <c r="AN36" s="29">
        <f>_xlfn.XLOOKUP($B36,'GP8 (2)'!$B$6:$B$100,'GP8 (2)'!$F$6:$F$100,"")</f>
        <v>13</v>
      </c>
      <c r="AO36" s="13">
        <f>SUM(AP36:BG36)</f>
        <v>-90</v>
      </c>
      <c r="AP36" s="29">
        <f>_xlfn.XLOOKUP($B36,'MP (1)'!$B$6:$B$99,'MP (1)'!$H$6:$H$99,"")</f>
        <v>-10</v>
      </c>
      <c r="AQ36" s="28">
        <f>_xlfn.XLOOKUP($B36,'MP (2)'!$B$6:$B$100,'MP (2)'!$H$6:$H$100,"")</f>
        <v>-24</v>
      </c>
      <c r="AR36" s="24" t="str">
        <f>_xlfn.XLOOKUP($B36,'GP1 (1)'!$B$6:$B$100,'GP1 (1)'!$H$6:$H$100,"")</f>
        <v/>
      </c>
      <c r="AS36" s="25" t="str">
        <f>_xlfn.XLOOKUP($B36,'GP1 (2)'!$B$6:$B$100,'GP1 (2)'!$H$6:$H$100,"")</f>
        <v/>
      </c>
      <c r="AT36" s="27" t="str">
        <f>_xlfn.XLOOKUP($B36,'GP2 (1)'!$B$6:$B$101,'GP2 (1)'!$H$6:$H$101,"")</f>
        <v/>
      </c>
      <c r="AU36" s="28" t="str">
        <f>_xlfn.XLOOKUP($B36,'GP2 (2)'!$B$6:$B$100,'GP2 (2)'!$H$6:$H$100,"")</f>
        <v/>
      </c>
      <c r="AV36" s="24">
        <f>_xlfn.XLOOKUP($B36,'GP3 (1)'!$B$6:$B$100,'GP3 (1)'!$H$6:$H$100,"")</f>
        <v>-13</v>
      </c>
      <c r="AW36" s="25">
        <f>_xlfn.XLOOKUP($B36,'GP3 (2)'!$B$6:$B$100,'GP3 (2)'!$H$6:$H$100,"")</f>
        <v>-2</v>
      </c>
      <c r="AX36" s="27" t="str">
        <f>_xlfn.XLOOKUP($B36,'GP4 (1)'!$B$6:$B$66,'GP4 (1)'!$H$6:$H$66,"")</f>
        <v/>
      </c>
      <c r="AY36" s="28" t="str">
        <f>_xlfn.XLOOKUP($B36,'GP4 (2)'!$B$6:$B$100,'GP4 (2)'!$H$6:$H$100,"")</f>
        <v/>
      </c>
      <c r="AZ36" s="24" t="str">
        <f>_xlfn.XLOOKUP($B36,'GP5 (1)'!$B$6:$B$99,'GP5 (1)'!$H$6:$H$99,"")</f>
        <v/>
      </c>
      <c r="BA36" s="25" t="str">
        <f>_xlfn.XLOOKUP($B36,'GP5 (2)'!$B$6:$B$99,'GP5 (2)'!$H$6:$H$99,"")</f>
        <v/>
      </c>
      <c r="BB36" s="27">
        <f>_xlfn.XLOOKUP($B36,'GP6 (1)'!$B$5:$B$99,'GP6 (1)'!$H$5:$H$99,"")</f>
        <v>-5</v>
      </c>
      <c r="BC36" s="28">
        <f>_xlfn.XLOOKUP($B36,'GP6 (2)'!$B$5:$B$99,'GP6 (2)'!$H$5:$H$99,"")</f>
        <v>-15</v>
      </c>
      <c r="BD36" s="24" t="str">
        <f>_xlfn.XLOOKUP($B36,'GP7 (1)'!$B$6:$B$100,'GP7 (1)'!$H$6:$H$100,"")</f>
        <v/>
      </c>
      <c r="BE36" s="25" t="str">
        <f>_xlfn.XLOOKUP($B36,'GP7 (2)'!$B$6:$B$100,'GP7 (2)'!$H$6:$H$100,"")</f>
        <v/>
      </c>
      <c r="BF36" s="27">
        <f>_xlfn.XLOOKUP($B36,'GP8 (1)'!$B$6:$B$100,'GP8 (1)'!$H$6:$H$100,"")</f>
        <v>-10</v>
      </c>
      <c r="BG36" s="32">
        <f>_xlfn.XLOOKUP($B36,'GP8 (2)'!$B$6:$B$100,'GP8 (2)'!$H$6:$H$100,"")</f>
        <v>-11</v>
      </c>
    </row>
    <row r="37" spans="1:59" ht="13.1" customHeight="1" x14ac:dyDescent="0.25">
      <c r="A37" s="1">
        <f>ROW()-4</f>
        <v>33</v>
      </c>
      <c r="B37" s="5" t="s">
        <v>45</v>
      </c>
      <c r="C37" s="30">
        <f>SUM(D37:U37)</f>
        <v>0.65</v>
      </c>
      <c r="D37" s="35" t="str">
        <f>_xlfn.XLOOKUP($B37,'MP (1)'!$B$6:$B$99,'MP (1)'!$E$6:$E$99,"")</f>
        <v/>
      </c>
      <c r="E37" s="36" t="str">
        <f>_xlfn.XLOOKUP($B37,'MP (2)'!$B$6:$B$100,'MP (2)'!$E$6:$E$100,"")</f>
        <v/>
      </c>
      <c r="F37" s="40" t="str">
        <f>_xlfn.XLOOKUP($B37,'GP1 (1)'!$B$6:$B$100,'GP1 (1)'!$E$6:$E$100,"")</f>
        <v/>
      </c>
      <c r="G37" s="41" t="str">
        <f>_xlfn.XLOOKUP($B37,'GP1 (2)'!$B$6:$B$100,'GP1 (2)'!$E$6:$E$100,"")</f>
        <v/>
      </c>
      <c r="H37" s="39" t="str">
        <f>_xlfn.XLOOKUP($B37,'GP2 (1)'!$B$6:$B$101,'GP2 (1)'!$E$6:$E$101,"")</f>
        <v/>
      </c>
      <c r="I37" s="36" t="str">
        <f>_xlfn.XLOOKUP($B37,'GP2 (2)'!$B$6:$B$100,'GP2 (2)'!$E$6:$E$100,"")</f>
        <v/>
      </c>
      <c r="J37" s="40" t="str">
        <f>_xlfn.XLOOKUP($B37,'GP3 (1)'!$B$6:$B$100,'GP3 (1)'!$E$6:$E$100,"")</f>
        <v/>
      </c>
      <c r="K37" s="41" t="str">
        <f>_xlfn.XLOOKUP($B37,'GP3 (2)'!$B$6:$B$100,'GP3 (2)'!$E$6:$E$100,"")</f>
        <v/>
      </c>
      <c r="L37" s="39" t="str">
        <f>_xlfn.XLOOKUP($B37,'GP4 (1)'!$B$6:$B$66,'GP4 (1)'!$E$6:$E$66,"")</f>
        <v/>
      </c>
      <c r="M37" s="36" t="str">
        <f>_xlfn.XLOOKUP($B37,'GP4 (2)'!$B$6:$B$100,'GP4 (2)'!$E$6:$E$100,"")</f>
        <v/>
      </c>
      <c r="N37" s="40">
        <f>_xlfn.XLOOKUP($B37,'GP5 (1)'!$B$6:$B$99,'GP5 (1)'!$E$6:$E$99,"")</f>
        <v>0.4</v>
      </c>
      <c r="O37" s="42">
        <f>_xlfn.XLOOKUP($B37,'GP5 (2)'!$B$6:$B$99,'GP5 (2)'!$E$6:$E$99,"")</f>
        <v>0.25</v>
      </c>
      <c r="P37" s="39" t="str">
        <f>_xlfn.XLOOKUP($B37,'GP6 (1)'!$B$5:$B$99,'GP6 (1)'!$E$5:$E$99,"")</f>
        <v/>
      </c>
      <c r="Q37" s="36" t="str">
        <f>_xlfn.XLOOKUP($B37,'GP6 (2)'!$B$5:$B$99,'GP6 (2)'!$E$5:$E$99,"")</f>
        <v/>
      </c>
      <c r="R37" s="40" t="str">
        <f>_xlfn.XLOOKUP($B37,'GP7 (1)'!$B$6:$B$100,'GP7 (1)'!$E$6:$E$100,"")</f>
        <v/>
      </c>
      <c r="S37" s="42" t="str">
        <f>_xlfn.XLOOKUP($B37,'GP7 (2)'!$B$6:$B$100,'GP7 (2)'!$E$6:$E$100,"")</f>
        <v/>
      </c>
      <c r="T37" s="39" t="str">
        <f>_xlfn.XLOOKUP($B37,'GP8 (1)'!$B$6:$B$100,'GP8 (1)'!$E$6:$E$100,"")</f>
        <v/>
      </c>
      <c r="U37" s="35" t="str">
        <f>_xlfn.XLOOKUP($B37,'GP8 (2)'!$B$6:$B$100,'GP8 (2)'!$E$6:$E$100,"")</f>
        <v/>
      </c>
      <c r="V37" s="13">
        <f>SUM(W37:AN37)</f>
        <v>27</v>
      </c>
      <c r="W37" s="29" t="str">
        <f>_xlfn.XLOOKUP($B37,'MP (1)'!$B$6:$B$99,'MP (1)'!$F$6:$F$99,"")</f>
        <v/>
      </c>
      <c r="X37" s="28" t="str">
        <f>_xlfn.XLOOKUP($B37,'MP (2)'!$B$6:$B$100,'MP (2)'!$F$6:$F$100,"")</f>
        <v/>
      </c>
      <c r="Y37" s="24" t="str">
        <f>_xlfn.XLOOKUP($B37,'GP1 (1)'!$B$6:$B$100,'GP1 (1)'!$F$6:$F$100,"")</f>
        <v/>
      </c>
      <c r="Z37" s="25" t="str">
        <f>_xlfn.XLOOKUP($B37,'GP1 (2)'!$B$6:$B$100,'GP1 (2)'!$F$6:$F$100,"")</f>
        <v/>
      </c>
      <c r="AA37" s="27" t="str">
        <f>_xlfn.XLOOKUP($B37,'GP2 (1)'!$B$6:$B$101,'GP2 (1)'!$F$6:$F$101,"")</f>
        <v/>
      </c>
      <c r="AB37" s="28" t="str">
        <f>_xlfn.XLOOKUP($B37,'GP2 (2)'!$B$6:$B$100,'GP2 (2)'!$F$6:$F$100,"")</f>
        <v/>
      </c>
      <c r="AC37" s="24" t="str">
        <f>_xlfn.XLOOKUP($B37,'GP3 (1)'!$B$6:$B$100,'GP3 (1)'!$F$6:$F$100,"")</f>
        <v/>
      </c>
      <c r="AD37" s="25" t="str">
        <f>_xlfn.XLOOKUP($B37,'GP3 (2)'!$B$6:$B$100,'GP3 (2)'!$F$6:$F$100,"")</f>
        <v/>
      </c>
      <c r="AE37" s="27" t="str">
        <f>_xlfn.XLOOKUP($B37,'GP4 (1)'!$B$6:$B$66,'GP4 (1)'!$F$6:$F$66,"")</f>
        <v/>
      </c>
      <c r="AF37" s="28" t="str">
        <f>_xlfn.XLOOKUP($B37,'GP4 (2)'!$B$6:$B$100,'GP4 (2)'!$F$6:$F$100,"")</f>
        <v/>
      </c>
      <c r="AG37" s="24">
        <f>_xlfn.XLOOKUP($B37,'GP5 (1)'!$B$6:$B$99,'GP5 (1)'!$F$6:$F$99,"")</f>
        <v>15</v>
      </c>
      <c r="AH37" s="26">
        <f>_xlfn.XLOOKUP($B37,'GP5 (2)'!$B$6:$B$99,'GP5 (2)'!$F$6:$F$99,"")</f>
        <v>12</v>
      </c>
      <c r="AI37" s="27" t="str">
        <f>_xlfn.XLOOKUP($B37,'GP6 (1)'!$B$5:$B$99,'GP6 (1)'!$F$5:$F$99,"")</f>
        <v/>
      </c>
      <c r="AJ37" s="28" t="str">
        <f>_xlfn.XLOOKUP($B37,'GP6 (2)'!$B$5:$B$99,'GP6 (2)'!$F$5:$F$99,"")</f>
        <v/>
      </c>
      <c r="AK37" s="24" t="str">
        <f>_xlfn.XLOOKUP($B37,'GP7 (1)'!$B$6:$B$100,'GP7 (1)'!$F$6:$F$100,"")</f>
        <v/>
      </c>
      <c r="AL37" s="26" t="str">
        <f>_xlfn.XLOOKUP($B37,'GP7 (2)'!$B$6:$B$100,'GP7 (2)'!$F$6:$F$100,"")</f>
        <v/>
      </c>
      <c r="AM37" s="27" t="str">
        <f>_xlfn.XLOOKUP($B37,'GP8 (1)'!$B$6:$B$100,'GP8 (1)'!$F$6:$F$100,"")</f>
        <v/>
      </c>
      <c r="AN37" s="29" t="str">
        <f>_xlfn.XLOOKUP($B37,'GP8 (2)'!$B$6:$B$100,'GP8 (2)'!$F$6:$F$100,"")</f>
        <v/>
      </c>
      <c r="AO37" s="13">
        <f>SUM(AP37:BG37)</f>
        <v>-9</v>
      </c>
      <c r="AP37" s="29" t="str">
        <f>_xlfn.XLOOKUP($B37,'MP (1)'!$B$6:$B$99,'MP (1)'!$H$6:$H$99,"")</f>
        <v/>
      </c>
      <c r="AQ37" s="28" t="str">
        <f>_xlfn.XLOOKUP($B37,'MP (2)'!$B$6:$B$100,'MP (2)'!$H$6:$H$100,"")</f>
        <v/>
      </c>
      <c r="AR37" s="24" t="str">
        <f>_xlfn.XLOOKUP($B37,'GP1 (1)'!$B$6:$B$100,'GP1 (1)'!$H$6:$H$100,"")</f>
        <v/>
      </c>
      <c r="AS37" s="25" t="str">
        <f>_xlfn.XLOOKUP($B37,'GP1 (2)'!$B$6:$B$100,'GP1 (2)'!$H$6:$H$100,"")</f>
        <v/>
      </c>
      <c r="AT37" s="27" t="str">
        <f>_xlfn.XLOOKUP($B37,'GP2 (1)'!$B$6:$B$101,'GP2 (1)'!$H$6:$H$101,"")</f>
        <v/>
      </c>
      <c r="AU37" s="28" t="str">
        <f>_xlfn.XLOOKUP($B37,'GP2 (2)'!$B$6:$B$100,'GP2 (2)'!$H$6:$H$100,"")</f>
        <v/>
      </c>
      <c r="AV37" s="24" t="str">
        <f>_xlfn.XLOOKUP($B37,'GP3 (1)'!$B$6:$B$100,'GP3 (1)'!$H$6:$H$100,"")</f>
        <v/>
      </c>
      <c r="AW37" s="25" t="str">
        <f>_xlfn.XLOOKUP($B37,'GP3 (2)'!$B$6:$B$100,'GP3 (2)'!$H$6:$H$100,"")</f>
        <v/>
      </c>
      <c r="AX37" s="27" t="str">
        <f>_xlfn.XLOOKUP($B37,'GP4 (1)'!$B$6:$B$66,'GP4 (1)'!$H$6:$H$66,"")</f>
        <v/>
      </c>
      <c r="AY37" s="28" t="str">
        <f>_xlfn.XLOOKUP($B37,'GP4 (2)'!$B$6:$B$100,'GP4 (2)'!$H$6:$H$100,"")</f>
        <v/>
      </c>
      <c r="AZ37" s="24">
        <f>_xlfn.XLOOKUP($B37,'GP5 (1)'!$B$6:$B$99,'GP5 (1)'!$H$6:$H$99,"")</f>
        <v>-3</v>
      </c>
      <c r="BA37" s="25">
        <f>_xlfn.XLOOKUP($B37,'GP5 (2)'!$B$6:$B$99,'GP5 (2)'!$H$6:$H$99,"")</f>
        <v>-6</v>
      </c>
      <c r="BB37" s="27" t="str">
        <f>_xlfn.XLOOKUP($B37,'GP6 (1)'!$B$5:$B$99,'GP6 (1)'!$H$5:$H$99,"")</f>
        <v/>
      </c>
      <c r="BC37" s="28" t="str">
        <f>_xlfn.XLOOKUP($B37,'GP6 (2)'!$B$5:$B$99,'GP6 (2)'!$H$5:$H$99,"")</f>
        <v/>
      </c>
      <c r="BD37" s="24" t="str">
        <f>_xlfn.XLOOKUP($B37,'GP7 (1)'!$B$6:$B$100,'GP7 (1)'!$H$6:$H$100,"")</f>
        <v/>
      </c>
      <c r="BE37" s="25" t="str">
        <f>_xlfn.XLOOKUP($B37,'GP7 (2)'!$B$6:$B$100,'GP7 (2)'!$H$6:$H$100,"")</f>
        <v/>
      </c>
      <c r="BF37" s="27" t="str">
        <f>_xlfn.XLOOKUP($B37,'GP8 (1)'!$B$6:$B$100,'GP8 (1)'!$H$6:$H$100,"")</f>
        <v/>
      </c>
      <c r="BG37" s="32" t="str">
        <f>_xlfn.XLOOKUP($B37,'GP8 (2)'!$B$6:$B$100,'GP8 (2)'!$H$6:$H$100,"")</f>
        <v/>
      </c>
    </row>
    <row r="38" spans="1:59" ht="13.1" customHeight="1" x14ac:dyDescent="0.25">
      <c r="A38" s="1">
        <f>ROW()-4</f>
        <v>34</v>
      </c>
      <c r="B38" s="5" t="s">
        <v>46</v>
      </c>
      <c r="C38" s="30">
        <f>SUM(D38:U38)</f>
        <v>0.60000000000000009</v>
      </c>
      <c r="D38" s="35" t="str">
        <f>_xlfn.XLOOKUP($B38,'MP (1)'!$B$6:$B$99,'MP (1)'!$E$6:$E$99,"")</f>
        <v/>
      </c>
      <c r="E38" s="36" t="str">
        <f>_xlfn.XLOOKUP($B38,'MP (2)'!$B$6:$B$100,'MP (2)'!$E$6:$E$100,"")</f>
        <v/>
      </c>
      <c r="F38" s="40" t="str">
        <f>_xlfn.XLOOKUP($B38,'GP1 (1)'!$B$6:$B$100,'GP1 (1)'!$E$6:$E$100,"")</f>
        <v/>
      </c>
      <c r="G38" s="41" t="str">
        <f>_xlfn.XLOOKUP($B38,'GP1 (2)'!$B$6:$B$100,'GP1 (2)'!$E$6:$E$100,"")</f>
        <v/>
      </c>
      <c r="H38" s="39">
        <f>_xlfn.XLOOKUP($B38,'GP2 (1)'!$B$6:$B$101,'GP2 (1)'!$E$6:$E$101,"")</f>
        <v>0.2</v>
      </c>
      <c r="I38" s="36">
        <f>_xlfn.XLOOKUP($B38,'GP2 (2)'!$B$6:$B$100,'GP2 (2)'!$E$6:$E$100,"")</f>
        <v>0</v>
      </c>
      <c r="J38" s="40" t="str">
        <f>_xlfn.XLOOKUP($B38,'GP3 (1)'!$B$6:$B$100,'GP3 (1)'!$E$6:$E$100,"")</f>
        <v/>
      </c>
      <c r="K38" s="41" t="str">
        <f>_xlfn.XLOOKUP($B38,'GP3 (2)'!$B$6:$B$100,'GP3 (2)'!$E$6:$E$100,"")</f>
        <v/>
      </c>
      <c r="L38" s="39">
        <f>_xlfn.XLOOKUP($B38,'GP4 (1)'!$B$6:$B$66,'GP4 (1)'!$E$6:$E$66,"")</f>
        <v>0.4</v>
      </c>
      <c r="M38" s="36">
        <f>_xlfn.XLOOKUP($B38,'GP4 (2)'!$B$6:$B$100,'GP4 (2)'!$E$6:$E$100,"")</f>
        <v>0</v>
      </c>
      <c r="N38" s="40" t="str">
        <f>_xlfn.XLOOKUP($B38,'GP5 (1)'!$B$6:$B$99,'GP5 (1)'!$E$6:$E$99,"")</f>
        <v/>
      </c>
      <c r="O38" s="42" t="str">
        <f>_xlfn.XLOOKUP($B38,'GP5 (2)'!$B$6:$B$99,'GP5 (2)'!$E$6:$E$99,"")</f>
        <v/>
      </c>
      <c r="P38" s="39" t="str">
        <f>_xlfn.XLOOKUP($B38,'GP6 (1)'!$B$5:$B$99,'GP6 (1)'!$E$5:$E$99,"")</f>
        <v/>
      </c>
      <c r="Q38" s="36" t="str">
        <f>_xlfn.XLOOKUP($B38,'GP6 (2)'!$B$5:$B$99,'GP6 (2)'!$E$5:$E$99,"")</f>
        <v/>
      </c>
      <c r="R38" s="40" t="str">
        <f>_xlfn.XLOOKUP($B38,'GP7 (1)'!$B$6:$B$100,'GP7 (1)'!$E$6:$E$100,"")</f>
        <v/>
      </c>
      <c r="S38" s="42" t="str">
        <f>_xlfn.XLOOKUP($B38,'GP7 (2)'!$B$6:$B$100,'GP7 (2)'!$E$6:$E$100,"")</f>
        <v/>
      </c>
      <c r="T38" s="39" t="str">
        <f>_xlfn.XLOOKUP($B38,'GP8 (1)'!$B$6:$B$100,'GP8 (1)'!$E$6:$E$100,"")</f>
        <v/>
      </c>
      <c r="U38" s="35" t="str">
        <f>_xlfn.XLOOKUP($B38,'GP8 (2)'!$B$6:$B$100,'GP8 (2)'!$E$6:$E$100,"")</f>
        <v/>
      </c>
      <c r="V38" s="13">
        <f>SUM(W38:AN38)</f>
        <v>43</v>
      </c>
      <c r="W38" s="29" t="str">
        <f>_xlfn.XLOOKUP($B38,'MP (1)'!$B$6:$B$99,'MP (1)'!$F$6:$F$99,"")</f>
        <v/>
      </c>
      <c r="X38" s="28" t="str">
        <f>_xlfn.XLOOKUP($B38,'MP (2)'!$B$6:$B$100,'MP (2)'!$F$6:$F$100,"")</f>
        <v/>
      </c>
      <c r="Y38" s="24" t="str">
        <f>_xlfn.XLOOKUP($B38,'GP1 (1)'!$B$6:$B$100,'GP1 (1)'!$F$6:$F$100,"")</f>
        <v/>
      </c>
      <c r="Z38" s="25" t="str">
        <f>_xlfn.XLOOKUP($B38,'GP1 (2)'!$B$6:$B$100,'GP1 (2)'!$F$6:$F$100,"")</f>
        <v/>
      </c>
      <c r="AA38" s="27">
        <f>_xlfn.XLOOKUP($B38,'GP2 (1)'!$B$6:$B$101,'GP2 (1)'!$F$6:$F$101,"")</f>
        <v>11</v>
      </c>
      <c r="AB38" s="28">
        <f>_xlfn.XLOOKUP($B38,'GP2 (2)'!$B$6:$B$100,'GP2 (2)'!$F$6:$F$100,"")</f>
        <v>12</v>
      </c>
      <c r="AC38" s="24" t="str">
        <f>_xlfn.XLOOKUP($B38,'GP3 (1)'!$B$6:$B$100,'GP3 (1)'!$F$6:$F$100,"")</f>
        <v/>
      </c>
      <c r="AD38" s="25" t="str">
        <f>_xlfn.XLOOKUP($B38,'GP3 (2)'!$B$6:$B$100,'GP3 (2)'!$F$6:$F$100,"")</f>
        <v/>
      </c>
      <c r="AE38" s="27">
        <f>_xlfn.XLOOKUP($B38,'GP4 (1)'!$B$6:$B$66,'GP4 (1)'!$F$6:$F$66,"")</f>
        <v>18</v>
      </c>
      <c r="AF38" s="28">
        <f>_xlfn.XLOOKUP($B38,'GP4 (2)'!$B$6:$B$100,'GP4 (2)'!$F$6:$F$100,"")</f>
        <v>2</v>
      </c>
      <c r="AG38" s="24" t="str">
        <f>_xlfn.XLOOKUP($B38,'GP5 (1)'!$B$6:$B$99,'GP5 (1)'!$F$6:$F$99,"")</f>
        <v/>
      </c>
      <c r="AH38" s="26" t="str">
        <f>_xlfn.XLOOKUP($B38,'GP5 (2)'!$B$6:$B$99,'GP5 (2)'!$F$6:$F$99,"")</f>
        <v/>
      </c>
      <c r="AI38" s="27" t="str">
        <f>_xlfn.XLOOKUP($B38,'GP6 (1)'!$B$5:$B$99,'GP6 (1)'!$F$5:$F$99,"")</f>
        <v/>
      </c>
      <c r="AJ38" s="28" t="str">
        <f>_xlfn.XLOOKUP($B38,'GP6 (2)'!$B$5:$B$99,'GP6 (2)'!$F$5:$F$99,"")</f>
        <v/>
      </c>
      <c r="AK38" s="24" t="str">
        <f>_xlfn.XLOOKUP($B38,'GP7 (1)'!$B$6:$B$100,'GP7 (1)'!$F$6:$F$100,"")</f>
        <v/>
      </c>
      <c r="AL38" s="26" t="str">
        <f>_xlfn.XLOOKUP($B38,'GP7 (2)'!$B$6:$B$100,'GP7 (2)'!$F$6:$F$100,"")</f>
        <v/>
      </c>
      <c r="AM38" s="27" t="str">
        <f>_xlfn.XLOOKUP($B38,'GP8 (1)'!$B$6:$B$100,'GP8 (1)'!$F$6:$F$100,"")</f>
        <v/>
      </c>
      <c r="AN38" s="29" t="str">
        <f>_xlfn.XLOOKUP($B38,'GP8 (2)'!$B$6:$B$100,'GP8 (2)'!$F$6:$F$100,"")</f>
        <v/>
      </c>
      <c r="AO38" s="13">
        <f>SUM(AP38:BG38)</f>
        <v>-51</v>
      </c>
      <c r="AP38" s="29" t="str">
        <f>_xlfn.XLOOKUP($B38,'MP (1)'!$B$6:$B$99,'MP (1)'!$H$6:$H$99,"")</f>
        <v/>
      </c>
      <c r="AQ38" s="28" t="str">
        <f>_xlfn.XLOOKUP($B38,'MP (2)'!$B$6:$B$100,'MP (2)'!$H$6:$H$100,"")</f>
        <v/>
      </c>
      <c r="AR38" s="24" t="str">
        <f>_xlfn.XLOOKUP($B38,'GP1 (1)'!$B$6:$B$100,'GP1 (1)'!$H$6:$H$100,"")</f>
        <v/>
      </c>
      <c r="AS38" s="25" t="str">
        <f>_xlfn.XLOOKUP($B38,'GP1 (2)'!$B$6:$B$100,'GP1 (2)'!$H$6:$H$100,"")</f>
        <v/>
      </c>
      <c r="AT38" s="27">
        <f>_xlfn.XLOOKUP($B38,'GP2 (1)'!$B$6:$B$101,'GP2 (1)'!$H$6:$H$101,"")</f>
        <v>-12</v>
      </c>
      <c r="AU38" s="28">
        <f>_xlfn.XLOOKUP($B38,'GP2 (2)'!$B$6:$B$100,'GP2 (2)'!$H$6:$H$100,"")</f>
        <v>-13</v>
      </c>
      <c r="AV38" s="24" t="str">
        <f>_xlfn.XLOOKUP($B38,'GP3 (1)'!$B$6:$B$100,'GP3 (1)'!$H$6:$H$100,"")</f>
        <v/>
      </c>
      <c r="AW38" s="25" t="str">
        <f>_xlfn.XLOOKUP($B38,'GP3 (2)'!$B$6:$B$100,'GP3 (2)'!$H$6:$H$100,"")</f>
        <v/>
      </c>
      <c r="AX38" s="27">
        <f>_xlfn.XLOOKUP($B38,'GP4 (1)'!$B$6:$B$66,'GP4 (1)'!$H$6:$H$66,"")</f>
        <v>-3</v>
      </c>
      <c r="AY38" s="28">
        <f>_xlfn.XLOOKUP($B38,'GP4 (2)'!$B$6:$B$100,'GP4 (2)'!$H$6:$H$100,"")</f>
        <v>-23</v>
      </c>
      <c r="AZ38" s="24" t="str">
        <f>_xlfn.XLOOKUP($B38,'GP5 (1)'!$B$6:$B$99,'GP5 (1)'!$H$6:$H$99,"")</f>
        <v/>
      </c>
      <c r="BA38" s="25" t="str">
        <f>_xlfn.XLOOKUP($B38,'GP5 (2)'!$B$6:$B$99,'GP5 (2)'!$H$6:$H$99,"")</f>
        <v/>
      </c>
      <c r="BB38" s="27" t="str">
        <f>_xlfn.XLOOKUP($B38,'GP6 (1)'!$B$5:$B$99,'GP6 (1)'!$H$5:$H$99,"")</f>
        <v/>
      </c>
      <c r="BC38" s="28" t="str">
        <f>_xlfn.XLOOKUP($B38,'GP6 (2)'!$B$5:$B$99,'GP6 (2)'!$H$5:$H$99,"")</f>
        <v/>
      </c>
      <c r="BD38" s="24" t="str">
        <f>_xlfn.XLOOKUP($B38,'GP7 (1)'!$B$6:$B$100,'GP7 (1)'!$H$6:$H$100,"")</f>
        <v/>
      </c>
      <c r="BE38" s="25" t="str">
        <f>_xlfn.XLOOKUP($B38,'GP7 (2)'!$B$6:$B$100,'GP7 (2)'!$H$6:$H$100,"")</f>
        <v/>
      </c>
      <c r="BF38" s="27" t="str">
        <f>_xlfn.XLOOKUP($B38,'GP8 (1)'!$B$6:$B$100,'GP8 (1)'!$H$6:$H$100,"")</f>
        <v/>
      </c>
      <c r="BG38" s="32" t="str">
        <f>_xlfn.XLOOKUP($B38,'GP8 (2)'!$B$6:$B$100,'GP8 (2)'!$H$6:$H$100,"")</f>
        <v/>
      </c>
    </row>
    <row r="39" spans="1:59" ht="13.1" customHeight="1" x14ac:dyDescent="0.25">
      <c r="A39" s="1">
        <f>ROW()-4</f>
        <v>35</v>
      </c>
      <c r="B39" s="5" t="s">
        <v>47</v>
      </c>
      <c r="C39" s="30">
        <f>SUM(D39:U39)</f>
        <v>0.60000000000000009</v>
      </c>
      <c r="D39" s="35" t="str">
        <f>_xlfn.XLOOKUP($B39,'MP (1)'!$B$6:$B$99,'MP (1)'!$E$6:$E$99,"")</f>
        <v/>
      </c>
      <c r="E39" s="36" t="str">
        <f>_xlfn.XLOOKUP($B39,'MP (2)'!$B$6:$B$100,'MP (2)'!$E$6:$E$100,"")</f>
        <v/>
      </c>
      <c r="F39" s="40" t="str">
        <f>_xlfn.XLOOKUP($B39,'GP1 (1)'!$B$6:$B$100,'GP1 (1)'!$E$6:$E$100,"")</f>
        <v/>
      </c>
      <c r="G39" s="41" t="str">
        <f>_xlfn.XLOOKUP($B39,'GP1 (2)'!$B$6:$B$100,'GP1 (2)'!$E$6:$E$100,"")</f>
        <v/>
      </c>
      <c r="H39" s="39">
        <f>_xlfn.XLOOKUP($B39,'GP2 (1)'!$B$6:$B$101,'GP2 (1)'!$E$6:$E$101,"")</f>
        <v>0.2</v>
      </c>
      <c r="I39" s="36">
        <f>_xlfn.XLOOKUP($B39,'GP2 (2)'!$B$6:$B$100,'GP2 (2)'!$E$6:$E$100,"")</f>
        <v>0.4</v>
      </c>
      <c r="J39" s="40" t="str">
        <f>_xlfn.XLOOKUP($B39,'GP3 (1)'!$B$6:$B$100,'GP3 (1)'!$E$6:$E$100,"")</f>
        <v/>
      </c>
      <c r="K39" s="41" t="str">
        <f>_xlfn.XLOOKUP($B39,'GP3 (2)'!$B$6:$B$100,'GP3 (2)'!$E$6:$E$100,"")</f>
        <v/>
      </c>
      <c r="L39" s="39" t="str">
        <f>_xlfn.XLOOKUP($B39,'GP4 (1)'!$B$6:$B$66,'GP4 (1)'!$E$6:$E$66,"")</f>
        <v/>
      </c>
      <c r="M39" s="36" t="str">
        <f>_xlfn.XLOOKUP($B39,'GP4 (2)'!$B$6:$B$100,'GP4 (2)'!$E$6:$E$100,"")</f>
        <v/>
      </c>
      <c r="N39" s="40" t="str">
        <f>_xlfn.XLOOKUP($B39,'GP5 (1)'!$B$6:$B$99,'GP5 (1)'!$E$6:$E$99,"")</f>
        <v/>
      </c>
      <c r="O39" s="42" t="str">
        <f>_xlfn.XLOOKUP($B39,'GP5 (2)'!$B$6:$B$99,'GP5 (2)'!$E$6:$E$99,"")</f>
        <v/>
      </c>
      <c r="P39" s="39" t="str">
        <f>_xlfn.XLOOKUP($B39,'GP6 (1)'!$B$5:$B$99,'GP6 (1)'!$E$5:$E$99,"")</f>
        <v/>
      </c>
      <c r="Q39" s="36" t="str">
        <f>_xlfn.XLOOKUP($B39,'GP6 (2)'!$B$5:$B$99,'GP6 (2)'!$E$5:$E$99,"")</f>
        <v/>
      </c>
      <c r="R39" s="40" t="str">
        <f>_xlfn.XLOOKUP($B39,'GP7 (1)'!$B$6:$B$100,'GP7 (1)'!$E$6:$E$100,"")</f>
        <v/>
      </c>
      <c r="S39" s="42" t="str">
        <f>_xlfn.XLOOKUP($B39,'GP7 (2)'!$B$6:$B$100,'GP7 (2)'!$E$6:$E$100,"")</f>
        <v/>
      </c>
      <c r="T39" s="39" t="str">
        <f>_xlfn.XLOOKUP($B39,'GP8 (1)'!$B$6:$B$100,'GP8 (1)'!$E$6:$E$100,"")</f>
        <v/>
      </c>
      <c r="U39" s="35" t="str">
        <f>_xlfn.XLOOKUP($B39,'GP8 (2)'!$B$6:$B$100,'GP8 (2)'!$E$6:$E$100,"")</f>
        <v/>
      </c>
      <c r="V39" s="13">
        <f>SUM(W39:AN39)</f>
        <v>33</v>
      </c>
      <c r="W39" s="29" t="str">
        <f>_xlfn.XLOOKUP($B39,'MP (1)'!$B$6:$B$99,'MP (1)'!$F$6:$F$99,"")</f>
        <v/>
      </c>
      <c r="X39" s="28" t="str">
        <f>_xlfn.XLOOKUP($B39,'MP (2)'!$B$6:$B$100,'MP (2)'!$F$6:$F$100,"")</f>
        <v/>
      </c>
      <c r="Y39" s="24" t="str">
        <f>_xlfn.XLOOKUP($B39,'GP1 (1)'!$B$6:$B$100,'GP1 (1)'!$F$6:$F$100,"")</f>
        <v/>
      </c>
      <c r="Z39" s="25" t="str">
        <f>_xlfn.XLOOKUP($B39,'GP1 (2)'!$B$6:$B$100,'GP1 (2)'!$F$6:$F$100,"")</f>
        <v/>
      </c>
      <c r="AA39" s="27">
        <f>_xlfn.XLOOKUP($B39,'GP2 (1)'!$B$6:$B$101,'GP2 (1)'!$F$6:$F$101,"")</f>
        <v>14</v>
      </c>
      <c r="AB39" s="28">
        <f>_xlfn.XLOOKUP($B39,'GP2 (2)'!$B$6:$B$100,'GP2 (2)'!$F$6:$F$100,"")</f>
        <v>19</v>
      </c>
      <c r="AC39" s="24" t="str">
        <f>_xlfn.XLOOKUP($B39,'GP3 (1)'!$B$6:$B$100,'GP3 (1)'!$F$6:$F$100,"")</f>
        <v/>
      </c>
      <c r="AD39" s="25" t="str">
        <f>_xlfn.XLOOKUP($B39,'GP3 (2)'!$B$6:$B$100,'GP3 (2)'!$F$6:$F$100,"")</f>
        <v/>
      </c>
      <c r="AE39" s="27" t="str">
        <f>_xlfn.XLOOKUP($B39,'GP4 (1)'!$B$6:$B$66,'GP4 (1)'!$F$6:$F$66,"")</f>
        <v/>
      </c>
      <c r="AF39" s="28" t="str">
        <f>_xlfn.XLOOKUP($B39,'GP4 (2)'!$B$6:$B$100,'GP4 (2)'!$F$6:$F$100,"")</f>
        <v/>
      </c>
      <c r="AG39" s="24" t="str">
        <f>_xlfn.XLOOKUP($B39,'GP5 (1)'!$B$6:$B$99,'GP5 (1)'!$F$6:$F$99,"")</f>
        <v/>
      </c>
      <c r="AH39" s="26" t="str">
        <f>_xlfn.XLOOKUP($B39,'GP5 (2)'!$B$6:$B$99,'GP5 (2)'!$F$6:$F$99,"")</f>
        <v/>
      </c>
      <c r="AI39" s="27" t="str">
        <f>_xlfn.XLOOKUP($B39,'GP6 (1)'!$B$5:$B$99,'GP6 (1)'!$F$5:$F$99,"")</f>
        <v/>
      </c>
      <c r="AJ39" s="28" t="str">
        <f>_xlfn.XLOOKUP($B39,'GP6 (2)'!$B$5:$B$99,'GP6 (2)'!$F$5:$F$99,"")</f>
        <v/>
      </c>
      <c r="AK39" s="24" t="str">
        <f>_xlfn.XLOOKUP($B39,'GP7 (1)'!$B$6:$B$100,'GP7 (1)'!$F$6:$F$100,"")</f>
        <v/>
      </c>
      <c r="AL39" s="26" t="str">
        <f>_xlfn.XLOOKUP($B39,'GP7 (2)'!$B$6:$B$100,'GP7 (2)'!$F$6:$F$100,"")</f>
        <v/>
      </c>
      <c r="AM39" s="27" t="str">
        <f>_xlfn.XLOOKUP($B39,'GP8 (1)'!$B$6:$B$100,'GP8 (1)'!$F$6:$F$100,"")</f>
        <v/>
      </c>
      <c r="AN39" s="29" t="str">
        <f>_xlfn.XLOOKUP($B39,'GP8 (2)'!$B$6:$B$100,'GP8 (2)'!$F$6:$F$100,"")</f>
        <v/>
      </c>
      <c r="AO39" s="13">
        <f>SUM(AP39:BG39)</f>
        <v>-4</v>
      </c>
      <c r="AP39" s="29" t="str">
        <f>_xlfn.XLOOKUP($B39,'MP (1)'!$B$6:$B$99,'MP (1)'!$H$6:$H$99,"")</f>
        <v/>
      </c>
      <c r="AQ39" s="28" t="str">
        <f>_xlfn.XLOOKUP($B39,'MP (2)'!$B$6:$B$100,'MP (2)'!$H$6:$H$100,"")</f>
        <v/>
      </c>
      <c r="AR39" s="24" t="str">
        <f>_xlfn.XLOOKUP($B39,'GP1 (1)'!$B$6:$B$100,'GP1 (1)'!$H$6:$H$100,"")</f>
        <v/>
      </c>
      <c r="AS39" s="25" t="str">
        <f>_xlfn.XLOOKUP($B39,'GP1 (2)'!$B$6:$B$100,'GP1 (2)'!$H$6:$H$100,"")</f>
        <v/>
      </c>
      <c r="AT39" s="27">
        <f>_xlfn.XLOOKUP($B39,'GP2 (1)'!$B$6:$B$101,'GP2 (1)'!$H$6:$H$101,"")</f>
        <v>-5</v>
      </c>
      <c r="AU39" s="28">
        <f>_xlfn.XLOOKUP($B39,'GP2 (2)'!$B$6:$B$100,'GP2 (2)'!$H$6:$H$100,"")</f>
        <v>1</v>
      </c>
      <c r="AV39" s="24" t="str">
        <f>_xlfn.XLOOKUP($B39,'GP3 (1)'!$B$6:$B$100,'GP3 (1)'!$H$6:$H$100,"")</f>
        <v/>
      </c>
      <c r="AW39" s="25" t="str">
        <f>_xlfn.XLOOKUP($B39,'GP3 (2)'!$B$6:$B$100,'GP3 (2)'!$H$6:$H$100,"")</f>
        <v/>
      </c>
      <c r="AX39" s="27" t="str">
        <f>_xlfn.XLOOKUP($B39,'GP4 (1)'!$B$6:$B$66,'GP4 (1)'!$H$6:$H$66,"")</f>
        <v/>
      </c>
      <c r="AY39" s="28" t="str">
        <f>_xlfn.XLOOKUP($B39,'GP4 (2)'!$B$6:$B$100,'GP4 (2)'!$H$6:$H$100,"")</f>
        <v/>
      </c>
      <c r="AZ39" s="24" t="str">
        <f>_xlfn.XLOOKUP($B39,'GP5 (1)'!$B$6:$B$99,'GP5 (1)'!$H$6:$H$99,"")</f>
        <v/>
      </c>
      <c r="BA39" s="25" t="str">
        <f>_xlfn.XLOOKUP($B39,'GP5 (2)'!$B$6:$B$99,'GP5 (2)'!$H$6:$H$99,"")</f>
        <v/>
      </c>
      <c r="BB39" s="27" t="str">
        <f>_xlfn.XLOOKUP($B39,'GP6 (1)'!$B$5:$B$99,'GP6 (1)'!$H$5:$H$99,"")</f>
        <v/>
      </c>
      <c r="BC39" s="28" t="str">
        <f>_xlfn.XLOOKUP($B39,'GP6 (2)'!$B$5:$B$99,'GP6 (2)'!$H$5:$H$99,"")</f>
        <v/>
      </c>
      <c r="BD39" s="24" t="str">
        <f>_xlfn.XLOOKUP($B39,'GP7 (1)'!$B$6:$B$100,'GP7 (1)'!$H$6:$H$100,"")</f>
        <v/>
      </c>
      <c r="BE39" s="25" t="str">
        <f>_xlfn.XLOOKUP($B39,'GP7 (2)'!$B$6:$B$100,'GP7 (2)'!$H$6:$H$100,"")</f>
        <v/>
      </c>
      <c r="BF39" s="27" t="str">
        <f>_xlfn.XLOOKUP($B39,'GP8 (1)'!$B$6:$B$100,'GP8 (1)'!$H$6:$H$100,"")</f>
        <v/>
      </c>
      <c r="BG39" s="32" t="str">
        <f>_xlfn.XLOOKUP($B39,'GP8 (2)'!$B$6:$B$100,'GP8 (2)'!$H$6:$H$100,"")</f>
        <v/>
      </c>
    </row>
    <row r="40" spans="1:59" ht="13.1" customHeight="1" x14ac:dyDescent="0.25">
      <c r="A40" s="1">
        <f>ROW()-4</f>
        <v>36</v>
      </c>
      <c r="B40" s="5" t="s">
        <v>48</v>
      </c>
      <c r="C40" s="30">
        <f>SUM(D40:U40)</f>
        <v>0.60000000000000009</v>
      </c>
      <c r="D40" s="35" t="str">
        <f>_xlfn.XLOOKUP($B40,'MP (1)'!$B$6:$B$99,'MP (1)'!$E$6:$E$99,"")</f>
        <v/>
      </c>
      <c r="E40" s="36" t="str">
        <f>_xlfn.XLOOKUP($B40,'MP (2)'!$B$6:$B$100,'MP (2)'!$E$6:$E$100,"")</f>
        <v/>
      </c>
      <c r="F40" s="40" t="str">
        <f>_xlfn.XLOOKUP($B40,'GP1 (1)'!$B$6:$B$100,'GP1 (1)'!$E$6:$E$100,"")</f>
        <v/>
      </c>
      <c r="G40" s="41" t="str">
        <f>_xlfn.XLOOKUP($B40,'GP1 (2)'!$B$6:$B$100,'GP1 (2)'!$E$6:$E$100,"")</f>
        <v/>
      </c>
      <c r="H40" s="39">
        <f>_xlfn.XLOOKUP($B40,'GP2 (1)'!$B$6:$B$101,'GP2 (1)'!$E$6:$E$101,"")</f>
        <v>0.4</v>
      </c>
      <c r="I40" s="36">
        <f>_xlfn.XLOOKUP($B40,'GP2 (2)'!$B$6:$B$100,'GP2 (2)'!$E$6:$E$100,"")</f>
        <v>0.2</v>
      </c>
      <c r="J40" s="40" t="str">
        <f>_xlfn.XLOOKUP($B40,'GP3 (1)'!$B$6:$B$100,'GP3 (1)'!$E$6:$E$100,"")</f>
        <v/>
      </c>
      <c r="K40" s="41" t="str">
        <f>_xlfn.XLOOKUP($B40,'GP3 (2)'!$B$6:$B$100,'GP3 (2)'!$E$6:$E$100,"")</f>
        <v/>
      </c>
      <c r="L40" s="39" t="str">
        <f>_xlfn.XLOOKUP($B40,'GP4 (1)'!$B$6:$B$66,'GP4 (1)'!$E$6:$E$66,"")</f>
        <v/>
      </c>
      <c r="M40" s="36" t="str">
        <f>_xlfn.XLOOKUP($B40,'GP4 (2)'!$B$6:$B$100,'GP4 (2)'!$E$6:$E$100,"")</f>
        <v/>
      </c>
      <c r="N40" s="40" t="str">
        <f>_xlfn.XLOOKUP($B40,'GP5 (1)'!$B$6:$B$99,'GP5 (1)'!$E$6:$E$99,"")</f>
        <v/>
      </c>
      <c r="O40" s="42" t="str">
        <f>_xlfn.XLOOKUP($B40,'GP5 (2)'!$B$6:$B$99,'GP5 (2)'!$E$6:$E$99,"")</f>
        <v/>
      </c>
      <c r="P40" s="39" t="str">
        <f>_xlfn.XLOOKUP($B40,'GP6 (1)'!$B$5:$B$99,'GP6 (1)'!$E$5:$E$99,"")</f>
        <v/>
      </c>
      <c r="Q40" s="36" t="str">
        <f>_xlfn.XLOOKUP($B40,'GP6 (2)'!$B$5:$B$99,'GP6 (2)'!$E$5:$E$99,"")</f>
        <v/>
      </c>
      <c r="R40" s="40" t="str">
        <f>_xlfn.XLOOKUP($B40,'GP7 (1)'!$B$6:$B$100,'GP7 (1)'!$E$6:$E$100,"")</f>
        <v/>
      </c>
      <c r="S40" s="42" t="str">
        <f>_xlfn.XLOOKUP($B40,'GP7 (2)'!$B$6:$B$100,'GP7 (2)'!$E$6:$E$100,"")</f>
        <v/>
      </c>
      <c r="T40" s="39" t="str">
        <f>_xlfn.XLOOKUP($B40,'GP8 (1)'!$B$6:$B$100,'GP8 (1)'!$E$6:$E$100,"")</f>
        <v/>
      </c>
      <c r="U40" s="35" t="str">
        <f>_xlfn.XLOOKUP($B40,'GP8 (2)'!$B$6:$B$100,'GP8 (2)'!$E$6:$E$100,"")</f>
        <v/>
      </c>
      <c r="V40" s="13">
        <f>SUM(W40:AN40)</f>
        <v>29</v>
      </c>
      <c r="W40" s="29" t="str">
        <f>_xlfn.XLOOKUP($B40,'MP (1)'!$B$6:$B$99,'MP (1)'!$F$6:$F$99,"")</f>
        <v/>
      </c>
      <c r="X40" s="28" t="str">
        <f>_xlfn.XLOOKUP($B40,'MP (2)'!$B$6:$B$100,'MP (2)'!$F$6:$F$100,"")</f>
        <v/>
      </c>
      <c r="Y40" s="24" t="str">
        <f>_xlfn.XLOOKUP($B40,'GP1 (1)'!$B$6:$B$100,'GP1 (1)'!$F$6:$F$100,"")</f>
        <v/>
      </c>
      <c r="Z40" s="25" t="str">
        <f>_xlfn.XLOOKUP($B40,'GP1 (2)'!$B$6:$B$100,'GP1 (2)'!$F$6:$F$100,"")</f>
        <v/>
      </c>
      <c r="AA40" s="27">
        <f>_xlfn.XLOOKUP($B40,'GP2 (1)'!$B$6:$B$101,'GP2 (1)'!$F$6:$F$101,"")</f>
        <v>15</v>
      </c>
      <c r="AB40" s="28">
        <f>_xlfn.XLOOKUP($B40,'GP2 (2)'!$B$6:$B$100,'GP2 (2)'!$F$6:$F$100,"")</f>
        <v>14</v>
      </c>
      <c r="AC40" s="24" t="str">
        <f>_xlfn.XLOOKUP($B40,'GP3 (1)'!$B$6:$B$100,'GP3 (1)'!$F$6:$F$100,"")</f>
        <v/>
      </c>
      <c r="AD40" s="25" t="str">
        <f>_xlfn.XLOOKUP($B40,'GP3 (2)'!$B$6:$B$100,'GP3 (2)'!$F$6:$F$100,"")</f>
        <v/>
      </c>
      <c r="AE40" s="27" t="str">
        <f>_xlfn.XLOOKUP($B40,'GP4 (1)'!$B$6:$B$66,'GP4 (1)'!$F$6:$F$66,"")</f>
        <v/>
      </c>
      <c r="AF40" s="28" t="str">
        <f>_xlfn.XLOOKUP($B40,'GP4 (2)'!$B$6:$B$100,'GP4 (2)'!$F$6:$F$100,"")</f>
        <v/>
      </c>
      <c r="AG40" s="24" t="str">
        <f>_xlfn.XLOOKUP($B40,'GP5 (1)'!$B$6:$B$99,'GP5 (1)'!$F$6:$F$99,"")</f>
        <v/>
      </c>
      <c r="AH40" s="26" t="str">
        <f>_xlfn.XLOOKUP($B40,'GP5 (2)'!$B$6:$B$99,'GP5 (2)'!$F$6:$F$99,"")</f>
        <v/>
      </c>
      <c r="AI40" s="27" t="str">
        <f>_xlfn.XLOOKUP($B40,'GP6 (1)'!$B$5:$B$99,'GP6 (1)'!$F$5:$F$99,"")</f>
        <v/>
      </c>
      <c r="AJ40" s="28" t="str">
        <f>_xlfn.XLOOKUP($B40,'GP6 (2)'!$B$5:$B$99,'GP6 (2)'!$F$5:$F$99,"")</f>
        <v/>
      </c>
      <c r="AK40" s="24" t="str">
        <f>_xlfn.XLOOKUP($B40,'GP7 (1)'!$B$6:$B$100,'GP7 (1)'!$F$6:$F$100,"")</f>
        <v/>
      </c>
      <c r="AL40" s="26" t="str">
        <f>_xlfn.XLOOKUP($B40,'GP7 (2)'!$B$6:$B$100,'GP7 (2)'!$F$6:$F$100,"")</f>
        <v/>
      </c>
      <c r="AM40" s="27" t="str">
        <f>_xlfn.XLOOKUP($B40,'GP8 (1)'!$B$6:$B$100,'GP8 (1)'!$F$6:$F$100,"")</f>
        <v/>
      </c>
      <c r="AN40" s="29" t="str">
        <f>_xlfn.XLOOKUP($B40,'GP8 (2)'!$B$6:$B$100,'GP8 (2)'!$F$6:$F$100,"")</f>
        <v/>
      </c>
      <c r="AO40" s="13">
        <f>SUM(AP40:BG40)</f>
        <v>-13</v>
      </c>
      <c r="AP40" s="29" t="str">
        <f>_xlfn.XLOOKUP($B40,'MP (1)'!$B$6:$B$99,'MP (1)'!$H$6:$H$99,"")</f>
        <v/>
      </c>
      <c r="AQ40" s="28" t="str">
        <f>_xlfn.XLOOKUP($B40,'MP (2)'!$B$6:$B$100,'MP (2)'!$H$6:$H$100,"")</f>
        <v/>
      </c>
      <c r="AR40" s="24" t="str">
        <f>_xlfn.XLOOKUP($B40,'GP1 (1)'!$B$6:$B$100,'GP1 (1)'!$H$6:$H$100,"")</f>
        <v/>
      </c>
      <c r="AS40" s="25" t="str">
        <f>_xlfn.XLOOKUP($B40,'GP1 (2)'!$B$6:$B$100,'GP1 (2)'!$H$6:$H$100,"")</f>
        <v/>
      </c>
      <c r="AT40" s="27">
        <f>_xlfn.XLOOKUP($B40,'GP2 (1)'!$B$6:$B$101,'GP2 (1)'!$H$6:$H$101,"")</f>
        <v>-4</v>
      </c>
      <c r="AU40" s="28">
        <f>_xlfn.XLOOKUP($B40,'GP2 (2)'!$B$6:$B$100,'GP2 (2)'!$H$6:$H$100,"")</f>
        <v>-9</v>
      </c>
      <c r="AV40" s="24" t="str">
        <f>_xlfn.XLOOKUP($B40,'GP3 (1)'!$B$6:$B$100,'GP3 (1)'!$H$6:$H$100,"")</f>
        <v/>
      </c>
      <c r="AW40" s="25" t="str">
        <f>_xlfn.XLOOKUP($B40,'GP3 (2)'!$B$6:$B$100,'GP3 (2)'!$H$6:$H$100,"")</f>
        <v/>
      </c>
      <c r="AX40" s="27" t="str">
        <f>_xlfn.XLOOKUP($B40,'GP4 (1)'!$B$6:$B$66,'GP4 (1)'!$H$6:$H$66,"")</f>
        <v/>
      </c>
      <c r="AY40" s="28" t="str">
        <f>_xlfn.XLOOKUP($B40,'GP4 (2)'!$B$6:$B$100,'GP4 (2)'!$H$6:$H$100,"")</f>
        <v/>
      </c>
      <c r="AZ40" s="24" t="str">
        <f>_xlfn.XLOOKUP($B40,'GP5 (1)'!$B$6:$B$99,'GP5 (1)'!$H$6:$H$99,"")</f>
        <v/>
      </c>
      <c r="BA40" s="25" t="str">
        <f>_xlfn.XLOOKUP($B40,'GP5 (2)'!$B$6:$B$99,'GP5 (2)'!$H$6:$H$99,"")</f>
        <v/>
      </c>
      <c r="BB40" s="27" t="str">
        <f>_xlfn.XLOOKUP($B40,'GP6 (1)'!$B$5:$B$99,'GP6 (1)'!$H$5:$H$99,"")</f>
        <v/>
      </c>
      <c r="BC40" s="28" t="str">
        <f>_xlfn.XLOOKUP($B40,'GP6 (2)'!$B$5:$B$99,'GP6 (2)'!$H$5:$H$99,"")</f>
        <v/>
      </c>
      <c r="BD40" s="24" t="str">
        <f>_xlfn.XLOOKUP($B40,'GP7 (1)'!$B$6:$B$100,'GP7 (1)'!$H$6:$H$100,"")</f>
        <v/>
      </c>
      <c r="BE40" s="25" t="str">
        <f>_xlfn.XLOOKUP($B40,'GP7 (2)'!$B$6:$B$100,'GP7 (2)'!$H$6:$H$100,"")</f>
        <v/>
      </c>
      <c r="BF40" s="27" t="str">
        <f>_xlfn.XLOOKUP($B40,'GP8 (1)'!$B$6:$B$100,'GP8 (1)'!$H$6:$H$100,"")</f>
        <v/>
      </c>
      <c r="BG40" s="32" t="str">
        <f>_xlfn.XLOOKUP($B40,'GP8 (2)'!$B$6:$B$100,'GP8 (2)'!$H$6:$H$100,"")</f>
        <v/>
      </c>
    </row>
    <row r="41" spans="1:59" ht="13.1" customHeight="1" x14ac:dyDescent="0.25">
      <c r="A41" s="1">
        <f>ROW()-4</f>
        <v>37</v>
      </c>
      <c r="B41" s="5" t="s">
        <v>50</v>
      </c>
      <c r="C41" s="30">
        <f>SUM(D41:U41)</f>
        <v>0.5</v>
      </c>
      <c r="D41" s="35">
        <f>_xlfn.XLOOKUP($B41,'MP (1)'!$B$6:$B$99,'MP (1)'!$E$6:$E$99,"")</f>
        <v>0.33</v>
      </c>
      <c r="E41" s="36">
        <f>_xlfn.XLOOKUP($B41,'MP (2)'!$B$6:$B$100,'MP (2)'!$E$6:$E$100,"")</f>
        <v>0.17</v>
      </c>
      <c r="F41" s="40" t="str">
        <f>_xlfn.XLOOKUP($B41,'GP1 (1)'!$B$6:$B$100,'GP1 (1)'!$E$6:$E$100,"")</f>
        <v/>
      </c>
      <c r="G41" s="41" t="str">
        <f>_xlfn.XLOOKUP($B41,'GP1 (2)'!$B$6:$B$100,'GP1 (2)'!$E$6:$E$100,"")</f>
        <v/>
      </c>
      <c r="H41" s="39" t="str">
        <f>_xlfn.XLOOKUP($B41,'GP2 (1)'!$B$6:$B$101,'GP2 (1)'!$E$6:$E$101,"")</f>
        <v/>
      </c>
      <c r="I41" s="36" t="str">
        <f>_xlfn.XLOOKUP($B41,'GP2 (2)'!$B$6:$B$100,'GP2 (2)'!$E$6:$E$100,"")</f>
        <v/>
      </c>
      <c r="J41" s="40" t="str">
        <f>_xlfn.XLOOKUP($B41,'GP3 (1)'!$B$6:$B$100,'GP3 (1)'!$E$6:$E$100,"")</f>
        <v/>
      </c>
      <c r="K41" s="41" t="str">
        <f>_xlfn.XLOOKUP($B41,'GP3 (2)'!$B$6:$B$100,'GP3 (2)'!$E$6:$E$100,"")</f>
        <v/>
      </c>
      <c r="L41" s="39" t="str">
        <f>_xlfn.XLOOKUP($B41,'GP4 (1)'!$B$6:$B$66,'GP4 (1)'!$E$6:$E$66,"")</f>
        <v/>
      </c>
      <c r="M41" s="36" t="str">
        <f>_xlfn.XLOOKUP($B41,'GP4 (2)'!$B$6:$B$100,'GP4 (2)'!$E$6:$E$100,"")</f>
        <v/>
      </c>
      <c r="N41" s="40" t="str">
        <f>_xlfn.XLOOKUP($B41,'GP5 (1)'!$B$6:$B$99,'GP5 (1)'!$E$6:$E$99,"")</f>
        <v/>
      </c>
      <c r="O41" s="42" t="str">
        <f>_xlfn.XLOOKUP($B41,'GP5 (2)'!$B$6:$B$99,'GP5 (2)'!$E$6:$E$99,"")</f>
        <v/>
      </c>
      <c r="P41" s="39" t="str">
        <f>_xlfn.XLOOKUP($B41,'GP6 (1)'!$B$5:$B$99,'GP6 (1)'!$E$5:$E$99,"")</f>
        <v/>
      </c>
      <c r="Q41" s="36" t="str">
        <f>_xlfn.XLOOKUP($B41,'GP6 (2)'!$B$5:$B$99,'GP6 (2)'!$E$5:$E$99,"")</f>
        <v/>
      </c>
      <c r="R41" s="40" t="str">
        <f>_xlfn.XLOOKUP($B41,'GP7 (1)'!$B$6:$B$100,'GP7 (1)'!$E$6:$E$100,"")</f>
        <v/>
      </c>
      <c r="S41" s="42" t="str">
        <f>_xlfn.XLOOKUP($B41,'GP7 (2)'!$B$6:$B$100,'GP7 (2)'!$E$6:$E$100,"")</f>
        <v/>
      </c>
      <c r="T41" s="39" t="str">
        <f>_xlfn.XLOOKUP($B41,'GP8 (1)'!$B$6:$B$100,'GP8 (1)'!$E$6:$E$100,"")</f>
        <v/>
      </c>
      <c r="U41" s="35" t="str">
        <f>_xlfn.XLOOKUP($B41,'GP8 (2)'!$B$6:$B$100,'GP8 (2)'!$E$6:$E$100,"")</f>
        <v/>
      </c>
      <c r="V41" s="13">
        <f>SUM(W41:AN41)</f>
        <v>31</v>
      </c>
      <c r="W41" s="29">
        <f>_xlfn.XLOOKUP($B41,'MP (1)'!$B$6:$B$99,'MP (1)'!$F$6:$F$99,"")</f>
        <v>15</v>
      </c>
      <c r="X41" s="28">
        <f>_xlfn.XLOOKUP($B41,'MP (2)'!$B$6:$B$100,'MP (2)'!$F$6:$F$100,"")</f>
        <v>16</v>
      </c>
      <c r="Y41" s="24" t="str">
        <f>_xlfn.XLOOKUP($B41,'GP1 (1)'!$B$6:$B$100,'GP1 (1)'!$F$6:$F$100,"")</f>
        <v/>
      </c>
      <c r="Z41" s="25" t="str">
        <f>_xlfn.XLOOKUP($B41,'GP1 (2)'!$B$6:$B$100,'GP1 (2)'!$F$6:$F$100,"")</f>
        <v/>
      </c>
      <c r="AA41" s="27" t="str">
        <f>_xlfn.XLOOKUP($B41,'GP2 (1)'!$B$6:$B$101,'GP2 (1)'!$F$6:$F$101,"")</f>
        <v/>
      </c>
      <c r="AB41" s="28" t="str">
        <f>_xlfn.XLOOKUP($B41,'GP2 (2)'!$B$6:$B$100,'GP2 (2)'!$F$6:$F$100,"")</f>
        <v/>
      </c>
      <c r="AC41" s="24" t="str">
        <f>_xlfn.XLOOKUP($B41,'GP3 (1)'!$B$6:$B$100,'GP3 (1)'!$F$6:$F$100,"")</f>
        <v/>
      </c>
      <c r="AD41" s="25" t="str">
        <f>_xlfn.XLOOKUP($B41,'GP3 (2)'!$B$6:$B$100,'GP3 (2)'!$F$6:$F$100,"")</f>
        <v/>
      </c>
      <c r="AE41" s="27" t="str">
        <f>_xlfn.XLOOKUP($B41,'GP4 (1)'!$B$6:$B$66,'GP4 (1)'!$F$6:$F$66,"")</f>
        <v/>
      </c>
      <c r="AF41" s="28" t="str">
        <f>_xlfn.XLOOKUP($B41,'GP4 (2)'!$B$6:$B$100,'GP4 (2)'!$F$6:$F$100,"")</f>
        <v/>
      </c>
      <c r="AG41" s="24" t="str">
        <f>_xlfn.XLOOKUP($B41,'GP5 (1)'!$B$6:$B$99,'GP5 (1)'!$F$6:$F$99,"")</f>
        <v/>
      </c>
      <c r="AH41" s="26" t="str">
        <f>_xlfn.XLOOKUP($B41,'GP5 (2)'!$B$6:$B$99,'GP5 (2)'!$F$6:$F$99,"")</f>
        <v/>
      </c>
      <c r="AI41" s="27" t="str">
        <f>_xlfn.XLOOKUP($B41,'GP6 (1)'!$B$5:$B$99,'GP6 (1)'!$F$5:$F$99,"")</f>
        <v/>
      </c>
      <c r="AJ41" s="28" t="str">
        <f>_xlfn.XLOOKUP($B41,'GP6 (2)'!$B$5:$B$99,'GP6 (2)'!$F$5:$F$99,"")</f>
        <v/>
      </c>
      <c r="AK41" s="24" t="str">
        <f>_xlfn.XLOOKUP($B41,'GP7 (1)'!$B$6:$B$100,'GP7 (1)'!$F$6:$F$100,"")</f>
        <v/>
      </c>
      <c r="AL41" s="26" t="str">
        <f>_xlfn.XLOOKUP($B41,'GP7 (2)'!$B$6:$B$100,'GP7 (2)'!$F$6:$F$100,"")</f>
        <v/>
      </c>
      <c r="AM41" s="27" t="str">
        <f>_xlfn.XLOOKUP($B41,'GP8 (1)'!$B$6:$B$100,'GP8 (1)'!$F$6:$F$100,"")</f>
        <v/>
      </c>
      <c r="AN41" s="29" t="str">
        <f>_xlfn.XLOOKUP($B41,'GP8 (2)'!$B$6:$B$100,'GP8 (2)'!$F$6:$F$100,"")</f>
        <v/>
      </c>
      <c r="AO41" s="13">
        <f>SUM(AP41:BG41)</f>
        <v>-15</v>
      </c>
      <c r="AP41" s="29">
        <f>_xlfn.XLOOKUP($B41,'MP (1)'!$B$6:$B$99,'MP (1)'!$H$6:$H$99,"")</f>
        <v>-8</v>
      </c>
      <c r="AQ41" s="28">
        <f>_xlfn.XLOOKUP($B41,'MP (2)'!$B$6:$B$100,'MP (2)'!$H$6:$H$100,"")</f>
        <v>-7</v>
      </c>
      <c r="AR41" s="24" t="str">
        <f>_xlfn.XLOOKUP($B41,'GP1 (1)'!$B$6:$B$100,'GP1 (1)'!$H$6:$H$100,"")</f>
        <v/>
      </c>
      <c r="AS41" s="25" t="str">
        <f>_xlfn.XLOOKUP($B41,'GP1 (2)'!$B$6:$B$100,'GP1 (2)'!$H$6:$H$100,"")</f>
        <v/>
      </c>
      <c r="AT41" s="27" t="str">
        <f>_xlfn.XLOOKUP($B41,'GP2 (1)'!$B$6:$B$101,'GP2 (1)'!$H$6:$H$101,"")</f>
        <v/>
      </c>
      <c r="AU41" s="28" t="str">
        <f>_xlfn.XLOOKUP($B41,'GP2 (2)'!$B$6:$B$100,'GP2 (2)'!$H$6:$H$100,"")</f>
        <v/>
      </c>
      <c r="AV41" s="24" t="str">
        <f>_xlfn.XLOOKUP($B41,'GP3 (1)'!$B$6:$B$100,'GP3 (1)'!$H$6:$H$100,"")</f>
        <v/>
      </c>
      <c r="AW41" s="25" t="str">
        <f>_xlfn.XLOOKUP($B41,'GP3 (2)'!$B$6:$B$100,'GP3 (2)'!$H$6:$H$100,"")</f>
        <v/>
      </c>
      <c r="AX41" s="27" t="str">
        <f>_xlfn.XLOOKUP($B41,'GP4 (1)'!$B$6:$B$66,'GP4 (1)'!$H$6:$H$66,"")</f>
        <v/>
      </c>
      <c r="AY41" s="28" t="str">
        <f>_xlfn.XLOOKUP($B41,'GP4 (2)'!$B$6:$B$100,'GP4 (2)'!$H$6:$H$100,"")</f>
        <v/>
      </c>
      <c r="AZ41" s="24" t="str">
        <f>_xlfn.XLOOKUP($B41,'GP5 (1)'!$B$6:$B$99,'GP5 (1)'!$H$6:$H$99,"")</f>
        <v/>
      </c>
      <c r="BA41" s="25" t="str">
        <f>_xlfn.XLOOKUP($B41,'GP5 (2)'!$B$6:$B$99,'GP5 (2)'!$H$6:$H$99,"")</f>
        <v/>
      </c>
      <c r="BB41" s="27" t="str">
        <f>_xlfn.XLOOKUP($B41,'GP6 (1)'!$B$5:$B$99,'GP6 (1)'!$H$5:$H$99,"")</f>
        <v/>
      </c>
      <c r="BC41" s="28" t="str">
        <f>_xlfn.XLOOKUP($B41,'GP6 (2)'!$B$5:$B$99,'GP6 (2)'!$H$5:$H$99,"")</f>
        <v/>
      </c>
      <c r="BD41" s="24" t="str">
        <f>_xlfn.XLOOKUP($B41,'GP7 (1)'!$B$6:$B$100,'GP7 (1)'!$H$6:$H$100,"")</f>
        <v/>
      </c>
      <c r="BE41" s="25" t="str">
        <f>_xlfn.XLOOKUP($B41,'GP7 (2)'!$B$6:$B$100,'GP7 (2)'!$H$6:$H$100,"")</f>
        <v/>
      </c>
      <c r="BF41" s="27" t="str">
        <f>_xlfn.XLOOKUP($B41,'GP8 (1)'!$B$6:$B$100,'GP8 (1)'!$H$6:$H$100,"")</f>
        <v/>
      </c>
      <c r="BG41" s="32" t="str">
        <f>_xlfn.XLOOKUP($B41,'GP8 (2)'!$B$6:$B$100,'GP8 (2)'!$H$6:$H$100,"")</f>
        <v/>
      </c>
    </row>
    <row r="42" spans="1:59" ht="13.1" customHeight="1" x14ac:dyDescent="0.25">
      <c r="A42" s="1">
        <f>ROW()-4</f>
        <v>38</v>
      </c>
      <c r="B42" s="5" t="s">
        <v>51</v>
      </c>
      <c r="C42" s="30">
        <f>SUM(D42:U42)</f>
        <v>0.37</v>
      </c>
      <c r="D42" s="35" t="str">
        <f>_xlfn.XLOOKUP($B42,'MP (1)'!$B$6:$B$99,'MP (1)'!$E$6:$E$99,"")</f>
        <v/>
      </c>
      <c r="E42" s="36" t="str">
        <f>_xlfn.XLOOKUP($B42,'MP (2)'!$B$6:$B$100,'MP (2)'!$E$6:$E$100,"")</f>
        <v/>
      </c>
      <c r="F42" s="40">
        <f>_xlfn.XLOOKUP($B42,'GP1 (1)'!$B$6:$B$100,'GP1 (1)'!$E$6:$E$100,"")</f>
        <v>0.17</v>
      </c>
      <c r="G42" s="41">
        <f>_xlfn.XLOOKUP($B42,'GP1 (2)'!$B$6:$B$100,'GP1 (2)'!$E$6:$E$100,"")</f>
        <v>0</v>
      </c>
      <c r="H42" s="39">
        <f>_xlfn.XLOOKUP($B42,'GP2 (1)'!$B$6:$B$101,'GP2 (1)'!$E$6:$E$101,"")</f>
        <v>0</v>
      </c>
      <c r="I42" s="36">
        <f>_xlfn.XLOOKUP($B42,'GP2 (2)'!$B$6:$B$100,'GP2 (2)'!$E$6:$E$100,"")</f>
        <v>0</v>
      </c>
      <c r="J42" s="40">
        <f>_xlfn.XLOOKUP($B42,'GP3 (1)'!$B$6:$B$100,'GP3 (1)'!$E$6:$E$100,"")</f>
        <v>0</v>
      </c>
      <c r="K42" s="41" t="str">
        <f>_xlfn.XLOOKUP($B42,'GP3 (2)'!$B$6:$B$100,'GP3 (2)'!$E$6:$E$100,"")</f>
        <v>0.00</v>
      </c>
      <c r="L42" s="39" t="str">
        <f>_xlfn.XLOOKUP($B42,'GP4 (1)'!$B$6:$B$66,'GP4 (1)'!$E$6:$E$66,"")</f>
        <v/>
      </c>
      <c r="M42" s="36" t="str">
        <f>_xlfn.XLOOKUP($B42,'GP4 (2)'!$B$6:$B$100,'GP4 (2)'!$E$6:$E$100,"")</f>
        <v/>
      </c>
      <c r="N42" s="40">
        <f>_xlfn.XLOOKUP($B42,'GP5 (1)'!$B$6:$B$99,'GP5 (1)'!$E$6:$E$99,"")</f>
        <v>0.2</v>
      </c>
      <c r="O42" s="42">
        <f>_xlfn.XLOOKUP($B42,'GP5 (2)'!$B$6:$B$99,'GP5 (2)'!$E$6:$E$99,"")</f>
        <v>0</v>
      </c>
      <c r="P42" s="39" t="str">
        <f>_xlfn.XLOOKUP($B42,'GP6 (1)'!$B$5:$B$99,'GP6 (1)'!$E$5:$E$99,"")</f>
        <v/>
      </c>
      <c r="Q42" s="36" t="str">
        <f>_xlfn.XLOOKUP($B42,'GP6 (2)'!$B$5:$B$99,'GP6 (2)'!$E$5:$E$99,"")</f>
        <v/>
      </c>
      <c r="R42" s="40" t="str">
        <f>_xlfn.XLOOKUP($B42,'GP7 (1)'!$B$6:$B$100,'GP7 (1)'!$E$6:$E$100,"")</f>
        <v/>
      </c>
      <c r="S42" s="42" t="str">
        <f>_xlfn.XLOOKUP($B42,'GP7 (2)'!$B$6:$B$100,'GP7 (2)'!$E$6:$E$100,"")</f>
        <v/>
      </c>
      <c r="T42" s="39" t="str">
        <f>_xlfn.XLOOKUP($B42,'GP8 (1)'!$B$6:$B$100,'GP8 (1)'!$E$6:$E$100,"")</f>
        <v/>
      </c>
      <c r="U42" s="35" t="str">
        <f>_xlfn.XLOOKUP($B42,'GP8 (2)'!$B$6:$B$100,'GP8 (2)'!$E$6:$E$100,"")</f>
        <v/>
      </c>
      <c r="V42" s="13">
        <f>SUM(W42:AN42)</f>
        <v>53</v>
      </c>
      <c r="W42" s="29" t="str">
        <f>_xlfn.XLOOKUP($B42,'MP (1)'!$B$6:$B$99,'MP (1)'!$F$6:$F$99,"")</f>
        <v/>
      </c>
      <c r="X42" s="28" t="str">
        <f>_xlfn.XLOOKUP($B42,'MP (2)'!$B$6:$B$100,'MP (2)'!$F$6:$F$100,"")</f>
        <v/>
      </c>
      <c r="Y42" s="24">
        <f>_xlfn.XLOOKUP($B42,'GP1 (1)'!$B$6:$B$100,'GP1 (1)'!$F$6:$F$100,"")</f>
        <v>13</v>
      </c>
      <c r="Z42" s="25">
        <f>_xlfn.XLOOKUP($B42,'GP1 (2)'!$B$6:$B$100,'GP1 (2)'!$F$6:$F$100,"")</f>
        <v>8</v>
      </c>
      <c r="AA42" s="27">
        <f>_xlfn.XLOOKUP($B42,'GP2 (1)'!$B$6:$B$101,'GP2 (1)'!$F$6:$F$101,"")</f>
        <v>6</v>
      </c>
      <c r="AB42" s="28">
        <f>_xlfn.XLOOKUP($B42,'GP2 (2)'!$B$6:$B$100,'GP2 (2)'!$F$6:$F$100,"")</f>
        <v>6</v>
      </c>
      <c r="AC42" s="24">
        <f>_xlfn.XLOOKUP($B42,'GP3 (1)'!$B$6:$B$100,'GP3 (1)'!$F$6:$F$100,"")</f>
        <v>2</v>
      </c>
      <c r="AD42" s="25">
        <f>_xlfn.XLOOKUP($B42,'GP3 (2)'!$B$6:$B$100,'GP3 (2)'!$F$6:$F$100,"")</f>
        <v>4</v>
      </c>
      <c r="AE42" s="27" t="str">
        <f>_xlfn.XLOOKUP($B42,'GP4 (1)'!$B$6:$B$66,'GP4 (1)'!$F$6:$F$66,"")</f>
        <v/>
      </c>
      <c r="AF42" s="28" t="str">
        <f>_xlfn.XLOOKUP($B42,'GP4 (2)'!$B$6:$B$100,'GP4 (2)'!$F$6:$F$100,"")</f>
        <v/>
      </c>
      <c r="AG42" s="24">
        <f>_xlfn.XLOOKUP($B42,'GP5 (1)'!$B$6:$B$99,'GP5 (1)'!$F$6:$F$99,"")</f>
        <v>11</v>
      </c>
      <c r="AH42" s="26">
        <f>_xlfn.XLOOKUP($B42,'GP5 (2)'!$B$6:$B$99,'GP5 (2)'!$F$6:$F$99,"")</f>
        <v>3</v>
      </c>
      <c r="AI42" s="27" t="str">
        <f>_xlfn.XLOOKUP($B42,'GP6 (1)'!$B$5:$B$99,'GP6 (1)'!$F$5:$F$99,"")</f>
        <v/>
      </c>
      <c r="AJ42" s="28" t="str">
        <f>_xlfn.XLOOKUP($B42,'GP6 (2)'!$B$5:$B$99,'GP6 (2)'!$F$5:$F$99,"")</f>
        <v/>
      </c>
      <c r="AK42" s="24" t="str">
        <f>_xlfn.XLOOKUP($B42,'GP7 (1)'!$B$6:$B$100,'GP7 (1)'!$F$6:$F$100,"")</f>
        <v/>
      </c>
      <c r="AL42" s="26" t="str">
        <f>_xlfn.XLOOKUP($B42,'GP7 (2)'!$B$6:$B$100,'GP7 (2)'!$F$6:$F$100,"")</f>
        <v/>
      </c>
      <c r="AM42" s="27" t="str">
        <f>_xlfn.XLOOKUP($B42,'GP8 (1)'!$B$6:$B$100,'GP8 (1)'!$F$6:$F$100,"")</f>
        <v/>
      </c>
      <c r="AN42" s="29" t="str">
        <f>_xlfn.XLOOKUP($B42,'GP8 (2)'!$B$6:$B$100,'GP8 (2)'!$F$6:$F$100,"")</f>
        <v/>
      </c>
      <c r="AO42" s="13">
        <f>SUM(AP42:BG42)</f>
        <v>-153</v>
      </c>
      <c r="AP42" s="29" t="str">
        <f>_xlfn.XLOOKUP($B42,'MP (1)'!$B$6:$B$99,'MP (1)'!$H$6:$H$99,"")</f>
        <v/>
      </c>
      <c r="AQ42" s="28" t="str">
        <f>_xlfn.XLOOKUP($B42,'MP (2)'!$B$6:$B$100,'MP (2)'!$H$6:$H$100,"")</f>
        <v/>
      </c>
      <c r="AR42" s="24">
        <f>_xlfn.XLOOKUP($B42,'GP1 (1)'!$B$6:$B$100,'GP1 (1)'!$H$6:$H$100,"")</f>
        <v>-16</v>
      </c>
      <c r="AS42" s="25">
        <f>_xlfn.XLOOKUP($B42,'GP1 (2)'!$B$6:$B$100,'GP1 (2)'!$H$6:$H$100,"")</f>
        <v>-17</v>
      </c>
      <c r="AT42" s="27">
        <f>_xlfn.XLOOKUP($B42,'GP2 (1)'!$B$6:$B$101,'GP2 (1)'!$H$6:$H$101,"")</f>
        <v>-19</v>
      </c>
      <c r="AU42" s="28">
        <f>_xlfn.XLOOKUP($B42,'GP2 (2)'!$B$6:$B$100,'GP2 (2)'!$H$6:$H$100,"")</f>
        <v>-19</v>
      </c>
      <c r="AV42" s="24">
        <f>_xlfn.XLOOKUP($B42,'GP3 (1)'!$B$6:$B$100,'GP3 (1)'!$H$6:$H$100,"")</f>
        <v>-23</v>
      </c>
      <c r="AW42" s="25">
        <f>_xlfn.XLOOKUP($B42,'GP3 (2)'!$B$6:$B$100,'GP3 (2)'!$H$6:$H$100,"")</f>
        <v>-26</v>
      </c>
      <c r="AX42" s="27" t="str">
        <f>_xlfn.XLOOKUP($B42,'GP4 (1)'!$B$6:$B$66,'GP4 (1)'!$H$6:$H$66,"")</f>
        <v/>
      </c>
      <c r="AY42" s="28" t="str">
        <f>_xlfn.XLOOKUP($B42,'GP4 (2)'!$B$6:$B$100,'GP4 (2)'!$H$6:$H$100,"")</f>
        <v/>
      </c>
      <c r="AZ42" s="24">
        <f>_xlfn.XLOOKUP($B42,'GP5 (1)'!$B$6:$B$99,'GP5 (1)'!$H$6:$H$99,"")</f>
        <v>-11</v>
      </c>
      <c r="BA42" s="25">
        <f>_xlfn.XLOOKUP($B42,'GP5 (2)'!$B$6:$B$99,'GP5 (2)'!$H$6:$H$99,"")</f>
        <v>-22</v>
      </c>
      <c r="BB42" s="27" t="str">
        <f>_xlfn.XLOOKUP($B42,'GP6 (1)'!$B$5:$B$99,'GP6 (1)'!$H$5:$H$99,"")</f>
        <v/>
      </c>
      <c r="BC42" s="28" t="str">
        <f>_xlfn.XLOOKUP($B42,'GP6 (2)'!$B$5:$B$99,'GP6 (2)'!$H$5:$H$99,"")</f>
        <v/>
      </c>
      <c r="BD42" s="24" t="str">
        <f>_xlfn.XLOOKUP($B42,'GP7 (1)'!$B$6:$B$100,'GP7 (1)'!$H$6:$H$100,"")</f>
        <v/>
      </c>
      <c r="BE42" s="25" t="str">
        <f>_xlfn.XLOOKUP($B42,'GP7 (2)'!$B$6:$B$100,'GP7 (2)'!$H$6:$H$100,"")</f>
        <v/>
      </c>
      <c r="BF42" s="27" t="str">
        <f>_xlfn.XLOOKUP($B42,'GP8 (1)'!$B$6:$B$100,'GP8 (1)'!$H$6:$H$100,"")</f>
        <v/>
      </c>
      <c r="BG42" s="32" t="str">
        <f>_xlfn.XLOOKUP($B42,'GP8 (2)'!$B$6:$B$100,'GP8 (2)'!$H$6:$H$100,"")</f>
        <v/>
      </c>
    </row>
    <row r="43" spans="1:59" ht="13.1" customHeight="1" x14ac:dyDescent="0.25">
      <c r="A43" s="1">
        <f>ROW()-4</f>
        <v>39</v>
      </c>
      <c r="B43" s="5" t="s">
        <v>52</v>
      </c>
      <c r="C43" s="30">
        <f>SUM(D43:U43)</f>
        <v>0.37</v>
      </c>
      <c r="D43" s="35" t="str">
        <f>_xlfn.XLOOKUP($B43,'MP (1)'!$B$6:$B$99,'MP (1)'!$E$6:$E$99,"")</f>
        <v/>
      </c>
      <c r="E43" s="36" t="str">
        <f>_xlfn.XLOOKUP($B43,'MP (2)'!$B$6:$B$100,'MP (2)'!$E$6:$E$100,"")</f>
        <v/>
      </c>
      <c r="F43" s="40">
        <f>_xlfn.XLOOKUP($B43,'GP1 (1)'!$B$6:$B$100,'GP1 (1)'!$E$6:$E$100,"")</f>
        <v>0.17</v>
      </c>
      <c r="G43" s="41">
        <f>_xlfn.XLOOKUP($B43,'GP1 (2)'!$B$6:$B$100,'GP1 (2)'!$E$6:$E$100,"")</f>
        <v>0.2</v>
      </c>
      <c r="H43" s="39" t="str">
        <f>_xlfn.XLOOKUP($B43,'GP2 (1)'!$B$6:$B$101,'GP2 (1)'!$E$6:$E$101,"")</f>
        <v/>
      </c>
      <c r="I43" s="36" t="str">
        <f>_xlfn.XLOOKUP($B43,'GP2 (2)'!$B$6:$B$100,'GP2 (2)'!$E$6:$E$100,"")</f>
        <v/>
      </c>
      <c r="J43" s="40" t="str">
        <f>_xlfn.XLOOKUP($B43,'GP3 (1)'!$B$6:$B$100,'GP3 (1)'!$E$6:$E$100,"")</f>
        <v/>
      </c>
      <c r="K43" s="41" t="str">
        <f>_xlfn.XLOOKUP($B43,'GP3 (2)'!$B$6:$B$100,'GP3 (2)'!$E$6:$E$100,"")</f>
        <v/>
      </c>
      <c r="L43" s="39" t="str">
        <f>_xlfn.XLOOKUP($B43,'GP4 (1)'!$B$6:$B$66,'GP4 (1)'!$E$6:$E$66,"")</f>
        <v/>
      </c>
      <c r="M43" s="36" t="str">
        <f>_xlfn.XLOOKUP($B43,'GP4 (2)'!$B$6:$B$100,'GP4 (2)'!$E$6:$E$100,"")</f>
        <v/>
      </c>
      <c r="N43" s="40" t="str">
        <f>_xlfn.XLOOKUP($B43,'GP5 (1)'!$B$6:$B$99,'GP5 (1)'!$E$6:$E$99,"")</f>
        <v/>
      </c>
      <c r="O43" s="42" t="str">
        <f>_xlfn.XLOOKUP($B43,'GP5 (2)'!$B$6:$B$99,'GP5 (2)'!$E$6:$E$99,"")</f>
        <v/>
      </c>
      <c r="P43" s="39" t="str">
        <f>_xlfn.XLOOKUP($B43,'GP6 (1)'!$B$5:$B$99,'GP6 (1)'!$E$5:$E$99,"")</f>
        <v/>
      </c>
      <c r="Q43" s="36" t="str">
        <f>_xlfn.XLOOKUP($B43,'GP6 (2)'!$B$5:$B$99,'GP6 (2)'!$E$5:$E$99,"")</f>
        <v/>
      </c>
      <c r="R43" s="40" t="str">
        <f>_xlfn.XLOOKUP($B43,'GP7 (1)'!$B$6:$B$100,'GP7 (1)'!$E$6:$E$100,"")</f>
        <v/>
      </c>
      <c r="S43" s="42" t="str">
        <f>_xlfn.XLOOKUP($B43,'GP7 (2)'!$B$6:$B$100,'GP7 (2)'!$E$6:$E$100,"")</f>
        <v/>
      </c>
      <c r="T43" s="39" t="str">
        <f>_xlfn.XLOOKUP($B43,'GP8 (1)'!$B$6:$B$100,'GP8 (1)'!$E$6:$E$100,"")</f>
        <v/>
      </c>
      <c r="U43" s="35" t="str">
        <f>_xlfn.XLOOKUP($B43,'GP8 (2)'!$B$6:$B$100,'GP8 (2)'!$E$6:$E$100,"")</f>
        <v/>
      </c>
      <c r="V43" s="13">
        <f>SUM(W43:AN43)</f>
        <v>26</v>
      </c>
      <c r="W43" s="29" t="str">
        <f>_xlfn.XLOOKUP($B43,'MP (1)'!$B$6:$B$99,'MP (1)'!$F$6:$F$99,"")</f>
        <v/>
      </c>
      <c r="X43" s="28" t="str">
        <f>_xlfn.XLOOKUP($B43,'MP (2)'!$B$6:$B$100,'MP (2)'!$F$6:$F$100,"")</f>
        <v/>
      </c>
      <c r="Y43" s="24">
        <f>_xlfn.XLOOKUP($B43,'GP1 (1)'!$B$6:$B$100,'GP1 (1)'!$F$6:$F$100,"")</f>
        <v>13</v>
      </c>
      <c r="Z43" s="25">
        <f>_xlfn.XLOOKUP($B43,'GP1 (2)'!$B$6:$B$100,'GP1 (2)'!$F$6:$F$100,"")</f>
        <v>13</v>
      </c>
      <c r="AA43" s="27" t="str">
        <f>_xlfn.XLOOKUP($B43,'GP2 (1)'!$B$6:$B$101,'GP2 (1)'!$F$6:$F$101,"")</f>
        <v/>
      </c>
      <c r="AB43" s="28" t="str">
        <f>_xlfn.XLOOKUP($B43,'GP2 (2)'!$B$6:$B$100,'GP2 (2)'!$F$6:$F$100,"")</f>
        <v/>
      </c>
      <c r="AC43" s="24" t="str">
        <f>_xlfn.XLOOKUP($B43,'GP3 (1)'!$B$6:$B$100,'GP3 (1)'!$F$6:$F$100,"")</f>
        <v/>
      </c>
      <c r="AD43" s="25" t="str">
        <f>_xlfn.XLOOKUP($B43,'GP3 (2)'!$B$6:$B$100,'GP3 (2)'!$F$6:$F$100,"")</f>
        <v/>
      </c>
      <c r="AE43" s="27" t="str">
        <f>_xlfn.XLOOKUP($B43,'GP4 (1)'!$B$6:$B$66,'GP4 (1)'!$F$6:$F$66,"")</f>
        <v/>
      </c>
      <c r="AF43" s="28" t="str">
        <f>_xlfn.XLOOKUP($B43,'GP4 (2)'!$B$6:$B$100,'GP4 (2)'!$F$6:$F$100,"")</f>
        <v/>
      </c>
      <c r="AG43" s="24" t="str">
        <f>_xlfn.XLOOKUP($B43,'GP5 (1)'!$B$6:$B$99,'GP5 (1)'!$F$6:$F$99,"")</f>
        <v/>
      </c>
      <c r="AH43" s="26" t="str">
        <f>_xlfn.XLOOKUP($B43,'GP5 (2)'!$B$6:$B$99,'GP5 (2)'!$F$6:$F$99,"")</f>
        <v/>
      </c>
      <c r="AI43" s="27" t="str">
        <f>_xlfn.XLOOKUP($B43,'GP6 (1)'!$B$5:$B$99,'GP6 (1)'!$F$5:$F$99,"")</f>
        <v/>
      </c>
      <c r="AJ43" s="28" t="str">
        <f>_xlfn.XLOOKUP($B43,'GP6 (2)'!$B$5:$B$99,'GP6 (2)'!$F$5:$F$99,"")</f>
        <v/>
      </c>
      <c r="AK43" s="24" t="str">
        <f>_xlfn.XLOOKUP($B43,'GP7 (1)'!$B$6:$B$100,'GP7 (1)'!$F$6:$F$100,"")</f>
        <v/>
      </c>
      <c r="AL43" s="26" t="str">
        <f>_xlfn.XLOOKUP($B43,'GP7 (2)'!$B$6:$B$100,'GP7 (2)'!$F$6:$F$100,"")</f>
        <v/>
      </c>
      <c r="AM43" s="27" t="str">
        <f>_xlfn.XLOOKUP($B43,'GP8 (1)'!$B$6:$B$100,'GP8 (1)'!$F$6:$F$100,"")</f>
        <v/>
      </c>
      <c r="AN43" s="29" t="str">
        <f>_xlfn.XLOOKUP($B43,'GP8 (2)'!$B$6:$B$100,'GP8 (2)'!$F$6:$F$100,"")</f>
        <v/>
      </c>
      <c r="AO43" s="13">
        <f>SUM(AP43:BG43)</f>
        <v>-23</v>
      </c>
      <c r="AP43" s="29" t="str">
        <f>_xlfn.XLOOKUP($B43,'MP (1)'!$B$6:$B$99,'MP (1)'!$H$6:$H$99,"")</f>
        <v/>
      </c>
      <c r="AQ43" s="28" t="str">
        <f>_xlfn.XLOOKUP($B43,'MP (2)'!$B$6:$B$100,'MP (2)'!$H$6:$H$100,"")</f>
        <v/>
      </c>
      <c r="AR43" s="24">
        <f>_xlfn.XLOOKUP($B43,'GP1 (1)'!$B$6:$B$100,'GP1 (1)'!$H$6:$H$100,"")</f>
        <v>-15</v>
      </c>
      <c r="AS43" s="25">
        <f>_xlfn.XLOOKUP($B43,'GP1 (2)'!$B$6:$B$100,'GP1 (2)'!$H$6:$H$100,"")</f>
        <v>-8</v>
      </c>
      <c r="AT43" s="27" t="str">
        <f>_xlfn.XLOOKUP($B43,'GP2 (1)'!$B$6:$B$101,'GP2 (1)'!$H$6:$H$101,"")</f>
        <v/>
      </c>
      <c r="AU43" s="28" t="str">
        <f>_xlfn.XLOOKUP($B43,'GP2 (2)'!$B$6:$B$100,'GP2 (2)'!$H$6:$H$100,"")</f>
        <v/>
      </c>
      <c r="AV43" s="24" t="str">
        <f>_xlfn.XLOOKUP($B43,'GP3 (1)'!$B$6:$B$100,'GP3 (1)'!$H$6:$H$100,"")</f>
        <v/>
      </c>
      <c r="AW43" s="25" t="str">
        <f>_xlfn.XLOOKUP($B43,'GP3 (2)'!$B$6:$B$100,'GP3 (2)'!$H$6:$H$100,"")</f>
        <v/>
      </c>
      <c r="AX43" s="27" t="str">
        <f>_xlfn.XLOOKUP($B43,'GP4 (1)'!$B$6:$B$66,'GP4 (1)'!$H$6:$H$66,"")</f>
        <v/>
      </c>
      <c r="AY43" s="28" t="str">
        <f>_xlfn.XLOOKUP($B43,'GP4 (2)'!$B$6:$B$100,'GP4 (2)'!$H$6:$H$100,"")</f>
        <v/>
      </c>
      <c r="AZ43" s="24" t="str">
        <f>_xlfn.XLOOKUP($B43,'GP5 (1)'!$B$6:$B$99,'GP5 (1)'!$H$6:$H$99,"")</f>
        <v/>
      </c>
      <c r="BA43" s="25" t="str">
        <f>_xlfn.XLOOKUP($B43,'GP5 (2)'!$B$6:$B$99,'GP5 (2)'!$H$6:$H$99,"")</f>
        <v/>
      </c>
      <c r="BB43" s="27" t="str">
        <f>_xlfn.XLOOKUP($B43,'GP6 (1)'!$B$5:$B$99,'GP6 (1)'!$H$5:$H$99,"")</f>
        <v/>
      </c>
      <c r="BC43" s="28" t="str">
        <f>_xlfn.XLOOKUP($B43,'GP6 (2)'!$B$5:$B$99,'GP6 (2)'!$H$5:$H$99,"")</f>
        <v/>
      </c>
      <c r="BD43" s="24" t="str">
        <f>_xlfn.XLOOKUP($B43,'GP7 (1)'!$B$6:$B$100,'GP7 (1)'!$H$6:$H$100,"")</f>
        <v/>
      </c>
      <c r="BE43" s="25" t="str">
        <f>_xlfn.XLOOKUP($B43,'GP7 (2)'!$B$6:$B$100,'GP7 (2)'!$H$6:$H$100,"")</f>
        <v/>
      </c>
      <c r="BF43" s="27" t="str">
        <f>_xlfn.XLOOKUP($B43,'GP8 (1)'!$B$6:$B$100,'GP8 (1)'!$H$6:$H$100,"")</f>
        <v/>
      </c>
      <c r="BG43" s="32" t="str">
        <f>_xlfn.XLOOKUP($B43,'GP8 (2)'!$B$6:$B$100,'GP8 (2)'!$H$6:$H$100,"")</f>
        <v/>
      </c>
    </row>
    <row r="44" spans="1:59" ht="13.1" customHeight="1" x14ac:dyDescent="0.25">
      <c r="A44" s="1">
        <f>ROW()-4</f>
        <v>40</v>
      </c>
      <c r="B44" s="5" t="s">
        <v>53</v>
      </c>
      <c r="C44" s="30">
        <f>SUM(D44:U44)</f>
        <v>0.34</v>
      </c>
      <c r="D44" s="35">
        <f>_xlfn.XLOOKUP($B44,'MP (1)'!$B$6:$B$99,'MP (1)'!$E$6:$E$99,"")</f>
        <v>0.17</v>
      </c>
      <c r="E44" s="36">
        <f>_xlfn.XLOOKUP($B44,'MP (2)'!$B$6:$B$100,'MP (2)'!$E$6:$E$100,"")</f>
        <v>0.17</v>
      </c>
      <c r="F44" s="40" t="str">
        <f>_xlfn.XLOOKUP($B44,'GP1 (1)'!$B$6:$B$100,'GP1 (1)'!$E$6:$E$100,"")</f>
        <v/>
      </c>
      <c r="G44" s="41" t="str">
        <f>_xlfn.XLOOKUP($B44,'GP1 (2)'!$B$6:$B$100,'GP1 (2)'!$E$6:$E$100,"")</f>
        <v/>
      </c>
      <c r="H44" s="39" t="str">
        <f>_xlfn.XLOOKUP($B44,'GP2 (1)'!$B$6:$B$101,'GP2 (1)'!$E$6:$E$101,"")</f>
        <v/>
      </c>
      <c r="I44" s="36" t="str">
        <f>_xlfn.XLOOKUP($B44,'GP2 (2)'!$B$6:$B$100,'GP2 (2)'!$E$6:$E$100,"")</f>
        <v/>
      </c>
      <c r="J44" s="40" t="str">
        <f>_xlfn.XLOOKUP($B44,'GP3 (1)'!$B$6:$B$100,'GP3 (1)'!$E$6:$E$100,"")</f>
        <v/>
      </c>
      <c r="K44" s="41" t="str">
        <f>_xlfn.XLOOKUP($B44,'GP3 (2)'!$B$6:$B$100,'GP3 (2)'!$E$6:$E$100,"")</f>
        <v/>
      </c>
      <c r="L44" s="39" t="str">
        <f>_xlfn.XLOOKUP($B44,'GP4 (1)'!$B$6:$B$66,'GP4 (1)'!$E$6:$E$66,"")</f>
        <v/>
      </c>
      <c r="M44" s="36" t="str">
        <f>_xlfn.XLOOKUP($B44,'GP4 (2)'!$B$6:$B$100,'GP4 (2)'!$E$6:$E$100,"")</f>
        <v/>
      </c>
      <c r="N44" s="40" t="str">
        <f>_xlfn.XLOOKUP($B44,'GP5 (1)'!$B$6:$B$99,'GP5 (1)'!$E$6:$E$99,"")</f>
        <v/>
      </c>
      <c r="O44" s="42" t="str">
        <f>_xlfn.XLOOKUP($B44,'GP5 (2)'!$B$6:$B$99,'GP5 (2)'!$E$6:$E$99,"")</f>
        <v/>
      </c>
      <c r="P44" s="39" t="str">
        <f>_xlfn.XLOOKUP($B44,'GP6 (1)'!$B$5:$B$99,'GP6 (1)'!$E$5:$E$99,"")</f>
        <v/>
      </c>
      <c r="Q44" s="36" t="str">
        <f>_xlfn.XLOOKUP($B44,'GP6 (2)'!$B$5:$B$99,'GP6 (2)'!$E$5:$E$99,"")</f>
        <v/>
      </c>
      <c r="R44" s="40" t="str">
        <f>_xlfn.XLOOKUP($B44,'GP7 (1)'!$B$6:$B$100,'GP7 (1)'!$E$6:$E$100,"")</f>
        <v/>
      </c>
      <c r="S44" s="42" t="str">
        <f>_xlfn.XLOOKUP($B44,'GP7 (2)'!$B$6:$B$100,'GP7 (2)'!$E$6:$E$100,"")</f>
        <v/>
      </c>
      <c r="T44" s="39" t="str">
        <f>_xlfn.XLOOKUP($B44,'GP8 (1)'!$B$6:$B$100,'GP8 (1)'!$E$6:$E$100,"")</f>
        <v/>
      </c>
      <c r="U44" s="35" t="str">
        <f>_xlfn.XLOOKUP($B44,'GP8 (2)'!$B$6:$B$100,'GP8 (2)'!$E$6:$E$100,"")</f>
        <v/>
      </c>
      <c r="V44" s="13">
        <f>SUM(W44:AN44)</f>
        <v>22</v>
      </c>
      <c r="W44" s="29">
        <f>_xlfn.XLOOKUP($B44,'MP (1)'!$B$6:$B$99,'MP (1)'!$F$6:$F$99,"")</f>
        <v>10</v>
      </c>
      <c r="X44" s="28">
        <f>_xlfn.XLOOKUP($B44,'MP (2)'!$B$6:$B$100,'MP (2)'!$F$6:$F$100,"")</f>
        <v>12</v>
      </c>
      <c r="Y44" s="24" t="str">
        <f>_xlfn.XLOOKUP($B44,'GP1 (1)'!$B$6:$B$100,'GP1 (1)'!$F$6:$F$100,"")</f>
        <v/>
      </c>
      <c r="Z44" s="25" t="str">
        <f>_xlfn.XLOOKUP($B44,'GP1 (2)'!$B$6:$B$100,'GP1 (2)'!$F$6:$F$100,"")</f>
        <v/>
      </c>
      <c r="AA44" s="27" t="str">
        <f>_xlfn.XLOOKUP($B44,'GP2 (1)'!$B$6:$B$101,'GP2 (1)'!$F$6:$F$101,"")</f>
        <v/>
      </c>
      <c r="AB44" s="28" t="str">
        <f>_xlfn.XLOOKUP($B44,'GP2 (2)'!$B$6:$B$100,'GP2 (2)'!$F$6:$F$100,"")</f>
        <v/>
      </c>
      <c r="AC44" s="24" t="str">
        <f>_xlfn.XLOOKUP($B44,'GP3 (1)'!$B$6:$B$100,'GP3 (1)'!$F$6:$F$100,"")</f>
        <v/>
      </c>
      <c r="AD44" s="25" t="str">
        <f>_xlfn.XLOOKUP($B44,'GP3 (2)'!$B$6:$B$100,'GP3 (2)'!$F$6:$F$100,"")</f>
        <v/>
      </c>
      <c r="AE44" s="27" t="str">
        <f>_xlfn.XLOOKUP($B44,'GP4 (1)'!$B$6:$B$66,'GP4 (1)'!$F$6:$F$66,"")</f>
        <v/>
      </c>
      <c r="AF44" s="28" t="str">
        <f>_xlfn.XLOOKUP($B44,'GP4 (2)'!$B$6:$B$100,'GP4 (2)'!$F$6:$F$100,"")</f>
        <v/>
      </c>
      <c r="AG44" s="24" t="str">
        <f>_xlfn.XLOOKUP($B44,'GP5 (1)'!$B$6:$B$99,'GP5 (1)'!$F$6:$F$99,"")</f>
        <v/>
      </c>
      <c r="AH44" s="26" t="str">
        <f>_xlfn.XLOOKUP($B44,'GP5 (2)'!$B$6:$B$99,'GP5 (2)'!$F$6:$F$99,"")</f>
        <v/>
      </c>
      <c r="AI44" s="27" t="str">
        <f>_xlfn.XLOOKUP($B44,'GP6 (1)'!$B$5:$B$99,'GP6 (1)'!$F$5:$F$99,"")</f>
        <v/>
      </c>
      <c r="AJ44" s="28" t="str">
        <f>_xlfn.XLOOKUP($B44,'GP6 (2)'!$B$5:$B$99,'GP6 (2)'!$F$5:$F$99,"")</f>
        <v/>
      </c>
      <c r="AK44" s="24" t="str">
        <f>_xlfn.XLOOKUP($B44,'GP7 (1)'!$B$6:$B$100,'GP7 (1)'!$F$6:$F$100,"")</f>
        <v/>
      </c>
      <c r="AL44" s="26" t="str">
        <f>_xlfn.XLOOKUP($B44,'GP7 (2)'!$B$6:$B$100,'GP7 (2)'!$F$6:$F$100,"")</f>
        <v/>
      </c>
      <c r="AM44" s="27" t="str">
        <f>_xlfn.XLOOKUP($B44,'GP8 (1)'!$B$6:$B$100,'GP8 (1)'!$F$6:$F$100,"")</f>
        <v/>
      </c>
      <c r="AN44" s="29" t="str">
        <f>_xlfn.XLOOKUP($B44,'GP8 (2)'!$B$6:$B$100,'GP8 (2)'!$F$6:$F$100,"")</f>
        <v/>
      </c>
      <c r="AO44" s="13">
        <f>SUM(AP44:BG44)</f>
        <v>-34</v>
      </c>
      <c r="AP44" s="29">
        <f>_xlfn.XLOOKUP($B44,'MP (1)'!$B$6:$B$99,'MP (1)'!$H$6:$H$99,"")</f>
        <v>-17</v>
      </c>
      <c r="AQ44" s="28">
        <f>_xlfn.XLOOKUP($B44,'MP (2)'!$B$6:$B$100,'MP (2)'!$H$6:$H$100,"")</f>
        <v>-17</v>
      </c>
      <c r="AR44" s="24" t="str">
        <f>_xlfn.XLOOKUP($B44,'GP1 (1)'!$B$6:$B$100,'GP1 (1)'!$H$6:$H$100,"")</f>
        <v/>
      </c>
      <c r="AS44" s="25" t="str">
        <f>_xlfn.XLOOKUP($B44,'GP1 (2)'!$B$6:$B$100,'GP1 (2)'!$H$6:$H$100,"")</f>
        <v/>
      </c>
      <c r="AT44" s="27" t="str">
        <f>_xlfn.XLOOKUP($B44,'GP2 (1)'!$B$6:$B$101,'GP2 (1)'!$H$6:$H$101,"")</f>
        <v/>
      </c>
      <c r="AU44" s="28" t="str">
        <f>_xlfn.XLOOKUP($B44,'GP2 (2)'!$B$6:$B$100,'GP2 (2)'!$H$6:$H$100,"")</f>
        <v/>
      </c>
      <c r="AV44" s="24" t="str">
        <f>_xlfn.XLOOKUP($B44,'GP3 (1)'!$B$6:$B$100,'GP3 (1)'!$H$6:$H$100,"")</f>
        <v/>
      </c>
      <c r="AW44" s="25" t="str">
        <f>_xlfn.XLOOKUP($B44,'GP3 (2)'!$B$6:$B$100,'GP3 (2)'!$H$6:$H$100,"")</f>
        <v/>
      </c>
      <c r="AX44" s="27" t="str">
        <f>_xlfn.XLOOKUP($B44,'GP4 (1)'!$B$6:$B$66,'GP4 (1)'!$H$6:$H$66,"")</f>
        <v/>
      </c>
      <c r="AY44" s="28" t="str">
        <f>_xlfn.XLOOKUP($B44,'GP4 (2)'!$B$6:$B$100,'GP4 (2)'!$H$6:$H$100,"")</f>
        <v/>
      </c>
      <c r="AZ44" s="24" t="str">
        <f>_xlfn.XLOOKUP($B44,'GP5 (1)'!$B$6:$B$99,'GP5 (1)'!$H$6:$H$99,"")</f>
        <v/>
      </c>
      <c r="BA44" s="25" t="str">
        <f>_xlfn.XLOOKUP($B44,'GP5 (2)'!$B$6:$B$99,'GP5 (2)'!$H$6:$H$99,"")</f>
        <v/>
      </c>
      <c r="BB44" s="27" t="str">
        <f>_xlfn.XLOOKUP($B44,'GP6 (1)'!$B$5:$B$99,'GP6 (1)'!$H$5:$H$99,"")</f>
        <v/>
      </c>
      <c r="BC44" s="28" t="str">
        <f>_xlfn.XLOOKUP($B44,'GP6 (2)'!$B$5:$B$99,'GP6 (2)'!$H$5:$H$99,"")</f>
        <v/>
      </c>
      <c r="BD44" s="24" t="str">
        <f>_xlfn.XLOOKUP($B44,'GP7 (1)'!$B$6:$B$100,'GP7 (1)'!$H$6:$H$100,"")</f>
        <v/>
      </c>
      <c r="BE44" s="25" t="str">
        <f>_xlfn.XLOOKUP($B44,'GP7 (2)'!$B$6:$B$100,'GP7 (2)'!$H$6:$H$100,"")</f>
        <v/>
      </c>
      <c r="BF44" s="27" t="str">
        <f>_xlfn.XLOOKUP($B44,'GP8 (1)'!$B$6:$B$100,'GP8 (1)'!$H$6:$H$100,"")</f>
        <v/>
      </c>
      <c r="BG44" s="32" t="str">
        <f>_xlfn.XLOOKUP($B44,'GP8 (2)'!$B$6:$B$100,'GP8 (2)'!$H$6:$H$100,"")</f>
        <v/>
      </c>
    </row>
    <row r="45" spans="1:59" ht="13.1" customHeight="1" x14ac:dyDescent="0.25">
      <c r="A45" s="1">
        <f>ROW()-4</f>
        <v>41</v>
      </c>
      <c r="B45" s="5" t="s">
        <v>56</v>
      </c>
      <c r="C45" s="30">
        <f>SUM(D45:U45)</f>
        <v>0.25</v>
      </c>
      <c r="D45" s="35">
        <f>_xlfn.XLOOKUP($B45,'MP (1)'!$B$6:$B$99,'MP (1)'!$E$6:$E$99,"")</f>
        <v>0</v>
      </c>
      <c r="E45" s="36">
        <f>_xlfn.XLOOKUP($B45,'MP (2)'!$B$6:$B$100,'MP (2)'!$E$6:$E$100,"")</f>
        <v>0</v>
      </c>
      <c r="F45" s="40" t="str">
        <f>_xlfn.XLOOKUP($B45,'GP1 (1)'!$B$6:$B$100,'GP1 (1)'!$E$6:$E$100,"")</f>
        <v/>
      </c>
      <c r="G45" s="41" t="str">
        <f>_xlfn.XLOOKUP($B45,'GP1 (2)'!$B$6:$B$100,'GP1 (2)'!$E$6:$E$100,"")</f>
        <v/>
      </c>
      <c r="H45" s="39" t="str">
        <f>_xlfn.XLOOKUP($B45,'GP2 (1)'!$B$6:$B$101,'GP2 (1)'!$E$6:$E$101,"")</f>
        <v/>
      </c>
      <c r="I45" s="36" t="str">
        <f>_xlfn.XLOOKUP($B45,'GP2 (2)'!$B$6:$B$100,'GP2 (2)'!$E$6:$E$100,"")</f>
        <v/>
      </c>
      <c r="J45" s="40" t="str">
        <f>_xlfn.XLOOKUP($B45,'GP3 (1)'!$B$6:$B$100,'GP3 (1)'!$E$6:$E$100,"")</f>
        <v/>
      </c>
      <c r="K45" s="41" t="str">
        <f>_xlfn.XLOOKUP($B45,'GP3 (2)'!$B$6:$B$100,'GP3 (2)'!$E$6:$E$100,"")</f>
        <v/>
      </c>
      <c r="L45" s="39" t="str">
        <f>_xlfn.XLOOKUP($B45,'GP4 (1)'!$B$6:$B$66,'GP4 (1)'!$E$6:$E$66,"")</f>
        <v/>
      </c>
      <c r="M45" s="36" t="str">
        <f>_xlfn.XLOOKUP($B45,'GP4 (2)'!$B$6:$B$100,'GP4 (2)'!$E$6:$E$100,"")</f>
        <v/>
      </c>
      <c r="N45" s="40" t="str">
        <f>_xlfn.XLOOKUP($B45,'GP5 (1)'!$B$6:$B$99,'GP5 (1)'!$E$6:$E$99,"")</f>
        <v/>
      </c>
      <c r="O45" s="42" t="str">
        <f>_xlfn.XLOOKUP($B45,'GP5 (2)'!$B$6:$B$99,'GP5 (2)'!$E$6:$E$99,"")</f>
        <v/>
      </c>
      <c r="P45" s="39" t="str">
        <f>_xlfn.XLOOKUP($B45,'GP6 (1)'!$B$5:$B$99,'GP6 (1)'!$E$5:$E$99,"")</f>
        <v/>
      </c>
      <c r="Q45" s="36" t="str">
        <f>_xlfn.XLOOKUP($B45,'GP6 (2)'!$B$5:$B$99,'GP6 (2)'!$E$5:$E$99,"")</f>
        <v/>
      </c>
      <c r="R45" s="40" t="str">
        <f>_xlfn.XLOOKUP($B45,'GP7 (1)'!$B$6:$B$100,'GP7 (1)'!$E$6:$E$100,"")</f>
        <v/>
      </c>
      <c r="S45" s="42" t="str">
        <f>_xlfn.XLOOKUP($B45,'GP7 (2)'!$B$6:$B$100,'GP7 (2)'!$E$6:$E$100,"")</f>
        <v/>
      </c>
      <c r="T45" s="39" t="str">
        <f>_xlfn.XLOOKUP($B45,'GP8 (1)'!$B$6:$B$100,'GP8 (1)'!$E$6:$E$100,"")</f>
        <v>0.20</v>
      </c>
      <c r="U45" s="35">
        <f>_xlfn.XLOOKUP($B45,'GP8 (2)'!$B$6:$B$100,'GP8 (2)'!$E$6:$E$100,"")</f>
        <v>0.25</v>
      </c>
      <c r="V45" s="13">
        <f>SUM(W45:AN45)</f>
        <v>44</v>
      </c>
      <c r="W45" s="29">
        <f>_xlfn.XLOOKUP($B45,'MP (1)'!$B$6:$B$99,'MP (1)'!$F$6:$F$99,"")</f>
        <v>9</v>
      </c>
      <c r="X45" s="28">
        <f>_xlfn.XLOOKUP($B45,'MP (2)'!$B$6:$B$100,'MP (2)'!$F$6:$F$100,"")</f>
        <v>11</v>
      </c>
      <c r="Y45" s="24" t="str">
        <f>_xlfn.XLOOKUP($B45,'GP1 (1)'!$B$6:$B$100,'GP1 (1)'!$F$6:$F$100,"")</f>
        <v/>
      </c>
      <c r="Z45" s="25" t="str">
        <f>_xlfn.XLOOKUP($B45,'GP1 (2)'!$B$6:$B$100,'GP1 (2)'!$F$6:$F$100,"")</f>
        <v/>
      </c>
      <c r="AA45" s="27" t="str">
        <f>_xlfn.XLOOKUP($B45,'GP2 (1)'!$B$6:$B$101,'GP2 (1)'!$F$6:$F$101,"")</f>
        <v/>
      </c>
      <c r="AB45" s="28" t="str">
        <f>_xlfn.XLOOKUP($B45,'GP2 (2)'!$B$6:$B$100,'GP2 (2)'!$F$6:$F$100,"")</f>
        <v/>
      </c>
      <c r="AC45" s="24" t="str">
        <f>_xlfn.XLOOKUP($B45,'GP3 (1)'!$B$6:$B$100,'GP3 (1)'!$F$6:$F$100,"")</f>
        <v/>
      </c>
      <c r="AD45" s="25" t="str">
        <f>_xlfn.XLOOKUP($B45,'GP3 (2)'!$B$6:$B$100,'GP3 (2)'!$F$6:$F$100,"")</f>
        <v/>
      </c>
      <c r="AE45" s="27" t="str">
        <f>_xlfn.XLOOKUP($B45,'GP4 (1)'!$B$6:$B$66,'GP4 (1)'!$F$6:$F$66,"")</f>
        <v/>
      </c>
      <c r="AF45" s="28" t="str">
        <f>_xlfn.XLOOKUP($B45,'GP4 (2)'!$B$6:$B$100,'GP4 (2)'!$F$6:$F$100,"")</f>
        <v/>
      </c>
      <c r="AG45" s="24" t="str">
        <f>_xlfn.XLOOKUP($B45,'GP5 (1)'!$B$6:$B$99,'GP5 (1)'!$F$6:$F$99,"")</f>
        <v/>
      </c>
      <c r="AH45" s="26" t="str">
        <f>_xlfn.XLOOKUP($B45,'GP5 (2)'!$B$6:$B$99,'GP5 (2)'!$F$6:$F$99,"")</f>
        <v/>
      </c>
      <c r="AI45" s="27" t="str">
        <f>_xlfn.XLOOKUP($B45,'GP6 (1)'!$B$5:$B$99,'GP6 (1)'!$F$5:$F$99,"")</f>
        <v/>
      </c>
      <c r="AJ45" s="28" t="str">
        <f>_xlfn.XLOOKUP($B45,'GP6 (2)'!$B$5:$B$99,'GP6 (2)'!$F$5:$F$99,"")</f>
        <v/>
      </c>
      <c r="AK45" s="24" t="str">
        <f>_xlfn.XLOOKUP($B45,'GP7 (1)'!$B$6:$B$100,'GP7 (1)'!$F$6:$F$100,"")</f>
        <v/>
      </c>
      <c r="AL45" s="26" t="str">
        <f>_xlfn.XLOOKUP($B45,'GP7 (2)'!$B$6:$B$100,'GP7 (2)'!$F$6:$F$100,"")</f>
        <v/>
      </c>
      <c r="AM45" s="27">
        <f>_xlfn.XLOOKUP($B45,'GP8 (1)'!$B$6:$B$100,'GP8 (1)'!$F$6:$F$100,"")</f>
        <v>13</v>
      </c>
      <c r="AN45" s="29">
        <f>_xlfn.XLOOKUP($B45,'GP8 (2)'!$B$6:$B$100,'GP8 (2)'!$F$6:$F$100,"")</f>
        <v>11</v>
      </c>
      <c r="AO45" s="13">
        <f>SUM(AP45:BG45)</f>
        <v>-45</v>
      </c>
      <c r="AP45" s="29">
        <f>_xlfn.XLOOKUP($B45,'MP (1)'!$B$6:$B$99,'MP (1)'!$H$6:$H$99,"")</f>
        <v>-16</v>
      </c>
      <c r="AQ45" s="28">
        <f>_xlfn.XLOOKUP($B45,'MP (2)'!$B$6:$B$100,'MP (2)'!$H$6:$H$100,"")</f>
        <v>-14</v>
      </c>
      <c r="AR45" s="24" t="str">
        <f>_xlfn.XLOOKUP($B45,'GP1 (1)'!$B$6:$B$100,'GP1 (1)'!$H$6:$H$100,"")</f>
        <v/>
      </c>
      <c r="AS45" s="25" t="str">
        <f>_xlfn.XLOOKUP($B45,'GP1 (2)'!$B$6:$B$100,'GP1 (2)'!$H$6:$H$100,"")</f>
        <v/>
      </c>
      <c r="AT45" s="27" t="str">
        <f>_xlfn.XLOOKUP($B45,'GP2 (1)'!$B$6:$B$101,'GP2 (1)'!$H$6:$H$101,"")</f>
        <v/>
      </c>
      <c r="AU45" s="28" t="str">
        <f>_xlfn.XLOOKUP($B45,'GP2 (2)'!$B$6:$B$100,'GP2 (2)'!$H$6:$H$100,"")</f>
        <v/>
      </c>
      <c r="AV45" s="24" t="str">
        <f>_xlfn.XLOOKUP($B45,'GP3 (1)'!$B$6:$B$100,'GP3 (1)'!$H$6:$H$100,"")</f>
        <v/>
      </c>
      <c r="AW45" s="25" t="str">
        <f>_xlfn.XLOOKUP($B45,'GP3 (2)'!$B$6:$B$100,'GP3 (2)'!$H$6:$H$100,"")</f>
        <v/>
      </c>
      <c r="AX45" s="27" t="str">
        <f>_xlfn.XLOOKUP($B45,'GP4 (1)'!$B$6:$B$66,'GP4 (1)'!$H$6:$H$66,"")</f>
        <v/>
      </c>
      <c r="AY45" s="28" t="str">
        <f>_xlfn.XLOOKUP($B45,'GP4 (2)'!$B$6:$B$100,'GP4 (2)'!$H$6:$H$100,"")</f>
        <v/>
      </c>
      <c r="AZ45" s="24" t="str">
        <f>_xlfn.XLOOKUP($B45,'GP5 (1)'!$B$6:$B$99,'GP5 (1)'!$H$6:$H$99,"")</f>
        <v/>
      </c>
      <c r="BA45" s="25" t="str">
        <f>_xlfn.XLOOKUP($B45,'GP5 (2)'!$B$6:$B$99,'GP5 (2)'!$H$6:$H$99,"")</f>
        <v/>
      </c>
      <c r="BB45" s="27" t="str">
        <f>_xlfn.XLOOKUP($B45,'GP6 (1)'!$B$5:$B$99,'GP6 (1)'!$H$5:$H$99,"")</f>
        <v/>
      </c>
      <c r="BC45" s="28" t="str">
        <f>_xlfn.XLOOKUP($B45,'GP6 (2)'!$B$5:$B$99,'GP6 (2)'!$H$5:$H$99,"")</f>
        <v/>
      </c>
      <c r="BD45" s="24" t="str">
        <f>_xlfn.XLOOKUP($B45,'GP7 (1)'!$B$6:$B$100,'GP7 (1)'!$H$6:$H$100,"")</f>
        <v/>
      </c>
      <c r="BE45" s="25" t="str">
        <f>_xlfn.XLOOKUP($B45,'GP7 (2)'!$B$6:$B$100,'GP7 (2)'!$H$6:$H$100,"")</f>
        <v/>
      </c>
      <c r="BF45" s="27">
        <f>_xlfn.XLOOKUP($B45,'GP8 (1)'!$B$6:$B$100,'GP8 (1)'!$H$6:$H$100,"")</f>
        <v>-8</v>
      </c>
      <c r="BG45" s="32">
        <f>_xlfn.XLOOKUP($B45,'GP8 (2)'!$B$6:$B$100,'GP8 (2)'!$H$6:$H$100,"")</f>
        <v>-7</v>
      </c>
    </row>
    <row r="46" spans="1:59" ht="13.1" customHeight="1" x14ac:dyDescent="0.25">
      <c r="A46" s="1">
        <f>ROW()-4</f>
        <v>42</v>
      </c>
      <c r="B46" s="5" t="s">
        <v>54</v>
      </c>
      <c r="C46" s="30">
        <f>SUM(D46:U46)</f>
        <v>0.17</v>
      </c>
      <c r="D46" s="35" t="str">
        <f>_xlfn.XLOOKUP($B46,'MP (1)'!$B$6:$B$99,'MP (1)'!$E$6:$E$99,"")</f>
        <v/>
      </c>
      <c r="E46" s="36">
        <f>_xlfn.XLOOKUP($B46,'MP (2)'!$B$6:$B$100,'MP (2)'!$E$6:$E$100,"")</f>
        <v>0</v>
      </c>
      <c r="F46" s="40">
        <f>_xlfn.XLOOKUP($B46,'GP1 (1)'!$B$6:$B$100,'GP1 (1)'!$E$6:$E$100,"")</f>
        <v>0</v>
      </c>
      <c r="G46" s="41">
        <f>_xlfn.XLOOKUP($B46,'GP1 (2)'!$B$6:$B$100,'GP1 (2)'!$E$6:$E$100,"")</f>
        <v>0</v>
      </c>
      <c r="H46" s="39" t="str">
        <f>_xlfn.XLOOKUP($B46,'GP2 (1)'!$B$6:$B$101,'GP2 (1)'!$E$6:$E$101,"")</f>
        <v/>
      </c>
      <c r="I46" s="36" t="str">
        <f>_xlfn.XLOOKUP($B46,'GP2 (2)'!$B$6:$B$100,'GP2 (2)'!$E$6:$E$100,"")</f>
        <v/>
      </c>
      <c r="J46" s="40">
        <f>_xlfn.XLOOKUP($B46,'GP3 (1)'!$B$6:$B$100,'GP3 (1)'!$E$6:$E$100,"")</f>
        <v>0</v>
      </c>
      <c r="K46" s="41" t="str">
        <f>_xlfn.XLOOKUP($B46,'GP3 (2)'!$B$6:$B$100,'GP3 (2)'!$E$6:$E$100,"")</f>
        <v>0.00</v>
      </c>
      <c r="L46" s="39">
        <f>_xlfn.XLOOKUP($B46,'GP4 (1)'!$B$6:$B$66,'GP4 (1)'!$E$6:$E$66,"")</f>
        <v>0</v>
      </c>
      <c r="M46" s="36">
        <f>_xlfn.XLOOKUP($B46,'GP4 (2)'!$B$6:$B$100,'GP4 (2)'!$E$6:$E$100,"")</f>
        <v>0.17</v>
      </c>
      <c r="N46" s="40">
        <f>_xlfn.XLOOKUP($B46,'GP5 (1)'!$B$6:$B$99,'GP5 (1)'!$E$6:$E$99,"")</f>
        <v>0</v>
      </c>
      <c r="O46" s="42">
        <f>_xlfn.XLOOKUP($B46,'GP5 (2)'!$B$6:$B$99,'GP5 (2)'!$E$6:$E$99,"")</f>
        <v>0</v>
      </c>
      <c r="P46" s="39" t="str">
        <f>_xlfn.XLOOKUP($B46,'GP6 (1)'!$B$5:$B$99,'GP6 (1)'!$E$5:$E$99,"")</f>
        <v>0.20</v>
      </c>
      <c r="Q46" s="36" t="str">
        <f>_xlfn.XLOOKUP($B46,'GP6 (2)'!$B$5:$B$99,'GP6 (2)'!$E$5:$E$99,"")</f>
        <v>0.00</v>
      </c>
      <c r="R46" s="40" t="str">
        <f>_xlfn.XLOOKUP($B46,'GP7 (1)'!$B$6:$B$100,'GP7 (1)'!$E$6:$E$100,"")</f>
        <v/>
      </c>
      <c r="S46" s="42" t="str">
        <f>_xlfn.XLOOKUP($B46,'GP7 (2)'!$B$6:$B$100,'GP7 (2)'!$E$6:$E$100,"")</f>
        <v/>
      </c>
      <c r="T46" s="39" t="str">
        <f>_xlfn.XLOOKUP($B46,'GP8 (1)'!$B$6:$B$100,'GP8 (1)'!$E$6:$E$100,"")</f>
        <v/>
      </c>
      <c r="U46" s="35" t="str">
        <f>_xlfn.XLOOKUP($B46,'GP8 (2)'!$B$6:$B$100,'GP8 (2)'!$E$6:$E$100,"")</f>
        <v/>
      </c>
      <c r="V46" s="13">
        <f>SUM(W46:AN46)</f>
        <v>73</v>
      </c>
      <c r="W46" s="29" t="str">
        <f>_xlfn.XLOOKUP($B46,'MP (1)'!$B$6:$B$99,'MP (1)'!$F$6:$F$99,"")</f>
        <v/>
      </c>
      <c r="X46" s="28">
        <f>_xlfn.XLOOKUP($B46,'MP (2)'!$B$6:$B$100,'MP (2)'!$F$6:$F$100,"")</f>
        <v>2</v>
      </c>
      <c r="Y46" s="24">
        <f>_xlfn.XLOOKUP($B46,'GP1 (1)'!$B$6:$B$100,'GP1 (1)'!$F$6:$F$100,"")</f>
        <v>3</v>
      </c>
      <c r="Z46" s="25">
        <f>_xlfn.XLOOKUP($B46,'GP1 (2)'!$B$6:$B$100,'GP1 (2)'!$F$6:$F$100,"")</f>
        <v>8</v>
      </c>
      <c r="AA46" s="27" t="str">
        <f>_xlfn.XLOOKUP($B46,'GP2 (1)'!$B$6:$B$101,'GP2 (1)'!$F$6:$F$101,"")</f>
        <v/>
      </c>
      <c r="AB46" s="28" t="str">
        <f>_xlfn.XLOOKUP($B46,'GP2 (2)'!$B$6:$B$100,'GP2 (2)'!$F$6:$F$100,"")</f>
        <v/>
      </c>
      <c r="AC46" s="24">
        <f>_xlfn.XLOOKUP($B46,'GP3 (1)'!$B$6:$B$100,'GP3 (1)'!$F$6:$F$100,"")</f>
        <v>13</v>
      </c>
      <c r="AD46" s="25">
        <f>_xlfn.XLOOKUP($B46,'GP3 (2)'!$B$6:$B$100,'GP3 (2)'!$F$6:$F$100,"")</f>
        <v>4</v>
      </c>
      <c r="AE46" s="27">
        <f>_xlfn.XLOOKUP($B46,'GP4 (1)'!$B$6:$B$66,'GP4 (1)'!$F$6:$F$66,"")</f>
        <v>8</v>
      </c>
      <c r="AF46" s="28">
        <f>_xlfn.XLOOKUP($B46,'GP4 (2)'!$B$6:$B$100,'GP4 (2)'!$F$6:$F$100,"")</f>
        <v>6</v>
      </c>
      <c r="AG46" s="24">
        <f>_xlfn.XLOOKUP($B46,'GP5 (1)'!$B$6:$B$99,'GP5 (1)'!$F$6:$F$99,"")</f>
        <v>6</v>
      </c>
      <c r="AH46" s="26">
        <f>_xlfn.XLOOKUP($B46,'GP5 (2)'!$B$6:$B$99,'GP5 (2)'!$F$6:$F$99,"")</f>
        <v>4</v>
      </c>
      <c r="AI46" s="27">
        <f>_xlfn.XLOOKUP($B46,'GP6 (1)'!$B$5:$B$99,'GP6 (1)'!$F$5:$F$99,"")</f>
        <v>11</v>
      </c>
      <c r="AJ46" s="28">
        <f>_xlfn.XLOOKUP($B46,'GP6 (2)'!$B$5:$B$99,'GP6 (2)'!$F$5:$F$99,"")</f>
        <v>8</v>
      </c>
      <c r="AK46" s="24" t="str">
        <f>_xlfn.XLOOKUP($B46,'GP7 (1)'!$B$6:$B$100,'GP7 (1)'!$F$6:$F$100,"")</f>
        <v/>
      </c>
      <c r="AL46" s="26" t="str">
        <f>_xlfn.XLOOKUP($B46,'GP7 (2)'!$B$6:$B$100,'GP7 (2)'!$F$6:$F$100,"")</f>
        <v/>
      </c>
      <c r="AM46" s="27" t="str">
        <f>_xlfn.XLOOKUP($B46,'GP8 (1)'!$B$6:$B$100,'GP8 (1)'!$F$6:$F$100,"")</f>
        <v/>
      </c>
      <c r="AN46" s="29" t="str">
        <f>_xlfn.XLOOKUP($B46,'GP8 (2)'!$B$6:$B$100,'GP8 (2)'!$F$6:$F$100,"")</f>
        <v/>
      </c>
      <c r="AO46" s="13">
        <f>SUM(AP46:BG46)</f>
        <v>-209</v>
      </c>
      <c r="AP46" s="29" t="str">
        <f>_xlfn.XLOOKUP($B46,'MP (1)'!$B$6:$B$99,'MP (1)'!$H$6:$H$99,"")</f>
        <v/>
      </c>
      <c r="AQ46" s="28">
        <f>_xlfn.XLOOKUP($B46,'MP (2)'!$B$6:$B$100,'MP (2)'!$H$6:$H$100,"")</f>
        <v>-23</v>
      </c>
      <c r="AR46" s="24">
        <f>_xlfn.XLOOKUP($B46,'GP1 (1)'!$B$6:$B$100,'GP1 (1)'!$H$6:$H$100,"")</f>
        <v>-22</v>
      </c>
      <c r="AS46" s="25">
        <f>_xlfn.XLOOKUP($B46,'GP1 (2)'!$B$6:$B$100,'GP1 (2)'!$H$6:$H$100,"")</f>
        <v>-17</v>
      </c>
      <c r="AT46" s="27" t="str">
        <f>_xlfn.XLOOKUP($B46,'GP2 (1)'!$B$6:$B$101,'GP2 (1)'!$H$6:$H$101,"")</f>
        <v/>
      </c>
      <c r="AU46" s="28" t="str">
        <f>_xlfn.XLOOKUP($B46,'GP2 (2)'!$B$6:$B$100,'GP2 (2)'!$H$6:$H$100,"")</f>
        <v/>
      </c>
      <c r="AV46" s="24">
        <f>_xlfn.XLOOKUP($B46,'GP3 (1)'!$B$6:$B$100,'GP3 (1)'!$H$6:$H$100,"")</f>
        <v>-17</v>
      </c>
      <c r="AW46" s="25">
        <f>_xlfn.XLOOKUP($B46,'GP3 (2)'!$B$6:$B$100,'GP3 (2)'!$H$6:$H$100,"")</f>
        <v>-21</v>
      </c>
      <c r="AX46" s="27">
        <f>_xlfn.XLOOKUP($B46,'GP4 (1)'!$B$6:$B$66,'GP4 (1)'!$H$6:$H$66,"")</f>
        <v>-17</v>
      </c>
      <c r="AY46" s="28">
        <f>_xlfn.XLOOKUP($B46,'GP4 (2)'!$B$6:$B$100,'GP4 (2)'!$H$6:$H$100,"")</f>
        <v>-23</v>
      </c>
      <c r="AZ46" s="24">
        <f>_xlfn.XLOOKUP($B46,'GP5 (1)'!$B$6:$B$99,'GP5 (1)'!$H$6:$H$99,"")</f>
        <v>-19</v>
      </c>
      <c r="BA46" s="25">
        <f>_xlfn.XLOOKUP($B46,'GP5 (2)'!$B$6:$B$99,'GP5 (2)'!$H$6:$H$99,"")</f>
        <v>-21</v>
      </c>
      <c r="BB46" s="27">
        <f>_xlfn.XLOOKUP($B46,'GP6 (1)'!$B$5:$B$99,'GP6 (1)'!$H$5:$H$99,"")</f>
        <v>-12</v>
      </c>
      <c r="BC46" s="28">
        <f>_xlfn.XLOOKUP($B46,'GP6 (2)'!$B$5:$B$99,'GP6 (2)'!$H$5:$H$99,"")</f>
        <v>-17</v>
      </c>
      <c r="BD46" s="24" t="str">
        <f>_xlfn.XLOOKUP($B46,'GP7 (1)'!$B$6:$B$100,'GP7 (1)'!$H$6:$H$100,"")</f>
        <v/>
      </c>
      <c r="BE46" s="25" t="str">
        <f>_xlfn.XLOOKUP($B46,'GP7 (2)'!$B$6:$B$100,'GP7 (2)'!$H$6:$H$100,"")</f>
        <v/>
      </c>
      <c r="BF46" s="27" t="str">
        <f>_xlfn.XLOOKUP($B46,'GP8 (1)'!$B$6:$B$100,'GP8 (1)'!$H$6:$H$100,"")</f>
        <v/>
      </c>
      <c r="BG46" s="32" t="str">
        <f>_xlfn.XLOOKUP($B46,'GP8 (2)'!$B$6:$B$100,'GP8 (2)'!$H$6:$H$100,"")</f>
        <v/>
      </c>
    </row>
    <row r="47" spans="1:59" ht="13.1" customHeight="1" x14ac:dyDescent="0.25">
      <c r="A47" s="1">
        <f>ROW()-4</f>
        <v>43</v>
      </c>
      <c r="B47" s="5" t="s">
        <v>55</v>
      </c>
      <c r="C47" s="30">
        <f>SUM(D47:U47)</f>
        <v>0.17</v>
      </c>
      <c r="D47" s="35">
        <f>_xlfn.XLOOKUP($B47,'MP (1)'!$B$6:$B$99,'MP (1)'!$E$6:$E$99,"")</f>
        <v>0.17</v>
      </c>
      <c r="E47" s="36">
        <f>_xlfn.XLOOKUP($B47,'MP (2)'!$B$6:$B$100,'MP (2)'!$E$6:$E$100,"")</f>
        <v>0</v>
      </c>
      <c r="F47" s="40" t="str">
        <f>_xlfn.XLOOKUP($B47,'GP1 (1)'!$B$6:$B$100,'GP1 (1)'!$E$6:$E$100,"")</f>
        <v/>
      </c>
      <c r="G47" s="41" t="str">
        <f>_xlfn.XLOOKUP($B47,'GP1 (2)'!$B$6:$B$100,'GP1 (2)'!$E$6:$E$100,"")</f>
        <v/>
      </c>
      <c r="H47" s="39" t="str">
        <f>_xlfn.XLOOKUP($B47,'GP2 (1)'!$B$6:$B$101,'GP2 (1)'!$E$6:$E$101,"")</f>
        <v/>
      </c>
      <c r="I47" s="36" t="str">
        <f>_xlfn.XLOOKUP($B47,'GP2 (2)'!$B$6:$B$100,'GP2 (2)'!$E$6:$E$100,"")</f>
        <v/>
      </c>
      <c r="J47" s="40" t="str">
        <f>_xlfn.XLOOKUP($B47,'GP3 (1)'!$B$6:$B$100,'GP3 (1)'!$E$6:$E$100,"")</f>
        <v/>
      </c>
      <c r="K47" s="41" t="str">
        <f>_xlfn.XLOOKUP($B47,'GP3 (2)'!$B$6:$B$100,'GP3 (2)'!$E$6:$E$100,"")</f>
        <v/>
      </c>
      <c r="L47" s="39" t="str">
        <f>_xlfn.XLOOKUP($B47,'GP4 (1)'!$B$6:$B$66,'GP4 (1)'!$E$6:$E$66,"")</f>
        <v/>
      </c>
      <c r="M47" s="36" t="str">
        <f>_xlfn.XLOOKUP($B47,'GP4 (2)'!$B$6:$B$100,'GP4 (2)'!$E$6:$E$100,"")</f>
        <v/>
      </c>
      <c r="N47" s="40" t="str">
        <f>_xlfn.XLOOKUP($B47,'GP5 (1)'!$B$6:$B$99,'GP5 (1)'!$E$6:$E$99,"")</f>
        <v/>
      </c>
      <c r="O47" s="42" t="str">
        <f>_xlfn.XLOOKUP($B47,'GP5 (2)'!$B$6:$B$99,'GP5 (2)'!$E$6:$E$99,"")</f>
        <v/>
      </c>
      <c r="P47" s="39" t="str">
        <f>_xlfn.XLOOKUP($B47,'GP6 (1)'!$B$5:$B$99,'GP6 (1)'!$E$5:$E$99,"")</f>
        <v/>
      </c>
      <c r="Q47" s="36" t="str">
        <f>_xlfn.XLOOKUP($B47,'GP6 (2)'!$B$5:$B$99,'GP6 (2)'!$E$5:$E$99,"")</f>
        <v/>
      </c>
      <c r="R47" s="40" t="str">
        <f>_xlfn.XLOOKUP($B47,'GP7 (1)'!$B$6:$B$100,'GP7 (1)'!$E$6:$E$100,"")</f>
        <v/>
      </c>
      <c r="S47" s="42" t="str">
        <f>_xlfn.XLOOKUP($B47,'GP7 (2)'!$B$6:$B$100,'GP7 (2)'!$E$6:$E$100,"")</f>
        <v/>
      </c>
      <c r="T47" s="39" t="str">
        <f>_xlfn.XLOOKUP($B47,'GP8 (1)'!$B$6:$B$100,'GP8 (1)'!$E$6:$E$100,"")</f>
        <v/>
      </c>
      <c r="U47" s="35" t="str">
        <f>_xlfn.XLOOKUP($B47,'GP8 (2)'!$B$6:$B$100,'GP8 (2)'!$E$6:$E$100,"")</f>
        <v/>
      </c>
      <c r="V47" s="13">
        <f>SUM(W47:AN47)</f>
        <v>22</v>
      </c>
      <c r="W47" s="29">
        <f>_xlfn.XLOOKUP($B47,'MP (1)'!$B$6:$B$99,'MP (1)'!$F$6:$F$99,"")</f>
        <v>11</v>
      </c>
      <c r="X47" s="28">
        <f>_xlfn.XLOOKUP($B47,'MP (2)'!$B$6:$B$100,'MP (2)'!$F$6:$F$100,"")</f>
        <v>11</v>
      </c>
      <c r="Y47" s="24" t="str">
        <f>_xlfn.XLOOKUP($B47,'GP1 (1)'!$B$6:$B$100,'GP1 (1)'!$F$6:$F$100,"")</f>
        <v/>
      </c>
      <c r="Z47" s="25" t="str">
        <f>_xlfn.XLOOKUP($B47,'GP1 (2)'!$B$6:$B$100,'GP1 (2)'!$F$6:$F$100,"")</f>
        <v/>
      </c>
      <c r="AA47" s="27" t="str">
        <f>_xlfn.XLOOKUP($B47,'GP2 (1)'!$B$6:$B$101,'GP2 (1)'!$F$6:$F$101,"")</f>
        <v/>
      </c>
      <c r="AB47" s="28" t="str">
        <f>_xlfn.XLOOKUP($B47,'GP2 (2)'!$B$6:$B$100,'GP2 (2)'!$F$6:$F$100,"")</f>
        <v/>
      </c>
      <c r="AC47" s="24" t="str">
        <f>_xlfn.XLOOKUP($B47,'GP3 (1)'!$B$6:$B$100,'GP3 (1)'!$F$6:$F$100,"")</f>
        <v/>
      </c>
      <c r="AD47" s="25" t="str">
        <f>_xlfn.XLOOKUP($B47,'GP3 (2)'!$B$6:$B$100,'GP3 (2)'!$F$6:$F$100,"")</f>
        <v/>
      </c>
      <c r="AE47" s="27" t="str">
        <f>_xlfn.XLOOKUP($B47,'GP4 (1)'!$B$6:$B$66,'GP4 (1)'!$F$6:$F$66,"")</f>
        <v/>
      </c>
      <c r="AF47" s="28" t="str">
        <f>_xlfn.XLOOKUP($B47,'GP4 (2)'!$B$6:$B$100,'GP4 (2)'!$F$6:$F$100,"")</f>
        <v/>
      </c>
      <c r="AG47" s="24" t="str">
        <f>_xlfn.XLOOKUP($B47,'GP5 (1)'!$B$6:$B$99,'GP5 (1)'!$F$6:$F$99,"")</f>
        <v/>
      </c>
      <c r="AH47" s="26" t="str">
        <f>_xlfn.XLOOKUP($B47,'GP5 (2)'!$B$6:$B$99,'GP5 (2)'!$F$6:$F$99,"")</f>
        <v/>
      </c>
      <c r="AI47" s="27" t="str">
        <f>_xlfn.XLOOKUP($B47,'GP6 (1)'!$B$5:$B$99,'GP6 (1)'!$F$5:$F$99,"")</f>
        <v/>
      </c>
      <c r="AJ47" s="28" t="str">
        <f>_xlfn.XLOOKUP($B47,'GP6 (2)'!$B$5:$B$99,'GP6 (2)'!$F$5:$F$99,"")</f>
        <v/>
      </c>
      <c r="AK47" s="24" t="str">
        <f>_xlfn.XLOOKUP($B47,'GP7 (1)'!$B$6:$B$100,'GP7 (1)'!$F$6:$F$100,"")</f>
        <v/>
      </c>
      <c r="AL47" s="26" t="str">
        <f>_xlfn.XLOOKUP($B47,'GP7 (2)'!$B$6:$B$100,'GP7 (2)'!$F$6:$F$100,"")</f>
        <v/>
      </c>
      <c r="AM47" s="27" t="str">
        <f>_xlfn.XLOOKUP($B47,'GP8 (1)'!$B$6:$B$100,'GP8 (1)'!$F$6:$F$100,"")</f>
        <v/>
      </c>
      <c r="AN47" s="29" t="str">
        <f>_xlfn.XLOOKUP($B47,'GP8 (2)'!$B$6:$B$100,'GP8 (2)'!$F$6:$F$100,"")</f>
        <v/>
      </c>
      <c r="AO47" s="13">
        <f>SUM(AP47:BG47)</f>
        <v>-34</v>
      </c>
      <c r="AP47" s="29">
        <f>_xlfn.XLOOKUP($B47,'MP (1)'!$B$6:$B$99,'MP (1)'!$H$6:$H$99,"")</f>
        <v>-15</v>
      </c>
      <c r="AQ47" s="28">
        <f>_xlfn.XLOOKUP($B47,'MP (2)'!$B$6:$B$100,'MP (2)'!$H$6:$H$100,"")</f>
        <v>-19</v>
      </c>
      <c r="AR47" s="24" t="str">
        <f>_xlfn.XLOOKUP($B47,'GP1 (1)'!$B$6:$B$100,'GP1 (1)'!$H$6:$H$100,"")</f>
        <v/>
      </c>
      <c r="AS47" s="25" t="str">
        <f>_xlfn.XLOOKUP($B47,'GP1 (2)'!$B$6:$B$100,'GP1 (2)'!$H$6:$H$100,"")</f>
        <v/>
      </c>
      <c r="AT47" s="27" t="str">
        <f>_xlfn.XLOOKUP($B47,'GP2 (1)'!$B$6:$B$101,'GP2 (1)'!$H$6:$H$101,"")</f>
        <v/>
      </c>
      <c r="AU47" s="28" t="str">
        <f>_xlfn.XLOOKUP($B47,'GP2 (2)'!$B$6:$B$100,'GP2 (2)'!$H$6:$H$100,"")</f>
        <v/>
      </c>
      <c r="AV47" s="24" t="str">
        <f>_xlfn.XLOOKUP($B47,'GP3 (1)'!$B$6:$B$100,'GP3 (1)'!$H$6:$H$100,"")</f>
        <v/>
      </c>
      <c r="AW47" s="25" t="str">
        <f>_xlfn.XLOOKUP($B47,'GP3 (2)'!$B$6:$B$100,'GP3 (2)'!$H$6:$H$100,"")</f>
        <v/>
      </c>
      <c r="AX47" s="27" t="str">
        <f>_xlfn.XLOOKUP($B47,'GP4 (1)'!$B$6:$B$66,'GP4 (1)'!$H$6:$H$66,"")</f>
        <v/>
      </c>
      <c r="AY47" s="28" t="str">
        <f>_xlfn.XLOOKUP($B47,'GP4 (2)'!$B$6:$B$100,'GP4 (2)'!$H$6:$H$100,"")</f>
        <v/>
      </c>
      <c r="AZ47" s="24" t="str">
        <f>_xlfn.XLOOKUP($B47,'GP5 (1)'!$B$6:$B$99,'GP5 (1)'!$H$6:$H$99,"")</f>
        <v/>
      </c>
      <c r="BA47" s="25" t="str">
        <f>_xlfn.XLOOKUP($B47,'GP5 (2)'!$B$6:$B$99,'GP5 (2)'!$H$6:$H$99,"")</f>
        <v/>
      </c>
      <c r="BB47" s="27" t="str">
        <f>_xlfn.XLOOKUP($B47,'GP6 (1)'!$B$5:$B$99,'GP6 (1)'!$H$5:$H$99,"")</f>
        <v/>
      </c>
      <c r="BC47" s="28" t="str">
        <f>_xlfn.XLOOKUP($B47,'GP6 (2)'!$B$5:$B$99,'GP6 (2)'!$H$5:$H$99,"")</f>
        <v/>
      </c>
      <c r="BD47" s="24" t="str">
        <f>_xlfn.XLOOKUP($B47,'GP7 (1)'!$B$6:$B$100,'GP7 (1)'!$H$6:$H$100,"")</f>
        <v/>
      </c>
      <c r="BE47" s="25" t="str">
        <f>_xlfn.XLOOKUP($B47,'GP7 (2)'!$B$6:$B$100,'GP7 (2)'!$H$6:$H$100,"")</f>
        <v/>
      </c>
      <c r="BF47" s="27" t="str">
        <f>_xlfn.XLOOKUP($B47,'GP8 (1)'!$B$6:$B$100,'GP8 (1)'!$H$6:$H$100,"")</f>
        <v/>
      </c>
      <c r="BG47" s="32" t="str">
        <f>_xlfn.XLOOKUP($B47,'GP8 (2)'!$B$6:$B$100,'GP8 (2)'!$H$6:$H$100,"")</f>
        <v/>
      </c>
    </row>
    <row r="48" spans="1:59" ht="13.1" customHeight="1" x14ac:dyDescent="0.25">
      <c r="A48" s="1">
        <f>ROW()-4</f>
        <v>44</v>
      </c>
      <c r="B48" s="5" t="s">
        <v>183</v>
      </c>
      <c r="C48" s="30">
        <f>SUM(D48:U48)</f>
        <v>0</v>
      </c>
      <c r="D48" s="35" t="str">
        <f>_xlfn.XLOOKUP($B48,'MP (1)'!$B$6:$B$99,'MP (1)'!$E$6:$E$99,"")</f>
        <v/>
      </c>
      <c r="E48" s="36" t="str">
        <f>_xlfn.XLOOKUP($B48,'MP (2)'!$B$6:$B$100,'MP (2)'!$E$6:$E$100,"")</f>
        <v/>
      </c>
      <c r="F48" s="40" t="str">
        <f>_xlfn.XLOOKUP($B48,'GP1 (1)'!$B$6:$B$100,'GP1 (1)'!$E$6:$E$100,"")</f>
        <v/>
      </c>
      <c r="G48" s="41" t="str">
        <f>_xlfn.XLOOKUP($B48,'GP1 (2)'!$B$6:$B$100,'GP1 (2)'!$E$6:$E$100,"")</f>
        <v/>
      </c>
      <c r="H48" s="39" t="str">
        <f>_xlfn.XLOOKUP($B48,'GP2 (1)'!$B$6:$B$101,'GP2 (1)'!$E$6:$E$101,"")</f>
        <v/>
      </c>
      <c r="I48" s="36" t="str">
        <f>_xlfn.XLOOKUP($B48,'GP2 (2)'!$B$6:$B$100,'GP2 (2)'!$E$6:$E$100,"")</f>
        <v/>
      </c>
      <c r="J48" s="40" t="str">
        <f>_xlfn.XLOOKUP($B48,'GP3 (1)'!$B$6:$B$100,'GP3 (1)'!$E$6:$E$100,"")</f>
        <v/>
      </c>
      <c r="K48" s="41" t="str">
        <f>_xlfn.XLOOKUP($B48,'GP3 (2)'!$B$6:$B$100,'GP3 (2)'!$E$6:$E$100,"")</f>
        <v/>
      </c>
      <c r="L48" s="39" t="str">
        <f>_xlfn.XLOOKUP($B48,'GP4 (1)'!$B$6:$B$66,'GP4 (1)'!$E$6:$E$66,"")</f>
        <v/>
      </c>
      <c r="M48" s="36" t="str">
        <f>_xlfn.XLOOKUP($B48,'GP4 (2)'!$B$6:$B$100,'GP4 (2)'!$E$6:$E$100,"")</f>
        <v/>
      </c>
      <c r="N48" s="40" t="str">
        <f>_xlfn.XLOOKUP($B48,'GP5 (1)'!$B$6:$B$99,'GP5 (1)'!$E$6:$E$99,"")</f>
        <v/>
      </c>
      <c r="O48" s="42" t="str">
        <f>_xlfn.XLOOKUP($B48,'GP5 (2)'!$B$6:$B$99,'GP5 (2)'!$E$6:$E$99,"")</f>
        <v/>
      </c>
      <c r="P48" s="39" t="str">
        <f>_xlfn.XLOOKUP($B48,'GP6 (1)'!$B$5:$B$99,'GP6 (1)'!$E$5:$E$99,"")</f>
        <v/>
      </c>
      <c r="Q48" s="36" t="str">
        <f>_xlfn.XLOOKUP($B48,'GP6 (2)'!$B$5:$B$99,'GP6 (2)'!$E$5:$E$99,"")</f>
        <v/>
      </c>
      <c r="R48" s="40" t="str">
        <f>_xlfn.XLOOKUP($B48,'GP7 (1)'!$B$6:$B$100,'GP7 (1)'!$E$6:$E$100,"")</f>
        <v/>
      </c>
      <c r="S48" s="42" t="str">
        <f>_xlfn.XLOOKUP($B48,'GP7 (2)'!$B$6:$B$100,'GP7 (2)'!$E$6:$E$100,"")</f>
        <v/>
      </c>
      <c r="T48" s="39" t="str">
        <f>_xlfn.XLOOKUP($B48,'GP8 (1)'!$B$6:$B$100,'GP8 (1)'!$E$6:$E$100,"")</f>
        <v>0.00</v>
      </c>
      <c r="U48" s="35">
        <f>_xlfn.XLOOKUP($B48,'GP8 (2)'!$B$6:$B$100,'GP8 (2)'!$E$6:$E$100,"")</f>
        <v>0</v>
      </c>
      <c r="V48" s="13">
        <f>SUM(W48:AN48)</f>
        <v>16</v>
      </c>
      <c r="W48" s="29" t="str">
        <f>_xlfn.XLOOKUP($B48,'MP (1)'!$B$6:$B$99,'MP (1)'!$F$6:$F$99,"")</f>
        <v/>
      </c>
      <c r="X48" s="28" t="str">
        <f>_xlfn.XLOOKUP($B48,'MP (2)'!$B$6:$B$100,'MP (2)'!$F$6:$F$100,"")</f>
        <v/>
      </c>
      <c r="Y48" s="24" t="str">
        <f>_xlfn.XLOOKUP($B48,'GP1 (1)'!$B$6:$B$100,'GP1 (1)'!$F$6:$F$100,"")</f>
        <v/>
      </c>
      <c r="Z48" s="25" t="str">
        <f>_xlfn.XLOOKUP($B48,'GP1 (2)'!$B$6:$B$100,'GP1 (2)'!$F$6:$F$100,"")</f>
        <v/>
      </c>
      <c r="AA48" s="27" t="str">
        <f>_xlfn.XLOOKUP($B48,'GP2 (1)'!$B$6:$B$101,'GP2 (1)'!$F$6:$F$101,"")</f>
        <v/>
      </c>
      <c r="AB48" s="28" t="str">
        <f>_xlfn.XLOOKUP($B48,'GP2 (2)'!$B$6:$B$100,'GP2 (2)'!$F$6:$F$100,"")</f>
        <v/>
      </c>
      <c r="AC48" s="24" t="str">
        <f>_xlfn.XLOOKUP($B48,'GP3 (1)'!$B$6:$B$100,'GP3 (1)'!$F$6:$F$100,"")</f>
        <v/>
      </c>
      <c r="AD48" s="25" t="str">
        <f>_xlfn.XLOOKUP($B48,'GP3 (2)'!$B$6:$B$100,'GP3 (2)'!$F$6:$F$100,"")</f>
        <v/>
      </c>
      <c r="AE48" s="27" t="str">
        <f>_xlfn.XLOOKUP($B48,'GP4 (1)'!$B$6:$B$66,'GP4 (1)'!$F$6:$F$66,"")</f>
        <v/>
      </c>
      <c r="AF48" s="28" t="str">
        <f>_xlfn.XLOOKUP($B48,'GP4 (2)'!$B$6:$B$100,'GP4 (2)'!$F$6:$F$100,"")</f>
        <v/>
      </c>
      <c r="AG48" s="24" t="str">
        <f>_xlfn.XLOOKUP($B48,'GP5 (1)'!$B$6:$B$99,'GP5 (1)'!$F$6:$F$99,"")</f>
        <v/>
      </c>
      <c r="AH48" s="26" t="str">
        <f>_xlfn.XLOOKUP($B48,'GP5 (2)'!$B$6:$B$99,'GP5 (2)'!$F$6:$F$99,"")</f>
        <v/>
      </c>
      <c r="AI48" s="27" t="str">
        <f>_xlfn.XLOOKUP($B48,'GP6 (1)'!$B$5:$B$99,'GP6 (1)'!$F$5:$F$99,"")</f>
        <v/>
      </c>
      <c r="AJ48" s="28" t="str">
        <f>_xlfn.XLOOKUP($B48,'GP6 (2)'!$B$5:$B$99,'GP6 (2)'!$F$5:$F$99,"")</f>
        <v/>
      </c>
      <c r="AK48" s="24" t="str">
        <f>_xlfn.XLOOKUP($B48,'GP7 (1)'!$B$6:$B$100,'GP7 (1)'!$F$6:$F$100,"")</f>
        <v/>
      </c>
      <c r="AL48" s="26" t="str">
        <f>_xlfn.XLOOKUP($B48,'GP7 (2)'!$B$6:$B$100,'GP7 (2)'!$F$6:$F$100,"")</f>
        <v/>
      </c>
      <c r="AM48" s="27">
        <f>_xlfn.XLOOKUP($B48,'GP8 (1)'!$B$6:$B$100,'GP8 (1)'!$F$6:$F$100,"")</f>
        <v>7</v>
      </c>
      <c r="AN48" s="29">
        <f>_xlfn.XLOOKUP($B48,'GP8 (2)'!$B$6:$B$100,'GP8 (2)'!$F$6:$F$100,"")</f>
        <v>9</v>
      </c>
      <c r="AO48" s="13">
        <f>SUM(AP48:BG48)</f>
        <v>-29</v>
      </c>
      <c r="AP48" s="29" t="str">
        <f>_xlfn.XLOOKUP($B48,'MP (1)'!$B$6:$B$99,'MP (1)'!$H$6:$H$99,"")</f>
        <v/>
      </c>
      <c r="AQ48" s="28" t="str">
        <f>_xlfn.XLOOKUP($B48,'MP (2)'!$B$6:$B$100,'MP (2)'!$H$6:$H$100,"")</f>
        <v/>
      </c>
      <c r="AR48" s="24" t="str">
        <f>_xlfn.XLOOKUP($B48,'GP1 (1)'!$B$6:$B$100,'GP1 (1)'!$H$6:$H$100,"")</f>
        <v/>
      </c>
      <c r="AS48" s="25" t="str">
        <f>_xlfn.XLOOKUP($B48,'GP1 (2)'!$B$6:$B$100,'GP1 (2)'!$H$6:$H$100,"")</f>
        <v/>
      </c>
      <c r="AT48" s="27" t="str">
        <f>_xlfn.XLOOKUP($B48,'GP2 (1)'!$B$6:$B$101,'GP2 (1)'!$H$6:$H$101,"")</f>
        <v/>
      </c>
      <c r="AU48" s="28" t="str">
        <f>_xlfn.XLOOKUP($B48,'GP2 (2)'!$B$6:$B$100,'GP2 (2)'!$H$6:$H$100,"")</f>
        <v/>
      </c>
      <c r="AV48" s="24" t="str">
        <f>_xlfn.XLOOKUP($B48,'GP3 (1)'!$B$6:$B$100,'GP3 (1)'!$H$6:$H$100,"")</f>
        <v/>
      </c>
      <c r="AW48" s="25" t="str">
        <f>_xlfn.XLOOKUP($B48,'GP3 (2)'!$B$6:$B$100,'GP3 (2)'!$H$6:$H$100,"")</f>
        <v/>
      </c>
      <c r="AX48" s="27" t="str">
        <f>_xlfn.XLOOKUP($B48,'GP4 (1)'!$B$6:$B$66,'GP4 (1)'!$H$6:$H$66,"")</f>
        <v/>
      </c>
      <c r="AY48" s="28" t="str">
        <f>_xlfn.XLOOKUP($B48,'GP4 (2)'!$B$6:$B$100,'GP4 (2)'!$H$6:$H$100,"")</f>
        <v/>
      </c>
      <c r="AZ48" s="24" t="str">
        <f>_xlfn.XLOOKUP($B48,'GP5 (1)'!$B$6:$B$99,'GP5 (1)'!$H$6:$H$99,"")</f>
        <v/>
      </c>
      <c r="BA48" s="25" t="str">
        <f>_xlfn.XLOOKUP($B48,'GP5 (2)'!$B$6:$B$99,'GP5 (2)'!$H$6:$H$99,"")</f>
        <v/>
      </c>
      <c r="BB48" s="27" t="str">
        <f>_xlfn.XLOOKUP($B48,'GP6 (1)'!$B$5:$B$99,'GP6 (1)'!$H$5:$H$99,"")</f>
        <v/>
      </c>
      <c r="BC48" s="28" t="str">
        <f>_xlfn.XLOOKUP($B48,'GP6 (2)'!$B$5:$B$99,'GP6 (2)'!$H$5:$H$99,"")</f>
        <v/>
      </c>
      <c r="BD48" s="24" t="str">
        <f>_xlfn.XLOOKUP($B48,'GP7 (1)'!$B$6:$B$100,'GP7 (1)'!$H$6:$H$100,"")</f>
        <v/>
      </c>
      <c r="BE48" s="25" t="str">
        <f>_xlfn.XLOOKUP($B48,'GP7 (2)'!$B$6:$B$100,'GP7 (2)'!$H$6:$H$100,"")</f>
        <v/>
      </c>
      <c r="BF48" s="27">
        <f>_xlfn.XLOOKUP($B48,'GP8 (1)'!$B$6:$B$100,'GP8 (1)'!$H$6:$H$100,"")</f>
        <v>-13</v>
      </c>
      <c r="BG48" s="32">
        <f>_xlfn.XLOOKUP($B48,'GP8 (2)'!$B$6:$B$100,'GP8 (2)'!$H$6:$H$100,"")</f>
        <v>-16</v>
      </c>
    </row>
    <row r="49" spans="1:59" ht="13.1" customHeight="1" x14ac:dyDescent="0.25">
      <c r="A49" s="1">
        <f>ROW()-4</f>
        <v>45</v>
      </c>
      <c r="B49" s="5" t="s">
        <v>57</v>
      </c>
      <c r="C49" s="30">
        <f>SUM(D49:U49)</f>
        <v>0</v>
      </c>
      <c r="D49" s="35" t="str">
        <f>_xlfn.XLOOKUP($B49,'MP (1)'!$B$6:$B$99,'MP (1)'!$E$6:$E$99,"")</f>
        <v/>
      </c>
      <c r="E49" s="36" t="str">
        <f>_xlfn.XLOOKUP($B49,'MP (2)'!$B$6:$B$100,'MP (2)'!$E$6:$E$100,"")</f>
        <v/>
      </c>
      <c r="F49" s="40" t="str">
        <f>_xlfn.XLOOKUP($B49,'GP1 (1)'!$B$6:$B$100,'GP1 (1)'!$E$6:$E$100,"")</f>
        <v/>
      </c>
      <c r="G49" s="41" t="str">
        <f>_xlfn.XLOOKUP($B49,'GP1 (2)'!$B$6:$B$100,'GP1 (2)'!$E$6:$E$100,"")</f>
        <v/>
      </c>
      <c r="H49" s="39">
        <f>_xlfn.XLOOKUP($B49,'GP2 (1)'!$B$6:$B$101,'GP2 (1)'!$E$6:$E$101,"")</f>
        <v>0</v>
      </c>
      <c r="I49" s="36">
        <f>_xlfn.XLOOKUP($B49,'GP2 (2)'!$B$6:$B$100,'GP2 (2)'!$E$6:$E$100,"")</f>
        <v>0</v>
      </c>
      <c r="J49" s="40" t="str">
        <f>_xlfn.XLOOKUP($B49,'GP3 (1)'!$B$6:$B$100,'GP3 (1)'!$E$6:$E$100,"")</f>
        <v/>
      </c>
      <c r="K49" s="41" t="str">
        <f>_xlfn.XLOOKUP($B49,'GP3 (2)'!$B$6:$B$100,'GP3 (2)'!$E$6:$E$100,"")</f>
        <v/>
      </c>
      <c r="L49" s="39" t="str">
        <f>_xlfn.XLOOKUP($B49,'GP4 (1)'!$B$6:$B$66,'GP4 (1)'!$E$6:$E$66,"")</f>
        <v/>
      </c>
      <c r="M49" s="36" t="str">
        <f>_xlfn.XLOOKUP($B49,'GP4 (2)'!$B$6:$B$100,'GP4 (2)'!$E$6:$E$100,"")</f>
        <v/>
      </c>
      <c r="N49" s="40" t="str">
        <f>_xlfn.XLOOKUP($B49,'GP5 (1)'!$B$6:$B$99,'GP5 (1)'!$E$6:$E$99,"")</f>
        <v/>
      </c>
      <c r="O49" s="42" t="str">
        <f>_xlfn.XLOOKUP($B49,'GP5 (2)'!$B$6:$B$99,'GP5 (2)'!$E$6:$E$99,"")</f>
        <v/>
      </c>
      <c r="P49" s="39" t="str">
        <f>_xlfn.XLOOKUP($B49,'GP6 (1)'!$B$5:$B$99,'GP6 (1)'!$E$5:$E$99,"")</f>
        <v/>
      </c>
      <c r="Q49" s="36" t="str">
        <f>_xlfn.XLOOKUP($B49,'GP6 (2)'!$B$5:$B$99,'GP6 (2)'!$E$5:$E$99,"")</f>
        <v/>
      </c>
      <c r="R49" s="40" t="str">
        <f>_xlfn.XLOOKUP($B49,'GP7 (1)'!$B$6:$B$100,'GP7 (1)'!$E$6:$E$100,"")</f>
        <v/>
      </c>
      <c r="S49" s="42" t="str">
        <f>_xlfn.XLOOKUP($B49,'GP7 (2)'!$B$6:$B$100,'GP7 (2)'!$E$6:$E$100,"")</f>
        <v/>
      </c>
      <c r="T49" s="39" t="str">
        <f>_xlfn.XLOOKUP($B49,'GP8 (1)'!$B$6:$B$100,'GP8 (1)'!$E$6:$E$100,"")</f>
        <v/>
      </c>
      <c r="U49" s="35" t="str">
        <f>_xlfn.XLOOKUP($B49,'GP8 (2)'!$B$6:$B$100,'GP8 (2)'!$E$6:$E$100,"")</f>
        <v/>
      </c>
      <c r="V49" s="13">
        <f>SUM(W49:AN49)</f>
        <v>13</v>
      </c>
      <c r="W49" s="29" t="str">
        <f>_xlfn.XLOOKUP($B49,'MP (1)'!$B$6:$B$99,'MP (1)'!$F$6:$F$99,"")</f>
        <v/>
      </c>
      <c r="X49" s="28" t="str">
        <f>_xlfn.XLOOKUP($B49,'MP (2)'!$B$6:$B$100,'MP (2)'!$F$6:$F$100,"")</f>
        <v/>
      </c>
      <c r="Y49" s="24" t="str">
        <f>_xlfn.XLOOKUP($B49,'GP1 (1)'!$B$6:$B$100,'GP1 (1)'!$F$6:$F$100,"")</f>
        <v/>
      </c>
      <c r="Z49" s="25" t="str">
        <f>_xlfn.XLOOKUP($B49,'GP1 (2)'!$B$6:$B$100,'GP1 (2)'!$F$6:$F$100,"")</f>
        <v/>
      </c>
      <c r="AA49" s="27">
        <f>_xlfn.XLOOKUP($B49,'GP2 (1)'!$B$6:$B$101,'GP2 (1)'!$F$6:$F$101,"")</f>
        <v>6</v>
      </c>
      <c r="AB49" s="28">
        <f>_xlfn.XLOOKUP($B49,'GP2 (2)'!$B$6:$B$100,'GP2 (2)'!$F$6:$F$100,"")</f>
        <v>7</v>
      </c>
      <c r="AC49" s="24" t="str">
        <f>_xlfn.XLOOKUP($B49,'GP3 (1)'!$B$6:$B$100,'GP3 (1)'!$F$6:$F$100,"")</f>
        <v/>
      </c>
      <c r="AD49" s="25" t="str">
        <f>_xlfn.XLOOKUP($B49,'GP3 (2)'!$B$6:$B$100,'GP3 (2)'!$F$6:$F$100,"")</f>
        <v/>
      </c>
      <c r="AE49" s="27" t="str">
        <f>_xlfn.XLOOKUP($B49,'GP4 (1)'!$B$6:$B$66,'GP4 (1)'!$F$6:$F$66,"")</f>
        <v/>
      </c>
      <c r="AF49" s="28" t="str">
        <f>_xlfn.XLOOKUP($B49,'GP4 (2)'!$B$6:$B$100,'GP4 (2)'!$F$6:$F$100,"")</f>
        <v/>
      </c>
      <c r="AG49" s="24" t="str">
        <f>_xlfn.XLOOKUP($B49,'GP5 (1)'!$B$6:$B$99,'GP5 (1)'!$F$6:$F$99,"")</f>
        <v/>
      </c>
      <c r="AH49" s="26" t="str">
        <f>_xlfn.XLOOKUP($B49,'GP5 (2)'!$B$6:$B$99,'GP5 (2)'!$F$6:$F$99,"")</f>
        <v/>
      </c>
      <c r="AI49" s="27" t="str">
        <f>_xlfn.XLOOKUP($B49,'GP6 (1)'!$B$5:$B$99,'GP6 (1)'!$F$5:$F$99,"")</f>
        <v/>
      </c>
      <c r="AJ49" s="28" t="str">
        <f>_xlfn.XLOOKUP($B49,'GP6 (2)'!$B$5:$B$99,'GP6 (2)'!$F$5:$F$99,"")</f>
        <v/>
      </c>
      <c r="AK49" s="24" t="str">
        <f>_xlfn.XLOOKUP($B49,'GP7 (1)'!$B$6:$B$100,'GP7 (1)'!$F$6:$F$100,"")</f>
        <v/>
      </c>
      <c r="AL49" s="26" t="str">
        <f>_xlfn.XLOOKUP($B49,'GP7 (2)'!$B$6:$B$100,'GP7 (2)'!$F$6:$F$100,"")</f>
        <v/>
      </c>
      <c r="AM49" s="27" t="str">
        <f>_xlfn.XLOOKUP($B49,'GP8 (1)'!$B$6:$B$100,'GP8 (1)'!$F$6:$F$100,"")</f>
        <v/>
      </c>
      <c r="AN49" s="29" t="str">
        <f>_xlfn.XLOOKUP($B49,'GP8 (2)'!$B$6:$B$100,'GP8 (2)'!$F$6:$F$100,"")</f>
        <v/>
      </c>
      <c r="AO49" s="13">
        <f>SUM(AP49:BG49)</f>
        <v>-37</v>
      </c>
      <c r="AP49" s="29" t="str">
        <f>_xlfn.XLOOKUP($B49,'MP (1)'!$B$6:$B$99,'MP (1)'!$H$6:$H$99,"")</f>
        <v/>
      </c>
      <c r="AQ49" s="28" t="str">
        <f>_xlfn.XLOOKUP($B49,'MP (2)'!$B$6:$B$100,'MP (2)'!$H$6:$H$100,"")</f>
        <v/>
      </c>
      <c r="AR49" s="24" t="str">
        <f>_xlfn.XLOOKUP($B49,'GP1 (1)'!$B$6:$B$100,'GP1 (1)'!$H$6:$H$100,"")</f>
        <v/>
      </c>
      <c r="AS49" s="25" t="str">
        <f>_xlfn.XLOOKUP($B49,'GP1 (2)'!$B$6:$B$100,'GP1 (2)'!$H$6:$H$100,"")</f>
        <v/>
      </c>
      <c r="AT49" s="27">
        <f>_xlfn.XLOOKUP($B49,'GP2 (1)'!$B$6:$B$101,'GP2 (1)'!$H$6:$H$101,"")</f>
        <v>-19</v>
      </c>
      <c r="AU49" s="28">
        <f>_xlfn.XLOOKUP($B49,'GP2 (2)'!$B$6:$B$100,'GP2 (2)'!$H$6:$H$100,"")</f>
        <v>-18</v>
      </c>
      <c r="AV49" s="24" t="str">
        <f>_xlfn.XLOOKUP($B49,'GP3 (1)'!$B$6:$B$100,'GP3 (1)'!$H$6:$H$100,"")</f>
        <v/>
      </c>
      <c r="AW49" s="25" t="str">
        <f>_xlfn.XLOOKUP($B49,'GP3 (2)'!$B$6:$B$100,'GP3 (2)'!$H$6:$H$100,"")</f>
        <v/>
      </c>
      <c r="AX49" s="27" t="str">
        <f>_xlfn.XLOOKUP($B49,'GP4 (1)'!$B$6:$B$66,'GP4 (1)'!$H$6:$H$66,"")</f>
        <v/>
      </c>
      <c r="AY49" s="28" t="str">
        <f>_xlfn.XLOOKUP($B49,'GP4 (2)'!$B$6:$B$100,'GP4 (2)'!$H$6:$H$100,"")</f>
        <v/>
      </c>
      <c r="AZ49" s="24" t="str">
        <f>_xlfn.XLOOKUP($B49,'GP5 (1)'!$B$6:$B$99,'GP5 (1)'!$H$6:$H$99,"")</f>
        <v/>
      </c>
      <c r="BA49" s="25" t="str">
        <f>_xlfn.XLOOKUP($B49,'GP5 (2)'!$B$6:$B$99,'GP5 (2)'!$H$6:$H$99,"")</f>
        <v/>
      </c>
      <c r="BB49" s="27" t="str">
        <f>_xlfn.XLOOKUP($B49,'GP6 (1)'!$B$5:$B$99,'GP6 (1)'!$H$5:$H$99,"")</f>
        <v/>
      </c>
      <c r="BC49" s="28" t="str">
        <f>_xlfn.XLOOKUP($B49,'GP6 (2)'!$B$5:$B$99,'GP6 (2)'!$H$5:$H$99,"")</f>
        <v/>
      </c>
      <c r="BD49" s="24" t="str">
        <f>_xlfn.XLOOKUP($B49,'GP7 (1)'!$B$6:$B$100,'GP7 (1)'!$H$6:$H$100,"")</f>
        <v/>
      </c>
      <c r="BE49" s="25" t="str">
        <f>_xlfn.XLOOKUP($B49,'GP7 (2)'!$B$6:$B$100,'GP7 (2)'!$H$6:$H$100,"")</f>
        <v/>
      </c>
      <c r="BF49" s="27" t="str">
        <f>_xlfn.XLOOKUP($B49,'GP8 (1)'!$B$6:$B$100,'GP8 (1)'!$H$6:$H$100,"")</f>
        <v/>
      </c>
      <c r="BG49" s="32" t="str">
        <f>_xlfn.XLOOKUP($B49,'GP8 (2)'!$B$6:$B$100,'GP8 (2)'!$H$6:$H$100,"")</f>
        <v/>
      </c>
    </row>
    <row r="50" spans="1:59" ht="13.1" customHeight="1" x14ac:dyDescent="0.25">
      <c r="A50" s="1">
        <f>ROW()-4</f>
        <v>46</v>
      </c>
      <c r="B50" s="5" t="s">
        <v>58</v>
      </c>
      <c r="C50" s="30">
        <f>SUM(D50:U50)</f>
        <v>0</v>
      </c>
      <c r="D50" s="35" t="str">
        <f>_xlfn.XLOOKUP($B50,'MP (1)'!$B$6:$B$99,'MP (1)'!$E$6:$E$99,"")</f>
        <v/>
      </c>
      <c r="E50" s="36" t="str">
        <f>_xlfn.XLOOKUP($B50,'MP (2)'!$B$6:$B$100,'MP (2)'!$E$6:$E$100,"")</f>
        <v/>
      </c>
      <c r="F50" s="40" t="str">
        <f>_xlfn.XLOOKUP($B50,'GP1 (1)'!$B$6:$B$100,'GP1 (1)'!$E$6:$E$100,"")</f>
        <v/>
      </c>
      <c r="G50" s="41" t="str">
        <f>_xlfn.XLOOKUP($B50,'GP1 (2)'!$B$6:$B$100,'GP1 (2)'!$E$6:$E$100,"")</f>
        <v/>
      </c>
      <c r="H50" s="39" t="str">
        <f>_xlfn.XLOOKUP($B50,'GP2 (1)'!$B$6:$B$101,'GP2 (1)'!$E$6:$E$101,"")</f>
        <v/>
      </c>
      <c r="I50" s="36" t="str">
        <f>_xlfn.XLOOKUP($B50,'GP2 (2)'!$B$6:$B$100,'GP2 (2)'!$E$6:$E$100,"")</f>
        <v/>
      </c>
      <c r="J50" s="40" t="str">
        <f>_xlfn.XLOOKUP($B50,'GP3 (1)'!$B$6:$B$100,'GP3 (1)'!$E$6:$E$100,"")</f>
        <v/>
      </c>
      <c r="K50" s="41" t="str">
        <f>_xlfn.XLOOKUP($B50,'GP3 (2)'!$B$6:$B$100,'GP3 (2)'!$E$6:$E$100,"")</f>
        <v/>
      </c>
      <c r="L50" s="39" t="str">
        <f>_xlfn.XLOOKUP($B50,'GP4 (1)'!$B$6:$B$66,'GP4 (1)'!$E$6:$E$66,"")</f>
        <v/>
      </c>
      <c r="M50" s="36" t="str">
        <f>_xlfn.XLOOKUP($B50,'GP4 (2)'!$B$6:$B$100,'GP4 (2)'!$E$6:$E$100,"")</f>
        <v/>
      </c>
      <c r="N50" s="40" t="str">
        <f>_xlfn.XLOOKUP($B50,'GP5 (1)'!$B$6:$B$99,'GP5 (1)'!$E$6:$E$99,"")</f>
        <v/>
      </c>
      <c r="O50" s="42" t="str">
        <f>_xlfn.XLOOKUP($B50,'GP5 (2)'!$B$6:$B$99,'GP5 (2)'!$E$6:$E$99,"")</f>
        <v/>
      </c>
      <c r="P50" s="39" t="str">
        <f>_xlfn.XLOOKUP($B50,'GP6 (1)'!$B$5:$B$99,'GP6 (1)'!$E$5:$E$99,"")</f>
        <v>0.25</v>
      </c>
      <c r="Q50" s="36" t="str">
        <f>_xlfn.XLOOKUP($B50,'GP6 (2)'!$B$5:$B$99,'GP6 (2)'!$E$5:$E$99,"")</f>
        <v>0.20</v>
      </c>
      <c r="R50" s="40" t="str">
        <f>_xlfn.XLOOKUP($B50,'GP7 (1)'!$B$6:$B$100,'GP7 (1)'!$E$6:$E$100,"")</f>
        <v/>
      </c>
      <c r="S50" s="42" t="str">
        <f>_xlfn.XLOOKUP($B50,'GP7 (2)'!$B$6:$B$100,'GP7 (2)'!$E$6:$E$100,"")</f>
        <v/>
      </c>
      <c r="T50" s="39" t="str">
        <f>_xlfn.XLOOKUP($B50,'GP8 (1)'!$B$6:$B$100,'GP8 (1)'!$E$6:$E$100,"")</f>
        <v/>
      </c>
      <c r="U50" s="35" t="str">
        <f>_xlfn.XLOOKUP($B50,'GP8 (2)'!$B$6:$B$100,'GP8 (2)'!$E$6:$E$100,"")</f>
        <v/>
      </c>
      <c r="V50" s="13">
        <f>SUM(W50:AN50)</f>
        <v>12</v>
      </c>
      <c r="W50" s="29" t="str">
        <f>_xlfn.XLOOKUP($B50,'MP (1)'!$B$6:$B$99,'MP (1)'!$F$6:$F$99,"")</f>
        <v/>
      </c>
      <c r="X50" s="28" t="str">
        <f>_xlfn.XLOOKUP($B50,'MP (2)'!$B$6:$B$100,'MP (2)'!$F$6:$F$100,"")</f>
        <v/>
      </c>
      <c r="Y50" s="24" t="str">
        <f>_xlfn.XLOOKUP($B50,'GP1 (1)'!$B$6:$B$100,'GP1 (1)'!$F$6:$F$100,"")</f>
        <v/>
      </c>
      <c r="Z50" s="25" t="str">
        <f>_xlfn.XLOOKUP($B50,'GP1 (2)'!$B$6:$B$100,'GP1 (2)'!$F$6:$F$100,"")</f>
        <v/>
      </c>
      <c r="AA50" s="27" t="str">
        <f>_xlfn.XLOOKUP($B50,'GP2 (1)'!$B$6:$B$101,'GP2 (1)'!$F$6:$F$101,"")</f>
        <v/>
      </c>
      <c r="AB50" s="28" t="str">
        <f>_xlfn.XLOOKUP($B50,'GP2 (2)'!$B$6:$B$100,'GP2 (2)'!$F$6:$F$100,"")</f>
        <v/>
      </c>
      <c r="AC50" s="24" t="str">
        <f>_xlfn.XLOOKUP($B50,'GP3 (1)'!$B$6:$B$100,'GP3 (1)'!$F$6:$F$100,"")</f>
        <v/>
      </c>
      <c r="AD50" s="25" t="str">
        <f>_xlfn.XLOOKUP($B50,'GP3 (2)'!$B$6:$B$100,'GP3 (2)'!$F$6:$F$100,"")</f>
        <v/>
      </c>
      <c r="AE50" s="27" t="str">
        <f>_xlfn.XLOOKUP($B50,'GP4 (1)'!$B$6:$B$66,'GP4 (1)'!$F$6:$F$66,"")</f>
        <v/>
      </c>
      <c r="AF50" s="28" t="str">
        <f>_xlfn.XLOOKUP($B50,'GP4 (2)'!$B$6:$B$100,'GP4 (2)'!$F$6:$F$100,"")</f>
        <v/>
      </c>
      <c r="AG50" s="24" t="str">
        <f>_xlfn.XLOOKUP($B50,'GP5 (1)'!$B$6:$B$99,'GP5 (1)'!$F$6:$F$99,"")</f>
        <v/>
      </c>
      <c r="AH50" s="26" t="str">
        <f>_xlfn.XLOOKUP($B50,'GP5 (2)'!$B$6:$B$99,'GP5 (2)'!$F$6:$F$99,"")</f>
        <v/>
      </c>
      <c r="AI50" s="27">
        <f>_xlfn.XLOOKUP($B50,'GP6 (1)'!$B$5:$B$99,'GP6 (1)'!$F$5:$F$99,"")</f>
        <v>7</v>
      </c>
      <c r="AJ50" s="28">
        <f>_xlfn.XLOOKUP($B50,'GP6 (2)'!$B$5:$B$99,'GP6 (2)'!$F$5:$F$99,"")</f>
        <v>5</v>
      </c>
      <c r="AK50" s="24" t="str">
        <f>_xlfn.XLOOKUP($B50,'GP7 (1)'!$B$6:$B$100,'GP7 (1)'!$F$6:$F$100,"")</f>
        <v/>
      </c>
      <c r="AL50" s="26" t="str">
        <f>_xlfn.XLOOKUP($B50,'GP7 (2)'!$B$6:$B$100,'GP7 (2)'!$F$6:$F$100,"")</f>
        <v/>
      </c>
      <c r="AM50" s="27" t="str">
        <f>_xlfn.XLOOKUP($B50,'GP8 (1)'!$B$6:$B$100,'GP8 (1)'!$F$6:$F$100,"")</f>
        <v/>
      </c>
      <c r="AN50" s="29" t="str">
        <f>_xlfn.XLOOKUP($B50,'GP8 (2)'!$B$6:$B$100,'GP8 (2)'!$F$6:$F$100,"")</f>
        <v/>
      </c>
      <c r="AO50" s="13">
        <f>SUM(AP50:BG50)</f>
        <v>-31</v>
      </c>
      <c r="AP50" s="29" t="str">
        <f>_xlfn.XLOOKUP($B50,'MP (1)'!$B$6:$B$99,'MP (1)'!$H$6:$H$99,"")</f>
        <v/>
      </c>
      <c r="AQ50" s="28" t="str">
        <f>_xlfn.XLOOKUP($B50,'MP (2)'!$B$6:$B$100,'MP (2)'!$H$6:$H$100,"")</f>
        <v/>
      </c>
      <c r="AR50" s="24" t="str">
        <f>_xlfn.XLOOKUP($B50,'GP1 (1)'!$B$6:$B$100,'GP1 (1)'!$H$6:$H$100,"")</f>
        <v/>
      </c>
      <c r="AS50" s="25" t="str">
        <f>_xlfn.XLOOKUP($B50,'GP1 (2)'!$B$6:$B$100,'GP1 (2)'!$H$6:$H$100,"")</f>
        <v/>
      </c>
      <c r="AT50" s="27" t="str">
        <f>_xlfn.XLOOKUP($B50,'GP2 (1)'!$B$6:$B$101,'GP2 (1)'!$H$6:$H$101,"")</f>
        <v/>
      </c>
      <c r="AU50" s="28" t="str">
        <f>_xlfn.XLOOKUP($B50,'GP2 (2)'!$B$6:$B$100,'GP2 (2)'!$H$6:$H$100,"")</f>
        <v/>
      </c>
      <c r="AV50" s="24" t="str">
        <f>_xlfn.XLOOKUP($B50,'GP3 (1)'!$B$6:$B$100,'GP3 (1)'!$H$6:$H$100,"")</f>
        <v/>
      </c>
      <c r="AW50" s="25" t="str">
        <f>_xlfn.XLOOKUP($B50,'GP3 (2)'!$B$6:$B$100,'GP3 (2)'!$H$6:$H$100,"")</f>
        <v/>
      </c>
      <c r="AX50" s="27" t="str">
        <f>_xlfn.XLOOKUP($B50,'GP4 (1)'!$B$6:$B$66,'GP4 (1)'!$H$6:$H$66,"")</f>
        <v/>
      </c>
      <c r="AY50" s="28" t="str">
        <f>_xlfn.XLOOKUP($B50,'GP4 (2)'!$B$6:$B$100,'GP4 (2)'!$H$6:$H$100,"")</f>
        <v/>
      </c>
      <c r="AZ50" s="24" t="str">
        <f>_xlfn.XLOOKUP($B50,'GP5 (1)'!$B$6:$B$99,'GP5 (1)'!$H$6:$H$99,"")</f>
        <v/>
      </c>
      <c r="BA50" s="25" t="str">
        <f>_xlfn.XLOOKUP($B50,'GP5 (2)'!$B$6:$B$99,'GP5 (2)'!$H$6:$H$99,"")</f>
        <v/>
      </c>
      <c r="BB50" s="27">
        <f>_xlfn.XLOOKUP($B50,'GP6 (1)'!$B$5:$B$99,'GP6 (1)'!$H$5:$H$99,"")</f>
        <v>-12</v>
      </c>
      <c r="BC50" s="28">
        <f>_xlfn.XLOOKUP($B50,'GP6 (2)'!$B$5:$B$99,'GP6 (2)'!$H$5:$H$99,"")</f>
        <v>-19</v>
      </c>
      <c r="BD50" s="24" t="str">
        <f>_xlfn.XLOOKUP($B50,'GP7 (1)'!$B$6:$B$100,'GP7 (1)'!$H$6:$H$100,"")</f>
        <v/>
      </c>
      <c r="BE50" s="25" t="str">
        <f>_xlfn.XLOOKUP($B50,'GP7 (2)'!$B$6:$B$100,'GP7 (2)'!$H$6:$H$100,"")</f>
        <v/>
      </c>
      <c r="BF50" s="27" t="str">
        <f>_xlfn.XLOOKUP($B50,'GP8 (1)'!$B$6:$B$100,'GP8 (1)'!$H$6:$H$100,"")</f>
        <v/>
      </c>
      <c r="BG50" s="32" t="str">
        <f>_xlfn.XLOOKUP($B50,'GP8 (2)'!$B$6:$B$100,'GP8 (2)'!$H$6:$H$100,"")</f>
        <v/>
      </c>
    </row>
    <row r="51" spans="1:59" ht="13.1" customHeight="1" x14ac:dyDescent="0.25">
      <c r="A51" s="1">
        <f>ROW()-4</f>
        <v>47</v>
      </c>
      <c r="B51" s="5" t="s">
        <v>59</v>
      </c>
      <c r="C51" s="30">
        <f>SUM(D51:U51)</f>
        <v>0</v>
      </c>
      <c r="D51" s="35" t="str">
        <f>_xlfn.XLOOKUP($B51,'MP (1)'!$B$6:$B$99,'MP (1)'!$E$6:$E$99,"")</f>
        <v/>
      </c>
      <c r="E51" s="36" t="str">
        <f>_xlfn.XLOOKUP($B51,'MP (2)'!$B$6:$B$100,'MP (2)'!$E$6:$E$100,"")</f>
        <v/>
      </c>
      <c r="F51" s="40" t="str">
        <f>_xlfn.XLOOKUP($B51,'GP1 (1)'!$B$6:$B$100,'GP1 (1)'!$E$6:$E$100,"")</f>
        <v/>
      </c>
      <c r="G51" s="41" t="str">
        <f>_xlfn.XLOOKUP($B51,'GP1 (2)'!$B$6:$B$100,'GP1 (2)'!$E$6:$E$100,"")</f>
        <v/>
      </c>
      <c r="H51" s="39" t="str">
        <f>_xlfn.XLOOKUP($B51,'GP2 (1)'!$B$6:$B$101,'GP2 (1)'!$E$6:$E$101,"")</f>
        <v/>
      </c>
      <c r="I51" s="36" t="str">
        <f>_xlfn.XLOOKUP($B51,'GP2 (2)'!$B$6:$B$100,'GP2 (2)'!$E$6:$E$100,"")</f>
        <v/>
      </c>
      <c r="J51" s="40" t="str">
        <f>_xlfn.XLOOKUP($B51,'GP3 (1)'!$B$6:$B$100,'GP3 (1)'!$E$6:$E$100,"")</f>
        <v/>
      </c>
      <c r="K51" s="41" t="str">
        <f>_xlfn.XLOOKUP($B51,'GP3 (2)'!$B$6:$B$100,'GP3 (2)'!$E$6:$E$100,"")</f>
        <v/>
      </c>
      <c r="L51" s="39">
        <f>_xlfn.XLOOKUP($B51,'GP4 (1)'!$B$6:$B$66,'GP4 (1)'!$E$6:$E$66,"")</f>
        <v>0</v>
      </c>
      <c r="M51" s="36">
        <f>_xlfn.XLOOKUP($B51,'GP4 (2)'!$B$6:$B$100,'GP4 (2)'!$E$6:$E$100,"")</f>
        <v>0</v>
      </c>
      <c r="N51" s="40" t="str">
        <f>_xlfn.XLOOKUP($B51,'GP5 (1)'!$B$6:$B$99,'GP5 (1)'!$E$6:$E$99,"")</f>
        <v/>
      </c>
      <c r="O51" s="42" t="str">
        <f>_xlfn.XLOOKUP($B51,'GP5 (2)'!$B$6:$B$99,'GP5 (2)'!$E$6:$E$99,"")</f>
        <v/>
      </c>
      <c r="P51" s="39" t="str">
        <f>_xlfn.XLOOKUP($B51,'GP6 (1)'!$B$5:$B$99,'GP6 (1)'!$E$5:$E$99,"")</f>
        <v/>
      </c>
      <c r="Q51" s="36" t="str">
        <f>_xlfn.XLOOKUP($B51,'GP6 (2)'!$B$5:$B$99,'GP6 (2)'!$E$5:$E$99,"")</f>
        <v/>
      </c>
      <c r="R51" s="40" t="str">
        <f>_xlfn.XLOOKUP($B51,'GP7 (1)'!$B$6:$B$100,'GP7 (1)'!$E$6:$E$100,"")</f>
        <v/>
      </c>
      <c r="S51" s="42" t="str">
        <f>_xlfn.XLOOKUP($B51,'GP7 (2)'!$B$6:$B$100,'GP7 (2)'!$E$6:$E$100,"")</f>
        <v/>
      </c>
      <c r="T51" s="39" t="str">
        <f>_xlfn.XLOOKUP($B51,'GP8 (1)'!$B$6:$B$100,'GP8 (1)'!$E$6:$E$100,"")</f>
        <v/>
      </c>
      <c r="U51" s="35" t="str">
        <f>_xlfn.XLOOKUP($B51,'GP8 (2)'!$B$6:$B$100,'GP8 (2)'!$E$6:$E$100,"")</f>
        <v/>
      </c>
      <c r="V51" s="13">
        <f>SUM(W51:AN51)</f>
        <v>12</v>
      </c>
      <c r="W51" s="29" t="str">
        <f>_xlfn.XLOOKUP($B51,'MP (1)'!$B$6:$B$99,'MP (1)'!$F$6:$F$99,"")</f>
        <v/>
      </c>
      <c r="X51" s="28" t="str">
        <f>_xlfn.XLOOKUP($B51,'MP (2)'!$B$6:$B$100,'MP (2)'!$F$6:$F$100,"")</f>
        <v/>
      </c>
      <c r="Y51" s="24" t="str">
        <f>_xlfn.XLOOKUP($B51,'GP1 (1)'!$B$6:$B$100,'GP1 (1)'!$F$6:$F$100,"")</f>
        <v/>
      </c>
      <c r="Z51" s="25" t="str">
        <f>_xlfn.XLOOKUP($B51,'GP1 (2)'!$B$6:$B$100,'GP1 (2)'!$F$6:$F$100,"")</f>
        <v/>
      </c>
      <c r="AA51" s="27" t="str">
        <f>_xlfn.XLOOKUP($B51,'GP2 (1)'!$B$6:$B$101,'GP2 (1)'!$F$6:$F$101,"")</f>
        <v/>
      </c>
      <c r="AB51" s="28" t="str">
        <f>_xlfn.XLOOKUP($B51,'GP2 (2)'!$B$6:$B$100,'GP2 (2)'!$F$6:$F$100,"")</f>
        <v/>
      </c>
      <c r="AC51" s="24" t="str">
        <f>_xlfn.XLOOKUP($B51,'GP3 (1)'!$B$6:$B$100,'GP3 (1)'!$F$6:$F$100,"")</f>
        <v/>
      </c>
      <c r="AD51" s="25" t="str">
        <f>_xlfn.XLOOKUP($B51,'GP3 (2)'!$B$6:$B$100,'GP3 (2)'!$F$6:$F$100,"")</f>
        <v/>
      </c>
      <c r="AE51" s="27">
        <f>_xlfn.XLOOKUP($B51,'GP4 (1)'!$B$6:$B$66,'GP4 (1)'!$F$6:$F$66,"")</f>
        <v>9</v>
      </c>
      <c r="AF51" s="28">
        <f>_xlfn.XLOOKUP($B51,'GP4 (2)'!$B$6:$B$100,'GP4 (2)'!$F$6:$F$100,"")</f>
        <v>3</v>
      </c>
      <c r="AG51" s="24" t="str">
        <f>_xlfn.XLOOKUP($B51,'GP5 (1)'!$B$6:$B$99,'GP5 (1)'!$F$6:$F$99,"")</f>
        <v/>
      </c>
      <c r="AH51" s="26" t="str">
        <f>_xlfn.XLOOKUP($B51,'GP5 (2)'!$B$6:$B$99,'GP5 (2)'!$F$6:$F$99,"")</f>
        <v/>
      </c>
      <c r="AI51" s="27" t="str">
        <f>_xlfn.XLOOKUP($B51,'GP6 (1)'!$B$5:$B$99,'GP6 (1)'!$F$5:$F$99,"")</f>
        <v/>
      </c>
      <c r="AJ51" s="28" t="str">
        <f>_xlfn.XLOOKUP($B51,'GP6 (2)'!$B$5:$B$99,'GP6 (2)'!$F$5:$F$99,"")</f>
        <v/>
      </c>
      <c r="AK51" s="24" t="str">
        <f>_xlfn.XLOOKUP($B51,'GP7 (1)'!$B$6:$B$100,'GP7 (1)'!$F$6:$F$100,"")</f>
        <v/>
      </c>
      <c r="AL51" s="26" t="str">
        <f>_xlfn.XLOOKUP($B51,'GP7 (2)'!$B$6:$B$100,'GP7 (2)'!$F$6:$F$100,"")</f>
        <v/>
      </c>
      <c r="AM51" s="27" t="str">
        <f>_xlfn.XLOOKUP($B51,'GP8 (1)'!$B$6:$B$100,'GP8 (1)'!$F$6:$F$100,"")</f>
        <v/>
      </c>
      <c r="AN51" s="29" t="str">
        <f>_xlfn.XLOOKUP($B51,'GP8 (2)'!$B$6:$B$100,'GP8 (2)'!$F$6:$F$100,"")</f>
        <v/>
      </c>
      <c r="AO51" s="13">
        <f>SUM(AP51:BG51)</f>
        <v>-38</v>
      </c>
      <c r="AP51" s="29" t="str">
        <f>_xlfn.XLOOKUP($B51,'MP (1)'!$B$6:$B$99,'MP (1)'!$H$6:$H$99,"")</f>
        <v/>
      </c>
      <c r="AQ51" s="28" t="str">
        <f>_xlfn.XLOOKUP($B51,'MP (2)'!$B$6:$B$100,'MP (2)'!$H$6:$H$100,"")</f>
        <v/>
      </c>
      <c r="AR51" s="24" t="str">
        <f>_xlfn.XLOOKUP($B51,'GP1 (1)'!$B$6:$B$100,'GP1 (1)'!$H$6:$H$100,"")</f>
        <v/>
      </c>
      <c r="AS51" s="25" t="str">
        <f>_xlfn.XLOOKUP($B51,'GP1 (2)'!$B$6:$B$100,'GP1 (2)'!$H$6:$H$100,"")</f>
        <v/>
      </c>
      <c r="AT51" s="27" t="str">
        <f>_xlfn.XLOOKUP($B51,'GP2 (1)'!$B$6:$B$101,'GP2 (1)'!$H$6:$H$101,"")</f>
        <v/>
      </c>
      <c r="AU51" s="28" t="str">
        <f>_xlfn.XLOOKUP($B51,'GP2 (2)'!$B$6:$B$100,'GP2 (2)'!$H$6:$H$100,"")</f>
        <v/>
      </c>
      <c r="AV51" s="24" t="str">
        <f>_xlfn.XLOOKUP($B51,'GP3 (1)'!$B$6:$B$100,'GP3 (1)'!$H$6:$H$100,"")</f>
        <v/>
      </c>
      <c r="AW51" s="25" t="str">
        <f>_xlfn.XLOOKUP($B51,'GP3 (2)'!$B$6:$B$100,'GP3 (2)'!$H$6:$H$100,"")</f>
        <v/>
      </c>
      <c r="AX51" s="27">
        <f>_xlfn.XLOOKUP($B51,'GP4 (1)'!$B$6:$B$66,'GP4 (1)'!$H$6:$H$66,"")</f>
        <v>-16</v>
      </c>
      <c r="AY51" s="28">
        <f>_xlfn.XLOOKUP($B51,'GP4 (2)'!$B$6:$B$100,'GP4 (2)'!$H$6:$H$100,"")</f>
        <v>-22</v>
      </c>
      <c r="AZ51" s="24" t="str">
        <f>_xlfn.XLOOKUP($B51,'GP5 (1)'!$B$6:$B$99,'GP5 (1)'!$H$6:$H$99,"")</f>
        <v/>
      </c>
      <c r="BA51" s="25" t="str">
        <f>_xlfn.XLOOKUP($B51,'GP5 (2)'!$B$6:$B$99,'GP5 (2)'!$H$6:$H$99,"")</f>
        <v/>
      </c>
      <c r="BB51" s="27" t="str">
        <f>_xlfn.XLOOKUP($B51,'GP6 (1)'!$B$5:$B$99,'GP6 (1)'!$H$5:$H$99,"")</f>
        <v/>
      </c>
      <c r="BC51" s="28" t="str">
        <f>_xlfn.XLOOKUP($B51,'GP6 (2)'!$B$5:$B$99,'GP6 (2)'!$H$5:$H$99,"")</f>
        <v/>
      </c>
      <c r="BD51" s="24" t="str">
        <f>_xlfn.XLOOKUP($B51,'GP7 (1)'!$B$6:$B$100,'GP7 (1)'!$H$6:$H$100,"")</f>
        <v/>
      </c>
      <c r="BE51" s="25" t="str">
        <f>_xlfn.XLOOKUP($B51,'GP7 (2)'!$B$6:$B$100,'GP7 (2)'!$H$6:$H$100,"")</f>
        <v/>
      </c>
      <c r="BF51" s="27" t="str">
        <f>_xlfn.XLOOKUP($B51,'GP8 (1)'!$B$6:$B$100,'GP8 (1)'!$H$6:$H$100,"")</f>
        <v/>
      </c>
      <c r="BG51" s="32" t="str">
        <f>_xlfn.XLOOKUP($B51,'GP8 (2)'!$B$6:$B$100,'GP8 (2)'!$H$6:$H$100,"")</f>
        <v/>
      </c>
    </row>
    <row r="52" spans="1:59" ht="13.1" customHeight="1" x14ac:dyDescent="0.25">
      <c r="A52" s="1">
        <f>ROW()-4</f>
        <v>48</v>
      </c>
      <c r="B52" s="5" t="s">
        <v>60</v>
      </c>
      <c r="C52" s="30">
        <f>SUM(D52:U52)</f>
        <v>0</v>
      </c>
      <c r="D52" s="35" t="str">
        <f>_xlfn.XLOOKUP($B52,'MP (1)'!$B$6:$B$99,'MP (1)'!$E$6:$E$99,"")</f>
        <v/>
      </c>
      <c r="E52" s="36" t="str">
        <f>_xlfn.XLOOKUP($B52,'MP (2)'!$B$6:$B$100,'MP (2)'!$E$6:$E$100,"")</f>
        <v/>
      </c>
      <c r="F52" s="40" t="str">
        <f>_xlfn.XLOOKUP($B52,'GP1 (1)'!$B$6:$B$100,'GP1 (1)'!$E$6:$E$100,"")</f>
        <v/>
      </c>
      <c r="G52" s="41" t="str">
        <f>_xlfn.XLOOKUP($B52,'GP1 (2)'!$B$6:$B$100,'GP1 (2)'!$E$6:$E$100,"")</f>
        <v/>
      </c>
      <c r="H52" s="39" t="str">
        <f>_xlfn.XLOOKUP($B52,'GP2 (1)'!$B$6:$B$101,'GP2 (1)'!$E$6:$E$101,"")</f>
        <v/>
      </c>
      <c r="I52" s="36" t="str">
        <f>_xlfn.XLOOKUP($B52,'GP2 (2)'!$B$6:$B$100,'GP2 (2)'!$E$6:$E$100,"")</f>
        <v/>
      </c>
      <c r="J52" s="40" t="str">
        <f>_xlfn.XLOOKUP($B52,'GP3 (1)'!$B$6:$B$100,'GP3 (1)'!$E$6:$E$100,"")</f>
        <v/>
      </c>
      <c r="K52" s="41" t="str">
        <f>_xlfn.XLOOKUP($B52,'GP3 (2)'!$B$6:$B$100,'GP3 (2)'!$E$6:$E$100,"")</f>
        <v/>
      </c>
      <c r="L52" s="39" t="str">
        <f>_xlfn.XLOOKUP($B52,'GP4 (1)'!$B$6:$B$66,'GP4 (1)'!$E$6:$E$66,"")</f>
        <v/>
      </c>
      <c r="M52" s="36" t="str">
        <f>_xlfn.XLOOKUP($B52,'GP4 (2)'!$B$6:$B$100,'GP4 (2)'!$E$6:$E$100,"")</f>
        <v/>
      </c>
      <c r="N52" s="40" t="str">
        <f>_xlfn.XLOOKUP($B52,'GP5 (1)'!$B$6:$B$99,'GP5 (1)'!$E$6:$E$99,"")</f>
        <v/>
      </c>
      <c r="O52" s="42" t="str">
        <f>_xlfn.XLOOKUP($B52,'GP5 (2)'!$B$6:$B$99,'GP5 (2)'!$E$6:$E$99,"")</f>
        <v/>
      </c>
      <c r="P52" s="39" t="str">
        <f>_xlfn.XLOOKUP($B52,'GP6 (1)'!$B$5:$B$99,'GP6 (1)'!$E$5:$E$99,"")</f>
        <v/>
      </c>
      <c r="Q52" s="36" t="str">
        <f>_xlfn.XLOOKUP($B52,'GP6 (2)'!$B$5:$B$99,'GP6 (2)'!$E$5:$E$99,"")</f>
        <v/>
      </c>
      <c r="R52" s="40" t="str">
        <f>_xlfn.XLOOKUP($B52,'GP7 (1)'!$B$6:$B$100,'GP7 (1)'!$E$6:$E$100,"")</f>
        <v/>
      </c>
      <c r="S52" s="42" t="str">
        <f>_xlfn.XLOOKUP($B52,'GP7 (2)'!$B$6:$B$100,'GP7 (2)'!$E$6:$E$100,"")</f>
        <v/>
      </c>
      <c r="T52" s="39" t="str">
        <f>_xlfn.XLOOKUP($B52,'GP8 (1)'!$B$6:$B$100,'GP8 (1)'!$E$6:$E$100,"")</f>
        <v/>
      </c>
      <c r="U52" s="35" t="str">
        <f>_xlfn.XLOOKUP($B52,'GP8 (2)'!$B$6:$B$100,'GP8 (2)'!$E$6:$E$100,"")</f>
        <v/>
      </c>
      <c r="V52" s="13">
        <f>SUM(W52:AN52)</f>
        <v>0</v>
      </c>
      <c r="W52" s="29" t="str">
        <f>_xlfn.XLOOKUP($B52,'MP (1)'!$B$6:$B$99,'MP (1)'!$F$6:$F$99,"")</f>
        <v/>
      </c>
      <c r="X52" s="28" t="str">
        <f>_xlfn.XLOOKUP($B52,'MP (2)'!$B$6:$B$100,'MP (2)'!$F$6:$F$100,"")</f>
        <v/>
      </c>
      <c r="Y52" s="24" t="str">
        <f>_xlfn.XLOOKUP($B52,'GP1 (1)'!$B$6:$B$100,'GP1 (1)'!$F$6:$F$100,"")</f>
        <v/>
      </c>
      <c r="Z52" s="25" t="str">
        <f>_xlfn.XLOOKUP($B52,'GP1 (2)'!$B$6:$B$100,'GP1 (2)'!$F$6:$F$100,"")</f>
        <v/>
      </c>
      <c r="AA52" s="27" t="str">
        <f>_xlfn.XLOOKUP($B52,'GP2 (1)'!$B$6:$B$101,'GP2 (1)'!$F$6:$F$101,"")</f>
        <v/>
      </c>
      <c r="AB52" s="28" t="str">
        <f>_xlfn.XLOOKUP($B52,'GP2 (2)'!$B$6:$B$100,'GP2 (2)'!$F$6:$F$100,"")</f>
        <v/>
      </c>
      <c r="AC52" s="24" t="str">
        <f>_xlfn.XLOOKUP($B52,'GP3 (1)'!$B$6:$B$100,'GP3 (1)'!$F$6:$F$100,"")</f>
        <v/>
      </c>
      <c r="AD52" s="25" t="str">
        <f>_xlfn.XLOOKUP($B52,'GP3 (2)'!$B$6:$B$100,'GP3 (2)'!$F$6:$F$100,"")</f>
        <v/>
      </c>
      <c r="AE52" s="27" t="str">
        <f>_xlfn.XLOOKUP($B52,'GP4 (1)'!$B$6:$B$66,'GP4 (1)'!$F$6:$F$66,"")</f>
        <v/>
      </c>
      <c r="AF52" s="28" t="str">
        <f>_xlfn.XLOOKUP($B52,'GP4 (2)'!$B$6:$B$100,'GP4 (2)'!$F$6:$F$100,"")</f>
        <v/>
      </c>
      <c r="AG52" s="24" t="str">
        <f>_xlfn.XLOOKUP($B52,'GP5 (1)'!$B$6:$B$99,'GP5 (1)'!$F$6:$F$99,"")</f>
        <v/>
      </c>
      <c r="AH52" s="26" t="str">
        <f>_xlfn.XLOOKUP($B52,'GP5 (2)'!$B$6:$B$99,'GP5 (2)'!$F$6:$F$99,"")</f>
        <v/>
      </c>
      <c r="AI52" s="27" t="str">
        <f>_xlfn.XLOOKUP($B52,'GP6 (1)'!$B$5:$B$99,'GP6 (1)'!$F$5:$F$99,"")</f>
        <v/>
      </c>
      <c r="AJ52" s="28" t="str">
        <f>_xlfn.XLOOKUP($B52,'GP6 (2)'!$B$5:$B$99,'GP6 (2)'!$F$5:$F$99,"")</f>
        <v/>
      </c>
      <c r="AK52" s="24" t="str">
        <f>_xlfn.XLOOKUP($B52,'GP7 (1)'!$B$6:$B$100,'GP7 (1)'!$F$6:$F$100,"")</f>
        <v/>
      </c>
      <c r="AL52" s="26" t="str">
        <f>_xlfn.XLOOKUP($B52,'GP7 (2)'!$B$6:$B$100,'GP7 (2)'!$F$6:$F$100,"")</f>
        <v/>
      </c>
      <c r="AM52" s="27" t="str">
        <f>_xlfn.XLOOKUP($B52,'GP8 (1)'!$B$6:$B$100,'GP8 (1)'!$F$6:$F$100,"")</f>
        <v/>
      </c>
      <c r="AN52" s="29" t="str">
        <f>_xlfn.XLOOKUP($B52,'GP8 (2)'!$B$6:$B$100,'GP8 (2)'!$F$6:$F$100,"")</f>
        <v/>
      </c>
      <c r="AO52" s="13">
        <f>SUM(AP52:BG52)</f>
        <v>0</v>
      </c>
      <c r="AP52" s="29" t="str">
        <f>_xlfn.XLOOKUP($B52,'MP (1)'!$B$6:$B$99,'MP (1)'!$H$6:$H$99,"")</f>
        <v/>
      </c>
      <c r="AQ52" s="28" t="str">
        <f>_xlfn.XLOOKUP($B52,'MP (2)'!$B$6:$B$100,'MP (2)'!$H$6:$H$100,"")</f>
        <v/>
      </c>
      <c r="AR52" s="24" t="str">
        <f>_xlfn.XLOOKUP($B52,'GP1 (1)'!$B$6:$B$100,'GP1 (1)'!$H$6:$H$100,"")</f>
        <v/>
      </c>
      <c r="AS52" s="25" t="str">
        <f>_xlfn.XLOOKUP($B52,'GP1 (2)'!$B$6:$B$100,'GP1 (2)'!$H$6:$H$100,"")</f>
        <v/>
      </c>
      <c r="AT52" s="27" t="str">
        <f>_xlfn.XLOOKUP($B52,'GP2 (1)'!$B$6:$B$101,'GP2 (1)'!$H$6:$H$101,"")</f>
        <v/>
      </c>
      <c r="AU52" s="28" t="str">
        <f>_xlfn.XLOOKUP($B52,'GP2 (2)'!$B$6:$B$100,'GP2 (2)'!$H$6:$H$100,"")</f>
        <v/>
      </c>
      <c r="AV52" s="24" t="str">
        <f>_xlfn.XLOOKUP($B52,'GP3 (1)'!$B$6:$B$100,'GP3 (1)'!$H$6:$H$100,"")</f>
        <v/>
      </c>
      <c r="AW52" s="25" t="str">
        <f>_xlfn.XLOOKUP($B52,'GP3 (2)'!$B$6:$B$100,'GP3 (2)'!$H$6:$H$100,"")</f>
        <v/>
      </c>
      <c r="AX52" s="27" t="str">
        <f>_xlfn.XLOOKUP($B52,'GP4 (1)'!$B$6:$B$66,'GP4 (1)'!$H$6:$H$66,"")</f>
        <v/>
      </c>
      <c r="AY52" s="28" t="str">
        <f>_xlfn.XLOOKUP($B52,'GP4 (2)'!$B$6:$B$100,'GP4 (2)'!$H$6:$H$100,"")</f>
        <v/>
      </c>
      <c r="AZ52" s="24" t="str">
        <f>_xlfn.XLOOKUP($B52,'GP5 (1)'!$B$6:$B$99,'GP5 (1)'!$H$6:$H$99,"")</f>
        <v/>
      </c>
      <c r="BA52" s="25" t="str">
        <f>_xlfn.XLOOKUP($B52,'GP5 (2)'!$B$6:$B$99,'GP5 (2)'!$H$6:$H$99,"")</f>
        <v/>
      </c>
      <c r="BB52" s="27" t="str">
        <f>_xlfn.XLOOKUP($B52,'GP6 (1)'!$B$5:$B$99,'GP6 (1)'!$H$5:$H$99,"")</f>
        <v/>
      </c>
      <c r="BC52" s="28" t="str">
        <f>_xlfn.XLOOKUP($B52,'GP6 (2)'!$B$5:$B$99,'GP6 (2)'!$H$5:$H$99,"")</f>
        <v/>
      </c>
      <c r="BD52" s="24" t="str">
        <f>_xlfn.XLOOKUP($B52,'GP7 (1)'!$B$6:$B$100,'GP7 (1)'!$H$6:$H$100,"")</f>
        <v/>
      </c>
      <c r="BE52" s="25" t="str">
        <f>_xlfn.XLOOKUP($B52,'GP7 (2)'!$B$6:$B$100,'GP7 (2)'!$H$6:$H$100,"")</f>
        <v/>
      </c>
      <c r="BF52" s="27" t="str">
        <f>_xlfn.XLOOKUP($B52,'GP8 (1)'!$B$6:$B$100,'GP8 (1)'!$H$6:$H$100,"")</f>
        <v/>
      </c>
      <c r="BG52" s="32" t="str">
        <f>_xlfn.XLOOKUP($B52,'GP8 (2)'!$B$6:$B$100,'GP8 (2)'!$H$6:$H$100,"")</f>
        <v/>
      </c>
    </row>
    <row r="53" spans="1:59" ht="13.1" customHeight="1" x14ac:dyDescent="0.25">
      <c r="A53" s="1">
        <f>ROW()-4</f>
        <v>49</v>
      </c>
      <c r="B53" s="5" t="s">
        <v>63</v>
      </c>
      <c r="C53" s="30">
        <f>SUM(D53:U53)</f>
        <v>0</v>
      </c>
      <c r="D53" s="35" t="str">
        <f>_xlfn.XLOOKUP($B53,'MP (1)'!$B$6:$B$99,'MP (1)'!$E$6:$E$99,"")</f>
        <v/>
      </c>
      <c r="E53" s="36" t="str">
        <f>_xlfn.XLOOKUP($B53,'MP (2)'!$B$6:$B$100,'MP (2)'!$E$6:$E$100,"")</f>
        <v/>
      </c>
      <c r="F53" s="40" t="str">
        <f>_xlfn.XLOOKUP($B53,'GP1 (1)'!$B$6:$B$100,'GP1 (1)'!$E$6:$E$100,"")</f>
        <v/>
      </c>
      <c r="G53" s="41" t="str">
        <f>_xlfn.XLOOKUP($B53,'GP1 (2)'!$B$6:$B$100,'GP1 (2)'!$E$6:$E$100,"")</f>
        <v/>
      </c>
      <c r="H53" s="39" t="str">
        <f>_xlfn.XLOOKUP($B53,'GP2 (1)'!$B$6:$B$101,'GP2 (1)'!$E$6:$E$101,"")</f>
        <v/>
      </c>
      <c r="I53" s="36" t="str">
        <f>_xlfn.XLOOKUP($B53,'GP2 (2)'!$B$6:$B$100,'GP2 (2)'!$E$6:$E$100,"")</f>
        <v/>
      </c>
      <c r="J53" s="40" t="str">
        <f>_xlfn.XLOOKUP($B53,'GP3 (1)'!$B$6:$B$100,'GP3 (1)'!$E$6:$E$100,"")</f>
        <v/>
      </c>
      <c r="K53" s="41" t="str">
        <f>_xlfn.XLOOKUP($B53,'GP3 (2)'!$B$6:$B$100,'GP3 (2)'!$E$6:$E$100,"")</f>
        <v/>
      </c>
      <c r="L53" s="39" t="str">
        <f>_xlfn.XLOOKUP($B53,'GP4 (1)'!$B$6:$B$66,'GP4 (1)'!$E$6:$E$66,"")</f>
        <v/>
      </c>
      <c r="M53" s="36" t="str">
        <f>_xlfn.XLOOKUP($B53,'GP4 (2)'!$B$6:$B$100,'GP4 (2)'!$E$6:$E$100,"")</f>
        <v/>
      </c>
      <c r="N53" s="40" t="str">
        <f>_xlfn.XLOOKUP($B53,'GP5 (1)'!$B$6:$B$99,'GP5 (1)'!$E$6:$E$99,"")</f>
        <v/>
      </c>
      <c r="O53" s="42" t="str">
        <f>_xlfn.XLOOKUP($B53,'GP5 (2)'!$B$6:$B$99,'GP5 (2)'!$E$6:$E$99,"")</f>
        <v/>
      </c>
      <c r="P53" s="39" t="str">
        <f>_xlfn.XLOOKUP($B53,'GP6 (1)'!$B$5:$B$99,'GP6 (1)'!$E$5:$E$99,"")</f>
        <v/>
      </c>
      <c r="Q53" s="36" t="str">
        <f>_xlfn.XLOOKUP($B53,'GP6 (2)'!$B$5:$B$99,'GP6 (2)'!$E$5:$E$99,"")</f>
        <v/>
      </c>
      <c r="R53" s="40" t="str">
        <f>_xlfn.XLOOKUP($B53,'GP7 (1)'!$B$6:$B$100,'GP7 (1)'!$E$6:$E$100,"")</f>
        <v/>
      </c>
      <c r="S53" s="42" t="str">
        <f>_xlfn.XLOOKUP($B53,'GP7 (2)'!$B$6:$B$100,'GP7 (2)'!$E$6:$E$100,"")</f>
        <v/>
      </c>
      <c r="T53" s="39" t="str">
        <f>_xlfn.XLOOKUP($B53,'GP8 (1)'!$B$6:$B$100,'GP8 (1)'!$E$6:$E$100,"")</f>
        <v/>
      </c>
      <c r="U53" s="35" t="str">
        <f>_xlfn.XLOOKUP($B53,'GP8 (2)'!$B$6:$B$100,'GP8 (2)'!$E$6:$E$100,"")</f>
        <v/>
      </c>
      <c r="V53" s="13">
        <f>SUM(W53:AN53)</f>
        <v>0</v>
      </c>
      <c r="W53" s="29" t="str">
        <f>_xlfn.XLOOKUP($B53,'MP (1)'!$B$6:$B$99,'MP (1)'!$F$6:$F$99,"")</f>
        <v/>
      </c>
      <c r="X53" s="28" t="str">
        <f>_xlfn.XLOOKUP($B53,'MP (2)'!$B$6:$B$100,'MP (2)'!$F$6:$F$100,"")</f>
        <v/>
      </c>
      <c r="Y53" s="24" t="str">
        <f>_xlfn.XLOOKUP($B53,'GP1 (1)'!$B$6:$B$100,'GP1 (1)'!$F$6:$F$100,"")</f>
        <v/>
      </c>
      <c r="Z53" s="25" t="str">
        <f>_xlfn.XLOOKUP($B53,'GP1 (2)'!$B$6:$B$100,'GP1 (2)'!$F$6:$F$100,"")</f>
        <v/>
      </c>
      <c r="AA53" s="27" t="str">
        <f>_xlfn.XLOOKUP($B53,'GP2 (1)'!$B$6:$B$101,'GP2 (1)'!$F$6:$F$101,"")</f>
        <v/>
      </c>
      <c r="AB53" s="28" t="str">
        <f>_xlfn.XLOOKUP($B53,'GP2 (2)'!$B$6:$B$100,'GP2 (2)'!$F$6:$F$100,"")</f>
        <v/>
      </c>
      <c r="AC53" s="24" t="str">
        <f>_xlfn.XLOOKUP($B53,'GP3 (1)'!$B$6:$B$100,'GP3 (1)'!$F$6:$F$100,"")</f>
        <v/>
      </c>
      <c r="AD53" s="25" t="str">
        <f>_xlfn.XLOOKUP($B53,'GP3 (2)'!$B$6:$B$100,'GP3 (2)'!$F$6:$F$100,"")</f>
        <v/>
      </c>
      <c r="AE53" s="27" t="str">
        <f>_xlfn.XLOOKUP($B53,'GP4 (1)'!$B$6:$B$66,'GP4 (1)'!$F$6:$F$66,"")</f>
        <v/>
      </c>
      <c r="AF53" s="28" t="str">
        <f>_xlfn.XLOOKUP($B53,'GP4 (2)'!$B$6:$B$100,'GP4 (2)'!$F$6:$F$100,"")</f>
        <v/>
      </c>
      <c r="AG53" s="24" t="str">
        <f>_xlfn.XLOOKUP($B53,'GP5 (1)'!$B$6:$B$99,'GP5 (1)'!$F$6:$F$99,"")</f>
        <v/>
      </c>
      <c r="AH53" s="26" t="str">
        <f>_xlfn.XLOOKUP($B53,'GP5 (2)'!$B$6:$B$99,'GP5 (2)'!$F$6:$F$99,"")</f>
        <v/>
      </c>
      <c r="AI53" s="27" t="str">
        <f>_xlfn.XLOOKUP($B53,'GP6 (1)'!$B$5:$B$99,'GP6 (1)'!$F$5:$F$99,"")</f>
        <v/>
      </c>
      <c r="AJ53" s="28" t="str">
        <f>_xlfn.XLOOKUP($B53,'GP6 (2)'!$B$5:$B$99,'GP6 (2)'!$F$5:$F$99,"")</f>
        <v/>
      </c>
      <c r="AK53" s="24" t="str">
        <f>_xlfn.XLOOKUP($B53,'GP7 (1)'!$B$6:$B$100,'GP7 (1)'!$F$6:$F$100,"")</f>
        <v/>
      </c>
      <c r="AL53" s="26" t="str">
        <f>_xlfn.XLOOKUP($B53,'GP7 (2)'!$B$6:$B$100,'GP7 (2)'!$F$6:$F$100,"")</f>
        <v/>
      </c>
      <c r="AM53" s="27" t="str">
        <f>_xlfn.XLOOKUP($B53,'GP8 (1)'!$B$6:$B$100,'GP8 (1)'!$F$6:$F$100,"")</f>
        <v/>
      </c>
      <c r="AN53" s="29" t="str">
        <f>_xlfn.XLOOKUP($B53,'GP8 (2)'!$B$6:$B$100,'GP8 (2)'!$F$6:$F$100,"")</f>
        <v/>
      </c>
      <c r="AO53" s="13">
        <f>SUM(AP53:BG53)</f>
        <v>0</v>
      </c>
      <c r="AP53" s="29" t="str">
        <f>_xlfn.XLOOKUP($B53,'MP (1)'!$B$6:$B$99,'MP (1)'!$H$6:$H$99,"")</f>
        <v/>
      </c>
      <c r="AQ53" s="28" t="str">
        <f>_xlfn.XLOOKUP($B53,'MP (2)'!$B$6:$B$100,'MP (2)'!$H$6:$H$100,"")</f>
        <v/>
      </c>
      <c r="AR53" s="24" t="str">
        <f>_xlfn.XLOOKUP($B53,'GP1 (1)'!$B$6:$B$100,'GP1 (1)'!$H$6:$H$100,"")</f>
        <v/>
      </c>
      <c r="AS53" s="25" t="str">
        <f>_xlfn.XLOOKUP($B53,'GP1 (2)'!$B$6:$B$100,'GP1 (2)'!$H$6:$H$100,"")</f>
        <v/>
      </c>
      <c r="AT53" s="27" t="str">
        <f>_xlfn.XLOOKUP($B53,'GP2 (1)'!$B$6:$B$101,'GP2 (1)'!$H$6:$H$101,"")</f>
        <v/>
      </c>
      <c r="AU53" s="28" t="str">
        <f>_xlfn.XLOOKUP($B53,'GP2 (2)'!$B$6:$B$100,'GP2 (2)'!$H$6:$H$100,"")</f>
        <v/>
      </c>
      <c r="AV53" s="24" t="str">
        <f>_xlfn.XLOOKUP($B53,'GP3 (1)'!$B$6:$B$100,'GP3 (1)'!$H$6:$H$100,"")</f>
        <v/>
      </c>
      <c r="AW53" s="25" t="str">
        <f>_xlfn.XLOOKUP($B53,'GP3 (2)'!$B$6:$B$100,'GP3 (2)'!$H$6:$H$100,"")</f>
        <v/>
      </c>
      <c r="AX53" s="27" t="str">
        <f>_xlfn.XLOOKUP($B53,'GP4 (1)'!$B$6:$B$66,'GP4 (1)'!$H$6:$H$66,"")</f>
        <v/>
      </c>
      <c r="AY53" s="28" t="str">
        <f>_xlfn.XLOOKUP($B53,'GP4 (2)'!$B$6:$B$100,'GP4 (2)'!$H$6:$H$100,"")</f>
        <v/>
      </c>
      <c r="AZ53" s="24" t="str">
        <f>_xlfn.XLOOKUP($B53,'GP5 (1)'!$B$6:$B$99,'GP5 (1)'!$H$6:$H$99,"")</f>
        <v/>
      </c>
      <c r="BA53" s="25" t="str">
        <f>_xlfn.XLOOKUP($B53,'GP5 (2)'!$B$6:$B$99,'GP5 (2)'!$H$6:$H$99,"")</f>
        <v/>
      </c>
      <c r="BB53" s="27" t="str">
        <f>_xlfn.XLOOKUP($B53,'GP6 (1)'!$B$5:$B$99,'GP6 (1)'!$H$5:$H$99,"")</f>
        <v/>
      </c>
      <c r="BC53" s="28" t="str">
        <f>_xlfn.XLOOKUP($B53,'GP6 (2)'!$B$5:$B$99,'GP6 (2)'!$H$5:$H$99,"")</f>
        <v/>
      </c>
      <c r="BD53" s="24" t="str">
        <f>_xlfn.XLOOKUP($B53,'GP7 (1)'!$B$6:$B$100,'GP7 (1)'!$H$6:$H$100,"")</f>
        <v/>
      </c>
      <c r="BE53" s="25" t="str">
        <f>_xlfn.XLOOKUP($B53,'GP7 (2)'!$B$6:$B$100,'GP7 (2)'!$H$6:$H$100,"")</f>
        <v/>
      </c>
      <c r="BF53" s="27" t="str">
        <f>_xlfn.XLOOKUP($B53,'GP8 (1)'!$B$6:$B$100,'GP8 (1)'!$H$6:$H$100,"")</f>
        <v/>
      </c>
      <c r="BG53" s="32" t="str">
        <f>_xlfn.XLOOKUP($B53,'GP8 (2)'!$B$6:$B$100,'GP8 (2)'!$H$6:$H$100,"")</f>
        <v/>
      </c>
    </row>
    <row r="54" spans="1:59" ht="13.1" customHeight="1" x14ac:dyDescent="0.25">
      <c r="A54" s="1">
        <f>ROW()-4</f>
        <v>50</v>
      </c>
      <c r="B54" s="5" t="s">
        <v>64</v>
      </c>
      <c r="C54" s="30">
        <f>SUM(D54:U54)</f>
        <v>0</v>
      </c>
      <c r="D54" s="35" t="str">
        <f>_xlfn.XLOOKUP($B54,'MP (1)'!$B$6:$B$99,'MP (1)'!$E$6:$E$99,"")</f>
        <v/>
      </c>
      <c r="E54" s="36" t="str">
        <f>_xlfn.XLOOKUP($B54,'MP (2)'!$B$6:$B$100,'MP (2)'!$E$6:$E$100,"")</f>
        <v/>
      </c>
      <c r="F54" s="40" t="str">
        <f>_xlfn.XLOOKUP($B54,'GP1 (1)'!$B$6:$B$100,'GP1 (1)'!$E$6:$E$100,"")</f>
        <v/>
      </c>
      <c r="G54" s="41" t="str">
        <f>_xlfn.XLOOKUP($B54,'GP1 (2)'!$B$6:$B$100,'GP1 (2)'!$E$6:$E$100,"")</f>
        <v/>
      </c>
      <c r="H54" s="39" t="str">
        <f>_xlfn.XLOOKUP($B54,'GP2 (1)'!$B$6:$B$101,'GP2 (1)'!$E$6:$E$101,"")</f>
        <v/>
      </c>
      <c r="I54" s="36" t="str">
        <f>_xlfn.XLOOKUP($B54,'GP2 (2)'!$B$6:$B$100,'GP2 (2)'!$E$6:$E$100,"")</f>
        <v/>
      </c>
      <c r="J54" s="40" t="str">
        <f>_xlfn.XLOOKUP($B54,'GP3 (1)'!$B$6:$B$100,'GP3 (1)'!$E$6:$E$100,"")</f>
        <v/>
      </c>
      <c r="K54" s="41" t="str">
        <f>_xlfn.XLOOKUP($B54,'GP3 (2)'!$B$6:$B$100,'GP3 (2)'!$E$6:$E$100,"")</f>
        <v/>
      </c>
      <c r="L54" s="39" t="str">
        <f>_xlfn.XLOOKUP($B54,'GP4 (1)'!$B$6:$B$66,'GP4 (1)'!$E$6:$E$66,"")</f>
        <v/>
      </c>
      <c r="M54" s="36" t="str">
        <f>_xlfn.XLOOKUP($B54,'GP4 (2)'!$B$6:$B$100,'GP4 (2)'!$E$6:$E$100,"")</f>
        <v/>
      </c>
      <c r="N54" s="40" t="str">
        <f>_xlfn.XLOOKUP($B54,'GP5 (1)'!$B$6:$B$99,'GP5 (1)'!$E$6:$E$99,"")</f>
        <v/>
      </c>
      <c r="O54" s="42" t="str">
        <f>_xlfn.XLOOKUP($B54,'GP5 (2)'!$B$6:$B$99,'GP5 (2)'!$E$6:$E$99,"")</f>
        <v/>
      </c>
      <c r="P54" s="39" t="str">
        <f>_xlfn.XLOOKUP($B54,'GP6 (1)'!$B$5:$B$99,'GP6 (1)'!$E$5:$E$99,"")</f>
        <v/>
      </c>
      <c r="Q54" s="36" t="str">
        <f>_xlfn.XLOOKUP($B54,'GP6 (2)'!$B$5:$B$99,'GP6 (2)'!$E$5:$E$99,"")</f>
        <v/>
      </c>
      <c r="R54" s="40" t="str">
        <f>_xlfn.XLOOKUP($B54,'GP7 (1)'!$B$6:$B$100,'GP7 (1)'!$E$6:$E$100,"")</f>
        <v/>
      </c>
      <c r="S54" s="42" t="str">
        <f>_xlfn.XLOOKUP($B54,'GP7 (2)'!$B$6:$B$100,'GP7 (2)'!$E$6:$E$100,"")</f>
        <v/>
      </c>
      <c r="T54" s="39" t="str">
        <f>_xlfn.XLOOKUP($B54,'GP8 (1)'!$B$6:$B$100,'GP8 (1)'!$E$6:$E$100,"")</f>
        <v/>
      </c>
      <c r="U54" s="35" t="str">
        <f>_xlfn.XLOOKUP($B54,'GP8 (2)'!$B$6:$B$100,'GP8 (2)'!$E$6:$E$100,"")</f>
        <v/>
      </c>
      <c r="V54" s="13">
        <f>SUM(W54:AN54)</f>
        <v>0</v>
      </c>
      <c r="W54" s="29" t="str">
        <f>_xlfn.XLOOKUP($B54,'MP (1)'!$B$6:$B$99,'MP (1)'!$F$6:$F$99,"")</f>
        <v/>
      </c>
      <c r="X54" s="28" t="str">
        <f>_xlfn.XLOOKUP($B54,'MP (2)'!$B$6:$B$100,'MP (2)'!$F$6:$F$100,"")</f>
        <v/>
      </c>
      <c r="Y54" s="24" t="str">
        <f>_xlfn.XLOOKUP($B54,'GP1 (1)'!$B$6:$B$100,'GP1 (1)'!$F$6:$F$100,"")</f>
        <v/>
      </c>
      <c r="Z54" s="25" t="str">
        <f>_xlfn.XLOOKUP($B54,'GP1 (2)'!$B$6:$B$100,'GP1 (2)'!$F$6:$F$100,"")</f>
        <v/>
      </c>
      <c r="AA54" s="27" t="str">
        <f>_xlfn.XLOOKUP($B54,'GP2 (1)'!$B$6:$B$101,'GP2 (1)'!$F$6:$F$101,"")</f>
        <v/>
      </c>
      <c r="AB54" s="28" t="str">
        <f>_xlfn.XLOOKUP($B54,'GP2 (2)'!$B$6:$B$100,'GP2 (2)'!$F$6:$F$100,"")</f>
        <v/>
      </c>
      <c r="AC54" s="24" t="str">
        <f>_xlfn.XLOOKUP($B54,'GP3 (1)'!$B$6:$B$100,'GP3 (1)'!$F$6:$F$100,"")</f>
        <v/>
      </c>
      <c r="AD54" s="25" t="str">
        <f>_xlfn.XLOOKUP($B54,'GP3 (2)'!$B$6:$B$100,'GP3 (2)'!$F$6:$F$100,"")</f>
        <v/>
      </c>
      <c r="AE54" s="27" t="str">
        <f>_xlfn.XLOOKUP($B54,'GP4 (1)'!$B$6:$B$66,'GP4 (1)'!$F$6:$F$66,"")</f>
        <v/>
      </c>
      <c r="AF54" s="28" t="str">
        <f>_xlfn.XLOOKUP($B54,'GP4 (2)'!$B$6:$B$100,'GP4 (2)'!$F$6:$F$100,"")</f>
        <v/>
      </c>
      <c r="AG54" s="24" t="str">
        <f>_xlfn.XLOOKUP($B54,'GP5 (1)'!$B$6:$B$99,'GP5 (1)'!$F$6:$F$99,"")</f>
        <v/>
      </c>
      <c r="AH54" s="26" t="str">
        <f>_xlfn.XLOOKUP($B54,'GP5 (2)'!$B$6:$B$99,'GP5 (2)'!$F$6:$F$99,"")</f>
        <v/>
      </c>
      <c r="AI54" s="27" t="str">
        <f>_xlfn.XLOOKUP($B54,'GP6 (1)'!$B$5:$B$99,'GP6 (1)'!$F$5:$F$99,"")</f>
        <v/>
      </c>
      <c r="AJ54" s="28" t="str">
        <f>_xlfn.XLOOKUP($B54,'GP6 (2)'!$B$5:$B$99,'GP6 (2)'!$F$5:$F$99,"")</f>
        <v/>
      </c>
      <c r="AK54" s="24" t="str">
        <f>_xlfn.XLOOKUP($B54,'GP7 (1)'!$B$6:$B$100,'GP7 (1)'!$F$6:$F$100,"")</f>
        <v/>
      </c>
      <c r="AL54" s="26" t="str">
        <f>_xlfn.XLOOKUP($B54,'GP7 (2)'!$B$6:$B$100,'GP7 (2)'!$F$6:$F$100,"")</f>
        <v/>
      </c>
      <c r="AM54" s="27" t="str">
        <f>_xlfn.XLOOKUP($B54,'GP8 (1)'!$B$6:$B$100,'GP8 (1)'!$F$6:$F$100,"")</f>
        <v/>
      </c>
      <c r="AN54" s="29" t="str">
        <f>_xlfn.XLOOKUP($B54,'GP8 (2)'!$B$6:$B$100,'GP8 (2)'!$F$6:$F$100,"")</f>
        <v/>
      </c>
      <c r="AO54" s="13">
        <f>SUM(AP54:BG54)</f>
        <v>0</v>
      </c>
      <c r="AP54" s="29" t="str">
        <f>_xlfn.XLOOKUP($B54,'MP (1)'!$B$6:$B$99,'MP (1)'!$H$6:$H$99,"")</f>
        <v/>
      </c>
      <c r="AQ54" s="28" t="str">
        <f>_xlfn.XLOOKUP($B54,'MP (2)'!$B$6:$B$100,'MP (2)'!$H$6:$H$100,"")</f>
        <v/>
      </c>
      <c r="AR54" s="24" t="str">
        <f>_xlfn.XLOOKUP($B54,'GP1 (1)'!$B$6:$B$100,'GP1 (1)'!$H$6:$H$100,"")</f>
        <v/>
      </c>
      <c r="AS54" s="25" t="str">
        <f>_xlfn.XLOOKUP($B54,'GP1 (2)'!$B$6:$B$100,'GP1 (2)'!$H$6:$H$100,"")</f>
        <v/>
      </c>
      <c r="AT54" s="27" t="str">
        <f>_xlfn.XLOOKUP($B54,'GP2 (1)'!$B$6:$B$101,'GP2 (1)'!$H$6:$H$101,"")</f>
        <v/>
      </c>
      <c r="AU54" s="28" t="str">
        <f>_xlfn.XLOOKUP($B54,'GP2 (2)'!$B$6:$B$100,'GP2 (2)'!$H$6:$H$100,"")</f>
        <v/>
      </c>
      <c r="AV54" s="24" t="str">
        <f>_xlfn.XLOOKUP($B54,'GP3 (1)'!$B$6:$B$100,'GP3 (1)'!$H$6:$H$100,"")</f>
        <v/>
      </c>
      <c r="AW54" s="25" t="str">
        <f>_xlfn.XLOOKUP($B54,'GP3 (2)'!$B$6:$B$100,'GP3 (2)'!$H$6:$H$100,"")</f>
        <v/>
      </c>
      <c r="AX54" s="27" t="str">
        <f>_xlfn.XLOOKUP($B54,'GP4 (1)'!$B$6:$B$66,'GP4 (1)'!$H$6:$H$66,"")</f>
        <v/>
      </c>
      <c r="AY54" s="28" t="str">
        <f>_xlfn.XLOOKUP($B54,'GP4 (2)'!$B$6:$B$100,'GP4 (2)'!$H$6:$H$100,"")</f>
        <v/>
      </c>
      <c r="AZ54" s="24" t="str">
        <f>_xlfn.XLOOKUP($B54,'GP5 (1)'!$B$6:$B$99,'GP5 (1)'!$H$6:$H$99,"")</f>
        <v/>
      </c>
      <c r="BA54" s="25" t="str">
        <f>_xlfn.XLOOKUP($B54,'GP5 (2)'!$B$6:$B$99,'GP5 (2)'!$H$6:$H$99,"")</f>
        <v/>
      </c>
      <c r="BB54" s="27" t="str">
        <f>_xlfn.XLOOKUP($B54,'GP6 (1)'!$B$5:$B$99,'GP6 (1)'!$H$5:$H$99,"")</f>
        <v/>
      </c>
      <c r="BC54" s="28" t="str">
        <f>_xlfn.XLOOKUP($B54,'GP6 (2)'!$B$5:$B$99,'GP6 (2)'!$H$5:$H$99,"")</f>
        <v/>
      </c>
      <c r="BD54" s="24" t="str">
        <f>_xlfn.XLOOKUP($B54,'GP7 (1)'!$B$6:$B$100,'GP7 (1)'!$H$6:$H$100,"")</f>
        <v/>
      </c>
      <c r="BE54" s="25" t="str">
        <f>_xlfn.XLOOKUP($B54,'GP7 (2)'!$B$6:$B$100,'GP7 (2)'!$H$6:$H$100,"")</f>
        <v/>
      </c>
      <c r="BF54" s="27" t="str">
        <f>_xlfn.XLOOKUP($B54,'GP8 (1)'!$B$6:$B$100,'GP8 (1)'!$H$6:$H$100,"")</f>
        <v/>
      </c>
      <c r="BG54" s="32" t="str">
        <f>_xlfn.XLOOKUP($B54,'GP8 (2)'!$B$6:$B$100,'GP8 (2)'!$H$6:$H$100,"")</f>
        <v/>
      </c>
    </row>
    <row r="55" spans="1:59" ht="13.1" customHeight="1" x14ac:dyDescent="0.25">
      <c r="A55" s="1">
        <f>ROW()-4</f>
        <v>51</v>
      </c>
      <c r="B55" s="5" t="s">
        <v>62</v>
      </c>
      <c r="C55" s="30">
        <f>SUM(D55:U55)</f>
        <v>0</v>
      </c>
      <c r="D55" s="35" t="str">
        <f>_xlfn.XLOOKUP($B55,'MP (1)'!$B$6:$B$99,'MP (1)'!$E$6:$E$99,"")</f>
        <v/>
      </c>
      <c r="E55" s="36" t="str">
        <f>_xlfn.XLOOKUP($B55,'MP (2)'!$B$6:$B$100,'MP (2)'!$E$6:$E$100,"")</f>
        <v/>
      </c>
      <c r="F55" s="40" t="str">
        <f>_xlfn.XLOOKUP($B55,'GP1 (1)'!$B$6:$B$100,'GP1 (1)'!$E$6:$E$100,"")</f>
        <v/>
      </c>
      <c r="G55" s="41" t="str">
        <f>_xlfn.XLOOKUP($B55,'GP1 (2)'!$B$6:$B$100,'GP1 (2)'!$E$6:$E$100,"")</f>
        <v/>
      </c>
      <c r="H55" s="39" t="str">
        <f>_xlfn.XLOOKUP($B55,'GP2 (1)'!$B$6:$B$101,'GP2 (1)'!$E$6:$E$101,"")</f>
        <v/>
      </c>
      <c r="I55" s="36" t="str">
        <f>_xlfn.XLOOKUP($B55,'GP2 (2)'!$B$6:$B$100,'GP2 (2)'!$E$6:$E$100,"")</f>
        <v/>
      </c>
      <c r="J55" s="40" t="str">
        <f>_xlfn.XLOOKUP($B55,'GP3 (1)'!$B$6:$B$100,'GP3 (1)'!$E$6:$E$100,"")</f>
        <v/>
      </c>
      <c r="K55" s="41" t="str">
        <f>_xlfn.XLOOKUP($B55,'GP3 (2)'!$B$6:$B$100,'GP3 (2)'!$E$6:$E$100,"")</f>
        <v/>
      </c>
      <c r="L55" s="39" t="str">
        <f>_xlfn.XLOOKUP($B55,'GP4 (1)'!$B$6:$B$66,'GP4 (1)'!$E$6:$E$66,"")</f>
        <v/>
      </c>
      <c r="M55" s="36" t="str">
        <f>_xlfn.XLOOKUP($B55,'GP4 (2)'!$B$6:$B$100,'GP4 (2)'!$E$6:$E$100,"")</f>
        <v/>
      </c>
      <c r="N55" s="40" t="str">
        <f>_xlfn.XLOOKUP($B55,'GP5 (1)'!$B$6:$B$99,'GP5 (1)'!$E$6:$E$99,"")</f>
        <v/>
      </c>
      <c r="O55" s="42" t="str">
        <f>_xlfn.XLOOKUP($B55,'GP5 (2)'!$B$6:$B$99,'GP5 (2)'!$E$6:$E$99,"")</f>
        <v/>
      </c>
      <c r="P55" s="39" t="str">
        <f>_xlfn.XLOOKUP($B55,'GP6 (1)'!$B$5:$B$99,'GP6 (1)'!$E$5:$E$99,"")</f>
        <v/>
      </c>
      <c r="Q55" s="36" t="str">
        <f>_xlfn.XLOOKUP($B55,'GP6 (2)'!$B$5:$B$99,'GP6 (2)'!$E$5:$E$99,"")</f>
        <v/>
      </c>
      <c r="R55" s="40" t="str">
        <f>_xlfn.XLOOKUP($B55,'GP7 (1)'!$B$6:$B$100,'GP7 (1)'!$E$6:$E$100,"")</f>
        <v/>
      </c>
      <c r="S55" s="42" t="str">
        <f>_xlfn.XLOOKUP($B55,'GP7 (2)'!$B$6:$B$100,'GP7 (2)'!$E$6:$E$100,"")</f>
        <v/>
      </c>
      <c r="T55" s="39" t="str">
        <f>_xlfn.XLOOKUP($B55,'GP8 (1)'!$B$6:$B$100,'GP8 (1)'!$E$6:$E$100,"")</f>
        <v/>
      </c>
      <c r="U55" s="35" t="str">
        <f>_xlfn.XLOOKUP($B55,'GP8 (2)'!$B$6:$B$100,'GP8 (2)'!$E$6:$E$100,"")</f>
        <v/>
      </c>
      <c r="V55" s="13">
        <f>SUM(W55:AN55)</f>
        <v>0</v>
      </c>
      <c r="W55" s="29" t="str">
        <f>_xlfn.XLOOKUP($B55,'MP (1)'!$B$6:$B$99,'MP (1)'!$F$6:$F$99,"")</f>
        <v/>
      </c>
      <c r="X55" s="28" t="str">
        <f>_xlfn.XLOOKUP($B55,'MP (2)'!$B$6:$B$100,'MP (2)'!$F$6:$F$100,"")</f>
        <v/>
      </c>
      <c r="Y55" s="24" t="str">
        <f>_xlfn.XLOOKUP($B55,'GP1 (1)'!$B$6:$B$100,'GP1 (1)'!$F$6:$F$100,"")</f>
        <v/>
      </c>
      <c r="Z55" s="25" t="str">
        <f>_xlfn.XLOOKUP($B55,'GP1 (2)'!$B$6:$B$100,'GP1 (2)'!$F$6:$F$100,"")</f>
        <v/>
      </c>
      <c r="AA55" s="27" t="str">
        <f>_xlfn.XLOOKUP($B55,'GP2 (1)'!$B$6:$B$101,'GP2 (1)'!$F$6:$F$101,"")</f>
        <v/>
      </c>
      <c r="AB55" s="28" t="str">
        <f>_xlfn.XLOOKUP($B55,'GP2 (2)'!$B$6:$B$100,'GP2 (2)'!$F$6:$F$100,"")</f>
        <v/>
      </c>
      <c r="AC55" s="24" t="str">
        <f>_xlfn.XLOOKUP($B55,'GP3 (1)'!$B$6:$B$100,'GP3 (1)'!$F$6:$F$100,"")</f>
        <v/>
      </c>
      <c r="AD55" s="25" t="str">
        <f>_xlfn.XLOOKUP($B55,'GP3 (2)'!$B$6:$B$100,'GP3 (2)'!$F$6:$F$100,"")</f>
        <v/>
      </c>
      <c r="AE55" s="27" t="str">
        <f>_xlfn.XLOOKUP($B55,'GP4 (1)'!$B$6:$B$66,'GP4 (1)'!$F$6:$F$66,"")</f>
        <v/>
      </c>
      <c r="AF55" s="28" t="str">
        <f>_xlfn.XLOOKUP($B55,'GP4 (2)'!$B$6:$B$100,'GP4 (2)'!$F$6:$F$100,"")</f>
        <v/>
      </c>
      <c r="AG55" s="24" t="str">
        <f>_xlfn.XLOOKUP($B55,'GP5 (1)'!$B$6:$B$99,'GP5 (1)'!$F$6:$F$99,"")</f>
        <v/>
      </c>
      <c r="AH55" s="26" t="str">
        <f>_xlfn.XLOOKUP($B55,'GP5 (2)'!$B$6:$B$99,'GP5 (2)'!$F$6:$F$99,"")</f>
        <v/>
      </c>
      <c r="AI55" s="27" t="str">
        <f>_xlfn.XLOOKUP($B55,'GP6 (1)'!$B$5:$B$99,'GP6 (1)'!$F$5:$F$99,"")</f>
        <v/>
      </c>
      <c r="AJ55" s="28" t="str">
        <f>_xlfn.XLOOKUP($B55,'GP6 (2)'!$B$5:$B$99,'GP6 (2)'!$F$5:$F$99,"")</f>
        <v/>
      </c>
      <c r="AK55" s="24" t="str">
        <f>_xlfn.XLOOKUP($B55,'GP7 (1)'!$B$6:$B$100,'GP7 (1)'!$F$6:$F$100,"")</f>
        <v/>
      </c>
      <c r="AL55" s="26" t="str">
        <f>_xlfn.XLOOKUP($B55,'GP7 (2)'!$B$6:$B$100,'GP7 (2)'!$F$6:$F$100,"")</f>
        <v/>
      </c>
      <c r="AM55" s="27" t="str">
        <f>_xlfn.XLOOKUP($B55,'GP8 (1)'!$B$6:$B$100,'GP8 (1)'!$F$6:$F$100,"")</f>
        <v/>
      </c>
      <c r="AN55" s="29" t="str">
        <f>_xlfn.XLOOKUP($B55,'GP8 (2)'!$B$6:$B$100,'GP8 (2)'!$F$6:$F$100,"")</f>
        <v/>
      </c>
      <c r="AO55" s="13">
        <f>SUM(AP55:BG55)</f>
        <v>0</v>
      </c>
      <c r="AP55" s="29" t="str">
        <f>_xlfn.XLOOKUP($B55,'MP (1)'!$B$6:$B$99,'MP (1)'!$H$6:$H$99,"")</f>
        <v/>
      </c>
      <c r="AQ55" s="28" t="str">
        <f>_xlfn.XLOOKUP($B55,'MP (2)'!$B$6:$B$100,'MP (2)'!$H$6:$H$100,"")</f>
        <v/>
      </c>
      <c r="AR55" s="24" t="str">
        <f>_xlfn.XLOOKUP($B55,'GP1 (1)'!$B$6:$B$100,'GP1 (1)'!$H$6:$H$100,"")</f>
        <v/>
      </c>
      <c r="AS55" s="25" t="str">
        <f>_xlfn.XLOOKUP($B55,'GP1 (2)'!$B$6:$B$100,'GP1 (2)'!$H$6:$H$100,"")</f>
        <v/>
      </c>
      <c r="AT55" s="27" t="str">
        <f>_xlfn.XLOOKUP($B55,'GP2 (1)'!$B$6:$B$101,'GP2 (1)'!$H$6:$H$101,"")</f>
        <v/>
      </c>
      <c r="AU55" s="28" t="str">
        <f>_xlfn.XLOOKUP($B55,'GP2 (2)'!$B$6:$B$100,'GP2 (2)'!$H$6:$H$100,"")</f>
        <v/>
      </c>
      <c r="AV55" s="24" t="str">
        <f>_xlfn.XLOOKUP($B55,'GP3 (1)'!$B$6:$B$100,'GP3 (1)'!$H$6:$H$100,"")</f>
        <v/>
      </c>
      <c r="AW55" s="25" t="str">
        <f>_xlfn.XLOOKUP($B55,'GP3 (2)'!$B$6:$B$100,'GP3 (2)'!$H$6:$H$100,"")</f>
        <v/>
      </c>
      <c r="AX55" s="27" t="str">
        <f>_xlfn.XLOOKUP($B55,'GP4 (1)'!$B$6:$B$66,'GP4 (1)'!$H$6:$H$66,"")</f>
        <v/>
      </c>
      <c r="AY55" s="28" t="str">
        <f>_xlfn.XLOOKUP($B55,'GP4 (2)'!$B$6:$B$100,'GP4 (2)'!$H$6:$H$100,"")</f>
        <v/>
      </c>
      <c r="AZ55" s="24" t="str">
        <f>_xlfn.XLOOKUP($B55,'GP5 (1)'!$B$6:$B$99,'GP5 (1)'!$H$6:$H$99,"")</f>
        <v/>
      </c>
      <c r="BA55" s="25" t="str">
        <f>_xlfn.XLOOKUP($B55,'GP5 (2)'!$B$6:$B$99,'GP5 (2)'!$H$6:$H$99,"")</f>
        <v/>
      </c>
      <c r="BB55" s="27" t="str">
        <f>_xlfn.XLOOKUP($B55,'GP6 (1)'!$B$5:$B$99,'GP6 (1)'!$H$5:$H$99,"")</f>
        <v/>
      </c>
      <c r="BC55" s="28" t="str">
        <f>_xlfn.XLOOKUP($B55,'GP6 (2)'!$B$5:$B$99,'GP6 (2)'!$H$5:$H$99,"")</f>
        <v/>
      </c>
      <c r="BD55" s="24" t="str">
        <f>_xlfn.XLOOKUP($B55,'GP7 (1)'!$B$6:$B$100,'GP7 (1)'!$H$6:$H$100,"")</f>
        <v/>
      </c>
      <c r="BE55" s="25" t="str">
        <f>_xlfn.XLOOKUP($B55,'GP7 (2)'!$B$6:$B$100,'GP7 (2)'!$H$6:$H$100,"")</f>
        <v/>
      </c>
      <c r="BF55" s="27" t="str">
        <f>_xlfn.XLOOKUP($B55,'GP8 (1)'!$B$6:$B$100,'GP8 (1)'!$H$6:$H$100,"")</f>
        <v/>
      </c>
      <c r="BG55" s="32" t="str">
        <f>_xlfn.XLOOKUP($B55,'GP8 (2)'!$B$6:$B$100,'GP8 (2)'!$H$6:$H$100,"")</f>
        <v/>
      </c>
    </row>
    <row r="56" spans="1:59" ht="13.1" customHeight="1" x14ac:dyDescent="0.25">
      <c r="A56" s="1">
        <f>ROW()-4</f>
        <v>52</v>
      </c>
      <c r="B56" s="5" t="s">
        <v>61</v>
      </c>
      <c r="C56" s="30">
        <f>SUM(D56:U56)</f>
        <v>0</v>
      </c>
      <c r="D56" s="35" t="str">
        <f>_xlfn.XLOOKUP($B56,'MP (1)'!$B$6:$B$99,'MP (1)'!$E$6:$E$99,"")</f>
        <v/>
      </c>
      <c r="E56" s="36" t="str">
        <f>_xlfn.XLOOKUP($B56,'MP (2)'!$B$6:$B$100,'MP (2)'!$E$6:$E$100,"")</f>
        <v/>
      </c>
      <c r="F56" s="40" t="str">
        <f>_xlfn.XLOOKUP($B56,'GP1 (1)'!$B$6:$B$100,'GP1 (1)'!$E$6:$E$100,"")</f>
        <v/>
      </c>
      <c r="G56" s="41" t="str">
        <f>_xlfn.XLOOKUP($B56,'GP1 (2)'!$B$6:$B$100,'GP1 (2)'!$E$6:$E$100,"")</f>
        <v/>
      </c>
      <c r="H56" s="39" t="str">
        <f>_xlfn.XLOOKUP($B56,'GP2 (1)'!$B$6:$B$101,'GP2 (1)'!$E$6:$E$101,"")</f>
        <v/>
      </c>
      <c r="I56" s="36" t="str">
        <f>_xlfn.XLOOKUP($B56,'GP2 (2)'!$B$6:$B$100,'GP2 (2)'!$E$6:$E$100,"")</f>
        <v/>
      </c>
      <c r="J56" s="40" t="str">
        <f>_xlfn.XLOOKUP($B56,'GP3 (1)'!$B$6:$B$100,'GP3 (1)'!$E$6:$E$100,"")</f>
        <v/>
      </c>
      <c r="K56" s="41" t="str">
        <f>_xlfn.XLOOKUP($B56,'GP3 (2)'!$B$6:$B$100,'GP3 (2)'!$E$6:$E$100,"")</f>
        <v/>
      </c>
      <c r="L56" s="39" t="str">
        <f>_xlfn.XLOOKUP($B56,'GP4 (1)'!$B$6:$B$66,'GP4 (1)'!$E$6:$E$66,"")</f>
        <v/>
      </c>
      <c r="M56" s="36" t="str">
        <f>_xlfn.XLOOKUP($B56,'GP4 (2)'!$B$6:$B$100,'GP4 (2)'!$E$6:$E$100,"")</f>
        <v/>
      </c>
      <c r="N56" s="40" t="str">
        <f>_xlfn.XLOOKUP($B56,'GP5 (1)'!$B$6:$B$99,'GP5 (1)'!$E$6:$E$99,"")</f>
        <v/>
      </c>
      <c r="O56" s="42" t="str">
        <f>_xlfn.XLOOKUP($B56,'GP5 (2)'!$B$6:$B$99,'GP5 (2)'!$E$6:$E$99,"")</f>
        <v/>
      </c>
      <c r="P56" s="39" t="str">
        <f>_xlfn.XLOOKUP($B56,'GP6 (1)'!$B$5:$B$99,'GP6 (1)'!$E$5:$E$99,"")</f>
        <v/>
      </c>
      <c r="Q56" s="36" t="str">
        <f>_xlfn.XLOOKUP($B56,'GP6 (2)'!$B$5:$B$99,'GP6 (2)'!$E$5:$E$99,"")</f>
        <v/>
      </c>
      <c r="R56" s="40" t="str">
        <f>_xlfn.XLOOKUP($B56,'GP7 (1)'!$B$6:$B$100,'GP7 (1)'!$E$6:$E$100,"")</f>
        <v/>
      </c>
      <c r="S56" s="42" t="str">
        <f>_xlfn.XLOOKUP($B56,'GP7 (2)'!$B$6:$B$100,'GP7 (2)'!$E$6:$E$100,"")</f>
        <v/>
      </c>
      <c r="T56" s="39" t="str">
        <f>_xlfn.XLOOKUP($B56,'GP8 (1)'!$B$6:$B$100,'GP8 (1)'!$E$6:$E$100,"")</f>
        <v/>
      </c>
      <c r="U56" s="35" t="str">
        <f>_xlfn.XLOOKUP($B56,'GP8 (2)'!$B$6:$B$100,'GP8 (2)'!$E$6:$E$100,"")</f>
        <v/>
      </c>
      <c r="V56" s="13">
        <f>SUM(W56:AN56)</f>
        <v>0</v>
      </c>
      <c r="W56" s="29" t="str">
        <f>_xlfn.XLOOKUP($B56,'MP (1)'!$B$6:$B$99,'MP (1)'!$F$6:$F$99,"")</f>
        <v/>
      </c>
      <c r="X56" s="28" t="str">
        <f>_xlfn.XLOOKUP($B56,'MP (2)'!$B$6:$B$100,'MP (2)'!$F$6:$F$100,"")</f>
        <v/>
      </c>
      <c r="Y56" s="24" t="str">
        <f>_xlfn.XLOOKUP($B56,'GP1 (1)'!$B$6:$B$100,'GP1 (1)'!$F$6:$F$100,"")</f>
        <v/>
      </c>
      <c r="Z56" s="25" t="str">
        <f>_xlfn.XLOOKUP($B56,'GP1 (2)'!$B$6:$B$100,'GP1 (2)'!$F$6:$F$100,"")</f>
        <v/>
      </c>
      <c r="AA56" s="27" t="str">
        <f>_xlfn.XLOOKUP($B56,'GP2 (1)'!$B$6:$B$101,'GP2 (1)'!$F$6:$F$101,"")</f>
        <v/>
      </c>
      <c r="AB56" s="28" t="str">
        <f>_xlfn.XLOOKUP($B56,'GP2 (2)'!$B$6:$B$100,'GP2 (2)'!$F$6:$F$100,"")</f>
        <v/>
      </c>
      <c r="AC56" s="24" t="str">
        <f>_xlfn.XLOOKUP($B56,'GP3 (1)'!$B$6:$B$100,'GP3 (1)'!$F$6:$F$100,"")</f>
        <v/>
      </c>
      <c r="AD56" s="25" t="str">
        <f>_xlfn.XLOOKUP($B56,'GP3 (2)'!$B$6:$B$100,'GP3 (2)'!$F$6:$F$100,"")</f>
        <v/>
      </c>
      <c r="AE56" s="27" t="str">
        <f>_xlfn.XLOOKUP($B56,'GP4 (1)'!$B$6:$B$66,'GP4 (1)'!$F$6:$F$66,"")</f>
        <v/>
      </c>
      <c r="AF56" s="28" t="str">
        <f>_xlfn.XLOOKUP($B56,'GP4 (2)'!$B$6:$B$100,'GP4 (2)'!$F$6:$F$100,"")</f>
        <v/>
      </c>
      <c r="AG56" s="24" t="str">
        <f>_xlfn.XLOOKUP($B56,'GP5 (1)'!$B$6:$B$99,'GP5 (1)'!$F$6:$F$99,"")</f>
        <v/>
      </c>
      <c r="AH56" s="26" t="str">
        <f>_xlfn.XLOOKUP($B56,'GP5 (2)'!$B$6:$B$99,'GP5 (2)'!$F$6:$F$99,"")</f>
        <v/>
      </c>
      <c r="AI56" s="27" t="str">
        <f>_xlfn.XLOOKUP($B56,'GP6 (1)'!$B$5:$B$99,'GP6 (1)'!$F$5:$F$99,"")</f>
        <v/>
      </c>
      <c r="AJ56" s="28" t="str">
        <f>_xlfn.XLOOKUP($B56,'GP6 (2)'!$B$5:$B$99,'GP6 (2)'!$F$5:$F$99,"")</f>
        <v/>
      </c>
      <c r="AK56" s="24" t="str">
        <f>_xlfn.XLOOKUP($B56,'GP7 (1)'!$B$6:$B$100,'GP7 (1)'!$F$6:$F$100,"")</f>
        <v/>
      </c>
      <c r="AL56" s="26" t="str">
        <f>_xlfn.XLOOKUP($B56,'GP7 (2)'!$B$6:$B$100,'GP7 (2)'!$F$6:$F$100,"")</f>
        <v/>
      </c>
      <c r="AM56" s="27" t="str">
        <f>_xlfn.XLOOKUP($B56,'GP8 (1)'!$B$6:$B$100,'GP8 (1)'!$F$6:$F$100,"")</f>
        <v/>
      </c>
      <c r="AN56" s="29" t="str">
        <f>_xlfn.XLOOKUP($B56,'GP8 (2)'!$B$6:$B$100,'GP8 (2)'!$F$6:$F$100,"")</f>
        <v/>
      </c>
      <c r="AO56" s="13">
        <f>SUM(AP56:BG56)</f>
        <v>0</v>
      </c>
      <c r="AP56" s="29" t="str">
        <f>_xlfn.XLOOKUP($B56,'MP (1)'!$B$6:$B$99,'MP (1)'!$H$6:$H$99,"")</f>
        <v/>
      </c>
      <c r="AQ56" s="28" t="str">
        <f>_xlfn.XLOOKUP($B56,'MP (2)'!$B$6:$B$100,'MP (2)'!$H$6:$H$100,"")</f>
        <v/>
      </c>
      <c r="AR56" s="24" t="str">
        <f>_xlfn.XLOOKUP($B56,'GP1 (1)'!$B$6:$B$100,'GP1 (1)'!$H$6:$H$100,"")</f>
        <v/>
      </c>
      <c r="AS56" s="25" t="str">
        <f>_xlfn.XLOOKUP($B56,'GP1 (2)'!$B$6:$B$100,'GP1 (2)'!$H$6:$H$100,"")</f>
        <v/>
      </c>
      <c r="AT56" s="27" t="str">
        <f>_xlfn.XLOOKUP($B56,'GP2 (1)'!$B$6:$B$101,'GP2 (1)'!$H$6:$H$101,"")</f>
        <v/>
      </c>
      <c r="AU56" s="28" t="str">
        <f>_xlfn.XLOOKUP($B56,'GP2 (2)'!$B$6:$B$100,'GP2 (2)'!$H$6:$H$100,"")</f>
        <v/>
      </c>
      <c r="AV56" s="24" t="str">
        <f>_xlfn.XLOOKUP($B56,'GP3 (1)'!$B$6:$B$100,'GP3 (1)'!$H$6:$H$100,"")</f>
        <v/>
      </c>
      <c r="AW56" s="25" t="str">
        <f>_xlfn.XLOOKUP($B56,'GP3 (2)'!$B$6:$B$100,'GP3 (2)'!$H$6:$H$100,"")</f>
        <v/>
      </c>
      <c r="AX56" s="27" t="str">
        <f>_xlfn.XLOOKUP($B56,'GP4 (1)'!$B$6:$B$66,'GP4 (1)'!$H$6:$H$66,"")</f>
        <v/>
      </c>
      <c r="AY56" s="28" t="str">
        <f>_xlfn.XLOOKUP($B56,'GP4 (2)'!$B$6:$B$100,'GP4 (2)'!$H$6:$H$100,"")</f>
        <v/>
      </c>
      <c r="AZ56" s="24" t="str">
        <f>_xlfn.XLOOKUP($B56,'GP5 (1)'!$B$6:$B$99,'GP5 (1)'!$H$6:$H$99,"")</f>
        <v/>
      </c>
      <c r="BA56" s="25" t="str">
        <f>_xlfn.XLOOKUP($B56,'GP5 (2)'!$B$6:$B$99,'GP5 (2)'!$H$6:$H$99,"")</f>
        <v/>
      </c>
      <c r="BB56" s="27" t="str">
        <f>_xlfn.XLOOKUP($B56,'GP6 (1)'!$B$5:$B$99,'GP6 (1)'!$H$5:$H$99,"")</f>
        <v/>
      </c>
      <c r="BC56" s="28" t="str">
        <f>_xlfn.XLOOKUP($B56,'GP6 (2)'!$B$5:$B$99,'GP6 (2)'!$H$5:$H$99,"")</f>
        <v/>
      </c>
      <c r="BD56" s="24" t="str">
        <f>_xlfn.XLOOKUP($B56,'GP7 (1)'!$B$6:$B$100,'GP7 (1)'!$H$6:$H$100,"")</f>
        <v/>
      </c>
      <c r="BE56" s="25" t="str">
        <f>_xlfn.XLOOKUP($B56,'GP7 (2)'!$B$6:$B$100,'GP7 (2)'!$H$6:$H$100,"")</f>
        <v/>
      </c>
      <c r="BF56" s="27" t="str">
        <f>_xlfn.XLOOKUP($B56,'GP8 (1)'!$B$6:$B$100,'GP8 (1)'!$H$6:$H$100,"")</f>
        <v/>
      </c>
      <c r="BG56" s="32" t="str">
        <f>_xlfn.XLOOKUP($B56,'GP8 (2)'!$B$6:$B$100,'GP8 (2)'!$H$6:$H$100,"")</f>
        <v/>
      </c>
    </row>
    <row r="57" spans="1:59" ht="13.1" customHeight="1" x14ac:dyDescent="0.25">
      <c r="A57" s="1">
        <f>ROW()-4</f>
        <v>53</v>
      </c>
      <c r="B57" s="5" t="s">
        <v>65</v>
      </c>
      <c r="C57" s="30">
        <f>SUM(D57:U57)</f>
        <v>0</v>
      </c>
      <c r="D57" s="35" t="str">
        <f>_xlfn.XLOOKUP($B57,'MP (1)'!$B$6:$B$99,'MP (1)'!$E$6:$E$99,"")</f>
        <v/>
      </c>
      <c r="E57" s="36" t="str">
        <f>_xlfn.XLOOKUP($B57,'MP (2)'!$B$6:$B$100,'MP (2)'!$E$6:$E$100,"")</f>
        <v/>
      </c>
      <c r="F57" s="40" t="str">
        <f>_xlfn.XLOOKUP($B57,'GP1 (1)'!$B$6:$B$100,'GP1 (1)'!$E$6:$E$100,"")</f>
        <v/>
      </c>
      <c r="G57" s="41" t="str">
        <f>_xlfn.XLOOKUP($B57,'GP1 (2)'!$B$6:$B$100,'GP1 (2)'!$E$6:$E$100,"")</f>
        <v/>
      </c>
      <c r="H57" s="39" t="str">
        <f>_xlfn.XLOOKUP($B57,'GP2 (1)'!$B$6:$B$101,'GP2 (1)'!$E$6:$E$101,"")</f>
        <v/>
      </c>
      <c r="I57" s="36" t="str">
        <f>_xlfn.XLOOKUP($B57,'GP2 (2)'!$B$6:$B$100,'GP2 (2)'!$E$6:$E$100,"")</f>
        <v/>
      </c>
      <c r="J57" s="40" t="str">
        <f>_xlfn.XLOOKUP($B57,'GP3 (1)'!$B$6:$B$100,'GP3 (1)'!$E$6:$E$100,"")</f>
        <v/>
      </c>
      <c r="K57" s="41" t="str">
        <f>_xlfn.XLOOKUP($B57,'GP3 (2)'!$B$6:$B$100,'GP3 (2)'!$E$6:$E$100,"")</f>
        <v/>
      </c>
      <c r="L57" s="39" t="str">
        <f>_xlfn.XLOOKUP($B57,'GP4 (1)'!$B$6:$B$66,'GP4 (1)'!$E$6:$E$66,"")</f>
        <v/>
      </c>
      <c r="M57" s="36" t="str">
        <f>_xlfn.XLOOKUP($B57,'GP4 (2)'!$B$6:$B$100,'GP4 (2)'!$E$6:$E$100,"")</f>
        <v/>
      </c>
      <c r="N57" s="40" t="str">
        <f>_xlfn.XLOOKUP($B57,'GP5 (1)'!$B$6:$B$99,'GP5 (1)'!$E$6:$E$99,"")</f>
        <v/>
      </c>
      <c r="O57" s="42" t="str">
        <f>_xlfn.XLOOKUP($B57,'GP5 (2)'!$B$6:$B$99,'GP5 (2)'!$E$6:$E$99,"")</f>
        <v/>
      </c>
      <c r="P57" s="39" t="str">
        <f>_xlfn.XLOOKUP($B57,'GP6 (1)'!$B$5:$B$99,'GP6 (1)'!$E$5:$E$99,"")</f>
        <v/>
      </c>
      <c r="Q57" s="36" t="str">
        <f>_xlfn.XLOOKUP($B57,'GP6 (2)'!$B$5:$B$99,'GP6 (2)'!$E$5:$E$99,"")</f>
        <v/>
      </c>
      <c r="R57" s="40" t="str">
        <f>_xlfn.XLOOKUP($B57,'GP7 (1)'!$B$6:$B$100,'GP7 (1)'!$E$6:$E$100,"")</f>
        <v/>
      </c>
      <c r="S57" s="42" t="str">
        <f>_xlfn.XLOOKUP($B57,'GP7 (2)'!$B$6:$B$100,'GP7 (2)'!$E$6:$E$100,"")</f>
        <v/>
      </c>
      <c r="T57" s="39" t="str">
        <f>_xlfn.XLOOKUP($B57,'GP8 (1)'!$B$6:$B$100,'GP8 (1)'!$E$6:$E$100,"")</f>
        <v/>
      </c>
      <c r="U57" s="35" t="str">
        <f>_xlfn.XLOOKUP($B57,'GP8 (2)'!$B$6:$B$100,'GP8 (2)'!$E$6:$E$100,"")</f>
        <v/>
      </c>
      <c r="V57" s="13">
        <f>SUM(W57:AN57)</f>
        <v>0</v>
      </c>
      <c r="W57" s="29" t="str">
        <f>_xlfn.XLOOKUP($B57,'MP (1)'!$B$6:$B$99,'MP (1)'!$F$6:$F$99,"")</f>
        <v/>
      </c>
      <c r="X57" s="28" t="str">
        <f>_xlfn.XLOOKUP($B57,'MP (2)'!$B$6:$B$100,'MP (2)'!$F$6:$F$100,"")</f>
        <v/>
      </c>
      <c r="Y57" s="24" t="str">
        <f>_xlfn.XLOOKUP($B57,'GP1 (1)'!$B$6:$B$100,'GP1 (1)'!$F$6:$F$100,"")</f>
        <v/>
      </c>
      <c r="Z57" s="25" t="str">
        <f>_xlfn.XLOOKUP($B57,'GP1 (2)'!$B$6:$B$100,'GP1 (2)'!$F$6:$F$100,"")</f>
        <v/>
      </c>
      <c r="AA57" s="27" t="str">
        <f>_xlfn.XLOOKUP($B57,'GP2 (1)'!$B$6:$B$101,'GP2 (1)'!$F$6:$F$101,"")</f>
        <v/>
      </c>
      <c r="AB57" s="28" t="str">
        <f>_xlfn.XLOOKUP($B57,'GP2 (2)'!$B$6:$B$100,'GP2 (2)'!$F$6:$F$100,"")</f>
        <v/>
      </c>
      <c r="AC57" s="24" t="str">
        <f>_xlfn.XLOOKUP($B57,'GP3 (1)'!$B$6:$B$100,'GP3 (1)'!$F$6:$F$100,"")</f>
        <v/>
      </c>
      <c r="AD57" s="25" t="str">
        <f>_xlfn.XLOOKUP($B57,'GP3 (2)'!$B$6:$B$100,'GP3 (2)'!$F$6:$F$100,"")</f>
        <v/>
      </c>
      <c r="AE57" s="27" t="str">
        <f>_xlfn.XLOOKUP($B57,'GP4 (1)'!$B$6:$B$66,'GP4 (1)'!$F$6:$F$66,"")</f>
        <v/>
      </c>
      <c r="AF57" s="28" t="str">
        <f>_xlfn.XLOOKUP($B57,'GP4 (2)'!$B$6:$B$100,'GP4 (2)'!$F$6:$F$100,"")</f>
        <v/>
      </c>
      <c r="AG57" s="24" t="str">
        <f>_xlfn.XLOOKUP($B57,'GP5 (1)'!$B$6:$B$99,'GP5 (1)'!$F$6:$F$99,"")</f>
        <v/>
      </c>
      <c r="AH57" s="26" t="str">
        <f>_xlfn.XLOOKUP($B57,'GP5 (2)'!$B$6:$B$99,'GP5 (2)'!$F$6:$F$99,"")</f>
        <v/>
      </c>
      <c r="AI57" s="27" t="str">
        <f>_xlfn.XLOOKUP($B57,'GP6 (1)'!$B$5:$B$99,'GP6 (1)'!$F$5:$F$99,"")</f>
        <v/>
      </c>
      <c r="AJ57" s="28" t="str">
        <f>_xlfn.XLOOKUP($B57,'GP6 (2)'!$B$5:$B$99,'GP6 (2)'!$F$5:$F$99,"")</f>
        <v/>
      </c>
      <c r="AK57" s="24" t="str">
        <f>_xlfn.XLOOKUP($B57,'GP7 (1)'!$B$6:$B$100,'GP7 (1)'!$F$6:$F$100,"")</f>
        <v/>
      </c>
      <c r="AL57" s="26" t="str">
        <f>_xlfn.XLOOKUP($B57,'GP7 (2)'!$B$6:$B$100,'GP7 (2)'!$F$6:$F$100,"")</f>
        <v/>
      </c>
      <c r="AM57" s="27" t="str">
        <f>_xlfn.XLOOKUP($B57,'GP8 (1)'!$B$6:$B$100,'GP8 (1)'!$F$6:$F$100,"")</f>
        <v/>
      </c>
      <c r="AN57" s="29" t="str">
        <f>_xlfn.XLOOKUP($B57,'GP8 (2)'!$B$6:$B$100,'GP8 (2)'!$F$6:$F$100,"")</f>
        <v/>
      </c>
      <c r="AO57" s="13">
        <f>SUM(AP57:BG57)</f>
        <v>0</v>
      </c>
      <c r="AP57" s="29" t="str">
        <f>_xlfn.XLOOKUP($B57,'MP (1)'!$B$6:$B$99,'MP (1)'!$H$6:$H$99,"")</f>
        <v/>
      </c>
      <c r="AQ57" s="28" t="str">
        <f>_xlfn.XLOOKUP($B57,'MP (2)'!$B$6:$B$100,'MP (2)'!$H$6:$H$100,"")</f>
        <v/>
      </c>
      <c r="AR57" s="24" t="str">
        <f>_xlfn.XLOOKUP($B57,'GP1 (1)'!$B$6:$B$100,'GP1 (1)'!$H$6:$H$100,"")</f>
        <v/>
      </c>
      <c r="AS57" s="25" t="str">
        <f>_xlfn.XLOOKUP($B57,'GP1 (2)'!$B$6:$B$100,'GP1 (2)'!$H$6:$H$100,"")</f>
        <v/>
      </c>
      <c r="AT57" s="27" t="str">
        <f>_xlfn.XLOOKUP($B57,'GP2 (1)'!$B$6:$B$101,'GP2 (1)'!$H$6:$H$101,"")</f>
        <v/>
      </c>
      <c r="AU57" s="28" t="str">
        <f>_xlfn.XLOOKUP($B57,'GP2 (2)'!$B$6:$B$100,'GP2 (2)'!$H$6:$H$100,"")</f>
        <v/>
      </c>
      <c r="AV57" s="24" t="str">
        <f>_xlfn.XLOOKUP($B57,'GP3 (1)'!$B$6:$B$100,'GP3 (1)'!$H$6:$H$100,"")</f>
        <v/>
      </c>
      <c r="AW57" s="25" t="str">
        <f>_xlfn.XLOOKUP($B57,'GP3 (2)'!$B$6:$B$100,'GP3 (2)'!$H$6:$H$100,"")</f>
        <v/>
      </c>
      <c r="AX57" s="27" t="str">
        <f>_xlfn.XLOOKUP($B57,'GP4 (1)'!$B$6:$B$66,'GP4 (1)'!$H$6:$H$66,"")</f>
        <v/>
      </c>
      <c r="AY57" s="28" t="str">
        <f>_xlfn.XLOOKUP($B57,'GP4 (2)'!$B$6:$B$100,'GP4 (2)'!$H$6:$H$100,"")</f>
        <v/>
      </c>
      <c r="AZ57" s="24" t="str">
        <f>_xlfn.XLOOKUP($B57,'GP5 (1)'!$B$6:$B$99,'GP5 (1)'!$H$6:$H$99,"")</f>
        <v/>
      </c>
      <c r="BA57" s="25" t="str">
        <f>_xlfn.XLOOKUP($B57,'GP5 (2)'!$B$6:$B$99,'GP5 (2)'!$H$6:$H$99,"")</f>
        <v/>
      </c>
      <c r="BB57" s="27" t="str">
        <f>_xlfn.XLOOKUP($B57,'GP6 (1)'!$B$5:$B$99,'GP6 (1)'!$H$5:$H$99,"")</f>
        <v/>
      </c>
      <c r="BC57" s="28" t="str">
        <f>_xlfn.XLOOKUP($B57,'GP6 (2)'!$B$5:$B$99,'GP6 (2)'!$H$5:$H$99,"")</f>
        <v/>
      </c>
      <c r="BD57" s="24" t="str">
        <f>_xlfn.XLOOKUP($B57,'GP7 (1)'!$B$6:$B$100,'GP7 (1)'!$H$6:$H$100,"")</f>
        <v/>
      </c>
      <c r="BE57" s="25" t="str">
        <f>_xlfn.XLOOKUP($B57,'GP7 (2)'!$B$6:$B$100,'GP7 (2)'!$H$6:$H$100,"")</f>
        <v/>
      </c>
      <c r="BF57" s="27" t="str">
        <f>_xlfn.XLOOKUP($B57,'GP8 (1)'!$B$6:$B$100,'GP8 (1)'!$H$6:$H$100,"")</f>
        <v/>
      </c>
      <c r="BG57" s="32" t="str">
        <f>_xlfn.XLOOKUP($B57,'GP8 (2)'!$B$6:$B$100,'GP8 (2)'!$H$6:$H$100,"")</f>
        <v/>
      </c>
    </row>
    <row r="58" spans="1:59" ht="13.1" customHeight="1" x14ac:dyDescent="0.25">
      <c r="A58" s="1">
        <f>ROW()-4</f>
        <v>54</v>
      </c>
      <c r="B58" s="5" t="s">
        <v>66</v>
      </c>
      <c r="C58" s="30">
        <f>SUM(D58:U58)</f>
        <v>0</v>
      </c>
      <c r="D58" s="35" t="str">
        <f>_xlfn.XLOOKUP($B58,'MP (1)'!$B$6:$B$99,'MP (1)'!$E$6:$E$99,"")</f>
        <v/>
      </c>
      <c r="E58" s="36" t="str">
        <f>_xlfn.XLOOKUP($B58,'MP (2)'!$B$6:$B$100,'MP (2)'!$E$6:$E$100,"")</f>
        <v/>
      </c>
      <c r="F58" s="40" t="str">
        <f>_xlfn.XLOOKUP($B58,'GP1 (1)'!$B$6:$B$100,'GP1 (1)'!$E$6:$E$100,"")</f>
        <v/>
      </c>
      <c r="G58" s="41" t="str">
        <f>_xlfn.XLOOKUP($B58,'GP1 (2)'!$B$6:$B$100,'GP1 (2)'!$E$6:$E$100,"")</f>
        <v/>
      </c>
      <c r="H58" s="39" t="str">
        <f>_xlfn.XLOOKUP($B58,'GP2 (1)'!$B$6:$B$101,'GP2 (1)'!$E$6:$E$101,"")</f>
        <v/>
      </c>
      <c r="I58" s="36" t="str">
        <f>_xlfn.XLOOKUP($B58,'GP2 (2)'!$B$6:$B$100,'GP2 (2)'!$E$6:$E$100,"")</f>
        <v/>
      </c>
      <c r="J58" s="40" t="str">
        <f>_xlfn.XLOOKUP($B58,'GP3 (1)'!$B$6:$B$100,'GP3 (1)'!$E$6:$E$100,"")</f>
        <v/>
      </c>
      <c r="K58" s="41" t="str">
        <f>_xlfn.XLOOKUP($B58,'GP3 (2)'!$B$6:$B$100,'GP3 (2)'!$E$6:$E$100,"")</f>
        <v/>
      </c>
      <c r="L58" s="39" t="str">
        <f>_xlfn.XLOOKUP($B58,'GP4 (1)'!$B$6:$B$66,'GP4 (1)'!$E$6:$E$66,"")</f>
        <v/>
      </c>
      <c r="M58" s="36" t="str">
        <f>_xlfn.XLOOKUP($B58,'GP4 (2)'!$B$6:$B$100,'GP4 (2)'!$E$6:$E$100,"")</f>
        <v/>
      </c>
      <c r="N58" s="40" t="str">
        <f>_xlfn.XLOOKUP($B58,'GP5 (1)'!$B$6:$B$99,'GP5 (1)'!$E$6:$E$99,"")</f>
        <v/>
      </c>
      <c r="O58" s="42" t="str">
        <f>_xlfn.XLOOKUP($B58,'GP5 (2)'!$B$6:$B$99,'GP5 (2)'!$E$6:$E$99,"")</f>
        <v/>
      </c>
      <c r="P58" s="39" t="str">
        <f>_xlfn.XLOOKUP($B58,'GP6 (1)'!$B$5:$B$99,'GP6 (1)'!$E$5:$E$99,"")</f>
        <v/>
      </c>
      <c r="Q58" s="36" t="str">
        <f>_xlfn.XLOOKUP($B58,'GP6 (2)'!$B$5:$B$99,'GP6 (2)'!$E$5:$E$99,"")</f>
        <v/>
      </c>
      <c r="R58" s="40" t="str">
        <f>_xlfn.XLOOKUP($B58,'GP7 (1)'!$B$6:$B$100,'GP7 (1)'!$E$6:$E$100,"")</f>
        <v/>
      </c>
      <c r="S58" s="42" t="str">
        <f>_xlfn.XLOOKUP($B58,'GP7 (2)'!$B$6:$B$100,'GP7 (2)'!$E$6:$E$100,"")</f>
        <v/>
      </c>
      <c r="T58" s="39" t="str">
        <f>_xlfn.XLOOKUP($B58,'GP8 (1)'!$B$6:$B$100,'GP8 (1)'!$E$6:$E$100,"")</f>
        <v/>
      </c>
      <c r="U58" s="35" t="str">
        <f>_xlfn.XLOOKUP($B58,'GP8 (2)'!$B$6:$B$100,'GP8 (2)'!$E$6:$E$100,"")</f>
        <v/>
      </c>
      <c r="V58" s="13">
        <f>SUM(W58:AN58)</f>
        <v>0</v>
      </c>
      <c r="W58" s="29" t="str">
        <f>_xlfn.XLOOKUP($B58,'MP (1)'!$B$6:$B$99,'MP (1)'!$F$6:$F$99,"")</f>
        <v/>
      </c>
      <c r="X58" s="28" t="str">
        <f>_xlfn.XLOOKUP($B58,'MP (2)'!$B$6:$B$100,'MP (2)'!$F$6:$F$100,"")</f>
        <v/>
      </c>
      <c r="Y58" s="24" t="str">
        <f>_xlfn.XLOOKUP($B58,'GP1 (1)'!$B$6:$B$100,'GP1 (1)'!$F$6:$F$100,"")</f>
        <v/>
      </c>
      <c r="Z58" s="25" t="str">
        <f>_xlfn.XLOOKUP($B58,'GP1 (2)'!$B$6:$B$100,'GP1 (2)'!$F$6:$F$100,"")</f>
        <v/>
      </c>
      <c r="AA58" s="27" t="str">
        <f>_xlfn.XLOOKUP($B58,'GP2 (1)'!$B$6:$B$101,'GP2 (1)'!$F$6:$F$101,"")</f>
        <v/>
      </c>
      <c r="AB58" s="28" t="str">
        <f>_xlfn.XLOOKUP($B58,'GP2 (2)'!$B$6:$B$100,'GP2 (2)'!$F$6:$F$100,"")</f>
        <v/>
      </c>
      <c r="AC58" s="24" t="str">
        <f>_xlfn.XLOOKUP($B58,'GP3 (1)'!$B$6:$B$100,'GP3 (1)'!$F$6:$F$100,"")</f>
        <v/>
      </c>
      <c r="AD58" s="25" t="str">
        <f>_xlfn.XLOOKUP($B58,'GP3 (2)'!$B$6:$B$100,'GP3 (2)'!$F$6:$F$100,"")</f>
        <v/>
      </c>
      <c r="AE58" s="27" t="str">
        <f>_xlfn.XLOOKUP($B58,'GP4 (1)'!$B$6:$B$66,'GP4 (1)'!$F$6:$F$66,"")</f>
        <v/>
      </c>
      <c r="AF58" s="28" t="str">
        <f>_xlfn.XLOOKUP($B58,'GP4 (2)'!$B$6:$B$100,'GP4 (2)'!$F$6:$F$100,"")</f>
        <v/>
      </c>
      <c r="AG58" s="24" t="str">
        <f>_xlfn.XLOOKUP($B58,'GP5 (1)'!$B$6:$B$99,'GP5 (1)'!$F$6:$F$99,"")</f>
        <v/>
      </c>
      <c r="AH58" s="26" t="str">
        <f>_xlfn.XLOOKUP($B58,'GP5 (2)'!$B$6:$B$99,'GP5 (2)'!$F$6:$F$99,"")</f>
        <v/>
      </c>
      <c r="AI58" s="27" t="str">
        <f>_xlfn.XLOOKUP($B58,'GP6 (1)'!$B$5:$B$99,'GP6 (1)'!$F$5:$F$99,"")</f>
        <v/>
      </c>
      <c r="AJ58" s="28" t="str">
        <f>_xlfn.XLOOKUP($B58,'GP6 (2)'!$B$5:$B$99,'GP6 (2)'!$F$5:$F$99,"")</f>
        <v/>
      </c>
      <c r="AK58" s="24" t="str">
        <f>_xlfn.XLOOKUP($B58,'GP7 (1)'!$B$6:$B$100,'GP7 (1)'!$F$6:$F$100,"")</f>
        <v/>
      </c>
      <c r="AL58" s="26" t="str">
        <f>_xlfn.XLOOKUP($B58,'GP7 (2)'!$B$6:$B$100,'GP7 (2)'!$F$6:$F$100,"")</f>
        <v/>
      </c>
      <c r="AM58" s="27" t="str">
        <f>_xlfn.XLOOKUP($B58,'GP8 (1)'!$B$6:$B$100,'GP8 (1)'!$F$6:$F$100,"")</f>
        <v/>
      </c>
      <c r="AN58" s="29" t="str">
        <f>_xlfn.XLOOKUP($B58,'GP8 (2)'!$B$6:$B$100,'GP8 (2)'!$F$6:$F$100,"")</f>
        <v/>
      </c>
      <c r="AO58" s="13">
        <f>SUM(AP58:BG58)</f>
        <v>0</v>
      </c>
      <c r="AP58" s="29" t="str">
        <f>_xlfn.XLOOKUP($B58,'MP (1)'!$B$6:$B$99,'MP (1)'!$H$6:$H$99,"")</f>
        <v/>
      </c>
      <c r="AQ58" s="28" t="str">
        <f>_xlfn.XLOOKUP($B58,'MP (2)'!$B$6:$B$100,'MP (2)'!$H$6:$H$100,"")</f>
        <v/>
      </c>
      <c r="AR58" s="24" t="str">
        <f>_xlfn.XLOOKUP($B58,'GP1 (1)'!$B$6:$B$100,'GP1 (1)'!$H$6:$H$100,"")</f>
        <v/>
      </c>
      <c r="AS58" s="25" t="str">
        <f>_xlfn.XLOOKUP($B58,'GP1 (2)'!$B$6:$B$100,'GP1 (2)'!$H$6:$H$100,"")</f>
        <v/>
      </c>
      <c r="AT58" s="27" t="str">
        <f>_xlfn.XLOOKUP($B58,'GP2 (1)'!$B$6:$B$101,'GP2 (1)'!$H$6:$H$101,"")</f>
        <v/>
      </c>
      <c r="AU58" s="28" t="str">
        <f>_xlfn.XLOOKUP($B58,'GP2 (2)'!$B$6:$B$100,'GP2 (2)'!$H$6:$H$100,"")</f>
        <v/>
      </c>
      <c r="AV58" s="24" t="str">
        <f>_xlfn.XLOOKUP($B58,'GP3 (1)'!$B$6:$B$100,'GP3 (1)'!$H$6:$H$100,"")</f>
        <v/>
      </c>
      <c r="AW58" s="25" t="str">
        <f>_xlfn.XLOOKUP($B58,'GP3 (2)'!$B$6:$B$100,'GP3 (2)'!$H$6:$H$100,"")</f>
        <v/>
      </c>
      <c r="AX58" s="27" t="str">
        <f>_xlfn.XLOOKUP($B58,'GP4 (1)'!$B$6:$B$66,'GP4 (1)'!$H$6:$H$66,"")</f>
        <v/>
      </c>
      <c r="AY58" s="28" t="str">
        <f>_xlfn.XLOOKUP($B58,'GP4 (2)'!$B$6:$B$100,'GP4 (2)'!$H$6:$H$100,"")</f>
        <v/>
      </c>
      <c r="AZ58" s="24" t="str">
        <f>_xlfn.XLOOKUP($B58,'GP5 (1)'!$B$6:$B$99,'GP5 (1)'!$H$6:$H$99,"")</f>
        <v/>
      </c>
      <c r="BA58" s="25" t="str">
        <f>_xlfn.XLOOKUP($B58,'GP5 (2)'!$B$6:$B$99,'GP5 (2)'!$H$6:$H$99,"")</f>
        <v/>
      </c>
      <c r="BB58" s="27" t="str">
        <f>_xlfn.XLOOKUP($B58,'GP6 (1)'!$B$5:$B$99,'GP6 (1)'!$H$5:$H$99,"")</f>
        <v/>
      </c>
      <c r="BC58" s="28" t="str">
        <f>_xlfn.XLOOKUP($B58,'GP6 (2)'!$B$5:$B$99,'GP6 (2)'!$H$5:$H$99,"")</f>
        <v/>
      </c>
      <c r="BD58" s="24" t="str">
        <f>_xlfn.XLOOKUP($B58,'GP7 (1)'!$B$6:$B$100,'GP7 (1)'!$H$6:$H$100,"")</f>
        <v/>
      </c>
      <c r="BE58" s="25" t="str">
        <f>_xlfn.XLOOKUP($B58,'GP7 (2)'!$B$6:$B$100,'GP7 (2)'!$H$6:$H$100,"")</f>
        <v/>
      </c>
      <c r="BF58" s="27" t="str">
        <f>_xlfn.XLOOKUP($B58,'GP8 (1)'!$B$6:$B$100,'GP8 (1)'!$H$6:$H$100,"")</f>
        <v/>
      </c>
      <c r="BG58" s="32" t="str">
        <f>_xlfn.XLOOKUP($B58,'GP8 (2)'!$B$6:$B$100,'GP8 (2)'!$H$6:$H$100,"")</f>
        <v/>
      </c>
    </row>
    <row r="59" spans="1:59" ht="13.1" customHeight="1" x14ac:dyDescent="0.25">
      <c r="A59" s="1">
        <f>ROW()-4</f>
        <v>55</v>
      </c>
      <c r="B59" s="5" t="s">
        <v>67</v>
      </c>
      <c r="C59" s="30">
        <f>SUM(D59:U59)</f>
        <v>0</v>
      </c>
      <c r="D59" s="35" t="str">
        <f>_xlfn.XLOOKUP($B59,'MP (1)'!$B$6:$B$99,'MP (1)'!$E$6:$E$99,"")</f>
        <v/>
      </c>
      <c r="E59" s="36" t="str">
        <f>_xlfn.XLOOKUP($B59,'MP (2)'!$B$6:$B$100,'MP (2)'!$E$6:$E$100,"")</f>
        <v/>
      </c>
      <c r="F59" s="40" t="str">
        <f>_xlfn.XLOOKUP($B59,'GP1 (1)'!$B$6:$B$100,'GP1 (1)'!$E$6:$E$100,"")</f>
        <v/>
      </c>
      <c r="G59" s="41" t="str">
        <f>_xlfn.XLOOKUP($B59,'GP1 (2)'!$B$6:$B$100,'GP1 (2)'!$E$6:$E$100,"")</f>
        <v/>
      </c>
      <c r="H59" s="39" t="str">
        <f>_xlfn.XLOOKUP($B59,'GP2 (1)'!$B$6:$B$101,'GP2 (1)'!$E$6:$E$101,"")</f>
        <v/>
      </c>
      <c r="I59" s="36" t="str">
        <f>_xlfn.XLOOKUP($B59,'GP2 (2)'!$B$6:$B$100,'GP2 (2)'!$E$6:$E$100,"")</f>
        <v/>
      </c>
      <c r="J59" s="40" t="str">
        <f>_xlfn.XLOOKUP($B59,'GP3 (1)'!$B$6:$B$100,'GP3 (1)'!$E$6:$E$100,"")</f>
        <v/>
      </c>
      <c r="K59" s="41" t="str">
        <f>_xlfn.XLOOKUP($B59,'GP3 (2)'!$B$6:$B$100,'GP3 (2)'!$E$6:$E$100,"")</f>
        <v/>
      </c>
      <c r="L59" s="39" t="str">
        <f>_xlfn.XLOOKUP($B59,'GP4 (1)'!$B$6:$B$66,'GP4 (1)'!$E$6:$E$66,"")</f>
        <v/>
      </c>
      <c r="M59" s="36" t="str">
        <f>_xlfn.XLOOKUP($B59,'GP4 (2)'!$B$6:$B$100,'GP4 (2)'!$E$6:$E$100,"")</f>
        <v/>
      </c>
      <c r="N59" s="40" t="str">
        <f>_xlfn.XLOOKUP($B59,'GP5 (1)'!$B$6:$B$99,'GP5 (1)'!$E$6:$E$99,"")</f>
        <v/>
      </c>
      <c r="O59" s="42" t="str">
        <f>_xlfn.XLOOKUP($B59,'GP5 (2)'!$B$6:$B$99,'GP5 (2)'!$E$6:$E$99,"")</f>
        <v/>
      </c>
      <c r="P59" s="39" t="str">
        <f>_xlfn.XLOOKUP($B59,'GP6 (1)'!$B$5:$B$99,'GP6 (1)'!$E$5:$E$99,"")</f>
        <v/>
      </c>
      <c r="Q59" s="36" t="str">
        <f>_xlfn.XLOOKUP($B59,'GP6 (2)'!$B$5:$B$99,'GP6 (2)'!$E$5:$E$99,"")</f>
        <v/>
      </c>
      <c r="R59" s="40" t="str">
        <f>_xlfn.XLOOKUP($B59,'GP7 (1)'!$B$6:$B$100,'GP7 (1)'!$E$6:$E$100,"")</f>
        <v/>
      </c>
      <c r="S59" s="42" t="str">
        <f>_xlfn.XLOOKUP($B59,'GP7 (2)'!$B$6:$B$100,'GP7 (2)'!$E$6:$E$100,"")</f>
        <v/>
      </c>
      <c r="T59" s="39" t="str">
        <f>_xlfn.XLOOKUP($B59,'GP8 (1)'!$B$6:$B$100,'GP8 (1)'!$E$6:$E$100,"")</f>
        <v/>
      </c>
      <c r="U59" s="35" t="str">
        <f>_xlfn.XLOOKUP($B59,'GP8 (2)'!$B$6:$B$100,'GP8 (2)'!$E$6:$E$100,"")</f>
        <v/>
      </c>
      <c r="V59" s="13">
        <f>SUM(W59:AN59)</f>
        <v>0</v>
      </c>
      <c r="W59" s="29" t="str">
        <f>_xlfn.XLOOKUP($B59,'MP (1)'!$B$6:$B$99,'MP (1)'!$F$6:$F$99,"")</f>
        <v/>
      </c>
      <c r="X59" s="28" t="str">
        <f>_xlfn.XLOOKUP($B59,'MP (2)'!$B$6:$B$100,'MP (2)'!$F$6:$F$100,"")</f>
        <v/>
      </c>
      <c r="Y59" s="24" t="str">
        <f>_xlfn.XLOOKUP($B59,'GP1 (1)'!$B$6:$B$100,'GP1 (1)'!$F$6:$F$100,"")</f>
        <v/>
      </c>
      <c r="Z59" s="25" t="str">
        <f>_xlfn.XLOOKUP($B59,'GP1 (2)'!$B$6:$B$100,'GP1 (2)'!$F$6:$F$100,"")</f>
        <v/>
      </c>
      <c r="AA59" s="27" t="str">
        <f>_xlfn.XLOOKUP($B59,'GP2 (1)'!$B$6:$B$101,'GP2 (1)'!$F$6:$F$101,"")</f>
        <v/>
      </c>
      <c r="AB59" s="28" t="str">
        <f>_xlfn.XLOOKUP($B59,'GP2 (2)'!$B$6:$B$100,'GP2 (2)'!$F$6:$F$100,"")</f>
        <v/>
      </c>
      <c r="AC59" s="24" t="str">
        <f>_xlfn.XLOOKUP($B59,'GP3 (1)'!$B$6:$B$100,'GP3 (1)'!$F$6:$F$100,"")</f>
        <v/>
      </c>
      <c r="AD59" s="25" t="str">
        <f>_xlfn.XLOOKUP($B59,'GP3 (2)'!$B$6:$B$100,'GP3 (2)'!$F$6:$F$100,"")</f>
        <v/>
      </c>
      <c r="AE59" s="27" t="str">
        <f>_xlfn.XLOOKUP($B59,'GP4 (1)'!$B$6:$B$66,'GP4 (1)'!$F$6:$F$66,"")</f>
        <v/>
      </c>
      <c r="AF59" s="28" t="str">
        <f>_xlfn.XLOOKUP($B59,'GP4 (2)'!$B$6:$B$100,'GP4 (2)'!$F$6:$F$100,"")</f>
        <v/>
      </c>
      <c r="AG59" s="24" t="str">
        <f>_xlfn.XLOOKUP($B59,'GP5 (1)'!$B$6:$B$99,'GP5 (1)'!$F$6:$F$99,"")</f>
        <v/>
      </c>
      <c r="AH59" s="26" t="str">
        <f>_xlfn.XLOOKUP($B59,'GP5 (2)'!$B$6:$B$99,'GP5 (2)'!$F$6:$F$99,"")</f>
        <v/>
      </c>
      <c r="AI59" s="27" t="str">
        <f>_xlfn.XLOOKUP($B59,'GP6 (1)'!$B$5:$B$99,'GP6 (1)'!$F$5:$F$99,"")</f>
        <v/>
      </c>
      <c r="AJ59" s="28" t="str">
        <f>_xlfn.XLOOKUP($B59,'GP6 (2)'!$B$5:$B$99,'GP6 (2)'!$F$5:$F$99,"")</f>
        <v/>
      </c>
      <c r="AK59" s="24" t="str">
        <f>_xlfn.XLOOKUP($B59,'GP7 (1)'!$B$6:$B$100,'GP7 (1)'!$F$6:$F$100,"")</f>
        <v/>
      </c>
      <c r="AL59" s="26" t="str">
        <f>_xlfn.XLOOKUP($B59,'GP7 (2)'!$B$6:$B$100,'GP7 (2)'!$F$6:$F$100,"")</f>
        <v/>
      </c>
      <c r="AM59" s="27" t="str">
        <f>_xlfn.XLOOKUP($B59,'GP8 (1)'!$B$6:$B$100,'GP8 (1)'!$F$6:$F$100,"")</f>
        <v/>
      </c>
      <c r="AN59" s="29" t="str">
        <f>_xlfn.XLOOKUP($B59,'GP8 (2)'!$B$6:$B$100,'GP8 (2)'!$F$6:$F$100,"")</f>
        <v/>
      </c>
      <c r="AO59" s="13">
        <f>SUM(AP59:BG59)</f>
        <v>0</v>
      </c>
      <c r="AP59" s="29" t="str">
        <f>_xlfn.XLOOKUP($B59,'MP (1)'!$B$6:$B$99,'MP (1)'!$H$6:$H$99,"")</f>
        <v/>
      </c>
      <c r="AQ59" s="28" t="str">
        <f>_xlfn.XLOOKUP($B59,'MP (2)'!$B$6:$B$100,'MP (2)'!$H$6:$H$100,"")</f>
        <v/>
      </c>
      <c r="AR59" s="24" t="str">
        <f>_xlfn.XLOOKUP($B59,'GP1 (1)'!$B$6:$B$100,'GP1 (1)'!$H$6:$H$100,"")</f>
        <v/>
      </c>
      <c r="AS59" s="25" t="str">
        <f>_xlfn.XLOOKUP($B59,'GP1 (2)'!$B$6:$B$100,'GP1 (2)'!$H$6:$H$100,"")</f>
        <v/>
      </c>
      <c r="AT59" s="27" t="str">
        <f>_xlfn.XLOOKUP($B59,'GP2 (1)'!$B$6:$B$101,'GP2 (1)'!$H$6:$H$101,"")</f>
        <v/>
      </c>
      <c r="AU59" s="28" t="str">
        <f>_xlfn.XLOOKUP($B59,'GP2 (2)'!$B$6:$B$100,'GP2 (2)'!$H$6:$H$100,"")</f>
        <v/>
      </c>
      <c r="AV59" s="24" t="str">
        <f>_xlfn.XLOOKUP($B59,'GP3 (1)'!$B$6:$B$100,'GP3 (1)'!$H$6:$H$100,"")</f>
        <v/>
      </c>
      <c r="AW59" s="25" t="str">
        <f>_xlfn.XLOOKUP($B59,'GP3 (2)'!$B$6:$B$100,'GP3 (2)'!$H$6:$H$100,"")</f>
        <v/>
      </c>
      <c r="AX59" s="27" t="str">
        <f>_xlfn.XLOOKUP($B59,'GP4 (1)'!$B$6:$B$66,'GP4 (1)'!$H$6:$H$66,"")</f>
        <v/>
      </c>
      <c r="AY59" s="28" t="str">
        <f>_xlfn.XLOOKUP($B59,'GP4 (2)'!$B$6:$B$100,'GP4 (2)'!$H$6:$H$100,"")</f>
        <v/>
      </c>
      <c r="AZ59" s="24" t="str">
        <f>_xlfn.XLOOKUP($B59,'GP5 (1)'!$B$6:$B$99,'GP5 (1)'!$H$6:$H$99,"")</f>
        <v/>
      </c>
      <c r="BA59" s="25" t="str">
        <f>_xlfn.XLOOKUP($B59,'GP5 (2)'!$B$6:$B$99,'GP5 (2)'!$H$6:$H$99,"")</f>
        <v/>
      </c>
      <c r="BB59" s="27" t="str">
        <f>_xlfn.XLOOKUP($B59,'GP6 (1)'!$B$5:$B$99,'GP6 (1)'!$H$5:$H$99,"")</f>
        <v/>
      </c>
      <c r="BC59" s="28" t="str">
        <f>_xlfn.XLOOKUP($B59,'GP6 (2)'!$B$5:$B$99,'GP6 (2)'!$H$5:$H$99,"")</f>
        <v/>
      </c>
      <c r="BD59" s="24" t="str">
        <f>_xlfn.XLOOKUP($B59,'GP7 (1)'!$B$6:$B$100,'GP7 (1)'!$H$6:$H$100,"")</f>
        <v/>
      </c>
      <c r="BE59" s="25" t="str">
        <f>_xlfn.XLOOKUP($B59,'GP7 (2)'!$B$6:$B$100,'GP7 (2)'!$H$6:$H$100,"")</f>
        <v/>
      </c>
      <c r="BF59" s="27" t="str">
        <f>_xlfn.XLOOKUP($B59,'GP8 (1)'!$B$6:$B$100,'GP8 (1)'!$H$6:$H$100,"")</f>
        <v/>
      </c>
      <c r="BG59" s="32" t="str">
        <f>_xlfn.XLOOKUP($B59,'GP8 (2)'!$B$6:$B$100,'GP8 (2)'!$H$6:$H$100,"")</f>
        <v/>
      </c>
    </row>
    <row r="60" spans="1:59" ht="13.1" customHeight="1" x14ac:dyDescent="0.25">
      <c r="A60" s="1">
        <f>ROW()-4</f>
        <v>56</v>
      </c>
      <c r="B60" s="5" t="s">
        <v>68</v>
      </c>
      <c r="C60" s="30">
        <f>SUM(D60:U60)</f>
        <v>0</v>
      </c>
      <c r="D60" s="35" t="str">
        <f>_xlfn.XLOOKUP($B60,'MP (1)'!$B$6:$B$99,'MP (1)'!$E$6:$E$99,"")</f>
        <v/>
      </c>
      <c r="E60" s="36" t="str">
        <f>_xlfn.XLOOKUP($B60,'MP (2)'!$B$6:$B$100,'MP (2)'!$E$6:$E$100,"")</f>
        <v/>
      </c>
      <c r="F60" s="40" t="str">
        <f>_xlfn.XLOOKUP($B60,'GP1 (1)'!$B$6:$B$100,'GP1 (1)'!$E$6:$E$100,"")</f>
        <v/>
      </c>
      <c r="G60" s="41" t="str">
        <f>_xlfn.XLOOKUP($B60,'GP1 (2)'!$B$6:$B$100,'GP1 (2)'!$E$6:$E$100,"")</f>
        <v/>
      </c>
      <c r="H60" s="39" t="str">
        <f>_xlfn.XLOOKUP($B60,'GP2 (1)'!$B$6:$B$101,'GP2 (1)'!$E$6:$E$101,"")</f>
        <v/>
      </c>
      <c r="I60" s="36" t="str">
        <f>_xlfn.XLOOKUP($B60,'GP2 (2)'!$B$6:$B$100,'GP2 (2)'!$E$6:$E$100,"")</f>
        <v/>
      </c>
      <c r="J60" s="40" t="str">
        <f>_xlfn.XLOOKUP($B60,'GP3 (1)'!$B$6:$B$100,'GP3 (1)'!$E$6:$E$100,"")</f>
        <v/>
      </c>
      <c r="K60" s="41" t="str">
        <f>_xlfn.XLOOKUP($B60,'GP3 (2)'!$B$6:$B$100,'GP3 (2)'!$E$6:$E$100,"")</f>
        <v/>
      </c>
      <c r="L60" s="39" t="str">
        <f>_xlfn.XLOOKUP($B60,'GP4 (1)'!$B$6:$B$66,'GP4 (1)'!$E$6:$E$66,"")</f>
        <v/>
      </c>
      <c r="M60" s="36" t="str">
        <f>_xlfn.XLOOKUP($B60,'GP4 (2)'!$B$6:$B$100,'GP4 (2)'!$E$6:$E$100,"")</f>
        <v/>
      </c>
      <c r="N60" s="40" t="str">
        <f>_xlfn.XLOOKUP($B60,'GP5 (1)'!$B$6:$B$99,'GP5 (1)'!$E$6:$E$99,"")</f>
        <v/>
      </c>
      <c r="O60" s="42" t="str">
        <f>_xlfn.XLOOKUP($B60,'GP5 (2)'!$B$6:$B$99,'GP5 (2)'!$E$6:$E$99,"")</f>
        <v/>
      </c>
      <c r="P60" s="39" t="str">
        <f>_xlfn.XLOOKUP($B60,'GP6 (1)'!$B$5:$B$99,'GP6 (1)'!$E$5:$E$99,"")</f>
        <v/>
      </c>
      <c r="Q60" s="36" t="str">
        <f>_xlfn.XLOOKUP($B60,'GP6 (2)'!$B$5:$B$99,'GP6 (2)'!$E$5:$E$99,"")</f>
        <v/>
      </c>
      <c r="R60" s="40" t="str">
        <f>_xlfn.XLOOKUP($B60,'GP7 (1)'!$B$6:$B$100,'GP7 (1)'!$E$6:$E$100,"")</f>
        <v/>
      </c>
      <c r="S60" s="42" t="str">
        <f>_xlfn.XLOOKUP($B60,'GP7 (2)'!$B$6:$B$100,'GP7 (2)'!$E$6:$E$100,"")</f>
        <v/>
      </c>
      <c r="T60" s="39" t="str">
        <f>_xlfn.XLOOKUP($B60,'GP8 (1)'!$B$6:$B$100,'GP8 (1)'!$E$6:$E$100,"")</f>
        <v/>
      </c>
      <c r="U60" s="35" t="str">
        <f>_xlfn.XLOOKUP($B60,'GP8 (2)'!$B$6:$B$100,'GP8 (2)'!$E$6:$E$100,"")</f>
        <v/>
      </c>
      <c r="V60" s="13">
        <f>SUM(W60:AN60)</f>
        <v>0</v>
      </c>
      <c r="W60" s="29" t="str">
        <f>_xlfn.XLOOKUP($B60,'MP (1)'!$B$6:$B$99,'MP (1)'!$F$6:$F$99,"")</f>
        <v/>
      </c>
      <c r="X60" s="28" t="str">
        <f>_xlfn.XLOOKUP($B60,'MP (2)'!$B$6:$B$100,'MP (2)'!$F$6:$F$100,"")</f>
        <v/>
      </c>
      <c r="Y60" s="24" t="str">
        <f>_xlfn.XLOOKUP($B60,'GP1 (1)'!$B$6:$B$100,'GP1 (1)'!$F$6:$F$100,"")</f>
        <v/>
      </c>
      <c r="Z60" s="25" t="str">
        <f>_xlfn.XLOOKUP($B60,'GP1 (2)'!$B$6:$B$100,'GP1 (2)'!$F$6:$F$100,"")</f>
        <v/>
      </c>
      <c r="AA60" s="27" t="str">
        <f>_xlfn.XLOOKUP($B60,'GP2 (1)'!$B$6:$B$101,'GP2 (1)'!$F$6:$F$101,"")</f>
        <v/>
      </c>
      <c r="AB60" s="28" t="str">
        <f>_xlfn.XLOOKUP($B60,'GP2 (2)'!$B$6:$B$100,'GP2 (2)'!$F$6:$F$100,"")</f>
        <v/>
      </c>
      <c r="AC60" s="24" t="str">
        <f>_xlfn.XLOOKUP($B60,'GP3 (1)'!$B$6:$B$100,'GP3 (1)'!$F$6:$F$100,"")</f>
        <v/>
      </c>
      <c r="AD60" s="25" t="str">
        <f>_xlfn.XLOOKUP($B60,'GP3 (2)'!$B$6:$B$100,'GP3 (2)'!$F$6:$F$100,"")</f>
        <v/>
      </c>
      <c r="AE60" s="27" t="str">
        <f>_xlfn.XLOOKUP($B60,'GP4 (1)'!$B$6:$B$66,'GP4 (1)'!$F$6:$F$66,"")</f>
        <v/>
      </c>
      <c r="AF60" s="28" t="str">
        <f>_xlfn.XLOOKUP($B60,'GP4 (2)'!$B$6:$B$100,'GP4 (2)'!$F$6:$F$100,"")</f>
        <v/>
      </c>
      <c r="AG60" s="24" t="str">
        <f>_xlfn.XLOOKUP($B60,'GP5 (1)'!$B$6:$B$99,'GP5 (1)'!$F$6:$F$99,"")</f>
        <v/>
      </c>
      <c r="AH60" s="26" t="str">
        <f>_xlfn.XLOOKUP($B60,'GP5 (2)'!$B$6:$B$99,'GP5 (2)'!$F$6:$F$99,"")</f>
        <v/>
      </c>
      <c r="AI60" s="27" t="str">
        <f>_xlfn.XLOOKUP($B60,'GP6 (1)'!$B$5:$B$99,'GP6 (1)'!$F$5:$F$99,"")</f>
        <v/>
      </c>
      <c r="AJ60" s="28" t="str">
        <f>_xlfn.XLOOKUP($B60,'GP6 (2)'!$B$5:$B$99,'GP6 (2)'!$F$5:$F$99,"")</f>
        <v/>
      </c>
      <c r="AK60" s="24" t="str">
        <f>_xlfn.XLOOKUP($B60,'GP7 (1)'!$B$6:$B$100,'GP7 (1)'!$F$6:$F$100,"")</f>
        <v/>
      </c>
      <c r="AL60" s="26" t="str">
        <f>_xlfn.XLOOKUP($B60,'GP7 (2)'!$B$6:$B$100,'GP7 (2)'!$F$6:$F$100,"")</f>
        <v/>
      </c>
      <c r="AM60" s="27" t="str">
        <f>_xlfn.XLOOKUP($B60,'GP8 (1)'!$B$6:$B$100,'GP8 (1)'!$F$6:$F$100,"")</f>
        <v/>
      </c>
      <c r="AN60" s="29" t="str">
        <f>_xlfn.XLOOKUP($B60,'GP8 (2)'!$B$6:$B$100,'GP8 (2)'!$F$6:$F$100,"")</f>
        <v/>
      </c>
      <c r="AO60" s="13">
        <f>SUM(AP60:BG60)</f>
        <v>0</v>
      </c>
      <c r="AP60" s="29" t="str">
        <f>_xlfn.XLOOKUP($B60,'MP (1)'!$B$6:$B$99,'MP (1)'!$H$6:$H$99,"")</f>
        <v/>
      </c>
      <c r="AQ60" s="28" t="str">
        <f>_xlfn.XLOOKUP($B60,'MP (2)'!$B$6:$B$100,'MP (2)'!$H$6:$H$100,"")</f>
        <v/>
      </c>
      <c r="AR60" s="24" t="str">
        <f>_xlfn.XLOOKUP($B60,'GP1 (1)'!$B$6:$B$100,'GP1 (1)'!$H$6:$H$100,"")</f>
        <v/>
      </c>
      <c r="AS60" s="25" t="str">
        <f>_xlfn.XLOOKUP($B60,'GP1 (2)'!$B$6:$B$100,'GP1 (2)'!$H$6:$H$100,"")</f>
        <v/>
      </c>
      <c r="AT60" s="27" t="str">
        <f>_xlfn.XLOOKUP($B60,'GP2 (1)'!$B$6:$B$101,'GP2 (1)'!$H$6:$H$101,"")</f>
        <v/>
      </c>
      <c r="AU60" s="28" t="str">
        <f>_xlfn.XLOOKUP($B60,'GP2 (2)'!$B$6:$B$100,'GP2 (2)'!$H$6:$H$100,"")</f>
        <v/>
      </c>
      <c r="AV60" s="24" t="str">
        <f>_xlfn.XLOOKUP($B60,'GP3 (1)'!$B$6:$B$100,'GP3 (1)'!$H$6:$H$100,"")</f>
        <v/>
      </c>
      <c r="AW60" s="25" t="str">
        <f>_xlfn.XLOOKUP($B60,'GP3 (2)'!$B$6:$B$100,'GP3 (2)'!$H$6:$H$100,"")</f>
        <v/>
      </c>
      <c r="AX60" s="27" t="str">
        <f>_xlfn.XLOOKUP($B60,'GP4 (1)'!$B$6:$B$66,'GP4 (1)'!$H$6:$H$66,"")</f>
        <v/>
      </c>
      <c r="AY60" s="28" t="str">
        <f>_xlfn.XLOOKUP($B60,'GP4 (2)'!$B$6:$B$100,'GP4 (2)'!$H$6:$H$100,"")</f>
        <v/>
      </c>
      <c r="AZ60" s="24" t="str">
        <f>_xlfn.XLOOKUP($B60,'GP5 (1)'!$B$6:$B$99,'GP5 (1)'!$H$6:$H$99,"")</f>
        <v/>
      </c>
      <c r="BA60" s="25" t="str">
        <f>_xlfn.XLOOKUP($B60,'GP5 (2)'!$B$6:$B$99,'GP5 (2)'!$H$6:$H$99,"")</f>
        <v/>
      </c>
      <c r="BB60" s="27" t="str">
        <f>_xlfn.XLOOKUP($B60,'GP6 (1)'!$B$5:$B$99,'GP6 (1)'!$H$5:$H$99,"")</f>
        <v/>
      </c>
      <c r="BC60" s="28" t="str">
        <f>_xlfn.XLOOKUP($B60,'GP6 (2)'!$B$5:$B$99,'GP6 (2)'!$H$5:$H$99,"")</f>
        <v/>
      </c>
      <c r="BD60" s="24" t="str">
        <f>_xlfn.XLOOKUP($B60,'GP7 (1)'!$B$6:$B$100,'GP7 (1)'!$H$6:$H$100,"")</f>
        <v/>
      </c>
      <c r="BE60" s="25" t="str">
        <f>_xlfn.XLOOKUP($B60,'GP7 (2)'!$B$6:$B$100,'GP7 (2)'!$H$6:$H$100,"")</f>
        <v/>
      </c>
      <c r="BF60" s="27" t="str">
        <f>_xlfn.XLOOKUP($B60,'GP8 (1)'!$B$6:$B$100,'GP8 (1)'!$H$6:$H$100,"")</f>
        <v/>
      </c>
      <c r="BG60" s="32" t="str">
        <f>_xlfn.XLOOKUP($B60,'GP8 (2)'!$B$6:$B$100,'GP8 (2)'!$H$6:$H$100,"")</f>
        <v/>
      </c>
    </row>
    <row r="61" spans="1:59" ht="13.1" customHeight="1" x14ac:dyDescent="0.25">
      <c r="A61" s="1">
        <f>ROW()-4</f>
        <v>57</v>
      </c>
      <c r="B61" s="5" t="s">
        <v>69</v>
      </c>
      <c r="C61" s="30">
        <f>SUM(D61:U61)</f>
        <v>0</v>
      </c>
      <c r="D61" s="35" t="str">
        <f>_xlfn.XLOOKUP($B61,'MP (1)'!$B$6:$B$99,'MP (1)'!$E$6:$E$99,"")</f>
        <v/>
      </c>
      <c r="E61" s="36" t="str">
        <f>_xlfn.XLOOKUP($B61,'MP (2)'!$B$6:$B$100,'MP (2)'!$E$6:$E$100,"")</f>
        <v/>
      </c>
      <c r="F61" s="40" t="str">
        <f>_xlfn.XLOOKUP($B61,'GP1 (1)'!$B$6:$B$100,'GP1 (1)'!$E$6:$E$100,"")</f>
        <v/>
      </c>
      <c r="G61" s="41" t="str">
        <f>_xlfn.XLOOKUP($B61,'GP1 (2)'!$B$6:$B$100,'GP1 (2)'!$E$6:$E$100,"")</f>
        <v/>
      </c>
      <c r="H61" s="39" t="str">
        <f>_xlfn.XLOOKUP($B61,'GP2 (1)'!$B$6:$B$101,'GP2 (1)'!$E$6:$E$101,"")</f>
        <v/>
      </c>
      <c r="I61" s="36" t="str">
        <f>_xlfn.XLOOKUP($B61,'GP2 (2)'!$B$6:$B$100,'GP2 (2)'!$E$6:$E$100,"")</f>
        <v/>
      </c>
      <c r="J61" s="40" t="str">
        <f>_xlfn.XLOOKUP($B61,'GP3 (1)'!$B$6:$B$100,'GP3 (1)'!$E$6:$E$100,"")</f>
        <v/>
      </c>
      <c r="K61" s="41" t="str">
        <f>_xlfn.XLOOKUP($B61,'GP3 (2)'!$B$6:$B$100,'GP3 (2)'!$E$6:$E$100,"")</f>
        <v/>
      </c>
      <c r="L61" s="39" t="str">
        <f>_xlfn.XLOOKUP($B61,'GP4 (1)'!$B$6:$B$66,'GP4 (1)'!$E$6:$E$66,"")</f>
        <v/>
      </c>
      <c r="M61" s="36" t="str">
        <f>_xlfn.XLOOKUP($B61,'GP4 (2)'!$B$6:$B$100,'GP4 (2)'!$E$6:$E$100,"")</f>
        <v/>
      </c>
      <c r="N61" s="40" t="str">
        <f>_xlfn.XLOOKUP($B61,'GP5 (1)'!$B$6:$B$99,'GP5 (1)'!$E$6:$E$99,"")</f>
        <v/>
      </c>
      <c r="O61" s="42" t="str">
        <f>_xlfn.XLOOKUP($B61,'GP5 (2)'!$B$6:$B$99,'GP5 (2)'!$E$6:$E$99,"")</f>
        <v/>
      </c>
      <c r="P61" s="39" t="str">
        <f>_xlfn.XLOOKUP($B61,'GP6 (1)'!$B$5:$B$99,'GP6 (1)'!$E$5:$E$99,"")</f>
        <v/>
      </c>
      <c r="Q61" s="36" t="str">
        <f>_xlfn.XLOOKUP($B61,'GP6 (2)'!$B$5:$B$99,'GP6 (2)'!$E$5:$E$99,"")</f>
        <v/>
      </c>
      <c r="R61" s="40" t="str">
        <f>_xlfn.XLOOKUP($B61,'GP7 (1)'!$B$6:$B$100,'GP7 (1)'!$E$6:$E$100,"")</f>
        <v/>
      </c>
      <c r="S61" s="42" t="str">
        <f>_xlfn.XLOOKUP($B61,'GP7 (2)'!$B$6:$B$100,'GP7 (2)'!$E$6:$E$100,"")</f>
        <v/>
      </c>
      <c r="T61" s="39" t="str">
        <f>_xlfn.XLOOKUP($B61,'GP8 (1)'!$B$6:$B$100,'GP8 (1)'!$E$6:$E$100,"")</f>
        <v/>
      </c>
      <c r="U61" s="35" t="str">
        <f>_xlfn.XLOOKUP($B61,'GP8 (2)'!$B$6:$B$100,'GP8 (2)'!$E$6:$E$100,"")</f>
        <v/>
      </c>
      <c r="V61" s="13">
        <f>SUM(W61:AN61)</f>
        <v>0</v>
      </c>
      <c r="W61" s="29" t="str">
        <f>_xlfn.XLOOKUP($B61,'MP (1)'!$B$6:$B$99,'MP (1)'!$F$6:$F$99,"")</f>
        <v/>
      </c>
      <c r="X61" s="28" t="str">
        <f>_xlfn.XLOOKUP($B61,'MP (2)'!$B$6:$B$100,'MP (2)'!$F$6:$F$100,"")</f>
        <v/>
      </c>
      <c r="Y61" s="24" t="str">
        <f>_xlfn.XLOOKUP($B61,'GP1 (1)'!$B$6:$B$100,'GP1 (1)'!$F$6:$F$100,"")</f>
        <v/>
      </c>
      <c r="Z61" s="25" t="str">
        <f>_xlfn.XLOOKUP($B61,'GP1 (2)'!$B$6:$B$100,'GP1 (2)'!$F$6:$F$100,"")</f>
        <v/>
      </c>
      <c r="AA61" s="27" t="str">
        <f>_xlfn.XLOOKUP($B61,'GP2 (1)'!$B$6:$B$101,'GP2 (1)'!$F$6:$F$101,"")</f>
        <v/>
      </c>
      <c r="AB61" s="28" t="str">
        <f>_xlfn.XLOOKUP($B61,'GP2 (2)'!$B$6:$B$100,'GP2 (2)'!$F$6:$F$100,"")</f>
        <v/>
      </c>
      <c r="AC61" s="24" t="str">
        <f>_xlfn.XLOOKUP($B61,'GP3 (1)'!$B$6:$B$100,'GP3 (1)'!$F$6:$F$100,"")</f>
        <v/>
      </c>
      <c r="AD61" s="25" t="str">
        <f>_xlfn.XLOOKUP($B61,'GP3 (2)'!$B$6:$B$100,'GP3 (2)'!$F$6:$F$100,"")</f>
        <v/>
      </c>
      <c r="AE61" s="27" t="str">
        <f>_xlfn.XLOOKUP($B61,'GP4 (1)'!$B$6:$B$66,'GP4 (1)'!$F$6:$F$66,"")</f>
        <v/>
      </c>
      <c r="AF61" s="28" t="str">
        <f>_xlfn.XLOOKUP($B61,'GP4 (2)'!$B$6:$B$100,'GP4 (2)'!$F$6:$F$100,"")</f>
        <v/>
      </c>
      <c r="AG61" s="24" t="str">
        <f>_xlfn.XLOOKUP($B61,'GP5 (1)'!$B$6:$B$99,'GP5 (1)'!$F$6:$F$99,"")</f>
        <v/>
      </c>
      <c r="AH61" s="26" t="str">
        <f>_xlfn.XLOOKUP($B61,'GP5 (2)'!$B$6:$B$99,'GP5 (2)'!$F$6:$F$99,"")</f>
        <v/>
      </c>
      <c r="AI61" s="27" t="str">
        <f>_xlfn.XLOOKUP($B61,'GP6 (1)'!$B$5:$B$99,'GP6 (1)'!$F$5:$F$99,"")</f>
        <v/>
      </c>
      <c r="AJ61" s="28" t="str">
        <f>_xlfn.XLOOKUP($B61,'GP6 (2)'!$B$5:$B$99,'GP6 (2)'!$F$5:$F$99,"")</f>
        <v/>
      </c>
      <c r="AK61" s="24" t="str">
        <f>_xlfn.XLOOKUP($B61,'GP7 (1)'!$B$6:$B$100,'GP7 (1)'!$F$6:$F$100,"")</f>
        <v/>
      </c>
      <c r="AL61" s="26" t="str">
        <f>_xlfn.XLOOKUP($B61,'GP7 (2)'!$B$6:$B$100,'GP7 (2)'!$F$6:$F$100,"")</f>
        <v/>
      </c>
      <c r="AM61" s="27" t="str">
        <f>_xlfn.XLOOKUP($B61,'GP8 (1)'!$B$6:$B$100,'GP8 (1)'!$F$6:$F$100,"")</f>
        <v/>
      </c>
      <c r="AN61" s="29" t="str">
        <f>_xlfn.XLOOKUP($B61,'GP8 (2)'!$B$6:$B$100,'GP8 (2)'!$F$6:$F$100,"")</f>
        <v/>
      </c>
      <c r="AO61" s="13">
        <f>SUM(AP61:BG61)</f>
        <v>0</v>
      </c>
      <c r="AP61" s="29" t="str">
        <f>_xlfn.XLOOKUP($B61,'MP (1)'!$B$6:$B$99,'MP (1)'!$H$6:$H$99,"")</f>
        <v/>
      </c>
      <c r="AQ61" s="28" t="str">
        <f>_xlfn.XLOOKUP($B61,'MP (2)'!$B$6:$B$100,'MP (2)'!$H$6:$H$100,"")</f>
        <v/>
      </c>
      <c r="AR61" s="24" t="str">
        <f>_xlfn.XLOOKUP($B61,'GP1 (1)'!$B$6:$B$100,'GP1 (1)'!$H$6:$H$100,"")</f>
        <v/>
      </c>
      <c r="AS61" s="25" t="str">
        <f>_xlfn.XLOOKUP($B61,'GP1 (2)'!$B$6:$B$100,'GP1 (2)'!$H$6:$H$100,"")</f>
        <v/>
      </c>
      <c r="AT61" s="27" t="str">
        <f>_xlfn.XLOOKUP($B61,'GP2 (1)'!$B$6:$B$101,'GP2 (1)'!$H$6:$H$101,"")</f>
        <v/>
      </c>
      <c r="AU61" s="28" t="str">
        <f>_xlfn.XLOOKUP($B61,'GP2 (2)'!$B$6:$B$100,'GP2 (2)'!$H$6:$H$100,"")</f>
        <v/>
      </c>
      <c r="AV61" s="24" t="str">
        <f>_xlfn.XLOOKUP($B61,'GP3 (1)'!$B$6:$B$100,'GP3 (1)'!$H$6:$H$100,"")</f>
        <v/>
      </c>
      <c r="AW61" s="25" t="str">
        <f>_xlfn.XLOOKUP($B61,'GP3 (2)'!$B$6:$B$100,'GP3 (2)'!$H$6:$H$100,"")</f>
        <v/>
      </c>
      <c r="AX61" s="27" t="str">
        <f>_xlfn.XLOOKUP($B61,'GP4 (1)'!$B$6:$B$66,'GP4 (1)'!$H$6:$H$66,"")</f>
        <v/>
      </c>
      <c r="AY61" s="28" t="str">
        <f>_xlfn.XLOOKUP($B61,'GP4 (2)'!$B$6:$B$100,'GP4 (2)'!$H$6:$H$100,"")</f>
        <v/>
      </c>
      <c r="AZ61" s="24" t="str">
        <f>_xlfn.XLOOKUP($B61,'GP5 (1)'!$B$6:$B$99,'GP5 (1)'!$H$6:$H$99,"")</f>
        <v/>
      </c>
      <c r="BA61" s="25" t="str">
        <f>_xlfn.XLOOKUP($B61,'GP5 (2)'!$B$6:$B$99,'GP5 (2)'!$H$6:$H$99,"")</f>
        <v/>
      </c>
      <c r="BB61" s="27" t="str">
        <f>_xlfn.XLOOKUP($B61,'GP6 (1)'!$B$5:$B$99,'GP6 (1)'!$H$5:$H$99,"")</f>
        <v/>
      </c>
      <c r="BC61" s="28" t="str">
        <f>_xlfn.XLOOKUP($B61,'GP6 (2)'!$B$5:$B$99,'GP6 (2)'!$H$5:$H$99,"")</f>
        <v/>
      </c>
      <c r="BD61" s="24" t="str">
        <f>_xlfn.XLOOKUP($B61,'GP7 (1)'!$B$6:$B$100,'GP7 (1)'!$H$6:$H$100,"")</f>
        <v/>
      </c>
      <c r="BE61" s="25" t="str">
        <f>_xlfn.XLOOKUP($B61,'GP7 (2)'!$B$6:$B$100,'GP7 (2)'!$H$6:$H$100,"")</f>
        <v/>
      </c>
      <c r="BF61" s="27" t="str">
        <f>_xlfn.XLOOKUP($B61,'GP8 (1)'!$B$6:$B$100,'GP8 (1)'!$H$6:$H$100,"")</f>
        <v/>
      </c>
      <c r="BG61" s="32" t="str">
        <f>_xlfn.XLOOKUP($B61,'GP8 (2)'!$B$6:$B$100,'GP8 (2)'!$H$6:$H$100,"")</f>
        <v/>
      </c>
    </row>
    <row r="62" spans="1:59" ht="13.1" customHeight="1" x14ac:dyDescent="0.25">
      <c r="A62" s="1">
        <f>ROW()-4</f>
        <v>58</v>
      </c>
      <c r="B62" s="71" t="s">
        <v>70</v>
      </c>
      <c r="C62" s="30">
        <f>SUM(D62:U62)</f>
        <v>0</v>
      </c>
      <c r="D62" s="35" t="str">
        <f>_xlfn.XLOOKUP($B62,'MP (1)'!$B$6:$B$99,'MP (1)'!$E$6:$E$99,"")</f>
        <v/>
      </c>
      <c r="E62" s="36" t="str">
        <f>_xlfn.XLOOKUP($B62,'MP (2)'!$B$6:$B$100,'MP (2)'!$E$6:$E$100,"")</f>
        <v/>
      </c>
      <c r="F62" s="40" t="str">
        <f>_xlfn.XLOOKUP($B62,'GP1 (1)'!$B$6:$B$100,'GP1 (1)'!$E$6:$E$100,"")</f>
        <v/>
      </c>
      <c r="G62" s="41" t="str">
        <f>_xlfn.XLOOKUP($B62,'GP1 (2)'!$B$6:$B$100,'GP1 (2)'!$E$6:$E$100,"")</f>
        <v/>
      </c>
      <c r="H62" s="39" t="str">
        <f>_xlfn.XLOOKUP($B62,'GP2 (1)'!$B$6:$B$101,'GP2 (1)'!$E$6:$E$101,"")</f>
        <v/>
      </c>
      <c r="I62" s="36" t="str">
        <f>_xlfn.XLOOKUP($B62,'GP2 (2)'!$B$6:$B$100,'GP2 (2)'!$E$6:$E$100,"")</f>
        <v/>
      </c>
      <c r="J62" s="40" t="str">
        <f>_xlfn.XLOOKUP($B62,'GP3 (1)'!$B$6:$B$100,'GP3 (1)'!$E$6:$E$100,"")</f>
        <v/>
      </c>
      <c r="K62" s="41" t="str">
        <f>_xlfn.XLOOKUP($B62,'GP3 (2)'!$B$6:$B$100,'GP3 (2)'!$E$6:$E$100,"")</f>
        <v/>
      </c>
      <c r="L62" s="39" t="str">
        <f>_xlfn.XLOOKUP($B62,'GP4 (1)'!$B$6:$B$66,'GP4 (1)'!$E$6:$E$66,"")</f>
        <v/>
      </c>
      <c r="M62" s="36" t="str">
        <f>_xlfn.XLOOKUP($B62,'GP4 (2)'!$B$6:$B$100,'GP4 (2)'!$E$6:$E$100,"")</f>
        <v/>
      </c>
      <c r="N62" s="40" t="str">
        <f>_xlfn.XLOOKUP($B62,'GP5 (1)'!$B$6:$B$99,'GP5 (1)'!$E$6:$E$99,"")</f>
        <v/>
      </c>
      <c r="O62" s="42" t="str">
        <f>_xlfn.XLOOKUP($B62,'GP5 (2)'!$B$6:$B$99,'GP5 (2)'!$E$6:$E$99,"")</f>
        <v/>
      </c>
      <c r="P62" s="39" t="str">
        <f>_xlfn.XLOOKUP($B62,'GP6 (1)'!$B$5:$B$99,'GP6 (1)'!$E$5:$E$99,"")</f>
        <v/>
      </c>
      <c r="Q62" s="36" t="str">
        <f>_xlfn.XLOOKUP($B62,'GP6 (2)'!$B$5:$B$99,'GP6 (2)'!$E$5:$E$99,"")</f>
        <v/>
      </c>
      <c r="R62" s="40" t="str">
        <f>_xlfn.XLOOKUP($B62,'GP7 (1)'!$B$6:$B$100,'GP7 (1)'!$E$6:$E$100,"")</f>
        <v/>
      </c>
      <c r="S62" s="42" t="str">
        <f>_xlfn.XLOOKUP($B62,'GP7 (2)'!$B$6:$B$100,'GP7 (2)'!$E$6:$E$100,"")</f>
        <v/>
      </c>
      <c r="T62" s="39" t="str">
        <f>_xlfn.XLOOKUP($B62,'GP8 (1)'!$B$6:$B$100,'GP8 (1)'!$E$6:$E$100,"")</f>
        <v/>
      </c>
      <c r="U62" s="35" t="str">
        <f>_xlfn.XLOOKUP($B62,'GP8 (2)'!$B$6:$B$100,'GP8 (2)'!$E$6:$E$100,"")</f>
        <v/>
      </c>
      <c r="V62" s="13">
        <f>SUM(W62:AN62)</f>
        <v>0</v>
      </c>
      <c r="W62" s="29" t="str">
        <f>_xlfn.XLOOKUP($B62,'MP (1)'!$B$6:$B$99,'MP (1)'!$F$6:$F$99,"")</f>
        <v/>
      </c>
      <c r="X62" s="28" t="str">
        <f>_xlfn.XLOOKUP($B62,'MP (2)'!$B$6:$B$100,'MP (2)'!$F$6:$F$100,"")</f>
        <v/>
      </c>
      <c r="Y62" s="24" t="str">
        <f>_xlfn.XLOOKUP($B62,'GP1 (1)'!$B$6:$B$100,'GP1 (1)'!$F$6:$F$100,"")</f>
        <v/>
      </c>
      <c r="Z62" s="25" t="str">
        <f>_xlfn.XLOOKUP($B62,'GP1 (2)'!$B$6:$B$100,'GP1 (2)'!$F$6:$F$100,"")</f>
        <v/>
      </c>
      <c r="AA62" s="27" t="str">
        <f>_xlfn.XLOOKUP($B62,'GP2 (1)'!$B$6:$B$101,'GP2 (1)'!$F$6:$F$101,"")</f>
        <v/>
      </c>
      <c r="AB62" s="28" t="str">
        <f>_xlfn.XLOOKUP($B62,'GP2 (2)'!$B$6:$B$100,'GP2 (2)'!$F$6:$F$100,"")</f>
        <v/>
      </c>
      <c r="AC62" s="24" t="str">
        <f>_xlfn.XLOOKUP($B62,'GP3 (1)'!$B$6:$B$100,'GP3 (1)'!$F$6:$F$100,"")</f>
        <v/>
      </c>
      <c r="AD62" s="25" t="str">
        <f>_xlfn.XLOOKUP($B62,'GP3 (2)'!$B$6:$B$100,'GP3 (2)'!$F$6:$F$100,"")</f>
        <v/>
      </c>
      <c r="AE62" s="27" t="str">
        <f>_xlfn.XLOOKUP($B62,'GP4 (1)'!$B$6:$B$66,'GP4 (1)'!$F$6:$F$66,"")</f>
        <v/>
      </c>
      <c r="AF62" s="28" t="str">
        <f>_xlfn.XLOOKUP($B62,'GP4 (2)'!$B$6:$B$100,'GP4 (2)'!$F$6:$F$100,"")</f>
        <v/>
      </c>
      <c r="AG62" s="24" t="str">
        <f>_xlfn.XLOOKUP($B62,'GP5 (1)'!$B$6:$B$99,'GP5 (1)'!$F$6:$F$99,"")</f>
        <v/>
      </c>
      <c r="AH62" s="26" t="str">
        <f>_xlfn.XLOOKUP($B62,'GP5 (2)'!$B$6:$B$99,'GP5 (2)'!$F$6:$F$99,"")</f>
        <v/>
      </c>
      <c r="AI62" s="27" t="str">
        <f>_xlfn.XLOOKUP($B62,'GP6 (1)'!$B$5:$B$99,'GP6 (1)'!$F$5:$F$99,"")</f>
        <v/>
      </c>
      <c r="AJ62" s="28" t="str">
        <f>_xlfn.XLOOKUP($B62,'GP6 (2)'!$B$5:$B$99,'GP6 (2)'!$F$5:$F$99,"")</f>
        <v/>
      </c>
      <c r="AK62" s="24" t="str">
        <f>_xlfn.XLOOKUP($B62,'GP7 (1)'!$B$6:$B$100,'GP7 (1)'!$F$6:$F$100,"")</f>
        <v/>
      </c>
      <c r="AL62" s="26" t="str">
        <f>_xlfn.XLOOKUP($B62,'GP7 (2)'!$B$6:$B$100,'GP7 (2)'!$F$6:$F$100,"")</f>
        <v/>
      </c>
      <c r="AM62" s="27" t="str">
        <f>_xlfn.XLOOKUP($B62,'GP8 (1)'!$B$6:$B$100,'GP8 (1)'!$F$6:$F$100,"")</f>
        <v/>
      </c>
      <c r="AN62" s="29" t="str">
        <f>_xlfn.XLOOKUP($B62,'GP8 (2)'!$B$6:$B$100,'GP8 (2)'!$F$6:$F$100,"")</f>
        <v/>
      </c>
      <c r="AO62" s="13">
        <f>SUM(AP62:BG62)</f>
        <v>0</v>
      </c>
      <c r="AP62" s="29" t="str">
        <f>_xlfn.XLOOKUP($B62,'MP (1)'!$B$6:$B$99,'MP (1)'!$H$6:$H$99,"")</f>
        <v/>
      </c>
      <c r="AQ62" s="28" t="str">
        <f>_xlfn.XLOOKUP($B62,'MP (2)'!$B$6:$B$100,'MP (2)'!$H$6:$H$100,"")</f>
        <v/>
      </c>
      <c r="AR62" s="24" t="str">
        <f>_xlfn.XLOOKUP($B62,'GP1 (1)'!$B$6:$B$100,'GP1 (1)'!$H$6:$H$100,"")</f>
        <v/>
      </c>
      <c r="AS62" s="25" t="str">
        <f>_xlfn.XLOOKUP($B62,'GP1 (2)'!$B$6:$B$100,'GP1 (2)'!$H$6:$H$100,"")</f>
        <v/>
      </c>
      <c r="AT62" s="27" t="str">
        <f>_xlfn.XLOOKUP($B62,'GP2 (1)'!$B$6:$B$101,'GP2 (1)'!$H$6:$H$101,"")</f>
        <v/>
      </c>
      <c r="AU62" s="28" t="str">
        <f>_xlfn.XLOOKUP($B62,'GP2 (2)'!$B$6:$B$100,'GP2 (2)'!$H$6:$H$100,"")</f>
        <v/>
      </c>
      <c r="AV62" s="24" t="str">
        <f>_xlfn.XLOOKUP($B62,'GP3 (1)'!$B$6:$B$100,'GP3 (1)'!$H$6:$H$100,"")</f>
        <v/>
      </c>
      <c r="AW62" s="25" t="str">
        <f>_xlfn.XLOOKUP($B62,'GP3 (2)'!$B$6:$B$100,'GP3 (2)'!$H$6:$H$100,"")</f>
        <v/>
      </c>
      <c r="AX62" s="27" t="str">
        <f>_xlfn.XLOOKUP($B62,'GP4 (1)'!$B$6:$B$66,'GP4 (1)'!$H$6:$H$66,"")</f>
        <v/>
      </c>
      <c r="AY62" s="28" t="str">
        <f>_xlfn.XLOOKUP($B62,'GP4 (2)'!$B$6:$B$100,'GP4 (2)'!$H$6:$H$100,"")</f>
        <v/>
      </c>
      <c r="AZ62" s="24" t="str">
        <f>_xlfn.XLOOKUP($B62,'GP5 (1)'!$B$6:$B$99,'GP5 (1)'!$H$6:$H$99,"")</f>
        <v/>
      </c>
      <c r="BA62" s="25" t="str">
        <f>_xlfn.XLOOKUP($B62,'GP5 (2)'!$B$6:$B$99,'GP5 (2)'!$H$6:$H$99,"")</f>
        <v/>
      </c>
      <c r="BB62" s="27" t="str">
        <f>_xlfn.XLOOKUP($B62,'GP6 (1)'!$B$5:$B$99,'GP6 (1)'!$H$5:$H$99,"")</f>
        <v/>
      </c>
      <c r="BC62" s="28" t="str">
        <f>_xlfn.XLOOKUP($B62,'GP6 (2)'!$B$5:$B$99,'GP6 (2)'!$H$5:$H$99,"")</f>
        <v/>
      </c>
      <c r="BD62" s="24" t="str">
        <f>_xlfn.XLOOKUP($B62,'GP7 (1)'!$B$6:$B$100,'GP7 (1)'!$H$6:$H$100,"")</f>
        <v/>
      </c>
      <c r="BE62" s="25" t="str">
        <f>_xlfn.XLOOKUP($B62,'GP7 (2)'!$B$6:$B$100,'GP7 (2)'!$H$6:$H$100,"")</f>
        <v/>
      </c>
      <c r="BF62" s="27" t="str">
        <f>_xlfn.XLOOKUP($B62,'GP8 (1)'!$B$6:$B$100,'GP8 (1)'!$H$6:$H$100,"")</f>
        <v/>
      </c>
      <c r="BG62" s="32" t="str">
        <f>_xlfn.XLOOKUP($B62,'GP8 (2)'!$B$6:$B$100,'GP8 (2)'!$H$6:$H$100,"")</f>
        <v/>
      </c>
    </row>
    <row r="63" spans="1:59" ht="13.1" customHeight="1" x14ac:dyDescent="0.25">
      <c r="A63" s="1">
        <f>ROW()-4</f>
        <v>59</v>
      </c>
      <c r="B63" s="5" t="s">
        <v>71</v>
      </c>
      <c r="C63" s="30">
        <f>SUM(D63:U63)</f>
        <v>0</v>
      </c>
      <c r="D63" s="35" t="str">
        <f>_xlfn.XLOOKUP($B63,'MP (1)'!$B$6:$B$99,'MP (1)'!$E$6:$E$99,"")</f>
        <v/>
      </c>
      <c r="E63" s="36" t="str">
        <f>_xlfn.XLOOKUP($B63,'MP (2)'!$B$6:$B$100,'MP (2)'!$E$6:$E$100,"")</f>
        <v/>
      </c>
      <c r="F63" s="40" t="str">
        <f>_xlfn.XLOOKUP($B63,'GP1 (1)'!$B$6:$B$100,'GP1 (1)'!$E$6:$E$100,"")</f>
        <v/>
      </c>
      <c r="G63" s="41" t="str">
        <f>_xlfn.XLOOKUP($B63,'GP1 (2)'!$B$6:$B$100,'GP1 (2)'!$E$6:$E$100,"")</f>
        <v/>
      </c>
      <c r="H63" s="39" t="str">
        <f>_xlfn.XLOOKUP($B63,'GP2 (1)'!$B$6:$B$101,'GP2 (1)'!$E$6:$E$101,"")</f>
        <v/>
      </c>
      <c r="I63" s="36" t="str">
        <f>_xlfn.XLOOKUP($B63,'GP2 (2)'!$B$6:$B$100,'GP2 (2)'!$E$6:$E$100,"")</f>
        <v/>
      </c>
      <c r="J63" s="40" t="str">
        <f>_xlfn.XLOOKUP($B63,'GP3 (1)'!$B$6:$B$100,'GP3 (1)'!$E$6:$E$100,"")</f>
        <v/>
      </c>
      <c r="K63" s="41" t="str">
        <f>_xlfn.XLOOKUP($B63,'GP3 (2)'!$B$6:$B$100,'GP3 (2)'!$E$6:$E$100,"")</f>
        <v/>
      </c>
      <c r="L63" s="39" t="str">
        <f>_xlfn.XLOOKUP($B63,'GP4 (1)'!$B$6:$B$66,'GP4 (1)'!$E$6:$E$66,"")</f>
        <v/>
      </c>
      <c r="M63" s="36" t="str">
        <f>_xlfn.XLOOKUP($B63,'GP4 (2)'!$B$6:$B$100,'GP4 (2)'!$E$6:$E$100,"")</f>
        <v/>
      </c>
      <c r="N63" s="40" t="str">
        <f>_xlfn.XLOOKUP($B63,'GP5 (1)'!$B$6:$B$99,'GP5 (1)'!$E$6:$E$99,"")</f>
        <v/>
      </c>
      <c r="O63" s="42" t="str">
        <f>_xlfn.XLOOKUP($B63,'GP5 (2)'!$B$6:$B$99,'GP5 (2)'!$E$6:$E$99,"")</f>
        <v/>
      </c>
      <c r="P63" s="39" t="str">
        <f>_xlfn.XLOOKUP($B63,'GP6 (1)'!$B$5:$B$99,'GP6 (1)'!$E$5:$E$99,"")</f>
        <v/>
      </c>
      <c r="Q63" s="36" t="str">
        <f>_xlfn.XLOOKUP($B63,'GP6 (2)'!$B$5:$B$99,'GP6 (2)'!$E$5:$E$99,"")</f>
        <v/>
      </c>
      <c r="R63" s="40" t="str">
        <f>_xlfn.XLOOKUP($B63,'GP7 (1)'!$B$6:$B$100,'GP7 (1)'!$E$6:$E$100,"")</f>
        <v/>
      </c>
      <c r="S63" s="42" t="str">
        <f>_xlfn.XLOOKUP($B63,'GP7 (2)'!$B$6:$B$100,'GP7 (2)'!$E$6:$E$100,"")</f>
        <v/>
      </c>
      <c r="T63" s="39" t="str">
        <f>_xlfn.XLOOKUP($B63,'GP8 (1)'!$B$6:$B$100,'GP8 (1)'!$E$6:$E$100,"")</f>
        <v/>
      </c>
      <c r="U63" s="35" t="str">
        <f>_xlfn.XLOOKUP($B63,'GP8 (2)'!$B$6:$B$100,'GP8 (2)'!$E$6:$E$100,"")</f>
        <v/>
      </c>
      <c r="V63" s="13">
        <f>SUM(W63:AN63)</f>
        <v>0</v>
      </c>
      <c r="W63" s="29" t="str">
        <f>_xlfn.XLOOKUP($B63,'MP (1)'!$B$6:$B$99,'MP (1)'!$F$6:$F$99,"")</f>
        <v/>
      </c>
      <c r="X63" s="28" t="str">
        <f>_xlfn.XLOOKUP($B63,'MP (2)'!$B$6:$B$100,'MP (2)'!$F$6:$F$100,"")</f>
        <v/>
      </c>
      <c r="Y63" s="24" t="str">
        <f>_xlfn.XLOOKUP($B63,'GP1 (1)'!$B$6:$B$100,'GP1 (1)'!$F$6:$F$100,"")</f>
        <v/>
      </c>
      <c r="Z63" s="25" t="str">
        <f>_xlfn.XLOOKUP($B63,'GP1 (2)'!$B$6:$B$100,'GP1 (2)'!$F$6:$F$100,"")</f>
        <v/>
      </c>
      <c r="AA63" s="27" t="str">
        <f>_xlfn.XLOOKUP($B63,'GP2 (1)'!$B$6:$B$101,'GP2 (1)'!$F$6:$F$101,"")</f>
        <v/>
      </c>
      <c r="AB63" s="28" t="str">
        <f>_xlfn.XLOOKUP($B63,'GP2 (2)'!$B$6:$B$100,'GP2 (2)'!$F$6:$F$100,"")</f>
        <v/>
      </c>
      <c r="AC63" s="24" t="str">
        <f>_xlfn.XLOOKUP($B63,'GP3 (1)'!$B$6:$B$100,'GP3 (1)'!$F$6:$F$100,"")</f>
        <v/>
      </c>
      <c r="AD63" s="25" t="str">
        <f>_xlfn.XLOOKUP($B63,'GP3 (2)'!$B$6:$B$100,'GP3 (2)'!$F$6:$F$100,"")</f>
        <v/>
      </c>
      <c r="AE63" s="27" t="str">
        <f>_xlfn.XLOOKUP($B63,'GP4 (1)'!$B$6:$B$66,'GP4 (1)'!$F$6:$F$66,"")</f>
        <v/>
      </c>
      <c r="AF63" s="28" t="str">
        <f>_xlfn.XLOOKUP($B63,'GP4 (2)'!$B$6:$B$100,'GP4 (2)'!$F$6:$F$100,"")</f>
        <v/>
      </c>
      <c r="AG63" s="24" t="str">
        <f>_xlfn.XLOOKUP($B63,'GP5 (1)'!$B$6:$B$99,'GP5 (1)'!$F$6:$F$99,"")</f>
        <v/>
      </c>
      <c r="AH63" s="26" t="str">
        <f>_xlfn.XLOOKUP($B63,'GP5 (2)'!$B$6:$B$99,'GP5 (2)'!$F$6:$F$99,"")</f>
        <v/>
      </c>
      <c r="AI63" s="27" t="str">
        <f>_xlfn.XLOOKUP($B63,'GP6 (1)'!$B$5:$B$99,'GP6 (1)'!$F$5:$F$99,"")</f>
        <v/>
      </c>
      <c r="AJ63" s="28" t="str">
        <f>_xlfn.XLOOKUP($B63,'GP6 (2)'!$B$5:$B$99,'GP6 (2)'!$F$5:$F$99,"")</f>
        <v/>
      </c>
      <c r="AK63" s="24" t="str">
        <f>_xlfn.XLOOKUP($B63,'GP7 (1)'!$B$6:$B$100,'GP7 (1)'!$F$6:$F$100,"")</f>
        <v/>
      </c>
      <c r="AL63" s="26" t="str">
        <f>_xlfn.XLOOKUP($B63,'GP7 (2)'!$B$6:$B$100,'GP7 (2)'!$F$6:$F$100,"")</f>
        <v/>
      </c>
      <c r="AM63" s="27" t="str">
        <f>_xlfn.XLOOKUP($B63,'GP8 (1)'!$B$6:$B$100,'GP8 (1)'!$F$6:$F$100,"")</f>
        <v/>
      </c>
      <c r="AN63" s="29" t="str">
        <f>_xlfn.XLOOKUP($B63,'GP8 (2)'!$B$6:$B$100,'GP8 (2)'!$F$6:$F$100,"")</f>
        <v/>
      </c>
      <c r="AO63" s="13">
        <f>SUM(AP63:BG63)</f>
        <v>0</v>
      </c>
      <c r="AP63" s="29" t="str">
        <f>_xlfn.XLOOKUP($B63,'MP (1)'!$B$6:$B$99,'MP (1)'!$H$6:$H$99,"")</f>
        <v/>
      </c>
      <c r="AQ63" s="28" t="str">
        <f>_xlfn.XLOOKUP($B63,'MP (2)'!$B$6:$B$100,'MP (2)'!$H$6:$H$100,"")</f>
        <v/>
      </c>
      <c r="AR63" s="24" t="str">
        <f>_xlfn.XLOOKUP($B63,'GP1 (1)'!$B$6:$B$100,'GP1 (1)'!$H$6:$H$100,"")</f>
        <v/>
      </c>
      <c r="AS63" s="25" t="str">
        <f>_xlfn.XLOOKUP($B63,'GP1 (2)'!$B$6:$B$100,'GP1 (2)'!$H$6:$H$100,"")</f>
        <v/>
      </c>
      <c r="AT63" s="27" t="str">
        <f>_xlfn.XLOOKUP($B63,'GP2 (1)'!$B$6:$B$101,'GP2 (1)'!$H$6:$H$101,"")</f>
        <v/>
      </c>
      <c r="AU63" s="28" t="str">
        <f>_xlfn.XLOOKUP($B63,'GP2 (2)'!$B$6:$B$100,'GP2 (2)'!$H$6:$H$100,"")</f>
        <v/>
      </c>
      <c r="AV63" s="24" t="str">
        <f>_xlfn.XLOOKUP($B63,'GP3 (1)'!$B$6:$B$100,'GP3 (1)'!$H$6:$H$100,"")</f>
        <v/>
      </c>
      <c r="AW63" s="25" t="str">
        <f>_xlfn.XLOOKUP($B63,'GP3 (2)'!$B$6:$B$100,'GP3 (2)'!$H$6:$H$100,"")</f>
        <v/>
      </c>
      <c r="AX63" s="27" t="str">
        <f>_xlfn.XLOOKUP($B63,'GP4 (1)'!$B$6:$B$66,'GP4 (1)'!$H$6:$H$66,"")</f>
        <v/>
      </c>
      <c r="AY63" s="28" t="str">
        <f>_xlfn.XLOOKUP($B63,'GP4 (2)'!$B$6:$B$100,'GP4 (2)'!$H$6:$H$100,"")</f>
        <v/>
      </c>
      <c r="AZ63" s="24" t="str">
        <f>_xlfn.XLOOKUP($B63,'GP5 (1)'!$B$6:$B$99,'GP5 (1)'!$H$6:$H$99,"")</f>
        <v/>
      </c>
      <c r="BA63" s="25" t="str">
        <f>_xlfn.XLOOKUP($B63,'GP5 (2)'!$B$6:$B$99,'GP5 (2)'!$H$6:$H$99,"")</f>
        <v/>
      </c>
      <c r="BB63" s="27" t="str">
        <f>_xlfn.XLOOKUP($B63,'GP6 (1)'!$B$5:$B$99,'GP6 (1)'!$H$5:$H$99,"")</f>
        <v/>
      </c>
      <c r="BC63" s="28" t="str">
        <f>_xlfn.XLOOKUP($B63,'GP6 (2)'!$B$5:$B$99,'GP6 (2)'!$H$5:$H$99,"")</f>
        <v/>
      </c>
      <c r="BD63" s="24" t="str">
        <f>_xlfn.XLOOKUP($B63,'GP7 (1)'!$B$6:$B$100,'GP7 (1)'!$H$6:$H$100,"")</f>
        <v/>
      </c>
      <c r="BE63" s="25" t="str">
        <f>_xlfn.XLOOKUP($B63,'GP7 (2)'!$B$6:$B$100,'GP7 (2)'!$H$6:$H$100,"")</f>
        <v/>
      </c>
      <c r="BF63" s="27" t="str">
        <f>_xlfn.XLOOKUP($B63,'GP8 (1)'!$B$6:$B$100,'GP8 (1)'!$H$6:$H$100,"")</f>
        <v/>
      </c>
      <c r="BG63" s="32" t="str">
        <f>_xlfn.XLOOKUP($B63,'GP8 (2)'!$B$6:$B$100,'GP8 (2)'!$H$6:$H$100,"")</f>
        <v/>
      </c>
    </row>
    <row r="64" spans="1:59" ht="13.1" customHeight="1" x14ac:dyDescent="0.25">
      <c r="A64" s="1">
        <f>ROW()-4</f>
        <v>60</v>
      </c>
      <c r="B64" s="5"/>
      <c r="C64" s="30">
        <f>SUM(D64:U64)</f>
        <v>0</v>
      </c>
      <c r="D64" s="35">
        <f>_xlfn.XLOOKUP($B64,'MP (1)'!$B$6:$B$99,'MP (1)'!$E$6:$E$99,"")</f>
        <v>0</v>
      </c>
      <c r="E64" s="36">
        <f>_xlfn.XLOOKUP($B64,'MP (2)'!$B$6:$B$100,'MP (2)'!$E$6:$E$100,"")</f>
        <v>0</v>
      </c>
      <c r="F64" s="40">
        <f>_xlfn.XLOOKUP($B64,'GP1 (1)'!$B$6:$B$100,'GP1 (1)'!$E$6:$E$100,"")</f>
        <v>0</v>
      </c>
      <c r="G64" s="41">
        <f>_xlfn.XLOOKUP($B64,'GP1 (2)'!$B$6:$B$100,'GP1 (2)'!$E$6:$E$100,"")</f>
        <v>0</v>
      </c>
      <c r="H64" s="39">
        <f>_xlfn.XLOOKUP($B64,'GP2 (1)'!$B$6:$B$101,'GP2 (1)'!$E$6:$E$101,"")</f>
        <v>0</v>
      </c>
      <c r="I64" s="36">
        <f>_xlfn.XLOOKUP($B64,'GP2 (2)'!$B$6:$B$100,'GP2 (2)'!$E$6:$E$100,"")</f>
        <v>0</v>
      </c>
      <c r="J64" s="40">
        <f>_xlfn.XLOOKUP($B64,'GP3 (1)'!$B$6:$B$100,'GP3 (1)'!$E$6:$E$100,"")</f>
        <v>0</v>
      </c>
      <c r="K64" s="41">
        <f>_xlfn.XLOOKUP($B64,'GP3 (2)'!$B$6:$B$100,'GP3 (2)'!$E$6:$E$100,"")</f>
        <v>0</v>
      </c>
      <c r="L64" s="39">
        <f>_xlfn.XLOOKUP($B64,'GP4 (1)'!$B$6:$B$66,'GP4 (1)'!$E$6:$E$66,"")</f>
        <v>0</v>
      </c>
      <c r="M64" s="36">
        <f>_xlfn.XLOOKUP($B64,'GP4 (2)'!$B$6:$B$100,'GP4 (2)'!$E$6:$E$100,"")</f>
        <v>0</v>
      </c>
      <c r="N64" s="40">
        <f>_xlfn.XLOOKUP($B64,'GP5 (1)'!$B$6:$B$99,'GP5 (1)'!$E$6:$E$99,"")</f>
        <v>0</v>
      </c>
      <c r="O64" s="42">
        <f>_xlfn.XLOOKUP($B64,'GP5 (2)'!$B$6:$B$99,'GP5 (2)'!$E$6:$E$99,"")</f>
        <v>0</v>
      </c>
      <c r="P64" s="39">
        <f>_xlfn.XLOOKUP($B64,'GP6 (1)'!$B$5:$B$99,'GP6 (1)'!$E$5:$E$99,"")</f>
        <v>0</v>
      </c>
      <c r="Q64" s="36">
        <f>_xlfn.XLOOKUP($B64,'GP6 (2)'!$B$5:$B$99,'GP6 (2)'!$E$5:$E$99,"")</f>
        <v>0</v>
      </c>
      <c r="R64" s="40">
        <f>_xlfn.XLOOKUP($B64,'GP7 (1)'!$B$6:$B$100,'GP7 (1)'!$E$6:$E$100,"")</f>
        <v>0</v>
      </c>
      <c r="S64" s="42">
        <f>_xlfn.XLOOKUP($B64,'GP7 (2)'!$B$6:$B$100,'GP7 (2)'!$E$6:$E$100,"")</f>
        <v>0</v>
      </c>
      <c r="T64" s="39">
        <f>_xlfn.XLOOKUP($B64,'GP8 (1)'!$B$6:$B$100,'GP8 (1)'!$E$6:$E$100,"")</f>
        <v>0</v>
      </c>
      <c r="U64" s="35">
        <f>_xlfn.XLOOKUP($B64,'GP8 (2)'!$B$6:$B$100,'GP8 (2)'!$E$6:$E$100,"")</f>
        <v>0</v>
      </c>
      <c r="V64" s="13">
        <f>SUM(W64:AN64)</f>
        <v>0</v>
      </c>
      <c r="W64" s="29">
        <f>_xlfn.XLOOKUP($B64,'MP (1)'!$B$6:$B$99,'MP (1)'!$F$6:$F$99,"")</f>
        <v>0</v>
      </c>
      <c r="X64" s="28">
        <f>_xlfn.XLOOKUP($B64,'MP (2)'!$B$6:$B$100,'MP (2)'!$F$6:$F$100,"")</f>
        <v>0</v>
      </c>
      <c r="Y64" s="24">
        <f>_xlfn.XLOOKUP($B64,'GP1 (1)'!$B$6:$B$100,'GP1 (1)'!$F$6:$F$100,"")</f>
        <v>0</v>
      </c>
      <c r="Z64" s="25">
        <f>_xlfn.XLOOKUP($B64,'GP1 (2)'!$B$6:$B$100,'GP1 (2)'!$F$6:$F$100,"")</f>
        <v>0</v>
      </c>
      <c r="AA64" s="27">
        <f>_xlfn.XLOOKUP($B64,'GP2 (1)'!$B$6:$B$101,'GP2 (1)'!$F$6:$F$101,"")</f>
        <v>0</v>
      </c>
      <c r="AB64" s="28">
        <f>_xlfn.XLOOKUP($B64,'GP2 (2)'!$B$6:$B$100,'GP2 (2)'!$F$6:$F$100,"")</f>
        <v>0</v>
      </c>
      <c r="AC64" s="24">
        <f>_xlfn.XLOOKUP($B64,'GP3 (1)'!$B$6:$B$100,'GP3 (1)'!$F$6:$F$100,"")</f>
        <v>0</v>
      </c>
      <c r="AD64" s="25">
        <f>_xlfn.XLOOKUP($B64,'GP3 (2)'!$B$6:$B$100,'GP3 (2)'!$F$6:$F$100,"")</f>
        <v>0</v>
      </c>
      <c r="AE64" s="27">
        <f>_xlfn.XLOOKUP($B64,'GP4 (1)'!$B$6:$B$66,'GP4 (1)'!$F$6:$F$66,"")</f>
        <v>0</v>
      </c>
      <c r="AF64" s="28">
        <f>_xlfn.XLOOKUP($B64,'GP4 (2)'!$B$6:$B$100,'GP4 (2)'!$F$6:$F$100,"")</f>
        <v>0</v>
      </c>
      <c r="AG64" s="24">
        <f>_xlfn.XLOOKUP($B64,'GP5 (1)'!$B$6:$B$99,'GP5 (1)'!$F$6:$F$99,"")</f>
        <v>0</v>
      </c>
      <c r="AH64" s="26">
        <f>_xlfn.XLOOKUP($B64,'GP5 (2)'!$B$6:$B$99,'GP5 (2)'!$F$6:$F$99,"")</f>
        <v>0</v>
      </c>
      <c r="AI64" s="27">
        <f>_xlfn.XLOOKUP($B64,'GP6 (1)'!$B$5:$B$99,'GP6 (1)'!$F$5:$F$99,"")</f>
        <v>0</v>
      </c>
      <c r="AJ64" s="28">
        <f>_xlfn.XLOOKUP($B64,'GP6 (2)'!$B$5:$B$99,'GP6 (2)'!$F$5:$F$99,"")</f>
        <v>0</v>
      </c>
      <c r="AK64" s="24">
        <f>_xlfn.XLOOKUP($B64,'GP7 (1)'!$B$6:$B$100,'GP7 (1)'!$F$6:$F$100,"")</f>
        <v>0</v>
      </c>
      <c r="AL64" s="26">
        <f>_xlfn.XLOOKUP($B64,'GP7 (2)'!$B$6:$B$100,'GP7 (2)'!$F$6:$F$100,"")</f>
        <v>0</v>
      </c>
      <c r="AM64" s="27">
        <f>_xlfn.XLOOKUP($B64,'GP8 (1)'!$B$6:$B$100,'GP8 (1)'!$F$6:$F$100,"")</f>
        <v>0</v>
      </c>
      <c r="AN64" s="29">
        <f>_xlfn.XLOOKUP($B64,'GP8 (2)'!$B$6:$B$100,'GP8 (2)'!$F$6:$F$100,"")</f>
        <v>0</v>
      </c>
      <c r="AO64" s="13">
        <f>SUM(AP64:BG64)</f>
        <v>0</v>
      </c>
      <c r="AP64" s="29">
        <f>_xlfn.XLOOKUP($B64,'MP (1)'!$B$6:$B$99,'MP (1)'!$H$6:$H$99,"")</f>
        <v>0</v>
      </c>
      <c r="AQ64" s="28">
        <f>_xlfn.XLOOKUP($B64,'MP (2)'!$B$6:$B$100,'MP (2)'!$H$6:$H$100,"")</f>
        <v>0</v>
      </c>
      <c r="AR64" s="24">
        <f>_xlfn.XLOOKUP($B64,'GP1 (1)'!$B$6:$B$100,'GP1 (1)'!$H$6:$H$100,"")</f>
        <v>0</v>
      </c>
      <c r="AS64" s="25">
        <f>_xlfn.XLOOKUP($B64,'GP1 (2)'!$B$6:$B$100,'GP1 (2)'!$H$6:$H$100,"")</f>
        <v>0</v>
      </c>
      <c r="AT64" s="27">
        <f>_xlfn.XLOOKUP($B64,'GP2 (1)'!$B$6:$B$101,'GP2 (1)'!$H$6:$H$101,"")</f>
        <v>0</v>
      </c>
      <c r="AU64" s="28">
        <f>_xlfn.XLOOKUP($B64,'GP2 (2)'!$B$6:$B$100,'GP2 (2)'!$H$6:$H$100,"")</f>
        <v>0</v>
      </c>
      <c r="AV64" s="24">
        <f>_xlfn.XLOOKUP($B64,'GP3 (1)'!$B$6:$B$100,'GP3 (1)'!$H$6:$H$100,"")</f>
        <v>0</v>
      </c>
      <c r="AW64" s="25">
        <f>_xlfn.XLOOKUP($B64,'GP3 (2)'!$B$6:$B$100,'GP3 (2)'!$H$6:$H$100,"")</f>
        <v>0</v>
      </c>
      <c r="AX64" s="27">
        <f>_xlfn.XLOOKUP($B64,'GP4 (1)'!$B$6:$B$66,'GP4 (1)'!$H$6:$H$66,"")</f>
        <v>0</v>
      </c>
      <c r="AY64" s="28">
        <f>_xlfn.XLOOKUP($B64,'GP4 (2)'!$B$6:$B$100,'GP4 (2)'!$H$6:$H$100,"")</f>
        <v>0</v>
      </c>
      <c r="AZ64" s="24">
        <f>_xlfn.XLOOKUP($B64,'GP5 (1)'!$B$6:$B$99,'GP5 (1)'!$H$6:$H$99,"")</f>
        <v>0</v>
      </c>
      <c r="BA64" s="25">
        <f>_xlfn.XLOOKUP($B64,'GP5 (2)'!$B$6:$B$99,'GP5 (2)'!$H$6:$H$99,"")</f>
        <v>0</v>
      </c>
      <c r="BB64" s="27">
        <f>_xlfn.XLOOKUP($B64,'GP6 (1)'!$B$5:$B$99,'GP6 (1)'!$H$5:$H$99,"")</f>
        <v>0</v>
      </c>
      <c r="BC64" s="28">
        <f>_xlfn.XLOOKUP($B64,'GP6 (2)'!$B$5:$B$99,'GP6 (2)'!$H$5:$H$99,"")</f>
        <v>0</v>
      </c>
      <c r="BD64" s="24">
        <f>_xlfn.XLOOKUP($B64,'GP7 (1)'!$B$6:$B$100,'GP7 (1)'!$H$6:$H$100,"")</f>
        <v>0</v>
      </c>
      <c r="BE64" s="25">
        <f>_xlfn.XLOOKUP($B64,'GP7 (2)'!$B$6:$B$100,'GP7 (2)'!$H$6:$H$100,"")</f>
        <v>0</v>
      </c>
      <c r="BF64" s="27">
        <f>_xlfn.XLOOKUP($B64,'GP8 (1)'!$B$6:$B$100,'GP8 (1)'!$H$6:$H$100,"")</f>
        <v>0</v>
      </c>
      <c r="BG64" s="32">
        <f>_xlfn.XLOOKUP($B64,'GP8 (2)'!$B$6:$B$100,'GP8 (2)'!$H$6:$H$100,"")</f>
        <v>0</v>
      </c>
    </row>
    <row r="65" spans="1:59" ht="13.1" customHeight="1" thickBot="1" x14ac:dyDescent="0.3">
      <c r="A65" s="1">
        <f>ROW()-4</f>
        <v>61</v>
      </c>
      <c r="B65" s="5"/>
      <c r="C65" s="30">
        <f>SUM(D65:U65)</f>
        <v>0</v>
      </c>
      <c r="D65" s="35">
        <f>_xlfn.XLOOKUP($B65,'MP (1)'!$B$6:$B$99,'MP (1)'!$E$6:$E$99,"")</f>
        <v>0</v>
      </c>
      <c r="E65" s="36">
        <f>_xlfn.XLOOKUP($B65,'MP (2)'!$B$6:$B$100,'MP (2)'!$E$6:$E$100,"")</f>
        <v>0</v>
      </c>
      <c r="F65" s="40">
        <f>_xlfn.XLOOKUP($B65,'GP1 (1)'!$B$6:$B$100,'GP1 (1)'!$E$6:$E$100,"")</f>
        <v>0</v>
      </c>
      <c r="G65" s="41">
        <f>_xlfn.XLOOKUP($B65,'GP1 (2)'!$B$6:$B$100,'GP1 (2)'!$E$6:$E$100,"")</f>
        <v>0</v>
      </c>
      <c r="H65" s="39">
        <f>_xlfn.XLOOKUP($B65,'GP2 (1)'!$B$6:$B$101,'GP2 (1)'!$E$6:$E$101,"")</f>
        <v>0</v>
      </c>
      <c r="I65" s="36">
        <f>_xlfn.XLOOKUP($B65,'GP2 (2)'!$B$6:$B$100,'GP2 (2)'!$E$6:$E$100,"")</f>
        <v>0</v>
      </c>
      <c r="J65" s="40">
        <f>_xlfn.XLOOKUP($B65,'GP3 (1)'!$B$6:$B$100,'GP3 (1)'!$E$6:$E$100,"")</f>
        <v>0</v>
      </c>
      <c r="K65" s="41">
        <f>_xlfn.XLOOKUP($B65,'GP3 (2)'!$B$6:$B$100,'GP3 (2)'!$E$6:$E$100,"")</f>
        <v>0</v>
      </c>
      <c r="L65" s="39">
        <f>_xlfn.XLOOKUP($B65,'GP4 (1)'!$B$6:$B$66,'GP4 (1)'!$E$6:$E$66,"")</f>
        <v>0</v>
      </c>
      <c r="M65" s="36">
        <f>_xlfn.XLOOKUP($B65,'GP4 (2)'!$B$6:$B$100,'GP4 (2)'!$E$6:$E$100,"")</f>
        <v>0</v>
      </c>
      <c r="N65" s="40">
        <f>_xlfn.XLOOKUP($B65,'GP5 (1)'!$B$6:$B$99,'GP5 (1)'!$E$6:$E$99,"")</f>
        <v>0</v>
      </c>
      <c r="O65" s="42">
        <f>_xlfn.XLOOKUP($B65,'GP5 (2)'!$B$6:$B$99,'GP5 (2)'!$E$6:$E$99,"")</f>
        <v>0</v>
      </c>
      <c r="P65" s="39">
        <f>_xlfn.XLOOKUP($B65,'GP6 (1)'!$B$5:$B$99,'GP6 (1)'!$E$5:$E$99,"")</f>
        <v>0</v>
      </c>
      <c r="Q65" s="36">
        <f>_xlfn.XLOOKUP($B65,'GP6 (2)'!$B$5:$B$99,'GP6 (2)'!$E$5:$E$99,"")</f>
        <v>0</v>
      </c>
      <c r="R65" s="40">
        <f>_xlfn.XLOOKUP($B65,'GP7 (1)'!$B$6:$B$100,'GP7 (1)'!$E$6:$E$100,"")</f>
        <v>0</v>
      </c>
      <c r="S65" s="42">
        <f>_xlfn.XLOOKUP($B65,'GP7 (2)'!$B$6:$B$100,'GP7 (2)'!$E$6:$E$100,"")</f>
        <v>0</v>
      </c>
      <c r="T65" s="39">
        <f>_xlfn.XLOOKUP($B65,'GP8 (1)'!$B$6:$B$100,'GP8 (1)'!$E$6:$E$100,"")</f>
        <v>0</v>
      </c>
      <c r="U65" s="35">
        <f>_xlfn.XLOOKUP($B65,'GP8 (2)'!$B$6:$B$100,'GP8 (2)'!$E$6:$E$100,"")</f>
        <v>0</v>
      </c>
      <c r="V65" s="13">
        <f>SUM(W65:AN65)</f>
        <v>0</v>
      </c>
      <c r="W65" s="29">
        <f>_xlfn.XLOOKUP($B65,'MP (1)'!$B$6:$B$99,'MP (1)'!$F$6:$F$99,"")</f>
        <v>0</v>
      </c>
      <c r="X65" s="28">
        <f>_xlfn.XLOOKUP($B65,'MP (2)'!$B$6:$B$100,'MP (2)'!$F$6:$F$100,"")</f>
        <v>0</v>
      </c>
      <c r="Y65" s="24">
        <f>_xlfn.XLOOKUP($B65,'GP1 (1)'!$B$6:$B$100,'GP1 (1)'!$F$6:$F$100,"")</f>
        <v>0</v>
      </c>
      <c r="Z65" s="25">
        <f>_xlfn.XLOOKUP($B65,'GP1 (2)'!$B$6:$B$100,'GP1 (2)'!$F$6:$F$100,"")</f>
        <v>0</v>
      </c>
      <c r="AA65" s="27">
        <f>_xlfn.XLOOKUP($B65,'GP2 (1)'!$B$6:$B$101,'GP2 (1)'!$F$6:$F$101,"")</f>
        <v>0</v>
      </c>
      <c r="AB65" s="28">
        <f>_xlfn.XLOOKUP($B65,'GP2 (2)'!$B$6:$B$100,'GP2 (2)'!$F$6:$F$100,"")</f>
        <v>0</v>
      </c>
      <c r="AC65" s="24">
        <f>_xlfn.XLOOKUP($B65,'GP3 (1)'!$B$6:$B$100,'GP3 (1)'!$F$6:$F$100,"")</f>
        <v>0</v>
      </c>
      <c r="AD65" s="25">
        <f>_xlfn.XLOOKUP($B65,'GP3 (2)'!$B$6:$B$100,'GP3 (2)'!$F$6:$F$100,"")</f>
        <v>0</v>
      </c>
      <c r="AE65" s="27">
        <f>_xlfn.XLOOKUP($B65,'GP4 (1)'!$B$6:$B$66,'GP4 (1)'!$F$6:$F$66,"")</f>
        <v>0</v>
      </c>
      <c r="AF65" s="28">
        <f>_xlfn.XLOOKUP($B65,'GP4 (2)'!$B$6:$B$100,'GP4 (2)'!$F$6:$F$100,"")</f>
        <v>0</v>
      </c>
      <c r="AG65" s="24">
        <f>_xlfn.XLOOKUP($B65,'GP5 (1)'!$B$6:$B$99,'GP5 (1)'!$F$6:$F$99,"")</f>
        <v>0</v>
      </c>
      <c r="AH65" s="26">
        <f>_xlfn.XLOOKUP($B65,'GP5 (2)'!$B$6:$B$99,'GP5 (2)'!$F$6:$F$99,"")</f>
        <v>0</v>
      </c>
      <c r="AI65" s="27">
        <f>_xlfn.XLOOKUP($B65,'GP6 (1)'!$B$5:$B$99,'GP6 (1)'!$F$5:$F$99,"")</f>
        <v>0</v>
      </c>
      <c r="AJ65" s="28">
        <f>_xlfn.XLOOKUP($B65,'GP6 (2)'!$B$5:$B$99,'GP6 (2)'!$F$5:$F$99,"")</f>
        <v>0</v>
      </c>
      <c r="AK65" s="24">
        <f>_xlfn.XLOOKUP($B65,'GP7 (1)'!$B$6:$B$100,'GP7 (1)'!$F$6:$F$100,"")</f>
        <v>0</v>
      </c>
      <c r="AL65" s="26">
        <f>_xlfn.XLOOKUP($B65,'GP7 (2)'!$B$6:$B$100,'GP7 (2)'!$F$6:$F$100,"")</f>
        <v>0</v>
      </c>
      <c r="AM65" s="27">
        <f>_xlfn.XLOOKUP($B65,'GP8 (1)'!$B$6:$B$100,'GP8 (1)'!$F$6:$F$100,"")</f>
        <v>0</v>
      </c>
      <c r="AN65" s="29">
        <f>_xlfn.XLOOKUP($B65,'GP8 (2)'!$B$6:$B$100,'GP8 (2)'!$F$6:$F$100,"")</f>
        <v>0</v>
      </c>
      <c r="AO65" s="13">
        <f>SUM(AP65:BG65)</f>
        <v>0</v>
      </c>
      <c r="AP65" s="29">
        <f>_xlfn.XLOOKUP($B65,'MP (1)'!$B$6:$B$99,'MP (1)'!$H$6:$H$99,"")</f>
        <v>0</v>
      </c>
      <c r="AQ65" s="28">
        <f>_xlfn.XLOOKUP($B65,'MP (2)'!$B$6:$B$100,'MP (2)'!$H$6:$H$100,"")</f>
        <v>0</v>
      </c>
      <c r="AR65" s="24">
        <f>_xlfn.XLOOKUP($B65,'GP1 (1)'!$B$6:$B$100,'GP1 (1)'!$H$6:$H$100,"")</f>
        <v>0</v>
      </c>
      <c r="AS65" s="25">
        <f>_xlfn.XLOOKUP($B65,'GP1 (2)'!$B$6:$B$100,'GP1 (2)'!$H$6:$H$100,"")</f>
        <v>0</v>
      </c>
      <c r="AT65" s="27">
        <f>_xlfn.XLOOKUP($B65,'GP2 (1)'!$B$6:$B$101,'GP2 (1)'!$H$6:$H$101,"")</f>
        <v>0</v>
      </c>
      <c r="AU65" s="28">
        <f>_xlfn.XLOOKUP($B65,'GP2 (2)'!$B$6:$B$100,'GP2 (2)'!$H$6:$H$100,"")</f>
        <v>0</v>
      </c>
      <c r="AV65" s="24">
        <f>_xlfn.XLOOKUP($B65,'GP3 (1)'!$B$6:$B$100,'GP3 (1)'!$H$6:$H$100,"")</f>
        <v>0</v>
      </c>
      <c r="AW65" s="25">
        <f>_xlfn.XLOOKUP($B65,'GP3 (2)'!$B$6:$B$100,'GP3 (2)'!$H$6:$H$100,"")</f>
        <v>0</v>
      </c>
      <c r="AX65" s="27">
        <f>_xlfn.XLOOKUP($B65,'GP4 (1)'!$B$6:$B$66,'GP4 (1)'!$H$6:$H$66,"")</f>
        <v>0</v>
      </c>
      <c r="AY65" s="28">
        <f>_xlfn.XLOOKUP($B65,'GP4 (2)'!$B$6:$B$100,'GP4 (2)'!$H$6:$H$100,"")</f>
        <v>0</v>
      </c>
      <c r="AZ65" s="24">
        <f>_xlfn.XLOOKUP($B65,'GP5 (1)'!$B$6:$B$99,'GP5 (1)'!$H$6:$H$99,"")</f>
        <v>0</v>
      </c>
      <c r="BA65" s="25">
        <f>_xlfn.XLOOKUP($B65,'GP5 (2)'!$B$6:$B$99,'GP5 (2)'!$H$6:$H$99,"")</f>
        <v>0</v>
      </c>
      <c r="BB65" s="27">
        <f>_xlfn.XLOOKUP($B65,'GP6 (1)'!$B$5:$B$99,'GP6 (1)'!$H$5:$H$99,"")</f>
        <v>0</v>
      </c>
      <c r="BC65" s="28">
        <f>_xlfn.XLOOKUP($B65,'GP6 (2)'!$B$5:$B$99,'GP6 (2)'!$H$5:$H$99,"")</f>
        <v>0</v>
      </c>
      <c r="BD65" s="24">
        <f>_xlfn.XLOOKUP($B65,'GP7 (1)'!$B$6:$B$100,'GP7 (1)'!$H$6:$H$100,"")</f>
        <v>0</v>
      </c>
      <c r="BE65" s="25">
        <f>_xlfn.XLOOKUP($B65,'GP7 (2)'!$B$6:$B$100,'GP7 (2)'!$H$6:$H$100,"")</f>
        <v>0</v>
      </c>
      <c r="BF65" s="27">
        <f>_xlfn.XLOOKUP($B65,'GP8 (1)'!$B$6:$B$100,'GP8 (1)'!$H$6:$H$100,"")</f>
        <v>0</v>
      </c>
      <c r="BG65" s="32">
        <f>_xlfn.XLOOKUP($B65,'GP8 (2)'!$B$6:$B$100,'GP8 (2)'!$H$6:$H$100,"")</f>
        <v>0</v>
      </c>
    </row>
    <row r="66" spans="1:59" ht="13.1" customHeight="1" thickBot="1" x14ac:dyDescent="0.3">
      <c r="A66" s="1">
        <f>ROW()-4</f>
        <v>62</v>
      </c>
      <c r="B66" s="49"/>
      <c r="C66" s="30">
        <f>SUM(D66:U66)</f>
        <v>0</v>
      </c>
      <c r="D66" s="35">
        <f>_xlfn.XLOOKUP($B66,'MP (1)'!$B$6:$B$99,'MP (1)'!$E$6:$E$99,"")</f>
        <v>0</v>
      </c>
      <c r="E66" s="36">
        <f>_xlfn.XLOOKUP($B66,'MP (2)'!$B$6:$B$100,'MP (2)'!$E$6:$E$100,"")</f>
        <v>0</v>
      </c>
      <c r="F66" s="40">
        <f>_xlfn.XLOOKUP($B66,'GP1 (1)'!$B$6:$B$100,'GP1 (1)'!$E$6:$E$100,"")</f>
        <v>0</v>
      </c>
      <c r="G66" s="41">
        <f>_xlfn.XLOOKUP($B66,'GP1 (2)'!$B$6:$B$100,'GP1 (2)'!$E$6:$E$100,"")</f>
        <v>0</v>
      </c>
      <c r="H66" s="39">
        <f>_xlfn.XLOOKUP($B66,'GP2 (1)'!$B$6:$B$101,'GP2 (1)'!$E$6:$E$101,"")</f>
        <v>0</v>
      </c>
      <c r="I66" s="36">
        <f>_xlfn.XLOOKUP($B66,'GP2 (2)'!$B$6:$B$100,'GP2 (2)'!$E$6:$E$100,"")</f>
        <v>0</v>
      </c>
      <c r="J66" s="40">
        <f>_xlfn.XLOOKUP($B66,'GP3 (1)'!$B$6:$B$100,'GP3 (1)'!$E$6:$E$100,"")</f>
        <v>0</v>
      </c>
      <c r="K66" s="41">
        <f>_xlfn.XLOOKUP($B66,'GP3 (2)'!$B$6:$B$100,'GP3 (2)'!$E$6:$E$100,"")</f>
        <v>0</v>
      </c>
      <c r="L66" s="39">
        <f>_xlfn.XLOOKUP($B66,'GP4 (1)'!$B$6:$B$66,'GP4 (1)'!$E$6:$E$66,"")</f>
        <v>0</v>
      </c>
      <c r="M66" s="36">
        <f>_xlfn.XLOOKUP($B66,'GP4 (2)'!$B$6:$B$100,'GP4 (2)'!$E$6:$E$100,"")</f>
        <v>0</v>
      </c>
      <c r="N66" s="40">
        <f>_xlfn.XLOOKUP($B66,'GP5 (1)'!$B$6:$B$99,'GP5 (1)'!$E$6:$E$99,"")</f>
        <v>0</v>
      </c>
      <c r="O66" s="42">
        <f>_xlfn.XLOOKUP($B66,'GP5 (2)'!$B$6:$B$99,'GP5 (2)'!$E$6:$E$99,"")</f>
        <v>0</v>
      </c>
      <c r="P66" s="39">
        <f>_xlfn.XLOOKUP($B66,'GP6 (1)'!$B$5:$B$99,'GP6 (1)'!$E$5:$E$99,"")</f>
        <v>0</v>
      </c>
      <c r="Q66" s="36">
        <f>_xlfn.XLOOKUP($B66,'GP6 (2)'!$B$5:$B$99,'GP6 (2)'!$E$5:$E$99,"")</f>
        <v>0</v>
      </c>
      <c r="R66" s="40">
        <f>_xlfn.XLOOKUP($B66,'GP7 (1)'!$B$6:$B$100,'GP7 (1)'!$E$6:$E$100,"")</f>
        <v>0</v>
      </c>
      <c r="S66" s="42">
        <f>_xlfn.XLOOKUP($B66,'GP7 (2)'!$B$6:$B$100,'GP7 (2)'!$E$6:$E$100,"")</f>
        <v>0</v>
      </c>
      <c r="T66" s="39">
        <f>_xlfn.XLOOKUP($B66,'GP8 (1)'!$B$6:$B$100,'GP8 (1)'!$E$6:$E$100,"")</f>
        <v>0</v>
      </c>
      <c r="U66" s="35">
        <f>_xlfn.XLOOKUP($B66,'GP8 (2)'!$B$6:$B$100,'GP8 (2)'!$E$6:$E$100,"")</f>
        <v>0</v>
      </c>
      <c r="V66" s="13">
        <f>SUM(W66:AN66)</f>
        <v>0</v>
      </c>
      <c r="W66" s="29">
        <f>_xlfn.XLOOKUP($B66,'MP (1)'!$B$6:$B$99,'MP (1)'!$F$6:$F$99,"")</f>
        <v>0</v>
      </c>
      <c r="X66" s="28">
        <f>_xlfn.XLOOKUP($B66,'MP (2)'!$B$6:$B$100,'MP (2)'!$F$6:$F$100,"")</f>
        <v>0</v>
      </c>
      <c r="Y66" s="24">
        <f>_xlfn.XLOOKUP($B66,'GP1 (1)'!$B$6:$B$100,'GP1 (1)'!$F$6:$F$100,"")</f>
        <v>0</v>
      </c>
      <c r="Z66" s="25">
        <f>_xlfn.XLOOKUP($B66,'GP1 (2)'!$B$6:$B$100,'GP1 (2)'!$F$6:$F$100,"")</f>
        <v>0</v>
      </c>
      <c r="AA66" s="27">
        <f>_xlfn.XLOOKUP($B66,'GP2 (1)'!$B$6:$B$101,'GP2 (1)'!$F$6:$F$101,"")</f>
        <v>0</v>
      </c>
      <c r="AB66" s="28">
        <f>_xlfn.XLOOKUP($B66,'GP2 (2)'!$B$6:$B$100,'GP2 (2)'!$F$6:$F$100,"")</f>
        <v>0</v>
      </c>
      <c r="AC66" s="24">
        <f>_xlfn.XLOOKUP($B66,'GP3 (1)'!$B$6:$B$100,'GP3 (1)'!$F$6:$F$100,"")</f>
        <v>0</v>
      </c>
      <c r="AD66" s="25">
        <f>_xlfn.XLOOKUP($B66,'GP3 (2)'!$B$6:$B$100,'GP3 (2)'!$F$6:$F$100,"")</f>
        <v>0</v>
      </c>
      <c r="AE66" s="27">
        <f>_xlfn.XLOOKUP($B66,'GP4 (1)'!$B$6:$B$66,'GP4 (1)'!$F$6:$F$66,"")</f>
        <v>0</v>
      </c>
      <c r="AF66" s="28">
        <f>_xlfn.XLOOKUP($B66,'GP4 (2)'!$B$6:$B$100,'GP4 (2)'!$F$6:$F$100,"")</f>
        <v>0</v>
      </c>
      <c r="AG66" s="24">
        <f>_xlfn.XLOOKUP($B66,'GP5 (1)'!$B$6:$B$99,'GP5 (1)'!$F$6:$F$99,"")</f>
        <v>0</v>
      </c>
      <c r="AH66" s="26">
        <f>_xlfn.XLOOKUP($B66,'GP5 (2)'!$B$6:$B$99,'GP5 (2)'!$F$6:$F$99,"")</f>
        <v>0</v>
      </c>
      <c r="AI66" s="27">
        <f>_xlfn.XLOOKUP($B66,'GP6 (1)'!$B$5:$B$99,'GP6 (1)'!$F$5:$F$99,"")</f>
        <v>0</v>
      </c>
      <c r="AJ66" s="28">
        <f>_xlfn.XLOOKUP($B66,'GP6 (2)'!$B$5:$B$99,'GP6 (2)'!$F$5:$F$99,"")</f>
        <v>0</v>
      </c>
      <c r="AK66" s="24">
        <f>_xlfn.XLOOKUP($B66,'GP7 (1)'!$B$6:$B$100,'GP7 (1)'!$F$6:$F$100,"")</f>
        <v>0</v>
      </c>
      <c r="AL66" s="26">
        <f>_xlfn.XLOOKUP($B66,'GP7 (2)'!$B$6:$B$100,'GP7 (2)'!$F$6:$F$100,"")</f>
        <v>0</v>
      </c>
      <c r="AM66" s="27">
        <f>_xlfn.XLOOKUP($B66,'GP8 (1)'!$B$6:$B$100,'GP8 (1)'!$F$6:$F$100,"")</f>
        <v>0</v>
      </c>
      <c r="AN66" s="29">
        <f>_xlfn.XLOOKUP($B66,'GP8 (2)'!$B$6:$B$100,'GP8 (2)'!$F$6:$F$100,"")</f>
        <v>0</v>
      </c>
      <c r="AO66" s="13">
        <f>SUM(AP66:BG66)</f>
        <v>0</v>
      </c>
      <c r="AP66" s="29">
        <f>_xlfn.XLOOKUP($B66,'MP (1)'!$B$6:$B$99,'MP (1)'!$H$6:$H$99,"")</f>
        <v>0</v>
      </c>
      <c r="AQ66" s="28">
        <f>_xlfn.XLOOKUP($B66,'MP (2)'!$B$6:$B$100,'MP (2)'!$H$6:$H$100,"")</f>
        <v>0</v>
      </c>
      <c r="AR66" s="24">
        <f>_xlfn.XLOOKUP($B66,'GP1 (1)'!$B$6:$B$100,'GP1 (1)'!$H$6:$H$100,"")</f>
        <v>0</v>
      </c>
      <c r="AS66" s="25">
        <f>_xlfn.XLOOKUP($B66,'GP1 (2)'!$B$6:$B$100,'GP1 (2)'!$H$6:$H$100,"")</f>
        <v>0</v>
      </c>
      <c r="AT66" s="27">
        <f>_xlfn.XLOOKUP($B66,'GP2 (1)'!$B$6:$B$101,'GP2 (1)'!$H$6:$H$101,"")</f>
        <v>0</v>
      </c>
      <c r="AU66" s="28">
        <f>_xlfn.XLOOKUP($B66,'GP2 (2)'!$B$6:$B$100,'GP2 (2)'!$H$6:$H$100,"")</f>
        <v>0</v>
      </c>
      <c r="AV66" s="24">
        <f>_xlfn.XLOOKUP($B66,'GP3 (1)'!$B$6:$B$100,'GP3 (1)'!$H$6:$H$100,"")</f>
        <v>0</v>
      </c>
      <c r="AW66" s="25">
        <f>_xlfn.XLOOKUP($B66,'GP3 (2)'!$B$6:$B$100,'GP3 (2)'!$H$6:$H$100,"")</f>
        <v>0</v>
      </c>
      <c r="AX66" s="27">
        <f>_xlfn.XLOOKUP($B66,'GP4 (1)'!$B$6:$B$66,'GP4 (1)'!$H$6:$H$66,"")</f>
        <v>0</v>
      </c>
      <c r="AY66" s="28">
        <f>_xlfn.XLOOKUP($B66,'GP4 (2)'!$B$6:$B$100,'GP4 (2)'!$H$6:$H$100,"")</f>
        <v>0</v>
      </c>
      <c r="AZ66" s="24">
        <f>_xlfn.XLOOKUP($B66,'GP5 (1)'!$B$6:$B$99,'GP5 (1)'!$H$6:$H$99,"")</f>
        <v>0</v>
      </c>
      <c r="BA66" s="25">
        <f>_xlfn.XLOOKUP($B66,'GP5 (2)'!$B$6:$B$99,'GP5 (2)'!$H$6:$H$99,"")</f>
        <v>0</v>
      </c>
      <c r="BB66" s="27">
        <f>_xlfn.XLOOKUP($B66,'GP6 (1)'!$B$5:$B$99,'GP6 (1)'!$H$5:$H$99,"")</f>
        <v>0</v>
      </c>
      <c r="BC66" s="28">
        <f>_xlfn.XLOOKUP($B66,'GP6 (2)'!$B$5:$B$99,'GP6 (2)'!$H$5:$H$99,"")</f>
        <v>0</v>
      </c>
      <c r="BD66" s="24">
        <f>_xlfn.XLOOKUP($B66,'GP7 (1)'!$B$6:$B$100,'GP7 (1)'!$H$6:$H$100,"")</f>
        <v>0</v>
      </c>
      <c r="BE66" s="25">
        <f>_xlfn.XLOOKUP($B66,'GP7 (2)'!$B$6:$B$100,'GP7 (2)'!$H$6:$H$100,"")</f>
        <v>0</v>
      </c>
      <c r="BF66" s="27">
        <f>_xlfn.XLOOKUP($B66,'GP8 (1)'!$B$6:$B$100,'GP8 (1)'!$H$6:$H$100,"")</f>
        <v>0</v>
      </c>
      <c r="BG66" s="32">
        <f>_xlfn.XLOOKUP($B66,'GP8 (2)'!$B$6:$B$100,'GP8 (2)'!$H$6:$H$100,"")</f>
        <v>0</v>
      </c>
    </row>
    <row r="67" spans="1:59" ht="13.1" customHeight="1" thickBot="1" x14ac:dyDescent="0.3">
      <c r="A67" s="1">
        <f>ROW()-4</f>
        <v>63</v>
      </c>
      <c r="B67" s="49"/>
      <c r="C67" s="30">
        <f>SUM(D67:U67)</f>
        <v>0</v>
      </c>
      <c r="D67" s="35">
        <f>_xlfn.XLOOKUP($B67,'MP (1)'!$B$6:$B$99,'MP (1)'!$E$6:$E$99,"")</f>
        <v>0</v>
      </c>
      <c r="E67" s="36">
        <f>_xlfn.XLOOKUP($B67,'MP (2)'!$B$6:$B$100,'MP (2)'!$E$6:$E$100,"")</f>
        <v>0</v>
      </c>
      <c r="F67" s="40">
        <f>_xlfn.XLOOKUP($B67,'GP1 (1)'!$B$6:$B$100,'GP1 (1)'!$E$6:$E$100,"")</f>
        <v>0</v>
      </c>
      <c r="G67" s="41">
        <f>_xlfn.XLOOKUP($B67,'GP1 (2)'!$B$6:$B$100,'GP1 (2)'!$E$6:$E$100,"")</f>
        <v>0</v>
      </c>
      <c r="H67" s="39">
        <f>_xlfn.XLOOKUP($B67,'GP2 (1)'!$B$6:$B$101,'GP2 (1)'!$E$6:$E$101,"")</f>
        <v>0</v>
      </c>
      <c r="I67" s="36">
        <f>_xlfn.XLOOKUP($B67,'GP2 (2)'!$B$6:$B$100,'GP2 (2)'!$E$6:$E$100,"")</f>
        <v>0</v>
      </c>
      <c r="J67" s="40">
        <f>_xlfn.XLOOKUP($B67,'GP3 (1)'!$B$6:$B$100,'GP3 (1)'!$E$6:$E$100,"")</f>
        <v>0</v>
      </c>
      <c r="K67" s="41">
        <f>_xlfn.XLOOKUP($B67,'GP3 (2)'!$B$6:$B$100,'GP3 (2)'!$E$6:$E$100,"")</f>
        <v>0</v>
      </c>
      <c r="L67" s="39">
        <f>_xlfn.XLOOKUP($B67,'GP4 (1)'!$B$6:$B$66,'GP4 (1)'!$E$6:$E$66,"")</f>
        <v>0</v>
      </c>
      <c r="M67" s="36">
        <f>_xlfn.XLOOKUP($B67,'GP4 (2)'!$B$6:$B$100,'GP4 (2)'!$E$6:$E$100,"")</f>
        <v>0</v>
      </c>
      <c r="N67" s="40">
        <f>_xlfn.XLOOKUP($B67,'GP5 (1)'!$B$6:$B$99,'GP5 (1)'!$E$6:$E$99,"")</f>
        <v>0</v>
      </c>
      <c r="O67" s="42">
        <f>_xlfn.XLOOKUP($B67,'GP5 (2)'!$B$6:$B$99,'GP5 (2)'!$E$6:$E$99,"")</f>
        <v>0</v>
      </c>
      <c r="P67" s="39">
        <f>_xlfn.XLOOKUP($B67,'GP6 (1)'!$B$5:$B$99,'GP6 (1)'!$E$5:$E$99,"")</f>
        <v>0</v>
      </c>
      <c r="Q67" s="36">
        <f>_xlfn.XLOOKUP($B67,'GP6 (2)'!$B$5:$B$99,'GP6 (2)'!$E$5:$E$99,"")</f>
        <v>0</v>
      </c>
      <c r="R67" s="40">
        <f>_xlfn.XLOOKUP($B67,'GP7 (1)'!$B$6:$B$100,'GP7 (1)'!$E$6:$E$100,"")</f>
        <v>0</v>
      </c>
      <c r="S67" s="42">
        <f>_xlfn.XLOOKUP($B67,'GP7 (2)'!$B$6:$B$100,'GP7 (2)'!$E$6:$E$100,"")</f>
        <v>0</v>
      </c>
      <c r="T67" s="39">
        <f>_xlfn.XLOOKUP($B67,'GP8 (1)'!$B$6:$B$100,'GP8 (1)'!$E$6:$E$100,"")</f>
        <v>0</v>
      </c>
      <c r="U67" s="35">
        <f>_xlfn.XLOOKUP($B67,'GP8 (2)'!$B$6:$B$100,'GP8 (2)'!$E$6:$E$100,"")</f>
        <v>0</v>
      </c>
      <c r="V67" s="13">
        <f>SUM(W67:AN67)</f>
        <v>0</v>
      </c>
      <c r="W67" s="29">
        <f>_xlfn.XLOOKUP($B67,'MP (1)'!$B$6:$B$99,'MP (1)'!$F$6:$F$99,"")</f>
        <v>0</v>
      </c>
      <c r="X67" s="28">
        <f>_xlfn.XLOOKUP($B67,'MP (2)'!$B$6:$B$100,'MP (2)'!$F$6:$F$100,"")</f>
        <v>0</v>
      </c>
      <c r="Y67" s="24">
        <f>_xlfn.XLOOKUP($B67,'GP1 (1)'!$B$6:$B$100,'GP1 (1)'!$F$6:$F$100,"")</f>
        <v>0</v>
      </c>
      <c r="Z67" s="25">
        <f>_xlfn.XLOOKUP($B67,'GP1 (2)'!$B$6:$B$100,'GP1 (2)'!$F$6:$F$100,"")</f>
        <v>0</v>
      </c>
      <c r="AA67" s="27">
        <f>_xlfn.XLOOKUP($B67,'GP2 (1)'!$B$6:$B$101,'GP2 (1)'!$F$6:$F$101,"")</f>
        <v>0</v>
      </c>
      <c r="AB67" s="28">
        <f>_xlfn.XLOOKUP($B67,'GP2 (2)'!$B$6:$B$100,'GP2 (2)'!$F$6:$F$100,"")</f>
        <v>0</v>
      </c>
      <c r="AC67" s="24">
        <f>_xlfn.XLOOKUP($B67,'GP3 (1)'!$B$6:$B$100,'GP3 (1)'!$F$6:$F$100,"")</f>
        <v>0</v>
      </c>
      <c r="AD67" s="25">
        <f>_xlfn.XLOOKUP($B67,'GP3 (2)'!$B$6:$B$100,'GP3 (2)'!$F$6:$F$100,"")</f>
        <v>0</v>
      </c>
      <c r="AE67" s="27">
        <f>_xlfn.XLOOKUP($B67,'GP4 (1)'!$B$6:$B$66,'GP4 (1)'!$F$6:$F$66,"")</f>
        <v>0</v>
      </c>
      <c r="AF67" s="28">
        <f>_xlfn.XLOOKUP($B67,'GP4 (2)'!$B$6:$B$100,'GP4 (2)'!$F$6:$F$100,"")</f>
        <v>0</v>
      </c>
      <c r="AG67" s="24">
        <f>_xlfn.XLOOKUP($B67,'GP5 (1)'!$B$6:$B$99,'GP5 (1)'!$F$6:$F$99,"")</f>
        <v>0</v>
      </c>
      <c r="AH67" s="26">
        <f>_xlfn.XLOOKUP($B67,'GP5 (2)'!$B$6:$B$99,'GP5 (2)'!$F$6:$F$99,"")</f>
        <v>0</v>
      </c>
      <c r="AI67" s="27">
        <f>_xlfn.XLOOKUP($B67,'GP6 (1)'!$B$5:$B$99,'GP6 (1)'!$F$5:$F$99,"")</f>
        <v>0</v>
      </c>
      <c r="AJ67" s="28">
        <f>_xlfn.XLOOKUP($B67,'GP6 (2)'!$B$5:$B$99,'GP6 (2)'!$F$5:$F$99,"")</f>
        <v>0</v>
      </c>
      <c r="AK67" s="24">
        <f>_xlfn.XLOOKUP($B67,'GP7 (1)'!$B$6:$B$100,'GP7 (1)'!$F$6:$F$100,"")</f>
        <v>0</v>
      </c>
      <c r="AL67" s="26">
        <f>_xlfn.XLOOKUP($B67,'GP7 (2)'!$B$6:$B$100,'GP7 (2)'!$F$6:$F$100,"")</f>
        <v>0</v>
      </c>
      <c r="AM67" s="27">
        <f>_xlfn.XLOOKUP($B67,'GP8 (1)'!$B$6:$B$100,'GP8 (1)'!$F$6:$F$100,"")</f>
        <v>0</v>
      </c>
      <c r="AN67" s="29">
        <f>_xlfn.XLOOKUP($B67,'GP8 (2)'!$B$6:$B$100,'GP8 (2)'!$F$6:$F$100,"")</f>
        <v>0</v>
      </c>
      <c r="AO67" s="13">
        <f>SUM(AP67:BG67)</f>
        <v>0</v>
      </c>
      <c r="AP67" s="29">
        <f>_xlfn.XLOOKUP($B67,'MP (1)'!$B$6:$B$99,'MP (1)'!$H$6:$H$99,"")</f>
        <v>0</v>
      </c>
      <c r="AQ67" s="28">
        <f>_xlfn.XLOOKUP($B67,'MP (2)'!$B$6:$B$100,'MP (2)'!$H$6:$H$100,"")</f>
        <v>0</v>
      </c>
      <c r="AR67" s="24">
        <f>_xlfn.XLOOKUP($B67,'GP1 (1)'!$B$6:$B$100,'GP1 (1)'!$H$6:$H$100,"")</f>
        <v>0</v>
      </c>
      <c r="AS67" s="25">
        <f>_xlfn.XLOOKUP($B67,'GP1 (2)'!$B$6:$B$100,'GP1 (2)'!$H$6:$H$100,"")</f>
        <v>0</v>
      </c>
      <c r="AT67" s="27">
        <f>_xlfn.XLOOKUP($B67,'GP2 (1)'!$B$6:$B$101,'GP2 (1)'!$H$6:$H$101,"")</f>
        <v>0</v>
      </c>
      <c r="AU67" s="28">
        <f>_xlfn.XLOOKUP($B67,'GP2 (2)'!$B$6:$B$100,'GP2 (2)'!$H$6:$H$100,"")</f>
        <v>0</v>
      </c>
      <c r="AV67" s="24">
        <f>_xlfn.XLOOKUP($B67,'GP3 (1)'!$B$6:$B$100,'GP3 (1)'!$H$6:$H$100,"")</f>
        <v>0</v>
      </c>
      <c r="AW67" s="25">
        <f>_xlfn.XLOOKUP($B67,'GP3 (2)'!$B$6:$B$100,'GP3 (2)'!$H$6:$H$100,"")</f>
        <v>0</v>
      </c>
      <c r="AX67" s="27">
        <f>_xlfn.XLOOKUP($B67,'GP4 (1)'!$B$6:$B$66,'GP4 (1)'!$H$6:$H$66,"")</f>
        <v>0</v>
      </c>
      <c r="AY67" s="28">
        <f>_xlfn.XLOOKUP($B67,'GP4 (2)'!$B$6:$B$100,'GP4 (2)'!$H$6:$H$100,"")</f>
        <v>0</v>
      </c>
      <c r="AZ67" s="24">
        <f>_xlfn.XLOOKUP($B67,'GP5 (1)'!$B$6:$B$99,'GP5 (1)'!$H$6:$H$99,"")</f>
        <v>0</v>
      </c>
      <c r="BA67" s="25">
        <f>_xlfn.XLOOKUP($B67,'GP5 (2)'!$B$6:$B$99,'GP5 (2)'!$H$6:$H$99,"")</f>
        <v>0</v>
      </c>
      <c r="BB67" s="27">
        <f>_xlfn.XLOOKUP($B67,'GP6 (1)'!$B$5:$B$99,'GP6 (1)'!$H$5:$H$99,"")</f>
        <v>0</v>
      </c>
      <c r="BC67" s="28">
        <f>_xlfn.XLOOKUP($B67,'GP6 (2)'!$B$5:$B$99,'GP6 (2)'!$H$5:$H$99,"")</f>
        <v>0</v>
      </c>
      <c r="BD67" s="24">
        <f>_xlfn.XLOOKUP($B67,'GP7 (1)'!$B$6:$B$100,'GP7 (1)'!$H$6:$H$100,"")</f>
        <v>0</v>
      </c>
      <c r="BE67" s="25">
        <f>_xlfn.XLOOKUP($B67,'GP7 (2)'!$B$6:$B$100,'GP7 (2)'!$H$6:$H$100,"")</f>
        <v>0</v>
      </c>
      <c r="BF67" s="27">
        <f>_xlfn.XLOOKUP($B67,'GP8 (1)'!$B$6:$B$100,'GP8 (1)'!$H$6:$H$100,"")</f>
        <v>0</v>
      </c>
      <c r="BG67" s="32">
        <f>_xlfn.XLOOKUP($B67,'GP8 (2)'!$B$6:$B$100,'GP8 (2)'!$H$6:$H$100,"")</f>
        <v>0</v>
      </c>
    </row>
    <row r="68" spans="1:59" ht="13.1" customHeight="1" thickBot="1" x14ac:dyDescent="0.3">
      <c r="A68" s="1">
        <f>ROW()-4</f>
        <v>64</v>
      </c>
      <c r="B68" s="49"/>
      <c r="C68" s="30">
        <f>SUM(D68:U68)</f>
        <v>0</v>
      </c>
      <c r="D68" s="35">
        <f>_xlfn.XLOOKUP($B68,'MP (1)'!$B$6:$B$99,'MP (1)'!$E$6:$E$99,"")</f>
        <v>0</v>
      </c>
      <c r="E68" s="36">
        <f>_xlfn.XLOOKUP($B68,'MP (2)'!$B$6:$B$100,'MP (2)'!$E$6:$E$100,"")</f>
        <v>0</v>
      </c>
      <c r="F68" s="40">
        <f>_xlfn.XLOOKUP($B68,'GP1 (1)'!$B$6:$B$100,'GP1 (1)'!$E$6:$E$100,"")</f>
        <v>0</v>
      </c>
      <c r="G68" s="41">
        <f>_xlfn.XLOOKUP($B68,'GP1 (2)'!$B$6:$B$100,'GP1 (2)'!$E$6:$E$100,"")</f>
        <v>0</v>
      </c>
      <c r="H68" s="39">
        <f>_xlfn.XLOOKUP($B68,'GP2 (1)'!$B$6:$B$101,'GP2 (1)'!$E$6:$E$101,"")</f>
        <v>0</v>
      </c>
      <c r="I68" s="36">
        <f>_xlfn.XLOOKUP($B68,'GP2 (2)'!$B$6:$B$100,'GP2 (2)'!$E$6:$E$100,"")</f>
        <v>0</v>
      </c>
      <c r="J68" s="40">
        <f>_xlfn.XLOOKUP($B68,'GP3 (1)'!$B$6:$B$100,'GP3 (1)'!$E$6:$E$100,"")</f>
        <v>0</v>
      </c>
      <c r="K68" s="41">
        <f>_xlfn.XLOOKUP($B68,'GP3 (2)'!$B$6:$B$100,'GP3 (2)'!$E$6:$E$100,"")</f>
        <v>0</v>
      </c>
      <c r="L68" s="39">
        <f>_xlfn.XLOOKUP($B68,'GP4 (1)'!$B$6:$B$66,'GP4 (1)'!$E$6:$E$66,"")</f>
        <v>0</v>
      </c>
      <c r="M68" s="36">
        <f>_xlfn.XLOOKUP($B68,'GP4 (2)'!$B$6:$B$100,'GP4 (2)'!$E$6:$E$100,"")</f>
        <v>0</v>
      </c>
      <c r="N68" s="40">
        <f>_xlfn.XLOOKUP($B68,'GP5 (1)'!$B$6:$B$99,'GP5 (1)'!$E$6:$E$99,"")</f>
        <v>0</v>
      </c>
      <c r="O68" s="42">
        <f>_xlfn.XLOOKUP($B68,'GP5 (2)'!$B$6:$B$99,'GP5 (2)'!$E$6:$E$99,"")</f>
        <v>0</v>
      </c>
      <c r="P68" s="39">
        <f>_xlfn.XLOOKUP($B68,'GP6 (1)'!$B$5:$B$99,'GP6 (1)'!$E$5:$E$99,"")</f>
        <v>0</v>
      </c>
      <c r="Q68" s="36">
        <f>_xlfn.XLOOKUP($B68,'GP6 (2)'!$B$5:$B$99,'GP6 (2)'!$E$5:$E$99,"")</f>
        <v>0</v>
      </c>
      <c r="R68" s="40">
        <f>_xlfn.XLOOKUP($B68,'GP7 (1)'!$B$6:$B$100,'GP7 (1)'!$E$6:$E$100,"")</f>
        <v>0</v>
      </c>
      <c r="S68" s="42">
        <f>_xlfn.XLOOKUP($B68,'GP7 (2)'!$B$6:$B$100,'GP7 (2)'!$E$6:$E$100,"")</f>
        <v>0</v>
      </c>
      <c r="T68" s="39">
        <f>_xlfn.XLOOKUP($B68,'GP8 (1)'!$B$6:$B$100,'GP8 (1)'!$E$6:$E$100,"")</f>
        <v>0</v>
      </c>
      <c r="U68" s="35">
        <f>_xlfn.XLOOKUP($B68,'GP8 (2)'!$B$6:$B$100,'GP8 (2)'!$E$6:$E$100,"")</f>
        <v>0</v>
      </c>
      <c r="V68" s="13">
        <f>SUM(W68:AN68)</f>
        <v>0</v>
      </c>
      <c r="W68" s="29">
        <f>_xlfn.XLOOKUP($B68,'MP (1)'!$B$6:$B$99,'MP (1)'!$F$6:$F$99,"")</f>
        <v>0</v>
      </c>
      <c r="X68" s="28">
        <f>_xlfn.XLOOKUP($B68,'MP (2)'!$B$6:$B$100,'MP (2)'!$F$6:$F$100,"")</f>
        <v>0</v>
      </c>
      <c r="Y68" s="24">
        <f>_xlfn.XLOOKUP($B68,'GP1 (1)'!$B$6:$B$100,'GP1 (1)'!$F$6:$F$100,"")</f>
        <v>0</v>
      </c>
      <c r="Z68" s="25">
        <f>_xlfn.XLOOKUP($B68,'GP1 (2)'!$B$6:$B$100,'GP1 (2)'!$F$6:$F$100,"")</f>
        <v>0</v>
      </c>
      <c r="AA68" s="27">
        <f>_xlfn.XLOOKUP($B68,'GP2 (1)'!$B$6:$B$101,'GP2 (1)'!$F$6:$F$101,"")</f>
        <v>0</v>
      </c>
      <c r="AB68" s="28">
        <f>_xlfn.XLOOKUP($B68,'GP2 (2)'!$B$6:$B$100,'GP2 (2)'!$F$6:$F$100,"")</f>
        <v>0</v>
      </c>
      <c r="AC68" s="24">
        <f>_xlfn.XLOOKUP($B68,'GP3 (1)'!$B$6:$B$100,'GP3 (1)'!$F$6:$F$100,"")</f>
        <v>0</v>
      </c>
      <c r="AD68" s="25">
        <f>_xlfn.XLOOKUP($B68,'GP3 (2)'!$B$6:$B$100,'GP3 (2)'!$F$6:$F$100,"")</f>
        <v>0</v>
      </c>
      <c r="AE68" s="27">
        <f>_xlfn.XLOOKUP($B68,'GP4 (1)'!$B$6:$B$66,'GP4 (1)'!$F$6:$F$66,"")</f>
        <v>0</v>
      </c>
      <c r="AF68" s="28">
        <f>_xlfn.XLOOKUP($B68,'GP4 (2)'!$B$6:$B$100,'GP4 (2)'!$F$6:$F$100,"")</f>
        <v>0</v>
      </c>
      <c r="AG68" s="24">
        <f>_xlfn.XLOOKUP($B68,'GP5 (1)'!$B$6:$B$99,'GP5 (1)'!$F$6:$F$99,"")</f>
        <v>0</v>
      </c>
      <c r="AH68" s="26">
        <f>_xlfn.XLOOKUP($B68,'GP5 (2)'!$B$6:$B$99,'GP5 (2)'!$F$6:$F$99,"")</f>
        <v>0</v>
      </c>
      <c r="AI68" s="27">
        <f>_xlfn.XLOOKUP($B68,'GP6 (1)'!$B$5:$B$99,'GP6 (1)'!$F$5:$F$99,"")</f>
        <v>0</v>
      </c>
      <c r="AJ68" s="28">
        <f>_xlfn.XLOOKUP($B68,'GP6 (2)'!$B$5:$B$99,'GP6 (2)'!$F$5:$F$99,"")</f>
        <v>0</v>
      </c>
      <c r="AK68" s="24">
        <f>_xlfn.XLOOKUP($B68,'GP7 (1)'!$B$6:$B$100,'GP7 (1)'!$F$6:$F$100,"")</f>
        <v>0</v>
      </c>
      <c r="AL68" s="26">
        <f>_xlfn.XLOOKUP($B68,'GP7 (2)'!$B$6:$B$100,'GP7 (2)'!$F$6:$F$100,"")</f>
        <v>0</v>
      </c>
      <c r="AM68" s="27">
        <f>_xlfn.XLOOKUP($B68,'GP8 (1)'!$B$6:$B$100,'GP8 (1)'!$F$6:$F$100,"")</f>
        <v>0</v>
      </c>
      <c r="AN68" s="29">
        <f>_xlfn.XLOOKUP($B68,'GP8 (2)'!$B$6:$B$100,'GP8 (2)'!$F$6:$F$100,"")</f>
        <v>0</v>
      </c>
      <c r="AO68" s="13">
        <f>SUM(AP68:BG68)</f>
        <v>0</v>
      </c>
      <c r="AP68" s="29">
        <f>_xlfn.XLOOKUP($B68,'MP (1)'!$B$6:$B$99,'MP (1)'!$H$6:$H$99,"")</f>
        <v>0</v>
      </c>
      <c r="AQ68" s="28">
        <f>_xlfn.XLOOKUP($B68,'MP (2)'!$B$6:$B$100,'MP (2)'!$H$6:$H$100,"")</f>
        <v>0</v>
      </c>
      <c r="AR68" s="24">
        <f>_xlfn.XLOOKUP($B68,'GP1 (1)'!$B$6:$B$100,'GP1 (1)'!$H$6:$H$100,"")</f>
        <v>0</v>
      </c>
      <c r="AS68" s="25">
        <f>_xlfn.XLOOKUP($B68,'GP1 (2)'!$B$6:$B$100,'GP1 (2)'!$H$6:$H$100,"")</f>
        <v>0</v>
      </c>
      <c r="AT68" s="27">
        <f>_xlfn.XLOOKUP($B68,'GP2 (1)'!$B$6:$B$101,'GP2 (1)'!$H$6:$H$101,"")</f>
        <v>0</v>
      </c>
      <c r="AU68" s="28">
        <f>_xlfn.XLOOKUP($B68,'GP2 (2)'!$B$6:$B$100,'GP2 (2)'!$H$6:$H$100,"")</f>
        <v>0</v>
      </c>
      <c r="AV68" s="24">
        <f>_xlfn.XLOOKUP($B68,'GP3 (1)'!$B$6:$B$100,'GP3 (1)'!$H$6:$H$100,"")</f>
        <v>0</v>
      </c>
      <c r="AW68" s="25">
        <f>_xlfn.XLOOKUP($B68,'GP3 (2)'!$B$6:$B$100,'GP3 (2)'!$H$6:$H$100,"")</f>
        <v>0</v>
      </c>
      <c r="AX68" s="27">
        <f>_xlfn.XLOOKUP($B68,'GP4 (1)'!$B$6:$B$66,'GP4 (1)'!$H$6:$H$66,"")</f>
        <v>0</v>
      </c>
      <c r="AY68" s="28">
        <f>_xlfn.XLOOKUP($B68,'GP4 (2)'!$B$6:$B$100,'GP4 (2)'!$H$6:$H$100,"")</f>
        <v>0</v>
      </c>
      <c r="AZ68" s="24">
        <f>_xlfn.XLOOKUP($B68,'GP5 (1)'!$B$6:$B$99,'GP5 (1)'!$H$6:$H$99,"")</f>
        <v>0</v>
      </c>
      <c r="BA68" s="25">
        <f>_xlfn.XLOOKUP($B68,'GP5 (2)'!$B$6:$B$99,'GP5 (2)'!$H$6:$H$99,"")</f>
        <v>0</v>
      </c>
      <c r="BB68" s="27">
        <f>_xlfn.XLOOKUP($B68,'GP6 (1)'!$B$5:$B$99,'GP6 (1)'!$H$5:$H$99,"")</f>
        <v>0</v>
      </c>
      <c r="BC68" s="28">
        <f>_xlfn.XLOOKUP($B68,'GP6 (2)'!$B$5:$B$99,'GP6 (2)'!$H$5:$H$99,"")</f>
        <v>0</v>
      </c>
      <c r="BD68" s="24">
        <f>_xlfn.XLOOKUP($B68,'GP7 (1)'!$B$6:$B$100,'GP7 (1)'!$H$6:$H$100,"")</f>
        <v>0</v>
      </c>
      <c r="BE68" s="25">
        <f>_xlfn.XLOOKUP($B68,'GP7 (2)'!$B$6:$B$100,'GP7 (2)'!$H$6:$H$100,"")</f>
        <v>0</v>
      </c>
      <c r="BF68" s="27">
        <f>_xlfn.XLOOKUP($B68,'GP8 (1)'!$B$6:$B$100,'GP8 (1)'!$H$6:$H$100,"")</f>
        <v>0</v>
      </c>
      <c r="BG68" s="32">
        <f>_xlfn.XLOOKUP($B68,'GP8 (2)'!$B$6:$B$100,'GP8 (2)'!$H$6:$H$100,"")</f>
        <v>0</v>
      </c>
    </row>
    <row r="69" spans="1:59" ht="13.1" customHeight="1" thickBot="1" x14ac:dyDescent="0.3">
      <c r="A69" s="1">
        <f>ROW()-4</f>
        <v>65</v>
      </c>
      <c r="B69" s="49"/>
      <c r="C69" s="30">
        <f>SUM(D69:U69)</f>
        <v>0</v>
      </c>
      <c r="D69" s="35">
        <f>_xlfn.XLOOKUP($B69,'MP (1)'!$B$6:$B$99,'MP (1)'!$E$6:$E$99,"")</f>
        <v>0</v>
      </c>
      <c r="E69" s="36">
        <f>_xlfn.XLOOKUP($B69,'MP (2)'!$B$6:$B$100,'MP (2)'!$E$6:$E$100,"")</f>
        <v>0</v>
      </c>
      <c r="F69" s="40">
        <f>_xlfn.XLOOKUP($B69,'GP1 (1)'!$B$6:$B$100,'GP1 (1)'!$E$6:$E$100,"")</f>
        <v>0</v>
      </c>
      <c r="G69" s="41">
        <f>_xlfn.XLOOKUP($B69,'GP1 (2)'!$B$6:$B$100,'GP1 (2)'!$E$6:$E$100,"")</f>
        <v>0</v>
      </c>
      <c r="H69" s="39">
        <f>_xlfn.XLOOKUP($B69,'GP2 (1)'!$B$6:$B$101,'GP2 (1)'!$E$6:$E$101,"")</f>
        <v>0</v>
      </c>
      <c r="I69" s="36">
        <f>_xlfn.XLOOKUP($B69,'GP2 (2)'!$B$6:$B$100,'GP2 (2)'!$E$6:$E$100,"")</f>
        <v>0</v>
      </c>
      <c r="J69" s="40">
        <f>_xlfn.XLOOKUP($B69,'GP3 (1)'!$B$6:$B$100,'GP3 (1)'!$E$6:$E$100,"")</f>
        <v>0</v>
      </c>
      <c r="K69" s="41">
        <f>_xlfn.XLOOKUP($B69,'GP3 (2)'!$B$6:$B$100,'GP3 (2)'!$E$6:$E$100,"")</f>
        <v>0</v>
      </c>
      <c r="L69" s="39">
        <f>_xlfn.XLOOKUP($B69,'GP4 (1)'!$B$6:$B$66,'GP4 (1)'!$E$6:$E$66,"")</f>
        <v>0</v>
      </c>
      <c r="M69" s="36">
        <f>_xlfn.XLOOKUP($B69,'GP4 (2)'!$B$6:$B$100,'GP4 (2)'!$E$6:$E$100,"")</f>
        <v>0</v>
      </c>
      <c r="N69" s="40">
        <f>_xlfn.XLOOKUP($B69,'GP5 (1)'!$B$6:$B$99,'GP5 (1)'!$E$6:$E$99,"")</f>
        <v>0</v>
      </c>
      <c r="O69" s="42">
        <f>_xlfn.XLOOKUP($B69,'GP5 (2)'!$B$6:$B$99,'GP5 (2)'!$E$6:$E$99,"")</f>
        <v>0</v>
      </c>
      <c r="P69" s="39">
        <f>_xlfn.XLOOKUP($B69,'GP6 (1)'!$B$5:$B$99,'GP6 (1)'!$E$5:$E$99,"")</f>
        <v>0</v>
      </c>
      <c r="Q69" s="36">
        <f>_xlfn.XLOOKUP($B69,'GP6 (2)'!$B$5:$B$99,'GP6 (2)'!$E$5:$E$99,"")</f>
        <v>0</v>
      </c>
      <c r="R69" s="40">
        <f>_xlfn.XLOOKUP($B69,'GP7 (1)'!$B$6:$B$100,'GP7 (1)'!$E$6:$E$100,"")</f>
        <v>0</v>
      </c>
      <c r="S69" s="42">
        <f>_xlfn.XLOOKUP($B69,'GP7 (2)'!$B$6:$B$100,'GP7 (2)'!$E$6:$E$100,"")</f>
        <v>0</v>
      </c>
      <c r="T69" s="39">
        <f>_xlfn.XLOOKUP($B69,'GP8 (1)'!$B$6:$B$100,'GP8 (1)'!$E$6:$E$100,"")</f>
        <v>0</v>
      </c>
      <c r="U69" s="35">
        <f>_xlfn.XLOOKUP($B69,'GP8 (2)'!$B$6:$B$100,'GP8 (2)'!$E$6:$E$100,"")</f>
        <v>0</v>
      </c>
      <c r="V69" s="13">
        <f>SUM(W69:AN69)</f>
        <v>0</v>
      </c>
      <c r="W69" s="29">
        <f>_xlfn.XLOOKUP($B69,'MP (1)'!$B$6:$B$99,'MP (1)'!$F$6:$F$99,"")</f>
        <v>0</v>
      </c>
      <c r="X69" s="28">
        <f>_xlfn.XLOOKUP($B69,'MP (2)'!$B$6:$B$100,'MP (2)'!$F$6:$F$100,"")</f>
        <v>0</v>
      </c>
      <c r="Y69" s="24">
        <f>_xlfn.XLOOKUP($B69,'GP1 (1)'!$B$6:$B$100,'GP1 (1)'!$F$6:$F$100,"")</f>
        <v>0</v>
      </c>
      <c r="Z69" s="25">
        <f>_xlfn.XLOOKUP($B69,'GP1 (2)'!$B$6:$B$100,'GP1 (2)'!$F$6:$F$100,"")</f>
        <v>0</v>
      </c>
      <c r="AA69" s="27">
        <f>_xlfn.XLOOKUP($B69,'GP2 (1)'!$B$6:$B$101,'GP2 (1)'!$F$6:$F$101,"")</f>
        <v>0</v>
      </c>
      <c r="AB69" s="28">
        <f>_xlfn.XLOOKUP($B69,'GP2 (2)'!$B$6:$B$100,'GP2 (2)'!$F$6:$F$100,"")</f>
        <v>0</v>
      </c>
      <c r="AC69" s="24">
        <f>_xlfn.XLOOKUP($B69,'GP3 (1)'!$B$6:$B$100,'GP3 (1)'!$F$6:$F$100,"")</f>
        <v>0</v>
      </c>
      <c r="AD69" s="25">
        <f>_xlfn.XLOOKUP($B69,'GP3 (2)'!$B$6:$B$100,'GP3 (2)'!$F$6:$F$100,"")</f>
        <v>0</v>
      </c>
      <c r="AE69" s="27">
        <f>_xlfn.XLOOKUP($B69,'GP4 (1)'!$B$6:$B$66,'GP4 (1)'!$F$6:$F$66,"")</f>
        <v>0</v>
      </c>
      <c r="AF69" s="28">
        <f>_xlfn.XLOOKUP($B69,'GP4 (2)'!$B$6:$B$100,'GP4 (2)'!$F$6:$F$100,"")</f>
        <v>0</v>
      </c>
      <c r="AG69" s="24">
        <f>_xlfn.XLOOKUP($B69,'GP5 (1)'!$B$6:$B$99,'GP5 (1)'!$F$6:$F$99,"")</f>
        <v>0</v>
      </c>
      <c r="AH69" s="26">
        <f>_xlfn.XLOOKUP($B69,'GP5 (2)'!$B$6:$B$99,'GP5 (2)'!$F$6:$F$99,"")</f>
        <v>0</v>
      </c>
      <c r="AI69" s="27">
        <f>_xlfn.XLOOKUP($B69,'GP6 (1)'!$B$5:$B$99,'GP6 (1)'!$F$5:$F$99,"")</f>
        <v>0</v>
      </c>
      <c r="AJ69" s="28">
        <f>_xlfn.XLOOKUP($B69,'GP6 (2)'!$B$5:$B$99,'GP6 (2)'!$F$5:$F$99,"")</f>
        <v>0</v>
      </c>
      <c r="AK69" s="24">
        <f>_xlfn.XLOOKUP($B69,'GP7 (1)'!$B$6:$B$100,'GP7 (1)'!$F$6:$F$100,"")</f>
        <v>0</v>
      </c>
      <c r="AL69" s="26">
        <f>_xlfn.XLOOKUP($B69,'GP7 (2)'!$B$6:$B$100,'GP7 (2)'!$F$6:$F$100,"")</f>
        <v>0</v>
      </c>
      <c r="AM69" s="27">
        <f>_xlfn.XLOOKUP($B69,'GP8 (1)'!$B$6:$B$100,'GP8 (1)'!$F$6:$F$100,"")</f>
        <v>0</v>
      </c>
      <c r="AN69" s="29">
        <f>_xlfn.XLOOKUP($B69,'GP8 (2)'!$B$6:$B$100,'GP8 (2)'!$F$6:$F$100,"")</f>
        <v>0</v>
      </c>
      <c r="AO69" s="13">
        <f>SUM(AP69:BG69)</f>
        <v>0</v>
      </c>
      <c r="AP69" s="29">
        <f>_xlfn.XLOOKUP($B69,'MP (1)'!$B$6:$B$99,'MP (1)'!$H$6:$H$99,"")</f>
        <v>0</v>
      </c>
      <c r="AQ69" s="28">
        <f>_xlfn.XLOOKUP($B69,'MP (2)'!$B$6:$B$100,'MP (2)'!$H$6:$H$100,"")</f>
        <v>0</v>
      </c>
      <c r="AR69" s="24">
        <f>_xlfn.XLOOKUP($B69,'GP1 (1)'!$B$6:$B$100,'GP1 (1)'!$H$6:$H$100,"")</f>
        <v>0</v>
      </c>
      <c r="AS69" s="25">
        <f>_xlfn.XLOOKUP($B69,'GP1 (2)'!$B$6:$B$100,'GP1 (2)'!$H$6:$H$100,"")</f>
        <v>0</v>
      </c>
      <c r="AT69" s="27">
        <f>_xlfn.XLOOKUP($B69,'GP2 (1)'!$B$6:$B$101,'GP2 (1)'!$H$6:$H$101,"")</f>
        <v>0</v>
      </c>
      <c r="AU69" s="28">
        <f>_xlfn.XLOOKUP($B69,'GP2 (2)'!$B$6:$B$100,'GP2 (2)'!$H$6:$H$100,"")</f>
        <v>0</v>
      </c>
      <c r="AV69" s="24">
        <f>_xlfn.XLOOKUP($B69,'GP3 (1)'!$B$6:$B$100,'GP3 (1)'!$H$6:$H$100,"")</f>
        <v>0</v>
      </c>
      <c r="AW69" s="25">
        <f>_xlfn.XLOOKUP($B69,'GP3 (2)'!$B$6:$B$100,'GP3 (2)'!$H$6:$H$100,"")</f>
        <v>0</v>
      </c>
      <c r="AX69" s="27">
        <f>_xlfn.XLOOKUP($B69,'GP4 (1)'!$B$6:$B$66,'GP4 (1)'!$H$6:$H$66,"")</f>
        <v>0</v>
      </c>
      <c r="AY69" s="28">
        <f>_xlfn.XLOOKUP($B69,'GP4 (2)'!$B$6:$B$100,'GP4 (2)'!$H$6:$H$100,"")</f>
        <v>0</v>
      </c>
      <c r="AZ69" s="24">
        <f>_xlfn.XLOOKUP($B69,'GP5 (1)'!$B$6:$B$99,'GP5 (1)'!$H$6:$H$99,"")</f>
        <v>0</v>
      </c>
      <c r="BA69" s="25">
        <f>_xlfn.XLOOKUP($B69,'GP5 (2)'!$B$6:$B$99,'GP5 (2)'!$H$6:$H$99,"")</f>
        <v>0</v>
      </c>
      <c r="BB69" s="27">
        <f>_xlfn.XLOOKUP($B69,'GP6 (1)'!$B$5:$B$99,'GP6 (1)'!$H$5:$H$99,"")</f>
        <v>0</v>
      </c>
      <c r="BC69" s="28">
        <f>_xlfn.XLOOKUP($B69,'GP6 (2)'!$B$5:$B$99,'GP6 (2)'!$H$5:$H$99,"")</f>
        <v>0</v>
      </c>
      <c r="BD69" s="24">
        <f>_xlfn.XLOOKUP($B69,'GP7 (1)'!$B$6:$B$100,'GP7 (1)'!$H$6:$H$100,"")</f>
        <v>0</v>
      </c>
      <c r="BE69" s="25">
        <f>_xlfn.XLOOKUP($B69,'GP7 (2)'!$B$6:$B$100,'GP7 (2)'!$H$6:$H$100,"")</f>
        <v>0</v>
      </c>
      <c r="BF69" s="27">
        <f>_xlfn.XLOOKUP($B69,'GP8 (1)'!$B$6:$B$100,'GP8 (1)'!$H$6:$H$100,"")</f>
        <v>0</v>
      </c>
      <c r="BG69" s="32">
        <f>_xlfn.XLOOKUP($B69,'GP8 (2)'!$B$6:$B$100,'GP8 (2)'!$H$6:$H$100,"")</f>
        <v>0</v>
      </c>
    </row>
    <row r="70" spans="1:59" ht="13.1" customHeight="1" thickBot="1" x14ac:dyDescent="0.3">
      <c r="A70" s="1">
        <f>ROW()-4</f>
        <v>66</v>
      </c>
      <c r="B70" s="49"/>
      <c r="C70" s="30">
        <f>SUM(D70:U70)</f>
        <v>0</v>
      </c>
      <c r="D70" s="35">
        <f>_xlfn.XLOOKUP($B70,'MP (1)'!$B$6:$B$99,'MP (1)'!$E$6:$E$99,"")</f>
        <v>0</v>
      </c>
      <c r="E70" s="36">
        <f>_xlfn.XLOOKUP($B70,'MP (2)'!$B$6:$B$100,'MP (2)'!$E$6:$E$100,"")</f>
        <v>0</v>
      </c>
      <c r="F70" s="40">
        <f>_xlfn.XLOOKUP($B70,'GP1 (1)'!$B$6:$B$100,'GP1 (1)'!$E$6:$E$100,"")</f>
        <v>0</v>
      </c>
      <c r="G70" s="41">
        <f>_xlfn.XLOOKUP($B70,'GP1 (2)'!$B$6:$B$100,'GP1 (2)'!$E$6:$E$100,"")</f>
        <v>0</v>
      </c>
      <c r="H70" s="39">
        <f>_xlfn.XLOOKUP($B70,'GP2 (1)'!$B$6:$B$101,'GP2 (1)'!$E$6:$E$101,"")</f>
        <v>0</v>
      </c>
      <c r="I70" s="36">
        <f>_xlfn.XLOOKUP($B70,'GP2 (2)'!$B$6:$B$100,'GP2 (2)'!$E$6:$E$100,"")</f>
        <v>0</v>
      </c>
      <c r="J70" s="40">
        <f>_xlfn.XLOOKUP($B70,'GP3 (1)'!$B$6:$B$100,'GP3 (1)'!$E$6:$E$100,"")</f>
        <v>0</v>
      </c>
      <c r="K70" s="41">
        <f>_xlfn.XLOOKUP($B70,'GP3 (2)'!$B$6:$B$100,'GP3 (2)'!$E$6:$E$100,"")</f>
        <v>0</v>
      </c>
      <c r="L70" s="39">
        <f>_xlfn.XLOOKUP($B70,'GP4 (1)'!$B$6:$B$66,'GP4 (1)'!$E$6:$E$66,"")</f>
        <v>0</v>
      </c>
      <c r="M70" s="36">
        <f>_xlfn.XLOOKUP($B70,'GP4 (2)'!$B$6:$B$100,'GP4 (2)'!$E$6:$E$100,"")</f>
        <v>0</v>
      </c>
      <c r="N70" s="40">
        <f>_xlfn.XLOOKUP($B70,'GP5 (1)'!$B$6:$B$99,'GP5 (1)'!$E$6:$E$99,"")</f>
        <v>0</v>
      </c>
      <c r="O70" s="42">
        <f>_xlfn.XLOOKUP($B70,'GP5 (2)'!$B$6:$B$99,'GP5 (2)'!$E$6:$E$99,"")</f>
        <v>0</v>
      </c>
      <c r="P70" s="39">
        <f>_xlfn.XLOOKUP($B70,'GP6 (1)'!$B$5:$B$99,'GP6 (1)'!$E$5:$E$99,"")</f>
        <v>0</v>
      </c>
      <c r="Q70" s="36">
        <f>_xlfn.XLOOKUP($B70,'GP6 (2)'!$B$5:$B$99,'GP6 (2)'!$E$5:$E$99,"")</f>
        <v>0</v>
      </c>
      <c r="R70" s="40">
        <f>_xlfn.XLOOKUP($B70,'GP7 (1)'!$B$6:$B$100,'GP7 (1)'!$E$6:$E$100,"")</f>
        <v>0</v>
      </c>
      <c r="S70" s="42">
        <f>_xlfn.XLOOKUP($B70,'GP7 (2)'!$B$6:$B$100,'GP7 (2)'!$E$6:$E$100,"")</f>
        <v>0</v>
      </c>
      <c r="T70" s="39">
        <f>_xlfn.XLOOKUP($B70,'GP8 (1)'!$B$6:$B$100,'GP8 (1)'!$E$6:$E$100,"")</f>
        <v>0</v>
      </c>
      <c r="U70" s="35">
        <f>_xlfn.XLOOKUP($B70,'GP8 (2)'!$B$6:$B$100,'GP8 (2)'!$E$6:$E$100,"")</f>
        <v>0</v>
      </c>
      <c r="V70" s="13">
        <f>SUM(W70:AN70)</f>
        <v>0</v>
      </c>
      <c r="W70" s="29">
        <f>_xlfn.XLOOKUP($B70,'MP (1)'!$B$6:$B$99,'MP (1)'!$F$6:$F$99,"")</f>
        <v>0</v>
      </c>
      <c r="X70" s="28">
        <f>_xlfn.XLOOKUP($B70,'MP (2)'!$B$6:$B$100,'MP (2)'!$F$6:$F$100,"")</f>
        <v>0</v>
      </c>
      <c r="Y70" s="24">
        <f>_xlfn.XLOOKUP($B70,'GP1 (1)'!$B$6:$B$100,'GP1 (1)'!$F$6:$F$100,"")</f>
        <v>0</v>
      </c>
      <c r="Z70" s="25">
        <f>_xlfn.XLOOKUP($B70,'GP1 (2)'!$B$6:$B$100,'GP1 (2)'!$F$6:$F$100,"")</f>
        <v>0</v>
      </c>
      <c r="AA70" s="27">
        <f>_xlfn.XLOOKUP($B70,'GP2 (1)'!$B$6:$B$101,'GP2 (1)'!$F$6:$F$101,"")</f>
        <v>0</v>
      </c>
      <c r="AB70" s="28">
        <f>_xlfn.XLOOKUP($B70,'GP2 (2)'!$B$6:$B$100,'GP2 (2)'!$F$6:$F$100,"")</f>
        <v>0</v>
      </c>
      <c r="AC70" s="24">
        <f>_xlfn.XLOOKUP($B70,'GP3 (1)'!$B$6:$B$100,'GP3 (1)'!$F$6:$F$100,"")</f>
        <v>0</v>
      </c>
      <c r="AD70" s="25">
        <f>_xlfn.XLOOKUP($B70,'GP3 (2)'!$B$6:$B$100,'GP3 (2)'!$F$6:$F$100,"")</f>
        <v>0</v>
      </c>
      <c r="AE70" s="27">
        <f>_xlfn.XLOOKUP($B70,'GP4 (1)'!$B$6:$B$66,'GP4 (1)'!$F$6:$F$66,"")</f>
        <v>0</v>
      </c>
      <c r="AF70" s="28">
        <f>_xlfn.XLOOKUP($B70,'GP4 (2)'!$B$6:$B$100,'GP4 (2)'!$F$6:$F$100,"")</f>
        <v>0</v>
      </c>
      <c r="AG70" s="24">
        <f>_xlfn.XLOOKUP($B70,'GP5 (1)'!$B$6:$B$99,'GP5 (1)'!$F$6:$F$99,"")</f>
        <v>0</v>
      </c>
      <c r="AH70" s="26">
        <f>_xlfn.XLOOKUP($B70,'GP5 (2)'!$B$6:$B$99,'GP5 (2)'!$F$6:$F$99,"")</f>
        <v>0</v>
      </c>
      <c r="AI70" s="27">
        <f>_xlfn.XLOOKUP($B70,'GP6 (1)'!$B$5:$B$99,'GP6 (1)'!$F$5:$F$99,"")</f>
        <v>0</v>
      </c>
      <c r="AJ70" s="28">
        <f>_xlfn.XLOOKUP($B70,'GP6 (2)'!$B$5:$B$99,'GP6 (2)'!$F$5:$F$99,"")</f>
        <v>0</v>
      </c>
      <c r="AK70" s="24">
        <f>_xlfn.XLOOKUP($B70,'GP7 (1)'!$B$6:$B$100,'GP7 (1)'!$F$6:$F$100,"")</f>
        <v>0</v>
      </c>
      <c r="AL70" s="26">
        <f>_xlfn.XLOOKUP($B70,'GP7 (2)'!$B$6:$B$100,'GP7 (2)'!$F$6:$F$100,"")</f>
        <v>0</v>
      </c>
      <c r="AM70" s="27">
        <f>_xlfn.XLOOKUP($B70,'GP8 (1)'!$B$6:$B$100,'GP8 (1)'!$F$6:$F$100,"")</f>
        <v>0</v>
      </c>
      <c r="AN70" s="29">
        <f>_xlfn.XLOOKUP($B70,'GP8 (2)'!$B$6:$B$100,'GP8 (2)'!$F$6:$F$100,"")</f>
        <v>0</v>
      </c>
      <c r="AO70" s="13">
        <f>SUM(AP70:BG70)</f>
        <v>0</v>
      </c>
      <c r="AP70" s="29">
        <f>_xlfn.XLOOKUP($B70,'MP (1)'!$B$6:$B$99,'MP (1)'!$H$6:$H$99,"")</f>
        <v>0</v>
      </c>
      <c r="AQ70" s="28">
        <f>_xlfn.XLOOKUP($B70,'MP (2)'!$B$6:$B$100,'MP (2)'!$H$6:$H$100,"")</f>
        <v>0</v>
      </c>
      <c r="AR70" s="24">
        <f>_xlfn.XLOOKUP($B70,'GP1 (1)'!$B$6:$B$100,'GP1 (1)'!$H$6:$H$100,"")</f>
        <v>0</v>
      </c>
      <c r="AS70" s="25">
        <f>_xlfn.XLOOKUP($B70,'GP1 (2)'!$B$6:$B$100,'GP1 (2)'!$H$6:$H$100,"")</f>
        <v>0</v>
      </c>
      <c r="AT70" s="27">
        <f>_xlfn.XLOOKUP($B70,'GP2 (1)'!$B$6:$B$101,'GP2 (1)'!$H$6:$H$101,"")</f>
        <v>0</v>
      </c>
      <c r="AU70" s="28">
        <f>_xlfn.XLOOKUP($B70,'GP2 (2)'!$B$6:$B$100,'GP2 (2)'!$H$6:$H$100,"")</f>
        <v>0</v>
      </c>
      <c r="AV70" s="24">
        <f>_xlfn.XLOOKUP($B70,'GP3 (1)'!$B$6:$B$100,'GP3 (1)'!$H$6:$H$100,"")</f>
        <v>0</v>
      </c>
      <c r="AW70" s="25">
        <f>_xlfn.XLOOKUP($B70,'GP3 (2)'!$B$6:$B$100,'GP3 (2)'!$H$6:$H$100,"")</f>
        <v>0</v>
      </c>
      <c r="AX70" s="27">
        <f>_xlfn.XLOOKUP($B70,'GP4 (1)'!$B$6:$B$66,'GP4 (1)'!$H$6:$H$66,"")</f>
        <v>0</v>
      </c>
      <c r="AY70" s="28">
        <f>_xlfn.XLOOKUP($B70,'GP4 (2)'!$B$6:$B$100,'GP4 (2)'!$H$6:$H$100,"")</f>
        <v>0</v>
      </c>
      <c r="AZ70" s="24">
        <f>_xlfn.XLOOKUP($B70,'GP5 (1)'!$B$6:$B$99,'GP5 (1)'!$H$6:$H$99,"")</f>
        <v>0</v>
      </c>
      <c r="BA70" s="25">
        <f>_xlfn.XLOOKUP($B70,'GP5 (2)'!$B$6:$B$99,'GP5 (2)'!$H$6:$H$99,"")</f>
        <v>0</v>
      </c>
      <c r="BB70" s="27">
        <f>_xlfn.XLOOKUP($B70,'GP6 (1)'!$B$5:$B$99,'GP6 (1)'!$H$5:$H$99,"")</f>
        <v>0</v>
      </c>
      <c r="BC70" s="28">
        <f>_xlfn.XLOOKUP($B70,'GP6 (2)'!$B$5:$B$99,'GP6 (2)'!$H$5:$H$99,"")</f>
        <v>0</v>
      </c>
      <c r="BD70" s="24">
        <f>_xlfn.XLOOKUP($B70,'GP7 (1)'!$B$6:$B$100,'GP7 (1)'!$H$6:$H$100,"")</f>
        <v>0</v>
      </c>
      <c r="BE70" s="25">
        <f>_xlfn.XLOOKUP($B70,'GP7 (2)'!$B$6:$B$100,'GP7 (2)'!$H$6:$H$100,"")</f>
        <v>0</v>
      </c>
      <c r="BF70" s="27">
        <f>_xlfn.XLOOKUP($B70,'GP8 (1)'!$B$6:$B$100,'GP8 (1)'!$H$6:$H$100,"")</f>
        <v>0</v>
      </c>
      <c r="BG70" s="32">
        <f>_xlfn.XLOOKUP($B70,'GP8 (2)'!$B$6:$B$100,'GP8 (2)'!$H$6:$H$100,"")</f>
        <v>0</v>
      </c>
    </row>
    <row r="71" spans="1:59" ht="13.1" customHeight="1" thickBot="1" x14ac:dyDescent="0.3">
      <c r="A71" s="1">
        <f>ROW()-4</f>
        <v>67</v>
      </c>
      <c r="B71" s="49"/>
      <c r="C71" s="30">
        <f>SUM(D71:U71)</f>
        <v>0</v>
      </c>
      <c r="D71" s="35">
        <f>_xlfn.XLOOKUP($B71,'MP (1)'!$B$6:$B$99,'MP (1)'!$E$6:$E$99,"")</f>
        <v>0</v>
      </c>
      <c r="E71" s="36">
        <f>_xlfn.XLOOKUP($B71,'MP (2)'!$B$6:$B$100,'MP (2)'!$E$6:$E$100,"")</f>
        <v>0</v>
      </c>
      <c r="F71" s="40">
        <f>_xlfn.XLOOKUP($B71,'GP1 (1)'!$B$6:$B$100,'GP1 (1)'!$E$6:$E$100,"")</f>
        <v>0</v>
      </c>
      <c r="G71" s="41">
        <f>_xlfn.XLOOKUP($B71,'GP1 (2)'!$B$6:$B$100,'GP1 (2)'!$E$6:$E$100,"")</f>
        <v>0</v>
      </c>
      <c r="H71" s="39">
        <f>_xlfn.XLOOKUP($B71,'GP2 (1)'!$B$6:$B$101,'GP2 (1)'!$E$6:$E$101,"")</f>
        <v>0</v>
      </c>
      <c r="I71" s="36">
        <f>_xlfn.XLOOKUP($B71,'GP2 (2)'!$B$6:$B$100,'GP2 (2)'!$E$6:$E$100,"")</f>
        <v>0</v>
      </c>
      <c r="J71" s="40">
        <f>_xlfn.XLOOKUP($B71,'GP3 (1)'!$B$6:$B$100,'GP3 (1)'!$E$6:$E$100,"")</f>
        <v>0</v>
      </c>
      <c r="K71" s="41">
        <f>_xlfn.XLOOKUP($B71,'GP3 (2)'!$B$6:$B$100,'GP3 (2)'!$E$6:$E$100,"")</f>
        <v>0</v>
      </c>
      <c r="L71" s="39">
        <f>_xlfn.XLOOKUP($B71,'GP4 (1)'!$B$6:$B$66,'GP4 (1)'!$E$6:$E$66,"")</f>
        <v>0</v>
      </c>
      <c r="M71" s="36">
        <f>_xlfn.XLOOKUP($B71,'GP4 (2)'!$B$6:$B$100,'GP4 (2)'!$E$6:$E$100,"")</f>
        <v>0</v>
      </c>
      <c r="N71" s="40">
        <f>_xlfn.XLOOKUP($B71,'GP5 (1)'!$B$6:$B$99,'GP5 (1)'!$E$6:$E$99,"")</f>
        <v>0</v>
      </c>
      <c r="O71" s="42">
        <f>_xlfn.XLOOKUP($B71,'GP5 (2)'!$B$6:$B$99,'GP5 (2)'!$E$6:$E$99,"")</f>
        <v>0</v>
      </c>
      <c r="P71" s="39">
        <f>_xlfn.XLOOKUP($B71,'GP6 (1)'!$B$5:$B$99,'GP6 (1)'!$E$5:$E$99,"")</f>
        <v>0</v>
      </c>
      <c r="Q71" s="36">
        <f>_xlfn.XLOOKUP($B71,'GP6 (2)'!$B$5:$B$99,'GP6 (2)'!$E$5:$E$99,"")</f>
        <v>0</v>
      </c>
      <c r="R71" s="40">
        <f>_xlfn.XLOOKUP($B71,'GP7 (1)'!$B$6:$B$100,'GP7 (1)'!$E$6:$E$100,"")</f>
        <v>0</v>
      </c>
      <c r="S71" s="42">
        <f>_xlfn.XLOOKUP($B71,'GP7 (2)'!$B$6:$B$100,'GP7 (2)'!$E$6:$E$100,"")</f>
        <v>0</v>
      </c>
      <c r="T71" s="39">
        <f>_xlfn.XLOOKUP($B71,'GP8 (1)'!$B$6:$B$100,'GP8 (1)'!$E$6:$E$100,"")</f>
        <v>0</v>
      </c>
      <c r="U71" s="35">
        <f>_xlfn.XLOOKUP($B71,'GP8 (2)'!$B$6:$B$100,'GP8 (2)'!$E$6:$E$100,"")</f>
        <v>0</v>
      </c>
      <c r="V71" s="13">
        <f>SUM(W71:AN71)</f>
        <v>0</v>
      </c>
      <c r="W71" s="29">
        <f>_xlfn.XLOOKUP($B71,'MP (1)'!$B$6:$B$99,'MP (1)'!$F$6:$F$99,"")</f>
        <v>0</v>
      </c>
      <c r="X71" s="28">
        <f>_xlfn.XLOOKUP($B71,'MP (2)'!$B$6:$B$100,'MP (2)'!$F$6:$F$100,"")</f>
        <v>0</v>
      </c>
      <c r="Y71" s="24">
        <f>_xlfn.XLOOKUP($B71,'GP1 (1)'!$B$6:$B$100,'GP1 (1)'!$F$6:$F$100,"")</f>
        <v>0</v>
      </c>
      <c r="Z71" s="25">
        <f>_xlfn.XLOOKUP($B71,'GP1 (2)'!$B$6:$B$100,'GP1 (2)'!$F$6:$F$100,"")</f>
        <v>0</v>
      </c>
      <c r="AA71" s="27">
        <f>_xlfn.XLOOKUP($B71,'GP2 (1)'!$B$6:$B$101,'GP2 (1)'!$F$6:$F$101,"")</f>
        <v>0</v>
      </c>
      <c r="AB71" s="28">
        <f>_xlfn.XLOOKUP($B71,'GP2 (2)'!$B$6:$B$100,'GP2 (2)'!$F$6:$F$100,"")</f>
        <v>0</v>
      </c>
      <c r="AC71" s="24">
        <f>_xlfn.XLOOKUP($B71,'GP3 (1)'!$B$6:$B$100,'GP3 (1)'!$F$6:$F$100,"")</f>
        <v>0</v>
      </c>
      <c r="AD71" s="25">
        <f>_xlfn.XLOOKUP($B71,'GP3 (2)'!$B$6:$B$100,'GP3 (2)'!$F$6:$F$100,"")</f>
        <v>0</v>
      </c>
      <c r="AE71" s="27">
        <f>_xlfn.XLOOKUP($B71,'GP4 (1)'!$B$6:$B$66,'GP4 (1)'!$F$6:$F$66,"")</f>
        <v>0</v>
      </c>
      <c r="AF71" s="28">
        <f>_xlfn.XLOOKUP($B71,'GP4 (2)'!$B$6:$B$100,'GP4 (2)'!$F$6:$F$100,"")</f>
        <v>0</v>
      </c>
      <c r="AG71" s="24">
        <f>_xlfn.XLOOKUP($B71,'GP5 (1)'!$B$6:$B$99,'GP5 (1)'!$F$6:$F$99,"")</f>
        <v>0</v>
      </c>
      <c r="AH71" s="26">
        <f>_xlfn.XLOOKUP($B71,'GP5 (2)'!$B$6:$B$99,'GP5 (2)'!$F$6:$F$99,"")</f>
        <v>0</v>
      </c>
      <c r="AI71" s="27">
        <f>_xlfn.XLOOKUP($B71,'GP6 (1)'!$B$5:$B$99,'GP6 (1)'!$F$5:$F$99,"")</f>
        <v>0</v>
      </c>
      <c r="AJ71" s="28">
        <f>_xlfn.XLOOKUP($B71,'GP6 (2)'!$B$5:$B$99,'GP6 (2)'!$F$5:$F$99,"")</f>
        <v>0</v>
      </c>
      <c r="AK71" s="24">
        <f>_xlfn.XLOOKUP($B71,'GP7 (1)'!$B$6:$B$100,'GP7 (1)'!$F$6:$F$100,"")</f>
        <v>0</v>
      </c>
      <c r="AL71" s="26">
        <f>_xlfn.XLOOKUP($B71,'GP7 (2)'!$B$6:$B$100,'GP7 (2)'!$F$6:$F$100,"")</f>
        <v>0</v>
      </c>
      <c r="AM71" s="27">
        <f>_xlfn.XLOOKUP($B71,'GP8 (1)'!$B$6:$B$100,'GP8 (1)'!$F$6:$F$100,"")</f>
        <v>0</v>
      </c>
      <c r="AN71" s="29">
        <f>_xlfn.XLOOKUP($B71,'GP8 (2)'!$B$6:$B$100,'GP8 (2)'!$F$6:$F$100,"")</f>
        <v>0</v>
      </c>
      <c r="AO71" s="13">
        <f>SUM(AP71:BG71)</f>
        <v>0</v>
      </c>
      <c r="AP71" s="29">
        <f>_xlfn.XLOOKUP($B71,'MP (1)'!$B$6:$B$99,'MP (1)'!$H$6:$H$99,"")</f>
        <v>0</v>
      </c>
      <c r="AQ71" s="28">
        <f>_xlfn.XLOOKUP($B71,'MP (2)'!$B$6:$B$100,'MP (2)'!$H$6:$H$100,"")</f>
        <v>0</v>
      </c>
      <c r="AR71" s="24">
        <f>_xlfn.XLOOKUP($B71,'GP1 (1)'!$B$6:$B$100,'GP1 (1)'!$H$6:$H$100,"")</f>
        <v>0</v>
      </c>
      <c r="AS71" s="25">
        <f>_xlfn.XLOOKUP($B71,'GP1 (2)'!$B$6:$B$100,'GP1 (2)'!$H$6:$H$100,"")</f>
        <v>0</v>
      </c>
      <c r="AT71" s="27">
        <f>_xlfn.XLOOKUP($B71,'GP2 (1)'!$B$6:$B$101,'GP2 (1)'!$H$6:$H$101,"")</f>
        <v>0</v>
      </c>
      <c r="AU71" s="28">
        <f>_xlfn.XLOOKUP($B71,'GP2 (2)'!$B$6:$B$100,'GP2 (2)'!$H$6:$H$100,"")</f>
        <v>0</v>
      </c>
      <c r="AV71" s="24">
        <f>_xlfn.XLOOKUP($B71,'GP3 (1)'!$B$6:$B$100,'GP3 (1)'!$H$6:$H$100,"")</f>
        <v>0</v>
      </c>
      <c r="AW71" s="25">
        <f>_xlfn.XLOOKUP($B71,'GP3 (2)'!$B$6:$B$100,'GP3 (2)'!$H$6:$H$100,"")</f>
        <v>0</v>
      </c>
      <c r="AX71" s="27">
        <f>_xlfn.XLOOKUP($B71,'GP4 (1)'!$B$6:$B$66,'GP4 (1)'!$H$6:$H$66,"")</f>
        <v>0</v>
      </c>
      <c r="AY71" s="28">
        <f>_xlfn.XLOOKUP($B71,'GP4 (2)'!$B$6:$B$100,'GP4 (2)'!$H$6:$H$100,"")</f>
        <v>0</v>
      </c>
      <c r="AZ71" s="24">
        <f>_xlfn.XLOOKUP($B71,'GP5 (1)'!$B$6:$B$99,'GP5 (1)'!$H$6:$H$99,"")</f>
        <v>0</v>
      </c>
      <c r="BA71" s="25">
        <f>_xlfn.XLOOKUP($B71,'GP5 (2)'!$B$6:$B$99,'GP5 (2)'!$H$6:$H$99,"")</f>
        <v>0</v>
      </c>
      <c r="BB71" s="27">
        <f>_xlfn.XLOOKUP($B71,'GP6 (1)'!$B$5:$B$99,'GP6 (1)'!$H$5:$H$99,"")</f>
        <v>0</v>
      </c>
      <c r="BC71" s="28">
        <f>_xlfn.XLOOKUP($B71,'GP6 (2)'!$B$5:$B$99,'GP6 (2)'!$H$5:$H$99,"")</f>
        <v>0</v>
      </c>
      <c r="BD71" s="24">
        <f>_xlfn.XLOOKUP($B71,'GP7 (1)'!$B$6:$B$100,'GP7 (1)'!$H$6:$H$100,"")</f>
        <v>0</v>
      </c>
      <c r="BE71" s="25">
        <f>_xlfn.XLOOKUP($B71,'GP7 (2)'!$B$6:$B$100,'GP7 (2)'!$H$6:$H$100,"")</f>
        <v>0</v>
      </c>
      <c r="BF71" s="27">
        <f>_xlfn.XLOOKUP($B71,'GP8 (1)'!$B$6:$B$100,'GP8 (1)'!$H$6:$H$100,"")</f>
        <v>0</v>
      </c>
      <c r="BG71" s="32">
        <f>_xlfn.XLOOKUP($B71,'GP8 (2)'!$B$6:$B$100,'GP8 (2)'!$H$6:$H$100,"")</f>
        <v>0</v>
      </c>
    </row>
    <row r="72" spans="1:59" ht="13.1" customHeight="1" thickBot="1" x14ac:dyDescent="0.3">
      <c r="A72" s="1">
        <f>ROW()-4</f>
        <v>68</v>
      </c>
      <c r="B72" s="49"/>
      <c r="C72" s="30">
        <f>SUM(D72:U72)</f>
        <v>0</v>
      </c>
      <c r="D72" s="35">
        <f>_xlfn.XLOOKUP($B72,'MP (1)'!$B$6:$B$99,'MP (1)'!$E$6:$E$99,"")</f>
        <v>0</v>
      </c>
      <c r="E72" s="36">
        <f>_xlfn.XLOOKUP($B72,'MP (2)'!$B$6:$B$100,'MP (2)'!$E$6:$E$100,"")</f>
        <v>0</v>
      </c>
      <c r="F72" s="40">
        <f>_xlfn.XLOOKUP($B72,'GP1 (1)'!$B$6:$B$100,'GP1 (1)'!$E$6:$E$100,"")</f>
        <v>0</v>
      </c>
      <c r="G72" s="41">
        <f>_xlfn.XLOOKUP($B72,'GP1 (2)'!$B$6:$B$100,'GP1 (2)'!$E$6:$E$100,"")</f>
        <v>0</v>
      </c>
      <c r="H72" s="39">
        <f>_xlfn.XLOOKUP($B72,'GP2 (1)'!$B$6:$B$101,'GP2 (1)'!$E$6:$E$101,"")</f>
        <v>0</v>
      </c>
      <c r="I72" s="36">
        <f>_xlfn.XLOOKUP($B72,'GP2 (2)'!$B$6:$B$100,'GP2 (2)'!$E$6:$E$100,"")</f>
        <v>0</v>
      </c>
      <c r="J72" s="40">
        <f>_xlfn.XLOOKUP($B72,'GP3 (1)'!$B$6:$B$100,'GP3 (1)'!$E$6:$E$100,"")</f>
        <v>0</v>
      </c>
      <c r="K72" s="41">
        <f>_xlfn.XLOOKUP($B72,'GP3 (2)'!$B$6:$B$100,'GP3 (2)'!$E$6:$E$100,"")</f>
        <v>0</v>
      </c>
      <c r="L72" s="39">
        <f>_xlfn.XLOOKUP($B72,'GP4 (1)'!$B$6:$B$66,'GP4 (1)'!$E$6:$E$66,"")</f>
        <v>0</v>
      </c>
      <c r="M72" s="36">
        <f>_xlfn.XLOOKUP($B72,'GP4 (2)'!$B$6:$B$100,'GP4 (2)'!$E$6:$E$100,"")</f>
        <v>0</v>
      </c>
      <c r="N72" s="40">
        <f>_xlfn.XLOOKUP($B72,'GP5 (1)'!$B$6:$B$99,'GP5 (1)'!$E$6:$E$99,"")</f>
        <v>0</v>
      </c>
      <c r="O72" s="42">
        <f>_xlfn.XLOOKUP($B72,'GP5 (2)'!$B$6:$B$99,'GP5 (2)'!$E$6:$E$99,"")</f>
        <v>0</v>
      </c>
      <c r="P72" s="39">
        <f>_xlfn.XLOOKUP($B72,'GP6 (1)'!$B$5:$B$99,'GP6 (1)'!$E$5:$E$99,"")</f>
        <v>0</v>
      </c>
      <c r="Q72" s="36">
        <f>_xlfn.XLOOKUP($B72,'GP6 (2)'!$B$5:$B$99,'GP6 (2)'!$E$5:$E$99,"")</f>
        <v>0</v>
      </c>
      <c r="R72" s="40">
        <f>_xlfn.XLOOKUP($B72,'GP7 (1)'!$B$6:$B$100,'GP7 (1)'!$E$6:$E$100,"")</f>
        <v>0</v>
      </c>
      <c r="S72" s="42">
        <f>_xlfn.XLOOKUP($B72,'GP7 (2)'!$B$6:$B$100,'GP7 (2)'!$E$6:$E$100,"")</f>
        <v>0</v>
      </c>
      <c r="T72" s="39">
        <f>_xlfn.XLOOKUP($B72,'GP8 (1)'!$B$6:$B$100,'GP8 (1)'!$E$6:$E$100,"")</f>
        <v>0</v>
      </c>
      <c r="U72" s="35">
        <f>_xlfn.XLOOKUP($B72,'GP8 (2)'!$B$6:$B$100,'GP8 (2)'!$E$6:$E$100,"")</f>
        <v>0</v>
      </c>
      <c r="V72" s="13">
        <f>SUM(W72:AN72)</f>
        <v>0</v>
      </c>
      <c r="W72" s="29">
        <f>_xlfn.XLOOKUP($B72,'MP (1)'!$B$6:$B$99,'MP (1)'!$F$6:$F$99,"")</f>
        <v>0</v>
      </c>
      <c r="X72" s="28">
        <f>_xlfn.XLOOKUP($B72,'MP (2)'!$B$6:$B$100,'MP (2)'!$F$6:$F$100,"")</f>
        <v>0</v>
      </c>
      <c r="Y72" s="24">
        <f>_xlfn.XLOOKUP($B72,'GP1 (1)'!$B$6:$B$100,'GP1 (1)'!$F$6:$F$100,"")</f>
        <v>0</v>
      </c>
      <c r="Z72" s="25">
        <f>_xlfn.XLOOKUP($B72,'GP1 (2)'!$B$6:$B$100,'GP1 (2)'!$F$6:$F$100,"")</f>
        <v>0</v>
      </c>
      <c r="AA72" s="27">
        <f>_xlfn.XLOOKUP($B72,'GP2 (1)'!$B$6:$B$101,'GP2 (1)'!$F$6:$F$101,"")</f>
        <v>0</v>
      </c>
      <c r="AB72" s="28">
        <f>_xlfn.XLOOKUP($B72,'GP2 (2)'!$B$6:$B$100,'GP2 (2)'!$F$6:$F$100,"")</f>
        <v>0</v>
      </c>
      <c r="AC72" s="24">
        <f>_xlfn.XLOOKUP($B72,'GP3 (1)'!$B$6:$B$100,'GP3 (1)'!$F$6:$F$100,"")</f>
        <v>0</v>
      </c>
      <c r="AD72" s="25">
        <f>_xlfn.XLOOKUP($B72,'GP3 (2)'!$B$6:$B$100,'GP3 (2)'!$F$6:$F$100,"")</f>
        <v>0</v>
      </c>
      <c r="AE72" s="27">
        <f>_xlfn.XLOOKUP($B72,'GP4 (1)'!$B$6:$B$66,'GP4 (1)'!$F$6:$F$66,"")</f>
        <v>0</v>
      </c>
      <c r="AF72" s="28">
        <f>_xlfn.XLOOKUP($B72,'GP4 (2)'!$B$6:$B$100,'GP4 (2)'!$F$6:$F$100,"")</f>
        <v>0</v>
      </c>
      <c r="AG72" s="24">
        <f>_xlfn.XLOOKUP($B72,'GP5 (1)'!$B$6:$B$99,'GP5 (1)'!$F$6:$F$99,"")</f>
        <v>0</v>
      </c>
      <c r="AH72" s="26">
        <f>_xlfn.XLOOKUP($B72,'GP5 (2)'!$B$6:$B$99,'GP5 (2)'!$F$6:$F$99,"")</f>
        <v>0</v>
      </c>
      <c r="AI72" s="27">
        <f>_xlfn.XLOOKUP($B72,'GP6 (1)'!$B$5:$B$99,'GP6 (1)'!$F$5:$F$99,"")</f>
        <v>0</v>
      </c>
      <c r="AJ72" s="28">
        <f>_xlfn.XLOOKUP($B72,'GP6 (2)'!$B$5:$B$99,'GP6 (2)'!$F$5:$F$99,"")</f>
        <v>0</v>
      </c>
      <c r="AK72" s="24">
        <f>_xlfn.XLOOKUP($B72,'GP7 (1)'!$B$6:$B$100,'GP7 (1)'!$F$6:$F$100,"")</f>
        <v>0</v>
      </c>
      <c r="AL72" s="26">
        <f>_xlfn.XLOOKUP($B72,'GP7 (2)'!$B$6:$B$100,'GP7 (2)'!$F$6:$F$100,"")</f>
        <v>0</v>
      </c>
      <c r="AM72" s="27">
        <f>_xlfn.XLOOKUP($B72,'GP8 (1)'!$B$6:$B$100,'GP8 (1)'!$F$6:$F$100,"")</f>
        <v>0</v>
      </c>
      <c r="AN72" s="29">
        <f>_xlfn.XLOOKUP($B72,'GP8 (2)'!$B$6:$B$100,'GP8 (2)'!$F$6:$F$100,"")</f>
        <v>0</v>
      </c>
      <c r="AO72" s="13">
        <f>SUM(AP72:BG72)</f>
        <v>0</v>
      </c>
      <c r="AP72" s="29">
        <f>_xlfn.XLOOKUP($B72,'MP (1)'!$B$6:$B$99,'MP (1)'!$H$6:$H$99,"")</f>
        <v>0</v>
      </c>
      <c r="AQ72" s="28">
        <f>_xlfn.XLOOKUP($B72,'MP (2)'!$B$6:$B$100,'MP (2)'!$H$6:$H$100,"")</f>
        <v>0</v>
      </c>
      <c r="AR72" s="24">
        <f>_xlfn.XLOOKUP($B72,'GP1 (1)'!$B$6:$B$100,'GP1 (1)'!$H$6:$H$100,"")</f>
        <v>0</v>
      </c>
      <c r="AS72" s="25">
        <f>_xlfn.XLOOKUP($B72,'GP1 (2)'!$B$6:$B$100,'GP1 (2)'!$H$6:$H$100,"")</f>
        <v>0</v>
      </c>
      <c r="AT72" s="27">
        <f>_xlfn.XLOOKUP($B72,'GP2 (1)'!$B$6:$B$101,'GP2 (1)'!$H$6:$H$101,"")</f>
        <v>0</v>
      </c>
      <c r="AU72" s="28">
        <f>_xlfn.XLOOKUP($B72,'GP2 (2)'!$B$6:$B$100,'GP2 (2)'!$H$6:$H$100,"")</f>
        <v>0</v>
      </c>
      <c r="AV72" s="24">
        <f>_xlfn.XLOOKUP($B72,'GP3 (1)'!$B$6:$B$100,'GP3 (1)'!$H$6:$H$100,"")</f>
        <v>0</v>
      </c>
      <c r="AW72" s="25">
        <f>_xlfn.XLOOKUP($B72,'GP3 (2)'!$B$6:$B$100,'GP3 (2)'!$H$6:$H$100,"")</f>
        <v>0</v>
      </c>
      <c r="AX72" s="27">
        <f>_xlfn.XLOOKUP($B72,'GP4 (1)'!$B$6:$B$66,'GP4 (1)'!$H$6:$H$66,"")</f>
        <v>0</v>
      </c>
      <c r="AY72" s="28">
        <f>_xlfn.XLOOKUP($B72,'GP4 (2)'!$B$6:$B$100,'GP4 (2)'!$H$6:$H$100,"")</f>
        <v>0</v>
      </c>
      <c r="AZ72" s="24">
        <f>_xlfn.XLOOKUP($B72,'GP5 (1)'!$B$6:$B$99,'GP5 (1)'!$H$6:$H$99,"")</f>
        <v>0</v>
      </c>
      <c r="BA72" s="25">
        <f>_xlfn.XLOOKUP($B72,'GP5 (2)'!$B$6:$B$99,'GP5 (2)'!$H$6:$H$99,"")</f>
        <v>0</v>
      </c>
      <c r="BB72" s="27">
        <f>_xlfn.XLOOKUP($B72,'GP6 (1)'!$B$5:$B$99,'GP6 (1)'!$H$5:$H$99,"")</f>
        <v>0</v>
      </c>
      <c r="BC72" s="28">
        <f>_xlfn.XLOOKUP($B72,'GP6 (2)'!$B$5:$B$99,'GP6 (2)'!$H$5:$H$99,"")</f>
        <v>0</v>
      </c>
      <c r="BD72" s="24">
        <f>_xlfn.XLOOKUP($B72,'GP7 (1)'!$B$6:$B$100,'GP7 (1)'!$H$6:$H$100,"")</f>
        <v>0</v>
      </c>
      <c r="BE72" s="25">
        <f>_xlfn.XLOOKUP($B72,'GP7 (2)'!$B$6:$B$100,'GP7 (2)'!$H$6:$H$100,"")</f>
        <v>0</v>
      </c>
      <c r="BF72" s="27">
        <f>_xlfn.XLOOKUP($B72,'GP8 (1)'!$B$6:$B$100,'GP8 (1)'!$H$6:$H$100,"")</f>
        <v>0</v>
      </c>
      <c r="BG72" s="32">
        <f>_xlfn.XLOOKUP($B72,'GP8 (2)'!$B$6:$B$100,'GP8 (2)'!$H$6:$H$100,"")</f>
        <v>0</v>
      </c>
    </row>
    <row r="73" spans="1:59" ht="13.1" customHeight="1" thickBot="1" x14ac:dyDescent="0.3">
      <c r="A73" s="1">
        <f>ROW()-4</f>
        <v>69</v>
      </c>
      <c r="B73" s="49"/>
      <c r="C73" s="30">
        <f>SUM(D73:U73)</f>
        <v>0</v>
      </c>
      <c r="D73" s="35">
        <f>_xlfn.XLOOKUP($B73,'MP (1)'!$B$6:$B$99,'MP (1)'!$E$6:$E$99,"")</f>
        <v>0</v>
      </c>
      <c r="E73" s="36">
        <f>_xlfn.XLOOKUP($B73,'MP (2)'!$B$6:$B$100,'MP (2)'!$E$6:$E$100,"")</f>
        <v>0</v>
      </c>
      <c r="F73" s="40">
        <f>_xlfn.XLOOKUP($B73,'GP1 (1)'!$B$6:$B$100,'GP1 (1)'!$E$6:$E$100,"")</f>
        <v>0</v>
      </c>
      <c r="G73" s="41">
        <f>_xlfn.XLOOKUP($B73,'GP1 (2)'!$B$6:$B$100,'GP1 (2)'!$E$6:$E$100,"")</f>
        <v>0</v>
      </c>
      <c r="H73" s="39">
        <f>_xlfn.XLOOKUP($B73,'GP2 (1)'!$B$6:$B$101,'GP2 (1)'!$E$6:$E$101,"")</f>
        <v>0</v>
      </c>
      <c r="I73" s="36">
        <f>_xlfn.XLOOKUP($B73,'GP2 (2)'!$B$6:$B$100,'GP2 (2)'!$E$6:$E$100,"")</f>
        <v>0</v>
      </c>
      <c r="J73" s="40">
        <f>_xlfn.XLOOKUP($B73,'GP3 (1)'!$B$6:$B$100,'GP3 (1)'!$E$6:$E$100,"")</f>
        <v>0</v>
      </c>
      <c r="K73" s="41">
        <f>_xlfn.XLOOKUP($B73,'GP3 (2)'!$B$6:$B$100,'GP3 (2)'!$E$6:$E$100,"")</f>
        <v>0</v>
      </c>
      <c r="L73" s="39">
        <f>_xlfn.XLOOKUP($B73,'GP4 (1)'!$B$6:$B$66,'GP4 (1)'!$E$6:$E$66,"")</f>
        <v>0</v>
      </c>
      <c r="M73" s="36">
        <f>_xlfn.XLOOKUP($B73,'GP4 (2)'!$B$6:$B$100,'GP4 (2)'!$E$6:$E$100,"")</f>
        <v>0</v>
      </c>
      <c r="N73" s="40">
        <f>_xlfn.XLOOKUP($B73,'GP5 (1)'!$B$6:$B$99,'GP5 (1)'!$E$6:$E$99,"")</f>
        <v>0</v>
      </c>
      <c r="O73" s="42">
        <f>_xlfn.XLOOKUP($B73,'GP5 (2)'!$B$6:$B$99,'GP5 (2)'!$E$6:$E$99,"")</f>
        <v>0</v>
      </c>
      <c r="P73" s="39">
        <f>_xlfn.XLOOKUP($B73,'GP6 (1)'!$B$5:$B$99,'GP6 (1)'!$E$5:$E$99,"")</f>
        <v>0</v>
      </c>
      <c r="Q73" s="36">
        <f>_xlfn.XLOOKUP($B73,'GP6 (2)'!$B$5:$B$99,'GP6 (2)'!$E$5:$E$99,"")</f>
        <v>0</v>
      </c>
      <c r="R73" s="40">
        <f>_xlfn.XLOOKUP($B73,'GP7 (1)'!$B$6:$B$100,'GP7 (1)'!$E$6:$E$100,"")</f>
        <v>0</v>
      </c>
      <c r="S73" s="42">
        <f>_xlfn.XLOOKUP($B73,'GP7 (2)'!$B$6:$B$100,'GP7 (2)'!$E$6:$E$100,"")</f>
        <v>0</v>
      </c>
      <c r="T73" s="39">
        <f>_xlfn.XLOOKUP($B73,'GP8 (1)'!$B$6:$B$100,'GP8 (1)'!$E$6:$E$100,"")</f>
        <v>0</v>
      </c>
      <c r="U73" s="35">
        <f>_xlfn.XLOOKUP($B73,'GP8 (2)'!$B$6:$B$100,'GP8 (2)'!$E$6:$E$100,"")</f>
        <v>0</v>
      </c>
      <c r="V73" s="13">
        <f>SUM(W73:AN73)</f>
        <v>0</v>
      </c>
      <c r="W73" s="29">
        <f>_xlfn.XLOOKUP($B73,'MP (1)'!$B$6:$B$99,'MP (1)'!$F$6:$F$99,"")</f>
        <v>0</v>
      </c>
      <c r="X73" s="28">
        <f>_xlfn.XLOOKUP($B73,'MP (2)'!$B$6:$B$100,'MP (2)'!$F$6:$F$100,"")</f>
        <v>0</v>
      </c>
      <c r="Y73" s="24">
        <f>_xlfn.XLOOKUP($B73,'GP1 (1)'!$B$6:$B$100,'GP1 (1)'!$F$6:$F$100,"")</f>
        <v>0</v>
      </c>
      <c r="Z73" s="25">
        <f>_xlfn.XLOOKUP($B73,'GP1 (2)'!$B$6:$B$100,'GP1 (2)'!$F$6:$F$100,"")</f>
        <v>0</v>
      </c>
      <c r="AA73" s="27">
        <f>_xlfn.XLOOKUP($B73,'GP2 (1)'!$B$6:$B$101,'GP2 (1)'!$F$6:$F$101,"")</f>
        <v>0</v>
      </c>
      <c r="AB73" s="28">
        <f>_xlfn.XLOOKUP($B73,'GP2 (2)'!$B$6:$B$100,'GP2 (2)'!$F$6:$F$100,"")</f>
        <v>0</v>
      </c>
      <c r="AC73" s="24">
        <f>_xlfn.XLOOKUP($B73,'GP3 (1)'!$B$6:$B$100,'GP3 (1)'!$F$6:$F$100,"")</f>
        <v>0</v>
      </c>
      <c r="AD73" s="25">
        <f>_xlfn.XLOOKUP($B73,'GP3 (2)'!$B$6:$B$100,'GP3 (2)'!$F$6:$F$100,"")</f>
        <v>0</v>
      </c>
      <c r="AE73" s="27">
        <f>_xlfn.XLOOKUP($B73,'GP4 (1)'!$B$6:$B$66,'GP4 (1)'!$F$6:$F$66,"")</f>
        <v>0</v>
      </c>
      <c r="AF73" s="28">
        <f>_xlfn.XLOOKUP($B73,'GP4 (2)'!$B$6:$B$100,'GP4 (2)'!$F$6:$F$100,"")</f>
        <v>0</v>
      </c>
      <c r="AG73" s="24">
        <f>_xlfn.XLOOKUP($B73,'GP5 (1)'!$B$6:$B$99,'GP5 (1)'!$F$6:$F$99,"")</f>
        <v>0</v>
      </c>
      <c r="AH73" s="26">
        <f>_xlfn.XLOOKUP($B73,'GP5 (2)'!$B$6:$B$99,'GP5 (2)'!$F$6:$F$99,"")</f>
        <v>0</v>
      </c>
      <c r="AI73" s="27">
        <f>_xlfn.XLOOKUP($B73,'GP6 (1)'!$B$5:$B$99,'GP6 (1)'!$F$5:$F$99,"")</f>
        <v>0</v>
      </c>
      <c r="AJ73" s="28">
        <f>_xlfn.XLOOKUP($B73,'GP6 (2)'!$B$5:$B$99,'GP6 (2)'!$F$5:$F$99,"")</f>
        <v>0</v>
      </c>
      <c r="AK73" s="24">
        <f>_xlfn.XLOOKUP($B73,'GP7 (1)'!$B$6:$B$100,'GP7 (1)'!$F$6:$F$100,"")</f>
        <v>0</v>
      </c>
      <c r="AL73" s="26">
        <f>_xlfn.XLOOKUP($B73,'GP7 (2)'!$B$6:$B$100,'GP7 (2)'!$F$6:$F$100,"")</f>
        <v>0</v>
      </c>
      <c r="AM73" s="27">
        <f>_xlfn.XLOOKUP($B73,'GP8 (1)'!$B$6:$B$100,'GP8 (1)'!$F$6:$F$100,"")</f>
        <v>0</v>
      </c>
      <c r="AN73" s="29">
        <f>_xlfn.XLOOKUP($B73,'GP8 (2)'!$B$6:$B$100,'GP8 (2)'!$F$6:$F$100,"")</f>
        <v>0</v>
      </c>
      <c r="AO73" s="13">
        <f>SUM(AP73:BG73)</f>
        <v>0</v>
      </c>
      <c r="AP73" s="29">
        <f>_xlfn.XLOOKUP($B73,'MP (1)'!$B$6:$B$99,'MP (1)'!$H$6:$H$99,"")</f>
        <v>0</v>
      </c>
      <c r="AQ73" s="28">
        <f>_xlfn.XLOOKUP($B73,'MP (2)'!$B$6:$B$100,'MP (2)'!$H$6:$H$100,"")</f>
        <v>0</v>
      </c>
      <c r="AR73" s="24">
        <f>_xlfn.XLOOKUP($B73,'GP1 (1)'!$B$6:$B$100,'GP1 (1)'!$H$6:$H$100,"")</f>
        <v>0</v>
      </c>
      <c r="AS73" s="25">
        <f>_xlfn.XLOOKUP($B73,'GP1 (2)'!$B$6:$B$100,'GP1 (2)'!$H$6:$H$100,"")</f>
        <v>0</v>
      </c>
      <c r="AT73" s="27">
        <f>_xlfn.XLOOKUP($B73,'GP2 (1)'!$B$6:$B$101,'GP2 (1)'!$H$6:$H$101,"")</f>
        <v>0</v>
      </c>
      <c r="AU73" s="28">
        <f>_xlfn.XLOOKUP($B73,'GP2 (2)'!$B$6:$B$100,'GP2 (2)'!$H$6:$H$100,"")</f>
        <v>0</v>
      </c>
      <c r="AV73" s="24">
        <f>_xlfn.XLOOKUP($B73,'GP3 (1)'!$B$6:$B$100,'GP3 (1)'!$H$6:$H$100,"")</f>
        <v>0</v>
      </c>
      <c r="AW73" s="25">
        <f>_xlfn.XLOOKUP($B73,'GP3 (2)'!$B$6:$B$100,'GP3 (2)'!$H$6:$H$100,"")</f>
        <v>0</v>
      </c>
      <c r="AX73" s="27">
        <f>_xlfn.XLOOKUP($B73,'GP4 (1)'!$B$6:$B$66,'GP4 (1)'!$H$6:$H$66,"")</f>
        <v>0</v>
      </c>
      <c r="AY73" s="28">
        <f>_xlfn.XLOOKUP($B73,'GP4 (2)'!$B$6:$B$100,'GP4 (2)'!$H$6:$H$100,"")</f>
        <v>0</v>
      </c>
      <c r="AZ73" s="24">
        <f>_xlfn.XLOOKUP($B73,'GP5 (1)'!$B$6:$B$99,'GP5 (1)'!$H$6:$H$99,"")</f>
        <v>0</v>
      </c>
      <c r="BA73" s="25">
        <f>_xlfn.XLOOKUP($B73,'GP5 (2)'!$B$6:$B$99,'GP5 (2)'!$H$6:$H$99,"")</f>
        <v>0</v>
      </c>
      <c r="BB73" s="27">
        <f>_xlfn.XLOOKUP($B73,'GP6 (1)'!$B$5:$B$99,'GP6 (1)'!$H$5:$H$99,"")</f>
        <v>0</v>
      </c>
      <c r="BC73" s="28">
        <f>_xlfn.XLOOKUP($B73,'GP6 (2)'!$B$5:$B$99,'GP6 (2)'!$H$5:$H$99,"")</f>
        <v>0</v>
      </c>
      <c r="BD73" s="24">
        <f>_xlfn.XLOOKUP($B73,'GP7 (1)'!$B$6:$B$100,'GP7 (1)'!$H$6:$H$100,"")</f>
        <v>0</v>
      </c>
      <c r="BE73" s="25">
        <f>_xlfn.XLOOKUP($B73,'GP7 (2)'!$B$6:$B$100,'GP7 (2)'!$H$6:$H$100,"")</f>
        <v>0</v>
      </c>
      <c r="BF73" s="27">
        <f>_xlfn.XLOOKUP($B73,'GP8 (1)'!$B$6:$B$100,'GP8 (1)'!$H$6:$H$100,"")</f>
        <v>0</v>
      </c>
      <c r="BG73" s="32">
        <f>_xlfn.XLOOKUP($B73,'GP8 (2)'!$B$6:$B$100,'GP8 (2)'!$H$6:$H$100,"")</f>
        <v>0</v>
      </c>
    </row>
    <row r="74" spans="1:59" ht="13.1" customHeight="1" thickBot="1" x14ac:dyDescent="0.3">
      <c r="A74" s="1">
        <f>ROW()-4</f>
        <v>70</v>
      </c>
      <c r="B74" s="49"/>
      <c r="C74" s="30">
        <f>SUM(D74:U74)</f>
        <v>0</v>
      </c>
      <c r="D74" s="35">
        <f>_xlfn.XLOOKUP($B74,'MP (1)'!$B$6:$B$99,'MP (1)'!$E$6:$E$99,"")</f>
        <v>0</v>
      </c>
      <c r="E74" s="36">
        <f>_xlfn.XLOOKUP($B74,'MP (2)'!$B$6:$B$100,'MP (2)'!$E$6:$E$100,"")</f>
        <v>0</v>
      </c>
      <c r="F74" s="40">
        <f>_xlfn.XLOOKUP($B74,'GP1 (1)'!$B$6:$B$100,'GP1 (1)'!$E$6:$E$100,"")</f>
        <v>0</v>
      </c>
      <c r="G74" s="41">
        <f>_xlfn.XLOOKUP($B74,'GP1 (2)'!$B$6:$B$100,'GP1 (2)'!$E$6:$E$100,"")</f>
        <v>0</v>
      </c>
      <c r="H74" s="39">
        <f>_xlfn.XLOOKUP($B74,'GP2 (1)'!$B$6:$B$101,'GP2 (1)'!$E$6:$E$101,"")</f>
        <v>0</v>
      </c>
      <c r="I74" s="36">
        <f>_xlfn.XLOOKUP($B74,'GP2 (2)'!$B$6:$B$100,'GP2 (2)'!$E$6:$E$100,"")</f>
        <v>0</v>
      </c>
      <c r="J74" s="40">
        <f>_xlfn.XLOOKUP($B74,'GP3 (1)'!$B$6:$B$100,'GP3 (1)'!$E$6:$E$100,"")</f>
        <v>0</v>
      </c>
      <c r="K74" s="41">
        <f>_xlfn.XLOOKUP($B74,'GP3 (2)'!$B$6:$B$100,'GP3 (2)'!$E$6:$E$100,"")</f>
        <v>0</v>
      </c>
      <c r="L74" s="39">
        <f>_xlfn.XLOOKUP($B74,'GP4 (1)'!$B$6:$B$66,'GP4 (1)'!$E$6:$E$66,"")</f>
        <v>0</v>
      </c>
      <c r="M74" s="36">
        <f>_xlfn.XLOOKUP($B74,'GP4 (2)'!$B$6:$B$100,'GP4 (2)'!$E$6:$E$100,"")</f>
        <v>0</v>
      </c>
      <c r="N74" s="40">
        <f>_xlfn.XLOOKUP($B74,'GP5 (1)'!$B$6:$B$99,'GP5 (1)'!$E$6:$E$99,"")</f>
        <v>0</v>
      </c>
      <c r="O74" s="42">
        <f>_xlfn.XLOOKUP($B74,'GP5 (2)'!$B$6:$B$99,'GP5 (2)'!$E$6:$E$99,"")</f>
        <v>0</v>
      </c>
      <c r="P74" s="39">
        <f>_xlfn.XLOOKUP($B74,'GP6 (1)'!$B$5:$B$99,'GP6 (1)'!$E$5:$E$99,"")</f>
        <v>0</v>
      </c>
      <c r="Q74" s="36">
        <f>_xlfn.XLOOKUP($B74,'GP6 (2)'!$B$5:$B$99,'GP6 (2)'!$E$5:$E$99,"")</f>
        <v>0</v>
      </c>
      <c r="R74" s="40">
        <f>_xlfn.XLOOKUP($B74,'GP7 (1)'!$B$6:$B$100,'GP7 (1)'!$E$6:$E$100,"")</f>
        <v>0</v>
      </c>
      <c r="S74" s="42">
        <f>_xlfn.XLOOKUP($B74,'GP7 (2)'!$B$6:$B$100,'GP7 (2)'!$E$6:$E$100,"")</f>
        <v>0</v>
      </c>
      <c r="T74" s="39">
        <f>_xlfn.XLOOKUP($B74,'GP8 (1)'!$B$6:$B$100,'GP8 (1)'!$E$6:$E$100,"")</f>
        <v>0</v>
      </c>
      <c r="U74" s="35">
        <f>_xlfn.XLOOKUP($B74,'GP8 (2)'!$B$6:$B$100,'GP8 (2)'!$E$6:$E$100,"")</f>
        <v>0</v>
      </c>
      <c r="V74" s="13">
        <f>SUM(W74:AN74)</f>
        <v>0</v>
      </c>
      <c r="W74" s="29">
        <f>_xlfn.XLOOKUP($B74,'MP (1)'!$B$6:$B$99,'MP (1)'!$F$6:$F$99,"")</f>
        <v>0</v>
      </c>
      <c r="X74" s="28">
        <f>_xlfn.XLOOKUP($B74,'MP (2)'!$B$6:$B$100,'MP (2)'!$F$6:$F$100,"")</f>
        <v>0</v>
      </c>
      <c r="Y74" s="24">
        <f>_xlfn.XLOOKUP($B74,'GP1 (1)'!$B$6:$B$100,'GP1 (1)'!$F$6:$F$100,"")</f>
        <v>0</v>
      </c>
      <c r="Z74" s="25">
        <f>_xlfn.XLOOKUP($B74,'GP1 (2)'!$B$6:$B$100,'GP1 (2)'!$F$6:$F$100,"")</f>
        <v>0</v>
      </c>
      <c r="AA74" s="27">
        <f>_xlfn.XLOOKUP($B74,'GP2 (1)'!$B$6:$B$101,'GP2 (1)'!$F$6:$F$101,"")</f>
        <v>0</v>
      </c>
      <c r="AB74" s="28">
        <f>_xlfn.XLOOKUP($B74,'GP2 (2)'!$B$6:$B$100,'GP2 (2)'!$F$6:$F$100,"")</f>
        <v>0</v>
      </c>
      <c r="AC74" s="24">
        <f>_xlfn.XLOOKUP($B74,'GP3 (1)'!$B$6:$B$100,'GP3 (1)'!$F$6:$F$100,"")</f>
        <v>0</v>
      </c>
      <c r="AD74" s="25">
        <f>_xlfn.XLOOKUP($B74,'GP3 (2)'!$B$6:$B$100,'GP3 (2)'!$F$6:$F$100,"")</f>
        <v>0</v>
      </c>
      <c r="AE74" s="27">
        <f>_xlfn.XLOOKUP($B74,'GP4 (1)'!$B$6:$B$66,'GP4 (1)'!$F$6:$F$66,"")</f>
        <v>0</v>
      </c>
      <c r="AF74" s="28">
        <f>_xlfn.XLOOKUP($B74,'GP4 (2)'!$B$6:$B$100,'GP4 (2)'!$F$6:$F$100,"")</f>
        <v>0</v>
      </c>
      <c r="AG74" s="24">
        <f>_xlfn.XLOOKUP($B74,'GP5 (1)'!$B$6:$B$99,'GP5 (1)'!$F$6:$F$99,"")</f>
        <v>0</v>
      </c>
      <c r="AH74" s="26">
        <f>_xlfn.XLOOKUP($B74,'GP5 (2)'!$B$6:$B$99,'GP5 (2)'!$F$6:$F$99,"")</f>
        <v>0</v>
      </c>
      <c r="AI74" s="27">
        <f>_xlfn.XLOOKUP($B74,'GP6 (1)'!$B$5:$B$99,'GP6 (1)'!$F$5:$F$99,"")</f>
        <v>0</v>
      </c>
      <c r="AJ74" s="28">
        <f>_xlfn.XLOOKUP($B74,'GP6 (2)'!$B$5:$B$99,'GP6 (2)'!$F$5:$F$99,"")</f>
        <v>0</v>
      </c>
      <c r="AK74" s="24">
        <f>_xlfn.XLOOKUP($B74,'GP7 (1)'!$B$6:$B$100,'GP7 (1)'!$F$6:$F$100,"")</f>
        <v>0</v>
      </c>
      <c r="AL74" s="26">
        <f>_xlfn.XLOOKUP($B74,'GP7 (2)'!$B$6:$B$100,'GP7 (2)'!$F$6:$F$100,"")</f>
        <v>0</v>
      </c>
      <c r="AM74" s="27">
        <f>_xlfn.XLOOKUP($B74,'GP8 (1)'!$B$6:$B$100,'GP8 (1)'!$F$6:$F$100,"")</f>
        <v>0</v>
      </c>
      <c r="AN74" s="29">
        <f>_xlfn.XLOOKUP($B74,'GP8 (2)'!$B$6:$B$100,'GP8 (2)'!$F$6:$F$100,"")</f>
        <v>0</v>
      </c>
      <c r="AO74" s="13">
        <f>SUM(AP74:BG74)</f>
        <v>0</v>
      </c>
      <c r="AP74" s="29">
        <f>_xlfn.XLOOKUP($B74,'MP (1)'!$B$6:$B$99,'MP (1)'!$H$6:$H$99,"")</f>
        <v>0</v>
      </c>
      <c r="AQ74" s="28">
        <f>_xlfn.XLOOKUP($B74,'MP (2)'!$B$6:$B$100,'MP (2)'!$H$6:$H$100,"")</f>
        <v>0</v>
      </c>
      <c r="AR74" s="24">
        <f>_xlfn.XLOOKUP($B74,'GP1 (1)'!$B$6:$B$100,'GP1 (1)'!$H$6:$H$100,"")</f>
        <v>0</v>
      </c>
      <c r="AS74" s="25">
        <f>_xlfn.XLOOKUP($B74,'GP1 (2)'!$B$6:$B$100,'GP1 (2)'!$H$6:$H$100,"")</f>
        <v>0</v>
      </c>
      <c r="AT74" s="27">
        <f>_xlfn.XLOOKUP($B74,'GP2 (1)'!$B$6:$B$101,'GP2 (1)'!$H$6:$H$101,"")</f>
        <v>0</v>
      </c>
      <c r="AU74" s="28">
        <f>_xlfn.XLOOKUP($B74,'GP2 (2)'!$B$6:$B$100,'GP2 (2)'!$H$6:$H$100,"")</f>
        <v>0</v>
      </c>
      <c r="AV74" s="24">
        <f>_xlfn.XLOOKUP($B74,'GP3 (1)'!$B$6:$B$100,'GP3 (1)'!$H$6:$H$100,"")</f>
        <v>0</v>
      </c>
      <c r="AW74" s="25">
        <f>_xlfn.XLOOKUP($B74,'GP3 (2)'!$B$6:$B$100,'GP3 (2)'!$H$6:$H$100,"")</f>
        <v>0</v>
      </c>
      <c r="AX74" s="27">
        <f>_xlfn.XLOOKUP($B74,'GP4 (1)'!$B$6:$B$66,'GP4 (1)'!$H$6:$H$66,"")</f>
        <v>0</v>
      </c>
      <c r="AY74" s="28">
        <f>_xlfn.XLOOKUP($B74,'GP4 (2)'!$B$6:$B$100,'GP4 (2)'!$H$6:$H$100,"")</f>
        <v>0</v>
      </c>
      <c r="AZ74" s="24">
        <f>_xlfn.XLOOKUP($B74,'GP5 (1)'!$B$6:$B$99,'GP5 (1)'!$H$6:$H$99,"")</f>
        <v>0</v>
      </c>
      <c r="BA74" s="25">
        <f>_xlfn.XLOOKUP($B74,'GP5 (2)'!$B$6:$B$99,'GP5 (2)'!$H$6:$H$99,"")</f>
        <v>0</v>
      </c>
      <c r="BB74" s="27">
        <f>_xlfn.XLOOKUP($B74,'GP6 (1)'!$B$5:$B$99,'GP6 (1)'!$H$5:$H$99,"")</f>
        <v>0</v>
      </c>
      <c r="BC74" s="28">
        <f>_xlfn.XLOOKUP($B74,'GP6 (2)'!$B$5:$B$99,'GP6 (2)'!$H$5:$H$99,"")</f>
        <v>0</v>
      </c>
      <c r="BD74" s="24">
        <f>_xlfn.XLOOKUP($B74,'GP7 (1)'!$B$6:$B$100,'GP7 (1)'!$H$6:$H$100,"")</f>
        <v>0</v>
      </c>
      <c r="BE74" s="25">
        <f>_xlfn.XLOOKUP($B74,'GP7 (2)'!$B$6:$B$100,'GP7 (2)'!$H$6:$H$100,"")</f>
        <v>0</v>
      </c>
      <c r="BF74" s="27">
        <f>_xlfn.XLOOKUP($B74,'GP8 (1)'!$B$6:$B$100,'GP8 (1)'!$H$6:$H$100,"")</f>
        <v>0</v>
      </c>
      <c r="BG74" s="32">
        <f>_xlfn.XLOOKUP($B74,'GP8 (2)'!$B$6:$B$100,'GP8 (2)'!$H$6:$H$100,"")</f>
        <v>0</v>
      </c>
    </row>
    <row r="75" spans="1:59" ht="13.1" customHeight="1" thickBot="1" x14ac:dyDescent="0.3">
      <c r="A75" s="1">
        <f>ROW()-4</f>
        <v>71</v>
      </c>
      <c r="B75" s="49"/>
      <c r="C75" s="30">
        <f>SUM(D75:U75)</f>
        <v>0</v>
      </c>
      <c r="D75" s="35">
        <f>_xlfn.XLOOKUP($B75,'MP (1)'!$B$6:$B$99,'MP (1)'!$E$6:$E$99,"")</f>
        <v>0</v>
      </c>
      <c r="E75" s="36">
        <f>_xlfn.XLOOKUP($B75,'MP (2)'!$B$6:$B$100,'MP (2)'!$E$6:$E$100,"")</f>
        <v>0</v>
      </c>
      <c r="F75" s="40">
        <f>_xlfn.XLOOKUP($B75,'GP1 (1)'!$B$6:$B$100,'GP1 (1)'!$E$6:$E$100,"")</f>
        <v>0</v>
      </c>
      <c r="G75" s="41">
        <f>_xlfn.XLOOKUP($B75,'GP1 (2)'!$B$6:$B$100,'GP1 (2)'!$E$6:$E$100,"")</f>
        <v>0</v>
      </c>
      <c r="H75" s="39">
        <f>_xlfn.XLOOKUP($B75,'GP2 (1)'!$B$6:$B$101,'GP2 (1)'!$E$6:$E$101,"")</f>
        <v>0</v>
      </c>
      <c r="I75" s="36">
        <f>_xlfn.XLOOKUP($B75,'GP2 (2)'!$B$6:$B$100,'GP2 (2)'!$E$6:$E$100,"")</f>
        <v>0</v>
      </c>
      <c r="J75" s="40">
        <f>_xlfn.XLOOKUP($B75,'GP3 (1)'!$B$6:$B$100,'GP3 (1)'!$E$6:$E$100,"")</f>
        <v>0</v>
      </c>
      <c r="K75" s="41">
        <f>_xlfn.XLOOKUP($B75,'GP3 (2)'!$B$6:$B$100,'GP3 (2)'!$E$6:$E$100,"")</f>
        <v>0</v>
      </c>
      <c r="L75" s="39">
        <f>_xlfn.XLOOKUP($B75,'GP4 (1)'!$B$6:$B$66,'GP4 (1)'!$E$6:$E$66,"")</f>
        <v>0</v>
      </c>
      <c r="M75" s="36">
        <f>_xlfn.XLOOKUP($B75,'GP4 (2)'!$B$6:$B$100,'GP4 (2)'!$E$6:$E$100,"")</f>
        <v>0</v>
      </c>
      <c r="N75" s="40">
        <f>_xlfn.XLOOKUP($B75,'GP5 (1)'!$B$6:$B$99,'GP5 (1)'!$E$6:$E$99,"")</f>
        <v>0</v>
      </c>
      <c r="O75" s="42">
        <f>_xlfn.XLOOKUP($B75,'GP5 (2)'!$B$6:$B$99,'GP5 (2)'!$E$6:$E$99,"")</f>
        <v>0</v>
      </c>
      <c r="P75" s="39">
        <f>_xlfn.XLOOKUP($B75,'GP6 (1)'!$B$5:$B$99,'GP6 (1)'!$E$5:$E$99,"")</f>
        <v>0</v>
      </c>
      <c r="Q75" s="36">
        <f>_xlfn.XLOOKUP($B75,'GP6 (2)'!$B$5:$B$99,'GP6 (2)'!$E$5:$E$99,"")</f>
        <v>0</v>
      </c>
      <c r="R75" s="40">
        <f>_xlfn.XLOOKUP($B75,'GP7 (1)'!$B$6:$B$100,'GP7 (1)'!$E$6:$E$100,"")</f>
        <v>0</v>
      </c>
      <c r="S75" s="42">
        <f>_xlfn.XLOOKUP($B75,'GP7 (2)'!$B$6:$B$100,'GP7 (2)'!$E$6:$E$100,"")</f>
        <v>0</v>
      </c>
      <c r="T75" s="39">
        <f>_xlfn.XLOOKUP($B75,'GP8 (1)'!$B$6:$B$100,'GP8 (1)'!$E$6:$E$100,"")</f>
        <v>0</v>
      </c>
      <c r="U75" s="35">
        <f>_xlfn.XLOOKUP($B75,'GP8 (2)'!$B$6:$B$100,'GP8 (2)'!$E$6:$E$100,"")</f>
        <v>0</v>
      </c>
      <c r="V75" s="13">
        <f>SUM(W75:AN75)</f>
        <v>0</v>
      </c>
      <c r="W75" s="29">
        <f>_xlfn.XLOOKUP($B75,'MP (1)'!$B$6:$B$99,'MP (1)'!$F$6:$F$99,"")</f>
        <v>0</v>
      </c>
      <c r="X75" s="28">
        <f>_xlfn.XLOOKUP($B75,'MP (2)'!$B$6:$B$100,'MP (2)'!$F$6:$F$100,"")</f>
        <v>0</v>
      </c>
      <c r="Y75" s="24">
        <f>_xlfn.XLOOKUP($B75,'GP1 (1)'!$B$6:$B$100,'GP1 (1)'!$F$6:$F$100,"")</f>
        <v>0</v>
      </c>
      <c r="Z75" s="25">
        <f>_xlfn.XLOOKUP($B75,'GP1 (2)'!$B$6:$B$100,'GP1 (2)'!$F$6:$F$100,"")</f>
        <v>0</v>
      </c>
      <c r="AA75" s="27">
        <f>_xlfn.XLOOKUP($B75,'GP2 (1)'!$B$6:$B$101,'GP2 (1)'!$F$6:$F$101,"")</f>
        <v>0</v>
      </c>
      <c r="AB75" s="28">
        <f>_xlfn.XLOOKUP($B75,'GP2 (2)'!$B$6:$B$100,'GP2 (2)'!$F$6:$F$100,"")</f>
        <v>0</v>
      </c>
      <c r="AC75" s="24">
        <f>_xlfn.XLOOKUP($B75,'GP3 (1)'!$B$6:$B$100,'GP3 (1)'!$F$6:$F$100,"")</f>
        <v>0</v>
      </c>
      <c r="AD75" s="25">
        <f>_xlfn.XLOOKUP($B75,'GP3 (2)'!$B$6:$B$100,'GP3 (2)'!$F$6:$F$100,"")</f>
        <v>0</v>
      </c>
      <c r="AE75" s="27">
        <f>_xlfn.XLOOKUP($B75,'GP4 (1)'!$B$6:$B$66,'GP4 (1)'!$F$6:$F$66,"")</f>
        <v>0</v>
      </c>
      <c r="AF75" s="28">
        <f>_xlfn.XLOOKUP($B75,'GP4 (2)'!$B$6:$B$100,'GP4 (2)'!$F$6:$F$100,"")</f>
        <v>0</v>
      </c>
      <c r="AG75" s="24">
        <f>_xlfn.XLOOKUP($B75,'GP5 (1)'!$B$6:$B$99,'GP5 (1)'!$F$6:$F$99,"")</f>
        <v>0</v>
      </c>
      <c r="AH75" s="26">
        <f>_xlfn.XLOOKUP($B75,'GP5 (2)'!$B$6:$B$99,'GP5 (2)'!$F$6:$F$99,"")</f>
        <v>0</v>
      </c>
      <c r="AI75" s="27">
        <f>_xlfn.XLOOKUP($B75,'GP6 (1)'!$B$5:$B$99,'GP6 (1)'!$F$5:$F$99,"")</f>
        <v>0</v>
      </c>
      <c r="AJ75" s="28">
        <f>_xlfn.XLOOKUP($B75,'GP6 (2)'!$B$5:$B$99,'GP6 (2)'!$F$5:$F$99,"")</f>
        <v>0</v>
      </c>
      <c r="AK75" s="24">
        <f>_xlfn.XLOOKUP($B75,'GP7 (1)'!$B$6:$B$100,'GP7 (1)'!$F$6:$F$100,"")</f>
        <v>0</v>
      </c>
      <c r="AL75" s="26">
        <f>_xlfn.XLOOKUP($B75,'GP7 (2)'!$B$6:$B$100,'GP7 (2)'!$F$6:$F$100,"")</f>
        <v>0</v>
      </c>
      <c r="AM75" s="27">
        <f>_xlfn.XLOOKUP($B75,'GP8 (1)'!$B$6:$B$100,'GP8 (1)'!$F$6:$F$100,"")</f>
        <v>0</v>
      </c>
      <c r="AN75" s="29">
        <f>_xlfn.XLOOKUP($B75,'GP8 (2)'!$B$6:$B$100,'GP8 (2)'!$F$6:$F$100,"")</f>
        <v>0</v>
      </c>
      <c r="AO75" s="13">
        <f>SUM(AP75:BG75)</f>
        <v>0</v>
      </c>
      <c r="AP75" s="29">
        <f>_xlfn.XLOOKUP($B75,'MP (1)'!$B$6:$B$99,'MP (1)'!$H$6:$H$99,"")</f>
        <v>0</v>
      </c>
      <c r="AQ75" s="28">
        <f>_xlfn.XLOOKUP($B75,'MP (2)'!$B$6:$B$100,'MP (2)'!$H$6:$H$100,"")</f>
        <v>0</v>
      </c>
      <c r="AR75" s="24">
        <f>_xlfn.XLOOKUP($B75,'GP1 (1)'!$B$6:$B$100,'GP1 (1)'!$H$6:$H$100,"")</f>
        <v>0</v>
      </c>
      <c r="AS75" s="25">
        <f>_xlfn.XLOOKUP($B75,'GP1 (2)'!$B$6:$B$100,'GP1 (2)'!$H$6:$H$100,"")</f>
        <v>0</v>
      </c>
      <c r="AT75" s="27">
        <f>_xlfn.XLOOKUP($B75,'GP2 (1)'!$B$6:$B$101,'GP2 (1)'!$H$6:$H$101,"")</f>
        <v>0</v>
      </c>
      <c r="AU75" s="28">
        <f>_xlfn.XLOOKUP($B75,'GP2 (2)'!$B$6:$B$100,'GP2 (2)'!$H$6:$H$100,"")</f>
        <v>0</v>
      </c>
      <c r="AV75" s="24">
        <f>_xlfn.XLOOKUP($B75,'GP3 (1)'!$B$6:$B$100,'GP3 (1)'!$H$6:$H$100,"")</f>
        <v>0</v>
      </c>
      <c r="AW75" s="25">
        <f>_xlfn.XLOOKUP($B75,'GP3 (2)'!$B$6:$B$100,'GP3 (2)'!$H$6:$H$100,"")</f>
        <v>0</v>
      </c>
      <c r="AX75" s="27">
        <f>_xlfn.XLOOKUP($B75,'GP4 (1)'!$B$6:$B$66,'GP4 (1)'!$H$6:$H$66,"")</f>
        <v>0</v>
      </c>
      <c r="AY75" s="28">
        <f>_xlfn.XLOOKUP($B75,'GP4 (2)'!$B$6:$B$100,'GP4 (2)'!$H$6:$H$100,"")</f>
        <v>0</v>
      </c>
      <c r="AZ75" s="24">
        <f>_xlfn.XLOOKUP($B75,'GP5 (1)'!$B$6:$B$99,'GP5 (1)'!$H$6:$H$99,"")</f>
        <v>0</v>
      </c>
      <c r="BA75" s="25">
        <f>_xlfn.XLOOKUP($B75,'GP5 (2)'!$B$6:$B$99,'GP5 (2)'!$H$6:$H$99,"")</f>
        <v>0</v>
      </c>
      <c r="BB75" s="27">
        <f>_xlfn.XLOOKUP($B75,'GP6 (1)'!$B$5:$B$99,'GP6 (1)'!$H$5:$H$99,"")</f>
        <v>0</v>
      </c>
      <c r="BC75" s="28">
        <f>_xlfn.XLOOKUP($B75,'GP6 (2)'!$B$5:$B$99,'GP6 (2)'!$H$5:$H$99,"")</f>
        <v>0</v>
      </c>
      <c r="BD75" s="24">
        <f>_xlfn.XLOOKUP($B75,'GP7 (1)'!$B$6:$B$100,'GP7 (1)'!$H$6:$H$100,"")</f>
        <v>0</v>
      </c>
      <c r="BE75" s="25">
        <f>_xlfn.XLOOKUP($B75,'GP7 (2)'!$B$6:$B$100,'GP7 (2)'!$H$6:$H$100,"")</f>
        <v>0</v>
      </c>
      <c r="BF75" s="27">
        <f>_xlfn.XLOOKUP($B75,'GP8 (1)'!$B$6:$B$100,'GP8 (1)'!$H$6:$H$100,"")</f>
        <v>0</v>
      </c>
      <c r="BG75" s="32">
        <f>_xlfn.XLOOKUP($B75,'GP8 (2)'!$B$6:$B$100,'GP8 (2)'!$H$6:$H$100,"")</f>
        <v>0</v>
      </c>
    </row>
    <row r="76" spans="1:59" ht="13.1" customHeight="1" thickBot="1" x14ac:dyDescent="0.3">
      <c r="A76" s="1">
        <f>ROW()-4</f>
        <v>72</v>
      </c>
      <c r="B76" s="49"/>
      <c r="C76" s="30">
        <f>SUM(D76:U76)</f>
        <v>0</v>
      </c>
      <c r="D76" s="35">
        <f>_xlfn.XLOOKUP($B76,'MP (1)'!$B$6:$B$99,'MP (1)'!$E$6:$E$99,"")</f>
        <v>0</v>
      </c>
      <c r="E76" s="36">
        <f>_xlfn.XLOOKUP($B76,'MP (2)'!$B$6:$B$100,'MP (2)'!$E$6:$E$100,"")</f>
        <v>0</v>
      </c>
      <c r="F76" s="40">
        <f>_xlfn.XLOOKUP($B76,'GP1 (1)'!$B$6:$B$100,'GP1 (1)'!$E$6:$E$100,"")</f>
        <v>0</v>
      </c>
      <c r="G76" s="41">
        <f>_xlfn.XLOOKUP($B76,'GP1 (2)'!$B$6:$B$100,'GP1 (2)'!$E$6:$E$100,"")</f>
        <v>0</v>
      </c>
      <c r="H76" s="39">
        <f>_xlfn.XLOOKUP($B76,'GP2 (1)'!$B$6:$B$101,'GP2 (1)'!$E$6:$E$101,"")</f>
        <v>0</v>
      </c>
      <c r="I76" s="36">
        <f>_xlfn.XLOOKUP($B76,'GP2 (2)'!$B$6:$B$100,'GP2 (2)'!$E$6:$E$100,"")</f>
        <v>0</v>
      </c>
      <c r="J76" s="40">
        <f>_xlfn.XLOOKUP($B76,'GP3 (1)'!$B$6:$B$100,'GP3 (1)'!$E$6:$E$100,"")</f>
        <v>0</v>
      </c>
      <c r="K76" s="41">
        <f>_xlfn.XLOOKUP($B76,'GP3 (2)'!$B$6:$B$100,'GP3 (2)'!$E$6:$E$100,"")</f>
        <v>0</v>
      </c>
      <c r="L76" s="39">
        <f>_xlfn.XLOOKUP($B76,'GP4 (1)'!$B$6:$B$66,'GP4 (1)'!$E$6:$E$66,"")</f>
        <v>0</v>
      </c>
      <c r="M76" s="36">
        <f>_xlfn.XLOOKUP($B76,'GP4 (2)'!$B$6:$B$100,'GP4 (2)'!$E$6:$E$100,"")</f>
        <v>0</v>
      </c>
      <c r="N76" s="40">
        <f>_xlfn.XLOOKUP($B76,'GP5 (1)'!$B$6:$B$99,'GP5 (1)'!$E$6:$E$99,"")</f>
        <v>0</v>
      </c>
      <c r="O76" s="42">
        <f>_xlfn.XLOOKUP($B76,'GP5 (2)'!$B$6:$B$99,'GP5 (2)'!$E$6:$E$99,"")</f>
        <v>0</v>
      </c>
      <c r="P76" s="39">
        <f>_xlfn.XLOOKUP($B76,'GP6 (1)'!$B$5:$B$99,'GP6 (1)'!$E$5:$E$99,"")</f>
        <v>0</v>
      </c>
      <c r="Q76" s="36">
        <f>_xlfn.XLOOKUP($B76,'GP6 (2)'!$B$5:$B$99,'GP6 (2)'!$E$5:$E$99,"")</f>
        <v>0</v>
      </c>
      <c r="R76" s="40">
        <f>_xlfn.XLOOKUP($B76,'GP7 (1)'!$B$6:$B$100,'GP7 (1)'!$E$6:$E$100,"")</f>
        <v>0</v>
      </c>
      <c r="S76" s="42">
        <f>_xlfn.XLOOKUP($B76,'GP7 (2)'!$B$6:$B$100,'GP7 (2)'!$E$6:$E$100,"")</f>
        <v>0</v>
      </c>
      <c r="T76" s="39">
        <f>_xlfn.XLOOKUP($B76,'GP8 (1)'!$B$6:$B$100,'GP8 (1)'!$E$6:$E$100,"")</f>
        <v>0</v>
      </c>
      <c r="U76" s="35">
        <f>_xlfn.XLOOKUP($B76,'GP8 (2)'!$B$6:$B$100,'GP8 (2)'!$E$6:$E$100,"")</f>
        <v>0</v>
      </c>
      <c r="V76" s="13">
        <f>SUM(W76:AN76)</f>
        <v>0</v>
      </c>
      <c r="W76" s="29">
        <f>_xlfn.XLOOKUP($B76,'MP (1)'!$B$6:$B$99,'MP (1)'!$F$6:$F$99,"")</f>
        <v>0</v>
      </c>
      <c r="X76" s="28">
        <f>_xlfn.XLOOKUP($B76,'MP (2)'!$B$6:$B$100,'MP (2)'!$F$6:$F$100,"")</f>
        <v>0</v>
      </c>
      <c r="Y76" s="24">
        <f>_xlfn.XLOOKUP($B76,'GP1 (1)'!$B$6:$B$100,'GP1 (1)'!$F$6:$F$100,"")</f>
        <v>0</v>
      </c>
      <c r="Z76" s="25">
        <f>_xlfn.XLOOKUP($B76,'GP1 (2)'!$B$6:$B$100,'GP1 (2)'!$F$6:$F$100,"")</f>
        <v>0</v>
      </c>
      <c r="AA76" s="27">
        <f>_xlfn.XLOOKUP($B76,'GP2 (1)'!$B$6:$B$101,'GP2 (1)'!$F$6:$F$101,"")</f>
        <v>0</v>
      </c>
      <c r="AB76" s="28">
        <f>_xlfn.XLOOKUP($B76,'GP2 (2)'!$B$6:$B$100,'GP2 (2)'!$F$6:$F$100,"")</f>
        <v>0</v>
      </c>
      <c r="AC76" s="24">
        <f>_xlfn.XLOOKUP($B76,'GP3 (1)'!$B$6:$B$100,'GP3 (1)'!$F$6:$F$100,"")</f>
        <v>0</v>
      </c>
      <c r="AD76" s="25">
        <f>_xlfn.XLOOKUP($B76,'GP3 (2)'!$B$6:$B$100,'GP3 (2)'!$F$6:$F$100,"")</f>
        <v>0</v>
      </c>
      <c r="AE76" s="27">
        <f>_xlfn.XLOOKUP($B76,'GP4 (1)'!$B$6:$B$66,'GP4 (1)'!$F$6:$F$66,"")</f>
        <v>0</v>
      </c>
      <c r="AF76" s="28">
        <f>_xlfn.XLOOKUP($B76,'GP4 (2)'!$B$6:$B$100,'GP4 (2)'!$F$6:$F$100,"")</f>
        <v>0</v>
      </c>
      <c r="AG76" s="24">
        <f>_xlfn.XLOOKUP($B76,'GP5 (1)'!$B$6:$B$99,'GP5 (1)'!$F$6:$F$99,"")</f>
        <v>0</v>
      </c>
      <c r="AH76" s="26">
        <f>_xlfn.XLOOKUP($B76,'GP5 (2)'!$B$6:$B$99,'GP5 (2)'!$F$6:$F$99,"")</f>
        <v>0</v>
      </c>
      <c r="AI76" s="27">
        <f>_xlfn.XLOOKUP($B76,'GP6 (1)'!$B$5:$B$99,'GP6 (1)'!$F$5:$F$99,"")</f>
        <v>0</v>
      </c>
      <c r="AJ76" s="28">
        <f>_xlfn.XLOOKUP($B76,'GP6 (2)'!$B$5:$B$99,'GP6 (2)'!$F$5:$F$99,"")</f>
        <v>0</v>
      </c>
      <c r="AK76" s="24">
        <f>_xlfn.XLOOKUP($B76,'GP7 (1)'!$B$6:$B$100,'GP7 (1)'!$F$6:$F$100,"")</f>
        <v>0</v>
      </c>
      <c r="AL76" s="26">
        <f>_xlfn.XLOOKUP($B76,'GP7 (2)'!$B$6:$B$100,'GP7 (2)'!$F$6:$F$100,"")</f>
        <v>0</v>
      </c>
      <c r="AM76" s="27">
        <f>_xlfn.XLOOKUP($B76,'GP8 (1)'!$B$6:$B$100,'GP8 (1)'!$F$6:$F$100,"")</f>
        <v>0</v>
      </c>
      <c r="AN76" s="29">
        <f>_xlfn.XLOOKUP($B76,'GP8 (2)'!$B$6:$B$100,'GP8 (2)'!$F$6:$F$100,"")</f>
        <v>0</v>
      </c>
      <c r="AO76" s="13">
        <f>SUM(AP76:BG76)</f>
        <v>0</v>
      </c>
      <c r="AP76" s="29">
        <f>_xlfn.XLOOKUP($B76,'MP (1)'!$B$6:$B$99,'MP (1)'!$H$6:$H$99,"")</f>
        <v>0</v>
      </c>
      <c r="AQ76" s="28">
        <f>_xlfn.XLOOKUP($B76,'MP (2)'!$B$6:$B$100,'MP (2)'!$H$6:$H$100,"")</f>
        <v>0</v>
      </c>
      <c r="AR76" s="24">
        <f>_xlfn.XLOOKUP($B76,'GP1 (1)'!$B$6:$B$100,'GP1 (1)'!$H$6:$H$100,"")</f>
        <v>0</v>
      </c>
      <c r="AS76" s="25">
        <f>_xlfn.XLOOKUP($B76,'GP1 (2)'!$B$6:$B$100,'GP1 (2)'!$H$6:$H$100,"")</f>
        <v>0</v>
      </c>
      <c r="AT76" s="27">
        <f>_xlfn.XLOOKUP($B76,'GP2 (1)'!$B$6:$B$101,'GP2 (1)'!$H$6:$H$101,"")</f>
        <v>0</v>
      </c>
      <c r="AU76" s="28">
        <f>_xlfn.XLOOKUP($B76,'GP2 (2)'!$B$6:$B$100,'GP2 (2)'!$H$6:$H$100,"")</f>
        <v>0</v>
      </c>
      <c r="AV76" s="24">
        <f>_xlfn.XLOOKUP($B76,'GP3 (1)'!$B$6:$B$100,'GP3 (1)'!$H$6:$H$100,"")</f>
        <v>0</v>
      </c>
      <c r="AW76" s="25">
        <f>_xlfn.XLOOKUP($B76,'GP3 (2)'!$B$6:$B$100,'GP3 (2)'!$H$6:$H$100,"")</f>
        <v>0</v>
      </c>
      <c r="AX76" s="27">
        <f>_xlfn.XLOOKUP($B76,'GP4 (1)'!$B$6:$B$66,'GP4 (1)'!$H$6:$H$66,"")</f>
        <v>0</v>
      </c>
      <c r="AY76" s="28">
        <f>_xlfn.XLOOKUP($B76,'GP4 (2)'!$B$6:$B$100,'GP4 (2)'!$H$6:$H$100,"")</f>
        <v>0</v>
      </c>
      <c r="AZ76" s="24">
        <f>_xlfn.XLOOKUP($B76,'GP5 (1)'!$B$6:$B$99,'GP5 (1)'!$H$6:$H$99,"")</f>
        <v>0</v>
      </c>
      <c r="BA76" s="25">
        <f>_xlfn.XLOOKUP($B76,'GP5 (2)'!$B$6:$B$99,'GP5 (2)'!$H$6:$H$99,"")</f>
        <v>0</v>
      </c>
      <c r="BB76" s="27">
        <f>_xlfn.XLOOKUP($B76,'GP6 (1)'!$B$5:$B$99,'GP6 (1)'!$H$5:$H$99,"")</f>
        <v>0</v>
      </c>
      <c r="BC76" s="28">
        <f>_xlfn.XLOOKUP($B76,'GP6 (2)'!$B$5:$B$99,'GP6 (2)'!$H$5:$H$99,"")</f>
        <v>0</v>
      </c>
      <c r="BD76" s="24">
        <f>_xlfn.XLOOKUP($B76,'GP7 (1)'!$B$6:$B$100,'GP7 (1)'!$H$6:$H$100,"")</f>
        <v>0</v>
      </c>
      <c r="BE76" s="25">
        <f>_xlfn.XLOOKUP($B76,'GP7 (2)'!$B$6:$B$100,'GP7 (2)'!$H$6:$H$100,"")</f>
        <v>0</v>
      </c>
      <c r="BF76" s="27">
        <f>_xlfn.XLOOKUP($B76,'GP8 (1)'!$B$6:$B$100,'GP8 (1)'!$H$6:$H$100,"")</f>
        <v>0</v>
      </c>
      <c r="BG76" s="32">
        <f>_xlfn.XLOOKUP($B76,'GP8 (2)'!$B$6:$B$100,'GP8 (2)'!$H$6:$H$100,"")</f>
        <v>0</v>
      </c>
    </row>
    <row r="77" spans="1:59" ht="13.1" customHeight="1" thickBot="1" x14ac:dyDescent="0.3">
      <c r="A77" s="1">
        <f>ROW()-4</f>
        <v>73</v>
      </c>
      <c r="B77" s="49"/>
      <c r="C77" s="30">
        <f>SUM(D77:U77)</f>
        <v>0</v>
      </c>
      <c r="D77" s="35">
        <f>_xlfn.XLOOKUP($B77,'MP (1)'!$B$6:$B$99,'MP (1)'!$E$6:$E$99,"")</f>
        <v>0</v>
      </c>
      <c r="E77" s="36">
        <f>_xlfn.XLOOKUP($B77,'MP (2)'!$B$6:$B$100,'MP (2)'!$E$6:$E$100,"")</f>
        <v>0</v>
      </c>
      <c r="F77" s="40">
        <f>_xlfn.XLOOKUP($B77,'GP1 (1)'!$B$6:$B$100,'GP1 (1)'!$E$6:$E$100,"")</f>
        <v>0</v>
      </c>
      <c r="G77" s="41">
        <f>_xlfn.XLOOKUP($B77,'GP1 (2)'!$B$6:$B$100,'GP1 (2)'!$E$6:$E$100,"")</f>
        <v>0</v>
      </c>
      <c r="H77" s="39">
        <f>_xlfn.XLOOKUP($B77,'GP2 (1)'!$B$6:$B$101,'GP2 (1)'!$E$6:$E$101,"")</f>
        <v>0</v>
      </c>
      <c r="I77" s="36">
        <f>_xlfn.XLOOKUP($B77,'GP2 (2)'!$B$6:$B$100,'GP2 (2)'!$E$6:$E$100,"")</f>
        <v>0</v>
      </c>
      <c r="J77" s="40">
        <f>_xlfn.XLOOKUP($B77,'GP3 (1)'!$B$6:$B$100,'GP3 (1)'!$E$6:$E$100,"")</f>
        <v>0</v>
      </c>
      <c r="K77" s="41">
        <f>_xlfn.XLOOKUP($B77,'GP3 (2)'!$B$6:$B$100,'GP3 (2)'!$E$6:$E$100,"")</f>
        <v>0</v>
      </c>
      <c r="L77" s="39">
        <f>_xlfn.XLOOKUP($B77,'GP4 (1)'!$B$6:$B$66,'GP4 (1)'!$E$6:$E$66,"")</f>
        <v>0</v>
      </c>
      <c r="M77" s="36">
        <f>_xlfn.XLOOKUP($B77,'GP4 (2)'!$B$6:$B$100,'GP4 (2)'!$E$6:$E$100,"")</f>
        <v>0</v>
      </c>
      <c r="N77" s="40">
        <f>_xlfn.XLOOKUP($B77,'GP5 (1)'!$B$6:$B$99,'GP5 (1)'!$E$6:$E$99,"")</f>
        <v>0</v>
      </c>
      <c r="O77" s="42">
        <f>_xlfn.XLOOKUP($B77,'GP5 (2)'!$B$6:$B$99,'GP5 (2)'!$E$6:$E$99,"")</f>
        <v>0</v>
      </c>
      <c r="P77" s="39">
        <f>_xlfn.XLOOKUP($B77,'GP6 (1)'!$B$5:$B$99,'GP6 (1)'!$E$5:$E$99,"")</f>
        <v>0</v>
      </c>
      <c r="Q77" s="36">
        <f>_xlfn.XLOOKUP($B77,'GP6 (2)'!$B$5:$B$99,'GP6 (2)'!$E$5:$E$99,"")</f>
        <v>0</v>
      </c>
      <c r="R77" s="40">
        <f>_xlfn.XLOOKUP($B77,'GP7 (1)'!$B$6:$B$100,'GP7 (1)'!$E$6:$E$100,"")</f>
        <v>0</v>
      </c>
      <c r="S77" s="42">
        <f>_xlfn.XLOOKUP($B77,'GP7 (2)'!$B$6:$B$100,'GP7 (2)'!$E$6:$E$100,"")</f>
        <v>0</v>
      </c>
      <c r="T77" s="39">
        <f>_xlfn.XLOOKUP($B77,'GP8 (1)'!$B$6:$B$100,'GP8 (1)'!$E$6:$E$100,"")</f>
        <v>0</v>
      </c>
      <c r="U77" s="35">
        <f>_xlfn.XLOOKUP($B77,'GP8 (2)'!$B$6:$B$100,'GP8 (2)'!$E$6:$E$100,"")</f>
        <v>0</v>
      </c>
      <c r="V77" s="13">
        <f>SUM(W77:AN77)</f>
        <v>0</v>
      </c>
      <c r="W77" s="29">
        <f>_xlfn.XLOOKUP($B77,'MP (1)'!$B$6:$B$99,'MP (1)'!$F$6:$F$99,"")</f>
        <v>0</v>
      </c>
      <c r="X77" s="28">
        <f>_xlfn.XLOOKUP($B77,'MP (2)'!$B$6:$B$100,'MP (2)'!$F$6:$F$100,"")</f>
        <v>0</v>
      </c>
      <c r="Y77" s="24">
        <f>_xlfn.XLOOKUP($B77,'GP1 (1)'!$B$6:$B$100,'GP1 (1)'!$F$6:$F$100,"")</f>
        <v>0</v>
      </c>
      <c r="Z77" s="25">
        <f>_xlfn.XLOOKUP($B77,'GP1 (2)'!$B$6:$B$100,'GP1 (2)'!$F$6:$F$100,"")</f>
        <v>0</v>
      </c>
      <c r="AA77" s="27">
        <f>_xlfn.XLOOKUP($B77,'GP2 (1)'!$B$6:$B$101,'GP2 (1)'!$F$6:$F$101,"")</f>
        <v>0</v>
      </c>
      <c r="AB77" s="28">
        <f>_xlfn.XLOOKUP($B77,'GP2 (2)'!$B$6:$B$100,'GP2 (2)'!$F$6:$F$100,"")</f>
        <v>0</v>
      </c>
      <c r="AC77" s="24">
        <f>_xlfn.XLOOKUP($B77,'GP3 (1)'!$B$6:$B$100,'GP3 (1)'!$F$6:$F$100,"")</f>
        <v>0</v>
      </c>
      <c r="AD77" s="25">
        <f>_xlfn.XLOOKUP($B77,'GP3 (2)'!$B$6:$B$100,'GP3 (2)'!$F$6:$F$100,"")</f>
        <v>0</v>
      </c>
      <c r="AE77" s="27">
        <f>_xlfn.XLOOKUP($B77,'GP4 (1)'!$B$6:$B$66,'GP4 (1)'!$F$6:$F$66,"")</f>
        <v>0</v>
      </c>
      <c r="AF77" s="28">
        <f>_xlfn.XLOOKUP($B77,'GP4 (2)'!$B$6:$B$100,'GP4 (2)'!$F$6:$F$100,"")</f>
        <v>0</v>
      </c>
      <c r="AG77" s="24">
        <f>_xlfn.XLOOKUP($B77,'GP5 (1)'!$B$6:$B$99,'GP5 (1)'!$F$6:$F$99,"")</f>
        <v>0</v>
      </c>
      <c r="AH77" s="26">
        <f>_xlfn.XLOOKUP($B77,'GP5 (2)'!$B$6:$B$99,'GP5 (2)'!$F$6:$F$99,"")</f>
        <v>0</v>
      </c>
      <c r="AI77" s="27">
        <f>_xlfn.XLOOKUP($B77,'GP6 (1)'!$B$5:$B$99,'GP6 (1)'!$F$5:$F$99,"")</f>
        <v>0</v>
      </c>
      <c r="AJ77" s="28">
        <f>_xlfn.XLOOKUP($B77,'GP6 (2)'!$B$5:$B$99,'GP6 (2)'!$F$5:$F$99,"")</f>
        <v>0</v>
      </c>
      <c r="AK77" s="24">
        <f>_xlfn.XLOOKUP($B77,'GP7 (1)'!$B$6:$B$100,'GP7 (1)'!$F$6:$F$100,"")</f>
        <v>0</v>
      </c>
      <c r="AL77" s="26">
        <f>_xlfn.XLOOKUP($B77,'GP7 (2)'!$B$6:$B$100,'GP7 (2)'!$F$6:$F$100,"")</f>
        <v>0</v>
      </c>
      <c r="AM77" s="27">
        <f>_xlfn.XLOOKUP($B77,'GP8 (1)'!$B$6:$B$100,'GP8 (1)'!$F$6:$F$100,"")</f>
        <v>0</v>
      </c>
      <c r="AN77" s="29">
        <f>_xlfn.XLOOKUP($B77,'GP8 (2)'!$B$6:$B$100,'GP8 (2)'!$F$6:$F$100,"")</f>
        <v>0</v>
      </c>
      <c r="AO77" s="13">
        <f>SUM(AP77:BG77)</f>
        <v>0</v>
      </c>
      <c r="AP77" s="29">
        <f>_xlfn.XLOOKUP($B77,'MP (1)'!$B$6:$B$99,'MP (1)'!$H$6:$H$99,"")</f>
        <v>0</v>
      </c>
      <c r="AQ77" s="28">
        <f>_xlfn.XLOOKUP($B77,'MP (2)'!$B$6:$B$100,'MP (2)'!$H$6:$H$100,"")</f>
        <v>0</v>
      </c>
      <c r="AR77" s="24">
        <f>_xlfn.XLOOKUP($B77,'GP1 (1)'!$B$6:$B$100,'GP1 (1)'!$H$6:$H$100,"")</f>
        <v>0</v>
      </c>
      <c r="AS77" s="25">
        <f>_xlfn.XLOOKUP($B77,'GP1 (2)'!$B$6:$B$100,'GP1 (2)'!$H$6:$H$100,"")</f>
        <v>0</v>
      </c>
      <c r="AT77" s="27">
        <f>_xlfn.XLOOKUP($B77,'GP2 (1)'!$B$6:$B$101,'GP2 (1)'!$H$6:$H$101,"")</f>
        <v>0</v>
      </c>
      <c r="AU77" s="28">
        <f>_xlfn.XLOOKUP($B77,'GP2 (2)'!$B$6:$B$100,'GP2 (2)'!$H$6:$H$100,"")</f>
        <v>0</v>
      </c>
      <c r="AV77" s="24">
        <f>_xlfn.XLOOKUP($B77,'GP3 (1)'!$B$6:$B$100,'GP3 (1)'!$H$6:$H$100,"")</f>
        <v>0</v>
      </c>
      <c r="AW77" s="25">
        <f>_xlfn.XLOOKUP($B77,'GP3 (2)'!$B$6:$B$100,'GP3 (2)'!$H$6:$H$100,"")</f>
        <v>0</v>
      </c>
      <c r="AX77" s="27">
        <f>_xlfn.XLOOKUP($B77,'GP4 (1)'!$B$6:$B$66,'GP4 (1)'!$H$6:$H$66,"")</f>
        <v>0</v>
      </c>
      <c r="AY77" s="28">
        <f>_xlfn.XLOOKUP($B77,'GP4 (2)'!$B$6:$B$100,'GP4 (2)'!$H$6:$H$100,"")</f>
        <v>0</v>
      </c>
      <c r="AZ77" s="24">
        <f>_xlfn.XLOOKUP($B77,'GP5 (1)'!$B$6:$B$99,'GP5 (1)'!$H$6:$H$99,"")</f>
        <v>0</v>
      </c>
      <c r="BA77" s="25">
        <f>_xlfn.XLOOKUP($B77,'GP5 (2)'!$B$6:$B$99,'GP5 (2)'!$H$6:$H$99,"")</f>
        <v>0</v>
      </c>
      <c r="BB77" s="27">
        <f>_xlfn.XLOOKUP($B77,'GP6 (1)'!$B$5:$B$99,'GP6 (1)'!$H$5:$H$99,"")</f>
        <v>0</v>
      </c>
      <c r="BC77" s="28">
        <f>_xlfn.XLOOKUP($B77,'GP6 (2)'!$B$5:$B$99,'GP6 (2)'!$H$5:$H$99,"")</f>
        <v>0</v>
      </c>
      <c r="BD77" s="24">
        <f>_xlfn.XLOOKUP($B77,'GP7 (1)'!$B$6:$B$100,'GP7 (1)'!$H$6:$H$100,"")</f>
        <v>0</v>
      </c>
      <c r="BE77" s="25">
        <f>_xlfn.XLOOKUP($B77,'GP7 (2)'!$B$6:$B$100,'GP7 (2)'!$H$6:$H$100,"")</f>
        <v>0</v>
      </c>
      <c r="BF77" s="27">
        <f>_xlfn.XLOOKUP($B77,'GP8 (1)'!$B$6:$B$100,'GP8 (1)'!$H$6:$H$100,"")</f>
        <v>0</v>
      </c>
      <c r="BG77" s="32">
        <f>_xlfn.XLOOKUP($B77,'GP8 (2)'!$B$6:$B$100,'GP8 (2)'!$H$6:$H$100,"")</f>
        <v>0</v>
      </c>
    </row>
    <row r="78" spans="1:59" ht="13.1" customHeight="1" thickBot="1" x14ac:dyDescent="0.3">
      <c r="A78" s="1">
        <f>ROW()-4</f>
        <v>74</v>
      </c>
      <c r="B78" s="49"/>
      <c r="C78" s="30">
        <f>SUM(D78:U78)</f>
        <v>0</v>
      </c>
      <c r="D78" s="35">
        <f>_xlfn.XLOOKUP($B78,'MP (1)'!$B$6:$B$99,'MP (1)'!$E$6:$E$99,"")</f>
        <v>0</v>
      </c>
      <c r="E78" s="36">
        <f>_xlfn.XLOOKUP($B78,'MP (2)'!$B$6:$B$100,'MP (2)'!$E$6:$E$100,"")</f>
        <v>0</v>
      </c>
      <c r="F78" s="40">
        <f>_xlfn.XLOOKUP($B78,'GP1 (1)'!$B$6:$B$100,'GP1 (1)'!$E$6:$E$100,"")</f>
        <v>0</v>
      </c>
      <c r="G78" s="41">
        <f>_xlfn.XLOOKUP($B78,'GP1 (2)'!$B$6:$B$100,'GP1 (2)'!$E$6:$E$100,"")</f>
        <v>0</v>
      </c>
      <c r="H78" s="39">
        <f>_xlfn.XLOOKUP($B78,'GP2 (1)'!$B$6:$B$101,'GP2 (1)'!$E$6:$E$101,"")</f>
        <v>0</v>
      </c>
      <c r="I78" s="36">
        <f>_xlfn.XLOOKUP($B78,'GP2 (2)'!$B$6:$B$100,'GP2 (2)'!$E$6:$E$100,"")</f>
        <v>0</v>
      </c>
      <c r="J78" s="40">
        <f>_xlfn.XLOOKUP($B78,'GP3 (1)'!$B$6:$B$100,'GP3 (1)'!$E$6:$E$100,"")</f>
        <v>0</v>
      </c>
      <c r="K78" s="41">
        <f>_xlfn.XLOOKUP($B78,'GP3 (2)'!$B$6:$B$100,'GP3 (2)'!$E$6:$E$100,"")</f>
        <v>0</v>
      </c>
      <c r="L78" s="39">
        <f>_xlfn.XLOOKUP($B78,'GP4 (1)'!$B$6:$B$66,'GP4 (1)'!$E$6:$E$66,"")</f>
        <v>0</v>
      </c>
      <c r="M78" s="36">
        <f>_xlfn.XLOOKUP($B78,'GP4 (2)'!$B$6:$B$100,'GP4 (2)'!$E$6:$E$100,"")</f>
        <v>0</v>
      </c>
      <c r="N78" s="40">
        <f>_xlfn.XLOOKUP($B78,'GP5 (1)'!$B$6:$B$99,'GP5 (1)'!$E$6:$E$99,"")</f>
        <v>0</v>
      </c>
      <c r="O78" s="42">
        <f>_xlfn.XLOOKUP($B78,'GP5 (2)'!$B$6:$B$99,'GP5 (2)'!$E$6:$E$99,"")</f>
        <v>0</v>
      </c>
      <c r="P78" s="39">
        <f>_xlfn.XLOOKUP($B78,'GP6 (1)'!$B$5:$B$99,'GP6 (1)'!$E$5:$E$99,"")</f>
        <v>0</v>
      </c>
      <c r="Q78" s="36">
        <f>_xlfn.XLOOKUP($B78,'GP6 (2)'!$B$5:$B$99,'GP6 (2)'!$E$5:$E$99,"")</f>
        <v>0</v>
      </c>
      <c r="R78" s="40">
        <f>_xlfn.XLOOKUP($B78,'GP7 (1)'!$B$6:$B$100,'GP7 (1)'!$E$6:$E$100,"")</f>
        <v>0</v>
      </c>
      <c r="S78" s="42">
        <f>_xlfn.XLOOKUP($B78,'GP7 (2)'!$B$6:$B$100,'GP7 (2)'!$E$6:$E$100,"")</f>
        <v>0</v>
      </c>
      <c r="T78" s="39">
        <f>_xlfn.XLOOKUP($B78,'GP8 (1)'!$B$6:$B$100,'GP8 (1)'!$E$6:$E$100,"")</f>
        <v>0</v>
      </c>
      <c r="U78" s="35">
        <f>_xlfn.XLOOKUP($B78,'GP8 (2)'!$B$6:$B$100,'GP8 (2)'!$E$6:$E$100,"")</f>
        <v>0</v>
      </c>
      <c r="V78" s="13">
        <f>SUM(W78:AN78)</f>
        <v>0</v>
      </c>
      <c r="W78" s="29">
        <f>_xlfn.XLOOKUP($B78,'MP (1)'!$B$6:$B$99,'MP (1)'!$F$6:$F$99,"")</f>
        <v>0</v>
      </c>
      <c r="X78" s="28">
        <f>_xlfn.XLOOKUP($B78,'MP (2)'!$B$6:$B$100,'MP (2)'!$F$6:$F$100,"")</f>
        <v>0</v>
      </c>
      <c r="Y78" s="24">
        <f>_xlfn.XLOOKUP($B78,'GP1 (1)'!$B$6:$B$100,'GP1 (1)'!$F$6:$F$100,"")</f>
        <v>0</v>
      </c>
      <c r="Z78" s="25">
        <f>_xlfn.XLOOKUP($B78,'GP1 (2)'!$B$6:$B$100,'GP1 (2)'!$F$6:$F$100,"")</f>
        <v>0</v>
      </c>
      <c r="AA78" s="27">
        <f>_xlfn.XLOOKUP($B78,'GP2 (1)'!$B$6:$B$101,'GP2 (1)'!$F$6:$F$101,"")</f>
        <v>0</v>
      </c>
      <c r="AB78" s="28">
        <f>_xlfn.XLOOKUP($B78,'GP2 (2)'!$B$6:$B$100,'GP2 (2)'!$F$6:$F$100,"")</f>
        <v>0</v>
      </c>
      <c r="AC78" s="24">
        <f>_xlfn.XLOOKUP($B78,'GP3 (1)'!$B$6:$B$100,'GP3 (1)'!$F$6:$F$100,"")</f>
        <v>0</v>
      </c>
      <c r="AD78" s="25">
        <f>_xlfn.XLOOKUP($B78,'GP3 (2)'!$B$6:$B$100,'GP3 (2)'!$F$6:$F$100,"")</f>
        <v>0</v>
      </c>
      <c r="AE78" s="27">
        <f>_xlfn.XLOOKUP($B78,'GP4 (1)'!$B$6:$B$66,'GP4 (1)'!$F$6:$F$66,"")</f>
        <v>0</v>
      </c>
      <c r="AF78" s="28">
        <f>_xlfn.XLOOKUP($B78,'GP4 (2)'!$B$6:$B$100,'GP4 (2)'!$F$6:$F$100,"")</f>
        <v>0</v>
      </c>
      <c r="AG78" s="24">
        <f>_xlfn.XLOOKUP($B78,'GP5 (1)'!$B$6:$B$99,'GP5 (1)'!$F$6:$F$99,"")</f>
        <v>0</v>
      </c>
      <c r="AH78" s="26">
        <f>_xlfn.XLOOKUP($B78,'GP5 (2)'!$B$6:$B$99,'GP5 (2)'!$F$6:$F$99,"")</f>
        <v>0</v>
      </c>
      <c r="AI78" s="27">
        <f>_xlfn.XLOOKUP($B78,'GP6 (1)'!$B$5:$B$99,'GP6 (1)'!$F$5:$F$99,"")</f>
        <v>0</v>
      </c>
      <c r="AJ78" s="28">
        <f>_xlfn.XLOOKUP($B78,'GP6 (2)'!$B$5:$B$99,'GP6 (2)'!$F$5:$F$99,"")</f>
        <v>0</v>
      </c>
      <c r="AK78" s="24">
        <f>_xlfn.XLOOKUP($B78,'GP7 (1)'!$B$6:$B$100,'GP7 (1)'!$F$6:$F$100,"")</f>
        <v>0</v>
      </c>
      <c r="AL78" s="26">
        <f>_xlfn.XLOOKUP($B78,'GP7 (2)'!$B$6:$B$100,'GP7 (2)'!$F$6:$F$100,"")</f>
        <v>0</v>
      </c>
      <c r="AM78" s="27">
        <f>_xlfn.XLOOKUP($B78,'GP8 (1)'!$B$6:$B$100,'GP8 (1)'!$F$6:$F$100,"")</f>
        <v>0</v>
      </c>
      <c r="AN78" s="29">
        <f>_xlfn.XLOOKUP($B78,'GP8 (2)'!$B$6:$B$100,'GP8 (2)'!$F$6:$F$100,"")</f>
        <v>0</v>
      </c>
      <c r="AO78" s="13">
        <f>SUM(AP78:BG78)</f>
        <v>0</v>
      </c>
      <c r="AP78" s="29">
        <f>_xlfn.XLOOKUP($B78,'MP (1)'!$B$6:$B$99,'MP (1)'!$H$6:$H$99,"")</f>
        <v>0</v>
      </c>
      <c r="AQ78" s="28">
        <f>_xlfn.XLOOKUP($B78,'MP (2)'!$B$6:$B$100,'MP (2)'!$H$6:$H$100,"")</f>
        <v>0</v>
      </c>
      <c r="AR78" s="24">
        <f>_xlfn.XLOOKUP($B78,'GP1 (1)'!$B$6:$B$100,'GP1 (1)'!$H$6:$H$100,"")</f>
        <v>0</v>
      </c>
      <c r="AS78" s="25">
        <f>_xlfn.XLOOKUP($B78,'GP1 (2)'!$B$6:$B$100,'GP1 (2)'!$H$6:$H$100,"")</f>
        <v>0</v>
      </c>
      <c r="AT78" s="27">
        <f>_xlfn.XLOOKUP($B78,'GP2 (1)'!$B$6:$B$101,'GP2 (1)'!$H$6:$H$101,"")</f>
        <v>0</v>
      </c>
      <c r="AU78" s="28">
        <f>_xlfn.XLOOKUP($B78,'GP2 (2)'!$B$6:$B$100,'GP2 (2)'!$H$6:$H$100,"")</f>
        <v>0</v>
      </c>
      <c r="AV78" s="24">
        <f>_xlfn.XLOOKUP($B78,'GP3 (1)'!$B$6:$B$100,'GP3 (1)'!$H$6:$H$100,"")</f>
        <v>0</v>
      </c>
      <c r="AW78" s="25">
        <f>_xlfn.XLOOKUP($B78,'GP3 (2)'!$B$6:$B$100,'GP3 (2)'!$H$6:$H$100,"")</f>
        <v>0</v>
      </c>
      <c r="AX78" s="27">
        <f>_xlfn.XLOOKUP($B78,'GP4 (1)'!$B$6:$B$66,'GP4 (1)'!$H$6:$H$66,"")</f>
        <v>0</v>
      </c>
      <c r="AY78" s="28">
        <f>_xlfn.XLOOKUP($B78,'GP4 (2)'!$B$6:$B$100,'GP4 (2)'!$H$6:$H$100,"")</f>
        <v>0</v>
      </c>
      <c r="AZ78" s="24">
        <f>_xlfn.XLOOKUP($B78,'GP5 (1)'!$B$6:$B$99,'GP5 (1)'!$H$6:$H$99,"")</f>
        <v>0</v>
      </c>
      <c r="BA78" s="25">
        <f>_xlfn.XLOOKUP($B78,'GP5 (2)'!$B$6:$B$99,'GP5 (2)'!$H$6:$H$99,"")</f>
        <v>0</v>
      </c>
      <c r="BB78" s="27">
        <f>_xlfn.XLOOKUP($B78,'GP6 (1)'!$B$5:$B$99,'GP6 (1)'!$H$5:$H$99,"")</f>
        <v>0</v>
      </c>
      <c r="BC78" s="28">
        <f>_xlfn.XLOOKUP($B78,'GP6 (2)'!$B$5:$B$99,'GP6 (2)'!$H$5:$H$99,"")</f>
        <v>0</v>
      </c>
      <c r="BD78" s="24">
        <f>_xlfn.XLOOKUP($B78,'GP7 (1)'!$B$6:$B$100,'GP7 (1)'!$H$6:$H$100,"")</f>
        <v>0</v>
      </c>
      <c r="BE78" s="25">
        <f>_xlfn.XLOOKUP($B78,'GP7 (2)'!$B$6:$B$100,'GP7 (2)'!$H$6:$H$100,"")</f>
        <v>0</v>
      </c>
      <c r="BF78" s="27">
        <f>_xlfn.XLOOKUP($B78,'GP8 (1)'!$B$6:$B$100,'GP8 (1)'!$H$6:$H$100,"")</f>
        <v>0</v>
      </c>
      <c r="BG78" s="32">
        <f>_xlfn.XLOOKUP($B78,'GP8 (2)'!$B$6:$B$100,'GP8 (2)'!$H$6:$H$100,"")</f>
        <v>0</v>
      </c>
    </row>
    <row r="79" spans="1:59" ht="13.1" customHeight="1" thickBot="1" x14ac:dyDescent="0.3">
      <c r="A79" s="1">
        <f>ROW()-4</f>
        <v>75</v>
      </c>
      <c r="B79" s="49"/>
      <c r="C79" s="30">
        <f>SUM(D79:U79)</f>
        <v>0</v>
      </c>
      <c r="D79" s="35">
        <f>_xlfn.XLOOKUP($B79,'MP (1)'!$B$6:$B$99,'MP (1)'!$E$6:$E$99,"")</f>
        <v>0</v>
      </c>
      <c r="E79" s="36">
        <f>_xlfn.XLOOKUP($B79,'MP (2)'!$B$6:$B$100,'MP (2)'!$E$6:$E$100,"")</f>
        <v>0</v>
      </c>
      <c r="F79" s="40">
        <f>_xlfn.XLOOKUP($B79,'GP1 (1)'!$B$6:$B$100,'GP1 (1)'!$E$6:$E$100,"")</f>
        <v>0</v>
      </c>
      <c r="G79" s="41">
        <f>_xlfn.XLOOKUP($B79,'GP1 (2)'!$B$6:$B$100,'GP1 (2)'!$E$6:$E$100,"")</f>
        <v>0</v>
      </c>
      <c r="H79" s="39">
        <f>_xlfn.XLOOKUP($B79,'GP2 (1)'!$B$6:$B$101,'GP2 (1)'!$E$6:$E$101,"")</f>
        <v>0</v>
      </c>
      <c r="I79" s="36">
        <f>_xlfn.XLOOKUP($B79,'GP2 (2)'!$B$6:$B$100,'GP2 (2)'!$E$6:$E$100,"")</f>
        <v>0</v>
      </c>
      <c r="J79" s="40">
        <f>_xlfn.XLOOKUP($B79,'GP3 (1)'!$B$6:$B$100,'GP3 (1)'!$E$6:$E$100,"")</f>
        <v>0</v>
      </c>
      <c r="K79" s="41">
        <f>_xlfn.XLOOKUP($B79,'GP3 (2)'!$B$6:$B$100,'GP3 (2)'!$E$6:$E$100,"")</f>
        <v>0</v>
      </c>
      <c r="L79" s="39">
        <f>_xlfn.XLOOKUP($B79,'GP4 (1)'!$B$6:$B$66,'GP4 (1)'!$E$6:$E$66,"")</f>
        <v>0</v>
      </c>
      <c r="M79" s="36">
        <f>_xlfn.XLOOKUP($B79,'GP4 (2)'!$B$6:$B$100,'GP4 (2)'!$E$6:$E$100,"")</f>
        <v>0</v>
      </c>
      <c r="N79" s="40">
        <f>_xlfn.XLOOKUP($B79,'GP5 (1)'!$B$6:$B$99,'GP5 (1)'!$E$6:$E$99,"")</f>
        <v>0</v>
      </c>
      <c r="O79" s="42">
        <f>_xlfn.XLOOKUP($B79,'GP5 (2)'!$B$6:$B$99,'GP5 (2)'!$E$6:$E$99,"")</f>
        <v>0</v>
      </c>
      <c r="P79" s="39">
        <f>_xlfn.XLOOKUP($B79,'GP6 (1)'!$B$5:$B$99,'GP6 (1)'!$E$5:$E$99,"")</f>
        <v>0</v>
      </c>
      <c r="Q79" s="36">
        <f>_xlfn.XLOOKUP($B79,'GP6 (2)'!$B$5:$B$99,'GP6 (2)'!$E$5:$E$99,"")</f>
        <v>0</v>
      </c>
      <c r="R79" s="40">
        <f>_xlfn.XLOOKUP($B79,'GP7 (1)'!$B$6:$B$100,'GP7 (1)'!$E$6:$E$100,"")</f>
        <v>0</v>
      </c>
      <c r="S79" s="42">
        <f>_xlfn.XLOOKUP($B79,'GP7 (2)'!$B$6:$B$100,'GP7 (2)'!$E$6:$E$100,"")</f>
        <v>0</v>
      </c>
      <c r="T79" s="39">
        <f>_xlfn.XLOOKUP($B79,'GP8 (1)'!$B$6:$B$100,'GP8 (1)'!$E$6:$E$100,"")</f>
        <v>0</v>
      </c>
      <c r="U79" s="35">
        <f>_xlfn.XLOOKUP($B79,'GP8 (2)'!$B$6:$B$100,'GP8 (2)'!$E$6:$E$100,"")</f>
        <v>0</v>
      </c>
      <c r="V79" s="13">
        <f>SUM(W79:AN79)</f>
        <v>0</v>
      </c>
      <c r="W79" s="29">
        <f>_xlfn.XLOOKUP($B79,'MP (1)'!$B$6:$B$99,'MP (1)'!$F$6:$F$99,"")</f>
        <v>0</v>
      </c>
      <c r="X79" s="28">
        <f>_xlfn.XLOOKUP($B79,'MP (2)'!$B$6:$B$100,'MP (2)'!$F$6:$F$100,"")</f>
        <v>0</v>
      </c>
      <c r="Y79" s="24">
        <f>_xlfn.XLOOKUP($B79,'GP1 (1)'!$B$6:$B$100,'GP1 (1)'!$F$6:$F$100,"")</f>
        <v>0</v>
      </c>
      <c r="Z79" s="25">
        <f>_xlfn.XLOOKUP($B79,'GP1 (2)'!$B$6:$B$100,'GP1 (2)'!$F$6:$F$100,"")</f>
        <v>0</v>
      </c>
      <c r="AA79" s="27">
        <f>_xlfn.XLOOKUP($B79,'GP2 (1)'!$B$6:$B$101,'GP2 (1)'!$F$6:$F$101,"")</f>
        <v>0</v>
      </c>
      <c r="AB79" s="28">
        <f>_xlfn.XLOOKUP($B79,'GP2 (2)'!$B$6:$B$100,'GP2 (2)'!$F$6:$F$100,"")</f>
        <v>0</v>
      </c>
      <c r="AC79" s="24">
        <f>_xlfn.XLOOKUP($B79,'GP3 (1)'!$B$6:$B$100,'GP3 (1)'!$F$6:$F$100,"")</f>
        <v>0</v>
      </c>
      <c r="AD79" s="25">
        <f>_xlfn.XLOOKUP($B79,'GP3 (2)'!$B$6:$B$100,'GP3 (2)'!$F$6:$F$100,"")</f>
        <v>0</v>
      </c>
      <c r="AE79" s="27">
        <f>_xlfn.XLOOKUP($B79,'GP4 (1)'!$B$6:$B$66,'GP4 (1)'!$F$6:$F$66,"")</f>
        <v>0</v>
      </c>
      <c r="AF79" s="28">
        <f>_xlfn.XLOOKUP($B79,'GP4 (2)'!$B$6:$B$100,'GP4 (2)'!$F$6:$F$100,"")</f>
        <v>0</v>
      </c>
      <c r="AG79" s="24">
        <f>_xlfn.XLOOKUP($B79,'GP5 (1)'!$B$6:$B$99,'GP5 (1)'!$F$6:$F$99,"")</f>
        <v>0</v>
      </c>
      <c r="AH79" s="26">
        <f>_xlfn.XLOOKUP($B79,'GP5 (2)'!$B$6:$B$99,'GP5 (2)'!$F$6:$F$99,"")</f>
        <v>0</v>
      </c>
      <c r="AI79" s="27">
        <f>_xlfn.XLOOKUP($B79,'GP6 (1)'!$B$5:$B$99,'GP6 (1)'!$F$5:$F$99,"")</f>
        <v>0</v>
      </c>
      <c r="AJ79" s="28">
        <f>_xlfn.XLOOKUP($B79,'GP6 (2)'!$B$5:$B$99,'GP6 (2)'!$F$5:$F$99,"")</f>
        <v>0</v>
      </c>
      <c r="AK79" s="24">
        <f>_xlfn.XLOOKUP($B79,'GP7 (1)'!$B$6:$B$100,'GP7 (1)'!$F$6:$F$100,"")</f>
        <v>0</v>
      </c>
      <c r="AL79" s="26">
        <f>_xlfn.XLOOKUP($B79,'GP7 (2)'!$B$6:$B$100,'GP7 (2)'!$F$6:$F$100,"")</f>
        <v>0</v>
      </c>
      <c r="AM79" s="27">
        <f>_xlfn.XLOOKUP($B79,'GP8 (1)'!$B$6:$B$100,'GP8 (1)'!$F$6:$F$100,"")</f>
        <v>0</v>
      </c>
      <c r="AN79" s="29">
        <f>_xlfn.XLOOKUP($B79,'GP8 (2)'!$B$6:$B$100,'GP8 (2)'!$F$6:$F$100,"")</f>
        <v>0</v>
      </c>
      <c r="AO79" s="13">
        <f>SUM(AP79:BG79)</f>
        <v>0</v>
      </c>
      <c r="AP79" s="29">
        <f>_xlfn.XLOOKUP($B79,'MP (1)'!$B$6:$B$99,'MP (1)'!$H$6:$H$99,"")</f>
        <v>0</v>
      </c>
      <c r="AQ79" s="28">
        <f>_xlfn.XLOOKUP($B79,'MP (2)'!$B$6:$B$100,'MP (2)'!$H$6:$H$100,"")</f>
        <v>0</v>
      </c>
      <c r="AR79" s="24">
        <f>_xlfn.XLOOKUP($B79,'GP1 (1)'!$B$6:$B$100,'GP1 (1)'!$H$6:$H$100,"")</f>
        <v>0</v>
      </c>
      <c r="AS79" s="25">
        <f>_xlfn.XLOOKUP($B79,'GP1 (2)'!$B$6:$B$100,'GP1 (2)'!$H$6:$H$100,"")</f>
        <v>0</v>
      </c>
      <c r="AT79" s="27">
        <f>_xlfn.XLOOKUP($B79,'GP2 (1)'!$B$6:$B$101,'GP2 (1)'!$H$6:$H$101,"")</f>
        <v>0</v>
      </c>
      <c r="AU79" s="28">
        <f>_xlfn.XLOOKUP($B79,'GP2 (2)'!$B$6:$B$100,'GP2 (2)'!$H$6:$H$100,"")</f>
        <v>0</v>
      </c>
      <c r="AV79" s="24">
        <f>_xlfn.XLOOKUP($B79,'GP3 (1)'!$B$6:$B$100,'GP3 (1)'!$H$6:$H$100,"")</f>
        <v>0</v>
      </c>
      <c r="AW79" s="25">
        <f>_xlfn.XLOOKUP($B79,'GP3 (2)'!$B$6:$B$100,'GP3 (2)'!$H$6:$H$100,"")</f>
        <v>0</v>
      </c>
      <c r="AX79" s="27">
        <f>_xlfn.XLOOKUP($B79,'GP4 (1)'!$B$6:$B$66,'GP4 (1)'!$H$6:$H$66,"")</f>
        <v>0</v>
      </c>
      <c r="AY79" s="28">
        <f>_xlfn.XLOOKUP($B79,'GP4 (2)'!$B$6:$B$100,'GP4 (2)'!$H$6:$H$100,"")</f>
        <v>0</v>
      </c>
      <c r="AZ79" s="24">
        <f>_xlfn.XLOOKUP($B79,'GP5 (1)'!$B$6:$B$99,'GP5 (1)'!$H$6:$H$99,"")</f>
        <v>0</v>
      </c>
      <c r="BA79" s="25">
        <f>_xlfn.XLOOKUP($B79,'GP5 (2)'!$B$6:$B$99,'GP5 (2)'!$H$6:$H$99,"")</f>
        <v>0</v>
      </c>
      <c r="BB79" s="27">
        <f>_xlfn.XLOOKUP($B79,'GP6 (1)'!$B$5:$B$99,'GP6 (1)'!$H$5:$H$99,"")</f>
        <v>0</v>
      </c>
      <c r="BC79" s="28">
        <f>_xlfn.XLOOKUP($B79,'GP6 (2)'!$B$5:$B$99,'GP6 (2)'!$H$5:$H$99,"")</f>
        <v>0</v>
      </c>
      <c r="BD79" s="24">
        <f>_xlfn.XLOOKUP($B79,'GP7 (1)'!$B$6:$B$100,'GP7 (1)'!$H$6:$H$100,"")</f>
        <v>0</v>
      </c>
      <c r="BE79" s="25">
        <f>_xlfn.XLOOKUP($B79,'GP7 (2)'!$B$6:$B$100,'GP7 (2)'!$H$6:$H$100,"")</f>
        <v>0</v>
      </c>
      <c r="BF79" s="27">
        <f>_xlfn.XLOOKUP($B79,'GP8 (1)'!$B$6:$B$100,'GP8 (1)'!$H$6:$H$100,"")</f>
        <v>0</v>
      </c>
      <c r="BG79" s="32">
        <f>_xlfn.XLOOKUP($B79,'GP8 (2)'!$B$6:$B$100,'GP8 (2)'!$H$6:$H$100,"")</f>
        <v>0</v>
      </c>
    </row>
    <row r="80" spans="1:59" ht="13.1" customHeight="1" thickBot="1" x14ac:dyDescent="0.3">
      <c r="A80" s="1">
        <f>ROW()-4</f>
        <v>76</v>
      </c>
      <c r="B80" s="49"/>
      <c r="C80" s="30">
        <f>SUM(D80:U80)</f>
        <v>0</v>
      </c>
      <c r="D80" s="35">
        <f>_xlfn.XLOOKUP($B80,'MP (1)'!$B$6:$B$99,'MP (1)'!$E$6:$E$99,"")</f>
        <v>0</v>
      </c>
      <c r="E80" s="36">
        <f>_xlfn.XLOOKUP($B80,'MP (2)'!$B$6:$B$100,'MP (2)'!$E$6:$E$100,"")</f>
        <v>0</v>
      </c>
      <c r="F80" s="40">
        <f>_xlfn.XLOOKUP($B80,'GP1 (1)'!$B$6:$B$100,'GP1 (1)'!$E$6:$E$100,"")</f>
        <v>0</v>
      </c>
      <c r="G80" s="41">
        <f>_xlfn.XLOOKUP($B80,'GP1 (2)'!$B$6:$B$100,'GP1 (2)'!$E$6:$E$100,"")</f>
        <v>0</v>
      </c>
      <c r="H80" s="39">
        <f>_xlfn.XLOOKUP($B80,'GP2 (1)'!$B$6:$B$101,'GP2 (1)'!$E$6:$E$101,"")</f>
        <v>0</v>
      </c>
      <c r="I80" s="36">
        <f>_xlfn.XLOOKUP($B80,'GP2 (2)'!$B$6:$B$100,'GP2 (2)'!$E$6:$E$100,"")</f>
        <v>0</v>
      </c>
      <c r="J80" s="40">
        <f>_xlfn.XLOOKUP($B80,'GP3 (1)'!$B$6:$B$100,'GP3 (1)'!$E$6:$E$100,"")</f>
        <v>0</v>
      </c>
      <c r="K80" s="41">
        <f>_xlfn.XLOOKUP($B80,'GP3 (2)'!$B$6:$B$100,'GP3 (2)'!$E$6:$E$100,"")</f>
        <v>0</v>
      </c>
      <c r="L80" s="39">
        <f>_xlfn.XLOOKUP($B80,'GP4 (1)'!$B$6:$B$66,'GP4 (1)'!$E$6:$E$66,"")</f>
        <v>0</v>
      </c>
      <c r="M80" s="36">
        <f>_xlfn.XLOOKUP($B80,'GP4 (2)'!$B$6:$B$100,'GP4 (2)'!$E$6:$E$100,"")</f>
        <v>0</v>
      </c>
      <c r="N80" s="40">
        <f>_xlfn.XLOOKUP($B80,'GP5 (1)'!$B$6:$B$99,'GP5 (1)'!$E$6:$E$99,"")</f>
        <v>0</v>
      </c>
      <c r="O80" s="42">
        <f>_xlfn.XLOOKUP($B80,'GP5 (2)'!$B$6:$B$99,'GP5 (2)'!$E$6:$E$99,"")</f>
        <v>0</v>
      </c>
      <c r="P80" s="39">
        <f>_xlfn.XLOOKUP($B80,'GP6 (1)'!$B$5:$B$99,'GP6 (1)'!$E$5:$E$99,"")</f>
        <v>0</v>
      </c>
      <c r="Q80" s="36">
        <f>_xlfn.XLOOKUP($B80,'GP6 (2)'!$B$5:$B$99,'GP6 (2)'!$E$5:$E$99,"")</f>
        <v>0</v>
      </c>
      <c r="R80" s="40">
        <f>_xlfn.XLOOKUP($B80,'GP7 (1)'!$B$6:$B$100,'GP7 (1)'!$E$6:$E$100,"")</f>
        <v>0</v>
      </c>
      <c r="S80" s="42">
        <f>_xlfn.XLOOKUP($B80,'GP7 (2)'!$B$6:$B$100,'GP7 (2)'!$E$6:$E$100,"")</f>
        <v>0</v>
      </c>
      <c r="T80" s="39">
        <f>_xlfn.XLOOKUP($B80,'GP8 (1)'!$B$6:$B$100,'GP8 (1)'!$E$6:$E$100,"")</f>
        <v>0</v>
      </c>
      <c r="U80" s="35">
        <f>_xlfn.XLOOKUP($B80,'GP8 (2)'!$B$6:$B$100,'GP8 (2)'!$E$6:$E$100,"")</f>
        <v>0</v>
      </c>
      <c r="V80" s="13">
        <f>SUM(W80:AN80)</f>
        <v>0</v>
      </c>
      <c r="W80" s="29">
        <f>_xlfn.XLOOKUP($B80,'MP (1)'!$B$6:$B$99,'MP (1)'!$F$6:$F$99,"")</f>
        <v>0</v>
      </c>
      <c r="X80" s="28">
        <f>_xlfn.XLOOKUP($B80,'MP (2)'!$B$6:$B$100,'MP (2)'!$F$6:$F$100,"")</f>
        <v>0</v>
      </c>
      <c r="Y80" s="24">
        <f>_xlfn.XLOOKUP($B80,'GP1 (1)'!$B$6:$B$100,'GP1 (1)'!$F$6:$F$100,"")</f>
        <v>0</v>
      </c>
      <c r="Z80" s="25">
        <f>_xlfn.XLOOKUP($B80,'GP1 (2)'!$B$6:$B$100,'GP1 (2)'!$F$6:$F$100,"")</f>
        <v>0</v>
      </c>
      <c r="AA80" s="27">
        <f>_xlfn.XLOOKUP($B80,'GP2 (1)'!$B$6:$B$101,'GP2 (1)'!$F$6:$F$101,"")</f>
        <v>0</v>
      </c>
      <c r="AB80" s="28">
        <f>_xlfn.XLOOKUP($B80,'GP2 (2)'!$B$6:$B$100,'GP2 (2)'!$F$6:$F$100,"")</f>
        <v>0</v>
      </c>
      <c r="AC80" s="24">
        <f>_xlfn.XLOOKUP($B80,'GP3 (1)'!$B$6:$B$100,'GP3 (1)'!$F$6:$F$100,"")</f>
        <v>0</v>
      </c>
      <c r="AD80" s="25">
        <f>_xlfn.XLOOKUP($B80,'GP3 (2)'!$B$6:$B$100,'GP3 (2)'!$F$6:$F$100,"")</f>
        <v>0</v>
      </c>
      <c r="AE80" s="27">
        <f>_xlfn.XLOOKUP($B80,'GP4 (1)'!$B$6:$B$66,'GP4 (1)'!$F$6:$F$66,"")</f>
        <v>0</v>
      </c>
      <c r="AF80" s="28">
        <f>_xlfn.XLOOKUP($B80,'GP4 (2)'!$B$6:$B$100,'GP4 (2)'!$F$6:$F$100,"")</f>
        <v>0</v>
      </c>
      <c r="AG80" s="24">
        <f>_xlfn.XLOOKUP($B80,'GP5 (1)'!$B$6:$B$99,'GP5 (1)'!$F$6:$F$99,"")</f>
        <v>0</v>
      </c>
      <c r="AH80" s="26">
        <f>_xlfn.XLOOKUP($B80,'GP5 (2)'!$B$6:$B$99,'GP5 (2)'!$F$6:$F$99,"")</f>
        <v>0</v>
      </c>
      <c r="AI80" s="27">
        <f>_xlfn.XLOOKUP($B80,'GP6 (1)'!$B$5:$B$99,'GP6 (1)'!$F$5:$F$99,"")</f>
        <v>0</v>
      </c>
      <c r="AJ80" s="28">
        <f>_xlfn.XLOOKUP($B80,'GP6 (2)'!$B$5:$B$99,'GP6 (2)'!$F$5:$F$99,"")</f>
        <v>0</v>
      </c>
      <c r="AK80" s="24">
        <f>_xlfn.XLOOKUP($B80,'GP7 (1)'!$B$6:$B$100,'GP7 (1)'!$F$6:$F$100,"")</f>
        <v>0</v>
      </c>
      <c r="AL80" s="26">
        <f>_xlfn.XLOOKUP($B80,'GP7 (2)'!$B$6:$B$100,'GP7 (2)'!$F$6:$F$100,"")</f>
        <v>0</v>
      </c>
      <c r="AM80" s="27">
        <f>_xlfn.XLOOKUP($B80,'GP8 (1)'!$B$6:$B$100,'GP8 (1)'!$F$6:$F$100,"")</f>
        <v>0</v>
      </c>
      <c r="AN80" s="29">
        <f>_xlfn.XLOOKUP($B80,'GP8 (2)'!$B$6:$B$100,'GP8 (2)'!$F$6:$F$100,"")</f>
        <v>0</v>
      </c>
      <c r="AO80" s="13">
        <f>SUM(AP80:BG80)</f>
        <v>0</v>
      </c>
      <c r="AP80" s="29">
        <f>_xlfn.XLOOKUP($B80,'MP (1)'!$B$6:$B$99,'MP (1)'!$H$6:$H$99,"")</f>
        <v>0</v>
      </c>
      <c r="AQ80" s="28">
        <f>_xlfn.XLOOKUP($B80,'MP (2)'!$B$6:$B$100,'MP (2)'!$H$6:$H$100,"")</f>
        <v>0</v>
      </c>
      <c r="AR80" s="24">
        <f>_xlfn.XLOOKUP($B80,'GP1 (1)'!$B$6:$B$100,'GP1 (1)'!$H$6:$H$100,"")</f>
        <v>0</v>
      </c>
      <c r="AS80" s="25">
        <f>_xlfn.XLOOKUP($B80,'GP1 (2)'!$B$6:$B$100,'GP1 (2)'!$H$6:$H$100,"")</f>
        <v>0</v>
      </c>
      <c r="AT80" s="27">
        <f>_xlfn.XLOOKUP($B80,'GP2 (1)'!$B$6:$B$101,'GP2 (1)'!$H$6:$H$101,"")</f>
        <v>0</v>
      </c>
      <c r="AU80" s="28">
        <f>_xlfn.XLOOKUP($B80,'GP2 (2)'!$B$6:$B$100,'GP2 (2)'!$H$6:$H$100,"")</f>
        <v>0</v>
      </c>
      <c r="AV80" s="24">
        <f>_xlfn.XLOOKUP($B80,'GP3 (1)'!$B$6:$B$100,'GP3 (1)'!$H$6:$H$100,"")</f>
        <v>0</v>
      </c>
      <c r="AW80" s="25">
        <f>_xlfn.XLOOKUP($B80,'GP3 (2)'!$B$6:$B$100,'GP3 (2)'!$H$6:$H$100,"")</f>
        <v>0</v>
      </c>
      <c r="AX80" s="27">
        <f>_xlfn.XLOOKUP($B80,'GP4 (1)'!$B$6:$B$66,'GP4 (1)'!$H$6:$H$66,"")</f>
        <v>0</v>
      </c>
      <c r="AY80" s="28">
        <f>_xlfn.XLOOKUP($B80,'GP4 (2)'!$B$6:$B$100,'GP4 (2)'!$H$6:$H$100,"")</f>
        <v>0</v>
      </c>
      <c r="AZ80" s="24">
        <f>_xlfn.XLOOKUP($B80,'GP5 (1)'!$B$6:$B$99,'GP5 (1)'!$H$6:$H$99,"")</f>
        <v>0</v>
      </c>
      <c r="BA80" s="25">
        <f>_xlfn.XLOOKUP($B80,'GP5 (2)'!$B$6:$B$99,'GP5 (2)'!$H$6:$H$99,"")</f>
        <v>0</v>
      </c>
      <c r="BB80" s="27">
        <f>_xlfn.XLOOKUP($B80,'GP6 (1)'!$B$5:$B$99,'GP6 (1)'!$H$5:$H$99,"")</f>
        <v>0</v>
      </c>
      <c r="BC80" s="28">
        <f>_xlfn.XLOOKUP($B80,'GP6 (2)'!$B$5:$B$99,'GP6 (2)'!$H$5:$H$99,"")</f>
        <v>0</v>
      </c>
      <c r="BD80" s="24">
        <f>_xlfn.XLOOKUP($B80,'GP7 (1)'!$B$6:$B$100,'GP7 (1)'!$H$6:$H$100,"")</f>
        <v>0</v>
      </c>
      <c r="BE80" s="25">
        <f>_xlfn.XLOOKUP($B80,'GP7 (2)'!$B$6:$B$100,'GP7 (2)'!$H$6:$H$100,"")</f>
        <v>0</v>
      </c>
      <c r="BF80" s="27">
        <f>_xlfn.XLOOKUP($B80,'GP8 (1)'!$B$6:$B$100,'GP8 (1)'!$H$6:$H$100,"")</f>
        <v>0</v>
      </c>
      <c r="BG80" s="32">
        <f>_xlfn.XLOOKUP($B80,'GP8 (2)'!$B$6:$B$100,'GP8 (2)'!$H$6:$H$100,"")</f>
        <v>0</v>
      </c>
    </row>
    <row r="81" spans="1:59" ht="13.1" customHeight="1" x14ac:dyDescent="0.25">
      <c r="A81" s="1">
        <f>ROW()-4</f>
        <v>77</v>
      </c>
      <c r="B81" s="3"/>
      <c r="C81" s="30">
        <f>SUM(D81:U81)</f>
        <v>0</v>
      </c>
      <c r="D81" s="35">
        <f>_xlfn.XLOOKUP($B81,'MP (1)'!$B$6:$B$99,'MP (1)'!$E$6:$E$99,"")</f>
        <v>0</v>
      </c>
      <c r="E81" s="36">
        <f>_xlfn.XLOOKUP($B81,'MP (2)'!$B$6:$B$100,'MP (2)'!$E$6:$E$100,"")</f>
        <v>0</v>
      </c>
      <c r="F81" s="40">
        <f>_xlfn.XLOOKUP($B81,'GP1 (1)'!$B$6:$B$100,'GP1 (1)'!$E$6:$E$100,"")</f>
        <v>0</v>
      </c>
      <c r="G81" s="41">
        <f>_xlfn.XLOOKUP($B81,'GP1 (2)'!$B$6:$B$100,'GP1 (2)'!$E$6:$E$100,"")</f>
        <v>0</v>
      </c>
      <c r="H81" s="39">
        <f>_xlfn.XLOOKUP($B81,'GP2 (1)'!$B$6:$B$101,'GP2 (1)'!$E$6:$E$101,"")</f>
        <v>0</v>
      </c>
      <c r="I81" s="36">
        <f>_xlfn.XLOOKUP($B81,'GP2 (2)'!$B$6:$B$100,'GP2 (2)'!$E$6:$E$100,"")</f>
        <v>0</v>
      </c>
      <c r="J81" s="40">
        <f>_xlfn.XLOOKUP($B81,'GP3 (1)'!$B$6:$B$100,'GP3 (1)'!$E$6:$E$100,"")</f>
        <v>0</v>
      </c>
      <c r="K81" s="41">
        <f>_xlfn.XLOOKUP($B81,'GP3 (2)'!$B$6:$B$100,'GP3 (2)'!$E$6:$E$100,"")</f>
        <v>0</v>
      </c>
      <c r="L81" s="39">
        <f>_xlfn.XLOOKUP($B81,'GP4 (1)'!$B$6:$B$66,'GP4 (1)'!$E$6:$E$66,"")</f>
        <v>0</v>
      </c>
      <c r="M81" s="36">
        <f>_xlfn.XLOOKUP($B81,'GP4 (2)'!$B$6:$B$100,'GP4 (2)'!$E$6:$E$100,"")</f>
        <v>0</v>
      </c>
      <c r="N81" s="40">
        <f>_xlfn.XLOOKUP($B81,'GP5 (1)'!$B$6:$B$99,'GP5 (1)'!$E$6:$E$99,"")</f>
        <v>0</v>
      </c>
      <c r="O81" s="42">
        <f>_xlfn.XLOOKUP($B81,'GP5 (2)'!$B$6:$B$99,'GP5 (2)'!$E$6:$E$99,"")</f>
        <v>0</v>
      </c>
      <c r="P81" s="39">
        <f>_xlfn.XLOOKUP($B81,'GP6 (1)'!$B$5:$B$99,'GP6 (1)'!$E$5:$E$99,"")</f>
        <v>0</v>
      </c>
      <c r="Q81" s="36">
        <f>_xlfn.XLOOKUP($B81,'GP6 (2)'!$B$5:$B$99,'GP6 (2)'!$E$5:$E$99,"")</f>
        <v>0</v>
      </c>
      <c r="R81" s="40">
        <f>_xlfn.XLOOKUP($B81,'GP7 (1)'!$B$6:$B$100,'GP7 (1)'!$E$6:$E$100,"")</f>
        <v>0</v>
      </c>
      <c r="S81" s="42">
        <f>_xlfn.XLOOKUP($B81,'GP7 (2)'!$B$6:$B$100,'GP7 (2)'!$E$6:$E$100,"")</f>
        <v>0</v>
      </c>
      <c r="T81" s="39">
        <f>_xlfn.XLOOKUP($B81,'GP8 (1)'!$B$6:$B$100,'GP8 (1)'!$E$6:$E$100,"")</f>
        <v>0</v>
      </c>
      <c r="U81" s="35">
        <f>_xlfn.XLOOKUP($B81,'GP8 (2)'!$B$6:$B$100,'GP8 (2)'!$E$6:$E$100,"")</f>
        <v>0</v>
      </c>
      <c r="V81" s="13">
        <f>SUM(W81:AN81)</f>
        <v>0</v>
      </c>
      <c r="W81" s="29">
        <f>_xlfn.XLOOKUP($B81,'MP (1)'!$B$6:$B$99,'MP (1)'!$F$6:$F$99,"")</f>
        <v>0</v>
      </c>
      <c r="X81" s="28">
        <f>_xlfn.XLOOKUP($B81,'MP (2)'!$B$6:$B$100,'MP (2)'!$F$6:$F$100,"")</f>
        <v>0</v>
      </c>
      <c r="Y81" s="24">
        <f>_xlfn.XLOOKUP($B81,'GP1 (1)'!$B$6:$B$100,'GP1 (1)'!$F$6:$F$100,"")</f>
        <v>0</v>
      </c>
      <c r="Z81" s="25">
        <f>_xlfn.XLOOKUP($B81,'GP1 (2)'!$B$6:$B$100,'GP1 (2)'!$F$6:$F$100,"")</f>
        <v>0</v>
      </c>
      <c r="AA81" s="27">
        <f>_xlfn.XLOOKUP($B81,'GP2 (1)'!$B$6:$B$101,'GP2 (1)'!$F$6:$F$101,"")</f>
        <v>0</v>
      </c>
      <c r="AB81" s="28">
        <f>_xlfn.XLOOKUP($B81,'GP2 (2)'!$B$6:$B$100,'GP2 (2)'!$F$6:$F$100,"")</f>
        <v>0</v>
      </c>
      <c r="AC81" s="24">
        <f>_xlfn.XLOOKUP($B81,'GP3 (1)'!$B$6:$B$100,'GP3 (1)'!$F$6:$F$100,"")</f>
        <v>0</v>
      </c>
      <c r="AD81" s="25">
        <f>_xlfn.XLOOKUP($B81,'GP3 (2)'!$B$6:$B$100,'GP3 (2)'!$F$6:$F$100,"")</f>
        <v>0</v>
      </c>
      <c r="AE81" s="27">
        <f>_xlfn.XLOOKUP($B81,'GP4 (1)'!$B$6:$B$66,'GP4 (1)'!$F$6:$F$66,"")</f>
        <v>0</v>
      </c>
      <c r="AF81" s="28">
        <f>_xlfn.XLOOKUP($B81,'GP4 (2)'!$B$6:$B$100,'GP4 (2)'!$F$6:$F$100,"")</f>
        <v>0</v>
      </c>
      <c r="AG81" s="24">
        <f>_xlfn.XLOOKUP($B81,'GP5 (1)'!$B$6:$B$99,'GP5 (1)'!$F$6:$F$99,"")</f>
        <v>0</v>
      </c>
      <c r="AH81" s="26">
        <f>_xlfn.XLOOKUP($B81,'GP5 (2)'!$B$6:$B$99,'GP5 (2)'!$F$6:$F$99,"")</f>
        <v>0</v>
      </c>
      <c r="AI81" s="27">
        <f>_xlfn.XLOOKUP($B81,'GP6 (1)'!$B$5:$B$99,'GP6 (1)'!$F$5:$F$99,"")</f>
        <v>0</v>
      </c>
      <c r="AJ81" s="28">
        <f>_xlfn.XLOOKUP($B81,'GP6 (2)'!$B$5:$B$99,'GP6 (2)'!$F$5:$F$99,"")</f>
        <v>0</v>
      </c>
      <c r="AK81" s="24">
        <f>_xlfn.XLOOKUP($B81,'GP7 (1)'!$B$6:$B$100,'GP7 (1)'!$F$6:$F$100,"")</f>
        <v>0</v>
      </c>
      <c r="AL81" s="26">
        <f>_xlfn.XLOOKUP($B81,'GP7 (2)'!$B$6:$B$100,'GP7 (2)'!$F$6:$F$100,"")</f>
        <v>0</v>
      </c>
      <c r="AM81" s="27">
        <f>_xlfn.XLOOKUP($B81,'GP8 (1)'!$B$6:$B$100,'GP8 (1)'!$F$6:$F$100,"")</f>
        <v>0</v>
      </c>
      <c r="AN81" s="29">
        <f>_xlfn.XLOOKUP($B81,'GP8 (2)'!$B$6:$B$100,'GP8 (2)'!$F$6:$F$100,"")</f>
        <v>0</v>
      </c>
      <c r="AO81" s="13">
        <f>SUM(AP81:BG81)</f>
        <v>0</v>
      </c>
      <c r="AP81" s="29">
        <f>_xlfn.XLOOKUP($B81,'MP (1)'!$B$6:$B$99,'MP (1)'!$H$6:$H$99,"")</f>
        <v>0</v>
      </c>
      <c r="AQ81" s="28">
        <f>_xlfn.XLOOKUP($B81,'MP (2)'!$B$6:$B$100,'MP (2)'!$H$6:$H$100,"")</f>
        <v>0</v>
      </c>
      <c r="AR81" s="24">
        <f>_xlfn.XLOOKUP($B81,'GP1 (1)'!$B$6:$B$100,'GP1 (1)'!$H$6:$H$100,"")</f>
        <v>0</v>
      </c>
      <c r="AS81" s="25">
        <f>_xlfn.XLOOKUP($B81,'GP1 (2)'!$B$6:$B$100,'GP1 (2)'!$H$6:$H$100,"")</f>
        <v>0</v>
      </c>
      <c r="AT81" s="27">
        <f>_xlfn.XLOOKUP($B81,'GP2 (1)'!$B$6:$B$101,'GP2 (1)'!$H$6:$H$101,"")</f>
        <v>0</v>
      </c>
      <c r="AU81" s="28">
        <f>_xlfn.XLOOKUP($B81,'GP2 (2)'!$B$6:$B$100,'GP2 (2)'!$H$6:$H$100,"")</f>
        <v>0</v>
      </c>
      <c r="AV81" s="24">
        <f>_xlfn.XLOOKUP($B81,'GP3 (1)'!$B$6:$B$100,'GP3 (1)'!$H$6:$H$100,"")</f>
        <v>0</v>
      </c>
      <c r="AW81" s="25">
        <f>_xlfn.XLOOKUP($B81,'GP3 (2)'!$B$6:$B$100,'GP3 (2)'!$H$6:$H$100,"")</f>
        <v>0</v>
      </c>
      <c r="AX81" s="27">
        <f>_xlfn.XLOOKUP($B81,'GP4 (1)'!$B$6:$B$66,'GP4 (1)'!$H$6:$H$66,"")</f>
        <v>0</v>
      </c>
      <c r="AY81" s="28">
        <f>_xlfn.XLOOKUP($B81,'GP4 (2)'!$B$6:$B$100,'GP4 (2)'!$H$6:$H$100,"")</f>
        <v>0</v>
      </c>
      <c r="AZ81" s="24">
        <f>_xlfn.XLOOKUP($B81,'GP5 (1)'!$B$6:$B$99,'GP5 (1)'!$H$6:$H$99,"")</f>
        <v>0</v>
      </c>
      <c r="BA81" s="25">
        <f>_xlfn.XLOOKUP($B81,'GP5 (2)'!$B$6:$B$99,'GP5 (2)'!$H$6:$H$99,"")</f>
        <v>0</v>
      </c>
      <c r="BB81" s="27">
        <f>_xlfn.XLOOKUP($B81,'GP6 (1)'!$B$5:$B$99,'GP6 (1)'!$H$5:$H$99,"")</f>
        <v>0</v>
      </c>
      <c r="BC81" s="28">
        <f>_xlfn.XLOOKUP($B81,'GP6 (2)'!$B$5:$B$99,'GP6 (2)'!$H$5:$H$99,"")</f>
        <v>0</v>
      </c>
      <c r="BD81" s="24">
        <f>_xlfn.XLOOKUP($B81,'GP7 (1)'!$B$6:$B$100,'GP7 (1)'!$H$6:$H$100,"")</f>
        <v>0</v>
      </c>
      <c r="BE81" s="25">
        <f>_xlfn.XLOOKUP($B81,'GP7 (2)'!$B$6:$B$100,'GP7 (2)'!$H$6:$H$100,"")</f>
        <v>0</v>
      </c>
      <c r="BF81" s="27">
        <f>_xlfn.XLOOKUP($B81,'GP8 (1)'!$B$6:$B$100,'GP8 (1)'!$H$6:$H$100,"")</f>
        <v>0</v>
      </c>
      <c r="BG81" s="32">
        <f>_xlfn.XLOOKUP($B81,'GP8 (2)'!$B$6:$B$100,'GP8 (2)'!$H$6:$H$100,"")</f>
        <v>0</v>
      </c>
    </row>
    <row r="82" spans="1:59" ht="13.1" customHeight="1" x14ac:dyDescent="0.25">
      <c r="A82" s="1">
        <f>ROW()-4</f>
        <v>78</v>
      </c>
      <c r="B82" s="3"/>
      <c r="C82" s="30">
        <f>SUM(D82:U82)</f>
        <v>0</v>
      </c>
      <c r="D82" s="35">
        <f>_xlfn.XLOOKUP($B82,'MP (1)'!$B$6:$B$99,'MP (1)'!$E$6:$E$99,"")</f>
        <v>0</v>
      </c>
      <c r="E82" s="36">
        <f>_xlfn.XLOOKUP($B82,'MP (2)'!$B$6:$B$100,'MP (2)'!$E$6:$E$100,"")</f>
        <v>0</v>
      </c>
      <c r="F82" s="40">
        <f>_xlfn.XLOOKUP($B82,'GP1 (1)'!$B$6:$B$100,'GP1 (1)'!$E$6:$E$100,"")</f>
        <v>0</v>
      </c>
      <c r="G82" s="41">
        <f>_xlfn.XLOOKUP($B82,'GP1 (2)'!$B$6:$B$100,'GP1 (2)'!$E$6:$E$100,"")</f>
        <v>0</v>
      </c>
      <c r="H82" s="39">
        <f>_xlfn.XLOOKUP($B82,'GP2 (1)'!$B$6:$B$101,'GP2 (1)'!$E$6:$E$101,"")</f>
        <v>0</v>
      </c>
      <c r="I82" s="36">
        <f>_xlfn.XLOOKUP($B82,'GP2 (2)'!$B$6:$B$100,'GP2 (2)'!$E$6:$E$100,"")</f>
        <v>0</v>
      </c>
      <c r="J82" s="40">
        <f>_xlfn.XLOOKUP($B82,'GP3 (1)'!$B$6:$B$100,'GP3 (1)'!$E$6:$E$100,"")</f>
        <v>0</v>
      </c>
      <c r="K82" s="41">
        <f>_xlfn.XLOOKUP($B82,'GP3 (2)'!$B$6:$B$100,'GP3 (2)'!$E$6:$E$100,"")</f>
        <v>0</v>
      </c>
      <c r="L82" s="39">
        <f>_xlfn.XLOOKUP($B82,'GP4 (1)'!$B$6:$B$66,'GP4 (1)'!$E$6:$E$66,"")</f>
        <v>0</v>
      </c>
      <c r="M82" s="36">
        <f>_xlfn.XLOOKUP($B82,'GP4 (2)'!$B$6:$B$100,'GP4 (2)'!$E$6:$E$100,"")</f>
        <v>0</v>
      </c>
      <c r="N82" s="40">
        <f>_xlfn.XLOOKUP($B82,'GP5 (1)'!$B$6:$B$99,'GP5 (1)'!$E$6:$E$99,"")</f>
        <v>0</v>
      </c>
      <c r="O82" s="42">
        <f>_xlfn.XLOOKUP($B82,'GP5 (2)'!$B$6:$B$99,'GP5 (2)'!$E$6:$E$99,"")</f>
        <v>0</v>
      </c>
      <c r="P82" s="39">
        <f>_xlfn.XLOOKUP($B82,'GP6 (1)'!$B$5:$B$99,'GP6 (1)'!$E$5:$E$99,"")</f>
        <v>0</v>
      </c>
      <c r="Q82" s="36">
        <f>_xlfn.XLOOKUP($B82,'GP6 (2)'!$B$5:$B$99,'GP6 (2)'!$E$5:$E$99,"")</f>
        <v>0</v>
      </c>
      <c r="R82" s="40">
        <f>_xlfn.XLOOKUP($B82,'GP7 (1)'!$B$6:$B$100,'GP7 (1)'!$E$6:$E$100,"")</f>
        <v>0</v>
      </c>
      <c r="S82" s="42">
        <f>_xlfn.XLOOKUP($B82,'GP7 (2)'!$B$6:$B$100,'GP7 (2)'!$E$6:$E$100,"")</f>
        <v>0</v>
      </c>
      <c r="T82" s="39">
        <f>_xlfn.XLOOKUP($B82,'GP8 (1)'!$B$6:$B$100,'GP8 (1)'!$E$6:$E$100,"")</f>
        <v>0</v>
      </c>
      <c r="U82" s="35">
        <f>_xlfn.XLOOKUP($B82,'GP8 (2)'!$B$6:$B$100,'GP8 (2)'!$E$6:$E$100,"")</f>
        <v>0</v>
      </c>
      <c r="V82" s="13">
        <f>SUM(W82:AN82)</f>
        <v>0</v>
      </c>
      <c r="W82" s="29">
        <f>_xlfn.XLOOKUP($B82,'MP (1)'!$B$6:$B$99,'MP (1)'!$F$6:$F$99,"")</f>
        <v>0</v>
      </c>
      <c r="X82" s="28">
        <f>_xlfn.XLOOKUP($B82,'MP (2)'!$B$6:$B$100,'MP (2)'!$F$6:$F$100,"")</f>
        <v>0</v>
      </c>
      <c r="Y82" s="24">
        <f>_xlfn.XLOOKUP($B82,'GP1 (1)'!$B$6:$B$100,'GP1 (1)'!$F$6:$F$100,"")</f>
        <v>0</v>
      </c>
      <c r="Z82" s="25">
        <f>_xlfn.XLOOKUP($B82,'GP1 (2)'!$B$6:$B$100,'GP1 (2)'!$F$6:$F$100,"")</f>
        <v>0</v>
      </c>
      <c r="AA82" s="27">
        <f>_xlfn.XLOOKUP($B82,'GP2 (1)'!$B$6:$B$101,'GP2 (1)'!$F$6:$F$101,"")</f>
        <v>0</v>
      </c>
      <c r="AB82" s="28">
        <f>_xlfn.XLOOKUP($B82,'GP2 (2)'!$B$6:$B$100,'GP2 (2)'!$F$6:$F$100,"")</f>
        <v>0</v>
      </c>
      <c r="AC82" s="24">
        <f>_xlfn.XLOOKUP($B82,'GP3 (1)'!$B$6:$B$100,'GP3 (1)'!$F$6:$F$100,"")</f>
        <v>0</v>
      </c>
      <c r="AD82" s="25">
        <f>_xlfn.XLOOKUP($B82,'GP3 (2)'!$B$6:$B$100,'GP3 (2)'!$F$6:$F$100,"")</f>
        <v>0</v>
      </c>
      <c r="AE82" s="27">
        <f>_xlfn.XLOOKUP($B82,'GP4 (1)'!$B$6:$B$66,'GP4 (1)'!$F$6:$F$66,"")</f>
        <v>0</v>
      </c>
      <c r="AF82" s="28">
        <f>_xlfn.XLOOKUP($B82,'GP4 (2)'!$B$6:$B$100,'GP4 (2)'!$F$6:$F$100,"")</f>
        <v>0</v>
      </c>
      <c r="AG82" s="24">
        <f>_xlfn.XLOOKUP($B82,'GP5 (1)'!$B$6:$B$99,'GP5 (1)'!$F$6:$F$99,"")</f>
        <v>0</v>
      </c>
      <c r="AH82" s="26">
        <f>_xlfn.XLOOKUP($B82,'GP5 (2)'!$B$6:$B$99,'GP5 (2)'!$F$6:$F$99,"")</f>
        <v>0</v>
      </c>
      <c r="AI82" s="27">
        <f>_xlfn.XLOOKUP($B82,'GP6 (1)'!$B$5:$B$99,'GP6 (1)'!$F$5:$F$99,"")</f>
        <v>0</v>
      </c>
      <c r="AJ82" s="28">
        <f>_xlfn.XLOOKUP($B82,'GP6 (2)'!$B$5:$B$99,'GP6 (2)'!$F$5:$F$99,"")</f>
        <v>0</v>
      </c>
      <c r="AK82" s="24">
        <f>_xlfn.XLOOKUP($B82,'GP7 (1)'!$B$6:$B$100,'GP7 (1)'!$F$6:$F$100,"")</f>
        <v>0</v>
      </c>
      <c r="AL82" s="26">
        <f>_xlfn.XLOOKUP($B82,'GP7 (2)'!$B$6:$B$100,'GP7 (2)'!$F$6:$F$100,"")</f>
        <v>0</v>
      </c>
      <c r="AM82" s="27">
        <f>_xlfn.XLOOKUP($B82,'GP8 (1)'!$B$6:$B$100,'GP8 (1)'!$F$6:$F$100,"")</f>
        <v>0</v>
      </c>
      <c r="AN82" s="29">
        <f>_xlfn.XLOOKUP($B82,'GP8 (2)'!$B$6:$B$100,'GP8 (2)'!$F$6:$F$100,"")</f>
        <v>0</v>
      </c>
      <c r="AO82" s="13">
        <f>SUM(AP82:BG82)</f>
        <v>0</v>
      </c>
      <c r="AP82" s="29">
        <f>_xlfn.XLOOKUP($B82,'MP (1)'!$B$6:$B$99,'MP (1)'!$H$6:$H$99,"")</f>
        <v>0</v>
      </c>
      <c r="AQ82" s="28">
        <f>_xlfn.XLOOKUP($B82,'MP (2)'!$B$6:$B$100,'MP (2)'!$H$6:$H$100,"")</f>
        <v>0</v>
      </c>
      <c r="AR82" s="24">
        <f>_xlfn.XLOOKUP($B82,'GP1 (1)'!$B$6:$B$100,'GP1 (1)'!$H$6:$H$100,"")</f>
        <v>0</v>
      </c>
      <c r="AS82" s="25">
        <f>_xlfn.XLOOKUP($B82,'GP1 (2)'!$B$6:$B$100,'GP1 (2)'!$H$6:$H$100,"")</f>
        <v>0</v>
      </c>
      <c r="AT82" s="27">
        <f>_xlfn.XLOOKUP($B82,'GP2 (1)'!$B$6:$B$101,'GP2 (1)'!$H$6:$H$101,"")</f>
        <v>0</v>
      </c>
      <c r="AU82" s="28">
        <f>_xlfn.XLOOKUP($B82,'GP2 (2)'!$B$6:$B$100,'GP2 (2)'!$H$6:$H$100,"")</f>
        <v>0</v>
      </c>
      <c r="AV82" s="24">
        <f>_xlfn.XLOOKUP($B82,'GP3 (1)'!$B$6:$B$100,'GP3 (1)'!$H$6:$H$100,"")</f>
        <v>0</v>
      </c>
      <c r="AW82" s="25">
        <f>_xlfn.XLOOKUP($B82,'GP3 (2)'!$B$6:$B$100,'GP3 (2)'!$H$6:$H$100,"")</f>
        <v>0</v>
      </c>
      <c r="AX82" s="27">
        <f>_xlfn.XLOOKUP($B82,'GP4 (1)'!$B$6:$B$66,'GP4 (1)'!$H$6:$H$66,"")</f>
        <v>0</v>
      </c>
      <c r="AY82" s="28">
        <f>_xlfn.XLOOKUP($B82,'GP4 (2)'!$B$6:$B$100,'GP4 (2)'!$H$6:$H$100,"")</f>
        <v>0</v>
      </c>
      <c r="AZ82" s="24">
        <f>_xlfn.XLOOKUP($B82,'GP5 (1)'!$B$6:$B$99,'GP5 (1)'!$H$6:$H$99,"")</f>
        <v>0</v>
      </c>
      <c r="BA82" s="25">
        <f>_xlfn.XLOOKUP($B82,'GP5 (2)'!$B$6:$B$99,'GP5 (2)'!$H$6:$H$99,"")</f>
        <v>0</v>
      </c>
      <c r="BB82" s="27">
        <f>_xlfn.XLOOKUP($B82,'GP6 (1)'!$B$5:$B$99,'GP6 (1)'!$H$5:$H$99,"")</f>
        <v>0</v>
      </c>
      <c r="BC82" s="28">
        <f>_xlfn.XLOOKUP($B82,'GP6 (2)'!$B$5:$B$99,'GP6 (2)'!$H$5:$H$99,"")</f>
        <v>0</v>
      </c>
      <c r="BD82" s="24">
        <f>_xlfn.XLOOKUP($B82,'GP7 (1)'!$B$6:$B$100,'GP7 (1)'!$H$6:$H$100,"")</f>
        <v>0</v>
      </c>
      <c r="BE82" s="25">
        <f>_xlfn.XLOOKUP($B82,'GP7 (2)'!$B$6:$B$100,'GP7 (2)'!$H$6:$H$100,"")</f>
        <v>0</v>
      </c>
      <c r="BF82" s="27">
        <f>_xlfn.XLOOKUP($B82,'GP8 (1)'!$B$6:$B$100,'GP8 (1)'!$H$6:$H$100,"")</f>
        <v>0</v>
      </c>
      <c r="BG82" s="32">
        <f>_xlfn.XLOOKUP($B82,'GP8 (2)'!$B$6:$B$100,'GP8 (2)'!$H$6:$H$100,"")</f>
        <v>0</v>
      </c>
    </row>
    <row r="83" spans="1:59" ht="13.1" customHeight="1" x14ac:dyDescent="0.25">
      <c r="A83" s="1">
        <f>ROW()-4</f>
        <v>79</v>
      </c>
      <c r="B83" s="3"/>
      <c r="C83" s="30">
        <f>SUM(D83:U83)</f>
        <v>0</v>
      </c>
      <c r="D83" s="35">
        <f>_xlfn.XLOOKUP($B83,'MP (1)'!$B$6:$B$99,'MP (1)'!$E$6:$E$99,"")</f>
        <v>0</v>
      </c>
      <c r="E83" s="36">
        <f>_xlfn.XLOOKUP($B83,'MP (2)'!$B$6:$B$100,'MP (2)'!$E$6:$E$100,"")</f>
        <v>0</v>
      </c>
      <c r="F83" s="40">
        <f>_xlfn.XLOOKUP($B83,'GP1 (1)'!$B$6:$B$100,'GP1 (1)'!$E$6:$E$100,"")</f>
        <v>0</v>
      </c>
      <c r="G83" s="41">
        <f>_xlfn.XLOOKUP($B83,'GP1 (2)'!$B$6:$B$100,'GP1 (2)'!$E$6:$E$100,"")</f>
        <v>0</v>
      </c>
      <c r="H83" s="39">
        <f>_xlfn.XLOOKUP($B83,'GP2 (1)'!$B$6:$B$101,'GP2 (1)'!$E$6:$E$101,"")</f>
        <v>0</v>
      </c>
      <c r="I83" s="36">
        <f>_xlfn.XLOOKUP($B83,'GP2 (2)'!$B$6:$B$100,'GP2 (2)'!$E$6:$E$100,"")</f>
        <v>0</v>
      </c>
      <c r="J83" s="40">
        <f>_xlfn.XLOOKUP($B83,'GP3 (1)'!$B$6:$B$100,'GP3 (1)'!$E$6:$E$100,"")</f>
        <v>0</v>
      </c>
      <c r="K83" s="41">
        <f>_xlfn.XLOOKUP($B83,'GP3 (2)'!$B$6:$B$100,'GP3 (2)'!$E$6:$E$100,"")</f>
        <v>0</v>
      </c>
      <c r="L83" s="39">
        <f>_xlfn.XLOOKUP($B83,'GP4 (1)'!$B$6:$B$66,'GP4 (1)'!$E$6:$E$66,"")</f>
        <v>0</v>
      </c>
      <c r="M83" s="36">
        <f>_xlfn.XLOOKUP($B83,'GP4 (2)'!$B$6:$B$100,'GP4 (2)'!$E$6:$E$100,"")</f>
        <v>0</v>
      </c>
      <c r="N83" s="40">
        <f>_xlfn.XLOOKUP($B83,'GP5 (1)'!$B$6:$B$99,'GP5 (1)'!$E$6:$E$99,"")</f>
        <v>0</v>
      </c>
      <c r="O83" s="42">
        <f>_xlfn.XLOOKUP($B83,'GP5 (2)'!$B$6:$B$99,'GP5 (2)'!$E$6:$E$99,"")</f>
        <v>0</v>
      </c>
      <c r="P83" s="39">
        <f>_xlfn.XLOOKUP($B83,'GP6 (1)'!$B$5:$B$99,'GP6 (1)'!$E$5:$E$99,"")</f>
        <v>0</v>
      </c>
      <c r="Q83" s="36">
        <f>_xlfn.XLOOKUP($B83,'GP6 (2)'!$B$5:$B$99,'GP6 (2)'!$E$5:$E$99,"")</f>
        <v>0</v>
      </c>
      <c r="R83" s="40">
        <f>_xlfn.XLOOKUP($B83,'GP7 (1)'!$B$6:$B$100,'GP7 (1)'!$E$6:$E$100,"")</f>
        <v>0</v>
      </c>
      <c r="S83" s="42">
        <f>_xlfn.XLOOKUP($B83,'GP7 (2)'!$B$6:$B$100,'GP7 (2)'!$E$6:$E$100,"")</f>
        <v>0</v>
      </c>
      <c r="T83" s="39">
        <f>_xlfn.XLOOKUP($B83,'GP8 (1)'!$B$6:$B$100,'GP8 (1)'!$E$6:$E$100,"")</f>
        <v>0</v>
      </c>
      <c r="U83" s="35">
        <f>_xlfn.XLOOKUP($B83,'GP8 (2)'!$B$6:$B$100,'GP8 (2)'!$E$6:$E$100,"")</f>
        <v>0</v>
      </c>
      <c r="V83" s="13">
        <f>SUM(W83:AN83)</f>
        <v>0</v>
      </c>
      <c r="W83" s="29">
        <f>_xlfn.XLOOKUP($B83,'MP (1)'!$B$6:$B$99,'MP (1)'!$F$6:$F$99,"")</f>
        <v>0</v>
      </c>
      <c r="X83" s="28">
        <f>_xlfn.XLOOKUP($B83,'MP (2)'!$B$6:$B$100,'MP (2)'!$F$6:$F$100,"")</f>
        <v>0</v>
      </c>
      <c r="Y83" s="24">
        <f>_xlfn.XLOOKUP($B83,'GP1 (1)'!$B$6:$B$100,'GP1 (1)'!$F$6:$F$100,"")</f>
        <v>0</v>
      </c>
      <c r="Z83" s="25">
        <f>_xlfn.XLOOKUP($B83,'GP1 (2)'!$B$6:$B$100,'GP1 (2)'!$F$6:$F$100,"")</f>
        <v>0</v>
      </c>
      <c r="AA83" s="27">
        <f>_xlfn.XLOOKUP($B83,'GP2 (1)'!$B$6:$B$101,'GP2 (1)'!$F$6:$F$101,"")</f>
        <v>0</v>
      </c>
      <c r="AB83" s="28">
        <f>_xlfn.XLOOKUP($B83,'GP2 (2)'!$B$6:$B$100,'GP2 (2)'!$F$6:$F$100,"")</f>
        <v>0</v>
      </c>
      <c r="AC83" s="24">
        <f>_xlfn.XLOOKUP($B83,'GP3 (1)'!$B$6:$B$100,'GP3 (1)'!$F$6:$F$100,"")</f>
        <v>0</v>
      </c>
      <c r="AD83" s="25">
        <f>_xlfn.XLOOKUP($B83,'GP3 (2)'!$B$6:$B$100,'GP3 (2)'!$F$6:$F$100,"")</f>
        <v>0</v>
      </c>
      <c r="AE83" s="27">
        <f>_xlfn.XLOOKUP($B83,'GP4 (1)'!$B$6:$B$66,'GP4 (1)'!$F$6:$F$66,"")</f>
        <v>0</v>
      </c>
      <c r="AF83" s="28">
        <f>_xlfn.XLOOKUP($B83,'GP4 (2)'!$B$6:$B$100,'GP4 (2)'!$F$6:$F$100,"")</f>
        <v>0</v>
      </c>
      <c r="AG83" s="24">
        <f>_xlfn.XLOOKUP($B83,'GP5 (1)'!$B$6:$B$99,'GP5 (1)'!$F$6:$F$99,"")</f>
        <v>0</v>
      </c>
      <c r="AH83" s="26">
        <f>_xlfn.XLOOKUP($B83,'GP5 (2)'!$B$6:$B$99,'GP5 (2)'!$F$6:$F$99,"")</f>
        <v>0</v>
      </c>
      <c r="AI83" s="27">
        <f>_xlfn.XLOOKUP($B83,'GP6 (1)'!$B$5:$B$99,'GP6 (1)'!$F$5:$F$99,"")</f>
        <v>0</v>
      </c>
      <c r="AJ83" s="28">
        <f>_xlfn.XLOOKUP($B83,'GP6 (2)'!$B$5:$B$99,'GP6 (2)'!$F$5:$F$99,"")</f>
        <v>0</v>
      </c>
      <c r="AK83" s="24">
        <f>_xlfn.XLOOKUP($B83,'GP7 (1)'!$B$6:$B$100,'GP7 (1)'!$F$6:$F$100,"")</f>
        <v>0</v>
      </c>
      <c r="AL83" s="26">
        <f>_xlfn.XLOOKUP($B83,'GP7 (2)'!$B$6:$B$100,'GP7 (2)'!$F$6:$F$100,"")</f>
        <v>0</v>
      </c>
      <c r="AM83" s="27">
        <f>_xlfn.XLOOKUP($B83,'GP8 (1)'!$B$6:$B$100,'GP8 (1)'!$F$6:$F$100,"")</f>
        <v>0</v>
      </c>
      <c r="AN83" s="29">
        <f>_xlfn.XLOOKUP($B83,'GP8 (2)'!$B$6:$B$100,'GP8 (2)'!$F$6:$F$100,"")</f>
        <v>0</v>
      </c>
      <c r="AO83" s="13">
        <f>SUM(AP83:BG83)</f>
        <v>0</v>
      </c>
      <c r="AP83" s="29">
        <f>_xlfn.XLOOKUP($B83,'MP (1)'!$B$6:$B$99,'MP (1)'!$H$6:$H$99,"")</f>
        <v>0</v>
      </c>
      <c r="AQ83" s="28">
        <f>_xlfn.XLOOKUP($B83,'MP (2)'!$B$6:$B$100,'MP (2)'!$H$6:$H$100,"")</f>
        <v>0</v>
      </c>
      <c r="AR83" s="24">
        <f>_xlfn.XLOOKUP($B83,'GP1 (1)'!$B$6:$B$100,'GP1 (1)'!$H$6:$H$100,"")</f>
        <v>0</v>
      </c>
      <c r="AS83" s="25">
        <f>_xlfn.XLOOKUP($B83,'GP1 (2)'!$B$6:$B$100,'GP1 (2)'!$H$6:$H$100,"")</f>
        <v>0</v>
      </c>
      <c r="AT83" s="27">
        <f>_xlfn.XLOOKUP($B83,'GP2 (1)'!$B$6:$B$101,'GP2 (1)'!$H$6:$H$101,"")</f>
        <v>0</v>
      </c>
      <c r="AU83" s="28">
        <f>_xlfn.XLOOKUP($B83,'GP2 (2)'!$B$6:$B$100,'GP2 (2)'!$H$6:$H$100,"")</f>
        <v>0</v>
      </c>
      <c r="AV83" s="24">
        <f>_xlfn.XLOOKUP($B83,'GP3 (1)'!$B$6:$B$100,'GP3 (1)'!$H$6:$H$100,"")</f>
        <v>0</v>
      </c>
      <c r="AW83" s="25">
        <f>_xlfn.XLOOKUP($B83,'GP3 (2)'!$B$6:$B$100,'GP3 (2)'!$H$6:$H$100,"")</f>
        <v>0</v>
      </c>
      <c r="AX83" s="27">
        <f>_xlfn.XLOOKUP($B83,'GP4 (1)'!$B$6:$B$66,'GP4 (1)'!$H$6:$H$66,"")</f>
        <v>0</v>
      </c>
      <c r="AY83" s="28">
        <f>_xlfn.XLOOKUP($B83,'GP4 (2)'!$B$6:$B$100,'GP4 (2)'!$H$6:$H$100,"")</f>
        <v>0</v>
      </c>
      <c r="AZ83" s="24">
        <f>_xlfn.XLOOKUP($B83,'GP5 (1)'!$B$6:$B$99,'GP5 (1)'!$H$6:$H$99,"")</f>
        <v>0</v>
      </c>
      <c r="BA83" s="25">
        <f>_xlfn.XLOOKUP($B83,'GP5 (2)'!$B$6:$B$99,'GP5 (2)'!$H$6:$H$99,"")</f>
        <v>0</v>
      </c>
      <c r="BB83" s="27">
        <f>_xlfn.XLOOKUP($B83,'GP6 (1)'!$B$5:$B$99,'GP6 (1)'!$H$5:$H$99,"")</f>
        <v>0</v>
      </c>
      <c r="BC83" s="28">
        <f>_xlfn.XLOOKUP($B83,'GP6 (2)'!$B$5:$B$99,'GP6 (2)'!$H$5:$H$99,"")</f>
        <v>0</v>
      </c>
      <c r="BD83" s="24">
        <f>_xlfn.XLOOKUP($B83,'GP7 (1)'!$B$6:$B$100,'GP7 (1)'!$H$6:$H$100,"")</f>
        <v>0</v>
      </c>
      <c r="BE83" s="25">
        <f>_xlfn.XLOOKUP($B83,'GP7 (2)'!$B$6:$B$100,'GP7 (2)'!$H$6:$H$100,"")</f>
        <v>0</v>
      </c>
      <c r="BF83" s="27">
        <f>_xlfn.XLOOKUP($B83,'GP8 (1)'!$B$6:$B$100,'GP8 (1)'!$H$6:$H$100,"")</f>
        <v>0</v>
      </c>
      <c r="BG83" s="32">
        <f>_xlfn.XLOOKUP($B83,'GP8 (2)'!$B$6:$B$100,'GP8 (2)'!$H$6:$H$100,"")</f>
        <v>0</v>
      </c>
    </row>
    <row r="84" spans="1:59" ht="13.1" customHeight="1" x14ac:dyDescent="0.25">
      <c r="A84" s="1">
        <f>ROW()-4</f>
        <v>80</v>
      </c>
      <c r="B84" s="3"/>
      <c r="C84" s="30">
        <f>SUM(D84:U84)</f>
        <v>0</v>
      </c>
      <c r="D84" s="35">
        <f>_xlfn.XLOOKUP($B84,'MP (1)'!$B$6:$B$99,'MP (1)'!$E$6:$E$99,"")</f>
        <v>0</v>
      </c>
      <c r="E84" s="36">
        <f>_xlfn.XLOOKUP($B84,'MP (2)'!$B$6:$B$100,'MP (2)'!$E$6:$E$100,"")</f>
        <v>0</v>
      </c>
      <c r="F84" s="40">
        <f>_xlfn.XLOOKUP($B84,'GP1 (1)'!$B$6:$B$100,'GP1 (1)'!$E$6:$E$100,"")</f>
        <v>0</v>
      </c>
      <c r="G84" s="41">
        <f>_xlfn.XLOOKUP($B84,'GP1 (2)'!$B$6:$B$100,'GP1 (2)'!$E$6:$E$100,"")</f>
        <v>0</v>
      </c>
      <c r="H84" s="39">
        <f>_xlfn.XLOOKUP($B84,'GP2 (1)'!$B$6:$B$101,'GP2 (1)'!$E$6:$E$101,"")</f>
        <v>0</v>
      </c>
      <c r="I84" s="36">
        <f>_xlfn.XLOOKUP($B84,'GP2 (2)'!$B$6:$B$100,'GP2 (2)'!$E$6:$E$100,"")</f>
        <v>0</v>
      </c>
      <c r="J84" s="40">
        <f>_xlfn.XLOOKUP($B84,'GP3 (1)'!$B$6:$B$100,'GP3 (1)'!$E$6:$E$100,"")</f>
        <v>0</v>
      </c>
      <c r="K84" s="41">
        <f>_xlfn.XLOOKUP($B84,'GP3 (2)'!$B$6:$B$100,'GP3 (2)'!$E$6:$E$100,"")</f>
        <v>0</v>
      </c>
      <c r="L84" s="39">
        <f>_xlfn.XLOOKUP($B84,'GP4 (1)'!$B$6:$B$66,'GP4 (1)'!$E$6:$E$66,"")</f>
        <v>0</v>
      </c>
      <c r="M84" s="36">
        <f>_xlfn.XLOOKUP($B84,'GP4 (2)'!$B$6:$B$100,'GP4 (2)'!$E$6:$E$100,"")</f>
        <v>0</v>
      </c>
      <c r="N84" s="40">
        <f>_xlfn.XLOOKUP($B84,'GP5 (1)'!$B$6:$B$99,'GP5 (1)'!$E$6:$E$99,"")</f>
        <v>0</v>
      </c>
      <c r="O84" s="42">
        <f>_xlfn.XLOOKUP($B84,'GP5 (2)'!$B$6:$B$99,'GP5 (2)'!$E$6:$E$99,"")</f>
        <v>0</v>
      </c>
      <c r="P84" s="39">
        <f>_xlfn.XLOOKUP($B84,'GP6 (1)'!$B$5:$B$99,'GP6 (1)'!$E$5:$E$99,"")</f>
        <v>0</v>
      </c>
      <c r="Q84" s="36">
        <f>_xlfn.XLOOKUP($B84,'GP6 (2)'!$B$5:$B$99,'GP6 (2)'!$E$5:$E$99,"")</f>
        <v>0</v>
      </c>
      <c r="R84" s="40">
        <f>_xlfn.XLOOKUP($B84,'GP7 (1)'!$B$6:$B$100,'GP7 (1)'!$E$6:$E$100,"")</f>
        <v>0</v>
      </c>
      <c r="S84" s="42">
        <f>_xlfn.XLOOKUP($B84,'GP7 (2)'!$B$6:$B$100,'GP7 (2)'!$E$6:$E$100,"")</f>
        <v>0</v>
      </c>
      <c r="T84" s="39">
        <f>_xlfn.XLOOKUP($B84,'GP8 (1)'!$B$6:$B$100,'GP8 (1)'!$E$6:$E$100,"")</f>
        <v>0</v>
      </c>
      <c r="U84" s="35">
        <f>_xlfn.XLOOKUP($B84,'GP8 (2)'!$B$6:$B$100,'GP8 (2)'!$E$6:$E$100,"")</f>
        <v>0</v>
      </c>
      <c r="V84" s="13">
        <f>SUM(W84:AN84)</f>
        <v>0</v>
      </c>
      <c r="W84" s="29">
        <f>_xlfn.XLOOKUP($B84,'MP (1)'!$B$6:$B$99,'MP (1)'!$F$6:$F$99,"")</f>
        <v>0</v>
      </c>
      <c r="X84" s="28">
        <f>_xlfn.XLOOKUP($B84,'MP (2)'!$B$6:$B$100,'MP (2)'!$F$6:$F$100,"")</f>
        <v>0</v>
      </c>
      <c r="Y84" s="24">
        <f>_xlfn.XLOOKUP($B84,'GP1 (1)'!$B$6:$B$100,'GP1 (1)'!$F$6:$F$100,"")</f>
        <v>0</v>
      </c>
      <c r="Z84" s="25">
        <f>_xlfn.XLOOKUP($B84,'GP1 (2)'!$B$6:$B$100,'GP1 (2)'!$F$6:$F$100,"")</f>
        <v>0</v>
      </c>
      <c r="AA84" s="27">
        <f>_xlfn.XLOOKUP($B84,'GP2 (1)'!$B$6:$B$101,'GP2 (1)'!$F$6:$F$101,"")</f>
        <v>0</v>
      </c>
      <c r="AB84" s="28">
        <f>_xlfn.XLOOKUP($B84,'GP2 (2)'!$B$6:$B$100,'GP2 (2)'!$F$6:$F$100,"")</f>
        <v>0</v>
      </c>
      <c r="AC84" s="24">
        <f>_xlfn.XLOOKUP($B84,'GP3 (1)'!$B$6:$B$100,'GP3 (1)'!$F$6:$F$100,"")</f>
        <v>0</v>
      </c>
      <c r="AD84" s="25">
        <f>_xlfn.XLOOKUP($B84,'GP3 (2)'!$B$6:$B$100,'GP3 (2)'!$F$6:$F$100,"")</f>
        <v>0</v>
      </c>
      <c r="AE84" s="27">
        <f>_xlfn.XLOOKUP($B84,'GP4 (1)'!$B$6:$B$66,'GP4 (1)'!$F$6:$F$66,"")</f>
        <v>0</v>
      </c>
      <c r="AF84" s="28">
        <f>_xlfn.XLOOKUP($B84,'GP4 (2)'!$B$6:$B$100,'GP4 (2)'!$F$6:$F$100,"")</f>
        <v>0</v>
      </c>
      <c r="AG84" s="24">
        <f>_xlfn.XLOOKUP($B84,'GP5 (1)'!$B$6:$B$99,'GP5 (1)'!$F$6:$F$99,"")</f>
        <v>0</v>
      </c>
      <c r="AH84" s="26">
        <f>_xlfn.XLOOKUP($B84,'GP5 (2)'!$B$6:$B$99,'GP5 (2)'!$F$6:$F$99,"")</f>
        <v>0</v>
      </c>
      <c r="AI84" s="27">
        <f>_xlfn.XLOOKUP($B84,'GP6 (1)'!$B$5:$B$99,'GP6 (1)'!$F$5:$F$99,"")</f>
        <v>0</v>
      </c>
      <c r="AJ84" s="28">
        <f>_xlfn.XLOOKUP($B84,'GP6 (2)'!$B$5:$B$99,'GP6 (2)'!$F$5:$F$99,"")</f>
        <v>0</v>
      </c>
      <c r="AK84" s="24">
        <f>_xlfn.XLOOKUP($B84,'GP7 (1)'!$B$6:$B$100,'GP7 (1)'!$F$6:$F$100,"")</f>
        <v>0</v>
      </c>
      <c r="AL84" s="26">
        <f>_xlfn.XLOOKUP($B84,'GP7 (2)'!$B$6:$B$100,'GP7 (2)'!$F$6:$F$100,"")</f>
        <v>0</v>
      </c>
      <c r="AM84" s="27">
        <f>_xlfn.XLOOKUP($B84,'GP8 (1)'!$B$6:$B$100,'GP8 (1)'!$F$6:$F$100,"")</f>
        <v>0</v>
      </c>
      <c r="AN84" s="29">
        <f>_xlfn.XLOOKUP($B84,'GP8 (2)'!$B$6:$B$100,'GP8 (2)'!$F$6:$F$100,"")</f>
        <v>0</v>
      </c>
      <c r="AO84" s="13">
        <f>SUM(AP84:BG84)</f>
        <v>0</v>
      </c>
      <c r="AP84" s="29">
        <f>_xlfn.XLOOKUP($B84,'MP (1)'!$B$6:$B$99,'MP (1)'!$H$6:$H$99,"")</f>
        <v>0</v>
      </c>
      <c r="AQ84" s="28">
        <f>_xlfn.XLOOKUP($B84,'MP (2)'!$B$6:$B$100,'MP (2)'!$H$6:$H$100,"")</f>
        <v>0</v>
      </c>
      <c r="AR84" s="24">
        <f>_xlfn.XLOOKUP($B84,'GP1 (1)'!$B$6:$B$100,'GP1 (1)'!$H$6:$H$100,"")</f>
        <v>0</v>
      </c>
      <c r="AS84" s="25">
        <f>_xlfn.XLOOKUP($B84,'GP1 (2)'!$B$6:$B$100,'GP1 (2)'!$H$6:$H$100,"")</f>
        <v>0</v>
      </c>
      <c r="AT84" s="27">
        <f>_xlfn.XLOOKUP($B84,'GP2 (1)'!$B$6:$B$101,'GP2 (1)'!$H$6:$H$101,"")</f>
        <v>0</v>
      </c>
      <c r="AU84" s="28">
        <f>_xlfn.XLOOKUP($B84,'GP2 (2)'!$B$6:$B$100,'GP2 (2)'!$H$6:$H$100,"")</f>
        <v>0</v>
      </c>
      <c r="AV84" s="24">
        <f>_xlfn.XLOOKUP($B84,'GP3 (1)'!$B$6:$B$100,'GP3 (1)'!$H$6:$H$100,"")</f>
        <v>0</v>
      </c>
      <c r="AW84" s="25">
        <f>_xlfn.XLOOKUP($B84,'GP3 (2)'!$B$6:$B$100,'GP3 (2)'!$H$6:$H$100,"")</f>
        <v>0</v>
      </c>
      <c r="AX84" s="27">
        <f>_xlfn.XLOOKUP($B84,'GP4 (1)'!$B$6:$B$66,'GP4 (1)'!$H$6:$H$66,"")</f>
        <v>0</v>
      </c>
      <c r="AY84" s="28">
        <f>_xlfn.XLOOKUP($B84,'GP4 (2)'!$B$6:$B$100,'GP4 (2)'!$H$6:$H$100,"")</f>
        <v>0</v>
      </c>
      <c r="AZ84" s="24">
        <f>_xlfn.XLOOKUP($B84,'GP5 (1)'!$B$6:$B$99,'GP5 (1)'!$H$6:$H$99,"")</f>
        <v>0</v>
      </c>
      <c r="BA84" s="25">
        <f>_xlfn.XLOOKUP($B84,'GP5 (2)'!$B$6:$B$99,'GP5 (2)'!$H$6:$H$99,"")</f>
        <v>0</v>
      </c>
      <c r="BB84" s="27">
        <f>_xlfn.XLOOKUP($B84,'GP6 (1)'!$B$5:$B$99,'GP6 (1)'!$H$5:$H$99,"")</f>
        <v>0</v>
      </c>
      <c r="BC84" s="28">
        <f>_xlfn.XLOOKUP($B84,'GP6 (2)'!$B$5:$B$99,'GP6 (2)'!$H$5:$H$99,"")</f>
        <v>0</v>
      </c>
      <c r="BD84" s="24">
        <f>_xlfn.XLOOKUP($B84,'GP7 (1)'!$B$6:$B$100,'GP7 (1)'!$H$6:$H$100,"")</f>
        <v>0</v>
      </c>
      <c r="BE84" s="25">
        <f>_xlfn.XLOOKUP($B84,'GP7 (2)'!$B$6:$B$100,'GP7 (2)'!$H$6:$H$100,"")</f>
        <v>0</v>
      </c>
      <c r="BF84" s="27">
        <f>_xlfn.XLOOKUP($B84,'GP8 (1)'!$B$6:$B$100,'GP8 (1)'!$H$6:$H$100,"")</f>
        <v>0</v>
      </c>
      <c r="BG84" s="32">
        <f>_xlfn.XLOOKUP($B84,'GP8 (2)'!$B$6:$B$100,'GP8 (2)'!$H$6:$H$100,"")</f>
        <v>0</v>
      </c>
    </row>
    <row r="85" spans="1:59" ht="13.1" customHeight="1" x14ac:dyDescent="0.25">
      <c r="A85" s="1">
        <f>ROW()-4</f>
        <v>81</v>
      </c>
      <c r="B85" s="3"/>
      <c r="C85" s="30">
        <f>SUM(D85:U85)</f>
        <v>0</v>
      </c>
      <c r="D85" s="35">
        <f>_xlfn.XLOOKUP($B85,'MP (1)'!$B$6:$B$99,'MP (1)'!$E$6:$E$99,"")</f>
        <v>0</v>
      </c>
      <c r="E85" s="36">
        <f>_xlfn.XLOOKUP($B85,'MP (2)'!$B$6:$B$100,'MP (2)'!$E$6:$E$100,"")</f>
        <v>0</v>
      </c>
      <c r="F85" s="40">
        <f>_xlfn.XLOOKUP($B85,'GP1 (1)'!$B$6:$B$100,'GP1 (1)'!$E$6:$E$100,"")</f>
        <v>0</v>
      </c>
      <c r="G85" s="41">
        <f>_xlfn.XLOOKUP($B85,'GP1 (2)'!$B$6:$B$100,'GP1 (2)'!$E$6:$E$100,"")</f>
        <v>0</v>
      </c>
      <c r="H85" s="39">
        <f>_xlfn.XLOOKUP($B85,'GP2 (1)'!$B$6:$B$101,'GP2 (1)'!$E$6:$E$101,"")</f>
        <v>0</v>
      </c>
      <c r="I85" s="36">
        <f>_xlfn.XLOOKUP($B85,'GP2 (2)'!$B$6:$B$100,'GP2 (2)'!$E$6:$E$100,"")</f>
        <v>0</v>
      </c>
      <c r="J85" s="40">
        <f>_xlfn.XLOOKUP($B85,'GP3 (1)'!$B$6:$B$100,'GP3 (1)'!$E$6:$E$100,"")</f>
        <v>0</v>
      </c>
      <c r="K85" s="41">
        <f>_xlfn.XLOOKUP($B85,'GP3 (2)'!$B$6:$B$100,'GP3 (2)'!$E$6:$E$100,"")</f>
        <v>0</v>
      </c>
      <c r="L85" s="39">
        <f>_xlfn.XLOOKUP($B85,'GP4 (1)'!$B$6:$B$66,'GP4 (1)'!$E$6:$E$66,"")</f>
        <v>0</v>
      </c>
      <c r="M85" s="36">
        <f>_xlfn.XLOOKUP($B85,'GP4 (2)'!$B$6:$B$100,'GP4 (2)'!$E$6:$E$100,"")</f>
        <v>0</v>
      </c>
      <c r="N85" s="40">
        <f>_xlfn.XLOOKUP($B85,'GP5 (1)'!$B$6:$B$99,'GP5 (1)'!$E$6:$E$99,"")</f>
        <v>0</v>
      </c>
      <c r="O85" s="42">
        <f>_xlfn.XLOOKUP($B85,'GP5 (2)'!$B$6:$B$99,'GP5 (2)'!$E$6:$E$99,"")</f>
        <v>0</v>
      </c>
      <c r="P85" s="39">
        <f>_xlfn.XLOOKUP($B85,'GP6 (1)'!$B$5:$B$99,'GP6 (1)'!$E$5:$E$99,"")</f>
        <v>0</v>
      </c>
      <c r="Q85" s="36">
        <f>_xlfn.XLOOKUP($B85,'GP6 (2)'!$B$5:$B$99,'GP6 (2)'!$E$5:$E$99,"")</f>
        <v>0</v>
      </c>
      <c r="R85" s="40">
        <f>_xlfn.XLOOKUP($B85,'GP7 (1)'!$B$6:$B$100,'GP7 (1)'!$E$6:$E$100,"")</f>
        <v>0</v>
      </c>
      <c r="S85" s="42">
        <f>_xlfn.XLOOKUP($B85,'GP7 (2)'!$B$6:$B$100,'GP7 (2)'!$E$6:$E$100,"")</f>
        <v>0</v>
      </c>
      <c r="T85" s="39">
        <f>_xlfn.XLOOKUP($B85,'GP8 (1)'!$B$6:$B$100,'GP8 (1)'!$E$6:$E$100,"")</f>
        <v>0</v>
      </c>
      <c r="U85" s="35">
        <f>_xlfn.XLOOKUP($B85,'GP8 (2)'!$B$6:$B$100,'GP8 (2)'!$E$6:$E$100,"")</f>
        <v>0</v>
      </c>
      <c r="V85" s="13">
        <f>SUM(W85:AN85)</f>
        <v>0</v>
      </c>
      <c r="W85" s="29">
        <f>_xlfn.XLOOKUP($B85,'MP (1)'!$B$6:$B$99,'MP (1)'!$F$6:$F$99,"")</f>
        <v>0</v>
      </c>
      <c r="X85" s="28">
        <f>_xlfn.XLOOKUP($B85,'MP (2)'!$B$6:$B$100,'MP (2)'!$F$6:$F$100,"")</f>
        <v>0</v>
      </c>
      <c r="Y85" s="24">
        <f>_xlfn.XLOOKUP($B85,'GP1 (1)'!$B$6:$B$100,'GP1 (1)'!$F$6:$F$100,"")</f>
        <v>0</v>
      </c>
      <c r="Z85" s="25">
        <f>_xlfn.XLOOKUP($B85,'GP1 (2)'!$B$6:$B$100,'GP1 (2)'!$F$6:$F$100,"")</f>
        <v>0</v>
      </c>
      <c r="AA85" s="27">
        <f>_xlfn.XLOOKUP($B85,'GP2 (1)'!$B$6:$B$101,'GP2 (1)'!$F$6:$F$101,"")</f>
        <v>0</v>
      </c>
      <c r="AB85" s="28">
        <f>_xlfn.XLOOKUP($B85,'GP2 (2)'!$B$6:$B$100,'GP2 (2)'!$F$6:$F$100,"")</f>
        <v>0</v>
      </c>
      <c r="AC85" s="24">
        <f>_xlfn.XLOOKUP($B85,'GP3 (1)'!$B$6:$B$100,'GP3 (1)'!$F$6:$F$100,"")</f>
        <v>0</v>
      </c>
      <c r="AD85" s="25">
        <f>_xlfn.XLOOKUP($B85,'GP3 (2)'!$B$6:$B$100,'GP3 (2)'!$F$6:$F$100,"")</f>
        <v>0</v>
      </c>
      <c r="AE85" s="27">
        <f>_xlfn.XLOOKUP($B85,'GP4 (1)'!$B$6:$B$66,'GP4 (1)'!$F$6:$F$66,"")</f>
        <v>0</v>
      </c>
      <c r="AF85" s="28">
        <f>_xlfn.XLOOKUP($B85,'GP4 (2)'!$B$6:$B$100,'GP4 (2)'!$F$6:$F$100,"")</f>
        <v>0</v>
      </c>
      <c r="AG85" s="24">
        <f>_xlfn.XLOOKUP($B85,'GP5 (1)'!$B$6:$B$99,'GP5 (1)'!$F$6:$F$99,"")</f>
        <v>0</v>
      </c>
      <c r="AH85" s="26">
        <f>_xlfn.XLOOKUP($B85,'GP5 (2)'!$B$6:$B$99,'GP5 (2)'!$F$6:$F$99,"")</f>
        <v>0</v>
      </c>
      <c r="AI85" s="27">
        <f>_xlfn.XLOOKUP($B85,'GP6 (1)'!$B$5:$B$99,'GP6 (1)'!$F$5:$F$99,"")</f>
        <v>0</v>
      </c>
      <c r="AJ85" s="28">
        <f>_xlfn.XLOOKUP($B85,'GP6 (2)'!$B$5:$B$99,'GP6 (2)'!$F$5:$F$99,"")</f>
        <v>0</v>
      </c>
      <c r="AK85" s="24">
        <f>_xlfn.XLOOKUP($B85,'GP7 (1)'!$B$6:$B$100,'GP7 (1)'!$F$6:$F$100,"")</f>
        <v>0</v>
      </c>
      <c r="AL85" s="26">
        <f>_xlfn.XLOOKUP($B85,'GP7 (2)'!$B$6:$B$100,'GP7 (2)'!$F$6:$F$100,"")</f>
        <v>0</v>
      </c>
      <c r="AM85" s="27">
        <f>_xlfn.XLOOKUP($B85,'GP8 (1)'!$B$6:$B$100,'GP8 (1)'!$F$6:$F$100,"")</f>
        <v>0</v>
      </c>
      <c r="AN85" s="29">
        <f>_xlfn.XLOOKUP($B85,'GP8 (2)'!$B$6:$B$100,'GP8 (2)'!$F$6:$F$100,"")</f>
        <v>0</v>
      </c>
      <c r="AO85" s="13">
        <f>SUM(AP85:BG85)</f>
        <v>0</v>
      </c>
      <c r="AP85" s="29">
        <f>_xlfn.XLOOKUP($B85,'MP (1)'!$B$6:$B$99,'MP (1)'!$H$6:$H$99,"")</f>
        <v>0</v>
      </c>
      <c r="AQ85" s="28">
        <f>_xlfn.XLOOKUP($B85,'MP (2)'!$B$6:$B$100,'MP (2)'!$H$6:$H$100,"")</f>
        <v>0</v>
      </c>
      <c r="AR85" s="24">
        <f>_xlfn.XLOOKUP($B85,'GP1 (1)'!$B$6:$B$100,'GP1 (1)'!$H$6:$H$100,"")</f>
        <v>0</v>
      </c>
      <c r="AS85" s="25">
        <f>_xlfn.XLOOKUP($B85,'GP1 (2)'!$B$6:$B$100,'GP1 (2)'!$H$6:$H$100,"")</f>
        <v>0</v>
      </c>
      <c r="AT85" s="27">
        <f>_xlfn.XLOOKUP($B85,'GP2 (1)'!$B$6:$B$101,'GP2 (1)'!$H$6:$H$101,"")</f>
        <v>0</v>
      </c>
      <c r="AU85" s="28">
        <f>_xlfn.XLOOKUP($B85,'GP2 (2)'!$B$6:$B$100,'GP2 (2)'!$H$6:$H$100,"")</f>
        <v>0</v>
      </c>
      <c r="AV85" s="24">
        <f>_xlfn.XLOOKUP($B85,'GP3 (1)'!$B$6:$B$100,'GP3 (1)'!$H$6:$H$100,"")</f>
        <v>0</v>
      </c>
      <c r="AW85" s="25">
        <f>_xlfn.XLOOKUP($B85,'GP3 (2)'!$B$6:$B$100,'GP3 (2)'!$H$6:$H$100,"")</f>
        <v>0</v>
      </c>
      <c r="AX85" s="27">
        <f>_xlfn.XLOOKUP($B85,'GP4 (1)'!$B$6:$B$66,'GP4 (1)'!$H$6:$H$66,"")</f>
        <v>0</v>
      </c>
      <c r="AY85" s="28">
        <f>_xlfn.XLOOKUP($B85,'GP4 (2)'!$B$6:$B$100,'GP4 (2)'!$H$6:$H$100,"")</f>
        <v>0</v>
      </c>
      <c r="AZ85" s="24">
        <f>_xlfn.XLOOKUP($B85,'GP5 (1)'!$B$6:$B$99,'GP5 (1)'!$H$6:$H$99,"")</f>
        <v>0</v>
      </c>
      <c r="BA85" s="25">
        <f>_xlfn.XLOOKUP($B85,'GP5 (2)'!$B$6:$B$99,'GP5 (2)'!$H$6:$H$99,"")</f>
        <v>0</v>
      </c>
      <c r="BB85" s="27">
        <f>_xlfn.XLOOKUP($B85,'GP6 (1)'!$B$5:$B$99,'GP6 (1)'!$H$5:$H$99,"")</f>
        <v>0</v>
      </c>
      <c r="BC85" s="28">
        <f>_xlfn.XLOOKUP($B85,'GP6 (2)'!$B$5:$B$99,'GP6 (2)'!$H$5:$H$99,"")</f>
        <v>0</v>
      </c>
      <c r="BD85" s="24">
        <f>_xlfn.XLOOKUP($B85,'GP7 (1)'!$B$6:$B$100,'GP7 (1)'!$H$6:$H$100,"")</f>
        <v>0</v>
      </c>
      <c r="BE85" s="25">
        <f>_xlfn.XLOOKUP($B85,'GP7 (2)'!$B$6:$B$100,'GP7 (2)'!$H$6:$H$100,"")</f>
        <v>0</v>
      </c>
      <c r="BF85" s="27">
        <f>_xlfn.XLOOKUP($B85,'GP8 (1)'!$B$6:$B$100,'GP8 (1)'!$H$6:$H$100,"")</f>
        <v>0</v>
      </c>
      <c r="BG85" s="32">
        <f>_xlfn.XLOOKUP($B85,'GP8 (2)'!$B$6:$B$100,'GP8 (2)'!$H$6:$H$100,"")</f>
        <v>0</v>
      </c>
    </row>
    <row r="86" spans="1:59" ht="13.1" customHeight="1" x14ac:dyDescent="0.25">
      <c r="A86" s="1">
        <f>ROW()-4</f>
        <v>82</v>
      </c>
      <c r="B86" s="3"/>
      <c r="C86" s="30">
        <f>SUM(D86:U86)</f>
        <v>0</v>
      </c>
      <c r="D86" s="35">
        <f>_xlfn.XLOOKUP($B86,'MP (1)'!$B$6:$B$99,'MP (1)'!$E$6:$E$99,"")</f>
        <v>0</v>
      </c>
      <c r="E86" s="36">
        <f>_xlfn.XLOOKUP($B86,'MP (2)'!$B$6:$B$100,'MP (2)'!$E$6:$E$100,"")</f>
        <v>0</v>
      </c>
      <c r="F86" s="40">
        <f>_xlfn.XLOOKUP($B86,'GP1 (1)'!$B$6:$B$100,'GP1 (1)'!$E$6:$E$100,"")</f>
        <v>0</v>
      </c>
      <c r="G86" s="41">
        <f>_xlfn.XLOOKUP($B86,'GP1 (2)'!$B$6:$B$100,'GP1 (2)'!$E$6:$E$100,"")</f>
        <v>0</v>
      </c>
      <c r="H86" s="39">
        <f>_xlfn.XLOOKUP($B86,'GP2 (1)'!$B$6:$B$101,'GP2 (1)'!$E$6:$E$101,"")</f>
        <v>0</v>
      </c>
      <c r="I86" s="36">
        <f>_xlfn.XLOOKUP($B86,'GP2 (2)'!$B$6:$B$100,'GP2 (2)'!$E$6:$E$100,"")</f>
        <v>0</v>
      </c>
      <c r="J86" s="40">
        <f>_xlfn.XLOOKUP($B86,'GP3 (1)'!$B$6:$B$100,'GP3 (1)'!$E$6:$E$100,"")</f>
        <v>0</v>
      </c>
      <c r="K86" s="41">
        <f>_xlfn.XLOOKUP($B86,'GP3 (2)'!$B$6:$B$100,'GP3 (2)'!$E$6:$E$100,"")</f>
        <v>0</v>
      </c>
      <c r="L86" s="39">
        <f>_xlfn.XLOOKUP($B86,'GP4 (1)'!$B$6:$B$66,'GP4 (1)'!$E$6:$E$66,"")</f>
        <v>0</v>
      </c>
      <c r="M86" s="36">
        <f>_xlfn.XLOOKUP($B86,'GP4 (2)'!$B$6:$B$100,'GP4 (2)'!$E$6:$E$100,"")</f>
        <v>0</v>
      </c>
      <c r="N86" s="40">
        <f>_xlfn.XLOOKUP($B86,'GP5 (1)'!$B$6:$B$99,'GP5 (1)'!$E$6:$E$99,"")</f>
        <v>0</v>
      </c>
      <c r="O86" s="42">
        <f>_xlfn.XLOOKUP($B86,'GP5 (2)'!$B$6:$B$99,'GP5 (2)'!$E$6:$E$99,"")</f>
        <v>0</v>
      </c>
      <c r="P86" s="39">
        <f>_xlfn.XLOOKUP($B86,'GP6 (1)'!$B$5:$B$99,'GP6 (1)'!$E$5:$E$99,"")</f>
        <v>0</v>
      </c>
      <c r="Q86" s="36">
        <f>_xlfn.XLOOKUP($B86,'GP6 (2)'!$B$5:$B$99,'GP6 (2)'!$E$5:$E$99,"")</f>
        <v>0</v>
      </c>
      <c r="R86" s="40">
        <f>_xlfn.XLOOKUP($B86,'GP7 (1)'!$B$6:$B$100,'GP7 (1)'!$E$6:$E$100,"")</f>
        <v>0</v>
      </c>
      <c r="S86" s="42">
        <f>_xlfn.XLOOKUP($B86,'GP7 (2)'!$B$6:$B$100,'GP7 (2)'!$E$6:$E$100,"")</f>
        <v>0</v>
      </c>
      <c r="T86" s="39">
        <f>_xlfn.XLOOKUP($B86,'GP8 (1)'!$B$6:$B$100,'GP8 (1)'!$E$6:$E$100,"")</f>
        <v>0</v>
      </c>
      <c r="U86" s="35">
        <f>_xlfn.XLOOKUP($B86,'GP8 (2)'!$B$6:$B$100,'GP8 (2)'!$E$6:$E$100,"")</f>
        <v>0</v>
      </c>
      <c r="V86" s="13">
        <f>SUM(W86:AN86)</f>
        <v>0</v>
      </c>
      <c r="W86" s="29">
        <f>_xlfn.XLOOKUP($B86,'MP (1)'!$B$6:$B$99,'MP (1)'!$F$6:$F$99,"")</f>
        <v>0</v>
      </c>
      <c r="X86" s="28">
        <f>_xlfn.XLOOKUP($B86,'MP (2)'!$B$6:$B$100,'MP (2)'!$F$6:$F$100,"")</f>
        <v>0</v>
      </c>
      <c r="Y86" s="24">
        <f>_xlfn.XLOOKUP($B86,'GP1 (1)'!$B$6:$B$100,'GP1 (1)'!$F$6:$F$100,"")</f>
        <v>0</v>
      </c>
      <c r="Z86" s="25">
        <f>_xlfn.XLOOKUP($B86,'GP1 (2)'!$B$6:$B$100,'GP1 (2)'!$F$6:$F$100,"")</f>
        <v>0</v>
      </c>
      <c r="AA86" s="27">
        <f>_xlfn.XLOOKUP($B86,'GP2 (1)'!$B$6:$B$101,'GP2 (1)'!$F$6:$F$101,"")</f>
        <v>0</v>
      </c>
      <c r="AB86" s="28">
        <f>_xlfn.XLOOKUP($B86,'GP2 (2)'!$B$6:$B$100,'GP2 (2)'!$F$6:$F$100,"")</f>
        <v>0</v>
      </c>
      <c r="AC86" s="24">
        <f>_xlfn.XLOOKUP($B86,'GP3 (1)'!$B$6:$B$100,'GP3 (1)'!$F$6:$F$100,"")</f>
        <v>0</v>
      </c>
      <c r="AD86" s="25">
        <f>_xlfn.XLOOKUP($B86,'GP3 (2)'!$B$6:$B$100,'GP3 (2)'!$F$6:$F$100,"")</f>
        <v>0</v>
      </c>
      <c r="AE86" s="27">
        <f>_xlfn.XLOOKUP($B86,'GP4 (1)'!$B$6:$B$66,'GP4 (1)'!$F$6:$F$66,"")</f>
        <v>0</v>
      </c>
      <c r="AF86" s="28">
        <f>_xlfn.XLOOKUP($B86,'GP4 (2)'!$B$6:$B$100,'GP4 (2)'!$F$6:$F$100,"")</f>
        <v>0</v>
      </c>
      <c r="AG86" s="24">
        <f>_xlfn.XLOOKUP($B86,'GP5 (1)'!$B$6:$B$99,'GP5 (1)'!$F$6:$F$99,"")</f>
        <v>0</v>
      </c>
      <c r="AH86" s="26">
        <f>_xlfn.XLOOKUP($B86,'GP5 (2)'!$B$6:$B$99,'GP5 (2)'!$F$6:$F$99,"")</f>
        <v>0</v>
      </c>
      <c r="AI86" s="27">
        <f>_xlfn.XLOOKUP($B86,'GP6 (1)'!$B$5:$B$99,'GP6 (1)'!$F$5:$F$99,"")</f>
        <v>0</v>
      </c>
      <c r="AJ86" s="28">
        <f>_xlfn.XLOOKUP($B86,'GP6 (2)'!$B$5:$B$99,'GP6 (2)'!$F$5:$F$99,"")</f>
        <v>0</v>
      </c>
      <c r="AK86" s="24">
        <f>_xlfn.XLOOKUP($B86,'GP7 (1)'!$B$6:$B$100,'GP7 (1)'!$F$6:$F$100,"")</f>
        <v>0</v>
      </c>
      <c r="AL86" s="26">
        <f>_xlfn.XLOOKUP($B86,'GP7 (2)'!$B$6:$B$100,'GP7 (2)'!$F$6:$F$100,"")</f>
        <v>0</v>
      </c>
      <c r="AM86" s="27">
        <f>_xlfn.XLOOKUP($B86,'GP8 (1)'!$B$6:$B$100,'GP8 (1)'!$F$6:$F$100,"")</f>
        <v>0</v>
      </c>
      <c r="AN86" s="29">
        <f>_xlfn.XLOOKUP($B86,'GP8 (2)'!$B$6:$B$100,'GP8 (2)'!$F$6:$F$100,"")</f>
        <v>0</v>
      </c>
      <c r="AO86" s="13">
        <f>SUM(AP86:BG86)</f>
        <v>0</v>
      </c>
      <c r="AP86" s="29">
        <f>_xlfn.XLOOKUP($B86,'MP (1)'!$B$6:$B$99,'MP (1)'!$H$6:$H$99,"")</f>
        <v>0</v>
      </c>
      <c r="AQ86" s="28">
        <f>_xlfn.XLOOKUP($B86,'MP (2)'!$B$6:$B$100,'MP (2)'!$H$6:$H$100,"")</f>
        <v>0</v>
      </c>
      <c r="AR86" s="24">
        <f>_xlfn.XLOOKUP($B86,'GP1 (1)'!$B$6:$B$100,'GP1 (1)'!$H$6:$H$100,"")</f>
        <v>0</v>
      </c>
      <c r="AS86" s="25">
        <f>_xlfn.XLOOKUP($B86,'GP1 (2)'!$B$6:$B$100,'GP1 (2)'!$H$6:$H$100,"")</f>
        <v>0</v>
      </c>
      <c r="AT86" s="27">
        <f>_xlfn.XLOOKUP($B86,'GP2 (1)'!$B$6:$B$101,'GP2 (1)'!$H$6:$H$101,"")</f>
        <v>0</v>
      </c>
      <c r="AU86" s="28">
        <f>_xlfn.XLOOKUP($B86,'GP2 (2)'!$B$6:$B$100,'GP2 (2)'!$H$6:$H$100,"")</f>
        <v>0</v>
      </c>
      <c r="AV86" s="24">
        <f>_xlfn.XLOOKUP($B86,'GP3 (1)'!$B$6:$B$100,'GP3 (1)'!$H$6:$H$100,"")</f>
        <v>0</v>
      </c>
      <c r="AW86" s="25">
        <f>_xlfn.XLOOKUP($B86,'GP3 (2)'!$B$6:$B$100,'GP3 (2)'!$H$6:$H$100,"")</f>
        <v>0</v>
      </c>
      <c r="AX86" s="27">
        <f>_xlfn.XLOOKUP($B86,'GP4 (1)'!$B$6:$B$66,'GP4 (1)'!$H$6:$H$66,"")</f>
        <v>0</v>
      </c>
      <c r="AY86" s="28">
        <f>_xlfn.XLOOKUP($B86,'GP4 (2)'!$B$6:$B$100,'GP4 (2)'!$H$6:$H$100,"")</f>
        <v>0</v>
      </c>
      <c r="AZ86" s="24">
        <f>_xlfn.XLOOKUP($B86,'GP5 (1)'!$B$6:$B$99,'GP5 (1)'!$H$6:$H$99,"")</f>
        <v>0</v>
      </c>
      <c r="BA86" s="25">
        <f>_xlfn.XLOOKUP($B86,'GP5 (2)'!$B$6:$B$99,'GP5 (2)'!$H$6:$H$99,"")</f>
        <v>0</v>
      </c>
      <c r="BB86" s="27">
        <f>_xlfn.XLOOKUP($B86,'GP6 (1)'!$B$5:$B$99,'GP6 (1)'!$H$5:$H$99,"")</f>
        <v>0</v>
      </c>
      <c r="BC86" s="28">
        <f>_xlfn.XLOOKUP($B86,'GP6 (2)'!$B$5:$B$99,'GP6 (2)'!$H$5:$H$99,"")</f>
        <v>0</v>
      </c>
      <c r="BD86" s="24">
        <f>_xlfn.XLOOKUP($B86,'GP7 (1)'!$B$6:$B$100,'GP7 (1)'!$H$6:$H$100,"")</f>
        <v>0</v>
      </c>
      <c r="BE86" s="25">
        <f>_xlfn.XLOOKUP($B86,'GP7 (2)'!$B$6:$B$100,'GP7 (2)'!$H$6:$H$100,"")</f>
        <v>0</v>
      </c>
      <c r="BF86" s="27">
        <f>_xlfn.XLOOKUP($B86,'GP8 (1)'!$B$6:$B$100,'GP8 (1)'!$H$6:$H$100,"")</f>
        <v>0</v>
      </c>
      <c r="BG86" s="32">
        <f>_xlfn.XLOOKUP($B86,'GP8 (2)'!$B$6:$B$100,'GP8 (2)'!$H$6:$H$100,"")</f>
        <v>0</v>
      </c>
    </row>
    <row r="87" spans="1:59" ht="13.1" customHeight="1" x14ac:dyDescent="0.25">
      <c r="A87" s="1">
        <f>ROW()-4</f>
        <v>83</v>
      </c>
      <c r="B87" s="3"/>
      <c r="C87" s="30">
        <f>SUM(D87:U87)</f>
        <v>0</v>
      </c>
      <c r="D87" s="35">
        <f>_xlfn.XLOOKUP($B87,'MP (1)'!$B$6:$B$99,'MP (1)'!$E$6:$E$99,"")</f>
        <v>0</v>
      </c>
      <c r="E87" s="36">
        <f>_xlfn.XLOOKUP($B87,'MP (2)'!$B$6:$B$100,'MP (2)'!$E$6:$E$100,"")</f>
        <v>0</v>
      </c>
      <c r="F87" s="40">
        <f>_xlfn.XLOOKUP($B87,'GP1 (1)'!$B$6:$B$100,'GP1 (1)'!$E$6:$E$100,"")</f>
        <v>0</v>
      </c>
      <c r="G87" s="41">
        <f>_xlfn.XLOOKUP($B87,'GP1 (2)'!$B$6:$B$100,'GP1 (2)'!$E$6:$E$100,"")</f>
        <v>0</v>
      </c>
      <c r="H87" s="39">
        <f>_xlfn.XLOOKUP($B87,'GP2 (1)'!$B$6:$B$101,'GP2 (1)'!$E$6:$E$101,"")</f>
        <v>0</v>
      </c>
      <c r="I87" s="36">
        <f>_xlfn.XLOOKUP($B87,'GP2 (2)'!$B$6:$B$100,'GP2 (2)'!$E$6:$E$100,"")</f>
        <v>0</v>
      </c>
      <c r="J87" s="40">
        <f>_xlfn.XLOOKUP($B87,'GP3 (1)'!$B$6:$B$100,'GP3 (1)'!$E$6:$E$100,"")</f>
        <v>0</v>
      </c>
      <c r="K87" s="41">
        <f>_xlfn.XLOOKUP($B87,'GP3 (2)'!$B$6:$B$100,'GP3 (2)'!$E$6:$E$100,"")</f>
        <v>0</v>
      </c>
      <c r="L87" s="39">
        <f>_xlfn.XLOOKUP($B87,'GP4 (1)'!$B$6:$B$66,'GP4 (1)'!$E$6:$E$66,"")</f>
        <v>0</v>
      </c>
      <c r="M87" s="36">
        <f>_xlfn.XLOOKUP($B87,'GP4 (2)'!$B$6:$B$100,'GP4 (2)'!$E$6:$E$100,"")</f>
        <v>0</v>
      </c>
      <c r="N87" s="40">
        <f>_xlfn.XLOOKUP($B87,'GP5 (1)'!$B$6:$B$99,'GP5 (1)'!$E$6:$E$99,"")</f>
        <v>0</v>
      </c>
      <c r="O87" s="42">
        <f>_xlfn.XLOOKUP($B87,'GP5 (2)'!$B$6:$B$99,'GP5 (2)'!$E$6:$E$99,"")</f>
        <v>0</v>
      </c>
      <c r="P87" s="39">
        <f>_xlfn.XLOOKUP($B87,'GP6 (1)'!$B$5:$B$99,'GP6 (1)'!$E$5:$E$99,"")</f>
        <v>0</v>
      </c>
      <c r="Q87" s="36">
        <f>_xlfn.XLOOKUP($B87,'GP6 (2)'!$B$5:$B$99,'GP6 (2)'!$E$5:$E$99,"")</f>
        <v>0</v>
      </c>
      <c r="R87" s="40">
        <f>_xlfn.XLOOKUP($B87,'GP7 (1)'!$B$6:$B$100,'GP7 (1)'!$E$6:$E$100,"")</f>
        <v>0</v>
      </c>
      <c r="S87" s="42">
        <f>_xlfn.XLOOKUP($B87,'GP7 (2)'!$B$6:$B$100,'GP7 (2)'!$E$6:$E$100,"")</f>
        <v>0</v>
      </c>
      <c r="T87" s="39">
        <f>_xlfn.XLOOKUP($B87,'GP8 (1)'!$B$6:$B$100,'GP8 (1)'!$E$6:$E$100,"")</f>
        <v>0</v>
      </c>
      <c r="U87" s="35">
        <f>_xlfn.XLOOKUP($B87,'GP8 (2)'!$B$6:$B$100,'GP8 (2)'!$E$6:$E$100,"")</f>
        <v>0</v>
      </c>
      <c r="V87" s="13">
        <f>SUM(W87:AN87)</f>
        <v>0</v>
      </c>
      <c r="W87" s="29">
        <f>_xlfn.XLOOKUP($B87,'MP (1)'!$B$6:$B$99,'MP (1)'!$F$6:$F$99,"")</f>
        <v>0</v>
      </c>
      <c r="X87" s="28">
        <f>_xlfn.XLOOKUP($B87,'MP (2)'!$B$6:$B$100,'MP (2)'!$F$6:$F$100,"")</f>
        <v>0</v>
      </c>
      <c r="Y87" s="24">
        <f>_xlfn.XLOOKUP($B87,'GP1 (1)'!$B$6:$B$100,'GP1 (1)'!$F$6:$F$100,"")</f>
        <v>0</v>
      </c>
      <c r="Z87" s="25">
        <f>_xlfn.XLOOKUP($B87,'GP1 (2)'!$B$6:$B$100,'GP1 (2)'!$F$6:$F$100,"")</f>
        <v>0</v>
      </c>
      <c r="AA87" s="27">
        <f>_xlfn.XLOOKUP($B87,'GP2 (1)'!$B$6:$B$101,'GP2 (1)'!$F$6:$F$101,"")</f>
        <v>0</v>
      </c>
      <c r="AB87" s="28">
        <f>_xlfn.XLOOKUP($B87,'GP2 (2)'!$B$6:$B$100,'GP2 (2)'!$F$6:$F$100,"")</f>
        <v>0</v>
      </c>
      <c r="AC87" s="24">
        <f>_xlfn.XLOOKUP($B87,'GP3 (1)'!$B$6:$B$100,'GP3 (1)'!$F$6:$F$100,"")</f>
        <v>0</v>
      </c>
      <c r="AD87" s="25">
        <f>_xlfn.XLOOKUP($B87,'GP3 (2)'!$B$6:$B$100,'GP3 (2)'!$F$6:$F$100,"")</f>
        <v>0</v>
      </c>
      <c r="AE87" s="27">
        <f>_xlfn.XLOOKUP($B87,'GP4 (1)'!$B$6:$B$66,'GP4 (1)'!$F$6:$F$66,"")</f>
        <v>0</v>
      </c>
      <c r="AF87" s="28">
        <f>_xlfn.XLOOKUP($B87,'GP4 (2)'!$B$6:$B$100,'GP4 (2)'!$F$6:$F$100,"")</f>
        <v>0</v>
      </c>
      <c r="AG87" s="24">
        <f>_xlfn.XLOOKUP($B87,'GP5 (1)'!$B$6:$B$99,'GP5 (1)'!$F$6:$F$99,"")</f>
        <v>0</v>
      </c>
      <c r="AH87" s="26">
        <f>_xlfn.XLOOKUP($B87,'GP5 (2)'!$B$6:$B$99,'GP5 (2)'!$F$6:$F$99,"")</f>
        <v>0</v>
      </c>
      <c r="AI87" s="27">
        <f>_xlfn.XLOOKUP($B87,'GP6 (1)'!$B$5:$B$99,'GP6 (1)'!$F$5:$F$99,"")</f>
        <v>0</v>
      </c>
      <c r="AJ87" s="28">
        <f>_xlfn.XLOOKUP($B87,'GP6 (2)'!$B$5:$B$99,'GP6 (2)'!$F$5:$F$99,"")</f>
        <v>0</v>
      </c>
      <c r="AK87" s="24">
        <f>_xlfn.XLOOKUP($B87,'GP7 (1)'!$B$6:$B$100,'GP7 (1)'!$F$6:$F$100,"")</f>
        <v>0</v>
      </c>
      <c r="AL87" s="26">
        <f>_xlfn.XLOOKUP($B87,'GP7 (2)'!$B$6:$B$100,'GP7 (2)'!$F$6:$F$100,"")</f>
        <v>0</v>
      </c>
      <c r="AM87" s="27">
        <f>_xlfn.XLOOKUP($B87,'GP8 (1)'!$B$6:$B$100,'GP8 (1)'!$F$6:$F$100,"")</f>
        <v>0</v>
      </c>
      <c r="AN87" s="29">
        <f>_xlfn.XLOOKUP($B87,'GP8 (2)'!$B$6:$B$100,'GP8 (2)'!$F$6:$F$100,"")</f>
        <v>0</v>
      </c>
      <c r="AO87" s="13">
        <f>SUM(AP87:BG87)</f>
        <v>0</v>
      </c>
      <c r="AP87" s="29">
        <f>_xlfn.XLOOKUP($B87,'MP (1)'!$B$6:$B$99,'MP (1)'!$H$6:$H$99,"")</f>
        <v>0</v>
      </c>
      <c r="AQ87" s="28">
        <f>_xlfn.XLOOKUP($B87,'MP (2)'!$B$6:$B$100,'MP (2)'!$H$6:$H$100,"")</f>
        <v>0</v>
      </c>
      <c r="AR87" s="24">
        <f>_xlfn.XLOOKUP($B87,'GP1 (1)'!$B$6:$B$100,'GP1 (1)'!$H$6:$H$100,"")</f>
        <v>0</v>
      </c>
      <c r="AS87" s="25">
        <f>_xlfn.XLOOKUP($B87,'GP1 (2)'!$B$6:$B$100,'GP1 (2)'!$H$6:$H$100,"")</f>
        <v>0</v>
      </c>
      <c r="AT87" s="27">
        <f>_xlfn.XLOOKUP($B87,'GP2 (1)'!$B$6:$B$101,'GP2 (1)'!$H$6:$H$101,"")</f>
        <v>0</v>
      </c>
      <c r="AU87" s="28">
        <f>_xlfn.XLOOKUP($B87,'GP2 (2)'!$B$6:$B$100,'GP2 (2)'!$H$6:$H$100,"")</f>
        <v>0</v>
      </c>
      <c r="AV87" s="24">
        <f>_xlfn.XLOOKUP($B87,'GP3 (1)'!$B$6:$B$100,'GP3 (1)'!$H$6:$H$100,"")</f>
        <v>0</v>
      </c>
      <c r="AW87" s="25">
        <f>_xlfn.XLOOKUP($B87,'GP3 (2)'!$B$6:$B$100,'GP3 (2)'!$H$6:$H$100,"")</f>
        <v>0</v>
      </c>
      <c r="AX87" s="27">
        <f>_xlfn.XLOOKUP($B87,'GP4 (1)'!$B$6:$B$66,'GP4 (1)'!$H$6:$H$66,"")</f>
        <v>0</v>
      </c>
      <c r="AY87" s="28">
        <f>_xlfn.XLOOKUP($B87,'GP4 (2)'!$B$6:$B$100,'GP4 (2)'!$H$6:$H$100,"")</f>
        <v>0</v>
      </c>
      <c r="AZ87" s="24">
        <f>_xlfn.XLOOKUP($B87,'GP5 (1)'!$B$6:$B$99,'GP5 (1)'!$H$6:$H$99,"")</f>
        <v>0</v>
      </c>
      <c r="BA87" s="25">
        <f>_xlfn.XLOOKUP($B87,'GP5 (2)'!$B$6:$B$99,'GP5 (2)'!$H$6:$H$99,"")</f>
        <v>0</v>
      </c>
      <c r="BB87" s="27">
        <f>_xlfn.XLOOKUP($B87,'GP6 (1)'!$B$5:$B$99,'GP6 (1)'!$H$5:$H$99,"")</f>
        <v>0</v>
      </c>
      <c r="BC87" s="28">
        <f>_xlfn.XLOOKUP($B87,'GP6 (2)'!$B$5:$B$99,'GP6 (2)'!$H$5:$H$99,"")</f>
        <v>0</v>
      </c>
      <c r="BD87" s="24">
        <f>_xlfn.XLOOKUP($B87,'GP7 (1)'!$B$6:$B$100,'GP7 (1)'!$H$6:$H$100,"")</f>
        <v>0</v>
      </c>
      <c r="BE87" s="25">
        <f>_xlfn.XLOOKUP($B87,'GP7 (2)'!$B$6:$B$100,'GP7 (2)'!$H$6:$H$100,"")</f>
        <v>0</v>
      </c>
      <c r="BF87" s="27">
        <f>_xlfn.XLOOKUP($B87,'GP8 (1)'!$B$6:$B$100,'GP8 (1)'!$H$6:$H$100,"")</f>
        <v>0</v>
      </c>
      <c r="BG87" s="32">
        <f>_xlfn.XLOOKUP($B87,'GP8 (2)'!$B$6:$B$100,'GP8 (2)'!$H$6:$H$100,"")</f>
        <v>0</v>
      </c>
    </row>
    <row r="88" spans="1:59" ht="13.1" customHeight="1" x14ac:dyDescent="0.25">
      <c r="A88" s="1">
        <f>ROW()-4</f>
        <v>84</v>
      </c>
      <c r="B88" s="3"/>
      <c r="C88" s="30">
        <f>SUM(D88:U88)</f>
        <v>0</v>
      </c>
      <c r="D88" s="35">
        <f>_xlfn.XLOOKUP($B88,'MP (1)'!$B$6:$B$99,'MP (1)'!$E$6:$E$99,"")</f>
        <v>0</v>
      </c>
      <c r="E88" s="36">
        <f>_xlfn.XLOOKUP($B88,'MP (2)'!$B$6:$B$100,'MP (2)'!$E$6:$E$100,"")</f>
        <v>0</v>
      </c>
      <c r="F88" s="40">
        <f>_xlfn.XLOOKUP($B88,'GP1 (1)'!$B$6:$B$100,'GP1 (1)'!$E$6:$E$100,"")</f>
        <v>0</v>
      </c>
      <c r="G88" s="41">
        <f>_xlfn.XLOOKUP($B88,'GP1 (2)'!$B$6:$B$100,'GP1 (2)'!$E$6:$E$100,"")</f>
        <v>0</v>
      </c>
      <c r="H88" s="39">
        <f>_xlfn.XLOOKUP($B88,'GP2 (1)'!$B$6:$B$101,'GP2 (1)'!$E$6:$E$101,"")</f>
        <v>0</v>
      </c>
      <c r="I88" s="36">
        <f>_xlfn.XLOOKUP($B88,'GP2 (2)'!$B$6:$B$100,'GP2 (2)'!$E$6:$E$100,"")</f>
        <v>0</v>
      </c>
      <c r="J88" s="40">
        <f>_xlfn.XLOOKUP($B88,'GP3 (1)'!$B$6:$B$100,'GP3 (1)'!$E$6:$E$100,"")</f>
        <v>0</v>
      </c>
      <c r="K88" s="41">
        <f>_xlfn.XLOOKUP($B88,'GP3 (2)'!$B$6:$B$100,'GP3 (2)'!$E$6:$E$100,"")</f>
        <v>0</v>
      </c>
      <c r="L88" s="39">
        <f>_xlfn.XLOOKUP($B88,'GP4 (1)'!$B$6:$B$66,'GP4 (1)'!$E$6:$E$66,"")</f>
        <v>0</v>
      </c>
      <c r="M88" s="36">
        <f>_xlfn.XLOOKUP($B88,'GP4 (2)'!$B$6:$B$100,'GP4 (2)'!$E$6:$E$100,"")</f>
        <v>0</v>
      </c>
      <c r="N88" s="40">
        <f>_xlfn.XLOOKUP($B88,'GP5 (1)'!$B$6:$B$99,'GP5 (1)'!$E$6:$E$99,"")</f>
        <v>0</v>
      </c>
      <c r="O88" s="42">
        <f>_xlfn.XLOOKUP($B88,'GP5 (2)'!$B$6:$B$99,'GP5 (2)'!$E$6:$E$99,"")</f>
        <v>0</v>
      </c>
      <c r="P88" s="39">
        <f>_xlfn.XLOOKUP($B88,'GP6 (1)'!$B$5:$B$99,'GP6 (1)'!$E$5:$E$99,"")</f>
        <v>0</v>
      </c>
      <c r="Q88" s="36">
        <f>_xlfn.XLOOKUP($B88,'GP6 (2)'!$B$5:$B$99,'GP6 (2)'!$E$5:$E$99,"")</f>
        <v>0</v>
      </c>
      <c r="R88" s="40">
        <f>_xlfn.XLOOKUP($B88,'GP7 (1)'!$B$6:$B$100,'GP7 (1)'!$E$6:$E$100,"")</f>
        <v>0</v>
      </c>
      <c r="S88" s="42">
        <f>_xlfn.XLOOKUP($B88,'GP7 (2)'!$B$6:$B$100,'GP7 (2)'!$E$6:$E$100,"")</f>
        <v>0</v>
      </c>
      <c r="T88" s="39">
        <f>_xlfn.XLOOKUP($B88,'GP8 (1)'!$B$6:$B$100,'GP8 (1)'!$E$6:$E$100,"")</f>
        <v>0</v>
      </c>
      <c r="U88" s="35">
        <f>_xlfn.XLOOKUP($B88,'GP8 (2)'!$B$6:$B$100,'GP8 (2)'!$E$6:$E$100,"")</f>
        <v>0</v>
      </c>
      <c r="V88" s="13">
        <f>SUM(W88:AN88)</f>
        <v>0</v>
      </c>
      <c r="W88" s="29">
        <f>_xlfn.XLOOKUP($B88,'MP (1)'!$B$6:$B$99,'MP (1)'!$F$6:$F$99,"")</f>
        <v>0</v>
      </c>
      <c r="X88" s="28">
        <f>_xlfn.XLOOKUP($B88,'MP (2)'!$B$6:$B$100,'MP (2)'!$F$6:$F$100,"")</f>
        <v>0</v>
      </c>
      <c r="Y88" s="24">
        <f>_xlfn.XLOOKUP($B88,'GP1 (1)'!$B$6:$B$100,'GP1 (1)'!$F$6:$F$100,"")</f>
        <v>0</v>
      </c>
      <c r="Z88" s="25">
        <f>_xlfn.XLOOKUP($B88,'GP1 (2)'!$B$6:$B$100,'GP1 (2)'!$F$6:$F$100,"")</f>
        <v>0</v>
      </c>
      <c r="AA88" s="27">
        <f>_xlfn.XLOOKUP($B88,'GP2 (1)'!$B$6:$B$101,'GP2 (1)'!$F$6:$F$101,"")</f>
        <v>0</v>
      </c>
      <c r="AB88" s="28">
        <f>_xlfn.XLOOKUP($B88,'GP2 (2)'!$B$6:$B$100,'GP2 (2)'!$F$6:$F$100,"")</f>
        <v>0</v>
      </c>
      <c r="AC88" s="24">
        <f>_xlfn.XLOOKUP($B88,'GP3 (1)'!$B$6:$B$100,'GP3 (1)'!$F$6:$F$100,"")</f>
        <v>0</v>
      </c>
      <c r="AD88" s="25">
        <f>_xlfn.XLOOKUP($B88,'GP3 (2)'!$B$6:$B$100,'GP3 (2)'!$F$6:$F$100,"")</f>
        <v>0</v>
      </c>
      <c r="AE88" s="27">
        <f>_xlfn.XLOOKUP($B88,'GP4 (1)'!$B$6:$B$66,'GP4 (1)'!$F$6:$F$66,"")</f>
        <v>0</v>
      </c>
      <c r="AF88" s="28">
        <f>_xlfn.XLOOKUP($B88,'GP4 (2)'!$B$6:$B$100,'GP4 (2)'!$F$6:$F$100,"")</f>
        <v>0</v>
      </c>
      <c r="AG88" s="24">
        <f>_xlfn.XLOOKUP($B88,'GP5 (1)'!$B$6:$B$99,'GP5 (1)'!$F$6:$F$99,"")</f>
        <v>0</v>
      </c>
      <c r="AH88" s="26">
        <f>_xlfn.XLOOKUP($B88,'GP5 (2)'!$B$6:$B$99,'GP5 (2)'!$F$6:$F$99,"")</f>
        <v>0</v>
      </c>
      <c r="AI88" s="27">
        <f>_xlfn.XLOOKUP($B88,'GP6 (1)'!$B$5:$B$99,'GP6 (1)'!$F$5:$F$99,"")</f>
        <v>0</v>
      </c>
      <c r="AJ88" s="28">
        <f>_xlfn.XLOOKUP($B88,'GP6 (2)'!$B$5:$B$99,'GP6 (2)'!$F$5:$F$99,"")</f>
        <v>0</v>
      </c>
      <c r="AK88" s="24">
        <f>_xlfn.XLOOKUP($B88,'GP7 (1)'!$B$6:$B$100,'GP7 (1)'!$F$6:$F$100,"")</f>
        <v>0</v>
      </c>
      <c r="AL88" s="26">
        <f>_xlfn.XLOOKUP($B88,'GP7 (2)'!$B$6:$B$100,'GP7 (2)'!$F$6:$F$100,"")</f>
        <v>0</v>
      </c>
      <c r="AM88" s="27">
        <f>_xlfn.XLOOKUP($B88,'GP8 (1)'!$B$6:$B$100,'GP8 (1)'!$F$6:$F$100,"")</f>
        <v>0</v>
      </c>
      <c r="AN88" s="29">
        <f>_xlfn.XLOOKUP($B88,'GP8 (2)'!$B$6:$B$100,'GP8 (2)'!$F$6:$F$100,"")</f>
        <v>0</v>
      </c>
      <c r="AO88" s="13">
        <f>SUM(AP88:BG88)</f>
        <v>0</v>
      </c>
      <c r="AP88" s="29">
        <f>_xlfn.XLOOKUP($B88,'MP (1)'!$B$6:$B$99,'MP (1)'!$H$6:$H$99,"")</f>
        <v>0</v>
      </c>
      <c r="AQ88" s="28">
        <f>_xlfn.XLOOKUP($B88,'MP (2)'!$B$6:$B$100,'MP (2)'!$H$6:$H$100,"")</f>
        <v>0</v>
      </c>
      <c r="AR88" s="24">
        <f>_xlfn.XLOOKUP($B88,'GP1 (1)'!$B$6:$B$100,'GP1 (1)'!$H$6:$H$100,"")</f>
        <v>0</v>
      </c>
      <c r="AS88" s="25">
        <f>_xlfn.XLOOKUP($B88,'GP1 (2)'!$B$6:$B$100,'GP1 (2)'!$H$6:$H$100,"")</f>
        <v>0</v>
      </c>
      <c r="AT88" s="27">
        <f>_xlfn.XLOOKUP($B88,'GP2 (1)'!$B$6:$B$101,'GP2 (1)'!$H$6:$H$101,"")</f>
        <v>0</v>
      </c>
      <c r="AU88" s="28">
        <f>_xlfn.XLOOKUP($B88,'GP2 (2)'!$B$6:$B$100,'GP2 (2)'!$H$6:$H$100,"")</f>
        <v>0</v>
      </c>
      <c r="AV88" s="24">
        <f>_xlfn.XLOOKUP($B88,'GP3 (1)'!$B$6:$B$100,'GP3 (1)'!$H$6:$H$100,"")</f>
        <v>0</v>
      </c>
      <c r="AW88" s="25">
        <f>_xlfn.XLOOKUP($B88,'GP3 (2)'!$B$6:$B$100,'GP3 (2)'!$H$6:$H$100,"")</f>
        <v>0</v>
      </c>
      <c r="AX88" s="27">
        <f>_xlfn.XLOOKUP($B88,'GP4 (1)'!$B$6:$B$66,'GP4 (1)'!$H$6:$H$66,"")</f>
        <v>0</v>
      </c>
      <c r="AY88" s="28">
        <f>_xlfn.XLOOKUP($B88,'GP4 (2)'!$B$6:$B$100,'GP4 (2)'!$H$6:$H$100,"")</f>
        <v>0</v>
      </c>
      <c r="AZ88" s="24">
        <f>_xlfn.XLOOKUP($B88,'GP5 (1)'!$B$6:$B$99,'GP5 (1)'!$H$6:$H$99,"")</f>
        <v>0</v>
      </c>
      <c r="BA88" s="25">
        <f>_xlfn.XLOOKUP($B88,'GP5 (2)'!$B$6:$B$99,'GP5 (2)'!$H$6:$H$99,"")</f>
        <v>0</v>
      </c>
      <c r="BB88" s="27">
        <f>_xlfn.XLOOKUP($B88,'GP6 (1)'!$B$5:$B$99,'GP6 (1)'!$H$5:$H$99,"")</f>
        <v>0</v>
      </c>
      <c r="BC88" s="28">
        <f>_xlfn.XLOOKUP($B88,'GP6 (2)'!$B$5:$B$99,'GP6 (2)'!$H$5:$H$99,"")</f>
        <v>0</v>
      </c>
      <c r="BD88" s="24">
        <f>_xlfn.XLOOKUP($B88,'GP7 (1)'!$B$6:$B$100,'GP7 (1)'!$H$6:$H$100,"")</f>
        <v>0</v>
      </c>
      <c r="BE88" s="25">
        <f>_xlfn.XLOOKUP($B88,'GP7 (2)'!$B$6:$B$100,'GP7 (2)'!$H$6:$H$100,"")</f>
        <v>0</v>
      </c>
      <c r="BF88" s="27">
        <f>_xlfn.XLOOKUP($B88,'GP8 (1)'!$B$6:$B$100,'GP8 (1)'!$H$6:$H$100,"")</f>
        <v>0</v>
      </c>
      <c r="BG88" s="32">
        <f>_xlfn.XLOOKUP($B88,'GP8 (2)'!$B$6:$B$100,'GP8 (2)'!$H$6:$H$100,"")</f>
        <v>0</v>
      </c>
    </row>
    <row r="89" spans="1:59" ht="13.1" customHeight="1" x14ac:dyDescent="0.25">
      <c r="A89" s="1">
        <f>ROW()-4</f>
        <v>85</v>
      </c>
      <c r="B89" s="3"/>
      <c r="C89" s="30">
        <f>SUM(D89:U89)</f>
        <v>0</v>
      </c>
      <c r="D89" s="35">
        <f>_xlfn.XLOOKUP($B89,'MP (1)'!$B$6:$B$99,'MP (1)'!$E$6:$E$99,"")</f>
        <v>0</v>
      </c>
      <c r="E89" s="36">
        <f>_xlfn.XLOOKUP($B89,'MP (2)'!$B$6:$B$100,'MP (2)'!$E$6:$E$100,"")</f>
        <v>0</v>
      </c>
      <c r="F89" s="40">
        <f>_xlfn.XLOOKUP($B89,'GP1 (1)'!$B$6:$B$100,'GP1 (1)'!$E$6:$E$100,"")</f>
        <v>0</v>
      </c>
      <c r="G89" s="41">
        <f>_xlfn.XLOOKUP($B89,'GP1 (2)'!$B$6:$B$100,'GP1 (2)'!$E$6:$E$100,"")</f>
        <v>0</v>
      </c>
      <c r="H89" s="39">
        <f>_xlfn.XLOOKUP($B89,'GP2 (1)'!$B$6:$B$101,'GP2 (1)'!$E$6:$E$101,"")</f>
        <v>0</v>
      </c>
      <c r="I89" s="36">
        <f>_xlfn.XLOOKUP($B89,'GP2 (2)'!$B$6:$B$100,'GP2 (2)'!$E$6:$E$100,"")</f>
        <v>0</v>
      </c>
      <c r="J89" s="40">
        <f>_xlfn.XLOOKUP($B89,'GP3 (1)'!$B$6:$B$100,'GP3 (1)'!$E$6:$E$100,"")</f>
        <v>0</v>
      </c>
      <c r="K89" s="41">
        <f>_xlfn.XLOOKUP($B89,'GP3 (2)'!$B$6:$B$100,'GP3 (2)'!$E$6:$E$100,"")</f>
        <v>0</v>
      </c>
      <c r="L89" s="39">
        <f>_xlfn.XLOOKUP($B89,'GP4 (1)'!$B$6:$B$66,'GP4 (1)'!$E$6:$E$66,"")</f>
        <v>0</v>
      </c>
      <c r="M89" s="36">
        <f>_xlfn.XLOOKUP($B89,'GP4 (2)'!$B$6:$B$100,'GP4 (2)'!$E$6:$E$100,"")</f>
        <v>0</v>
      </c>
      <c r="N89" s="40">
        <f>_xlfn.XLOOKUP($B89,'GP5 (1)'!$B$6:$B$99,'GP5 (1)'!$E$6:$E$99,"")</f>
        <v>0</v>
      </c>
      <c r="O89" s="42">
        <f>_xlfn.XLOOKUP($B89,'GP5 (2)'!$B$6:$B$99,'GP5 (2)'!$E$6:$E$99,"")</f>
        <v>0</v>
      </c>
      <c r="P89" s="39">
        <f>_xlfn.XLOOKUP($B89,'GP6 (1)'!$B$5:$B$99,'GP6 (1)'!$E$5:$E$99,"")</f>
        <v>0</v>
      </c>
      <c r="Q89" s="36">
        <f>_xlfn.XLOOKUP($B89,'GP6 (2)'!$B$5:$B$99,'GP6 (2)'!$E$5:$E$99,"")</f>
        <v>0</v>
      </c>
      <c r="R89" s="40">
        <f>_xlfn.XLOOKUP($B89,'GP7 (1)'!$B$6:$B$100,'GP7 (1)'!$E$6:$E$100,"")</f>
        <v>0</v>
      </c>
      <c r="S89" s="42">
        <f>_xlfn.XLOOKUP($B89,'GP7 (2)'!$B$6:$B$100,'GP7 (2)'!$E$6:$E$100,"")</f>
        <v>0</v>
      </c>
      <c r="T89" s="39">
        <f>_xlfn.XLOOKUP($B89,'GP8 (1)'!$B$6:$B$100,'GP8 (1)'!$E$6:$E$100,"")</f>
        <v>0</v>
      </c>
      <c r="U89" s="35">
        <f>_xlfn.XLOOKUP($B89,'GP8 (2)'!$B$6:$B$100,'GP8 (2)'!$E$6:$E$100,"")</f>
        <v>0</v>
      </c>
      <c r="V89" s="13">
        <f>SUM(W89:AN89)</f>
        <v>0</v>
      </c>
      <c r="W89" s="29">
        <f>_xlfn.XLOOKUP($B89,'MP (1)'!$B$6:$B$99,'MP (1)'!$F$6:$F$99,"")</f>
        <v>0</v>
      </c>
      <c r="X89" s="28">
        <f>_xlfn.XLOOKUP($B89,'MP (2)'!$B$6:$B$100,'MP (2)'!$F$6:$F$100,"")</f>
        <v>0</v>
      </c>
      <c r="Y89" s="24">
        <f>_xlfn.XLOOKUP($B89,'GP1 (1)'!$B$6:$B$100,'GP1 (1)'!$F$6:$F$100,"")</f>
        <v>0</v>
      </c>
      <c r="Z89" s="25">
        <f>_xlfn.XLOOKUP($B89,'GP1 (2)'!$B$6:$B$100,'GP1 (2)'!$F$6:$F$100,"")</f>
        <v>0</v>
      </c>
      <c r="AA89" s="27">
        <f>_xlfn.XLOOKUP($B89,'GP2 (1)'!$B$6:$B$101,'GP2 (1)'!$F$6:$F$101,"")</f>
        <v>0</v>
      </c>
      <c r="AB89" s="28">
        <f>_xlfn.XLOOKUP($B89,'GP2 (2)'!$B$6:$B$100,'GP2 (2)'!$F$6:$F$100,"")</f>
        <v>0</v>
      </c>
      <c r="AC89" s="24">
        <f>_xlfn.XLOOKUP($B89,'GP3 (1)'!$B$6:$B$100,'GP3 (1)'!$F$6:$F$100,"")</f>
        <v>0</v>
      </c>
      <c r="AD89" s="25">
        <f>_xlfn.XLOOKUP($B89,'GP3 (2)'!$B$6:$B$100,'GP3 (2)'!$F$6:$F$100,"")</f>
        <v>0</v>
      </c>
      <c r="AE89" s="27">
        <f>_xlfn.XLOOKUP($B89,'GP4 (1)'!$B$6:$B$66,'GP4 (1)'!$F$6:$F$66,"")</f>
        <v>0</v>
      </c>
      <c r="AF89" s="28">
        <f>_xlfn.XLOOKUP($B89,'GP4 (2)'!$B$6:$B$100,'GP4 (2)'!$F$6:$F$100,"")</f>
        <v>0</v>
      </c>
      <c r="AG89" s="24">
        <f>_xlfn.XLOOKUP($B89,'GP5 (1)'!$B$6:$B$99,'GP5 (1)'!$F$6:$F$99,"")</f>
        <v>0</v>
      </c>
      <c r="AH89" s="26">
        <f>_xlfn.XLOOKUP($B89,'GP5 (2)'!$B$6:$B$99,'GP5 (2)'!$F$6:$F$99,"")</f>
        <v>0</v>
      </c>
      <c r="AI89" s="27">
        <f>_xlfn.XLOOKUP($B89,'GP6 (1)'!$B$5:$B$99,'GP6 (1)'!$F$5:$F$99,"")</f>
        <v>0</v>
      </c>
      <c r="AJ89" s="28">
        <f>_xlfn.XLOOKUP($B89,'GP6 (2)'!$B$5:$B$99,'GP6 (2)'!$F$5:$F$99,"")</f>
        <v>0</v>
      </c>
      <c r="AK89" s="24">
        <f>_xlfn.XLOOKUP($B89,'GP7 (1)'!$B$6:$B$100,'GP7 (1)'!$F$6:$F$100,"")</f>
        <v>0</v>
      </c>
      <c r="AL89" s="26">
        <f>_xlfn.XLOOKUP($B89,'GP7 (2)'!$B$6:$B$100,'GP7 (2)'!$F$6:$F$100,"")</f>
        <v>0</v>
      </c>
      <c r="AM89" s="27">
        <f>_xlfn.XLOOKUP($B89,'GP8 (1)'!$B$6:$B$100,'GP8 (1)'!$F$6:$F$100,"")</f>
        <v>0</v>
      </c>
      <c r="AN89" s="29">
        <f>_xlfn.XLOOKUP($B89,'GP8 (2)'!$B$6:$B$100,'GP8 (2)'!$F$6:$F$100,"")</f>
        <v>0</v>
      </c>
      <c r="AO89" s="13">
        <f>SUM(AP89:BG89)</f>
        <v>0</v>
      </c>
      <c r="AP89" s="29">
        <f>_xlfn.XLOOKUP($B89,'MP (1)'!$B$6:$B$99,'MP (1)'!$H$6:$H$99,"")</f>
        <v>0</v>
      </c>
      <c r="AQ89" s="28">
        <f>_xlfn.XLOOKUP($B89,'MP (2)'!$B$6:$B$100,'MP (2)'!$H$6:$H$100,"")</f>
        <v>0</v>
      </c>
      <c r="AR89" s="24">
        <f>_xlfn.XLOOKUP($B89,'GP1 (1)'!$B$6:$B$100,'GP1 (1)'!$H$6:$H$100,"")</f>
        <v>0</v>
      </c>
      <c r="AS89" s="25">
        <f>_xlfn.XLOOKUP($B89,'GP1 (2)'!$B$6:$B$100,'GP1 (2)'!$H$6:$H$100,"")</f>
        <v>0</v>
      </c>
      <c r="AT89" s="27">
        <f>_xlfn.XLOOKUP($B89,'GP2 (1)'!$B$6:$B$101,'GP2 (1)'!$H$6:$H$101,"")</f>
        <v>0</v>
      </c>
      <c r="AU89" s="28">
        <f>_xlfn.XLOOKUP($B89,'GP2 (2)'!$B$6:$B$100,'GP2 (2)'!$H$6:$H$100,"")</f>
        <v>0</v>
      </c>
      <c r="AV89" s="24">
        <f>_xlfn.XLOOKUP($B89,'GP3 (1)'!$B$6:$B$100,'GP3 (1)'!$H$6:$H$100,"")</f>
        <v>0</v>
      </c>
      <c r="AW89" s="25">
        <f>_xlfn.XLOOKUP($B89,'GP3 (2)'!$B$6:$B$100,'GP3 (2)'!$H$6:$H$100,"")</f>
        <v>0</v>
      </c>
      <c r="AX89" s="27">
        <f>_xlfn.XLOOKUP($B89,'GP4 (1)'!$B$6:$B$66,'GP4 (1)'!$H$6:$H$66,"")</f>
        <v>0</v>
      </c>
      <c r="AY89" s="28">
        <f>_xlfn.XLOOKUP($B89,'GP4 (2)'!$B$6:$B$100,'GP4 (2)'!$H$6:$H$100,"")</f>
        <v>0</v>
      </c>
      <c r="AZ89" s="24">
        <f>_xlfn.XLOOKUP($B89,'GP5 (1)'!$B$6:$B$99,'GP5 (1)'!$H$6:$H$99,"")</f>
        <v>0</v>
      </c>
      <c r="BA89" s="25">
        <f>_xlfn.XLOOKUP($B89,'GP5 (2)'!$B$6:$B$99,'GP5 (2)'!$H$6:$H$99,"")</f>
        <v>0</v>
      </c>
      <c r="BB89" s="27">
        <f>_xlfn.XLOOKUP($B89,'GP6 (1)'!$B$5:$B$99,'GP6 (1)'!$H$5:$H$99,"")</f>
        <v>0</v>
      </c>
      <c r="BC89" s="28">
        <f>_xlfn.XLOOKUP($B89,'GP6 (2)'!$B$5:$B$99,'GP6 (2)'!$H$5:$H$99,"")</f>
        <v>0</v>
      </c>
      <c r="BD89" s="24">
        <f>_xlfn.XLOOKUP($B89,'GP7 (1)'!$B$6:$B$100,'GP7 (1)'!$H$6:$H$100,"")</f>
        <v>0</v>
      </c>
      <c r="BE89" s="25">
        <f>_xlfn.XLOOKUP($B89,'GP7 (2)'!$B$6:$B$100,'GP7 (2)'!$H$6:$H$100,"")</f>
        <v>0</v>
      </c>
      <c r="BF89" s="27">
        <f>_xlfn.XLOOKUP($B89,'GP8 (1)'!$B$6:$B$100,'GP8 (1)'!$H$6:$H$100,"")</f>
        <v>0</v>
      </c>
      <c r="BG89" s="32">
        <f>_xlfn.XLOOKUP($B89,'GP8 (2)'!$B$6:$B$100,'GP8 (2)'!$H$6:$H$100,"")</f>
        <v>0</v>
      </c>
    </row>
    <row r="90" spans="1:59" ht="13.1" customHeight="1" x14ac:dyDescent="0.25">
      <c r="A90" s="1">
        <f>ROW()-4</f>
        <v>86</v>
      </c>
      <c r="B90" s="3"/>
      <c r="C90" s="30">
        <f>SUM(D90:U90)</f>
        <v>0</v>
      </c>
      <c r="D90" s="35">
        <f>_xlfn.XLOOKUP($B90,'MP (1)'!$B$6:$B$99,'MP (1)'!$E$6:$E$99,"")</f>
        <v>0</v>
      </c>
      <c r="E90" s="36">
        <f>_xlfn.XLOOKUP($B90,'MP (2)'!$B$6:$B$100,'MP (2)'!$E$6:$E$100,"")</f>
        <v>0</v>
      </c>
      <c r="F90" s="40">
        <f>_xlfn.XLOOKUP($B90,'GP1 (1)'!$B$6:$B$100,'GP1 (1)'!$E$6:$E$100,"")</f>
        <v>0</v>
      </c>
      <c r="G90" s="41">
        <f>_xlfn.XLOOKUP($B90,'GP1 (2)'!$B$6:$B$100,'GP1 (2)'!$E$6:$E$100,"")</f>
        <v>0</v>
      </c>
      <c r="H90" s="39">
        <f>_xlfn.XLOOKUP($B90,'GP2 (1)'!$B$6:$B$101,'GP2 (1)'!$E$6:$E$101,"")</f>
        <v>0</v>
      </c>
      <c r="I90" s="36">
        <f>_xlfn.XLOOKUP($B90,'GP2 (2)'!$B$6:$B$100,'GP2 (2)'!$E$6:$E$100,"")</f>
        <v>0</v>
      </c>
      <c r="J90" s="40">
        <f>_xlfn.XLOOKUP($B90,'GP3 (1)'!$B$6:$B$100,'GP3 (1)'!$E$6:$E$100,"")</f>
        <v>0</v>
      </c>
      <c r="K90" s="41">
        <f>_xlfn.XLOOKUP($B90,'GP3 (2)'!$B$6:$B$100,'GP3 (2)'!$E$6:$E$100,"")</f>
        <v>0</v>
      </c>
      <c r="L90" s="39">
        <f>_xlfn.XLOOKUP($B90,'GP4 (1)'!$B$6:$B$66,'GP4 (1)'!$E$6:$E$66,"")</f>
        <v>0</v>
      </c>
      <c r="M90" s="36">
        <f>_xlfn.XLOOKUP($B90,'GP4 (2)'!$B$6:$B$100,'GP4 (2)'!$E$6:$E$100,"")</f>
        <v>0</v>
      </c>
      <c r="N90" s="40">
        <f>_xlfn.XLOOKUP($B90,'GP5 (1)'!$B$6:$B$99,'GP5 (1)'!$E$6:$E$99,"")</f>
        <v>0</v>
      </c>
      <c r="O90" s="42">
        <f>_xlfn.XLOOKUP($B90,'GP5 (2)'!$B$6:$B$99,'GP5 (2)'!$E$6:$E$99,"")</f>
        <v>0</v>
      </c>
      <c r="P90" s="39">
        <f>_xlfn.XLOOKUP($B90,'GP6 (1)'!$B$5:$B$99,'GP6 (1)'!$E$5:$E$99,"")</f>
        <v>0</v>
      </c>
      <c r="Q90" s="36">
        <f>_xlfn.XLOOKUP($B90,'GP6 (2)'!$B$5:$B$99,'GP6 (2)'!$E$5:$E$99,"")</f>
        <v>0</v>
      </c>
      <c r="R90" s="40">
        <f>_xlfn.XLOOKUP($B90,'GP7 (1)'!$B$6:$B$100,'GP7 (1)'!$E$6:$E$100,"")</f>
        <v>0</v>
      </c>
      <c r="S90" s="42">
        <f>_xlfn.XLOOKUP($B90,'GP7 (2)'!$B$6:$B$100,'GP7 (2)'!$E$6:$E$100,"")</f>
        <v>0</v>
      </c>
      <c r="T90" s="39">
        <f>_xlfn.XLOOKUP($B90,'GP8 (1)'!$B$6:$B$100,'GP8 (1)'!$E$6:$E$100,"")</f>
        <v>0</v>
      </c>
      <c r="U90" s="35">
        <f>_xlfn.XLOOKUP($B90,'GP8 (2)'!$B$6:$B$100,'GP8 (2)'!$E$6:$E$100,"")</f>
        <v>0</v>
      </c>
      <c r="V90" s="13">
        <f>SUM(W90:AN90)</f>
        <v>0</v>
      </c>
      <c r="W90" s="29">
        <f>_xlfn.XLOOKUP($B90,'MP (1)'!$B$6:$B$99,'MP (1)'!$F$6:$F$99,"")</f>
        <v>0</v>
      </c>
      <c r="X90" s="28">
        <f>_xlfn.XLOOKUP($B90,'MP (2)'!$B$6:$B$100,'MP (2)'!$F$6:$F$100,"")</f>
        <v>0</v>
      </c>
      <c r="Y90" s="24">
        <f>_xlfn.XLOOKUP($B90,'GP1 (1)'!$B$6:$B$100,'GP1 (1)'!$F$6:$F$100,"")</f>
        <v>0</v>
      </c>
      <c r="Z90" s="25">
        <f>_xlfn.XLOOKUP($B90,'GP1 (2)'!$B$6:$B$100,'GP1 (2)'!$F$6:$F$100,"")</f>
        <v>0</v>
      </c>
      <c r="AA90" s="27">
        <f>_xlfn.XLOOKUP($B90,'GP2 (1)'!$B$6:$B$101,'GP2 (1)'!$F$6:$F$101,"")</f>
        <v>0</v>
      </c>
      <c r="AB90" s="28">
        <f>_xlfn.XLOOKUP($B90,'GP2 (2)'!$B$6:$B$100,'GP2 (2)'!$F$6:$F$100,"")</f>
        <v>0</v>
      </c>
      <c r="AC90" s="24">
        <f>_xlfn.XLOOKUP($B90,'GP3 (1)'!$B$6:$B$100,'GP3 (1)'!$F$6:$F$100,"")</f>
        <v>0</v>
      </c>
      <c r="AD90" s="25">
        <f>_xlfn.XLOOKUP($B90,'GP3 (2)'!$B$6:$B$100,'GP3 (2)'!$F$6:$F$100,"")</f>
        <v>0</v>
      </c>
      <c r="AE90" s="27">
        <f>_xlfn.XLOOKUP($B90,'GP4 (1)'!$B$6:$B$66,'GP4 (1)'!$F$6:$F$66,"")</f>
        <v>0</v>
      </c>
      <c r="AF90" s="28">
        <f>_xlfn.XLOOKUP($B90,'GP4 (2)'!$B$6:$B$100,'GP4 (2)'!$F$6:$F$100,"")</f>
        <v>0</v>
      </c>
      <c r="AG90" s="24">
        <f>_xlfn.XLOOKUP($B90,'GP5 (1)'!$B$6:$B$99,'GP5 (1)'!$F$6:$F$99,"")</f>
        <v>0</v>
      </c>
      <c r="AH90" s="26">
        <f>_xlfn.XLOOKUP($B90,'GP5 (2)'!$B$6:$B$99,'GP5 (2)'!$F$6:$F$99,"")</f>
        <v>0</v>
      </c>
      <c r="AI90" s="27">
        <f>_xlfn.XLOOKUP($B90,'GP6 (1)'!$B$5:$B$99,'GP6 (1)'!$F$5:$F$99,"")</f>
        <v>0</v>
      </c>
      <c r="AJ90" s="28">
        <f>_xlfn.XLOOKUP($B90,'GP6 (2)'!$B$5:$B$99,'GP6 (2)'!$F$5:$F$99,"")</f>
        <v>0</v>
      </c>
      <c r="AK90" s="24">
        <f>_xlfn.XLOOKUP($B90,'GP7 (1)'!$B$6:$B$100,'GP7 (1)'!$F$6:$F$100,"")</f>
        <v>0</v>
      </c>
      <c r="AL90" s="26">
        <f>_xlfn.XLOOKUP($B90,'GP7 (2)'!$B$6:$B$100,'GP7 (2)'!$F$6:$F$100,"")</f>
        <v>0</v>
      </c>
      <c r="AM90" s="27">
        <f>_xlfn.XLOOKUP($B90,'GP8 (1)'!$B$6:$B$100,'GP8 (1)'!$F$6:$F$100,"")</f>
        <v>0</v>
      </c>
      <c r="AN90" s="29">
        <f>_xlfn.XLOOKUP($B90,'GP8 (2)'!$B$6:$B$100,'GP8 (2)'!$F$6:$F$100,"")</f>
        <v>0</v>
      </c>
      <c r="AO90" s="13">
        <f>SUM(AP90:BG90)</f>
        <v>0</v>
      </c>
      <c r="AP90" s="29">
        <f>_xlfn.XLOOKUP($B90,'MP (1)'!$B$6:$B$99,'MP (1)'!$H$6:$H$99,"")</f>
        <v>0</v>
      </c>
      <c r="AQ90" s="28">
        <f>_xlfn.XLOOKUP($B90,'MP (2)'!$B$6:$B$100,'MP (2)'!$H$6:$H$100,"")</f>
        <v>0</v>
      </c>
      <c r="AR90" s="24">
        <f>_xlfn.XLOOKUP($B90,'GP1 (1)'!$B$6:$B$100,'GP1 (1)'!$H$6:$H$100,"")</f>
        <v>0</v>
      </c>
      <c r="AS90" s="25">
        <f>_xlfn.XLOOKUP($B90,'GP1 (2)'!$B$6:$B$100,'GP1 (2)'!$H$6:$H$100,"")</f>
        <v>0</v>
      </c>
      <c r="AT90" s="27">
        <f>_xlfn.XLOOKUP($B90,'GP2 (1)'!$B$6:$B$101,'GP2 (1)'!$H$6:$H$101,"")</f>
        <v>0</v>
      </c>
      <c r="AU90" s="28">
        <f>_xlfn.XLOOKUP($B90,'GP2 (2)'!$B$6:$B$100,'GP2 (2)'!$H$6:$H$100,"")</f>
        <v>0</v>
      </c>
      <c r="AV90" s="24">
        <f>_xlfn.XLOOKUP($B90,'GP3 (1)'!$B$6:$B$100,'GP3 (1)'!$H$6:$H$100,"")</f>
        <v>0</v>
      </c>
      <c r="AW90" s="25">
        <f>_xlfn.XLOOKUP($B90,'GP3 (2)'!$B$6:$B$100,'GP3 (2)'!$H$6:$H$100,"")</f>
        <v>0</v>
      </c>
      <c r="AX90" s="27">
        <f>_xlfn.XLOOKUP($B90,'GP4 (1)'!$B$6:$B$66,'GP4 (1)'!$H$6:$H$66,"")</f>
        <v>0</v>
      </c>
      <c r="AY90" s="28">
        <f>_xlfn.XLOOKUP($B90,'GP4 (2)'!$B$6:$B$100,'GP4 (2)'!$H$6:$H$100,"")</f>
        <v>0</v>
      </c>
      <c r="AZ90" s="24">
        <f>_xlfn.XLOOKUP($B90,'GP5 (1)'!$B$6:$B$99,'GP5 (1)'!$H$6:$H$99,"")</f>
        <v>0</v>
      </c>
      <c r="BA90" s="25">
        <f>_xlfn.XLOOKUP($B90,'GP5 (2)'!$B$6:$B$99,'GP5 (2)'!$H$6:$H$99,"")</f>
        <v>0</v>
      </c>
      <c r="BB90" s="27">
        <f>_xlfn.XLOOKUP($B90,'GP6 (1)'!$B$5:$B$99,'GP6 (1)'!$H$5:$H$99,"")</f>
        <v>0</v>
      </c>
      <c r="BC90" s="28">
        <f>_xlfn.XLOOKUP($B90,'GP6 (2)'!$B$5:$B$99,'GP6 (2)'!$H$5:$H$99,"")</f>
        <v>0</v>
      </c>
      <c r="BD90" s="24">
        <f>_xlfn.XLOOKUP($B90,'GP7 (1)'!$B$6:$B$100,'GP7 (1)'!$H$6:$H$100,"")</f>
        <v>0</v>
      </c>
      <c r="BE90" s="25">
        <f>_xlfn.XLOOKUP($B90,'GP7 (2)'!$B$6:$B$100,'GP7 (2)'!$H$6:$H$100,"")</f>
        <v>0</v>
      </c>
      <c r="BF90" s="27">
        <f>_xlfn.XLOOKUP($B90,'GP8 (1)'!$B$6:$B$100,'GP8 (1)'!$H$6:$H$100,"")</f>
        <v>0</v>
      </c>
      <c r="BG90" s="32">
        <f>_xlfn.XLOOKUP($B90,'GP8 (2)'!$B$6:$B$100,'GP8 (2)'!$H$6:$H$100,"")</f>
        <v>0</v>
      </c>
    </row>
    <row r="91" spans="1:59" ht="13.1" customHeight="1" x14ac:dyDescent="0.25">
      <c r="A91" s="1">
        <f>ROW()-4</f>
        <v>87</v>
      </c>
      <c r="B91" s="2"/>
      <c r="C91" s="30">
        <f>SUM(D91:U91)</f>
        <v>0</v>
      </c>
      <c r="D91" s="35">
        <f>_xlfn.XLOOKUP($B91,'MP (1)'!$B$6:$B$99,'MP (1)'!$E$6:$E$99,"")</f>
        <v>0</v>
      </c>
      <c r="E91" s="36">
        <f>_xlfn.XLOOKUP($B91,'MP (2)'!$B$6:$B$100,'MP (2)'!$E$6:$E$100,"")</f>
        <v>0</v>
      </c>
      <c r="F91" s="40">
        <f>_xlfn.XLOOKUP($B91,'GP1 (1)'!$B$6:$B$100,'GP1 (1)'!$E$6:$E$100,"")</f>
        <v>0</v>
      </c>
      <c r="G91" s="41">
        <f>_xlfn.XLOOKUP($B91,'GP1 (2)'!$B$6:$B$100,'GP1 (2)'!$E$6:$E$100,"")</f>
        <v>0</v>
      </c>
      <c r="H91" s="39">
        <f>_xlfn.XLOOKUP($B91,'GP2 (1)'!$B$6:$B$101,'GP2 (1)'!$E$6:$E$101,"")</f>
        <v>0</v>
      </c>
      <c r="I91" s="36">
        <f>_xlfn.XLOOKUP($B91,'GP2 (2)'!$B$6:$B$100,'GP2 (2)'!$E$6:$E$100,"")</f>
        <v>0</v>
      </c>
      <c r="J91" s="40">
        <f>_xlfn.XLOOKUP($B91,'GP3 (1)'!$B$6:$B$100,'GP3 (1)'!$E$6:$E$100,"")</f>
        <v>0</v>
      </c>
      <c r="K91" s="41">
        <f>_xlfn.XLOOKUP($B91,'GP3 (2)'!$B$6:$B$100,'GP3 (2)'!$E$6:$E$100,"")</f>
        <v>0</v>
      </c>
      <c r="L91" s="39">
        <f>_xlfn.XLOOKUP($B91,'GP4 (1)'!$B$6:$B$66,'GP4 (1)'!$E$6:$E$66,"")</f>
        <v>0</v>
      </c>
      <c r="M91" s="36">
        <f>_xlfn.XLOOKUP($B91,'GP4 (2)'!$B$6:$B$100,'GP4 (2)'!$E$6:$E$100,"")</f>
        <v>0</v>
      </c>
      <c r="N91" s="40">
        <f>_xlfn.XLOOKUP($B91,'GP5 (1)'!$B$6:$B$99,'GP5 (1)'!$E$6:$E$99,"")</f>
        <v>0</v>
      </c>
      <c r="O91" s="42">
        <f>_xlfn.XLOOKUP($B91,'GP5 (2)'!$B$6:$B$99,'GP5 (2)'!$E$6:$E$99,"")</f>
        <v>0</v>
      </c>
      <c r="P91" s="39">
        <f>_xlfn.XLOOKUP($B91,'GP6 (1)'!$B$5:$B$99,'GP6 (1)'!$E$5:$E$99,"")</f>
        <v>0</v>
      </c>
      <c r="Q91" s="36">
        <f>_xlfn.XLOOKUP($B91,'GP6 (2)'!$B$5:$B$99,'GP6 (2)'!$E$5:$E$99,"")</f>
        <v>0</v>
      </c>
      <c r="R91" s="40">
        <f>_xlfn.XLOOKUP($B91,'GP7 (1)'!$B$6:$B$100,'GP7 (1)'!$E$6:$E$100,"")</f>
        <v>0</v>
      </c>
      <c r="S91" s="42">
        <f>_xlfn.XLOOKUP($B91,'GP7 (2)'!$B$6:$B$100,'GP7 (2)'!$E$6:$E$100,"")</f>
        <v>0</v>
      </c>
      <c r="T91" s="39">
        <f>_xlfn.XLOOKUP($B91,'GP8 (1)'!$B$6:$B$100,'GP8 (1)'!$E$6:$E$100,"")</f>
        <v>0</v>
      </c>
      <c r="U91" s="35">
        <f>_xlfn.XLOOKUP($B91,'GP8 (2)'!$B$6:$B$100,'GP8 (2)'!$E$6:$E$100,"")</f>
        <v>0</v>
      </c>
      <c r="V91" s="13">
        <f>SUM(W91:AN91)</f>
        <v>0</v>
      </c>
      <c r="W91" s="29">
        <f>_xlfn.XLOOKUP($B91,'MP (1)'!$B$6:$B$99,'MP (1)'!$F$6:$F$99,"")</f>
        <v>0</v>
      </c>
      <c r="X91" s="28">
        <f>_xlfn.XLOOKUP($B91,'MP (2)'!$B$6:$B$100,'MP (2)'!$F$6:$F$100,"")</f>
        <v>0</v>
      </c>
      <c r="Y91" s="24">
        <f>_xlfn.XLOOKUP($B91,'GP1 (1)'!$B$6:$B$100,'GP1 (1)'!$F$6:$F$100,"")</f>
        <v>0</v>
      </c>
      <c r="Z91" s="25">
        <f>_xlfn.XLOOKUP($B91,'GP1 (2)'!$B$6:$B$100,'GP1 (2)'!$F$6:$F$100,"")</f>
        <v>0</v>
      </c>
      <c r="AA91" s="27">
        <f>_xlfn.XLOOKUP($B91,'GP2 (1)'!$B$6:$B$101,'GP2 (1)'!$F$6:$F$101,"")</f>
        <v>0</v>
      </c>
      <c r="AB91" s="28">
        <f>_xlfn.XLOOKUP($B91,'GP2 (2)'!$B$6:$B$100,'GP2 (2)'!$F$6:$F$100,"")</f>
        <v>0</v>
      </c>
      <c r="AC91" s="24">
        <f>_xlfn.XLOOKUP($B91,'GP3 (1)'!$B$6:$B$100,'GP3 (1)'!$F$6:$F$100,"")</f>
        <v>0</v>
      </c>
      <c r="AD91" s="25">
        <f>_xlfn.XLOOKUP($B91,'GP3 (2)'!$B$6:$B$100,'GP3 (2)'!$F$6:$F$100,"")</f>
        <v>0</v>
      </c>
      <c r="AE91" s="27">
        <f>_xlfn.XLOOKUP($B91,'GP4 (1)'!$B$6:$B$66,'GP4 (1)'!$F$6:$F$66,"")</f>
        <v>0</v>
      </c>
      <c r="AF91" s="28">
        <f>_xlfn.XLOOKUP($B91,'GP4 (2)'!$B$6:$B$100,'GP4 (2)'!$F$6:$F$100,"")</f>
        <v>0</v>
      </c>
      <c r="AG91" s="24">
        <f>_xlfn.XLOOKUP($B91,'GP5 (1)'!$B$6:$B$99,'GP5 (1)'!$F$6:$F$99,"")</f>
        <v>0</v>
      </c>
      <c r="AH91" s="26">
        <f>_xlfn.XLOOKUP($B91,'GP5 (2)'!$B$6:$B$99,'GP5 (2)'!$F$6:$F$99,"")</f>
        <v>0</v>
      </c>
      <c r="AI91" s="27">
        <f>_xlfn.XLOOKUP($B91,'GP6 (1)'!$B$5:$B$99,'GP6 (1)'!$F$5:$F$99,"")</f>
        <v>0</v>
      </c>
      <c r="AJ91" s="28">
        <f>_xlfn.XLOOKUP($B91,'GP6 (2)'!$B$5:$B$99,'GP6 (2)'!$F$5:$F$99,"")</f>
        <v>0</v>
      </c>
      <c r="AK91" s="24">
        <f>_xlfn.XLOOKUP($B91,'GP7 (1)'!$B$6:$B$100,'GP7 (1)'!$F$6:$F$100,"")</f>
        <v>0</v>
      </c>
      <c r="AL91" s="26">
        <f>_xlfn.XLOOKUP($B91,'GP7 (2)'!$B$6:$B$100,'GP7 (2)'!$F$6:$F$100,"")</f>
        <v>0</v>
      </c>
      <c r="AM91" s="27">
        <f>_xlfn.XLOOKUP($B91,'GP8 (1)'!$B$6:$B$100,'GP8 (1)'!$F$6:$F$100,"")</f>
        <v>0</v>
      </c>
      <c r="AN91" s="29">
        <f>_xlfn.XLOOKUP($B91,'GP8 (2)'!$B$6:$B$100,'GP8 (2)'!$F$6:$F$100,"")</f>
        <v>0</v>
      </c>
      <c r="AO91" s="13">
        <f>SUM(AP91:BG91)</f>
        <v>0</v>
      </c>
      <c r="AP91" s="29">
        <f>_xlfn.XLOOKUP($B91,'MP (1)'!$B$6:$B$99,'MP (1)'!$H$6:$H$99,"")</f>
        <v>0</v>
      </c>
      <c r="AQ91" s="28">
        <f>_xlfn.XLOOKUP($B91,'MP (2)'!$B$6:$B$100,'MP (2)'!$H$6:$H$100,"")</f>
        <v>0</v>
      </c>
      <c r="AR91" s="24">
        <f>_xlfn.XLOOKUP($B91,'GP1 (1)'!$B$6:$B$100,'GP1 (1)'!$H$6:$H$100,"")</f>
        <v>0</v>
      </c>
      <c r="AS91" s="25">
        <f>_xlfn.XLOOKUP($B91,'GP1 (2)'!$B$6:$B$100,'GP1 (2)'!$H$6:$H$100,"")</f>
        <v>0</v>
      </c>
      <c r="AT91" s="27">
        <f>_xlfn.XLOOKUP($B91,'GP2 (1)'!$B$6:$B$101,'GP2 (1)'!$H$6:$H$101,"")</f>
        <v>0</v>
      </c>
      <c r="AU91" s="28">
        <f>_xlfn.XLOOKUP($B91,'GP2 (2)'!$B$6:$B$100,'GP2 (2)'!$H$6:$H$100,"")</f>
        <v>0</v>
      </c>
      <c r="AV91" s="24">
        <f>_xlfn.XLOOKUP($B91,'GP3 (1)'!$B$6:$B$100,'GP3 (1)'!$H$6:$H$100,"")</f>
        <v>0</v>
      </c>
      <c r="AW91" s="25">
        <f>_xlfn.XLOOKUP($B91,'GP3 (2)'!$B$6:$B$100,'GP3 (2)'!$H$6:$H$100,"")</f>
        <v>0</v>
      </c>
      <c r="AX91" s="27">
        <f>_xlfn.XLOOKUP($B91,'GP4 (1)'!$B$6:$B$66,'GP4 (1)'!$H$6:$H$66,"")</f>
        <v>0</v>
      </c>
      <c r="AY91" s="28">
        <f>_xlfn.XLOOKUP($B91,'GP4 (2)'!$B$6:$B$100,'GP4 (2)'!$H$6:$H$100,"")</f>
        <v>0</v>
      </c>
      <c r="AZ91" s="24">
        <f>_xlfn.XLOOKUP($B91,'GP5 (1)'!$B$6:$B$99,'GP5 (1)'!$H$6:$H$99,"")</f>
        <v>0</v>
      </c>
      <c r="BA91" s="25">
        <f>_xlfn.XLOOKUP($B91,'GP5 (2)'!$B$6:$B$99,'GP5 (2)'!$H$6:$H$99,"")</f>
        <v>0</v>
      </c>
      <c r="BB91" s="27">
        <f>_xlfn.XLOOKUP($B91,'GP6 (1)'!$B$5:$B$99,'GP6 (1)'!$H$5:$H$99,"")</f>
        <v>0</v>
      </c>
      <c r="BC91" s="28">
        <f>_xlfn.XLOOKUP($B91,'GP6 (2)'!$B$5:$B$99,'GP6 (2)'!$H$5:$H$99,"")</f>
        <v>0</v>
      </c>
      <c r="BD91" s="24">
        <f>_xlfn.XLOOKUP($B91,'GP7 (1)'!$B$6:$B$100,'GP7 (1)'!$H$6:$H$100,"")</f>
        <v>0</v>
      </c>
      <c r="BE91" s="25">
        <f>_xlfn.XLOOKUP($B91,'GP7 (2)'!$B$6:$B$100,'GP7 (2)'!$H$6:$H$100,"")</f>
        <v>0</v>
      </c>
      <c r="BF91" s="27">
        <f>_xlfn.XLOOKUP($B91,'GP8 (1)'!$B$6:$B$100,'GP8 (1)'!$H$6:$H$100,"")</f>
        <v>0</v>
      </c>
      <c r="BG91" s="32">
        <f>_xlfn.XLOOKUP($B91,'GP8 (2)'!$B$6:$B$100,'GP8 (2)'!$H$6:$H$100,"")</f>
        <v>0</v>
      </c>
    </row>
    <row r="92" spans="1:59" ht="13.1" customHeight="1" x14ac:dyDescent="0.25">
      <c r="A92" s="1">
        <f>ROW()-4</f>
        <v>88</v>
      </c>
      <c r="B92" s="2"/>
      <c r="C92" s="30">
        <f>SUM(D92:U92)</f>
        <v>0</v>
      </c>
      <c r="D92" s="35">
        <f>_xlfn.XLOOKUP($B92,'MP (1)'!$B$6:$B$99,'MP (1)'!$E$6:$E$99,"")</f>
        <v>0</v>
      </c>
      <c r="E92" s="36">
        <f>_xlfn.XLOOKUP($B92,'MP (2)'!$B$6:$B$100,'MP (2)'!$E$6:$E$100,"")</f>
        <v>0</v>
      </c>
      <c r="F92" s="40">
        <f>_xlfn.XLOOKUP($B92,'GP1 (1)'!$B$6:$B$100,'GP1 (1)'!$E$6:$E$100,"")</f>
        <v>0</v>
      </c>
      <c r="G92" s="41">
        <f>_xlfn.XLOOKUP($B92,'GP1 (2)'!$B$6:$B$100,'GP1 (2)'!$E$6:$E$100,"")</f>
        <v>0</v>
      </c>
      <c r="H92" s="39">
        <f>_xlfn.XLOOKUP($B92,'GP2 (1)'!$B$6:$B$101,'GP2 (1)'!$E$6:$E$101,"")</f>
        <v>0</v>
      </c>
      <c r="I92" s="36">
        <f>_xlfn.XLOOKUP($B92,'GP2 (2)'!$B$6:$B$100,'GP2 (2)'!$E$6:$E$100,"")</f>
        <v>0</v>
      </c>
      <c r="J92" s="40">
        <f>_xlfn.XLOOKUP($B92,'GP3 (1)'!$B$6:$B$100,'GP3 (1)'!$E$6:$E$100,"")</f>
        <v>0</v>
      </c>
      <c r="K92" s="41">
        <f>_xlfn.XLOOKUP($B92,'GP3 (2)'!$B$6:$B$100,'GP3 (2)'!$E$6:$E$100,"")</f>
        <v>0</v>
      </c>
      <c r="L92" s="39">
        <f>_xlfn.XLOOKUP($B92,'GP4 (1)'!$B$6:$B$66,'GP4 (1)'!$E$6:$E$66,"")</f>
        <v>0</v>
      </c>
      <c r="M92" s="36">
        <f>_xlfn.XLOOKUP($B92,'GP4 (2)'!$B$6:$B$100,'GP4 (2)'!$E$6:$E$100,"")</f>
        <v>0</v>
      </c>
      <c r="N92" s="40">
        <f>_xlfn.XLOOKUP($B92,'GP5 (1)'!$B$6:$B$99,'GP5 (1)'!$E$6:$E$99,"")</f>
        <v>0</v>
      </c>
      <c r="O92" s="42">
        <f>_xlfn.XLOOKUP($B92,'GP5 (2)'!$B$6:$B$99,'GP5 (2)'!$E$6:$E$99,"")</f>
        <v>0</v>
      </c>
      <c r="P92" s="39">
        <f>_xlfn.XLOOKUP($B92,'GP6 (1)'!$B$5:$B$99,'GP6 (1)'!$E$5:$E$99,"")</f>
        <v>0</v>
      </c>
      <c r="Q92" s="36">
        <f>_xlfn.XLOOKUP($B92,'GP6 (2)'!$B$5:$B$99,'GP6 (2)'!$E$5:$E$99,"")</f>
        <v>0</v>
      </c>
      <c r="R92" s="40">
        <f>_xlfn.XLOOKUP($B92,'GP7 (1)'!$B$6:$B$100,'GP7 (1)'!$E$6:$E$100,"")</f>
        <v>0</v>
      </c>
      <c r="S92" s="42">
        <f>_xlfn.XLOOKUP($B92,'GP7 (2)'!$B$6:$B$100,'GP7 (2)'!$E$6:$E$100,"")</f>
        <v>0</v>
      </c>
      <c r="T92" s="39">
        <f>_xlfn.XLOOKUP($B92,'GP8 (1)'!$B$6:$B$100,'GP8 (1)'!$E$6:$E$100,"")</f>
        <v>0</v>
      </c>
      <c r="U92" s="35">
        <f>_xlfn.XLOOKUP($B92,'GP8 (2)'!$B$6:$B$100,'GP8 (2)'!$E$6:$E$100,"")</f>
        <v>0</v>
      </c>
      <c r="V92" s="13">
        <f>SUM(W92:AN92)</f>
        <v>0</v>
      </c>
      <c r="W92" s="29">
        <f>_xlfn.XLOOKUP($B92,'MP (1)'!$B$6:$B$99,'MP (1)'!$F$6:$F$99,"")</f>
        <v>0</v>
      </c>
      <c r="X92" s="28">
        <f>_xlfn.XLOOKUP($B92,'MP (2)'!$B$6:$B$100,'MP (2)'!$F$6:$F$100,"")</f>
        <v>0</v>
      </c>
      <c r="Y92" s="24">
        <f>_xlfn.XLOOKUP($B92,'GP1 (1)'!$B$6:$B$100,'GP1 (1)'!$F$6:$F$100,"")</f>
        <v>0</v>
      </c>
      <c r="Z92" s="25">
        <f>_xlfn.XLOOKUP($B92,'GP1 (2)'!$B$6:$B$100,'GP1 (2)'!$F$6:$F$100,"")</f>
        <v>0</v>
      </c>
      <c r="AA92" s="27">
        <f>_xlfn.XLOOKUP($B92,'GP2 (1)'!$B$6:$B$101,'GP2 (1)'!$F$6:$F$101,"")</f>
        <v>0</v>
      </c>
      <c r="AB92" s="28">
        <f>_xlfn.XLOOKUP($B92,'GP2 (2)'!$B$6:$B$100,'GP2 (2)'!$F$6:$F$100,"")</f>
        <v>0</v>
      </c>
      <c r="AC92" s="24">
        <f>_xlfn.XLOOKUP($B92,'GP3 (1)'!$B$6:$B$100,'GP3 (1)'!$F$6:$F$100,"")</f>
        <v>0</v>
      </c>
      <c r="AD92" s="25">
        <f>_xlfn.XLOOKUP($B92,'GP3 (2)'!$B$6:$B$100,'GP3 (2)'!$F$6:$F$100,"")</f>
        <v>0</v>
      </c>
      <c r="AE92" s="27">
        <f>_xlfn.XLOOKUP($B92,'GP4 (1)'!$B$6:$B$66,'GP4 (1)'!$F$6:$F$66,"")</f>
        <v>0</v>
      </c>
      <c r="AF92" s="28">
        <f>_xlfn.XLOOKUP($B92,'GP4 (2)'!$B$6:$B$100,'GP4 (2)'!$F$6:$F$100,"")</f>
        <v>0</v>
      </c>
      <c r="AG92" s="24">
        <f>_xlfn.XLOOKUP($B92,'GP5 (1)'!$B$6:$B$99,'GP5 (1)'!$F$6:$F$99,"")</f>
        <v>0</v>
      </c>
      <c r="AH92" s="26">
        <f>_xlfn.XLOOKUP($B92,'GP5 (2)'!$B$6:$B$99,'GP5 (2)'!$F$6:$F$99,"")</f>
        <v>0</v>
      </c>
      <c r="AI92" s="27">
        <f>_xlfn.XLOOKUP($B92,'GP6 (1)'!$B$5:$B$99,'GP6 (1)'!$F$5:$F$99,"")</f>
        <v>0</v>
      </c>
      <c r="AJ92" s="28">
        <f>_xlfn.XLOOKUP($B92,'GP6 (2)'!$B$5:$B$99,'GP6 (2)'!$F$5:$F$99,"")</f>
        <v>0</v>
      </c>
      <c r="AK92" s="24">
        <f>_xlfn.XLOOKUP($B92,'GP7 (1)'!$B$6:$B$100,'GP7 (1)'!$F$6:$F$100,"")</f>
        <v>0</v>
      </c>
      <c r="AL92" s="26">
        <f>_xlfn.XLOOKUP($B92,'GP7 (2)'!$B$6:$B$100,'GP7 (2)'!$F$6:$F$100,"")</f>
        <v>0</v>
      </c>
      <c r="AM92" s="27">
        <f>_xlfn.XLOOKUP($B92,'GP8 (1)'!$B$6:$B$100,'GP8 (1)'!$F$6:$F$100,"")</f>
        <v>0</v>
      </c>
      <c r="AN92" s="29">
        <f>_xlfn.XLOOKUP($B92,'GP8 (2)'!$B$6:$B$100,'GP8 (2)'!$F$6:$F$100,"")</f>
        <v>0</v>
      </c>
      <c r="AO92" s="13">
        <f>SUM(AP92:BG92)</f>
        <v>0</v>
      </c>
      <c r="AP92" s="29">
        <f>_xlfn.XLOOKUP($B92,'MP (1)'!$B$6:$B$99,'MP (1)'!$H$6:$H$99,"")</f>
        <v>0</v>
      </c>
      <c r="AQ92" s="28">
        <f>_xlfn.XLOOKUP($B92,'MP (2)'!$B$6:$B$100,'MP (2)'!$H$6:$H$100,"")</f>
        <v>0</v>
      </c>
      <c r="AR92" s="24">
        <f>_xlfn.XLOOKUP($B92,'GP1 (1)'!$B$6:$B$100,'GP1 (1)'!$H$6:$H$100,"")</f>
        <v>0</v>
      </c>
      <c r="AS92" s="25">
        <f>_xlfn.XLOOKUP($B92,'GP1 (2)'!$B$6:$B$100,'GP1 (2)'!$H$6:$H$100,"")</f>
        <v>0</v>
      </c>
      <c r="AT92" s="27">
        <f>_xlfn.XLOOKUP($B92,'GP2 (1)'!$B$6:$B$101,'GP2 (1)'!$H$6:$H$101,"")</f>
        <v>0</v>
      </c>
      <c r="AU92" s="28">
        <f>_xlfn.XLOOKUP($B92,'GP2 (2)'!$B$6:$B$100,'GP2 (2)'!$H$6:$H$100,"")</f>
        <v>0</v>
      </c>
      <c r="AV92" s="24">
        <f>_xlfn.XLOOKUP($B92,'GP3 (1)'!$B$6:$B$100,'GP3 (1)'!$H$6:$H$100,"")</f>
        <v>0</v>
      </c>
      <c r="AW92" s="25">
        <f>_xlfn.XLOOKUP($B92,'GP3 (2)'!$B$6:$B$100,'GP3 (2)'!$H$6:$H$100,"")</f>
        <v>0</v>
      </c>
      <c r="AX92" s="27">
        <f>_xlfn.XLOOKUP($B92,'GP4 (1)'!$B$6:$B$66,'GP4 (1)'!$H$6:$H$66,"")</f>
        <v>0</v>
      </c>
      <c r="AY92" s="28">
        <f>_xlfn.XLOOKUP($B92,'GP4 (2)'!$B$6:$B$100,'GP4 (2)'!$H$6:$H$100,"")</f>
        <v>0</v>
      </c>
      <c r="AZ92" s="24">
        <f>_xlfn.XLOOKUP($B92,'GP5 (1)'!$B$6:$B$99,'GP5 (1)'!$H$6:$H$99,"")</f>
        <v>0</v>
      </c>
      <c r="BA92" s="25">
        <f>_xlfn.XLOOKUP($B92,'GP5 (2)'!$B$6:$B$99,'GP5 (2)'!$H$6:$H$99,"")</f>
        <v>0</v>
      </c>
      <c r="BB92" s="27">
        <f>_xlfn.XLOOKUP($B92,'GP6 (1)'!$B$5:$B$99,'GP6 (1)'!$H$5:$H$99,"")</f>
        <v>0</v>
      </c>
      <c r="BC92" s="28">
        <f>_xlfn.XLOOKUP($B92,'GP6 (2)'!$B$5:$B$99,'GP6 (2)'!$H$5:$H$99,"")</f>
        <v>0</v>
      </c>
      <c r="BD92" s="24">
        <f>_xlfn.XLOOKUP($B92,'GP7 (1)'!$B$6:$B$100,'GP7 (1)'!$H$6:$H$100,"")</f>
        <v>0</v>
      </c>
      <c r="BE92" s="25">
        <f>_xlfn.XLOOKUP($B92,'GP7 (2)'!$B$6:$B$100,'GP7 (2)'!$H$6:$H$100,"")</f>
        <v>0</v>
      </c>
      <c r="BF92" s="27">
        <f>_xlfn.XLOOKUP($B92,'GP8 (1)'!$B$6:$B$100,'GP8 (1)'!$H$6:$H$100,"")</f>
        <v>0</v>
      </c>
      <c r="BG92" s="32">
        <f>_xlfn.XLOOKUP($B92,'GP8 (2)'!$B$6:$B$100,'GP8 (2)'!$H$6:$H$100,"")</f>
        <v>0</v>
      </c>
    </row>
    <row r="93" spans="1:59" ht="13.1" customHeight="1" x14ac:dyDescent="0.25">
      <c r="A93" s="1">
        <f>ROW()-4</f>
        <v>89</v>
      </c>
      <c r="B93" s="2"/>
      <c r="C93" s="30">
        <f>SUM(D93:U93)</f>
        <v>0</v>
      </c>
      <c r="D93" s="35">
        <f>_xlfn.XLOOKUP($B93,'MP (1)'!$B$6:$B$99,'MP (1)'!$E$6:$E$99,"")</f>
        <v>0</v>
      </c>
      <c r="E93" s="36">
        <f>_xlfn.XLOOKUP($B93,'MP (2)'!$B$6:$B$100,'MP (2)'!$E$6:$E$100,"")</f>
        <v>0</v>
      </c>
      <c r="F93" s="40">
        <f>_xlfn.XLOOKUP($B93,'GP1 (1)'!$B$6:$B$100,'GP1 (1)'!$E$6:$E$100,"")</f>
        <v>0</v>
      </c>
      <c r="G93" s="41">
        <f>_xlfn.XLOOKUP($B93,'GP1 (2)'!$B$6:$B$100,'GP1 (2)'!$E$6:$E$100,"")</f>
        <v>0</v>
      </c>
      <c r="H93" s="39">
        <f>_xlfn.XLOOKUP($B93,'GP2 (1)'!$B$6:$B$101,'GP2 (1)'!$E$6:$E$101,"")</f>
        <v>0</v>
      </c>
      <c r="I93" s="36">
        <f>_xlfn.XLOOKUP($B93,'GP2 (2)'!$B$6:$B$100,'GP2 (2)'!$E$6:$E$100,"")</f>
        <v>0</v>
      </c>
      <c r="J93" s="40">
        <f>_xlfn.XLOOKUP($B93,'GP3 (1)'!$B$6:$B$100,'GP3 (1)'!$E$6:$E$100,"")</f>
        <v>0</v>
      </c>
      <c r="K93" s="41">
        <f>_xlfn.XLOOKUP($B93,'GP3 (2)'!$B$6:$B$100,'GP3 (2)'!$E$6:$E$100,"")</f>
        <v>0</v>
      </c>
      <c r="L93" s="39">
        <f>_xlfn.XLOOKUP($B93,'GP4 (1)'!$B$6:$B$66,'GP4 (1)'!$E$6:$E$66,"")</f>
        <v>0</v>
      </c>
      <c r="M93" s="36">
        <f>_xlfn.XLOOKUP($B93,'GP4 (2)'!$B$6:$B$100,'GP4 (2)'!$E$6:$E$100,"")</f>
        <v>0</v>
      </c>
      <c r="N93" s="40">
        <f>_xlfn.XLOOKUP($B93,'GP5 (1)'!$B$6:$B$99,'GP5 (1)'!$E$6:$E$99,"")</f>
        <v>0</v>
      </c>
      <c r="O93" s="42">
        <f>_xlfn.XLOOKUP($B93,'GP5 (2)'!$B$6:$B$99,'GP5 (2)'!$E$6:$E$99,"")</f>
        <v>0</v>
      </c>
      <c r="P93" s="39">
        <f>_xlfn.XLOOKUP($B93,'GP6 (1)'!$B$5:$B$99,'GP6 (1)'!$E$5:$E$99,"")</f>
        <v>0</v>
      </c>
      <c r="Q93" s="36">
        <f>_xlfn.XLOOKUP($B93,'GP6 (2)'!$B$5:$B$99,'GP6 (2)'!$E$5:$E$99,"")</f>
        <v>0</v>
      </c>
      <c r="R93" s="40">
        <f>_xlfn.XLOOKUP($B93,'GP7 (1)'!$B$6:$B$100,'GP7 (1)'!$E$6:$E$100,"")</f>
        <v>0</v>
      </c>
      <c r="S93" s="42">
        <f>_xlfn.XLOOKUP($B93,'GP7 (2)'!$B$6:$B$100,'GP7 (2)'!$E$6:$E$100,"")</f>
        <v>0</v>
      </c>
      <c r="T93" s="39">
        <f>_xlfn.XLOOKUP($B93,'GP8 (1)'!$B$6:$B$100,'GP8 (1)'!$E$6:$E$100,"")</f>
        <v>0</v>
      </c>
      <c r="U93" s="35">
        <f>_xlfn.XLOOKUP($B93,'GP8 (2)'!$B$6:$B$100,'GP8 (2)'!$E$6:$E$100,"")</f>
        <v>0</v>
      </c>
      <c r="V93" s="13">
        <f>SUM(W93:AN93)</f>
        <v>0</v>
      </c>
      <c r="W93" s="29">
        <f>_xlfn.XLOOKUP($B93,'MP (1)'!$B$6:$B$99,'MP (1)'!$F$6:$F$99,"")</f>
        <v>0</v>
      </c>
      <c r="X93" s="28">
        <f>_xlfn.XLOOKUP($B93,'MP (2)'!$B$6:$B$100,'MP (2)'!$F$6:$F$100,"")</f>
        <v>0</v>
      </c>
      <c r="Y93" s="24">
        <f>_xlfn.XLOOKUP($B93,'GP1 (1)'!$B$6:$B$100,'GP1 (1)'!$F$6:$F$100,"")</f>
        <v>0</v>
      </c>
      <c r="Z93" s="25">
        <f>_xlfn.XLOOKUP($B93,'GP1 (2)'!$B$6:$B$100,'GP1 (2)'!$F$6:$F$100,"")</f>
        <v>0</v>
      </c>
      <c r="AA93" s="27">
        <f>_xlfn.XLOOKUP($B93,'GP2 (1)'!$B$6:$B$101,'GP2 (1)'!$F$6:$F$101,"")</f>
        <v>0</v>
      </c>
      <c r="AB93" s="28">
        <f>_xlfn.XLOOKUP($B93,'GP2 (2)'!$B$6:$B$100,'GP2 (2)'!$F$6:$F$100,"")</f>
        <v>0</v>
      </c>
      <c r="AC93" s="24">
        <f>_xlfn.XLOOKUP($B93,'GP3 (1)'!$B$6:$B$100,'GP3 (1)'!$F$6:$F$100,"")</f>
        <v>0</v>
      </c>
      <c r="AD93" s="25">
        <f>_xlfn.XLOOKUP($B93,'GP3 (2)'!$B$6:$B$100,'GP3 (2)'!$F$6:$F$100,"")</f>
        <v>0</v>
      </c>
      <c r="AE93" s="27">
        <f>_xlfn.XLOOKUP($B93,'GP4 (1)'!$B$6:$B$66,'GP4 (1)'!$F$6:$F$66,"")</f>
        <v>0</v>
      </c>
      <c r="AF93" s="28">
        <f>_xlfn.XLOOKUP($B93,'GP4 (2)'!$B$6:$B$100,'GP4 (2)'!$F$6:$F$100,"")</f>
        <v>0</v>
      </c>
      <c r="AG93" s="24">
        <f>_xlfn.XLOOKUP($B93,'GP5 (1)'!$B$6:$B$99,'GP5 (1)'!$F$6:$F$99,"")</f>
        <v>0</v>
      </c>
      <c r="AH93" s="26">
        <f>_xlfn.XLOOKUP($B93,'GP5 (2)'!$B$6:$B$99,'GP5 (2)'!$F$6:$F$99,"")</f>
        <v>0</v>
      </c>
      <c r="AI93" s="27">
        <f>_xlfn.XLOOKUP($B93,'GP6 (1)'!$B$5:$B$99,'GP6 (1)'!$F$5:$F$99,"")</f>
        <v>0</v>
      </c>
      <c r="AJ93" s="28">
        <f>_xlfn.XLOOKUP($B93,'GP6 (2)'!$B$5:$B$99,'GP6 (2)'!$F$5:$F$99,"")</f>
        <v>0</v>
      </c>
      <c r="AK93" s="24">
        <f>_xlfn.XLOOKUP($B93,'GP7 (1)'!$B$6:$B$100,'GP7 (1)'!$F$6:$F$100,"")</f>
        <v>0</v>
      </c>
      <c r="AL93" s="26">
        <f>_xlfn.XLOOKUP($B93,'GP7 (2)'!$B$6:$B$100,'GP7 (2)'!$F$6:$F$100,"")</f>
        <v>0</v>
      </c>
      <c r="AM93" s="27">
        <f>_xlfn.XLOOKUP($B93,'GP8 (1)'!$B$6:$B$100,'GP8 (1)'!$F$6:$F$100,"")</f>
        <v>0</v>
      </c>
      <c r="AN93" s="29">
        <f>_xlfn.XLOOKUP($B93,'GP8 (2)'!$B$6:$B$100,'GP8 (2)'!$F$6:$F$100,"")</f>
        <v>0</v>
      </c>
      <c r="AO93" s="13">
        <f>SUM(AP93:BG93)</f>
        <v>0</v>
      </c>
      <c r="AP93" s="29">
        <f>_xlfn.XLOOKUP($B93,'MP (1)'!$B$6:$B$99,'MP (1)'!$H$6:$H$99,"")</f>
        <v>0</v>
      </c>
      <c r="AQ93" s="28">
        <f>_xlfn.XLOOKUP($B93,'MP (2)'!$B$6:$B$100,'MP (2)'!$H$6:$H$100,"")</f>
        <v>0</v>
      </c>
      <c r="AR93" s="24">
        <f>_xlfn.XLOOKUP($B93,'GP1 (1)'!$B$6:$B$100,'GP1 (1)'!$H$6:$H$100,"")</f>
        <v>0</v>
      </c>
      <c r="AS93" s="25">
        <f>_xlfn.XLOOKUP($B93,'GP1 (2)'!$B$6:$B$100,'GP1 (2)'!$H$6:$H$100,"")</f>
        <v>0</v>
      </c>
      <c r="AT93" s="27">
        <f>_xlfn.XLOOKUP($B93,'GP2 (1)'!$B$6:$B$101,'GP2 (1)'!$H$6:$H$101,"")</f>
        <v>0</v>
      </c>
      <c r="AU93" s="28">
        <f>_xlfn.XLOOKUP($B93,'GP2 (2)'!$B$6:$B$100,'GP2 (2)'!$H$6:$H$100,"")</f>
        <v>0</v>
      </c>
      <c r="AV93" s="24">
        <f>_xlfn.XLOOKUP($B93,'GP3 (1)'!$B$6:$B$100,'GP3 (1)'!$H$6:$H$100,"")</f>
        <v>0</v>
      </c>
      <c r="AW93" s="25">
        <f>_xlfn.XLOOKUP($B93,'GP3 (2)'!$B$6:$B$100,'GP3 (2)'!$H$6:$H$100,"")</f>
        <v>0</v>
      </c>
      <c r="AX93" s="27">
        <f>_xlfn.XLOOKUP($B93,'GP4 (1)'!$B$6:$B$66,'GP4 (1)'!$H$6:$H$66,"")</f>
        <v>0</v>
      </c>
      <c r="AY93" s="28">
        <f>_xlfn.XLOOKUP($B93,'GP4 (2)'!$B$6:$B$100,'GP4 (2)'!$H$6:$H$100,"")</f>
        <v>0</v>
      </c>
      <c r="AZ93" s="24">
        <f>_xlfn.XLOOKUP($B93,'GP5 (1)'!$B$6:$B$99,'GP5 (1)'!$H$6:$H$99,"")</f>
        <v>0</v>
      </c>
      <c r="BA93" s="25">
        <f>_xlfn.XLOOKUP($B93,'GP5 (2)'!$B$6:$B$99,'GP5 (2)'!$H$6:$H$99,"")</f>
        <v>0</v>
      </c>
      <c r="BB93" s="27">
        <f>_xlfn.XLOOKUP($B93,'GP6 (1)'!$B$5:$B$99,'GP6 (1)'!$H$5:$H$99,"")</f>
        <v>0</v>
      </c>
      <c r="BC93" s="28">
        <f>_xlfn.XLOOKUP($B93,'GP6 (2)'!$B$5:$B$99,'GP6 (2)'!$H$5:$H$99,"")</f>
        <v>0</v>
      </c>
      <c r="BD93" s="24">
        <f>_xlfn.XLOOKUP($B93,'GP7 (1)'!$B$6:$B$100,'GP7 (1)'!$H$6:$H$100,"")</f>
        <v>0</v>
      </c>
      <c r="BE93" s="25">
        <f>_xlfn.XLOOKUP($B93,'GP7 (2)'!$B$6:$B$100,'GP7 (2)'!$H$6:$H$100,"")</f>
        <v>0</v>
      </c>
      <c r="BF93" s="27">
        <f>_xlfn.XLOOKUP($B93,'GP8 (1)'!$B$6:$B$100,'GP8 (1)'!$H$6:$H$100,"")</f>
        <v>0</v>
      </c>
      <c r="BG93" s="32">
        <f>_xlfn.XLOOKUP($B93,'GP8 (2)'!$B$6:$B$100,'GP8 (2)'!$H$6:$H$100,"")</f>
        <v>0</v>
      </c>
    </row>
    <row r="94" spans="1:59" ht="13.1" customHeight="1" x14ac:dyDescent="0.25">
      <c r="A94" s="1">
        <f>ROW()-4</f>
        <v>90</v>
      </c>
      <c r="B94" s="2"/>
      <c r="C94" s="30">
        <f>SUM(D94:U94)</f>
        <v>0</v>
      </c>
      <c r="D94" s="35">
        <f>_xlfn.XLOOKUP($B94,'MP (1)'!$B$6:$B$99,'MP (1)'!$E$6:$E$99,"")</f>
        <v>0</v>
      </c>
      <c r="E94" s="36">
        <f>_xlfn.XLOOKUP($B94,'MP (2)'!$B$6:$B$100,'MP (2)'!$E$6:$E$100,"")</f>
        <v>0</v>
      </c>
      <c r="F94" s="40">
        <f>_xlfn.XLOOKUP($B94,'GP1 (1)'!$B$6:$B$100,'GP1 (1)'!$E$6:$E$100,"")</f>
        <v>0</v>
      </c>
      <c r="G94" s="41">
        <f>_xlfn.XLOOKUP($B94,'GP1 (2)'!$B$6:$B$100,'GP1 (2)'!$E$6:$E$100,"")</f>
        <v>0</v>
      </c>
      <c r="H94" s="39">
        <f>_xlfn.XLOOKUP($B94,'GP2 (1)'!$B$6:$B$101,'GP2 (1)'!$E$6:$E$101,"")</f>
        <v>0</v>
      </c>
      <c r="I94" s="36">
        <f>_xlfn.XLOOKUP($B94,'GP2 (2)'!$B$6:$B$100,'GP2 (2)'!$E$6:$E$100,"")</f>
        <v>0</v>
      </c>
      <c r="J94" s="40">
        <f>_xlfn.XLOOKUP($B94,'GP3 (1)'!$B$6:$B$100,'GP3 (1)'!$E$6:$E$100,"")</f>
        <v>0</v>
      </c>
      <c r="K94" s="41">
        <f>_xlfn.XLOOKUP($B94,'GP3 (2)'!$B$6:$B$100,'GP3 (2)'!$E$6:$E$100,"")</f>
        <v>0</v>
      </c>
      <c r="L94" s="39">
        <f>_xlfn.XLOOKUP($B94,'GP4 (1)'!$B$6:$B$66,'GP4 (1)'!$E$6:$E$66,"")</f>
        <v>0</v>
      </c>
      <c r="M94" s="36">
        <f>_xlfn.XLOOKUP($B94,'GP4 (2)'!$B$6:$B$100,'GP4 (2)'!$E$6:$E$100,"")</f>
        <v>0</v>
      </c>
      <c r="N94" s="40">
        <f>_xlfn.XLOOKUP($B94,'GP5 (1)'!$B$6:$B$99,'GP5 (1)'!$E$6:$E$99,"")</f>
        <v>0</v>
      </c>
      <c r="O94" s="42">
        <f>_xlfn.XLOOKUP($B94,'GP5 (2)'!$B$6:$B$99,'GP5 (2)'!$E$6:$E$99,"")</f>
        <v>0</v>
      </c>
      <c r="P94" s="39">
        <f>_xlfn.XLOOKUP($B94,'GP6 (1)'!$B$5:$B$99,'GP6 (1)'!$E$5:$E$99,"")</f>
        <v>0</v>
      </c>
      <c r="Q94" s="36">
        <f>_xlfn.XLOOKUP($B94,'GP6 (2)'!$B$5:$B$99,'GP6 (2)'!$E$5:$E$99,"")</f>
        <v>0</v>
      </c>
      <c r="R94" s="40">
        <f>_xlfn.XLOOKUP($B94,'GP7 (1)'!$B$6:$B$100,'GP7 (1)'!$E$6:$E$100,"")</f>
        <v>0</v>
      </c>
      <c r="S94" s="42">
        <f>_xlfn.XLOOKUP($B94,'GP7 (2)'!$B$6:$B$100,'GP7 (2)'!$E$6:$E$100,"")</f>
        <v>0</v>
      </c>
      <c r="T94" s="39">
        <f>_xlfn.XLOOKUP($B94,'GP8 (1)'!$B$6:$B$100,'GP8 (1)'!$E$6:$E$100,"")</f>
        <v>0</v>
      </c>
      <c r="U94" s="35">
        <f>_xlfn.XLOOKUP($B94,'GP8 (2)'!$B$6:$B$100,'GP8 (2)'!$E$6:$E$100,"")</f>
        <v>0</v>
      </c>
      <c r="V94" s="13">
        <f>SUM(W94:AN94)</f>
        <v>0</v>
      </c>
      <c r="W94" s="29">
        <f>_xlfn.XLOOKUP($B94,'MP (1)'!$B$6:$B$99,'MP (1)'!$F$6:$F$99,"")</f>
        <v>0</v>
      </c>
      <c r="X94" s="28">
        <f>_xlfn.XLOOKUP($B94,'MP (2)'!$B$6:$B$100,'MP (2)'!$F$6:$F$100,"")</f>
        <v>0</v>
      </c>
      <c r="Y94" s="24">
        <f>_xlfn.XLOOKUP($B94,'GP1 (1)'!$B$6:$B$100,'GP1 (1)'!$F$6:$F$100,"")</f>
        <v>0</v>
      </c>
      <c r="Z94" s="25">
        <f>_xlfn.XLOOKUP($B94,'GP1 (2)'!$B$6:$B$100,'GP1 (2)'!$F$6:$F$100,"")</f>
        <v>0</v>
      </c>
      <c r="AA94" s="27">
        <f>_xlfn.XLOOKUP($B94,'GP2 (1)'!$B$6:$B$101,'GP2 (1)'!$F$6:$F$101,"")</f>
        <v>0</v>
      </c>
      <c r="AB94" s="28">
        <f>_xlfn.XLOOKUP($B94,'GP2 (2)'!$B$6:$B$100,'GP2 (2)'!$F$6:$F$100,"")</f>
        <v>0</v>
      </c>
      <c r="AC94" s="24">
        <f>_xlfn.XLOOKUP($B94,'GP3 (1)'!$B$6:$B$100,'GP3 (1)'!$F$6:$F$100,"")</f>
        <v>0</v>
      </c>
      <c r="AD94" s="25">
        <f>_xlfn.XLOOKUP($B94,'GP3 (2)'!$B$6:$B$100,'GP3 (2)'!$F$6:$F$100,"")</f>
        <v>0</v>
      </c>
      <c r="AE94" s="27">
        <f>_xlfn.XLOOKUP($B94,'GP4 (1)'!$B$6:$B$66,'GP4 (1)'!$F$6:$F$66,"")</f>
        <v>0</v>
      </c>
      <c r="AF94" s="28">
        <f>_xlfn.XLOOKUP($B94,'GP4 (2)'!$B$6:$B$100,'GP4 (2)'!$F$6:$F$100,"")</f>
        <v>0</v>
      </c>
      <c r="AG94" s="24">
        <f>_xlfn.XLOOKUP($B94,'GP5 (1)'!$B$6:$B$99,'GP5 (1)'!$F$6:$F$99,"")</f>
        <v>0</v>
      </c>
      <c r="AH94" s="26">
        <f>_xlfn.XLOOKUP($B94,'GP5 (2)'!$B$6:$B$99,'GP5 (2)'!$F$6:$F$99,"")</f>
        <v>0</v>
      </c>
      <c r="AI94" s="27">
        <f>_xlfn.XLOOKUP($B94,'GP6 (1)'!$B$5:$B$99,'GP6 (1)'!$F$5:$F$99,"")</f>
        <v>0</v>
      </c>
      <c r="AJ94" s="28">
        <f>_xlfn.XLOOKUP($B94,'GP6 (2)'!$B$5:$B$99,'GP6 (2)'!$F$5:$F$99,"")</f>
        <v>0</v>
      </c>
      <c r="AK94" s="24">
        <f>_xlfn.XLOOKUP($B94,'GP7 (1)'!$B$6:$B$100,'GP7 (1)'!$F$6:$F$100,"")</f>
        <v>0</v>
      </c>
      <c r="AL94" s="26">
        <f>_xlfn.XLOOKUP($B94,'GP7 (2)'!$B$6:$B$100,'GP7 (2)'!$F$6:$F$100,"")</f>
        <v>0</v>
      </c>
      <c r="AM94" s="27">
        <f>_xlfn.XLOOKUP($B94,'GP8 (1)'!$B$6:$B$100,'GP8 (1)'!$F$6:$F$100,"")</f>
        <v>0</v>
      </c>
      <c r="AN94" s="29">
        <f>_xlfn.XLOOKUP($B94,'GP8 (2)'!$B$6:$B$100,'GP8 (2)'!$F$6:$F$100,"")</f>
        <v>0</v>
      </c>
      <c r="AO94" s="13">
        <f>SUM(AP94:BG94)</f>
        <v>0</v>
      </c>
      <c r="AP94" s="29">
        <f>_xlfn.XLOOKUP($B94,'MP (1)'!$B$6:$B$99,'MP (1)'!$H$6:$H$99,"")</f>
        <v>0</v>
      </c>
      <c r="AQ94" s="28">
        <f>_xlfn.XLOOKUP($B94,'MP (2)'!$B$6:$B$100,'MP (2)'!$H$6:$H$100,"")</f>
        <v>0</v>
      </c>
      <c r="AR94" s="24">
        <f>_xlfn.XLOOKUP($B94,'GP1 (1)'!$B$6:$B$100,'GP1 (1)'!$H$6:$H$100,"")</f>
        <v>0</v>
      </c>
      <c r="AS94" s="25">
        <f>_xlfn.XLOOKUP($B94,'GP1 (2)'!$B$6:$B$100,'GP1 (2)'!$H$6:$H$100,"")</f>
        <v>0</v>
      </c>
      <c r="AT94" s="27">
        <f>_xlfn.XLOOKUP($B94,'GP2 (1)'!$B$6:$B$101,'GP2 (1)'!$H$6:$H$101,"")</f>
        <v>0</v>
      </c>
      <c r="AU94" s="28">
        <f>_xlfn.XLOOKUP($B94,'GP2 (2)'!$B$6:$B$100,'GP2 (2)'!$H$6:$H$100,"")</f>
        <v>0</v>
      </c>
      <c r="AV94" s="24">
        <f>_xlfn.XLOOKUP($B94,'GP3 (1)'!$B$6:$B$100,'GP3 (1)'!$H$6:$H$100,"")</f>
        <v>0</v>
      </c>
      <c r="AW94" s="25">
        <f>_xlfn.XLOOKUP($B94,'GP3 (2)'!$B$6:$B$100,'GP3 (2)'!$H$6:$H$100,"")</f>
        <v>0</v>
      </c>
      <c r="AX94" s="27">
        <f>_xlfn.XLOOKUP($B94,'GP4 (1)'!$B$6:$B$66,'GP4 (1)'!$H$6:$H$66,"")</f>
        <v>0</v>
      </c>
      <c r="AY94" s="28">
        <f>_xlfn.XLOOKUP($B94,'GP4 (2)'!$B$6:$B$100,'GP4 (2)'!$H$6:$H$100,"")</f>
        <v>0</v>
      </c>
      <c r="AZ94" s="24">
        <f>_xlfn.XLOOKUP($B94,'GP5 (1)'!$B$6:$B$99,'GP5 (1)'!$H$6:$H$99,"")</f>
        <v>0</v>
      </c>
      <c r="BA94" s="25">
        <f>_xlfn.XLOOKUP($B94,'GP5 (2)'!$B$6:$B$99,'GP5 (2)'!$H$6:$H$99,"")</f>
        <v>0</v>
      </c>
      <c r="BB94" s="27">
        <f>_xlfn.XLOOKUP($B94,'GP6 (1)'!$B$5:$B$99,'GP6 (1)'!$H$5:$H$99,"")</f>
        <v>0</v>
      </c>
      <c r="BC94" s="28">
        <f>_xlfn.XLOOKUP($B94,'GP6 (2)'!$B$5:$B$99,'GP6 (2)'!$H$5:$H$99,"")</f>
        <v>0</v>
      </c>
      <c r="BD94" s="24">
        <f>_xlfn.XLOOKUP($B94,'GP7 (1)'!$B$6:$B$100,'GP7 (1)'!$H$6:$H$100,"")</f>
        <v>0</v>
      </c>
      <c r="BE94" s="25">
        <f>_xlfn.XLOOKUP($B94,'GP7 (2)'!$B$6:$B$100,'GP7 (2)'!$H$6:$H$100,"")</f>
        <v>0</v>
      </c>
      <c r="BF94" s="27">
        <f>_xlfn.XLOOKUP($B94,'GP8 (1)'!$B$6:$B$100,'GP8 (1)'!$H$6:$H$100,"")</f>
        <v>0</v>
      </c>
      <c r="BG94" s="32">
        <f>_xlfn.XLOOKUP($B94,'GP8 (2)'!$B$6:$B$100,'GP8 (2)'!$H$6:$H$100,"")</f>
        <v>0</v>
      </c>
    </row>
  </sheetData>
  <sheetProtection selectLockedCells="1" selectUnlockedCells="1"/>
  <autoFilter ref="A4:BI94" xr:uid="{00000000-0009-0000-0000-000000000000}">
    <sortState xmlns:xlrd2="http://schemas.microsoft.com/office/spreadsheetml/2017/richdata2" ref="A7:BG94">
      <sortCondition descending="1" ref="C4:C94"/>
    </sortState>
  </autoFilter>
  <mergeCells count="35">
    <mergeCell ref="AM3:AN3"/>
    <mergeCell ref="N3:O3"/>
    <mergeCell ref="P3:Q3"/>
    <mergeCell ref="A2:A4"/>
    <mergeCell ref="B2:B4"/>
    <mergeCell ref="C2:C4"/>
    <mergeCell ref="D3:E3"/>
    <mergeCell ref="V2:V4"/>
    <mergeCell ref="AE3:AF3"/>
    <mergeCell ref="AO2:AO4"/>
    <mergeCell ref="D2:U2"/>
    <mergeCell ref="F3:G3"/>
    <mergeCell ref="H3:I3"/>
    <mergeCell ref="J3:K3"/>
    <mergeCell ref="L3:M3"/>
    <mergeCell ref="T3:U3"/>
    <mergeCell ref="W2:AN2"/>
    <mergeCell ref="W3:X3"/>
    <mergeCell ref="Y3:Z3"/>
    <mergeCell ref="AA3:AB3"/>
    <mergeCell ref="AC3:AD3"/>
    <mergeCell ref="R3:S3"/>
    <mergeCell ref="AG3:AH3"/>
    <mergeCell ref="AI3:AJ3"/>
    <mergeCell ref="AK3:AL3"/>
    <mergeCell ref="BF3:BG3"/>
    <mergeCell ref="AP2:BG2"/>
    <mergeCell ref="AP3:AQ3"/>
    <mergeCell ref="AR3:AS3"/>
    <mergeCell ref="AT3:AU3"/>
    <mergeCell ref="AV3:AW3"/>
    <mergeCell ref="AX3:AY3"/>
    <mergeCell ref="BB3:BC3"/>
    <mergeCell ref="AZ3:BA3"/>
    <mergeCell ref="BD3:BE3"/>
  </mergeCells>
  <conditionalFormatting sqref="A5:A94">
    <cfRule type="cellIs" dxfId="2" priority="43" operator="equal">
      <formula>3</formula>
    </cfRule>
    <cfRule type="cellIs" dxfId="1" priority="44" operator="equal">
      <formula>2</formula>
    </cfRule>
    <cfRule type="cellIs" dxfId="0" priority="45" operator="equal">
      <formula>1</formula>
    </cfRule>
  </conditionalFormatting>
  <pageMargins left="0.78749999999999998" right="0.78749999999999998" top="1.0249999999999999" bottom="1.0249999999999999" header="0.78749999999999998" footer="0.78749999999999998"/>
  <pageSetup paperSize="9" firstPageNumber="0" orientation="portrait" horizontalDpi="300" verticalDpi="300" r:id="rId1"/>
  <headerFooter alignWithMargins="0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2:L50"/>
  <sheetViews>
    <sheetView topLeftCell="B6" workbookViewId="0">
      <selection activeCell="B6" sqref="B6"/>
    </sheetView>
  </sheetViews>
  <sheetFormatPr defaultRowHeight="12.9" x14ac:dyDescent="0.2"/>
  <cols>
    <col min="1" max="1" width="5.75" style="6" bestFit="1" customWidth="1"/>
    <col min="2" max="2" width="18.875" style="6" customWidth="1"/>
    <col min="3" max="3" width="3.875" style="6" customWidth="1"/>
    <col min="4" max="4" width="2.375" style="6" bestFit="1" customWidth="1"/>
    <col min="5" max="5" width="8.75" style="6" customWidth="1"/>
    <col min="6" max="6" width="5.625" style="6" bestFit="1" customWidth="1"/>
    <col min="7" max="7" width="5.75" style="6" bestFit="1" customWidth="1"/>
    <col min="8" max="8" width="3.75" style="6" bestFit="1" customWidth="1"/>
    <col min="9" max="9" width="11.25" style="6" customWidth="1"/>
    <col min="10" max="10" width="18.25" style="6" customWidth="1"/>
    <col min="11" max="11" width="7.875" style="6" bestFit="1" customWidth="1"/>
    <col min="12" max="12" width="8.125" style="6" bestFit="1" customWidth="1"/>
  </cols>
  <sheetData>
    <row r="2" spans="1:12" ht="13.75" customHeight="1" x14ac:dyDescent="0.2">
      <c r="A2" s="66" t="s">
        <v>72</v>
      </c>
      <c r="B2" s="66"/>
      <c r="C2" s="67" t="s">
        <v>73</v>
      </c>
      <c r="D2" s="67"/>
      <c r="E2" s="67"/>
      <c r="F2" s="67"/>
      <c r="G2" s="67"/>
      <c r="H2" s="67"/>
      <c r="I2" s="67"/>
      <c r="J2" s="67"/>
      <c r="K2" s="67"/>
      <c r="L2" s="67"/>
    </row>
    <row r="3" spans="1:12" ht="13.1" customHeight="1" x14ac:dyDescent="0.2">
      <c r="B3" s="6" t="s">
        <v>74</v>
      </c>
      <c r="C3" s="68" t="s">
        <v>75</v>
      </c>
      <c r="D3" s="68"/>
      <c r="E3" s="68"/>
      <c r="F3" s="68"/>
      <c r="G3" s="68"/>
      <c r="H3" s="68"/>
      <c r="I3" s="68"/>
      <c r="J3" s="68"/>
      <c r="K3" s="68"/>
      <c r="L3" s="68"/>
    </row>
    <row r="4" spans="1:12" ht="13.1" customHeight="1" x14ac:dyDescent="0.2">
      <c r="C4" s="10"/>
      <c r="D4" s="10"/>
      <c r="E4" s="10"/>
      <c r="F4" s="10"/>
      <c r="G4" s="10"/>
      <c r="H4" s="10"/>
      <c r="I4" s="10"/>
      <c r="J4" s="10"/>
      <c r="K4" s="10"/>
      <c r="L4" s="10"/>
    </row>
    <row r="5" spans="1:12" ht="14.95" thickBot="1" x14ac:dyDescent="0.25">
      <c r="A5" s="11" t="s">
        <v>76</v>
      </c>
      <c r="B5" s="11" t="s">
        <v>77</v>
      </c>
      <c r="C5" s="11" t="s">
        <v>78</v>
      </c>
      <c r="D5" s="11" t="s">
        <v>79</v>
      </c>
      <c r="E5" s="11" t="s">
        <v>80</v>
      </c>
      <c r="F5" s="11" t="s">
        <v>3</v>
      </c>
      <c r="G5" s="11" t="s">
        <v>81</v>
      </c>
      <c r="H5" s="11" t="s">
        <v>4</v>
      </c>
      <c r="I5" s="11" t="s">
        <v>82</v>
      </c>
      <c r="J5" s="11" t="s">
        <v>83</v>
      </c>
      <c r="K5" s="11" t="s">
        <v>84</v>
      </c>
      <c r="L5" s="11" t="s">
        <v>85</v>
      </c>
    </row>
    <row r="6" spans="1:12" ht="17" thickBot="1" x14ac:dyDescent="0.35">
      <c r="A6" s="49">
        <v>1</v>
      </c>
      <c r="B6" s="49" t="s">
        <v>14</v>
      </c>
      <c r="C6" s="49">
        <v>6</v>
      </c>
      <c r="D6" s="49">
        <v>6</v>
      </c>
      <c r="E6" s="49">
        <v>1</v>
      </c>
      <c r="F6" s="49">
        <v>28</v>
      </c>
      <c r="G6" s="49">
        <v>7</v>
      </c>
      <c r="H6" s="49">
        <v>21</v>
      </c>
      <c r="I6" s="50" t="s">
        <v>86</v>
      </c>
      <c r="J6" s="49" t="s">
        <v>87</v>
      </c>
      <c r="K6" s="31"/>
      <c r="L6" s="31" t="s">
        <v>88</v>
      </c>
    </row>
    <row r="7" spans="1:12" ht="27.85" thickBot="1" x14ac:dyDescent="0.35">
      <c r="A7" s="49">
        <v>2</v>
      </c>
      <c r="B7" s="49" t="s">
        <v>16</v>
      </c>
      <c r="C7" s="49">
        <v>6</v>
      </c>
      <c r="D7" s="49">
        <v>6</v>
      </c>
      <c r="E7" s="49">
        <v>1</v>
      </c>
      <c r="F7" s="49">
        <v>29</v>
      </c>
      <c r="G7" s="49">
        <v>9</v>
      </c>
      <c r="H7" s="49">
        <v>20</v>
      </c>
      <c r="I7" s="50" t="s">
        <v>86</v>
      </c>
      <c r="J7" s="49" t="s">
        <v>89</v>
      </c>
      <c r="K7" s="31"/>
      <c r="L7" s="31" t="s">
        <v>88</v>
      </c>
    </row>
    <row r="8" spans="1:12" ht="17" thickBot="1" x14ac:dyDescent="0.35">
      <c r="A8" s="49">
        <v>3</v>
      </c>
      <c r="B8" s="49" t="s">
        <v>19</v>
      </c>
      <c r="C8" s="49">
        <v>5</v>
      </c>
      <c r="D8" s="49">
        <v>6</v>
      </c>
      <c r="E8" s="49">
        <v>0.83</v>
      </c>
      <c r="F8" s="49">
        <v>29</v>
      </c>
      <c r="G8" s="49">
        <v>12</v>
      </c>
      <c r="H8" s="49">
        <v>17</v>
      </c>
      <c r="I8" s="50" t="s">
        <v>86</v>
      </c>
      <c r="J8" s="49" t="s">
        <v>90</v>
      </c>
      <c r="K8" s="31"/>
      <c r="L8" s="31" t="s">
        <v>88</v>
      </c>
    </row>
    <row r="9" spans="1:12" ht="41.45" thickBot="1" x14ac:dyDescent="0.35">
      <c r="A9" s="49">
        <v>4</v>
      </c>
      <c r="B9" s="49" t="s">
        <v>18</v>
      </c>
      <c r="C9" s="49">
        <v>5</v>
      </c>
      <c r="D9" s="49">
        <v>6</v>
      </c>
      <c r="E9" s="49">
        <v>0.83</v>
      </c>
      <c r="F9" s="49">
        <v>27</v>
      </c>
      <c r="G9" s="49">
        <v>12</v>
      </c>
      <c r="H9" s="49">
        <v>15</v>
      </c>
      <c r="I9" s="50" t="s">
        <v>86</v>
      </c>
      <c r="J9" s="49" t="s">
        <v>91</v>
      </c>
      <c r="K9" s="31"/>
      <c r="L9" s="31" t="s">
        <v>88</v>
      </c>
    </row>
    <row r="10" spans="1:12" ht="27.85" thickBot="1" x14ac:dyDescent="0.35">
      <c r="A10" s="49">
        <v>5</v>
      </c>
      <c r="B10" s="49" t="s">
        <v>17</v>
      </c>
      <c r="C10" s="49">
        <v>4</v>
      </c>
      <c r="D10" s="49">
        <v>5</v>
      </c>
      <c r="E10" s="49">
        <v>0.8</v>
      </c>
      <c r="F10" s="49">
        <v>23</v>
      </c>
      <c r="G10" s="49">
        <v>15</v>
      </c>
      <c r="H10" s="49">
        <v>8</v>
      </c>
      <c r="I10" s="50" t="s">
        <v>86</v>
      </c>
      <c r="J10" s="49" t="s">
        <v>92</v>
      </c>
      <c r="K10" s="31"/>
      <c r="L10" s="31" t="s">
        <v>88</v>
      </c>
    </row>
    <row r="11" spans="1:12" ht="27.85" thickBot="1" x14ac:dyDescent="0.35">
      <c r="A11" s="49">
        <v>6</v>
      </c>
      <c r="B11" s="49" t="s">
        <v>35</v>
      </c>
      <c r="C11" s="49">
        <v>4</v>
      </c>
      <c r="D11" s="49">
        <v>6</v>
      </c>
      <c r="E11" s="49">
        <v>0.67</v>
      </c>
      <c r="F11" s="49">
        <v>27</v>
      </c>
      <c r="G11" s="49">
        <v>13</v>
      </c>
      <c r="H11" s="49">
        <v>14</v>
      </c>
      <c r="I11" s="50" t="s">
        <v>86</v>
      </c>
      <c r="J11" s="49" t="s">
        <v>93</v>
      </c>
      <c r="K11" s="31"/>
      <c r="L11" s="31" t="s">
        <v>88</v>
      </c>
    </row>
    <row r="12" spans="1:12" ht="27.85" thickBot="1" x14ac:dyDescent="0.35">
      <c r="A12" s="49">
        <v>7</v>
      </c>
      <c r="B12" s="49" t="s">
        <v>21</v>
      </c>
      <c r="C12" s="49">
        <v>4</v>
      </c>
      <c r="D12" s="49">
        <v>6</v>
      </c>
      <c r="E12" s="49">
        <v>0.67</v>
      </c>
      <c r="F12" s="49">
        <v>24</v>
      </c>
      <c r="G12" s="49">
        <v>14</v>
      </c>
      <c r="H12" s="49">
        <v>10</v>
      </c>
      <c r="I12" s="50" t="s">
        <v>86</v>
      </c>
      <c r="J12" s="49" t="s">
        <v>89</v>
      </c>
      <c r="K12" s="31"/>
      <c r="L12" s="31" t="s">
        <v>88</v>
      </c>
    </row>
    <row r="13" spans="1:12" ht="27.85" thickBot="1" x14ac:dyDescent="0.35">
      <c r="A13" s="49">
        <v>8</v>
      </c>
      <c r="B13" s="49" t="s">
        <v>94</v>
      </c>
      <c r="C13" s="49">
        <v>4</v>
      </c>
      <c r="D13" s="49">
        <v>6</v>
      </c>
      <c r="E13" s="49">
        <v>0.67</v>
      </c>
      <c r="F13" s="49">
        <v>23</v>
      </c>
      <c r="G13" s="49">
        <v>15</v>
      </c>
      <c r="H13" s="49">
        <v>8</v>
      </c>
      <c r="I13" s="50" t="s">
        <v>86</v>
      </c>
      <c r="J13" s="49" t="s">
        <v>95</v>
      </c>
      <c r="K13" s="31"/>
      <c r="L13" s="31" t="s">
        <v>88</v>
      </c>
    </row>
    <row r="14" spans="1:12" ht="17" thickBot="1" x14ac:dyDescent="0.35">
      <c r="A14" s="49">
        <v>9</v>
      </c>
      <c r="B14" s="49" t="s">
        <v>41</v>
      </c>
      <c r="C14" s="49">
        <v>4</v>
      </c>
      <c r="D14" s="49">
        <v>6</v>
      </c>
      <c r="E14" s="49">
        <v>0.67</v>
      </c>
      <c r="F14" s="49">
        <v>23</v>
      </c>
      <c r="G14" s="49">
        <v>16</v>
      </c>
      <c r="H14" s="49">
        <v>7</v>
      </c>
      <c r="I14" s="50" t="s">
        <v>86</v>
      </c>
      <c r="J14" s="49" t="s">
        <v>96</v>
      </c>
      <c r="K14" s="31"/>
      <c r="L14" s="31" t="s">
        <v>88</v>
      </c>
    </row>
    <row r="15" spans="1:12" ht="27.85" thickBot="1" x14ac:dyDescent="0.35">
      <c r="A15" s="49">
        <v>10</v>
      </c>
      <c r="B15" s="49" t="s">
        <v>20</v>
      </c>
      <c r="C15" s="49">
        <v>4</v>
      </c>
      <c r="D15" s="49">
        <v>6</v>
      </c>
      <c r="E15" s="49">
        <v>0.67</v>
      </c>
      <c r="F15" s="49">
        <v>22</v>
      </c>
      <c r="G15" s="49">
        <v>18</v>
      </c>
      <c r="H15" s="49">
        <v>4</v>
      </c>
      <c r="I15" s="50" t="s">
        <v>86</v>
      </c>
      <c r="J15" s="49" t="s">
        <v>97</v>
      </c>
      <c r="K15" s="31"/>
      <c r="L15" s="31" t="s">
        <v>88</v>
      </c>
    </row>
    <row r="16" spans="1:12" ht="27.85" thickBot="1" x14ac:dyDescent="0.35">
      <c r="A16" s="49">
        <v>11</v>
      </c>
      <c r="B16" s="49" t="s">
        <v>39</v>
      </c>
      <c r="C16" s="49">
        <v>3</v>
      </c>
      <c r="D16" s="49">
        <v>5</v>
      </c>
      <c r="E16" s="49">
        <v>0.6</v>
      </c>
      <c r="F16" s="49">
        <v>23</v>
      </c>
      <c r="G16" s="49">
        <v>15</v>
      </c>
      <c r="H16" s="49">
        <v>8</v>
      </c>
      <c r="I16" s="50" t="s">
        <v>86</v>
      </c>
      <c r="J16" s="49" t="s">
        <v>97</v>
      </c>
      <c r="K16" s="31"/>
      <c r="L16" s="31" t="s">
        <v>88</v>
      </c>
    </row>
    <row r="17" spans="1:12" ht="17" thickBot="1" x14ac:dyDescent="0.35">
      <c r="A17" s="49">
        <v>12</v>
      </c>
      <c r="B17" s="49" t="s">
        <v>15</v>
      </c>
      <c r="C17" s="49">
        <v>3</v>
      </c>
      <c r="D17" s="49">
        <v>5</v>
      </c>
      <c r="E17" s="49">
        <v>0.6</v>
      </c>
      <c r="F17" s="49">
        <v>23</v>
      </c>
      <c r="G17" s="49">
        <v>16</v>
      </c>
      <c r="H17" s="49">
        <v>7</v>
      </c>
      <c r="I17" s="50" t="s">
        <v>86</v>
      </c>
      <c r="J17" s="49" t="s">
        <v>98</v>
      </c>
      <c r="K17" s="31"/>
      <c r="L17" s="31" t="s">
        <v>88</v>
      </c>
    </row>
    <row r="18" spans="1:12" ht="27.85" thickBot="1" x14ac:dyDescent="0.35">
      <c r="A18" s="49">
        <v>13</v>
      </c>
      <c r="B18" s="49" t="s">
        <v>29</v>
      </c>
      <c r="C18" s="49">
        <v>3</v>
      </c>
      <c r="D18" s="49">
        <v>5</v>
      </c>
      <c r="E18" s="49">
        <v>0.6</v>
      </c>
      <c r="F18" s="49">
        <v>20</v>
      </c>
      <c r="G18" s="49">
        <v>19</v>
      </c>
      <c r="H18" s="49">
        <v>1</v>
      </c>
      <c r="I18" s="50" t="s">
        <v>86</v>
      </c>
      <c r="J18" s="49" t="s">
        <v>99</v>
      </c>
      <c r="K18" s="31"/>
      <c r="L18" s="31" t="s">
        <v>88</v>
      </c>
    </row>
    <row r="19" spans="1:12" ht="27.85" thickBot="1" x14ac:dyDescent="0.35">
      <c r="A19" s="49">
        <v>14</v>
      </c>
      <c r="B19" s="49" t="s">
        <v>30</v>
      </c>
      <c r="C19" s="49">
        <v>3</v>
      </c>
      <c r="D19" s="49">
        <v>6</v>
      </c>
      <c r="E19" s="49">
        <v>0.5</v>
      </c>
      <c r="F19" s="49">
        <v>22</v>
      </c>
      <c r="G19" s="49">
        <v>19</v>
      </c>
      <c r="H19" s="49">
        <v>3</v>
      </c>
      <c r="I19" s="50" t="s">
        <v>86</v>
      </c>
      <c r="J19" s="49" t="s">
        <v>93</v>
      </c>
      <c r="K19" s="31"/>
      <c r="L19" s="31" t="s">
        <v>88</v>
      </c>
    </row>
    <row r="20" spans="1:12" ht="27.85" thickBot="1" x14ac:dyDescent="0.35">
      <c r="A20" s="49">
        <v>15</v>
      </c>
      <c r="B20" s="49" t="s">
        <v>23</v>
      </c>
      <c r="C20" s="49">
        <v>3</v>
      </c>
      <c r="D20" s="49">
        <v>6</v>
      </c>
      <c r="E20" s="49">
        <v>0.5</v>
      </c>
      <c r="F20" s="49">
        <v>20</v>
      </c>
      <c r="G20" s="49">
        <v>17</v>
      </c>
      <c r="H20" s="49">
        <v>3</v>
      </c>
      <c r="I20" s="50" t="s">
        <v>86</v>
      </c>
      <c r="J20" s="49" t="s">
        <v>92</v>
      </c>
      <c r="K20" s="31"/>
      <c r="L20" s="31" t="s">
        <v>88</v>
      </c>
    </row>
    <row r="21" spans="1:12" ht="27.85" thickBot="1" x14ac:dyDescent="0.35">
      <c r="A21" s="49">
        <v>16</v>
      </c>
      <c r="B21" s="49" t="s">
        <v>42</v>
      </c>
      <c r="C21" s="49">
        <v>3</v>
      </c>
      <c r="D21" s="49">
        <v>6</v>
      </c>
      <c r="E21" s="49">
        <v>0.5</v>
      </c>
      <c r="F21" s="49">
        <v>20</v>
      </c>
      <c r="G21" s="49">
        <v>22</v>
      </c>
      <c r="H21" s="49">
        <v>-2</v>
      </c>
      <c r="I21" s="50" t="s">
        <v>86</v>
      </c>
      <c r="J21" s="49" t="s">
        <v>100</v>
      </c>
      <c r="K21" s="31"/>
      <c r="L21" s="31" t="s">
        <v>88</v>
      </c>
    </row>
    <row r="22" spans="1:12" ht="27.85" thickBot="1" x14ac:dyDescent="0.35">
      <c r="A22" s="49">
        <v>17</v>
      </c>
      <c r="B22" s="49" t="s">
        <v>43</v>
      </c>
      <c r="C22" s="49">
        <v>3</v>
      </c>
      <c r="D22" s="49">
        <v>6</v>
      </c>
      <c r="E22" s="49">
        <v>0.5</v>
      </c>
      <c r="F22" s="49">
        <v>19</v>
      </c>
      <c r="G22" s="49">
        <v>24</v>
      </c>
      <c r="H22" s="49">
        <v>-5</v>
      </c>
      <c r="I22" s="50" t="s">
        <v>86</v>
      </c>
      <c r="J22" s="49" t="s">
        <v>97</v>
      </c>
      <c r="K22" s="31"/>
      <c r="L22" s="31" t="s">
        <v>88</v>
      </c>
    </row>
    <row r="23" spans="1:12" ht="17" thickBot="1" x14ac:dyDescent="0.35">
      <c r="A23" s="49">
        <v>18</v>
      </c>
      <c r="B23" s="49" t="s">
        <v>32</v>
      </c>
      <c r="C23" s="49">
        <v>2</v>
      </c>
      <c r="D23" s="49">
        <v>5</v>
      </c>
      <c r="E23" s="49">
        <v>0.4</v>
      </c>
      <c r="F23" s="49">
        <v>15</v>
      </c>
      <c r="G23" s="49">
        <v>23</v>
      </c>
      <c r="H23" s="49">
        <v>-8</v>
      </c>
      <c r="I23" s="50" t="s">
        <v>86</v>
      </c>
      <c r="J23" s="49" t="s">
        <v>90</v>
      </c>
      <c r="K23" s="31"/>
      <c r="L23" s="31" t="s">
        <v>88</v>
      </c>
    </row>
    <row r="24" spans="1:12" ht="27.85" thickBot="1" x14ac:dyDescent="0.35">
      <c r="A24" s="49">
        <v>19</v>
      </c>
      <c r="B24" s="49" t="s">
        <v>38</v>
      </c>
      <c r="C24" s="49">
        <v>2</v>
      </c>
      <c r="D24" s="49">
        <v>6</v>
      </c>
      <c r="E24" s="49">
        <v>0.33</v>
      </c>
      <c r="F24" s="49">
        <v>17</v>
      </c>
      <c r="G24" s="49">
        <v>25</v>
      </c>
      <c r="H24" s="49">
        <v>-8</v>
      </c>
      <c r="I24" s="50" t="s">
        <v>86</v>
      </c>
      <c r="J24" s="49" t="s">
        <v>101</v>
      </c>
      <c r="K24" s="31"/>
      <c r="L24" s="31" t="s">
        <v>88</v>
      </c>
    </row>
    <row r="25" spans="1:12" ht="27.85" thickBot="1" x14ac:dyDescent="0.35">
      <c r="A25" s="49">
        <v>20</v>
      </c>
      <c r="B25" s="49" t="s">
        <v>50</v>
      </c>
      <c r="C25" s="49">
        <v>2</v>
      </c>
      <c r="D25" s="49">
        <v>6</v>
      </c>
      <c r="E25" s="49">
        <v>0.33</v>
      </c>
      <c r="F25" s="49">
        <v>15</v>
      </c>
      <c r="G25" s="49">
        <v>23</v>
      </c>
      <c r="H25" s="49">
        <v>-8</v>
      </c>
      <c r="I25" s="50" t="s">
        <v>86</v>
      </c>
      <c r="J25" s="49" t="s">
        <v>92</v>
      </c>
      <c r="K25" s="31"/>
      <c r="L25" s="31" t="s">
        <v>88</v>
      </c>
    </row>
    <row r="26" spans="1:12" ht="41.45" thickBot="1" x14ac:dyDescent="0.35">
      <c r="A26" s="49">
        <v>21</v>
      </c>
      <c r="B26" s="49" t="s">
        <v>33</v>
      </c>
      <c r="C26" s="49">
        <v>2</v>
      </c>
      <c r="D26" s="49">
        <v>6</v>
      </c>
      <c r="E26" s="49">
        <v>0.33</v>
      </c>
      <c r="F26" s="49">
        <v>11</v>
      </c>
      <c r="G26" s="49">
        <v>26</v>
      </c>
      <c r="H26" s="49">
        <v>-15</v>
      </c>
      <c r="I26" s="50" t="s">
        <v>86</v>
      </c>
      <c r="J26" s="49" t="s">
        <v>102</v>
      </c>
      <c r="K26" s="31"/>
      <c r="L26" s="31" t="s">
        <v>88</v>
      </c>
    </row>
    <row r="27" spans="1:12" ht="17" thickBot="1" x14ac:dyDescent="0.35">
      <c r="A27" s="49">
        <v>22</v>
      </c>
      <c r="B27" s="49" t="s">
        <v>49</v>
      </c>
      <c r="C27" s="49">
        <v>1</v>
      </c>
      <c r="D27" s="49">
        <v>6</v>
      </c>
      <c r="E27" s="49">
        <v>0.17</v>
      </c>
      <c r="F27" s="49">
        <v>14</v>
      </c>
      <c r="G27" s="49">
        <v>24</v>
      </c>
      <c r="H27" s="49">
        <v>-10</v>
      </c>
      <c r="I27" s="50" t="s">
        <v>86</v>
      </c>
      <c r="J27" s="49" t="s">
        <v>95</v>
      </c>
      <c r="K27" s="31"/>
      <c r="L27" s="31" t="s">
        <v>88</v>
      </c>
    </row>
    <row r="28" spans="1:12" ht="27.85" thickBot="1" x14ac:dyDescent="0.35">
      <c r="A28" s="49">
        <v>23</v>
      </c>
      <c r="B28" s="49" t="s">
        <v>55</v>
      </c>
      <c r="C28" s="49">
        <v>1</v>
      </c>
      <c r="D28" s="49">
        <v>6</v>
      </c>
      <c r="E28" s="49">
        <v>0.17</v>
      </c>
      <c r="F28" s="49">
        <v>11</v>
      </c>
      <c r="G28" s="49">
        <v>26</v>
      </c>
      <c r="H28" s="49">
        <v>-15</v>
      </c>
      <c r="I28" s="50" t="s">
        <v>86</v>
      </c>
      <c r="J28" s="49" t="s">
        <v>99</v>
      </c>
      <c r="K28" s="31"/>
      <c r="L28" s="31" t="s">
        <v>88</v>
      </c>
    </row>
    <row r="29" spans="1:12" ht="27.85" thickBot="1" x14ac:dyDescent="0.35">
      <c r="A29" s="49">
        <v>24</v>
      </c>
      <c r="B29" s="49" t="s">
        <v>53</v>
      </c>
      <c r="C29" s="49">
        <v>1</v>
      </c>
      <c r="D29" s="49">
        <v>6</v>
      </c>
      <c r="E29" s="49">
        <v>0.17</v>
      </c>
      <c r="F29" s="49">
        <v>10</v>
      </c>
      <c r="G29" s="49">
        <v>27</v>
      </c>
      <c r="H29" s="49">
        <v>-17</v>
      </c>
      <c r="I29" s="50" t="s">
        <v>86</v>
      </c>
      <c r="J29" s="49" t="s">
        <v>103</v>
      </c>
      <c r="K29" s="31"/>
      <c r="L29" s="31" t="s">
        <v>88</v>
      </c>
    </row>
    <row r="30" spans="1:12" ht="41.45" thickBot="1" x14ac:dyDescent="0.35">
      <c r="A30" s="49">
        <v>25</v>
      </c>
      <c r="B30" s="49" t="s">
        <v>56</v>
      </c>
      <c r="C30" s="49">
        <v>0</v>
      </c>
      <c r="D30" s="49">
        <v>5</v>
      </c>
      <c r="E30" s="49">
        <v>0</v>
      </c>
      <c r="F30" s="49">
        <v>9</v>
      </c>
      <c r="G30" s="49">
        <v>25</v>
      </c>
      <c r="H30" s="49">
        <v>-16</v>
      </c>
      <c r="I30" s="50" t="s">
        <v>86</v>
      </c>
      <c r="J30" s="49" t="s">
        <v>93</v>
      </c>
      <c r="K30" s="31"/>
      <c r="L30" s="31" t="s">
        <v>88</v>
      </c>
    </row>
    <row r="31" spans="1:12" ht="41.45" thickBot="1" x14ac:dyDescent="0.35">
      <c r="A31" s="49" t="s">
        <v>104</v>
      </c>
      <c r="B31" s="49" t="s">
        <v>27</v>
      </c>
      <c r="C31" s="49">
        <v>0</v>
      </c>
      <c r="D31" s="49">
        <v>6</v>
      </c>
      <c r="E31" s="49">
        <v>0</v>
      </c>
      <c r="F31" s="49">
        <v>9</v>
      </c>
      <c r="G31" s="49">
        <v>30</v>
      </c>
      <c r="H31" s="49">
        <v>-21</v>
      </c>
      <c r="I31" s="50" t="s">
        <v>86</v>
      </c>
      <c r="J31" s="49" t="s">
        <v>91</v>
      </c>
      <c r="K31" s="31"/>
      <c r="L31" s="31" t="s">
        <v>88</v>
      </c>
    </row>
    <row r="32" spans="1:12" ht="41.45" thickBot="1" x14ac:dyDescent="0.35">
      <c r="A32" s="49" t="s">
        <v>104</v>
      </c>
      <c r="B32" s="49" t="s">
        <v>34</v>
      </c>
      <c r="C32" s="49">
        <v>0</v>
      </c>
      <c r="D32" s="49">
        <v>6</v>
      </c>
      <c r="E32" s="49">
        <v>0</v>
      </c>
      <c r="F32" s="49">
        <v>9</v>
      </c>
      <c r="G32" s="49">
        <v>30</v>
      </c>
      <c r="H32" s="49">
        <v>-21</v>
      </c>
      <c r="I32" s="50" t="s">
        <v>86</v>
      </c>
      <c r="J32" s="49" t="s">
        <v>102</v>
      </c>
      <c r="K32" s="31"/>
      <c r="L32" s="31" t="s">
        <v>88</v>
      </c>
    </row>
    <row r="33" spans="1:12" ht="16.3" x14ac:dyDescent="0.3">
      <c r="A33" s="51"/>
      <c r="B33"/>
      <c r="C33"/>
      <c r="D33"/>
      <c r="E33"/>
      <c r="F33"/>
      <c r="G33"/>
      <c r="H33"/>
      <c r="I33"/>
      <c r="J33"/>
      <c r="K33" s="31"/>
      <c r="L33" s="31" t="s">
        <v>88</v>
      </c>
    </row>
    <row r="34" spans="1:12" x14ac:dyDescent="0.2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</row>
    <row r="35" spans="1:12" x14ac:dyDescent="0.2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</row>
    <row r="36" spans="1:12" x14ac:dyDescent="0.2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</row>
    <row r="37" spans="1:12" x14ac:dyDescent="0.2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</row>
    <row r="38" spans="1:12" x14ac:dyDescent="0.2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</row>
    <row r="39" spans="1:12" x14ac:dyDescent="0.2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</row>
    <row r="40" spans="1:12" x14ac:dyDescent="0.2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</row>
    <row r="41" spans="1:12" x14ac:dyDescent="0.2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</row>
    <row r="42" spans="1:12" x14ac:dyDescent="0.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</row>
    <row r="43" spans="1:12" x14ac:dyDescent="0.2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</row>
    <row r="44" spans="1:12" x14ac:dyDescent="0.2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</row>
    <row r="45" spans="1:12" x14ac:dyDescent="0.2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</row>
    <row r="46" spans="1:12" x14ac:dyDescent="0.2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</row>
    <row r="47" spans="1:12" x14ac:dyDescent="0.2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</row>
    <row r="48" spans="1:12" x14ac:dyDescent="0.2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</row>
    <row r="49" spans="1:12" x14ac:dyDescent="0.2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</row>
    <row r="50" spans="1:12" x14ac:dyDescent="0.2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</row>
  </sheetData>
  <autoFilter ref="A5:L5" xr:uid="{00000000-0009-0000-0000-000001000000}">
    <sortState xmlns:xlrd2="http://schemas.microsoft.com/office/spreadsheetml/2017/richdata2" ref="A6:L50">
      <sortCondition ref="A5"/>
    </sortState>
  </autoFilter>
  <mergeCells count="3">
    <mergeCell ref="A2:B2"/>
    <mergeCell ref="C2:L2"/>
    <mergeCell ref="C3:L3"/>
  </mergeCells>
  <hyperlinks>
    <hyperlink ref="C3" r:id="rId1" xr:uid="{616236D0-E6D3-429A-BC3A-96EBF5BD47D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2:L50"/>
  <sheetViews>
    <sheetView workbookViewId="0">
      <selection activeCell="B1" sqref="B1"/>
    </sheetView>
  </sheetViews>
  <sheetFormatPr defaultRowHeight="12.9" x14ac:dyDescent="0.2"/>
  <cols>
    <col min="1" max="1" width="5.75" style="6" bestFit="1" customWidth="1"/>
    <col min="2" max="2" width="18.875" style="6" customWidth="1"/>
    <col min="3" max="3" width="2.25" style="6" bestFit="1" customWidth="1"/>
    <col min="4" max="4" width="2.375" style="6" bestFit="1" customWidth="1"/>
    <col min="5" max="5" width="8.75" style="6" customWidth="1"/>
    <col min="6" max="6" width="3.25" style="6" bestFit="1" customWidth="1"/>
    <col min="7" max="7" width="3.375" style="6" bestFit="1" customWidth="1"/>
    <col min="8" max="8" width="3.75" style="6" bestFit="1" customWidth="1"/>
    <col min="9" max="9" width="11.25" style="6" customWidth="1"/>
    <col min="10" max="10" width="18.25" style="6" customWidth="1"/>
    <col min="11" max="11" width="7.875" style="6" bestFit="1" customWidth="1"/>
    <col min="12" max="12" width="8.125" style="6" bestFit="1" customWidth="1"/>
  </cols>
  <sheetData>
    <row r="2" spans="1:12" ht="13.75" customHeight="1" x14ac:dyDescent="0.2">
      <c r="A2" s="66" t="s">
        <v>72</v>
      </c>
      <c r="B2" s="66"/>
      <c r="C2" s="67" t="s">
        <v>105</v>
      </c>
      <c r="D2" s="67"/>
      <c r="E2" s="67"/>
      <c r="F2" s="67"/>
      <c r="G2" s="67"/>
      <c r="H2" s="67"/>
      <c r="I2" s="67"/>
      <c r="J2" s="67"/>
      <c r="K2" s="67"/>
      <c r="L2" s="67"/>
    </row>
    <row r="3" spans="1:12" ht="13.1" customHeight="1" x14ac:dyDescent="0.2">
      <c r="B3" s="6" t="s">
        <v>74</v>
      </c>
      <c r="C3" s="68" t="s">
        <v>106</v>
      </c>
      <c r="D3" s="68"/>
      <c r="E3" s="68"/>
      <c r="F3" s="68"/>
      <c r="G3" s="68"/>
      <c r="H3" s="68"/>
      <c r="I3" s="68"/>
      <c r="J3" s="68"/>
      <c r="K3" s="68"/>
      <c r="L3" s="68"/>
    </row>
    <row r="4" spans="1:12" ht="13.1" customHeight="1" x14ac:dyDescent="0.2">
      <c r="C4" s="10"/>
      <c r="D4" s="10"/>
      <c r="E4" s="10"/>
      <c r="F4" s="10"/>
      <c r="G4" s="10"/>
      <c r="H4" s="10"/>
      <c r="I4" s="10"/>
      <c r="J4" s="10"/>
      <c r="K4" s="10"/>
      <c r="L4" s="10"/>
    </row>
    <row r="5" spans="1:12" ht="14.95" thickBot="1" x14ac:dyDescent="0.25">
      <c r="A5" s="11" t="s">
        <v>76</v>
      </c>
      <c r="B5" s="11" t="s">
        <v>77</v>
      </c>
      <c r="C5" s="11" t="s">
        <v>78</v>
      </c>
      <c r="D5" s="11" t="s">
        <v>79</v>
      </c>
      <c r="E5" s="11" t="s">
        <v>80</v>
      </c>
      <c r="F5" s="11" t="s">
        <v>3</v>
      </c>
      <c r="G5" s="11" t="s">
        <v>81</v>
      </c>
      <c r="H5" s="11" t="s">
        <v>4</v>
      </c>
      <c r="I5" s="11" t="s">
        <v>82</v>
      </c>
      <c r="J5" s="11" t="s">
        <v>83</v>
      </c>
      <c r="K5" s="11" t="s">
        <v>84</v>
      </c>
      <c r="L5" s="11" t="s">
        <v>85</v>
      </c>
    </row>
    <row r="6" spans="1:12" ht="29.25" thickBot="1" x14ac:dyDescent="0.25">
      <c r="A6" s="33">
        <v>1</v>
      </c>
      <c r="B6" s="33" t="s">
        <v>16</v>
      </c>
      <c r="C6" s="33">
        <v>6</v>
      </c>
      <c r="D6" s="33">
        <v>6</v>
      </c>
      <c r="E6" s="33">
        <v>1</v>
      </c>
      <c r="F6" s="33">
        <v>30</v>
      </c>
      <c r="G6" s="33">
        <v>5</v>
      </c>
      <c r="H6" s="33">
        <v>25</v>
      </c>
      <c r="I6" s="34" t="s">
        <v>86</v>
      </c>
      <c r="J6" s="33" t="s">
        <v>89</v>
      </c>
      <c r="K6" s="8"/>
      <c r="L6" s="8" t="s">
        <v>107</v>
      </c>
    </row>
    <row r="7" spans="1:12" ht="14.95" thickBot="1" x14ac:dyDescent="0.25">
      <c r="A7" s="33">
        <v>2</v>
      </c>
      <c r="B7" s="33" t="s">
        <v>14</v>
      </c>
      <c r="C7" s="33">
        <v>6</v>
      </c>
      <c r="D7" s="33">
        <v>6</v>
      </c>
      <c r="E7" s="33">
        <v>1</v>
      </c>
      <c r="F7" s="33">
        <v>30</v>
      </c>
      <c r="G7" s="33">
        <v>7</v>
      </c>
      <c r="H7" s="33">
        <v>23</v>
      </c>
      <c r="I7" s="34" t="s">
        <v>86</v>
      </c>
      <c r="J7" s="33" t="s">
        <v>87</v>
      </c>
      <c r="K7" s="8"/>
      <c r="L7" s="8" t="s">
        <v>107</v>
      </c>
    </row>
    <row r="8" spans="1:12" ht="29.25" thickBot="1" x14ac:dyDescent="0.25">
      <c r="A8" s="33">
        <v>3</v>
      </c>
      <c r="B8" s="33" t="s">
        <v>35</v>
      </c>
      <c r="C8" s="33">
        <v>6</v>
      </c>
      <c r="D8" s="33">
        <v>6</v>
      </c>
      <c r="E8" s="33">
        <v>1</v>
      </c>
      <c r="F8" s="33">
        <v>30</v>
      </c>
      <c r="G8" s="33">
        <v>12</v>
      </c>
      <c r="H8" s="33">
        <v>18</v>
      </c>
      <c r="I8" s="34" t="s">
        <v>86</v>
      </c>
      <c r="J8" s="33" t="s">
        <v>93</v>
      </c>
      <c r="K8" s="8"/>
      <c r="L8" s="8" t="s">
        <v>107</v>
      </c>
    </row>
    <row r="9" spans="1:12" ht="29.25" thickBot="1" x14ac:dyDescent="0.25">
      <c r="A9" s="33">
        <v>4</v>
      </c>
      <c r="B9" s="33" t="s">
        <v>39</v>
      </c>
      <c r="C9" s="33">
        <v>5</v>
      </c>
      <c r="D9" s="33">
        <v>6</v>
      </c>
      <c r="E9" s="33">
        <v>0.83</v>
      </c>
      <c r="F9" s="33">
        <v>28</v>
      </c>
      <c r="G9" s="33">
        <v>14</v>
      </c>
      <c r="H9" s="33">
        <v>14</v>
      </c>
      <c r="I9" s="34" t="s">
        <v>86</v>
      </c>
      <c r="J9" s="33" t="s">
        <v>97</v>
      </c>
      <c r="K9" s="8"/>
      <c r="L9" s="8" t="s">
        <v>107</v>
      </c>
    </row>
    <row r="10" spans="1:12" ht="29.25" thickBot="1" x14ac:dyDescent="0.25">
      <c r="A10" s="33">
        <v>5</v>
      </c>
      <c r="B10" s="33" t="s">
        <v>20</v>
      </c>
      <c r="C10" s="33">
        <v>5</v>
      </c>
      <c r="D10" s="33">
        <v>6</v>
      </c>
      <c r="E10" s="33">
        <v>0.83</v>
      </c>
      <c r="F10" s="33">
        <v>25</v>
      </c>
      <c r="G10" s="33">
        <v>13</v>
      </c>
      <c r="H10" s="33">
        <v>12</v>
      </c>
      <c r="I10" s="34" t="s">
        <v>86</v>
      </c>
      <c r="J10" s="33" t="s">
        <v>97</v>
      </c>
      <c r="K10" s="8"/>
      <c r="L10" s="8" t="s">
        <v>107</v>
      </c>
    </row>
    <row r="11" spans="1:12" ht="14.95" thickBot="1" x14ac:dyDescent="0.25">
      <c r="A11" s="33">
        <v>6</v>
      </c>
      <c r="B11" s="33" t="s">
        <v>15</v>
      </c>
      <c r="C11" s="33">
        <v>4</v>
      </c>
      <c r="D11" s="33">
        <v>5</v>
      </c>
      <c r="E11" s="33">
        <v>0.8</v>
      </c>
      <c r="F11" s="33">
        <v>24</v>
      </c>
      <c r="G11" s="33">
        <v>9</v>
      </c>
      <c r="H11" s="33">
        <v>15</v>
      </c>
      <c r="I11" s="34" t="s">
        <v>86</v>
      </c>
      <c r="J11" s="33" t="s">
        <v>98</v>
      </c>
      <c r="K11" s="8"/>
      <c r="L11" s="8" t="s">
        <v>107</v>
      </c>
    </row>
    <row r="12" spans="1:12" ht="43.5" thickBot="1" x14ac:dyDescent="0.25">
      <c r="A12" s="33">
        <v>7</v>
      </c>
      <c r="B12" s="33" t="s">
        <v>18</v>
      </c>
      <c r="C12" s="33">
        <v>4</v>
      </c>
      <c r="D12" s="33">
        <v>5</v>
      </c>
      <c r="E12" s="33">
        <v>0.8</v>
      </c>
      <c r="F12" s="33">
        <v>21</v>
      </c>
      <c r="G12" s="33">
        <v>9</v>
      </c>
      <c r="H12" s="33">
        <v>12</v>
      </c>
      <c r="I12" s="34" t="s">
        <v>86</v>
      </c>
      <c r="J12" s="33" t="s">
        <v>91</v>
      </c>
      <c r="K12" s="8"/>
      <c r="L12" s="8" t="s">
        <v>107</v>
      </c>
    </row>
    <row r="13" spans="1:12" ht="29.25" thickBot="1" x14ac:dyDescent="0.25">
      <c r="A13" s="33">
        <v>8</v>
      </c>
      <c r="B13" s="33" t="s">
        <v>17</v>
      </c>
      <c r="C13" s="33">
        <v>4</v>
      </c>
      <c r="D13" s="33">
        <v>5</v>
      </c>
      <c r="E13" s="33">
        <v>0.8</v>
      </c>
      <c r="F13" s="33">
        <v>21</v>
      </c>
      <c r="G13" s="33">
        <v>12</v>
      </c>
      <c r="H13" s="33">
        <v>9</v>
      </c>
      <c r="I13" s="34" t="s">
        <v>86</v>
      </c>
      <c r="J13" s="33" t="s">
        <v>92</v>
      </c>
      <c r="K13" s="8"/>
      <c r="L13" s="8" t="s">
        <v>107</v>
      </c>
    </row>
    <row r="14" spans="1:12" ht="29.25" thickBot="1" x14ac:dyDescent="0.25">
      <c r="A14" s="33">
        <v>9</v>
      </c>
      <c r="B14" s="33" t="s">
        <v>41</v>
      </c>
      <c r="C14" s="33">
        <v>4</v>
      </c>
      <c r="D14" s="33">
        <v>6</v>
      </c>
      <c r="E14" s="33">
        <v>0.67</v>
      </c>
      <c r="F14" s="33">
        <v>24</v>
      </c>
      <c r="G14" s="33">
        <v>13</v>
      </c>
      <c r="H14" s="33">
        <v>11</v>
      </c>
      <c r="I14" s="34" t="s">
        <v>86</v>
      </c>
      <c r="J14" s="33" t="s">
        <v>96</v>
      </c>
      <c r="K14" s="8"/>
      <c r="L14" s="8" t="s">
        <v>107</v>
      </c>
    </row>
    <row r="15" spans="1:12" ht="29.25" thickBot="1" x14ac:dyDescent="0.25">
      <c r="A15" s="33">
        <v>10</v>
      </c>
      <c r="B15" s="33" t="s">
        <v>23</v>
      </c>
      <c r="C15" s="33">
        <v>4</v>
      </c>
      <c r="D15" s="33">
        <v>6</v>
      </c>
      <c r="E15" s="33">
        <v>0.67</v>
      </c>
      <c r="F15" s="33">
        <v>24</v>
      </c>
      <c r="G15" s="33">
        <v>14</v>
      </c>
      <c r="H15" s="33">
        <v>10</v>
      </c>
      <c r="I15" s="34" t="s">
        <v>86</v>
      </c>
      <c r="J15" s="33" t="s">
        <v>92</v>
      </c>
      <c r="K15" s="8"/>
      <c r="L15" s="8" t="s">
        <v>107</v>
      </c>
    </row>
    <row r="16" spans="1:12" ht="29.25" thickBot="1" x14ac:dyDescent="0.25">
      <c r="A16" s="33">
        <v>11</v>
      </c>
      <c r="B16" s="33" t="s">
        <v>42</v>
      </c>
      <c r="C16" s="33">
        <v>4</v>
      </c>
      <c r="D16" s="33">
        <v>6</v>
      </c>
      <c r="E16" s="33">
        <v>0.67</v>
      </c>
      <c r="F16" s="33">
        <v>22</v>
      </c>
      <c r="G16" s="33">
        <v>16</v>
      </c>
      <c r="H16" s="33">
        <v>6</v>
      </c>
      <c r="I16" s="34" t="s">
        <v>86</v>
      </c>
      <c r="J16" s="33" t="s">
        <v>100</v>
      </c>
      <c r="K16" s="8"/>
      <c r="L16" s="8" t="s">
        <v>107</v>
      </c>
    </row>
    <row r="17" spans="1:12" ht="29.25" thickBot="1" x14ac:dyDescent="0.25">
      <c r="A17" s="33">
        <v>12</v>
      </c>
      <c r="B17" s="33" t="s">
        <v>21</v>
      </c>
      <c r="C17" s="33">
        <v>4</v>
      </c>
      <c r="D17" s="33">
        <v>6</v>
      </c>
      <c r="E17" s="33">
        <v>0.67</v>
      </c>
      <c r="F17" s="33">
        <v>21</v>
      </c>
      <c r="G17" s="33">
        <v>15</v>
      </c>
      <c r="H17" s="33">
        <v>6</v>
      </c>
      <c r="I17" s="34" t="s">
        <v>86</v>
      </c>
      <c r="J17" s="33" t="s">
        <v>89</v>
      </c>
      <c r="K17" s="8"/>
      <c r="L17" s="8" t="s">
        <v>107</v>
      </c>
    </row>
    <row r="18" spans="1:12" ht="29.25" thickBot="1" x14ac:dyDescent="0.25">
      <c r="A18" s="33">
        <v>13</v>
      </c>
      <c r="B18" s="33" t="s">
        <v>94</v>
      </c>
      <c r="C18" s="33">
        <v>4</v>
      </c>
      <c r="D18" s="33">
        <v>6</v>
      </c>
      <c r="E18" s="33">
        <v>0.67</v>
      </c>
      <c r="F18" s="33">
        <v>19</v>
      </c>
      <c r="G18" s="33">
        <v>16</v>
      </c>
      <c r="H18" s="33">
        <v>3</v>
      </c>
      <c r="I18" s="34" t="s">
        <v>86</v>
      </c>
      <c r="J18" s="33" t="s">
        <v>95</v>
      </c>
      <c r="K18" s="8"/>
      <c r="L18" s="8" t="s">
        <v>107</v>
      </c>
    </row>
    <row r="19" spans="1:12" ht="14.95" thickBot="1" x14ac:dyDescent="0.25">
      <c r="A19" s="33">
        <v>14</v>
      </c>
      <c r="B19" s="33" t="s">
        <v>19</v>
      </c>
      <c r="C19" s="33">
        <v>3</v>
      </c>
      <c r="D19" s="33">
        <v>6</v>
      </c>
      <c r="E19" s="33">
        <v>0.5</v>
      </c>
      <c r="F19" s="33">
        <v>23</v>
      </c>
      <c r="G19" s="33">
        <v>18</v>
      </c>
      <c r="H19" s="33">
        <v>5</v>
      </c>
      <c r="I19" s="34" t="s">
        <v>86</v>
      </c>
      <c r="J19" s="33" t="s">
        <v>90</v>
      </c>
      <c r="K19" s="8"/>
      <c r="L19" s="8" t="s">
        <v>107</v>
      </c>
    </row>
    <row r="20" spans="1:12" ht="29.25" thickBot="1" x14ac:dyDescent="0.25">
      <c r="A20" s="33">
        <v>15</v>
      </c>
      <c r="B20" s="33" t="s">
        <v>30</v>
      </c>
      <c r="C20" s="33">
        <v>3</v>
      </c>
      <c r="D20" s="33">
        <v>6</v>
      </c>
      <c r="E20" s="33">
        <v>0.5</v>
      </c>
      <c r="F20" s="33">
        <v>21</v>
      </c>
      <c r="G20" s="33">
        <v>25</v>
      </c>
      <c r="H20" s="33">
        <v>-4</v>
      </c>
      <c r="I20" s="34" t="s">
        <v>86</v>
      </c>
      <c r="J20" s="33" t="s">
        <v>93</v>
      </c>
      <c r="K20" s="8"/>
      <c r="L20" s="8" t="s">
        <v>107</v>
      </c>
    </row>
    <row r="21" spans="1:12" ht="29.25" thickBot="1" x14ac:dyDescent="0.25">
      <c r="A21" s="33">
        <v>16</v>
      </c>
      <c r="B21" s="33" t="s">
        <v>29</v>
      </c>
      <c r="C21" s="33">
        <v>2</v>
      </c>
      <c r="D21" s="33">
        <v>5</v>
      </c>
      <c r="E21" s="33">
        <v>0.4</v>
      </c>
      <c r="F21" s="33">
        <v>12</v>
      </c>
      <c r="G21" s="33">
        <v>18</v>
      </c>
      <c r="H21" s="33">
        <v>-6</v>
      </c>
      <c r="I21" s="34" t="s">
        <v>86</v>
      </c>
      <c r="J21" s="33" t="s">
        <v>99</v>
      </c>
      <c r="K21" s="8"/>
      <c r="L21" s="8" t="s">
        <v>107</v>
      </c>
    </row>
    <row r="22" spans="1:12" ht="29.25" thickBot="1" x14ac:dyDescent="0.25">
      <c r="A22" s="33">
        <v>17</v>
      </c>
      <c r="B22" s="33" t="s">
        <v>38</v>
      </c>
      <c r="C22" s="33">
        <v>2</v>
      </c>
      <c r="D22" s="33">
        <v>6</v>
      </c>
      <c r="E22" s="33">
        <v>0.33</v>
      </c>
      <c r="F22" s="33">
        <v>16</v>
      </c>
      <c r="G22" s="33">
        <v>24</v>
      </c>
      <c r="H22" s="33">
        <v>-8</v>
      </c>
      <c r="I22" s="34" t="s">
        <v>86</v>
      </c>
      <c r="J22" s="33" t="s">
        <v>101</v>
      </c>
      <c r="K22" s="8"/>
      <c r="L22" s="8" t="s">
        <v>107</v>
      </c>
    </row>
    <row r="23" spans="1:12" ht="29.25" thickBot="1" x14ac:dyDescent="0.25">
      <c r="A23" s="33">
        <v>18</v>
      </c>
      <c r="B23" s="33" t="s">
        <v>43</v>
      </c>
      <c r="C23" s="33">
        <v>2</v>
      </c>
      <c r="D23" s="33">
        <v>6</v>
      </c>
      <c r="E23" s="33">
        <v>0.33</v>
      </c>
      <c r="F23" s="33">
        <v>15</v>
      </c>
      <c r="G23" s="33">
        <v>25</v>
      </c>
      <c r="H23" s="33">
        <v>-10</v>
      </c>
      <c r="I23" s="34" t="s">
        <v>86</v>
      </c>
      <c r="J23" s="33" t="s">
        <v>97</v>
      </c>
      <c r="K23" s="8"/>
      <c r="L23" s="8" t="s">
        <v>107</v>
      </c>
    </row>
    <row r="24" spans="1:12" ht="43.5" thickBot="1" x14ac:dyDescent="0.25">
      <c r="A24" s="33">
        <v>19</v>
      </c>
      <c r="B24" s="33" t="s">
        <v>33</v>
      </c>
      <c r="C24" s="33">
        <v>1</v>
      </c>
      <c r="D24" s="33">
        <v>5</v>
      </c>
      <c r="E24" s="33">
        <v>0.2</v>
      </c>
      <c r="F24" s="33">
        <v>7</v>
      </c>
      <c r="G24" s="33">
        <v>23</v>
      </c>
      <c r="H24" s="33">
        <v>-16</v>
      </c>
      <c r="I24" s="34" t="s">
        <v>86</v>
      </c>
      <c r="J24" s="33" t="s">
        <v>102</v>
      </c>
      <c r="K24" s="8"/>
      <c r="L24" s="8" t="s">
        <v>107</v>
      </c>
    </row>
    <row r="25" spans="1:12" ht="29.25" thickBot="1" x14ac:dyDescent="0.25">
      <c r="A25" s="33">
        <v>20</v>
      </c>
      <c r="B25" s="33" t="s">
        <v>50</v>
      </c>
      <c r="C25" s="33">
        <v>1</v>
      </c>
      <c r="D25" s="33">
        <v>6</v>
      </c>
      <c r="E25" s="33">
        <v>0.17</v>
      </c>
      <c r="F25" s="33">
        <v>16</v>
      </c>
      <c r="G25" s="33">
        <v>23</v>
      </c>
      <c r="H25" s="33">
        <v>-7</v>
      </c>
      <c r="I25" s="34" t="s">
        <v>86</v>
      </c>
      <c r="J25" s="33" t="s">
        <v>92</v>
      </c>
      <c r="K25" s="8"/>
      <c r="L25" s="8" t="s">
        <v>107</v>
      </c>
    </row>
    <row r="26" spans="1:12" ht="14.95" thickBot="1" x14ac:dyDescent="0.25">
      <c r="A26" s="33">
        <v>21</v>
      </c>
      <c r="B26" s="33" t="s">
        <v>32</v>
      </c>
      <c r="C26" s="33">
        <v>1</v>
      </c>
      <c r="D26" s="33">
        <v>6</v>
      </c>
      <c r="E26" s="33">
        <v>0.17</v>
      </c>
      <c r="F26" s="33">
        <v>14</v>
      </c>
      <c r="G26" s="33">
        <v>28</v>
      </c>
      <c r="H26" s="33">
        <v>-14</v>
      </c>
      <c r="I26" s="34" t="s">
        <v>86</v>
      </c>
      <c r="J26" s="33" t="s">
        <v>90</v>
      </c>
      <c r="K26" s="8"/>
      <c r="L26" s="8" t="s">
        <v>107</v>
      </c>
    </row>
    <row r="27" spans="1:12" ht="26" customHeight="1" thickBot="1" x14ac:dyDescent="0.25">
      <c r="A27" s="33">
        <v>22</v>
      </c>
      <c r="B27" s="33" t="s">
        <v>34</v>
      </c>
      <c r="C27" s="33">
        <v>1</v>
      </c>
      <c r="D27" s="33">
        <v>6</v>
      </c>
      <c r="E27" s="33">
        <v>0.17</v>
      </c>
      <c r="F27" s="33">
        <v>14</v>
      </c>
      <c r="G27" s="33">
        <v>29</v>
      </c>
      <c r="H27" s="33">
        <v>-15</v>
      </c>
      <c r="I27" s="34" t="s">
        <v>86</v>
      </c>
      <c r="J27" s="33" t="s">
        <v>102</v>
      </c>
      <c r="K27" s="8"/>
      <c r="L27" s="8" t="s">
        <v>107</v>
      </c>
    </row>
    <row r="28" spans="1:12" ht="43.5" thickBot="1" x14ac:dyDescent="0.25">
      <c r="A28" s="33">
        <v>23</v>
      </c>
      <c r="B28" s="33" t="s">
        <v>27</v>
      </c>
      <c r="C28" s="33">
        <v>1</v>
      </c>
      <c r="D28" s="33">
        <v>6</v>
      </c>
      <c r="E28" s="33">
        <v>0.17</v>
      </c>
      <c r="F28" s="33">
        <v>13</v>
      </c>
      <c r="G28" s="33">
        <v>28</v>
      </c>
      <c r="H28" s="33">
        <v>-15</v>
      </c>
      <c r="I28" s="34" t="s">
        <v>86</v>
      </c>
      <c r="J28" s="33" t="s">
        <v>91</v>
      </c>
      <c r="K28" s="7"/>
      <c r="L28" s="7" t="s">
        <v>107</v>
      </c>
    </row>
    <row r="29" spans="1:12" ht="29.25" thickBot="1" x14ac:dyDescent="0.25">
      <c r="A29" s="33">
        <v>24</v>
      </c>
      <c r="B29" s="33" t="s">
        <v>53</v>
      </c>
      <c r="C29" s="33">
        <v>1</v>
      </c>
      <c r="D29" s="33">
        <v>6</v>
      </c>
      <c r="E29" s="33">
        <v>0.17</v>
      </c>
      <c r="F29" s="33">
        <v>12</v>
      </c>
      <c r="G29" s="33">
        <v>29</v>
      </c>
      <c r="H29" s="33">
        <v>-17</v>
      </c>
      <c r="I29" s="34" t="s">
        <v>86</v>
      </c>
      <c r="J29" s="33" t="s">
        <v>103</v>
      </c>
      <c r="K29" s="7"/>
      <c r="L29" s="7" t="s">
        <v>107</v>
      </c>
    </row>
    <row r="30" spans="1:12" ht="43.5" thickBot="1" x14ac:dyDescent="0.25">
      <c r="A30" s="33">
        <v>25</v>
      </c>
      <c r="B30" s="33" t="s">
        <v>56</v>
      </c>
      <c r="C30" s="33">
        <v>0</v>
      </c>
      <c r="D30" s="33">
        <v>5</v>
      </c>
      <c r="E30" s="33">
        <v>0</v>
      </c>
      <c r="F30" s="33">
        <v>11</v>
      </c>
      <c r="G30" s="33">
        <v>25</v>
      </c>
      <c r="H30" s="33">
        <v>-14</v>
      </c>
      <c r="I30" s="34" t="s">
        <v>86</v>
      </c>
      <c r="J30" s="33" t="s">
        <v>93</v>
      </c>
      <c r="K30" s="7"/>
      <c r="L30" s="7" t="s">
        <v>107</v>
      </c>
    </row>
    <row r="31" spans="1:12" ht="29.25" thickBot="1" x14ac:dyDescent="0.25">
      <c r="A31" s="33">
        <v>26</v>
      </c>
      <c r="B31" s="33" t="s">
        <v>55</v>
      </c>
      <c r="C31" s="33">
        <v>0</v>
      </c>
      <c r="D31" s="33">
        <v>6</v>
      </c>
      <c r="E31" s="33">
        <v>0</v>
      </c>
      <c r="F31" s="33">
        <v>11</v>
      </c>
      <c r="G31" s="33">
        <v>30</v>
      </c>
      <c r="H31" s="33">
        <v>-19</v>
      </c>
      <c r="I31" s="34" t="s">
        <v>86</v>
      </c>
      <c r="J31" s="33" t="s">
        <v>99</v>
      </c>
      <c r="K31" s="7"/>
      <c r="L31" s="7" t="s">
        <v>107</v>
      </c>
    </row>
    <row r="32" spans="1:12" ht="29.25" thickBot="1" x14ac:dyDescent="0.25">
      <c r="A32" s="33">
        <v>27</v>
      </c>
      <c r="B32" s="33" t="s">
        <v>49</v>
      </c>
      <c r="C32" s="33">
        <v>0</v>
      </c>
      <c r="D32" s="33">
        <v>6</v>
      </c>
      <c r="E32" s="33">
        <v>0</v>
      </c>
      <c r="F32" s="33">
        <v>6</v>
      </c>
      <c r="G32" s="33">
        <v>30</v>
      </c>
      <c r="H32" s="33">
        <v>-24</v>
      </c>
      <c r="I32" s="34" t="s">
        <v>86</v>
      </c>
      <c r="J32" s="33" t="s">
        <v>95</v>
      </c>
      <c r="K32" s="7"/>
      <c r="L32" s="7" t="s">
        <v>107</v>
      </c>
    </row>
    <row r="33" spans="1:12" ht="25.85" x14ac:dyDescent="0.2">
      <c r="A33" s="7">
        <v>28</v>
      </c>
      <c r="B33" s="7" t="s">
        <v>33</v>
      </c>
      <c r="C33" s="7">
        <v>0</v>
      </c>
      <c r="D33" s="7">
        <v>5</v>
      </c>
      <c r="E33" s="7">
        <v>0</v>
      </c>
      <c r="F33" s="7">
        <v>7</v>
      </c>
      <c r="G33" s="7">
        <v>25</v>
      </c>
      <c r="H33" s="7">
        <v>-18</v>
      </c>
      <c r="I33" s="7" t="s">
        <v>86</v>
      </c>
      <c r="J33" s="7" t="s">
        <v>108</v>
      </c>
      <c r="K33" s="7"/>
      <c r="L33" s="7" t="s">
        <v>107</v>
      </c>
    </row>
    <row r="34" spans="1:12" ht="25.85" x14ac:dyDescent="0.2">
      <c r="A34" s="7">
        <v>29</v>
      </c>
      <c r="B34" s="7" t="s">
        <v>54</v>
      </c>
      <c r="C34" s="7">
        <v>0</v>
      </c>
      <c r="D34" s="7">
        <v>5</v>
      </c>
      <c r="E34" s="7">
        <v>0</v>
      </c>
      <c r="F34" s="7">
        <v>2</v>
      </c>
      <c r="G34" s="7">
        <v>25</v>
      </c>
      <c r="H34" s="7">
        <v>-23</v>
      </c>
      <c r="I34" s="7" t="s">
        <v>86</v>
      </c>
      <c r="J34" s="7" t="s">
        <v>109</v>
      </c>
      <c r="K34" s="7"/>
      <c r="L34" s="7" t="s">
        <v>107</v>
      </c>
    </row>
    <row r="35" spans="1:12" x14ac:dyDescent="0.2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</row>
    <row r="36" spans="1:12" x14ac:dyDescent="0.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</row>
    <row r="37" spans="1:12" x14ac:dyDescent="0.2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</row>
    <row r="38" spans="1:12" x14ac:dyDescent="0.2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</row>
    <row r="39" spans="1:12" x14ac:dyDescent="0.2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</row>
    <row r="40" spans="1:12" x14ac:dyDescent="0.2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</row>
    <row r="41" spans="1:12" x14ac:dyDescent="0.2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</row>
    <row r="42" spans="1:12" x14ac:dyDescent="0.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</row>
    <row r="43" spans="1:12" x14ac:dyDescent="0.2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</row>
    <row r="44" spans="1:12" x14ac:dyDescent="0.2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</row>
    <row r="45" spans="1:12" x14ac:dyDescent="0.2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</row>
    <row r="46" spans="1:12" x14ac:dyDescent="0.2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</row>
    <row r="47" spans="1:12" x14ac:dyDescent="0.2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</row>
    <row r="48" spans="1:12" x14ac:dyDescent="0.2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</row>
    <row r="49" spans="1:12" x14ac:dyDescent="0.2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</row>
    <row r="50" spans="1:12" x14ac:dyDescent="0.2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</row>
  </sheetData>
  <autoFilter ref="A5:L5" xr:uid="{00000000-0009-0000-0000-000002000000}">
    <sortState xmlns:xlrd2="http://schemas.microsoft.com/office/spreadsheetml/2017/richdata2" ref="A6:L50">
      <sortCondition ref="A5"/>
    </sortState>
  </autoFilter>
  <mergeCells count="3">
    <mergeCell ref="A2:B2"/>
    <mergeCell ref="C2:L2"/>
    <mergeCell ref="C3:L3"/>
  </mergeCells>
  <hyperlinks>
    <hyperlink ref="C3:L3" r:id="rId1" display="https://fencingtimelive.com/pools/results/8FB9AF0939C346DCB4C922FB47AD29AD/DE3C39D4703B46979D1F8AD8A0660926" xr:uid="{0C0DB916-BF91-4139-ADF9-3C8DD892CEB8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2:L50"/>
  <sheetViews>
    <sheetView workbookViewId="0">
      <selection activeCell="B23" sqref="B23"/>
    </sheetView>
  </sheetViews>
  <sheetFormatPr defaultRowHeight="12.9" x14ac:dyDescent="0.2"/>
  <cols>
    <col min="1" max="1" width="5.75" style="6" bestFit="1" customWidth="1"/>
    <col min="2" max="2" width="18.875" style="6" customWidth="1"/>
    <col min="3" max="3" width="2.25" style="6" bestFit="1" customWidth="1"/>
    <col min="4" max="4" width="2.375" style="6" bestFit="1" customWidth="1"/>
    <col min="5" max="5" width="8.75" style="6" customWidth="1"/>
    <col min="6" max="6" width="3.25" style="6" bestFit="1" customWidth="1"/>
    <col min="7" max="7" width="3.375" style="6" bestFit="1" customWidth="1"/>
    <col min="8" max="8" width="3.75" style="6" bestFit="1" customWidth="1"/>
    <col min="9" max="9" width="11.25" style="6" customWidth="1"/>
    <col min="10" max="10" width="18.25" style="6" customWidth="1"/>
    <col min="11" max="11" width="7.875" style="6" bestFit="1" customWidth="1"/>
    <col min="12" max="12" width="8.125" style="6" bestFit="1" customWidth="1"/>
  </cols>
  <sheetData>
    <row r="2" spans="1:12" ht="13.6" x14ac:dyDescent="0.2">
      <c r="A2" s="66" t="s">
        <v>72</v>
      </c>
      <c r="B2" s="66"/>
      <c r="C2" s="67" t="s">
        <v>110</v>
      </c>
      <c r="D2" s="67"/>
      <c r="E2" s="67"/>
      <c r="F2" s="67"/>
      <c r="G2" s="67"/>
      <c r="H2" s="67"/>
      <c r="I2" s="67"/>
      <c r="J2" s="67"/>
      <c r="K2" s="67"/>
      <c r="L2" s="67"/>
    </row>
    <row r="3" spans="1:12" ht="13.6" x14ac:dyDescent="0.2">
      <c r="A3" s="9"/>
      <c r="B3" s="23" t="s">
        <v>111</v>
      </c>
      <c r="C3" s="69" t="s">
        <v>112</v>
      </c>
      <c r="D3" s="67"/>
      <c r="E3" s="67"/>
      <c r="F3" s="67"/>
      <c r="G3" s="67"/>
      <c r="H3" s="67"/>
      <c r="I3" s="67"/>
      <c r="J3" s="67"/>
      <c r="K3" s="67"/>
      <c r="L3" s="67"/>
    </row>
    <row r="4" spans="1:12" ht="13.1" customHeight="1" x14ac:dyDescent="0.2">
      <c r="C4" s="14"/>
      <c r="D4" s="14"/>
      <c r="E4" s="14"/>
      <c r="F4" s="14"/>
      <c r="G4" s="14"/>
      <c r="H4" s="14"/>
      <c r="I4" s="14"/>
      <c r="J4" s="14"/>
      <c r="K4" s="14"/>
      <c r="L4" s="14"/>
    </row>
    <row r="5" spans="1:12" ht="14.3" x14ac:dyDescent="0.2">
      <c r="A5" s="11" t="s">
        <v>76</v>
      </c>
      <c r="B5" s="11" t="s">
        <v>77</v>
      </c>
      <c r="C5" s="11" t="s">
        <v>78</v>
      </c>
      <c r="D5" s="11" t="s">
        <v>79</v>
      </c>
      <c r="E5" s="11" t="s">
        <v>80</v>
      </c>
      <c r="F5" s="11" t="s">
        <v>3</v>
      </c>
      <c r="G5" s="11" t="s">
        <v>81</v>
      </c>
      <c r="H5" s="11" t="s">
        <v>4</v>
      </c>
      <c r="I5" s="11" t="s">
        <v>82</v>
      </c>
      <c r="J5" s="11" t="s">
        <v>83</v>
      </c>
      <c r="K5" s="11" t="s">
        <v>84</v>
      </c>
      <c r="L5" s="11" t="s">
        <v>85</v>
      </c>
    </row>
    <row r="6" spans="1:12" x14ac:dyDescent="0.2">
      <c r="A6" s="8">
        <v>1</v>
      </c>
      <c r="B6" s="8" t="s">
        <v>14</v>
      </c>
      <c r="C6" s="8">
        <v>6</v>
      </c>
      <c r="D6" s="8">
        <v>6</v>
      </c>
      <c r="E6" s="8">
        <v>1</v>
      </c>
      <c r="F6" s="8">
        <v>30</v>
      </c>
      <c r="G6" s="8">
        <v>5</v>
      </c>
      <c r="H6" s="8">
        <v>25</v>
      </c>
      <c r="I6" s="8" t="s">
        <v>86</v>
      </c>
      <c r="J6" s="8" t="s">
        <v>87</v>
      </c>
      <c r="K6" s="8"/>
      <c r="L6" s="8" t="s">
        <v>113</v>
      </c>
    </row>
    <row r="7" spans="1:12" ht="25.85" x14ac:dyDescent="0.2">
      <c r="A7" s="8">
        <v>2</v>
      </c>
      <c r="B7" s="8" t="s">
        <v>22</v>
      </c>
      <c r="C7" s="8">
        <v>5</v>
      </c>
      <c r="D7" s="8">
        <v>5</v>
      </c>
      <c r="E7" s="8">
        <v>1</v>
      </c>
      <c r="F7" s="8">
        <v>25</v>
      </c>
      <c r="G7" s="8">
        <v>8</v>
      </c>
      <c r="H7" s="8">
        <v>17</v>
      </c>
      <c r="I7" s="8" t="s">
        <v>86</v>
      </c>
      <c r="J7" s="8" t="s">
        <v>90</v>
      </c>
      <c r="K7" s="8"/>
      <c r="L7" s="8" t="s">
        <v>113</v>
      </c>
    </row>
    <row r="8" spans="1:12" ht="25.85" x14ac:dyDescent="0.2">
      <c r="A8" s="8">
        <v>3</v>
      </c>
      <c r="B8" s="8" t="s">
        <v>16</v>
      </c>
      <c r="C8" s="8">
        <v>5</v>
      </c>
      <c r="D8" s="8">
        <v>5</v>
      </c>
      <c r="E8" s="8">
        <v>1</v>
      </c>
      <c r="F8" s="8">
        <v>24</v>
      </c>
      <c r="G8" s="8">
        <v>7</v>
      </c>
      <c r="H8" s="8">
        <v>17</v>
      </c>
      <c r="I8" s="8" t="s">
        <v>86</v>
      </c>
      <c r="J8" s="8" t="s">
        <v>114</v>
      </c>
      <c r="K8" s="8"/>
      <c r="L8" s="8" t="s">
        <v>115</v>
      </c>
    </row>
    <row r="9" spans="1:12" x14ac:dyDescent="0.2">
      <c r="A9" s="8">
        <v>4</v>
      </c>
      <c r="B9" s="8" t="s">
        <v>19</v>
      </c>
      <c r="C9" s="8">
        <v>5</v>
      </c>
      <c r="D9" s="8">
        <v>6</v>
      </c>
      <c r="E9" s="8">
        <v>0.83</v>
      </c>
      <c r="F9" s="8">
        <v>27</v>
      </c>
      <c r="G9" s="8">
        <v>14</v>
      </c>
      <c r="H9" s="8">
        <v>13</v>
      </c>
      <c r="I9" s="8" t="s">
        <v>86</v>
      </c>
      <c r="J9" s="8" t="s">
        <v>90</v>
      </c>
      <c r="K9" s="8"/>
      <c r="L9" s="8" t="s">
        <v>113</v>
      </c>
    </row>
    <row r="10" spans="1:12" x14ac:dyDescent="0.2">
      <c r="A10" s="8">
        <v>5</v>
      </c>
      <c r="B10" s="8" t="s">
        <v>25</v>
      </c>
      <c r="C10" s="8">
        <v>4</v>
      </c>
      <c r="D10" s="8">
        <v>5</v>
      </c>
      <c r="E10" s="8">
        <v>0.8</v>
      </c>
      <c r="F10" s="8">
        <v>23</v>
      </c>
      <c r="G10" s="8">
        <v>12</v>
      </c>
      <c r="H10" s="8">
        <v>11</v>
      </c>
      <c r="I10" s="8" t="s">
        <v>86</v>
      </c>
      <c r="J10" s="8" t="s">
        <v>95</v>
      </c>
      <c r="K10" s="8"/>
      <c r="L10" s="8" t="s">
        <v>113</v>
      </c>
    </row>
    <row r="11" spans="1:12" ht="25.85" x14ac:dyDescent="0.2">
      <c r="A11" s="8">
        <v>6</v>
      </c>
      <c r="B11" s="8" t="s">
        <v>24</v>
      </c>
      <c r="C11" s="8">
        <v>4</v>
      </c>
      <c r="D11" s="8">
        <v>5</v>
      </c>
      <c r="E11" s="8">
        <v>0.8</v>
      </c>
      <c r="F11" s="8">
        <v>21</v>
      </c>
      <c r="G11" s="8">
        <v>12</v>
      </c>
      <c r="H11" s="8">
        <v>9</v>
      </c>
      <c r="I11" s="8" t="s">
        <v>86</v>
      </c>
      <c r="J11" s="8" t="s">
        <v>116</v>
      </c>
      <c r="K11" s="8"/>
      <c r="L11" s="8" t="s">
        <v>113</v>
      </c>
    </row>
    <row r="12" spans="1:12" ht="38.75" x14ac:dyDescent="0.2">
      <c r="A12" s="8">
        <v>7</v>
      </c>
      <c r="B12" s="8" t="s">
        <v>27</v>
      </c>
      <c r="C12" s="8">
        <v>4</v>
      </c>
      <c r="D12" s="8">
        <v>6</v>
      </c>
      <c r="E12" s="8">
        <v>0.67</v>
      </c>
      <c r="F12" s="8">
        <v>24</v>
      </c>
      <c r="G12" s="8">
        <v>17</v>
      </c>
      <c r="H12" s="8">
        <v>7</v>
      </c>
      <c r="I12" s="8" t="s">
        <v>86</v>
      </c>
      <c r="J12" s="8" t="s">
        <v>91</v>
      </c>
      <c r="K12" s="8"/>
      <c r="L12" s="8" t="s">
        <v>113</v>
      </c>
    </row>
    <row r="13" spans="1:12" ht="25.85" x14ac:dyDescent="0.2">
      <c r="A13" s="8">
        <v>8</v>
      </c>
      <c r="B13" s="8" t="s">
        <v>20</v>
      </c>
      <c r="C13" s="8">
        <v>3</v>
      </c>
      <c r="D13" s="8">
        <v>5</v>
      </c>
      <c r="E13" s="8">
        <v>0.6</v>
      </c>
      <c r="F13" s="8">
        <v>21</v>
      </c>
      <c r="G13" s="8">
        <v>14</v>
      </c>
      <c r="H13" s="8">
        <v>7</v>
      </c>
      <c r="I13" s="8" t="s">
        <v>86</v>
      </c>
      <c r="J13" s="8" t="s">
        <v>117</v>
      </c>
      <c r="K13" s="8"/>
      <c r="L13" s="8" t="s">
        <v>113</v>
      </c>
    </row>
    <row r="14" spans="1:12" ht="25.85" x14ac:dyDescent="0.2">
      <c r="A14" s="8">
        <v>9</v>
      </c>
      <c r="B14" s="8" t="s">
        <v>31</v>
      </c>
      <c r="C14" s="8">
        <v>3</v>
      </c>
      <c r="D14" s="8">
        <v>5</v>
      </c>
      <c r="E14" s="8">
        <v>0.6</v>
      </c>
      <c r="F14" s="8">
        <v>20</v>
      </c>
      <c r="G14" s="8">
        <v>19</v>
      </c>
      <c r="H14" s="8">
        <v>1</v>
      </c>
      <c r="I14" s="8" t="s">
        <v>86</v>
      </c>
      <c r="J14" s="8" t="s">
        <v>99</v>
      </c>
      <c r="K14" s="8"/>
      <c r="L14" s="8" t="s">
        <v>113</v>
      </c>
    </row>
    <row r="15" spans="1:12" x14ac:dyDescent="0.2">
      <c r="A15" s="8">
        <v>10</v>
      </c>
      <c r="B15" s="8" t="s">
        <v>32</v>
      </c>
      <c r="C15" s="8">
        <v>2</v>
      </c>
      <c r="D15" s="8">
        <v>5</v>
      </c>
      <c r="E15" s="8">
        <v>0.4</v>
      </c>
      <c r="F15" s="8">
        <v>15</v>
      </c>
      <c r="G15" s="8">
        <v>15</v>
      </c>
      <c r="H15" s="8">
        <v>0</v>
      </c>
      <c r="I15" s="8" t="s">
        <v>86</v>
      </c>
      <c r="J15" s="8" t="s">
        <v>90</v>
      </c>
      <c r="K15" s="8"/>
      <c r="L15" s="8" t="s">
        <v>113</v>
      </c>
    </row>
    <row r="16" spans="1:12" ht="25.85" x14ac:dyDescent="0.2">
      <c r="A16" s="8">
        <v>11</v>
      </c>
      <c r="B16" s="8" t="s">
        <v>17</v>
      </c>
      <c r="C16" s="8">
        <v>2</v>
      </c>
      <c r="D16" s="8">
        <v>6</v>
      </c>
      <c r="E16" s="8">
        <v>0.33</v>
      </c>
      <c r="F16" s="8">
        <v>21</v>
      </c>
      <c r="G16" s="8">
        <v>24</v>
      </c>
      <c r="H16" s="8">
        <v>-3</v>
      </c>
      <c r="I16" s="8" t="s">
        <v>86</v>
      </c>
      <c r="J16" s="8" t="s">
        <v>118</v>
      </c>
      <c r="K16" s="8"/>
      <c r="L16" s="8" t="s">
        <v>113</v>
      </c>
    </row>
    <row r="17" spans="1:12" ht="25.85" x14ac:dyDescent="0.2">
      <c r="A17" s="8">
        <v>12</v>
      </c>
      <c r="B17" s="8" t="s">
        <v>33</v>
      </c>
      <c r="C17" s="8">
        <v>2</v>
      </c>
      <c r="D17" s="8">
        <v>6</v>
      </c>
      <c r="E17" s="8">
        <v>0.33</v>
      </c>
      <c r="F17" s="8">
        <v>16</v>
      </c>
      <c r="G17" s="8">
        <v>27</v>
      </c>
      <c r="H17" s="8">
        <v>-11</v>
      </c>
      <c r="I17" s="8" t="s">
        <v>86</v>
      </c>
      <c r="J17" s="8" t="s">
        <v>108</v>
      </c>
      <c r="K17" s="8"/>
      <c r="L17" s="8" t="s">
        <v>113</v>
      </c>
    </row>
    <row r="18" spans="1:12" ht="25.85" x14ac:dyDescent="0.2">
      <c r="A18" s="8">
        <v>13</v>
      </c>
      <c r="B18" s="8" t="s">
        <v>34</v>
      </c>
      <c r="C18" s="8">
        <v>1</v>
      </c>
      <c r="D18" s="8">
        <v>5</v>
      </c>
      <c r="E18" s="8">
        <v>0.2</v>
      </c>
      <c r="F18" s="8">
        <v>15</v>
      </c>
      <c r="G18" s="8">
        <v>23</v>
      </c>
      <c r="H18" s="8">
        <v>-8</v>
      </c>
      <c r="I18" s="8" t="s">
        <v>86</v>
      </c>
      <c r="J18" s="8" t="s">
        <v>108</v>
      </c>
      <c r="K18" s="8"/>
      <c r="L18" s="8" t="s">
        <v>113</v>
      </c>
    </row>
    <row r="19" spans="1:12" ht="25.85" x14ac:dyDescent="0.2">
      <c r="A19" s="8">
        <v>14</v>
      </c>
      <c r="B19" s="8" t="s">
        <v>28</v>
      </c>
      <c r="C19" s="8">
        <v>1</v>
      </c>
      <c r="D19" s="8">
        <v>5</v>
      </c>
      <c r="E19" s="8">
        <v>0.2</v>
      </c>
      <c r="F19" s="8">
        <v>13</v>
      </c>
      <c r="G19" s="8">
        <v>21</v>
      </c>
      <c r="H19" s="8">
        <v>-8</v>
      </c>
      <c r="I19" s="8" t="s">
        <v>86</v>
      </c>
      <c r="J19" s="8" t="s">
        <v>109</v>
      </c>
      <c r="K19" s="8"/>
      <c r="L19" s="8" t="s">
        <v>113</v>
      </c>
    </row>
    <row r="20" spans="1:12" ht="25.85" x14ac:dyDescent="0.2">
      <c r="A20" s="8">
        <v>15</v>
      </c>
      <c r="B20" s="8" t="s">
        <v>29</v>
      </c>
      <c r="C20" s="8">
        <v>1</v>
      </c>
      <c r="D20" s="8">
        <v>5</v>
      </c>
      <c r="E20" s="8">
        <v>0.2</v>
      </c>
      <c r="F20" s="8">
        <v>9</v>
      </c>
      <c r="G20" s="8">
        <v>20</v>
      </c>
      <c r="H20" s="8">
        <v>-11</v>
      </c>
      <c r="I20" s="8" t="s">
        <v>86</v>
      </c>
      <c r="J20" s="8" t="s">
        <v>99</v>
      </c>
      <c r="K20" s="8"/>
      <c r="L20" s="8" t="s">
        <v>113</v>
      </c>
    </row>
    <row r="21" spans="1:12" ht="25.85" x14ac:dyDescent="0.2">
      <c r="A21" s="8">
        <v>16</v>
      </c>
      <c r="B21" s="8" t="s">
        <v>40</v>
      </c>
      <c r="C21" s="8">
        <v>1</v>
      </c>
      <c r="D21" s="8">
        <v>5</v>
      </c>
      <c r="E21" s="8">
        <v>0.2</v>
      </c>
      <c r="F21" s="8">
        <v>10</v>
      </c>
      <c r="G21" s="8">
        <v>23</v>
      </c>
      <c r="H21" s="8">
        <v>-13</v>
      </c>
      <c r="I21" s="8" t="s">
        <v>86</v>
      </c>
      <c r="J21" s="8" t="s">
        <v>119</v>
      </c>
      <c r="K21" s="8"/>
      <c r="L21" s="8" t="s">
        <v>113</v>
      </c>
    </row>
    <row r="22" spans="1:12" x14ac:dyDescent="0.2">
      <c r="A22" s="8">
        <v>17</v>
      </c>
      <c r="B22" s="8" t="s">
        <v>52</v>
      </c>
      <c r="C22" s="8">
        <v>1</v>
      </c>
      <c r="D22" s="8">
        <v>6</v>
      </c>
      <c r="E22" s="8">
        <v>0.17</v>
      </c>
      <c r="F22" s="8">
        <v>13</v>
      </c>
      <c r="G22" s="8">
        <v>28</v>
      </c>
      <c r="H22" s="8">
        <v>-15</v>
      </c>
      <c r="I22" s="8" t="s">
        <v>86</v>
      </c>
      <c r="J22" s="8" t="s">
        <v>120</v>
      </c>
      <c r="K22" s="8"/>
      <c r="L22" s="8" t="s">
        <v>113</v>
      </c>
    </row>
    <row r="23" spans="1:12" x14ac:dyDescent="0.2">
      <c r="A23" s="8">
        <v>18</v>
      </c>
      <c r="B23" s="8" t="s">
        <v>51</v>
      </c>
      <c r="C23" s="8">
        <v>1</v>
      </c>
      <c r="D23" s="8">
        <v>6</v>
      </c>
      <c r="E23" s="8">
        <v>0.17</v>
      </c>
      <c r="F23" s="8">
        <v>13</v>
      </c>
      <c r="G23" s="8">
        <v>29</v>
      </c>
      <c r="H23" s="8">
        <v>-16</v>
      </c>
      <c r="I23" s="8" t="s">
        <v>86</v>
      </c>
      <c r="J23" s="8" t="s">
        <v>109</v>
      </c>
      <c r="K23" s="8"/>
      <c r="L23" s="8"/>
    </row>
    <row r="24" spans="1:12" ht="25.85" x14ac:dyDescent="0.2">
      <c r="A24" s="8">
        <v>19</v>
      </c>
      <c r="B24" s="8" t="s">
        <v>54</v>
      </c>
      <c r="C24" s="8">
        <v>0</v>
      </c>
      <c r="D24" s="8">
        <v>5</v>
      </c>
      <c r="E24" s="8">
        <v>0</v>
      </c>
      <c r="F24" s="8">
        <v>3</v>
      </c>
      <c r="G24" s="8">
        <v>25</v>
      </c>
      <c r="H24" s="8">
        <v>-22</v>
      </c>
      <c r="I24" s="8" t="s">
        <v>86</v>
      </c>
      <c r="J24" s="8" t="s">
        <v>109</v>
      </c>
      <c r="K24" s="8"/>
      <c r="L24" s="8"/>
    </row>
    <row r="25" spans="1:12" x14ac:dyDescent="0.2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</row>
    <row r="26" spans="1:12" x14ac:dyDescent="0.2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</row>
    <row r="27" spans="1:12" x14ac:dyDescent="0.2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</row>
    <row r="28" spans="1:12" x14ac:dyDescent="0.2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</row>
    <row r="29" spans="1:12" x14ac:dyDescent="0.2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</row>
    <row r="30" spans="1:12" x14ac:dyDescent="0.2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</row>
    <row r="31" spans="1:12" x14ac:dyDescent="0.2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</row>
    <row r="32" spans="1:12" x14ac:dyDescent="0.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</row>
    <row r="33" spans="1:12" x14ac:dyDescent="0.2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</row>
    <row r="34" spans="1:12" x14ac:dyDescent="0.2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</row>
    <row r="35" spans="1:12" x14ac:dyDescent="0.2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</row>
    <row r="36" spans="1:12" x14ac:dyDescent="0.2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</row>
    <row r="37" spans="1:12" x14ac:dyDescent="0.2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</row>
    <row r="38" spans="1:12" x14ac:dyDescent="0.2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</row>
    <row r="39" spans="1:12" x14ac:dyDescent="0.2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</row>
    <row r="40" spans="1:12" x14ac:dyDescent="0.2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</row>
    <row r="41" spans="1:12" x14ac:dyDescent="0.2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</row>
    <row r="42" spans="1:12" x14ac:dyDescent="0.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</row>
    <row r="43" spans="1:12" x14ac:dyDescent="0.2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</row>
    <row r="44" spans="1:12" x14ac:dyDescent="0.2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</row>
    <row r="45" spans="1:12" x14ac:dyDescent="0.2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</row>
    <row r="46" spans="1:12" x14ac:dyDescent="0.2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</row>
    <row r="47" spans="1:12" x14ac:dyDescent="0.2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</row>
    <row r="48" spans="1:12" x14ac:dyDescent="0.2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</row>
    <row r="49" spans="1:12" x14ac:dyDescent="0.2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</row>
    <row r="50" spans="1:12" x14ac:dyDescent="0.2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</row>
  </sheetData>
  <mergeCells count="3">
    <mergeCell ref="A2:B2"/>
    <mergeCell ref="C2:L2"/>
    <mergeCell ref="C3:L3"/>
  </mergeCells>
  <hyperlinks>
    <hyperlink ref="C3" r:id="rId1" display="https://www.fencingtimelive.com/pools/results/E410C1DEA6F64998AC1C1D8B22761B81/FEC27BCC6875458F8C4CCCA3E309E3DB" xr:uid="{4A6E7F45-A76B-4AA3-92D5-E11876ABC000}"/>
  </hyperlink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2:L50"/>
  <sheetViews>
    <sheetView workbookViewId="0">
      <selection activeCell="B13" sqref="B13"/>
    </sheetView>
  </sheetViews>
  <sheetFormatPr defaultRowHeight="12.9" x14ac:dyDescent="0.2"/>
  <cols>
    <col min="1" max="1" width="5.75" style="6" bestFit="1" customWidth="1"/>
    <col min="2" max="2" width="18.875" style="6" customWidth="1"/>
    <col min="3" max="3" width="2.25" style="6" bestFit="1" customWidth="1"/>
    <col min="4" max="4" width="2.375" style="6" bestFit="1" customWidth="1"/>
    <col min="5" max="5" width="8.75" style="6" customWidth="1"/>
    <col min="6" max="6" width="3.25" style="6" bestFit="1" customWidth="1"/>
    <col min="7" max="7" width="3.375" style="6" bestFit="1" customWidth="1"/>
    <col min="8" max="8" width="3.75" style="6" bestFit="1" customWidth="1"/>
    <col min="9" max="9" width="11.25" style="6" customWidth="1"/>
    <col min="10" max="10" width="18.25" style="6" customWidth="1"/>
    <col min="11" max="11" width="7.875" style="6" bestFit="1" customWidth="1"/>
    <col min="12" max="12" width="8.125" style="6" bestFit="1" customWidth="1"/>
  </cols>
  <sheetData>
    <row r="2" spans="1:12" ht="13.6" x14ac:dyDescent="0.2">
      <c r="A2" s="66" t="s">
        <v>72</v>
      </c>
      <c r="B2" s="66"/>
      <c r="C2" s="67" t="s">
        <v>110</v>
      </c>
      <c r="D2" s="67"/>
      <c r="E2" s="67"/>
      <c r="F2" s="67"/>
      <c r="G2" s="67"/>
      <c r="H2" s="67"/>
      <c r="I2" s="67"/>
      <c r="J2" s="67"/>
      <c r="K2" s="67"/>
      <c r="L2" s="67"/>
    </row>
    <row r="3" spans="1:12" ht="13.6" x14ac:dyDescent="0.2">
      <c r="A3" s="9"/>
      <c r="B3" s="23" t="s">
        <v>111</v>
      </c>
      <c r="C3" s="69" t="s">
        <v>121</v>
      </c>
      <c r="D3" s="69"/>
      <c r="E3" s="69"/>
      <c r="F3" s="69"/>
      <c r="G3" s="69"/>
      <c r="H3" s="69"/>
      <c r="I3" s="69"/>
      <c r="J3" s="69"/>
      <c r="K3" s="69"/>
      <c r="L3" s="69"/>
    </row>
    <row r="4" spans="1:12" ht="13.1" customHeight="1" x14ac:dyDescent="0.2">
      <c r="C4" s="14"/>
      <c r="D4" s="14"/>
      <c r="E4" s="14"/>
      <c r="F4" s="14"/>
      <c r="G4" s="14"/>
      <c r="H4" s="14"/>
      <c r="I4" s="14"/>
      <c r="J4" s="14"/>
      <c r="K4" s="14"/>
      <c r="L4" s="14"/>
    </row>
    <row r="5" spans="1:12" ht="14.3" x14ac:dyDescent="0.2">
      <c r="A5" s="11" t="s">
        <v>76</v>
      </c>
      <c r="B5" s="11" t="s">
        <v>77</v>
      </c>
      <c r="C5" s="11" t="s">
        <v>78</v>
      </c>
      <c r="D5" s="11" t="s">
        <v>79</v>
      </c>
      <c r="E5" s="11" t="s">
        <v>80</v>
      </c>
      <c r="F5" s="11" t="s">
        <v>3</v>
      </c>
      <c r="G5" s="11" t="s">
        <v>81</v>
      </c>
      <c r="H5" s="11" t="s">
        <v>4</v>
      </c>
      <c r="I5" s="11" t="s">
        <v>82</v>
      </c>
      <c r="J5" s="11" t="s">
        <v>83</v>
      </c>
      <c r="K5" s="11" t="s">
        <v>84</v>
      </c>
      <c r="L5" s="11" t="s">
        <v>85</v>
      </c>
    </row>
    <row r="6" spans="1:12" x14ac:dyDescent="0.2">
      <c r="A6" s="8">
        <v>1</v>
      </c>
      <c r="B6" s="8" t="s">
        <v>19</v>
      </c>
      <c r="C6" s="8">
        <v>5</v>
      </c>
      <c r="D6" s="8">
        <v>5</v>
      </c>
      <c r="E6" s="8">
        <v>1</v>
      </c>
      <c r="F6" s="8">
        <v>25</v>
      </c>
      <c r="G6" s="8">
        <v>4</v>
      </c>
      <c r="H6" s="8">
        <v>21</v>
      </c>
      <c r="I6" s="8" t="s">
        <v>86</v>
      </c>
      <c r="J6" s="8" t="s">
        <v>90</v>
      </c>
      <c r="K6" s="8"/>
      <c r="L6" s="8" t="s">
        <v>113</v>
      </c>
    </row>
    <row r="7" spans="1:12" ht="25.85" x14ac:dyDescent="0.2">
      <c r="A7" s="8">
        <v>2</v>
      </c>
      <c r="B7" s="8" t="s">
        <v>24</v>
      </c>
      <c r="C7" s="8">
        <v>5</v>
      </c>
      <c r="D7" s="8">
        <v>5</v>
      </c>
      <c r="E7" s="8">
        <v>1</v>
      </c>
      <c r="F7" s="8">
        <v>22</v>
      </c>
      <c r="G7" s="8">
        <v>4</v>
      </c>
      <c r="H7" s="8">
        <v>18</v>
      </c>
      <c r="I7" s="8" t="s">
        <v>86</v>
      </c>
      <c r="J7" s="8" t="s">
        <v>116</v>
      </c>
      <c r="K7" s="8"/>
      <c r="L7" s="8" t="s">
        <v>113</v>
      </c>
    </row>
    <row r="8" spans="1:12" ht="25.85" x14ac:dyDescent="0.2">
      <c r="A8" s="8">
        <v>3</v>
      </c>
      <c r="B8" s="8" t="s">
        <v>16</v>
      </c>
      <c r="C8" s="8">
        <v>4</v>
      </c>
      <c r="D8" s="8">
        <v>5</v>
      </c>
      <c r="E8" s="8">
        <v>0.8</v>
      </c>
      <c r="F8" s="8">
        <v>21</v>
      </c>
      <c r="G8" s="8">
        <v>8</v>
      </c>
      <c r="H8" s="8">
        <v>13</v>
      </c>
      <c r="I8" s="8" t="s">
        <v>86</v>
      </c>
      <c r="J8" s="8" t="s">
        <v>114</v>
      </c>
      <c r="K8" s="8"/>
      <c r="L8" s="8" t="s">
        <v>113</v>
      </c>
    </row>
    <row r="9" spans="1:12" ht="25.85" x14ac:dyDescent="0.2">
      <c r="A9" s="8">
        <v>4</v>
      </c>
      <c r="B9" s="8" t="s">
        <v>22</v>
      </c>
      <c r="C9" s="8">
        <v>4</v>
      </c>
      <c r="D9" s="8">
        <v>5</v>
      </c>
      <c r="E9" s="8">
        <v>0.8</v>
      </c>
      <c r="F9" s="8">
        <v>23</v>
      </c>
      <c r="G9" s="8">
        <v>11</v>
      </c>
      <c r="H9" s="8">
        <v>12</v>
      </c>
      <c r="I9" s="8" t="s">
        <v>86</v>
      </c>
      <c r="J9" s="8" t="s">
        <v>90</v>
      </c>
      <c r="K9" s="8"/>
      <c r="L9" s="8" t="s">
        <v>113</v>
      </c>
    </row>
    <row r="10" spans="1:12" x14ac:dyDescent="0.2">
      <c r="A10" s="8" t="s">
        <v>122</v>
      </c>
      <c r="B10" s="8" t="s">
        <v>25</v>
      </c>
      <c r="C10" s="8">
        <v>4</v>
      </c>
      <c r="D10" s="8">
        <v>5</v>
      </c>
      <c r="E10" s="8">
        <v>0.8</v>
      </c>
      <c r="F10" s="8">
        <v>21</v>
      </c>
      <c r="G10" s="8">
        <v>10</v>
      </c>
      <c r="H10" s="8">
        <v>11</v>
      </c>
      <c r="I10" s="8" t="s">
        <v>86</v>
      </c>
      <c r="J10" s="8" t="s">
        <v>95</v>
      </c>
      <c r="K10" s="8"/>
      <c r="L10" s="8" t="s">
        <v>113</v>
      </c>
    </row>
    <row r="11" spans="1:12" ht="25.85" x14ac:dyDescent="0.2">
      <c r="A11" s="8" t="s">
        <v>122</v>
      </c>
      <c r="B11" s="8" t="s">
        <v>20</v>
      </c>
      <c r="C11" s="8">
        <v>4</v>
      </c>
      <c r="D11" s="8">
        <v>5</v>
      </c>
      <c r="E11" s="8">
        <v>0.8</v>
      </c>
      <c r="F11" s="8">
        <v>21</v>
      </c>
      <c r="G11" s="8">
        <v>10</v>
      </c>
      <c r="H11" s="8">
        <v>11</v>
      </c>
      <c r="I11" s="8" t="s">
        <v>86</v>
      </c>
      <c r="J11" s="8" t="s">
        <v>117</v>
      </c>
      <c r="K11" s="8"/>
      <c r="L11" s="8" t="s">
        <v>113</v>
      </c>
    </row>
    <row r="12" spans="1:12" x14ac:dyDescent="0.2">
      <c r="A12" s="8">
        <v>7</v>
      </c>
      <c r="B12" s="8" t="s">
        <v>14</v>
      </c>
      <c r="C12" s="8">
        <v>4</v>
      </c>
      <c r="D12" s="8">
        <v>5</v>
      </c>
      <c r="E12" s="8">
        <v>0.8</v>
      </c>
      <c r="F12" s="8">
        <v>21</v>
      </c>
      <c r="G12" s="8">
        <v>11</v>
      </c>
      <c r="H12" s="8">
        <v>10</v>
      </c>
      <c r="I12" s="8" t="s">
        <v>86</v>
      </c>
      <c r="J12" s="8" t="s">
        <v>87</v>
      </c>
      <c r="K12" s="8"/>
      <c r="L12" s="8" t="s">
        <v>113</v>
      </c>
    </row>
    <row r="13" spans="1:12" ht="38.75" x14ac:dyDescent="0.2">
      <c r="A13" s="8">
        <v>8</v>
      </c>
      <c r="B13" s="8" t="s">
        <v>27</v>
      </c>
      <c r="C13" s="8">
        <v>3</v>
      </c>
      <c r="D13" s="8">
        <v>5</v>
      </c>
      <c r="E13" s="8">
        <v>0.6</v>
      </c>
      <c r="F13" s="8">
        <v>18</v>
      </c>
      <c r="G13" s="8">
        <v>18</v>
      </c>
      <c r="H13" s="8">
        <v>0</v>
      </c>
      <c r="I13" s="8" t="s">
        <v>86</v>
      </c>
      <c r="J13" s="8" t="s">
        <v>91</v>
      </c>
      <c r="K13" s="8"/>
      <c r="L13" s="8" t="s">
        <v>115</v>
      </c>
    </row>
    <row r="14" spans="1:12" ht="25.85" x14ac:dyDescent="0.2">
      <c r="A14" s="8">
        <v>9</v>
      </c>
      <c r="B14" s="8" t="s">
        <v>17</v>
      </c>
      <c r="C14" s="8">
        <v>3</v>
      </c>
      <c r="D14" s="8">
        <v>5</v>
      </c>
      <c r="E14" s="8">
        <v>0.6</v>
      </c>
      <c r="F14" s="8">
        <v>16</v>
      </c>
      <c r="G14" s="8">
        <v>18</v>
      </c>
      <c r="H14" s="8">
        <v>-2</v>
      </c>
      <c r="I14" s="8" t="s">
        <v>86</v>
      </c>
      <c r="J14" s="8" t="s">
        <v>118</v>
      </c>
      <c r="K14" s="8"/>
      <c r="L14" s="8" t="s">
        <v>113</v>
      </c>
    </row>
    <row r="15" spans="1:12" ht="25.85" x14ac:dyDescent="0.2">
      <c r="A15" s="8" t="s">
        <v>123</v>
      </c>
      <c r="B15" s="8" t="s">
        <v>34</v>
      </c>
      <c r="C15" s="8">
        <v>2</v>
      </c>
      <c r="D15" s="8">
        <v>5</v>
      </c>
      <c r="E15" s="8">
        <v>0.4</v>
      </c>
      <c r="F15" s="8">
        <v>16</v>
      </c>
      <c r="G15" s="8">
        <v>19</v>
      </c>
      <c r="H15" s="8">
        <v>-3</v>
      </c>
      <c r="I15" s="8" t="s">
        <v>86</v>
      </c>
      <c r="J15" s="8" t="s">
        <v>108</v>
      </c>
      <c r="K15" s="8"/>
      <c r="L15" s="8" t="s">
        <v>113</v>
      </c>
    </row>
    <row r="16" spans="1:12" ht="25.85" x14ac:dyDescent="0.2">
      <c r="A16" s="8" t="s">
        <v>123</v>
      </c>
      <c r="B16" s="8" t="s">
        <v>31</v>
      </c>
      <c r="C16" s="8">
        <v>2</v>
      </c>
      <c r="D16" s="8">
        <v>5</v>
      </c>
      <c r="E16" s="8">
        <v>0.4</v>
      </c>
      <c r="F16" s="8">
        <v>16</v>
      </c>
      <c r="G16" s="8">
        <v>19</v>
      </c>
      <c r="H16" s="8">
        <v>-3</v>
      </c>
      <c r="I16" s="8" t="s">
        <v>86</v>
      </c>
      <c r="J16" s="8" t="s">
        <v>99</v>
      </c>
      <c r="K16" s="8"/>
      <c r="L16" s="8" t="s">
        <v>113</v>
      </c>
    </row>
    <row r="17" spans="1:12" ht="25.85" x14ac:dyDescent="0.2">
      <c r="A17" s="8">
        <v>12</v>
      </c>
      <c r="B17" s="8" t="s">
        <v>28</v>
      </c>
      <c r="C17" s="8">
        <v>2</v>
      </c>
      <c r="D17" s="8">
        <v>5</v>
      </c>
      <c r="E17" s="8">
        <v>0.4</v>
      </c>
      <c r="F17" s="8">
        <v>14</v>
      </c>
      <c r="G17" s="8">
        <v>19</v>
      </c>
      <c r="H17" s="8">
        <v>-5</v>
      </c>
      <c r="I17" s="8" t="s">
        <v>86</v>
      </c>
      <c r="J17" s="8" t="s">
        <v>109</v>
      </c>
      <c r="K17" s="8"/>
      <c r="L17" s="8" t="s">
        <v>113</v>
      </c>
    </row>
    <row r="18" spans="1:12" x14ac:dyDescent="0.2">
      <c r="A18" s="8">
        <v>13</v>
      </c>
      <c r="B18" s="8" t="s">
        <v>52</v>
      </c>
      <c r="C18" s="8">
        <v>1</v>
      </c>
      <c r="D18" s="8">
        <v>5</v>
      </c>
      <c r="E18" s="8">
        <v>0.2</v>
      </c>
      <c r="F18" s="8">
        <v>13</v>
      </c>
      <c r="G18" s="8">
        <v>21</v>
      </c>
      <c r="H18" s="8">
        <v>-8</v>
      </c>
      <c r="I18" s="8" t="s">
        <v>86</v>
      </c>
      <c r="J18" s="8" t="s">
        <v>120</v>
      </c>
      <c r="K18" s="8"/>
      <c r="L18" s="8" t="s">
        <v>113</v>
      </c>
    </row>
    <row r="19" spans="1:12" ht="25.85" x14ac:dyDescent="0.2">
      <c r="A19" s="8">
        <v>14</v>
      </c>
      <c r="B19" s="8" t="s">
        <v>40</v>
      </c>
      <c r="C19" s="8">
        <v>1</v>
      </c>
      <c r="D19" s="8">
        <v>5</v>
      </c>
      <c r="E19" s="8">
        <v>0.2</v>
      </c>
      <c r="F19" s="8">
        <v>12</v>
      </c>
      <c r="G19" s="8">
        <v>24</v>
      </c>
      <c r="H19" s="8">
        <v>-12</v>
      </c>
      <c r="I19" s="8" t="s">
        <v>86</v>
      </c>
      <c r="J19" s="8" t="s">
        <v>119</v>
      </c>
      <c r="K19" s="8"/>
      <c r="L19" s="8" t="s">
        <v>113</v>
      </c>
    </row>
    <row r="20" spans="1:12" ht="25.85" x14ac:dyDescent="0.2">
      <c r="A20" s="8">
        <v>15</v>
      </c>
      <c r="B20" s="8" t="s">
        <v>29</v>
      </c>
      <c r="C20" s="8">
        <v>1</v>
      </c>
      <c r="D20" s="8">
        <v>5</v>
      </c>
      <c r="E20" s="8">
        <v>0.2</v>
      </c>
      <c r="F20" s="8">
        <v>11</v>
      </c>
      <c r="G20" s="8">
        <v>23</v>
      </c>
      <c r="H20" s="8">
        <v>-12</v>
      </c>
      <c r="I20" s="8" t="s">
        <v>86</v>
      </c>
      <c r="J20" s="8" t="s">
        <v>99</v>
      </c>
      <c r="K20" s="8"/>
      <c r="L20" s="8" t="s">
        <v>113</v>
      </c>
    </row>
    <row r="21" spans="1:12" x14ac:dyDescent="0.2">
      <c r="A21" s="8" t="s">
        <v>124</v>
      </c>
      <c r="B21" s="8" t="s">
        <v>51</v>
      </c>
      <c r="C21" s="8">
        <v>0</v>
      </c>
      <c r="D21" s="8">
        <v>5</v>
      </c>
      <c r="E21" s="8">
        <v>0</v>
      </c>
      <c r="F21" s="8">
        <v>8</v>
      </c>
      <c r="G21" s="8">
        <v>25</v>
      </c>
      <c r="H21" s="8">
        <v>-17</v>
      </c>
      <c r="I21" s="8" t="s">
        <v>86</v>
      </c>
      <c r="J21" s="8" t="s">
        <v>109</v>
      </c>
      <c r="K21" s="8"/>
      <c r="L21" s="8" t="s">
        <v>113</v>
      </c>
    </row>
    <row r="22" spans="1:12" ht="25.85" x14ac:dyDescent="0.2">
      <c r="A22" s="8" t="s">
        <v>124</v>
      </c>
      <c r="B22" s="8" t="s">
        <v>33</v>
      </c>
      <c r="C22" s="8">
        <v>0</v>
      </c>
      <c r="D22" s="8">
        <v>5</v>
      </c>
      <c r="E22" s="8">
        <v>0</v>
      </c>
      <c r="F22" s="8">
        <v>8</v>
      </c>
      <c r="G22" s="8">
        <v>25</v>
      </c>
      <c r="H22" s="8">
        <v>-17</v>
      </c>
      <c r="I22" s="8" t="s">
        <v>86</v>
      </c>
      <c r="J22" s="8" t="s">
        <v>108</v>
      </c>
      <c r="K22" s="8"/>
      <c r="L22" s="8" t="s">
        <v>113</v>
      </c>
    </row>
    <row r="23" spans="1:12" ht="25.85" x14ac:dyDescent="0.2">
      <c r="A23" s="8" t="s">
        <v>124</v>
      </c>
      <c r="B23" s="8" t="s">
        <v>54</v>
      </c>
      <c r="C23" s="8">
        <v>0</v>
      </c>
      <c r="D23" s="8">
        <v>5</v>
      </c>
      <c r="E23" s="8">
        <v>0</v>
      </c>
      <c r="F23" s="8">
        <v>8</v>
      </c>
      <c r="G23" s="8">
        <v>25</v>
      </c>
      <c r="H23" s="8">
        <v>-17</v>
      </c>
      <c r="I23" s="8" t="s">
        <v>86</v>
      </c>
      <c r="J23" s="8" t="s">
        <v>109</v>
      </c>
      <c r="K23" s="8"/>
      <c r="L23" s="8"/>
    </row>
    <row r="24" spans="1:12" x14ac:dyDescent="0.2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</row>
    <row r="25" spans="1:12" x14ac:dyDescent="0.2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</row>
    <row r="26" spans="1:12" x14ac:dyDescent="0.2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</row>
    <row r="27" spans="1:12" x14ac:dyDescent="0.2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</row>
    <row r="28" spans="1:12" x14ac:dyDescent="0.2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</row>
    <row r="29" spans="1:12" x14ac:dyDescent="0.2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</row>
    <row r="30" spans="1:12" x14ac:dyDescent="0.2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</row>
    <row r="31" spans="1:12" x14ac:dyDescent="0.2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</row>
    <row r="32" spans="1:12" x14ac:dyDescent="0.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</row>
    <row r="33" spans="1:12" x14ac:dyDescent="0.2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</row>
    <row r="34" spans="1:12" x14ac:dyDescent="0.2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</row>
    <row r="35" spans="1:12" x14ac:dyDescent="0.2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</row>
    <row r="36" spans="1:12" x14ac:dyDescent="0.2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</row>
    <row r="37" spans="1:12" x14ac:dyDescent="0.2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</row>
    <row r="38" spans="1:12" x14ac:dyDescent="0.2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</row>
    <row r="39" spans="1:12" x14ac:dyDescent="0.2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</row>
    <row r="40" spans="1:12" x14ac:dyDescent="0.2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</row>
    <row r="41" spans="1:12" x14ac:dyDescent="0.2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</row>
    <row r="42" spans="1:12" x14ac:dyDescent="0.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</row>
    <row r="43" spans="1:12" x14ac:dyDescent="0.2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</row>
    <row r="44" spans="1:12" x14ac:dyDescent="0.2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</row>
    <row r="45" spans="1:12" x14ac:dyDescent="0.2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</row>
    <row r="46" spans="1:12" x14ac:dyDescent="0.2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</row>
    <row r="47" spans="1:12" x14ac:dyDescent="0.2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</row>
    <row r="48" spans="1:12" x14ac:dyDescent="0.2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</row>
    <row r="49" spans="1:12" x14ac:dyDescent="0.2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</row>
    <row r="50" spans="1:12" x14ac:dyDescent="0.2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</row>
  </sheetData>
  <mergeCells count="3">
    <mergeCell ref="A2:B2"/>
    <mergeCell ref="C2:L2"/>
    <mergeCell ref="C3:L3"/>
  </mergeCells>
  <hyperlinks>
    <hyperlink ref="C3" r:id="rId1" display="https://www.fencingtimelive.com/pools/results/E410C1DEA6F64998AC1C1D8B22761B81/FEC27BCC6875458F8C4CCCA3E309E3DB" xr:uid="{BDA6BF2A-BC94-43BE-9EA4-A8EBABC69BD3}"/>
    <hyperlink ref="C3:L3" r:id="rId2" display="https://www.fencingtimelive.com/pools/results/E410C1DEA6F64998AC1C1D8B22761B81/FDD096691A8B4E93812F9EDA282224BB" xr:uid="{7CA6FB58-1F8D-4490-8D1C-6B78BD10E4CE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2:L52"/>
  <sheetViews>
    <sheetView workbookViewId="0">
      <selection activeCell="B17" sqref="B17"/>
    </sheetView>
  </sheetViews>
  <sheetFormatPr defaultRowHeight="12.9" x14ac:dyDescent="0.2"/>
  <cols>
    <col min="1" max="1" width="5.75" style="6" bestFit="1" customWidth="1"/>
    <col min="2" max="2" width="18.875" style="6" customWidth="1"/>
    <col min="3" max="3" width="2.25" style="6" bestFit="1" customWidth="1"/>
    <col min="4" max="4" width="2.375" style="6" bestFit="1" customWidth="1"/>
    <col min="5" max="5" width="8.75" style="6" customWidth="1"/>
    <col min="6" max="6" width="3.25" style="6" bestFit="1" customWidth="1"/>
    <col min="7" max="7" width="3.375" style="6" bestFit="1" customWidth="1"/>
    <col min="8" max="8" width="3.75" style="6" bestFit="1" customWidth="1"/>
    <col min="9" max="9" width="11.25" style="6" customWidth="1"/>
    <col min="10" max="10" width="18.25" style="6" customWidth="1"/>
    <col min="11" max="11" width="7.875" style="6" bestFit="1" customWidth="1"/>
    <col min="12" max="12" width="8.125" style="6" bestFit="1" customWidth="1"/>
  </cols>
  <sheetData>
    <row r="2" spans="1:12" ht="13.6" x14ac:dyDescent="0.2">
      <c r="A2" s="66" t="s">
        <v>72</v>
      </c>
      <c r="B2" s="66"/>
      <c r="C2" s="67" t="s">
        <v>125</v>
      </c>
      <c r="D2" s="67"/>
      <c r="E2" s="67"/>
      <c r="F2" s="67"/>
      <c r="G2" s="67"/>
      <c r="H2" s="67"/>
      <c r="I2" s="67"/>
      <c r="J2" s="67"/>
      <c r="K2" s="67"/>
      <c r="L2" s="67"/>
    </row>
    <row r="3" spans="1:12" ht="13.1" customHeight="1" x14ac:dyDescent="0.2">
      <c r="C3" s="68" t="s">
        <v>126</v>
      </c>
      <c r="D3" s="68"/>
      <c r="E3" s="68"/>
      <c r="F3" s="68"/>
      <c r="G3" s="68"/>
      <c r="H3" s="68"/>
      <c r="I3" s="68"/>
      <c r="J3" s="68"/>
      <c r="K3" s="68"/>
      <c r="L3" s="68"/>
    </row>
    <row r="4" spans="1:12" ht="13.1" customHeight="1" x14ac:dyDescent="0.2">
      <c r="C4" s="10"/>
      <c r="D4" s="10"/>
      <c r="E4" s="10"/>
      <c r="F4" s="10"/>
      <c r="G4" s="10"/>
      <c r="H4" s="10"/>
      <c r="I4" s="10"/>
      <c r="J4" s="10"/>
      <c r="K4" s="10"/>
      <c r="L4" s="10"/>
    </row>
    <row r="5" spans="1:12" ht="14.3" x14ac:dyDescent="0.2">
      <c r="A5" s="11" t="s">
        <v>76</v>
      </c>
      <c r="B5" s="11" t="s">
        <v>77</v>
      </c>
      <c r="C5" s="11" t="s">
        <v>78</v>
      </c>
      <c r="D5" s="11" t="s">
        <v>79</v>
      </c>
      <c r="E5" s="11" t="s">
        <v>80</v>
      </c>
      <c r="F5" s="11" t="s">
        <v>3</v>
      </c>
      <c r="G5" s="11" t="s">
        <v>81</v>
      </c>
      <c r="H5" s="11" t="s">
        <v>4</v>
      </c>
      <c r="I5" s="11"/>
      <c r="J5" s="11"/>
      <c r="K5" s="11"/>
      <c r="L5" s="11"/>
    </row>
    <row r="6" spans="1:12" x14ac:dyDescent="0.2">
      <c r="A6" t="s">
        <v>127</v>
      </c>
      <c r="B6" t="s">
        <v>16</v>
      </c>
      <c r="C6">
        <v>5</v>
      </c>
      <c r="D6">
        <v>5</v>
      </c>
      <c r="E6" s="4">
        <v>1</v>
      </c>
      <c r="F6">
        <v>25</v>
      </c>
      <c r="G6">
        <v>7</v>
      </c>
      <c r="H6">
        <v>18</v>
      </c>
      <c r="I6" t="s">
        <v>86</v>
      </c>
      <c r="J6" t="s">
        <v>128</v>
      </c>
      <c r="K6" t="s">
        <v>113</v>
      </c>
      <c r="L6" s="7"/>
    </row>
    <row r="7" spans="1:12" x14ac:dyDescent="0.2">
      <c r="A7" t="s">
        <v>127</v>
      </c>
      <c r="B7" t="s">
        <v>15</v>
      </c>
      <c r="C7">
        <v>5</v>
      </c>
      <c r="D7">
        <v>5</v>
      </c>
      <c r="E7" s="4">
        <v>1</v>
      </c>
      <c r="F7">
        <v>25</v>
      </c>
      <c r="G7">
        <v>7</v>
      </c>
      <c r="H7">
        <v>18</v>
      </c>
      <c r="I7" t="s">
        <v>86</v>
      </c>
      <c r="J7" t="s">
        <v>109</v>
      </c>
      <c r="K7" t="s">
        <v>129</v>
      </c>
      <c r="L7" s="7"/>
    </row>
    <row r="8" spans="1:12" x14ac:dyDescent="0.2">
      <c r="A8">
        <v>3</v>
      </c>
      <c r="B8" t="s">
        <v>19</v>
      </c>
      <c r="C8">
        <v>5</v>
      </c>
      <c r="D8">
        <v>5</v>
      </c>
      <c r="E8" s="4">
        <v>1</v>
      </c>
      <c r="F8">
        <v>25</v>
      </c>
      <c r="G8">
        <v>11</v>
      </c>
      <c r="H8">
        <v>14</v>
      </c>
      <c r="I8" t="s">
        <v>86</v>
      </c>
      <c r="J8" t="s">
        <v>90</v>
      </c>
      <c r="K8" t="s">
        <v>113</v>
      </c>
      <c r="L8" s="7"/>
    </row>
    <row r="9" spans="1:12" x14ac:dyDescent="0.2">
      <c r="A9">
        <v>4</v>
      </c>
      <c r="B9" t="s">
        <v>17</v>
      </c>
      <c r="C9">
        <v>5</v>
      </c>
      <c r="D9">
        <v>5</v>
      </c>
      <c r="E9" s="4">
        <v>1</v>
      </c>
      <c r="F9">
        <v>25</v>
      </c>
      <c r="G9">
        <v>13</v>
      </c>
      <c r="H9">
        <v>12</v>
      </c>
      <c r="I9" t="s">
        <v>86</v>
      </c>
      <c r="J9" t="s">
        <v>130</v>
      </c>
      <c r="K9" t="s">
        <v>113</v>
      </c>
      <c r="L9" s="7"/>
    </row>
    <row r="10" spans="1:12" x14ac:dyDescent="0.2">
      <c r="A10">
        <v>5</v>
      </c>
      <c r="B10" t="s">
        <v>14</v>
      </c>
      <c r="C10">
        <v>4</v>
      </c>
      <c r="D10">
        <v>5</v>
      </c>
      <c r="E10" s="4">
        <v>0.8</v>
      </c>
      <c r="F10">
        <v>22</v>
      </c>
      <c r="G10">
        <v>9</v>
      </c>
      <c r="H10">
        <v>13</v>
      </c>
      <c r="I10" t="s">
        <v>86</v>
      </c>
      <c r="J10" t="s">
        <v>87</v>
      </c>
      <c r="K10" t="s">
        <v>113</v>
      </c>
      <c r="L10" s="7"/>
    </row>
    <row r="11" spans="1:12" x14ac:dyDescent="0.2">
      <c r="A11">
        <v>6</v>
      </c>
      <c r="B11" t="s">
        <v>23</v>
      </c>
      <c r="C11">
        <v>4</v>
      </c>
      <c r="D11">
        <v>5</v>
      </c>
      <c r="E11" s="4">
        <v>0.8</v>
      </c>
      <c r="F11">
        <v>21</v>
      </c>
      <c r="G11">
        <v>8</v>
      </c>
      <c r="H11">
        <v>13</v>
      </c>
      <c r="I11" t="s">
        <v>86</v>
      </c>
      <c r="J11" t="s">
        <v>100</v>
      </c>
      <c r="K11" t="s">
        <v>113</v>
      </c>
      <c r="L11" s="7"/>
    </row>
    <row r="12" spans="1:12" x14ac:dyDescent="0.2">
      <c r="A12">
        <v>7</v>
      </c>
      <c r="B12" t="s">
        <v>20</v>
      </c>
      <c r="C12">
        <v>4</v>
      </c>
      <c r="D12">
        <v>5</v>
      </c>
      <c r="E12" s="4">
        <v>0.8</v>
      </c>
      <c r="F12">
        <v>23</v>
      </c>
      <c r="G12">
        <v>11</v>
      </c>
      <c r="H12">
        <v>12</v>
      </c>
      <c r="I12" t="s">
        <v>86</v>
      </c>
      <c r="J12" t="s">
        <v>117</v>
      </c>
      <c r="K12" t="s">
        <v>113</v>
      </c>
      <c r="L12" s="7"/>
    </row>
    <row r="13" spans="1:12" x14ac:dyDescent="0.2">
      <c r="A13">
        <v>8</v>
      </c>
      <c r="B13" t="s">
        <v>31</v>
      </c>
      <c r="C13">
        <v>3</v>
      </c>
      <c r="D13">
        <v>5</v>
      </c>
      <c r="E13" s="4">
        <v>0.6</v>
      </c>
      <c r="F13">
        <v>20</v>
      </c>
      <c r="G13">
        <v>14</v>
      </c>
      <c r="H13">
        <v>6</v>
      </c>
      <c r="I13" t="s">
        <v>86</v>
      </c>
      <c r="J13" t="s">
        <v>99</v>
      </c>
      <c r="K13" t="s">
        <v>113</v>
      </c>
      <c r="L13" s="7"/>
    </row>
    <row r="14" spans="1:12" x14ac:dyDescent="0.2">
      <c r="A14">
        <v>9</v>
      </c>
      <c r="B14" t="s">
        <v>21</v>
      </c>
      <c r="C14">
        <v>3</v>
      </c>
      <c r="D14">
        <v>5</v>
      </c>
      <c r="E14" s="4">
        <v>0.6</v>
      </c>
      <c r="F14">
        <v>19</v>
      </c>
      <c r="G14">
        <v>13</v>
      </c>
      <c r="H14">
        <v>6</v>
      </c>
      <c r="I14" t="s">
        <v>86</v>
      </c>
      <c r="J14" t="s">
        <v>128</v>
      </c>
      <c r="K14" t="s">
        <v>113</v>
      </c>
      <c r="L14" s="7"/>
    </row>
    <row r="15" spans="1:12" x14ac:dyDescent="0.2">
      <c r="A15">
        <v>10</v>
      </c>
      <c r="B15" t="s">
        <v>26</v>
      </c>
      <c r="C15">
        <v>3</v>
      </c>
      <c r="D15">
        <v>5</v>
      </c>
      <c r="E15" s="4">
        <v>0.6</v>
      </c>
      <c r="F15">
        <v>19</v>
      </c>
      <c r="G15">
        <v>14</v>
      </c>
      <c r="H15">
        <v>5</v>
      </c>
      <c r="I15" t="s">
        <v>86</v>
      </c>
      <c r="J15" t="s">
        <v>100</v>
      </c>
      <c r="K15" t="s">
        <v>113</v>
      </c>
      <c r="L15" s="7"/>
    </row>
    <row r="16" spans="1:12" x14ac:dyDescent="0.2">
      <c r="A16">
        <v>11</v>
      </c>
      <c r="B16" t="s">
        <v>18</v>
      </c>
      <c r="C16">
        <v>3</v>
      </c>
      <c r="D16">
        <v>5</v>
      </c>
      <c r="E16" s="4">
        <v>0.6</v>
      </c>
      <c r="F16">
        <v>17</v>
      </c>
      <c r="G16">
        <v>17</v>
      </c>
      <c r="H16">
        <v>0</v>
      </c>
      <c r="I16" t="s">
        <v>86</v>
      </c>
      <c r="J16" t="s">
        <v>91</v>
      </c>
      <c r="K16" t="s">
        <v>113</v>
      </c>
      <c r="L16" s="7"/>
    </row>
    <row r="17" spans="1:12" x14ac:dyDescent="0.2">
      <c r="A17">
        <v>12</v>
      </c>
      <c r="B17" s="5" t="s">
        <v>22</v>
      </c>
      <c r="C17">
        <v>3</v>
      </c>
      <c r="D17">
        <v>5</v>
      </c>
      <c r="E17" s="4">
        <v>0.6</v>
      </c>
      <c r="F17">
        <v>16</v>
      </c>
      <c r="G17">
        <v>19</v>
      </c>
      <c r="H17">
        <v>-3</v>
      </c>
      <c r="I17" t="s">
        <v>86</v>
      </c>
      <c r="J17"/>
      <c r="K17" t="s">
        <v>113</v>
      </c>
      <c r="L17" s="7"/>
    </row>
    <row r="18" spans="1:12" x14ac:dyDescent="0.2">
      <c r="A18">
        <v>13</v>
      </c>
      <c r="B18" t="s">
        <v>24</v>
      </c>
      <c r="C18">
        <v>2</v>
      </c>
      <c r="D18">
        <v>5</v>
      </c>
      <c r="E18" s="4">
        <v>0.4</v>
      </c>
      <c r="F18">
        <v>17</v>
      </c>
      <c r="G18">
        <v>18</v>
      </c>
      <c r="H18">
        <v>-1</v>
      </c>
      <c r="I18" t="s">
        <v>86</v>
      </c>
      <c r="J18" t="s">
        <v>116</v>
      </c>
      <c r="K18" t="s">
        <v>113</v>
      </c>
      <c r="L18" s="7"/>
    </row>
    <row r="19" spans="1:12" x14ac:dyDescent="0.2">
      <c r="A19">
        <v>14</v>
      </c>
      <c r="B19" t="s">
        <v>28</v>
      </c>
      <c r="C19">
        <v>2</v>
      </c>
      <c r="D19">
        <v>5</v>
      </c>
      <c r="E19" s="4">
        <v>0.4</v>
      </c>
      <c r="F19">
        <v>15</v>
      </c>
      <c r="G19">
        <v>18</v>
      </c>
      <c r="H19">
        <v>-3</v>
      </c>
      <c r="I19" t="s">
        <v>86</v>
      </c>
      <c r="J19" t="s">
        <v>109</v>
      </c>
      <c r="K19" t="s">
        <v>113</v>
      </c>
      <c r="L19" s="7"/>
    </row>
    <row r="20" spans="1:12" x14ac:dyDescent="0.2">
      <c r="A20">
        <v>15</v>
      </c>
      <c r="B20" t="s">
        <v>33</v>
      </c>
      <c r="C20">
        <v>2</v>
      </c>
      <c r="D20">
        <v>5</v>
      </c>
      <c r="E20" s="4">
        <v>0.4</v>
      </c>
      <c r="F20">
        <v>14</v>
      </c>
      <c r="G20">
        <v>17</v>
      </c>
      <c r="H20">
        <v>-3</v>
      </c>
      <c r="I20" t="s">
        <v>86</v>
      </c>
      <c r="J20" t="s">
        <v>108</v>
      </c>
      <c r="K20" t="s">
        <v>113</v>
      </c>
      <c r="L20" s="7"/>
    </row>
    <row r="21" spans="1:12" x14ac:dyDescent="0.2">
      <c r="A21">
        <v>16</v>
      </c>
      <c r="B21" t="s">
        <v>48</v>
      </c>
      <c r="C21">
        <v>2</v>
      </c>
      <c r="D21">
        <v>5</v>
      </c>
      <c r="E21" s="4">
        <v>0.4</v>
      </c>
      <c r="F21">
        <v>15</v>
      </c>
      <c r="G21">
        <v>19</v>
      </c>
      <c r="H21">
        <v>-4</v>
      </c>
      <c r="I21" t="s">
        <v>86</v>
      </c>
      <c r="J21" t="s">
        <v>130</v>
      </c>
      <c r="K21" t="s">
        <v>113</v>
      </c>
      <c r="L21" s="7"/>
    </row>
    <row r="22" spans="1:12" x14ac:dyDescent="0.2">
      <c r="A22">
        <v>17</v>
      </c>
      <c r="B22" t="s">
        <v>47</v>
      </c>
      <c r="C22">
        <v>1</v>
      </c>
      <c r="D22">
        <v>5</v>
      </c>
      <c r="E22" s="4">
        <v>0.2</v>
      </c>
      <c r="F22">
        <v>14</v>
      </c>
      <c r="G22">
        <v>19</v>
      </c>
      <c r="H22">
        <v>-5</v>
      </c>
      <c r="I22" t="s">
        <v>86</v>
      </c>
      <c r="J22" t="s">
        <v>130</v>
      </c>
      <c r="K22" t="s">
        <v>113</v>
      </c>
      <c r="L22" s="7"/>
    </row>
    <row r="23" spans="1:12" x14ac:dyDescent="0.2">
      <c r="A23">
        <v>18</v>
      </c>
      <c r="B23" t="s">
        <v>38</v>
      </c>
      <c r="C23">
        <v>1</v>
      </c>
      <c r="D23">
        <v>5</v>
      </c>
      <c r="E23" s="4">
        <v>0.2</v>
      </c>
      <c r="F23">
        <v>13</v>
      </c>
      <c r="G23">
        <v>22</v>
      </c>
      <c r="H23">
        <v>-9</v>
      </c>
      <c r="I23" t="s">
        <v>86</v>
      </c>
      <c r="J23"/>
      <c r="K23" t="s">
        <v>113</v>
      </c>
      <c r="L23" s="7"/>
    </row>
    <row r="24" spans="1:12" x14ac:dyDescent="0.2">
      <c r="A24">
        <v>19</v>
      </c>
      <c r="B24" t="s">
        <v>27</v>
      </c>
      <c r="C24">
        <v>1</v>
      </c>
      <c r="D24">
        <v>5</v>
      </c>
      <c r="E24" s="4">
        <v>0.2</v>
      </c>
      <c r="F24">
        <v>12</v>
      </c>
      <c r="G24">
        <v>21</v>
      </c>
      <c r="H24">
        <v>-9</v>
      </c>
      <c r="I24" t="s">
        <v>86</v>
      </c>
      <c r="J24" t="s">
        <v>91</v>
      </c>
      <c r="K24" t="s">
        <v>113</v>
      </c>
      <c r="L24" s="7"/>
    </row>
    <row r="25" spans="1:12" x14ac:dyDescent="0.2">
      <c r="A25">
        <v>20</v>
      </c>
      <c r="B25" t="s">
        <v>46</v>
      </c>
      <c r="C25">
        <v>1</v>
      </c>
      <c r="D25">
        <v>5</v>
      </c>
      <c r="E25" s="4">
        <v>0.2</v>
      </c>
      <c r="F25">
        <v>11</v>
      </c>
      <c r="G25">
        <v>23</v>
      </c>
      <c r="H25">
        <v>-12</v>
      </c>
      <c r="I25" t="s">
        <v>86</v>
      </c>
      <c r="J25" t="s">
        <v>128</v>
      </c>
      <c r="K25" t="s">
        <v>113</v>
      </c>
      <c r="L25" s="7"/>
    </row>
    <row r="26" spans="1:12" x14ac:dyDescent="0.2">
      <c r="A26">
        <v>21</v>
      </c>
      <c r="B26" t="s">
        <v>29</v>
      </c>
      <c r="C26">
        <v>1</v>
      </c>
      <c r="D26">
        <v>5</v>
      </c>
      <c r="E26" s="4">
        <v>0.2</v>
      </c>
      <c r="F26">
        <v>9</v>
      </c>
      <c r="G26">
        <v>21</v>
      </c>
      <c r="H26">
        <v>-12</v>
      </c>
      <c r="I26" t="s">
        <v>86</v>
      </c>
      <c r="J26" t="s">
        <v>99</v>
      </c>
      <c r="K26" t="s">
        <v>113</v>
      </c>
      <c r="L26" s="7"/>
    </row>
    <row r="27" spans="1:12" x14ac:dyDescent="0.2">
      <c r="A27">
        <v>22</v>
      </c>
      <c r="B27" t="s">
        <v>40</v>
      </c>
      <c r="C27">
        <v>0</v>
      </c>
      <c r="D27">
        <v>5</v>
      </c>
      <c r="E27" s="4">
        <v>0</v>
      </c>
      <c r="F27">
        <v>7</v>
      </c>
      <c r="G27">
        <v>25</v>
      </c>
      <c r="H27">
        <v>-18</v>
      </c>
      <c r="I27" t="s">
        <v>86</v>
      </c>
      <c r="J27" t="s">
        <v>96</v>
      </c>
      <c r="K27" t="s">
        <v>113</v>
      </c>
      <c r="L27" s="7"/>
    </row>
    <row r="28" spans="1:12" x14ac:dyDescent="0.2">
      <c r="A28" t="s">
        <v>131</v>
      </c>
      <c r="B28" t="s">
        <v>51</v>
      </c>
      <c r="C28">
        <v>0</v>
      </c>
      <c r="D28">
        <v>5</v>
      </c>
      <c r="E28" s="4">
        <v>0</v>
      </c>
      <c r="F28">
        <v>6</v>
      </c>
      <c r="G28">
        <v>25</v>
      </c>
      <c r="H28">
        <v>-19</v>
      </c>
      <c r="I28" t="s">
        <v>86</v>
      </c>
      <c r="J28" t="s">
        <v>109</v>
      </c>
      <c r="K28" t="s">
        <v>113</v>
      </c>
      <c r="L28" s="7"/>
    </row>
    <row r="29" spans="1:12" x14ac:dyDescent="0.2">
      <c r="A29" t="s">
        <v>131</v>
      </c>
      <c r="B29" s="6" t="s">
        <v>57</v>
      </c>
      <c r="C29" s="6">
        <v>0</v>
      </c>
      <c r="D29" s="6">
        <v>5</v>
      </c>
      <c r="E29" s="6">
        <v>0</v>
      </c>
      <c r="F29" s="6">
        <v>6</v>
      </c>
      <c r="G29" s="6">
        <v>25</v>
      </c>
      <c r="H29" s="6">
        <v>-19</v>
      </c>
      <c r="I29" s="6" t="s">
        <v>86</v>
      </c>
      <c r="J29" s="6" t="s">
        <v>109</v>
      </c>
      <c r="L29" s="7"/>
    </row>
    <row r="32" spans="1:12" x14ac:dyDescent="0.2">
      <c r="B32" s="8"/>
      <c r="C32" s="8"/>
      <c r="D32" s="8"/>
      <c r="E32" s="7"/>
      <c r="F32" s="8"/>
      <c r="G32" s="8"/>
      <c r="H32" s="8"/>
      <c r="I32" s="7"/>
      <c r="J32" s="7"/>
      <c r="K32" s="7"/>
      <c r="L32" s="7"/>
    </row>
    <row r="33" spans="1:12" x14ac:dyDescent="0.2">
      <c r="A33" s="8"/>
      <c r="B33" s="8"/>
      <c r="C33" s="8"/>
      <c r="D33" s="8"/>
      <c r="E33" s="7"/>
      <c r="F33" s="8"/>
      <c r="G33" s="8"/>
      <c r="H33" s="8"/>
      <c r="I33" s="7"/>
      <c r="J33" s="7"/>
      <c r="K33" s="7"/>
      <c r="L33" s="7"/>
    </row>
    <row r="34" spans="1:12" x14ac:dyDescent="0.2">
      <c r="A34" s="8"/>
      <c r="B34" s="8"/>
      <c r="C34" s="8"/>
      <c r="D34" s="8"/>
      <c r="E34" s="7"/>
      <c r="F34" s="8"/>
      <c r="G34" s="8"/>
      <c r="H34" s="8"/>
      <c r="I34" s="7"/>
      <c r="J34" s="7"/>
      <c r="K34" s="7"/>
      <c r="L34" s="7"/>
    </row>
    <row r="35" spans="1:12" x14ac:dyDescent="0.2">
      <c r="A35" s="8"/>
      <c r="B35" s="8"/>
      <c r="C35" s="8"/>
      <c r="D35" s="8"/>
      <c r="E35" s="7"/>
      <c r="F35" s="8"/>
      <c r="G35" s="8"/>
      <c r="H35" s="8"/>
      <c r="I35" s="7"/>
      <c r="J35" s="7"/>
      <c r="K35" s="7"/>
      <c r="L35" s="7"/>
    </row>
    <row r="36" spans="1:12" x14ac:dyDescent="0.2">
      <c r="A36" s="8"/>
      <c r="B36" s="8"/>
      <c r="C36" s="8"/>
      <c r="D36" s="8"/>
      <c r="E36" s="7"/>
      <c r="F36" s="8"/>
      <c r="G36" s="8"/>
      <c r="H36" s="8"/>
      <c r="I36" s="7"/>
      <c r="J36" s="7"/>
      <c r="K36" s="7"/>
      <c r="L36" s="7"/>
    </row>
    <row r="37" spans="1:12" x14ac:dyDescent="0.2">
      <c r="A37" s="8"/>
      <c r="B37" s="8"/>
      <c r="C37" s="8"/>
      <c r="D37" s="8"/>
      <c r="E37" s="7"/>
      <c r="F37" s="8"/>
      <c r="G37" s="8"/>
      <c r="H37" s="8"/>
      <c r="I37" s="7"/>
      <c r="J37" s="7"/>
      <c r="K37" s="7"/>
      <c r="L37" s="7"/>
    </row>
    <row r="38" spans="1:12" x14ac:dyDescent="0.2">
      <c r="A38" s="8"/>
      <c r="B38" s="8"/>
      <c r="C38" s="8"/>
      <c r="D38" s="8"/>
      <c r="E38" s="7"/>
      <c r="F38" s="8"/>
      <c r="G38" s="8"/>
      <c r="H38" s="8"/>
      <c r="I38" s="7"/>
      <c r="J38" s="7"/>
      <c r="K38" s="7"/>
      <c r="L38" s="7"/>
    </row>
    <row r="39" spans="1:12" x14ac:dyDescent="0.2">
      <c r="A39" s="8"/>
      <c r="B39" s="8"/>
      <c r="C39" s="8"/>
      <c r="D39" s="8"/>
      <c r="E39" s="7"/>
      <c r="F39" s="8"/>
      <c r="G39" s="8"/>
      <c r="H39" s="8"/>
      <c r="I39" s="7"/>
      <c r="J39" s="7"/>
      <c r="K39" s="7"/>
      <c r="L39" s="7"/>
    </row>
    <row r="40" spans="1:12" x14ac:dyDescent="0.2">
      <c r="A40" s="8"/>
      <c r="B40" s="8"/>
      <c r="C40" s="8"/>
      <c r="D40" s="8"/>
      <c r="E40" s="7"/>
      <c r="F40" s="8"/>
      <c r="G40" s="8"/>
      <c r="H40" s="8"/>
      <c r="I40" s="7"/>
      <c r="J40" s="7"/>
      <c r="K40" s="7"/>
      <c r="L40" s="7"/>
    </row>
    <row r="41" spans="1:12" x14ac:dyDescent="0.2">
      <c r="A41" s="8"/>
      <c r="B41" s="8"/>
      <c r="C41" s="8"/>
      <c r="D41" s="8"/>
      <c r="E41" s="7"/>
      <c r="F41" s="8"/>
      <c r="G41" s="8"/>
      <c r="H41" s="8"/>
      <c r="I41" s="7"/>
      <c r="J41" s="7"/>
      <c r="K41" s="7"/>
      <c r="L41" s="7"/>
    </row>
    <row r="42" spans="1:12" x14ac:dyDescent="0.2">
      <c r="A42" s="8"/>
      <c r="B42" s="8"/>
      <c r="C42" s="8"/>
      <c r="D42" s="8"/>
      <c r="E42" s="7"/>
      <c r="F42" s="8"/>
      <c r="G42" s="8"/>
      <c r="H42" s="8"/>
      <c r="I42" s="7"/>
      <c r="J42" s="7"/>
      <c r="K42" s="7"/>
      <c r="L42" s="7"/>
    </row>
    <row r="43" spans="1:12" x14ac:dyDescent="0.2">
      <c r="A43" s="8"/>
      <c r="B43" s="8"/>
      <c r="C43" s="8"/>
      <c r="D43" s="8"/>
      <c r="E43" s="7"/>
      <c r="F43" s="8"/>
      <c r="G43" s="8"/>
      <c r="H43" s="8"/>
      <c r="I43" s="7"/>
      <c r="J43" s="7"/>
      <c r="K43" s="7"/>
      <c r="L43" s="7"/>
    </row>
    <row r="44" spans="1:12" x14ac:dyDescent="0.2">
      <c r="A44" s="8"/>
      <c r="B44" s="8"/>
      <c r="C44" s="8"/>
      <c r="D44" s="8"/>
      <c r="E44" s="7"/>
      <c r="F44" s="8"/>
      <c r="G44" s="8"/>
      <c r="H44" s="8"/>
      <c r="I44" s="7"/>
      <c r="J44" s="7"/>
      <c r="K44" s="7"/>
      <c r="L44" s="7"/>
    </row>
    <row r="45" spans="1:12" x14ac:dyDescent="0.2">
      <c r="A45" s="8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</row>
    <row r="46" spans="1:12" x14ac:dyDescent="0.2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</row>
    <row r="47" spans="1:12" x14ac:dyDescent="0.2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</row>
    <row r="48" spans="1:12" x14ac:dyDescent="0.2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</row>
    <row r="49" spans="1:12" x14ac:dyDescent="0.2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</row>
    <row r="50" spans="1:12" x14ac:dyDescent="0.2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</row>
    <row r="51" spans="1:12" x14ac:dyDescent="0.2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</row>
    <row r="52" spans="1:12" x14ac:dyDescent="0.2">
      <c r="A52" s="7"/>
    </row>
  </sheetData>
  <autoFilter ref="A5:L5" xr:uid="{00000000-0009-0000-0000-000005000000}">
    <sortState xmlns:xlrd2="http://schemas.microsoft.com/office/spreadsheetml/2017/richdata2" ref="A6:L30">
      <sortCondition ref="A5"/>
    </sortState>
  </autoFilter>
  <mergeCells count="3">
    <mergeCell ref="A2:B2"/>
    <mergeCell ref="C2:L2"/>
    <mergeCell ref="C3:L3"/>
  </mergeCells>
  <hyperlinks>
    <hyperlink ref="C3" r:id="rId1" display="https://www.fencingtimelive.com/pools/results/AB30CCE99E7E4482BF9221473FF2C19E/81304AEB09354516A3303AC8B47CB3C6" xr:uid="{00000000-0004-0000-0500-000000000000}"/>
    <hyperlink ref="C3:L3" r:id="rId2" display="https://www,fencingtimelive,com/pools/results/AB30CCE99E7E4482BF9221473FF2C19E/81304AEB09354516A3303AC8B47CB3C6" xr:uid="{138087D6-7F94-4DAF-93DF-7815B6E30ADC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2:L50"/>
  <sheetViews>
    <sheetView workbookViewId="0">
      <selection activeCell="B13" sqref="B13"/>
    </sheetView>
  </sheetViews>
  <sheetFormatPr defaultRowHeight="12.9" x14ac:dyDescent="0.2"/>
  <cols>
    <col min="1" max="1" width="5.75" style="6" bestFit="1" customWidth="1"/>
    <col min="2" max="2" width="18.875" style="6" customWidth="1"/>
    <col min="3" max="3" width="2.25" style="6" bestFit="1" customWidth="1"/>
    <col min="4" max="4" width="2.375" style="6" bestFit="1" customWidth="1"/>
    <col min="5" max="5" width="8.75" style="6" customWidth="1"/>
    <col min="6" max="6" width="3.75" style="6" bestFit="1" customWidth="1"/>
    <col min="7" max="7" width="3.375" style="6" bestFit="1" customWidth="1"/>
    <col min="8" max="8" width="3.75" style="6" bestFit="1" customWidth="1"/>
    <col min="9" max="9" width="11.25" style="6" customWidth="1"/>
    <col min="10" max="10" width="18.25" style="6" customWidth="1"/>
    <col min="11" max="11" width="7.875" style="6" bestFit="1" customWidth="1"/>
    <col min="12" max="12" width="8.125" style="6" bestFit="1" customWidth="1"/>
  </cols>
  <sheetData>
    <row r="2" spans="1:12" ht="13.6" x14ac:dyDescent="0.2">
      <c r="A2" s="66" t="s">
        <v>72</v>
      </c>
      <c r="B2" s="66"/>
      <c r="C2" s="67" t="s">
        <v>125</v>
      </c>
      <c r="D2" s="67"/>
      <c r="E2" s="67"/>
      <c r="F2" s="67"/>
      <c r="G2" s="67"/>
      <c r="H2" s="67"/>
      <c r="I2" s="67"/>
      <c r="J2" s="67"/>
      <c r="K2" s="67"/>
      <c r="L2" s="67"/>
    </row>
    <row r="3" spans="1:12" ht="13.1" customHeight="1" x14ac:dyDescent="0.2">
      <c r="C3" s="68" t="s">
        <v>126</v>
      </c>
      <c r="D3" s="68"/>
      <c r="E3" s="68"/>
      <c r="F3" s="68"/>
      <c r="G3" s="68"/>
      <c r="H3" s="68"/>
      <c r="I3" s="68"/>
      <c r="J3" s="68"/>
      <c r="K3" s="68"/>
      <c r="L3" s="68"/>
    </row>
    <row r="4" spans="1:12" ht="13.1" customHeight="1" x14ac:dyDescent="0.2">
      <c r="C4" s="10"/>
      <c r="D4" s="10"/>
      <c r="E4" s="10"/>
      <c r="F4" s="10"/>
      <c r="G4" s="10"/>
      <c r="H4" s="10"/>
      <c r="I4" s="10"/>
      <c r="J4" s="10"/>
      <c r="K4" s="10"/>
      <c r="L4" s="10"/>
    </row>
    <row r="5" spans="1:12" ht="14.3" x14ac:dyDescent="0.2">
      <c r="A5" s="11" t="s">
        <v>76</v>
      </c>
      <c r="B5" s="11" t="s">
        <v>77</v>
      </c>
      <c r="C5" s="11" t="s">
        <v>78</v>
      </c>
      <c r="D5" s="11" t="s">
        <v>79</v>
      </c>
      <c r="E5" s="11" t="s">
        <v>80</v>
      </c>
      <c r="F5" s="11" t="s">
        <v>3</v>
      </c>
      <c r="G5" s="11" t="s">
        <v>81</v>
      </c>
      <c r="H5" s="11" t="s">
        <v>4</v>
      </c>
      <c r="I5" s="11"/>
      <c r="J5" s="11"/>
      <c r="K5" s="11"/>
      <c r="L5" s="11"/>
    </row>
    <row r="6" spans="1:12" ht="25.85" x14ac:dyDescent="0.2">
      <c r="A6" s="8">
        <v>1</v>
      </c>
      <c r="B6" s="8" t="s">
        <v>20</v>
      </c>
      <c r="C6" s="8">
        <v>5</v>
      </c>
      <c r="D6" s="8">
        <v>5</v>
      </c>
      <c r="E6" s="8">
        <v>1</v>
      </c>
      <c r="F6" s="8">
        <v>25</v>
      </c>
      <c r="G6" s="8">
        <v>9</v>
      </c>
      <c r="H6" s="8">
        <v>16</v>
      </c>
      <c r="I6" s="8" t="s">
        <v>86</v>
      </c>
      <c r="J6" s="8" t="s">
        <v>117</v>
      </c>
      <c r="K6" s="8" t="s">
        <v>113</v>
      </c>
      <c r="L6" s="7"/>
    </row>
    <row r="7" spans="1:12" ht="38.75" x14ac:dyDescent="0.2">
      <c r="A7" s="8">
        <v>2</v>
      </c>
      <c r="B7" s="8" t="s">
        <v>18</v>
      </c>
      <c r="C7" s="8">
        <v>5</v>
      </c>
      <c r="D7" s="8">
        <v>5</v>
      </c>
      <c r="E7" s="8">
        <v>1</v>
      </c>
      <c r="F7" s="8">
        <v>25</v>
      </c>
      <c r="G7" s="8">
        <v>10</v>
      </c>
      <c r="H7" s="8">
        <v>15</v>
      </c>
      <c r="I7" s="8" t="s">
        <v>86</v>
      </c>
      <c r="J7" s="8" t="s">
        <v>91</v>
      </c>
      <c r="K7" s="8" t="s">
        <v>113</v>
      </c>
      <c r="L7" s="7"/>
    </row>
    <row r="8" spans="1:12" ht="25.85" x14ac:dyDescent="0.2">
      <c r="A8" s="8">
        <v>3</v>
      </c>
      <c r="B8" s="8" t="s">
        <v>17</v>
      </c>
      <c r="C8" s="8">
        <v>5</v>
      </c>
      <c r="D8" s="8">
        <v>5</v>
      </c>
      <c r="E8" s="8">
        <v>1</v>
      </c>
      <c r="F8" s="8">
        <v>25</v>
      </c>
      <c r="G8" s="8">
        <v>11</v>
      </c>
      <c r="H8" s="8">
        <v>14</v>
      </c>
      <c r="I8" s="8" t="s">
        <v>86</v>
      </c>
      <c r="J8" s="8" t="s">
        <v>130</v>
      </c>
      <c r="K8" s="8" t="s">
        <v>113</v>
      </c>
      <c r="L8" s="7"/>
    </row>
    <row r="9" spans="1:12" x14ac:dyDescent="0.2">
      <c r="A9" s="8">
        <v>4</v>
      </c>
      <c r="B9" s="8" t="s">
        <v>15</v>
      </c>
      <c r="C9" s="8">
        <v>4</v>
      </c>
      <c r="D9" s="8">
        <v>5</v>
      </c>
      <c r="E9" s="8">
        <v>0.8</v>
      </c>
      <c r="F9" s="8">
        <v>24</v>
      </c>
      <c r="G9" s="8">
        <v>9</v>
      </c>
      <c r="H9" s="8">
        <v>15</v>
      </c>
      <c r="I9" s="8" t="s">
        <v>86</v>
      </c>
      <c r="J9" s="8" t="s">
        <v>109</v>
      </c>
      <c r="K9" s="8" t="s">
        <v>129</v>
      </c>
      <c r="L9" s="7"/>
    </row>
    <row r="10" spans="1:12" x14ac:dyDescent="0.2">
      <c r="A10" s="8">
        <v>5</v>
      </c>
      <c r="B10" s="8" t="s">
        <v>23</v>
      </c>
      <c r="C10" s="8">
        <v>4</v>
      </c>
      <c r="D10" s="8">
        <v>5</v>
      </c>
      <c r="E10" s="8">
        <v>0.8</v>
      </c>
      <c r="F10" s="8">
        <v>24</v>
      </c>
      <c r="G10" s="8">
        <v>13</v>
      </c>
      <c r="H10" s="8">
        <v>11</v>
      </c>
      <c r="I10" s="8" t="s">
        <v>86</v>
      </c>
      <c r="J10" s="8" t="s">
        <v>100</v>
      </c>
      <c r="K10" s="8" t="s">
        <v>113</v>
      </c>
      <c r="L10" s="7"/>
    </row>
    <row r="11" spans="1:12" ht="25.85" x14ac:dyDescent="0.2">
      <c r="A11" s="8">
        <v>6</v>
      </c>
      <c r="B11" s="8" t="s">
        <v>16</v>
      </c>
      <c r="C11" s="8">
        <v>4</v>
      </c>
      <c r="D11" s="8">
        <v>5</v>
      </c>
      <c r="E11" s="8">
        <v>0.8</v>
      </c>
      <c r="F11" s="8">
        <v>23</v>
      </c>
      <c r="G11" s="8">
        <v>16</v>
      </c>
      <c r="H11" s="8">
        <v>7</v>
      </c>
      <c r="I11" s="8" t="s">
        <v>86</v>
      </c>
      <c r="J11" s="8" t="s">
        <v>128</v>
      </c>
      <c r="K11" s="8" t="s">
        <v>113</v>
      </c>
      <c r="L11" s="7"/>
    </row>
    <row r="12" spans="1:12" x14ac:dyDescent="0.2">
      <c r="A12" s="8">
        <v>7</v>
      </c>
      <c r="B12" s="8" t="s">
        <v>19</v>
      </c>
      <c r="C12" s="8">
        <v>3</v>
      </c>
      <c r="D12" s="8">
        <v>5</v>
      </c>
      <c r="E12" s="8">
        <v>0.6</v>
      </c>
      <c r="F12" s="8">
        <v>21</v>
      </c>
      <c r="G12" s="8">
        <v>14</v>
      </c>
      <c r="H12" s="8">
        <v>7</v>
      </c>
      <c r="I12" s="8" t="s">
        <v>86</v>
      </c>
      <c r="J12" s="8" t="s">
        <v>90</v>
      </c>
      <c r="K12" s="8" t="s">
        <v>113</v>
      </c>
      <c r="L12" s="7"/>
    </row>
    <row r="13" spans="1:12" x14ac:dyDescent="0.2">
      <c r="A13" s="8">
        <v>8</v>
      </c>
      <c r="B13" s="5" t="s">
        <v>22</v>
      </c>
      <c r="C13" s="8">
        <v>3</v>
      </c>
      <c r="D13" s="8">
        <v>5</v>
      </c>
      <c r="E13" s="8">
        <v>0.6</v>
      </c>
      <c r="F13" s="8">
        <v>20</v>
      </c>
      <c r="G13" s="8">
        <v>13</v>
      </c>
      <c r="H13" s="8">
        <v>7</v>
      </c>
      <c r="I13" s="8" t="s">
        <v>86</v>
      </c>
      <c r="J13" s="8"/>
      <c r="K13" s="8" t="s">
        <v>113</v>
      </c>
      <c r="L13" s="7"/>
    </row>
    <row r="14" spans="1:12" ht="25.85" x14ac:dyDescent="0.2">
      <c r="A14" s="8">
        <v>9</v>
      </c>
      <c r="B14" s="8" t="s">
        <v>24</v>
      </c>
      <c r="C14" s="8">
        <v>3</v>
      </c>
      <c r="D14" s="8">
        <v>5</v>
      </c>
      <c r="E14" s="8">
        <v>0.6</v>
      </c>
      <c r="F14" s="8">
        <v>21</v>
      </c>
      <c r="G14" s="8">
        <v>17</v>
      </c>
      <c r="H14" s="8">
        <v>4</v>
      </c>
      <c r="I14" s="8" t="s">
        <v>86</v>
      </c>
      <c r="J14" s="8" t="s">
        <v>116</v>
      </c>
      <c r="K14" s="8" t="s">
        <v>113</v>
      </c>
      <c r="L14" s="7"/>
    </row>
    <row r="15" spans="1:12" ht="25.85" x14ac:dyDescent="0.2">
      <c r="A15" s="8" t="s">
        <v>123</v>
      </c>
      <c r="B15" s="8" t="s">
        <v>21</v>
      </c>
      <c r="C15" s="8">
        <v>3</v>
      </c>
      <c r="D15" s="8">
        <v>5</v>
      </c>
      <c r="E15" s="8">
        <v>0.6</v>
      </c>
      <c r="F15" s="8">
        <v>20</v>
      </c>
      <c r="G15" s="8">
        <v>16</v>
      </c>
      <c r="H15" s="8">
        <v>4</v>
      </c>
      <c r="I15" s="8" t="s">
        <v>86</v>
      </c>
      <c r="J15" s="8" t="s">
        <v>128</v>
      </c>
      <c r="K15" s="8" t="s">
        <v>113</v>
      </c>
      <c r="L15" s="7"/>
    </row>
    <row r="16" spans="1:12" x14ac:dyDescent="0.2">
      <c r="A16" s="8" t="s">
        <v>123</v>
      </c>
      <c r="B16" s="8" t="s">
        <v>14</v>
      </c>
      <c r="C16" s="8">
        <v>3</v>
      </c>
      <c r="D16" s="8">
        <v>5</v>
      </c>
      <c r="E16" s="8">
        <v>0.6</v>
      </c>
      <c r="F16" s="8">
        <v>20</v>
      </c>
      <c r="G16" s="8">
        <v>16</v>
      </c>
      <c r="H16" s="8">
        <v>4</v>
      </c>
      <c r="I16" s="8" t="s">
        <v>86</v>
      </c>
      <c r="J16" s="8" t="s">
        <v>87</v>
      </c>
      <c r="K16" s="8" t="s">
        <v>113</v>
      </c>
      <c r="L16" s="7"/>
    </row>
    <row r="17" spans="1:12" ht="25.85" x14ac:dyDescent="0.2">
      <c r="A17" s="8">
        <v>12</v>
      </c>
      <c r="B17" s="8" t="s">
        <v>31</v>
      </c>
      <c r="C17" s="8">
        <v>3</v>
      </c>
      <c r="D17" s="8">
        <v>5</v>
      </c>
      <c r="E17" s="8">
        <v>0.6</v>
      </c>
      <c r="F17" s="8">
        <v>21</v>
      </c>
      <c r="G17" s="8">
        <v>20</v>
      </c>
      <c r="H17" s="8">
        <v>1</v>
      </c>
      <c r="I17" s="8" t="s">
        <v>86</v>
      </c>
      <c r="J17" s="8" t="s">
        <v>99</v>
      </c>
      <c r="K17" s="8" t="s">
        <v>113</v>
      </c>
      <c r="L17" s="7"/>
    </row>
    <row r="18" spans="1:12" ht="25.85" x14ac:dyDescent="0.2">
      <c r="A18" s="8">
        <v>13</v>
      </c>
      <c r="B18" s="8" t="s">
        <v>38</v>
      </c>
      <c r="C18" s="8">
        <v>3</v>
      </c>
      <c r="D18" s="8">
        <v>5</v>
      </c>
      <c r="E18" s="8">
        <v>0.6</v>
      </c>
      <c r="F18" s="8">
        <v>16</v>
      </c>
      <c r="G18" s="8">
        <v>17</v>
      </c>
      <c r="H18" s="8">
        <v>-1</v>
      </c>
      <c r="I18" s="8" t="s">
        <v>86</v>
      </c>
      <c r="J18" s="8"/>
      <c r="K18" s="8" t="s">
        <v>113</v>
      </c>
      <c r="L18" s="7"/>
    </row>
    <row r="19" spans="1:12" ht="25.85" x14ac:dyDescent="0.2">
      <c r="A19" s="8">
        <v>14</v>
      </c>
      <c r="B19" s="8" t="s">
        <v>47</v>
      </c>
      <c r="C19" s="8">
        <v>2</v>
      </c>
      <c r="D19" s="8">
        <v>5</v>
      </c>
      <c r="E19" s="8">
        <v>0.4</v>
      </c>
      <c r="F19" s="8">
        <v>19</v>
      </c>
      <c r="G19" s="8">
        <v>18</v>
      </c>
      <c r="H19" s="8">
        <v>1</v>
      </c>
      <c r="I19" s="8" t="s">
        <v>86</v>
      </c>
      <c r="J19" s="8" t="s">
        <v>130</v>
      </c>
      <c r="K19" s="8" t="s">
        <v>113</v>
      </c>
      <c r="L19" s="7"/>
    </row>
    <row r="20" spans="1:12" x14ac:dyDescent="0.2">
      <c r="A20" s="8">
        <v>15</v>
      </c>
      <c r="B20" s="8" t="s">
        <v>26</v>
      </c>
      <c r="C20" s="8">
        <v>2</v>
      </c>
      <c r="D20" s="8">
        <v>5</v>
      </c>
      <c r="E20" s="8">
        <v>0.4</v>
      </c>
      <c r="F20" s="8">
        <v>17</v>
      </c>
      <c r="G20" s="8">
        <v>17</v>
      </c>
      <c r="H20" s="8">
        <v>0</v>
      </c>
      <c r="I20" s="8" t="s">
        <v>86</v>
      </c>
      <c r="J20" s="8" t="s">
        <v>100</v>
      </c>
      <c r="K20" s="8" t="s">
        <v>113</v>
      </c>
      <c r="L20" s="7"/>
    </row>
    <row r="21" spans="1:12" ht="25.85" x14ac:dyDescent="0.2">
      <c r="A21" s="8">
        <v>16</v>
      </c>
      <c r="B21" s="8" t="s">
        <v>33</v>
      </c>
      <c r="C21" s="8">
        <v>2</v>
      </c>
      <c r="D21" s="8">
        <v>5</v>
      </c>
      <c r="E21" s="8">
        <v>0.4</v>
      </c>
      <c r="F21" s="8">
        <v>15</v>
      </c>
      <c r="G21" s="8">
        <v>20</v>
      </c>
      <c r="H21" s="8">
        <v>-5</v>
      </c>
      <c r="I21" s="8" t="s">
        <v>86</v>
      </c>
      <c r="J21" s="8" t="s">
        <v>108</v>
      </c>
      <c r="K21" s="8" t="s">
        <v>113</v>
      </c>
      <c r="L21" s="7"/>
    </row>
    <row r="22" spans="1:12" ht="25.85" x14ac:dyDescent="0.2">
      <c r="A22" s="8">
        <v>17</v>
      </c>
      <c r="B22" s="8" t="s">
        <v>28</v>
      </c>
      <c r="C22" s="8">
        <v>2</v>
      </c>
      <c r="D22" s="8">
        <v>5</v>
      </c>
      <c r="E22" s="8">
        <v>0.4</v>
      </c>
      <c r="F22" s="8">
        <v>15</v>
      </c>
      <c r="G22" s="8">
        <v>21</v>
      </c>
      <c r="H22" s="8">
        <v>-6</v>
      </c>
      <c r="I22" s="8" t="s">
        <v>86</v>
      </c>
      <c r="J22" s="8" t="s">
        <v>109</v>
      </c>
      <c r="K22" s="8" t="s">
        <v>113</v>
      </c>
      <c r="L22" s="7"/>
    </row>
    <row r="23" spans="1:12" ht="25.85" x14ac:dyDescent="0.2">
      <c r="A23" s="8">
        <v>18</v>
      </c>
      <c r="B23" s="8" t="s">
        <v>48</v>
      </c>
      <c r="C23" s="8">
        <v>1</v>
      </c>
      <c r="D23" s="8">
        <v>5</v>
      </c>
      <c r="E23" s="8">
        <v>0.2</v>
      </c>
      <c r="F23" s="8">
        <v>14</v>
      </c>
      <c r="G23" s="8">
        <v>23</v>
      </c>
      <c r="H23" s="8">
        <v>-9</v>
      </c>
      <c r="I23" s="8" t="s">
        <v>86</v>
      </c>
      <c r="J23" s="8" t="s">
        <v>130</v>
      </c>
      <c r="K23" s="8" t="s">
        <v>113</v>
      </c>
      <c r="L23" s="7"/>
    </row>
    <row r="24" spans="1:12" ht="38.75" x14ac:dyDescent="0.2">
      <c r="A24" s="8">
        <v>19</v>
      </c>
      <c r="B24" s="8" t="s">
        <v>27</v>
      </c>
      <c r="C24" s="8">
        <v>1</v>
      </c>
      <c r="D24" s="8">
        <v>5</v>
      </c>
      <c r="E24" s="8">
        <v>0.2</v>
      </c>
      <c r="F24" s="8">
        <v>12</v>
      </c>
      <c r="G24" s="8">
        <v>22</v>
      </c>
      <c r="H24" s="8">
        <v>-10</v>
      </c>
      <c r="I24" s="8" t="s">
        <v>86</v>
      </c>
      <c r="J24" s="8" t="s">
        <v>91</v>
      </c>
      <c r="K24" s="8" t="s">
        <v>113</v>
      </c>
      <c r="L24" s="7"/>
    </row>
    <row r="25" spans="1:12" ht="25.85" x14ac:dyDescent="0.2">
      <c r="A25" s="8">
        <v>20</v>
      </c>
      <c r="B25" s="8" t="s">
        <v>29</v>
      </c>
      <c r="C25" s="8">
        <v>1</v>
      </c>
      <c r="D25" s="8">
        <v>5</v>
      </c>
      <c r="E25" s="8">
        <v>0.2</v>
      </c>
      <c r="F25" s="8">
        <v>11</v>
      </c>
      <c r="G25" s="8">
        <v>22</v>
      </c>
      <c r="H25" s="8">
        <v>-11</v>
      </c>
      <c r="I25" s="8" t="s">
        <v>86</v>
      </c>
      <c r="J25" s="8" t="s">
        <v>99</v>
      </c>
      <c r="K25" s="8" t="s">
        <v>113</v>
      </c>
      <c r="L25" s="7"/>
    </row>
    <row r="26" spans="1:12" ht="25.85" x14ac:dyDescent="0.2">
      <c r="A26" s="8">
        <v>21</v>
      </c>
      <c r="B26" s="8" t="s">
        <v>40</v>
      </c>
      <c r="C26" s="8">
        <v>1</v>
      </c>
      <c r="D26" s="8">
        <v>5</v>
      </c>
      <c r="E26" s="8">
        <v>0.2</v>
      </c>
      <c r="F26" s="8">
        <v>9</v>
      </c>
      <c r="G26" s="8">
        <v>23</v>
      </c>
      <c r="H26" s="8">
        <v>-14</v>
      </c>
      <c r="I26" s="8" t="s">
        <v>86</v>
      </c>
      <c r="J26" s="8" t="s">
        <v>96</v>
      </c>
      <c r="K26" s="8" t="s">
        <v>113</v>
      </c>
      <c r="L26" s="7"/>
    </row>
    <row r="27" spans="1:12" ht="25.85" x14ac:dyDescent="0.2">
      <c r="A27" s="8">
        <v>22</v>
      </c>
      <c r="B27" t="s">
        <v>46</v>
      </c>
      <c r="C27" s="8">
        <v>0</v>
      </c>
      <c r="D27" s="8">
        <v>5</v>
      </c>
      <c r="E27" s="8">
        <v>0</v>
      </c>
      <c r="F27" s="8">
        <v>12</v>
      </c>
      <c r="G27" s="8">
        <v>25</v>
      </c>
      <c r="H27" s="8">
        <v>-13</v>
      </c>
      <c r="I27" s="8" t="s">
        <v>86</v>
      </c>
      <c r="J27" s="8" t="s">
        <v>128</v>
      </c>
      <c r="K27" s="8" t="s">
        <v>113</v>
      </c>
      <c r="L27" s="7"/>
    </row>
    <row r="28" spans="1:12" ht="25.85" x14ac:dyDescent="0.2">
      <c r="A28" s="8">
        <v>23</v>
      </c>
      <c r="B28" s="8" t="s">
        <v>57</v>
      </c>
      <c r="C28" s="8">
        <v>0</v>
      </c>
      <c r="D28" s="8">
        <v>5</v>
      </c>
      <c r="E28" s="8">
        <v>0</v>
      </c>
      <c r="F28" s="8">
        <v>7</v>
      </c>
      <c r="G28" s="8">
        <v>25</v>
      </c>
      <c r="H28" s="8">
        <v>-18</v>
      </c>
      <c r="I28" s="8" t="s">
        <v>86</v>
      </c>
      <c r="J28" s="8" t="s">
        <v>109</v>
      </c>
      <c r="K28" s="8" t="s">
        <v>113</v>
      </c>
      <c r="L28" s="7"/>
    </row>
    <row r="29" spans="1:12" x14ac:dyDescent="0.2">
      <c r="A29" s="8">
        <v>24</v>
      </c>
      <c r="B29" s="8" t="s">
        <v>51</v>
      </c>
      <c r="C29" s="8">
        <v>0</v>
      </c>
      <c r="D29" s="8">
        <v>5</v>
      </c>
      <c r="E29" s="8">
        <v>0</v>
      </c>
      <c r="F29" s="8">
        <v>6</v>
      </c>
      <c r="G29" s="8">
        <v>25</v>
      </c>
      <c r="H29" s="8">
        <v>-19</v>
      </c>
      <c r="I29" s="8" t="s">
        <v>86</v>
      </c>
      <c r="J29" s="8" t="s">
        <v>109</v>
      </c>
      <c r="K29" s="8" t="s">
        <v>113</v>
      </c>
      <c r="L29" s="7"/>
    </row>
    <row r="30" spans="1:12" x14ac:dyDescent="0.2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7"/>
    </row>
    <row r="31" spans="1:12" x14ac:dyDescent="0.2">
      <c r="A31" s="8"/>
      <c r="B31" s="8"/>
      <c r="C31" s="8"/>
      <c r="D31" s="8"/>
      <c r="E31" s="8"/>
      <c r="F31" s="8"/>
      <c r="G31" s="8"/>
      <c r="H31" s="8"/>
      <c r="I31" s="7"/>
      <c r="J31" s="7"/>
      <c r="K31" s="7"/>
      <c r="L31" s="7"/>
    </row>
    <row r="32" spans="1:12" x14ac:dyDescent="0.2">
      <c r="A32" s="8"/>
      <c r="B32" s="8"/>
      <c r="C32" s="8"/>
      <c r="D32" s="8"/>
      <c r="E32" s="8"/>
      <c r="F32" s="8"/>
      <c r="G32" s="8"/>
      <c r="H32" s="8"/>
      <c r="I32" s="7"/>
      <c r="J32" s="7"/>
      <c r="K32" s="7"/>
      <c r="L32" s="7"/>
    </row>
    <row r="33" spans="1:12" x14ac:dyDescent="0.2">
      <c r="A33" s="8"/>
      <c r="B33" s="8"/>
      <c r="C33" s="8"/>
      <c r="D33" s="8"/>
      <c r="E33" s="8"/>
      <c r="F33" s="8"/>
      <c r="G33" s="8"/>
      <c r="H33" s="8"/>
      <c r="I33" s="7"/>
      <c r="J33" s="7"/>
      <c r="K33" s="7"/>
      <c r="L33" s="7"/>
    </row>
    <row r="34" spans="1:12" x14ac:dyDescent="0.2">
      <c r="A34" s="8"/>
      <c r="B34" s="8"/>
      <c r="C34" s="8"/>
      <c r="D34" s="8"/>
      <c r="E34" s="8"/>
      <c r="F34" s="8"/>
      <c r="G34" s="8"/>
      <c r="H34" s="8"/>
      <c r="I34" s="7"/>
      <c r="J34" s="7"/>
      <c r="K34" s="7"/>
      <c r="L34" s="7"/>
    </row>
    <row r="35" spans="1:12" x14ac:dyDescent="0.2">
      <c r="A35" s="8"/>
      <c r="B35" s="8"/>
      <c r="C35" s="8"/>
      <c r="D35" s="8"/>
      <c r="E35" s="8"/>
      <c r="F35" s="8"/>
      <c r="G35" s="8"/>
      <c r="H35" s="8"/>
      <c r="I35" s="7"/>
      <c r="J35" s="7"/>
      <c r="K35" s="7"/>
      <c r="L35" s="7"/>
    </row>
    <row r="36" spans="1:12" x14ac:dyDescent="0.2">
      <c r="A36" s="8"/>
      <c r="B36" s="8"/>
      <c r="C36" s="8"/>
      <c r="D36" s="8"/>
      <c r="E36" s="8"/>
      <c r="F36" s="8"/>
      <c r="G36" s="8"/>
      <c r="H36" s="8"/>
      <c r="I36" s="7"/>
      <c r="J36" s="7"/>
      <c r="K36" s="7"/>
      <c r="L36" s="7"/>
    </row>
    <row r="37" spans="1:12" x14ac:dyDescent="0.2">
      <c r="A37" s="8"/>
      <c r="B37" s="8"/>
      <c r="C37" s="8"/>
      <c r="D37" s="8"/>
      <c r="E37" s="8"/>
      <c r="F37" s="8"/>
      <c r="G37" s="8"/>
      <c r="H37" s="8"/>
      <c r="I37" s="7"/>
      <c r="J37" s="7"/>
      <c r="K37" s="7"/>
      <c r="L37" s="7"/>
    </row>
    <row r="38" spans="1:12" x14ac:dyDescent="0.2">
      <c r="A38" s="8"/>
      <c r="B38" s="8"/>
      <c r="C38" s="8"/>
      <c r="D38" s="8"/>
      <c r="E38" s="8"/>
      <c r="F38" s="8"/>
      <c r="G38" s="8"/>
      <c r="H38" s="8"/>
      <c r="I38" s="7"/>
      <c r="J38" s="7"/>
      <c r="K38" s="7"/>
      <c r="L38" s="7"/>
    </row>
    <row r="39" spans="1:12" x14ac:dyDescent="0.2">
      <c r="A39" s="8"/>
      <c r="B39" s="8"/>
      <c r="C39" s="8"/>
      <c r="D39" s="8"/>
      <c r="E39" s="8"/>
      <c r="F39" s="8"/>
      <c r="G39" s="8"/>
      <c r="H39" s="8"/>
      <c r="I39" s="7"/>
      <c r="J39" s="7"/>
      <c r="K39" s="7"/>
      <c r="L39" s="7"/>
    </row>
    <row r="40" spans="1:12" x14ac:dyDescent="0.2">
      <c r="A40" s="8"/>
      <c r="B40" s="8"/>
      <c r="C40" s="8"/>
      <c r="D40" s="8"/>
      <c r="E40" s="8"/>
      <c r="F40" s="8"/>
      <c r="G40" s="8"/>
      <c r="H40" s="8"/>
      <c r="I40" s="7"/>
      <c r="J40" s="7"/>
      <c r="K40" s="7"/>
      <c r="L40" s="7"/>
    </row>
    <row r="41" spans="1:12" x14ac:dyDescent="0.2">
      <c r="A41" s="8"/>
      <c r="B41" s="8"/>
      <c r="C41" s="8"/>
      <c r="D41" s="8"/>
      <c r="E41" s="8"/>
      <c r="F41" s="8"/>
      <c r="G41" s="8"/>
      <c r="H41" s="8"/>
      <c r="I41" s="7"/>
      <c r="J41" s="7"/>
      <c r="K41" s="7"/>
      <c r="L41" s="7"/>
    </row>
    <row r="42" spans="1:12" x14ac:dyDescent="0.2">
      <c r="A42" s="8"/>
      <c r="B42" s="8"/>
      <c r="C42" s="8"/>
      <c r="D42" s="8"/>
      <c r="E42" s="8"/>
      <c r="F42" s="8"/>
      <c r="G42" s="8"/>
      <c r="H42" s="8"/>
      <c r="I42" s="7"/>
      <c r="J42" s="7"/>
      <c r="K42" s="7"/>
      <c r="L42" s="7"/>
    </row>
    <row r="43" spans="1:12" x14ac:dyDescent="0.2">
      <c r="A43" s="8"/>
      <c r="B43" s="8"/>
      <c r="C43" s="8"/>
      <c r="D43" s="8"/>
      <c r="E43" s="8"/>
      <c r="F43" s="8"/>
      <c r="G43" s="8"/>
      <c r="H43" s="8"/>
      <c r="I43" s="7"/>
      <c r="J43" s="7"/>
      <c r="K43" s="7"/>
      <c r="L43" s="7"/>
    </row>
    <row r="44" spans="1:12" x14ac:dyDescent="0.2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</row>
    <row r="45" spans="1:12" x14ac:dyDescent="0.2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</row>
    <row r="46" spans="1:12" x14ac:dyDescent="0.2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</row>
    <row r="47" spans="1:12" x14ac:dyDescent="0.2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</row>
    <row r="48" spans="1:12" x14ac:dyDescent="0.2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</row>
    <row r="49" spans="1:12" x14ac:dyDescent="0.2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</row>
    <row r="50" spans="1:12" x14ac:dyDescent="0.2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</row>
  </sheetData>
  <autoFilter ref="A5:L5" xr:uid="{00000000-0009-0000-0000-000006000000}">
    <sortState xmlns:xlrd2="http://schemas.microsoft.com/office/spreadsheetml/2017/richdata2" ref="A6:L50">
      <sortCondition descending="1" ref="E5"/>
    </sortState>
  </autoFilter>
  <mergeCells count="3">
    <mergeCell ref="A2:B2"/>
    <mergeCell ref="C2:L2"/>
    <mergeCell ref="C3:L3"/>
  </mergeCells>
  <hyperlinks>
    <hyperlink ref="C3" r:id="rId1" display="https://www.fencingtimelive.com/pools/results/AB30CCE99E7E4482BF9221473FF2C19E/81304AEB09354516A3303AC8B47CB3C6" xr:uid="{98461187-77BE-4435-9733-B8CD9A9F88CE}"/>
    <hyperlink ref="C3:L3" r:id="rId2" display="https://www,fencingtimelive,com/pools/results/AB30CCE99E7E4482BF9221473FF2C19E/81304AEB09354516A3303AC8B47CB3C6" xr:uid="{07C0FDA9-4789-4504-882A-094E8BF4F37E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2:L50"/>
  <sheetViews>
    <sheetView workbookViewId="0">
      <selection activeCell="B23" sqref="B23"/>
    </sheetView>
  </sheetViews>
  <sheetFormatPr defaultRowHeight="12.9" x14ac:dyDescent="0.2"/>
  <cols>
    <col min="1" max="1" width="5.75" style="6" bestFit="1" customWidth="1"/>
    <col min="2" max="2" width="18.875" style="6" customWidth="1"/>
    <col min="3" max="3" width="2.25" style="6" bestFit="1" customWidth="1"/>
    <col min="4" max="4" width="2.375" style="6" bestFit="1" customWidth="1"/>
    <col min="5" max="5" width="8.75" style="6" customWidth="1"/>
    <col min="6" max="6" width="3.25" style="6" bestFit="1" customWidth="1"/>
    <col min="7" max="7" width="3.375" style="6" bestFit="1" customWidth="1"/>
    <col min="8" max="8" width="3.75" style="6" bestFit="1" customWidth="1"/>
    <col min="9" max="9" width="11.25" style="6" customWidth="1"/>
    <col min="10" max="10" width="18.25" style="6" customWidth="1"/>
    <col min="11" max="11" width="7.875" style="6" bestFit="1" customWidth="1"/>
    <col min="12" max="12" width="8.125" style="6" bestFit="1" customWidth="1"/>
  </cols>
  <sheetData>
    <row r="2" spans="1:12" ht="13.6" x14ac:dyDescent="0.2">
      <c r="A2" s="66" t="s">
        <v>72</v>
      </c>
      <c r="B2" s="66"/>
      <c r="C2" s="67" t="s">
        <v>132</v>
      </c>
      <c r="D2" s="67"/>
      <c r="E2" s="67"/>
      <c r="F2" s="67"/>
      <c r="G2" s="67"/>
      <c r="H2" s="67"/>
      <c r="I2" s="67"/>
      <c r="J2" s="67"/>
      <c r="K2" s="67"/>
      <c r="L2" s="67"/>
    </row>
    <row r="3" spans="1:12" ht="13.1" customHeight="1" x14ac:dyDescent="0.2">
      <c r="C3" s="68" t="s">
        <v>133</v>
      </c>
      <c r="D3" s="68"/>
      <c r="E3" s="68"/>
      <c r="F3" s="68"/>
      <c r="G3" s="68"/>
      <c r="H3" s="68"/>
      <c r="I3" s="68"/>
      <c r="J3" s="68"/>
      <c r="K3" s="68"/>
      <c r="L3" s="68"/>
    </row>
    <row r="4" spans="1:12" ht="13.1" customHeight="1" x14ac:dyDescent="0.2">
      <c r="C4" s="10"/>
      <c r="D4" s="10"/>
      <c r="E4" s="10"/>
      <c r="F4" s="10"/>
      <c r="G4" s="10"/>
      <c r="H4" s="10"/>
      <c r="I4" s="10"/>
      <c r="J4" s="10"/>
      <c r="K4" s="10"/>
      <c r="L4" s="10"/>
    </row>
    <row r="5" spans="1:12" ht="14.3" x14ac:dyDescent="0.2">
      <c r="A5" s="11" t="s">
        <v>76</v>
      </c>
      <c r="B5" s="11" t="s">
        <v>77</v>
      </c>
      <c r="C5" s="11" t="s">
        <v>78</v>
      </c>
      <c r="D5" s="11" t="s">
        <v>79</v>
      </c>
      <c r="E5" s="11" t="s">
        <v>80</v>
      </c>
      <c r="F5" s="11" t="s">
        <v>3</v>
      </c>
      <c r="G5" s="11" t="s">
        <v>81</v>
      </c>
      <c r="H5" s="11" t="s">
        <v>4</v>
      </c>
      <c r="I5" s="11" t="s">
        <v>82</v>
      </c>
      <c r="J5" s="11" t="s">
        <v>83</v>
      </c>
      <c r="K5" s="11" t="s">
        <v>84</v>
      </c>
      <c r="L5" s="11" t="s">
        <v>85</v>
      </c>
    </row>
    <row r="6" spans="1:12" x14ac:dyDescent="0.2">
      <c r="A6" s="8">
        <v>1</v>
      </c>
      <c r="B6" s="5" t="s">
        <v>22</v>
      </c>
      <c r="C6" s="8">
        <v>5</v>
      </c>
      <c r="D6" s="8">
        <v>5</v>
      </c>
      <c r="E6" s="8">
        <v>1</v>
      </c>
      <c r="F6" s="8">
        <v>25</v>
      </c>
      <c r="G6" s="8">
        <v>9</v>
      </c>
      <c r="H6" s="8">
        <v>16</v>
      </c>
      <c r="I6" s="8" t="s">
        <v>86</v>
      </c>
      <c r="J6" s="8"/>
      <c r="K6" s="8"/>
      <c r="L6" s="8" t="s">
        <v>107</v>
      </c>
    </row>
    <row r="7" spans="1:12" x14ac:dyDescent="0.2">
      <c r="A7" s="8">
        <v>2</v>
      </c>
      <c r="B7" s="8" t="s">
        <v>19</v>
      </c>
      <c r="C7" s="8">
        <v>5</v>
      </c>
      <c r="D7" s="8">
        <v>5</v>
      </c>
      <c r="E7" s="8">
        <v>1</v>
      </c>
      <c r="F7" s="8">
        <v>25</v>
      </c>
      <c r="G7" s="8">
        <v>10</v>
      </c>
      <c r="H7" s="8">
        <v>15</v>
      </c>
      <c r="I7" s="8" t="s">
        <v>86</v>
      </c>
      <c r="J7" s="8" t="s">
        <v>90</v>
      </c>
      <c r="K7" s="8"/>
      <c r="L7" s="8" t="s">
        <v>107</v>
      </c>
    </row>
    <row r="8" spans="1:12" ht="25.85" x14ac:dyDescent="0.2">
      <c r="A8" s="8">
        <v>3</v>
      </c>
      <c r="B8" s="8" t="s">
        <v>16</v>
      </c>
      <c r="C8" s="8">
        <v>5</v>
      </c>
      <c r="D8" s="8">
        <v>6</v>
      </c>
      <c r="E8" s="8">
        <v>0.83</v>
      </c>
      <c r="F8" s="8">
        <v>29</v>
      </c>
      <c r="G8" s="8">
        <v>11</v>
      </c>
      <c r="H8" s="8">
        <v>18</v>
      </c>
      <c r="I8" s="8" t="s">
        <v>86</v>
      </c>
      <c r="J8" s="8" t="s">
        <v>128</v>
      </c>
      <c r="K8" s="8"/>
      <c r="L8" s="8" t="s">
        <v>107</v>
      </c>
    </row>
    <row r="9" spans="1:12" ht="25.85" x14ac:dyDescent="0.2">
      <c r="A9" s="8">
        <v>4</v>
      </c>
      <c r="B9" s="8" t="s">
        <v>44</v>
      </c>
      <c r="C9" s="8">
        <v>5</v>
      </c>
      <c r="D9" s="8">
        <v>6</v>
      </c>
      <c r="E9" s="8">
        <v>0.83</v>
      </c>
      <c r="F9" s="8">
        <v>29</v>
      </c>
      <c r="G9" s="8">
        <v>12</v>
      </c>
      <c r="H9" s="8">
        <v>17</v>
      </c>
      <c r="I9" s="8" t="s">
        <v>86</v>
      </c>
      <c r="J9" s="8" t="s">
        <v>134</v>
      </c>
      <c r="K9" s="8"/>
      <c r="L9" s="8" t="s">
        <v>107</v>
      </c>
    </row>
    <row r="10" spans="1:12" ht="25.85" x14ac:dyDescent="0.2">
      <c r="A10" s="8">
        <v>5</v>
      </c>
      <c r="B10" s="8" t="s">
        <v>20</v>
      </c>
      <c r="C10" s="8">
        <v>5</v>
      </c>
      <c r="D10" s="8">
        <v>6</v>
      </c>
      <c r="E10" s="8">
        <v>0.83</v>
      </c>
      <c r="F10" s="8">
        <v>29</v>
      </c>
      <c r="G10" s="8">
        <v>18</v>
      </c>
      <c r="H10" s="8">
        <v>11</v>
      </c>
      <c r="I10" s="8" t="s">
        <v>86</v>
      </c>
      <c r="J10" s="8" t="s">
        <v>117</v>
      </c>
      <c r="K10" s="8"/>
      <c r="L10" s="8" t="s">
        <v>107</v>
      </c>
    </row>
    <row r="11" spans="1:12" x14ac:dyDescent="0.2">
      <c r="A11" s="8">
        <v>6</v>
      </c>
      <c r="B11" s="8" t="s">
        <v>15</v>
      </c>
      <c r="C11" s="8">
        <v>3</v>
      </c>
      <c r="D11" s="8">
        <v>5</v>
      </c>
      <c r="E11" s="8">
        <v>0.6</v>
      </c>
      <c r="F11" s="8">
        <v>19</v>
      </c>
      <c r="G11" s="8">
        <v>11</v>
      </c>
      <c r="H11" s="8">
        <v>8</v>
      </c>
      <c r="I11" s="8" t="s">
        <v>86</v>
      </c>
      <c r="J11" s="8" t="s">
        <v>109</v>
      </c>
      <c r="K11" s="8"/>
      <c r="L11" s="8" t="s">
        <v>107</v>
      </c>
    </row>
    <row r="12" spans="1:12" x14ac:dyDescent="0.2">
      <c r="A12" s="8">
        <v>7</v>
      </c>
      <c r="B12" s="8" t="s">
        <v>25</v>
      </c>
      <c r="C12" s="8">
        <v>3</v>
      </c>
      <c r="D12" s="8">
        <v>5</v>
      </c>
      <c r="E12" s="8">
        <v>0.6</v>
      </c>
      <c r="F12" s="8">
        <v>22</v>
      </c>
      <c r="G12" s="8">
        <v>15</v>
      </c>
      <c r="H12" s="8">
        <v>7</v>
      </c>
      <c r="I12" s="8" t="s">
        <v>86</v>
      </c>
      <c r="J12" s="8" t="s">
        <v>95</v>
      </c>
      <c r="K12" s="8"/>
      <c r="L12" s="8" t="s">
        <v>107</v>
      </c>
    </row>
    <row r="13" spans="1:12" ht="38.75" x14ac:dyDescent="0.2">
      <c r="A13" s="8">
        <v>8</v>
      </c>
      <c r="B13" s="8" t="s">
        <v>18</v>
      </c>
      <c r="C13" s="8">
        <v>3</v>
      </c>
      <c r="D13" s="8">
        <v>5</v>
      </c>
      <c r="E13" s="8">
        <v>0.6</v>
      </c>
      <c r="F13" s="8">
        <v>19</v>
      </c>
      <c r="G13" s="8">
        <v>13</v>
      </c>
      <c r="H13" s="8">
        <v>6</v>
      </c>
      <c r="I13" s="8" t="s">
        <v>86</v>
      </c>
      <c r="J13" s="8" t="s">
        <v>91</v>
      </c>
      <c r="K13" s="8"/>
      <c r="L13" s="8" t="s">
        <v>107</v>
      </c>
    </row>
    <row r="14" spans="1:12" x14ac:dyDescent="0.2">
      <c r="A14" s="8">
        <v>9</v>
      </c>
      <c r="B14" s="8" t="s">
        <v>26</v>
      </c>
      <c r="C14" s="8">
        <v>3</v>
      </c>
      <c r="D14" s="8">
        <v>5</v>
      </c>
      <c r="E14" s="8">
        <v>0.6</v>
      </c>
      <c r="F14" s="8">
        <v>22</v>
      </c>
      <c r="G14" s="8">
        <v>17</v>
      </c>
      <c r="H14" s="8">
        <v>5</v>
      </c>
      <c r="I14" s="8" t="s">
        <v>86</v>
      </c>
      <c r="J14" s="8" t="s">
        <v>100</v>
      </c>
      <c r="K14" s="8"/>
      <c r="L14" s="8" t="s">
        <v>107</v>
      </c>
    </row>
    <row r="15" spans="1:12" x14ac:dyDescent="0.2">
      <c r="A15" s="8">
        <v>10</v>
      </c>
      <c r="B15" s="8" t="s">
        <v>23</v>
      </c>
      <c r="C15" s="8">
        <v>3</v>
      </c>
      <c r="D15" s="8">
        <v>5</v>
      </c>
      <c r="E15" s="8">
        <v>0.6</v>
      </c>
      <c r="F15" s="8">
        <v>17</v>
      </c>
      <c r="G15" s="8">
        <v>14</v>
      </c>
      <c r="H15" s="8">
        <v>3</v>
      </c>
      <c r="I15" s="8" t="s">
        <v>86</v>
      </c>
      <c r="J15" s="8" t="s">
        <v>100</v>
      </c>
      <c r="K15" s="8"/>
      <c r="L15" s="8" t="s">
        <v>107</v>
      </c>
    </row>
    <row r="16" spans="1:12" ht="25.85" x14ac:dyDescent="0.2">
      <c r="A16" s="8">
        <v>11</v>
      </c>
      <c r="B16" s="8" t="s">
        <v>28</v>
      </c>
      <c r="C16" s="8">
        <v>3</v>
      </c>
      <c r="D16" s="8">
        <v>6</v>
      </c>
      <c r="E16" s="8">
        <v>0.5</v>
      </c>
      <c r="F16" s="8">
        <v>20</v>
      </c>
      <c r="G16" s="8">
        <v>21</v>
      </c>
      <c r="H16" s="8">
        <v>-1</v>
      </c>
      <c r="I16" s="8" t="s">
        <v>86</v>
      </c>
      <c r="J16" s="8" t="s">
        <v>109</v>
      </c>
      <c r="K16" s="8"/>
      <c r="L16" s="8" t="s">
        <v>107</v>
      </c>
    </row>
    <row r="17" spans="1:12" ht="25.85" x14ac:dyDescent="0.2">
      <c r="A17" s="8">
        <v>12</v>
      </c>
      <c r="B17" s="8" t="s">
        <v>24</v>
      </c>
      <c r="C17" s="8">
        <v>2</v>
      </c>
      <c r="D17" s="8">
        <v>5</v>
      </c>
      <c r="E17" s="8">
        <v>0.4</v>
      </c>
      <c r="F17" s="8">
        <v>15</v>
      </c>
      <c r="G17" s="8">
        <v>20</v>
      </c>
      <c r="H17" s="8">
        <v>-5</v>
      </c>
      <c r="I17" s="8" t="s">
        <v>86</v>
      </c>
      <c r="J17" s="8" t="s">
        <v>116</v>
      </c>
      <c r="K17" s="8"/>
      <c r="L17" s="8" t="s">
        <v>107</v>
      </c>
    </row>
    <row r="18" spans="1:12" ht="25.85" x14ac:dyDescent="0.2">
      <c r="A18" s="8">
        <v>13</v>
      </c>
      <c r="B18" s="8" t="s">
        <v>21</v>
      </c>
      <c r="C18" s="8">
        <v>2</v>
      </c>
      <c r="D18" s="8">
        <v>5</v>
      </c>
      <c r="E18" s="8">
        <v>0.4</v>
      </c>
      <c r="F18" s="8">
        <v>13</v>
      </c>
      <c r="G18" s="8">
        <v>18</v>
      </c>
      <c r="H18" s="8">
        <v>-5</v>
      </c>
      <c r="I18" s="8" t="s">
        <v>86</v>
      </c>
      <c r="J18" s="8" t="s">
        <v>128</v>
      </c>
      <c r="K18" s="8"/>
      <c r="L18" s="8" t="s">
        <v>107</v>
      </c>
    </row>
    <row r="19" spans="1:12" x14ac:dyDescent="0.2">
      <c r="A19" s="8">
        <v>14</v>
      </c>
      <c r="B19" s="8" t="s">
        <v>49</v>
      </c>
      <c r="C19" s="8">
        <v>2</v>
      </c>
      <c r="D19" s="8">
        <v>6</v>
      </c>
      <c r="E19" s="8">
        <v>0.33</v>
      </c>
      <c r="F19" s="8">
        <v>14</v>
      </c>
      <c r="G19" s="8">
        <v>27</v>
      </c>
      <c r="H19" s="8">
        <v>-13</v>
      </c>
      <c r="I19" s="8" t="s">
        <v>86</v>
      </c>
      <c r="J19" s="8" t="s">
        <v>95</v>
      </c>
      <c r="K19" s="8"/>
      <c r="L19" s="8" t="s">
        <v>107</v>
      </c>
    </row>
    <row r="20" spans="1:12" ht="25.85" x14ac:dyDescent="0.2">
      <c r="A20" s="8">
        <v>15</v>
      </c>
      <c r="B20" s="8" t="s">
        <v>40</v>
      </c>
      <c r="C20" s="8">
        <v>1</v>
      </c>
      <c r="D20" s="8">
        <v>5</v>
      </c>
      <c r="E20" s="8">
        <v>0.2</v>
      </c>
      <c r="F20" s="8">
        <v>10</v>
      </c>
      <c r="G20" s="8">
        <v>20</v>
      </c>
      <c r="H20" s="8">
        <v>-10</v>
      </c>
      <c r="I20" s="8" t="s">
        <v>86</v>
      </c>
      <c r="J20" s="8" t="s">
        <v>96</v>
      </c>
      <c r="K20" s="8"/>
      <c r="L20" s="8" t="s">
        <v>107</v>
      </c>
    </row>
    <row r="21" spans="1:12" x14ac:dyDescent="0.2">
      <c r="A21" s="8">
        <v>16</v>
      </c>
      <c r="B21" s="8" t="s">
        <v>32</v>
      </c>
      <c r="C21" s="8">
        <v>1</v>
      </c>
      <c r="D21" s="8">
        <v>6</v>
      </c>
      <c r="E21" s="8">
        <v>0.17</v>
      </c>
      <c r="F21" s="8">
        <v>13</v>
      </c>
      <c r="G21" s="8">
        <v>28</v>
      </c>
      <c r="H21" s="8">
        <v>-15</v>
      </c>
      <c r="I21" s="8" t="s">
        <v>86</v>
      </c>
      <c r="J21" s="8" t="s">
        <v>90</v>
      </c>
      <c r="K21" s="8"/>
      <c r="L21" s="8" t="s">
        <v>107</v>
      </c>
    </row>
    <row r="22" spans="1:12" ht="25.85" x14ac:dyDescent="0.2">
      <c r="A22" s="8">
        <v>17</v>
      </c>
      <c r="B22" s="8" t="s">
        <v>54</v>
      </c>
      <c r="C22" s="8">
        <v>0</v>
      </c>
      <c r="D22" s="8">
        <v>6</v>
      </c>
      <c r="E22" s="8">
        <v>0</v>
      </c>
      <c r="F22" s="8">
        <v>13</v>
      </c>
      <c r="G22" s="8">
        <v>30</v>
      </c>
      <c r="H22" s="8">
        <v>-17</v>
      </c>
      <c r="I22" s="8" t="s">
        <v>86</v>
      </c>
      <c r="J22" s="8" t="s">
        <v>109</v>
      </c>
      <c r="K22" s="8"/>
      <c r="L22" s="8" t="s">
        <v>107</v>
      </c>
    </row>
    <row r="23" spans="1:12" ht="25.85" x14ac:dyDescent="0.2">
      <c r="A23" s="8">
        <v>18</v>
      </c>
      <c r="B23" s="8" t="s">
        <v>29</v>
      </c>
      <c r="C23" s="8">
        <v>0</v>
      </c>
      <c r="D23" s="8">
        <v>5</v>
      </c>
      <c r="E23" s="8">
        <v>0</v>
      </c>
      <c r="F23" s="8">
        <v>8</v>
      </c>
      <c r="G23" s="8">
        <v>25</v>
      </c>
      <c r="H23" s="8">
        <v>-17</v>
      </c>
      <c r="I23" s="8" t="s">
        <v>86</v>
      </c>
      <c r="J23" s="8" t="s">
        <v>99</v>
      </c>
      <c r="K23" s="8"/>
      <c r="L23" s="8" t="s">
        <v>107</v>
      </c>
    </row>
    <row r="24" spans="1:12" x14ac:dyDescent="0.2">
      <c r="A24" s="8">
        <v>19</v>
      </c>
      <c r="B24" s="8" t="s">
        <v>51</v>
      </c>
      <c r="C24" s="8">
        <v>0</v>
      </c>
      <c r="D24" s="8">
        <v>5</v>
      </c>
      <c r="E24" s="8">
        <v>0</v>
      </c>
      <c r="F24" s="8">
        <v>2</v>
      </c>
      <c r="G24" s="8">
        <v>25</v>
      </c>
      <c r="H24" s="8">
        <v>-23</v>
      </c>
      <c r="I24" s="8" t="s">
        <v>86</v>
      </c>
      <c r="J24" s="8" t="s">
        <v>109</v>
      </c>
      <c r="K24" s="8"/>
      <c r="L24" s="8" t="s">
        <v>107</v>
      </c>
    </row>
    <row r="25" spans="1:12" x14ac:dyDescent="0.2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</row>
    <row r="26" spans="1:12" x14ac:dyDescent="0.2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</row>
    <row r="27" spans="1:12" x14ac:dyDescent="0.2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</row>
    <row r="28" spans="1:12" x14ac:dyDescent="0.2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</row>
    <row r="29" spans="1:12" x14ac:dyDescent="0.2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</row>
    <row r="30" spans="1:12" x14ac:dyDescent="0.2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</row>
    <row r="31" spans="1:12" x14ac:dyDescent="0.2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</row>
    <row r="32" spans="1:12" x14ac:dyDescent="0.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</row>
    <row r="33" spans="1:12" x14ac:dyDescent="0.2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</row>
    <row r="34" spans="1:12" x14ac:dyDescent="0.2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</row>
    <row r="35" spans="1:12" x14ac:dyDescent="0.2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</row>
    <row r="36" spans="1:12" x14ac:dyDescent="0.2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</row>
    <row r="37" spans="1:12" x14ac:dyDescent="0.2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</row>
    <row r="38" spans="1:12" x14ac:dyDescent="0.2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</row>
    <row r="39" spans="1:12" x14ac:dyDescent="0.2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</row>
    <row r="40" spans="1:12" x14ac:dyDescent="0.2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</row>
    <row r="41" spans="1:12" x14ac:dyDescent="0.2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</row>
    <row r="42" spans="1:12" x14ac:dyDescent="0.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</row>
    <row r="43" spans="1:12" x14ac:dyDescent="0.2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</row>
    <row r="44" spans="1:12" x14ac:dyDescent="0.2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</row>
    <row r="45" spans="1:12" x14ac:dyDescent="0.2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</row>
    <row r="46" spans="1:12" x14ac:dyDescent="0.2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</row>
    <row r="47" spans="1:12" x14ac:dyDescent="0.2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</row>
    <row r="48" spans="1:12" x14ac:dyDescent="0.2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</row>
    <row r="49" spans="1:12" x14ac:dyDescent="0.2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</row>
    <row r="50" spans="1:12" x14ac:dyDescent="0.2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</row>
  </sheetData>
  <autoFilter ref="A5:L50" xr:uid="{00000000-0009-0000-0000-000007000000}">
    <sortState xmlns:xlrd2="http://schemas.microsoft.com/office/spreadsheetml/2017/richdata2" ref="A6:L50">
      <sortCondition ref="A5"/>
    </sortState>
  </autoFilter>
  <mergeCells count="3">
    <mergeCell ref="A2:B2"/>
    <mergeCell ref="C2:L2"/>
    <mergeCell ref="C3:L3"/>
  </mergeCells>
  <hyperlinks>
    <hyperlink ref="C3:L3" r:id="rId1" display="https://www.fencingtimelive.com/pools/results/419891F1DFC14B3B8739FD07976712E7/0CE3AE06B63D4CBA97E49DAD8B206BDA" xr:uid="{397E197D-3027-40E4-B928-C8B96D9E0C16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2:L50"/>
  <sheetViews>
    <sheetView workbookViewId="0">
      <selection activeCell="O23" sqref="O23"/>
    </sheetView>
  </sheetViews>
  <sheetFormatPr defaultRowHeight="12.9" x14ac:dyDescent="0.2"/>
  <cols>
    <col min="1" max="1" width="5.75" style="6" bestFit="1" customWidth="1"/>
    <col min="2" max="2" width="18.875" style="6" customWidth="1"/>
    <col min="3" max="3" width="2.25" style="6" bestFit="1" customWidth="1"/>
    <col min="4" max="4" width="2.375" style="6" bestFit="1" customWidth="1"/>
    <col min="5" max="5" width="8.75" style="6" customWidth="1"/>
    <col min="6" max="6" width="3.25" style="6" bestFit="1" customWidth="1"/>
    <col min="7" max="7" width="3.375" style="6" bestFit="1" customWidth="1"/>
    <col min="8" max="8" width="3.75" style="6" bestFit="1" customWidth="1"/>
    <col min="9" max="9" width="11.25" style="6" customWidth="1"/>
    <col min="10" max="10" width="18.25" style="6" customWidth="1"/>
    <col min="11" max="11" width="7.875" style="6" bestFit="1" customWidth="1"/>
    <col min="12" max="12" width="8.125" style="6" bestFit="1" customWidth="1"/>
  </cols>
  <sheetData>
    <row r="2" spans="1:12" ht="13.6" x14ac:dyDescent="0.2">
      <c r="A2" s="66" t="s">
        <v>72</v>
      </c>
      <c r="B2" s="66"/>
      <c r="C2" s="67" t="s">
        <v>135</v>
      </c>
      <c r="D2" s="67"/>
      <c r="E2" s="67"/>
      <c r="F2" s="67"/>
      <c r="G2" s="67"/>
      <c r="H2" s="67"/>
      <c r="I2" s="67"/>
      <c r="J2" s="67"/>
      <c r="K2" s="67"/>
      <c r="L2" s="67"/>
    </row>
    <row r="3" spans="1:12" ht="13.1" customHeight="1" x14ac:dyDescent="0.2">
      <c r="C3" s="68" t="s">
        <v>136</v>
      </c>
      <c r="D3" s="68"/>
      <c r="E3" s="68"/>
      <c r="F3" s="68"/>
      <c r="G3" s="68"/>
      <c r="H3" s="68"/>
      <c r="I3" s="68"/>
      <c r="J3" s="68"/>
      <c r="K3" s="68"/>
      <c r="L3" s="68"/>
    </row>
    <row r="4" spans="1:12" ht="13.1" customHeight="1" x14ac:dyDescent="0.2">
      <c r="C4" s="10"/>
      <c r="D4" s="10"/>
      <c r="E4" s="10"/>
      <c r="F4" s="10"/>
      <c r="G4" s="10"/>
      <c r="H4" s="10"/>
      <c r="I4" s="10"/>
      <c r="J4" s="10"/>
      <c r="K4" s="10"/>
      <c r="L4" s="10"/>
    </row>
    <row r="5" spans="1:12" ht="14.3" x14ac:dyDescent="0.2">
      <c r="A5" s="11" t="s">
        <v>76</v>
      </c>
      <c r="B5" s="11" t="s">
        <v>77</v>
      </c>
      <c r="C5" s="11" t="s">
        <v>78</v>
      </c>
      <c r="D5" s="11" t="s">
        <v>79</v>
      </c>
      <c r="E5" s="11" t="s">
        <v>80</v>
      </c>
      <c r="F5" s="11" t="s">
        <v>3</v>
      </c>
      <c r="G5" s="11" t="s">
        <v>81</v>
      </c>
      <c r="H5" s="11" t="s">
        <v>4</v>
      </c>
      <c r="I5" s="11" t="s">
        <v>82</v>
      </c>
      <c r="J5" s="11" t="s">
        <v>83</v>
      </c>
      <c r="K5" s="11" t="s">
        <v>84</v>
      </c>
      <c r="L5" s="11" t="s">
        <v>85</v>
      </c>
    </row>
    <row r="6" spans="1:12" x14ac:dyDescent="0.2">
      <c r="A6" s="8">
        <v>1</v>
      </c>
      <c r="B6" s="8" t="s">
        <v>15</v>
      </c>
      <c r="C6" s="8">
        <v>6</v>
      </c>
      <c r="D6" s="8">
        <v>6</v>
      </c>
      <c r="E6" s="8" t="s">
        <v>137</v>
      </c>
      <c r="F6" s="8">
        <v>30</v>
      </c>
      <c r="G6" s="8">
        <v>12</v>
      </c>
      <c r="H6" s="8">
        <v>18</v>
      </c>
      <c r="I6" s="8" t="s">
        <v>86</v>
      </c>
      <c r="J6" s="8" t="s">
        <v>109</v>
      </c>
      <c r="K6" s="8" t="s">
        <v>138</v>
      </c>
      <c r="L6" s="8" t="s">
        <v>113</v>
      </c>
    </row>
    <row r="7" spans="1:12" ht="25.85" x14ac:dyDescent="0.2">
      <c r="A7" s="8">
        <v>2</v>
      </c>
      <c r="B7" s="8" t="s">
        <v>44</v>
      </c>
      <c r="C7" s="8">
        <v>5</v>
      </c>
      <c r="D7" s="8">
        <v>5</v>
      </c>
      <c r="E7" s="8" t="s">
        <v>137</v>
      </c>
      <c r="F7" s="8">
        <v>25</v>
      </c>
      <c r="G7" s="8">
        <v>10</v>
      </c>
      <c r="H7" s="8">
        <v>15</v>
      </c>
      <c r="I7" s="8" t="s">
        <v>86</v>
      </c>
      <c r="J7" s="8" t="s">
        <v>134</v>
      </c>
      <c r="K7" s="8" t="s">
        <v>138</v>
      </c>
      <c r="L7" s="8" t="s">
        <v>113</v>
      </c>
    </row>
    <row r="8" spans="1:12" ht="25.85" x14ac:dyDescent="0.2">
      <c r="A8" s="8">
        <v>3</v>
      </c>
      <c r="B8" s="8" t="s">
        <v>21</v>
      </c>
      <c r="C8" s="8">
        <v>5</v>
      </c>
      <c r="D8" s="8">
        <v>6</v>
      </c>
      <c r="E8" s="8" t="s">
        <v>139</v>
      </c>
      <c r="F8" s="8">
        <v>25</v>
      </c>
      <c r="G8" s="8">
        <v>14</v>
      </c>
      <c r="H8" s="8">
        <v>11</v>
      </c>
      <c r="I8" s="8" t="s">
        <v>86</v>
      </c>
      <c r="J8" s="8" t="s">
        <v>128</v>
      </c>
      <c r="K8" s="8" t="s">
        <v>138</v>
      </c>
      <c r="L8" s="8" t="s">
        <v>113</v>
      </c>
    </row>
    <row r="9" spans="1:12" ht="25.85" x14ac:dyDescent="0.2">
      <c r="A9" s="8">
        <v>4</v>
      </c>
      <c r="B9" s="8" t="s">
        <v>16</v>
      </c>
      <c r="C9" s="8">
        <v>4</v>
      </c>
      <c r="D9" s="8">
        <v>5</v>
      </c>
      <c r="E9" s="8" t="s">
        <v>140</v>
      </c>
      <c r="F9" s="8">
        <v>23</v>
      </c>
      <c r="G9" s="8">
        <v>8</v>
      </c>
      <c r="H9" s="8">
        <v>15</v>
      </c>
      <c r="I9" s="8" t="s">
        <v>86</v>
      </c>
      <c r="J9" s="8" t="s">
        <v>128</v>
      </c>
      <c r="K9" s="8" t="s">
        <v>138</v>
      </c>
      <c r="L9" s="8" t="s">
        <v>113</v>
      </c>
    </row>
    <row r="10" spans="1:12" x14ac:dyDescent="0.2">
      <c r="A10" s="8">
        <v>5</v>
      </c>
      <c r="B10" s="8" t="s">
        <v>19</v>
      </c>
      <c r="C10" s="8">
        <v>4</v>
      </c>
      <c r="D10" s="8">
        <v>5</v>
      </c>
      <c r="E10" s="8" t="s">
        <v>140</v>
      </c>
      <c r="F10" s="8">
        <v>22</v>
      </c>
      <c r="G10" s="8">
        <v>12</v>
      </c>
      <c r="H10" s="8">
        <v>10</v>
      </c>
      <c r="I10" s="8" t="s">
        <v>86</v>
      </c>
      <c r="J10" s="8" t="s">
        <v>90</v>
      </c>
      <c r="K10" s="8" t="s">
        <v>138</v>
      </c>
      <c r="L10" s="8" t="s">
        <v>113</v>
      </c>
    </row>
    <row r="11" spans="1:12" ht="38.75" x14ac:dyDescent="0.2">
      <c r="A11" s="8">
        <v>6</v>
      </c>
      <c r="B11" s="8" t="s">
        <v>18</v>
      </c>
      <c r="C11" s="8">
        <v>4</v>
      </c>
      <c r="D11" s="8">
        <v>5</v>
      </c>
      <c r="E11" s="8" t="s">
        <v>140</v>
      </c>
      <c r="F11" s="8">
        <v>23</v>
      </c>
      <c r="G11" s="8">
        <v>16</v>
      </c>
      <c r="H11" s="8">
        <v>7</v>
      </c>
      <c r="I11" s="8" t="s">
        <v>86</v>
      </c>
      <c r="J11" s="8" t="s">
        <v>91</v>
      </c>
      <c r="K11" s="8" t="s">
        <v>138</v>
      </c>
      <c r="L11" s="8" t="s">
        <v>113</v>
      </c>
    </row>
    <row r="12" spans="1:12" x14ac:dyDescent="0.2">
      <c r="A12" s="8">
        <v>7</v>
      </c>
      <c r="B12" s="8" t="s">
        <v>25</v>
      </c>
      <c r="C12" s="8">
        <v>4</v>
      </c>
      <c r="D12" s="8">
        <v>6</v>
      </c>
      <c r="E12" s="8" t="s">
        <v>141</v>
      </c>
      <c r="F12" s="8">
        <v>25</v>
      </c>
      <c r="G12" s="8">
        <v>17</v>
      </c>
      <c r="H12" s="8">
        <v>8</v>
      </c>
      <c r="I12" s="8" t="s">
        <v>86</v>
      </c>
      <c r="J12" s="8" t="s">
        <v>95</v>
      </c>
      <c r="K12" s="8" t="s">
        <v>138</v>
      </c>
      <c r="L12" s="8" t="s">
        <v>113</v>
      </c>
    </row>
    <row r="13" spans="1:12" ht="25.85" x14ac:dyDescent="0.2">
      <c r="A13" s="8">
        <v>8</v>
      </c>
      <c r="B13" s="8" t="s">
        <v>20</v>
      </c>
      <c r="C13" s="8">
        <v>3</v>
      </c>
      <c r="D13" s="8">
        <v>5</v>
      </c>
      <c r="E13" s="8" t="s">
        <v>142</v>
      </c>
      <c r="F13" s="8">
        <v>20</v>
      </c>
      <c r="G13" s="8">
        <v>14</v>
      </c>
      <c r="H13" s="8">
        <v>6</v>
      </c>
      <c r="I13" s="8" t="s">
        <v>86</v>
      </c>
      <c r="J13" s="8" t="s">
        <v>117</v>
      </c>
      <c r="K13" s="8" t="s">
        <v>138</v>
      </c>
      <c r="L13" s="8" t="s">
        <v>113</v>
      </c>
    </row>
    <row r="14" spans="1:12" x14ac:dyDescent="0.2">
      <c r="A14" s="8">
        <v>9</v>
      </c>
      <c r="B14" s="8" t="s">
        <v>26</v>
      </c>
      <c r="C14" s="8">
        <v>3</v>
      </c>
      <c r="D14" s="8">
        <v>5</v>
      </c>
      <c r="E14" s="8" t="s">
        <v>142</v>
      </c>
      <c r="F14" s="8">
        <v>19</v>
      </c>
      <c r="G14" s="8">
        <v>13</v>
      </c>
      <c r="H14" s="8">
        <v>6</v>
      </c>
      <c r="I14" s="8" t="s">
        <v>86</v>
      </c>
      <c r="J14" s="8" t="s">
        <v>100</v>
      </c>
      <c r="K14" s="8" t="s">
        <v>138</v>
      </c>
      <c r="L14" s="8" t="s">
        <v>113</v>
      </c>
    </row>
    <row r="15" spans="1:12" x14ac:dyDescent="0.2">
      <c r="A15" s="8">
        <v>10</v>
      </c>
      <c r="B15" s="5" t="s">
        <v>22</v>
      </c>
      <c r="C15" s="8">
        <v>3</v>
      </c>
      <c r="D15" s="8">
        <v>6</v>
      </c>
      <c r="E15" s="8" t="s">
        <v>143</v>
      </c>
      <c r="F15" s="8">
        <v>23</v>
      </c>
      <c r="G15" s="8">
        <v>21</v>
      </c>
      <c r="H15" s="8">
        <v>2</v>
      </c>
      <c r="I15" s="8" t="s">
        <v>86</v>
      </c>
      <c r="J15" s="8" t="s">
        <v>138</v>
      </c>
      <c r="K15" s="8" t="s">
        <v>138</v>
      </c>
      <c r="L15" s="8" t="s">
        <v>113</v>
      </c>
    </row>
    <row r="16" spans="1:12" x14ac:dyDescent="0.2">
      <c r="A16" s="8">
        <v>11</v>
      </c>
      <c r="B16" s="8" t="s">
        <v>23</v>
      </c>
      <c r="C16" s="8">
        <v>2</v>
      </c>
      <c r="D16" s="8">
        <v>5</v>
      </c>
      <c r="E16" s="8" t="s">
        <v>144</v>
      </c>
      <c r="F16" s="8">
        <v>18</v>
      </c>
      <c r="G16" s="8">
        <v>18</v>
      </c>
      <c r="H16" s="8">
        <v>0</v>
      </c>
      <c r="I16" s="8" t="s">
        <v>86</v>
      </c>
      <c r="J16" s="8" t="s">
        <v>100</v>
      </c>
      <c r="K16" s="8" t="s">
        <v>138</v>
      </c>
      <c r="L16" s="8" t="s">
        <v>113</v>
      </c>
    </row>
    <row r="17" spans="1:12" x14ac:dyDescent="0.2">
      <c r="A17" s="8">
        <v>12</v>
      </c>
      <c r="B17" s="8" t="s">
        <v>49</v>
      </c>
      <c r="C17" s="8">
        <v>2</v>
      </c>
      <c r="D17" s="8">
        <v>5</v>
      </c>
      <c r="E17" s="8" t="s">
        <v>144</v>
      </c>
      <c r="F17" s="8">
        <v>18</v>
      </c>
      <c r="G17" s="8">
        <v>20</v>
      </c>
      <c r="H17" s="8">
        <v>-2</v>
      </c>
      <c r="I17" s="8" t="s">
        <v>86</v>
      </c>
      <c r="J17" s="8" t="s">
        <v>95</v>
      </c>
      <c r="K17" s="8" t="s">
        <v>138</v>
      </c>
      <c r="L17" s="8" t="s">
        <v>113</v>
      </c>
    </row>
    <row r="18" spans="1:12" x14ac:dyDescent="0.2">
      <c r="A18" s="8">
        <v>13</v>
      </c>
      <c r="B18" s="8" t="s">
        <v>32</v>
      </c>
      <c r="C18" s="8">
        <v>2</v>
      </c>
      <c r="D18" s="8">
        <v>5</v>
      </c>
      <c r="E18" s="8" t="s">
        <v>144</v>
      </c>
      <c r="F18" s="8">
        <v>14</v>
      </c>
      <c r="G18" s="8">
        <v>18</v>
      </c>
      <c r="H18" s="8">
        <v>-4</v>
      </c>
      <c r="I18" s="8" t="s">
        <v>86</v>
      </c>
      <c r="J18" s="8" t="s">
        <v>90</v>
      </c>
      <c r="K18" s="8" t="s">
        <v>138</v>
      </c>
      <c r="L18" s="8" t="s">
        <v>113</v>
      </c>
    </row>
    <row r="19" spans="1:12" ht="25.85" x14ac:dyDescent="0.2">
      <c r="A19" s="8">
        <v>14</v>
      </c>
      <c r="B19" s="8" t="s">
        <v>24</v>
      </c>
      <c r="C19" s="8">
        <v>2</v>
      </c>
      <c r="D19" s="8">
        <v>6</v>
      </c>
      <c r="E19" s="8" t="s">
        <v>145</v>
      </c>
      <c r="F19" s="8">
        <v>21</v>
      </c>
      <c r="G19" s="8">
        <v>20</v>
      </c>
      <c r="H19" s="8">
        <v>1</v>
      </c>
      <c r="I19" s="8" t="s">
        <v>86</v>
      </c>
      <c r="J19" s="8" t="s">
        <v>116</v>
      </c>
      <c r="K19" s="8" t="s">
        <v>138</v>
      </c>
      <c r="L19" s="8" t="s">
        <v>113</v>
      </c>
    </row>
    <row r="20" spans="1:12" ht="25.85" x14ac:dyDescent="0.2">
      <c r="A20" s="8">
        <v>15</v>
      </c>
      <c r="B20" s="8" t="s">
        <v>28</v>
      </c>
      <c r="C20" s="8">
        <v>1</v>
      </c>
      <c r="D20" s="8">
        <v>5</v>
      </c>
      <c r="E20" s="8" t="s">
        <v>146</v>
      </c>
      <c r="F20" s="8">
        <v>7</v>
      </c>
      <c r="G20" s="8">
        <v>21</v>
      </c>
      <c r="H20" s="8">
        <v>-14</v>
      </c>
      <c r="I20" s="8" t="s">
        <v>86</v>
      </c>
      <c r="J20" s="8" t="s">
        <v>109</v>
      </c>
      <c r="K20" s="8" t="s">
        <v>138</v>
      </c>
      <c r="L20" s="8" t="s">
        <v>113</v>
      </c>
    </row>
    <row r="21" spans="1:12" ht="25.85" x14ac:dyDescent="0.2">
      <c r="A21" s="8">
        <v>16</v>
      </c>
      <c r="B21" s="8" t="s">
        <v>29</v>
      </c>
      <c r="C21" s="8">
        <v>1</v>
      </c>
      <c r="D21" s="8">
        <v>6</v>
      </c>
      <c r="E21" s="8" t="s">
        <v>147</v>
      </c>
      <c r="F21" s="8">
        <v>11</v>
      </c>
      <c r="G21" s="8">
        <v>25</v>
      </c>
      <c r="H21" s="8">
        <v>-14</v>
      </c>
      <c r="I21" s="8" t="s">
        <v>86</v>
      </c>
      <c r="J21" t="s">
        <v>99</v>
      </c>
      <c r="K21" t="s">
        <v>138</v>
      </c>
      <c r="L21" s="8" t="s">
        <v>113</v>
      </c>
    </row>
    <row r="22" spans="1:12" ht="25.85" x14ac:dyDescent="0.2">
      <c r="A22" s="8">
        <v>17</v>
      </c>
      <c r="B22" s="8" t="s">
        <v>40</v>
      </c>
      <c r="C22" s="8">
        <v>0</v>
      </c>
      <c r="D22" s="8">
        <v>5</v>
      </c>
      <c r="E22" s="8" t="s">
        <v>148</v>
      </c>
      <c r="F22" s="8">
        <v>7</v>
      </c>
      <c r="G22" s="8">
        <v>25</v>
      </c>
      <c r="H22" s="8">
        <v>-18</v>
      </c>
      <c r="I22" s="8" t="s">
        <v>86</v>
      </c>
      <c r="J22" s="8" t="s">
        <v>96</v>
      </c>
      <c r="K22" s="8" t="s">
        <v>138</v>
      </c>
      <c r="L22" s="8" t="s">
        <v>113</v>
      </c>
    </row>
    <row r="23" spans="1:12" ht="25.85" x14ac:dyDescent="0.2">
      <c r="A23" s="8">
        <v>18</v>
      </c>
      <c r="B23" s="8" t="s">
        <v>54</v>
      </c>
      <c r="C23" s="8">
        <v>0</v>
      </c>
      <c r="D23" s="8">
        <v>5</v>
      </c>
      <c r="E23" s="8" t="s">
        <v>148</v>
      </c>
      <c r="F23" s="8">
        <v>4</v>
      </c>
      <c r="G23" s="8">
        <v>25</v>
      </c>
      <c r="H23" s="8">
        <v>-21</v>
      </c>
      <c r="I23" s="8" t="s">
        <v>86</v>
      </c>
      <c r="J23" s="8" t="s">
        <v>109</v>
      </c>
      <c r="K23" s="8" t="s">
        <v>138</v>
      </c>
      <c r="L23" s="8" t="s">
        <v>113</v>
      </c>
    </row>
    <row r="24" spans="1:12" x14ac:dyDescent="0.2">
      <c r="A24" s="8">
        <v>19</v>
      </c>
      <c r="B24" s="8" t="s">
        <v>51</v>
      </c>
      <c r="C24" s="8">
        <v>0</v>
      </c>
      <c r="D24" s="8">
        <v>6</v>
      </c>
      <c r="E24" s="8" t="s">
        <v>148</v>
      </c>
      <c r="F24" s="8">
        <v>4</v>
      </c>
      <c r="G24" s="8">
        <v>30</v>
      </c>
      <c r="H24" s="8">
        <v>-26</v>
      </c>
      <c r="I24" s="8" t="s">
        <v>86</v>
      </c>
      <c r="J24" s="8" t="s">
        <v>109</v>
      </c>
      <c r="K24" s="8" t="s">
        <v>138</v>
      </c>
      <c r="L24" s="8" t="s">
        <v>113</v>
      </c>
    </row>
    <row r="25" spans="1:12" x14ac:dyDescent="0.2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</row>
    <row r="26" spans="1:12" x14ac:dyDescent="0.2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</row>
    <row r="27" spans="1:12" x14ac:dyDescent="0.2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</row>
    <row r="28" spans="1:12" x14ac:dyDescent="0.2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</row>
    <row r="29" spans="1:12" x14ac:dyDescent="0.2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</row>
    <row r="30" spans="1:12" x14ac:dyDescent="0.2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</row>
    <row r="31" spans="1:12" x14ac:dyDescent="0.2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</row>
    <row r="32" spans="1:12" x14ac:dyDescent="0.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</row>
    <row r="33" spans="1:12" x14ac:dyDescent="0.2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</row>
    <row r="34" spans="1:12" x14ac:dyDescent="0.2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</row>
    <row r="35" spans="1:12" x14ac:dyDescent="0.2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</row>
    <row r="36" spans="1:12" x14ac:dyDescent="0.2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</row>
    <row r="37" spans="1:12" x14ac:dyDescent="0.2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</row>
    <row r="38" spans="1:12" x14ac:dyDescent="0.2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</row>
    <row r="39" spans="1:12" x14ac:dyDescent="0.2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</row>
    <row r="40" spans="1:12" x14ac:dyDescent="0.2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</row>
    <row r="41" spans="1:12" x14ac:dyDescent="0.2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</row>
    <row r="42" spans="1:12" x14ac:dyDescent="0.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</row>
    <row r="43" spans="1:12" x14ac:dyDescent="0.2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</row>
    <row r="44" spans="1:12" x14ac:dyDescent="0.2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</row>
    <row r="45" spans="1:12" x14ac:dyDescent="0.2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</row>
    <row r="46" spans="1:12" x14ac:dyDescent="0.2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</row>
    <row r="47" spans="1:12" x14ac:dyDescent="0.2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</row>
    <row r="48" spans="1:12" x14ac:dyDescent="0.2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</row>
    <row r="49" spans="1:12" x14ac:dyDescent="0.2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</row>
    <row r="50" spans="1:12" x14ac:dyDescent="0.2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</row>
  </sheetData>
  <autoFilter ref="A5:L5" xr:uid="{00000000-0009-0000-0000-000008000000}">
    <sortState xmlns:xlrd2="http://schemas.microsoft.com/office/spreadsheetml/2017/richdata2" ref="A6:L50">
      <sortCondition ref="A5"/>
    </sortState>
  </autoFilter>
  <mergeCells count="3">
    <mergeCell ref="A2:B2"/>
    <mergeCell ref="C2:L2"/>
    <mergeCell ref="C3:L3"/>
  </mergeCells>
  <hyperlinks>
    <hyperlink ref="C3" r:id="rId1" xr:uid="{00000000-0004-0000-0800-000000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A2:L36"/>
  <sheetViews>
    <sheetView workbookViewId="0">
      <selection activeCell="A2" sqref="A2:L3"/>
    </sheetView>
  </sheetViews>
  <sheetFormatPr defaultRowHeight="12.9" x14ac:dyDescent="0.2"/>
  <cols>
    <col min="1" max="1" width="5.75" style="6" bestFit="1" customWidth="1"/>
    <col min="2" max="2" width="18.875" style="6" customWidth="1"/>
    <col min="3" max="3" width="2.25" style="6" bestFit="1" customWidth="1"/>
    <col min="4" max="4" width="2.375" style="6" bestFit="1" customWidth="1"/>
    <col min="5" max="5" width="8.75" style="6" customWidth="1"/>
    <col min="6" max="6" width="3.25" style="6" bestFit="1" customWidth="1"/>
    <col min="7" max="7" width="3.375" style="6" bestFit="1" customWidth="1"/>
    <col min="8" max="8" width="3.75" style="6" bestFit="1" customWidth="1"/>
    <col min="9" max="9" width="11.25" style="6" customWidth="1"/>
    <col min="10" max="10" width="18.25" style="6" customWidth="1"/>
    <col min="11" max="11" width="7.875" style="6" bestFit="1" customWidth="1"/>
    <col min="12" max="12" width="8.125" style="6" bestFit="1" customWidth="1"/>
  </cols>
  <sheetData>
    <row r="2" spans="1:12" ht="13.6" x14ac:dyDescent="0.2">
      <c r="A2" s="66" t="s">
        <v>72</v>
      </c>
      <c r="B2" s="66"/>
      <c r="C2" s="67" t="s">
        <v>149</v>
      </c>
      <c r="D2" s="67"/>
      <c r="E2" s="67"/>
      <c r="F2" s="67"/>
      <c r="G2" s="67"/>
      <c r="H2" s="67"/>
      <c r="I2" s="67"/>
      <c r="J2" s="67"/>
      <c r="K2" s="67"/>
      <c r="L2" s="67"/>
    </row>
    <row r="3" spans="1:12" ht="13.1" customHeight="1" x14ac:dyDescent="0.2">
      <c r="C3" s="68" t="s">
        <v>150</v>
      </c>
      <c r="D3" s="68"/>
      <c r="E3" s="68"/>
      <c r="F3" s="68"/>
      <c r="G3" s="68"/>
      <c r="H3" s="68"/>
      <c r="I3" s="68"/>
      <c r="J3" s="68"/>
      <c r="K3" s="68"/>
      <c r="L3" s="68"/>
    </row>
    <row r="4" spans="1:12" ht="13.1" customHeight="1" x14ac:dyDescent="0.2">
      <c r="C4" s="10"/>
      <c r="D4" s="10"/>
      <c r="E4" s="10"/>
      <c r="F4" s="10"/>
      <c r="G4" s="10"/>
      <c r="H4" s="10"/>
      <c r="I4" s="10"/>
      <c r="J4" s="10"/>
      <c r="K4" s="10"/>
      <c r="L4" s="10"/>
    </row>
    <row r="5" spans="1:12" ht="14.95" thickBot="1" x14ac:dyDescent="0.25">
      <c r="A5" s="11" t="s">
        <v>76</v>
      </c>
      <c r="B5" s="11" t="s">
        <v>77</v>
      </c>
      <c r="C5" s="11" t="s">
        <v>78</v>
      </c>
      <c r="D5" s="11" t="s">
        <v>79</v>
      </c>
      <c r="E5" s="11" t="s">
        <v>80</v>
      </c>
      <c r="F5" s="11" t="s">
        <v>3</v>
      </c>
      <c r="G5" s="11" t="s">
        <v>81</v>
      </c>
      <c r="H5" s="11" t="s">
        <v>4</v>
      </c>
      <c r="I5" s="11" t="s">
        <v>82</v>
      </c>
      <c r="J5" s="11" t="s">
        <v>83</v>
      </c>
      <c r="K5" s="11" t="s">
        <v>84</v>
      </c>
      <c r="L5" s="11" t="s">
        <v>85</v>
      </c>
    </row>
    <row r="6" spans="1:12" ht="29.25" thickBot="1" x14ac:dyDescent="0.25">
      <c r="A6" s="33">
        <v>1</v>
      </c>
      <c r="B6" s="33" t="s">
        <v>16</v>
      </c>
      <c r="C6" s="33">
        <v>6</v>
      </c>
      <c r="D6" s="33">
        <v>6</v>
      </c>
      <c r="E6" s="33">
        <v>1</v>
      </c>
      <c r="F6" s="33">
        <v>29</v>
      </c>
      <c r="G6" s="33">
        <v>11</v>
      </c>
      <c r="H6" s="33">
        <v>18</v>
      </c>
      <c r="I6" s="34" t="s">
        <v>86</v>
      </c>
      <c r="J6" s="33" t="s">
        <v>128</v>
      </c>
      <c r="K6"/>
      <c r="L6" t="s">
        <v>113</v>
      </c>
    </row>
    <row r="7" spans="1:12" ht="14.95" thickBot="1" x14ac:dyDescent="0.25">
      <c r="A7" s="33">
        <v>2</v>
      </c>
      <c r="B7" s="33" t="s">
        <v>15</v>
      </c>
      <c r="C7" s="33">
        <v>5</v>
      </c>
      <c r="D7" s="33">
        <v>5</v>
      </c>
      <c r="E7" s="33">
        <v>1</v>
      </c>
      <c r="F7" s="33">
        <v>25</v>
      </c>
      <c r="G7" s="33">
        <v>11</v>
      </c>
      <c r="H7" s="33">
        <v>14</v>
      </c>
      <c r="I7" s="34" t="s">
        <v>86</v>
      </c>
      <c r="J7" s="33" t="s">
        <v>109</v>
      </c>
      <c r="K7"/>
      <c r="L7" t="s">
        <v>113</v>
      </c>
    </row>
    <row r="8" spans="1:12" ht="43.5" thickBot="1" x14ac:dyDescent="0.25">
      <c r="A8" s="33">
        <v>3</v>
      </c>
      <c r="B8" s="33" t="s">
        <v>18</v>
      </c>
      <c r="C8" s="33">
        <v>5</v>
      </c>
      <c r="D8" s="33">
        <v>6</v>
      </c>
      <c r="E8" s="33">
        <v>0.83</v>
      </c>
      <c r="F8" s="33">
        <v>29</v>
      </c>
      <c r="G8" s="33">
        <v>15</v>
      </c>
      <c r="H8" s="33">
        <v>14</v>
      </c>
      <c r="I8" s="34" t="s">
        <v>86</v>
      </c>
      <c r="J8" s="33" t="s">
        <v>91</v>
      </c>
      <c r="K8"/>
      <c r="L8" t="s">
        <v>113</v>
      </c>
    </row>
    <row r="9" spans="1:12" ht="14.95" thickBot="1" x14ac:dyDescent="0.25">
      <c r="A9" s="33">
        <v>4</v>
      </c>
      <c r="B9" s="33" t="s">
        <v>14</v>
      </c>
      <c r="C9" s="33">
        <v>4</v>
      </c>
      <c r="D9" s="33">
        <v>5</v>
      </c>
      <c r="E9" s="33">
        <v>0.8</v>
      </c>
      <c r="F9" s="33">
        <v>23</v>
      </c>
      <c r="G9" s="33">
        <v>6</v>
      </c>
      <c r="H9" s="33">
        <v>17</v>
      </c>
      <c r="I9" s="34" t="s">
        <v>86</v>
      </c>
      <c r="J9" s="33" t="s">
        <v>87</v>
      </c>
      <c r="K9"/>
      <c r="L9" t="s">
        <v>113</v>
      </c>
    </row>
    <row r="10" spans="1:12" ht="29.25" thickBot="1" x14ac:dyDescent="0.25">
      <c r="A10" s="33">
        <v>5</v>
      </c>
      <c r="B10" s="33" t="s">
        <v>21</v>
      </c>
      <c r="C10" s="33">
        <v>4</v>
      </c>
      <c r="D10" s="33">
        <v>5</v>
      </c>
      <c r="E10" s="33">
        <v>0.8</v>
      </c>
      <c r="F10" s="33">
        <v>20</v>
      </c>
      <c r="G10" s="33">
        <v>9</v>
      </c>
      <c r="H10" s="33">
        <v>11</v>
      </c>
      <c r="I10" s="34" t="s">
        <v>86</v>
      </c>
      <c r="J10" s="33" t="s">
        <v>128</v>
      </c>
      <c r="K10"/>
      <c r="L10" t="s">
        <v>113</v>
      </c>
    </row>
    <row r="11" spans="1:12" ht="29.25" thickBot="1" x14ac:dyDescent="0.25">
      <c r="A11" s="33">
        <v>6</v>
      </c>
      <c r="B11" s="33" t="s">
        <v>22</v>
      </c>
      <c r="C11" s="33">
        <v>4</v>
      </c>
      <c r="D11" s="33">
        <v>5</v>
      </c>
      <c r="E11" s="33">
        <v>0.8</v>
      </c>
      <c r="F11" s="33">
        <v>20</v>
      </c>
      <c r="G11" s="33">
        <v>11</v>
      </c>
      <c r="H11" s="33">
        <v>9</v>
      </c>
      <c r="I11" s="34" t="s">
        <v>86</v>
      </c>
      <c r="J11" s="33" t="s">
        <v>95</v>
      </c>
      <c r="K11"/>
      <c r="L11" t="s">
        <v>113</v>
      </c>
    </row>
    <row r="12" spans="1:12" ht="14.95" thickBot="1" x14ac:dyDescent="0.25">
      <c r="A12" s="33">
        <v>7</v>
      </c>
      <c r="B12" s="33" t="s">
        <v>36</v>
      </c>
      <c r="C12" s="33">
        <v>4</v>
      </c>
      <c r="D12" s="33">
        <v>6</v>
      </c>
      <c r="E12" s="33">
        <v>0.67</v>
      </c>
      <c r="F12" s="33">
        <v>24</v>
      </c>
      <c r="G12" s="33">
        <v>11</v>
      </c>
      <c r="H12" s="33">
        <v>13</v>
      </c>
      <c r="I12" s="34" t="s">
        <v>86</v>
      </c>
      <c r="J12" s="33" t="s">
        <v>151</v>
      </c>
      <c r="K12"/>
      <c r="L12" t="s">
        <v>113</v>
      </c>
    </row>
    <row r="13" spans="1:12" ht="29.25" thickBot="1" x14ac:dyDescent="0.25">
      <c r="A13" s="33">
        <v>8</v>
      </c>
      <c r="B13" s="33" t="s">
        <v>24</v>
      </c>
      <c r="C13" s="33">
        <v>3</v>
      </c>
      <c r="D13" s="33">
        <v>5</v>
      </c>
      <c r="E13" s="33">
        <v>0.6</v>
      </c>
      <c r="F13" s="33">
        <v>21</v>
      </c>
      <c r="G13" s="33">
        <v>15</v>
      </c>
      <c r="H13" s="33">
        <v>6</v>
      </c>
      <c r="I13" s="34" t="s">
        <v>86</v>
      </c>
      <c r="J13" s="33" t="s">
        <v>116</v>
      </c>
      <c r="K13"/>
      <c r="L13" t="s">
        <v>113</v>
      </c>
    </row>
    <row r="14" spans="1:12" ht="29.25" thickBot="1" x14ac:dyDescent="0.25">
      <c r="A14" s="33">
        <v>9</v>
      </c>
      <c r="B14" s="33" t="s">
        <v>17</v>
      </c>
      <c r="C14" s="33">
        <v>3</v>
      </c>
      <c r="D14" s="33">
        <v>5</v>
      </c>
      <c r="E14" s="33">
        <v>0.6</v>
      </c>
      <c r="F14" s="33">
        <v>20</v>
      </c>
      <c r="G14" s="33">
        <v>17</v>
      </c>
      <c r="H14" s="33">
        <v>3</v>
      </c>
      <c r="I14" s="34" t="s">
        <v>86</v>
      </c>
      <c r="J14" s="33" t="s">
        <v>130</v>
      </c>
      <c r="K14"/>
      <c r="L14" t="s">
        <v>113</v>
      </c>
    </row>
    <row r="15" spans="1:12" ht="43.5" thickBot="1" x14ac:dyDescent="0.25">
      <c r="A15" s="33">
        <v>10</v>
      </c>
      <c r="B15" s="33" t="s">
        <v>46</v>
      </c>
      <c r="C15" s="33">
        <v>2</v>
      </c>
      <c r="D15" s="33">
        <v>5</v>
      </c>
      <c r="E15" s="33">
        <v>0.4</v>
      </c>
      <c r="F15" s="33">
        <v>18</v>
      </c>
      <c r="G15" s="33">
        <v>21</v>
      </c>
      <c r="H15" s="33">
        <v>-3</v>
      </c>
      <c r="I15" s="34" t="s">
        <v>86</v>
      </c>
      <c r="J15" s="33" t="s">
        <v>102</v>
      </c>
      <c r="K15"/>
      <c r="L15" t="s">
        <v>113</v>
      </c>
    </row>
    <row r="16" spans="1:12" ht="29.25" thickBot="1" x14ac:dyDescent="0.25">
      <c r="A16" s="33">
        <v>11</v>
      </c>
      <c r="B16" s="33" t="s">
        <v>40</v>
      </c>
      <c r="C16" s="33">
        <v>2</v>
      </c>
      <c r="D16" s="33">
        <v>5</v>
      </c>
      <c r="E16" s="33">
        <v>0.4</v>
      </c>
      <c r="F16" s="33">
        <v>18</v>
      </c>
      <c r="G16" s="33">
        <v>22</v>
      </c>
      <c r="H16" s="33">
        <v>-4</v>
      </c>
      <c r="I16" s="34" t="s">
        <v>86</v>
      </c>
      <c r="J16" s="33" t="s">
        <v>96</v>
      </c>
      <c r="K16"/>
      <c r="L16" t="s">
        <v>129</v>
      </c>
    </row>
    <row r="17" spans="1:12" ht="43.5" thickBot="1" x14ac:dyDescent="0.25">
      <c r="A17" s="33">
        <v>12</v>
      </c>
      <c r="B17" s="33" t="s">
        <v>27</v>
      </c>
      <c r="C17" s="33">
        <v>2</v>
      </c>
      <c r="D17" s="33">
        <v>5</v>
      </c>
      <c r="E17" s="33">
        <v>0.4</v>
      </c>
      <c r="F17" s="33">
        <v>12</v>
      </c>
      <c r="G17" s="33">
        <v>23</v>
      </c>
      <c r="H17" s="33">
        <v>-11</v>
      </c>
      <c r="I17" s="34" t="s">
        <v>86</v>
      </c>
      <c r="J17" s="33" t="s">
        <v>91</v>
      </c>
      <c r="K17"/>
      <c r="L17" t="s">
        <v>113</v>
      </c>
    </row>
    <row r="18" spans="1:12" ht="29.25" thickBot="1" x14ac:dyDescent="0.25">
      <c r="A18" s="33">
        <v>13</v>
      </c>
      <c r="B18" s="33" t="s">
        <v>30</v>
      </c>
      <c r="C18" s="33">
        <v>2</v>
      </c>
      <c r="D18" s="33">
        <v>6</v>
      </c>
      <c r="E18" s="33">
        <v>0.33</v>
      </c>
      <c r="F18" s="33">
        <v>20</v>
      </c>
      <c r="G18" s="33">
        <v>26</v>
      </c>
      <c r="H18" s="33">
        <v>-6</v>
      </c>
      <c r="I18" s="34" t="s">
        <v>86</v>
      </c>
      <c r="J18" s="33" t="s">
        <v>93</v>
      </c>
      <c r="K18"/>
      <c r="L18" t="s">
        <v>113</v>
      </c>
    </row>
    <row r="19" spans="1:12" ht="29.25" thickBot="1" x14ac:dyDescent="0.25">
      <c r="A19" s="33">
        <v>14</v>
      </c>
      <c r="B19" s="33" t="s">
        <v>28</v>
      </c>
      <c r="C19" s="33">
        <v>2</v>
      </c>
      <c r="D19" s="33">
        <v>6</v>
      </c>
      <c r="E19" s="33">
        <v>0.33</v>
      </c>
      <c r="F19" s="33">
        <v>15</v>
      </c>
      <c r="G19" s="33">
        <v>24</v>
      </c>
      <c r="H19" s="33">
        <v>-9</v>
      </c>
      <c r="I19" s="34" t="s">
        <v>86</v>
      </c>
      <c r="J19" s="33" t="s">
        <v>109</v>
      </c>
      <c r="K19"/>
      <c r="L19" t="s">
        <v>113</v>
      </c>
    </row>
    <row r="20" spans="1:12" ht="43.5" thickBot="1" x14ac:dyDescent="0.25">
      <c r="A20" s="33">
        <v>15</v>
      </c>
      <c r="B20" s="33" t="s">
        <v>34</v>
      </c>
      <c r="C20" s="33">
        <v>1</v>
      </c>
      <c r="D20" s="33">
        <v>5</v>
      </c>
      <c r="E20" s="33">
        <v>0.2</v>
      </c>
      <c r="F20" s="33">
        <v>13</v>
      </c>
      <c r="G20" s="33">
        <v>22</v>
      </c>
      <c r="H20" s="33">
        <v>-9</v>
      </c>
      <c r="I20" s="34" t="s">
        <v>86</v>
      </c>
      <c r="J20" s="33" t="s">
        <v>102</v>
      </c>
      <c r="K20"/>
      <c r="L20" t="s">
        <v>113</v>
      </c>
    </row>
    <row r="21" spans="1:12" ht="14.95" thickBot="1" x14ac:dyDescent="0.25">
      <c r="A21" s="33">
        <v>16</v>
      </c>
      <c r="B21" s="33" t="s">
        <v>32</v>
      </c>
      <c r="C21" s="33">
        <v>1</v>
      </c>
      <c r="D21" s="33">
        <v>6</v>
      </c>
      <c r="E21" s="33">
        <v>0.17</v>
      </c>
      <c r="F21" s="33">
        <v>14</v>
      </c>
      <c r="G21" s="33">
        <v>29</v>
      </c>
      <c r="H21" s="33">
        <v>-15</v>
      </c>
      <c r="I21" s="34" t="s">
        <v>86</v>
      </c>
      <c r="J21" s="33" t="s">
        <v>90</v>
      </c>
      <c r="K21"/>
      <c r="L21" t="s">
        <v>113</v>
      </c>
    </row>
    <row r="22" spans="1:12" ht="43.5" thickBot="1" x14ac:dyDescent="0.25">
      <c r="A22" s="33">
        <v>17</v>
      </c>
      <c r="B22" s="33" t="s">
        <v>33</v>
      </c>
      <c r="C22" s="33">
        <v>1</v>
      </c>
      <c r="D22" s="33">
        <v>6</v>
      </c>
      <c r="E22" s="33">
        <v>0.17</v>
      </c>
      <c r="F22" s="33">
        <v>13</v>
      </c>
      <c r="G22" s="33">
        <v>28</v>
      </c>
      <c r="H22" s="33">
        <v>-15</v>
      </c>
      <c r="I22" s="34" t="s">
        <v>86</v>
      </c>
      <c r="J22" s="33" t="s">
        <v>102</v>
      </c>
      <c r="K22"/>
      <c r="L22" t="s">
        <v>113</v>
      </c>
    </row>
    <row r="23" spans="1:12" ht="14.95" thickBot="1" x14ac:dyDescent="0.25">
      <c r="A23" s="33">
        <v>18</v>
      </c>
      <c r="B23" s="33" t="s">
        <v>59</v>
      </c>
      <c r="C23" s="33">
        <v>0</v>
      </c>
      <c r="D23" s="33">
        <v>5</v>
      </c>
      <c r="E23" s="33">
        <v>0</v>
      </c>
      <c r="F23" s="33">
        <v>9</v>
      </c>
      <c r="G23" s="33">
        <v>25</v>
      </c>
      <c r="H23" s="33">
        <v>-16</v>
      </c>
      <c r="I23" s="34" t="s">
        <v>86</v>
      </c>
      <c r="J23" s="33" t="s">
        <v>90</v>
      </c>
      <c r="K23"/>
      <c r="L23" t="s">
        <v>113</v>
      </c>
    </row>
    <row r="24" spans="1:12" ht="29.25" thickBot="1" x14ac:dyDescent="0.25">
      <c r="A24" s="33">
        <v>19</v>
      </c>
      <c r="B24" s="33" t="s">
        <v>54</v>
      </c>
      <c r="C24" s="33">
        <v>0</v>
      </c>
      <c r="D24" s="33">
        <v>5</v>
      </c>
      <c r="E24" s="33">
        <v>0</v>
      </c>
      <c r="F24" s="33">
        <v>8</v>
      </c>
      <c r="G24" s="33">
        <v>25</v>
      </c>
      <c r="H24" s="33">
        <v>-17</v>
      </c>
      <c r="I24" s="34" t="s">
        <v>86</v>
      </c>
      <c r="J24" s="33" t="s">
        <v>109</v>
      </c>
      <c r="K24"/>
      <c r="L24" t="s">
        <v>129</v>
      </c>
    </row>
    <row r="25" spans="1:12" x14ac:dyDescent="0.2">
      <c r="A25"/>
      <c r="B25"/>
      <c r="C25"/>
      <c r="D25"/>
      <c r="E25"/>
      <c r="F25"/>
      <c r="G25"/>
      <c r="H25"/>
      <c r="I25"/>
      <c r="J25"/>
      <c r="K25"/>
      <c r="L25"/>
    </row>
    <row r="26" spans="1:12" x14ac:dyDescent="0.2">
      <c r="A26"/>
      <c r="B26"/>
      <c r="C26"/>
      <c r="D26"/>
      <c r="E26"/>
      <c r="F26"/>
      <c r="G26"/>
      <c r="H26"/>
      <c r="I26"/>
      <c r="J26"/>
      <c r="K26"/>
      <c r="L26"/>
    </row>
    <row r="27" spans="1:12" x14ac:dyDescent="0.2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7"/>
    </row>
    <row r="28" spans="1:12" x14ac:dyDescent="0.2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7"/>
    </row>
    <row r="29" spans="1:12" x14ac:dyDescent="0.2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7"/>
    </row>
    <row r="30" spans="1:12" x14ac:dyDescent="0.2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7"/>
    </row>
    <row r="31" spans="1:12" x14ac:dyDescent="0.2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7"/>
    </row>
    <row r="32" spans="1:12" x14ac:dyDescent="0.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7"/>
    </row>
    <row r="33" spans="1:12" x14ac:dyDescent="0.2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</row>
    <row r="34" spans="1:12" x14ac:dyDescent="0.2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</row>
    <row r="35" spans="1:12" x14ac:dyDescent="0.2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7"/>
    </row>
    <row r="36" spans="1:12" x14ac:dyDescent="0.2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7"/>
    </row>
  </sheetData>
  <autoFilter ref="A5:L23" xr:uid="{00000000-0009-0000-0000-000009000000}">
    <sortState xmlns:xlrd2="http://schemas.microsoft.com/office/spreadsheetml/2017/richdata2" ref="A6:L36">
      <sortCondition ref="A5"/>
    </sortState>
  </autoFilter>
  <mergeCells count="3">
    <mergeCell ref="A2:B2"/>
    <mergeCell ref="C2:L2"/>
    <mergeCell ref="C3:L3"/>
  </mergeCells>
  <hyperlinks>
    <hyperlink ref="C3:L3" r:id="rId1" display="https://www.fencingtimelive.com/pools/results/73219B8F83584E449337FBDBAC586BC1/EAA03DDD8E5444B6A68FA4863DB6604A" xr:uid="{00000000-0004-0000-0900-000000000000}"/>
    <hyperlink ref="C3" r:id="rId2" xr:uid="{2DF981BB-4646-4386-8E56-D4171DBF5FA2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2:L50"/>
  <sheetViews>
    <sheetView workbookViewId="0">
      <selection activeCell="N29" sqref="N29"/>
    </sheetView>
  </sheetViews>
  <sheetFormatPr defaultRowHeight="12.9" x14ac:dyDescent="0.2"/>
  <cols>
    <col min="1" max="1" width="5.75" style="6" bestFit="1" customWidth="1"/>
    <col min="2" max="2" width="18.875" style="6" customWidth="1"/>
    <col min="3" max="3" width="2.25" style="6" bestFit="1" customWidth="1"/>
    <col min="4" max="4" width="2.375" style="6" bestFit="1" customWidth="1"/>
    <col min="5" max="5" width="8.75" style="6" customWidth="1"/>
    <col min="6" max="6" width="3.25" style="6" bestFit="1" customWidth="1"/>
    <col min="7" max="7" width="3.375" style="6" bestFit="1" customWidth="1"/>
    <col min="8" max="8" width="3.75" style="6" bestFit="1" customWidth="1"/>
    <col min="9" max="9" width="11.25" style="6" customWidth="1"/>
    <col min="10" max="10" width="18.25" style="6" customWidth="1"/>
    <col min="11" max="11" width="7.875" style="6" bestFit="1" customWidth="1"/>
    <col min="12" max="12" width="8.125" style="6" bestFit="1" customWidth="1"/>
  </cols>
  <sheetData>
    <row r="2" spans="1:12" ht="13.6" x14ac:dyDescent="0.2">
      <c r="A2" s="66" t="s">
        <v>72</v>
      </c>
      <c r="B2" s="66"/>
      <c r="C2" s="67" t="s">
        <v>149</v>
      </c>
      <c r="D2" s="67"/>
      <c r="E2" s="67"/>
      <c r="F2" s="67"/>
      <c r="G2" s="67"/>
      <c r="H2" s="67"/>
      <c r="I2" s="67"/>
      <c r="J2" s="67"/>
      <c r="K2" s="67"/>
      <c r="L2" s="67"/>
    </row>
    <row r="3" spans="1:12" ht="13.1" customHeight="1" x14ac:dyDescent="0.2">
      <c r="C3" s="68" t="s">
        <v>152</v>
      </c>
      <c r="D3" s="68"/>
      <c r="E3" s="68"/>
      <c r="F3" s="68"/>
      <c r="G3" s="68"/>
      <c r="H3" s="68"/>
      <c r="I3" s="68"/>
      <c r="J3" s="68"/>
      <c r="K3" s="68"/>
      <c r="L3" s="68"/>
    </row>
    <row r="4" spans="1:12" ht="13.1" customHeight="1" x14ac:dyDescent="0.2">
      <c r="C4" s="10"/>
      <c r="D4" s="10"/>
      <c r="E4" s="10"/>
      <c r="F4" s="10"/>
      <c r="G4" s="10"/>
      <c r="H4" s="10"/>
      <c r="I4" s="10"/>
      <c r="J4" s="10"/>
      <c r="K4" s="10"/>
      <c r="L4" s="10"/>
    </row>
    <row r="5" spans="1:12" ht="14.95" thickBot="1" x14ac:dyDescent="0.25">
      <c r="A5" s="11" t="s">
        <v>76</v>
      </c>
      <c r="B5" s="11" t="s">
        <v>77</v>
      </c>
      <c r="C5" s="11" t="s">
        <v>78</v>
      </c>
      <c r="D5" s="11" t="s">
        <v>79</v>
      </c>
      <c r="E5" s="11" t="s">
        <v>80</v>
      </c>
      <c r="F5" s="11" t="s">
        <v>3</v>
      </c>
      <c r="G5" s="11" t="s">
        <v>81</v>
      </c>
      <c r="H5" s="11" t="s">
        <v>4</v>
      </c>
      <c r="I5" s="11" t="s">
        <v>82</v>
      </c>
      <c r="J5" s="11" t="s">
        <v>83</v>
      </c>
      <c r="K5" s="11" t="s">
        <v>84</v>
      </c>
      <c r="L5" s="11" t="s">
        <v>85</v>
      </c>
    </row>
    <row r="6" spans="1:12" ht="14.95" thickBot="1" x14ac:dyDescent="0.25">
      <c r="A6" s="33">
        <v>1</v>
      </c>
      <c r="B6" s="33" t="s">
        <v>36</v>
      </c>
      <c r="C6" s="33">
        <v>6</v>
      </c>
      <c r="D6" s="33">
        <v>6</v>
      </c>
      <c r="E6" s="33">
        <v>1</v>
      </c>
      <c r="F6" s="33">
        <v>30</v>
      </c>
      <c r="G6" s="33">
        <v>4</v>
      </c>
      <c r="H6" s="33">
        <v>26</v>
      </c>
      <c r="I6" s="34" t="s">
        <v>86</v>
      </c>
      <c r="J6" s="33" t="s">
        <v>151</v>
      </c>
      <c r="K6"/>
      <c r="L6" t="s">
        <v>113</v>
      </c>
    </row>
    <row r="7" spans="1:12" ht="14.95" thickBot="1" x14ac:dyDescent="0.25">
      <c r="A7" s="33">
        <v>2</v>
      </c>
      <c r="B7" s="33" t="s">
        <v>15</v>
      </c>
      <c r="C7" s="33">
        <v>5</v>
      </c>
      <c r="D7" s="33">
        <v>5</v>
      </c>
      <c r="E7" s="33">
        <v>1</v>
      </c>
      <c r="F7" s="33">
        <v>25</v>
      </c>
      <c r="G7" s="33">
        <v>8</v>
      </c>
      <c r="H7" s="33">
        <v>17</v>
      </c>
      <c r="I7" s="34" t="s">
        <v>86</v>
      </c>
      <c r="J7" s="33" t="s">
        <v>109</v>
      </c>
      <c r="K7"/>
      <c r="L7" t="s">
        <v>113</v>
      </c>
    </row>
    <row r="8" spans="1:12" ht="14.95" thickBot="1" x14ac:dyDescent="0.25">
      <c r="A8" s="33">
        <v>3</v>
      </c>
      <c r="B8" s="33" t="s">
        <v>14</v>
      </c>
      <c r="C8" s="33">
        <v>4</v>
      </c>
      <c r="D8" s="33">
        <v>5</v>
      </c>
      <c r="E8" s="33">
        <v>0.8</v>
      </c>
      <c r="F8" s="33">
        <v>23</v>
      </c>
      <c r="G8" s="33">
        <v>9</v>
      </c>
      <c r="H8" s="33">
        <v>14</v>
      </c>
      <c r="I8" s="34" t="s">
        <v>86</v>
      </c>
      <c r="J8" s="33" t="s">
        <v>87</v>
      </c>
      <c r="K8"/>
      <c r="L8" t="s">
        <v>113</v>
      </c>
    </row>
    <row r="9" spans="1:12" ht="29.25" thickBot="1" x14ac:dyDescent="0.25">
      <c r="A9" s="33">
        <v>4</v>
      </c>
      <c r="B9" s="33" t="s">
        <v>21</v>
      </c>
      <c r="C9" s="33">
        <v>4</v>
      </c>
      <c r="D9" s="33">
        <v>5</v>
      </c>
      <c r="E9" s="33">
        <v>0.8</v>
      </c>
      <c r="F9" s="33">
        <v>22</v>
      </c>
      <c r="G9" s="33">
        <v>11</v>
      </c>
      <c r="H9" s="33">
        <v>11</v>
      </c>
      <c r="I9" s="34" t="s">
        <v>86</v>
      </c>
      <c r="J9" s="33" t="s">
        <v>128</v>
      </c>
      <c r="K9"/>
      <c r="L9" t="s">
        <v>113</v>
      </c>
    </row>
    <row r="10" spans="1:12" ht="43.5" thickBot="1" x14ac:dyDescent="0.25">
      <c r="A10" s="33">
        <v>5</v>
      </c>
      <c r="B10" s="33" t="s">
        <v>18</v>
      </c>
      <c r="C10" s="33">
        <v>4</v>
      </c>
      <c r="D10" s="33">
        <v>5</v>
      </c>
      <c r="E10" s="33">
        <v>0.8</v>
      </c>
      <c r="F10" s="33">
        <v>22</v>
      </c>
      <c r="G10" s="33">
        <v>13</v>
      </c>
      <c r="H10" s="33">
        <v>9</v>
      </c>
      <c r="I10" s="34" t="s">
        <v>86</v>
      </c>
      <c r="J10" s="33" t="s">
        <v>91</v>
      </c>
      <c r="K10"/>
      <c r="L10" t="s">
        <v>113</v>
      </c>
    </row>
    <row r="11" spans="1:12" ht="29.25" thickBot="1" x14ac:dyDescent="0.25">
      <c r="A11" s="33">
        <v>6</v>
      </c>
      <c r="B11" s="33" t="s">
        <v>16</v>
      </c>
      <c r="C11" s="33">
        <v>4</v>
      </c>
      <c r="D11" s="33">
        <v>6</v>
      </c>
      <c r="E11" s="33">
        <v>0.67</v>
      </c>
      <c r="F11" s="33">
        <v>26</v>
      </c>
      <c r="G11" s="33">
        <v>13</v>
      </c>
      <c r="H11" s="33">
        <v>13</v>
      </c>
      <c r="I11" s="34" t="s">
        <v>86</v>
      </c>
      <c r="J11" s="33" t="s">
        <v>128</v>
      </c>
      <c r="K11"/>
      <c r="L11" t="s">
        <v>113</v>
      </c>
    </row>
    <row r="12" spans="1:12" ht="29.25" thickBot="1" x14ac:dyDescent="0.25">
      <c r="A12" s="33">
        <v>7</v>
      </c>
      <c r="B12" s="33" t="s">
        <v>22</v>
      </c>
      <c r="C12" s="33">
        <v>4</v>
      </c>
      <c r="D12" s="33">
        <v>6</v>
      </c>
      <c r="E12" s="33">
        <v>0.67</v>
      </c>
      <c r="F12" s="33">
        <v>25</v>
      </c>
      <c r="G12" s="33">
        <v>15</v>
      </c>
      <c r="H12" s="33">
        <v>10</v>
      </c>
      <c r="I12" s="34" t="s">
        <v>86</v>
      </c>
      <c r="J12" s="33" t="s">
        <v>95</v>
      </c>
      <c r="K12"/>
      <c r="L12" t="s">
        <v>113</v>
      </c>
    </row>
    <row r="13" spans="1:12" ht="14.95" thickBot="1" x14ac:dyDescent="0.25">
      <c r="A13" s="33">
        <v>8</v>
      </c>
      <c r="B13" s="33" t="s">
        <v>32</v>
      </c>
      <c r="C13" s="33">
        <v>3</v>
      </c>
      <c r="D13" s="33">
        <v>5</v>
      </c>
      <c r="E13" s="33">
        <v>0.6</v>
      </c>
      <c r="F13" s="33">
        <v>20</v>
      </c>
      <c r="G13" s="33">
        <v>14</v>
      </c>
      <c r="H13" s="33">
        <v>6</v>
      </c>
      <c r="I13" s="34" t="s">
        <v>86</v>
      </c>
      <c r="J13" s="33" t="s">
        <v>90</v>
      </c>
      <c r="K13"/>
      <c r="L13" t="s">
        <v>129</v>
      </c>
    </row>
    <row r="14" spans="1:12" ht="29.25" thickBot="1" x14ac:dyDescent="0.25">
      <c r="A14" s="33">
        <v>9</v>
      </c>
      <c r="B14" s="33" t="s">
        <v>24</v>
      </c>
      <c r="C14" s="33">
        <v>3</v>
      </c>
      <c r="D14" s="33">
        <v>5</v>
      </c>
      <c r="E14" s="33">
        <v>0.6</v>
      </c>
      <c r="F14" s="33">
        <v>18</v>
      </c>
      <c r="G14" s="33">
        <v>12</v>
      </c>
      <c r="H14" s="33">
        <v>6</v>
      </c>
      <c r="I14" s="34" t="s">
        <v>86</v>
      </c>
      <c r="J14" s="33" t="s">
        <v>116</v>
      </c>
      <c r="K14"/>
      <c r="L14" t="s">
        <v>113</v>
      </c>
    </row>
    <row r="15" spans="1:12" ht="29.25" thickBot="1" x14ac:dyDescent="0.25">
      <c r="A15" s="33">
        <v>10</v>
      </c>
      <c r="B15" s="33" t="s">
        <v>30</v>
      </c>
      <c r="C15" s="33">
        <v>3</v>
      </c>
      <c r="D15" s="33">
        <v>6</v>
      </c>
      <c r="E15" s="33">
        <v>0.5</v>
      </c>
      <c r="F15" s="33">
        <v>22</v>
      </c>
      <c r="G15" s="33">
        <v>20</v>
      </c>
      <c r="H15" s="33">
        <v>2</v>
      </c>
      <c r="I15" s="34" t="s">
        <v>86</v>
      </c>
      <c r="J15" s="33" t="s">
        <v>93</v>
      </c>
      <c r="K15"/>
      <c r="L15" t="s">
        <v>113</v>
      </c>
    </row>
    <row r="16" spans="1:12" ht="43.5" thickBot="1" x14ac:dyDescent="0.25">
      <c r="A16" s="33">
        <v>11</v>
      </c>
      <c r="B16" s="33" t="s">
        <v>27</v>
      </c>
      <c r="C16" s="33">
        <v>3</v>
      </c>
      <c r="D16" s="33">
        <v>6</v>
      </c>
      <c r="E16" s="33">
        <v>0.5</v>
      </c>
      <c r="F16" s="33">
        <v>16</v>
      </c>
      <c r="G16" s="33">
        <v>24</v>
      </c>
      <c r="H16" s="33">
        <v>-8</v>
      </c>
      <c r="I16" s="34" t="s">
        <v>86</v>
      </c>
      <c r="J16" s="33" t="s">
        <v>91</v>
      </c>
      <c r="K16"/>
      <c r="L16" t="s">
        <v>113</v>
      </c>
    </row>
    <row r="17" spans="1:12" ht="43.5" thickBot="1" x14ac:dyDescent="0.25">
      <c r="A17" s="33">
        <v>12</v>
      </c>
      <c r="B17" s="33" t="s">
        <v>34</v>
      </c>
      <c r="C17" s="33">
        <v>2</v>
      </c>
      <c r="D17" s="33">
        <v>5</v>
      </c>
      <c r="E17" s="33">
        <v>0.4</v>
      </c>
      <c r="F17" s="33">
        <v>17</v>
      </c>
      <c r="G17" s="33">
        <v>16</v>
      </c>
      <c r="H17" s="33">
        <v>1</v>
      </c>
      <c r="I17" s="34" t="s">
        <v>86</v>
      </c>
      <c r="J17" s="33" t="s">
        <v>102</v>
      </c>
      <c r="K17"/>
      <c r="L17" t="s">
        <v>129</v>
      </c>
    </row>
    <row r="18" spans="1:12" ht="29.25" thickBot="1" x14ac:dyDescent="0.25">
      <c r="A18" s="33">
        <v>13</v>
      </c>
      <c r="B18" s="33" t="s">
        <v>17</v>
      </c>
      <c r="C18" s="33">
        <v>2</v>
      </c>
      <c r="D18" s="33">
        <v>5</v>
      </c>
      <c r="E18" s="33">
        <v>0.4</v>
      </c>
      <c r="F18" s="33">
        <v>15</v>
      </c>
      <c r="G18" s="33">
        <v>15</v>
      </c>
      <c r="H18" s="33">
        <v>0</v>
      </c>
      <c r="I18" s="34" t="s">
        <v>86</v>
      </c>
      <c r="J18" s="33" t="s">
        <v>130</v>
      </c>
      <c r="K18"/>
      <c r="L18" t="s">
        <v>113</v>
      </c>
    </row>
    <row r="19" spans="1:12" ht="29.25" thickBot="1" x14ac:dyDescent="0.25">
      <c r="A19" s="33">
        <v>14</v>
      </c>
      <c r="B19" s="33" t="s">
        <v>28</v>
      </c>
      <c r="C19" s="33">
        <v>2</v>
      </c>
      <c r="D19" s="33">
        <v>5</v>
      </c>
      <c r="E19" s="33">
        <v>0.4</v>
      </c>
      <c r="F19" s="33">
        <v>13</v>
      </c>
      <c r="G19" s="33">
        <v>19</v>
      </c>
      <c r="H19" s="33">
        <v>-6</v>
      </c>
      <c r="I19" s="34" t="s">
        <v>86</v>
      </c>
      <c r="J19" s="33" t="s">
        <v>109</v>
      </c>
      <c r="K19"/>
      <c r="L19" t="s">
        <v>113</v>
      </c>
    </row>
    <row r="20" spans="1:12" ht="29.25" thickBot="1" x14ac:dyDescent="0.25">
      <c r="A20" s="33">
        <v>15</v>
      </c>
      <c r="B20" s="33" t="s">
        <v>40</v>
      </c>
      <c r="C20" s="33">
        <v>1</v>
      </c>
      <c r="D20" s="33">
        <v>5</v>
      </c>
      <c r="E20" s="33">
        <v>0.2</v>
      </c>
      <c r="F20" s="33">
        <v>9</v>
      </c>
      <c r="G20" s="33">
        <v>22</v>
      </c>
      <c r="H20" s="33">
        <v>-13</v>
      </c>
      <c r="I20" s="34" t="s">
        <v>86</v>
      </c>
      <c r="J20" s="33" t="s">
        <v>96</v>
      </c>
      <c r="K20"/>
      <c r="L20" t="s">
        <v>113</v>
      </c>
    </row>
    <row r="21" spans="1:12" ht="29.25" thickBot="1" x14ac:dyDescent="0.25">
      <c r="A21" s="33">
        <v>16</v>
      </c>
      <c r="B21" s="33" t="s">
        <v>54</v>
      </c>
      <c r="C21" s="33">
        <v>1</v>
      </c>
      <c r="D21" s="33">
        <v>6</v>
      </c>
      <c r="E21" s="33">
        <v>0.17</v>
      </c>
      <c r="F21" s="33">
        <v>6</v>
      </c>
      <c r="G21" s="33">
        <v>29</v>
      </c>
      <c r="H21" s="33">
        <v>-23</v>
      </c>
      <c r="I21" s="34" t="s">
        <v>86</v>
      </c>
      <c r="J21" s="33" t="s">
        <v>109</v>
      </c>
      <c r="K21"/>
      <c r="L21" t="s">
        <v>113</v>
      </c>
    </row>
    <row r="22" spans="1:12" ht="43.5" thickBot="1" x14ac:dyDescent="0.25">
      <c r="A22" s="33">
        <v>17</v>
      </c>
      <c r="B22" s="33" t="s">
        <v>33</v>
      </c>
      <c r="C22" s="33">
        <v>0</v>
      </c>
      <c r="D22" s="33">
        <v>6</v>
      </c>
      <c r="E22" s="33">
        <v>0</v>
      </c>
      <c r="F22" s="33">
        <v>10</v>
      </c>
      <c r="G22" s="33">
        <v>30</v>
      </c>
      <c r="H22" s="33">
        <v>-20</v>
      </c>
      <c r="I22" s="34" t="s">
        <v>86</v>
      </c>
      <c r="J22" s="33" t="s">
        <v>102</v>
      </c>
      <c r="K22"/>
      <c r="L22" t="s">
        <v>113</v>
      </c>
    </row>
    <row r="23" spans="1:12" ht="14.95" thickBot="1" x14ac:dyDescent="0.25">
      <c r="A23" s="33">
        <v>18</v>
      </c>
      <c r="B23" s="33" t="s">
        <v>59</v>
      </c>
      <c r="C23" s="33">
        <v>0</v>
      </c>
      <c r="D23" s="33">
        <v>5</v>
      </c>
      <c r="E23" s="33">
        <v>0</v>
      </c>
      <c r="F23" s="33">
        <v>3</v>
      </c>
      <c r="G23" s="33">
        <v>25</v>
      </c>
      <c r="H23" s="33">
        <v>-22</v>
      </c>
      <c r="I23" s="34" t="s">
        <v>86</v>
      </c>
      <c r="J23" s="33" t="s">
        <v>90</v>
      </c>
      <c r="K23"/>
      <c r="L23" t="s">
        <v>113</v>
      </c>
    </row>
    <row r="24" spans="1:12" ht="43.5" thickBot="1" x14ac:dyDescent="0.25">
      <c r="A24" s="33">
        <v>19</v>
      </c>
      <c r="B24" s="33" t="s">
        <v>46</v>
      </c>
      <c r="C24" s="33">
        <v>0</v>
      </c>
      <c r="D24" s="33">
        <v>5</v>
      </c>
      <c r="E24" s="33">
        <v>0</v>
      </c>
      <c r="F24" s="33">
        <v>2</v>
      </c>
      <c r="G24" s="33">
        <v>25</v>
      </c>
      <c r="H24" s="33">
        <v>-23</v>
      </c>
      <c r="I24" s="34" t="s">
        <v>86</v>
      </c>
      <c r="J24" s="33" t="s">
        <v>102</v>
      </c>
      <c r="K24"/>
      <c r="L24" t="s">
        <v>113</v>
      </c>
    </row>
    <row r="25" spans="1:12" x14ac:dyDescent="0.2">
      <c r="A25"/>
      <c r="B25"/>
      <c r="C25"/>
      <c r="D25"/>
      <c r="E25"/>
      <c r="F25"/>
      <c r="G25"/>
      <c r="H25"/>
      <c r="I25"/>
      <c r="J25"/>
      <c r="K25"/>
      <c r="L25"/>
    </row>
    <row r="26" spans="1:12" x14ac:dyDescent="0.2">
      <c r="A26"/>
      <c r="B26"/>
      <c r="C26"/>
      <c r="D26"/>
      <c r="E26"/>
      <c r="F26"/>
      <c r="G26"/>
      <c r="H26"/>
      <c r="I26"/>
      <c r="J26"/>
      <c r="K26"/>
      <c r="L26"/>
    </row>
    <row r="27" spans="1:12" x14ac:dyDescent="0.2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7"/>
    </row>
    <row r="28" spans="1:12" x14ac:dyDescent="0.2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7"/>
    </row>
    <row r="29" spans="1:12" x14ac:dyDescent="0.2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7"/>
    </row>
    <row r="30" spans="1:12" x14ac:dyDescent="0.2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7"/>
    </row>
    <row r="31" spans="1:12" x14ac:dyDescent="0.2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7"/>
    </row>
    <row r="32" spans="1:12" x14ac:dyDescent="0.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7"/>
    </row>
    <row r="33" spans="1:12" x14ac:dyDescent="0.2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7"/>
    </row>
    <row r="34" spans="1:12" x14ac:dyDescent="0.2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7"/>
    </row>
    <row r="35" spans="1:12" x14ac:dyDescent="0.2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7"/>
    </row>
    <row r="36" spans="1:12" x14ac:dyDescent="0.2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7"/>
    </row>
    <row r="37" spans="1:12" x14ac:dyDescent="0.2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7"/>
    </row>
    <row r="38" spans="1:12" x14ac:dyDescent="0.2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7"/>
    </row>
    <row r="39" spans="1:12" x14ac:dyDescent="0.2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7"/>
    </row>
    <row r="40" spans="1:12" x14ac:dyDescent="0.2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7"/>
    </row>
    <row r="41" spans="1:12" x14ac:dyDescent="0.2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7"/>
    </row>
    <row r="42" spans="1:12" x14ac:dyDescent="0.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7"/>
    </row>
    <row r="43" spans="1:12" x14ac:dyDescent="0.2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7"/>
    </row>
    <row r="44" spans="1:12" x14ac:dyDescent="0.2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7"/>
    </row>
    <row r="45" spans="1:12" x14ac:dyDescent="0.2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7"/>
    </row>
    <row r="46" spans="1:12" x14ac:dyDescent="0.2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7"/>
    </row>
    <row r="47" spans="1:12" x14ac:dyDescent="0.2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</row>
    <row r="48" spans="1:12" x14ac:dyDescent="0.2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</row>
    <row r="49" spans="1:12" x14ac:dyDescent="0.2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7"/>
    </row>
    <row r="50" spans="1:12" x14ac:dyDescent="0.2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7"/>
    </row>
  </sheetData>
  <autoFilter ref="A5:L20" xr:uid="{00000000-0009-0000-0000-00000A000000}">
    <sortState xmlns:xlrd2="http://schemas.microsoft.com/office/spreadsheetml/2017/richdata2" ref="A6:L20">
      <sortCondition descending="1" ref="F5:F20"/>
    </sortState>
  </autoFilter>
  <mergeCells count="3">
    <mergeCell ref="A2:B2"/>
    <mergeCell ref="C2:L2"/>
    <mergeCell ref="C3:L3"/>
  </mergeCells>
  <hyperlinks>
    <hyperlink ref="C3" r:id="rId1" xr:uid="{4589F670-09FD-4B00-9522-735EFC12DABD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</sheetPr>
  <dimension ref="A2:L49"/>
  <sheetViews>
    <sheetView workbookViewId="0">
      <selection activeCell="C3" sqref="C3:L3"/>
    </sheetView>
  </sheetViews>
  <sheetFormatPr defaultRowHeight="12.9" x14ac:dyDescent="0.2"/>
  <cols>
    <col min="1" max="1" width="5.75" style="6" bestFit="1" customWidth="1"/>
    <col min="2" max="2" width="18.625" style="6" bestFit="1" customWidth="1"/>
    <col min="3" max="3" width="2.25" style="6" bestFit="1" customWidth="1"/>
    <col min="4" max="4" width="2.375" style="6" bestFit="1" customWidth="1"/>
    <col min="5" max="5" width="8.75" style="6" customWidth="1"/>
    <col min="6" max="6" width="3.25" style="6" bestFit="1" customWidth="1"/>
    <col min="7" max="7" width="3.375" style="6" bestFit="1" customWidth="1"/>
    <col min="8" max="8" width="3.75" style="6" bestFit="1" customWidth="1"/>
    <col min="9" max="9" width="11.25" style="6" customWidth="1"/>
    <col min="10" max="10" width="18.25" style="6" customWidth="1"/>
    <col min="11" max="11" width="7.875" style="6" bestFit="1" customWidth="1"/>
    <col min="12" max="12" width="8.125" style="6" bestFit="1" customWidth="1"/>
  </cols>
  <sheetData>
    <row r="2" spans="1:12" ht="13.6" x14ac:dyDescent="0.2">
      <c r="A2" s="66" t="s">
        <v>72</v>
      </c>
      <c r="B2" s="66"/>
      <c r="C2" s="67" t="s">
        <v>153</v>
      </c>
      <c r="D2" s="67"/>
      <c r="E2" s="67"/>
      <c r="F2" s="67"/>
      <c r="G2" s="67"/>
      <c r="H2" s="67"/>
      <c r="I2" s="67"/>
      <c r="J2" s="67"/>
      <c r="K2" s="67"/>
      <c r="L2" s="67"/>
    </row>
    <row r="3" spans="1:12" ht="13.1" customHeight="1" x14ac:dyDescent="0.2">
      <c r="C3" s="68" t="s">
        <v>154</v>
      </c>
      <c r="D3" s="68"/>
      <c r="E3" s="68"/>
      <c r="F3" s="68"/>
      <c r="G3" s="68"/>
      <c r="H3" s="68"/>
      <c r="I3" s="68"/>
      <c r="J3" s="68"/>
      <c r="K3" s="68"/>
      <c r="L3" s="68"/>
    </row>
    <row r="4" spans="1:12" ht="13.1" customHeight="1" x14ac:dyDescent="0.2">
      <c r="C4" s="10"/>
      <c r="D4" s="10"/>
      <c r="E4" s="10"/>
      <c r="F4" s="10"/>
      <c r="G4" s="10"/>
      <c r="H4" s="10"/>
      <c r="I4" s="10"/>
      <c r="J4" s="10"/>
      <c r="K4" s="10"/>
      <c r="L4" s="10"/>
    </row>
    <row r="5" spans="1:12" ht="14.95" thickBot="1" x14ac:dyDescent="0.25">
      <c r="A5" s="11" t="s">
        <v>76</v>
      </c>
      <c r="B5" s="11" t="s">
        <v>77</v>
      </c>
      <c r="C5" s="11" t="s">
        <v>78</v>
      </c>
      <c r="D5" s="11" t="s">
        <v>79</v>
      </c>
      <c r="E5" s="11" t="s">
        <v>80</v>
      </c>
      <c r="F5" s="11" t="s">
        <v>3</v>
      </c>
      <c r="G5" s="11" t="s">
        <v>81</v>
      </c>
      <c r="H5" s="11" t="s">
        <v>4</v>
      </c>
      <c r="I5" s="11" t="s">
        <v>82</v>
      </c>
      <c r="J5" s="11" t="s">
        <v>83</v>
      </c>
      <c r="K5" s="11" t="s">
        <v>84</v>
      </c>
      <c r="L5" s="11" t="s">
        <v>85</v>
      </c>
    </row>
    <row r="6" spans="1:12" ht="29.25" thickBot="1" x14ac:dyDescent="0.25">
      <c r="A6" s="33">
        <v>1</v>
      </c>
      <c r="B6" s="33" t="s">
        <v>17</v>
      </c>
      <c r="C6" s="33">
        <v>5</v>
      </c>
      <c r="D6" s="33">
        <v>5</v>
      </c>
      <c r="E6" s="33">
        <v>1</v>
      </c>
      <c r="F6" s="33">
        <v>25</v>
      </c>
      <c r="G6" s="33">
        <v>10</v>
      </c>
      <c r="H6" s="33">
        <v>15</v>
      </c>
      <c r="I6" s="34" t="s">
        <v>86</v>
      </c>
      <c r="J6" s="33" t="s">
        <v>130</v>
      </c>
      <c r="K6" s="33"/>
      <c r="L6" s="33" t="s">
        <v>88</v>
      </c>
    </row>
    <row r="7" spans="1:12" ht="14.95" thickBot="1" x14ac:dyDescent="0.25">
      <c r="A7" s="33">
        <v>2</v>
      </c>
      <c r="B7" s="33" t="s">
        <v>15</v>
      </c>
      <c r="C7" s="33">
        <v>5</v>
      </c>
      <c r="D7" s="33">
        <v>5</v>
      </c>
      <c r="E7" s="33">
        <v>1</v>
      </c>
      <c r="F7" s="33">
        <v>25</v>
      </c>
      <c r="G7" s="33">
        <v>13</v>
      </c>
      <c r="H7" s="33">
        <v>12</v>
      </c>
      <c r="I7" s="34" t="s">
        <v>86</v>
      </c>
      <c r="J7" s="33" t="s">
        <v>109</v>
      </c>
      <c r="K7" s="33"/>
      <c r="L7" s="33" t="s">
        <v>88</v>
      </c>
    </row>
    <row r="8" spans="1:12" ht="43.5" thickBot="1" x14ac:dyDescent="0.25">
      <c r="A8" s="33">
        <v>3</v>
      </c>
      <c r="B8" s="33" t="s">
        <v>18</v>
      </c>
      <c r="C8" s="33">
        <v>4</v>
      </c>
      <c r="D8" s="33">
        <v>4</v>
      </c>
      <c r="E8" s="33">
        <v>1</v>
      </c>
      <c r="F8" s="33">
        <v>20</v>
      </c>
      <c r="G8" s="33">
        <v>8</v>
      </c>
      <c r="H8" s="33">
        <v>12</v>
      </c>
      <c r="I8" s="34" t="s">
        <v>86</v>
      </c>
      <c r="J8" s="33" t="s">
        <v>91</v>
      </c>
      <c r="K8" s="33"/>
      <c r="L8" s="33" t="s">
        <v>88</v>
      </c>
    </row>
    <row r="9" spans="1:12" ht="29.25" thickBot="1" x14ac:dyDescent="0.25">
      <c r="A9" s="33">
        <v>4</v>
      </c>
      <c r="B9" s="33" t="s">
        <v>21</v>
      </c>
      <c r="C9" s="33">
        <v>4</v>
      </c>
      <c r="D9" s="33">
        <v>5</v>
      </c>
      <c r="E9" s="33">
        <v>0.8</v>
      </c>
      <c r="F9" s="33">
        <v>22</v>
      </c>
      <c r="G9" s="33">
        <v>10</v>
      </c>
      <c r="H9" s="33">
        <v>12</v>
      </c>
      <c r="I9" s="34" t="s">
        <v>86</v>
      </c>
      <c r="J9" s="33" t="s">
        <v>128</v>
      </c>
      <c r="K9" s="33"/>
      <c r="L9" s="33" t="s">
        <v>88</v>
      </c>
    </row>
    <row r="10" spans="1:12" ht="29.25" thickBot="1" x14ac:dyDescent="0.25">
      <c r="A10" s="33">
        <v>5</v>
      </c>
      <c r="B10" s="33" t="s">
        <v>26</v>
      </c>
      <c r="C10" s="33">
        <v>3</v>
      </c>
      <c r="D10" s="33">
        <v>4</v>
      </c>
      <c r="E10" s="33">
        <v>0.75</v>
      </c>
      <c r="F10" s="33">
        <v>18</v>
      </c>
      <c r="G10" s="33">
        <v>14</v>
      </c>
      <c r="H10" s="33">
        <v>4</v>
      </c>
      <c r="I10" s="34" t="s">
        <v>86</v>
      </c>
      <c r="J10" s="33" t="s">
        <v>130</v>
      </c>
      <c r="K10" s="33"/>
      <c r="L10" s="33" t="s">
        <v>88</v>
      </c>
    </row>
    <row r="11" spans="1:12" ht="29.25" thickBot="1" x14ac:dyDescent="0.25">
      <c r="A11" s="33">
        <v>6</v>
      </c>
      <c r="B11" s="33" t="s">
        <v>37</v>
      </c>
      <c r="C11" s="33">
        <v>3</v>
      </c>
      <c r="D11" s="33">
        <v>5</v>
      </c>
      <c r="E11" s="33">
        <v>0.6</v>
      </c>
      <c r="F11" s="33">
        <v>18</v>
      </c>
      <c r="G11" s="33">
        <v>11</v>
      </c>
      <c r="H11" s="33">
        <v>7</v>
      </c>
      <c r="I11" s="34" t="s">
        <v>86</v>
      </c>
      <c r="J11" s="33" t="s">
        <v>130</v>
      </c>
      <c r="K11" s="33"/>
      <c r="L11" s="33" t="s">
        <v>88</v>
      </c>
    </row>
    <row r="12" spans="1:12" ht="29.25" thickBot="1" x14ac:dyDescent="0.25">
      <c r="A12" s="33">
        <v>7</v>
      </c>
      <c r="B12" s="33" t="s">
        <v>25</v>
      </c>
      <c r="C12" s="33">
        <v>3</v>
      </c>
      <c r="D12" s="33">
        <v>5</v>
      </c>
      <c r="E12" s="33">
        <v>0.6</v>
      </c>
      <c r="F12" s="33">
        <v>21</v>
      </c>
      <c r="G12" s="33">
        <v>15</v>
      </c>
      <c r="H12" s="33">
        <v>6</v>
      </c>
      <c r="I12" s="34" t="s">
        <v>86</v>
      </c>
      <c r="J12" s="33" t="s">
        <v>95</v>
      </c>
      <c r="K12" s="33"/>
      <c r="L12" s="33" t="s">
        <v>88</v>
      </c>
    </row>
    <row r="13" spans="1:12" ht="29.25" thickBot="1" x14ac:dyDescent="0.25">
      <c r="A13" s="33">
        <v>8</v>
      </c>
      <c r="B13" s="33" t="s">
        <v>23</v>
      </c>
      <c r="C13" s="33">
        <v>3</v>
      </c>
      <c r="D13" s="33">
        <v>5</v>
      </c>
      <c r="E13" s="33">
        <v>0.6</v>
      </c>
      <c r="F13" s="33">
        <v>15</v>
      </c>
      <c r="G13" s="33">
        <v>13</v>
      </c>
      <c r="H13" s="33">
        <v>2</v>
      </c>
      <c r="I13" s="34" t="s">
        <v>86</v>
      </c>
      <c r="J13" s="33" t="s">
        <v>130</v>
      </c>
      <c r="K13" s="33"/>
      <c r="L13" s="33" t="s">
        <v>88</v>
      </c>
    </row>
    <row r="14" spans="1:12" ht="29.25" thickBot="1" x14ac:dyDescent="0.25">
      <c r="A14" s="33">
        <v>9</v>
      </c>
      <c r="B14" s="33" t="s">
        <v>22</v>
      </c>
      <c r="C14" s="33">
        <v>2</v>
      </c>
      <c r="D14" s="33">
        <v>4</v>
      </c>
      <c r="E14" s="33">
        <v>0.5</v>
      </c>
      <c r="F14" s="33">
        <v>17</v>
      </c>
      <c r="G14" s="33">
        <v>11</v>
      </c>
      <c r="H14" s="33">
        <v>6</v>
      </c>
      <c r="I14" s="34" t="s">
        <v>86</v>
      </c>
      <c r="J14" s="33" t="s">
        <v>95</v>
      </c>
      <c r="K14" s="33"/>
      <c r="L14" s="33" t="s">
        <v>88</v>
      </c>
    </row>
    <row r="15" spans="1:12" ht="14.95" thickBot="1" x14ac:dyDescent="0.25">
      <c r="A15" s="33">
        <v>10</v>
      </c>
      <c r="B15" s="33" t="s">
        <v>14</v>
      </c>
      <c r="C15" s="33">
        <v>2</v>
      </c>
      <c r="D15" s="33">
        <v>5</v>
      </c>
      <c r="E15" s="33">
        <v>0.4</v>
      </c>
      <c r="F15" s="33">
        <v>18</v>
      </c>
      <c r="G15" s="33">
        <v>17</v>
      </c>
      <c r="H15" s="33">
        <v>1</v>
      </c>
      <c r="I15" s="34" t="s">
        <v>86</v>
      </c>
      <c r="J15" s="33" t="s">
        <v>87</v>
      </c>
      <c r="K15" s="33"/>
      <c r="L15" s="33" t="s">
        <v>88</v>
      </c>
    </row>
    <row r="16" spans="1:12" ht="29.25" thickBot="1" x14ac:dyDescent="0.25">
      <c r="A16" s="33">
        <v>11</v>
      </c>
      <c r="B16" s="33" t="s">
        <v>45</v>
      </c>
      <c r="C16" s="33">
        <v>2</v>
      </c>
      <c r="D16" s="33">
        <v>5</v>
      </c>
      <c r="E16" s="33">
        <v>0.4</v>
      </c>
      <c r="F16" s="33">
        <v>15</v>
      </c>
      <c r="G16" s="33">
        <v>18</v>
      </c>
      <c r="H16" s="33">
        <v>-3</v>
      </c>
      <c r="I16" s="34" t="s">
        <v>86</v>
      </c>
      <c r="J16" s="33" t="s">
        <v>130</v>
      </c>
      <c r="K16" s="33"/>
      <c r="L16" s="33" t="s">
        <v>88</v>
      </c>
    </row>
    <row r="17" spans="1:12" ht="29.25" thickBot="1" x14ac:dyDescent="0.25">
      <c r="A17" s="33">
        <v>12</v>
      </c>
      <c r="B17" s="33" t="s">
        <v>29</v>
      </c>
      <c r="C17" s="33">
        <v>1</v>
      </c>
      <c r="D17" s="33">
        <v>4</v>
      </c>
      <c r="E17" s="33">
        <v>0.25</v>
      </c>
      <c r="F17" s="33">
        <v>10</v>
      </c>
      <c r="G17" s="33">
        <v>18</v>
      </c>
      <c r="H17" s="33">
        <v>-8</v>
      </c>
      <c r="I17" s="34" t="s">
        <v>86</v>
      </c>
      <c r="J17" s="33" t="s">
        <v>99</v>
      </c>
      <c r="K17" s="33"/>
      <c r="L17" s="33" t="s">
        <v>88</v>
      </c>
    </row>
    <row r="18" spans="1:12" ht="43.5" thickBot="1" x14ac:dyDescent="0.25">
      <c r="A18" s="33">
        <v>13</v>
      </c>
      <c r="B18" s="33" t="s">
        <v>27</v>
      </c>
      <c r="C18" s="33">
        <v>1</v>
      </c>
      <c r="D18" s="33">
        <v>5</v>
      </c>
      <c r="E18" s="33">
        <v>0.2</v>
      </c>
      <c r="F18" s="33">
        <v>13</v>
      </c>
      <c r="G18" s="33">
        <v>23</v>
      </c>
      <c r="H18" s="33">
        <v>-10</v>
      </c>
      <c r="I18" s="34" t="s">
        <v>86</v>
      </c>
      <c r="J18" s="33" t="s">
        <v>91</v>
      </c>
      <c r="K18" s="33"/>
      <c r="L18" s="33" t="s">
        <v>88</v>
      </c>
    </row>
    <row r="19" spans="1:12" ht="14.95" thickBot="1" x14ac:dyDescent="0.25">
      <c r="A19" s="33">
        <v>14</v>
      </c>
      <c r="B19" s="33" t="s">
        <v>51</v>
      </c>
      <c r="C19" s="33">
        <v>1</v>
      </c>
      <c r="D19" s="33">
        <v>5</v>
      </c>
      <c r="E19" s="33">
        <v>0.2</v>
      </c>
      <c r="F19" s="33">
        <v>11</v>
      </c>
      <c r="G19" s="33">
        <v>22</v>
      </c>
      <c r="H19" s="33">
        <v>-11</v>
      </c>
      <c r="I19" s="34" t="s">
        <v>86</v>
      </c>
      <c r="J19" s="33" t="s">
        <v>109</v>
      </c>
      <c r="K19" s="33"/>
      <c r="L19" s="33" t="s">
        <v>88</v>
      </c>
    </row>
    <row r="20" spans="1:12" ht="43.5" thickBot="1" x14ac:dyDescent="0.25">
      <c r="A20" s="33">
        <v>15</v>
      </c>
      <c r="B20" s="33" t="s">
        <v>34</v>
      </c>
      <c r="C20" s="33">
        <v>1</v>
      </c>
      <c r="D20" s="33">
        <v>5</v>
      </c>
      <c r="E20" s="33">
        <v>0.2</v>
      </c>
      <c r="F20" s="33">
        <v>11</v>
      </c>
      <c r="G20" s="33">
        <v>23</v>
      </c>
      <c r="H20" s="33">
        <v>-12</v>
      </c>
      <c r="I20" s="34" t="s">
        <v>86</v>
      </c>
      <c r="J20" s="33" t="s">
        <v>102</v>
      </c>
      <c r="K20" s="33"/>
      <c r="L20" s="33" t="s">
        <v>88</v>
      </c>
    </row>
    <row r="21" spans="1:12" ht="29.25" thickBot="1" x14ac:dyDescent="0.25">
      <c r="A21" s="33">
        <v>16</v>
      </c>
      <c r="B21" s="33" t="s">
        <v>28</v>
      </c>
      <c r="C21" s="33">
        <v>0</v>
      </c>
      <c r="D21" s="33">
        <v>4</v>
      </c>
      <c r="E21" s="33">
        <v>0</v>
      </c>
      <c r="F21" s="33">
        <v>6</v>
      </c>
      <c r="G21" s="33">
        <v>20</v>
      </c>
      <c r="H21" s="33">
        <v>-14</v>
      </c>
      <c r="I21" s="34" t="s">
        <v>86</v>
      </c>
      <c r="J21" s="33" t="s">
        <v>155</v>
      </c>
      <c r="K21" s="33"/>
      <c r="L21" s="33" t="s">
        <v>88</v>
      </c>
    </row>
    <row r="22" spans="1:12" ht="29.25" thickBot="1" x14ac:dyDescent="0.25">
      <c r="A22" s="33">
        <v>17</v>
      </c>
      <c r="B22" s="33" t="s">
        <v>54</v>
      </c>
      <c r="C22" s="33">
        <v>0</v>
      </c>
      <c r="D22" s="33">
        <v>5</v>
      </c>
      <c r="E22" s="33">
        <v>0</v>
      </c>
      <c r="F22" s="33">
        <v>6</v>
      </c>
      <c r="G22" s="33">
        <v>25</v>
      </c>
      <c r="H22" s="33">
        <v>-19</v>
      </c>
      <c r="I22" s="34" t="s">
        <v>86</v>
      </c>
      <c r="J22" s="33" t="s">
        <v>155</v>
      </c>
      <c r="K22" s="33"/>
      <c r="L22" s="33" t="s">
        <v>88</v>
      </c>
    </row>
    <row r="23" spans="1:12" x14ac:dyDescent="0.2">
      <c r="A23" s="8"/>
      <c r="B23" s="8"/>
      <c r="C23" s="8"/>
      <c r="D23" s="8"/>
      <c r="E23" s="8"/>
      <c r="F23" s="8"/>
      <c r="G23" s="7"/>
      <c r="H23" s="8"/>
      <c r="I23" s="7"/>
      <c r="J23" s="7"/>
      <c r="K23" s="7"/>
      <c r="L23" s="7"/>
    </row>
    <row r="24" spans="1:12" x14ac:dyDescent="0.2">
      <c r="A24" s="8"/>
      <c r="B24" s="8"/>
      <c r="C24" s="8"/>
      <c r="D24" s="8"/>
      <c r="E24" s="8"/>
      <c r="F24" s="8"/>
      <c r="G24" s="7"/>
      <c r="H24" s="8"/>
      <c r="I24" s="7"/>
      <c r="J24" s="7"/>
      <c r="K24" s="7"/>
      <c r="L24" s="7"/>
    </row>
    <row r="25" spans="1:12" x14ac:dyDescent="0.2">
      <c r="A25" s="8"/>
      <c r="B25" s="8"/>
      <c r="C25" s="8"/>
      <c r="D25" s="8"/>
      <c r="E25" s="8"/>
      <c r="F25" s="8"/>
      <c r="G25" s="7"/>
      <c r="H25" s="8"/>
      <c r="I25" s="7"/>
      <c r="J25" s="7"/>
      <c r="K25" s="7"/>
      <c r="L25" s="7"/>
    </row>
    <row r="26" spans="1:12" x14ac:dyDescent="0.2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</row>
    <row r="27" spans="1:12" x14ac:dyDescent="0.2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</row>
    <row r="28" spans="1:12" x14ac:dyDescent="0.2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</row>
    <row r="29" spans="1:12" x14ac:dyDescent="0.2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</row>
    <row r="30" spans="1:12" x14ac:dyDescent="0.2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</row>
    <row r="31" spans="1:12" x14ac:dyDescent="0.2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</row>
    <row r="32" spans="1:12" x14ac:dyDescent="0.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</row>
    <row r="33" spans="1:12" x14ac:dyDescent="0.2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</row>
    <row r="34" spans="1:12" x14ac:dyDescent="0.2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</row>
    <row r="35" spans="1:12" x14ac:dyDescent="0.2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</row>
    <row r="36" spans="1:12" x14ac:dyDescent="0.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</row>
    <row r="37" spans="1:12" x14ac:dyDescent="0.2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</row>
    <row r="38" spans="1:12" x14ac:dyDescent="0.2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</row>
    <row r="39" spans="1:12" x14ac:dyDescent="0.2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</row>
    <row r="40" spans="1:12" x14ac:dyDescent="0.2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</row>
    <row r="41" spans="1:12" x14ac:dyDescent="0.2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</row>
    <row r="42" spans="1:12" x14ac:dyDescent="0.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</row>
    <row r="43" spans="1:12" x14ac:dyDescent="0.2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</row>
    <row r="44" spans="1:12" x14ac:dyDescent="0.2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</row>
    <row r="45" spans="1:12" x14ac:dyDescent="0.2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</row>
    <row r="46" spans="1:12" x14ac:dyDescent="0.2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</row>
    <row r="47" spans="1:12" x14ac:dyDescent="0.2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</row>
    <row r="48" spans="1:12" x14ac:dyDescent="0.2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</row>
    <row r="49" spans="1:12" x14ac:dyDescent="0.2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</row>
  </sheetData>
  <autoFilter ref="A5:L5" xr:uid="{00000000-0009-0000-0000-00000B000000}">
    <sortState xmlns:xlrd2="http://schemas.microsoft.com/office/spreadsheetml/2017/richdata2" ref="A6:L50">
      <sortCondition ref="A5"/>
    </sortState>
  </autoFilter>
  <mergeCells count="3">
    <mergeCell ref="A2:B2"/>
    <mergeCell ref="C2:L2"/>
    <mergeCell ref="C3:L3"/>
  </mergeCells>
  <hyperlinks>
    <hyperlink ref="C3" r:id="rId1" xr:uid="{7B09DC37-6A04-46A6-9E05-4E1C1C553B50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</sheetPr>
  <dimension ref="A2:L49"/>
  <sheetViews>
    <sheetView workbookViewId="0">
      <selection activeCell="C2" sqref="C2:L3"/>
    </sheetView>
  </sheetViews>
  <sheetFormatPr defaultRowHeight="12.9" x14ac:dyDescent="0.2"/>
  <cols>
    <col min="1" max="1" width="5.75" style="6" bestFit="1" customWidth="1"/>
    <col min="2" max="2" width="18.875" style="6" customWidth="1"/>
    <col min="3" max="3" width="3.25" style="6" customWidth="1"/>
    <col min="4" max="4" width="2.375" style="6" bestFit="1" customWidth="1"/>
    <col min="5" max="5" width="8.75" style="6" customWidth="1"/>
    <col min="6" max="6" width="3.25" style="6" bestFit="1" customWidth="1"/>
    <col min="7" max="7" width="3.375" style="6" bestFit="1" customWidth="1"/>
    <col min="8" max="8" width="3.75" style="6" bestFit="1" customWidth="1"/>
    <col min="9" max="9" width="11.25" style="6" customWidth="1"/>
    <col min="10" max="10" width="18.25" style="6" customWidth="1"/>
    <col min="11" max="11" width="7.875" style="6" bestFit="1" customWidth="1"/>
    <col min="12" max="12" width="8.125" style="6" bestFit="1" customWidth="1"/>
  </cols>
  <sheetData>
    <row r="2" spans="1:12" ht="13.6" x14ac:dyDescent="0.2">
      <c r="A2" s="66" t="s">
        <v>72</v>
      </c>
      <c r="B2" s="66"/>
      <c r="C2" s="67" t="s">
        <v>153</v>
      </c>
      <c r="D2" s="67"/>
      <c r="E2" s="67"/>
      <c r="F2" s="67"/>
      <c r="G2" s="67"/>
      <c r="H2" s="67"/>
      <c r="I2" s="67"/>
      <c r="J2" s="67"/>
      <c r="K2" s="67"/>
      <c r="L2" s="67"/>
    </row>
    <row r="3" spans="1:12" ht="13.1" customHeight="1" x14ac:dyDescent="0.2">
      <c r="C3" s="68" t="s">
        <v>156</v>
      </c>
      <c r="D3" s="68"/>
      <c r="E3" s="68"/>
      <c r="F3" s="68"/>
      <c r="G3" s="68"/>
      <c r="H3" s="68"/>
      <c r="I3" s="68"/>
      <c r="J3" s="68"/>
      <c r="K3" s="68"/>
      <c r="L3" s="68"/>
    </row>
    <row r="4" spans="1:12" ht="13.1" customHeight="1" x14ac:dyDescent="0.2">
      <c r="C4" s="10"/>
      <c r="D4" s="10"/>
      <c r="E4" s="10"/>
      <c r="F4" s="10"/>
      <c r="G4" s="10"/>
      <c r="H4" s="10"/>
      <c r="I4" s="10"/>
      <c r="J4" s="10"/>
      <c r="K4" s="10"/>
      <c r="L4" s="10"/>
    </row>
    <row r="5" spans="1:12" ht="14.95" thickBot="1" x14ac:dyDescent="0.25">
      <c r="A5" s="11" t="s">
        <v>76</v>
      </c>
      <c r="B5" s="11" t="s">
        <v>77</v>
      </c>
      <c r="C5" s="11" t="s">
        <v>78</v>
      </c>
      <c r="D5" s="11" t="s">
        <v>79</v>
      </c>
      <c r="E5" s="11" t="s">
        <v>80</v>
      </c>
      <c r="F5" s="11" t="s">
        <v>3</v>
      </c>
      <c r="G5" s="11" t="s">
        <v>81</v>
      </c>
      <c r="H5" s="11" t="s">
        <v>4</v>
      </c>
      <c r="I5" s="11" t="s">
        <v>82</v>
      </c>
      <c r="J5" s="11" t="s">
        <v>83</v>
      </c>
      <c r="K5" s="11" t="s">
        <v>84</v>
      </c>
      <c r="L5" s="11" t="s">
        <v>85</v>
      </c>
    </row>
    <row r="6" spans="1:12" ht="29.25" thickBot="1" x14ac:dyDescent="0.25">
      <c r="A6" s="33" t="s">
        <v>127</v>
      </c>
      <c r="B6" s="33" t="s">
        <v>37</v>
      </c>
      <c r="C6" s="33">
        <v>5</v>
      </c>
      <c r="D6" s="33">
        <v>5</v>
      </c>
      <c r="E6" s="33">
        <v>1</v>
      </c>
      <c r="F6" s="33">
        <v>25</v>
      </c>
      <c r="G6" s="33">
        <v>8</v>
      </c>
      <c r="H6" s="33">
        <v>17</v>
      </c>
      <c r="I6" s="34" t="s">
        <v>86</v>
      </c>
      <c r="J6" s="33" t="s">
        <v>130</v>
      </c>
      <c r="K6" s="33"/>
      <c r="L6" s="33" t="s">
        <v>88</v>
      </c>
    </row>
    <row r="7" spans="1:12" ht="29.25" thickBot="1" x14ac:dyDescent="0.25">
      <c r="A7" s="33" t="s">
        <v>127</v>
      </c>
      <c r="B7" s="33" t="s">
        <v>23</v>
      </c>
      <c r="C7" s="33">
        <v>5</v>
      </c>
      <c r="D7" s="33">
        <v>5</v>
      </c>
      <c r="E7" s="33">
        <v>1</v>
      </c>
      <c r="F7" s="33">
        <v>25</v>
      </c>
      <c r="G7" s="33">
        <v>8</v>
      </c>
      <c r="H7" s="33">
        <v>17</v>
      </c>
      <c r="I7" s="34" t="s">
        <v>86</v>
      </c>
      <c r="J7" s="33" t="s">
        <v>130</v>
      </c>
      <c r="K7" s="33"/>
      <c r="L7" s="33" t="s">
        <v>88</v>
      </c>
    </row>
    <row r="8" spans="1:12" ht="29.25" thickBot="1" x14ac:dyDescent="0.25">
      <c r="A8" s="33">
        <v>3</v>
      </c>
      <c r="B8" s="33" t="s">
        <v>26</v>
      </c>
      <c r="C8" s="33">
        <v>4</v>
      </c>
      <c r="D8" s="33">
        <v>5</v>
      </c>
      <c r="E8" s="33">
        <v>0.8</v>
      </c>
      <c r="F8" s="33">
        <v>24</v>
      </c>
      <c r="G8" s="33">
        <v>7</v>
      </c>
      <c r="H8" s="33">
        <v>17</v>
      </c>
      <c r="I8" s="34" t="s">
        <v>86</v>
      </c>
      <c r="J8" s="33" t="s">
        <v>130</v>
      </c>
      <c r="K8" s="33"/>
      <c r="L8" s="33" t="s">
        <v>88</v>
      </c>
    </row>
    <row r="9" spans="1:12" ht="29.25" thickBot="1" x14ac:dyDescent="0.25">
      <c r="A9" s="33">
        <v>4</v>
      </c>
      <c r="B9" s="33" t="s">
        <v>25</v>
      </c>
      <c r="C9" s="33">
        <v>4</v>
      </c>
      <c r="D9" s="33">
        <v>5</v>
      </c>
      <c r="E9" s="33">
        <v>0.8</v>
      </c>
      <c r="F9" s="33">
        <v>20</v>
      </c>
      <c r="G9" s="33">
        <v>8</v>
      </c>
      <c r="H9" s="33">
        <v>12</v>
      </c>
      <c r="I9" s="34" t="s">
        <v>86</v>
      </c>
      <c r="J9" s="33" t="s">
        <v>95</v>
      </c>
      <c r="K9" s="33"/>
      <c r="L9" s="33" t="s">
        <v>88</v>
      </c>
    </row>
    <row r="10" spans="1:12" ht="29.25" thickBot="1" x14ac:dyDescent="0.25">
      <c r="A10" s="33">
        <v>5</v>
      </c>
      <c r="B10" s="33" t="s">
        <v>21</v>
      </c>
      <c r="C10" s="33">
        <v>3</v>
      </c>
      <c r="D10" s="33">
        <v>4</v>
      </c>
      <c r="E10" s="33">
        <v>0.75</v>
      </c>
      <c r="F10" s="33">
        <v>19</v>
      </c>
      <c r="G10" s="33">
        <v>10</v>
      </c>
      <c r="H10" s="33">
        <v>9</v>
      </c>
      <c r="I10" s="34" t="s">
        <v>86</v>
      </c>
      <c r="J10" s="33" t="s">
        <v>128</v>
      </c>
      <c r="K10" s="33"/>
      <c r="L10" s="33" t="s">
        <v>88</v>
      </c>
    </row>
    <row r="11" spans="1:12" ht="14.95" thickBot="1" x14ac:dyDescent="0.25">
      <c r="A11" s="33" t="s">
        <v>157</v>
      </c>
      <c r="B11" s="33" t="s">
        <v>14</v>
      </c>
      <c r="C11" s="33">
        <v>3</v>
      </c>
      <c r="D11" s="33">
        <v>4</v>
      </c>
      <c r="E11" s="33">
        <v>0.75</v>
      </c>
      <c r="F11" s="33">
        <v>16</v>
      </c>
      <c r="G11" s="33">
        <v>13</v>
      </c>
      <c r="H11" s="33">
        <v>3</v>
      </c>
      <c r="I11" s="34" t="s">
        <v>86</v>
      </c>
      <c r="J11" s="33" t="s">
        <v>87</v>
      </c>
      <c r="K11" s="33"/>
      <c r="L11" s="33" t="s">
        <v>88</v>
      </c>
    </row>
    <row r="12" spans="1:12" ht="43.5" thickBot="1" x14ac:dyDescent="0.25">
      <c r="A12" s="33" t="s">
        <v>157</v>
      </c>
      <c r="B12" s="33" t="s">
        <v>18</v>
      </c>
      <c r="C12" s="33">
        <v>3</v>
      </c>
      <c r="D12" s="33">
        <v>4</v>
      </c>
      <c r="E12" s="33">
        <v>0.75</v>
      </c>
      <c r="F12" s="33">
        <v>16</v>
      </c>
      <c r="G12" s="33">
        <v>13</v>
      </c>
      <c r="H12" s="33">
        <v>3</v>
      </c>
      <c r="I12" s="34" t="s">
        <v>86</v>
      </c>
      <c r="J12" s="33" t="s">
        <v>91</v>
      </c>
      <c r="K12" s="33"/>
      <c r="L12" s="33" t="s">
        <v>88</v>
      </c>
    </row>
    <row r="13" spans="1:12" ht="29.25" thickBot="1" x14ac:dyDescent="0.25">
      <c r="A13" s="33">
        <v>8</v>
      </c>
      <c r="B13" s="33" t="s">
        <v>17</v>
      </c>
      <c r="C13" s="33">
        <v>3</v>
      </c>
      <c r="D13" s="33">
        <v>5</v>
      </c>
      <c r="E13" s="33">
        <v>0.6</v>
      </c>
      <c r="F13" s="33">
        <v>21</v>
      </c>
      <c r="G13" s="33">
        <v>13</v>
      </c>
      <c r="H13" s="33">
        <v>8</v>
      </c>
      <c r="I13" s="34" t="s">
        <v>86</v>
      </c>
      <c r="J13" s="33" t="s">
        <v>130</v>
      </c>
      <c r="K13" s="33"/>
      <c r="L13" s="33" t="s">
        <v>88</v>
      </c>
    </row>
    <row r="14" spans="1:12" ht="14.95" thickBot="1" x14ac:dyDescent="0.25">
      <c r="A14" s="33">
        <v>9</v>
      </c>
      <c r="B14" s="33" t="s">
        <v>15</v>
      </c>
      <c r="C14" s="33">
        <v>3</v>
      </c>
      <c r="D14" s="33">
        <v>5</v>
      </c>
      <c r="E14" s="33">
        <v>0.6</v>
      </c>
      <c r="F14" s="33">
        <v>19</v>
      </c>
      <c r="G14" s="33">
        <v>13</v>
      </c>
      <c r="H14" s="33">
        <v>6</v>
      </c>
      <c r="I14" s="34" t="s">
        <v>86</v>
      </c>
      <c r="J14" s="33" t="s">
        <v>109</v>
      </c>
      <c r="K14" s="33"/>
      <c r="L14" s="33" t="s">
        <v>88</v>
      </c>
    </row>
    <row r="15" spans="1:12" ht="29.25" thickBot="1" x14ac:dyDescent="0.25">
      <c r="A15" s="33">
        <v>10</v>
      </c>
      <c r="B15" s="33" t="s">
        <v>28</v>
      </c>
      <c r="C15" s="33">
        <v>2</v>
      </c>
      <c r="D15" s="33">
        <v>5</v>
      </c>
      <c r="E15" s="33">
        <v>0.4</v>
      </c>
      <c r="F15" s="33">
        <v>14</v>
      </c>
      <c r="G15" s="33">
        <v>14</v>
      </c>
      <c r="H15" s="33">
        <v>0</v>
      </c>
      <c r="I15" s="34" t="s">
        <v>86</v>
      </c>
      <c r="J15" s="33" t="s">
        <v>155</v>
      </c>
      <c r="K15" s="33"/>
      <c r="L15" s="33" t="s">
        <v>88</v>
      </c>
    </row>
    <row r="16" spans="1:12" ht="29.25" thickBot="1" x14ac:dyDescent="0.25">
      <c r="A16" s="33">
        <v>11</v>
      </c>
      <c r="B16" s="33" t="s">
        <v>29</v>
      </c>
      <c r="C16" s="33">
        <v>2</v>
      </c>
      <c r="D16" s="33">
        <v>5</v>
      </c>
      <c r="E16" s="33">
        <v>0.4</v>
      </c>
      <c r="F16" s="33">
        <v>13</v>
      </c>
      <c r="G16" s="33">
        <v>19</v>
      </c>
      <c r="H16" s="33">
        <v>-6</v>
      </c>
      <c r="I16" s="34" t="s">
        <v>86</v>
      </c>
      <c r="J16" s="33" t="s">
        <v>99</v>
      </c>
      <c r="K16" s="33"/>
      <c r="L16" s="33" t="s">
        <v>88</v>
      </c>
    </row>
    <row r="17" spans="1:12" ht="29.25" thickBot="1" x14ac:dyDescent="0.25">
      <c r="A17" s="33">
        <v>12</v>
      </c>
      <c r="B17" s="33" t="s">
        <v>45</v>
      </c>
      <c r="C17" s="33">
        <v>1</v>
      </c>
      <c r="D17" s="33">
        <v>4</v>
      </c>
      <c r="E17" s="33">
        <v>0.25</v>
      </c>
      <c r="F17" s="33">
        <v>12</v>
      </c>
      <c r="G17" s="33">
        <v>18</v>
      </c>
      <c r="H17" s="33">
        <v>-6</v>
      </c>
      <c r="I17" s="34" t="s">
        <v>86</v>
      </c>
      <c r="J17" s="33" t="s">
        <v>130</v>
      </c>
      <c r="K17" s="33"/>
      <c r="L17" s="33" t="s">
        <v>88</v>
      </c>
    </row>
    <row r="18" spans="1:12" ht="43.5" thickBot="1" x14ac:dyDescent="0.25">
      <c r="A18" s="33">
        <v>13</v>
      </c>
      <c r="B18" s="33" t="s">
        <v>34</v>
      </c>
      <c r="C18" s="33">
        <v>1</v>
      </c>
      <c r="D18" s="33">
        <v>5</v>
      </c>
      <c r="E18" s="33">
        <v>0.2</v>
      </c>
      <c r="F18" s="33">
        <v>9</v>
      </c>
      <c r="G18" s="33">
        <v>22</v>
      </c>
      <c r="H18" s="33">
        <v>-13</v>
      </c>
      <c r="I18" s="34" t="s">
        <v>86</v>
      </c>
      <c r="J18" s="33" t="s">
        <v>102</v>
      </c>
      <c r="K18" s="33"/>
      <c r="L18" s="33" t="s">
        <v>88</v>
      </c>
    </row>
    <row r="19" spans="1:12" ht="43.5" thickBot="1" x14ac:dyDescent="0.25">
      <c r="A19" s="33">
        <v>14</v>
      </c>
      <c r="B19" s="33" t="s">
        <v>27</v>
      </c>
      <c r="C19" s="33">
        <v>1</v>
      </c>
      <c r="D19" s="33">
        <v>5</v>
      </c>
      <c r="E19" s="33">
        <v>0.2</v>
      </c>
      <c r="F19" s="33">
        <v>7</v>
      </c>
      <c r="G19" s="33">
        <v>22</v>
      </c>
      <c r="H19" s="33">
        <v>-15</v>
      </c>
      <c r="I19" s="34" t="s">
        <v>86</v>
      </c>
      <c r="J19" s="33" t="s">
        <v>91</v>
      </c>
      <c r="K19" s="33"/>
      <c r="L19" s="33" t="s">
        <v>88</v>
      </c>
    </row>
    <row r="20" spans="1:12" ht="29.25" thickBot="1" x14ac:dyDescent="0.25">
      <c r="A20" s="33">
        <v>15</v>
      </c>
      <c r="B20" s="33" t="s">
        <v>22</v>
      </c>
      <c r="C20" s="33">
        <v>0</v>
      </c>
      <c r="D20" s="33">
        <v>4</v>
      </c>
      <c r="E20" s="33">
        <v>0</v>
      </c>
      <c r="F20" s="33">
        <v>11</v>
      </c>
      <c r="G20" s="33">
        <v>20</v>
      </c>
      <c r="H20" s="33">
        <v>-9</v>
      </c>
      <c r="I20" s="34" t="s">
        <v>86</v>
      </c>
      <c r="J20" s="33" t="s">
        <v>95</v>
      </c>
      <c r="K20" s="33"/>
      <c r="L20" s="33" t="s">
        <v>88</v>
      </c>
    </row>
    <row r="21" spans="1:12" ht="29.25" thickBot="1" x14ac:dyDescent="0.25">
      <c r="A21" s="33">
        <v>16</v>
      </c>
      <c r="B21" s="33" t="s">
        <v>54</v>
      </c>
      <c r="C21" s="33">
        <v>0</v>
      </c>
      <c r="D21" s="33">
        <v>5</v>
      </c>
      <c r="E21" s="33">
        <v>0</v>
      </c>
      <c r="F21" s="33">
        <v>4</v>
      </c>
      <c r="G21" s="33">
        <v>25</v>
      </c>
      <c r="H21" s="33">
        <v>-21</v>
      </c>
      <c r="I21" s="34" t="s">
        <v>86</v>
      </c>
      <c r="J21" s="33" t="s">
        <v>155</v>
      </c>
      <c r="K21" s="33"/>
      <c r="L21" s="33" t="s">
        <v>88</v>
      </c>
    </row>
    <row r="22" spans="1:12" ht="14.95" thickBot="1" x14ac:dyDescent="0.25">
      <c r="A22" s="33">
        <v>17</v>
      </c>
      <c r="B22" s="33" t="s">
        <v>51</v>
      </c>
      <c r="C22" s="33">
        <v>0</v>
      </c>
      <c r="D22" s="33">
        <v>5</v>
      </c>
      <c r="E22" s="33">
        <v>0</v>
      </c>
      <c r="F22" s="33">
        <v>3</v>
      </c>
      <c r="G22" s="33">
        <v>25</v>
      </c>
      <c r="H22" s="33">
        <v>-22</v>
      </c>
      <c r="I22" s="34" t="s">
        <v>86</v>
      </c>
      <c r="J22" s="33" t="s">
        <v>109</v>
      </c>
      <c r="K22" s="33"/>
      <c r="L22" s="33" t="s">
        <v>88</v>
      </c>
    </row>
    <row r="23" spans="1:12" x14ac:dyDescent="0.2">
      <c r="A23" s="8"/>
      <c r="B23" s="8"/>
      <c r="C23" s="8"/>
      <c r="D23" s="8"/>
      <c r="E23" s="8"/>
      <c r="F23" s="8"/>
      <c r="G23" s="7"/>
      <c r="H23" s="8"/>
      <c r="I23" s="7"/>
      <c r="J23" s="7"/>
      <c r="K23" s="7"/>
      <c r="L23" s="7"/>
    </row>
    <row r="24" spans="1:12" x14ac:dyDescent="0.2">
      <c r="A24" s="8"/>
      <c r="B24" s="8"/>
      <c r="C24" s="8"/>
      <c r="D24" s="8"/>
      <c r="E24" s="8"/>
      <c r="F24" s="8"/>
      <c r="G24" s="7"/>
      <c r="H24" s="8"/>
      <c r="I24" s="7"/>
      <c r="J24" s="7"/>
      <c r="K24" s="7"/>
      <c r="L24" s="7"/>
    </row>
    <row r="25" spans="1:12" x14ac:dyDescent="0.2">
      <c r="A25" s="8"/>
      <c r="B25" s="8"/>
      <c r="C25" s="8"/>
      <c r="D25" s="8"/>
      <c r="E25" s="8"/>
      <c r="F25" s="8"/>
      <c r="G25" s="7"/>
      <c r="H25" s="8"/>
      <c r="I25" s="7"/>
      <c r="J25" s="7"/>
      <c r="K25" s="7"/>
      <c r="L25" s="7"/>
    </row>
    <row r="26" spans="1:12" x14ac:dyDescent="0.2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</row>
    <row r="27" spans="1:12" x14ac:dyDescent="0.2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</row>
    <row r="28" spans="1:12" x14ac:dyDescent="0.2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</row>
    <row r="29" spans="1:12" x14ac:dyDescent="0.2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</row>
    <row r="30" spans="1:12" x14ac:dyDescent="0.2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</row>
    <row r="31" spans="1:12" x14ac:dyDescent="0.2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</row>
    <row r="32" spans="1:12" x14ac:dyDescent="0.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</row>
    <row r="33" spans="1:12" x14ac:dyDescent="0.2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</row>
    <row r="34" spans="1:12" x14ac:dyDescent="0.2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</row>
    <row r="35" spans="1:12" x14ac:dyDescent="0.2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</row>
    <row r="36" spans="1:12" x14ac:dyDescent="0.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</row>
    <row r="37" spans="1:12" x14ac:dyDescent="0.2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</row>
    <row r="38" spans="1:12" x14ac:dyDescent="0.2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</row>
    <row r="39" spans="1:12" x14ac:dyDescent="0.2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</row>
    <row r="40" spans="1:12" x14ac:dyDescent="0.2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</row>
    <row r="41" spans="1:12" x14ac:dyDescent="0.2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</row>
    <row r="42" spans="1:12" x14ac:dyDescent="0.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</row>
    <row r="43" spans="1:12" x14ac:dyDescent="0.2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</row>
    <row r="44" spans="1:12" x14ac:dyDescent="0.2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</row>
    <row r="45" spans="1:12" x14ac:dyDescent="0.2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</row>
    <row r="46" spans="1:12" x14ac:dyDescent="0.2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</row>
    <row r="47" spans="1:12" x14ac:dyDescent="0.2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</row>
    <row r="48" spans="1:12" x14ac:dyDescent="0.2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</row>
    <row r="49" spans="1:12" x14ac:dyDescent="0.2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</row>
  </sheetData>
  <autoFilter ref="A5:L5" xr:uid="{00000000-0009-0000-0000-00000C000000}">
    <sortState xmlns:xlrd2="http://schemas.microsoft.com/office/spreadsheetml/2017/richdata2" ref="A6:L16">
      <sortCondition descending="1" ref="E5"/>
    </sortState>
  </autoFilter>
  <mergeCells count="3">
    <mergeCell ref="A2:B2"/>
    <mergeCell ref="C2:L2"/>
    <mergeCell ref="C3:L3"/>
  </mergeCells>
  <hyperlinks>
    <hyperlink ref="C3" r:id="rId1" xr:uid="{C0F143C9-33EE-4195-B821-52594043C315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16512-93B4-44BB-ADE1-0CA6AF174755}">
  <sheetPr>
    <tabColor rgb="FF92D050"/>
  </sheetPr>
  <dimension ref="A2:L49"/>
  <sheetViews>
    <sheetView workbookViewId="0">
      <selection activeCell="C2" sqref="C2:L2"/>
    </sheetView>
  </sheetViews>
  <sheetFormatPr defaultRowHeight="12.9" x14ac:dyDescent="0.2"/>
  <cols>
    <col min="1" max="1" width="10.25" style="6" bestFit="1" customWidth="1"/>
    <col min="2" max="2" width="18.625" style="6" bestFit="1" customWidth="1"/>
    <col min="3" max="3" width="6.375" style="6" bestFit="1" customWidth="1"/>
    <col min="4" max="4" width="7" style="6" bestFit="1" customWidth="1"/>
    <col min="5" max="5" width="9.625" style="6" bestFit="1" customWidth="1"/>
    <col min="6" max="6" width="7.875" style="6" bestFit="1" customWidth="1"/>
    <col min="7" max="7" width="8" style="6" bestFit="1" customWidth="1"/>
    <col min="8" max="8" width="8.125" style="6" bestFit="1" customWidth="1"/>
    <col min="9" max="9" width="11" style="6" bestFit="1" customWidth="1"/>
    <col min="10" max="10" width="18" style="6" bestFit="1" customWidth="1"/>
    <col min="11" max="11" width="12.375" style="6" bestFit="1" customWidth="1"/>
    <col min="12" max="12" width="8.125" style="6" bestFit="1" customWidth="1"/>
  </cols>
  <sheetData>
    <row r="2" spans="1:12" ht="13.6" x14ac:dyDescent="0.2">
      <c r="A2" s="66" t="s">
        <v>72</v>
      </c>
      <c r="B2" s="66"/>
      <c r="C2" s="67" t="s">
        <v>158</v>
      </c>
      <c r="D2" s="67"/>
      <c r="E2" s="67"/>
      <c r="F2" s="67"/>
      <c r="G2" s="67"/>
      <c r="H2" s="67"/>
      <c r="I2" s="67"/>
      <c r="J2" s="67"/>
      <c r="K2" s="67"/>
      <c r="L2" s="67"/>
    </row>
    <row r="3" spans="1:12" ht="13.1" customHeight="1" x14ac:dyDescent="0.2">
      <c r="C3" s="68" t="s">
        <v>159</v>
      </c>
      <c r="D3" s="68"/>
      <c r="E3" s="68"/>
      <c r="F3" s="68"/>
      <c r="G3" s="68"/>
      <c r="H3" s="68"/>
      <c r="I3" s="68"/>
      <c r="J3" s="68"/>
      <c r="K3" s="68"/>
      <c r="L3" s="68"/>
    </row>
    <row r="4" spans="1:12" ht="13.1" customHeight="1" x14ac:dyDescent="0.2">
      <c r="C4" s="10"/>
      <c r="D4" s="10"/>
      <c r="E4" s="10"/>
      <c r="F4" s="10"/>
      <c r="G4" s="10"/>
      <c r="H4" s="10"/>
      <c r="I4" s="10"/>
      <c r="J4" s="10"/>
      <c r="K4" s="10"/>
      <c r="L4" s="10"/>
    </row>
    <row r="5" spans="1:12" x14ac:dyDescent="0.2">
      <c r="A5" s="7" t="s">
        <v>76</v>
      </c>
      <c r="B5" s="7" t="s">
        <v>77</v>
      </c>
      <c r="C5" s="7" t="s">
        <v>78</v>
      </c>
      <c r="D5" s="7" t="s">
        <v>79</v>
      </c>
      <c r="E5" s="7" t="s">
        <v>80</v>
      </c>
      <c r="F5" s="7" t="s">
        <v>3</v>
      </c>
      <c r="G5" s="7" t="s">
        <v>81</v>
      </c>
      <c r="H5" s="7" t="s">
        <v>4</v>
      </c>
      <c r="I5" s="7" t="s">
        <v>82</v>
      </c>
      <c r="J5" s="7" t="s">
        <v>83</v>
      </c>
      <c r="K5" s="7" t="s">
        <v>85</v>
      </c>
      <c r="L5" s="7"/>
    </row>
    <row r="6" spans="1:12" ht="25.85" x14ac:dyDescent="0.2">
      <c r="A6">
        <v>1</v>
      </c>
      <c r="B6" s="8" t="s">
        <v>22</v>
      </c>
      <c r="C6">
        <v>5</v>
      </c>
      <c r="D6">
        <v>5</v>
      </c>
      <c r="E6" s="8" t="s">
        <v>137</v>
      </c>
      <c r="F6">
        <v>25</v>
      </c>
      <c r="G6">
        <v>10</v>
      </c>
      <c r="H6">
        <v>15</v>
      </c>
      <c r="I6" s="7" t="s">
        <v>86</v>
      </c>
      <c r="J6" s="7" t="s">
        <v>95</v>
      </c>
      <c r="K6" s="7" t="s">
        <v>113</v>
      </c>
      <c r="L6" s="7"/>
    </row>
    <row r="7" spans="1:12" ht="25.85" x14ac:dyDescent="0.2">
      <c r="A7">
        <v>2</v>
      </c>
      <c r="B7" s="8" t="s">
        <v>21</v>
      </c>
      <c r="C7">
        <v>4</v>
      </c>
      <c r="D7">
        <v>4</v>
      </c>
      <c r="E7" s="8" t="s">
        <v>137</v>
      </c>
      <c r="F7">
        <v>19</v>
      </c>
      <c r="G7">
        <v>7</v>
      </c>
      <c r="H7">
        <v>12</v>
      </c>
      <c r="I7" s="7" t="s">
        <v>86</v>
      </c>
      <c r="J7" s="7" t="s">
        <v>128</v>
      </c>
      <c r="K7" s="7" t="s">
        <v>113</v>
      </c>
      <c r="L7" s="7"/>
    </row>
    <row r="8" spans="1:12" ht="25.85" x14ac:dyDescent="0.2">
      <c r="A8">
        <v>3</v>
      </c>
      <c r="B8" s="8" t="s">
        <v>16</v>
      </c>
      <c r="C8">
        <v>4</v>
      </c>
      <c r="D8">
        <v>5</v>
      </c>
      <c r="E8" s="8" t="s">
        <v>140</v>
      </c>
      <c r="F8">
        <v>23</v>
      </c>
      <c r="G8">
        <v>7</v>
      </c>
      <c r="H8">
        <v>16</v>
      </c>
      <c r="I8" s="7" t="s">
        <v>86</v>
      </c>
      <c r="J8" s="7" t="s">
        <v>128</v>
      </c>
      <c r="K8" s="7" t="s">
        <v>113</v>
      </c>
      <c r="L8" s="7"/>
    </row>
    <row r="9" spans="1:12" x14ac:dyDescent="0.2">
      <c r="A9">
        <v>4</v>
      </c>
      <c r="B9" s="8" t="s">
        <v>15</v>
      </c>
      <c r="C9">
        <v>3</v>
      </c>
      <c r="D9">
        <v>4</v>
      </c>
      <c r="E9" s="8" t="s">
        <v>160</v>
      </c>
      <c r="F9">
        <v>19</v>
      </c>
      <c r="G9">
        <v>9</v>
      </c>
      <c r="H9">
        <v>10</v>
      </c>
      <c r="I9" s="7" t="s">
        <v>86</v>
      </c>
      <c r="J9" s="7" t="s">
        <v>109</v>
      </c>
      <c r="K9" s="7" t="s">
        <v>113</v>
      </c>
      <c r="L9" s="7"/>
    </row>
    <row r="10" spans="1:12" x14ac:dyDescent="0.2">
      <c r="A10">
        <v>5</v>
      </c>
      <c r="B10" s="8" t="s">
        <v>19</v>
      </c>
      <c r="C10">
        <v>3</v>
      </c>
      <c r="D10">
        <v>4</v>
      </c>
      <c r="E10" s="8" t="s">
        <v>160</v>
      </c>
      <c r="F10">
        <v>19</v>
      </c>
      <c r="G10">
        <v>11</v>
      </c>
      <c r="H10">
        <v>8</v>
      </c>
      <c r="I10" s="7" t="s">
        <v>86</v>
      </c>
      <c r="J10" s="7" t="s">
        <v>90</v>
      </c>
      <c r="K10" s="7" t="s">
        <v>113</v>
      </c>
      <c r="L10" s="7"/>
    </row>
    <row r="11" spans="1:12" ht="25.85" x14ac:dyDescent="0.2">
      <c r="A11">
        <v>6</v>
      </c>
      <c r="B11" s="8" t="s">
        <v>24</v>
      </c>
      <c r="C11">
        <v>3</v>
      </c>
      <c r="D11">
        <v>5</v>
      </c>
      <c r="E11" s="8" t="s">
        <v>142</v>
      </c>
      <c r="F11">
        <v>19</v>
      </c>
      <c r="G11">
        <v>14</v>
      </c>
      <c r="H11">
        <v>5</v>
      </c>
      <c r="I11" s="7" t="s">
        <v>86</v>
      </c>
      <c r="J11" s="7" t="s">
        <v>116</v>
      </c>
      <c r="K11" s="7" t="s">
        <v>113</v>
      </c>
      <c r="L11" s="7"/>
    </row>
    <row r="12" spans="1:12" x14ac:dyDescent="0.2">
      <c r="A12">
        <v>7</v>
      </c>
      <c r="B12" s="8" t="s">
        <v>25</v>
      </c>
      <c r="C12">
        <v>2</v>
      </c>
      <c r="D12">
        <v>4</v>
      </c>
      <c r="E12" s="8" t="s">
        <v>143</v>
      </c>
      <c r="F12">
        <v>14</v>
      </c>
      <c r="G12">
        <v>12</v>
      </c>
      <c r="H12">
        <v>2</v>
      </c>
      <c r="I12" s="7" t="s">
        <v>86</v>
      </c>
      <c r="J12" s="7" t="s">
        <v>95</v>
      </c>
      <c r="K12" s="7" t="s">
        <v>113</v>
      </c>
      <c r="L12" s="7"/>
    </row>
    <row r="13" spans="1:12" ht="38.75" x14ac:dyDescent="0.2">
      <c r="A13">
        <v>8</v>
      </c>
      <c r="B13" s="8" t="s">
        <v>18</v>
      </c>
      <c r="C13">
        <v>2</v>
      </c>
      <c r="D13">
        <v>4</v>
      </c>
      <c r="E13" s="8" t="s">
        <v>143</v>
      </c>
      <c r="F13">
        <v>17</v>
      </c>
      <c r="G13">
        <v>16</v>
      </c>
      <c r="H13">
        <v>1</v>
      </c>
      <c r="I13" s="7" t="s">
        <v>86</v>
      </c>
      <c r="J13" s="7" t="s">
        <v>91</v>
      </c>
      <c r="K13" s="7" t="s">
        <v>113</v>
      </c>
      <c r="L13" s="7"/>
    </row>
    <row r="14" spans="1:12" ht="25.85" x14ac:dyDescent="0.2">
      <c r="A14">
        <v>9</v>
      </c>
      <c r="B14" s="8" t="s">
        <v>20</v>
      </c>
      <c r="C14">
        <v>2</v>
      </c>
      <c r="D14">
        <v>4</v>
      </c>
      <c r="E14" s="8" t="s">
        <v>143</v>
      </c>
      <c r="F14">
        <v>11</v>
      </c>
      <c r="G14">
        <v>16</v>
      </c>
      <c r="H14">
        <v>-5</v>
      </c>
      <c r="I14" s="7" t="s">
        <v>86</v>
      </c>
      <c r="J14" s="7" t="s">
        <v>97</v>
      </c>
      <c r="K14" s="7" t="s">
        <v>113</v>
      </c>
      <c r="L14" s="7"/>
    </row>
    <row r="15" spans="1:12" ht="25.85" x14ac:dyDescent="0.2">
      <c r="A15">
        <v>10</v>
      </c>
      <c r="B15" s="8" t="s">
        <v>29</v>
      </c>
      <c r="C15">
        <v>2</v>
      </c>
      <c r="D15">
        <v>5</v>
      </c>
      <c r="E15" s="8" t="s">
        <v>144</v>
      </c>
      <c r="F15">
        <v>13</v>
      </c>
      <c r="G15">
        <v>22</v>
      </c>
      <c r="H15">
        <v>-9</v>
      </c>
      <c r="I15" s="7" t="s">
        <v>86</v>
      </c>
      <c r="J15" s="7" t="s">
        <v>99</v>
      </c>
      <c r="K15" s="7" t="s">
        <v>113</v>
      </c>
      <c r="L15" s="7"/>
    </row>
    <row r="16" spans="1:12" ht="25.85" x14ac:dyDescent="0.2">
      <c r="A16">
        <v>11</v>
      </c>
      <c r="B16" s="8" t="s">
        <v>28</v>
      </c>
      <c r="C16">
        <v>1</v>
      </c>
      <c r="D16">
        <v>4</v>
      </c>
      <c r="E16" s="8" t="s">
        <v>161</v>
      </c>
      <c r="F16">
        <v>11</v>
      </c>
      <c r="G16">
        <v>14</v>
      </c>
      <c r="H16">
        <v>-3</v>
      </c>
      <c r="I16" s="7" t="s">
        <v>86</v>
      </c>
      <c r="J16" s="7" t="s">
        <v>109</v>
      </c>
      <c r="K16" s="7" t="s">
        <v>113</v>
      </c>
      <c r="L16" s="7"/>
    </row>
    <row r="17" spans="1:12" x14ac:dyDescent="0.2">
      <c r="A17">
        <v>12</v>
      </c>
      <c r="B17" s="8" t="s">
        <v>49</v>
      </c>
      <c r="C17">
        <v>1</v>
      </c>
      <c r="D17">
        <v>4</v>
      </c>
      <c r="E17" s="8" t="s">
        <v>161</v>
      </c>
      <c r="F17">
        <v>12</v>
      </c>
      <c r="G17">
        <v>17</v>
      </c>
      <c r="H17">
        <v>-5</v>
      </c>
      <c r="I17" s="7" t="s">
        <v>86</v>
      </c>
      <c r="J17" s="7" t="s">
        <v>95</v>
      </c>
      <c r="K17" s="7" t="s">
        <v>113</v>
      </c>
      <c r="L17" s="7"/>
    </row>
    <row r="18" spans="1:12" ht="38.75" x14ac:dyDescent="0.2">
      <c r="A18">
        <v>13</v>
      </c>
      <c r="B18" s="8" t="s">
        <v>34</v>
      </c>
      <c r="C18">
        <v>1</v>
      </c>
      <c r="D18">
        <v>4</v>
      </c>
      <c r="E18" s="8" t="s">
        <v>161</v>
      </c>
      <c r="F18">
        <v>11</v>
      </c>
      <c r="G18">
        <v>19</v>
      </c>
      <c r="H18">
        <v>-8</v>
      </c>
      <c r="I18" s="7" t="s">
        <v>86</v>
      </c>
      <c r="J18" s="7" t="s">
        <v>102</v>
      </c>
      <c r="K18" s="7" t="s">
        <v>113</v>
      </c>
      <c r="L18" s="7"/>
    </row>
    <row r="19" spans="1:12" x14ac:dyDescent="0.2">
      <c r="A19">
        <v>14</v>
      </c>
      <c r="B19" s="8" t="s">
        <v>58</v>
      </c>
      <c r="C19">
        <v>1</v>
      </c>
      <c r="D19">
        <v>4</v>
      </c>
      <c r="E19" s="8" t="s">
        <v>161</v>
      </c>
      <c r="F19">
        <v>7</v>
      </c>
      <c r="G19">
        <v>19</v>
      </c>
      <c r="H19">
        <v>-12</v>
      </c>
      <c r="I19" s="7" t="s">
        <v>86</v>
      </c>
      <c r="J19" s="7" t="s">
        <v>90</v>
      </c>
      <c r="K19" s="7" t="s">
        <v>113</v>
      </c>
      <c r="L19" s="7"/>
    </row>
    <row r="20" spans="1:12" ht="25.85" x14ac:dyDescent="0.2">
      <c r="A20">
        <v>15</v>
      </c>
      <c r="B20" s="8" t="s">
        <v>54</v>
      </c>
      <c r="C20">
        <v>1</v>
      </c>
      <c r="D20">
        <v>5</v>
      </c>
      <c r="E20" s="8" t="s">
        <v>146</v>
      </c>
      <c r="F20">
        <v>11</v>
      </c>
      <c r="G20">
        <v>23</v>
      </c>
      <c r="H20">
        <v>-12</v>
      </c>
      <c r="I20" s="7" t="s">
        <v>86</v>
      </c>
      <c r="J20" s="7" t="s">
        <v>109</v>
      </c>
      <c r="K20" s="7" t="s">
        <v>113</v>
      </c>
      <c r="L20" s="7"/>
    </row>
    <row r="21" spans="1:12" ht="38.75" x14ac:dyDescent="0.2">
      <c r="A21">
        <v>16</v>
      </c>
      <c r="B21" s="8" t="s">
        <v>33</v>
      </c>
      <c r="C21">
        <v>0</v>
      </c>
      <c r="D21">
        <v>5</v>
      </c>
      <c r="E21" s="8" t="s">
        <v>148</v>
      </c>
      <c r="F21">
        <v>10</v>
      </c>
      <c r="G21">
        <v>25</v>
      </c>
      <c r="H21">
        <v>-15</v>
      </c>
      <c r="I21" s="7" t="s">
        <v>86</v>
      </c>
      <c r="J21" s="7" t="s">
        <v>102</v>
      </c>
      <c r="K21" s="7" t="s">
        <v>113</v>
      </c>
      <c r="L21" s="7"/>
    </row>
    <row r="22" spans="1:12" x14ac:dyDescent="0.2">
      <c r="A22" s="8"/>
      <c r="B22" s="8"/>
      <c r="C22" s="8"/>
      <c r="D22" s="8"/>
      <c r="E22" s="8"/>
      <c r="F22" s="8"/>
      <c r="G22" s="7"/>
      <c r="H22" s="8"/>
      <c r="I22" s="7"/>
      <c r="J22" s="7"/>
      <c r="K22" s="7"/>
      <c r="L22" s="7"/>
    </row>
    <row r="23" spans="1:12" x14ac:dyDescent="0.2">
      <c r="A23" s="8"/>
      <c r="B23" s="8"/>
      <c r="C23" s="8"/>
      <c r="D23" s="8"/>
      <c r="E23" s="8"/>
      <c r="F23" s="8"/>
      <c r="G23" s="7"/>
      <c r="H23" s="8"/>
      <c r="I23" s="7"/>
      <c r="J23" s="7"/>
      <c r="K23" s="7"/>
      <c r="L23" s="7"/>
    </row>
    <row r="24" spans="1:12" x14ac:dyDescent="0.2">
      <c r="A24" s="8"/>
      <c r="B24" s="8"/>
      <c r="C24" s="8"/>
      <c r="D24" s="8"/>
      <c r="E24" s="8"/>
      <c r="F24" s="8"/>
      <c r="G24" s="7"/>
      <c r="H24" s="8"/>
      <c r="I24" s="7"/>
      <c r="J24" s="7"/>
      <c r="K24" s="7"/>
      <c r="L24" s="7"/>
    </row>
    <row r="25" spans="1:12" x14ac:dyDescent="0.2">
      <c r="A25" s="8"/>
      <c r="B25" s="8"/>
      <c r="C25" s="8"/>
      <c r="D25" s="8"/>
      <c r="E25" s="8"/>
      <c r="F25" s="8"/>
      <c r="G25" s="7"/>
      <c r="H25" s="8"/>
      <c r="I25" s="7"/>
      <c r="J25" s="7"/>
      <c r="K25" s="7"/>
      <c r="L25" s="7"/>
    </row>
    <row r="26" spans="1:12" x14ac:dyDescent="0.2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</row>
    <row r="27" spans="1:12" x14ac:dyDescent="0.2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</row>
    <row r="28" spans="1:12" x14ac:dyDescent="0.2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</row>
    <row r="29" spans="1:12" x14ac:dyDescent="0.2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</row>
    <row r="30" spans="1:12" x14ac:dyDescent="0.2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</row>
    <row r="31" spans="1:12" x14ac:dyDescent="0.2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</row>
    <row r="32" spans="1:12" x14ac:dyDescent="0.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</row>
    <row r="33" spans="1:12" x14ac:dyDescent="0.2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</row>
    <row r="34" spans="1:12" x14ac:dyDescent="0.2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</row>
    <row r="35" spans="1:12" x14ac:dyDescent="0.2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</row>
    <row r="36" spans="1:12" x14ac:dyDescent="0.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</row>
    <row r="37" spans="1:12" x14ac:dyDescent="0.2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</row>
    <row r="38" spans="1:12" x14ac:dyDescent="0.2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</row>
    <row r="39" spans="1:12" x14ac:dyDescent="0.2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</row>
    <row r="40" spans="1:12" x14ac:dyDescent="0.2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</row>
    <row r="41" spans="1:12" x14ac:dyDescent="0.2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</row>
    <row r="42" spans="1:12" x14ac:dyDescent="0.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</row>
    <row r="43" spans="1:12" x14ac:dyDescent="0.2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</row>
    <row r="44" spans="1:12" x14ac:dyDescent="0.2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</row>
    <row r="45" spans="1:12" x14ac:dyDescent="0.2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</row>
    <row r="46" spans="1:12" x14ac:dyDescent="0.2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</row>
    <row r="47" spans="1:12" x14ac:dyDescent="0.2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</row>
    <row r="48" spans="1:12" x14ac:dyDescent="0.2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</row>
    <row r="49" spans="1:12" x14ac:dyDescent="0.2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</row>
  </sheetData>
  <mergeCells count="3">
    <mergeCell ref="A2:B2"/>
    <mergeCell ref="C2:L2"/>
    <mergeCell ref="C3:L3"/>
  </mergeCells>
  <hyperlinks>
    <hyperlink ref="C3" r:id="rId1" xr:uid="{E53E148A-D8D6-4672-A437-11DE40318BFB}"/>
  </hyperlinks>
  <pageMargins left="0.7" right="0.7" top="0.75" bottom="0.75" header="0.3" footer="0.3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6F870-E28D-4BF2-8370-C13DB8A17891}">
  <sheetPr>
    <tabColor rgb="FF92D050"/>
  </sheetPr>
  <dimension ref="A2:L49"/>
  <sheetViews>
    <sheetView workbookViewId="0">
      <selection activeCell="B17" sqref="B17"/>
    </sheetView>
  </sheetViews>
  <sheetFormatPr defaultRowHeight="12.9" x14ac:dyDescent="0.2"/>
  <cols>
    <col min="1" max="1" width="10.25" style="6" bestFit="1" customWidth="1"/>
    <col min="2" max="2" width="18.625" style="6" bestFit="1" customWidth="1"/>
    <col min="3" max="3" width="6.375" style="6" bestFit="1" customWidth="1"/>
    <col min="4" max="4" width="7" style="6" bestFit="1" customWidth="1"/>
    <col min="5" max="5" width="9.625" style="6" bestFit="1" customWidth="1"/>
    <col min="6" max="6" width="7.875" style="6" bestFit="1" customWidth="1"/>
    <col min="7" max="7" width="8" style="6" bestFit="1" customWidth="1"/>
    <col min="8" max="8" width="8.125" style="6" bestFit="1" customWidth="1"/>
    <col min="9" max="9" width="11" style="6" bestFit="1" customWidth="1"/>
    <col min="10" max="10" width="18" style="6" bestFit="1" customWidth="1"/>
    <col min="11" max="11" width="12.375" style="6" bestFit="1" customWidth="1"/>
    <col min="12" max="12" width="8.125" style="6" bestFit="1" customWidth="1"/>
  </cols>
  <sheetData>
    <row r="2" spans="1:12" ht="13.6" x14ac:dyDescent="0.2">
      <c r="A2" s="66" t="s">
        <v>72</v>
      </c>
      <c r="B2" s="66"/>
      <c r="C2" s="67" t="s">
        <v>158</v>
      </c>
      <c r="D2" s="67"/>
      <c r="E2" s="67"/>
      <c r="F2" s="67"/>
      <c r="G2" s="67"/>
      <c r="H2" s="67"/>
      <c r="I2" s="67"/>
      <c r="J2" s="67"/>
      <c r="K2" s="67"/>
      <c r="L2" s="67"/>
    </row>
    <row r="3" spans="1:12" ht="13.1" customHeight="1" x14ac:dyDescent="0.2">
      <c r="C3" s="68" t="s">
        <v>162</v>
      </c>
      <c r="D3" s="68"/>
      <c r="E3" s="68"/>
      <c r="F3" s="68"/>
      <c r="G3" s="68"/>
      <c r="H3" s="68"/>
      <c r="I3" s="68"/>
      <c r="J3" s="68"/>
      <c r="K3" s="68"/>
      <c r="L3" s="68"/>
    </row>
    <row r="4" spans="1:12" ht="13.1" customHeight="1" x14ac:dyDescent="0.2">
      <c r="C4" s="10"/>
      <c r="D4" s="10"/>
      <c r="E4" s="10"/>
      <c r="F4" s="10"/>
      <c r="G4" s="10"/>
      <c r="H4" s="10"/>
      <c r="I4" s="10"/>
      <c r="J4" s="10"/>
      <c r="K4" s="10"/>
      <c r="L4" s="10"/>
    </row>
    <row r="5" spans="1:12" x14ac:dyDescent="0.2">
      <c r="A5" s="7" t="s">
        <v>76</v>
      </c>
      <c r="B5" s="7" t="s">
        <v>77</v>
      </c>
      <c r="C5" s="7" t="s">
        <v>78</v>
      </c>
      <c r="D5" s="7" t="s">
        <v>79</v>
      </c>
      <c r="E5" s="7" t="s">
        <v>80</v>
      </c>
      <c r="F5" s="7" t="s">
        <v>3</v>
      </c>
      <c r="G5" s="7" t="s">
        <v>81</v>
      </c>
      <c r="H5" s="7" t="s">
        <v>4</v>
      </c>
      <c r="I5" s="7" t="s">
        <v>82</v>
      </c>
      <c r="J5" s="7" t="s">
        <v>83</v>
      </c>
      <c r="K5" s="7" t="s">
        <v>85</v>
      </c>
      <c r="L5" s="7"/>
    </row>
    <row r="6" spans="1:12" ht="25.85" x14ac:dyDescent="0.2">
      <c r="A6" s="8" t="s">
        <v>163</v>
      </c>
      <c r="B6" s="8" t="s">
        <v>22</v>
      </c>
      <c r="C6">
        <v>5</v>
      </c>
      <c r="D6">
        <v>5</v>
      </c>
      <c r="E6" s="8" t="s">
        <v>137</v>
      </c>
      <c r="F6">
        <v>25</v>
      </c>
      <c r="G6">
        <v>4</v>
      </c>
      <c r="H6">
        <v>21</v>
      </c>
      <c r="I6" s="7" t="s">
        <v>86</v>
      </c>
      <c r="J6" s="7" t="s">
        <v>95</v>
      </c>
      <c r="K6" s="7" t="s">
        <v>113</v>
      </c>
      <c r="L6" s="7"/>
    </row>
    <row r="7" spans="1:12" x14ac:dyDescent="0.2">
      <c r="A7" s="8" t="s">
        <v>164</v>
      </c>
      <c r="B7" s="8" t="s">
        <v>19</v>
      </c>
      <c r="C7">
        <v>4</v>
      </c>
      <c r="D7">
        <v>4</v>
      </c>
      <c r="E7" s="8" t="s">
        <v>137</v>
      </c>
      <c r="F7">
        <v>20</v>
      </c>
      <c r="G7">
        <v>6</v>
      </c>
      <c r="H7">
        <v>14</v>
      </c>
      <c r="I7" s="7" t="s">
        <v>86</v>
      </c>
      <c r="J7" s="7" t="s">
        <v>90</v>
      </c>
      <c r="K7" s="7" t="s">
        <v>113</v>
      </c>
      <c r="L7" s="7"/>
    </row>
    <row r="8" spans="1:12" ht="25.85" x14ac:dyDescent="0.2">
      <c r="A8" s="8" t="s">
        <v>164</v>
      </c>
      <c r="B8" s="8" t="s">
        <v>16</v>
      </c>
      <c r="C8">
        <v>4</v>
      </c>
      <c r="D8">
        <v>4</v>
      </c>
      <c r="E8" s="8" t="s">
        <v>137</v>
      </c>
      <c r="F8">
        <v>20</v>
      </c>
      <c r="G8">
        <v>6</v>
      </c>
      <c r="H8">
        <v>14</v>
      </c>
      <c r="I8" s="7" t="s">
        <v>86</v>
      </c>
      <c r="J8" s="7" t="s">
        <v>128</v>
      </c>
      <c r="K8" s="7" t="s">
        <v>113</v>
      </c>
      <c r="L8" s="7"/>
    </row>
    <row r="9" spans="1:12" ht="25.85" x14ac:dyDescent="0.2">
      <c r="A9" s="8" t="s">
        <v>165</v>
      </c>
      <c r="B9" s="8" t="s">
        <v>24</v>
      </c>
      <c r="C9">
        <v>4</v>
      </c>
      <c r="D9">
        <v>5</v>
      </c>
      <c r="E9" s="8" t="s">
        <v>140</v>
      </c>
      <c r="F9">
        <v>20</v>
      </c>
      <c r="G9">
        <v>11</v>
      </c>
      <c r="H9">
        <v>9</v>
      </c>
      <c r="I9" s="7" t="s">
        <v>86</v>
      </c>
      <c r="J9" s="7" t="s">
        <v>116</v>
      </c>
      <c r="K9" s="7" t="s">
        <v>113</v>
      </c>
      <c r="L9" s="7"/>
    </row>
    <row r="10" spans="1:12" x14ac:dyDescent="0.2">
      <c r="A10" s="8" t="s">
        <v>166</v>
      </c>
      <c r="B10" s="8" t="s">
        <v>25</v>
      </c>
      <c r="C10">
        <v>3</v>
      </c>
      <c r="D10">
        <v>4</v>
      </c>
      <c r="E10" s="8" t="s">
        <v>160</v>
      </c>
      <c r="F10">
        <v>16</v>
      </c>
      <c r="G10">
        <v>7</v>
      </c>
      <c r="H10">
        <v>9</v>
      </c>
      <c r="I10" s="7" t="s">
        <v>86</v>
      </c>
      <c r="J10" s="7" t="s">
        <v>95</v>
      </c>
      <c r="K10" s="7" t="s">
        <v>113</v>
      </c>
      <c r="L10" s="7"/>
    </row>
    <row r="11" spans="1:12" x14ac:dyDescent="0.2">
      <c r="A11" s="8" t="s">
        <v>167</v>
      </c>
      <c r="B11" s="8" t="s">
        <v>15</v>
      </c>
      <c r="C11">
        <v>3</v>
      </c>
      <c r="D11">
        <v>4</v>
      </c>
      <c r="E11" s="8" t="s">
        <v>160</v>
      </c>
      <c r="F11">
        <v>16</v>
      </c>
      <c r="G11">
        <v>8</v>
      </c>
      <c r="H11">
        <v>8</v>
      </c>
      <c r="I11" s="7" t="s">
        <v>86</v>
      </c>
      <c r="J11" s="7" t="s">
        <v>109</v>
      </c>
      <c r="K11" s="7" t="s">
        <v>113</v>
      </c>
      <c r="L11" s="7"/>
    </row>
    <row r="12" spans="1:12" ht="38.75" x14ac:dyDescent="0.2">
      <c r="A12" s="8" t="s">
        <v>168</v>
      </c>
      <c r="B12" s="8" t="s">
        <v>18</v>
      </c>
      <c r="C12">
        <v>3</v>
      </c>
      <c r="D12">
        <v>5</v>
      </c>
      <c r="E12" s="8" t="s">
        <v>142</v>
      </c>
      <c r="F12">
        <v>23</v>
      </c>
      <c r="G12">
        <v>14</v>
      </c>
      <c r="H12">
        <v>9</v>
      </c>
      <c r="I12" s="7" t="s">
        <v>86</v>
      </c>
      <c r="J12" s="7" t="s">
        <v>91</v>
      </c>
      <c r="K12" s="7" t="s">
        <v>113</v>
      </c>
      <c r="L12" s="7"/>
    </row>
    <row r="13" spans="1:12" ht="25.85" x14ac:dyDescent="0.2">
      <c r="A13" s="8" t="s">
        <v>169</v>
      </c>
      <c r="B13" s="8" t="s">
        <v>20</v>
      </c>
      <c r="C13">
        <v>2</v>
      </c>
      <c r="D13">
        <v>4</v>
      </c>
      <c r="E13" s="8" t="s">
        <v>143</v>
      </c>
      <c r="F13">
        <v>12</v>
      </c>
      <c r="G13">
        <v>12</v>
      </c>
      <c r="H13">
        <v>0</v>
      </c>
      <c r="I13" s="7" t="s">
        <v>86</v>
      </c>
      <c r="J13" s="7" t="s">
        <v>97</v>
      </c>
      <c r="K13" s="7" t="s">
        <v>113</v>
      </c>
      <c r="L13" s="7"/>
    </row>
    <row r="14" spans="1:12" ht="25.85" x14ac:dyDescent="0.2">
      <c r="A14" s="8" t="s">
        <v>170</v>
      </c>
      <c r="B14" s="8" t="s">
        <v>21</v>
      </c>
      <c r="C14">
        <v>2</v>
      </c>
      <c r="D14">
        <v>4</v>
      </c>
      <c r="E14" s="8" t="s">
        <v>143</v>
      </c>
      <c r="F14">
        <v>15</v>
      </c>
      <c r="G14">
        <v>16</v>
      </c>
      <c r="H14">
        <v>-1</v>
      </c>
      <c r="I14" s="7" t="s">
        <v>86</v>
      </c>
      <c r="J14" s="7" t="s">
        <v>128</v>
      </c>
      <c r="K14" s="7" t="s">
        <v>113</v>
      </c>
      <c r="L14" s="7"/>
    </row>
    <row r="15" spans="1:12" ht="38.75" x14ac:dyDescent="0.2">
      <c r="A15" s="8" t="s">
        <v>171</v>
      </c>
      <c r="B15" s="8" t="s">
        <v>34</v>
      </c>
      <c r="C15">
        <v>2</v>
      </c>
      <c r="D15">
        <v>5</v>
      </c>
      <c r="E15" s="8" t="s">
        <v>144</v>
      </c>
      <c r="F15">
        <v>14</v>
      </c>
      <c r="G15">
        <v>17</v>
      </c>
      <c r="H15">
        <v>-3</v>
      </c>
      <c r="I15" s="7" t="s">
        <v>86</v>
      </c>
      <c r="J15" s="7" t="s">
        <v>102</v>
      </c>
      <c r="K15" s="7" t="s">
        <v>113</v>
      </c>
      <c r="L15" s="7"/>
    </row>
    <row r="16" spans="1:12" ht="25.85" x14ac:dyDescent="0.2">
      <c r="A16" s="8" t="s">
        <v>172</v>
      </c>
      <c r="B16" s="8" t="s">
        <v>29</v>
      </c>
      <c r="C16">
        <v>1</v>
      </c>
      <c r="D16">
        <v>4</v>
      </c>
      <c r="E16" s="8" t="s">
        <v>161</v>
      </c>
      <c r="F16">
        <v>10</v>
      </c>
      <c r="G16">
        <v>17</v>
      </c>
      <c r="H16">
        <v>-7</v>
      </c>
      <c r="I16" s="7" t="s">
        <v>86</v>
      </c>
      <c r="J16" s="7" t="s">
        <v>99</v>
      </c>
      <c r="K16" s="7" t="s">
        <v>113</v>
      </c>
      <c r="L16" s="7"/>
    </row>
    <row r="17" spans="1:12" ht="25.85" x14ac:dyDescent="0.2">
      <c r="A17" s="8" t="s">
        <v>173</v>
      </c>
      <c r="B17" s="8" t="s">
        <v>28</v>
      </c>
      <c r="C17">
        <v>1</v>
      </c>
      <c r="D17">
        <v>4</v>
      </c>
      <c r="E17" s="8" t="s">
        <v>161</v>
      </c>
      <c r="F17">
        <v>10</v>
      </c>
      <c r="G17">
        <v>19</v>
      </c>
      <c r="H17">
        <v>-9</v>
      </c>
      <c r="I17" s="7" t="s">
        <v>86</v>
      </c>
      <c r="J17" s="7" t="s">
        <v>109</v>
      </c>
      <c r="K17" s="7" t="s">
        <v>113</v>
      </c>
      <c r="L17" s="7"/>
    </row>
    <row r="18" spans="1:12" x14ac:dyDescent="0.2">
      <c r="A18" s="8" t="s">
        <v>174</v>
      </c>
      <c r="B18" s="8" t="s">
        <v>58</v>
      </c>
      <c r="C18">
        <v>1</v>
      </c>
      <c r="D18">
        <v>5</v>
      </c>
      <c r="E18" s="8" t="s">
        <v>146</v>
      </c>
      <c r="F18">
        <v>5</v>
      </c>
      <c r="G18">
        <v>24</v>
      </c>
      <c r="H18">
        <v>-19</v>
      </c>
      <c r="I18" s="7" t="s">
        <v>86</v>
      </c>
      <c r="J18" s="7" t="s">
        <v>90</v>
      </c>
      <c r="K18" s="7" t="s">
        <v>113</v>
      </c>
      <c r="L18" s="7"/>
    </row>
    <row r="19" spans="1:12" ht="38.75" x14ac:dyDescent="0.2">
      <c r="A19" s="8" t="s">
        <v>175</v>
      </c>
      <c r="B19" s="8" t="s">
        <v>33</v>
      </c>
      <c r="C19">
        <v>0</v>
      </c>
      <c r="D19">
        <v>4</v>
      </c>
      <c r="E19" s="8" t="s">
        <v>148</v>
      </c>
      <c r="F19">
        <v>7</v>
      </c>
      <c r="G19">
        <v>20</v>
      </c>
      <c r="H19">
        <v>-13</v>
      </c>
      <c r="I19" s="7" t="s">
        <v>86</v>
      </c>
      <c r="J19" s="7" t="s">
        <v>102</v>
      </c>
      <c r="K19" s="7" t="s">
        <v>113</v>
      </c>
      <c r="L19" s="7"/>
    </row>
    <row r="20" spans="1:12" x14ac:dyDescent="0.2">
      <c r="A20" s="8" t="s">
        <v>176</v>
      </c>
      <c r="B20" s="8" t="s">
        <v>49</v>
      </c>
      <c r="C20">
        <v>0</v>
      </c>
      <c r="D20">
        <v>4</v>
      </c>
      <c r="E20" s="8" t="s">
        <v>148</v>
      </c>
      <c r="F20">
        <v>5</v>
      </c>
      <c r="G20">
        <v>20</v>
      </c>
      <c r="H20">
        <v>-15</v>
      </c>
      <c r="I20" s="7" t="s">
        <v>86</v>
      </c>
      <c r="J20" s="7" t="s">
        <v>95</v>
      </c>
      <c r="K20" s="7" t="s">
        <v>113</v>
      </c>
      <c r="L20" s="7"/>
    </row>
    <row r="21" spans="1:12" ht="25.85" x14ac:dyDescent="0.2">
      <c r="A21" s="8" t="s">
        <v>177</v>
      </c>
      <c r="B21" s="8" t="s">
        <v>54</v>
      </c>
      <c r="C21">
        <v>0</v>
      </c>
      <c r="D21">
        <v>5</v>
      </c>
      <c r="E21" s="8" t="s">
        <v>148</v>
      </c>
      <c r="F21">
        <v>8</v>
      </c>
      <c r="G21">
        <v>25</v>
      </c>
      <c r="H21">
        <v>-17</v>
      </c>
      <c r="I21" s="7" t="s">
        <v>86</v>
      </c>
      <c r="J21" s="7" t="s">
        <v>109</v>
      </c>
      <c r="K21" s="7" t="s">
        <v>113</v>
      </c>
      <c r="L21" s="7"/>
    </row>
    <row r="22" spans="1:12" x14ac:dyDescent="0.2">
      <c r="A22" s="8"/>
      <c r="B22" s="8"/>
      <c r="C22" s="8"/>
      <c r="D22" s="8"/>
      <c r="E22" s="8"/>
      <c r="F22" s="8"/>
      <c r="G22" s="7"/>
      <c r="H22" s="8"/>
      <c r="I22" s="7"/>
      <c r="J22" s="7"/>
      <c r="K22" s="7"/>
      <c r="L22" s="7"/>
    </row>
    <row r="23" spans="1:12" x14ac:dyDescent="0.2">
      <c r="A23" s="8"/>
      <c r="B23" s="8"/>
      <c r="C23" s="8"/>
      <c r="D23" s="8"/>
      <c r="E23" s="8"/>
      <c r="F23" s="8"/>
      <c r="G23" s="7"/>
      <c r="H23" s="8"/>
      <c r="I23" s="7"/>
      <c r="J23" s="7"/>
      <c r="K23" s="7"/>
      <c r="L23" s="7"/>
    </row>
    <row r="24" spans="1:12" x14ac:dyDescent="0.2">
      <c r="A24" s="8"/>
      <c r="B24" s="8"/>
      <c r="C24" s="8"/>
      <c r="D24" s="8"/>
      <c r="E24" s="8"/>
      <c r="F24" s="8"/>
      <c r="G24" s="7"/>
      <c r="H24" s="8"/>
      <c r="I24" s="7"/>
      <c r="J24" s="7"/>
      <c r="K24" s="7"/>
      <c r="L24" s="7"/>
    </row>
    <row r="25" spans="1:12" x14ac:dyDescent="0.2">
      <c r="A25" s="8"/>
      <c r="B25" s="8"/>
      <c r="C25" s="8"/>
      <c r="D25" s="8"/>
      <c r="E25" s="8"/>
      <c r="F25" s="8"/>
      <c r="G25" s="7"/>
      <c r="H25" s="8"/>
      <c r="I25" s="7"/>
      <c r="J25" s="7"/>
      <c r="K25" s="7"/>
      <c r="L25" s="7"/>
    </row>
    <row r="26" spans="1:12" x14ac:dyDescent="0.2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</row>
    <row r="27" spans="1:12" x14ac:dyDescent="0.2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</row>
    <row r="28" spans="1:12" x14ac:dyDescent="0.2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</row>
    <row r="29" spans="1:12" x14ac:dyDescent="0.2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</row>
    <row r="30" spans="1:12" x14ac:dyDescent="0.2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</row>
    <row r="31" spans="1:12" x14ac:dyDescent="0.2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</row>
    <row r="32" spans="1:12" x14ac:dyDescent="0.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</row>
    <row r="33" spans="1:12" x14ac:dyDescent="0.2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</row>
    <row r="34" spans="1:12" x14ac:dyDescent="0.2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</row>
    <row r="35" spans="1:12" x14ac:dyDescent="0.2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</row>
    <row r="36" spans="1:12" x14ac:dyDescent="0.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</row>
    <row r="37" spans="1:12" x14ac:dyDescent="0.2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</row>
    <row r="38" spans="1:12" x14ac:dyDescent="0.2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</row>
    <row r="39" spans="1:12" x14ac:dyDescent="0.2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</row>
    <row r="40" spans="1:12" x14ac:dyDescent="0.2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</row>
    <row r="41" spans="1:12" x14ac:dyDescent="0.2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</row>
    <row r="42" spans="1:12" x14ac:dyDescent="0.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</row>
    <row r="43" spans="1:12" x14ac:dyDescent="0.2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</row>
    <row r="44" spans="1:12" x14ac:dyDescent="0.2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</row>
    <row r="45" spans="1:12" x14ac:dyDescent="0.2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</row>
    <row r="46" spans="1:12" x14ac:dyDescent="0.2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</row>
    <row r="47" spans="1:12" x14ac:dyDescent="0.2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</row>
    <row r="48" spans="1:12" x14ac:dyDescent="0.2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</row>
    <row r="49" spans="1:12" x14ac:dyDescent="0.2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</row>
  </sheetData>
  <mergeCells count="3">
    <mergeCell ref="A2:B2"/>
    <mergeCell ref="C2:L2"/>
    <mergeCell ref="C3:L3"/>
  </mergeCells>
  <hyperlinks>
    <hyperlink ref="C3" r:id="rId1" xr:uid="{1581C89D-A30B-462C-A19B-9AECC30B8CDB}"/>
  </hyperlinks>
  <pageMargins left="0.7" right="0.7" top="0.75" bottom="0.75" header="0.3" footer="0.3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72C91-C913-429A-9C81-4AE320A9063A}">
  <sheetPr>
    <tabColor rgb="FF92D050"/>
  </sheetPr>
  <dimension ref="A2:L50"/>
  <sheetViews>
    <sheetView workbookViewId="0">
      <selection activeCell="C2" sqref="C2:L3"/>
    </sheetView>
  </sheetViews>
  <sheetFormatPr defaultRowHeight="12.9" x14ac:dyDescent="0.2"/>
  <cols>
    <col min="1" max="1" width="5.75" style="6" bestFit="1" customWidth="1"/>
    <col min="2" max="2" width="32.375" style="6" bestFit="1" customWidth="1"/>
    <col min="3" max="3" width="6.375" style="6" bestFit="1" customWidth="1"/>
    <col min="4" max="4" width="5.375" style="6" bestFit="1" customWidth="1"/>
    <col min="5" max="5" width="8.75" style="6" customWidth="1"/>
    <col min="6" max="6" width="3.25" style="6" bestFit="1" customWidth="1"/>
    <col min="7" max="7" width="3.375" style="6" bestFit="1" customWidth="1"/>
    <col min="8" max="8" width="3.75" style="6" bestFit="1" customWidth="1"/>
    <col min="9" max="9" width="11.25" style="6" customWidth="1"/>
    <col min="10" max="10" width="41" style="6" bestFit="1" customWidth="1"/>
    <col min="11" max="11" width="7.875" style="6" bestFit="1" customWidth="1"/>
    <col min="12" max="12" width="8.125" style="6" bestFit="1" customWidth="1"/>
  </cols>
  <sheetData>
    <row r="2" spans="1:12" ht="13.6" x14ac:dyDescent="0.2">
      <c r="A2" s="66" t="s">
        <v>72</v>
      </c>
      <c r="B2" s="66"/>
      <c r="C2" s="67" t="s">
        <v>178</v>
      </c>
      <c r="D2" s="67"/>
      <c r="E2" s="67"/>
      <c r="F2" s="67"/>
      <c r="G2" s="67"/>
      <c r="H2" s="67"/>
      <c r="I2" s="67"/>
      <c r="J2" s="67"/>
      <c r="K2" s="67"/>
      <c r="L2" s="67"/>
    </row>
    <row r="3" spans="1:12" ht="13.1" customHeight="1" x14ac:dyDescent="0.2">
      <c r="C3" s="68" t="s">
        <v>179</v>
      </c>
      <c r="D3" s="68"/>
      <c r="E3" s="68"/>
      <c r="F3" s="68"/>
      <c r="G3" s="68"/>
      <c r="H3" s="68"/>
      <c r="I3" s="68"/>
      <c r="J3" s="68"/>
      <c r="K3" s="68"/>
      <c r="L3" s="68"/>
    </row>
    <row r="4" spans="1:12" ht="13.1" customHeight="1" x14ac:dyDescent="0.2">
      <c r="C4" s="10"/>
      <c r="D4" s="10"/>
      <c r="E4" s="10"/>
      <c r="F4" s="10"/>
      <c r="G4" s="10"/>
      <c r="H4" s="10"/>
      <c r="I4" s="10"/>
      <c r="J4" s="10"/>
      <c r="K4" s="10"/>
      <c r="L4" s="10"/>
    </row>
    <row r="5" spans="1:12" ht="14.3" x14ac:dyDescent="0.2">
      <c r="A5" s="11" t="s">
        <v>76</v>
      </c>
      <c r="B5" s="11" t="s">
        <v>77</v>
      </c>
      <c r="C5" s="11" t="s">
        <v>78</v>
      </c>
      <c r="D5" s="11" t="s">
        <v>79</v>
      </c>
      <c r="E5" s="11" t="s">
        <v>80</v>
      </c>
      <c r="F5" s="11" t="s">
        <v>3</v>
      </c>
      <c r="G5" s="11" t="s">
        <v>81</v>
      </c>
      <c r="H5" s="11" t="s">
        <v>4</v>
      </c>
      <c r="I5" s="11" t="s">
        <v>82</v>
      </c>
      <c r="J5" s="11" t="s">
        <v>83</v>
      </c>
      <c r="K5" s="11" t="s">
        <v>84</v>
      </c>
      <c r="L5" s="11" t="s">
        <v>85</v>
      </c>
    </row>
    <row r="6" spans="1:12" x14ac:dyDescent="0.2">
      <c r="A6" s="43">
        <v>1</v>
      </c>
      <c r="B6" s="44" t="s">
        <v>17</v>
      </c>
      <c r="C6" s="44">
        <v>4</v>
      </c>
      <c r="D6" s="44">
        <v>4</v>
      </c>
      <c r="E6" s="44" t="s">
        <v>137</v>
      </c>
      <c r="F6" s="44">
        <v>20</v>
      </c>
      <c r="G6" s="44">
        <v>8</v>
      </c>
      <c r="H6" s="44">
        <v>12</v>
      </c>
      <c r="I6" s="44" t="s">
        <v>86</v>
      </c>
      <c r="J6" s="47" t="s">
        <v>92</v>
      </c>
      <c r="K6" s="7"/>
      <c r="L6" s="7"/>
    </row>
    <row r="7" spans="1:12" x14ac:dyDescent="0.2">
      <c r="A7" s="45">
        <v>2</v>
      </c>
      <c r="B7" s="46" t="s">
        <v>23</v>
      </c>
      <c r="C7" s="46">
        <v>4</v>
      </c>
      <c r="D7" s="46">
        <v>5</v>
      </c>
      <c r="E7" s="46" t="s">
        <v>140</v>
      </c>
      <c r="F7" s="46">
        <v>24</v>
      </c>
      <c r="G7" s="46">
        <v>17</v>
      </c>
      <c r="H7" s="46">
        <v>7</v>
      </c>
      <c r="I7" s="46" t="s">
        <v>86</v>
      </c>
      <c r="J7" s="48" t="s">
        <v>92</v>
      </c>
      <c r="K7" s="7"/>
      <c r="L7" s="7"/>
    </row>
    <row r="8" spans="1:12" x14ac:dyDescent="0.2">
      <c r="A8" s="43">
        <v>3</v>
      </c>
      <c r="B8" s="44" t="s">
        <v>14</v>
      </c>
      <c r="C8" s="44">
        <v>4</v>
      </c>
      <c r="D8" s="44">
        <v>5</v>
      </c>
      <c r="E8" s="44" t="s">
        <v>140</v>
      </c>
      <c r="F8" s="44">
        <v>22</v>
      </c>
      <c r="G8" s="44">
        <v>17</v>
      </c>
      <c r="H8" s="44">
        <v>5</v>
      </c>
      <c r="I8" s="44" t="s">
        <v>86</v>
      </c>
      <c r="J8" s="47" t="s">
        <v>87</v>
      </c>
      <c r="K8" s="7"/>
      <c r="L8" s="7"/>
    </row>
    <row r="9" spans="1:12" x14ac:dyDescent="0.2">
      <c r="A9" s="45">
        <v>4</v>
      </c>
      <c r="B9" s="46" t="s">
        <v>20</v>
      </c>
      <c r="C9" s="46">
        <v>3</v>
      </c>
      <c r="D9" s="46">
        <v>4</v>
      </c>
      <c r="E9" s="46" t="s">
        <v>160</v>
      </c>
      <c r="F9" s="46">
        <v>18</v>
      </c>
      <c r="G9" s="46">
        <v>12</v>
      </c>
      <c r="H9" s="46">
        <v>6</v>
      </c>
      <c r="I9" s="46" t="s">
        <v>86</v>
      </c>
      <c r="J9" s="48" t="s">
        <v>97</v>
      </c>
      <c r="K9" s="7"/>
      <c r="L9" s="7"/>
    </row>
    <row r="10" spans="1:12" x14ac:dyDescent="0.2">
      <c r="A10" s="43">
        <v>5</v>
      </c>
      <c r="B10" s="44" t="s">
        <v>15</v>
      </c>
      <c r="C10" s="44">
        <v>3</v>
      </c>
      <c r="D10" s="44">
        <v>5</v>
      </c>
      <c r="E10" s="44" t="s">
        <v>142</v>
      </c>
      <c r="F10" s="44">
        <v>20</v>
      </c>
      <c r="G10" s="44">
        <v>16</v>
      </c>
      <c r="H10" s="44">
        <v>4</v>
      </c>
      <c r="I10" s="44" t="s">
        <v>86</v>
      </c>
      <c r="J10" s="47" t="s">
        <v>98</v>
      </c>
      <c r="K10" s="7"/>
      <c r="L10" s="7"/>
    </row>
    <row r="11" spans="1:12" x14ac:dyDescent="0.2">
      <c r="A11" s="45">
        <v>6</v>
      </c>
      <c r="B11" s="46" t="s">
        <v>19</v>
      </c>
      <c r="C11" s="46">
        <v>2</v>
      </c>
      <c r="D11" s="46">
        <v>4</v>
      </c>
      <c r="E11" s="46" t="s">
        <v>143</v>
      </c>
      <c r="F11" s="46">
        <v>15</v>
      </c>
      <c r="G11" s="46">
        <v>16</v>
      </c>
      <c r="H11" s="46">
        <v>-1</v>
      </c>
      <c r="I11" s="46" t="s">
        <v>86</v>
      </c>
      <c r="J11" s="48" t="s">
        <v>90</v>
      </c>
      <c r="K11" s="7"/>
      <c r="L11" s="7"/>
    </row>
    <row r="12" spans="1:12" x14ac:dyDescent="0.2">
      <c r="A12" s="43">
        <v>7</v>
      </c>
      <c r="B12" s="44" t="s">
        <v>24</v>
      </c>
      <c r="C12" s="44">
        <v>2</v>
      </c>
      <c r="D12" s="44">
        <v>5</v>
      </c>
      <c r="E12" s="44" t="s">
        <v>144</v>
      </c>
      <c r="F12" s="44">
        <v>20</v>
      </c>
      <c r="G12" s="44">
        <v>19</v>
      </c>
      <c r="H12" s="44">
        <v>1</v>
      </c>
      <c r="I12" s="44" t="s">
        <v>86</v>
      </c>
      <c r="J12" s="47" t="s">
        <v>116</v>
      </c>
      <c r="K12" s="7"/>
      <c r="L12" s="7"/>
    </row>
    <row r="13" spans="1:12" x14ac:dyDescent="0.2">
      <c r="A13" s="45">
        <v>8</v>
      </c>
      <c r="B13" s="46" t="s">
        <v>27</v>
      </c>
      <c r="C13" s="46">
        <v>1</v>
      </c>
      <c r="D13" s="46">
        <v>4</v>
      </c>
      <c r="E13" s="46" t="s">
        <v>161</v>
      </c>
      <c r="F13" s="46">
        <v>12</v>
      </c>
      <c r="G13" s="46">
        <v>18</v>
      </c>
      <c r="H13" s="46">
        <v>-6</v>
      </c>
      <c r="I13" s="46" t="s">
        <v>86</v>
      </c>
      <c r="J13" s="48" t="s">
        <v>91</v>
      </c>
      <c r="K13" s="7"/>
      <c r="L13" s="7"/>
    </row>
    <row r="14" spans="1:12" x14ac:dyDescent="0.2">
      <c r="A14" s="43">
        <v>9</v>
      </c>
      <c r="B14" s="44" t="s">
        <v>29</v>
      </c>
      <c r="C14" s="44">
        <v>1</v>
      </c>
      <c r="D14" s="44">
        <v>5</v>
      </c>
      <c r="E14" s="44" t="s">
        <v>146</v>
      </c>
      <c r="F14" s="44">
        <v>15</v>
      </c>
      <c r="G14" s="44">
        <v>21</v>
      </c>
      <c r="H14" s="44">
        <v>-6</v>
      </c>
      <c r="I14" s="44" t="s">
        <v>86</v>
      </c>
      <c r="J14" s="47" t="s">
        <v>99</v>
      </c>
      <c r="K14" s="7"/>
      <c r="L14" s="7"/>
    </row>
    <row r="15" spans="1:12" x14ac:dyDescent="0.2">
      <c r="A15" s="45">
        <v>10</v>
      </c>
      <c r="B15" s="46" t="s">
        <v>30</v>
      </c>
      <c r="C15" s="46">
        <v>1</v>
      </c>
      <c r="D15" s="46">
        <v>5</v>
      </c>
      <c r="E15" s="46" t="s">
        <v>146</v>
      </c>
      <c r="F15" s="46">
        <v>13</v>
      </c>
      <c r="G15" s="46">
        <v>24</v>
      </c>
      <c r="H15" s="46">
        <v>-11</v>
      </c>
      <c r="I15" s="46" t="s">
        <v>86</v>
      </c>
      <c r="J15" s="48" t="s">
        <v>180</v>
      </c>
      <c r="K15" s="7"/>
      <c r="L15" s="7"/>
    </row>
    <row r="16" spans="1:12" x14ac:dyDescent="0.2">
      <c r="A16" s="43">
        <v>11</v>
      </c>
      <c r="B16" s="44" t="s">
        <v>33</v>
      </c>
      <c r="C16" s="44">
        <v>0</v>
      </c>
      <c r="D16" s="44">
        <v>4</v>
      </c>
      <c r="E16" s="44" t="s">
        <v>148</v>
      </c>
      <c r="F16" s="44">
        <v>9</v>
      </c>
      <c r="G16" s="44">
        <v>20</v>
      </c>
      <c r="H16" s="44">
        <v>-11</v>
      </c>
      <c r="I16" s="44" t="s">
        <v>86</v>
      </c>
      <c r="J16" s="47" t="s">
        <v>102</v>
      </c>
      <c r="K16" s="7"/>
      <c r="L16" s="7"/>
    </row>
    <row r="17" spans="1:12" x14ac:dyDescent="0.2">
      <c r="A17" s="8"/>
      <c r="B17" s="8"/>
      <c r="C17" s="8"/>
      <c r="D17" s="8"/>
      <c r="E17" s="8"/>
      <c r="F17" s="8"/>
      <c r="G17" s="7"/>
      <c r="H17" s="8"/>
      <c r="I17" s="7"/>
      <c r="J17" s="7"/>
      <c r="K17" s="7"/>
      <c r="L17" s="7"/>
    </row>
    <row r="18" spans="1:12" x14ac:dyDescent="0.2">
      <c r="A18" s="8"/>
      <c r="B18" s="8"/>
      <c r="C18" s="8"/>
      <c r="D18" s="8"/>
      <c r="E18" s="8"/>
      <c r="F18" s="8"/>
      <c r="G18" s="7"/>
      <c r="H18" s="8"/>
      <c r="I18" s="7"/>
      <c r="J18" s="7"/>
      <c r="K18" s="7"/>
      <c r="L18" s="7"/>
    </row>
    <row r="19" spans="1:12" x14ac:dyDescent="0.2">
      <c r="A19" s="8"/>
      <c r="B19" s="8"/>
      <c r="C19" s="8"/>
      <c r="D19" s="8"/>
      <c r="E19" s="8"/>
      <c r="F19" s="8"/>
      <c r="G19" s="7"/>
      <c r="H19" s="8"/>
      <c r="I19" s="7"/>
      <c r="J19" s="7"/>
      <c r="K19" s="7"/>
      <c r="L19" s="7"/>
    </row>
    <row r="20" spans="1:12" x14ac:dyDescent="0.2">
      <c r="A20" s="8"/>
      <c r="B20" s="8"/>
      <c r="C20" s="8"/>
      <c r="D20" s="8"/>
      <c r="E20" s="8"/>
      <c r="F20" s="8"/>
      <c r="G20" s="7"/>
      <c r="H20" s="8"/>
      <c r="I20" s="7"/>
      <c r="J20" s="7"/>
      <c r="K20" s="7"/>
      <c r="L20" s="7"/>
    </row>
    <row r="21" spans="1:12" x14ac:dyDescent="0.2">
      <c r="A21" s="8"/>
      <c r="B21" s="8"/>
      <c r="C21" s="8"/>
      <c r="D21" s="8"/>
      <c r="E21" s="8"/>
      <c r="F21" s="8"/>
      <c r="G21" s="7"/>
      <c r="H21" s="8"/>
      <c r="I21" s="7"/>
      <c r="J21" s="7"/>
      <c r="K21" s="7"/>
      <c r="L21" s="7"/>
    </row>
    <row r="22" spans="1:12" x14ac:dyDescent="0.2">
      <c r="A22" s="8"/>
      <c r="B22" s="8"/>
      <c r="C22" s="8"/>
      <c r="D22" s="8"/>
      <c r="E22" s="8"/>
      <c r="F22" s="8"/>
      <c r="G22" s="7"/>
      <c r="H22" s="8"/>
      <c r="I22" s="7"/>
      <c r="J22" s="7"/>
      <c r="K22" s="7"/>
      <c r="L22" s="7"/>
    </row>
    <row r="23" spans="1:12" x14ac:dyDescent="0.2">
      <c r="A23" s="8"/>
      <c r="B23" s="8"/>
      <c r="C23" s="8"/>
      <c r="D23" s="8"/>
      <c r="E23" s="8"/>
      <c r="F23" s="8"/>
      <c r="G23" s="7"/>
      <c r="H23" s="8"/>
      <c r="I23" s="7"/>
      <c r="J23" s="7"/>
      <c r="K23" s="7"/>
      <c r="L23" s="7"/>
    </row>
    <row r="24" spans="1:12" x14ac:dyDescent="0.2">
      <c r="A24" s="8"/>
      <c r="B24" s="8"/>
      <c r="C24" s="8"/>
      <c r="D24" s="8"/>
      <c r="E24" s="8"/>
      <c r="F24" s="8"/>
      <c r="G24" s="7"/>
      <c r="H24" s="8"/>
      <c r="I24" s="7"/>
      <c r="J24" s="7"/>
      <c r="K24" s="7"/>
      <c r="L24" s="7"/>
    </row>
    <row r="25" spans="1:12" x14ac:dyDescent="0.2">
      <c r="A25" s="8"/>
      <c r="B25" s="8"/>
      <c r="C25" s="8"/>
      <c r="D25" s="8"/>
      <c r="E25" s="8"/>
      <c r="F25" s="8"/>
      <c r="G25" s="7"/>
      <c r="H25" s="8"/>
      <c r="I25" s="7"/>
      <c r="J25" s="7"/>
      <c r="K25" s="7"/>
      <c r="L25" s="7"/>
    </row>
    <row r="26" spans="1:12" x14ac:dyDescent="0.2">
      <c r="A26" s="8"/>
      <c r="B26" s="8"/>
      <c r="C26" s="8"/>
      <c r="D26" s="8"/>
      <c r="E26" s="8"/>
      <c r="F26" s="8"/>
      <c r="G26" s="7"/>
      <c r="H26" s="8"/>
      <c r="I26" s="7"/>
      <c r="J26" s="7"/>
      <c r="K26" s="7"/>
      <c r="L26" s="7"/>
    </row>
    <row r="27" spans="1:12" x14ac:dyDescent="0.2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</row>
    <row r="28" spans="1:12" x14ac:dyDescent="0.2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</row>
    <row r="29" spans="1:12" x14ac:dyDescent="0.2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</row>
    <row r="30" spans="1:12" x14ac:dyDescent="0.2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</row>
    <row r="31" spans="1:12" x14ac:dyDescent="0.2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</row>
    <row r="32" spans="1:12" x14ac:dyDescent="0.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</row>
    <row r="33" spans="1:12" x14ac:dyDescent="0.2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</row>
    <row r="34" spans="1:12" x14ac:dyDescent="0.2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</row>
    <row r="35" spans="1:12" x14ac:dyDescent="0.2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</row>
    <row r="36" spans="1:12" x14ac:dyDescent="0.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</row>
    <row r="37" spans="1:12" x14ac:dyDescent="0.2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</row>
    <row r="38" spans="1:12" x14ac:dyDescent="0.2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</row>
    <row r="39" spans="1:12" x14ac:dyDescent="0.2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</row>
    <row r="40" spans="1:12" x14ac:dyDescent="0.2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</row>
    <row r="41" spans="1:12" x14ac:dyDescent="0.2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</row>
    <row r="42" spans="1:12" x14ac:dyDescent="0.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</row>
    <row r="43" spans="1:12" x14ac:dyDescent="0.2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</row>
    <row r="44" spans="1:12" x14ac:dyDescent="0.2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</row>
    <row r="45" spans="1:12" x14ac:dyDescent="0.2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</row>
    <row r="46" spans="1:12" x14ac:dyDescent="0.2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</row>
    <row r="47" spans="1:12" x14ac:dyDescent="0.2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</row>
    <row r="48" spans="1:12" x14ac:dyDescent="0.2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</row>
    <row r="49" spans="1:12" x14ac:dyDescent="0.2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</row>
    <row r="50" spans="1:12" x14ac:dyDescent="0.2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</row>
  </sheetData>
  <autoFilter ref="A5:L5" xr:uid="{00000000-0009-0000-0000-00000B000000}">
    <sortState xmlns:xlrd2="http://schemas.microsoft.com/office/spreadsheetml/2017/richdata2" ref="A6:L50">
      <sortCondition ref="A5"/>
    </sortState>
  </autoFilter>
  <mergeCells count="3">
    <mergeCell ref="A2:B2"/>
    <mergeCell ref="C2:L2"/>
    <mergeCell ref="C3:L3"/>
  </mergeCells>
  <hyperlinks>
    <hyperlink ref="C3" r:id="rId1" xr:uid="{D5D43997-EDD4-44DD-BC72-40308BC55F6F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5C4B2-E76F-455C-9D37-1CC11C7361F9}">
  <sheetPr>
    <tabColor rgb="FF92D050"/>
  </sheetPr>
  <dimension ref="A2:L50"/>
  <sheetViews>
    <sheetView workbookViewId="0">
      <selection activeCell="O22" sqref="O22"/>
    </sheetView>
  </sheetViews>
  <sheetFormatPr defaultRowHeight="12.9" x14ac:dyDescent="0.2"/>
  <cols>
    <col min="1" max="1" width="5.75" style="6" bestFit="1" customWidth="1"/>
    <col min="2" max="2" width="18.875" style="6" customWidth="1"/>
    <col min="3" max="3" width="2.25" style="6" bestFit="1" customWidth="1"/>
    <col min="4" max="4" width="2.375" style="6" bestFit="1" customWidth="1"/>
    <col min="5" max="5" width="8.75" style="6" customWidth="1"/>
    <col min="6" max="6" width="3.25" style="6" bestFit="1" customWidth="1"/>
    <col min="7" max="7" width="3.375" style="6" bestFit="1" customWidth="1"/>
    <col min="8" max="8" width="3.75" style="6" bestFit="1" customWidth="1"/>
    <col min="9" max="9" width="11.25" style="6" customWidth="1"/>
    <col min="10" max="10" width="18.25" style="6" customWidth="1"/>
    <col min="11" max="11" width="7.875" style="6" bestFit="1" customWidth="1"/>
    <col min="12" max="12" width="8.125" style="6" bestFit="1" customWidth="1"/>
  </cols>
  <sheetData>
    <row r="2" spans="1:12" ht="13.6" x14ac:dyDescent="0.2">
      <c r="A2" s="66" t="s">
        <v>72</v>
      </c>
      <c r="B2" s="66"/>
      <c r="C2" s="67"/>
      <c r="D2" s="67"/>
      <c r="E2" s="67"/>
      <c r="F2" s="67"/>
      <c r="G2" s="67"/>
      <c r="H2" s="67"/>
      <c r="I2" s="67"/>
      <c r="J2" s="67"/>
      <c r="K2" s="67"/>
      <c r="L2" s="67"/>
    </row>
    <row r="3" spans="1:12" ht="13.1" customHeight="1" x14ac:dyDescent="0.2">
      <c r="C3" s="68"/>
      <c r="D3" s="68"/>
      <c r="E3" s="68"/>
      <c r="F3" s="68"/>
      <c r="G3" s="68"/>
      <c r="H3" s="68"/>
      <c r="I3" s="68"/>
      <c r="J3" s="68"/>
      <c r="K3" s="68"/>
      <c r="L3" s="68"/>
    </row>
    <row r="4" spans="1:12" ht="13.1" customHeight="1" x14ac:dyDescent="0.2">
      <c r="C4" s="10"/>
      <c r="D4" s="10"/>
      <c r="E4" s="10"/>
      <c r="F4" s="10"/>
      <c r="G4" s="10"/>
      <c r="H4" s="10"/>
      <c r="I4" s="10"/>
      <c r="J4" s="10"/>
      <c r="K4" s="10"/>
      <c r="L4" s="10"/>
    </row>
    <row r="5" spans="1:12" ht="14.3" x14ac:dyDescent="0.2">
      <c r="A5" s="11" t="s">
        <v>76</v>
      </c>
      <c r="B5" s="11" t="s">
        <v>77</v>
      </c>
      <c r="C5" s="11" t="s">
        <v>78</v>
      </c>
      <c r="D5" s="11" t="s">
        <v>79</v>
      </c>
      <c r="E5" s="11" t="s">
        <v>80</v>
      </c>
      <c r="F5" s="11" t="s">
        <v>3</v>
      </c>
      <c r="G5" s="11" t="s">
        <v>81</v>
      </c>
      <c r="H5" s="11" t="s">
        <v>4</v>
      </c>
      <c r="I5" s="11" t="s">
        <v>82</v>
      </c>
      <c r="J5" s="11" t="s">
        <v>83</v>
      </c>
      <c r="K5" s="11" t="s">
        <v>84</v>
      </c>
      <c r="L5" s="11" t="s">
        <v>85</v>
      </c>
    </row>
    <row r="6" spans="1:12" x14ac:dyDescent="0.2">
      <c r="A6" s="8">
        <v>1</v>
      </c>
      <c r="B6" s="8" t="s">
        <v>15</v>
      </c>
      <c r="C6" s="8">
        <v>5</v>
      </c>
      <c r="D6" s="6">
        <v>5</v>
      </c>
      <c r="E6" s="8">
        <v>1</v>
      </c>
      <c r="F6" s="8">
        <v>25</v>
      </c>
      <c r="G6" s="7">
        <v>9</v>
      </c>
      <c r="H6" s="8">
        <v>16</v>
      </c>
      <c r="I6" s="7" t="s">
        <v>86</v>
      </c>
      <c r="J6" s="7" t="s">
        <v>98</v>
      </c>
      <c r="K6" s="7"/>
      <c r="L6" s="7"/>
    </row>
    <row r="7" spans="1:12" ht="25.85" x14ac:dyDescent="0.2">
      <c r="A7" s="8" t="s">
        <v>164</v>
      </c>
      <c r="B7" s="8" t="s">
        <v>23</v>
      </c>
      <c r="C7" s="8">
        <v>3</v>
      </c>
      <c r="D7" s="6">
        <v>4</v>
      </c>
      <c r="E7" s="8">
        <v>0.75</v>
      </c>
      <c r="F7" s="8">
        <v>18</v>
      </c>
      <c r="G7" s="7">
        <v>11</v>
      </c>
      <c r="H7" s="8">
        <v>7</v>
      </c>
      <c r="I7" s="7" t="s">
        <v>86</v>
      </c>
      <c r="J7" s="7" t="s">
        <v>92</v>
      </c>
      <c r="K7" s="7"/>
      <c r="L7" s="7"/>
    </row>
    <row r="8" spans="1:12" x14ac:dyDescent="0.2">
      <c r="A8" s="8" t="s">
        <v>164</v>
      </c>
      <c r="B8" s="8" t="s">
        <v>14</v>
      </c>
      <c r="C8" s="8">
        <v>3</v>
      </c>
      <c r="D8" s="6">
        <v>4</v>
      </c>
      <c r="E8" s="8">
        <v>0.75</v>
      </c>
      <c r="F8" s="8">
        <v>18</v>
      </c>
      <c r="G8" s="7">
        <v>11</v>
      </c>
      <c r="H8" s="8">
        <v>7</v>
      </c>
      <c r="I8" s="7" t="s">
        <v>86</v>
      </c>
      <c r="J8" s="7" t="s">
        <v>87</v>
      </c>
      <c r="K8" s="7"/>
      <c r="L8" s="7"/>
    </row>
    <row r="9" spans="1:12" ht="25.85" x14ac:dyDescent="0.2">
      <c r="A9" s="8">
        <v>4</v>
      </c>
      <c r="B9" s="8" t="s">
        <v>17</v>
      </c>
      <c r="C9" s="8">
        <v>3</v>
      </c>
      <c r="D9" s="6">
        <v>5</v>
      </c>
      <c r="E9" s="8">
        <v>0.6</v>
      </c>
      <c r="F9" s="8">
        <v>23</v>
      </c>
      <c r="G9" s="7">
        <v>16</v>
      </c>
      <c r="H9" s="8">
        <v>7</v>
      </c>
      <c r="I9" s="7" t="s">
        <v>86</v>
      </c>
      <c r="J9" s="7" t="s">
        <v>92</v>
      </c>
      <c r="K9" s="7"/>
      <c r="L9" s="7"/>
    </row>
    <row r="10" spans="1:12" ht="25.85" x14ac:dyDescent="0.2">
      <c r="A10" s="8">
        <v>5</v>
      </c>
      <c r="B10" s="8" t="s">
        <v>24</v>
      </c>
      <c r="C10" s="8">
        <v>3</v>
      </c>
      <c r="D10" s="6">
        <v>5</v>
      </c>
      <c r="E10" s="8">
        <v>0.6</v>
      </c>
      <c r="F10" s="8">
        <v>20</v>
      </c>
      <c r="G10" s="7">
        <v>14</v>
      </c>
      <c r="H10" s="8">
        <v>6</v>
      </c>
      <c r="I10" s="7" t="s">
        <v>86</v>
      </c>
      <c r="J10" s="7" t="s">
        <v>116</v>
      </c>
      <c r="K10" s="7"/>
      <c r="L10" s="7"/>
    </row>
    <row r="11" spans="1:12" ht="25.85" x14ac:dyDescent="0.2">
      <c r="A11" s="8">
        <v>6</v>
      </c>
      <c r="B11" s="8" t="s">
        <v>20</v>
      </c>
      <c r="C11" s="8">
        <v>3</v>
      </c>
      <c r="D11" s="6">
        <v>5</v>
      </c>
      <c r="E11" s="8">
        <v>0.6</v>
      </c>
      <c r="F11" s="8">
        <v>17</v>
      </c>
      <c r="G11" s="7">
        <v>17</v>
      </c>
      <c r="H11" s="8">
        <v>0</v>
      </c>
      <c r="I11" s="7" t="s">
        <v>86</v>
      </c>
      <c r="J11" s="7" t="s">
        <v>97</v>
      </c>
      <c r="K11" s="7"/>
      <c r="L11" s="7"/>
    </row>
    <row r="12" spans="1:12" x14ac:dyDescent="0.2">
      <c r="A12" s="8">
        <v>7</v>
      </c>
      <c r="B12" s="8" t="s">
        <v>19</v>
      </c>
      <c r="C12" s="8">
        <v>2</v>
      </c>
      <c r="D12" s="6">
        <v>4</v>
      </c>
      <c r="E12" s="8">
        <v>0.5</v>
      </c>
      <c r="F12" s="8">
        <v>17</v>
      </c>
      <c r="G12" s="7">
        <v>14</v>
      </c>
      <c r="H12" s="8">
        <v>3</v>
      </c>
      <c r="I12" s="7" t="s">
        <v>86</v>
      </c>
      <c r="J12" s="7" t="s">
        <v>90</v>
      </c>
      <c r="K12" s="7"/>
      <c r="L12" s="7"/>
    </row>
    <row r="13" spans="1:12" x14ac:dyDescent="0.2">
      <c r="A13" s="8">
        <v>8</v>
      </c>
      <c r="B13" s="8" t="s">
        <v>30</v>
      </c>
      <c r="C13" s="8">
        <v>2</v>
      </c>
      <c r="D13" s="6">
        <v>4</v>
      </c>
      <c r="E13" s="8">
        <v>0.5</v>
      </c>
      <c r="F13" s="8">
        <v>14</v>
      </c>
      <c r="G13" s="7">
        <v>16</v>
      </c>
      <c r="H13" s="8">
        <v>-2</v>
      </c>
      <c r="I13" s="7" t="s">
        <v>86</v>
      </c>
      <c r="J13" s="7" t="s">
        <v>180</v>
      </c>
      <c r="K13" s="7"/>
      <c r="L13" s="7"/>
    </row>
    <row r="14" spans="1:12" ht="25.85" x14ac:dyDescent="0.2">
      <c r="A14" s="8">
        <v>9</v>
      </c>
      <c r="B14" s="8" t="s">
        <v>29</v>
      </c>
      <c r="C14" s="8">
        <v>1</v>
      </c>
      <c r="D14" s="6">
        <v>5</v>
      </c>
      <c r="E14" s="8">
        <v>0.2</v>
      </c>
      <c r="F14" s="8">
        <v>10</v>
      </c>
      <c r="G14" s="7">
        <v>22</v>
      </c>
      <c r="H14" s="8">
        <v>-12</v>
      </c>
      <c r="I14" s="7" t="s">
        <v>86</v>
      </c>
      <c r="J14" s="7" t="s">
        <v>99</v>
      </c>
      <c r="K14" s="7"/>
      <c r="L14" s="7"/>
    </row>
    <row r="15" spans="1:12" ht="38.75" x14ac:dyDescent="0.2">
      <c r="A15" s="8">
        <v>10</v>
      </c>
      <c r="B15" s="8" t="s">
        <v>27</v>
      </c>
      <c r="C15" s="8">
        <v>0</v>
      </c>
      <c r="D15" s="6">
        <v>4</v>
      </c>
      <c r="E15" s="8">
        <v>0</v>
      </c>
      <c r="F15" s="8">
        <v>5</v>
      </c>
      <c r="G15" s="7">
        <v>20</v>
      </c>
      <c r="H15" s="8">
        <v>-15</v>
      </c>
      <c r="I15" s="7" t="s">
        <v>86</v>
      </c>
      <c r="J15" s="7" t="s">
        <v>91</v>
      </c>
      <c r="K15" s="7"/>
      <c r="L15" s="7"/>
    </row>
    <row r="16" spans="1:12" ht="38.75" x14ac:dyDescent="0.2">
      <c r="A16" s="8">
        <v>11</v>
      </c>
      <c r="B16" s="8" t="s">
        <v>33</v>
      </c>
      <c r="C16" s="8">
        <v>0</v>
      </c>
      <c r="D16" s="6">
        <v>5</v>
      </c>
      <c r="E16" s="8">
        <v>0</v>
      </c>
      <c r="F16" s="8">
        <v>8</v>
      </c>
      <c r="G16" s="7">
        <v>25</v>
      </c>
      <c r="H16" s="8">
        <v>-17</v>
      </c>
      <c r="I16" s="7" t="s">
        <v>86</v>
      </c>
      <c r="J16" s="7" t="s">
        <v>102</v>
      </c>
      <c r="K16" s="7"/>
      <c r="L16" s="7"/>
    </row>
    <row r="17" spans="1:12" x14ac:dyDescent="0.2">
      <c r="A17" s="8"/>
      <c r="B17" s="8"/>
      <c r="C17" s="8"/>
      <c r="D17" s="8"/>
      <c r="E17" s="8"/>
      <c r="F17" s="8"/>
      <c r="G17" s="7"/>
      <c r="H17" s="8"/>
      <c r="I17" s="7"/>
      <c r="J17" s="7"/>
      <c r="K17" s="7"/>
      <c r="L17" s="7"/>
    </row>
    <row r="18" spans="1:12" x14ac:dyDescent="0.2">
      <c r="A18" s="8"/>
      <c r="B18" s="8"/>
      <c r="C18" s="8"/>
      <c r="D18" s="8"/>
      <c r="E18" s="8"/>
      <c r="F18" s="8"/>
      <c r="G18" s="7"/>
      <c r="H18" s="8"/>
      <c r="I18" s="7"/>
      <c r="J18" s="7"/>
      <c r="K18" s="7"/>
      <c r="L18" s="7"/>
    </row>
    <row r="19" spans="1:12" x14ac:dyDescent="0.2">
      <c r="A19" s="8"/>
      <c r="B19" s="8"/>
      <c r="C19" s="8"/>
      <c r="D19" s="8"/>
      <c r="E19" s="8"/>
      <c r="F19" s="8"/>
      <c r="G19" s="7"/>
      <c r="H19" s="8"/>
      <c r="I19" s="7"/>
      <c r="J19" s="7"/>
      <c r="K19" s="7"/>
      <c r="L19" s="7"/>
    </row>
    <row r="20" spans="1:12" x14ac:dyDescent="0.2">
      <c r="A20" s="8"/>
      <c r="B20" s="8"/>
      <c r="C20" s="8"/>
      <c r="D20" s="8"/>
      <c r="E20" s="8"/>
      <c r="F20" s="8"/>
      <c r="G20" s="7"/>
      <c r="H20" s="8"/>
      <c r="I20" s="7"/>
      <c r="J20" s="7"/>
      <c r="K20" s="7"/>
      <c r="L20" s="7"/>
    </row>
    <row r="21" spans="1:12" x14ac:dyDescent="0.2">
      <c r="A21" s="8"/>
      <c r="B21" s="8"/>
      <c r="C21" s="8"/>
      <c r="D21" s="8"/>
      <c r="E21" s="8"/>
      <c r="F21" s="8"/>
      <c r="G21" s="7"/>
      <c r="H21" s="8"/>
      <c r="I21" s="7"/>
      <c r="J21" s="7"/>
      <c r="K21" s="7"/>
      <c r="L21" s="7"/>
    </row>
    <row r="22" spans="1:12" x14ac:dyDescent="0.2">
      <c r="A22" s="8"/>
      <c r="B22" s="8"/>
      <c r="C22" s="8"/>
      <c r="D22" s="8"/>
      <c r="E22" s="8"/>
      <c r="F22" s="8"/>
      <c r="G22" s="7"/>
      <c r="H22" s="8"/>
      <c r="I22" s="7"/>
      <c r="J22" s="7"/>
      <c r="K22" s="7"/>
      <c r="L22" s="7"/>
    </row>
    <row r="23" spans="1:12" x14ac:dyDescent="0.2">
      <c r="A23" s="8"/>
      <c r="B23" s="8"/>
      <c r="C23" s="8"/>
      <c r="D23" s="8"/>
      <c r="E23" s="8"/>
      <c r="F23" s="8"/>
      <c r="G23" s="7"/>
      <c r="H23" s="8"/>
      <c r="I23" s="7"/>
      <c r="J23" s="7"/>
      <c r="K23" s="7"/>
      <c r="L23" s="7"/>
    </row>
    <row r="24" spans="1:12" x14ac:dyDescent="0.2">
      <c r="A24" s="8"/>
      <c r="B24" s="8"/>
      <c r="C24" s="8"/>
      <c r="D24" s="8"/>
      <c r="E24" s="8"/>
      <c r="F24" s="8"/>
      <c r="G24" s="7"/>
      <c r="H24" s="8"/>
      <c r="I24" s="7"/>
      <c r="J24" s="7"/>
      <c r="K24" s="7"/>
      <c r="L24" s="7"/>
    </row>
    <row r="25" spans="1:12" x14ac:dyDescent="0.2">
      <c r="A25" s="8"/>
      <c r="B25" s="8"/>
      <c r="C25" s="8"/>
      <c r="D25" s="8"/>
      <c r="E25" s="8"/>
      <c r="F25" s="8"/>
      <c r="G25" s="7"/>
      <c r="H25" s="8"/>
      <c r="I25" s="7"/>
      <c r="J25" s="7"/>
      <c r="K25" s="7"/>
      <c r="L25" s="7"/>
    </row>
    <row r="26" spans="1:12" x14ac:dyDescent="0.2">
      <c r="A26" s="8"/>
      <c r="B26" s="8"/>
      <c r="C26" s="8"/>
      <c r="D26" s="8"/>
      <c r="E26" s="8"/>
      <c r="F26" s="8"/>
      <c r="G26" s="7"/>
      <c r="H26" s="8"/>
      <c r="I26" s="7"/>
      <c r="J26" s="7"/>
      <c r="K26" s="7"/>
      <c r="L26" s="7"/>
    </row>
    <row r="27" spans="1:12" x14ac:dyDescent="0.2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</row>
    <row r="28" spans="1:12" x14ac:dyDescent="0.2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</row>
    <row r="29" spans="1:12" x14ac:dyDescent="0.2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</row>
    <row r="30" spans="1:12" x14ac:dyDescent="0.2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</row>
    <row r="31" spans="1:12" x14ac:dyDescent="0.2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</row>
    <row r="32" spans="1:12" x14ac:dyDescent="0.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</row>
    <row r="33" spans="1:12" x14ac:dyDescent="0.2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</row>
    <row r="34" spans="1:12" x14ac:dyDescent="0.2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</row>
    <row r="35" spans="1:12" x14ac:dyDescent="0.2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</row>
    <row r="36" spans="1:12" x14ac:dyDescent="0.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</row>
    <row r="37" spans="1:12" x14ac:dyDescent="0.2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</row>
    <row r="38" spans="1:12" x14ac:dyDescent="0.2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</row>
    <row r="39" spans="1:12" x14ac:dyDescent="0.2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</row>
    <row r="40" spans="1:12" x14ac:dyDescent="0.2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</row>
    <row r="41" spans="1:12" x14ac:dyDescent="0.2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</row>
    <row r="42" spans="1:12" x14ac:dyDescent="0.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</row>
    <row r="43" spans="1:12" x14ac:dyDescent="0.2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</row>
    <row r="44" spans="1:12" x14ac:dyDescent="0.2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</row>
    <row r="45" spans="1:12" x14ac:dyDescent="0.2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</row>
    <row r="46" spans="1:12" x14ac:dyDescent="0.2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</row>
    <row r="47" spans="1:12" x14ac:dyDescent="0.2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</row>
    <row r="48" spans="1:12" x14ac:dyDescent="0.2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</row>
    <row r="49" spans="1:12" x14ac:dyDescent="0.2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</row>
    <row r="50" spans="1:12" x14ac:dyDescent="0.2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</row>
  </sheetData>
  <autoFilter ref="A5:L5" xr:uid="{00000000-0009-0000-0000-00000B000000}">
    <sortState xmlns:xlrd2="http://schemas.microsoft.com/office/spreadsheetml/2017/richdata2" ref="A6:L50">
      <sortCondition ref="A5"/>
    </sortState>
  </autoFilter>
  <mergeCells count="3">
    <mergeCell ref="A2:B2"/>
    <mergeCell ref="C2:L2"/>
    <mergeCell ref="C3:L3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C468A-32DF-422E-9C05-76C77F52213B}">
  <sheetPr>
    <tabColor rgb="FF92D050"/>
  </sheetPr>
  <dimension ref="A2:L50"/>
  <sheetViews>
    <sheetView workbookViewId="0">
      <selection activeCell="A2" sqref="A2:L3"/>
    </sheetView>
  </sheetViews>
  <sheetFormatPr defaultRowHeight="12.9" x14ac:dyDescent="0.2"/>
  <cols>
    <col min="1" max="1" width="5.75" style="6" bestFit="1" customWidth="1"/>
    <col min="2" max="2" width="18.875" style="6" customWidth="1"/>
    <col min="3" max="3" width="2.25" style="6" bestFit="1" customWidth="1"/>
    <col min="4" max="4" width="2.375" style="6" bestFit="1" customWidth="1"/>
    <col min="5" max="5" width="8.75" style="6" customWidth="1"/>
    <col min="6" max="6" width="3.25" style="6" bestFit="1" customWidth="1"/>
    <col min="7" max="7" width="3.375" style="6" bestFit="1" customWidth="1"/>
    <col min="8" max="8" width="3.75" style="6" bestFit="1" customWidth="1"/>
    <col min="9" max="9" width="11.25" style="6" customWidth="1"/>
    <col min="10" max="10" width="18.25" style="6" customWidth="1"/>
    <col min="11" max="11" width="7.875" style="6" bestFit="1" customWidth="1"/>
    <col min="12" max="12" width="8.125" style="6" bestFit="1" customWidth="1"/>
  </cols>
  <sheetData>
    <row r="2" spans="1:12" ht="13.75" customHeight="1" x14ac:dyDescent="0.2">
      <c r="A2" s="66" t="s">
        <v>72</v>
      </c>
      <c r="B2" s="66"/>
      <c r="C2" s="67" t="s">
        <v>181</v>
      </c>
      <c r="D2" s="67"/>
      <c r="E2" s="67"/>
      <c r="F2" s="67"/>
      <c r="G2" s="67"/>
      <c r="H2" s="67"/>
      <c r="I2" s="67"/>
      <c r="J2" s="67"/>
      <c r="K2" s="67"/>
      <c r="L2" s="67"/>
    </row>
    <row r="3" spans="1:12" ht="13.1" customHeight="1" x14ac:dyDescent="0.2">
      <c r="C3" s="70" t="s">
        <v>182</v>
      </c>
      <c r="D3" s="70"/>
      <c r="E3" s="70"/>
      <c r="F3" s="70"/>
      <c r="G3" s="70"/>
      <c r="H3" s="70"/>
      <c r="I3" s="70"/>
      <c r="J3" s="70"/>
      <c r="K3" s="70"/>
      <c r="L3" s="70"/>
    </row>
    <row r="4" spans="1:12" ht="13.1" customHeight="1" x14ac:dyDescent="0.2">
      <c r="C4" s="10"/>
      <c r="D4" s="10"/>
      <c r="E4" s="10"/>
      <c r="F4" s="10"/>
      <c r="G4" s="10"/>
      <c r="H4" s="10"/>
      <c r="I4" s="10"/>
      <c r="J4" s="10"/>
      <c r="K4" s="10"/>
      <c r="L4" s="10"/>
    </row>
    <row r="5" spans="1:12" ht="14.3" x14ac:dyDescent="0.2">
      <c r="A5" s="11" t="s">
        <v>76</v>
      </c>
      <c r="B5" s="11" t="s">
        <v>77</v>
      </c>
      <c r="C5" s="11" t="s">
        <v>78</v>
      </c>
      <c r="D5" s="11" t="s">
        <v>79</v>
      </c>
      <c r="E5" s="11" t="s">
        <v>80</v>
      </c>
      <c r="F5" s="11" t="s">
        <v>3</v>
      </c>
      <c r="G5" s="11" t="s">
        <v>81</v>
      </c>
      <c r="H5" s="11" t="s">
        <v>4</v>
      </c>
      <c r="I5" s="11" t="s">
        <v>82</v>
      </c>
      <c r="J5" s="11" t="s">
        <v>83</v>
      </c>
      <c r="K5" s="11" t="s">
        <v>84</v>
      </c>
      <c r="L5" s="11" t="s">
        <v>85</v>
      </c>
    </row>
    <row r="6" spans="1:12" ht="38.75" x14ac:dyDescent="0.2">
      <c r="A6" s="8">
        <v>1</v>
      </c>
      <c r="B6" s="8" t="s">
        <v>18</v>
      </c>
      <c r="C6" s="8">
        <v>4</v>
      </c>
      <c r="D6" s="6">
        <v>4</v>
      </c>
      <c r="E6" s="8" t="s">
        <v>137</v>
      </c>
      <c r="F6" s="8">
        <v>20</v>
      </c>
      <c r="G6" s="7">
        <v>3</v>
      </c>
      <c r="H6" s="8">
        <v>17</v>
      </c>
      <c r="I6" s="7" t="s">
        <v>86</v>
      </c>
      <c r="J6" s="7" t="s">
        <v>91</v>
      </c>
      <c r="K6" s="7"/>
      <c r="L6" s="7"/>
    </row>
    <row r="7" spans="1:12" x14ac:dyDescent="0.2">
      <c r="A7" s="8">
        <v>2</v>
      </c>
      <c r="B7" s="8" t="s">
        <v>14</v>
      </c>
      <c r="C7" s="8">
        <v>4</v>
      </c>
      <c r="D7" s="6">
        <v>5</v>
      </c>
      <c r="E7" s="8" t="s">
        <v>140</v>
      </c>
      <c r="F7" s="8">
        <v>24</v>
      </c>
      <c r="G7" s="7">
        <v>9</v>
      </c>
      <c r="H7" s="8">
        <v>15</v>
      </c>
      <c r="I7" s="7" t="s">
        <v>86</v>
      </c>
      <c r="J7" s="7" t="s">
        <v>87</v>
      </c>
      <c r="K7" s="7"/>
      <c r="L7" s="7"/>
    </row>
    <row r="8" spans="1:12" x14ac:dyDescent="0.2">
      <c r="A8" s="8">
        <v>3</v>
      </c>
      <c r="B8" s="8" t="s">
        <v>19</v>
      </c>
      <c r="C8" s="8">
        <v>4</v>
      </c>
      <c r="D8" s="6">
        <v>5</v>
      </c>
      <c r="E8" s="8" t="s">
        <v>140</v>
      </c>
      <c r="F8" s="8">
        <v>23</v>
      </c>
      <c r="G8" s="7">
        <v>9</v>
      </c>
      <c r="H8" s="8">
        <v>14</v>
      </c>
      <c r="I8" s="7" t="s">
        <v>86</v>
      </c>
      <c r="J8" s="7" t="s">
        <v>90</v>
      </c>
      <c r="K8" s="7"/>
      <c r="L8" s="7"/>
    </row>
    <row r="9" spans="1:12" x14ac:dyDescent="0.2">
      <c r="A9" s="8">
        <v>4</v>
      </c>
      <c r="B9" s="8" t="s">
        <v>15</v>
      </c>
      <c r="C9" s="8">
        <v>3</v>
      </c>
      <c r="D9" s="6">
        <v>4</v>
      </c>
      <c r="E9" s="8" t="s">
        <v>160</v>
      </c>
      <c r="F9" s="8">
        <v>16</v>
      </c>
      <c r="G9" s="7">
        <v>9</v>
      </c>
      <c r="H9" s="8">
        <v>7</v>
      </c>
      <c r="I9" s="7" t="s">
        <v>86</v>
      </c>
      <c r="J9" s="7" t="s">
        <v>98</v>
      </c>
      <c r="K9" s="7"/>
      <c r="L9" s="7"/>
    </row>
    <row r="10" spans="1:12" ht="25.85" x14ac:dyDescent="0.2">
      <c r="A10" s="8">
        <v>5</v>
      </c>
      <c r="B10" s="8" t="s">
        <v>20</v>
      </c>
      <c r="C10" s="8">
        <v>3</v>
      </c>
      <c r="D10" s="6">
        <v>5</v>
      </c>
      <c r="E10" s="8" t="s">
        <v>142</v>
      </c>
      <c r="F10" s="8">
        <v>19</v>
      </c>
      <c r="G10" s="7">
        <v>15</v>
      </c>
      <c r="H10" s="8">
        <v>4</v>
      </c>
      <c r="I10" s="7" t="s">
        <v>86</v>
      </c>
      <c r="J10" s="7" t="s">
        <v>97</v>
      </c>
      <c r="K10" s="7"/>
      <c r="L10" s="7"/>
    </row>
    <row r="11" spans="1:12" ht="25.85" x14ac:dyDescent="0.2">
      <c r="A11" s="8">
        <v>6</v>
      </c>
      <c r="B11" s="8" t="s">
        <v>94</v>
      </c>
      <c r="C11" s="8">
        <v>2</v>
      </c>
      <c r="D11" s="6">
        <v>4</v>
      </c>
      <c r="E11" s="8" t="s">
        <v>143</v>
      </c>
      <c r="F11" s="8">
        <v>12</v>
      </c>
      <c r="G11" s="7">
        <v>13</v>
      </c>
      <c r="H11" s="8">
        <v>-1</v>
      </c>
      <c r="I11" s="7" t="s">
        <v>86</v>
      </c>
      <c r="J11" s="7" t="s">
        <v>95</v>
      </c>
      <c r="K11" s="7"/>
      <c r="L11" s="7"/>
    </row>
    <row r="12" spans="1:12" x14ac:dyDescent="0.2">
      <c r="A12" s="8">
        <v>7</v>
      </c>
      <c r="B12" s="8" t="s">
        <v>49</v>
      </c>
      <c r="C12" s="8">
        <v>2</v>
      </c>
      <c r="D12" s="6">
        <v>5</v>
      </c>
      <c r="E12" s="8" t="s">
        <v>144</v>
      </c>
      <c r="F12" s="8">
        <v>12</v>
      </c>
      <c r="G12" s="7">
        <v>22</v>
      </c>
      <c r="H12" s="8">
        <v>-10</v>
      </c>
      <c r="I12" s="7" t="s">
        <v>86</v>
      </c>
      <c r="J12" s="7" t="s">
        <v>95</v>
      </c>
      <c r="K12" s="7"/>
      <c r="L12" s="7"/>
    </row>
    <row r="13" spans="1:12" ht="25.85" x14ac:dyDescent="0.2">
      <c r="A13" s="8">
        <v>8</v>
      </c>
      <c r="B13" s="8" t="s">
        <v>30</v>
      </c>
      <c r="C13" s="8">
        <v>1</v>
      </c>
      <c r="D13" s="6">
        <v>4</v>
      </c>
      <c r="E13" s="8" t="s">
        <v>161</v>
      </c>
      <c r="F13" s="8">
        <v>8</v>
      </c>
      <c r="G13" s="7">
        <v>18</v>
      </c>
      <c r="H13" s="8">
        <v>-10</v>
      </c>
      <c r="I13" s="7" t="s">
        <v>86</v>
      </c>
      <c r="J13" s="7" t="s">
        <v>93</v>
      </c>
      <c r="K13" s="7"/>
      <c r="L13" s="7"/>
    </row>
    <row r="14" spans="1:12" ht="25.85" x14ac:dyDescent="0.2">
      <c r="A14" s="8">
        <v>9</v>
      </c>
      <c r="B14" s="8" t="s">
        <v>56</v>
      </c>
      <c r="C14" s="8">
        <v>1</v>
      </c>
      <c r="D14" s="6">
        <v>5</v>
      </c>
      <c r="E14" s="8" t="s">
        <v>146</v>
      </c>
      <c r="F14" s="8">
        <v>13</v>
      </c>
      <c r="G14" s="7">
        <v>21</v>
      </c>
      <c r="H14" s="8">
        <v>-8</v>
      </c>
      <c r="I14" s="7" t="s">
        <v>86</v>
      </c>
      <c r="J14" s="7" t="s">
        <v>93</v>
      </c>
      <c r="K14" s="7"/>
      <c r="L14" s="7"/>
    </row>
    <row r="15" spans="1:12" ht="38.75" x14ac:dyDescent="0.2">
      <c r="A15" s="8">
        <v>10</v>
      </c>
      <c r="B15" s="8" t="s">
        <v>34</v>
      </c>
      <c r="C15" s="8">
        <v>1</v>
      </c>
      <c r="D15" s="6">
        <v>5</v>
      </c>
      <c r="E15" s="8" t="s">
        <v>146</v>
      </c>
      <c r="F15" s="8">
        <v>7</v>
      </c>
      <c r="G15" s="7">
        <v>22</v>
      </c>
      <c r="H15" s="8">
        <v>-15</v>
      </c>
      <c r="I15" s="7" t="s">
        <v>86</v>
      </c>
      <c r="J15" s="7" t="s">
        <v>102</v>
      </c>
      <c r="K15" s="7"/>
      <c r="L15" s="7"/>
    </row>
    <row r="16" spans="1:12" ht="25.85" x14ac:dyDescent="0.2">
      <c r="A16" s="8">
        <v>11</v>
      </c>
      <c r="B16" s="8" t="s">
        <v>183</v>
      </c>
      <c r="C16" s="8">
        <v>0</v>
      </c>
      <c r="D16" s="6">
        <v>4</v>
      </c>
      <c r="E16" s="8" t="s">
        <v>148</v>
      </c>
      <c r="F16" s="8">
        <v>7</v>
      </c>
      <c r="G16" s="7">
        <v>20</v>
      </c>
      <c r="H16" s="8">
        <v>-13</v>
      </c>
      <c r="I16" s="7" t="s">
        <v>86</v>
      </c>
      <c r="J16" s="7" t="s">
        <v>184</v>
      </c>
      <c r="K16" s="7"/>
      <c r="L16" s="7"/>
    </row>
    <row r="17" spans="1:12" x14ac:dyDescent="0.2">
      <c r="A17" s="8"/>
      <c r="B17" s="8"/>
      <c r="C17" s="8"/>
      <c r="D17" s="8"/>
      <c r="E17" s="8"/>
      <c r="F17" s="8"/>
      <c r="G17" s="7"/>
      <c r="H17" s="8"/>
      <c r="I17" s="7"/>
      <c r="J17" s="7"/>
      <c r="K17" s="7"/>
      <c r="L17" s="7"/>
    </row>
    <row r="18" spans="1:12" x14ac:dyDescent="0.2">
      <c r="A18" s="8"/>
      <c r="B18" s="8"/>
      <c r="C18" s="8"/>
      <c r="D18" s="8"/>
      <c r="E18" s="8"/>
      <c r="F18" s="8"/>
      <c r="G18" s="7"/>
      <c r="H18" s="8"/>
      <c r="I18" s="7"/>
      <c r="J18" s="7"/>
      <c r="K18" s="7"/>
      <c r="L18" s="7"/>
    </row>
    <row r="19" spans="1:12" x14ac:dyDescent="0.2">
      <c r="A19" s="8"/>
      <c r="B19" s="8"/>
      <c r="C19" s="8"/>
      <c r="D19" s="8"/>
      <c r="E19" s="8"/>
      <c r="F19" s="8"/>
      <c r="G19" s="7"/>
      <c r="H19" s="8"/>
      <c r="I19" s="7"/>
      <c r="J19" s="7"/>
      <c r="K19" s="7"/>
      <c r="L19" s="7"/>
    </row>
    <row r="20" spans="1:12" x14ac:dyDescent="0.2">
      <c r="A20" s="8"/>
      <c r="B20" s="8"/>
      <c r="C20" s="8"/>
      <c r="D20" s="8"/>
      <c r="E20" s="8"/>
      <c r="F20" s="8"/>
      <c r="G20" s="7"/>
      <c r="H20" s="8"/>
      <c r="I20" s="7"/>
      <c r="J20" s="7"/>
      <c r="K20" s="7"/>
      <c r="L20" s="7"/>
    </row>
    <row r="21" spans="1:12" x14ac:dyDescent="0.2">
      <c r="A21" s="8"/>
      <c r="B21" s="8"/>
      <c r="C21" s="8"/>
      <c r="D21" s="8"/>
      <c r="E21" s="8"/>
      <c r="F21" s="8"/>
      <c r="G21" s="7"/>
      <c r="H21" s="8"/>
      <c r="I21" s="7"/>
      <c r="J21" s="7"/>
      <c r="K21" s="7"/>
      <c r="L21" s="7"/>
    </row>
    <row r="22" spans="1:12" x14ac:dyDescent="0.2">
      <c r="A22" s="8"/>
      <c r="B22" s="8"/>
      <c r="C22" s="8"/>
      <c r="D22" s="8"/>
      <c r="E22" s="8"/>
      <c r="F22" s="8"/>
      <c r="G22" s="7"/>
      <c r="H22" s="8"/>
      <c r="I22" s="7"/>
      <c r="J22" s="7"/>
      <c r="K22" s="7"/>
      <c r="L22" s="7"/>
    </row>
    <row r="23" spans="1:12" x14ac:dyDescent="0.2">
      <c r="A23" s="8"/>
      <c r="B23" s="8"/>
      <c r="C23" s="8"/>
      <c r="D23" s="8"/>
      <c r="E23" s="8"/>
      <c r="F23" s="8"/>
      <c r="G23" s="7"/>
      <c r="H23" s="8"/>
      <c r="I23" s="7"/>
      <c r="J23" s="7"/>
      <c r="K23" s="7"/>
      <c r="L23" s="7"/>
    </row>
    <row r="24" spans="1:12" x14ac:dyDescent="0.2">
      <c r="A24" s="8"/>
      <c r="B24" s="8"/>
      <c r="C24" s="8"/>
      <c r="D24" s="8"/>
      <c r="E24" s="8"/>
      <c r="F24" s="8"/>
      <c r="G24" s="7"/>
      <c r="H24" s="8"/>
      <c r="I24" s="7"/>
      <c r="J24" s="7"/>
      <c r="K24" s="7"/>
      <c r="L24" s="7"/>
    </row>
    <row r="25" spans="1:12" x14ac:dyDescent="0.2">
      <c r="A25" s="8"/>
      <c r="B25" s="8"/>
      <c r="C25" s="8"/>
      <c r="D25" s="8"/>
      <c r="E25" s="8"/>
      <c r="F25" s="8"/>
      <c r="G25" s="7"/>
      <c r="H25" s="8"/>
      <c r="I25" s="7"/>
      <c r="J25" s="7"/>
      <c r="K25" s="7"/>
      <c r="L25" s="7"/>
    </row>
    <row r="26" spans="1:12" x14ac:dyDescent="0.2">
      <c r="A26" s="8"/>
      <c r="B26" s="8"/>
      <c r="C26" s="8"/>
      <c r="D26" s="8"/>
      <c r="E26" s="8"/>
      <c r="F26" s="8"/>
      <c r="G26" s="7"/>
      <c r="H26" s="8"/>
      <c r="I26" s="7"/>
      <c r="J26" s="7"/>
      <c r="K26" s="7"/>
      <c r="L26" s="7"/>
    </row>
    <row r="27" spans="1:12" x14ac:dyDescent="0.2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</row>
    <row r="28" spans="1:12" x14ac:dyDescent="0.2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</row>
    <row r="29" spans="1:12" x14ac:dyDescent="0.2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</row>
    <row r="30" spans="1:12" x14ac:dyDescent="0.2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</row>
    <row r="31" spans="1:12" x14ac:dyDescent="0.2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</row>
    <row r="32" spans="1:12" x14ac:dyDescent="0.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</row>
    <row r="33" spans="1:12" x14ac:dyDescent="0.2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</row>
    <row r="34" spans="1:12" x14ac:dyDescent="0.2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</row>
    <row r="35" spans="1:12" x14ac:dyDescent="0.2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</row>
    <row r="36" spans="1:12" x14ac:dyDescent="0.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</row>
    <row r="37" spans="1:12" x14ac:dyDescent="0.2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</row>
    <row r="38" spans="1:12" x14ac:dyDescent="0.2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</row>
    <row r="39" spans="1:12" x14ac:dyDescent="0.2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</row>
    <row r="40" spans="1:12" x14ac:dyDescent="0.2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</row>
    <row r="41" spans="1:12" x14ac:dyDescent="0.2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</row>
    <row r="42" spans="1:12" x14ac:dyDescent="0.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</row>
    <row r="43" spans="1:12" x14ac:dyDescent="0.2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</row>
    <row r="44" spans="1:12" x14ac:dyDescent="0.2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</row>
    <row r="45" spans="1:12" x14ac:dyDescent="0.2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</row>
    <row r="46" spans="1:12" x14ac:dyDescent="0.2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</row>
    <row r="47" spans="1:12" x14ac:dyDescent="0.2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</row>
    <row r="48" spans="1:12" x14ac:dyDescent="0.2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</row>
    <row r="49" spans="1:12" x14ac:dyDescent="0.2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</row>
    <row r="50" spans="1:12" x14ac:dyDescent="0.2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</row>
  </sheetData>
  <autoFilter ref="A5:L5" xr:uid="{00000000-0009-0000-0000-00000B000000}">
    <sortState xmlns:xlrd2="http://schemas.microsoft.com/office/spreadsheetml/2017/richdata2" ref="A6:L50">
      <sortCondition ref="A5"/>
    </sortState>
  </autoFilter>
  <mergeCells count="3">
    <mergeCell ref="A2:B2"/>
    <mergeCell ref="C2:L2"/>
    <mergeCell ref="C3:L3"/>
  </mergeCells>
  <hyperlinks>
    <hyperlink ref="C3:L3" r:id="rId1" display="https://www.fencingtimelive.com/pools/results/E27295A9B21E4434B2EFB11E5736ED4A/3237EFED3D1A4D5DB5BAC0C948CC4FCC" xr:uid="{66BE6D9D-0CC6-4C1B-90E3-157D91293090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4112A-E78B-43ED-A42C-289AD3AA93E5}">
  <sheetPr>
    <tabColor rgb="FF92D050"/>
  </sheetPr>
  <dimension ref="A2:L50"/>
  <sheetViews>
    <sheetView workbookViewId="0">
      <selection activeCell="P16" sqref="P16"/>
    </sheetView>
  </sheetViews>
  <sheetFormatPr defaultRowHeight="12.9" x14ac:dyDescent="0.2"/>
  <cols>
    <col min="1" max="1" width="5.75" style="6" bestFit="1" customWidth="1"/>
    <col min="2" max="2" width="18.875" style="6" customWidth="1"/>
    <col min="3" max="3" width="2.25" style="6" bestFit="1" customWidth="1"/>
    <col min="4" max="4" width="2.375" style="6" bestFit="1" customWidth="1"/>
    <col min="5" max="5" width="8.75" style="6" customWidth="1"/>
    <col min="6" max="6" width="3.25" style="6" bestFit="1" customWidth="1"/>
    <col min="7" max="7" width="3.375" style="6" bestFit="1" customWidth="1"/>
    <col min="8" max="8" width="3.75" style="6" bestFit="1" customWidth="1"/>
    <col min="9" max="9" width="11.25" style="6" customWidth="1"/>
    <col min="10" max="10" width="18.25" style="6" customWidth="1"/>
    <col min="11" max="11" width="7.875" style="6" bestFit="1" customWidth="1"/>
    <col min="12" max="12" width="8.125" style="6" bestFit="1" customWidth="1"/>
  </cols>
  <sheetData>
    <row r="2" spans="1:12" ht="13.6" x14ac:dyDescent="0.2">
      <c r="A2" s="66" t="s">
        <v>72</v>
      </c>
      <c r="B2" s="66"/>
      <c r="C2" s="67" t="s">
        <v>181</v>
      </c>
      <c r="D2" s="67"/>
      <c r="E2" s="67"/>
      <c r="F2" s="67"/>
      <c r="G2" s="67"/>
      <c r="H2" s="67"/>
      <c r="I2" s="67"/>
      <c r="J2" s="67"/>
      <c r="K2" s="67"/>
      <c r="L2" s="67"/>
    </row>
    <row r="3" spans="1:12" ht="13.1" customHeight="1" x14ac:dyDescent="0.2">
      <c r="C3" s="68" t="s">
        <v>185</v>
      </c>
      <c r="D3" s="70"/>
      <c r="E3" s="70"/>
      <c r="F3" s="70"/>
      <c r="G3" s="70"/>
      <c r="H3" s="70"/>
      <c r="I3" s="70"/>
      <c r="J3" s="70"/>
      <c r="K3" s="70"/>
      <c r="L3" s="70"/>
    </row>
    <row r="4" spans="1:12" ht="13.1" customHeight="1" x14ac:dyDescent="0.2">
      <c r="C4" s="10"/>
      <c r="D4" s="10"/>
      <c r="E4" s="10"/>
      <c r="F4" s="10"/>
      <c r="G4" s="10"/>
      <c r="H4" s="10"/>
      <c r="I4" s="10"/>
      <c r="J4" s="10"/>
      <c r="K4" s="10"/>
      <c r="L4" s="10"/>
    </row>
    <row r="5" spans="1:12" ht="14.3" x14ac:dyDescent="0.2">
      <c r="A5" s="11" t="s">
        <v>76</v>
      </c>
      <c r="B5" s="11" t="s">
        <v>77</v>
      </c>
      <c r="C5" s="11" t="s">
        <v>78</v>
      </c>
      <c r="D5" s="11" t="s">
        <v>79</v>
      </c>
      <c r="E5" s="11" t="s">
        <v>80</v>
      </c>
      <c r="F5" s="11" t="s">
        <v>3</v>
      </c>
      <c r="G5" s="11" t="s">
        <v>81</v>
      </c>
      <c r="H5" s="11" t="s">
        <v>4</v>
      </c>
      <c r="I5" s="11" t="s">
        <v>82</v>
      </c>
      <c r="J5" s="11" t="s">
        <v>83</v>
      </c>
      <c r="K5" s="11" t="s">
        <v>84</v>
      </c>
      <c r="L5" s="11" t="s">
        <v>85</v>
      </c>
    </row>
    <row r="6" spans="1:12" ht="25.85" x14ac:dyDescent="0.2">
      <c r="A6" s="8">
        <v>1</v>
      </c>
      <c r="B6" s="8" t="s">
        <v>15</v>
      </c>
      <c r="C6" s="8">
        <v>5</v>
      </c>
      <c r="D6" s="6">
        <v>5</v>
      </c>
      <c r="E6" s="8">
        <v>1</v>
      </c>
      <c r="F6" s="8">
        <v>25</v>
      </c>
      <c r="G6" s="7">
        <v>9</v>
      </c>
      <c r="H6" s="8">
        <v>16</v>
      </c>
      <c r="I6" s="7" t="s">
        <v>86</v>
      </c>
      <c r="J6" s="7" t="s">
        <v>98</v>
      </c>
      <c r="K6" s="7"/>
      <c r="L6" s="7"/>
    </row>
    <row r="7" spans="1:12" ht="25.85" x14ac:dyDescent="0.2">
      <c r="A7" s="8">
        <v>2</v>
      </c>
      <c r="B7" s="8" t="s">
        <v>19</v>
      </c>
      <c r="C7" s="8">
        <v>4</v>
      </c>
      <c r="D7" s="6">
        <v>4</v>
      </c>
      <c r="E7" s="8">
        <v>1</v>
      </c>
      <c r="F7" s="8">
        <v>20</v>
      </c>
      <c r="G7" s="7">
        <v>4</v>
      </c>
      <c r="H7" s="8">
        <v>16</v>
      </c>
      <c r="I7" s="7" t="s">
        <v>86</v>
      </c>
      <c r="J7" s="7" t="s">
        <v>90</v>
      </c>
      <c r="K7" s="7"/>
      <c r="L7" s="7"/>
    </row>
    <row r="8" spans="1:12" ht="25.85" x14ac:dyDescent="0.2">
      <c r="A8" s="8">
        <v>3</v>
      </c>
      <c r="B8" s="8" t="s">
        <v>20</v>
      </c>
      <c r="C8" s="8">
        <v>4</v>
      </c>
      <c r="D8" s="6">
        <v>5</v>
      </c>
      <c r="E8" s="8">
        <v>0.8</v>
      </c>
      <c r="F8" s="8">
        <v>20</v>
      </c>
      <c r="G8" s="7">
        <v>11</v>
      </c>
      <c r="H8" s="8">
        <v>9</v>
      </c>
      <c r="I8" s="7" t="s">
        <v>86</v>
      </c>
      <c r="J8" s="7" t="s">
        <v>97</v>
      </c>
      <c r="K8" s="7"/>
      <c r="L8" s="7"/>
    </row>
    <row r="9" spans="1:12" x14ac:dyDescent="0.2">
      <c r="A9" s="8">
        <v>4</v>
      </c>
      <c r="B9" s="8" t="s">
        <v>14</v>
      </c>
      <c r="C9" s="8">
        <v>3</v>
      </c>
      <c r="D9" s="6">
        <v>4</v>
      </c>
      <c r="E9" s="8">
        <v>0.75</v>
      </c>
      <c r="F9" s="8">
        <v>16</v>
      </c>
      <c r="G9" s="7">
        <v>9</v>
      </c>
      <c r="H9" s="8">
        <v>7</v>
      </c>
      <c r="I9" s="7" t="s">
        <v>86</v>
      </c>
      <c r="J9" s="7" t="s">
        <v>87</v>
      </c>
      <c r="K9" s="7"/>
      <c r="L9" s="7"/>
    </row>
    <row r="10" spans="1:12" ht="38.75" x14ac:dyDescent="0.2">
      <c r="A10" s="8">
        <v>5</v>
      </c>
      <c r="B10" s="8" t="s">
        <v>18</v>
      </c>
      <c r="C10" s="8">
        <v>3</v>
      </c>
      <c r="D10" s="6">
        <v>5</v>
      </c>
      <c r="E10" s="8">
        <v>0.6</v>
      </c>
      <c r="F10" s="8">
        <v>21</v>
      </c>
      <c r="G10" s="7">
        <v>13</v>
      </c>
      <c r="H10" s="8">
        <v>8</v>
      </c>
      <c r="I10" s="7" t="s">
        <v>86</v>
      </c>
      <c r="J10" s="7" t="s">
        <v>91</v>
      </c>
      <c r="K10" s="7"/>
      <c r="L10" s="7"/>
    </row>
    <row r="11" spans="1:12" ht="25.85" x14ac:dyDescent="0.2">
      <c r="A11" s="8">
        <v>6</v>
      </c>
      <c r="B11" s="8" t="s">
        <v>94</v>
      </c>
      <c r="C11" s="8">
        <v>2</v>
      </c>
      <c r="D11" s="6">
        <v>4</v>
      </c>
      <c r="E11" s="8">
        <v>0.5</v>
      </c>
      <c r="F11" s="8">
        <v>12</v>
      </c>
      <c r="G11" s="7">
        <v>13</v>
      </c>
      <c r="H11" s="8">
        <v>-1</v>
      </c>
      <c r="I11" s="7" t="s">
        <v>86</v>
      </c>
      <c r="J11" s="7" t="s">
        <v>95</v>
      </c>
      <c r="K11" s="7"/>
      <c r="L11" s="7"/>
    </row>
    <row r="12" spans="1:12" ht="25.85" x14ac:dyDescent="0.2">
      <c r="A12" s="8">
        <v>7</v>
      </c>
      <c r="B12" s="8" t="s">
        <v>30</v>
      </c>
      <c r="C12" s="8">
        <v>2</v>
      </c>
      <c r="D12" s="6">
        <v>5</v>
      </c>
      <c r="E12" s="8">
        <v>0.4</v>
      </c>
      <c r="F12" s="8">
        <v>13</v>
      </c>
      <c r="G12" s="7">
        <v>19</v>
      </c>
      <c r="H12" s="8">
        <v>-6</v>
      </c>
      <c r="I12" s="7" t="s">
        <v>86</v>
      </c>
      <c r="J12" s="7" t="s">
        <v>93</v>
      </c>
      <c r="K12" s="7"/>
      <c r="L12" s="7"/>
    </row>
    <row r="13" spans="1:12" ht="38.75" x14ac:dyDescent="0.2">
      <c r="A13" s="8">
        <v>8</v>
      </c>
      <c r="B13" s="8" t="s">
        <v>56</v>
      </c>
      <c r="C13" s="8">
        <v>1</v>
      </c>
      <c r="D13" s="6">
        <v>4</v>
      </c>
      <c r="E13" s="8">
        <v>0.25</v>
      </c>
      <c r="F13" s="8">
        <v>11</v>
      </c>
      <c r="G13" s="7">
        <v>18</v>
      </c>
      <c r="H13" s="8">
        <v>-7</v>
      </c>
      <c r="I13" s="7" t="s">
        <v>86</v>
      </c>
      <c r="J13" s="7" t="s">
        <v>93</v>
      </c>
      <c r="K13" s="7"/>
      <c r="L13" s="7"/>
    </row>
    <row r="14" spans="1:12" ht="25.85" x14ac:dyDescent="0.2">
      <c r="A14" s="8">
        <v>9</v>
      </c>
      <c r="B14" s="8" t="s">
        <v>49</v>
      </c>
      <c r="C14" s="8">
        <v>1</v>
      </c>
      <c r="D14" s="6">
        <v>5</v>
      </c>
      <c r="E14" s="8">
        <v>0.2</v>
      </c>
      <c r="F14" s="8">
        <v>13</v>
      </c>
      <c r="G14" s="7">
        <v>24</v>
      </c>
      <c r="H14" s="8">
        <v>-11</v>
      </c>
      <c r="I14" s="7" t="s">
        <v>86</v>
      </c>
      <c r="J14" s="7" t="s">
        <v>95</v>
      </c>
      <c r="K14" s="7"/>
      <c r="L14" s="7"/>
    </row>
    <row r="15" spans="1:12" ht="38.75" x14ac:dyDescent="0.2">
      <c r="A15" s="8">
        <v>10</v>
      </c>
      <c r="B15" s="8" t="s">
        <v>34</v>
      </c>
      <c r="C15" s="8">
        <v>0</v>
      </c>
      <c r="D15" s="6">
        <v>4</v>
      </c>
      <c r="E15" s="8">
        <v>0</v>
      </c>
      <c r="F15" s="8">
        <v>5</v>
      </c>
      <c r="G15" s="7">
        <v>20</v>
      </c>
      <c r="H15" s="8">
        <v>-15</v>
      </c>
      <c r="I15" s="7" t="s">
        <v>86</v>
      </c>
      <c r="J15" s="7" t="s">
        <v>102</v>
      </c>
      <c r="K15" s="7"/>
      <c r="L15" s="7"/>
    </row>
    <row r="16" spans="1:12" ht="25.85" x14ac:dyDescent="0.2">
      <c r="A16" s="8">
        <v>11</v>
      </c>
      <c r="B16" s="8" t="s">
        <v>183</v>
      </c>
      <c r="C16" s="8">
        <v>0</v>
      </c>
      <c r="D16" s="8">
        <v>5</v>
      </c>
      <c r="E16" s="8">
        <v>0</v>
      </c>
      <c r="F16" s="8">
        <v>9</v>
      </c>
      <c r="G16" s="7">
        <v>25</v>
      </c>
      <c r="H16" s="8">
        <v>-16</v>
      </c>
      <c r="I16" s="7" t="s">
        <v>86</v>
      </c>
      <c r="J16" s="7" t="s">
        <v>184</v>
      </c>
      <c r="K16" s="7"/>
      <c r="L16" s="7"/>
    </row>
    <row r="17" spans="1:12" x14ac:dyDescent="0.2">
      <c r="A17" s="8"/>
      <c r="B17" s="8"/>
      <c r="C17" s="8"/>
      <c r="D17" s="8"/>
      <c r="E17" s="8"/>
      <c r="F17" s="8"/>
      <c r="G17" s="7"/>
      <c r="H17" s="8"/>
      <c r="I17" s="7"/>
      <c r="J17" s="7"/>
      <c r="K17" s="7"/>
      <c r="L17" s="7"/>
    </row>
    <row r="18" spans="1:12" x14ac:dyDescent="0.2">
      <c r="A18" s="8"/>
      <c r="B18" s="8"/>
      <c r="C18" s="8"/>
      <c r="D18" s="8"/>
      <c r="E18" s="8"/>
      <c r="F18" s="8"/>
      <c r="G18" s="7"/>
      <c r="H18" s="8"/>
      <c r="I18" s="7"/>
      <c r="J18" s="7"/>
      <c r="K18" s="7"/>
      <c r="L18" s="7"/>
    </row>
    <row r="19" spans="1:12" x14ac:dyDescent="0.2">
      <c r="A19" s="8"/>
      <c r="B19" s="8"/>
      <c r="C19" s="8"/>
      <c r="D19" s="8"/>
      <c r="E19" s="8"/>
      <c r="F19" s="8"/>
      <c r="G19" s="7"/>
      <c r="H19" s="8"/>
      <c r="I19" s="7"/>
      <c r="J19" s="7"/>
      <c r="K19" s="7"/>
      <c r="L19" s="7"/>
    </row>
    <row r="20" spans="1:12" x14ac:dyDescent="0.2">
      <c r="A20" s="8"/>
      <c r="B20" s="8"/>
      <c r="C20" s="8"/>
      <c r="D20" s="8"/>
      <c r="E20" s="8"/>
      <c r="F20" s="8"/>
      <c r="G20" s="7"/>
      <c r="H20" s="8"/>
      <c r="I20" s="7"/>
      <c r="J20" s="7"/>
      <c r="K20" s="7"/>
      <c r="L20" s="7"/>
    </row>
    <row r="21" spans="1:12" x14ac:dyDescent="0.2">
      <c r="A21" s="8"/>
      <c r="B21" s="8"/>
      <c r="C21" s="8"/>
      <c r="D21" s="8"/>
      <c r="E21" s="8"/>
      <c r="F21" s="8"/>
      <c r="G21" s="7"/>
      <c r="H21" s="8"/>
      <c r="I21" s="7"/>
      <c r="J21" s="7"/>
      <c r="K21" s="7"/>
      <c r="L21" s="7"/>
    </row>
    <row r="22" spans="1:12" x14ac:dyDescent="0.2">
      <c r="A22" s="8"/>
      <c r="B22" s="8"/>
      <c r="C22" s="8"/>
      <c r="D22" s="8"/>
      <c r="E22" s="8"/>
      <c r="F22" s="8"/>
      <c r="G22" s="7"/>
      <c r="H22" s="8"/>
      <c r="I22" s="7"/>
      <c r="J22" s="7"/>
      <c r="K22" s="7"/>
      <c r="L22" s="7"/>
    </row>
    <row r="23" spans="1:12" x14ac:dyDescent="0.2">
      <c r="A23" s="8"/>
      <c r="B23" s="8"/>
      <c r="C23" s="8"/>
      <c r="D23" s="8"/>
      <c r="E23" s="8"/>
      <c r="F23" s="8"/>
      <c r="G23" s="7"/>
      <c r="H23" s="8"/>
      <c r="I23" s="7"/>
      <c r="J23" s="7"/>
      <c r="K23" s="7"/>
      <c r="L23" s="7"/>
    </row>
    <row r="24" spans="1:12" x14ac:dyDescent="0.2">
      <c r="A24" s="8"/>
      <c r="B24" s="8"/>
      <c r="C24" s="8"/>
      <c r="D24" s="8"/>
      <c r="E24" s="8"/>
      <c r="F24" s="8"/>
      <c r="G24" s="7"/>
      <c r="H24" s="8"/>
      <c r="I24" s="7"/>
      <c r="J24" s="7"/>
      <c r="K24" s="7"/>
      <c r="L24" s="7"/>
    </row>
    <row r="25" spans="1:12" x14ac:dyDescent="0.2">
      <c r="A25" s="8"/>
      <c r="B25" s="8"/>
      <c r="C25" s="8"/>
      <c r="D25" s="8"/>
      <c r="E25" s="8"/>
      <c r="F25" s="8"/>
      <c r="G25" s="7"/>
      <c r="H25" s="8"/>
      <c r="I25" s="7"/>
      <c r="J25" s="7"/>
      <c r="K25" s="7"/>
      <c r="L25" s="7"/>
    </row>
    <row r="26" spans="1:12" x14ac:dyDescent="0.2">
      <c r="A26" s="8"/>
      <c r="B26" s="8"/>
      <c r="C26" s="8"/>
      <c r="D26" s="8"/>
      <c r="E26" s="8"/>
      <c r="F26" s="8"/>
      <c r="G26" s="7"/>
      <c r="H26" s="8"/>
      <c r="I26" s="7"/>
      <c r="J26" s="7"/>
      <c r="K26" s="7"/>
      <c r="L26" s="7"/>
    </row>
    <row r="27" spans="1:12" x14ac:dyDescent="0.2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</row>
    <row r="28" spans="1:12" x14ac:dyDescent="0.2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</row>
    <row r="29" spans="1:12" x14ac:dyDescent="0.2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</row>
    <row r="30" spans="1:12" x14ac:dyDescent="0.2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</row>
    <row r="31" spans="1:12" x14ac:dyDescent="0.2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</row>
    <row r="32" spans="1:12" x14ac:dyDescent="0.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</row>
    <row r="33" spans="1:12" x14ac:dyDescent="0.2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</row>
    <row r="34" spans="1:12" x14ac:dyDescent="0.2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</row>
    <row r="35" spans="1:12" x14ac:dyDescent="0.2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</row>
    <row r="36" spans="1:12" x14ac:dyDescent="0.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</row>
    <row r="37" spans="1:12" x14ac:dyDescent="0.2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</row>
    <row r="38" spans="1:12" x14ac:dyDescent="0.2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</row>
    <row r="39" spans="1:12" x14ac:dyDescent="0.2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</row>
    <row r="40" spans="1:12" x14ac:dyDescent="0.2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</row>
    <row r="41" spans="1:12" x14ac:dyDescent="0.2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</row>
    <row r="42" spans="1:12" x14ac:dyDescent="0.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</row>
    <row r="43" spans="1:12" x14ac:dyDescent="0.2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</row>
    <row r="44" spans="1:12" x14ac:dyDescent="0.2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</row>
    <row r="45" spans="1:12" x14ac:dyDescent="0.2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</row>
    <row r="46" spans="1:12" x14ac:dyDescent="0.2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</row>
    <row r="47" spans="1:12" x14ac:dyDescent="0.2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</row>
    <row r="48" spans="1:12" x14ac:dyDescent="0.2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</row>
    <row r="49" spans="1:12" x14ac:dyDescent="0.2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</row>
    <row r="50" spans="1:12" x14ac:dyDescent="0.2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</row>
  </sheetData>
  <autoFilter ref="A5:L5" xr:uid="{00000000-0009-0000-0000-00000B000000}">
    <sortState xmlns:xlrd2="http://schemas.microsoft.com/office/spreadsheetml/2017/richdata2" ref="A6:L50">
      <sortCondition ref="A5"/>
    </sortState>
  </autoFilter>
  <mergeCells count="3">
    <mergeCell ref="A2:B2"/>
    <mergeCell ref="C2:L2"/>
    <mergeCell ref="C3:L3"/>
  </mergeCells>
  <hyperlinks>
    <hyperlink ref="C3" r:id="rId1" xr:uid="{31E5BE61-75FB-48D5-9884-86CF5F0F4039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9FC6204-3948-436A-BC8A-C925B75A20A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19</vt:i4>
      </vt:variant>
    </vt:vector>
  </HeadingPairs>
  <TitlesOfParts>
    <vt:vector size="19" baseType="lpstr">
      <vt:lpstr>All</vt:lpstr>
      <vt:lpstr>MP (1)</vt:lpstr>
      <vt:lpstr>MP (2)</vt:lpstr>
      <vt:lpstr>GP1 (1)</vt:lpstr>
      <vt:lpstr>GP1 (2)</vt:lpstr>
      <vt:lpstr>GP2 (1)</vt:lpstr>
      <vt:lpstr>GP2 (2)</vt:lpstr>
      <vt:lpstr>GP3 (1)</vt:lpstr>
      <vt:lpstr>GP3 (2)</vt:lpstr>
      <vt:lpstr>GP4 (1)</vt:lpstr>
      <vt:lpstr>GP4 (2)</vt:lpstr>
      <vt:lpstr>GP5 (1)</vt:lpstr>
      <vt:lpstr>GP5 (2)</vt:lpstr>
      <vt:lpstr>GP6 (1)</vt:lpstr>
      <vt:lpstr>GP6 (2)</vt:lpstr>
      <vt:lpstr>GP7 (1)</vt:lpstr>
      <vt:lpstr>GP7 (2)</vt:lpstr>
      <vt:lpstr>GP8 (1)</vt:lpstr>
      <vt:lpstr>GP8 (2)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SPWS Ranking</cp:lastModifiedBy>
  <cp:revision/>
  <dcterms:created xsi:type="dcterms:W3CDTF">2021-12-21T01:02:02Z</dcterms:created>
  <dcterms:modified xsi:type="dcterms:W3CDTF">2024-06-25T17:21:40Z</dcterms:modified>
  <cp:category/>
  <cp:contentStatus/>
</cp:coreProperties>
</file>