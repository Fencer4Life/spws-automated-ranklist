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Kobiet - floret/"/>
    </mc:Choice>
  </mc:AlternateContent>
  <xr:revisionPtr revIDLastSave="590" documentId="8_{7DCFD9FF-8A32-4034-AFB0-C083BCE09D45}" xr6:coauthVersionLast="47" xr6:coauthVersionMax="47" xr10:uidLastSave="{3E520A8C-575F-48DB-99AD-CD50FC02EDE4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30" r:id="rId7"/>
    <sheet name="GP7" sheetId="31" r:id="rId8"/>
    <sheet name="GP8" sheetId="32" r:id="rId9"/>
    <sheet name="MPW" sheetId="19" r:id="rId10"/>
    <sheet name="Kadra" sheetId="20" r:id="rId11"/>
    <sheet name="PEW1" sheetId="33" r:id="rId12"/>
    <sheet name="PEW2" sheetId="22" r:id="rId13"/>
    <sheet name="PEW3" sheetId="23" r:id="rId14"/>
    <sheet name="VFC" sheetId="43" r:id="rId15"/>
    <sheet name="PEW4" sheetId="24" r:id="rId16"/>
    <sheet name="PEW5" sheetId="35" r:id="rId17"/>
    <sheet name="PEW6" sheetId="36" r:id="rId18"/>
    <sheet name="PEW7" sheetId="37" r:id="rId19"/>
    <sheet name="PEW8" sheetId="38" r:id="rId20"/>
    <sheet name="PEW9" sheetId="39" r:id="rId21"/>
    <sheet name="PEW10" sheetId="40" r:id="rId22"/>
    <sheet name="PEW11" sheetId="41" r:id="rId23"/>
    <sheet name="PEW12" sheetId="42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5" l="1"/>
  <c r="B10" i="15"/>
  <c r="B9" i="15"/>
  <c r="B8" i="15"/>
  <c r="B7" i="15"/>
  <c r="B6" i="15"/>
  <c r="A8" i="15"/>
  <c r="B9" i="19"/>
  <c r="B8" i="19"/>
  <c r="B7" i="19"/>
  <c r="B6" i="19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8" i="20"/>
  <c r="AE8" i="20" s="1"/>
  <c r="AD7" i="20"/>
  <c r="AE7" i="20" s="1"/>
  <c r="AD6" i="20"/>
  <c r="AE6" i="20" s="1"/>
  <c r="J305" i="43"/>
  <c r="K305" i="43" s="1"/>
  <c r="I305" i="43"/>
  <c r="M305" i="43" s="1"/>
  <c r="M304" i="43"/>
  <c r="J304" i="43"/>
  <c r="K304" i="43" s="1"/>
  <c r="I304" i="43"/>
  <c r="M303" i="43"/>
  <c r="K303" i="43"/>
  <c r="J303" i="43"/>
  <c r="I303" i="43"/>
  <c r="M302" i="43"/>
  <c r="J302" i="43"/>
  <c r="K302" i="43" s="1"/>
  <c r="I302" i="43"/>
  <c r="M301" i="43"/>
  <c r="K301" i="43"/>
  <c r="J301" i="43"/>
  <c r="I301" i="43"/>
  <c r="M300" i="43"/>
  <c r="J300" i="43"/>
  <c r="K300" i="43" s="1"/>
  <c r="I300" i="43"/>
  <c r="J299" i="43"/>
  <c r="K299" i="43" s="1"/>
  <c r="I299" i="43"/>
  <c r="M299" i="43" s="1"/>
  <c r="M298" i="43"/>
  <c r="J298" i="43"/>
  <c r="K298" i="43" s="1"/>
  <c r="I298" i="43"/>
  <c r="J297" i="43"/>
  <c r="K297" i="43" s="1"/>
  <c r="I297" i="43"/>
  <c r="M297" i="43" s="1"/>
  <c r="M296" i="43"/>
  <c r="J296" i="43"/>
  <c r="K296" i="43" s="1"/>
  <c r="I296" i="43"/>
  <c r="M295" i="43"/>
  <c r="K295" i="43"/>
  <c r="J295" i="43"/>
  <c r="I295" i="43"/>
  <c r="M294" i="43"/>
  <c r="J294" i="43"/>
  <c r="K294" i="43" s="1"/>
  <c r="I294" i="43"/>
  <c r="M293" i="43"/>
  <c r="K293" i="43"/>
  <c r="J293" i="43"/>
  <c r="I293" i="43"/>
  <c r="M292" i="43"/>
  <c r="J292" i="43"/>
  <c r="K292" i="43" s="1"/>
  <c r="I292" i="43"/>
  <c r="M291" i="43"/>
  <c r="J291" i="43"/>
  <c r="K291" i="43" s="1"/>
  <c r="I291" i="43"/>
  <c r="M290" i="43"/>
  <c r="J290" i="43"/>
  <c r="K290" i="43" s="1"/>
  <c r="I290" i="43"/>
  <c r="K289" i="43"/>
  <c r="J289" i="43"/>
  <c r="I289" i="43"/>
  <c r="M289" i="43" s="1"/>
  <c r="M288" i="43"/>
  <c r="J288" i="43"/>
  <c r="K288" i="43" s="1"/>
  <c r="I288" i="43"/>
  <c r="J287" i="43"/>
  <c r="K287" i="43" s="1"/>
  <c r="I287" i="43"/>
  <c r="M287" i="43" s="1"/>
  <c r="M286" i="43"/>
  <c r="J286" i="43"/>
  <c r="K286" i="43" s="1"/>
  <c r="I286" i="43"/>
  <c r="K285" i="43"/>
  <c r="J285" i="43"/>
  <c r="I285" i="43"/>
  <c r="M285" i="43" s="1"/>
  <c r="M284" i="43"/>
  <c r="J284" i="43"/>
  <c r="K284" i="43" s="1"/>
  <c r="I284" i="43"/>
  <c r="M283" i="43"/>
  <c r="J283" i="43"/>
  <c r="K283" i="43" s="1"/>
  <c r="I283" i="43"/>
  <c r="M282" i="43"/>
  <c r="J282" i="43"/>
  <c r="K282" i="43" s="1"/>
  <c r="I282" i="43"/>
  <c r="K281" i="43"/>
  <c r="J281" i="43"/>
  <c r="I281" i="43"/>
  <c r="M281" i="43" s="1"/>
  <c r="M280" i="43"/>
  <c r="J280" i="43"/>
  <c r="K280" i="43" s="1"/>
  <c r="I280" i="43"/>
  <c r="M279" i="43"/>
  <c r="J279" i="43"/>
  <c r="K279" i="43" s="1"/>
  <c r="I279" i="43"/>
  <c r="M278" i="43"/>
  <c r="J278" i="43"/>
  <c r="K278" i="43" s="1"/>
  <c r="I278" i="43"/>
  <c r="K277" i="43"/>
  <c r="J277" i="43"/>
  <c r="I277" i="43"/>
  <c r="M277" i="43" s="1"/>
  <c r="M276" i="43"/>
  <c r="J276" i="43"/>
  <c r="K276" i="43" s="1"/>
  <c r="I276" i="43"/>
  <c r="M275" i="43"/>
  <c r="J275" i="43"/>
  <c r="K275" i="43" s="1"/>
  <c r="I275" i="43"/>
  <c r="M274" i="43"/>
  <c r="J274" i="43"/>
  <c r="K274" i="43" s="1"/>
  <c r="I274" i="43"/>
  <c r="K273" i="43"/>
  <c r="J273" i="43"/>
  <c r="I273" i="43"/>
  <c r="M273" i="43" s="1"/>
  <c r="M272" i="43"/>
  <c r="J272" i="43"/>
  <c r="K272" i="43" s="1"/>
  <c r="I272" i="43"/>
  <c r="J271" i="43"/>
  <c r="K271" i="43" s="1"/>
  <c r="I271" i="43"/>
  <c r="M271" i="43" s="1"/>
  <c r="M270" i="43"/>
  <c r="J270" i="43"/>
  <c r="K270" i="43" s="1"/>
  <c r="I270" i="43"/>
  <c r="K269" i="43"/>
  <c r="J269" i="43"/>
  <c r="I269" i="43"/>
  <c r="M269" i="43" s="1"/>
  <c r="M268" i="43"/>
  <c r="J268" i="43"/>
  <c r="K268" i="43" s="1"/>
  <c r="I268" i="43"/>
  <c r="M267" i="43"/>
  <c r="J267" i="43"/>
  <c r="K267" i="43" s="1"/>
  <c r="I267" i="43"/>
  <c r="M266" i="43"/>
  <c r="J266" i="43"/>
  <c r="K266" i="43" s="1"/>
  <c r="I266" i="43"/>
  <c r="K265" i="43"/>
  <c r="J265" i="43"/>
  <c r="I265" i="43"/>
  <c r="M265" i="43" s="1"/>
  <c r="M264" i="43"/>
  <c r="J264" i="43"/>
  <c r="K264" i="43" s="1"/>
  <c r="I264" i="43"/>
  <c r="M263" i="43"/>
  <c r="J263" i="43"/>
  <c r="K263" i="43" s="1"/>
  <c r="I263" i="43"/>
  <c r="M262" i="43"/>
  <c r="J262" i="43"/>
  <c r="K262" i="43" s="1"/>
  <c r="I262" i="43"/>
  <c r="K261" i="43"/>
  <c r="J261" i="43"/>
  <c r="I261" i="43"/>
  <c r="M261" i="43" s="1"/>
  <c r="M260" i="43"/>
  <c r="J260" i="43"/>
  <c r="K260" i="43" s="1"/>
  <c r="I260" i="43"/>
  <c r="M259" i="43"/>
  <c r="J259" i="43"/>
  <c r="K259" i="43" s="1"/>
  <c r="I259" i="43"/>
  <c r="M258" i="43"/>
  <c r="J258" i="43"/>
  <c r="K258" i="43" s="1"/>
  <c r="I258" i="43"/>
  <c r="K257" i="43"/>
  <c r="J257" i="43"/>
  <c r="I257" i="43"/>
  <c r="M257" i="43" s="1"/>
  <c r="M256" i="43"/>
  <c r="J256" i="43"/>
  <c r="K256" i="43" s="1"/>
  <c r="I256" i="43"/>
  <c r="J255" i="43"/>
  <c r="K255" i="43" s="1"/>
  <c r="I255" i="43"/>
  <c r="M255" i="43" s="1"/>
  <c r="M254" i="43"/>
  <c r="J254" i="43"/>
  <c r="K254" i="43" s="1"/>
  <c r="I254" i="43"/>
  <c r="K253" i="43"/>
  <c r="J253" i="43"/>
  <c r="I253" i="43"/>
  <c r="M253" i="43" s="1"/>
  <c r="M252" i="43"/>
  <c r="J252" i="43"/>
  <c r="K252" i="43" s="1"/>
  <c r="I252" i="43"/>
  <c r="M251" i="43"/>
  <c r="J251" i="43"/>
  <c r="K251" i="43" s="1"/>
  <c r="I251" i="43"/>
  <c r="M250" i="43"/>
  <c r="J250" i="43"/>
  <c r="K250" i="43" s="1"/>
  <c r="I250" i="43"/>
  <c r="K249" i="43"/>
  <c r="J249" i="43"/>
  <c r="I249" i="43"/>
  <c r="M249" i="43" s="1"/>
  <c r="M248" i="43"/>
  <c r="J248" i="43"/>
  <c r="K248" i="43" s="1"/>
  <c r="I248" i="43"/>
  <c r="M247" i="43"/>
  <c r="J247" i="43"/>
  <c r="K247" i="43" s="1"/>
  <c r="I247" i="43"/>
  <c r="M246" i="43"/>
  <c r="J246" i="43"/>
  <c r="K246" i="43" s="1"/>
  <c r="I246" i="43"/>
  <c r="K245" i="43"/>
  <c r="J245" i="43"/>
  <c r="I245" i="43"/>
  <c r="M245" i="43" s="1"/>
  <c r="M244" i="43"/>
  <c r="J244" i="43"/>
  <c r="K244" i="43" s="1"/>
  <c r="I244" i="43"/>
  <c r="M243" i="43"/>
  <c r="J243" i="43"/>
  <c r="K243" i="43" s="1"/>
  <c r="I243" i="43"/>
  <c r="M242" i="43"/>
  <c r="J242" i="43"/>
  <c r="K242" i="43" s="1"/>
  <c r="I242" i="43"/>
  <c r="K241" i="43"/>
  <c r="J241" i="43"/>
  <c r="I241" i="43"/>
  <c r="M241" i="43" s="1"/>
  <c r="M240" i="43"/>
  <c r="J240" i="43"/>
  <c r="K240" i="43" s="1"/>
  <c r="I240" i="43"/>
  <c r="J239" i="43"/>
  <c r="K239" i="43" s="1"/>
  <c r="I239" i="43"/>
  <c r="M239" i="43" s="1"/>
  <c r="M238" i="43"/>
  <c r="J238" i="43"/>
  <c r="K238" i="43" s="1"/>
  <c r="I238" i="43"/>
  <c r="K237" i="43"/>
  <c r="J237" i="43"/>
  <c r="I237" i="43"/>
  <c r="M237" i="43" s="1"/>
  <c r="M236" i="43"/>
  <c r="J236" i="43"/>
  <c r="K236" i="43" s="1"/>
  <c r="I236" i="43"/>
  <c r="M235" i="43"/>
  <c r="J235" i="43"/>
  <c r="K235" i="43" s="1"/>
  <c r="I235" i="43"/>
  <c r="M234" i="43"/>
  <c r="J234" i="43"/>
  <c r="K234" i="43" s="1"/>
  <c r="I234" i="43"/>
  <c r="K233" i="43"/>
  <c r="J233" i="43"/>
  <c r="I233" i="43"/>
  <c r="M233" i="43" s="1"/>
  <c r="M232" i="43"/>
  <c r="J232" i="43"/>
  <c r="K232" i="43" s="1"/>
  <c r="I232" i="43"/>
  <c r="M231" i="43"/>
  <c r="J231" i="43"/>
  <c r="K231" i="43" s="1"/>
  <c r="I231" i="43"/>
  <c r="M230" i="43"/>
  <c r="J230" i="43"/>
  <c r="K230" i="43" s="1"/>
  <c r="I230" i="43"/>
  <c r="K229" i="43"/>
  <c r="J229" i="43"/>
  <c r="I229" i="43"/>
  <c r="M229" i="43" s="1"/>
  <c r="M228" i="43"/>
  <c r="J228" i="43"/>
  <c r="K228" i="43" s="1"/>
  <c r="I228" i="43"/>
  <c r="M227" i="43"/>
  <c r="J227" i="43"/>
  <c r="K227" i="43" s="1"/>
  <c r="I227" i="43"/>
  <c r="M226" i="43"/>
  <c r="J226" i="43"/>
  <c r="K226" i="43" s="1"/>
  <c r="I226" i="43"/>
  <c r="K225" i="43"/>
  <c r="J225" i="43"/>
  <c r="I225" i="43"/>
  <c r="M225" i="43" s="1"/>
  <c r="M224" i="43"/>
  <c r="J224" i="43"/>
  <c r="K224" i="43" s="1"/>
  <c r="I224" i="43"/>
  <c r="J223" i="43"/>
  <c r="K223" i="43" s="1"/>
  <c r="I223" i="43"/>
  <c r="M223" i="43" s="1"/>
  <c r="M222" i="43"/>
  <c r="J222" i="43"/>
  <c r="K222" i="43" s="1"/>
  <c r="I222" i="43"/>
  <c r="K221" i="43"/>
  <c r="J221" i="43"/>
  <c r="I221" i="43"/>
  <c r="M221" i="43" s="1"/>
  <c r="M220" i="43"/>
  <c r="J220" i="43"/>
  <c r="K220" i="43" s="1"/>
  <c r="I220" i="43"/>
  <c r="M219" i="43"/>
  <c r="J219" i="43"/>
  <c r="K219" i="43" s="1"/>
  <c r="I219" i="43"/>
  <c r="M218" i="43"/>
  <c r="J218" i="43"/>
  <c r="K218" i="43" s="1"/>
  <c r="I218" i="43"/>
  <c r="K217" i="43"/>
  <c r="J217" i="43"/>
  <c r="I217" i="43"/>
  <c r="M217" i="43" s="1"/>
  <c r="M216" i="43"/>
  <c r="J216" i="43"/>
  <c r="K216" i="43" s="1"/>
  <c r="I216" i="43"/>
  <c r="M215" i="43"/>
  <c r="J215" i="43"/>
  <c r="K215" i="43" s="1"/>
  <c r="I215" i="43"/>
  <c r="M214" i="43"/>
  <c r="J214" i="43"/>
  <c r="K214" i="43" s="1"/>
  <c r="I214" i="43"/>
  <c r="K213" i="43"/>
  <c r="J213" i="43"/>
  <c r="I213" i="43"/>
  <c r="M213" i="43" s="1"/>
  <c r="M212" i="43"/>
  <c r="J212" i="43"/>
  <c r="K212" i="43" s="1"/>
  <c r="I212" i="43"/>
  <c r="M211" i="43"/>
  <c r="J211" i="43"/>
  <c r="K211" i="43" s="1"/>
  <c r="I211" i="43"/>
  <c r="M210" i="43"/>
  <c r="J210" i="43"/>
  <c r="K210" i="43" s="1"/>
  <c r="I210" i="43"/>
  <c r="K209" i="43"/>
  <c r="J209" i="43"/>
  <c r="I209" i="43"/>
  <c r="M209" i="43" s="1"/>
  <c r="M208" i="43"/>
  <c r="J208" i="43"/>
  <c r="K208" i="43" s="1"/>
  <c r="I208" i="43"/>
  <c r="J207" i="43"/>
  <c r="K207" i="43" s="1"/>
  <c r="I207" i="43"/>
  <c r="M207" i="43" s="1"/>
  <c r="M206" i="43"/>
  <c r="J206" i="43"/>
  <c r="K206" i="43" s="1"/>
  <c r="I206" i="43"/>
  <c r="K205" i="43"/>
  <c r="J205" i="43"/>
  <c r="I205" i="43"/>
  <c r="M205" i="43" s="1"/>
  <c r="M204" i="43"/>
  <c r="J204" i="43"/>
  <c r="K204" i="43" s="1"/>
  <c r="I204" i="43"/>
  <c r="M203" i="43"/>
  <c r="J203" i="43"/>
  <c r="K203" i="43" s="1"/>
  <c r="I203" i="43"/>
  <c r="M202" i="43"/>
  <c r="J202" i="43"/>
  <c r="K202" i="43" s="1"/>
  <c r="I202" i="43"/>
  <c r="K201" i="43"/>
  <c r="J201" i="43"/>
  <c r="I201" i="43"/>
  <c r="M201" i="43" s="1"/>
  <c r="M200" i="43"/>
  <c r="J200" i="43"/>
  <c r="K200" i="43" s="1"/>
  <c r="I200" i="43"/>
  <c r="M199" i="43"/>
  <c r="J199" i="43"/>
  <c r="K199" i="43" s="1"/>
  <c r="I199" i="43"/>
  <c r="M198" i="43"/>
  <c r="J198" i="43"/>
  <c r="K198" i="43" s="1"/>
  <c r="I198" i="43"/>
  <c r="K197" i="43"/>
  <c r="J197" i="43"/>
  <c r="I197" i="43"/>
  <c r="M197" i="43" s="1"/>
  <c r="M196" i="43"/>
  <c r="J196" i="43"/>
  <c r="K196" i="43" s="1"/>
  <c r="I196" i="43"/>
  <c r="M195" i="43"/>
  <c r="J195" i="43"/>
  <c r="K195" i="43" s="1"/>
  <c r="I195" i="43"/>
  <c r="M194" i="43"/>
  <c r="J194" i="43"/>
  <c r="K194" i="43" s="1"/>
  <c r="I194" i="43"/>
  <c r="K193" i="43"/>
  <c r="J193" i="43"/>
  <c r="I193" i="43"/>
  <c r="M193" i="43" s="1"/>
  <c r="M192" i="43"/>
  <c r="J192" i="43"/>
  <c r="K192" i="43" s="1"/>
  <c r="I192" i="43"/>
  <c r="J191" i="43"/>
  <c r="K191" i="43" s="1"/>
  <c r="I191" i="43"/>
  <c r="M191" i="43" s="1"/>
  <c r="M190" i="43"/>
  <c r="J190" i="43"/>
  <c r="K190" i="43" s="1"/>
  <c r="I190" i="43"/>
  <c r="K189" i="43"/>
  <c r="J189" i="43"/>
  <c r="I189" i="43"/>
  <c r="M189" i="43" s="1"/>
  <c r="M188" i="43"/>
  <c r="J188" i="43"/>
  <c r="K188" i="43" s="1"/>
  <c r="I188" i="43"/>
  <c r="M187" i="43"/>
  <c r="J187" i="43"/>
  <c r="K187" i="43" s="1"/>
  <c r="I187" i="43"/>
  <c r="M186" i="43"/>
  <c r="J186" i="43"/>
  <c r="K186" i="43" s="1"/>
  <c r="I186" i="43"/>
  <c r="K185" i="43"/>
  <c r="J185" i="43"/>
  <c r="I185" i="43"/>
  <c r="M185" i="43" s="1"/>
  <c r="M184" i="43"/>
  <c r="J184" i="43"/>
  <c r="K184" i="43" s="1"/>
  <c r="I184" i="43"/>
  <c r="M183" i="43"/>
  <c r="J183" i="43"/>
  <c r="K183" i="43" s="1"/>
  <c r="I183" i="43"/>
  <c r="M182" i="43"/>
  <c r="J182" i="43"/>
  <c r="K182" i="43" s="1"/>
  <c r="I182" i="43"/>
  <c r="K181" i="43"/>
  <c r="J181" i="43"/>
  <c r="I181" i="43"/>
  <c r="M181" i="43" s="1"/>
  <c r="M180" i="43"/>
  <c r="J180" i="43"/>
  <c r="K180" i="43" s="1"/>
  <c r="I180" i="43"/>
  <c r="M179" i="43"/>
  <c r="J179" i="43"/>
  <c r="K179" i="43" s="1"/>
  <c r="I179" i="43"/>
  <c r="M178" i="43"/>
  <c r="J178" i="43"/>
  <c r="K178" i="43" s="1"/>
  <c r="I178" i="43"/>
  <c r="K177" i="43"/>
  <c r="J177" i="43"/>
  <c r="I177" i="43"/>
  <c r="M177" i="43" s="1"/>
  <c r="M176" i="43"/>
  <c r="J176" i="43"/>
  <c r="K176" i="43" s="1"/>
  <c r="I176" i="43"/>
  <c r="J175" i="43"/>
  <c r="K175" i="43" s="1"/>
  <c r="I175" i="43"/>
  <c r="M175" i="43" s="1"/>
  <c r="M174" i="43"/>
  <c r="J174" i="43"/>
  <c r="K174" i="43" s="1"/>
  <c r="I174" i="43"/>
  <c r="K173" i="43"/>
  <c r="J173" i="43"/>
  <c r="I173" i="43"/>
  <c r="M173" i="43" s="1"/>
  <c r="M172" i="43"/>
  <c r="J172" i="43"/>
  <c r="K172" i="43" s="1"/>
  <c r="I172" i="43"/>
  <c r="M171" i="43"/>
  <c r="J171" i="43"/>
  <c r="K171" i="43" s="1"/>
  <c r="I171" i="43"/>
  <c r="M170" i="43"/>
  <c r="J170" i="43"/>
  <c r="K170" i="43" s="1"/>
  <c r="I170" i="43"/>
  <c r="K169" i="43"/>
  <c r="J169" i="43"/>
  <c r="I169" i="43"/>
  <c r="M169" i="43" s="1"/>
  <c r="M168" i="43"/>
  <c r="J168" i="43"/>
  <c r="K168" i="43" s="1"/>
  <c r="I168" i="43"/>
  <c r="M167" i="43"/>
  <c r="J167" i="43"/>
  <c r="K167" i="43" s="1"/>
  <c r="I167" i="43"/>
  <c r="M166" i="43"/>
  <c r="J166" i="43"/>
  <c r="K166" i="43" s="1"/>
  <c r="I166" i="43"/>
  <c r="K165" i="43"/>
  <c r="J165" i="43"/>
  <c r="I165" i="43"/>
  <c r="M165" i="43" s="1"/>
  <c r="M164" i="43"/>
  <c r="J164" i="43"/>
  <c r="K164" i="43" s="1"/>
  <c r="I164" i="43"/>
  <c r="M163" i="43"/>
  <c r="J163" i="43"/>
  <c r="K163" i="43" s="1"/>
  <c r="I163" i="43"/>
  <c r="M162" i="43"/>
  <c r="J162" i="43"/>
  <c r="K162" i="43" s="1"/>
  <c r="I162" i="43"/>
  <c r="K161" i="43"/>
  <c r="J161" i="43"/>
  <c r="I161" i="43"/>
  <c r="M161" i="43" s="1"/>
  <c r="M160" i="43"/>
  <c r="J160" i="43"/>
  <c r="K160" i="43" s="1"/>
  <c r="I160" i="43"/>
  <c r="J159" i="43"/>
  <c r="K159" i="43" s="1"/>
  <c r="I159" i="43"/>
  <c r="M159" i="43" s="1"/>
  <c r="M158" i="43"/>
  <c r="J158" i="43"/>
  <c r="K158" i="43" s="1"/>
  <c r="I158" i="43"/>
  <c r="K157" i="43"/>
  <c r="J157" i="43"/>
  <c r="I157" i="43"/>
  <c r="M157" i="43" s="1"/>
  <c r="M156" i="43"/>
  <c r="J156" i="43"/>
  <c r="K156" i="43" s="1"/>
  <c r="I156" i="43"/>
  <c r="M155" i="43"/>
  <c r="J155" i="43"/>
  <c r="K155" i="43" s="1"/>
  <c r="I155" i="43"/>
  <c r="M154" i="43"/>
  <c r="J154" i="43"/>
  <c r="K154" i="43" s="1"/>
  <c r="I154" i="43"/>
  <c r="K153" i="43"/>
  <c r="J153" i="43"/>
  <c r="I153" i="43"/>
  <c r="M153" i="43" s="1"/>
  <c r="M152" i="43"/>
  <c r="J152" i="43"/>
  <c r="K152" i="43" s="1"/>
  <c r="I152" i="43"/>
  <c r="M151" i="43"/>
  <c r="J151" i="43"/>
  <c r="K151" i="43" s="1"/>
  <c r="I151" i="43"/>
  <c r="M150" i="43"/>
  <c r="J150" i="43"/>
  <c r="K150" i="43" s="1"/>
  <c r="I150" i="43"/>
  <c r="K149" i="43"/>
  <c r="J149" i="43"/>
  <c r="I149" i="43"/>
  <c r="M149" i="43" s="1"/>
  <c r="M148" i="43"/>
  <c r="J148" i="43"/>
  <c r="K148" i="43" s="1"/>
  <c r="I148" i="43"/>
  <c r="M147" i="43"/>
  <c r="J147" i="43"/>
  <c r="K147" i="43" s="1"/>
  <c r="I147" i="43"/>
  <c r="M146" i="43"/>
  <c r="J146" i="43"/>
  <c r="K146" i="43" s="1"/>
  <c r="I146" i="43"/>
  <c r="K145" i="43"/>
  <c r="J145" i="43"/>
  <c r="I145" i="43"/>
  <c r="M145" i="43" s="1"/>
  <c r="M144" i="43"/>
  <c r="J144" i="43"/>
  <c r="K144" i="43" s="1"/>
  <c r="I144" i="43"/>
  <c r="J143" i="43"/>
  <c r="K143" i="43" s="1"/>
  <c r="I143" i="43"/>
  <c r="M143" i="43" s="1"/>
  <c r="M142" i="43"/>
  <c r="J142" i="43"/>
  <c r="K142" i="43" s="1"/>
  <c r="I142" i="43"/>
  <c r="K141" i="43"/>
  <c r="J141" i="43"/>
  <c r="I141" i="43"/>
  <c r="M141" i="43" s="1"/>
  <c r="M140" i="43"/>
  <c r="A140" i="43" s="1"/>
  <c r="J140" i="43"/>
  <c r="K140" i="43" s="1"/>
  <c r="I140" i="43"/>
  <c r="B140" i="43"/>
  <c r="M139" i="43"/>
  <c r="A139" i="43" s="1"/>
  <c r="J139" i="43"/>
  <c r="K139" i="43" s="1"/>
  <c r="I139" i="43"/>
  <c r="B139" i="43"/>
  <c r="K138" i="43"/>
  <c r="J138" i="43"/>
  <c r="I138" i="43"/>
  <c r="M138" i="43" s="1"/>
  <c r="A138" i="43" s="1"/>
  <c r="B138" i="43"/>
  <c r="J137" i="43"/>
  <c r="K137" i="43" s="1"/>
  <c r="I137" i="43"/>
  <c r="M137" i="43" s="1"/>
  <c r="A137" i="43" s="1"/>
  <c r="B137" i="43"/>
  <c r="M136" i="43"/>
  <c r="J136" i="43"/>
  <c r="K136" i="43" s="1"/>
  <c r="I136" i="43"/>
  <c r="B136" i="43"/>
  <c r="A136" i="43"/>
  <c r="M135" i="43"/>
  <c r="A135" i="43" s="1"/>
  <c r="J135" i="43"/>
  <c r="K135" i="43" s="1"/>
  <c r="I135" i="43"/>
  <c r="B135" i="43"/>
  <c r="K134" i="43"/>
  <c r="J134" i="43"/>
  <c r="I134" i="43"/>
  <c r="M134" i="43" s="1"/>
  <c r="A134" i="43" s="1"/>
  <c r="B134" i="43"/>
  <c r="J133" i="43"/>
  <c r="K133" i="43" s="1"/>
  <c r="I133" i="43"/>
  <c r="M133" i="43" s="1"/>
  <c r="A133" i="43" s="1"/>
  <c r="B133" i="43"/>
  <c r="M132" i="43"/>
  <c r="A132" i="43" s="1"/>
  <c r="J132" i="43"/>
  <c r="K132" i="43" s="1"/>
  <c r="I132" i="43"/>
  <c r="B132" i="43"/>
  <c r="M131" i="43"/>
  <c r="A131" i="43" s="1"/>
  <c r="J131" i="43"/>
  <c r="K131" i="43" s="1"/>
  <c r="I131" i="43"/>
  <c r="B131" i="43"/>
  <c r="K130" i="43"/>
  <c r="J130" i="43"/>
  <c r="I130" i="43"/>
  <c r="M130" i="43" s="1"/>
  <c r="A130" i="43" s="1"/>
  <c r="B130" i="43"/>
  <c r="M129" i="43"/>
  <c r="J129" i="43"/>
  <c r="K129" i="43" s="1"/>
  <c r="I129" i="43"/>
  <c r="B129" i="43"/>
  <c r="A129" i="43"/>
  <c r="M128" i="43"/>
  <c r="A128" i="43" s="1"/>
  <c r="J128" i="43"/>
  <c r="K128" i="43" s="1"/>
  <c r="I128" i="43"/>
  <c r="B128" i="43"/>
  <c r="J127" i="43"/>
  <c r="K127" i="43" s="1"/>
  <c r="I127" i="43"/>
  <c r="M127" i="43" s="1"/>
  <c r="A127" i="43" s="1"/>
  <c r="B127" i="43"/>
  <c r="K126" i="43"/>
  <c r="J126" i="43"/>
  <c r="I126" i="43"/>
  <c r="M126" i="43" s="1"/>
  <c r="A126" i="43" s="1"/>
  <c r="B126" i="43"/>
  <c r="M125" i="43"/>
  <c r="A125" i="43" s="1"/>
  <c r="J125" i="43"/>
  <c r="K125" i="43" s="1"/>
  <c r="I125" i="43"/>
  <c r="B125" i="43"/>
  <c r="M124" i="43"/>
  <c r="A124" i="43" s="1"/>
  <c r="J124" i="43"/>
  <c r="K124" i="43" s="1"/>
  <c r="I124" i="43"/>
  <c r="B124" i="43"/>
  <c r="M123" i="43"/>
  <c r="A123" i="43" s="1"/>
  <c r="J123" i="43"/>
  <c r="K123" i="43" s="1"/>
  <c r="I123" i="43"/>
  <c r="B123" i="43"/>
  <c r="K122" i="43"/>
  <c r="J122" i="43"/>
  <c r="I122" i="43"/>
  <c r="M122" i="43" s="1"/>
  <c r="A122" i="43" s="1"/>
  <c r="B122" i="43"/>
  <c r="J121" i="43"/>
  <c r="K121" i="43" s="1"/>
  <c r="I121" i="43"/>
  <c r="M121" i="43" s="1"/>
  <c r="A121" i="43" s="1"/>
  <c r="B121" i="43"/>
  <c r="M120" i="43"/>
  <c r="A120" i="43" s="1"/>
  <c r="J120" i="43"/>
  <c r="K120" i="43" s="1"/>
  <c r="I120" i="43"/>
  <c r="B120" i="43"/>
  <c r="M119" i="43"/>
  <c r="A119" i="43" s="1"/>
  <c r="J119" i="43"/>
  <c r="K119" i="43" s="1"/>
  <c r="I119" i="43"/>
  <c r="B119" i="43"/>
  <c r="K118" i="43"/>
  <c r="J118" i="43"/>
  <c r="I118" i="43"/>
  <c r="M118" i="43" s="1"/>
  <c r="A118" i="43" s="1"/>
  <c r="B118" i="43"/>
  <c r="J117" i="43"/>
  <c r="K117" i="43" s="1"/>
  <c r="I117" i="43"/>
  <c r="M117" i="43" s="1"/>
  <c r="A117" i="43" s="1"/>
  <c r="B117" i="43"/>
  <c r="M116" i="43"/>
  <c r="A116" i="43" s="1"/>
  <c r="J116" i="43"/>
  <c r="K116" i="43" s="1"/>
  <c r="I116" i="43"/>
  <c r="B116" i="43"/>
  <c r="M115" i="43"/>
  <c r="A115" i="43" s="1"/>
  <c r="J115" i="43"/>
  <c r="K115" i="43" s="1"/>
  <c r="I115" i="43"/>
  <c r="B115" i="43"/>
  <c r="K114" i="43"/>
  <c r="J114" i="43"/>
  <c r="I114" i="43"/>
  <c r="M114" i="43" s="1"/>
  <c r="A114" i="43" s="1"/>
  <c r="B114" i="43"/>
  <c r="M113" i="43"/>
  <c r="J113" i="43"/>
  <c r="K113" i="43" s="1"/>
  <c r="I113" i="43"/>
  <c r="B113" i="43"/>
  <c r="A113" i="43"/>
  <c r="M112" i="43"/>
  <c r="A112" i="43" s="1"/>
  <c r="J112" i="43"/>
  <c r="K112" i="43" s="1"/>
  <c r="I112" i="43"/>
  <c r="B112" i="43"/>
  <c r="J111" i="43"/>
  <c r="K111" i="43" s="1"/>
  <c r="I111" i="43"/>
  <c r="M111" i="43" s="1"/>
  <c r="A111" i="43" s="1"/>
  <c r="B111" i="43"/>
  <c r="K110" i="43"/>
  <c r="J110" i="43"/>
  <c r="I110" i="43"/>
  <c r="M110" i="43" s="1"/>
  <c r="A110" i="43" s="1"/>
  <c r="B110" i="43"/>
  <c r="M109" i="43"/>
  <c r="A109" i="43" s="1"/>
  <c r="J109" i="43"/>
  <c r="K109" i="43" s="1"/>
  <c r="I109" i="43"/>
  <c r="B109" i="43"/>
  <c r="M108" i="43"/>
  <c r="A108" i="43" s="1"/>
  <c r="J108" i="43"/>
  <c r="K108" i="43" s="1"/>
  <c r="I108" i="43"/>
  <c r="B108" i="43"/>
  <c r="M107" i="43"/>
  <c r="A107" i="43" s="1"/>
  <c r="J107" i="43"/>
  <c r="K107" i="43" s="1"/>
  <c r="I107" i="43"/>
  <c r="B107" i="43"/>
  <c r="K106" i="43"/>
  <c r="J106" i="43"/>
  <c r="I106" i="43"/>
  <c r="M106" i="43" s="1"/>
  <c r="A106" i="43" s="1"/>
  <c r="B106" i="43"/>
  <c r="J105" i="43"/>
  <c r="K105" i="43" s="1"/>
  <c r="I105" i="43"/>
  <c r="M105" i="43" s="1"/>
  <c r="A105" i="43" s="1"/>
  <c r="B105" i="43"/>
  <c r="M104" i="43"/>
  <c r="A104" i="43" s="1"/>
  <c r="J104" i="43"/>
  <c r="K104" i="43" s="1"/>
  <c r="I104" i="43"/>
  <c r="B104" i="43"/>
  <c r="M103" i="43"/>
  <c r="A103" i="43" s="1"/>
  <c r="J103" i="43"/>
  <c r="K103" i="43" s="1"/>
  <c r="I103" i="43"/>
  <c r="B103" i="43"/>
  <c r="K102" i="43"/>
  <c r="J102" i="43"/>
  <c r="I102" i="43"/>
  <c r="M102" i="43" s="1"/>
  <c r="A102" i="43" s="1"/>
  <c r="B102" i="43"/>
  <c r="J101" i="43"/>
  <c r="K101" i="43" s="1"/>
  <c r="I101" i="43"/>
  <c r="M101" i="43" s="1"/>
  <c r="A101" i="43" s="1"/>
  <c r="B101" i="43"/>
  <c r="M100" i="43"/>
  <c r="A100" i="43" s="1"/>
  <c r="J100" i="43"/>
  <c r="K100" i="43" s="1"/>
  <c r="I100" i="43"/>
  <c r="B100" i="43"/>
  <c r="M99" i="43"/>
  <c r="A99" i="43" s="1"/>
  <c r="J99" i="43"/>
  <c r="K99" i="43" s="1"/>
  <c r="I99" i="43"/>
  <c r="B99" i="43"/>
  <c r="K98" i="43"/>
  <c r="J98" i="43"/>
  <c r="I98" i="43"/>
  <c r="M98" i="43" s="1"/>
  <c r="A98" i="43" s="1"/>
  <c r="B98" i="43"/>
  <c r="M97" i="43"/>
  <c r="J97" i="43"/>
  <c r="K97" i="43" s="1"/>
  <c r="I97" i="43"/>
  <c r="B97" i="43"/>
  <c r="A97" i="43"/>
  <c r="M96" i="43"/>
  <c r="A96" i="43" s="1"/>
  <c r="J96" i="43"/>
  <c r="K96" i="43" s="1"/>
  <c r="I96" i="43"/>
  <c r="B96" i="43"/>
  <c r="J95" i="43"/>
  <c r="K95" i="43" s="1"/>
  <c r="I95" i="43"/>
  <c r="M95" i="43" s="1"/>
  <c r="A95" i="43" s="1"/>
  <c r="B95" i="43"/>
  <c r="K94" i="43"/>
  <c r="J94" i="43"/>
  <c r="I94" i="43"/>
  <c r="M94" i="43" s="1"/>
  <c r="A94" i="43" s="1"/>
  <c r="B94" i="43"/>
  <c r="M93" i="43"/>
  <c r="A93" i="43" s="1"/>
  <c r="J93" i="43"/>
  <c r="K93" i="43" s="1"/>
  <c r="I93" i="43"/>
  <c r="B93" i="43"/>
  <c r="M92" i="43"/>
  <c r="A92" i="43" s="1"/>
  <c r="J92" i="43"/>
  <c r="K92" i="43" s="1"/>
  <c r="I92" i="43"/>
  <c r="B92" i="43"/>
  <c r="M91" i="43"/>
  <c r="A91" i="43" s="1"/>
  <c r="J91" i="43"/>
  <c r="K91" i="43" s="1"/>
  <c r="I91" i="43"/>
  <c r="B91" i="43"/>
  <c r="K90" i="43"/>
  <c r="J90" i="43"/>
  <c r="I90" i="43"/>
  <c r="M90" i="43" s="1"/>
  <c r="A90" i="43" s="1"/>
  <c r="B90" i="43"/>
  <c r="J89" i="43"/>
  <c r="K89" i="43" s="1"/>
  <c r="I89" i="43"/>
  <c r="M89" i="43" s="1"/>
  <c r="A89" i="43" s="1"/>
  <c r="B89" i="43"/>
  <c r="M88" i="43"/>
  <c r="A88" i="43" s="1"/>
  <c r="J88" i="43"/>
  <c r="K88" i="43" s="1"/>
  <c r="I88" i="43"/>
  <c r="B88" i="43"/>
  <c r="M87" i="43"/>
  <c r="A87" i="43" s="1"/>
  <c r="J87" i="43"/>
  <c r="K87" i="43" s="1"/>
  <c r="I87" i="43"/>
  <c r="B87" i="43"/>
  <c r="K86" i="43"/>
  <c r="J86" i="43"/>
  <c r="I86" i="43"/>
  <c r="M86" i="43" s="1"/>
  <c r="A86" i="43" s="1"/>
  <c r="B86" i="43"/>
  <c r="J85" i="43"/>
  <c r="K85" i="43" s="1"/>
  <c r="I85" i="43"/>
  <c r="M85" i="43" s="1"/>
  <c r="A85" i="43" s="1"/>
  <c r="B85" i="43"/>
  <c r="M84" i="43"/>
  <c r="A84" i="43" s="1"/>
  <c r="J84" i="43"/>
  <c r="K84" i="43" s="1"/>
  <c r="I84" i="43"/>
  <c r="B84" i="43"/>
  <c r="M83" i="43"/>
  <c r="A83" i="43" s="1"/>
  <c r="J83" i="43"/>
  <c r="K83" i="43" s="1"/>
  <c r="I83" i="43"/>
  <c r="B83" i="43"/>
  <c r="K82" i="43"/>
  <c r="J82" i="43"/>
  <c r="I82" i="43"/>
  <c r="M82" i="43" s="1"/>
  <c r="A82" i="43" s="1"/>
  <c r="B82" i="43"/>
  <c r="M81" i="43"/>
  <c r="A81" i="43" s="1"/>
  <c r="J81" i="43"/>
  <c r="K81" i="43" s="1"/>
  <c r="I81" i="43"/>
  <c r="B81" i="43"/>
  <c r="M80" i="43"/>
  <c r="A80" i="43" s="1"/>
  <c r="J80" i="43"/>
  <c r="K80" i="43" s="1"/>
  <c r="I80" i="43"/>
  <c r="B80" i="43"/>
  <c r="J79" i="43"/>
  <c r="K79" i="43" s="1"/>
  <c r="I79" i="43"/>
  <c r="M79" i="43" s="1"/>
  <c r="A79" i="43" s="1"/>
  <c r="B79" i="43"/>
  <c r="K78" i="43"/>
  <c r="J78" i="43"/>
  <c r="I78" i="43"/>
  <c r="M78" i="43" s="1"/>
  <c r="A78" i="43" s="1"/>
  <c r="B78" i="43"/>
  <c r="M77" i="43"/>
  <c r="A77" i="43" s="1"/>
  <c r="J77" i="43"/>
  <c r="K77" i="43" s="1"/>
  <c r="I77" i="43"/>
  <c r="B77" i="43"/>
  <c r="M76" i="43"/>
  <c r="A76" i="43" s="1"/>
  <c r="J76" i="43"/>
  <c r="K76" i="43" s="1"/>
  <c r="I76" i="43"/>
  <c r="B76" i="43"/>
  <c r="M75" i="43"/>
  <c r="A75" i="43" s="1"/>
  <c r="J75" i="43"/>
  <c r="K75" i="43" s="1"/>
  <c r="I75" i="43"/>
  <c r="B75" i="43"/>
  <c r="K74" i="43"/>
  <c r="J74" i="43"/>
  <c r="I74" i="43"/>
  <c r="M74" i="43" s="1"/>
  <c r="A74" i="43" s="1"/>
  <c r="B74" i="43"/>
  <c r="J73" i="43"/>
  <c r="K73" i="43" s="1"/>
  <c r="I73" i="43"/>
  <c r="M73" i="43" s="1"/>
  <c r="A73" i="43" s="1"/>
  <c r="B73" i="43"/>
  <c r="M72" i="43"/>
  <c r="A72" i="43" s="1"/>
  <c r="J72" i="43"/>
  <c r="K72" i="43" s="1"/>
  <c r="I72" i="43"/>
  <c r="B72" i="43"/>
  <c r="M71" i="43"/>
  <c r="A71" i="43" s="1"/>
  <c r="J71" i="43"/>
  <c r="K71" i="43" s="1"/>
  <c r="I71" i="43"/>
  <c r="B71" i="43"/>
  <c r="K70" i="43"/>
  <c r="J70" i="43"/>
  <c r="I70" i="43"/>
  <c r="M70" i="43" s="1"/>
  <c r="A70" i="43" s="1"/>
  <c r="B70" i="43"/>
  <c r="J69" i="43"/>
  <c r="K69" i="43" s="1"/>
  <c r="I69" i="43"/>
  <c r="M69" i="43" s="1"/>
  <c r="A69" i="43" s="1"/>
  <c r="B69" i="43"/>
  <c r="M68" i="43"/>
  <c r="A68" i="43" s="1"/>
  <c r="J68" i="43"/>
  <c r="K68" i="43" s="1"/>
  <c r="I68" i="43"/>
  <c r="B68" i="43"/>
  <c r="M67" i="43"/>
  <c r="A67" i="43" s="1"/>
  <c r="J67" i="43"/>
  <c r="K67" i="43" s="1"/>
  <c r="I67" i="43"/>
  <c r="B67" i="43"/>
  <c r="K66" i="43"/>
  <c r="J66" i="43"/>
  <c r="I66" i="43"/>
  <c r="M66" i="43" s="1"/>
  <c r="A66" i="43" s="1"/>
  <c r="B66" i="43"/>
  <c r="M65" i="43"/>
  <c r="J65" i="43"/>
  <c r="K65" i="43" s="1"/>
  <c r="I65" i="43"/>
  <c r="B65" i="43"/>
  <c r="A65" i="43"/>
  <c r="M64" i="43"/>
  <c r="A64" i="43" s="1"/>
  <c r="J64" i="43"/>
  <c r="K64" i="43" s="1"/>
  <c r="I64" i="43"/>
  <c r="B64" i="43"/>
  <c r="J63" i="43"/>
  <c r="K63" i="43" s="1"/>
  <c r="I63" i="43"/>
  <c r="M63" i="43" s="1"/>
  <c r="A63" i="43" s="1"/>
  <c r="B63" i="43"/>
  <c r="K62" i="43"/>
  <c r="J62" i="43"/>
  <c r="I62" i="43"/>
  <c r="M62" i="43" s="1"/>
  <c r="A62" i="43" s="1"/>
  <c r="B62" i="43"/>
  <c r="M61" i="43"/>
  <c r="A61" i="43" s="1"/>
  <c r="J61" i="43"/>
  <c r="K61" i="43" s="1"/>
  <c r="I61" i="43"/>
  <c r="B61" i="43"/>
  <c r="M60" i="43"/>
  <c r="A60" i="43" s="1"/>
  <c r="J60" i="43"/>
  <c r="K60" i="43" s="1"/>
  <c r="I60" i="43"/>
  <c r="B60" i="43"/>
  <c r="M59" i="43"/>
  <c r="A59" i="43" s="1"/>
  <c r="J59" i="43"/>
  <c r="K59" i="43" s="1"/>
  <c r="I59" i="43"/>
  <c r="B59" i="43"/>
  <c r="K58" i="43"/>
  <c r="J58" i="43"/>
  <c r="I58" i="43"/>
  <c r="M58" i="43" s="1"/>
  <c r="A58" i="43" s="1"/>
  <c r="B58" i="43"/>
  <c r="J57" i="43"/>
  <c r="K57" i="43" s="1"/>
  <c r="I57" i="43"/>
  <c r="M57" i="43" s="1"/>
  <c r="A57" i="43" s="1"/>
  <c r="B57" i="43"/>
  <c r="M56" i="43"/>
  <c r="A56" i="43" s="1"/>
  <c r="J56" i="43"/>
  <c r="K56" i="43" s="1"/>
  <c r="I56" i="43"/>
  <c r="B56" i="43"/>
  <c r="M55" i="43"/>
  <c r="A55" i="43" s="1"/>
  <c r="J55" i="43"/>
  <c r="K55" i="43" s="1"/>
  <c r="I55" i="43"/>
  <c r="B55" i="43"/>
  <c r="K54" i="43"/>
  <c r="J54" i="43"/>
  <c r="I54" i="43"/>
  <c r="M54" i="43" s="1"/>
  <c r="A54" i="43" s="1"/>
  <c r="B54" i="43"/>
  <c r="J53" i="43"/>
  <c r="K53" i="43" s="1"/>
  <c r="I53" i="43"/>
  <c r="M53" i="43" s="1"/>
  <c r="A53" i="43" s="1"/>
  <c r="B53" i="43"/>
  <c r="M52" i="43"/>
  <c r="A52" i="43" s="1"/>
  <c r="J52" i="43"/>
  <c r="K52" i="43" s="1"/>
  <c r="I52" i="43"/>
  <c r="B52" i="43"/>
  <c r="M51" i="43"/>
  <c r="A51" i="43" s="1"/>
  <c r="J51" i="43"/>
  <c r="K51" i="43" s="1"/>
  <c r="I51" i="43"/>
  <c r="B51" i="43"/>
  <c r="K50" i="43"/>
  <c r="J50" i="43"/>
  <c r="I50" i="43"/>
  <c r="M50" i="43" s="1"/>
  <c r="A50" i="43" s="1"/>
  <c r="B50" i="43"/>
  <c r="M49" i="43"/>
  <c r="J49" i="43"/>
  <c r="K49" i="43" s="1"/>
  <c r="I49" i="43"/>
  <c r="B49" i="43"/>
  <c r="A49" i="43"/>
  <c r="M48" i="43"/>
  <c r="A48" i="43" s="1"/>
  <c r="J48" i="43"/>
  <c r="K48" i="43" s="1"/>
  <c r="I48" i="43"/>
  <c r="B48" i="43"/>
  <c r="J47" i="43"/>
  <c r="K47" i="43" s="1"/>
  <c r="I47" i="43"/>
  <c r="M47" i="43" s="1"/>
  <c r="A47" i="43" s="1"/>
  <c r="B47" i="43"/>
  <c r="K46" i="43"/>
  <c r="J46" i="43"/>
  <c r="I46" i="43"/>
  <c r="M46" i="43" s="1"/>
  <c r="A46" i="43" s="1"/>
  <c r="B46" i="43"/>
  <c r="M45" i="43"/>
  <c r="A45" i="43" s="1"/>
  <c r="J45" i="43"/>
  <c r="K45" i="43" s="1"/>
  <c r="I45" i="43"/>
  <c r="B45" i="43"/>
  <c r="M44" i="43"/>
  <c r="A44" i="43" s="1"/>
  <c r="J44" i="43"/>
  <c r="K44" i="43" s="1"/>
  <c r="I44" i="43"/>
  <c r="B44" i="43"/>
  <c r="M43" i="43"/>
  <c r="A43" i="43" s="1"/>
  <c r="J43" i="43"/>
  <c r="K43" i="43" s="1"/>
  <c r="I43" i="43"/>
  <c r="B43" i="43"/>
  <c r="K42" i="43"/>
  <c r="J42" i="43"/>
  <c r="I42" i="43"/>
  <c r="M42" i="43" s="1"/>
  <c r="A42" i="43" s="1"/>
  <c r="B42" i="43"/>
  <c r="J41" i="43"/>
  <c r="K41" i="43" s="1"/>
  <c r="I41" i="43"/>
  <c r="M41" i="43" s="1"/>
  <c r="A41" i="43" s="1"/>
  <c r="B41" i="43"/>
  <c r="M40" i="43"/>
  <c r="A40" i="43" s="1"/>
  <c r="J40" i="43"/>
  <c r="K40" i="43" s="1"/>
  <c r="I40" i="43"/>
  <c r="B40" i="43"/>
  <c r="M39" i="43"/>
  <c r="A39" i="43" s="1"/>
  <c r="J39" i="43"/>
  <c r="K39" i="43" s="1"/>
  <c r="I39" i="43"/>
  <c r="B39" i="43"/>
  <c r="K38" i="43"/>
  <c r="J38" i="43"/>
  <c r="I38" i="43"/>
  <c r="M38" i="43" s="1"/>
  <c r="A38" i="43" s="1"/>
  <c r="B38" i="43"/>
  <c r="J37" i="43"/>
  <c r="K37" i="43" s="1"/>
  <c r="I37" i="43"/>
  <c r="M37" i="43" s="1"/>
  <c r="A37" i="43" s="1"/>
  <c r="B37" i="43"/>
  <c r="M36" i="43"/>
  <c r="A36" i="43" s="1"/>
  <c r="J36" i="43"/>
  <c r="K36" i="43" s="1"/>
  <c r="I36" i="43"/>
  <c r="B36" i="43"/>
  <c r="M35" i="43"/>
  <c r="A35" i="43" s="1"/>
  <c r="J35" i="43"/>
  <c r="K35" i="43" s="1"/>
  <c r="I35" i="43"/>
  <c r="B35" i="43"/>
  <c r="K34" i="43"/>
  <c r="J34" i="43"/>
  <c r="I34" i="43"/>
  <c r="M34" i="43" s="1"/>
  <c r="A34" i="43" s="1"/>
  <c r="B34" i="43"/>
  <c r="M33" i="43"/>
  <c r="J33" i="43"/>
  <c r="K33" i="43" s="1"/>
  <c r="I33" i="43"/>
  <c r="B33" i="43"/>
  <c r="A33" i="43"/>
  <c r="M32" i="43"/>
  <c r="A32" i="43" s="1"/>
  <c r="J32" i="43"/>
  <c r="K32" i="43" s="1"/>
  <c r="I32" i="43"/>
  <c r="B32" i="43"/>
  <c r="J31" i="43"/>
  <c r="K31" i="43" s="1"/>
  <c r="I31" i="43"/>
  <c r="M31" i="43" s="1"/>
  <c r="A31" i="43" s="1"/>
  <c r="B31" i="43"/>
  <c r="K30" i="43"/>
  <c r="J30" i="43"/>
  <c r="I30" i="43"/>
  <c r="M30" i="43" s="1"/>
  <c r="A30" i="43" s="1"/>
  <c r="B30" i="43"/>
  <c r="M29" i="43"/>
  <c r="A29" i="43" s="1"/>
  <c r="J29" i="43"/>
  <c r="K29" i="43" s="1"/>
  <c r="I29" i="43"/>
  <c r="B29" i="43"/>
  <c r="M28" i="43"/>
  <c r="A28" i="43" s="1"/>
  <c r="J28" i="43"/>
  <c r="K28" i="43" s="1"/>
  <c r="I28" i="43"/>
  <c r="B28" i="43"/>
  <c r="M27" i="43"/>
  <c r="A27" i="43" s="1"/>
  <c r="J27" i="43"/>
  <c r="K27" i="43" s="1"/>
  <c r="I27" i="43"/>
  <c r="B27" i="43"/>
  <c r="K26" i="43"/>
  <c r="J26" i="43"/>
  <c r="I26" i="43"/>
  <c r="M26" i="43" s="1"/>
  <c r="A26" i="43" s="1"/>
  <c r="B26" i="43"/>
  <c r="J25" i="43"/>
  <c r="K25" i="43" s="1"/>
  <c r="I25" i="43"/>
  <c r="M25" i="43" s="1"/>
  <c r="A25" i="43" s="1"/>
  <c r="B25" i="43"/>
  <c r="M24" i="43"/>
  <c r="A24" i="43" s="1"/>
  <c r="J24" i="43"/>
  <c r="K24" i="43" s="1"/>
  <c r="I24" i="43"/>
  <c r="B24" i="43"/>
  <c r="M23" i="43"/>
  <c r="A23" i="43" s="1"/>
  <c r="J23" i="43"/>
  <c r="K23" i="43" s="1"/>
  <c r="I23" i="43"/>
  <c r="B23" i="43"/>
  <c r="K22" i="43"/>
  <c r="J22" i="43"/>
  <c r="I22" i="43"/>
  <c r="M22" i="43" s="1"/>
  <c r="A22" i="43" s="1"/>
  <c r="B22" i="43"/>
  <c r="J21" i="43"/>
  <c r="K21" i="43" s="1"/>
  <c r="I21" i="43"/>
  <c r="M21" i="43" s="1"/>
  <c r="A21" i="43" s="1"/>
  <c r="B21" i="43"/>
  <c r="M20" i="43"/>
  <c r="A20" i="43" s="1"/>
  <c r="J20" i="43"/>
  <c r="K20" i="43" s="1"/>
  <c r="I20" i="43"/>
  <c r="B20" i="43"/>
  <c r="M19" i="43"/>
  <c r="A19" i="43" s="1"/>
  <c r="J19" i="43"/>
  <c r="K19" i="43" s="1"/>
  <c r="I19" i="43"/>
  <c r="B19" i="43"/>
  <c r="K18" i="43"/>
  <c r="J18" i="43"/>
  <c r="I18" i="43"/>
  <c r="M18" i="43" s="1"/>
  <c r="A18" i="43" s="1"/>
  <c r="B18" i="43"/>
  <c r="M17" i="43"/>
  <c r="J17" i="43"/>
  <c r="K17" i="43" s="1"/>
  <c r="I17" i="43"/>
  <c r="B17" i="43"/>
  <c r="A17" i="43"/>
  <c r="K16" i="43"/>
  <c r="J16" i="43"/>
  <c r="I16" i="43"/>
  <c r="M16" i="43" s="1"/>
  <c r="A16" i="43" s="1"/>
  <c r="B16" i="43"/>
  <c r="K15" i="43"/>
  <c r="J15" i="43"/>
  <c r="I15" i="43"/>
  <c r="M15" i="43" s="1"/>
  <c r="A15" i="43" s="1"/>
  <c r="B15" i="43"/>
  <c r="AI14" i="43"/>
  <c r="J14" i="43"/>
  <c r="K14" i="43" s="1"/>
  <c r="I14" i="43"/>
  <c r="M14" i="43" s="1"/>
  <c r="A14" i="43" s="1"/>
  <c r="B14" i="43"/>
  <c r="AI13" i="43"/>
  <c r="AI16" i="43" s="1"/>
  <c r="K13" i="43"/>
  <c r="J13" i="43"/>
  <c r="I13" i="43"/>
  <c r="M13" i="43" s="1"/>
  <c r="A13" i="43" s="1"/>
  <c r="B13" i="43"/>
  <c r="AI12" i="43"/>
  <c r="M12" i="43"/>
  <c r="A12" i="43" s="1"/>
  <c r="J12" i="43"/>
  <c r="K12" i="43" s="1"/>
  <c r="I12" i="43"/>
  <c r="B12" i="43"/>
  <c r="M11" i="43"/>
  <c r="A11" i="43" s="1"/>
  <c r="J11" i="43"/>
  <c r="K11" i="43" s="1"/>
  <c r="I11" i="43"/>
  <c r="B11" i="43"/>
  <c r="M10" i="43"/>
  <c r="A10" i="43" s="1"/>
  <c r="J10" i="43"/>
  <c r="K10" i="43" s="1"/>
  <c r="I10" i="43"/>
  <c r="B10" i="43"/>
  <c r="K9" i="43"/>
  <c r="J9" i="43"/>
  <c r="I9" i="43"/>
  <c r="M9" i="43" s="1"/>
  <c r="A9" i="43" s="1"/>
  <c r="B9" i="43"/>
  <c r="J8" i="43"/>
  <c r="K8" i="43" s="1"/>
  <c r="I8" i="43"/>
  <c r="M8" i="43" s="1"/>
  <c r="A8" i="43" s="1"/>
  <c r="B8" i="43"/>
  <c r="M7" i="43"/>
  <c r="A7" i="43" s="1"/>
  <c r="K7" i="43"/>
  <c r="J7" i="43"/>
  <c r="I7" i="43"/>
  <c r="B7" i="43"/>
  <c r="J6" i="43"/>
  <c r="K6" i="43" s="1"/>
  <c r="I6" i="43"/>
  <c r="M6" i="43" s="1"/>
  <c r="A6" i="43" s="1"/>
  <c r="B6" i="43"/>
  <c r="K2" i="43"/>
  <c r="L9" i="43" s="1"/>
  <c r="B8" i="18"/>
  <c r="B7" i="18"/>
  <c r="B6" i="18"/>
  <c r="A8" i="17"/>
  <c r="B8" i="17"/>
  <c r="L8" i="43" l="1"/>
  <c r="L7" i="43"/>
  <c r="L6" i="43"/>
  <c r="S29" i="20"/>
  <c r="T29" i="20" s="1"/>
  <c r="S28" i="20"/>
  <c r="T28" i="20" s="1"/>
  <c r="S27" i="20"/>
  <c r="T27" i="20" s="1"/>
  <c r="S26" i="20"/>
  <c r="T26" i="20" s="1"/>
  <c r="S25" i="20"/>
  <c r="T25" i="20" s="1"/>
  <c r="S24" i="20"/>
  <c r="T24" i="20" s="1"/>
  <c r="S23" i="20"/>
  <c r="T23" i="20" s="1"/>
  <c r="S22" i="20"/>
  <c r="T22" i="20" s="1"/>
  <c r="S21" i="20"/>
  <c r="T21" i="20" s="1"/>
  <c r="S20" i="20"/>
  <c r="T20" i="20" s="1"/>
  <c r="S19" i="20"/>
  <c r="T19" i="20" s="1"/>
  <c r="S18" i="20"/>
  <c r="T18" i="20" s="1"/>
  <c r="S17" i="20"/>
  <c r="T17" i="20" s="1"/>
  <c r="S16" i="20"/>
  <c r="T16" i="20" s="1"/>
  <c r="S15" i="20"/>
  <c r="T15" i="20" s="1"/>
  <c r="S14" i="20"/>
  <c r="T14" i="20" s="1"/>
  <c r="S13" i="20"/>
  <c r="T13" i="20" s="1"/>
  <c r="S12" i="20"/>
  <c r="T12" i="20" s="1"/>
  <c r="S11" i="20"/>
  <c r="T11" i="20" s="1"/>
  <c r="S10" i="20"/>
  <c r="T10" i="20" s="1"/>
  <c r="S9" i="20"/>
  <c r="T9" i="20" s="1"/>
  <c r="S8" i="20"/>
  <c r="T8" i="20" s="1"/>
  <c r="S6" i="20"/>
  <c r="T6" i="20" s="1"/>
  <c r="S7" i="20"/>
  <c r="T7" i="20" s="1"/>
  <c r="Q29" i="20"/>
  <c r="R29" i="20" s="1"/>
  <c r="Q28" i="20"/>
  <c r="R28" i="20" s="1"/>
  <c r="Q27" i="20"/>
  <c r="R27" i="20" s="1"/>
  <c r="Q26" i="20"/>
  <c r="R26" i="20" s="1"/>
  <c r="Q25" i="20"/>
  <c r="R25" i="20" s="1"/>
  <c r="Q24" i="20"/>
  <c r="R24" i="20" s="1"/>
  <c r="Q23" i="20"/>
  <c r="R23" i="20" s="1"/>
  <c r="Q22" i="20"/>
  <c r="R22" i="20" s="1"/>
  <c r="Q21" i="20"/>
  <c r="R21" i="20" s="1"/>
  <c r="Q20" i="20"/>
  <c r="R20" i="20" s="1"/>
  <c r="Q19" i="20"/>
  <c r="R19" i="20" s="1"/>
  <c r="Q18" i="20"/>
  <c r="R18" i="20" s="1"/>
  <c r="Q17" i="20"/>
  <c r="R17" i="20" s="1"/>
  <c r="Q16" i="20"/>
  <c r="R16" i="20" s="1"/>
  <c r="Q15" i="20"/>
  <c r="R15" i="20" s="1"/>
  <c r="Q14" i="20"/>
  <c r="R14" i="20" s="1"/>
  <c r="Q13" i="20"/>
  <c r="R13" i="20" s="1"/>
  <c r="Q12" i="20"/>
  <c r="R12" i="20" s="1"/>
  <c r="Q11" i="20"/>
  <c r="R11" i="20" s="1"/>
  <c r="Q10" i="20"/>
  <c r="R10" i="20" s="1"/>
  <c r="Q9" i="20"/>
  <c r="R9" i="20" s="1"/>
  <c r="Q8" i="20"/>
  <c r="R8" i="20" s="1"/>
  <c r="Q6" i="20"/>
  <c r="R6" i="20" s="1"/>
  <c r="Q7" i="20"/>
  <c r="R7" i="20" s="1"/>
  <c r="O8" i="20"/>
  <c r="O6" i="20"/>
  <c r="O7" i="20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9" i="20"/>
  <c r="AW9" i="20" s="1"/>
  <c r="AV8" i="20"/>
  <c r="AW8" i="20" s="1"/>
  <c r="AV6" i="20"/>
  <c r="AW6" i="20" s="1"/>
  <c r="AV7" i="20"/>
  <c r="AW7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T10" i="20"/>
  <c r="AU10" i="20" s="1"/>
  <c r="AT9" i="20"/>
  <c r="AU9" i="20" s="1"/>
  <c r="AT8" i="20"/>
  <c r="AU8" i="20" s="1"/>
  <c r="AT6" i="20"/>
  <c r="AU6" i="20" s="1"/>
  <c r="AT7" i="20"/>
  <c r="AU7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9" i="20"/>
  <c r="AS9" i="20" s="1"/>
  <c r="AR8" i="20"/>
  <c r="AS8" i="20" s="1"/>
  <c r="AR6" i="20"/>
  <c r="AS6" i="20" s="1"/>
  <c r="AR7" i="20"/>
  <c r="AS7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12" i="20"/>
  <c r="AQ12" i="20" s="1"/>
  <c r="AP11" i="20"/>
  <c r="AQ11" i="20" s="1"/>
  <c r="AP10" i="20"/>
  <c r="AQ10" i="20" s="1"/>
  <c r="AP9" i="20"/>
  <c r="AQ9" i="20" s="1"/>
  <c r="AP8" i="20"/>
  <c r="AQ8" i="20" s="1"/>
  <c r="AP6" i="20"/>
  <c r="AQ6" i="20" s="1"/>
  <c r="AP7" i="20"/>
  <c r="AQ7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N11" i="20"/>
  <c r="AO11" i="20" s="1"/>
  <c r="AN10" i="20"/>
  <c r="AO10" i="20" s="1"/>
  <c r="AN9" i="20"/>
  <c r="AO9" i="20" s="1"/>
  <c r="AN8" i="20"/>
  <c r="AO8" i="20" s="1"/>
  <c r="AN6" i="20"/>
  <c r="AO6" i="20" s="1"/>
  <c r="AN7" i="20"/>
  <c r="AO7" i="20" s="1"/>
  <c r="AL29" i="20"/>
  <c r="AM29" i="20" s="1"/>
  <c r="BG29" i="20" s="1"/>
  <c r="AL28" i="20"/>
  <c r="AM28" i="20" s="1"/>
  <c r="BG28" i="20" s="1"/>
  <c r="AL27" i="20"/>
  <c r="AM27" i="20" s="1"/>
  <c r="BG27" i="20" s="1"/>
  <c r="AL26" i="20"/>
  <c r="AM26" i="20" s="1"/>
  <c r="BG26" i="20" s="1"/>
  <c r="AL25" i="20"/>
  <c r="AM25" i="20" s="1"/>
  <c r="BG25" i="20" s="1"/>
  <c r="AL24" i="20"/>
  <c r="AM24" i="20" s="1"/>
  <c r="BG24" i="20" s="1"/>
  <c r="AL23" i="20"/>
  <c r="AM23" i="20" s="1"/>
  <c r="BG23" i="20" s="1"/>
  <c r="AL22" i="20"/>
  <c r="AM22" i="20" s="1"/>
  <c r="BG22" i="20" s="1"/>
  <c r="AL21" i="20"/>
  <c r="AM21" i="20" s="1"/>
  <c r="BG21" i="20" s="1"/>
  <c r="AL20" i="20"/>
  <c r="AM20" i="20" s="1"/>
  <c r="BG20" i="20" s="1"/>
  <c r="AL19" i="20"/>
  <c r="AM19" i="20" s="1"/>
  <c r="BG19" i="20" s="1"/>
  <c r="AL18" i="20"/>
  <c r="AM18" i="20" s="1"/>
  <c r="BG18" i="20" s="1"/>
  <c r="AL17" i="20"/>
  <c r="AM17" i="20" s="1"/>
  <c r="BG17" i="20" s="1"/>
  <c r="AL16" i="20"/>
  <c r="AM16" i="20" s="1"/>
  <c r="BG16" i="20" s="1"/>
  <c r="AL15" i="20"/>
  <c r="AM15" i="20" s="1"/>
  <c r="BG15" i="20" s="1"/>
  <c r="AL14" i="20"/>
  <c r="AM14" i="20" s="1"/>
  <c r="BG14" i="20" s="1"/>
  <c r="AL13" i="20"/>
  <c r="AM13" i="20" s="1"/>
  <c r="BG13" i="20" s="1"/>
  <c r="AL12" i="20"/>
  <c r="AM12" i="20" s="1"/>
  <c r="BG12" i="20" s="1"/>
  <c r="AL11" i="20"/>
  <c r="AM11" i="20" s="1"/>
  <c r="BG11" i="20" s="1"/>
  <c r="AL10" i="20"/>
  <c r="AM10" i="20" s="1"/>
  <c r="BG10" i="20" s="1"/>
  <c r="AL9" i="20"/>
  <c r="AM9" i="20" s="1"/>
  <c r="BG9" i="20" s="1"/>
  <c r="AL8" i="20"/>
  <c r="AM8" i="20" s="1"/>
  <c r="AL6" i="20"/>
  <c r="AM6" i="20" s="1"/>
  <c r="AL7" i="20"/>
  <c r="AM7" i="20" s="1"/>
  <c r="BG6" i="20" s="1"/>
  <c r="AJ29" i="20"/>
  <c r="AK29" i="20" s="1"/>
  <c r="BF29" i="20" s="1"/>
  <c r="AJ28" i="20"/>
  <c r="AK28" i="20" s="1"/>
  <c r="BF28" i="20" s="1"/>
  <c r="AJ27" i="20"/>
  <c r="AK27" i="20" s="1"/>
  <c r="BF27" i="20" s="1"/>
  <c r="AJ26" i="20"/>
  <c r="AK26" i="20" s="1"/>
  <c r="BF26" i="20" s="1"/>
  <c r="AJ25" i="20"/>
  <c r="AK25" i="20" s="1"/>
  <c r="BF25" i="20" s="1"/>
  <c r="AJ24" i="20"/>
  <c r="AK24" i="20" s="1"/>
  <c r="BF24" i="20" s="1"/>
  <c r="AJ23" i="20"/>
  <c r="AK23" i="20" s="1"/>
  <c r="BF23" i="20" s="1"/>
  <c r="AJ22" i="20"/>
  <c r="AK22" i="20" s="1"/>
  <c r="BF22" i="20" s="1"/>
  <c r="AJ21" i="20"/>
  <c r="AK21" i="20" s="1"/>
  <c r="BF21" i="20" s="1"/>
  <c r="AJ20" i="20"/>
  <c r="AK20" i="20" s="1"/>
  <c r="BF20" i="20" s="1"/>
  <c r="AJ19" i="20"/>
  <c r="AK19" i="20" s="1"/>
  <c r="BF19" i="20" s="1"/>
  <c r="AJ18" i="20"/>
  <c r="AK18" i="20" s="1"/>
  <c r="BF18" i="20" s="1"/>
  <c r="AJ17" i="20"/>
  <c r="AK17" i="20" s="1"/>
  <c r="BF17" i="20" s="1"/>
  <c r="AJ16" i="20"/>
  <c r="AK16" i="20" s="1"/>
  <c r="BF16" i="20" s="1"/>
  <c r="AJ15" i="20"/>
  <c r="AK15" i="20" s="1"/>
  <c r="BF15" i="20" s="1"/>
  <c r="AJ14" i="20"/>
  <c r="AK14" i="20" s="1"/>
  <c r="BF14" i="20" s="1"/>
  <c r="AJ13" i="20"/>
  <c r="AK13" i="20" s="1"/>
  <c r="BF13" i="20" s="1"/>
  <c r="AJ12" i="20"/>
  <c r="AK12" i="20" s="1"/>
  <c r="BF12" i="20" s="1"/>
  <c r="AJ11" i="20"/>
  <c r="AK11" i="20" s="1"/>
  <c r="BF11" i="20" s="1"/>
  <c r="AJ10" i="20"/>
  <c r="AK10" i="20" s="1"/>
  <c r="BF10" i="20" s="1"/>
  <c r="AJ9" i="20"/>
  <c r="AK9" i="20" s="1"/>
  <c r="BF9" i="20" s="1"/>
  <c r="AJ8" i="20"/>
  <c r="AK8" i="20" s="1"/>
  <c r="AJ6" i="20"/>
  <c r="AK6" i="20" s="1"/>
  <c r="AJ7" i="20"/>
  <c r="AK7" i="20" s="1"/>
  <c r="BF6" i="20" s="1"/>
  <c r="AH29" i="20"/>
  <c r="AI29" i="20" s="1"/>
  <c r="BE29" i="20" s="1"/>
  <c r="AH28" i="20"/>
  <c r="AI28" i="20" s="1"/>
  <c r="BE28" i="20" s="1"/>
  <c r="AH27" i="20"/>
  <c r="AI27" i="20" s="1"/>
  <c r="BE27" i="20" s="1"/>
  <c r="AH26" i="20"/>
  <c r="AI26" i="20" s="1"/>
  <c r="BE26" i="20" s="1"/>
  <c r="AH25" i="20"/>
  <c r="AI25" i="20" s="1"/>
  <c r="BE25" i="20" s="1"/>
  <c r="AH24" i="20"/>
  <c r="AI24" i="20" s="1"/>
  <c r="BE24" i="20" s="1"/>
  <c r="AH23" i="20"/>
  <c r="AI23" i="20" s="1"/>
  <c r="BE23" i="20" s="1"/>
  <c r="AH22" i="20"/>
  <c r="AI22" i="20" s="1"/>
  <c r="BE22" i="20" s="1"/>
  <c r="AH21" i="20"/>
  <c r="AI21" i="20" s="1"/>
  <c r="BE21" i="20" s="1"/>
  <c r="AH20" i="20"/>
  <c r="AI20" i="20" s="1"/>
  <c r="BE20" i="20" s="1"/>
  <c r="AH19" i="20"/>
  <c r="AI19" i="20" s="1"/>
  <c r="BE19" i="20" s="1"/>
  <c r="AH18" i="20"/>
  <c r="AI18" i="20" s="1"/>
  <c r="BE18" i="20" s="1"/>
  <c r="AH17" i="20"/>
  <c r="AI17" i="20" s="1"/>
  <c r="BE17" i="20" s="1"/>
  <c r="AH16" i="20"/>
  <c r="AI16" i="20" s="1"/>
  <c r="BE16" i="20" s="1"/>
  <c r="AH15" i="20"/>
  <c r="AI15" i="20" s="1"/>
  <c r="BE15" i="20" s="1"/>
  <c r="AH14" i="20"/>
  <c r="AI14" i="20" s="1"/>
  <c r="BE14" i="20" s="1"/>
  <c r="AH13" i="20"/>
  <c r="AI13" i="20" s="1"/>
  <c r="BE13" i="20" s="1"/>
  <c r="AH12" i="20"/>
  <c r="AI12" i="20" s="1"/>
  <c r="BE12" i="20" s="1"/>
  <c r="AH11" i="20"/>
  <c r="AI11" i="20" s="1"/>
  <c r="BE11" i="20" s="1"/>
  <c r="AH10" i="20"/>
  <c r="AI10" i="20" s="1"/>
  <c r="BE10" i="20" s="1"/>
  <c r="AH9" i="20"/>
  <c r="AI9" i="20" s="1"/>
  <c r="BE9" i="20" s="1"/>
  <c r="AH8" i="20"/>
  <c r="AI8" i="20" s="1"/>
  <c r="AH6" i="20"/>
  <c r="AI6" i="20" s="1"/>
  <c r="AH7" i="20"/>
  <c r="AI7" i="20" s="1"/>
  <c r="BE6" i="20" s="1"/>
  <c r="X29" i="20"/>
  <c r="Y29" i="20" s="1"/>
  <c r="BA29" i="20" s="1"/>
  <c r="X28" i="20"/>
  <c r="Y28" i="20" s="1"/>
  <c r="BA28" i="20" s="1"/>
  <c r="X27" i="20"/>
  <c r="Y27" i="20" s="1"/>
  <c r="BA27" i="20" s="1"/>
  <c r="X26" i="20"/>
  <c r="Y26" i="20" s="1"/>
  <c r="BA26" i="20" s="1"/>
  <c r="X25" i="20"/>
  <c r="Y25" i="20" s="1"/>
  <c r="BA25" i="20" s="1"/>
  <c r="X24" i="20"/>
  <c r="Y24" i="20" s="1"/>
  <c r="BA24" i="20" s="1"/>
  <c r="X23" i="20"/>
  <c r="Y23" i="20" s="1"/>
  <c r="BA23" i="20" s="1"/>
  <c r="X22" i="20"/>
  <c r="Y22" i="20" s="1"/>
  <c r="BA22" i="20" s="1"/>
  <c r="X21" i="20"/>
  <c r="Y21" i="20" s="1"/>
  <c r="BA21" i="20" s="1"/>
  <c r="X20" i="20"/>
  <c r="Y20" i="20" s="1"/>
  <c r="BA20" i="20" s="1"/>
  <c r="X19" i="20"/>
  <c r="Y19" i="20" s="1"/>
  <c r="BA19" i="20" s="1"/>
  <c r="X18" i="20"/>
  <c r="Y18" i="20" s="1"/>
  <c r="BA18" i="20" s="1"/>
  <c r="X17" i="20"/>
  <c r="Y17" i="20" s="1"/>
  <c r="X16" i="20"/>
  <c r="Y16" i="20" s="1"/>
  <c r="X15" i="20"/>
  <c r="Y15" i="20" s="1"/>
  <c r="BA15" i="20" s="1"/>
  <c r="X14" i="20"/>
  <c r="Y14" i="20" s="1"/>
  <c r="BA14" i="20" s="1"/>
  <c r="X13" i="20"/>
  <c r="Y13" i="20" s="1"/>
  <c r="BA13" i="20" s="1"/>
  <c r="X12" i="20"/>
  <c r="Y12" i="20" s="1"/>
  <c r="BA12" i="20" s="1"/>
  <c r="X11" i="20"/>
  <c r="Y11" i="20" s="1"/>
  <c r="BA11" i="20" s="1"/>
  <c r="X10" i="20"/>
  <c r="Y10" i="20" s="1"/>
  <c r="BA10" i="20" s="1"/>
  <c r="X9" i="20"/>
  <c r="Y9" i="20" s="1"/>
  <c r="BA9" i="20" s="1"/>
  <c r="X8" i="20"/>
  <c r="Y8" i="20" s="1"/>
  <c r="X6" i="20"/>
  <c r="Y6" i="20" s="1"/>
  <c r="X7" i="20"/>
  <c r="Y7" i="20" s="1"/>
  <c r="BA6" i="20" s="1"/>
  <c r="J305" i="42"/>
  <c r="K305" i="42" s="1"/>
  <c r="I305" i="42"/>
  <c r="M305" i="42" s="1"/>
  <c r="J304" i="42"/>
  <c r="K304" i="42" s="1"/>
  <c r="I304" i="42"/>
  <c r="M304" i="42" s="1"/>
  <c r="J303" i="42"/>
  <c r="K303" i="42" s="1"/>
  <c r="I303" i="42"/>
  <c r="M303" i="42" s="1"/>
  <c r="M302" i="42"/>
  <c r="J302" i="42"/>
  <c r="K302" i="42" s="1"/>
  <c r="I302" i="42"/>
  <c r="J301" i="42"/>
  <c r="K301" i="42" s="1"/>
  <c r="I301" i="42"/>
  <c r="M301" i="42" s="1"/>
  <c r="M300" i="42"/>
  <c r="J300" i="42"/>
  <c r="K300" i="42" s="1"/>
  <c r="I300" i="42"/>
  <c r="J299" i="42"/>
  <c r="K299" i="42" s="1"/>
  <c r="I299" i="42"/>
  <c r="M299" i="42" s="1"/>
  <c r="J298" i="42"/>
  <c r="K298" i="42" s="1"/>
  <c r="I298" i="42"/>
  <c r="M298" i="42" s="1"/>
  <c r="J297" i="42"/>
  <c r="K297" i="42" s="1"/>
  <c r="I297" i="42"/>
  <c r="M297" i="42" s="1"/>
  <c r="J296" i="42"/>
  <c r="K296" i="42" s="1"/>
  <c r="I296" i="42"/>
  <c r="M296" i="42" s="1"/>
  <c r="J295" i="42"/>
  <c r="K295" i="42" s="1"/>
  <c r="I295" i="42"/>
  <c r="M295" i="42" s="1"/>
  <c r="M294" i="42"/>
  <c r="J294" i="42"/>
  <c r="K294" i="42" s="1"/>
  <c r="I294" i="42"/>
  <c r="J293" i="42"/>
  <c r="K293" i="42" s="1"/>
  <c r="I293" i="42"/>
  <c r="M293" i="42" s="1"/>
  <c r="M292" i="42"/>
  <c r="K292" i="42"/>
  <c r="J292" i="42"/>
  <c r="I292" i="42"/>
  <c r="J291" i="42"/>
  <c r="K291" i="42" s="1"/>
  <c r="I291" i="42"/>
  <c r="M291" i="42" s="1"/>
  <c r="J290" i="42"/>
  <c r="K290" i="42" s="1"/>
  <c r="I290" i="42"/>
  <c r="M290" i="42" s="1"/>
  <c r="J289" i="42"/>
  <c r="K289" i="42" s="1"/>
  <c r="I289" i="42"/>
  <c r="M289" i="42" s="1"/>
  <c r="J288" i="42"/>
  <c r="K288" i="42" s="1"/>
  <c r="I288" i="42"/>
  <c r="M288" i="42" s="1"/>
  <c r="J287" i="42"/>
  <c r="K287" i="42" s="1"/>
  <c r="I287" i="42"/>
  <c r="M287" i="42" s="1"/>
  <c r="M286" i="42"/>
  <c r="J286" i="42"/>
  <c r="K286" i="42" s="1"/>
  <c r="I286" i="42"/>
  <c r="J285" i="42"/>
  <c r="K285" i="42" s="1"/>
  <c r="I285" i="42"/>
  <c r="M285" i="42" s="1"/>
  <c r="M284" i="42"/>
  <c r="J284" i="42"/>
  <c r="K284" i="42" s="1"/>
  <c r="I284" i="42"/>
  <c r="J283" i="42"/>
  <c r="K283" i="42" s="1"/>
  <c r="I283" i="42"/>
  <c r="M283" i="42" s="1"/>
  <c r="J282" i="42"/>
  <c r="K282" i="42" s="1"/>
  <c r="I282" i="42"/>
  <c r="M282" i="42" s="1"/>
  <c r="J281" i="42"/>
  <c r="K281" i="42" s="1"/>
  <c r="I281" i="42"/>
  <c r="M281" i="42" s="1"/>
  <c r="M280" i="42"/>
  <c r="J280" i="42"/>
  <c r="K280" i="42" s="1"/>
  <c r="I280" i="42"/>
  <c r="J279" i="42"/>
  <c r="K279" i="42" s="1"/>
  <c r="I279" i="42"/>
  <c r="M279" i="42" s="1"/>
  <c r="M278" i="42"/>
  <c r="J278" i="42"/>
  <c r="K278" i="42" s="1"/>
  <c r="I278" i="42"/>
  <c r="J277" i="42"/>
  <c r="K277" i="42" s="1"/>
  <c r="I277" i="42"/>
  <c r="M277" i="42" s="1"/>
  <c r="M276" i="42"/>
  <c r="J276" i="42"/>
  <c r="K276" i="42" s="1"/>
  <c r="I276" i="42"/>
  <c r="J275" i="42"/>
  <c r="K275" i="42" s="1"/>
  <c r="I275" i="42"/>
  <c r="M275" i="42" s="1"/>
  <c r="J274" i="42"/>
  <c r="K274" i="42" s="1"/>
  <c r="I274" i="42"/>
  <c r="M274" i="42" s="1"/>
  <c r="J273" i="42"/>
  <c r="K273" i="42" s="1"/>
  <c r="I273" i="42"/>
  <c r="M273" i="42" s="1"/>
  <c r="M272" i="42"/>
  <c r="J272" i="42"/>
  <c r="K272" i="42" s="1"/>
  <c r="I272" i="42"/>
  <c r="J271" i="42"/>
  <c r="K271" i="42" s="1"/>
  <c r="I271" i="42"/>
  <c r="M271" i="42" s="1"/>
  <c r="M270" i="42"/>
  <c r="J270" i="42"/>
  <c r="K270" i="42" s="1"/>
  <c r="I270" i="42"/>
  <c r="J269" i="42"/>
  <c r="K269" i="42" s="1"/>
  <c r="I269" i="42"/>
  <c r="M269" i="42" s="1"/>
  <c r="M268" i="42"/>
  <c r="J268" i="42"/>
  <c r="K268" i="42" s="1"/>
  <c r="I268" i="42"/>
  <c r="J267" i="42"/>
  <c r="K267" i="42" s="1"/>
  <c r="I267" i="42"/>
  <c r="M267" i="42" s="1"/>
  <c r="J266" i="42"/>
  <c r="K266" i="42" s="1"/>
  <c r="I266" i="42"/>
  <c r="M266" i="42" s="1"/>
  <c r="J265" i="42"/>
  <c r="K265" i="42" s="1"/>
  <c r="I265" i="42"/>
  <c r="M265" i="42" s="1"/>
  <c r="M264" i="42"/>
  <c r="J264" i="42"/>
  <c r="K264" i="42" s="1"/>
  <c r="I264" i="42"/>
  <c r="J263" i="42"/>
  <c r="K263" i="42" s="1"/>
  <c r="I263" i="42"/>
  <c r="M263" i="42" s="1"/>
  <c r="M262" i="42"/>
  <c r="J262" i="42"/>
  <c r="K262" i="42" s="1"/>
  <c r="I262" i="42"/>
  <c r="J261" i="42"/>
  <c r="K261" i="42" s="1"/>
  <c r="I261" i="42"/>
  <c r="M261" i="42" s="1"/>
  <c r="M260" i="42"/>
  <c r="J260" i="42"/>
  <c r="K260" i="42" s="1"/>
  <c r="I260" i="42"/>
  <c r="J259" i="42"/>
  <c r="K259" i="42" s="1"/>
  <c r="I259" i="42"/>
  <c r="M259" i="42" s="1"/>
  <c r="J258" i="42"/>
  <c r="K258" i="42" s="1"/>
  <c r="I258" i="42"/>
  <c r="M258" i="42" s="1"/>
  <c r="J257" i="42"/>
  <c r="K257" i="42" s="1"/>
  <c r="I257" i="42"/>
  <c r="M257" i="42" s="1"/>
  <c r="M256" i="42"/>
  <c r="J256" i="42"/>
  <c r="K256" i="42" s="1"/>
  <c r="I256" i="42"/>
  <c r="J255" i="42"/>
  <c r="K255" i="42" s="1"/>
  <c r="I255" i="42"/>
  <c r="M255" i="42" s="1"/>
  <c r="M254" i="42"/>
  <c r="J254" i="42"/>
  <c r="K254" i="42" s="1"/>
  <c r="I254" i="42"/>
  <c r="J253" i="42"/>
  <c r="K253" i="42" s="1"/>
  <c r="I253" i="42"/>
  <c r="M253" i="42" s="1"/>
  <c r="M252" i="42"/>
  <c r="J252" i="42"/>
  <c r="K252" i="42" s="1"/>
  <c r="I252" i="42"/>
  <c r="J251" i="42"/>
  <c r="K251" i="42" s="1"/>
  <c r="I251" i="42"/>
  <c r="M251" i="42" s="1"/>
  <c r="J250" i="42"/>
  <c r="K250" i="42" s="1"/>
  <c r="I250" i="42"/>
  <c r="M250" i="42" s="1"/>
  <c r="J249" i="42"/>
  <c r="K249" i="42" s="1"/>
  <c r="I249" i="42"/>
  <c r="M249" i="42" s="1"/>
  <c r="M248" i="42"/>
  <c r="J248" i="42"/>
  <c r="K248" i="42" s="1"/>
  <c r="I248" i="42"/>
  <c r="J247" i="42"/>
  <c r="K247" i="42" s="1"/>
  <c r="I247" i="42"/>
  <c r="M247" i="42" s="1"/>
  <c r="M246" i="42"/>
  <c r="J246" i="42"/>
  <c r="K246" i="42" s="1"/>
  <c r="I246" i="42"/>
  <c r="J245" i="42"/>
  <c r="K245" i="42" s="1"/>
  <c r="I245" i="42"/>
  <c r="M245" i="42" s="1"/>
  <c r="M244" i="42"/>
  <c r="J244" i="42"/>
  <c r="K244" i="42" s="1"/>
  <c r="I244" i="42"/>
  <c r="J243" i="42"/>
  <c r="K243" i="42" s="1"/>
  <c r="I243" i="42"/>
  <c r="M243" i="42" s="1"/>
  <c r="J242" i="42"/>
  <c r="K242" i="42" s="1"/>
  <c r="I242" i="42"/>
  <c r="M242" i="42" s="1"/>
  <c r="J241" i="42"/>
  <c r="K241" i="42" s="1"/>
  <c r="I241" i="42"/>
  <c r="M241" i="42" s="1"/>
  <c r="M240" i="42"/>
  <c r="J240" i="42"/>
  <c r="K240" i="42" s="1"/>
  <c r="I240" i="42"/>
  <c r="J239" i="42"/>
  <c r="K239" i="42" s="1"/>
  <c r="I239" i="42"/>
  <c r="M239" i="42" s="1"/>
  <c r="M238" i="42"/>
  <c r="J238" i="42"/>
  <c r="K238" i="42" s="1"/>
  <c r="I238" i="42"/>
  <c r="J237" i="42"/>
  <c r="K237" i="42" s="1"/>
  <c r="I237" i="42"/>
  <c r="M237" i="42" s="1"/>
  <c r="M236" i="42"/>
  <c r="J236" i="42"/>
  <c r="K236" i="42" s="1"/>
  <c r="I236" i="42"/>
  <c r="J235" i="42"/>
  <c r="K235" i="42" s="1"/>
  <c r="I235" i="42"/>
  <c r="M235" i="42" s="1"/>
  <c r="J234" i="42"/>
  <c r="K234" i="42" s="1"/>
  <c r="I234" i="42"/>
  <c r="M234" i="42" s="1"/>
  <c r="J233" i="42"/>
  <c r="K233" i="42" s="1"/>
  <c r="I233" i="42"/>
  <c r="M233" i="42" s="1"/>
  <c r="M232" i="42"/>
  <c r="J232" i="42"/>
  <c r="K232" i="42" s="1"/>
  <c r="I232" i="42"/>
  <c r="J231" i="42"/>
  <c r="K231" i="42" s="1"/>
  <c r="I231" i="42"/>
  <c r="M231" i="42" s="1"/>
  <c r="M230" i="42"/>
  <c r="J230" i="42"/>
  <c r="K230" i="42" s="1"/>
  <c r="I230" i="42"/>
  <c r="J229" i="42"/>
  <c r="K229" i="42" s="1"/>
  <c r="I229" i="42"/>
  <c r="M229" i="42" s="1"/>
  <c r="M228" i="42"/>
  <c r="J228" i="42"/>
  <c r="K228" i="42" s="1"/>
  <c r="I228" i="42"/>
  <c r="J227" i="42"/>
  <c r="K227" i="42" s="1"/>
  <c r="I227" i="42"/>
  <c r="M227" i="42" s="1"/>
  <c r="J226" i="42"/>
  <c r="K226" i="42" s="1"/>
  <c r="I226" i="42"/>
  <c r="M226" i="42" s="1"/>
  <c r="J225" i="42"/>
  <c r="K225" i="42" s="1"/>
  <c r="I225" i="42"/>
  <c r="M225" i="42" s="1"/>
  <c r="M224" i="42"/>
  <c r="J224" i="42"/>
  <c r="K224" i="42" s="1"/>
  <c r="I224" i="42"/>
  <c r="J223" i="42"/>
  <c r="K223" i="42" s="1"/>
  <c r="I223" i="42"/>
  <c r="M223" i="42" s="1"/>
  <c r="M222" i="42"/>
  <c r="J222" i="42"/>
  <c r="K222" i="42" s="1"/>
  <c r="I222" i="42"/>
  <c r="J221" i="42"/>
  <c r="K221" i="42" s="1"/>
  <c r="I221" i="42"/>
  <c r="M221" i="42" s="1"/>
  <c r="M220" i="42"/>
  <c r="J220" i="42"/>
  <c r="K220" i="42" s="1"/>
  <c r="I220" i="42"/>
  <c r="J219" i="42"/>
  <c r="K219" i="42" s="1"/>
  <c r="I219" i="42"/>
  <c r="M219" i="42" s="1"/>
  <c r="J218" i="42"/>
  <c r="K218" i="42" s="1"/>
  <c r="I218" i="42"/>
  <c r="M218" i="42" s="1"/>
  <c r="J217" i="42"/>
  <c r="K217" i="42" s="1"/>
  <c r="I217" i="42"/>
  <c r="M217" i="42" s="1"/>
  <c r="M216" i="42"/>
  <c r="J216" i="42"/>
  <c r="K216" i="42" s="1"/>
  <c r="I216" i="42"/>
  <c r="J215" i="42"/>
  <c r="K215" i="42" s="1"/>
  <c r="I215" i="42"/>
  <c r="M215" i="42" s="1"/>
  <c r="M214" i="42"/>
  <c r="J214" i="42"/>
  <c r="K214" i="42" s="1"/>
  <c r="I214" i="42"/>
  <c r="J213" i="42"/>
  <c r="K213" i="42" s="1"/>
  <c r="I213" i="42"/>
  <c r="M213" i="42" s="1"/>
  <c r="M212" i="42"/>
  <c r="J212" i="42"/>
  <c r="K212" i="42" s="1"/>
  <c r="I212" i="42"/>
  <c r="J211" i="42"/>
  <c r="K211" i="42" s="1"/>
  <c r="I211" i="42"/>
  <c r="M211" i="42" s="1"/>
  <c r="J210" i="42"/>
  <c r="K210" i="42" s="1"/>
  <c r="I210" i="42"/>
  <c r="M210" i="42" s="1"/>
  <c r="J209" i="42"/>
  <c r="K209" i="42" s="1"/>
  <c r="I209" i="42"/>
  <c r="M209" i="42" s="1"/>
  <c r="M208" i="42"/>
  <c r="J208" i="42"/>
  <c r="K208" i="42" s="1"/>
  <c r="I208" i="42"/>
  <c r="J207" i="42"/>
  <c r="K207" i="42" s="1"/>
  <c r="I207" i="42"/>
  <c r="M207" i="42" s="1"/>
  <c r="M206" i="42"/>
  <c r="J206" i="42"/>
  <c r="K206" i="42" s="1"/>
  <c r="I206" i="42"/>
  <c r="J205" i="42"/>
  <c r="K205" i="42" s="1"/>
  <c r="I205" i="42"/>
  <c r="M205" i="42" s="1"/>
  <c r="M204" i="42"/>
  <c r="J204" i="42"/>
  <c r="K204" i="42" s="1"/>
  <c r="I204" i="42"/>
  <c r="J203" i="42"/>
  <c r="K203" i="42" s="1"/>
  <c r="I203" i="42"/>
  <c r="M203" i="42" s="1"/>
  <c r="J202" i="42"/>
  <c r="K202" i="42" s="1"/>
  <c r="I202" i="42"/>
  <c r="M202" i="42" s="1"/>
  <c r="J201" i="42"/>
  <c r="K201" i="42" s="1"/>
  <c r="I201" i="42"/>
  <c r="M201" i="42" s="1"/>
  <c r="M200" i="42"/>
  <c r="J200" i="42"/>
  <c r="K200" i="42" s="1"/>
  <c r="I200" i="42"/>
  <c r="J199" i="42"/>
  <c r="K199" i="42" s="1"/>
  <c r="I199" i="42"/>
  <c r="M199" i="42" s="1"/>
  <c r="M198" i="42"/>
  <c r="J198" i="42"/>
  <c r="K198" i="42" s="1"/>
  <c r="I198" i="42"/>
  <c r="J197" i="42"/>
  <c r="K197" i="42" s="1"/>
  <c r="I197" i="42"/>
  <c r="M197" i="42" s="1"/>
  <c r="M196" i="42"/>
  <c r="J196" i="42"/>
  <c r="K196" i="42" s="1"/>
  <c r="I196" i="42"/>
  <c r="J195" i="42"/>
  <c r="K195" i="42" s="1"/>
  <c r="I195" i="42"/>
  <c r="M195" i="42" s="1"/>
  <c r="J194" i="42"/>
  <c r="K194" i="42" s="1"/>
  <c r="I194" i="42"/>
  <c r="M194" i="42" s="1"/>
  <c r="J193" i="42"/>
  <c r="K193" i="42" s="1"/>
  <c r="I193" i="42"/>
  <c r="M193" i="42" s="1"/>
  <c r="M192" i="42"/>
  <c r="J192" i="42"/>
  <c r="K192" i="42" s="1"/>
  <c r="I192" i="42"/>
  <c r="J191" i="42"/>
  <c r="K191" i="42" s="1"/>
  <c r="I191" i="42"/>
  <c r="M191" i="42" s="1"/>
  <c r="M190" i="42"/>
  <c r="J190" i="42"/>
  <c r="K190" i="42" s="1"/>
  <c r="I190" i="42"/>
  <c r="J189" i="42"/>
  <c r="K189" i="42" s="1"/>
  <c r="I189" i="42"/>
  <c r="M189" i="42" s="1"/>
  <c r="M188" i="42"/>
  <c r="J188" i="42"/>
  <c r="K188" i="42" s="1"/>
  <c r="I188" i="42"/>
  <c r="J187" i="42"/>
  <c r="K187" i="42" s="1"/>
  <c r="I187" i="42"/>
  <c r="M187" i="42" s="1"/>
  <c r="J186" i="42"/>
  <c r="K186" i="42" s="1"/>
  <c r="I186" i="42"/>
  <c r="M186" i="42" s="1"/>
  <c r="J185" i="42"/>
  <c r="K185" i="42" s="1"/>
  <c r="I185" i="42"/>
  <c r="M185" i="42" s="1"/>
  <c r="M184" i="42"/>
  <c r="J184" i="42"/>
  <c r="K184" i="42" s="1"/>
  <c r="I184" i="42"/>
  <c r="J183" i="42"/>
  <c r="K183" i="42" s="1"/>
  <c r="I183" i="42"/>
  <c r="M183" i="42" s="1"/>
  <c r="M182" i="42"/>
  <c r="J182" i="42"/>
  <c r="K182" i="42" s="1"/>
  <c r="I182" i="42"/>
  <c r="J181" i="42"/>
  <c r="K181" i="42" s="1"/>
  <c r="I181" i="42"/>
  <c r="M181" i="42" s="1"/>
  <c r="M180" i="42"/>
  <c r="J180" i="42"/>
  <c r="K180" i="42" s="1"/>
  <c r="I180" i="42"/>
  <c r="J179" i="42"/>
  <c r="K179" i="42" s="1"/>
  <c r="I179" i="42"/>
  <c r="M179" i="42" s="1"/>
  <c r="J178" i="42"/>
  <c r="K178" i="42" s="1"/>
  <c r="I178" i="42"/>
  <c r="M178" i="42" s="1"/>
  <c r="J177" i="42"/>
  <c r="K177" i="42" s="1"/>
  <c r="I177" i="42"/>
  <c r="M177" i="42" s="1"/>
  <c r="M176" i="42"/>
  <c r="J176" i="42"/>
  <c r="K176" i="42" s="1"/>
  <c r="I176" i="42"/>
  <c r="J175" i="42"/>
  <c r="K175" i="42" s="1"/>
  <c r="I175" i="42"/>
  <c r="M175" i="42" s="1"/>
  <c r="M174" i="42"/>
  <c r="J174" i="42"/>
  <c r="K174" i="42" s="1"/>
  <c r="I174" i="42"/>
  <c r="J173" i="42"/>
  <c r="K173" i="42" s="1"/>
  <c r="I173" i="42"/>
  <c r="M173" i="42" s="1"/>
  <c r="M172" i="42"/>
  <c r="J172" i="42"/>
  <c r="K172" i="42" s="1"/>
  <c r="I172" i="42"/>
  <c r="J171" i="42"/>
  <c r="K171" i="42" s="1"/>
  <c r="I171" i="42"/>
  <c r="M171" i="42" s="1"/>
  <c r="J170" i="42"/>
  <c r="K170" i="42" s="1"/>
  <c r="I170" i="42"/>
  <c r="M170" i="42" s="1"/>
  <c r="J169" i="42"/>
  <c r="K169" i="42" s="1"/>
  <c r="I169" i="42"/>
  <c r="M169" i="42" s="1"/>
  <c r="M168" i="42"/>
  <c r="J168" i="42"/>
  <c r="K168" i="42" s="1"/>
  <c r="I168" i="42"/>
  <c r="J167" i="42"/>
  <c r="K167" i="42" s="1"/>
  <c r="I167" i="42"/>
  <c r="M167" i="42" s="1"/>
  <c r="M166" i="42"/>
  <c r="J166" i="42"/>
  <c r="K166" i="42" s="1"/>
  <c r="I166" i="42"/>
  <c r="J165" i="42"/>
  <c r="K165" i="42" s="1"/>
  <c r="I165" i="42"/>
  <c r="M165" i="42" s="1"/>
  <c r="M164" i="42"/>
  <c r="J164" i="42"/>
  <c r="K164" i="42" s="1"/>
  <c r="I164" i="42"/>
  <c r="J163" i="42"/>
  <c r="K163" i="42" s="1"/>
  <c r="I163" i="42"/>
  <c r="M163" i="42" s="1"/>
  <c r="J162" i="42"/>
  <c r="K162" i="42" s="1"/>
  <c r="I162" i="42"/>
  <c r="M162" i="42" s="1"/>
  <c r="J161" i="42"/>
  <c r="K161" i="42" s="1"/>
  <c r="I161" i="42"/>
  <c r="M161" i="42" s="1"/>
  <c r="M160" i="42"/>
  <c r="J160" i="42"/>
  <c r="K160" i="42" s="1"/>
  <c r="I160" i="42"/>
  <c r="J159" i="42"/>
  <c r="K159" i="42" s="1"/>
  <c r="I159" i="42"/>
  <c r="M159" i="42" s="1"/>
  <c r="M158" i="42"/>
  <c r="J158" i="42"/>
  <c r="K158" i="42" s="1"/>
  <c r="I158" i="42"/>
  <c r="J157" i="42"/>
  <c r="K157" i="42" s="1"/>
  <c r="I157" i="42"/>
  <c r="M157" i="42" s="1"/>
  <c r="M156" i="42"/>
  <c r="J156" i="42"/>
  <c r="K156" i="42" s="1"/>
  <c r="I156" i="42"/>
  <c r="J155" i="42"/>
  <c r="K155" i="42" s="1"/>
  <c r="I155" i="42"/>
  <c r="M155" i="42" s="1"/>
  <c r="M154" i="42"/>
  <c r="J154" i="42"/>
  <c r="K154" i="42" s="1"/>
  <c r="I154" i="42"/>
  <c r="J153" i="42"/>
  <c r="K153" i="42" s="1"/>
  <c r="I153" i="42"/>
  <c r="M153" i="42" s="1"/>
  <c r="M152" i="42"/>
  <c r="J152" i="42"/>
  <c r="K152" i="42" s="1"/>
  <c r="I152" i="42"/>
  <c r="J151" i="42"/>
  <c r="K151" i="42" s="1"/>
  <c r="I151" i="42"/>
  <c r="M151" i="42" s="1"/>
  <c r="M150" i="42"/>
  <c r="J150" i="42"/>
  <c r="K150" i="42" s="1"/>
  <c r="I150" i="42"/>
  <c r="J149" i="42"/>
  <c r="K149" i="42" s="1"/>
  <c r="I149" i="42"/>
  <c r="M149" i="42" s="1"/>
  <c r="M148" i="42"/>
  <c r="K148" i="42"/>
  <c r="J148" i="42"/>
  <c r="I148" i="42"/>
  <c r="J147" i="42"/>
  <c r="K147" i="42" s="1"/>
  <c r="I147" i="42"/>
  <c r="M147" i="42" s="1"/>
  <c r="J146" i="42"/>
  <c r="K146" i="42" s="1"/>
  <c r="I146" i="42"/>
  <c r="M146" i="42" s="1"/>
  <c r="J145" i="42"/>
  <c r="K145" i="42" s="1"/>
  <c r="I145" i="42"/>
  <c r="M145" i="42" s="1"/>
  <c r="M144" i="42"/>
  <c r="J144" i="42"/>
  <c r="K144" i="42" s="1"/>
  <c r="I144" i="42"/>
  <c r="J143" i="42"/>
  <c r="K143" i="42" s="1"/>
  <c r="I143" i="42"/>
  <c r="M143" i="42" s="1"/>
  <c r="M142" i="42"/>
  <c r="J142" i="42"/>
  <c r="K142" i="42" s="1"/>
  <c r="I142" i="42"/>
  <c r="J141" i="42"/>
  <c r="K141" i="42" s="1"/>
  <c r="I141" i="42"/>
  <c r="M141" i="42" s="1"/>
  <c r="M140" i="42"/>
  <c r="A140" i="42" s="1"/>
  <c r="J140" i="42"/>
  <c r="K140" i="42" s="1"/>
  <c r="I140" i="42"/>
  <c r="B140" i="42"/>
  <c r="K139" i="42"/>
  <c r="J139" i="42"/>
  <c r="I139" i="42"/>
  <c r="M139" i="42" s="1"/>
  <c r="B139" i="42"/>
  <c r="A139" i="42"/>
  <c r="J138" i="42"/>
  <c r="K138" i="42" s="1"/>
  <c r="I138" i="42"/>
  <c r="M138" i="42" s="1"/>
  <c r="A138" i="42" s="1"/>
  <c r="B138" i="42"/>
  <c r="M137" i="42"/>
  <c r="A137" i="42" s="1"/>
  <c r="K137" i="42"/>
  <c r="J137" i="42"/>
  <c r="I137" i="42"/>
  <c r="B137" i="42"/>
  <c r="J136" i="42"/>
  <c r="K136" i="42" s="1"/>
  <c r="I136" i="42"/>
  <c r="M136" i="42" s="1"/>
  <c r="A136" i="42" s="1"/>
  <c r="B136" i="42"/>
  <c r="M135" i="42"/>
  <c r="J135" i="42"/>
  <c r="K135" i="42" s="1"/>
  <c r="I135" i="42"/>
  <c r="B135" i="42"/>
  <c r="A135" i="42"/>
  <c r="M134" i="42"/>
  <c r="A134" i="42" s="1"/>
  <c r="J134" i="42"/>
  <c r="K134" i="42" s="1"/>
  <c r="I134" i="42"/>
  <c r="B134" i="42"/>
  <c r="M133" i="42"/>
  <c r="A133" i="42" s="1"/>
  <c r="J133" i="42"/>
  <c r="K133" i="42" s="1"/>
  <c r="I133" i="42"/>
  <c r="B133" i="42"/>
  <c r="M132" i="42"/>
  <c r="A132" i="42" s="1"/>
  <c r="J132" i="42"/>
  <c r="K132" i="42" s="1"/>
  <c r="I132" i="42"/>
  <c r="B132" i="42"/>
  <c r="M131" i="42"/>
  <c r="J131" i="42"/>
  <c r="K131" i="42" s="1"/>
  <c r="I131" i="42"/>
  <c r="B131" i="42"/>
  <c r="A131" i="42"/>
  <c r="M130" i="42"/>
  <c r="A130" i="42" s="1"/>
  <c r="J130" i="42"/>
  <c r="K130" i="42" s="1"/>
  <c r="I130" i="42"/>
  <c r="B130" i="42"/>
  <c r="M129" i="42"/>
  <c r="A129" i="42" s="1"/>
  <c r="J129" i="42"/>
  <c r="K129" i="42" s="1"/>
  <c r="I129" i="42"/>
  <c r="B129" i="42"/>
  <c r="J128" i="42"/>
  <c r="K128" i="42" s="1"/>
  <c r="I128" i="42"/>
  <c r="M128" i="42" s="1"/>
  <c r="A128" i="42" s="1"/>
  <c r="B128" i="42"/>
  <c r="M127" i="42"/>
  <c r="A127" i="42" s="1"/>
  <c r="J127" i="42"/>
  <c r="K127" i="42" s="1"/>
  <c r="I127" i="42"/>
  <c r="B127" i="42"/>
  <c r="M126" i="42"/>
  <c r="A126" i="42" s="1"/>
  <c r="J126" i="42"/>
  <c r="K126" i="42" s="1"/>
  <c r="I126" i="42"/>
  <c r="B126" i="42"/>
  <c r="M125" i="42"/>
  <c r="A125" i="42" s="1"/>
  <c r="K125" i="42"/>
  <c r="J125" i="42"/>
  <c r="I125" i="42"/>
  <c r="B125" i="42"/>
  <c r="J124" i="42"/>
  <c r="K124" i="42" s="1"/>
  <c r="I124" i="42"/>
  <c r="M124" i="42" s="1"/>
  <c r="A124" i="42" s="1"/>
  <c r="B124" i="42"/>
  <c r="M123" i="42"/>
  <c r="A123" i="42" s="1"/>
  <c r="J123" i="42"/>
  <c r="K123" i="42" s="1"/>
  <c r="I123" i="42"/>
  <c r="B123" i="42"/>
  <c r="M122" i="42"/>
  <c r="A122" i="42" s="1"/>
  <c r="J122" i="42"/>
  <c r="K122" i="42" s="1"/>
  <c r="I122" i="42"/>
  <c r="B122" i="42"/>
  <c r="M121" i="42"/>
  <c r="A121" i="42" s="1"/>
  <c r="K121" i="42"/>
  <c r="J121" i="42"/>
  <c r="I121" i="42"/>
  <c r="B121" i="42"/>
  <c r="J120" i="42"/>
  <c r="K120" i="42" s="1"/>
  <c r="I120" i="42"/>
  <c r="M120" i="42" s="1"/>
  <c r="A120" i="42" s="1"/>
  <c r="B120" i="42"/>
  <c r="M119" i="42"/>
  <c r="J119" i="42"/>
  <c r="K119" i="42" s="1"/>
  <c r="I119" i="42"/>
  <c r="B119" i="42"/>
  <c r="A119" i="42"/>
  <c r="M118" i="42"/>
  <c r="A118" i="42" s="1"/>
  <c r="J118" i="42"/>
  <c r="K118" i="42" s="1"/>
  <c r="I118" i="42"/>
  <c r="B118" i="42"/>
  <c r="M117" i="42"/>
  <c r="A117" i="42" s="1"/>
  <c r="J117" i="42"/>
  <c r="K117" i="42" s="1"/>
  <c r="I117" i="42"/>
  <c r="B117" i="42"/>
  <c r="M116" i="42"/>
  <c r="A116" i="42" s="1"/>
  <c r="J116" i="42"/>
  <c r="K116" i="42" s="1"/>
  <c r="I116" i="42"/>
  <c r="B116" i="42"/>
  <c r="M115" i="42"/>
  <c r="J115" i="42"/>
  <c r="K115" i="42" s="1"/>
  <c r="I115" i="42"/>
  <c r="B115" i="42"/>
  <c r="A115" i="42"/>
  <c r="M114" i="42"/>
  <c r="A114" i="42" s="1"/>
  <c r="J114" i="42"/>
  <c r="K114" i="42" s="1"/>
  <c r="I114" i="42"/>
  <c r="B114" i="42"/>
  <c r="M113" i="42"/>
  <c r="A113" i="42" s="1"/>
  <c r="J113" i="42"/>
  <c r="K113" i="42" s="1"/>
  <c r="I113" i="42"/>
  <c r="B113" i="42"/>
  <c r="J112" i="42"/>
  <c r="K112" i="42" s="1"/>
  <c r="I112" i="42"/>
  <c r="M112" i="42" s="1"/>
  <c r="A112" i="42" s="1"/>
  <c r="B112" i="42"/>
  <c r="M111" i="42"/>
  <c r="A111" i="42" s="1"/>
  <c r="J111" i="42"/>
  <c r="K111" i="42" s="1"/>
  <c r="I111" i="42"/>
  <c r="B111" i="42"/>
  <c r="M110" i="42"/>
  <c r="A110" i="42" s="1"/>
  <c r="J110" i="42"/>
  <c r="K110" i="42" s="1"/>
  <c r="I110" i="42"/>
  <c r="B110" i="42"/>
  <c r="M109" i="42"/>
  <c r="A109" i="42" s="1"/>
  <c r="K109" i="42"/>
  <c r="J109" i="42"/>
  <c r="I109" i="42"/>
  <c r="B109" i="42"/>
  <c r="J108" i="42"/>
  <c r="K108" i="42" s="1"/>
  <c r="I108" i="42"/>
  <c r="M108" i="42" s="1"/>
  <c r="A108" i="42" s="1"/>
  <c r="B108" i="42"/>
  <c r="M107" i="42"/>
  <c r="A107" i="42" s="1"/>
  <c r="J107" i="42"/>
  <c r="K107" i="42" s="1"/>
  <c r="I107" i="42"/>
  <c r="B107" i="42"/>
  <c r="M106" i="42"/>
  <c r="A106" i="42" s="1"/>
  <c r="J106" i="42"/>
  <c r="K106" i="42" s="1"/>
  <c r="I106" i="42"/>
  <c r="B106" i="42"/>
  <c r="M105" i="42"/>
  <c r="A105" i="42" s="1"/>
  <c r="J105" i="42"/>
  <c r="K105" i="42" s="1"/>
  <c r="I105" i="42"/>
  <c r="B105" i="42"/>
  <c r="J104" i="42"/>
  <c r="K104" i="42" s="1"/>
  <c r="I104" i="42"/>
  <c r="M104" i="42" s="1"/>
  <c r="A104" i="42" s="1"/>
  <c r="B104" i="42"/>
  <c r="M103" i="42"/>
  <c r="J103" i="42"/>
  <c r="K103" i="42" s="1"/>
  <c r="I103" i="42"/>
  <c r="B103" i="42"/>
  <c r="A103" i="42"/>
  <c r="M102" i="42"/>
  <c r="A102" i="42" s="1"/>
  <c r="J102" i="42"/>
  <c r="K102" i="42" s="1"/>
  <c r="I102" i="42"/>
  <c r="B102" i="42"/>
  <c r="M101" i="42"/>
  <c r="A101" i="42" s="1"/>
  <c r="J101" i="42"/>
  <c r="K101" i="42" s="1"/>
  <c r="I101" i="42"/>
  <c r="B101" i="42"/>
  <c r="M100" i="42"/>
  <c r="A100" i="42" s="1"/>
  <c r="J100" i="42"/>
  <c r="K100" i="42" s="1"/>
  <c r="I100" i="42"/>
  <c r="B100" i="42"/>
  <c r="M99" i="42"/>
  <c r="J99" i="42"/>
  <c r="K99" i="42" s="1"/>
  <c r="I99" i="42"/>
  <c r="B99" i="42"/>
  <c r="A99" i="42"/>
  <c r="M98" i="42"/>
  <c r="A98" i="42" s="1"/>
  <c r="J98" i="42"/>
  <c r="K98" i="42" s="1"/>
  <c r="I98" i="42"/>
  <c r="B98" i="42"/>
  <c r="M97" i="42"/>
  <c r="A97" i="42" s="1"/>
  <c r="J97" i="42"/>
  <c r="K97" i="42" s="1"/>
  <c r="I97" i="42"/>
  <c r="B97" i="42"/>
  <c r="J96" i="42"/>
  <c r="K96" i="42" s="1"/>
  <c r="I96" i="42"/>
  <c r="M96" i="42" s="1"/>
  <c r="A96" i="42" s="1"/>
  <c r="B96" i="42"/>
  <c r="M95" i="42"/>
  <c r="A95" i="42" s="1"/>
  <c r="J95" i="42"/>
  <c r="K95" i="42" s="1"/>
  <c r="I95" i="42"/>
  <c r="B95" i="42"/>
  <c r="M94" i="42"/>
  <c r="A94" i="42" s="1"/>
  <c r="J94" i="42"/>
  <c r="K94" i="42" s="1"/>
  <c r="I94" i="42"/>
  <c r="B94" i="42"/>
  <c r="M93" i="42"/>
  <c r="A93" i="42" s="1"/>
  <c r="K93" i="42"/>
  <c r="J93" i="42"/>
  <c r="I93" i="42"/>
  <c r="B93" i="42"/>
  <c r="J92" i="42"/>
  <c r="K92" i="42" s="1"/>
  <c r="I92" i="42"/>
  <c r="M92" i="42" s="1"/>
  <c r="A92" i="42" s="1"/>
  <c r="B92" i="42"/>
  <c r="M91" i="42"/>
  <c r="A91" i="42" s="1"/>
  <c r="J91" i="42"/>
  <c r="K91" i="42" s="1"/>
  <c r="I91" i="42"/>
  <c r="B91" i="42"/>
  <c r="M90" i="42"/>
  <c r="A90" i="42" s="1"/>
  <c r="J90" i="42"/>
  <c r="K90" i="42" s="1"/>
  <c r="I90" i="42"/>
  <c r="B90" i="42"/>
  <c r="M89" i="42"/>
  <c r="A89" i="42" s="1"/>
  <c r="J89" i="42"/>
  <c r="K89" i="42" s="1"/>
  <c r="I89" i="42"/>
  <c r="B89" i="42"/>
  <c r="J88" i="42"/>
  <c r="K88" i="42" s="1"/>
  <c r="I88" i="42"/>
  <c r="M88" i="42" s="1"/>
  <c r="A88" i="42" s="1"/>
  <c r="B88" i="42"/>
  <c r="M87" i="42"/>
  <c r="J87" i="42"/>
  <c r="K87" i="42" s="1"/>
  <c r="I87" i="42"/>
  <c r="B87" i="42"/>
  <c r="A87" i="42"/>
  <c r="M86" i="42"/>
  <c r="A86" i="42" s="1"/>
  <c r="J86" i="42"/>
  <c r="K86" i="42" s="1"/>
  <c r="I86" i="42"/>
  <c r="B86" i="42"/>
  <c r="M85" i="42"/>
  <c r="A85" i="42" s="1"/>
  <c r="J85" i="42"/>
  <c r="K85" i="42" s="1"/>
  <c r="I85" i="42"/>
  <c r="B85" i="42"/>
  <c r="M84" i="42"/>
  <c r="A84" i="42" s="1"/>
  <c r="J84" i="42"/>
  <c r="K84" i="42" s="1"/>
  <c r="I84" i="42"/>
  <c r="B84" i="42"/>
  <c r="M83" i="42"/>
  <c r="J83" i="42"/>
  <c r="K83" i="42" s="1"/>
  <c r="I83" i="42"/>
  <c r="B83" i="42"/>
  <c r="A83" i="42"/>
  <c r="M82" i="42"/>
  <c r="A82" i="42" s="1"/>
  <c r="J82" i="42"/>
  <c r="K82" i="42" s="1"/>
  <c r="I82" i="42"/>
  <c r="B82" i="42"/>
  <c r="M81" i="42"/>
  <c r="A81" i="42" s="1"/>
  <c r="J81" i="42"/>
  <c r="K81" i="42" s="1"/>
  <c r="I81" i="42"/>
  <c r="B81" i="42"/>
  <c r="J80" i="42"/>
  <c r="K80" i="42" s="1"/>
  <c r="I80" i="42"/>
  <c r="M80" i="42" s="1"/>
  <c r="A80" i="42" s="1"/>
  <c r="B80" i="42"/>
  <c r="M79" i="42"/>
  <c r="A79" i="42" s="1"/>
  <c r="J79" i="42"/>
  <c r="K79" i="42" s="1"/>
  <c r="I79" i="42"/>
  <c r="B79" i="42"/>
  <c r="M78" i="42"/>
  <c r="A78" i="42" s="1"/>
  <c r="J78" i="42"/>
  <c r="K78" i="42" s="1"/>
  <c r="I78" i="42"/>
  <c r="B78" i="42"/>
  <c r="M77" i="42"/>
  <c r="A77" i="42" s="1"/>
  <c r="K77" i="42"/>
  <c r="J77" i="42"/>
  <c r="I77" i="42"/>
  <c r="B77" i="42"/>
  <c r="J76" i="42"/>
  <c r="K76" i="42" s="1"/>
  <c r="I76" i="42"/>
  <c r="M76" i="42" s="1"/>
  <c r="A76" i="42" s="1"/>
  <c r="B76" i="42"/>
  <c r="M75" i="42"/>
  <c r="A75" i="42" s="1"/>
  <c r="J75" i="42"/>
  <c r="K75" i="42" s="1"/>
  <c r="I75" i="42"/>
  <c r="B75" i="42"/>
  <c r="M74" i="42"/>
  <c r="A74" i="42" s="1"/>
  <c r="J74" i="42"/>
  <c r="K74" i="42" s="1"/>
  <c r="I74" i="42"/>
  <c r="B74" i="42"/>
  <c r="M73" i="42"/>
  <c r="A73" i="42" s="1"/>
  <c r="J73" i="42"/>
  <c r="K73" i="42" s="1"/>
  <c r="I73" i="42"/>
  <c r="B73" i="42"/>
  <c r="J72" i="42"/>
  <c r="K72" i="42" s="1"/>
  <c r="I72" i="42"/>
  <c r="M72" i="42" s="1"/>
  <c r="A72" i="42" s="1"/>
  <c r="B72" i="42"/>
  <c r="M71" i="42"/>
  <c r="J71" i="42"/>
  <c r="K71" i="42" s="1"/>
  <c r="I71" i="42"/>
  <c r="B71" i="42"/>
  <c r="A71" i="42"/>
  <c r="M70" i="42"/>
  <c r="A70" i="42" s="1"/>
  <c r="J70" i="42"/>
  <c r="K70" i="42" s="1"/>
  <c r="I70" i="42"/>
  <c r="B70" i="42"/>
  <c r="M69" i="42"/>
  <c r="A69" i="42" s="1"/>
  <c r="J69" i="42"/>
  <c r="K69" i="42" s="1"/>
  <c r="I69" i="42"/>
  <c r="B69" i="42"/>
  <c r="M68" i="42"/>
  <c r="A68" i="42" s="1"/>
  <c r="J68" i="42"/>
  <c r="K68" i="42" s="1"/>
  <c r="I68" i="42"/>
  <c r="B68" i="42"/>
  <c r="M67" i="42"/>
  <c r="J67" i="42"/>
  <c r="K67" i="42" s="1"/>
  <c r="I67" i="42"/>
  <c r="B67" i="42"/>
  <c r="A67" i="42"/>
  <c r="M66" i="42"/>
  <c r="A66" i="42" s="1"/>
  <c r="J66" i="42"/>
  <c r="K66" i="42" s="1"/>
  <c r="I66" i="42"/>
  <c r="B66" i="42"/>
  <c r="M65" i="42"/>
  <c r="A65" i="42" s="1"/>
  <c r="J65" i="42"/>
  <c r="K65" i="42" s="1"/>
  <c r="I65" i="42"/>
  <c r="B65" i="42"/>
  <c r="J64" i="42"/>
  <c r="K64" i="42" s="1"/>
  <c r="I64" i="42"/>
  <c r="M64" i="42" s="1"/>
  <c r="A64" i="42" s="1"/>
  <c r="B64" i="42"/>
  <c r="M63" i="42"/>
  <c r="A63" i="42" s="1"/>
  <c r="J63" i="42"/>
  <c r="K63" i="42" s="1"/>
  <c r="I63" i="42"/>
  <c r="B63" i="42"/>
  <c r="M62" i="42"/>
  <c r="A62" i="42" s="1"/>
  <c r="J62" i="42"/>
  <c r="K62" i="42" s="1"/>
  <c r="I62" i="42"/>
  <c r="B62" i="42"/>
  <c r="M61" i="42"/>
  <c r="A61" i="42" s="1"/>
  <c r="K61" i="42"/>
  <c r="J61" i="42"/>
  <c r="I61" i="42"/>
  <c r="B61" i="42"/>
  <c r="J60" i="42"/>
  <c r="K60" i="42" s="1"/>
  <c r="I60" i="42"/>
  <c r="M60" i="42" s="1"/>
  <c r="A60" i="42" s="1"/>
  <c r="B60" i="42"/>
  <c r="M59" i="42"/>
  <c r="A59" i="42" s="1"/>
  <c r="J59" i="42"/>
  <c r="K59" i="42" s="1"/>
  <c r="I59" i="42"/>
  <c r="B59" i="42"/>
  <c r="M58" i="42"/>
  <c r="A58" i="42" s="1"/>
  <c r="J58" i="42"/>
  <c r="K58" i="42" s="1"/>
  <c r="I58" i="42"/>
  <c r="B58" i="42"/>
  <c r="M57" i="42"/>
  <c r="A57" i="42" s="1"/>
  <c r="J57" i="42"/>
  <c r="K57" i="42" s="1"/>
  <c r="I57" i="42"/>
  <c r="B57" i="42"/>
  <c r="J56" i="42"/>
  <c r="K56" i="42" s="1"/>
  <c r="I56" i="42"/>
  <c r="M56" i="42" s="1"/>
  <c r="A56" i="42" s="1"/>
  <c r="B56" i="42"/>
  <c r="M55" i="42"/>
  <c r="J55" i="42"/>
  <c r="K55" i="42" s="1"/>
  <c r="I55" i="42"/>
  <c r="B55" i="42"/>
  <c r="A55" i="42"/>
  <c r="M54" i="42"/>
  <c r="A54" i="42" s="1"/>
  <c r="J54" i="42"/>
  <c r="K54" i="42" s="1"/>
  <c r="I54" i="42"/>
  <c r="B54" i="42"/>
  <c r="M53" i="42"/>
  <c r="A53" i="42" s="1"/>
  <c r="J53" i="42"/>
  <c r="K53" i="42" s="1"/>
  <c r="I53" i="42"/>
  <c r="B53" i="42"/>
  <c r="M52" i="42"/>
  <c r="A52" i="42" s="1"/>
  <c r="J52" i="42"/>
  <c r="K52" i="42" s="1"/>
  <c r="I52" i="42"/>
  <c r="B52" i="42"/>
  <c r="M51" i="42"/>
  <c r="J51" i="42"/>
  <c r="K51" i="42" s="1"/>
  <c r="I51" i="42"/>
  <c r="B51" i="42"/>
  <c r="A51" i="42"/>
  <c r="M50" i="42"/>
  <c r="A50" i="42" s="1"/>
  <c r="J50" i="42"/>
  <c r="K50" i="42" s="1"/>
  <c r="I50" i="42"/>
  <c r="B50" i="42"/>
  <c r="M49" i="42"/>
  <c r="A49" i="42" s="1"/>
  <c r="J49" i="42"/>
  <c r="K49" i="42" s="1"/>
  <c r="I49" i="42"/>
  <c r="B49" i="42"/>
  <c r="J48" i="42"/>
  <c r="K48" i="42" s="1"/>
  <c r="I48" i="42"/>
  <c r="M48" i="42" s="1"/>
  <c r="A48" i="42" s="1"/>
  <c r="B48" i="42"/>
  <c r="M47" i="42"/>
  <c r="A47" i="42" s="1"/>
  <c r="J47" i="42"/>
  <c r="K47" i="42" s="1"/>
  <c r="I47" i="42"/>
  <c r="B47" i="42"/>
  <c r="M46" i="42"/>
  <c r="A46" i="42" s="1"/>
  <c r="J46" i="42"/>
  <c r="K46" i="42" s="1"/>
  <c r="I46" i="42"/>
  <c r="B46" i="42"/>
  <c r="M45" i="42"/>
  <c r="A45" i="42" s="1"/>
  <c r="K45" i="42"/>
  <c r="J45" i="42"/>
  <c r="I45" i="42"/>
  <c r="B45" i="42"/>
  <c r="J44" i="42"/>
  <c r="K44" i="42" s="1"/>
  <c r="I44" i="42"/>
  <c r="M44" i="42" s="1"/>
  <c r="A44" i="42" s="1"/>
  <c r="B44" i="42"/>
  <c r="M43" i="42"/>
  <c r="A43" i="42" s="1"/>
  <c r="J43" i="42"/>
  <c r="K43" i="42" s="1"/>
  <c r="I43" i="42"/>
  <c r="B43" i="42"/>
  <c r="M42" i="42"/>
  <c r="A42" i="42" s="1"/>
  <c r="J42" i="42"/>
  <c r="K42" i="42" s="1"/>
  <c r="I42" i="42"/>
  <c r="B42" i="42"/>
  <c r="M41" i="42"/>
  <c r="A41" i="42" s="1"/>
  <c r="J41" i="42"/>
  <c r="K41" i="42" s="1"/>
  <c r="I41" i="42"/>
  <c r="B41" i="42"/>
  <c r="J40" i="42"/>
  <c r="K40" i="42" s="1"/>
  <c r="I40" i="42"/>
  <c r="M40" i="42" s="1"/>
  <c r="A40" i="42" s="1"/>
  <c r="B40" i="42"/>
  <c r="M39" i="42"/>
  <c r="J39" i="42"/>
  <c r="K39" i="42" s="1"/>
  <c r="I39" i="42"/>
  <c r="B39" i="42"/>
  <c r="A39" i="42"/>
  <c r="M38" i="42"/>
  <c r="A38" i="42" s="1"/>
  <c r="J38" i="42"/>
  <c r="K38" i="42" s="1"/>
  <c r="I38" i="42"/>
  <c r="B38" i="42"/>
  <c r="M37" i="42"/>
  <c r="A37" i="42" s="1"/>
  <c r="J37" i="42"/>
  <c r="K37" i="42" s="1"/>
  <c r="I37" i="42"/>
  <c r="B37" i="42"/>
  <c r="M36" i="42"/>
  <c r="A36" i="42" s="1"/>
  <c r="J36" i="42"/>
  <c r="K36" i="42" s="1"/>
  <c r="I36" i="42"/>
  <c r="B36" i="42"/>
  <c r="M35" i="42"/>
  <c r="J35" i="42"/>
  <c r="K35" i="42" s="1"/>
  <c r="I35" i="42"/>
  <c r="B35" i="42"/>
  <c r="A35" i="42"/>
  <c r="M34" i="42"/>
  <c r="A34" i="42" s="1"/>
  <c r="J34" i="42"/>
  <c r="K34" i="42" s="1"/>
  <c r="I34" i="42"/>
  <c r="B34" i="42"/>
  <c r="M33" i="42"/>
  <c r="A33" i="42" s="1"/>
  <c r="J33" i="42"/>
  <c r="K33" i="42" s="1"/>
  <c r="I33" i="42"/>
  <c r="B33" i="42"/>
  <c r="J32" i="42"/>
  <c r="K32" i="42" s="1"/>
  <c r="I32" i="42"/>
  <c r="M32" i="42" s="1"/>
  <c r="A32" i="42" s="1"/>
  <c r="B32" i="42"/>
  <c r="M31" i="42"/>
  <c r="A31" i="42" s="1"/>
  <c r="J31" i="42"/>
  <c r="K31" i="42" s="1"/>
  <c r="I31" i="42"/>
  <c r="B31" i="42"/>
  <c r="M30" i="42"/>
  <c r="A30" i="42" s="1"/>
  <c r="J30" i="42"/>
  <c r="K30" i="42" s="1"/>
  <c r="I30" i="42"/>
  <c r="B30" i="42"/>
  <c r="M29" i="42"/>
  <c r="A29" i="42" s="1"/>
  <c r="K29" i="42"/>
  <c r="J29" i="42"/>
  <c r="I29" i="42"/>
  <c r="B29" i="42"/>
  <c r="J28" i="42"/>
  <c r="K28" i="42" s="1"/>
  <c r="I28" i="42"/>
  <c r="M28" i="42" s="1"/>
  <c r="A28" i="42" s="1"/>
  <c r="B28" i="42"/>
  <c r="M27" i="42"/>
  <c r="A27" i="42" s="1"/>
  <c r="J27" i="42"/>
  <c r="K27" i="42" s="1"/>
  <c r="I27" i="42"/>
  <c r="B27" i="42"/>
  <c r="M26" i="42"/>
  <c r="A26" i="42" s="1"/>
  <c r="J26" i="42"/>
  <c r="K26" i="42" s="1"/>
  <c r="I26" i="42"/>
  <c r="B26" i="42"/>
  <c r="M25" i="42"/>
  <c r="A25" i="42" s="1"/>
  <c r="J25" i="42"/>
  <c r="K25" i="42" s="1"/>
  <c r="I25" i="42"/>
  <c r="B25" i="42"/>
  <c r="J24" i="42"/>
  <c r="K24" i="42" s="1"/>
  <c r="I24" i="42"/>
  <c r="M24" i="42" s="1"/>
  <c r="A24" i="42" s="1"/>
  <c r="B24" i="42"/>
  <c r="M23" i="42"/>
  <c r="J23" i="42"/>
  <c r="K23" i="42" s="1"/>
  <c r="I23" i="42"/>
  <c r="B23" i="42"/>
  <c r="A23" i="42"/>
  <c r="M22" i="42"/>
  <c r="A22" i="42" s="1"/>
  <c r="J22" i="42"/>
  <c r="K22" i="42" s="1"/>
  <c r="I22" i="42"/>
  <c r="B22" i="42"/>
  <c r="M21" i="42"/>
  <c r="A21" i="42" s="1"/>
  <c r="J21" i="42"/>
  <c r="K21" i="42" s="1"/>
  <c r="I21" i="42"/>
  <c r="B21" i="42"/>
  <c r="M20" i="42"/>
  <c r="A20" i="42" s="1"/>
  <c r="J20" i="42"/>
  <c r="K20" i="42" s="1"/>
  <c r="I20" i="42"/>
  <c r="B20" i="42"/>
  <c r="M19" i="42"/>
  <c r="J19" i="42"/>
  <c r="K19" i="42" s="1"/>
  <c r="I19" i="42"/>
  <c r="B19" i="42"/>
  <c r="A19" i="42"/>
  <c r="M18" i="42"/>
  <c r="A18" i="42" s="1"/>
  <c r="J18" i="42"/>
  <c r="K18" i="42" s="1"/>
  <c r="I18" i="42"/>
  <c r="B18" i="42"/>
  <c r="M17" i="42"/>
  <c r="A17" i="42" s="1"/>
  <c r="J17" i="42"/>
  <c r="K17" i="42" s="1"/>
  <c r="I17" i="42"/>
  <c r="B17" i="42"/>
  <c r="J16" i="42"/>
  <c r="K16" i="42" s="1"/>
  <c r="I16" i="42"/>
  <c r="M16" i="42" s="1"/>
  <c r="B16" i="42"/>
  <c r="A16" i="42"/>
  <c r="K15" i="42"/>
  <c r="J15" i="42"/>
  <c r="I15" i="42"/>
  <c r="M15" i="42" s="1"/>
  <c r="B15" i="42"/>
  <c r="A15" i="42"/>
  <c r="AI14" i="42"/>
  <c r="J14" i="42"/>
  <c r="K14" i="42" s="1"/>
  <c r="I14" i="42"/>
  <c r="M14" i="42" s="1"/>
  <c r="A14" i="42" s="1"/>
  <c r="B14" i="42"/>
  <c r="AI13" i="42"/>
  <c r="J13" i="42"/>
  <c r="K13" i="42" s="1"/>
  <c r="I13" i="42"/>
  <c r="M13" i="42" s="1"/>
  <c r="A13" i="42" s="1"/>
  <c r="B13" i="42"/>
  <c r="AI12" i="42"/>
  <c r="AI16" i="42" s="1"/>
  <c r="J12" i="42"/>
  <c r="K12" i="42" s="1"/>
  <c r="I12" i="42"/>
  <c r="M12" i="42" s="1"/>
  <c r="A12" i="42" s="1"/>
  <c r="B12" i="42"/>
  <c r="J11" i="42"/>
  <c r="K11" i="42" s="1"/>
  <c r="I11" i="42"/>
  <c r="M11" i="42" s="1"/>
  <c r="A11" i="42" s="1"/>
  <c r="B11" i="42"/>
  <c r="M10" i="42"/>
  <c r="A10" i="42" s="1"/>
  <c r="K10" i="42"/>
  <c r="J10" i="42"/>
  <c r="I10" i="42"/>
  <c r="B10" i="42"/>
  <c r="M9" i="42"/>
  <c r="A9" i="42" s="1"/>
  <c r="L9" i="42"/>
  <c r="J9" i="42"/>
  <c r="K9" i="42" s="1"/>
  <c r="I9" i="42"/>
  <c r="B9" i="42"/>
  <c r="L8" i="42"/>
  <c r="J8" i="42"/>
  <c r="K8" i="42" s="1"/>
  <c r="I8" i="42"/>
  <c r="M8" i="42" s="1"/>
  <c r="A8" i="42" s="1"/>
  <c r="B8" i="42"/>
  <c r="L7" i="42"/>
  <c r="J7" i="42"/>
  <c r="K7" i="42" s="1"/>
  <c r="I7" i="42"/>
  <c r="M7" i="42" s="1"/>
  <c r="A7" i="42" s="1"/>
  <c r="B7" i="42"/>
  <c r="L6" i="42"/>
  <c r="J6" i="42"/>
  <c r="K6" i="42" s="1"/>
  <c r="I6" i="42"/>
  <c r="M6" i="42" s="1"/>
  <c r="A6" i="42" s="1"/>
  <c r="B6" i="42"/>
  <c r="K2" i="42"/>
  <c r="J374" i="41"/>
  <c r="J373" i="41"/>
  <c r="J372" i="41"/>
  <c r="J371" i="41"/>
  <c r="J370" i="41"/>
  <c r="J369" i="41"/>
  <c r="J368" i="41"/>
  <c r="J367" i="41"/>
  <c r="J366" i="41"/>
  <c r="J365" i="41"/>
  <c r="J364" i="41"/>
  <c r="J363" i="41"/>
  <c r="J362" i="41"/>
  <c r="J361" i="41"/>
  <c r="J360" i="41"/>
  <c r="J359" i="41"/>
  <c r="J358" i="41"/>
  <c r="J357" i="41"/>
  <c r="J356" i="41"/>
  <c r="J355" i="41"/>
  <c r="J354" i="41"/>
  <c r="J353" i="41"/>
  <c r="J352" i="41"/>
  <c r="J351" i="41"/>
  <c r="J350" i="41"/>
  <c r="J349" i="41"/>
  <c r="J348" i="41"/>
  <c r="J347" i="41"/>
  <c r="J346" i="41"/>
  <c r="J345" i="41"/>
  <c r="J344" i="41"/>
  <c r="J343" i="41"/>
  <c r="J342" i="41"/>
  <c r="J341" i="41"/>
  <c r="J340" i="41"/>
  <c r="J339" i="41"/>
  <c r="J338" i="41"/>
  <c r="J337" i="41"/>
  <c r="J336" i="41"/>
  <c r="J335" i="41"/>
  <c r="J334" i="41"/>
  <c r="J333" i="41"/>
  <c r="J332" i="41"/>
  <c r="J331" i="41"/>
  <c r="J330" i="41"/>
  <c r="J329" i="41"/>
  <c r="J328" i="41"/>
  <c r="J327" i="41"/>
  <c r="J326" i="41"/>
  <c r="J325" i="41"/>
  <c r="J324" i="41"/>
  <c r="J323" i="41"/>
  <c r="J322" i="41"/>
  <c r="J321" i="41"/>
  <c r="J320" i="41"/>
  <c r="J319" i="41"/>
  <c r="J318" i="41"/>
  <c r="J317" i="41"/>
  <c r="J316" i="41"/>
  <c r="J315" i="41"/>
  <c r="J314" i="41"/>
  <c r="J313" i="41"/>
  <c r="J312" i="41"/>
  <c r="J311" i="41"/>
  <c r="J310" i="41"/>
  <c r="J309" i="41"/>
  <c r="J308" i="41"/>
  <c r="J307" i="41"/>
  <c r="J306" i="41"/>
  <c r="K305" i="41"/>
  <c r="J305" i="41"/>
  <c r="I305" i="41"/>
  <c r="M305" i="41" s="1"/>
  <c r="K304" i="41"/>
  <c r="J304" i="41"/>
  <c r="I304" i="41"/>
  <c r="M304" i="41" s="1"/>
  <c r="J303" i="41"/>
  <c r="K303" i="41" s="1"/>
  <c r="I303" i="41"/>
  <c r="M303" i="41" s="1"/>
  <c r="K302" i="41"/>
  <c r="J302" i="41"/>
  <c r="I302" i="41"/>
  <c r="M302" i="41" s="1"/>
  <c r="J301" i="41"/>
  <c r="K301" i="41" s="1"/>
  <c r="I301" i="41"/>
  <c r="M301" i="41" s="1"/>
  <c r="K300" i="41"/>
  <c r="J300" i="41"/>
  <c r="I300" i="41"/>
  <c r="M300" i="41" s="1"/>
  <c r="K299" i="41"/>
  <c r="J299" i="41"/>
  <c r="I299" i="41"/>
  <c r="M299" i="41" s="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J292" i="41"/>
  <c r="K292" i="41" s="1"/>
  <c r="I292" i="41"/>
  <c r="M292" i="41" s="1"/>
  <c r="J291" i="41"/>
  <c r="K291" i="41" s="1"/>
  <c r="I291" i="41"/>
  <c r="M291" i="41" s="1"/>
  <c r="J290" i="41"/>
  <c r="K290" i="41" s="1"/>
  <c r="I290" i="41"/>
  <c r="M290" i="41" s="1"/>
  <c r="J289" i="41"/>
  <c r="K289" i="41" s="1"/>
  <c r="I289" i="41"/>
  <c r="M289" i="41" s="1"/>
  <c r="J288" i="41"/>
  <c r="K288" i="41" s="1"/>
  <c r="I288" i="41"/>
  <c r="M288" i="41" s="1"/>
  <c r="K287" i="41"/>
  <c r="J287" i="41"/>
  <c r="I287" i="41"/>
  <c r="M287" i="41" s="1"/>
  <c r="J286" i="41"/>
  <c r="K286" i="41" s="1"/>
  <c r="I286" i="41"/>
  <c r="M286" i="41" s="1"/>
  <c r="K285" i="41"/>
  <c r="J285" i="41"/>
  <c r="I285" i="41"/>
  <c r="M285" i="41" s="1"/>
  <c r="J284" i="41"/>
  <c r="K284" i="41" s="1"/>
  <c r="I284" i="41"/>
  <c r="M284" i="41" s="1"/>
  <c r="K283" i="41"/>
  <c r="J283" i="41"/>
  <c r="I283" i="41"/>
  <c r="M283" i="41" s="1"/>
  <c r="J282" i="41"/>
  <c r="K282" i="41" s="1"/>
  <c r="I282" i="41"/>
  <c r="M282" i="41" s="1"/>
  <c r="J281" i="41"/>
  <c r="K281" i="41" s="1"/>
  <c r="I281" i="41"/>
  <c r="M281" i="41" s="1"/>
  <c r="J280" i="41"/>
  <c r="K280" i="41" s="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J274" i="41"/>
  <c r="K274" i="41" s="1"/>
  <c r="I274" i="41"/>
  <c r="M274" i="41" s="1"/>
  <c r="J273" i="41"/>
  <c r="K273" i="41" s="1"/>
  <c r="I273" i="41"/>
  <c r="M273" i="41" s="1"/>
  <c r="J272" i="41"/>
  <c r="K272" i="41" s="1"/>
  <c r="I272" i="41"/>
  <c r="M272" i="41" s="1"/>
  <c r="K271" i="41"/>
  <c r="J271" i="41"/>
  <c r="I271" i="41"/>
  <c r="M271" i="41" s="1"/>
  <c r="J270" i="41"/>
  <c r="K270" i="41" s="1"/>
  <c r="I270" i="41"/>
  <c r="M270" i="41" s="1"/>
  <c r="J269" i="41"/>
  <c r="K269" i="41" s="1"/>
  <c r="I269" i="41"/>
  <c r="M269" i="41" s="1"/>
  <c r="J268" i="41"/>
  <c r="K268" i="41" s="1"/>
  <c r="I268" i="41"/>
  <c r="M268" i="41" s="1"/>
  <c r="K267" i="41"/>
  <c r="J267" i="41"/>
  <c r="I267" i="41"/>
  <c r="M267" i="41" s="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J260" i="41"/>
  <c r="K260" i="41" s="1"/>
  <c r="I260" i="41"/>
  <c r="M260" i="41" s="1"/>
  <c r="J259" i="41"/>
  <c r="K259" i="41" s="1"/>
  <c r="I259" i="41"/>
  <c r="M259" i="41" s="1"/>
  <c r="J258" i="41"/>
  <c r="K258" i="41" s="1"/>
  <c r="I258" i="41"/>
  <c r="M258" i="41" s="1"/>
  <c r="J257" i="41"/>
  <c r="K257" i="41" s="1"/>
  <c r="I257" i="41"/>
  <c r="M257" i="41" s="1"/>
  <c r="J256" i="41"/>
  <c r="K256" i="41" s="1"/>
  <c r="I256" i="41"/>
  <c r="M256" i="41" s="1"/>
  <c r="K255" i="41"/>
  <c r="J255" i="4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K251" i="41"/>
  <c r="J251" i="41"/>
  <c r="I251" i="41"/>
  <c r="M251" i="41" s="1"/>
  <c r="J250" i="41"/>
  <c r="K250" i="41" s="1"/>
  <c r="I250" i="41"/>
  <c r="M250" i="41" s="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J244" i="41"/>
  <c r="K244" i="41" s="1"/>
  <c r="I244" i="41"/>
  <c r="M244" i="41" s="1"/>
  <c r="J243" i="41"/>
  <c r="K243" i="41" s="1"/>
  <c r="I243" i="41"/>
  <c r="M243" i="41" s="1"/>
  <c r="J242" i="41"/>
  <c r="K242" i="41" s="1"/>
  <c r="I242" i="41"/>
  <c r="M242" i="41" s="1"/>
  <c r="J241" i="41"/>
  <c r="K241" i="41" s="1"/>
  <c r="I241" i="41"/>
  <c r="M241" i="41" s="1"/>
  <c r="J240" i="41"/>
  <c r="K240" i="41" s="1"/>
  <c r="I240" i="41"/>
  <c r="M240" i="41" s="1"/>
  <c r="K239" i="41"/>
  <c r="J239" i="41"/>
  <c r="I239" i="41"/>
  <c r="M239" i="41" s="1"/>
  <c r="J238" i="41"/>
  <c r="K238" i="41" s="1"/>
  <c r="I238" i="41"/>
  <c r="M238" i="41" s="1"/>
  <c r="J237" i="41"/>
  <c r="K237" i="41" s="1"/>
  <c r="I237" i="41"/>
  <c r="M237" i="41" s="1"/>
  <c r="J236" i="41"/>
  <c r="K236" i="41" s="1"/>
  <c r="I236" i="41"/>
  <c r="M236" i="41" s="1"/>
  <c r="K235" i="41"/>
  <c r="J235" i="41"/>
  <c r="I235" i="41"/>
  <c r="M235" i="41" s="1"/>
  <c r="J234" i="41"/>
  <c r="K234" i="41" s="1"/>
  <c r="I234" i="41"/>
  <c r="M234" i="41" s="1"/>
  <c r="J233" i="41"/>
  <c r="K233" i="41" s="1"/>
  <c r="I233" i="41"/>
  <c r="M233" i="41" s="1"/>
  <c r="J232" i="41"/>
  <c r="K232" i="41" s="1"/>
  <c r="I232" i="41"/>
  <c r="M232" i="41" s="1"/>
  <c r="J231" i="41"/>
  <c r="K231" i="41" s="1"/>
  <c r="I231" i="41"/>
  <c r="M231" i="41" s="1"/>
  <c r="J230" i="41"/>
  <c r="K230" i="41" s="1"/>
  <c r="I230" i="41"/>
  <c r="M230" i="41" s="1"/>
  <c r="J229" i="41"/>
  <c r="K229" i="41" s="1"/>
  <c r="I229" i="41"/>
  <c r="M229" i="41" s="1"/>
  <c r="J228" i="41"/>
  <c r="K228" i="41" s="1"/>
  <c r="I228" i="41"/>
  <c r="M228" i="41" s="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K223" i="41"/>
  <c r="J223" i="41"/>
  <c r="I223" i="41"/>
  <c r="M223" i="41" s="1"/>
  <c r="J222" i="41"/>
  <c r="K222" i="41" s="1"/>
  <c r="I222" i="41"/>
  <c r="M222" i="41" s="1"/>
  <c r="J221" i="41"/>
  <c r="K221" i="41" s="1"/>
  <c r="I221" i="41"/>
  <c r="M221" i="41" s="1"/>
  <c r="J220" i="41"/>
  <c r="K220" i="41" s="1"/>
  <c r="I220" i="41"/>
  <c r="M220" i="41" s="1"/>
  <c r="K219" i="41"/>
  <c r="J219" i="41"/>
  <c r="I219" i="41"/>
  <c r="M219" i="41" s="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J209" i="41"/>
  <c r="K209" i="41" s="1"/>
  <c r="I209" i="41"/>
  <c r="M209" i="41" s="1"/>
  <c r="J208" i="41"/>
  <c r="K208" i="41" s="1"/>
  <c r="I208" i="41"/>
  <c r="M208" i="41" s="1"/>
  <c r="K207" i="41"/>
  <c r="J207" i="41"/>
  <c r="I207" i="41"/>
  <c r="M207" i="41" s="1"/>
  <c r="J206" i="41"/>
  <c r="K206" i="41" s="1"/>
  <c r="I206" i="41"/>
  <c r="M206" i="41" s="1"/>
  <c r="J205" i="41"/>
  <c r="K205" i="41" s="1"/>
  <c r="I205" i="41"/>
  <c r="M205" i="41" s="1"/>
  <c r="J204" i="41"/>
  <c r="K204" i="41" s="1"/>
  <c r="I204" i="41"/>
  <c r="M204" i="41" s="1"/>
  <c r="K203" i="41"/>
  <c r="J203" i="41"/>
  <c r="I203" i="41"/>
  <c r="M203" i="41" s="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J199" i="41"/>
  <c r="K199" i="41" s="1"/>
  <c r="I199" i="41"/>
  <c r="M199" i="41" s="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K191" i="41"/>
  <c r="J191" i="4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K187" i="41"/>
  <c r="J187" i="41"/>
  <c r="I187" i="41"/>
  <c r="M187" i="41" s="1"/>
  <c r="J186" i="41"/>
  <c r="K186" i="41" s="1"/>
  <c r="I186" i="41"/>
  <c r="M186" i="41" s="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J177" i="41"/>
  <c r="K177" i="41" s="1"/>
  <c r="I177" i="41"/>
  <c r="M177" i="41" s="1"/>
  <c r="J176" i="41"/>
  <c r="K176" i="41" s="1"/>
  <c r="I176" i="41"/>
  <c r="M176" i="41" s="1"/>
  <c r="K175" i="41"/>
  <c r="J175" i="41"/>
  <c r="I175" i="41"/>
  <c r="M175" i="41" s="1"/>
  <c r="J174" i="41"/>
  <c r="K174" i="41" s="1"/>
  <c r="I174" i="41"/>
  <c r="M174" i="41" s="1"/>
  <c r="J173" i="41"/>
  <c r="K173" i="41" s="1"/>
  <c r="I173" i="41"/>
  <c r="M173" i="41" s="1"/>
  <c r="J172" i="41"/>
  <c r="K172" i="41" s="1"/>
  <c r="I172" i="41"/>
  <c r="M172" i="41" s="1"/>
  <c r="K171" i="41"/>
  <c r="J171" i="41"/>
  <c r="I171" i="41"/>
  <c r="M171" i="41" s="1"/>
  <c r="J170" i="41"/>
  <c r="K170" i="41" s="1"/>
  <c r="I170" i="41"/>
  <c r="M170" i="41" s="1"/>
  <c r="J169" i="41"/>
  <c r="K169" i="41" s="1"/>
  <c r="I169" i="41"/>
  <c r="M169" i="41" s="1"/>
  <c r="J168" i="41"/>
  <c r="K168" i="41" s="1"/>
  <c r="I168" i="41"/>
  <c r="M168" i="41" s="1"/>
  <c r="K167" i="41"/>
  <c r="J167" i="41"/>
  <c r="I167" i="41"/>
  <c r="M167" i="41" s="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J163" i="41"/>
  <c r="K163" i="41" s="1"/>
  <c r="I163" i="41"/>
  <c r="M163" i="41" s="1"/>
  <c r="J162" i="41"/>
  <c r="K162" i="41" s="1"/>
  <c r="I162" i="41"/>
  <c r="M162" i="41" s="1"/>
  <c r="J161" i="41"/>
  <c r="K161" i="41" s="1"/>
  <c r="I161" i="41"/>
  <c r="M161" i="41" s="1"/>
  <c r="J160" i="41"/>
  <c r="K160" i="41" s="1"/>
  <c r="I160" i="41"/>
  <c r="M160" i="41" s="1"/>
  <c r="K159" i="41"/>
  <c r="J159" i="4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K155" i="41"/>
  <c r="J155" i="41"/>
  <c r="I155" i="41"/>
  <c r="M155" i="41" s="1"/>
  <c r="J154" i="41"/>
  <c r="K154" i="41" s="1"/>
  <c r="I154" i="41"/>
  <c r="M154" i="41" s="1"/>
  <c r="J153" i="41"/>
  <c r="K153" i="41" s="1"/>
  <c r="I153" i="41"/>
  <c r="M153" i="41" s="1"/>
  <c r="J152" i="41"/>
  <c r="K152" i="41" s="1"/>
  <c r="I152" i="41"/>
  <c r="M152" i="41" s="1"/>
  <c r="K151" i="41"/>
  <c r="J151" i="4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J145" i="41"/>
  <c r="K145" i="41" s="1"/>
  <c r="I145" i="41"/>
  <c r="M145" i="41" s="1"/>
  <c r="J144" i="41"/>
  <c r="K144" i="41" s="1"/>
  <c r="I144" i="41"/>
  <c r="M144" i="41" s="1"/>
  <c r="K143" i="41"/>
  <c r="J143" i="41"/>
  <c r="I143" i="41"/>
  <c r="M143" i="41" s="1"/>
  <c r="J142" i="41"/>
  <c r="K142" i="41" s="1"/>
  <c r="I142" i="41"/>
  <c r="M142" i="41" s="1"/>
  <c r="J141" i="41"/>
  <c r="K141" i="41" s="1"/>
  <c r="I141" i="41"/>
  <c r="M141" i="41" s="1"/>
  <c r="J140" i="41"/>
  <c r="K140" i="41" s="1"/>
  <c r="I140" i="41"/>
  <c r="M140" i="41" s="1"/>
  <c r="K139" i="41"/>
  <c r="J139" i="41"/>
  <c r="I139" i="41"/>
  <c r="M139" i="41" s="1"/>
  <c r="J138" i="41"/>
  <c r="K138" i="41" s="1"/>
  <c r="I138" i="41"/>
  <c r="M138" i="41" s="1"/>
  <c r="J137" i="41"/>
  <c r="K137" i="41" s="1"/>
  <c r="I137" i="41"/>
  <c r="M137" i="41" s="1"/>
  <c r="J136" i="41"/>
  <c r="K136" i="41" s="1"/>
  <c r="I136" i="41"/>
  <c r="M136" i="41" s="1"/>
  <c r="J135" i="41"/>
  <c r="K135" i="41" s="1"/>
  <c r="I135" i="41"/>
  <c r="M135" i="41" s="1"/>
  <c r="J134" i="41"/>
  <c r="K134" i="41" s="1"/>
  <c r="I134" i="41"/>
  <c r="M134" i="41" s="1"/>
  <c r="K133" i="41"/>
  <c r="J133" i="41"/>
  <c r="I133" i="41"/>
  <c r="M133" i="41" s="1"/>
  <c r="K132" i="41"/>
  <c r="J132" i="41"/>
  <c r="I132" i="41"/>
  <c r="M132" i="41" s="1"/>
  <c r="K131" i="41"/>
  <c r="J131" i="41"/>
  <c r="I131" i="41"/>
  <c r="M131" i="41" s="1"/>
  <c r="K130" i="41"/>
  <c r="J130" i="41"/>
  <c r="I130" i="41"/>
  <c r="M130" i="41" s="1"/>
  <c r="J129" i="41"/>
  <c r="K129" i="41" s="1"/>
  <c r="I129" i="41"/>
  <c r="M129" i="41" s="1"/>
  <c r="K128" i="41"/>
  <c r="J128" i="41"/>
  <c r="I128" i="41"/>
  <c r="M128" i="41" s="1"/>
  <c r="J127" i="41"/>
  <c r="K127" i="41" s="1"/>
  <c r="I127" i="41"/>
  <c r="M127" i="41" s="1"/>
  <c r="K126" i="41"/>
  <c r="J126" i="41"/>
  <c r="I126" i="41"/>
  <c r="M126" i="41" s="1"/>
  <c r="J125" i="41"/>
  <c r="K125" i="41" s="1"/>
  <c r="I125" i="41"/>
  <c r="M125" i="41" s="1"/>
  <c r="K124" i="41"/>
  <c r="J124" i="4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K120" i="41"/>
  <c r="J120" i="41"/>
  <c r="I120" i="41"/>
  <c r="M120" i="41" s="1"/>
  <c r="J119" i="41"/>
  <c r="K119" i="41" s="1"/>
  <c r="I119" i="41"/>
  <c r="M119" i="41" s="1"/>
  <c r="K118" i="41"/>
  <c r="J118" i="41"/>
  <c r="I118" i="41"/>
  <c r="M118" i="41" s="1"/>
  <c r="J117" i="41"/>
  <c r="K117" i="41" s="1"/>
  <c r="I117" i="41"/>
  <c r="M117" i="41" s="1"/>
  <c r="K116" i="41"/>
  <c r="J116" i="41"/>
  <c r="I116" i="41"/>
  <c r="M116" i="41" s="1"/>
  <c r="J115" i="41"/>
  <c r="K115" i="41" s="1"/>
  <c r="I115" i="41"/>
  <c r="M115" i="41" s="1"/>
  <c r="K114" i="41"/>
  <c r="J114" i="41"/>
  <c r="I114" i="41"/>
  <c r="M114" i="41" s="1"/>
  <c r="J113" i="41"/>
  <c r="K113" i="41" s="1"/>
  <c r="I113" i="41"/>
  <c r="M113" i="41" s="1"/>
  <c r="K112" i="41"/>
  <c r="J112" i="41"/>
  <c r="I112" i="41"/>
  <c r="M112" i="41" s="1"/>
  <c r="J111" i="41"/>
  <c r="K111" i="41" s="1"/>
  <c r="I111" i="41"/>
  <c r="M111" i="41" s="1"/>
  <c r="K110" i="41"/>
  <c r="J110" i="41"/>
  <c r="I110" i="41"/>
  <c r="M110" i="41" s="1"/>
  <c r="J109" i="41"/>
  <c r="K109" i="41" s="1"/>
  <c r="I109" i="41"/>
  <c r="M109" i="41" s="1"/>
  <c r="K108" i="41"/>
  <c r="J108" i="41"/>
  <c r="I108" i="41"/>
  <c r="M108" i="41" s="1"/>
  <c r="J107" i="41"/>
  <c r="K107" i="41" s="1"/>
  <c r="I107" i="41"/>
  <c r="M107" i="41" s="1"/>
  <c r="K106" i="41"/>
  <c r="J106" i="41"/>
  <c r="I106" i="41"/>
  <c r="M106" i="41" s="1"/>
  <c r="J105" i="41"/>
  <c r="K105" i="41" s="1"/>
  <c r="I105" i="41"/>
  <c r="M105" i="41" s="1"/>
  <c r="K104" i="41"/>
  <c r="J104" i="41"/>
  <c r="I104" i="41"/>
  <c r="M104" i="41" s="1"/>
  <c r="J103" i="41"/>
  <c r="K103" i="41" s="1"/>
  <c r="I103" i="41"/>
  <c r="M103" i="41" s="1"/>
  <c r="K102" i="41"/>
  <c r="J102" i="41"/>
  <c r="I102" i="41"/>
  <c r="M102" i="41" s="1"/>
  <c r="J101" i="41"/>
  <c r="K101" i="41" s="1"/>
  <c r="I101" i="41"/>
  <c r="M101" i="41" s="1"/>
  <c r="K100" i="41"/>
  <c r="J100" i="41"/>
  <c r="I100" i="41"/>
  <c r="M100" i="41" s="1"/>
  <c r="J99" i="41"/>
  <c r="K99" i="41" s="1"/>
  <c r="I99" i="41"/>
  <c r="M99" i="41" s="1"/>
  <c r="K98" i="41"/>
  <c r="J98" i="41"/>
  <c r="I98" i="41"/>
  <c r="M98" i="41" s="1"/>
  <c r="J97" i="41"/>
  <c r="K97" i="41" s="1"/>
  <c r="I97" i="41"/>
  <c r="M97" i="41" s="1"/>
  <c r="K96" i="41"/>
  <c r="J96" i="41"/>
  <c r="I96" i="41"/>
  <c r="M96" i="41" s="1"/>
  <c r="J95" i="41"/>
  <c r="K95" i="41" s="1"/>
  <c r="I95" i="41"/>
  <c r="M95" i="41" s="1"/>
  <c r="K94" i="41"/>
  <c r="J94" i="41"/>
  <c r="I94" i="41"/>
  <c r="M94" i="41" s="1"/>
  <c r="J93" i="41"/>
  <c r="K93" i="41" s="1"/>
  <c r="I93" i="41"/>
  <c r="M93" i="41" s="1"/>
  <c r="K92" i="41"/>
  <c r="J92" i="41"/>
  <c r="I92" i="41"/>
  <c r="M92" i="41" s="1"/>
  <c r="J91" i="41"/>
  <c r="K91" i="41" s="1"/>
  <c r="I91" i="41"/>
  <c r="M91" i="41" s="1"/>
  <c r="K90" i="41"/>
  <c r="J90" i="41"/>
  <c r="I90" i="41"/>
  <c r="M90" i="41" s="1"/>
  <c r="J89" i="41"/>
  <c r="K89" i="41" s="1"/>
  <c r="I89" i="41"/>
  <c r="M89" i="41" s="1"/>
  <c r="K88" i="41"/>
  <c r="J88" i="41"/>
  <c r="I88" i="41"/>
  <c r="M88" i="41" s="1"/>
  <c r="J87" i="41"/>
  <c r="K87" i="41" s="1"/>
  <c r="I87" i="41"/>
  <c r="M87" i="41" s="1"/>
  <c r="K86" i="41"/>
  <c r="J86" i="41"/>
  <c r="I86" i="41"/>
  <c r="M86" i="41" s="1"/>
  <c r="J85" i="41"/>
  <c r="K85" i="41" s="1"/>
  <c r="I85" i="41"/>
  <c r="M85" i="41" s="1"/>
  <c r="K84" i="41"/>
  <c r="J84" i="41"/>
  <c r="I84" i="41"/>
  <c r="M84" i="41" s="1"/>
  <c r="J83" i="41"/>
  <c r="K83" i="41" s="1"/>
  <c r="I83" i="41"/>
  <c r="M83" i="41" s="1"/>
  <c r="K82" i="41"/>
  <c r="J82" i="41"/>
  <c r="I82" i="41"/>
  <c r="M82" i="41" s="1"/>
  <c r="J81" i="41"/>
  <c r="K81" i="41" s="1"/>
  <c r="I81" i="41"/>
  <c r="M81" i="41" s="1"/>
  <c r="K80" i="41"/>
  <c r="J80" i="41"/>
  <c r="I80" i="41"/>
  <c r="M80" i="41" s="1"/>
  <c r="J79" i="41"/>
  <c r="K79" i="41" s="1"/>
  <c r="I79" i="41"/>
  <c r="M79" i="41" s="1"/>
  <c r="K78" i="41"/>
  <c r="J78" i="41"/>
  <c r="I78" i="41"/>
  <c r="M78" i="41" s="1"/>
  <c r="J77" i="41"/>
  <c r="K77" i="41" s="1"/>
  <c r="I77" i="41"/>
  <c r="M77" i="41" s="1"/>
  <c r="K76" i="41"/>
  <c r="J76" i="41"/>
  <c r="I76" i="41"/>
  <c r="M76" i="41" s="1"/>
  <c r="J75" i="41"/>
  <c r="K75" i="41" s="1"/>
  <c r="I75" i="41"/>
  <c r="M75" i="41" s="1"/>
  <c r="K74" i="41"/>
  <c r="J74" i="41"/>
  <c r="I74" i="41"/>
  <c r="M74" i="41" s="1"/>
  <c r="J73" i="41"/>
  <c r="K73" i="41" s="1"/>
  <c r="I73" i="41"/>
  <c r="M73" i="41" s="1"/>
  <c r="K72" i="41"/>
  <c r="J72" i="41"/>
  <c r="I72" i="41"/>
  <c r="M72" i="41" s="1"/>
  <c r="J71" i="41"/>
  <c r="K71" i="41" s="1"/>
  <c r="I71" i="41"/>
  <c r="M71" i="41" s="1"/>
  <c r="K70" i="41"/>
  <c r="J70" i="41"/>
  <c r="I70" i="41"/>
  <c r="M70" i="41" s="1"/>
  <c r="J69" i="41"/>
  <c r="K69" i="41" s="1"/>
  <c r="I69" i="41"/>
  <c r="M69" i="41" s="1"/>
  <c r="K68" i="41"/>
  <c r="J68" i="41"/>
  <c r="I68" i="41"/>
  <c r="M68" i="41" s="1"/>
  <c r="J67" i="41"/>
  <c r="K67" i="41" s="1"/>
  <c r="I67" i="41"/>
  <c r="M67" i="41" s="1"/>
  <c r="K66" i="41"/>
  <c r="J66" i="41"/>
  <c r="I66" i="41"/>
  <c r="M66" i="41" s="1"/>
  <c r="J65" i="41"/>
  <c r="K65" i="41" s="1"/>
  <c r="I65" i="41"/>
  <c r="M65" i="41" s="1"/>
  <c r="B65" i="41"/>
  <c r="M64" i="41"/>
  <c r="J64" i="41"/>
  <c r="K64" i="41" s="1"/>
  <c r="I64" i="41"/>
  <c r="B64" i="41"/>
  <c r="K63" i="41"/>
  <c r="J63" i="41"/>
  <c r="I63" i="41"/>
  <c r="M63" i="41" s="1"/>
  <c r="B63" i="41"/>
  <c r="M62" i="41"/>
  <c r="J62" i="41"/>
  <c r="K62" i="41" s="1"/>
  <c r="I62" i="41"/>
  <c r="B62" i="41"/>
  <c r="K61" i="41"/>
  <c r="J61" i="41"/>
  <c r="I61" i="41"/>
  <c r="M61" i="41" s="1"/>
  <c r="B61" i="41"/>
  <c r="K60" i="41"/>
  <c r="J60" i="41"/>
  <c r="I60" i="41"/>
  <c r="M60" i="41" s="1"/>
  <c r="B60" i="41"/>
  <c r="M59" i="41"/>
  <c r="K59" i="41"/>
  <c r="J59" i="41"/>
  <c r="I59" i="41"/>
  <c r="B59" i="41"/>
  <c r="J58" i="41"/>
  <c r="K58" i="41" s="1"/>
  <c r="I58" i="41"/>
  <c r="M58" i="41" s="1"/>
  <c r="B58" i="41"/>
  <c r="J57" i="41"/>
  <c r="K57" i="41" s="1"/>
  <c r="I57" i="41"/>
  <c r="M57" i="41" s="1"/>
  <c r="B57" i="41"/>
  <c r="M56" i="41"/>
  <c r="J56" i="41"/>
  <c r="K56" i="41" s="1"/>
  <c r="I56" i="41"/>
  <c r="B56" i="41"/>
  <c r="K55" i="41"/>
  <c r="J55" i="41"/>
  <c r="I55" i="41"/>
  <c r="M55" i="41" s="1"/>
  <c r="B55" i="41"/>
  <c r="M54" i="41"/>
  <c r="J54" i="41"/>
  <c r="K54" i="41" s="1"/>
  <c r="I54" i="41"/>
  <c r="B54" i="41"/>
  <c r="K53" i="41"/>
  <c r="J53" i="41"/>
  <c r="I53" i="41"/>
  <c r="M53" i="41" s="1"/>
  <c r="B53" i="41"/>
  <c r="K52" i="41"/>
  <c r="J52" i="41"/>
  <c r="I52" i="41"/>
  <c r="M52" i="41" s="1"/>
  <c r="B52" i="41"/>
  <c r="M51" i="41"/>
  <c r="K51" i="41"/>
  <c r="J51" i="41"/>
  <c r="I51" i="41"/>
  <c r="B51" i="41"/>
  <c r="J50" i="41"/>
  <c r="K50" i="41" s="1"/>
  <c r="I50" i="41"/>
  <c r="M50" i="41" s="1"/>
  <c r="B50" i="41"/>
  <c r="J49" i="41"/>
  <c r="K49" i="41" s="1"/>
  <c r="I49" i="41"/>
  <c r="M49" i="41" s="1"/>
  <c r="B49" i="41"/>
  <c r="M48" i="41"/>
  <c r="J48" i="41"/>
  <c r="K48" i="41" s="1"/>
  <c r="I48" i="41"/>
  <c r="B48" i="41"/>
  <c r="K47" i="41"/>
  <c r="J47" i="41"/>
  <c r="I47" i="41"/>
  <c r="M47" i="41" s="1"/>
  <c r="B47" i="41"/>
  <c r="U46" i="41"/>
  <c r="T46" i="41"/>
  <c r="R46" i="41"/>
  <c r="K46" i="41"/>
  <c r="J46" i="41"/>
  <c r="I46" i="41"/>
  <c r="M46" i="41" s="1"/>
  <c r="B46" i="41"/>
  <c r="M45" i="41"/>
  <c r="J45" i="41"/>
  <c r="K45" i="41" s="1"/>
  <c r="I45" i="41"/>
  <c r="B45" i="41"/>
  <c r="K44" i="41"/>
  <c r="J44" i="41"/>
  <c r="I44" i="41"/>
  <c r="M44" i="41" s="1"/>
  <c r="B44" i="41"/>
  <c r="K43" i="41"/>
  <c r="J43" i="41"/>
  <c r="I43" i="41"/>
  <c r="M43" i="41" s="1"/>
  <c r="B43" i="41"/>
  <c r="M42" i="41"/>
  <c r="K42" i="41"/>
  <c r="J42" i="41"/>
  <c r="I42" i="41"/>
  <c r="B42" i="41"/>
  <c r="J41" i="41"/>
  <c r="K41" i="41" s="1"/>
  <c r="I41" i="41"/>
  <c r="M41" i="41" s="1"/>
  <c r="B41" i="41"/>
  <c r="J40" i="41"/>
  <c r="K40" i="41" s="1"/>
  <c r="I40" i="41"/>
  <c r="M40" i="41" s="1"/>
  <c r="B40" i="41"/>
  <c r="M39" i="41"/>
  <c r="J39" i="41"/>
  <c r="K39" i="41" s="1"/>
  <c r="I39" i="41"/>
  <c r="B39" i="41"/>
  <c r="K38" i="41"/>
  <c r="J38" i="41"/>
  <c r="I38" i="41"/>
  <c r="M38" i="41" s="1"/>
  <c r="B38" i="41"/>
  <c r="M37" i="41"/>
  <c r="A37" i="41" s="1"/>
  <c r="J37" i="41"/>
  <c r="K37" i="41" s="1"/>
  <c r="I37" i="41"/>
  <c r="B37" i="41"/>
  <c r="M36" i="41"/>
  <c r="A36" i="41" s="1"/>
  <c r="J36" i="41"/>
  <c r="K36" i="41" s="1"/>
  <c r="I36" i="41"/>
  <c r="B36" i="41"/>
  <c r="J35" i="41"/>
  <c r="K35" i="41" s="1"/>
  <c r="I35" i="41"/>
  <c r="M35" i="41" s="1"/>
  <c r="A35" i="41" s="1"/>
  <c r="B35" i="41"/>
  <c r="K34" i="41"/>
  <c r="J34" i="41"/>
  <c r="I34" i="41"/>
  <c r="M34" i="41" s="1"/>
  <c r="A34" i="41" s="1"/>
  <c r="B34" i="41"/>
  <c r="M33" i="41"/>
  <c r="A33" i="41" s="1"/>
  <c r="J33" i="41"/>
  <c r="K33" i="41" s="1"/>
  <c r="I33" i="41"/>
  <c r="B33" i="41"/>
  <c r="M32" i="41"/>
  <c r="A32" i="41" s="1"/>
  <c r="J32" i="41"/>
  <c r="K32" i="41" s="1"/>
  <c r="I32" i="41"/>
  <c r="B32" i="41"/>
  <c r="J31" i="41"/>
  <c r="K31" i="41" s="1"/>
  <c r="I31" i="41"/>
  <c r="M31" i="41" s="1"/>
  <c r="A31" i="41" s="1"/>
  <c r="B31" i="41"/>
  <c r="K30" i="41"/>
  <c r="J30" i="41"/>
  <c r="I30" i="41"/>
  <c r="M30" i="41" s="1"/>
  <c r="A30" i="41" s="1"/>
  <c r="B30" i="41"/>
  <c r="M29" i="41"/>
  <c r="A29" i="41" s="1"/>
  <c r="J29" i="41"/>
  <c r="K29" i="41" s="1"/>
  <c r="I29" i="41"/>
  <c r="B29" i="41"/>
  <c r="M28" i="41"/>
  <c r="A28" i="41" s="1"/>
  <c r="J28" i="41"/>
  <c r="K28" i="41" s="1"/>
  <c r="I28" i="41"/>
  <c r="B28" i="41"/>
  <c r="J27" i="41"/>
  <c r="K27" i="41" s="1"/>
  <c r="I27" i="41"/>
  <c r="M27" i="41" s="1"/>
  <c r="A27" i="41" s="1"/>
  <c r="B27" i="41"/>
  <c r="M26" i="41"/>
  <c r="K26" i="41"/>
  <c r="J26" i="41"/>
  <c r="I26" i="41"/>
  <c r="B26" i="41"/>
  <c r="A26" i="41"/>
  <c r="M25" i="41"/>
  <c r="A25" i="41" s="1"/>
  <c r="J25" i="41"/>
  <c r="K25" i="41" s="1"/>
  <c r="I25" i="41"/>
  <c r="B25" i="41"/>
  <c r="M24" i="41"/>
  <c r="A24" i="41" s="1"/>
  <c r="J24" i="41"/>
  <c r="K24" i="41" s="1"/>
  <c r="I24" i="41"/>
  <c r="B24" i="41"/>
  <c r="J23" i="41"/>
  <c r="K23" i="41" s="1"/>
  <c r="I23" i="41"/>
  <c r="M23" i="41" s="1"/>
  <c r="A23" i="41" s="1"/>
  <c r="B23" i="41"/>
  <c r="M22" i="41"/>
  <c r="K22" i="41"/>
  <c r="J22" i="41"/>
  <c r="I22" i="41"/>
  <c r="B22" i="41"/>
  <c r="A22" i="41"/>
  <c r="M21" i="41"/>
  <c r="A21" i="41" s="1"/>
  <c r="J21" i="41"/>
  <c r="K21" i="41" s="1"/>
  <c r="I21" i="41"/>
  <c r="B21" i="41"/>
  <c r="M20" i="41"/>
  <c r="A20" i="41" s="1"/>
  <c r="J20" i="41"/>
  <c r="K20" i="41" s="1"/>
  <c r="I20" i="41"/>
  <c r="B20" i="41"/>
  <c r="J19" i="41"/>
  <c r="K19" i="41" s="1"/>
  <c r="I19" i="41"/>
  <c r="M19" i="41" s="1"/>
  <c r="A19" i="41" s="1"/>
  <c r="B19" i="41"/>
  <c r="M18" i="41"/>
  <c r="K18" i="41"/>
  <c r="J18" i="41"/>
  <c r="I18" i="41"/>
  <c r="B18" i="41"/>
  <c r="A18" i="41"/>
  <c r="M17" i="41"/>
  <c r="A17" i="41" s="1"/>
  <c r="J17" i="41"/>
  <c r="K17" i="41" s="1"/>
  <c r="I17" i="41"/>
  <c r="B17" i="41"/>
  <c r="AI16" i="41"/>
  <c r="M16" i="41"/>
  <c r="A16" i="41" s="1"/>
  <c r="K16" i="41"/>
  <c r="J16" i="41"/>
  <c r="I16" i="41"/>
  <c r="B16" i="41"/>
  <c r="K15" i="41"/>
  <c r="J15" i="41"/>
  <c r="I15" i="41"/>
  <c r="M15" i="41" s="1"/>
  <c r="A15" i="41" s="1"/>
  <c r="B15" i="41"/>
  <c r="AI14" i="41"/>
  <c r="J14" i="41"/>
  <c r="K14" i="41" s="1"/>
  <c r="I14" i="41"/>
  <c r="M14" i="41" s="1"/>
  <c r="A14" i="41" s="1"/>
  <c r="B14" i="41"/>
  <c r="AI13" i="41"/>
  <c r="K13" i="41"/>
  <c r="J13" i="41"/>
  <c r="I13" i="41"/>
  <c r="M13" i="41" s="1"/>
  <c r="A13" i="41" s="1"/>
  <c r="B13" i="41"/>
  <c r="AI12" i="41"/>
  <c r="M12" i="41"/>
  <c r="K12" i="41"/>
  <c r="J12" i="41"/>
  <c r="I12" i="41"/>
  <c r="B12" i="41"/>
  <c r="A12" i="41"/>
  <c r="M11" i="41"/>
  <c r="A11" i="41" s="1"/>
  <c r="J11" i="41"/>
  <c r="K11" i="41" s="1"/>
  <c r="I11" i="41"/>
  <c r="B11" i="41"/>
  <c r="M10" i="41"/>
  <c r="A10" i="41" s="1"/>
  <c r="J10" i="41"/>
  <c r="K10" i="41" s="1"/>
  <c r="I10" i="41"/>
  <c r="B10" i="41"/>
  <c r="K9" i="41"/>
  <c r="J9" i="41"/>
  <c r="I9" i="41"/>
  <c r="M9" i="41" s="1"/>
  <c r="A9" i="41" s="1"/>
  <c r="B9" i="41"/>
  <c r="M8" i="41"/>
  <c r="A8" i="41" s="1"/>
  <c r="J8" i="41"/>
  <c r="K8" i="41" s="1"/>
  <c r="I8" i="41"/>
  <c r="B8" i="41"/>
  <c r="K7" i="41"/>
  <c r="J7" i="41"/>
  <c r="I7" i="41"/>
  <c r="M7" i="41" s="1"/>
  <c r="A7" i="41" s="1"/>
  <c r="B7" i="41"/>
  <c r="K6" i="41"/>
  <c r="J6" i="41"/>
  <c r="I6" i="41"/>
  <c r="M6" i="41" s="1"/>
  <c r="A6" i="41" s="1"/>
  <c r="B6" i="41"/>
  <c r="K2" i="41"/>
  <c r="L6" i="41" s="1"/>
  <c r="J374" i="40"/>
  <c r="J373" i="40"/>
  <c r="J372" i="40"/>
  <c r="J371" i="40"/>
  <c r="J370" i="40"/>
  <c r="J369" i="40"/>
  <c r="J368" i="40"/>
  <c r="J367" i="40"/>
  <c r="J366" i="40"/>
  <c r="J365" i="40"/>
  <c r="J364" i="40"/>
  <c r="J363" i="40"/>
  <c r="J362" i="40"/>
  <c r="J361" i="40"/>
  <c r="J360" i="40"/>
  <c r="J359" i="40"/>
  <c r="J358" i="40"/>
  <c r="J357" i="40"/>
  <c r="J356" i="40"/>
  <c r="J355" i="40"/>
  <c r="J354" i="40"/>
  <c r="J353" i="40"/>
  <c r="J352" i="40"/>
  <c r="J351" i="40"/>
  <c r="J350" i="40"/>
  <c r="J349" i="40"/>
  <c r="J348" i="40"/>
  <c r="J347" i="40"/>
  <c r="J346" i="40"/>
  <c r="J345" i="40"/>
  <c r="J344" i="40"/>
  <c r="J343" i="40"/>
  <c r="J342" i="40"/>
  <c r="J341" i="40"/>
  <c r="J340" i="40"/>
  <c r="J339" i="40"/>
  <c r="J338" i="40"/>
  <c r="J337" i="40"/>
  <c r="J336" i="40"/>
  <c r="J335" i="40"/>
  <c r="J334" i="40"/>
  <c r="J333" i="40"/>
  <c r="J332" i="40"/>
  <c r="J331" i="40"/>
  <c r="J330" i="40"/>
  <c r="J329" i="40"/>
  <c r="J328" i="40"/>
  <c r="J327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K305" i="40" s="1"/>
  <c r="I305" i="40"/>
  <c r="M305" i="40" s="1"/>
  <c r="J304" i="40"/>
  <c r="K304" i="40" s="1"/>
  <c r="I304" i="40"/>
  <c r="M304" i="40" s="1"/>
  <c r="J303" i="40"/>
  <c r="K303" i="40" s="1"/>
  <c r="I303" i="40"/>
  <c r="M303" i="40" s="1"/>
  <c r="J302" i="40"/>
  <c r="K302" i="40" s="1"/>
  <c r="I302" i="40"/>
  <c r="M302" i="40" s="1"/>
  <c r="J301" i="40"/>
  <c r="K301" i="40" s="1"/>
  <c r="I301" i="40"/>
  <c r="M301" i="40" s="1"/>
  <c r="J300" i="40"/>
  <c r="K300" i="40" s="1"/>
  <c r="I300" i="40"/>
  <c r="M300" i="40" s="1"/>
  <c r="J299" i="40"/>
  <c r="K299" i="40" s="1"/>
  <c r="I299" i="40"/>
  <c r="M299" i="40" s="1"/>
  <c r="J298" i="40"/>
  <c r="K298" i="40" s="1"/>
  <c r="I298" i="40"/>
  <c r="M298" i="40" s="1"/>
  <c r="J297" i="40"/>
  <c r="K297" i="40" s="1"/>
  <c r="I297" i="40"/>
  <c r="M297" i="40" s="1"/>
  <c r="J296" i="40"/>
  <c r="K296" i="40" s="1"/>
  <c r="I296" i="40"/>
  <c r="M296" i="40" s="1"/>
  <c r="J295" i="40"/>
  <c r="K295" i="40" s="1"/>
  <c r="I295" i="40"/>
  <c r="M295" i="40" s="1"/>
  <c r="J294" i="40"/>
  <c r="K294" i="40" s="1"/>
  <c r="I294" i="40"/>
  <c r="M294" i="40" s="1"/>
  <c r="J293" i="40"/>
  <c r="K293" i="40" s="1"/>
  <c r="I293" i="40"/>
  <c r="M293" i="40" s="1"/>
  <c r="J292" i="40"/>
  <c r="K292" i="40" s="1"/>
  <c r="I292" i="40"/>
  <c r="M292" i="40" s="1"/>
  <c r="J291" i="40"/>
  <c r="K291" i="40" s="1"/>
  <c r="I291" i="40"/>
  <c r="M291" i="40" s="1"/>
  <c r="J290" i="40"/>
  <c r="K290" i="40" s="1"/>
  <c r="I290" i="40"/>
  <c r="M290" i="40" s="1"/>
  <c r="J289" i="40"/>
  <c r="K289" i="40" s="1"/>
  <c r="I289" i="40"/>
  <c r="M289" i="40" s="1"/>
  <c r="J288" i="40"/>
  <c r="K288" i="40" s="1"/>
  <c r="I288" i="40"/>
  <c r="M288" i="40" s="1"/>
  <c r="J287" i="40"/>
  <c r="K287" i="40" s="1"/>
  <c r="I287" i="40"/>
  <c r="M287" i="40" s="1"/>
  <c r="J286" i="40"/>
  <c r="K286" i="40" s="1"/>
  <c r="I286" i="40"/>
  <c r="M286" i="40" s="1"/>
  <c r="J285" i="40"/>
  <c r="K285" i="40" s="1"/>
  <c r="I285" i="40"/>
  <c r="M285" i="40" s="1"/>
  <c r="J284" i="40"/>
  <c r="K284" i="40" s="1"/>
  <c r="I284" i="40"/>
  <c r="M284" i="40" s="1"/>
  <c r="J283" i="40"/>
  <c r="K283" i="40" s="1"/>
  <c r="I283" i="40"/>
  <c r="M283" i="40" s="1"/>
  <c r="J282" i="40"/>
  <c r="K282" i="40" s="1"/>
  <c r="I282" i="40"/>
  <c r="M282" i="40" s="1"/>
  <c r="J281" i="40"/>
  <c r="K281" i="40" s="1"/>
  <c r="I281" i="40"/>
  <c r="M281" i="40" s="1"/>
  <c r="J280" i="40"/>
  <c r="K280" i="40" s="1"/>
  <c r="I280" i="40"/>
  <c r="M280" i="40" s="1"/>
  <c r="J279" i="40"/>
  <c r="K279" i="40" s="1"/>
  <c r="I279" i="40"/>
  <c r="M279" i="40" s="1"/>
  <c r="J278" i="40"/>
  <c r="K278" i="40" s="1"/>
  <c r="I278" i="40"/>
  <c r="M278" i="40" s="1"/>
  <c r="J277" i="40"/>
  <c r="K277" i="40" s="1"/>
  <c r="I277" i="40"/>
  <c r="M277" i="40" s="1"/>
  <c r="J276" i="40"/>
  <c r="K276" i="40" s="1"/>
  <c r="I276" i="40"/>
  <c r="M276" i="40" s="1"/>
  <c r="J275" i="40"/>
  <c r="K275" i="40" s="1"/>
  <c r="I275" i="40"/>
  <c r="M275" i="40" s="1"/>
  <c r="J274" i="40"/>
  <c r="K274" i="40" s="1"/>
  <c r="I274" i="40"/>
  <c r="M274" i="40" s="1"/>
  <c r="J273" i="40"/>
  <c r="K273" i="40" s="1"/>
  <c r="I273" i="40"/>
  <c r="M273" i="40" s="1"/>
  <c r="J272" i="40"/>
  <c r="K272" i="40" s="1"/>
  <c r="I272" i="40"/>
  <c r="M272" i="40" s="1"/>
  <c r="J271" i="40"/>
  <c r="K271" i="40" s="1"/>
  <c r="I271" i="40"/>
  <c r="M271" i="40" s="1"/>
  <c r="J270" i="40"/>
  <c r="K270" i="40" s="1"/>
  <c r="I270" i="40"/>
  <c r="M270" i="40" s="1"/>
  <c r="J269" i="40"/>
  <c r="K269" i="40" s="1"/>
  <c r="I269" i="40"/>
  <c r="M269" i="40" s="1"/>
  <c r="J268" i="40"/>
  <c r="K268" i="40" s="1"/>
  <c r="I268" i="40"/>
  <c r="M268" i="40" s="1"/>
  <c r="J267" i="40"/>
  <c r="K267" i="40" s="1"/>
  <c r="I267" i="40"/>
  <c r="M267" i="40" s="1"/>
  <c r="J266" i="40"/>
  <c r="K266" i="40" s="1"/>
  <c r="I266" i="40"/>
  <c r="M266" i="40" s="1"/>
  <c r="J265" i="40"/>
  <c r="K265" i="40" s="1"/>
  <c r="I265" i="40"/>
  <c r="M265" i="40" s="1"/>
  <c r="J264" i="40"/>
  <c r="K264" i="40" s="1"/>
  <c r="I264" i="40"/>
  <c r="M264" i="40" s="1"/>
  <c r="J263" i="40"/>
  <c r="K263" i="40" s="1"/>
  <c r="I263" i="40"/>
  <c r="M263" i="40" s="1"/>
  <c r="J262" i="40"/>
  <c r="K262" i="40" s="1"/>
  <c r="I262" i="40"/>
  <c r="M262" i="40" s="1"/>
  <c r="J261" i="40"/>
  <c r="K261" i="40" s="1"/>
  <c r="I261" i="40"/>
  <c r="M261" i="40" s="1"/>
  <c r="J260" i="40"/>
  <c r="K260" i="40" s="1"/>
  <c r="I260" i="40"/>
  <c r="M260" i="40" s="1"/>
  <c r="J259" i="40"/>
  <c r="K259" i="40" s="1"/>
  <c r="I259" i="40"/>
  <c r="M259" i="40" s="1"/>
  <c r="J258" i="40"/>
  <c r="K258" i="40" s="1"/>
  <c r="I258" i="40"/>
  <c r="M258" i="40" s="1"/>
  <c r="J257" i="40"/>
  <c r="K257" i="40" s="1"/>
  <c r="I257" i="40"/>
  <c r="M257" i="40" s="1"/>
  <c r="J256" i="40"/>
  <c r="K256" i="40" s="1"/>
  <c r="I256" i="40"/>
  <c r="M256" i="40" s="1"/>
  <c r="J255" i="40"/>
  <c r="K255" i="40" s="1"/>
  <c r="I255" i="40"/>
  <c r="M255" i="40" s="1"/>
  <c r="J254" i="40"/>
  <c r="K254" i="40" s="1"/>
  <c r="I254" i="40"/>
  <c r="M254" i="40" s="1"/>
  <c r="J253" i="40"/>
  <c r="K253" i="40" s="1"/>
  <c r="I253" i="40"/>
  <c r="M253" i="40" s="1"/>
  <c r="J252" i="40"/>
  <c r="K252" i="40" s="1"/>
  <c r="I252" i="40"/>
  <c r="M252" i="40" s="1"/>
  <c r="J251" i="40"/>
  <c r="K251" i="40" s="1"/>
  <c r="I251" i="40"/>
  <c r="M251" i="40" s="1"/>
  <c r="J250" i="40"/>
  <c r="K250" i="40" s="1"/>
  <c r="I250" i="40"/>
  <c r="M250" i="40" s="1"/>
  <c r="J249" i="40"/>
  <c r="K249" i="40" s="1"/>
  <c r="I249" i="40"/>
  <c r="M249" i="40" s="1"/>
  <c r="J248" i="40"/>
  <c r="K248" i="40" s="1"/>
  <c r="I248" i="40"/>
  <c r="M248" i="40" s="1"/>
  <c r="J247" i="40"/>
  <c r="K247" i="40" s="1"/>
  <c r="I247" i="40"/>
  <c r="M247" i="40" s="1"/>
  <c r="J246" i="40"/>
  <c r="K246" i="40" s="1"/>
  <c r="I246" i="40"/>
  <c r="M246" i="40" s="1"/>
  <c r="J245" i="40"/>
  <c r="K245" i="40" s="1"/>
  <c r="I245" i="40"/>
  <c r="M245" i="40" s="1"/>
  <c r="J244" i="40"/>
  <c r="K244" i="40" s="1"/>
  <c r="I244" i="40"/>
  <c r="M244" i="40" s="1"/>
  <c r="J243" i="40"/>
  <c r="K243" i="40" s="1"/>
  <c r="I243" i="40"/>
  <c r="M243" i="40" s="1"/>
  <c r="J242" i="40"/>
  <c r="K242" i="40" s="1"/>
  <c r="I242" i="40"/>
  <c r="M242" i="40" s="1"/>
  <c r="J241" i="40"/>
  <c r="K241" i="40" s="1"/>
  <c r="I241" i="40"/>
  <c r="M241" i="40" s="1"/>
  <c r="J240" i="40"/>
  <c r="K240" i="40" s="1"/>
  <c r="I240" i="40"/>
  <c r="M240" i="40" s="1"/>
  <c r="J239" i="40"/>
  <c r="K239" i="40" s="1"/>
  <c r="I239" i="40"/>
  <c r="M239" i="40" s="1"/>
  <c r="J238" i="40"/>
  <c r="K238" i="40" s="1"/>
  <c r="I238" i="40"/>
  <c r="M238" i="40" s="1"/>
  <c r="J237" i="40"/>
  <c r="K237" i="40" s="1"/>
  <c r="I237" i="40"/>
  <c r="M237" i="40" s="1"/>
  <c r="J236" i="40"/>
  <c r="K236" i="40" s="1"/>
  <c r="I236" i="40"/>
  <c r="M236" i="40" s="1"/>
  <c r="J235" i="40"/>
  <c r="K235" i="40" s="1"/>
  <c r="I235" i="40"/>
  <c r="M235" i="40" s="1"/>
  <c r="J234" i="40"/>
  <c r="K234" i="40" s="1"/>
  <c r="I234" i="40"/>
  <c r="M234" i="40" s="1"/>
  <c r="J233" i="40"/>
  <c r="K233" i="40" s="1"/>
  <c r="I233" i="40"/>
  <c r="M233" i="40" s="1"/>
  <c r="J232" i="40"/>
  <c r="K232" i="40" s="1"/>
  <c r="I232" i="40"/>
  <c r="M232" i="40" s="1"/>
  <c r="J231" i="40"/>
  <c r="K231" i="40" s="1"/>
  <c r="I231" i="40"/>
  <c r="M231" i="40" s="1"/>
  <c r="J230" i="40"/>
  <c r="K230" i="40" s="1"/>
  <c r="I230" i="40"/>
  <c r="M230" i="40" s="1"/>
  <c r="J229" i="40"/>
  <c r="K229" i="40" s="1"/>
  <c r="I229" i="40"/>
  <c r="M229" i="40" s="1"/>
  <c r="J228" i="40"/>
  <c r="K228" i="40" s="1"/>
  <c r="I228" i="40"/>
  <c r="M228" i="40" s="1"/>
  <c r="J227" i="40"/>
  <c r="K227" i="40" s="1"/>
  <c r="I227" i="40"/>
  <c r="M227" i="40" s="1"/>
  <c r="J226" i="40"/>
  <c r="K226" i="40" s="1"/>
  <c r="I226" i="40"/>
  <c r="M226" i="40" s="1"/>
  <c r="J225" i="40"/>
  <c r="K225" i="40" s="1"/>
  <c r="I225" i="40"/>
  <c r="M225" i="40" s="1"/>
  <c r="J224" i="40"/>
  <c r="K224" i="40" s="1"/>
  <c r="I224" i="40"/>
  <c r="M224" i="40" s="1"/>
  <c r="J223" i="40"/>
  <c r="K223" i="40" s="1"/>
  <c r="I223" i="40"/>
  <c r="M223" i="40" s="1"/>
  <c r="J222" i="40"/>
  <c r="K222" i="40" s="1"/>
  <c r="I222" i="40"/>
  <c r="M222" i="40" s="1"/>
  <c r="J221" i="40"/>
  <c r="K221" i="40" s="1"/>
  <c r="I221" i="40"/>
  <c r="M221" i="40" s="1"/>
  <c r="J220" i="40"/>
  <c r="K220" i="40" s="1"/>
  <c r="I220" i="40"/>
  <c r="M220" i="40" s="1"/>
  <c r="J219" i="40"/>
  <c r="K219" i="40" s="1"/>
  <c r="I219" i="40"/>
  <c r="M219" i="40" s="1"/>
  <c r="J218" i="40"/>
  <c r="K218" i="40" s="1"/>
  <c r="I218" i="40"/>
  <c r="M218" i="40" s="1"/>
  <c r="J217" i="40"/>
  <c r="K217" i="40" s="1"/>
  <c r="I217" i="40"/>
  <c r="M217" i="40" s="1"/>
  <c r="J216" i="40"/>
  <c r="K216" i="40" s="1"/>
  <c r="I216" i="40"/>
  <c r="M216" i="40" s="1"/>
  <c r="J215" i="40"/>
  <c r="K215" i="40" s="1"/>
  <c r="I215" i="40"/>
  <c r="M215" i="40" s="1"/>
  <c r="J214" i="40"/>
  <c r="K214" i="40" s="1"/>
  <c r="I214" i="40"/>
  <c r="M214" i="40" s="1"/>
  <c r="J213" i="40"/>
  <c r="K213" i="40" s="1"/>
  <c r="I213" i="40"/>
  <c r="M213" i="40" s="1"/>
  <c r="J212" i="40"/>
  <c r="K212" i="40" s="1"/>
  <c r="I212" i="40"/>
  <c r="M212" i="40" s="1"/>
  <c r="J211" i="40"/>
  <c r="K211" i="40" s="1"/>
  <c r="I211" i="40"/>
  <c r="M211" i="40" s="1"/>
  <c r="J210" i="40"/>
  <c r="K210" i="40" s="1"/>
  <c r="I210" i="40"/>
  <c r="M210" i="40" s="1"/>
  <c r="J209" i="40"/>
  <c r="K209" i="40" s="1"/>
  <c r="I209" i="40"/>
  <c r="M209" i="40" s="1"/>
  <c r="J208" i="40"/>
  <c r="K208" i="40" s="1"/>
  <c r="I208" i="40"/>
  <c r="M208" i="40" s="1"/>
  <c r="J207" i="40"/>
  <c r="K207" i="40" s="1"/>
  <c r="I207" i="40"/>
  <c r="M207" i="40" s="1"/>
  <c r="J206" i="40"/>
  <c r="K206" i="40" s="1"/>
  <c r="I206" i="40"/>
  <c r="M206" i="40" s="1"/>
  <c r="J205" i="40"/>
  <c r="K205" i="40" s="1"/>
  <c r="I205" i="40"/>
  <c r="M205" i="40" s="1"/>
  <c r="J204" i="40"/>
  <c r="K204" i="40" s="1"/>
  <c r="I204" i="40"/>
  <c r="M204" i="40" s="1"/>
  <c r="J203" i="40"/>
  <c r="K203" i="40" s="1"/>
  <c r="I203" i="40"/>
  <c r="M203" i="40" s="1"/>
  <c r="J202" i="40"/>
  <c r="K202" i="40" s="1"/>
  <c r="I202" i="40"/>
  <c r="M202" i="40" s="1"/>
  <c r="J201" i="40"/>
  <c r="K201" i="40" s="1"/>
  <c r="I201" i="40"/>
  <c r="M201" i="40" s="1"/>
  <c r="J200" i="40"/>
  <c r="K200" i="40" s="1"/>
  <c r="I200" i="40"/>
  <c r="M200" i="40" s="1"/>
  <c r="J199" i="40"/>
  <c r="K199" i="40" s="1"/>
  <c r="I199" i="40"/>
  <c r="M199" i="40" s="1"/>
  <c r="J198" i="40"/>
  <c r="K198" i="40" s="1"/>
  <c r="I198" i="40"/>
  <c r="M198" i="40" s="1"/>
  <c r="J197" i="40"/>
  <c r="K197" i="40" s="1"/>
  <c r="I197" i="40"/>
  <c r="M197" i="40" s="1"/>
  <c r="J196" i="40"/>
  <c r="K196" i="40" s="1"/>
  <c r="I196" i="40"/>
  <c r="M196" i="40" s="1"/>
  <c r="J195" i="40"/>
  <c r="K195" i="40" s="1"/>
  <c r="I195" i="40"/>
  <c r="M195" i="40" s="1"/>
  <c r="J194" i="40"/>
  <c r="K194" i="40" s="1"/>
  <c r="I194" i="40"/>
  <c r="M194" i="40" s="1"/>
  <c r="J193" i="40"/>
  <c r="K193" i="40" s="1"/>
  <c r="I193" i="40"/>
  <c r="M193" i="40" s="1"/>
  <c r="J192" i="40"/>
  <c r="K192" i="40" s="1"/>
  <c r="I192" i="40"/>
  <c r="M192" i="40" s="1"/>
  <c r="J191" i="40"/>
  <c r="K191" i="40" s="1"/>
  <c r="I191" i="40"/>
  <c r="M191" i="40" s="1"/>
  <c r="J190" i="40"/>
  <c r="K190" i="40" s="1"/>
  <c r="I190" i="40"/>
  <c r="M190" i="40" s="1"/>
  <c r="J189" i="40"/>
  <c r="K189" i="40" s="1"/>
  <c r="I189" i="40"/>
  <c r="M189" i="40" s="1"/>
  <c r="J188" i="40"/>
  <c r="K188" i="40" s="1"/>
  <c r="I188" i="40"/>
  <c r="M188" i="40" s="1"/>
  <c r="J187" i="40"/>
  <c r="K187" i="40" s="1"/>
  <c r="I187" i="40"/>
  <c r="M187" i="40" s="1"/>
  <c r="J186" i="40"/>
  <c r="K186" i="40" s="1"/>
  <c r="I186" i="40"/>
  <c r="M186" i="40" s="1"/>
  <c r="J185" i="40"/>
  <c r="K185" i="40" s="1"/>
  <c r="I185" i="40"/>
  <c r="M185" i="40" s="1"/>
  <c r="J184" i="40"/>
  <c r="K184" i="40" s="1"/>
  <c r="I184" i="40"/>
  <c r="M184" i="40" s="1"/>
  <c r="J183" i="40"/>
  <c r="K183" i="40" s="1"/>
  <c r="I183" i="40"/>
  <c r="M183" i="40" s="1"/>
  <c r="J182" i="40"/>
  <c r="K182" i="40" s="1"/>
  <c r="I182" i="40"/>
  <c r="M182" i="40" s="1"/>
  <c r="J181" i="40"/>
  <c r="K181" i="40" s="1"/>
  <c r="I181" i="40"/>
  <c r="M181" i="40" s="1"/>
  <c r="J180" i="40"/>
  <c r="K180" i="40" s="1"/>
  <c r="I180" i="40"/>
  <c r="M180" i="40" s="1"/>
  <c r="J179" i="40"/>
  <c r="K179" i="40" s="1"/>
  <c r="I179" i="40"/>
  <c r="M179" i="40" s="1"/>
  <c r="J178" i="40"/>
  <c r="K178" i="40" s="1"/>
  <c r="I178" i="40"/>
  <c r="M178" i="40" s="1"/>
  <c r="J177" i="40"/>
  <c r="K177" i="40" s="1"/>
  <c r="I177" i="40"/>
  <c r="M177" i="40" s="1"/>
  <c r="J176" i="40"/>
  <c r="K176" i="40" s="1"/>
  <c r="I176" i="40"/>
  <c r="M176" i="40" s="1"/>
  <c r="J175" i="40"/>
  <c r="K175" i="40" s="1"/>
  <c r="I175" i="40"/>
  <c r="M175" i="40" s="1"/>
  <c r="J174" i="40"/>
  <c r="K174" i="40" s="1"/>
  <c r="I174" i="40"/>
  <c r="M174" i="40" s="1"/>
  <c r="J173" i="40"/>
  <c r="K173" i="40" s="1"/>
  <c r="I173" i="40"/>
  <c r="M173" i="40" s="1"/>
  <c r="J172" i="40"/>
  <c r="K172" i="40" s="1"/>
  <c r="I172" i="40"/>
  <c r="M172" i="40" s="1"/>
  <c r="J171" i="40"/>
  <c r="K171" i="40" s="1"/>
  <c r="I171" i="40"/>
  <c r="M171" i="40" s="1"/>
  <c r="J170" i="40"/>
  <c r="K170" i="40" s="1"/>
  <c r="I170" i="40"/>
  <c r="M170" i="40" s="1"/>
  <c r="J169" i="40"/>
  <c r="K169" i="40" s="1"/>
  <c r="I169" i="40"/>
  <c r="M169" i="40" s="1"/>
  <c r="J168" i="40"/>
  <c r="K168" i="40" s="1"/>
  <c r="I168" i="40"/>
  <c r="M168" i="40" s="1"/>
  <c r="J167" i="40"/>
  <c r="K167" i="40" s="1"/>
  <c r="I167" i="40"/>
  <c r="M167" i="40" s="1"/>
  <c r="J166" i="40"/>
  <c r="K166" i="40" s="1"/>
  <c r="I166" i="40"/>
  <c r="M166" i="40" s="1"/>
  <c r="J165" i="40"/>
  <c r="K165" i="40" s="1"/>
  <c r="I165" i="40"/>
  <c r="M165" i="40" s="1"/>
  <c r="J164" i="40"/>
  <c r="K164" i="40" s="1"/>
  <c r="I164" i="40"/>
  <c r="M164" i="40" s="1"/>
  <c r="J163" i="40"/>
  <c r="K163" i="40" s="1"/>
  <c r="I163" i="40"/>
  <c r="M163" i="40" s="1"/>
  <c r="J162" i="40"/>
  <c r="K162" i="40" s="1"/>
  <c r="I162" i="40"/>
  <c r="M162" i="40" s="1"/>
  <c r="J161" i="40"/>
  <c r="K161" i="40" s="1"/>
  <c r="I161" i="40"/>
  <c r="M161" i="40" s="1"/>
  <c r="J160" i="40"/>
  <c r="K160" i="40" s="1"/>
  <c r="I160" i="40"/>
  <c r="M160" i="40" s="1"/>
  <c r="J159" i="40"/>
  <c r="K159" i="40" s="1"/>
  <c r="I159" i="40"/>
  <c r="M159" i="40" s="1"/>
  <c r="J158" i="40"/>
  <c r="K158" i="40" s="1"/>
  <c r="I158" i="40"/>
  <c r="M158" i="40" s="1"/>
  <c r="J157" i="40"/>
  <c r="K157" i="40" s="1"/>
  <c r="I157" i="40"/>
  <c r="M157" i="40" s="1"/>
  <c r="J156" i="40"/>
  <c r="K156" i="40" s="1"/>
  <c r="I156" i="40"/>
  <c r="M156" i="40" s="1"/>
  <c r="J155" i="40"/>
  <c r="K155" i="40" s="1"/>
  <c r="I155" i="40"/>
  <c r="M155" i="40" s="1"/>
  <c r="J154" i="40"/>
  <c r="K154" i="40" s="1"/>
  <c r="I154" i="40"/>
  <c r="M154" i="40" s="1"/>
  <c r="J153" i="40"/>
  <c r="K153" i="40" s="1"/>
  <c r="I153" i="40"/>
  <c r="M153" i="40" s="1"/>
  <c r="J152" i="40"/>
  <c r="K152" i="40" s="1"/>
  <c r="I152" i="40"/>
  <c r="M152" i="40" s="1"/>
  <c r="J151" i="40"/>
  <c r="K151" i="40" s="1"/>
  <c r="I151" i="40"/>
  <c r="M151" i="40" s="1"/>
  <c r="J150" i="40"/>
  <c r="K150" i="40" s="1"/>
  <c r="I150" i="40"/>
  <c r="M150" i="40" s="1"/>
  <c r="J149" i="40"/>
  <c r="K149" i="40" s="1"/>
  <c r="I149" i="40"/>
  <c r="M149" i="40" s="1"/>
  <c r="J148" i="40"/>
  <c r="K148" i="40" s="1"/>
  <c r="I148" i="40"/>
  <c r="M148" i="40" s="1"/>
  <c r="J147" i="40"/>
  <c r="K147" i="40" s="1"/>
  <c r="I147" i="40"/>
  <c r="M147" i="40" s="1"/>
  <c r="J146" i="40"/>
  <c r="K146" i="40" s="1"/>
  <c r="I146" i="40"/>
  <c r="M146" i="40" s="1"/>
  <c r="J145" i="40"/>
  <c r="K145" i="40" s="1"/>
  <c r="I145" i="40"/>
  <c r="M145" i="40" s="1"/>
  <c r="J144" i="40"/>
  <c r="K144" i="40" s="1"/>
  <c r="I144" i="40"/>
  <c r="M144" i="40" s="1"/>
  <c r="J143" i="40"/>
  <c r="K143" i="40" s="1"/>
  <c r="I143" i="40"/>
  <c r="M143" i="40" s="1"/>
  <c r="J142" i="40"/>
  <c r="K142" i="40" s="1"/>
  <c r="I142" i="40"/>
  <c r="M142" i="40" s="1"/>
  <c r="J141" i="40"/>
  <c r="K141" i="40" s="1"/>
  <c r="I141" i="40"/>
  <c r="M141" i="40" s="1"/>
  <c r="J140" i="40"/>
  <c r="K140" i="40" s="1"/>
  <c r="I140" i="40"/>
  <c r="M140" i="40" s="1"/>
  <c r="J139" i="40"/>
  <c r="K139" i="40" s="1"/>
  <c r="I139" i="40"/>
  <c r="M139" i="40" s="1"/>
  <c r="J138" i="40"/>
  <c r="K138" i="40" s="1"/>
  <c r="I138" i="40"/>
  <c r="M138" i="40" s="1"/>
  <c r="J137" i="40"/>
  <c r="K137" i="40" s="1"/>
  <c r="I137" i="40"/>
  <c r="M137" i="40" s="1"/>
  <c r="K136" i="40"/>
  <c r="J136" i="40"/>
  <c r="I136" i="40"/>
  <c r="M136" i="40" s="1"/>
  <c r="K135" i="40"/>
  <c r="J135" i="40"/>
  <c r="I135" i="40"/>
  <c r="M135" i="40" s="1"/>
  <c r="K134" i="40"/>
  <c r="J134" i="40"/>
  <c r="I134" i="40"/>
  <c r="M134" i="40" s="1"/>
  <c r="K133" i="40"/>
  <c r="J133" i="40"/>
  <c r="I133" i="40"/>
  <c r="M133" i="40" s="1"/>
  <c r="K132" i="40"/>
  <c r="J132" i="40"/>
  <c r="I132" i="40"/>
  <c r="M132" i="40" s="1"/>
  <c r="K131" i="40"/>
  <c r="J131" i="40"/>
  <c r="I131" i="40"/>
  <c r="M131" i="40" s="1"/>
  <c r="K130" i="40"/>
  <c r="J130" i="40"/>
  <c r="I130" i="40"/>
  <c r="M130" i="40" s="1"/>
  <c r="K129" i="40"/>
  <c r="J129" i="40"/>
  <c r="I129" i="40"/>
  <c r="M129" i="40" s="1"/>
  <c r="K128" i="40"/>
  <c r="J128" i="40"/>
  <c r="I128" i="40"/>
  <c r="M128" i="40" s="1"/>
  <c r="K127" i="40"/>
  <c r="J127" i="40"/>
  <c r="I127" i="40"/>
  <c r="M127" i="40" s="1"/>
  <c r="K126" i="40"/>
  <c r="J126" i="40"/>
  <c r="I126" i="40"/>
  <c r="M126" i="40" s="1"/>
  <c r="K125" i="40"/>
  <c r="J125" i="40"/>
  <c r="I125" i="40"/>
  <c r="M125" i="40" s="1"/>
  <c r="K124" i="40"/>
  <c r="J124" i="40"/>
  <c r="I124" i="40"/>
  <c r="M124" i="40" s="1"/>
  <c r="K123" i="40"/>
  <c r="J123" i="40"/>
  <c r="I123" i="40"/>
  <c r="M123" i="40" s="1"/>
  <c r="K122" i="40"/>
  <c r="J122" i="40"/>
  <c r="I122" i="40"/>
  <c r="M122" i="40" s="1"/>
  <c r="K121" i="40"/>
  <c r="J121" i="40"/>
  <c r="I121" i="40"/>
  <c r="M121" i="40" s="1"/>
  <c r="K120" i="40"/>
  <c r="J120" i="40"/>
  <c r="I120" i="40"/>
  <c r="M120" i="40" s="1"/>
  <c r="K119" i="40"/>
  <c r="J119" i="40"/>
  <c r="I119" i="40"/>
  <c r="M119" i="40" s="1"/>
  <c r="K118" i="40"/>
  <c r="J118" i="40"/>
  <c r="I118" i="40"/>
  <c r="M118" i="40" s="1"/>
  <c r="K117" i="40"/>
  <c r="J117" i="40"/>
  <c r="I117" i="40"/>
  <c r="M117" i="40" s="1"/>
  <c r="K116" i="40"/>
  <c r="J116" i="40"/>
  <c r="I116" i="40"/>
  <c r="M116" i="40" s="1"/>
  <c r="K115" i="40"/>
  <c r="J115" i="40"/>
  <c r="I115" i="40"/>
  <c r="M115" i="40" s="1"/>
  <c r="K114" i="40"/>
  <c r="J114" i="40"/>
  <c r="I114" i="40"/>
  <c r="M114" i="40" s="1"/>
  <c r="K113" i="40"/>
  <c r="J113" i="40"/>
  <c r="I113" i="40"/>
  <c r="M113" i="40" s="1"/>
  <c r="K112" i="40"/>
  <c r="J112" i="40"/>
  <c r="I112" i="40"/>
  <c r="M112" i="40" s="1"/>
  <c r="K111" i="40"/>
  <c r="J111" i="40"/>
  <c r="I111" i="40"/>
  <c r="M111" i="40" s="1"/>
  <c r="K110" i="40"/>
  <c r="J110" i="40"/>
  <c r="I110" i="40"/>
  <c r="M110" i="40" s="1"/>
  <c r="K109" i="40"/>
  <c r="J109" i="40"/>
  <c r="I109" i="40"/>
  <c r="M109" i="40" s="1"/>
  <c r="K108" i="40"/>
  <c r="J108" i="40"/>
  <c r="I108" i="40"/>
  <c r="M108" i="40" s="1"/>
  <c r="K107" i="40"/>
  <c r="J107" i="40"/>
  <c r="I107" i="40"/>
  <c r="M107" i="40" s="1"/>
  <c r="K106" i="40"/>
  <c r="J106" i="40"/>
  <c r="I106" i="40"/>
  <c r="M106" i="40" s="1"/>
  <c r="J105" i="40"/>
  <c r="K105" i="40" s="1"/>
  <c r="I105" i="40"/>
  <c r="M105" i="40" s="1"/>
  <c r="K104" i="40"/>
  <c r="J104" i="40"/>
  <c r="I104" i="40"/>
  <c r="M104" i="40" s="1"/>
  <c r="J103" i="40"/>
  <c r="K103" i="40" s="1"/>
  <c r="I103" i="40"/>
  <c r="M103" i="40" s="1"/>
  <c r="K102" i="40"/>
  <c r="J102" i="40"/>
  <c r="I102" i="40"/>
  <c r="M102" i="40" s="1"/>
  <c r="J101" i="40"/>
  <c r="K101" i="40" s="1"/>
  <c r="I101" i="40"/>
  <c r="M101" i="40" s="1"/>
  <c r="K100" i="40"/>
  <c r="J100" i="40"/>
  <c r="I100" i="40"/>
  <c r="M100" i="40" s="1"/>
  <c r="J99" i="40"/>
  <c r="K99" i="40" s="1"/>
  <c r="I99" i="40"/>
  <c r="M99" i="40" s="1"/>
  <c r="K98" i="40"/>
  <c r="J98" i="40"/>
  <c r="I98" i="40"/>
  <c r="M98" i="40" s="1"/>
  <c r="J97" i="40"/>
  <c r="K97" i="40" s="1"/>
  <c r="I97" i="40"/>
  <c r="M97" i="40" s="1"/>
  <c r="K96" i="40"/>
  <c r="J96" i="40"/>
  <c r="I96" i="40"/>
  <c r="M96" i="40" s="1"/>
  <c r="J95" i="40"/>
  <c r="K95" i="40" s="1"/>
  <c r="I95" i="40"/>
  <c r="M95" i="40" s="1"/>
  <c r="K94" i="40"/>
  <c r="J94" i="40"/>
  <c r="I94" i="40"/>
  <c r="M94" i="40" s="1"/>
  <c r="J93" i="40"/>
  <c r="K93" i="40" s="1"/>
  <c r="I93" i="40"/>
  <c r="M93" i="40" s="1"/>
  <c r="K92" i="40"/>
  <c r="J92" i="40"/>
  <c r="I92" i="40"/>
  <c r="M92" i="40" s="1"/>
  <c r="J91" i="40"/>
  <c r="K91" i="40" s="1"/>
  <c r="I91" i="40"/>
  <c r="M91" i="40" s="1"/>
  <c r="K90" i="40"/>
  <c r="J90" i="40"/>
  <c r="I90" i="40"/>
  <c r="M90" i="40" s="1"/>
  <c r="J89" i="40"/>
  <c r="K89" i="40" s="1"/>
  <c r="I89" i="40"/>
  <c r="M89" i="40" s="1"/>
  <c r="K88" i="40"/>
  <c r="J88" i="40"/>
  <c r="I88" i="40"/>
  <c r="M88" i="40" s="1"/>
  <c r="J87" i="40"/>
  <c r="K87" i="40" s="1"/>
  <c r="I87" i="40"/>
  <c r="M87" i="40" s="1"/>
  <c r="K86" i="40"/>
  <c r="J86" i="40"/>
  <c r="I86" i="40"/>
  <c r="M86" i="40" s="1"/>
  <c r="J85" i="40"/>
  <c r="K85" i="40" s="1"/>
  <c r="I85" i="40"/>
  <c r="M85" i="40" s="1"/>
  <c r="K84" i="40"/>
  <c r="J84" i="40"/>
  <c r="I84" i="40"/>
  <c r="M84" i="40" s="1"/>
  <c r="J83" i="40"/>
  <c r="K83" i="40" s="1"/>
  <c r="I83" i="40"/>
  <c r="M83" i="40" s="1"/>
  <c r="K82" i="40"/>
  <c r="J82" i="40"/>
  <c r="I82" i="40"/>
  <c r="M82" i="40" s="1"/>
  <c r="J81" i="40"/>
  <c r="K81" i="40" s="1"/>
  <c r="I81" i="40"/>
  <c r="M81" i="40" s="1"/>
  <c r="K80" i="40"/>
  <c r="J80" i="40"/>
  <c r="I80" i="40"/>
  <c r="M80" i="40" s="1"/>
  <c r="J79" i="40"/>
  <c r="K79" i="40" s="1"/>
  <c r="I79" i="40"/>
  <c r="M79" i="40" s="1"/>
  <c r="K78" i="40"/>
  <c r="J78" i="40"/>
  <c r="I78" i="40"/>
  <c r="M78" i="40" s="1"/>
  <c r="J77" i="40"/>
  <c r="K77" i="40" s="1"/>
  <c r="I77" i="40"/>
  <c r="M77" i="40" s="1"/>
  <c r="K76" i="40"/>
  <c r="J76" i="40"/>
  <c r="I76" i="40"/>
  <c r="M76" i="40" s="1"/>
  <c r="J75" i="40"/>
  <c r="K75" i="40" s="1"/>
  <c r="I75" i="40"/>
  <c r="M75" i="40" s="1"/>
  <c r="K74" i="40"/>
  <c r="J74" i="40"/>
  <c r="I74" i="40"/>
  <c r="M74" i="40" s="1"/>
  <c r="J73" i="40"/>
  <c r="K73" i="40" s="1"/>
  <c r="I73" i="40"/>
  <c r="M73" i="40" s="1"/>
  <c r="K72" i="40"/>
  <c r="J72" i="40"/>
  <c r="I72" i="40"/>
  <c r="M72" i="40" s="1"/>
  <c r="J71" i="40"/>
  <c r="K71" i="40" s="1"/>
  <c r="I71" i="40"/>
  <c r="M71" i="40" s="1"/>
  <c r="K70" i="40"/>
  <c r="J70" i="40"/>
  <c r="I70" i="40"/>
  <c r="M70" i="40" s="1"/>
  <c r="J69" i="40"/>
  <c r="K69" i="40" s="1"/>
  <c r="I69" i="40"/>
  <c r="M69" i="40" s="1"/>
  <c r="K68" i="40"/>
  <c r="J68" i="40"/>
  <c r="I68" i="40"/>
  <c r="M68" i="40" s="1"/>
  <c r="J67" i="40"/>
  <c r="K67" i="40" s="1"/>
  <c r="I67" i="40"/>
  <c r="M67" i="40" s="1"/>
  <c r="K66" i="40"/>
  <c r="J66" i="40"/>
  <c r="I66" i="40"/>
  <c r="M66" i="40" s="1"/>
  <c r="J65" i="40"/>
  <c r="K65" i="40" s="1"/>
  <c r="I65" i="40"/>
  <c r="M65" i="40" s="1"/>
  <c r="B65" i="40"/>
  <c r="M64" i="40"/>
  <c r="J64" i="40"/>
  <c r="K64" i="40" s="1"/>
  <c r="I64" i="40"/>
  <c r="B64" i="40"/>
  <c r="K63" i="40"/>
  <c r="J63" i="40"/>
  <c r="I63" i="40"/>
  <c r="M63" i="40" s="1"/>
  <c r="B63" i="40"/>
  <c r="M62" i="40"/>
  <c r="J62" i="40"/>
  <c r="K62" i="40" s="1"/>
  <c r="I62" i="40"/>
  <c r="B62" i="40"/>
  <c r="K61" i="40"/>
  <c r="J61" i="40"/>
  <c r="I61" i="40"/>
  <c r="M61" i="40" s="1"/>
  <c r="B61" i="40"/>
  <c r="J60" i="40"/>
  <c r="K60" i="40" s="1"/>
  <c r="I60" i="40"/>
  <c r="M60" i="40" s="1"/>
  <c r="B60" i="40"/>
  <c r="M59" i="40"/>
  <c r="K59" i="40"/>
  <c r="J59" i="40"/>
  <c r="I59" i="40"/>
  <c r="B59" i="40"/>
  <c r="M58" i="40"/>
  <c r="J58" i="40"/>
  <c r="K58" i="40" s="1"/>
  <c r="I58" i="40"/>
  <c r="B58" i="40"/>
  <c r="J57" i="40"/>
  <c r="K57" i="40" s="1"/>
  <c r="I57" i="40"/>
  <c r="M57" i="40" s="1"/>
  <c r="B57" i="40"/>
  <c r="M56" i="40"/>
  <c r="J56" i="40"/>
  <c r="K56" i="40" s="1"/>
  <c r="I56" i="40"/>
  <c r="B56" i="40"/>
  <c r="K55" i="40"/>
  <c r="J55" i="40"/>
  <c r="I55" i="40"/>
  <c r="M55" i="40" s="1"/>
  <c r="B55" i="40"/>
  <c r="M54" i="40"/>
  <c r="J54" i="40"/>
  <c r="K54" i="40" s="1"/>
  <c r="I54" i="40"/>
  <c r="B54" i="40"/>
  <c r="K53" i="40"/>
  <c r="J53" i="40"/>
  <c r="I53" i="40"/>
  <c r="M53" i="40" s="1"/>
  <c r="B53" i="40"/>
  <c r="J52" i="40"/>
  <c r="K52" i="40" s="1"/>
  <c r="I52" i="40"/>
  <c r="M52" i="40" s="1"/>
  <c r="B52" i="40"/>
  <c r="M51" i="40"/>
  <c r="K51" i="40"/>
  <c r="J51" i="40"/>
  <c r="I51" i="40"/>
  <c r="B51" i="40"/>
  <c r="M50" i="40"/>
  <c r="J50" i="40"/>
  <c r="K50" i="40" s="1"/>
  <c r="I50" i="40"/>
  <c r="B50" i="40"/>
  <c r="J49" i="40"/>
  <c r="K49" i="40" s="1"/>
  <c r="I49" i="40"/>
  <c r="M49" i="40" s="1"/>
  <c r="B49" i="40"/>
  <c r="M48" i="40"/>
  <c r="J48" i="40"/>
  <c r="K48" i="40" s="1"/>
  <c r="I48" i="40"/>
  <c r="B48" i="40"/>
  <c r="K47" i="40"/>
  <c r="J47" i="40"/>
  <c r="I47" i="40"/>
  <c r="M47" i="40" s="1"/>
  <c r="B47" i="40"/>
  <c r="U46" i="40"/>
  <c r="T46" i="40"/>
  <c r="R46" i="40"/>
  <c r="K46" i="40"/>
  <c r="J46" i="40"/>
  <c r="I46" i="40"/>
  <c r="M46" i="40" s="1"/>
  <c r="B46" i="40"/>
  <c r="M45" i="40"/>
  <c r="K45" i="40"/>
  <c r="J45" i="40"/>
  <c r="I45" i="40"/>
  <c r="B45" i="40"/>
  <c r="K44" i="40"/>
  <c r="J44" i="40"/>
  <c r="I44" i="40"/>
  <c r="M44" i="40" s="1"/>
  <c r="B44" i="40"/>
  <c r="J43" i="40"/>
  <c r="K43" i="40" s="1"/>
  <c r="I43" i="40"/>
  <c r="M43" i="40" s="1"/>
  <c r="B43" i="40"/>
  <c r="M42" i="40"/>
  <c r="K42" i="40"/>
  <c r="J42" i="40"/>
  <c r="I42" i="40"/>
  <c r="B42" i="40"/>
  <c r="M41" i="40"/>
  <c r="J41" i="40"/>
  <c r="K41" i="40" s="1"/>
  <c r="I41" i="40"/>
  <c r="B41" i="40"/>
  <c r="J40" i="40"/>
  <c r="K40" i="40" s="1"/>
  <c r="I40" i="40"/>
  <c r="M40" i="40" s="1"/>
  <c r="B40" i="40"/>
  <c r="M39" i="40"/>
  <c r="J39" i="40"/>
  <c r="K39" i="40" s="1"/>
  <c r="I39" i="40"/>
  <c r="B39" i="40"/>
  <c r="K38" i="40"/>
  <c r="J38" i="40"/>
  <c r="I38" i="40"/>
  <c r="M38" i="40" s="1"/>
  <c r="B38" i="40"/>
  <c r="M37" i="40"/>
  <c r="A37" i="40" s="1"/>
  <c r="J37" i="40"/>
  <c r="K37" i="40" s="1"/>
  <c r="I37" i="40"/>
  <c r="B37" i="40"/>
  <c r="M36" i="40"/>
  <c r="A36" i="40" s="1"/>
  <c r="J36" i="40"/>
  <c r="K36" i="40" s="1"/>
  <c r="I36" i="40"/>
  <c r="B36" i="40"/>
  <c r="M35" i="40"/>
  <c r="A35" i="40" s="1"/>
  <c r="J35" i="40"/>
  <c r="K35" i="40" s="1"/>
  <c r="I35" i="40"/>
  <c r="B35" i="40"/>
  <c r="M34" i="40"/>
  <c r="J34" i="40"/>
  <c r="K34" i="40" s="1"/>
  <c r="I34" i="40"/>
  <c r="B34" i="40"/>
  <c r="A34" i="40"/>
  <c r="M33" i="40"/>
  <c r="A33" i="40" s="1"/>
  <c r="J33" i="40"/>
  <c r="K33" i="40" s="1"/>
  <c r="I33" i="40"/>
  <c r="B33" i="40"/>
  <c r="M32" i="40"/>
  <c r="A32" i="40" s="1"/>
  <c r="J32" i="40"/>
  <c r="K32" i="40" s="1"/>
  <c r="I32" i="40"/>
  <c r="B32" i="40"/>
  <c r="M31" i="40"/>
  <c r="A31" i="40" s="1"/>
  <c r="J31" i="40"/>
  <c r="K31" i="40" s="1"/>
  <c r="I31" i="40"/>
  <c r="B31" i="40"/>
  <c r="J30" i="40"/>
  <c r="K30" i="40" s="1"/>
  <c r="I30" i="40"/>
  <c r="M30" i="40" s="1"/>
  <c r="A30" i="40" s="1"/>
  <c r="B30" i="40"/>
  <c r="M29" i="40"/>
  <c r="A29" i="40" s="1"/>
  <c r="J29" i="40"/>
  <c r="K29" i="40" s="1"/>
  <c r="I29" i="40"/>
  <c r="B29" i="40"/>
  <c r="M28" i="40"/>
  <c r="A28" i="40" s="1"/>
  <c r="J28" i="40"/>
  <c r="K28" i="40" s="1"/>
  <c r="I28" i="40"/>
  <c r="B28" i="40"/>
  <c r="M27" i="40"/>
  <c r="A27" i="40" s="1"/>
  <c r="J27" i="40"/>
  <c r="K27" i="40" s="1"/>
  <c r="I27" i="40"/>
  <c r="B27" i="40"/>
  <c r="M26" i="40"/>
  <c r="A26" i="40" s="1"/>
  <c r="J26" i="40"/>
  <c r="K26" i="40" s="1"/>
  <c r="I26" i="40"/>
  <c r="B26" i="40"/>
  <c r="M25" i="40"/>
  <c r="A25" i="40" s="1"/>
  <c r="J25" i="40"/>
  <c r="K25" i="40" s="1"/>
  <c r="I25" i="40"/>
  <c r="B25" i="40"/>
  <c r="M24" i="40"/>
  <c r="A24" i="40" s="1"/>
  <c r="J24" i="40"/>
  <c r="K24" i="40" s="1"/>
  <c r="I24" i="40"/>
  <c r="B24" i="40"/>
  <c r="M23" i="40"/>
  <c r="A23" i="40" s="1"/>
  <c r="J23" i="40"/>
  <c r="K23" i="40" s="1"/>
  <c r="I23" i="40"/>
  <c r="B23" i="40"/>
  <c r="J22" i="40"/>
  <c r="K22" i="40" s="1"/>
  <c r="I22" i="40"/>
  <c r="M22" i="40" s="1"/>
  <c r="A22" i="40" s="1"/>
  <c r="B22" i="40"/>
  <c r="M21" i="40"/>
  <c r="A21" i="40" s="1"/>
  <c r="J21" i="40"/>
  <c r="K21" i="40" s="1"/>
  <c r="I21" i="40"/>
  <c r="B21" i="40"/>
  <c r="M20" i="40"/>
  <c r="A20" i="40" s="1"/>
  <c r="J20" i="40"/>
  <c r="K20" i="40" s="1"/>
  <c r="I20" i="40"/>
  <c r="B20" i="40"/>
  <c r="M19" i="40"/>
  <c r="A19" i="40" s="1"/>
  <c r="J19" i="40"/>
  <c r="K19" i="40" s="1"/>
  <c r="I19" i="40"/>
  <c r="B19" i="40"/>
  <c r="M18" i="40"/>
  <c r="A18" i="40" s="1"/>
  <c r="J18" i="40"/>
  <c r="K18" i="40" s="1"/>
  <c r="I18" i="40"/>
  <c r="B18" i="40"/>
  <c r="M17" i="40"/>
  <c r="A17" i="40" s="1"/>
  <c r="J17" i="40"/>
  <c r="K17" i="40" s="1"/>
  <c r="I17" i="40"/>
  <c r="B17" i="40"/>
  <c r="AI16" i="40"/>
  <c r="K16" i="40"/>
  <c r="J16" i="40"/>
  <c r="I16" i="40"/>
  <c r="M16" i="40" s="1"/>
  <c r="A16" i="40" s="1"/>
  <c r="B16" i="40"/>
  <c r="K15" i="40"/>
  <c r="J15" i="40"/>
  <c r="I15" i="40"/>
  <c r="M15" i="40" s="1"/>
  <c r="A15" i="40" s="1"/>
  <c r="B15" i="40"/>
  <c r="AI14" i="40"/>
  <c r="M14" i="40"/>
  <c r="A14" i="40" s="1"/>
  <c r="J14" i="40"/>
  <c r="K14" i="40" s="1"/>
  <c r="I14" i="40"/>
  <c r="B14" i="40"/>
  <c r="AI13" i="40"/>
  <c r="K13" i="40"/>
  <c r="J13" i="40"/>
  <c r="I13" i="40"/>
  <c r="M13" i="40" s="1"/>
  <c r="A13" i="40" s="1"/>
  <c r="B13" i="40"/>
  <c r="AI12" i="40"/>
  <c r="M12" i="40"/>
  <c r="A12" i="40" s="1"/>
  <c r="J12" i="40"/>
  <c r="K12" i="40" s="1"/>
  <c r="I12" i="40"/>
  <c r="B12" i="40"/>
  <c r="M11" i="40"/>
  <c r="A11" i="40" s="1"/>
  <c r="J11" i="40"/>
  <c r="K11" i="40" s="1"/>
  <c r="I11" i="40"/>
  <c r="B11" i="40"/>
  <c r="M10" i="40"/>
  <c r="A10" i="40" s="1"/>
  <c r="J10" i="40"/>
  <c r="K10" i="40" s="1"/>
  <c r="I10" i="40"/>
  <c r="B10" i="40"/>
  <c r="M9" i="40"/>
  <c r="A9" i="40" s="1"/>
  <c r="K9" i="40"/>
  <c r="J9" i="40"/>
  <c r="I9" i="40"/>
  <c r="B9" i="40"/>
  <c r="J8" i="40"/>
  <c r="K8" i="40" s="1"/>
  <c r="I8" i="40"/>
  <c r="M8" i="40" s="1"/>
  <c r="A8" i="40" s="1"/>
  <c r="B8" i="40"/>
  <c r="K7" i="40"/>
  <c r="J7" i="40"/>
  <c r="I7" i="40"/>
  <c r="M7" i="40" s="1"/>
  <c r="A7" i="40" s="1"/>
  <c r="B7" i="40"/>
  <c r="J6" i="40"/>
  <c r="K6" i="40" s="1"/>
  <c r="I6" i="40"/>
  <c r="M6" i="40" s="1"/>
  <c r="A6" i="40" s="1"/>
  <c r="B6" i="40"/>
  <c r="K2" i="40"/>
  <c r="L6" i="40" s="1"/>
  <c r="J305" i="39"/>
  <c r="K305" i="39" s="1"/>
  <c r="I305" i="39"/>
  <c r="M305" i="39" s="1"/>
  <c r="K304" i="39"/>
  <c r="J304" i="39"/>
  <c r="I304" i="39"/>
  <c r="M304" i="39" s="1"/>
  <c r="K303" i="39"/>
  <c r="J303" i="39"/>
  <c r="I303" i="39"/>
  <c r="M303" i="39" s="1"/>
  <c r="J302" i="39"/>
  <c r="K302" i="39" s="1"/>
  <c r="I302" i="39"/>
  <c r="M302" i="39" s="1"/>
  <c r="J301" i="39"/>
  <c r="K301" i="39" s="1"/>
  <c r="I301" i="39"/>
  <c r="M301" i="39" s="1"/>
  <c r="J300" i="39"/>
  <c r="K300" i="39" s="1"/>
  <c r="I300" i="39"/>
  <c r="M300" i="39" s="1"/>
  <c r="K299" i="39"/>
  <c r="J299" i="39"/>
  <c r="I299" i="39"/>
  <c r="M299" i="39" s="1"/>
  <c r="J298" i="39"/>
  <c r="K298" i="39" s="1"/>
  <c r="I298" i="39"/>
  <c r="M298" i="39" s="1"/>
  <c r="K297" i="39"/>
  <c r="J297" i="39"/>
  <c r="I297" i="39"/>
  <c r="M297" i="39" s="1"/>
  <c r="J296" i="39"/>
  <c r="K296" i="39" s="1"/>
  <c r="I296" i="39"/>
  <c r="M296" i="39" s="1"/>
  <c r="K295" i="39"/>
  <c r="J295" i="39"/>
  <c r="I295" i="39"/>
  <c r="M295" i="39" s="1"/>
  <c r="J294" i="39"/>
  <c r="K294" i="39" s="1"/>
  <c r="I294" i="39"/>
  <c r="M294" i="39" s="1"/>
  <c r="J293" i="39"/>
  <c r="K293" i="39" s="1"/>
  <c r="I293" i="39"/>
  <c r="M293" i="39" s="1"/>
  <c r="J292" i="39"/>
  <c r="K292" i="39" s="1"/>
  <c r="I292" i="39"/>
  <c r="M292" i="39" s="1"/>
  <c r="K291" i="39"/>
  <c r="J291" i="39"/>
  <c r="I291" i="39"/>
  <c r="M291" i="39" s="1"/>
  <c r="J290" i="39"/>
  <c r="K290" i="39" s="1"/>
  <c r="I290" i="39"/>
  <c r="M290" i="39" s="1"/>
  <c r="K289" i="39"/>
  <c r="J289" i="39"/>
  <c r="I289" i="39"/>
  <c r="M289" i="39" s="1"/>
  <c r="K288" i="39"/>
  <c r="J288" i="39"/>
  <c r="I288" i="39"/>
  <c r="M288" i="39" s="1"/>
  <c r="K287" i="39"/>
  <c r="J287" i="39"/>
  <c r="I287" i="39"/>
  <c r="M287" i="39" s="1"/>
  <c r="J286" i="39"/>
  <c r="K286" i="39" s="1"/>
  <c r="I286" i="39"/>
  <c r="M286" i="39" s="1"/>
  <c r="J285" i="39"/>
  <c r="K285" i="39" s="1"/>
  <c r="I285" i="39"/>
  <c r="M285" i="39" s="1"/>
  <c r="J284" i="39"/>
  <c r="K284" i="39" s="1"/>
  <c r="I284" i="39"/>
  <c r="M284" i="39" s="1"/>
  <c r="K283" i="39"/>
  <c r="J283" i="39"/>
  <c r="I283" i="39"/>
  <c r="M283" i="39" s="1"/>
  <c r="J282" i="39"/>
  <c r="K282" i="39" s="1"/>
  <c r="I282" i="39"/>
  <c r="M282" i="39" s="1"/>
  <c r="K281" i="39"/>
  <c r="J281" i="39"/>
  <c r="I281" i="39"/>
  <c r="M281" i="39" s="1"/>
  <c r="J280" i="39"/>
  <c r="K280" i="39" s="1"/>
  <c r="I280" i="39"/>
  <c r="M280" i="39" s="1"/>
  <c r="K279" i="39"/>
  <c r="J279" i="39"/>
  <c r="I279" i="39"/>
  <c r="M279" i="39" s="1"/>
  <c r="J278" i="39"/>
  <c r="K278" i="39" s="1"/>
  <c r="I278" i="39"/>
  <c r="M278" i="39" s="1"/>
  <c r="J277" i="39"/>
  <c r="K277" i="39" s="1"/>
  <c r="I277" i="39"/>
  <c r="M277" i="39" s="1"/>
  <c r="J276" i="39"/>
  <c r="K276" i="39" s="1"/>
  <c r="I276" i="39"/>
  <c r="M276" i="39" s="1"/>
  <c r="K275" i="39"/>
  <c r="J275" i="39"/>
  <c r="I275" i="39"/>
  <c r="M275" i="39" s="1"/>
  <c r="J274" i="39"/>
  <c r="K274" i="39" s="1"/>
  <c r="I274" i="39"/>
  <c r="M274" i="39" s="1"/>
  <c r="K273" i="39"/>
  <c r="J273" i="39"/>
  <c r="I273" i="39"/>
  <c r="M273" i="39" s="1"/>
  <c r="J272" i="39"/>
  <c r="K272" i="39" s="1"/>
  <c r="I272" i="39"/>
  <c r="M272" i="39" s="1"/>
  <c r="K271" i="39"/>
  <c r="J271" i="39"/>
  <c r="I271" i="39"/>
  <c r="M271" i="39" s="1"/>
  <c r="J270" i="39"/>
  <c r="K270" i="39" s="1"/>
  <c r="I270" i="39"/>
  <c r="M270" i="39" s="1"/>
  <c r="J269" i="39"/>
  <c r="K269" i="39" s="1"/>
  <c r="I269" i="39"/>
  <c r="M269" i="39" s="1"/>
  <c r="J268" i="39"/>
  <c r="K268" i="39" s="1"/>
  <c r="I268" i="39"/>
  <c r="M268" i="39" s="1"/>
  <c r="K267" i="39"/>
  <c r="J267" i="39"/>
  <c r="I267" i="39"/>
  <c r="M267" i="39" s="1"/>
  <c r="J266" i="39"/>
  <c r="K266" i="39" s="1"/>
  <c r="I266" i="39"/>
  <c r="M266" i="39" s="1"/>
  <c r="K265" i="39"/>
  <c r="J265" i="39"/>
  <c r="I265" i="39"/>
  <c r="M265" i="39" s="1"/>
  <c r="J264" i="39"/>
  <c r="K264" i="39" s="1"/>
  <c r="I264" i="39"/>
  <c r="M264" i="39" s="1"/>
  <c r="K263" i="39"/>
  <c r="J263" i="39"/>
  <c r="I263" i="39"/>
  <c r="M263" i="39" s="1"/>
  <c r="J262" i="39"/>
  <c r="K262" i="39" s="1"/>
  <c r="I262" i="39"/>
  <c r="M262" i="39" s="1"/>
  <c r="J261" i="39"/>
  <c r="K261" i="39" s="1"/>
  <c r="I261" i="39"/>
  <c r="M261" i="39" s="1"/>
  <c r="J260" i="39"/>
  <c r="K260" i="39" s="1"/>
  <c r="I260" i="39"/>
  <c r="M260" i="39" s="1"/>
  <c r="K259" i="39"/>
  <c r="J259" i="39"/>
  <c r="I259" i="39"/>
  <c r="M259" i="39" s="1"/>
  <c r="J258" i="39"/>
  <c r="K258" i="39" s="1"/>
  <c r="I258" i="39"/>
  <c r="M258" i="39" s="1"/>
  <c r="K257" i="39"/>
  <c r="J257" i="39"/>
  <c r="I257" i="39"/>
  <c r="M257" i="39" s="1"/>
  <c r="J256" i="39"/>
  <c r="K256" i="39" s="1"/>
  <c r="I256" i="39"/>
  <c r="M256" i="39" s="1"/>
  <c r="K255" i="39"/>
  <c r="J255" i="39"/>
  <c r="I255" i="39"/>
  <c r="M255" i="39" s="1"/>
  <c r="J254" i="39"/>
  <c r="K254" i="39" s="1"/>
  <c r="I254" i="39"/>
  <c r="M254" i="39" s="1"/>
  <c r="J253" i="39"/>
  <c r="K253" i="39" s="1"/>
  <c r="I253" i="39"/>
  <c r="M253" i="39" s="1"/>
  <c r="J252" i="39"/>
  <c r="K252" i="39" s="1"/>
  <c r="I252" i="39"/>
  <c r="M252" i="39" s="1"/>
  <c r="K251" i="39"/>
  <c r="J251" i="39"/>
  <c r="I251" i="39"/>
  <c r="M251" i="39" s="1"/>
  <c r="J250" i="39"/>
  <c r="K250" i="39" s="1"/>
  <c r="I250" i="39"/>
  <c r="M250" i="39" s="1"/>
  <c r="K249" i="39"/>
  <c r="J249" i="39"/>
  <c r="I249" i="39"/>
  <c r="M249" i="39" s="1"/>
  <c r="J248" i="39"/>
  <c r="K248" i="39" s="1"/>
  <c r="I248" i="39"/>
  <c r="M248" i="39" s="1"/>
  <c r="K247" i="39"/>
  <c r="J247" i="39"/>
  <c r="I247" i="39"/>
  <c r="M247" i="39" s="1"/>
  <c r="J246" i="39"/>
  <c r="K246" i="39" s="1"/>
  <c r="I246" i="39"/>
  <c r="M246" i="39" s="1"/>
  <c r="J245" i="39"/>
  <c r="K245" i="39" s="1"/>
  <c r="I245" i="39"/>
  <c r="M245" i="39" s="1"/>
  <c r="J244" i="39"/>
  <c r="K244" i="39" s="1"/>
  <c r="I244" i="39"/>
  <c r="M244" i="39" s="1"/>
  <c r="K243" i="39"/>
  <c r="J243" i="39"/>
  <c r="I243" i="39"/>
  <c r="M243" i="39" s="1"/>
  <c r="J242" i="39"/>
  <c r="K242" i="39" s="1"/>
  <c r="I242" i="39"/>
  <c r="M242" i="39" s="1"/>
  <c r="K241" i="39"/>
  <c r="J241" i="39"/>
  <c r="I241" i="39"/>
  <c r="M241" i="39" s="1"/>
  <c r="J240" i="39"/>
  <c r="K240" i="39" s="1"/>
  <c r="I240" i="39"/>
  <c r="M240" i="39" s="1"/>
  <c r="K239" i="39"/>
  <c r="J239" i="39"/>
  <c r="I239" i="39"/>
  <c r="M239" i="39" s="1"/>
  <c r="J238" i="39"/>
  <c r="K238" i="39" s="1"/>
  <c r="I238" i="39"/>
  <c r="M238" i="39" s="1"/>
  <c r="J237" i="39"/>
  <c r="K237" i="39" s="1"/>
  <c r="I237" i="39"/>
  <c r="M237" i="39" s="1"/>
  <c r="J236" i="39"/>
  <c r="K236" i="39" s="1"/>
  <c r="I236" i="39"/>
  <c r="M236" i="39" s="1"/>
  <c r="K235" i="39"/>
  <c r="J235" i="39"/>
  <c r="I235" i="39"/>
  <c r="M235" i="39" s="1"/>
  <c r="J234" i="39"/>
  <c r="K234" i="39" s="1"/>
  <c r="I234" i="39"/>
  <c r="M234" i="39" s="1"/>
  <c r="K233" i="39"/>
  <c r="J233" i="39"/>
  <c r="I233" i="39"/>
  <c r="M233" i="39" s="1"/>
  <c r="J232" i="39"/>
  <c r="K232" i="39" s="1"/>
  <c r="I232" i="39"/>
  <c r="M232" i="39" s="1"/>
  <c r="K231" i="39"/>
  <c r="J231" i="39"/>
  <c r="I231" i="39"/>
  <c r="M231" i="39" s="1"/>
  <c r="J230" i="39"/>
  <c r="K230" i="39" s="1"/>
  <c r="I230" i="39"/>
  <c r="M230" i="39" s="1"/>
  <c r="J229" i="39"/>
  <c r="K229" i="39" s="1"/>
  <c r="I229" i="39"/>
  <c r="M229" i="39" s="1"/>
  <c r="J228" i="39"/>
  <c r="K228" i="39" s="1"/>
  <c r="I228" i="39"/>
  <c r="M228" i="39" s="1"/>
  <c r="K227" i="39"/>
  <c r="J227" i="39"/>
  <c r="I227" i="39"/>
  <c r="M227" i="39" s="1"/>
  <c r="J226" i="39"/>
  <c r="K226" i="39" s="1"/>
  <c r="I226" i="39"/>
  <c r="M226" i="39" s="1"/>
  <c r="K225" i="39"/>
  <c r="J225" i="39"/>
  <c r="I225" i="39"/>
  <c r="M225" i="39" s="1"/>
  <c r="J224" i="39"/>
  <c r="K224" i="39" s="1"/>
  <c r="I224" i="39"/>
  <c r="M224" i="39" s="1"/>
  <c r="K223" i="39"/>
  <c r="J223" i="39"/>
  <c r="I223" i="39"/>
  <c r="M223" i="39" s="1"/>
  <c r="J222" i="39"/>
  <c r="K222" i="39" s="1"/>
  <c r="I222" i="39"/>
  <c r="M222" i="39" s="1"/>
  <c r="K221" i="39"/>
  <c r="J221" i="39"/>
  <c r="I221" i="39"/>
  <c r="M221" i="39" s="1"/>
  <c r="J220" i="39"/>
  <c r="K220" i="39" s="1"/>
  <c r="I220" i="39"/>
  <c r="M220" i="39" s="1"/>
  <c r="K219" i="39"/>
  <c r="J219" i="39"/>
  <c r="I219" i="39"/>
  <c r="M219" i="39" s="1"/>
  <c r="J218" i="39"/>
  <c r="K218" i="39" s="1"/>
  <c r="I218" i="39"/>
  <c r="M218" i="39" s="1"/>
  <c r="K217" i="39"/>
  <c r="J217" i="39"/>
  <c r="I217" i="39"/>
  <c r="M217" i="39" s="1"/>
  <c r="J216" i="39"/>
  <c r="K216" i="39" s="1"/>
  <c r="I216" i="39"/>
  <c r="M216" i="39" s="1"/>
  <c r="K215" i="39"/>
  <c r="J215" i="39"/>
  <c r="I215" i="39"/>
  <c r="M215" i="39" s="1"/>
  <c r="J214" i="39"/>
  <c r="K214" i="39" s="1"/>
  <c r="I214" i="39"/>
  <c r="M214" i="39" s="1"/>
  <c r="K213" i="39"/>
  <c r="J213" i="39"/>
  <c r="I213" i="39"/>
  <c r="M213" i="39" s="1"/>
  <c r="J212" i="39"/>
  <c r="K212" i="39" s="1"/>
  <c r="I212" i="39"/>
  <c r="M212" i="39" s="1"/>
  <c r="K211" i="39"/>
  <c r="J211" i="39"/>
  <c r="I211" i="39"/>
  <c r="M211" i="39" s="1"/>
  <c r="J210" i="39"/>
  <c r="K210" i="39" s="1"/>
  <c r="I210" i="39"/>
  <c r="M210" i="39" s="1"/>
  <c r="K209" i="39"/>
  <c r="J209" i="39"/>
  <c r="I209" i="39"/>
  <c r="M209" i="39" s="1"/>
  <c r="J208" i="39"/>
  <c r="K208" i="39" s="1"/>
  <c r="I208" i="39"/>
  <c r="M208" i="39" s="1"/>
  <c r="K207" i="39"/>
  <c r="J207" i="39"/>
  <c r="I207" i="39"/>
  <c r="M207" i="39" s="1"/>
  <c r="J206" i="39"/>
  <c r="K206" i="39" s="1"/>
  <c r="I206" i="39"/>
  <c r="M206" i="39" s="1"/>
  <c r="K205" i="39"/>
  <c r="J205" i="39"/>
  <c r="I205" i="39"/>
  <c r="M205" i="39" s="1"/>
  <c r="J204" i="39"/>
  <c r="K204" i="39" s="1"/>
  <c r="I204" i="39"/>
  <c r="M204" i="39" s="1"/>
  <c r="K203" i="39"/>
  <c r="J203" i="39"/>
  <c r="I203" i="39"/>
  <c r="M203" i="39" s="1"/>
  <c r="J202" i="39"/>
  <c r="K202" i="39" s="1"/>
  <c r="I202" i="39"/>
  <c r="M202" i="39" s="1"/>
  <c r="K201" i="39"/>
  <c r="J201" i="39"/>
  <c r="I201" i="39"/>
  <c r="M201" i="39" s="1"/>
  <c r="J200" i="39"/>
  <c r="K200" i="39" s="1"/>
  <c r="I200" i="39"/>
  <c r="M200" i="39" s="1"/>
  <c r="K199" i="39"/>
  <c r="J199" i="39"/>
  <c r="I199" i="39"/>
  <c r="M199" i="39" s="1"/>
  <c r="J198" i="39"/>
  <c r="K198" i="39" s="1"/>
  <c r="I198" i="39"/>
  <c r="M198" i="39" s="1"/>
  <c r="K197" i="39"/>
  <c r="J197" i="39"/>
  <c r="I197" i="39"/>
  <c r="M197" i="39" s="1"/>
  <c r="J196" i="39"/>
  <c r="K196" i="39" s="1"/>
  <c r="I196" i="39"/>
  <c r="M196" i="39" s="1"/>
  <c r="K195" i="39"/>
  <c r="J195" i="39"/>
  <c r="I195" i="39"/>
  <c r="M195" i="39" s="1"/>
  <c r="J194" i="39"/>
  <c r="K194" i="39" s="1"/>
  <c r="I194" i="39"/>
  <c r="M194" i="39" s="1"/>
  <c r="K193" i="39"/>
  <c r="J193" i="39"/>
  <c r="I193" i="39"/>
  <c r="M193" i="39" s="1"/>
  <c r="J192" i="39"/>
  <c r="K192" i="39" s="1"/>
  <c r="I192" i="39"/>
  <c r="M192" i="39" s="1"/>
  <c r="K191" i="39"/>
  <c r="J191" i="39"/>
  <c r="I191" i="39"/>
  <c r="M191" i="39" s="1"/>
  <c r="J190" i="39"/>
  <c r="K190" i="39" s="1"/>
  <c r="I190" i="39"/>
  <c r="M190" i="39" s="1"/>
  <c r="K189" i="39"/>
  <c r="J189" i="39"/>
  <c r="I189" i="39"/>
  <c r="M189" i="39" s="1"/>
  <c r="J188" i="39"/>
  <c r="K188" i="39" s="1"/>
  <c r="I188" i="39"/>
  <c r="M188" i="39" s="1"/>
  <c r="K187" i="39"/>
  <c r="J187" i="39"/>
  <c r="I187" i="39"/>
  <c r="M187" i="39" s="1"/>
  <c r="J186" i="39"/>
  <c r="K186" i="39" s="1"/>
  <c r="I186" i="39"/>
  <c r="M186" i="39" s="1"/>
  <c r="K185" i="39"/>
  <c r="J185" i="39"/>
  <c r="I185" i="39"/>
  <c r="M185" i="39" s="1"/>
  <c r="J184" i="39"/>
  <c r="K184" i="39" s="1"/>
  <c r="I184" i="39"/>
  <c r="M184" i="39" s="1"/>
  <c r="K183" i="39"/>
  <c r="J183" i="39"/>
  <c r="I183" i="39"/>
  <c r="M183" i="39" s="1"/>
  <c r="J182" i="39"/>
  <c r="K182" i="39" s="1"/>
  <c r="I182" i="39"/>
  <c r="M182" i="39" s="1"/>
  <c r="K181" i="39"/>
  <c r="J181" i="39"/>
  <c r="I181" i="39"/>
  <c r="M181" i="39" s="1"/>
  <c r="J180" i="39"/>
  <c r="K180" i="39" s="1"/>
  <c r="I180" i="39"/>
  <c r="M180" i="39" s="1"/>
  <c r="K179" i="39"/>
  <c r="J179" i="39"/>
  <c r="I179" i="39"/>
  <c r="M179" i="39" s="1"/>
  <c r="J178" i="39"/>
  <c r="K178" i="39" s="1"/>
  <c r="I178" i="39"/>
  <c r="M178" i="39" s="1"/>
  <c r="K177" i="39"/>
  <c r="J177" i="39"/>
  <c r="I177" i="39"/>
  <c r="M177" i="39" s="1"/>
  <c r="J176" i="39"/>
  <c r="K176" i="39" s="1"/>
  <c r="I176" i="39"/>
  <c r="M176" i="39" s="1"/>
  <c r="K175" i="39"/>
  <c r="J175" i="39"/>
  <c r="I175" i="39"/>
  <c r="M175" i="39" s="1"/>
  <c r="J174" i="39"/>
  <c r="K174" i="39" s="1"/>
  <c r="I174" i="39"/>
  <c r="M174" i="39" s="1"/>
  <c r="K173" i="39"/>
  <c r="J173" i="39"/>
  <c r="I173" i="39"/>
  <c r="M173" i="39" s="1"/>
  <c r="J172" i="39"/>
  <c r="K172" i="39" s="1"/>
  <c r="I172" i="39"/>
  <c r="M172" i="39" s="1"/>
  <c r="K171" i="39"/>
  <c r="J171" i="39"/>
  <c r="I171" i="39"/>
  <c r="M171" i="39" s="1"/>
  <c r="J170" i="39"/>
  <c r="K170" i="39" s="1"/>
  <c r="I170" i="39"/>
  <c r="M170" i="39" s="1"/>
  <c r="K169" i="39"/>
  <c r="J169" i="39"/>
  <c r="I169" i="39"/>
  <c r="M169" i="39" s="1"/>
  <c r="J168" i="39"/>
  <c r="K168" i="39" s="1"/>
  <c r="I168" i="39"/>
  <c r="M168" i="39" s="1"/>
  <c r="K167" i="39"/>
  <c r="J167" i="39"/>
  <c r="I167" i="39"/>
  <c r="M167" i="39" s="1"/>
  <c r="J166" i="39"/>
  <c r="K166" i="39" s="1"/>
  <c r="I166" i="39"/>
  <c r="M166" i="39" s="1"/>
  <c r="K165" i="39"/>
  <c r="J165" i="39"/>
  <c r="I165" i="39"/>
  <c r="M165" i="39" s="1"/>
  <c r="J164" i="39"/>
  <c r="K164" i="39" s="1"/>
  <c r="I164" i="39"/>
  <c r="M164" i="39" s="1"/>
  <c r="K163" i="39"/>
  <c r="J163" i="39"/>
  <c r="I163" i="39"/>
  <c r="M163" i="39" s="1"/>
  <c r="J162" i="39"/>
  <c r="K162" i="39" s="1"/>
  <c r="I162" i="39"/>
  <c r="M162" i="39" s="1"/>
  <c r="K161" i="39"/>
  <c r="J161" i="39"/>
  <c r="I161" i="39"/>
  <c r="M161" i="39" s="1"/>
  <c r="J160" i="39"/>
  <c r="K160" i="39" s="1"/>
  <c r="I160" i="39"/>
  <c r="M160" i="39" s="1"/>
  <c r="K159" i="39"/>
  <c r="J159" i="39"/>
  <c r="I159" i="39"/>
  <c r="M159" i="39" s="1"/>
  <c r="J158" i="39"/>
  <c r="K158" i="39" s="1"/>
  <c r="I158" i="39"/>
  <c r="M158" i="39" s="1"/>
  <c r="K157" i="39"/>
  <c r="J157" i="39"/>
  <c r="I157" i="39"/>
  <c r="M157" i="39" s="1"/>
  <c r="J156" i="39"/>
  <c r="K156" i="39" s="1"/>
  <c r="I156" i="39"/>
  <c r="M156" i="39" s="1"/>
  <c r="K155" i="39"/>
  <c r="J155" i="39"/>
  <c r="I155" i="39"/>
  <c r="M155" i="39" s="1"/>
  <c r="J154" i="39"/>
  <c r="K154" i="39" s="1"/>
  <c r="I154" i="39"/>
  <c r="M154" i="39" s="1"/>
  <c r="K153" i="39"/>
  <c r="J153" i="39"/>
  <c r="I153" i="39"/>
  <c r="M153" i="39" s="1"/>
  <c r="J152" i="39"/>
  <c r="K152" i="39" s="1"/>
  <c r="I152" i="39"/>
  <c r="M152" i="39" s="1"/>
  <c r="K151" i="39"/>
  <c r="J151" i="39"/>
  <c r="I151" i="39"/>
  <c r="M151" i="39" s="1"/>
  <c r="J150" i="39"/>
  <c r="K150" i="39" s="1"/>
  <c r="I150" i="39"/>
  <c r="M150" i="39" s="1"/>
  <c r="K149" i="39"/>
  <c r="J149" i="39"/>
  <c r="I149" i="39"/>
  <c r="M149" i="39" s="1"/>
  <c r="J148" i="39"/>
  <c r="K148" i="39" s="1"/>
  <c r="I148" i="39"/>
  <c r="M148" i="39" s="1"/>
  <c r="K147" i="39"/>
  <c r="J147" i="39"/>
  <c r="I147" i="39"/>
  <c r="M147" i="39" s="1"/>
  <c r="J146" i="39"/>
  <c r="K146" i="39" s="1"/>
  <c r="I146" i="39"/>
  <c r="M146" i="39" s="1"/>
  <c r="K145" i="39"/>
  <c r="J145" i="39"/>
  <c r="I145" i="39"/>
  <c r="M145" i="39" s="1"/>
  <c r="J144" i="39"/>
  <c r="K144" i="39" s="1"/>
  <c r="I144" i="39"/>
  <c r="M144" i="39" s="1"/>
  <c r="K143" i="39"/>
  <c r="J143" i="39"/>
  <c r="I143" i="39"/>
  <c r="M143" i="39" s="1"/>
  <c r="J142" i="39"/>
  <c r="K142" i="39" s="1"/>
  <c r="I142" i="39"/>
  <c r="M142" i="39" s="1"/>
  <c r="K141" i="39"/>
  <c r="J141" i="39"/>
  <c r="I141" i="39"/>
  <c r="M141" i="39" s="1"/>
  <c r="J140" i="39"/>
  <c r="K140" i="39" s="1"/>
  <c r="I140" i="39"/>
  <c r="M140" i="39" s="1"/>
  <c r="K139" i="39"/>
  <c r="J139" i="39"/>
  <c r="I139" i="39"/>
  <c r="M139" i="39" s="1"/>
  <c r="J138" i="39"/>
  <c r="K138" i="39" s="1"/>
  <c r="I138" i="39"/>
  <c r="M138" i="39" s="1"/>
  <c r="K137" i="39"/>
  <c r="J137" i="39"/>
  <c r="I137" i="39"/>
  <c r="M137" i="39" s="1"/>
  <c r="K136" i="39"/>
  <c r="J136" i="39"/>
  <c r="I136" i="39"/>
  <c r="M136" i="39" s="1"/>
  <c r="K135" i="39"/>
  <c r="J135" i="39"/>
  <c r="I135" i="39"/>
  <c r="M135" i="39" s="1"/>
  <c r="K134" i="39"/>
  <c r="J134" i="39"/>
  <c r="I134" i="39"/>
  <c r="M134" i="39" s="1"/>
  <c r="K133" i="39"/>
  <c r="J133" i="39"/>
  <c r="I133" i="39"/>
  <c r="M133" i="39" s="1"/>
  <c r="J132" i="39"/>
  <c r="K132" i="39" s="1"/>
  <c r="I132" i="39"/>
  <c r="M132" i="39" s="1"/>
  <c r="K131" i="39"/>
  <c r="J131" i="39"/>
  <c r="I131" i="39"/>
  <c r="M131" i="39" s="1"/>
  <c r="J130" i="39"/>
  <c r="K130" i="39" s="1"/>
  <c r="I130" i="39"/>
  <c r="M130" i="39" s="1"/>
  <c r="K129" i="39"/>
  <c r="J129" i="39"/>
  <c r="I129" i="39"/>
  <c r="M129" i="39" s="1"/>
  <c r="J128" i="39"/>
  <c r="K128" i="39" s="1"/>
  <c r="I128" i="39"/>
  <c r="M128" i="39" s="1"/>
  <c r="K127" i="39"/>
  <c r="J127" i="39"/>
  <c r="I127" i="39"/>
  <c r="M127" i="39" s="1"/>
  <c r="J126" i="39"/>
  <c r="K126" i="39" s="1"/>
  <c r="I126" i="39"/>
  <c r="M126" i="39" s="1"/>
  <c r="K125" i="39"/>
  <c r="J125" i="39"/>
  <c r="I125" i="39"/>
  <c r="M125" i="39" s="1"/>
  <c r="J124" i="39"/>
  <c r="K124" i="39" s="1"/>
  <c r="I124" i="39"/>
  <c r="M124" i="39" s="1"/>
  <c r="K123" i="39"/>
  <c r="J123" i="39"/>
  <c r="I123" i="39"/>
  <c r="M123" i="39" s="1"/>
  <c r="J122" i="39"/>
  <c r="K122" i="39" s="1"/>
  <c r="I122" i="39"/>
  <c r="M122" i="39" s="1"/>
  <c r="K121" i="39"/>
  <c r="J121" i="39"/>
  <c r="I121" i="39"/>
  <c r="M121" i="39" s="1"/>
  <c r="J120" i="39"/>
  <c r="K120" i="39" s="1"/>
  <c r="I120" i="39"/>
  <c r="M120" i="39" s="1"/>
  <c r="K119" i="39"/>
  <c r="J119" i="39"/>
  <c r="I119" i="39"/>
  <c r="M119" i="39" s="1"/>
  <c r="J118" i="39"/>
  <c r="K118" i="39" s="1"/>
  <c r="I118" i="39"/>
  <c r="M118" i="39" s="1"/>
  <c r="K117" i="39"/>
  <c r="J117" i="39"/>
  <c r="I117" i="39"/>
  <c r="M117" i="39" s="1"/>
  <c r="J116" i="39"/>
  <c r="K116" i="39" s="1"/>
  <c r="I116" i="39"/>
  <c r="M116" i="39" s="1"/>
  <c r="K115" i="39"/>
  <c r="J115" i="39"/>
  <c r="I115" i="39"/>
  <c r="M115" i="39" s="1"/>
  <c r="J114" i="39"/>
  <c r="K114" i="39" s="1"/>
  <c r="I114" i="39"/>
  <c r="M114" i="39" s="1"/>
  <c r="K113" i="39"/>
  <c r="J113" i="39"/>
  <c r="I113" i="39"/>
  <c r="M113" i="39" s="1"/>
  <c r="J112" i="39"/>
  <c r="K112" i="39" s="1"/>
  <c r="I112" i="39"/>
  <c r="M112" i="39" s="1"/>
  <c r="K111" i="39"/>
  <c r="J111" i="39"/>
  <c r="I111" i="39"/>
  <c r="M111" i="39" s="1"/>
  <c r="J110" i="39"/>
  <c r="K110" i="39" s="1"/>
  <c r="I110" i="39"/>
  <c r="M110" i="39" s="1"/>
  <c r="K109" i="39"/>
  <c r="J109" i="39"/>
  <c r="I109" i="39"/>
  <c r="M109" i="39" s="1"/>
  <c r="J108" i="39"/>
  <c r="K108" i="39" s="1"/>
  <c r="I108" i="39"/>
  <c r="M108" i="39" s="1"/>
  <c r="K107" i="39"/>
  <c r="J107" i="39"/>
  <c r="I107" i="39"/>
  <c r="M107" i="39" s="1"/>
  <c r="J106" i="39"/>
  <c r="K106" i="39" s="1"/>
  <c r="I106" i="39"/>
  <c r="M106" i="39" s="1"/>
  <c r="K105" i="39"/>
  <c r="J105" i="39"/>
  <c r="I105" i="39"/>
  <c r="M105" i="39" s="1"/>
  <c r="J104" i="39"/>
  <c r="K104" i="39" s="1"/>
  <c r="I104" i="39"/>
  <c r="M104" i="39" s="1"/>
  <c r="K103" i="39"/>
  <c r="J103" i="39"/>
  <c r="I103" i="39"/>
  <c r="M103" i="39" s="1"/>
  <c r="J102" i="39"/>
  <c r="K102" i="39" s="1"/>
  <c r="I102" i="39"/>
  <c r="M102" i="39" s="1"/>
  <c r="K101" i="39"/>
  <c r="J101" i="39"/>
  <c r="I101" i="39"/>
  <c r="M101" i="39" s="1"/>
  <c r="J100" i="39"/>
  <c r="K100" i="39" s="1"/>
  <c r="I100" i="39"/>
  <c r="M100" i="39" s="1"/>
  <c r="K99" i="39"/>
  <c r="J99" i="39"/>
  <c r="I99" i="39"/>
  <c r="M99" i="39" s="1"/>
  <c r="J98" i="39"/>
  <c r="K98" i="39" s="1"/>
  <c r="I98" i="39"/>
  <c r="M98" i="39" s="1"/>
  <c r="K97" i="39"/>
  <c r="J97" i="39"/>
  <c r="I97" i="39"/>
  <c r="M97" i="39" s="1"/>
  <c r="J96" i="39"/>
  <c r="K96" i="39" s="1"/>
  <c r="I96" i="39"/>
  <c r="M96" i="39" s="1"/>
  <c r="K95" i="39"/>
  <c r="J95" i="39"/>
  <c r="I95" i="39"/>
  <c r="M95" i="39" s="1"/>
  <c r="J94" i="39"/>
  <c r="K94" i="39" s="1"/>
  <c r="I94" i="39"/>
  <c r="M94" i="39" s="1"/>
  <c r="K93" i="39"/>
  <c r="J93" i="39"/>
  <c r="I93" i="39"/>
  <c r="M93" i="39" s="1"/>
  <c r="J92" i="39"/>
  <c r="K92" i="39" s="1"/>
  <c r="I92" i="39"/>
  <c r="M92" i="39" s="1"/>
  <c r="K91" i="39"/>
  <c r="J91" i="39"/>
  <c r="I91" i="39"/>
  <c r="M91" i="39" s="1"/>
  <c r="J90" i="39"/>
  <c r="K90" i="39" s="1"/>
  <c r="I90" i="39"/>
  <c r="M90" i="39" s="1"/>
  <c r="K89" i="39"/>
  <c r="J89" i="39"/>
  <c r="I89" i="39"/>
  <c r="M89" i="39" s="1"/>
  <c r="J88" i="39"/>
  <c r="K88" i="39" s="1"/>
  <c r="I88" i="39"/>
  <c r="M88" i="39" s="1"/>
  <c r="K87" i="39"/>
  <c r="J87" i="39"/>
  <c r="I87" i="39"/>
  <c r="M87" i="39" s="1"/>
  <c r="J86" i="39"/>
  <c r="K86" i="39" s="1"/>
  <c r="I86" i="39"/>
  <c r="M86" i="39" s="1"/>
  <c r="K85" i="39"/>
  <c r="J85" i="39"/>
  <c r="I85" i="39"/>
  <c r="M85" i="39" s="1"/>
  <c r="J84" i="39"/>
  <c r="K84" i="39" s="1"/>
  <c r="I84" i="39"/>
  <c r="M84" i="39" s="1"/>
  <c r="K83" i="39"/>
  <c r="J83" i="39"/>
  <c r="I83" i="39"/>
  <c r="M83" i="39" s="1"/>
  <c r="J82" i="39"/>
  <c r="K82" i="39" s="1"/>
  <c r="I82" i="39"/>
  <c r="M82" i="39" s="1"/>
  <c r="K81" i="39"/>
  <c r="J81" i="39"/>
  <c r="I81" i="39"/>
  <c r="M81" i="39" s="1"/>
  <c r="J80" i="39"/>
  <c r="K80" i="39" s="1"/>
  <c r="I80" i="39"/>
  <c r="M80" i="39" s="1"/>
  <c r="K79" i="39"/>
  <c r="J79" i="39"/>
  <c r="I79" i="39"/>
  <c r="M79" i="39" s="1"/>
  <c r="A79" i="39" s="1"/>
  <c r="K78" i="39"/>
  <c r="J78" i="39"/>
  <c r="I78" i="39"/>
  <c r="M78" i="39" s="1"/>
  <c r="A78" i="39" s="1"/>
  <c r="M77" i="39"/>
  <c r="A77" i="39" s="1"/>
  <c r="K77" i="39"/>
  <c r="J77" i="39"/>
  <c r="I77" i="39"/>
  <c r="J76" i="39"/>
  <c r="K76" i="39" s="1"/>
  <c r="I76" i="39"/>
  <c r="M76" i="39" s="1"/>
  <c r="A76" i="39" s="1"/>
  <c r="J75" i="39"/>
  <c r="K75" i="39" s="1"/>
  <c r="I75" i="39"/>
  <c r="M75" i="39" s="1"/>
  <c r="A75" i="39" s="1"/>
  <c r="M74" i="39"/>
  <c r="A74" i="39" s="1"/>
  <c r="K74" i="39"/>
  <c r="J74" i="39"/>
  <c r="I74" i="39"/>
  <c r="K73" i="39"/>
  <c r="J73" i="39"/>
  <c r="I73" i="39"/>
  <c r="M73" i="39" s="1"/>
  <c r="A73" i="39" s="1"/>
  <c r="J72" i="39"/>
  <c r="K72" i="39" s="1"/>
  <c r="I72" i="39"/>
  <c r="M72" i="39" s="1"/>
  <c r="A72" i="39" s="1"/>
  <c r="K71" i="39"/>
  <c r="J71" i="39"/>
  <c r="I71" i="39"/>
  <c r="M71" i="39" s="1"/>
  <c r="A71" i="39" s="1"/>
  <c r="K70" i="39"/>
  <c r="J70" i="39"/>
  <c r="I70" i="39"/>
  <c r="M70" i="39" s="1"/>
  <c r="A70" i="39" s="1"/>
  <c r="M69" i="39"/>
  <c r="A69" i="39" s="1"/>
  <c r="K69" i="39"/>
  <c r="J69" i="39"/>
  <c r="I69" i="39"/>
  <c r="J68" i="39"/>
  <c r="K68" i="39" s="1"/>
  <c r="I68" i="39"/>
  <c r="M68" i="39" s="1"/>
  <c r="A68" i="39" s="1"/>
  <c r="J67" i="39"/>
  <c r="K67" i="39" s="1"/>
  <c r="I67" i="39"/>
  <c r="M67" i="39" s="1"/>
  <c r="A67" i="39" s="1"/>
  <c r="M66" i="39"/>
  <c r="A66" i="39" s="1"/>
  <c r="K66" i="39"/>
  <c r="J66" i="39"/>
  <c r="I66" i="39"/>
  <c r="K65" i="39"/>
  <c r="J65" i="39"/>
  <c r="I65" i="39"/>
  <c r="M65" i="39" s="1"/>
  <c r="A65" i="39" s="1"/>
  <c r="B65" i="39"/>
  <c r="J64" i="39"/>
  <c r="K64" i="39" s="1"/>
  <c r="I64" i="39"/>
  <c r="M64" i="39" s="1"/>
  <c r="A64" i="39" s="1"/>
  <c r="B64" i="39"/>
  <c r="M63" i="39"/>
  <c r="A63" i="39" s="1"/>
  <c r="K63" i="39"/>
  <c r="J63" i="39"/>
  <c r="I63" i="39"/>
  <c r="B63" i="39"/>
  <c r="K62" i="39"/>
  <c r="J62" i="39"/>
  <c r="I62" i="39"/>
  <c r="M62" i="39" s="1"/>
  <c r="A62" i="39" s="1"/>
  <c r="B62" i="39"/>
  <c r="K61" i="39"/>
  <c r="J61" i="39"/>
  <c r="I61" i="39"/>
  <c r="M61" i="39" s="1"/>
  <c r="A61" i="39" s="1"/>
  <c r="B61" i="39"/>
  <c r="J60" i="39"/>
  <c r="K60" i="39" s="1"/>
  <c r="I60" i="39"/>
  <c r="M60" i="39" s="1"/>
  <c r="A60" i="39" s="1"/>
  <c r="B60" i="39"/>
  <c r="M59" i="39"/>
  <c r="A59" i="39" s="1"/>
  <c r="K59" i="39"/>
  <c r="J59" i="39"/>
  <c r="I59" i="39"/>
  <c r="B59" i="39"/>
  <c r="K58" i="39"/>
  <c r="J58" i="39"/>
  <c r="I58" i="39"/>
  <c r="M58" i="39" s="1"/>
  <c r="A58" i="39" s="1"/>
  <c r="B58" i="39"/>
  <c r="K57" i="39"/>
  <c r="J57" i="39"/>
  <c r="I57" i="39"/>
  <c r="M57" i="39" s="1"/>
  <c r="A57" i="39" s="1"/>
  <c r="B57" i="39"/>
  <c r="J56" i="39"/>
  <c r="K56" i="39" s="1"/>
  <c r="I56" i="39"/>
  <c r="M56" i="39" s="1"/>
  <c r="A56" i="39" s="1"/>
  <c r="B56" i="39"/>
  <c r="M55" i="39"/>
  <c r="A55" i="39" s="1"/>
  <c r="K55" i="39"/>
  <c r="J55" i="39"/>
  <c r="I55" i="39"/>
  <c r="B55" i="39"/>
  <c r="K54" i="39"/>
  <c r="J54" i="39"/>
  <c r="I54" i="39"/>
  <c r="M54" i="39" s="1"/>
  <c r="A54" i="39" s="1"/>
  <c r="B54" i="39"/>
  <c r="K53" i="39"/>
  <c r="J53" i="39"/>
  <c r="I53" i="39"/>
  <c r="M53" i="39" s="1"/>
  <c r="A53" i="39" s="1"/>
  <c r="B53" i="39"/>
  <c r="J52" i="39"/>
  <c r="K52" i="39" s="1"/>
  <c r="I52" i="39"/>
  <c r="M52" i="39" s="1"/>
  <c r="A52" i="39" s="1"/>
  <c r="B52" i="39"/>
  <c r="M51" i="39"/>
  <c r="A51" i="39" s="1"/>
  <c r="K51" i="39"/>
  <c r="J51" i="39"/>
  <c r="I51" i="39"/>
  <c r="B51" i="39"/>
  <c r="K50" i="39"/>
  <c r="J50" i="39"/>
  <c r="I50" i="39"/>
  <c r="M50" i="39" s="1"/>
  <c r="A50" i="39" s="1"/>
  <c r="B50" i="39"/>
  <c r="K49" i="39"/>
  <c r="J49" i="39"/>
  <c r="I49" i="39"/>
  <c r="M49" i="39" s="1"/>
  <c r="A49" i="39" s="1"/>
  <c r="B49" i="39"/>
  <c r="J48" i="39"/>
  <c r="K48" i="39" s="1"/>
  <c r="I48" i="39"/>
  <c r="M48" i="39" s="1"/>
  <c r="A48" i="39" s="1"/>
  <c r="B48" i="39"/>
  <c r="M47" i="39"/>
  <c r="A47" i="39" s="1"/>
  <c r="K47" i="39"/>
  <c r="J47" i="39"/>
  <c r="I47" i="39"/>
  <c r="B47" i="39"/>
  <c r="T46" i="39"/>
  <c r="R46" i="39"/>
  <c r="U46" i="39" s="1"/>
  <c r="K46" i="39"/>
  <c r="J46" i="39"/>
  <c r="I46" i="39"/>
  <c r="M46" i="39" s="1"/>
  <c r="A46" i="39" s="1"/>
  <c r="B46" i="39"/>
  <c r="M45" i="39"/>
  <c r="A45" i="39" s="1"/>
  <c r="K45" i="39"/>
  <c r="J45" i="39"/>
  <c r="I45" i="39"/>
  <c r="B45" i="39"/>
  <c r="J44" i="39"/>
  <c r="K44" i="39" s="1"/>
  <c r="I44" i="39"/>
  <c r="M44" i="39" s="1"/>
  <c r="A44" i="39" s="1"/>
  <c r="B44" i="39"/>
  <c r="K43" i="39"/>
  <c r="J43" i="39"/>
  <c r="I43" i="39"/>
  <c r="M43" i="39" s="1"/>
  <c r="A43" i="39" s="1"/>
  <c r="B43" i="39"/>
  <c r="K42" i="39"/>
  <c r="J42" i="39"/>
  <c r="I42" i="39"/>
  <c r="M42" i="39" s="1"/>
  <c r="A42" i="39" s="1"/>
  <c r="B42" i="39"/>
  <c r="M41" i="39"/>
  <c r="A41" i="39" s="1"/>
  <c r="K41" i="39"/>
  <c r="J41" i="39"/>
  <c r="I41" i="39"/>
  <c r="B41" i="39"/>
  <c r="J40" i="39"/>
  <c r="K40" i="39" s="1"/>
  <c r="I40" i="39"/>
  <c r="M40" i="39" s="1"/>
  <c r="A40" i="39" s="1"/>
  <c r="B40" i="39"/>
  <c r="M39" i="39"/>
  <c r="K39" i="39"/>
  <c r="J39" i="39"/>
  <c r="I39" i="39"/>
  <c r="B39" i="39"/>
  <c r="A39" i="39"/>
  <c r="J38" i="39"/>
  <c r="K38" i="39" s="1"/>
  <c r="I38" i="39"/>
  <c r="M38" i="39" s="1"/>
  <c r="A38" i="39" s="1"/>
  <c r="B38" i="39"/>
  <c r="M37" i="39"/>
  <c r="A37" i="39" s="1"/>
  <c r="K37" i="39"/>
  <c r="J37" i="39"/>
  <c r="I37" i="39"/>
  <c r="B37" i="39"/>
  <c r="J36" i="39"/>
  <c r="K36" i="39" s="1"/>
  <c r="I36" i="39"/>
  <c r="M36" i="39" s="1"/>
  <c r="A36" i="39" s="1"/>
  <c r="B36" i="39"/>
  <c r="M35" i="39"/>
  <c r="K35" i="39"/>
  <c r="J35" i="39"/>
  <c r="I35" i="39"/>
  <c r="B35" i="39"/>
  <c r="A35" i="39"/>
  <c r="J34" i="39"/>
  <c r="K34" i="39" s="1"/>
  <c r="I34" i="39"/>
  <c r="M34" i="39" s="1"/>
  <c r="A34" i="39" s="1"/>
  <c r="B34" i="39"/>
  <c r="M33" i="39"/>
  <c r="A33" i="39" s="1"/>
  <c r="K33" i="39"/>
  <c r="J33" i="39"/>
  <c r="I33" i="39"/>
  <c r="B33" i="39"/>
  <c r="J32" i="39"/>
  <c r="K32" i="39" s="1"/>
  <c r="I32" i="39"/>
  <c r="M32" i="39" s="1"/>
  <c r="A32" i="39" s="1"/>
  <c r="B32" i="39"/>
  <c r="M31" i="39"/>
  <c r="K31" i="39"/>
  <c r="J31" i="39"/>
  <c r="I31" i="39"/>
  <c r="B31" i="39"/>
  <c r="A31" i="39"/>
  <c r="J30" i="39"/>
  <c r="K30" i="39" s="1"/>
  <c r="I30" i="39"/>
  <c r="M30" i="39" s="1"/>
  <c r="A30" i="39" s="1"/>
  <c r="B30" i="39"/>
  <c r="M29" i="39"/>
  <c r="A29" i="39" s="1"/>
  <c r="K29" i="39"/>
  <c r="J29" i="39"/>
  <c r="I29" i="39"/>
  <c r="B29" i="39"/>
  <c r="J28" i="39"/>
  <c r="K28" i="39" s="1"/>
  <c r="I28" i="39"/>
  <c r="M28" i="39" s="1"/>
  <c r="A28" i="39" s="1"/>
  <c r="B28" i="39"/>
  <c r="M27" i="39"/>
  <c r="K27" i="39"/>
  <c r="J27" i="39"/>
  <c r="I27" i="39"/>
  <c r="B27" i="39"/>
  <c r="A27" i="39"/>
  <c r="J26" i="39"/>
  <c r="K26" i="39" s="1"/>
  <c r="I26" i="39"/>
  <c r="M26" i="39" s="1"/>
  <c r="A26" i="39" s="1"/>
  <c r="B26" i="39"/>
  <c r="M25" i="39"/>
  <c r="A25" i="39" s="1"/>
  <c r="K25" i="39"/>
  <c r="J25" i="39"/>
  <c r="I25" i="39"/>
  <c r="B25" i="39"/>
  <c r="J24" i="39"/>
  <c r="K24" i="39" s="1"/>
  <c r="I24" i="39"/>
  <c r="M24" i="39" s="1"/>
  <c r="A24" i="39" s="1"/>
  <c r="B24" i="39"/>
  <c r="M23" i="39"/>
  <c r="K23" i="39"/>
  <c r="J23" i="39"/>
  <c r="I23" i="39"/>
  <c r="B23" i="39"/>
  <c r="A23" i="39"/>
  <c r="J22" i="39"/>
  <c r="K22" i="39" s="1"/>
  <c r="I22" i="39"/>
  <c r="M22" i="39" s="1"/>
  <c r="A22" i="39" s="1"/>
  <c r="B22" i="39"/>
  <c r="M21" i="39"/>
  <c r="A21" i="39" s="1"/>
  <c r="J21" i="39"/>
  <c r="K21" i="39" s="1"/>
  <c r="I21" i="39"/>
  <c r="B21" i="39"/>
  <c r="J20" i="39"/>
  <c r="K20" i="39" s="1"/>
  <c r="I20" i="39"/>
  <c r="M20" i="39" s="1"/>
  <c r="A20" i="39" s="1"/>
  <c r="B20" i="39"/>
  <c r="M19" i="39"/>
  <c r="J19" i="39"/>
  <c r="K19" i="39" s="1"/>
  <c r="I19" i="39"/>
  <c r="B19" i="39"/>
  <c r="A19" i="39"/>
  <c r="M18" i="39"/>
  <c r="A18" i="39" s="1"/>
  <c r="J18" i="39"/>
  <c r="K18" i="39" s="1"/>
  <c r="I18" i="39"/>
  <c r="B18" i="39"/>
  <c r="M17" i="39"/>
  <c r="A17" i="39" s="1"/>
  <c r="J17" i="39"/>
  <c r="K17" i="39" s="1"/>
  <c r="I17" i="39"/>
  <c r="B17" i="39"/>
  <c r="K16" i="39"/>
  <c r="J16" i="39"/>
  <c r="I16" i="39"/>
  <c r="M16" i="39" s="1"/>
  <c r="A16" i="39" s="1"/>
  <c r="B16" i="39"/>
  <c r="K15" i="39"/>
  <c r="J15" i="39"/>
  <c r="I15" i="39"/>
  <c r="M15" i="39" s="1"/>
  <c r="A15" i="39" s="1"/>
  <c r="B15" i="39"/>
  <c r="AI14" i="39"/>
  <c r="M14" i="39"/>
  <c r="J14" i="39"/>
  <c r="K14" i="39" s="1"/>
  <c r="I14" i="39"/>
  <c r="B14" i="39"/>
  <c r="A14" i="39"/>
  <c r="AI13" i="39"/>
  <c r="J13" i="39"/>
  <c r="K13" i="39" s="1"/>
  <c r="I13" i="39"/>
  <c r="M13" i="39" s="1"/>
  <c r="A13" i="39" s="1"/>
  <c r="B13" i="39"/>
  <c r="AI12" i="39"/>
  <c r="AI16" i="39" s="1"/>
  <c r="M12" i="39"/>
  <c r="A12" i="39" s="1"/>
  <c r="J12" i="39"/>
  <c r="K12" i="39" s="1"/>
  <c r="I12" i="39"/>
  <c r="B12" i="39"/>
  <c r="M11" i="39"/>
  <c r="A11" i="39" s="1"/>
  <c r="J11" i="39"/>
  <c r="K11" i="39" s="1"/>
  <c r="I11" i="39"/>
  <c r="B11" i="39"/>
  <c r="M10" i="39"/>
  <c r="A10" i="39" s="1"/>
  <c r="J10" i="39"/>
  <c r="K10" i="39" s="1"/>
  <c r="I10" i="39"/>
  <c r="B10" i="39"/>
  <c r="K9" i="39"/>
  <c r="J9" i="39"/>
  <c r="I9" i="39"/>
  <c r="M9" i="39" s="1"/>
  <c r="A9" i="39" s="1"/>
  <c r="B9" i="39"/>
  <c r="J8" i="39"/>
  <c r="K8" i="39" s="1"/>
  <c r="I8" i="39"/>
  <c r="M8" i="39" s="1"/>
  <c r="A8" i="39" s="1"/>
  <c r="B8" i="39"/>
  <c r="J7" i="39"/>
  <c r="K7" i="39" s="1"/>
  <c r="I7" i="39"/>
  <c r="M7" i="39" s="1"/>
  <c r="A7" i="39" s="1"/>
  <c r="B7" i="39"/>
  <c r="J6" i="39"/>
  <c r="K6" i="39" s="1"/>
  <c r="I6" i="39"/>
  <c r="M6" i="39" s="1"/>
  <c r="A6" i="39" s="1"/>
  <c r="B6" i="39"/>
  <c r="K2" i="39"/>
  <c r="L6" i="39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M218" i="38"/>
  <c r="J218" i="38"/>
  <c r="K218" i="38" s="1"/>
  <c r="I218" i="38"/>
  <c r="J217" i="38"/>
  <c r="K217" i="38" s="1"/>
  <c r="I217" i="38"/>
  <c r="M217" i="38" s="1"/>
  <c r="M216" i="38"/>
  <c r="K216" i="38"/>
  <c r="J216" i="38"/>
  <c r="I216" i="38"/>
  <c r="J215" i="38"/>
  <c r="K215" i="38" s="1"/>
  <c r="I215" i="38"/>
  <c r="M215" i="38" s="1"/>
  <c r="K214" i="38"/>
  <c r="J214" i="38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M210" i="38"/>
  <c r="J210" i="38"/>
  <c r="K210" i="38" s="1"/>
  <c r="I210" i="38"/>
  <c r="J209" i="38"/>
  <c r="K209" i="38" s="1"/>
  <c r="I209" i="38"/>
  <c r="M209" i="38" s="1"/>
  <c r="M208" i="38"/>
  <c r="K208" i="38"/>
  <c r="J208" i="38"/>
  <c r="I208" i="38"/>
  <c r="J207" i="38"/>
  <c r="K207" i="38" s="1"/>
  <c r="I207" i="38"/>
  <c r="M207" i="38" s="1"/>
  <c r="K206" i="38"/>
  <c r="J206" i="38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M202" i="38"/>
  <c r="J202" i="38"/>
  <c r="K202" i="38" s="1"/>
  <c r="I202" i="38"/>
  <c r="J201" i="38"/>
  <c r="K201" i="38" s="1"/>
  <c r="I201" i="38"/>
  <c r="M201" i="38" s="1"/>
  <c r="M200" i="38"/>
  <c r="K200" i="38"/>
  <c r="J200" i="38"/>
  <c r="I200" i="38"/>
  <c r="J199" i="38"/>
  <c r="K199" i="38" s="1"/>
  <c r="I199" i="38"/>
  <c r="M199" i="38" s="1"/>
  <c r="K198" i="38"/>
  <c r="J198" i="38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M194" i="38"/>
  <c r="J194" i="38"/>
  <c r="K194" i="38" s="1"/>
  <c r="I194" i="38"/>
  <c r="J193" i="38"/>
  <c r="K193" i="38" s="1"/>
  <c r="I193" i="38"/>
  <c r="M193" i="38" s="1"/>
  <c r="M192" i="38"/>
  <c r="K192" i="38"/>
  <c r="J192" i="38"/>
  <c r="I192" i="38"/>
  <c r="J191" i="38"/>
  <c r="K191" i="38" s="1"/>
  <c r="I191" i="38"/>
  <c r="M191" i="38" s="1"/>
  <c r="K190" i="38"/>
  <c r="J190" i="38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M186" i="38"/>
  <c r="J186" i="38"/>
  <c r="K186" i="38" s="1"/>
  <c r="I186" i="38"/>
  <c r="J185" i="38"/>
  <c r="K185" i="38" s="1"/>
  <c r="I185" i="38"/>
  <c r="M185" i="38" s="1"/>
  <c r="M184" i="38"/>
  <c r="K184" i="38"/>
  <c r="J184" i="38"/>
  <c r="I184" i="38"/>
  <c r="J183" i="38"/>
  <c r="K183" i="38" s="1"/>
  <c r="I183" i="38"/>
  <c r="M183" i="38" s="1"/>
  <c r="K182" i="38"/>
  <c r="J182" i="38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M178" i="38"/>
  <c r="J178" i="38"/>
  <c r="K178" i="38" s="1"/>
  <c r="I178" i="38"/>
  <c r="J177" i="38"/>
  <c r="K177" i="38" s="1"/>
  <c r="I177" i="38"/>
  <c r="M177" i="38" s="1"/>
  <c r="M176" i="38"/>
  <c r="K176" i="38"/>
  <c r="J176" i="38"/>
  <c r="I176" i="38"/>
  <c r="J175" i="38"/>
  <c r="K175" i="38" s="1"/>
  <c r="I175" i="38"/>
  <c r="M175" i="38" s="1"/>
  <c r="K174" i="38"/>
  <c r="J174" i="38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M170" i="38"/>
  <c r="J170" i="38"/>
  <c r="K170" i="38" s="1"/>
  <c r="I170" i="38"/>
  <c r="J169" i="38"/>
  <c r="K169" i="38" s="1"/>
  <c r="I169" i="38"/>
  <c r="M169" i="38" s="1"/>
  <c r="M168" i="38"/>
  <c r="K168" i="38"/>
  <c r="J168" i="38"/>
  <c r="I168" i="38"/>
  <c r="J167" i="38"/>
  <c r="K167" i="38" s="1"/>
  <c r="I167" i="38"/>
  <c r="M167" i="38" s="1"/>
  <c r="K166" i="38"/>
  <c r="J166" i="38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M162" i="38"/>
  <c r="J162" i="38"/>
  <c r="K162" i="38" s="1"/>
  <c r="I162" i="38"/>
  <c r="J161" i="38"/>
  <c r="K161" i="38" s="1"/>
  <c r="I161" i="38"/>
  <c r="M161" i="38" s="1"/>
  <c r="M160" i="38"/>
  <c r="K160" i="38"/>
  <c r="J160" i="38"/>
  <c r="I160" i="38"/>
  <c r="J159" i="38"/>
  <c r="K159" i="38" s="1"/>
  <c r="I159" i="38"/>
  <c r="M159" i="38" s="1"/>
  <c r="K158" i="38"/>
  <c r="J158" i="38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M154" i="38"/>
  <c r="J154" i="38"/>
  <c r="K154" i="38" s="1"/>
  <c r="I154" i="38"/>
  <c r="J153" i="38"/>
  <c r="K153" i="38" s="1"/>
  <c r="I153" i="38"/>
  <c r="M153" i="38" s="1"/>
  <c r="M152" i="38"/>
  <c r="K152" i="38"/>
  <c r="J152" i="38"/>
  <c r="I152" i="38"/>
  <c r="J151" i="38"/>
  <c r="K151" i="38" s="1"/>
  <c r="I151" i="38"/>
  <c r="M151" i="38" s="1"/>
  <c r="K150" i="38"/>
  <c r="J150" i="38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M146" i="38"/>
  <c r="J146" i="38"/>
  <c r="K146" i="38" s="1"/>
  <c r="I146" i="38"/>
  <c r="J145" i="38"/>
  <c r="K145" i="38" s="1"/>
  <c r="I145" i="38"/>
  <c r="M145" i="38" s="1"/>
  <c r="M144" i="38"/>
  <c r="K144" i="38"/>
  <c r="J144" i="38"/>
  <c r="I144" i="38"/>
  <c r="J143" i="38"/>
  <c r="K143" i="38" s="1"/>
  <c r="I143" i="38"/>
  <c r="M143" i="38" s="1"/>
  <c r="M142" i="38"/>
  <c r="K142" i="38"/>
  <c r="J142" i="38"/>
  <c r="I142" i="38"/>
  <c r="K141" i="38"/>
  <c r="J141" i="38"/>
  <c r="I141" i="38"/>
  <c r="M141" i="38" s="1"/>
  <c r="M140" i="38"/>
  <c r="J140" i="38"/>
  <c r="K140" i="38" s="1"/>
  <c r="I140" i="38"/>
  <c r="J139" i="38"/>
  <c r="K139" i="38" s="1"/>
  <c r="I139" i="38"/>
  <c r="M139" i="38" s="1"/>
  <c r="K138" i="38"/>
  <c r="J138" i="38"/>
  <c r="I138" i="38"/>
  <c r="M138" i="38" s="1"/>
  <c r="K137" i="38"/>
  <c r="J137" i="38"/>
  <c r="I137" i="38"/>
  <c r="M137" i="38" s="1"/>
  <c r="J136" i="38"/>
  <c r="K136" i="38" s="1"/>
  <c r="I136" i="38"/>
  <c r="M136" i="38" s="1"/>
  <c r="M135" i="38"/>
  <c r="K135" i="38"/>
  <c r="J135" i="38"/>
  <c r="I135" i="38"/>
  <c r="J134" i="38"/>
  <c r="K134" i="38" s="1"/>
  <c r="I134" i="38"/>
  <c r="M134" i="38" s="1"/>
  <c r="M133" i="38"/>
  <c r="K133" i="38"/>
  <c r="J133" i="38"/>
  <c r="I133" i="38"/>
  <c r="J132" i="38"/>
  <c r="K132" i="38" s="1"/>
  <c r="I132" i="38"/>
  <c r="M132" i="38" s="1"/>
  <c r="M131" i="38"/>
  <c r="K131" i="38"/>
  <c r="J131" i="38"/>
  <c r="I131" i="38"/>
  <c r="J130" i="38"/>
  <c r="K130" i="38" s="1"/>
  <c r="I130" i="38"/>
  <c r="M130" i="38" s="1"/>
  <c r="M129" i="38"/>
  <c r="K129" i="38"/>
  <c r="J129" i="38"/>
  <c r="I129" i="38"/>
  <c r="J128" i="38"/>
  <c r="K128" i="38" s="1"/>
  <c r="I128" i="38"/>
  <c r="M128" i="38" s="1"/>
  <c r="M127" i="38"/>
  <c r="K127" i="38"/>
  <c r="J127" i="38"/>
  <c r="I127" i="38"/>
  <c r="J126" i="38"/>
  <c r="K126" i="38" s="1"/>
  <c r="I126" i="38"/>
  <c r="M126" i="38" s="1"/>
  <c r="M125" i="38"/>
  <c r="K125" i="38"/>
  <c r="J125" i="38"/>
  <c r="I125" i="38"/>
  <c r="J124" i="38"/>
  <c r="K124" i="38" s="1"/>
  <c r="I124" i="38"/>
  <c r="M124" i="38" s="1"/>
  <c r="M123" i="38"/>
  <c r="K123" i="38"/>
  <c r="J123" i="38"/>
  <c r="I123" i="38"/>
  <c r="J122" i="38"/>
  <c r="K122" i="38" s="1"/>
  <c r="I122" i="38"/>
  <c r="M122" i="38" s="1"/>
  <c r="M121" i="38"/>
  <c r="K121" i="38"/>
  <c r="J121" i="38"/>
  <c r="I121" i="38"/>
  <c r="J120" i="38"/>
  <c r="K120" i="38" s="1"/>
  <c r="I120" i="38"/>
  <c r="M120" i="38" s="1"/>
  <c r="M119" i="38"/>
  <c r="K119" i="38"/>
  <c r="J119" i="38"/>
  <c r="I119" i="38"/>
  <c r="J118" i="38"/>
  <c r="K118" i="38" s="1"/>
  <c r="I118" i="38"/>
  <c r="M118" i="38" s="1"/>
  <c r="M117" i="38"/>
  <c r="K117" i="38"/>
  <c r="J117" i="38"/>
  <c r="I117" i="38"/>
  <c r="J116" i="38"/>
  <c r="K116" i="38" s="1"/>
  <c r="I116" i="38"/>
  <c r="M116" i="38" s="1"/>
  <c r="M115" i="38"/>
  <c r="K115" i="38"/>
  <c r="J115" i="38"/>
  <c r="I115" i="38"/>
  <c r="J114" i="38"/>
  <c r="K114" i="38" s="1"/>
  <c r="I114" i="38"/>
  <c r="M114" i="38" s="1"/>
  <c r="M113" i="38"/>
  <c r="K113" i="38"/>
  <c r="J113" i="38"/>
  <c r="I113" i="38"/>
  <c r="J112" i="38"/>
  <c r="K112" i="38" s="1"/>
  <c r="I112" i="38"/>
  <c r="M112" i="38" s="1"/>
  <c r="M111" i="38"/>
  <c r="K111" i="38"/>
  <c r="J111" i="38"/>
  <c r="I111" i="38"/>
  <c r="J110" i="38"/>
  <c r="K110" i="38" s="1"/>
  <c r="I110" i="38"/>
  <c r="M110" i="38" s="1"/>
  <c r="M109" i="38"/>
  <c r="K109" i="38"/>
  <c r="J109" i="38"/>
  <c r="I109" i="38"/>
  <c r="J108" i="38"/>
  <c r="K108" i="38" s="1"/>
  <c r="I108" i="38"/>
  <c r="M108" i="38" s="1"/>
  <c r="M107" i="38"/>
  <c r="K107" i="38"/>
  <c r="J107" i="38"/>
  <c r="I107" i="38"/>
  <c r="J106" i="38"/>
  <c r="K106" i="38" s="1"/>
  <c r="I106" i="38"/>
  <c r="M106" i="38" s="1"/>
  <c r="M105" i="38"/>
  <c r="K105" i="38"/>
  <c r="J105" i="38"/>
  <c r="I105" i="38"/>
  <c r="J104" i="38"/>
  <c r="K104" i="38" s="1"/>
  <c r="I104" i="38"/>
  <c r="M104" i="38" s="1"/>
  <c r="M103" i="38"/>
  <c r="K103" i="38"/>
  <c r="J103" i="38"/>
  <c r="I103" i="38"/>
  <c r="J102" i="38"/>
  <c r="K102" i="38" s="1"/>
  <c r="I102" i="38"/>
  <c r="M102" i="38" s="1"/>
  <c r="M101" i="38"/>
  <c r="K101" i="38"/>
  <c r="J101" i="38"/>
  <c r="I101" i="38"/>
  <c r="J100" i="38"/>
  <c r="K100" i="38" s="1"/>
  <c r="I100" i="38"/>
  <c r="M100" i="38" s="1"/>
  <c r="M99" i="38"/>
  <c r="K99" i="38"/>
  <c r="J99" i="38"/>
  <c r="I99" i="38"/>
  <c r="J98" i="38"/>
  <c r="K98" i="38" s="1"/>
  <c r="I98" i="38"/>
  <c r="M98" i="38" s="1"/>
  <c r="M97" i="38"/>
  <c r="K97" i="38"/>
  <c r="J97" i="38"/>
  <c r="I97" i="38"/>
  <c r="J96" i="38"/>
  <c r="K96" i="38" s="1"/>
  <c r="I96" i="38"/>
  <c r="M96" i="38" s="1"/>
  <c r="M95" i="38"/>
  <c r="K95" i="38"/>
  <c r="J95" i="38"/>
  <c r="I95" i="38"/>
  <c r="J94" i="38"/>
  <c r="K94" i="38" s="1"/>
  <c r="I94" i="38"/>
  <c r="M94" i="38" s="1"/>
  <c r="M93" i="38"/>
  <c r="K93" i="38"/>
  <c r="J93" i="38"/>
  <c r="I93" i="38"/>
  <c r="J92" i="38"/>
  <c r="K92" i="38" s="1"/>
  <c r="I92" i="38"/>
  <c r="M92" i="38" s="1"/>
  <c r="M91" i="38"/>
  <c r="K91" i="38"/>
  <c r="J91" i="38"/>
  <c r="I91" i="38"/>
  <c r="J90" i="38"/>
  <c r="K90" i="38" s="1"/>
  <c r="I90" i="38"/>
  <c r="M90" i="38" s="1"/>
  <c r="M89" i="38"/>
  <c r="K89" i="38"/>
  <c r="J89" i="38"/>
  <c r="I89" i="38"/>
  <c r="J88" i="38"/>
  <c r="K88" i="38" s="1"/>
  <c r="I88" i="38"/>
  <c r="M88" i="38" s="1"/>
  <c r="M87" i="38"/>
  <c r="K87" i="38"/>
  <c r="J87" i="38"/>
  <c r="I87" i="38"/>
  <c r="J86" i="38"/>
  <c r="K86" i="38" s="1"/>
  <c r="I86" i="38"/>
  <c r="M86" i="38" s="1"/>
  <c r="M85" i="38"/>
  <c r="K85" i="38"/>
  <c r="J85" i="38"/>
  <c r="I85" i="38"/>
  <c r="J84" i="38"/>
  <c r="K84" i="38" s="1"/>
  <c r="I84" i="38"/>
  <c r="M84" i="38" s="1"/>
  <c r="M83" i="38"/>
  <c r="K83" i="38"/>
  <c r="J83" i="38"/>
  <c r="I83" i="38"/>
  <c r="J82" i="38"/>
  <c r="K82" i="38" s="1"/>
  <c r="I82" i="38"/>
  <c r="M82" i="38" s="1"/>
  <c r="M81" i="38"/>
  <c r="K81" i="38"/>
  <c r="J81" i="38"/>
  <c r="I81" i="38"/>
  <c r="J80" i="38"/>
  <c r="K80" i="38" s="1"/>
  <c r="I80" i="38"/>
  <c r="M80" i="38" s="1"/>
  <c r="M79" i="38"/>
  <c r="A79" i="38" s="1"/>
  <c r="K79" i="38"/>
  <c r="J79" i="38"/>
  <c r="I79" i="38"/>
  <c r="K78" i="38"/>
  <c r="J78" i="38"/>
  <c r="I78" i="38"/>
  <c r="M78" i="38" s="1"/>
  <c r="A78" i="38" s="1"/>
  <c r="K77" i="38"/>
  <c r="J77" i="38"/>
  <c r="I77" i="38"/>
  <c r="M77" i="38" s="1"/>
  <c r="A77" i="38" s="1"/>
  <c r="M76" i="38"/>
  <c r="A76" i="38" s="1"/>
  <c r="K76" i="38"/>
  <c r="J76" i="38"/>
  <c r="I76" i="38"/>
  <c r="J75" i="38"/>
  <c r="K75" i="38" s="1"/>
  <c r="I75" i="38"/>
  <c r="M75" i="38" s="1"/>
  <c r="A75" i="38" s="1"/>
  <c r="M74" i="38"/>
  <c r="A74" i="38" s="1"/>
  <c r="J74" i="38"/>
  <c r="K74" i="38" s="1"/>
  <c r="I74" i="38"/>
  <c r="M73" i="38"/>
  <c r="A73" i="38" s="1"/>
  <c r="J73" i="38"/>
  <c r="K73" i="38" s="1"/>
  <c r="I73" i="38"/>
  <c r="J72" i="38"/>
  <c r="K72" i="38" s="1"/>
  <c r="I72" i="38"/>
  <c r="M72" i="38" s="1"/>
  <c r="A72" i="38" s="1"/>
  <c r="M71" i="38"/>
  <c r="A71" i="38" s="1"/>
  <c r="K71" i="38"/>
  <c r="J71" i="38"/>
  <c r="I71" i="38"/>
  <c r="K70" i="38"/>
  <c r="J70" i="38"/>
  <c r="I70" i="38"/>
  <c r="M70" i="38" s="1"/>
  <c r="A70" i="38" s="1"/>
  <c r="K69" i="38"/>
  <c r="J69" i="38"/>
  <c r="I69" i="38"/>
  <c r="M69" i="38" s="1"/>
  <c r="A69" i="38" s="1"/>
  <c r="M68" i="38"/>
  <c r="A68" i="38" s="1"/>
  <c r="K68" i="38"/>
  <c r="J68" i="38"/>
  <c r="I68" i="38"/>
  <c r="J67" i="38"/>
  <c r="K67" i="38" s="1"/>
  <c r="I67" i="38"/>
  <c r="M67" i="38" s="1"/>
  <c r="A67" i="38" s="1"/>
  <c r="M66" i="38"/>
  <c r="A66" i="38" s="1"/>
  <c r="J66" i="38"/>
  <c r="K66" i="38" s="1"/>
  <c r="I66" i="38"/>
  <c r="M65" i="38"/>
  <c r="A65" i="38" s="1"/>
  <c r="J65" i="38"/>
  <c r="K65" i="38" s="1"/>
  <c r="I65" i="38"/>
  <c r="B65" i="38"/>
  <c r="J64" i="38"/>
  <c r="K64" i="38" s="1"/>
  <c r="I64" i="38"/>
  <c r="M64" i="38" s="1"/>
  <c r="A64" i="38" s="1"/>
  <c r="B64" i="38"/>
  <c r="K63" i="38"/>
  <c r="J63" i="38"/>
  <c r="I63" i="38"/>
  <c r="M63" i="38" s="1"/>
  <c r="A63" i="38" s="1"/>
  <c r="B63" i="38"/>
  <c r="M62" i="38"/>
  <c r="A62" i="38" s="1"/>
  <c r="K62" i="38"/>
  <c r="J62" i="38"/>
  <c r="I62" i="38"/>
  <c r="B62" i="38"/>
  <c r="M61" i="38"/>
  <c r="A61" i="38" s="1"/>
  <c r="J61" i="38"/>
  <c r="K61" i="38" s="1"/>
  <c r="I61" i="38"/>
  <c r="B61" i="38"/>
  <c r="J60" i="38"/>
  <c r="K60" i="38" s="1"/>
  <c r="I60" i="38"/>
  <c r="M60" i="38" s="1"/>
  <c r="A60" i="38" s="1"/>
  <c r="B60" i="38"/>
  <c r="K59" i="38"/>
  <c r="J59" i="38"/>
  <c r="I59" i="38"/>
  <c r="M59" i="38" s="1"/>
  <c r="A59" i="38" s="1"/>
  <c r="B59" i="38"/>
  <c r="M58" i="38"/>
  <c r="A58" i="38" s="1"/>
  <c r="K58" i="38"/>
  <c r="J58" i="38"/>
  <c r="I58" i="38"/>
  <c r="B58" i="38"/>
  <c r="M57" i="38"/>
  <c r="A57" i="38" s="1"/>
  <c r="J57" i="38"/>
  <c r="K57" i="38" s="1"/>
  <c r="I57" i="38"/>
  <c r="B57" i="38"/>
  <c r="J56" i="38"/>
  <c r="K56" i="38" s="1"/>
  <c r="I56" i="38"/>
  <c r="M56" i="38" s="1"/>
  <c r="A56" i="38" s="1"/>
  <c r="B56" i="38"/>
  <c r="K55" i="38"/>
  <c r="J55" i="38"/>
  <c r="I55" i="38"/>
  <c r="M55" i="38" s="1"/>
  <c r="A55" i="38" s="1"/>
  <c r="B55" i="38"/>
  <c r="M54" i="38"/>
  <c r="A54" i="38" s="1"/>
  <c r="K54" i="38"/>
  <c r="J54" i="38"/>
  <c r="I54" i="38"/>
  <c r="B54" i="38"/>
  <c r="M53" i="38"/>
  <c r="A53" i="38" s="1"/>
  <c r="J53" i="38"/>
  <c r="K53" i="38" s="1"/>
  <c r="I53" i="38"/>
  <c r="B53" i="38"/>
  <c r="J52" i="38"/>
  <c r="K52" i="38" s="1"/>
  <c r="I52" i="38"/>
  <c r="M52" i="38" s="1"/>
  <c r="A52" i="38" s="1"/>
  <c r="B52" i="38"/>
  <c r="K51" i="38"/>
  <c r="J51" i="38"/>
  <c r="I51" i="38"/>
  <c r="M51" i="38" s="1"/>
  <c r="A51" i="38" s="1"/>
  <c r="B51" i="38"/>
  <c r="M50" i="38"/>
  <c r="A50" i="38" s="1"/>
  <c r="K50" i="38"/>
  <c r="J50" i="38"/>
  <c r="I50" i="38"/>
  <c r="B50" i="38"/>
  <c r="M49" i="38"/>
  <c r="A49" i="38" s="1"/>
  <c r="J49" i="38"/>
  <c r="K49" i="38" s="1"/>
  <c r="I49" i="38"/>
  <c r="B49" i="38"/>
  <c r="J48" i="38"/>
  <c r="K48" i="38" s="1"/>
  <c r="I48" i="38"/>
  <c r="M48" i="38" s="1"/>
  <c r="A48" i="38" s="1"/>
  <c r="B48" i="38"/>
  <c r="M47" i="38"/>
  <c r="K47" i="38"/>
  <c r="J47" i="38"/>
  <c r="I47" i="38"/>
  <c r="B47" i="38"/>
  <c r="A47" i="38"/>
  <c r="U46" i="38"/>
  <c r="T46" i="38"/>
  <c r="R46" i="38"/>
  <c r="J46" i="38"/>
  <c r="K46" i="38" s="1"/>
  <c r="I46" i="38"/>
  <c r="M46" i="38" s="1"/>
  <c r="A46" i="38" s="1"/>
  <c r="B46" i="38"/>
  <c r="M45" i="38"/>
  <c r="J45" i="38"/>
  <c r="K45" i="38" s="1"/>
  <c r="I45" i="38"/>
  <c r="B45" i="38"/>
  <c r="A45" i="38"/>
  <c r="M44" i="38"/>
  <c r="A44" i="38" s="1"/>
  <c r="K44" i="38"/>
  <c r="J44" i="38"/>
  <c r="I44" i="38"/>
  <c r="B44" i="38"/>
  <c r="K43" i="38"/>
  <c r="J43" i="38"/>
  <c r="I43" i="38"/>
  <c r="M43" i="38" s="1"/>
  <c r="A43" i="38" s="1"/>
  <c r="B43" i="38"/>
  <c r="J42" i="38"/>
  <c r="K42" i="38" s="1"/>
  <c r="I42" i="38"/>
  <c r="M42" i="38" s="1"/>
  <c r="A42" i="38" s="1"/>
  <c r="B42" i="38"/>
  <c r="M41" i="38"/>
  <c r="J41" i="38"/>
  <c r="K41" i="38" s="1"/>
  <c r="I41" i="38"/>
  <c r="B41" i="38"/>
  <c r="A41" i="38"/>
  <c r="M40" i="38"/>
  <c r="A40" i="38" s="1"/>
  <c r="K40" i="38"/>
  <c r="J40" i="38"/>
  <c r="I40" i="38"/>
  <c r="B40" i="38"/>
  <c r="K39" i="38"/>
  <c r="J39" i="38"/>
  <c r="I39" i="38"/>
  <c r="M39" i="38" s="1"/>
  <c r="A39" i="38" s="1"/>
  <c r="B39" i="38"/>
  <c r="J38" i="38"/>
  <c r="K38" i="38" s="1"/>
  <c r="I38" i="38"/>
  <c r="M38" i="38" s="1"/>
  <c r="A38" i="38" s="1"/>
  <c r="B38" i="38"/>
  <c r="M37" i="38"/>
  <c r="J37" i="38"/>
  <c r="K37" i="38" s="1"/>
  <c r="I37" i="38"/>
  <c r="B37" i="38"/>
  <c r="A37" i="38"/>
  <c r="M36" i="38"/>
  <c r="A36" i="38" s="1"/>
  <c r="K36" i="38"/>
  <c r="J36" i="38"/>
  <c r="I36" i="38"/>
  <c r="B36" i="38"/>
  <c r="K35" i="38"/>
  <c r="J35" i="38"/>
  <c r="I35" i="38"/>
  <c r="M35" i="38" s="1"/>
  <c r="A35" i="38" s="1"/>
  <c r="B35" i="38"/>
  <c r="J34" i="38"/>
  <c r="K34" i="38" s="1"/>
  <c r="I34" i="38"/>
  <c r="M34" i="38" s="1"/>
  <c r="A34" i="38" s="1"/>
  <c r="B34" i="38"/>
  <c r="M33" i="38"/>
  <c r="J33" i="38"/>
  <c r="K33" i="38" s="1"/>
  <c r="I33" i="38"/>
  <c r="B33" i="38"/>
  <c r="A33" i="38"/>
  <c r="M32" i="38"/>
  <c r="A32" i="38" s="1"/>
  <c r="K32" i="38"/>
  <c r="J32" i="38"/>
  <c r="I32" i="38"/>
  <c r="B32" i="38"/>
  <c r="K31" i="38"/>
  <c r="J31" i="38"/>
  <c r="I31" i="38"/>
  <c r="M31" i="38" s="1"/>
  <c r="A31" i="38" s="1"/>
  <c r="B31" i="38"/>
  <c r="J30" i="38"/>
  <c r="K30" i="38" s="1"/>
  <c r="I30" i="38"/>
  <c r="M30" i="38" s="1"/>
  <c r="A30" i="38" s="1"/>
  <c r="B30" i="38"/>
  <c r="M29" i="38"/>
  <c r="J29" i="38"/>
  <c r="K29" i="38" s="1"/>
  <c r="I29" i="38"/>
  <c r="B29" i="38"/>
  <c r="A29" i="38"/>
  <c r="M28" i="38"/>
  <c r="A28" i="38" s="1"/>
  <c r="K28" i="38"/>
  <c r="J28" i="38"/>
  <c r="I28" i="38"/>
  <c r="B28" i="38"/>
  <c r="K27" i="38"/>
  <c r="J27" i="38"/>
  <c r="I27" i="38"/>
  <c r="M27" i="38" s="1"/>
  <c r="A27" i="38" s="1"/>
  <c r="B27" i="38"/>
  <c r="J26" i="38"/>
  <c r="K26" i="38" s="1"/>
  <c r="I26" i="38"/>
  <c r="M26" i="38" s="1"/>
  <c r="A26" i="38" s="1"/>
  <c r="B26" i="38"/>
  <c r="M25" i="38"/>
  <c r="J25" i="38"/>
  <c r="K25" i="38" s="1"/>
  <c r="I25" i="38"/>
  <c r="B25" i="38"/>
  <c r="A25" i="38"/>
  <c r="M24" i="38"/>
  <c r="A24" i="38" s="1"/>
  <c r="K24" i="38"/>
  <c r="J24" i="38"/>
  <c r="I24" i="38"/>
  <c r="B24" i="38"/>
  <c r="K23" i="38"/>
  <c r="J23" i="38"/>
  <c r="I23" i="38"/>
  <c r="M23" i="38" s="1"/>
  <c r="A23" i="38" s="1"/>
  <c r="B23" i="38"/>
  <c r="J22" i="38"/>
  <c r="K22" i="38" s="1"/>
  <c r="I22" i="38"/>
  <c r="M22" i="38" s="1"/>
  <c r="A22" i="38" s="1"/>
  <c r="B22" i="38"/>
  <c r="M21" i="38"/>
  <c r="J21" i="38"/>
  <c r="K21" i="38" s="1"/>
  <c r="I21" i="38"/>
  <c r="B21" i="38"/>
  <c r="A21" i="38"/>
  <c r="M20" i="38"/>
  <c r="A20" i="38" s="1"/>
  <c r="K20" i="38"/>
  <c r="J20" i="38"/>
  <c r="I20" i="38"/>
  <c r="B20" i="38"/>
  <c r="K19" i="38"/>
  <c r="J19" i="38"/>
  <c r="I19" i="38"/>
  <c r="M19" i="38" s="1"/>
  <c r="A19" i="38" s="1"/>
  <c r="B19" i="38"/>
  <c r="J18" i="38"/>
  <c r="K18" i="38" s="1"/>
  <c r="I18" i="38"/>
  <c r="M18" i="38" s="1"/>
  <c r="A18" i="38" s="1"/>
  <c r="B18" i="38"/>
  <c r="M17" i="38"/>
  <c r="J17" i="38"/>
  <c r="K17" i="38" s="1"/>
  <c r="I17" i="38"/>
  <c r="B17" i="38"/>
  <c r="A17" i="38"/>
  <c r="AI16" i="38"/>
  <c r="M16" i="38"/>
  <c r="A16" i="38" s="1"/>
  <c r="K16" i="38"/>
  <c r="J16" i="38"/>
  <c r="I16" i="38"/>
  <c r="B16" i="38"/>
  <c r="M15" i="38"/>
  <c r="A15" i="38" s="1"/>
  <c r="J15" i="38"/>
  <c r="K15" i="38" s="1"/>
  <c r="I15" i="38"/>
  <c r="B15" i="38"/>
  <c r="AI14" i="38"/>
  <c r="K14" i="38"/>
  <c r="J14" i="38"/>
  <c r="I14" i="38"/>
  <c r="M14" i="38" s="1"/>
  <c r="A14" i="38" s="1"/>
  <c r="B14" i="38"/>
  <c r="AI13" i="38"/>
  <c r="J13" i="38"/>
  <c r="K13" i="38" s="1"/>
  <c r="I13" i="38"/>
  <c r="M13" i="38" s="1"/>
  <c r="A13" i="38" s="1"/>
  <c r="B13" i="38"/>
  <c r="AI12" i="38"/>
  <c r="J12" i="38"/>
  <c r="K12" i="38" s="1"/>
  <c r="I12" i="38"/>
  <c r="M12" i="38" s="1"/>
  <c r="A12" i="38" s="1"/>
  <c r="B12" i="38"/>
  <c r="M11" i="38"/>
  <c r="J11" i="38"/>
  <c r="K11" i="38" s="1"/>
  <c r="I11" i="38"/>
  <c r="B11" i="38"/>
  <c r="A11" i="38"/>
  <c r="M10" i="38"/>
  <c r="A10" i="38" s="1"/>
  <c r="K10" i="38"/>
  <c r="J10" i="38"/>
  <c r="I10" i="38"/>
  <c r="B10" i="38"/>
  <c r="L9" i="38"/>
  <c r="J9" i="38"/>
  <c r="K9" i="38" s="1"/>
  <c r="I9" i="38"/>
  <c r="M9" i="38" s="1"/>
  <c r="A9" i="38" s="1"/>
  <c r="B9" i="38"/>
  <c r="K8" i="38"/>
  <c r="J8" i="38"/>
  <c r="I8" i="38"/>
  <c r="M8" i="38" s="1"/>
  <c r="A8" i="38" s="1"/>
  <c r="B8" i="38"/>
  <c r="J7" i="38"/>
  <c r="K7" i="38" s="1"/>
  <c r="I7" i="38"/>
  <c r="M7" i="38" s="1"/>
  <c r="A7" i="38" s="1"/>
  <c r="B7" i="38"/>
  <c r="L6" i="38"/>
  <c r="J6" i="38"/>
  <c r="K6" i="38" s="1"/>
  <c r="I6" i="38"/>
  <c r="M6" i="38" s="1"/>
  <c r="A6" i="38" s="1"/>
  <c r="B6" i="38"/>
  <c r="K2" i="38"/>
  <c r="L7" i="38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K294" i="37"/>
  <c r="J294" i="37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K278" i="37"/>
  <c r="J278" i="37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K270" i="37"/>
  <c r="J270" i="37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K254" i="37"/>
  <c r="J254" i="37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K250" i="37"/>
  <c r="J250" i="37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K246" i="37"/>
  <c r="J246" i="37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K238" i="37"/>
  <c r="J238" i="37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K234" i="37"/>
  <c r="J234" i="37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K230" i="37"/>
  <c r="J230" i="37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K222" i="37"/>
  <c r="J222" i="37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K214" i="37"/>
  <c r="J214" i="37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K206" i="37"/>
  <c r="J206" i="37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K198" i="37"/>
  <c r="J198" i="37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K190" i="37"/>
  <c r="J190" i="37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K182" i="37"/>
  <c r="J182" i="37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K166" i="37"/>
  <c r="J166" i="37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K158" i="37"/>
  <c r="J158" i="37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K150" i="37"/>
  <c r="J150" i="37"/>
  <c r="I150" i="37"/>
  <c r="M150" i="37" s="1"/>
  <c r="J149" i="37"/>
  <c r="K149" i="37" s="1"/>
  <c r="I149" i="37"/>
  <c r="M149" i="37" s="1"/>
  <c r="K148" i="37"/>
  <c r="J148" i="37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K142" i="37"/>
  <c r="J142" i="37"/>
  <c r="I142" i="37"/>
  <c r="M142" i="37" s="1"/>
  <c r="J141" i="37"/>
  <c r="K141" i="37" s="1"/>
  <c r="I141" i="37"/>
  <c r="M141" i="37" s="1"/>
  <c r="J140" i="37"/>
  <c r="K140" i="37" s="1"/>
  <c r="I140" i="37"/>
  <c r="M140" i="37" s="1"/>
  <c r="J139" i="37"/>
  <c r="K139" i="37" s="1"/>
  <c r="I139" i="37"/>
  <c r="M139" i="37" s="1"/>
  <c r="J138" i="37"/>
  <c r="K138" i="37" s="1"/>
  <c r="I138" i="37"/>
  <c r="M138" i="37" s="1"/>
  <c r="J137" i="37"/>
  <c r="K137" i="37" s="1"/>
  <c r="I137" i="37"/>
  <c r="M137" i="37" s="1"/>
  <c r="K136" i="37"/>
  <c r="J136" i="37"/>
  <c r="I136" i="37"/>
  <c r="M136" i="37" s="1"/>
  <c r="K135" i="37"/>
  <c r="J135" i="37"/>
  <c r="I135" i="37"/>
  <c r="M135" i="37" s="1"/>
  <c r="M134" i="37"/>
  <c r="K134" i="37"/>
  <c r="J134" i="37"/>
  <c r="I134" i="37"/>
  <c r="K133" i="37"/>
  <c r="J133" i="37"/>
  <c r="I133" i="37"/>
  <c r="M133" i="37" s="1"/>
  <c r="M132" i="37"/>
  <c r="K132" i="37"/>
  <c r="J132" i="37"/>
  <c r="I132" i="37"/>
  <c r="K131" i="37"/>
  <c r="J131" i="37"/>
  <c r="I131" i="37"/>
  <c r="M131" i="37" s="1"/>
  <c r="M130" i="37"/>
  <c r="K130" i="37"/>
  <c r="J130" i="37"/>
  <c r="I130" i="37"/>
  <c r="J129" i="37"/>
  <c r="K129" i="37" s="1"/>
  <c r="I129" i="37"/>
  <c r="M129" i="37" s="1"/>
  <c r="M128" i="37"/>
  <c r="K128" i="37"/>
  <c r="J128" i="37"/>
  <c r="I128" i="37"/>
  <c r="J127" i="37"/>
  <c r="K127" i="37" s="1"/>
  <c r="I127" i="37"/>
  <c r="M127" i="37" s="1"/>
  <c r="M126" i="37"/>
  <c r="K126" i="37"/>
  <c r="J126" i="37"/>
  <c r="I126" i="37"/>
  <c r="J125" i="37"/>
  <c r="K125" i="37" s="1"/>
  <c r="I125" i="37"/>
  <c r="M125" i="37" s="1"/>
  <c r="M124" i="37"/>
  <c r="K124" i="37"/>
  <c r="J124" i="37"/>
  <c r="I124" i="37"/>
  <c r="J123" i="37"/>
  <c r="K123" i="37" s="1"/>
  <c r="I123" i="37"/>
  <c r="M123" i="37" s="1"/>
  <c r="M122" i="37"/>
  <c r="K122" i="37"/>
  <c r="J122" i="37"/>
  <c r="I122" i="37"/>
  <c r="J121" i="37"/>
  <c r="K121" i="37" s="1"/>
  <c r="I121" i="37"/>
  <c r="M121" i="37" s="1"/>
  <c r="M120" i="37"/>
  <c r="K120" i="37"/>
  <c r="J120" i="37"/>
  <c r="I120" i="37"/>
  <c r="J119" i="37"/>
  <c r="K119" i="37" s="1"/>
  <c r="I119" i="37"/>
  <c r="M119" i="37" s="1"/>
  <c r="M118" i="37"/>
  <c r="K118" i="37"/>
  <c r="J118" i="37"/>
  <c r="I118" i="37"/>
  <c r="J117" i="37"/>
  <c r="K117" i="37" s="1"/>
  <c r="I117" i="37"/>
  <c r="M117" i="37" s="1"/>
  <c r="M116" i="37"/>
  <c r="K116" i="37"/>
  <c r="J116" i="37"/>
  <c r="I116" i="37"/>
  <c r="J115" i="37"/>
  <c r="K115" i="37" s="1"/>
  <c r="I115" i="37"/>
  <c r="M115" i="37" s="1"/>
  <c r="M114" i="37"/>
  <c r="K114" i="37"/>
  <c r="J114" i="37"/>
  <c r="I114" i="37"/>
  <c r="J113" i="37"/>
  <c r="K113" i="37" s="1"/>
  <c r="I113" i="37"/>
  <c r="M113" i="37" s="1"/>
  <c r="M112" i="37"/>
  <c r="K112" i="37"/>
  <c r="J112" i="37"/>
  <c r="I112" i="37"/>
  <c r="J111" i="37"/>
  <c r="K111" i="37" s="1"/>
  <c r="I111" i="37"/>
  <c r="M111" i="37" s="1"/>
  <c r="M110" i="37"/>
  <c r="K110" i="37"/>
  <c r="J110" i="37"/>
  <c r="I110" i="37"/>
  <c r="J109" i="37"/>
  <c r="K109" i="37" s="1"/>
  <c r="I109" i="37"/>
  <c r="M109" i="37" s="1"/>
  <c r="M108" i="37"/>
  <c r="K108" i="37"/>
  <c r="J108" i="37"/>
  <c r="I108" i="37"/>
  <c r="J107" i="37"/>
  <c r="K107" i="37" s="1"/>
  <c r="I107" i="37"/>
  <c r="M107" i="37" s="1"/>
  <c r="M106" i="37"/>
  <c r="K106" i="37"/>
  <c r="J106" i="37"/>
  <c r="I106" i="37"/>
  <c r="J105" i="37"/>
  <c r="K105" i="37" s="1"/>
  <c r="I105" i="37"/>
  <c r="M105" i="37" s="1"/>
  <c r="M104" i="37"/>
  <c r="K104" i="37"/>
  <c r="J104" i="37"/>
  <c r="I104" i="37"/>
  <c r="J103" i="37"/>
  <c r="K103" i="37" s="1"/>
  <c r="I103" i="37"/>
  <c r="M103" i="37" s="1"/>
  <c r="M102" i="37"/>
  <c r="K102" i="37"/>
  <c r="J102" i="37"/>
  <c r="I102" i="37"/>
  <c r="J101" i="37"/>
  <c r="K101" i="37" s="1"/>
  <c r="I101" i="37"/>
  <c r="M101" i="37" s="1"/>
  <c r="M100" i="37"/>
  <c r="K100" i="37"/>
  <c r="J100" i="37"/>
  <c r="I100" i="37"/>
  <c r="J99" i="37"/>
  <c r="K99" i="37" s="1"/>
  <c r="I99" i="37"/>
  <c r="M99" i="37" s="1"/>
  <c r="M98" i="37"/>
  <c r="K98" i="37"/>
  <c r="J98" i="37"/>
  <c r="I98" i="37"/>
  <c r="J97" i="37"/>
  <c r="K97" i="37" s="1"/>
  <c r="I97" i="37"/>
  <c r="M97" i="37" s="1"/>
  <c r="M96" i="37"/>
  <c r="K96" i="37"/>
  <c r="J96" i="37"/>
  <c r="I96" i="37"/>
  <c r="J95" i="37"/>
  <c r="K95" i="37" s="1"/>
  <c r="I95" i="37"/>
  <c r="M95" i="37" s="1"/>
  <c r="M94" i="37"/>
  <c r="K94" i="37"/>
  <c r="J94" i="37"/>
  <c r="I94" i="37"/>
  <c r="J93" i="37"/>
  <c r="K93" i="37" s="1"/>
  <c r="I93" i="37"/>
  <c r="M93" i="37" s="1"/>
  <c r="M92" i="37"/>
  <c r="K92" i="37"/>
  <c r="J92" i="37"/>
  <c r="I92" i="37"/>
  <c r="J91" i="37"/>
  <c r="K91" i="37" s="1"/>
  <c r="I91" i="37"/>
  <c r="M91" i="37" s="1"/>
  <c r="M90" i="37"/>
  <c r="K90" i="37"/>
  <c r="J90" i="37"/>
  <c r="I90" i="37"/>
  <c r="J89" i="37"/>
  <c r="K89" i="37" s="1"/>
  <c r="I89" i="37"/>
  <c r="M89" i="37" s="1"/>
  <c r="M88" i="37"/>
  <c r="K88" i="37"/>
  <c r="J88" i="37"/>
  <c r="I88" i="37"/>
  <c r="J87" i="37"/>
  <c r="K87" i="37" s="1"/>
  <c r="I87" i="37"/>
  <c r="M87" i="37" s="1"/>
  <c r="M86" i="37"/>
  <c r="K86" i="37"/>
  <c r="J86" i="37"/>
  <c r="I86" i="37"/>
  <c r="J85" i="37"/>
  <c r="K85" i="37" s="1"/>
  <c r="I85" i="37"/>
  <c r="M85" i="37" s="1"/>
  <c r="M84" i="37"/>
  <c r="K84" i="37"/>
  <c r="J84" i="37"/>
  <c r="I84" i="37"/>
  <c r="J83" i="37"/>
  <c r="K83" i="37" s="1"/>
  <c r="I83" i="37"/>
  <c r="M83" i="37" s="1"/>
  <c r="M82" i="37"/>
  <c r="K82" i="37"/>
  <c r="J82" i="37"/>
  <c r="I82" i="37"/>
  <c r="J81" i="37"/>
  <c r="K81" i="37" s="1"/>
  <c r="I81" i="37"/>
  <c r="M81" i="37" s="1"/>
  <c r="M80" i="37"/>
  <c r="K80" i="37"/>
  <c r="J80" i="37"/>
  <c r="I80" i="37"/>
  <c r="J79" i="37"/>
  <c r="K79" i="37" s="1"/>
  <c r="I79" i="37"/>
  <c r="M79" i="37" s="1"/>
  <c r="A79" i="37" s="1"/>
  <c r="M78" i="37"/>
  <c r="A78" i="37" s="1"/>
  <c r="K78" i="37"/>
  <c r="J78" i="37"/>
  <c r="I78" i="37"/>
  <c r="J77" i="37"/>
  <c r="K77" i="37" s="1"/>
  <c r="I77" i="37"/>
  <c r="M77" i="37" s="1"/>
  <c r="A77" i="37" s="1"/>
  <c r="J76" i="37"/>
  <c r="K76" i="37" s="1"/>
  <c r="I76" i="37"/>
  <c r="M76" i="37" s="1"/>
  <c r="A76" i="37" s="1"/>
  <c r="M75" i="37"/>
  <c r="A75" i="37" s="1"/>
  <c r="K75" i="37"/>
  <c r="J75" i="37"/>
  <c r="I75" i="37"/>
  <c r="K74" i="37"/>
  <c r="J74" i="37"/>
  <c r="I74" i="37"/>
  <c r="M74" i="37" s="1"/>
  <c r="A74" i="37" s="1"/>
  <c r="M73" i="37"/>
  <c r="A73" i="37" s="1"/>
  <c r="K73" i="37"/>
  <c r="J73" i="37"/>
  <c r="I73" i="37"/>
  <c r="J72" i="37"/>
  <c r="K72" i="37" s="1"/>
  <c r="I72" i="37"/>
  <c r="M72" i="37" s="1"/>
  <c r="A72" i="37" s="1"/>
  <c r="J71" i="37"/>
  <c r="K71" i="37" s="1"/>
  <c r="I71" i="37"/>
  <c r="M71" i="37" s="1"/>
  <c r="A71" i="37" s="1"/>
  <c r="M70" i="37"/>
  <c r="A70" i="37" s="1"/>
  <c r="K70" i="37"/>
  <c r="J70" i="37"/>
  <c r="I70" i="37"/>
  <c r="J69" i="37"/>
  <c r="K69" i="37" s="1"/>
  <c r="I69" i="37"/>
  <c r="M69" i="37" s="1"/>
  <c r="A69" i="37" s="1"/>
  <c r="J68" i="37"/>
  <c r="K68" i="37" s="1"/>
  <c r="I68" i="37"/>
  <c r="M68" i="37" s="1"/>
  <c r="A68" i="37" s="1"/>
  <c r="M67" i="37"/>
  <c r="A67" i="37" s="1"/>
  <c r="K67" i="37"/>
  <c r="J67" i="37"/>
  <c r="I67" i="37"/>
  <c r="K66" i="37"/>
  <c r="J66" i="37"/>
  <c r="I66" i="37"/>
  <c r="M66" i="37" s="1"/>
  <c r="A66" i="37" s="1"/>
  <c r="M65" i="37"/>
  <c r="A65" i="37" s="1"/>
  <c r="K65" i="37"/>
  <c r="J65" i="37"/>
  <c r="I65" i="37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M61" i="37"/>
  <c r="A61" i="37" s="1"/>
  <c r="K61" i="37"/>
  <c r="J61" i="37"/>
  <c r="I61" i="37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M57" i="37"/>
  <c r="A57" i="37" s="1"/>
  <c r="J57" i="37"/>
  <c r="K57" i="37" s="1"/>
  <c r="I57" i="37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J54" i="37"/>
  <c r="K54" i="37" s="1"/>
  <c r="I54" i="37"/>
  <c r="M54" i="37" s="1"/>
  <c r="A54" i="37" s="1"/>
  <c r="B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M49" i="37"/>
  <c r="A49" i="37" s="1"/>
  <c r="J49" i="37"/>
  <c r="K49" i="37" s="1"/>
  <c r="I49" i="37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T46" i="37"/>
  <c r="R46" i="37"/>
  <c r="U46" i="37" s="1"/>
  <c r="J46" i="37"/>
  <c r="K46" i="37" s="1"/>
  <c r="I46" i="37"/>
  <c r="M46" i="37" s="1"/>
  <c r="A46" i="37" s="1"/>
  <c r="B46" i="37"/>
  <c r="K45" i="37"/>
  <c r="J45" i="37"/>
  <c r="I45" i="37"/>
  <c r="M45" i="37" s="1"/>
  <c r="A45" i="37" s="1"/>
  <c r="B45" i="37"/>
  <c r="K44" i="37"/>
  <c r="J44" i="37"/>
  <c r="I44" i="37"/>
  <c r="M44" i="37" s="1"/>
  <c r="A44" i="37" s="1"/>
  <c r="B44" i="37"/>
  <c r="M43" i="37"/>
  <c r="A43" i="37" s="1"/>
  <c r="K43" i="37"/>
  <c r="J43" i="37"/>
  <c r="I43" i="37"/>
  <c r="B43" i="37"/>
  <c r="J42" i="37"/>
  <c r="K42" i="37" s="1"/>
  <c r="I42" i="37"/>
  <c r="M42" i="37" s="1"/>
  <c r="A42" i="37" s="1"/>
  <c r="B42" i="37"/>
  <c r="K41" i="37"/>
  <c r="J41" i="37"/>
  <c r="I41" i="37"/>
  <c r="M41" i="37" s="1"/>
  <c r="A41" i="37" s="1"/>
  <c r="B41" i="37"/>
  <c r="J40" i="37"/>
  <c r="K40" i="37" s="1"/>
  <c r="I40" i="37"/>
  <c r="M40" i="37" s="1"/>
  <c r="A40" i="37" s="1"/>
  <c r="B40" i="37"/>
  <c r="M39" i="37"/>
  <c r="A39" i="37" s="1"/>
  <c r="K39" i="37"/>
  <c r="J39" i="37"/>
  <c r="I39" i="37"/>
  <c r="B39" i="37"/>
  <c r="J38" i="37"/>
  <c r="K38" i="37" s="1"/>
  <c r="I38" i="37"/>
  <c r="M38" i="37" s="1"/>
  <c r="A38" i="37" s="1"/>
  <c r="B38" i="37"/>
  <c r="K37" i="37"/>
  <c r="J37" i="37"/>
  <c r="I37" i="37"/>
  <c r="M37" i="37" s="1"/>
  <c r="A37" i="37" s="1"/>
  <c r="B37" i="37"/>
  <c r="J36" i="37"/>
  <c r="K36" i="37" s="1"/>
  <c r="I36" i="37"/>
  <c r="M36" i="37" s="1"/>
  <c r="A36" i="37" s="1"/>
  <c r="B36" i="37"/>
  <c r="M35" i="37"/>
  <c r="A35" i="37" s="1"/>
  <c r="K35" i="37"/>
  <c r="J35" i="37"/>
  <c r="I35" i="37"/>
  <c r="B35" i="37"/>
  <c r="J34" i="37"/>
  <c r="K34" i="37" s="1"/>
  <c r="I34" i="37"/>
  <c r="M34" i="37" s="1"/>
  <c r="A34" i="37" s="1"/>
  <c r="B34" i="37"/>
  <c r="K33" i="37"/>
  <c r="J33" i="37"/>
  <c r="I33" i="37"/>
  <c r="M33" i="37" s="1"/>
  <c r="A33" i="37" s="1"/>
  <c r="B33" i="37"/>
  <c r="J32" i="37"/>
  <c r="K32" i="37" s="1"/>
  <c r="I32" i="37"/>
  <c r="M32" i="37" s="1"/>
  <c r="A32" i="37" s="1"/>
  <c r="B32" i="37"/>
  <c r="M31" i="37"/>
  <c r="A31" i="37" s="1"/>
  <c r="K31" i="37"/>
  <c r="J31" i="37"/>
  <c r="I31" i="37"/>
  <c r="B31" i="37"/>
  <c r="J30" i="37"/>
  <c r="K30" i="37" s="1"/>
  <c r="I30" i="37"/>
  <c r="M30" i="37" s="1"/>
  <c r="A30" i="37" s="1"/>
  <c r="B30" i="37"/>
  <c r="K29" i="37"/>
  <c r="J29" i="37"/>
  <c r="I29" i="37"/>
  <c r="M29" i="37" s="1"/>
  <c r="A29" i="37" s="1"/>
  <c r="B29" i="37"/>
  <c r="J28" i="37"/>
  <c r="K28" i="37" s="1"/>
  <c r="I28" i="37"/>
  <c r="M28" i="37" s="1"/>
  <c r="A28" i="37" s="1"/>
  <c r="B28" i="37"/>
  <c r="M27" i="37"/>
  <c r="A27" i="37" s="1"/>
  <c r="K27" i="37"/>
  <c r="J27" i="37"/>
  <c r="I27" i="37"/>
  <c r="B27" i="37"/>
  <c r="J26" i="37"/>
  <c r="K26" i="37" s="1"/>
  <c r="I26" i="37"/>
  <c r="M26" i="37" s="1"/>
  <c r="A26" i="37" s="1"/>
  <c r="B26" i="37"/>
  <c r="K25" i="37"/>
  <c r="J25" i="37"/>
  <c r="I25" i="37"/>
  <c r="M25" i="37" s="1"/>
  <c r="A25" i="37" s="1"/>
  <c r="B25" i="37"/>
  <c r="J24" i="37"/>
  <c r="K24" i="37" s="1"/>
  <c r="I24" i="37"/>
  <c r="M24" i="37" s="1"/>
  <c r="A24" i="37" s="1"/>
  <c r="B24" i="37"/>
  <c r="M23" i="37"/>
  <c r="A23" i="37" s="1"/>
  <c r="K23" i="37"/>
  <c r="J23" i="37"/>
  <c r="I23" i="37"/>
  <c r="B23" i="37"/>
  <c r="J22" i="37"/>
  <c r="K22" i="37" s="1"/>
  <c r="I22" i="37"/>
  <c r="M22" i="37" s="1"/>
  <c r="A22" i="37" s="1"/>
  <c r="B22" i="37"/>
  <c r="K21" i="37"/>
  <c r="J21" i="37"/>
  <c r="I21" i="37"/>
  <c r="M21" i="37" s="1"/>
  <c r="A21" i="37" s="1"/>
  <c r="B21" i="37"/>
  <c r="J20" i="37"/>
  <c r="K20" i="37" s="1"/>
  <c r="I20" i="37"/>
  <c r="M20" i="37" s="1"/>
  <c r="A20" i="37" s="1"/>
  <c r="B20" i="37"/>
  <c r="M19" i="37"/>
  <c r="A19" i="37" s="1"/>
  <c r="K19" i="37"/>
  <c r="J19" i="37"/>
  <c r="I19" i="37"/>
  <c r="B19" i="37"/>
  <c r="J18" i="37"/>
  <c r="K18" i="37" s="1"/>
  <c r="I18" i="37"/>
  <c r="M18" i="37" s="1"/>
  <c r="A18" i="37" s="1"/>
  <c r="B18" i="37"/>
  <c r="K17" i="37"/>
  <c r="J17" i="37"/>
  <c r="I17" i="37"/>
  <c r="M17" i="37" s="1"/>
  <c r="A17" i="37" s="1"/>
  <c r="B17" i="37"/>
  <c r="J16" i="37"/>
  <c r="K16" i="37" s="1"/>
  <c r="I16" i="37"/>
  <c r="M16" i="37" s="1"/>
  <c r="A16" i="37" s="1"/>
  <c r="B16" i="37"/>
  <c r="M15" i="37"/>
  <c r="A15" i="37" s="1"/>
  <c r="K15" i="37"/>
  <c r="J15" i="37"/>
  <c r="I15" i="37"/>
  <c r="B15" i="37"/>
  <c r="AI14" i="37"/>
  <c r="M14" i="37"/>
  <c r="A14" i="37" s="1"/>
  <c r="K14" i="37"/>
  <c r="J14" i="37"/>
  <c r="I14" i="37"/>
  <c r="B14" i="37"/>
  <c r="AI13" i="37"/>
  <c r="M13" i="37"/>
  <c r="A13" i="37" s="1"/>
  <c r="K13" i="37"/>
  <c r="J13" i="37"/>
  <c r="I13" i="37"/>
  <c r="B13" i="37"/>
  <c r="AI12" i="37"/>
  <c r="AI16" i="37" s="1"/>
  <c r="J12" i="37"/>
  <c r="K12" i="37" s="1"/>
  <c r="I12" i="37"/>
  <c r="M12" i="37" s="1"/>
  <c r="A12" i="37" s="1"/>
  <c r="B12" i="37"/>
  <c r="K11" i="37"/>
  <c r="J11" i="37"/>
  <c r="I11" i="37"/>
  <c r="M11" i="37" s="1"/>
  <c r="A11" i="37" s="1"/>
  <c r="B11" i="37"/>
  <c r="J10" i="37"/>
  <c r="K10" i="37" s="1"/>
  <c r="I10" i="37"/>
  <c r="M10" i="37" s="1"/>
  <c r="A10" i="37" s="1"/>
  <c r="B10" i="37"/>
  <c r="M9" i="37"/>
  <c r="A9" i="37" s="1"/>
  <c r="L9" i="37"/>
  <c r="K9" i="37"/>
  <c r="J9" i="37"/>
  <c r="I9" i="37"/>
  <c r="B9" i="37"/>
  <c r="M8" i="37"/>
  <c r="A8" i="37" s="1"/>
  <c r="L8" i="37"/>
  <c r="K8" i="37"/>
  <c r="J8" i="37"/>
  <c r="I8" i="37"/>
  <c r="B8" i="37"/>
  <c r="M7" i="37"/>
  <c r="A7" i="37" s="1"/>
  <c r="L7" i="37"/>
  <c r="K7" i="37"/>
  <c r="J7" i="37"/>
  <c r="I7" i="37"/>
  <c r="B7" i="37"/>
  <c r="L6" i="37"/>
  <c r="J6" i="37"/>
  <c r="K6" i="37" s="1"/>
  <c r="I6" i="37"/>
  <c r="M6" i="37" s="1"/>
  <c r="A6" i="37" s="1"/>
  <c r="B6" i="37"/>
  <c r="K2" i="37"/>
  <c r="K305" i="36"/>
  <c r="J305" i="36"/>
  <c r="I305" i="36"/>
  <c r="M305" i="36" s="1"/>
  <c r="J304" i="36"/>
  <c r="K304" i="36" s="1"/>
  <c r="I304" i="36"/>
  <c r="M304" i="36" s="1"/>
  <c r="K303" i="36"/>
  <c r="J303" i="36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K297" i="36"/>
  <c r="J297" i="36"/>
  <c r="I297" i="36"/>
  <c r="M297" i="36" s="1"/>
  <c r="J296" i="36"/>
  <c r="K296" i="36" s="1"/>
  <c r="I296" i="36"/>
  <c r="M296" i="36" s="1"/>
  <c r="K295" i="36"/>
  <c r="J295" i="36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K289" i="36"/>
  <c r="J289" i="36"/>
  <c r="I289" i="36"/>
  <c r="M289" i="36" s="1"/>
  <c r="J288" i="36"/>
  <c r="K288" i="36" s="1"/>
  <c r="I288" i="36"/>
  <c r="M288" i="36" s="1"/>
  <c r="K287" i="36"/>
  <c r="J287" i="36"/>
  <c r="I287" i="36"/>
  <c r="M287" i="36" s="1"/>
  <c r="J286" i="36"/>
  <c r="K286" i="36" s="1"/>
  <c r="I286" i="36"/>
  <c r="M286" i="36" s="1"/>
  <c r="K285" i="36"/>
  <c r="J285" i="36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K281" i="36"/>
  <c r="J281" i="36"/>
  <c r="I281" i="36"/>
  <c r="M281" i="36" s="1"/>
  <c r="J280" i="36"/>
  <c r="K280" i="36" s="1"/>
  <c r="I280" i="36"/>
  <c r="M280" i="36" s="1"/>
  <c r="K279" i="36"/>
  <c r="J279" i="36"/>
  <c r="I279" i="36"/>
  <c r="M279" i="36" s="1"/>
  <c r="J278" i="36"/>
  <c r="K278" i="36" s="1"/>
  <c r="I278" i="36"/>
  <c r="M278" i="36" s="1"/>
  <c r="K277" i="36"/>
  <c r="J277" i="36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K273" i="36"/>
  <c r="J273" i="36"/>
  <c r="I273" i="36"/>
  <c r="M273" i="36" s="1"/>
  <c r="J272" i="36"/>
  <c r="K272" i="36" s="1"/>
  <c r="I272" i="36"/>
  <c r="M272" i="36" s="1"/>
  <c r="K271" i="36"/>
  <c r="J271" i="36"/>
  <c r="I271" i="36"/>
  <c r="M271" i="36" s="1"/>
  <c r="J270" i="36"/>
  <c r="K270" i="36" s="1"/>
  <c r="I270" i="36"/>
  <c r="M270" i="36" s="1"/>
  <c r="K269" i="36"/>
  <c r="J269" i="36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K265" i="36"/>
  <c r="J265" i="36"/>
  <c r="I265" i="36"/>
  <c r="M265" i="36" s="1"/>
  <c r="J264" i="36"/>
  <c r="K264" i="36" s="1"/>
  <c r="I264" i="36"/>
  <c r="M264" i="36" s="1"/>
  <c r="K263" i="36"/>
  <c r="J263" i="36"/>
  <c r="I263" i="36"/>
  <c r="M263" i="36" s="1"/>
  <c r="J262" i="36"/>
  <c r="K262" i="36" s="1"/>
  <c r="I262" i="36"/>
  <c r="M262" i="36" s="1"/>
  <c r="K261" i="36"/>
  <c r="J261" i="36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K257" i="36"/>
  <c r="J257" i="36"/>
  <c r="I257" i="36"/>
  <c r="M257" i="36" s="1"/>
  <c r="J256" i="36"/>
  <c r="K256" i="36" s="1"/>
  <c r="I256" i="36"/>
  <c r="M256" i="36" s="1"/>
  <c r="K255" i="36"/>
  <c r="J255" i="36"/>
  <c r="I255" i="36"/>
  <c r="M255" i="36" s="1"/>
  <c r="J254" i="36"/>
  <c r="K254" i="36" s="1"/>
  <c r="I254" i="36"/>
  <c r="M254" i="36" s="1"/>
  <c r="K253" i="36"/>
  <c r="J253" i="36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K249" i="36"/>
  <c r="J249" i="36"/>
  <c r="I249" i="36"/>
  <c r="M249" i="36" s="1"/>
  <c r="J248" i="36"/>
  <c r="K248" i="36" s="1"/>
  <c r="I248" i="36"/>
  <c r="M248" i="36" s="1"/>
  <c r="K247" i="36"/>
  <c r="J247" i="36"/>
  <c r="I247" i="36"/>
  <c r="M247" i="36" s="1"/>
  <c r="J246" i="36"/>
  <c r="K246" i="36" s="1"/>
  <c r="I246" i="36"/>
  <c r="M246" i="36" s="1"/>
  <c r="K245" i="36"/>
  <c r="J245" i="36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K241" i="36"/>
  <c r="J241" i="36"/>
  <c r="I241" i="36"/>
  <c r="M241" i="36" s="1"/>
  <c r="J240" i="36"/>
  <c r="K240" i="36" s="1"/>
  <c r="I240" i="36"/>
  <c r="M240" i="36" s="1"/>
  <c r="K239" i="36"/>
  <c r="J239" i="36"/>
  <c r="I239" i="36"/>
  <c r="M239" i="36" s="1"/>
  <c r="J238" i="36"/>
  <c r="K238" i="36" s="1"/>
  <c r="I238" i="36"/>
  <c r="M238" i="36" s="1"/>
  <c r="K237" i="36"/>
  <c r="J237" i="36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K233" i="36"/>
  <c r="J233" i="36"/>
  <c r="I233" i="36"/>
  <c r="M233" i="36" s="1"/>
  <c r="K232" i="36"/>
  <c r="J232" i="36"/>
  <c r="I232" i="36"/>
  <c r="M232" i="36" s="1"/>
  <c r="K231" i="36"/>
  <c r="J231" i="36"/>
  <c r="I231" i="36"/>
  <c r="M231" i="36" s="1"/>
  <c r="J230" i="36"/>
  <c r="K230" i="36" s="1"/>
  <c r="I230" i="36"/>
  <c r="M230" i="36" s="1"/>
  <c r="K229" i="36"/>
  <c r="J229" i="36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K225" i="36"/>
  <c r="J225" i="36"/>
  <c r="I225" i="36"/>
  <c r="M225" i="36" s="1"/>
  <c r="K224" i="36"/>
  <c r="J224" i="36"/>
  <c r="I224" i="36"/>
  <c r="M224" i="36" s="1"/>
  <c r="K223" i="36"/>
  <c r="J223" i="36"/>
  <c r="I223" i="36"/>
  <c r="M223" i="36" s="1"/>
  <c r="J222" i="36"/>
  <c r="K222" i="36" s="1"/>
  <c r="I222" i="36"/>
  <c r="M222" i="36" s="1"/>
  <c r="K221" i="36"/>
  <c r="J221" i="36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K217" i="36"/>
  <c r="J217" i="36"/>
  <c r="I217" i="36"/>
  <c r="M217" i="36" s="1"/>
  <c r="K216" i="36"/>
  <c r="J216" i="36"/>
  <c r="I216" i="36"/>
  <c r="M216" i="36" s="1"/>
  <c r="K215" i="36"/>
  <c r="J215" i="36"/>
  <c r="I215" i="36"/>
  <c r="M215" i="36" s="1"/>
  <c r="J214" i="36"/>
  <c r="K214" i="36" s="1"/>
  <c r="I214" i="36"/>
  <c r="M214" i="36" s="1"/>
  <c r="K213" i="36"/>
  <c r="J213" i="36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K209" i="36"/>
  <c r="J209" i="36"/>
  <c r="I209" i="36"/>
  <c r="M209" i="36" s="1"/>
  <c r="K208" i="36"/>
  <c r="J208" i="36"/>
  <c r="I208" i="36"/>
  <c r="M208" i="36" s="1"/>
  <c r="K207" i="36"/>
  <c r="J207" i="36"/>
  <c r="I207" i="36"/>
  <c r="M207" i="36" s="1"/>
  <c r="J206" i="36"/>
  <c r="K206" i="36" s="1"/>
  <c r="I206" i="36"/>
  <c r="M206" i="36" s="1"/>
  <c r="K205" i="36"/>
  <c r="J205" i="36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K201" i="36"/>
  <c r="J201" i="36"/>
  <c r="I201" i="36"/>
  <c r="M201" i="36" s="1"/>
  <c r="K200" i="36"/>
  <c r="J200" i="36"/>
  <c r="I200" i="36"/>
  <c r="M200" i="36" s="1"/>
  <c r="K199" i="36"/>
  <c r="J199" i="36"/>
  <c r="I199" i="36"/>
  <c r="M199" i="36" s="1"/>
  <c r="K198" i="36"/>
  <c r="J198" i="36"/>
  <c r="I198" i="36"/>
  <c r="M198" i="36" s="1"/>
  <c r="K197" i="36"/>
  <c r="J197" i="36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K193" i="36"/>
  <c r="J193" i="36"/>
  <c r="I193" i="36"/>
  <c r="M193" i="36" s="1"/>
  <c r="K192" i="36"/>
  <c r="J192" i="36"/>
  <c r="I192" i="36"/>
  <c r="M192" i="36" s="1"/>
  <c r="K191" i="36"/>
  <c r="J191" i="36"/>
  <c r="I191" i="36"/>
  <c r="M191" i="36" s="1"/>
  <c r="K190" i="36"/>
  <c r="J190" i="36"/>
  <c r="I190" i="36"/>
  <c r="M190" i="36" s="1"/>
  <c r="K189" i="36"/>
  <c r="J189" i="36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K185" i="36"/>
  <c r="J185" i="36"/>
  <c r="I185" i="36"/>
  <c r="M185" i="36" s="1"/>
  <c r="K184" i="36"/>
  <c r="J184" i="36"/>
  <c r="I184" i="36"/>
  <c r="M184" i="36" s="1"/>
  <c r="K183" i="36"/>
  <c r="J183" i="36"/>
  <c r="I183" i="36"/>
  <c r="M183" i="36" s="1"/>
  <c r="K182" i="36"/>
  <c r="J182" i="36"/>
  <c r="I182" i="36"/>
  <c r="M182" i="36" s="1"/>
  <c r="K181" i="36"/>
  <c r="J181" i="36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K177" i="36"/>
  <c r="J177" i="36"/>
  <c r="I177" i="36"/>
  <c r="M177" i="36" s="1"/>
  <c r="K176" i="36"/>
  <c r="J176" i="36"/>
  <c r="I176" i="36"/>
  <c r="M176" i="36" s="1"/>
  <c r="K175" i="36"/>
  <c r="J175" i="36"/>
  <c r="I175" i="36"/>
  <c r="M175" i="36" s="1"/>
  <c r="K174" i="36"/>
  <c r="J174" i="36"/>
  <c r="I174" i="36"/>
  <c r="M174" i="36" s="1"/>
  <c r="K173" i="36"/>
  <c r="J173" i="36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K169" i="36"/>
  <c r="J169" i="36"/>
  <c r="I169" i="36"/>
  <c r="M169" i="36" s="1"/>
  <c r="K168" i="36"/>
  <c r="J168" i="36"/>
  <c r="I168" i="36"/>
  <c r="M168" i="36" s="1"/>
  <c r="K167" i="36"/>
  <c r="J167" i="36"/>
  <c r="I167" i="36"/>
  <c r="M167" i="36" s="1"/>
  <c r="K166" i="36"/>
  <c r="J166" i="36"/>
  <c r="I166" i="36"/>
  <c r="M166" i="36" s="1"/>
  <c r="K165" i="36"/>
  <c r="J165" i="36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K161" i="36"/>
  <c r="J161" i="36"/>
  <c r="I161" i="36"/>
  <c r="M161" i="36" s="1"/>
  <c r="K160" i="36"/>
  <c r="J160" i="36"/>
  <c r="I160" i="36"/>
  <c r="M160" i="36" s="1"/>
  <c r="K159" i="36"/>
  <c r="J159" i="36"/>
  <c r="I159" i="36"/>
  <c r="M159" i="36" s="1"/>
  <c r="K158" i="36"/>
  <c r="J158" i="36"/>
  <c r="I158" i="36"/>
  <c r="M158" i="36" s="1"/>
  <c r="K157" i="36"/>
  <c r="J157" i="36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K153" i="36"/>
  <c r="J153" i="36"/>
  <c r="I153" i="36"/>
  <c r="M153" i="36" s="1"/>
  <c r="K152" i="36"/>
  <c r="J152" i="36"/>
  <c r="I152" i="36"/>
  <c r="M152" i="36" s="1"/>
  <c r="K151" i="36"/>
  <c r="J151" i="36"/>
  <c r="I151" i="36"/>
  <c r="M151" i="36" s="1"/>
  <c r="K150" i="36"/>
  <c r="J150" i="36"/>
  <c r="I150" i="36"/>
  <c r="M150" i="36" s="1"/>
  <c r="K149" i="36"/>
  <c r="J149" i="36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K145" i="36"/>
  <c r="J145" i="36"/>
  <c r="I145" i="36"/>
  <c r="M145" i="36" s="1"/>
  <c r="K144" i="36"/>
  <c r="J144" i="36"/>
  <c r="I144" i="36"/>
  <c r="M144" i="36" s="1"/>
  <c r="K143" i="36"/>
  <c r="J143" i="36"/>
  <c r="I143" i="36"/>
  <c r="M143" i="36" s="1"/>
  <c r="K142" i="36"/>
  <c r="J142" i="36"/>
  <c r="I142" i="36"/>
  <c r="M142" i="36" s="1"/>
  <c r="K141" i="36"/>
  <c r="J141" i="36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K137" i="36"/>
  <c r="J137" i="36"/>
  <c r="I137" i="36"/>
  <c r="M137" i="36" s="1"/>
  <c r="K136" i="36"/>
  <c r="J136" i="36"/>
  <c r="I136" i="36"/>
  <c r="M136" i="36" s="1"/>
  <c r="J135" i="36"/>
  <c r="K135" i="36" s="1"/>
  <c r="I135" i="36"/>
  <c r="M135" i="36" s="1"/>
  <c r="K134" i="36"/>
  <c r="J134" i="36"/>
  <c r="I134" i="36"/>
  <c r="M134" i="36" s="1"/>
  <c r="J133" i="36"/>
  <c r="K133" i="36" s="1"/>
  <c r="I133" i="36"/>
  <c r="M133" i="36" s="1"/>
  <c r="J132" i="36"/>
  <c r="K132" i="36" s="1"/>
  <c r="I132" i="36"/>
  <c r="M132" i="36" s="1"/>
  <c r="J131" i="36"/>
  <c r="K131" i="36" s="1"/>
  <c r="I131" i="36"/>
  <c r="M131" i="36" s="1"/>
  <c r="J130" i="36"/>
  <c r="K130" i="36" s="1"/>
  <c r="I130" i="36"/>
  <c r="M130" i="36" s="1"/>
  <c r="J129" i="36"/>
  <c r="K129" i="36" s="1"/>
  <c r="I129" i="36"/>
  <c r="M129" i="36" s="1"/>
  <c r="J128" i="36"/>
  <c r="K128" i="36" s="1"/>
  <c r="I128" i="36"/>
  <c r="M128" i="36" s="1"/>
  <c r="J127" i="36"/>
  <c r="K127" i="36" s="1"/>
  <c r="I127" i="36"/>
  <c r="M127" i="36" s="1"/>
  <c r="J126" i="36"/>
  <c r="K126" i="36" s="1"/>
  <c r="I126" i="36"/>
  <c r="M126" i="36" s="1"/>
  <c r="J125" i="36"/>
  <c r="K125" i="36" s="1"/>
  <c r="I125" i="36"/>
  <c r="M125" i="36" s="1"/>
  <c r="J124" i="36"/>
  <c r="K124" i="36" s="1"/>
  <c r="I124" i="36"/>
  <c r="M124" i="36" s="1"/>
  <c r="J123" i="36"/>
  <c r="K123" i="36" s="1"/>
  <c r="I123" i="36"/>
  <c r="M123" i="36" s="1"/>
  <c r="J122" i="36"/>
  <c r="K122" i="36" s="1"/>
  <c r="I122" i="36"/>
  <c r="M122" i="36" s="1"/>
  <c r="J121" i="36"/>
  <c r="K121" i="36" s="1"/>
  <c r="I121" i="36"/>
  <c r="M121" i="36" s="1"/>
  <c r="J120" i="36"/>
  <c r="K120" i="36" s="1"/>
  <c r="I120" i="36"/>
  <c r="M120" i="36" s="1"/>
  <c r="J119" i="36"/>
  <c r="K119" i="36" s="1"/>
  <c r="I119" i="36"/>
  <c r="M119" i="36" s="1"/>
  <c r="J118" i="36"/>
  <c r="K118" i="36" s="1"/>
  <c r="I118" i="36"/>
  <c r="M118" i="36" s="1"/>
  <c r="J117" i="36"/>
  <c r="K117" i="36" s="1"/>
  <c r="I117" i="36"/>
  <c r="M117" i="36" s="1"/>
  <c r="J116" i="36"/>
  <c r="K116" i="36" s="1"/>
  <c r="I116" i="36"/>
  <c r="M116" i="36" s="1"/>
  <c r="J115" i="36"/>
  <c r="K115" i="36" s="1"/>
  <c r="I115" i="36"/>
  <c r="M115" i="36" s="1"/>
  <c r="J114" i="36"/>
  <c r="K114" i="36" s="1"/>
  <c r="I114" i="36"/>
  <c r="M114" i="36" s="1"/>
  <c r="J113" i="36"/>
  <c r="K113" i="36" s="1"/>
  <c r="I113" i="36"/>
  <c r="M113" i="36" s="1"/>
  <c r="J112" i="36"/>
  <c r="K112" i="36" s="1"/>
  <c r="I112" i="36"/>
  <c r="M112" i="36" s="1"/>
  <c r="J111" i="36"/>
  <c r="K111" i="36" s="1"/>
  <c r="I111" i="36"/>
  <c r="M111" i="36" s="1"/>
  <c r="J110" i="36"/>
  <c r="K110" i="36" s="1"/>
  <c r="I110" i="36"/>
  <c r="M110" i="36" s="1"/>
  <c r="J109" i="36"/>
  <c r="K109" i="36" s="1"/>
  <c r="I109" i="36"/>
  <c r="M109" i="36" s="1"/>
  <c r="J108" i="36"/>
  <c r="K108" i="36" s="1"/>
  <c r="I108" i="36"/>
  <c r="M108" i="36" s="1"/>
  <c r="J107" i="36"/>
  <c r="K107" i="36" s="1"/>
  <c r="I107" i="36"/>
  <c r="M107" i="36" s="1"/>
  <c r="J106" i="36"/>
  <c r="K106" i="36" s="1"/>
  <c r="I106" i="36"/>
  <c r="M106" i="36" s="1"/>
  <c r="J105" i="36"/>
  <c r="K105" i="36" s="1"/>
  <c r="I105" i="36"/>
  <c r="M105" i="36" s="1"/>
  <c r="J104" i="36"/>
  <c r="K104" i="36" s="1"/>
  <c r="I104" i="36"/>
  <c r="M104" i="36" s="1"/>
  <c r="J103" i="36"/>
  <c r="K103" i="36" s="1"/>
  <c r="I103" i="36"/>
  <c r="M103" i="36" s="1"/>
  <c r="J102" i="36"/>
  <c r="K102" i="36" s="1"/>
  <c r="I102" i="36"/>
  <c r="M102" i="36" s="1"/>
  <c r="J101" i="36"/>
  <c r="K101" i="36" s="1"/>
  <c r="I101" i="36"/>
  <c r="M101" i="36" s="1"/>
  <c r="J100" i="36"/>
  <c r="K100" i="36" s="1"/>
  <c r="I100" i="36"/>
  <c r="M100" i="36" s="1"/>
  <c r="J99" i="36"/>
  <c r="K99" i="36" s="1"/>
  <c r="I99" i="36"/>
  <c r="M99" i="36" s="1"/>
  <c r="J98" i="36"/>
  <c r="K98" i="36" s="1"/>
  <c r="I98" i="36"/>
  <c r="M98" i="36" s="1"/>
  <c r="J97" i="36"/>
  <c r="K97" i="36" s="1"/>
  <c r="I97" i="36"/>
  <c r="M97" i="36" s="1"/>
  <c r="J96" i="36"/>
  <c r="K96" i="36" s="1"/>
  <c r="I96" i="36"/>
  <c r="M96" i="36" s="1"/>
  <c r="J95" i="36"/>
  <c r="K95" i="36" s="1"/>
  <c r="I95" i="36"/>
  <c r="M95" i="36" s="1"/>
  <c r="J94" i="36"/>
  <c r="K94" i="36" s="1"/>
  <c r="I94" i="36"/>
  <c r="M94" i="36" s="1"/>
  <c r="J93" i="36"/>
  <c r="K93" i="36" s="1"/>
  <c r="I93" i="36"/>
  <c r="M93" i="36" s="1"/>
  <c r="J92" i="36"/>
  <c r="K92" i="36" s="1"/>
  <c r="I92" i="36"/>
  <c r="M92" i="36" s="1"/>
  <c r="J91" i="36"/>
  <c r="K91" i="36" s="1"/>
  <c r="I91" i="36"/>
  <c r="M91" i="36" s="1"/>
  <c r="J90" i="36"/>
  <c r="K90" i="36" s="1"/>
  <c r="I90" i="36"/>
  <c r="M90" i="36" s="1"/>
  <c r="J89" i="36"/>
  <c r="K89" i="36" s="1"/>
  <c r="I89" i="36"/>
  <c r="M89" i="36" s="1"/>
  <c r="J88" i="36"/>
  <c r="K88" i="36" s="1"/>
  <c r="I88" i="36"/>
  <c r="M88" i="36" s="1"/>
  <c r="J87" i="36"/>
  <c r="K87" i="36" s="1"/>
  <c r="I87" i="36"/>
  <c r="M87" i="36" s="1"/>
  <c r="J86" i="36"/>
  <c r="K86" i="36" s="1"/>
  <c r="I86" i="36"/>
  <c r="M86" i="36" s="1"/>
  <c r="J85" i="36"/>
  <c r="K85" i="36" s="1"/>
  <c r="I85" i="36"/>
  <c r="M85" i="36" s="1"/>
  <c r="J84" i="36"/>
  <c r="K84" i="36" s="1"/>
  <c r="I84" i="36"/>
  <c r="M84" i="36" s="1"/>
  <c r="J83" i="36"/>
  <c r="K83" i="36" s="1"/>
  <c r="I83" i="36"/>
  <c r="M83" i="36" s="1"/>
  <c r="J82" i="36"/>
  <c r="K82" i="36" s="1"/>
  <c r="I82" i="36"/>
  <c r="M82" i="36" s="1"/>
  <c r="J81" i="36"/>
  <c r="K81" i="36" s="1"/>
  <c r="I81" i="36"/>
  <c r="M81" i="36" s="1"/>
  <c r="J80" i="36"/>
  <c r="K80" i="36" s="1"/>
  <c r="I80" i="36"/>
  <c r="M80" i="36" s="1"/>
  <c r="J79" i="36"/>
  <c r="K79" i="36" s="1"/>
  <c r="I79" i="36"/>
  <c r="M79" i="36" s="1"/>
  <c r="J78" i="36"/>
  <c r="K78" i="36" s="1"/>
  <c r="I78" i="36"/>
  <c r="M78" i="36" s="1"/>
  <c r="J77" i="36"/>
  <c r="K77" i="36" s="1"/>
  <c r="I77" i="36"/>
  <c r="M77" i="36" s="1"/>
  <c r="J76" i="36"/>
  <c r="K76" i="36" s="1"/>
  <c r="I76" i="36"/>
  <c r="M76" i="36" s="1"/>
  <c r="J75" i="36"/>
  <c r="K75" i="36" s="1"/>
  <c r="I75" i="36"/>
  <c r="M75" i="36" s="1"/>
  <c r="J74" i="36"/>
  <c r="K74" i="36" s="1"/>
  <c r="I74" i="36"/>
  <c r="M74" i="36" s="1"/>
  <c r="J73" i="36"/>
  <c r="K73" i="36" s="1"/>
  <c r="I73" i="36"/>
  <c r="M73" i="36" s="1"/>
  <c r="J72" i="36"/>
  <c r="K72" i="36" s="1"/>
  <c r="I72" i="36"/>
  <c r="M72" i="36" s="1"/>
  <c r="J71" i="36"/>
  <c r="K71" i="36" s="1"/>
  <c r="I71" i="36"/>
  <c r="M71" i="36" s="1"/>
  <c r="J70" i="36"/>
  <c r="K70" i="36" s="1"/>
  <c r="I70" i="36"/>
  <c r="M70" i="36" s="1"/>
  <c r="J69" i="36"/>
  <c r="K69" i="36" s="1"/>
  <c r="I69" i="36"/>
  <c r="M69" i="36" s="1"/>
  <c r="J68" i="36"/>
  <c r="K68" i="36" s="1"/>
  <c r="I68" i="36"/>
  <c r="M68" i="36" s="1"/>
  <c r="J67" i="36"/>
  <c r="K67" i="36" s="1"/>
  <c r="I67" i="36"/>
  <c r="M67" i="36" s="1"/>
  <c r="J66" i="36"/>
  <c r="K66" i="36" s="1"/>
  <c r="I66" i="36"/>
  <c r="M66" i="36" s="1"/>
  <c r="J65" i="36"/>
  <c r="K65" i="36" s="1"/>
  <c r="I65" i="36"/>
  <c r="M65" i="36" s="1"/>
  <c r="B65" i="36"/>
  <c r="K64" i="36"/>
  <c r="J64" i="36"/>
  <c r="I64" i="36"/>
  <c r="M64" i="36" s="1"/>
  <c r="B64" i="36"/>
  <c r="M63" i="36"/>
  <c r="K63" i="36"/>
  <c r="J63" i="36"/>
  <c r="I63" i="36"/>
  <c r="B63" i="36"/>
  <c r="K62" i="36"/>
  <c r="J62" i="36"/>
  <c r="I62" i="36"/>
  <c r="M62" i="36" s="1"/>
  <c r="B62" i="36"/>
  <c r="J61" i="36"/>
  <c r="K61" i="36" s="1"/>
  <c r="I61" i="36"/>
  <c r="M61" i="36" s="1"/>
  <c r="B61" i="36"/>
  <c r="M60" i="36"/>
  <c r="K60" i="36"/>
  <c r="J60" i="36"/>
  <c r="I60" i="36"/>
  <c r="B60" i="36"/>
  <c r="M59" i="36"/>
  <c r="J59" i="36"/>
  <c r="K59" i="36" s="1"/>
  <c r="I59" i="36"/>
  <c r="B59" i="36"/>
  <c r="M58" i="36"/>
  <c r="J58" i="36"/>
  <c r="K58" i="36" s="1"/>
  <c r="I58" i="36"/>
  <c r="B58" i="36"/>
  <c r="J57" i="36"/>
  <c r="K57" i="36" s="1"/>
  <c r="I57" i="36"/>
  <c r="M57" i="36" s="1"/>
  <c r="B57" i="36"/>
  <c r="K56" i="36"/>
  <c r="J56" i="36"/>
  <c r="I56" i="36"/>
  <c r="M56" i="36" s="1"/>
  <c r="B56" i="36"/>
  <c r="M55" i="36"/>
  <c r="K55" i="36"/>
  <c r="J55" i="36"/>
  <c r="I55" i="36"/>
  <c r="B55" i="36"/>
  <c r="K54" i="36"/>
  <c r="J54" i="36"/>
  <c r="I54" i="36"/>
  <c r="M54" i="36" s="1"/>
  <c r="B54" i="36"/>
  <c r="J53" i="36"/>
  <c r="K53" i="36" s="1"/>
  <c r="I53" i="36"/>
  <c r="M53" i="36" s="1"/>
  <c r="B53" i="36"/>
  <c r="M52" i="36"/>
  <c r="K52" i="36"/>
  <c r="J52" i="36"/>
  <c r="I52" i="36"/>
  <c r="B52" i="36"/>
  <c r="M51" i="36"/>
  <c r="J51" i="36"/>
  <c r="K51" i="36" s="1"/>
  <c r="I51" i="36"/>
  <c r="B51" i="36"/>
  <c r="M50" i="36"/>
  <c r="J50" i="36"/>
  <c r="K50" i="36" s="1"/>
  <c r="I50" i="36"/>
  <c r="B50" i="36"/>
  <c r="J49" i="36"/>
  <c r="K49" i="36" s="1"/>
  <c r="I49" i="36"/>
  <c r="M49" i="36" s="1"/>
  <c r="B49" i="36"/>
  <c r="K48" i="36"/>
  <c r="J48" i="36"/>
  <c r="I48" i="36"/>
  <c r="M48" i="36" s="1"/>
  <c r="B48" i="36"/>
  <c r="M47" i="36"/>
  <c r="K47" i="36"/>
  <c r="J47" i="36"/>
  <c r="I47" i="36"/>
  <c r="B47" i="36"/>
  <c r="T46" i="36"/>
  <c r="U46" i="36" s="1"/>
  <c r="R46" i="36"/>
  <c r="M46" i="36"/>
  <c r="K46" i="36"/>
  <c r="J46" i="36"/>
  <c r="I46" i="36"/>
  <c r="B46" i="36"/>
  <c r="K45" i="36"/>
  <c r="J45" i="36"/>
  <c r="I45" i="36"/>
  <c r="M45" i="36" s="1"/>
  <c r="B45" i="36"/>
  <c r="J44" i="36"/>
  <c r="K44" i="36" s="1"/>
  <c r="I44" i="36"/>
  <c r="M44" i="36" s="1"/>
  <c r="B44" i="36"/>
  <c r="M43" i="36"/>
  <c r="K43" i="36"/>
  <c r="J43" i="36"/>
  <c r="I43" i="36"/>
  <c r="B43" i="36"/>
  <c r="M42" i="36"/>
  <c r="J42" i="36"/>
  <c r="K42" i="36" s="1"/>
  <c r="I42" i="36"/>
  <c r="B42" i="36"/>
  <c r="M41" i="36"/>
  <c r="J41" i="36"/>
  <c r="K41" i="36" s="1"/>
  <c r="I41" i="36"/>
  <c r="B41" i="36"/>
  <c r="J40" i="36"/>
  <c r="K40" i="36" s="1"/>
  <c r="I40" i="36"/>
  <c r="M40" i="36" s="1"/>
  <c r="B40" i="36"/>
  <c r="K39" i="36"/>
  <c r="J39" i="36"/>
  <c r="I39" i="36"/>
  <c r="M39" i="36" s="1"/>
  <c r="B39" i="36"/>
  <c r="M38" i="36"/>
  <c r="K38" i="36"/>
  <c r="J38" i="36"/>
  <c r="I38" i="36"/>
  <c r="B38" i="36"/>
  <c r="K37" i="36"/>
  <c r="J37" i="36"/>
  <c r="I37" i="36"/>
  <c r="M37" i="36" s="1"/>
  <c r="A37" i="36" s="1"/>
  <c r="B37" i="36"/>
  <c r="K36" i="36"/>
  <c r="J36" i="36"/>
  <c r="I36" i="36"/>
  <c r="M36" i="36" s="1"/>
  <c r="A36" i="36" s="1"/>
  <c r="B36" i="36"/>
  <c r="M35" i="36"/>
  <c r="A35" i="36" s="1"/>
  <c r="J35" i="36"/>
  <c r="K35" i="36" s="1"/>
  <c r="I35" i="36"/>
  <c r="B35" i="36"/>
  <c r="M34" i="36"/>
  <c r="K34" i="36"/>
  <c r="J34" i="36"/>
  <c r="I34" i="36"/>
  <c r="B34" i="36"/>
  <c r="A34" i="36"/>
  <c r="K33" i="36"/>
  <c r="J33" i="36"/>
  <c r="I33" i="36"/>
  <c r="M33" i="36" s="1"/>
  <c r="A33" i="36" s="1"/>
  <c r="B33" i="36"/>
  <c r="K32" i="36"/>
  <c r="J32" i="36"/>
  <c r="I32" i="36"/>
  <c r="M32" i="36" s="1"/>
  <c r="A32" i="36" s="1"/>
  <c r="B32" i="36"/>
  <c r="M31" i="36"/>
  <c r="A31" i="36" s="1"/>
  <c r="J31" i="36"/>
  <c r="K31" i="36" s="1"/>
  <c r="I31" i="36"/>
  <c r="B31" i="36"/>
  <c r="M30" i="36"/>
  <c r="K30" i="36"/>
  <c r="J30" i="36"/>
  <c r="I30" i="36"/>
  <c r="B30" i="36"/>
  <c r="A30" i="36"/>
  <c r="K29" i="36"/>
  <c r="J29" i="36"/>
  <c r="I29" i="36"/>
  <c r="M29" i="36" s="1"/>
  <c r="A29" i="36" s="1"/>
  <c r="B29" i="36"/>
  <c r="K28" i="36"/>
  <c r="J28" i="36"/>
  <c r="I28" i="36"/>
  <c r="M28" i="36" s="1"/>
  <c r="A28" i="36" s="1"/>
  <c r="B28" i="36"/>
  <c r="M27" i="36"/>
  <c r="A27" i="36" s="1"/>
  <c r="J27" i="36"/>
  <c r="K27" i="36" s="1"/>
  <c r="I27" i="36"/>
  <c r="B27" i="36"/>
  <c r="M26" i="36"/>
  <c r="K26" i="36"/>
  <c r="J26" i="36"/>
  <c r="I26" i="36"/>
  <c r="B26" i="36"/>
  <c r="A26" i="36"/>
  <c r="K25" i="36"/>
  <c r="J25" i="36"/>
  <c r="I25" i="36"/>
  <c r="M25" i="36" s="1"/>
  <c r="A25" i="36" s="1"/>
  <c r="B25" i="36"/>
  <c r="K24" i="36"/>
  <c r="J24" i="36"/>
  <c r="I24" i="36"/>
  <c r="M24" i="36" s="1"/>
  <c r="A24" i="36" s="1"/>
  <c r="B24" i="36"/>
  <c r="M23" i="36"/>
  <c r="A23" i="36" s="1"/>
  <c r="J23" i="36"/>
  <c r="K23" i="36" s="1"/>
  <c r="I23" i="36"/>
  <c r="B23" i="36"/>
  <c r="M22" i="36"/>
  <c r="K22" i="36"/>
  <c r="J22" i="36"/>
  <c r="I22" i="36"/>
  <c r="B22" i="36"/>
  <c r="A22" i="36"/>
  <c r="K21" i="36"/>
  <c r="J21" i="36"/>
  <c r="I21" i="36"/>
  <c r="M21" i="36" s="1"/>
  <c r="A21" i="36" s="1"/>
  <c r="B21" i="36"/>
  <c r="K20" i="36"/>
  <c r="J20" i="36"/>
  <c r="I20" i="36"/>
  <c r="M20" i="36" s="1"/>
  <c r="A20" i="36" s="1"/>
  <c r="B20" i="36"/>
  <c r="M19" i="36"/>
  <c r="A19" i="36" s="1"/>
  <c r="J19" i="36"/>
  <c r="K19" i="36" s="1"/>
  <c r="I19" i="36"/>
  <c r="B19" i="36"/>
  <c r="M18" i="36"/>
  <c r="K18" i="36"/>
  <c r="J18" i="36"/>
  <c r="I18" i="36"/>
  <c r="B18" i="36"/>
  <c r="A18" i="36"/>
  <c r="K17" i="36"/>
  <c r="J17" i="36"/>
  <c r="I17" i="36"/>
  <c r="M17" i="36" s="1"/>
  <c r="A17" i="36" s="1"/>
  <c r="B17" i="36"/>
  <c r="M16" i="36"/>
  <c r="J16" i="36"/>
  <c r="K16" i="36" s="1"/>
  <c r="I16" i="36"/>
  <c r="B16" i="36"/>
  <c r="A16" i="36"/>
  <c r="J15" i="36"/>
  <c r="K15" i="36" s="1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M13" i="36"/>
  <c r="A13" i="36" s="1"/>
  <c r="K13" i="36"/>
  <c r="J13" i="36"/>
  <c r="I13" i="36"/>
  <c r="B13" i="36"/>
  <c r="AI12" i="36"/>
  <c r="AI16" i="36" s="1"/>
  <c r="M12" i="36"/>
  <c r="K12" i="36"/>
  <c r="J12" i="36"/>
  <c r="I12" i="36"/>
  <c r="B12" i="36"/>
  <c r="A12" i="36"/>
  <c r="K11" i="36"/>
  <c r="J11" i="36"/>
  <c r="I11" i="36"/>
  <c r="M11" i="36" s="1"/>
  <c r="A11" i="36" s="1"/>
  <c r="B11" i="36"/>
  <c r="K10" i="36"/>
  <c r="J10" i="36"/>
  <c r="I10" i="36"/>
  <c r="M10" i="36" s="1"/>
  <c r="A10" i="36" s="1"/>
  <c r="B10" i="36"/>
  <c r="M9" i="36"/>
  <c r="A9" i="36" s="1"/>
  <c r="J9" i="36"/>
  <c r="K9" i="36" s="1"/>
  <c r="I9" i="36"/>
  <c r="B9" i="36"/>
  <c r="M8" i="36"/>
  <c r="A8" i="36" s="1"/>
  <c r="L8" i="36"/>
  <c r="J8" i="36"/>
  <c r="K8" i="36" s="1"/>
  <c r="I8" i="36"/>
  <c r="B8" i="36"/>
  <c r="M7" i="36"/>
  <c r="L7" i="36"/>
  <c r="K7" i="36"/>
  <c r="J7" i="36"/>
  <c r="I7" i="36"/>
  <c r="B7" i="36"/>
  <c r="A7" i="36"/>
  <c r="M6" i="36"/>
  <c r="K6" i="36"/>
  <c r="J6" i="36"/>
  <c r="I6" i="36"/>
  <c r="B6" i="36"/>
  <c r="A6" i="36"/>
  <c r="K2" i="36"/>
  <c r="L9" i="36" s="1"/>
  <c r="J305" i="35"/>
  <c r="K305" i="35" s="1"/>
  <c r="I305" i="35"/>
  <c r="M305" i="35" s="1"/>
  <c r="K304" i="35"/>
  <c r="J304" i="35"/>
  <c r="I304" i="35"/>
  <c r="M304" i="35" s="1"/>
  <c r="J303" i="35"/>
  <c r="K303" i="35" s="1"/>
  <c r="I303" i="35"/>
  <c r="M303" i="35" s="1"/>
  <c r="K302" i="35"/>
  <c r="J302" i="35"/>
  <c r="I302" i="35"/>
  <c r="M302" i="35" s="1"/>
  <c r="J301" i="35"/>
  <c r="K301" i="35" s="1"/>
  <c r="I301" i="35"/>
  <c r="M301" i="35" s="1"/>
  <c r="K300" i="35"/>
  <c r="J300" i="35"/>
  <c r="I300" i="35"/>
  <c r="M300" i="35" s="1"/>
  <c r="J299" i="35"/>
  <c r="K299" i="35" s="1"/>
  <c r="I299" i="35"/>
  <c r="M299" i="35" s="1"/>
  <c r="K298" i="35"/>
  <c r="J298" i="35"/>
  <c r="I298" i="35"/>
  <c r="M298" i="35" s="1"/>
  <c r="J297" i="35"/>
  <c r="K297" i="35" s="1"/>
  <c r="I297" i="35"/>
  <c r="M297" i="35" s="1"/>
  <c r="K296" i="35"/>
  <c r="J296" i="35"/>
  <c r="I296" i="35"/>
  <c r="M296" i="35" s="1"/>
  <c r="J295" i="35"/>
  <c r="K295" i="35" s="1"/>
  <c r="I295" i="35"/>
  <c r="M295" i="35" s="1"/>
  <c r="K294" i="35"/>
  <c r="J294" i="35"/>
  <c r="I294" i="35"/>
  <c r="M294" i="35" s="1"/>
  <c r="J293" i="35"/>
  <c r="K293" i="35" s="1"/>
  <c r="I293" i="35"/>
  <c r="M293" i="35" s="1"/>
  <c r="K292" i="35"/>
  <c r="J292" i="35"/>
  <c r="I292" i="35"/>
  <c r="M292" i="35" s="1"/>
  <c r="J291" i="35"/>
  <c r="K291" i="35" s="1"/>
  <c r="I291" i="35"/>
  <c r="M291" i="35" s="1"/>
  <c r="K290" i="35"/>
  <c r="J290" i="35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K286" i="35"/>
  <c r="J286" i="35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K276" i="35"/>
  <c r="J276" i="35"/>
  <c r="I276" i="35"/>
  <c r="M276" i="35" s="1"/>
  <c r="J275" i="35"/>
  <c r="K275" i="35" s="1"/>
  <c r="I275" i="35"/>
  <c r="M275" i="35" s="1"/>
  <c r="K274" i="35"/>
  <c r="J274" i="35"/>
  <c r="I274" i="35"/>
  <c r="M274" i="35" s="1"/>
  <c r="J273" i="35"/>
  <c r="K273" i="35" s="1"/>
  <c r="I273" i="35"/>
  <c r="M273" i="35" s="1"/>
  <c r="K272" i="35"/>
  <c r="J272" i="35"/>
  <c r="I272" i="35"/>
  <c r="M272" i="35" s="1"/>
  <c r="J271" i="35"/>
  <c r="K271" i="35" s="1"/>
  <c r="I271" i="35"/>
  <c r="M271" i="35" s="1"/>
  <c r="K270" i="35"/>
  <c r="J270" i="35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K266" i="35"/>
  <c r="J266" i="35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K260" i="35"/>
  <c r="J260" i="35"/>
  <c r="I260" i="35"/>
  <c r="M260" i="35" s="1"/>
  <c r="J259" i="35"/>
  <c r="K259" i="35" s="1"/>
  <c r="I259" i="35"/>
  <c r="M259" i="35" s="1"/>
  <c r="K258" i="35"/>
  <c r="J258" i="35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K254" i="35"/>
  <c r="J254" i="35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K250" i="35"/>
  <c r="J250" i="35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K244" i="35"/>
  <c r="J244" i="35"/>
  <c r="I244" i="35"/>
  <c r="M244" i="35" s="1"/>
  <c r="J243" i="35"/>
  <c r="K243" i="35" s="1"/>
  <c r="I243" i="35"/>
  <c r="M243" i="35" s="1"/>
  <c r="K242" i="35"/>
  <c r="J242" i="35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K238" i="35"/>
  <c r="J238" i="35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K234" i="35"/>
  <c r="J234" i="35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K228" i="35"/>
  <c r="J228" i="35"/>
  <c r="I228" i="35"/>
  <c r="M228" i="35" s="1"/>
  <c r="J227" i="35"/>
  <c r="K227" i="35" s="1"/>
  <c r="I227" i="35"/>
  <c r="M227" i="35" s="1"/>
  <c r="K226" i="35"/>
  <c r="J226" i="35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K222" i="35"/>
  <c r="J222" i="35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K218" i="35"/>
  <c r="J218" i="35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K212" i="35"/>
  <c r="J212" i="35"/>
  <c r="I212" i="35"/>
  <c r="M212" i="35" s="1"/>
  <c r="J211" i="35"/>
  <c r="K211" i="35" s="1"/>
  <c r="I211" i="35"/>
  <c r="M211" i="35" s="1"/>
  <c r="K210" i="35"/>
  <c r="J210" i="35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K206" i="35"/>
  <c r="J206" i="35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K202" i="35"/>
  <c r="J202" i="35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K196" i="35"/>
  <c r="J196" i="35"/>
  <c r="I196" i="35"/>
  <c r="M196" i="35" s="1"/>
  <c r="J195" i="35"/>
  <c r="K195" i="35" s="1"/>
  <c r="I195" i="35"/>
  <c r="M195" i="35" s="1"/>
  <c r="K194" i="35"/>
  <c r="J194" i="35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K190" i="35"/>
  <c r="J190" i="35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K186" i="35"/>
  <c r="J186" i="35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K180" i="35"/>
  <c r="J180" i="35"/>
  <c r="I180" i="35"/>
  <c r="M180" i="35" s="1"/>
  <c r="J179" i="35"/>
  <c r="K179" i="35" s="1"/>
  <c r="I179" i="35"/>
  <c r="M179" i="35" s="1"/>
  <c r="K178" i="35"/>
  <c r="J178" i="35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K174" i="35"/>
  <c r="J174" i="35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K170" i="35"/>
  <c r="J170" i="35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K164" i="35"/>
  <c r="J164" i="35"/>
  <c r="I164" i="35"/>
  <c r="M164" i="35" s="1"/>
  <c r="J163" i="35"/>
  <c r="K163" i="35" s="1"/>
  <c r="I163" i="35"/>
  <c r="M163" i="35" s="1"/>
  <c r="K162" i="35"/>
  <c r="J162" i="35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K158" i="35"/>
  <c r="J158" i="35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K154" i="35"/>
  <c r="J154" i="35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K148" i="35"/>
  <c r="J148" i="35"/>
  <c r="I148" i="35"/>
  <c r="M148" i="35" s="1"/>
  <c r="J147" i="35"/>
  <c r="K147" i="35" s="1"/>
  <c r="I147" i="35"/>
  <c r="M147" i="35" s="1"/>
  <c r="K146" i="35"/>
  <c r="J146" i="35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K142" i="35"/>
  <c r="J142" i="35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K138" i="35"/>
  <c r="J138" i="35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K62" i="35"/>
  <c r="J62" i="35"/>
  <c r="I62" i="35"/>
  <c r="M62" i="35" s="1"/>
  <c r="B62" i="35"/>
  <c r="M61" i="35"/>
  <c r="J61" i="35"/>
  <c r="K61" i="35" s="1"/>
  <c r="I61" i="35"/>
  <c r="B61" i="35"/>
  <c r="K60" i="35"/>
  <c r="J60" i="35"/>
  <c r="I60" i="35"/>
  <c r="M60" i="35" s="1"/>
  <c r="A60" i="35" s="1"/>
  <c r="B60" i="35"/>
  <c r="K59" i="35"/>
  <c r="J59" i="35"/>
  <c r="I59" i="35"/>
  <c r="M59" i="35" s="1"/>
  <c r="A59" i="35" s="1"/>
  <c r="B59" i="35"/>
  <c r="K58" i="35"/>
  <c r="J58" i="35"/>
  <c r="I58" i="35"/>
  <c r="M58" i="35" s="1"/>
  <c r="A58" i="35" s="1"/>
  <c r="B58" i="35"/>
  <c r="K57" i="35"/>
  <c r="J57" i="35"/>
  <c r="I57" i="35"/>
  <c r="M57" i="35" s="1"/>
  <c r="A57" i="35" s="1"/>
  <c r="B57" i="35"/>
  <c r="K56" i="35"/>
  <c r="J56" i="35"/>
  <c r="I56" i="35"/>
  <c r="M56" i="35" s="1"/>
  <c r="A56" i="35" s="1"/>
  <c r="B56" i="35"/>
  <c r="K55" i="35"/>
  <c r="J55" i="35"/>
  <c r="I55" i="35"/>
  <c r="M55" i="35" s="1"/>
  <c r="A55" i="35" s="1"/>
  <c r="B55" i="35"/>
  <c r="K54" i="35"/>
  <c r="J54" i="35"/>
  <c r="I54" i="35"/>
  <c r="M54" i="35" s="1"/>
  <c r="A54" i="35" s="1"/>
  <c r="B54" i="35"/>
  <c r="K53" i="35"/>
  <c r="J53" i="35"/>
  <c r="I53" i="35"/>
  <c r="M53" i="35" s="1"/>
  <c r="A53" i="35" s="1"/>
  <c r="B53" i="35"/>
  <c r="K52" i="35"/>
  <c r="J52" i="35"/>
  <c r="I52" i="35"/>
  <c r="M52" i="35" s="1"/>
  <c r="A52" i="35" s="1"/>
  <c r="B52" i="35"/>
  <c r="K51" i="35"/>
  <c r="J51" i="35"/>
  <c r="I51" i="35"/>
  <c r="M51" i="35" s="1"/>
  <c r="A51" i="35" s="1"/>
  <c r="B51" i="35"/>
  <c r="K50" i="35"/>
  <c r="J50" i="35"/>
  <c r="I50" i="35"/>
  <c r="M50" i="35" s="1"/>
  <c r="A50" i="35" s="1"/>
  <c r="B50" i="35"/>
  <c r="K49" i="35"/>
  <c r="J49" i="35"/>
  <c r="I49" i="35"/>
  <c r="M49" i="35" s="1"/>
  <c r="A49" i="35" s="1"/>
  <c r="B49" i="35"/>
  <c r="K48" i="35"/>
  <c r="J48" i="35"/>
  <c r="I48" i="35"/>
  <c r="M48" i="35" s="1"/>
  <c r="A48" i="35" s="1"/>
  <c r="B48" i="35"/>
  <c r="K47" i="35"/>
  <c r="J47" i="35"/>
  <c r="I47" i="35"/>
  <c r="M47" i="35" s="1"/>
  <c r="A47" i="35" s="1"/>
  <c r="B47" i="35"/>
  <c r="T46" i="35"/>
  <c r="R46" i="35"/>
  <c r="U46" i="35" s="1"/>
  <c r="J46" i="35"/>
  <c r="K46" i="35" s="1"/>
  <c r="I46" i="35"/>
  <c r="M46" i="35" s="1"/>
  <c r="A46" i="35" s="1"/>
  <c r="B46" i="35"/>
  <c r="M45" i="35"/>
  <c r="A45" i="35" s="1"/>
  <c r="K45" i="35"/>
  <c r="J45" i="35"/>
  <c r="I45" i="35"/>
  <c r="B45" i="35"/>
  <c r="M44" i="35"/>
  <c r="A44" i="35" s="1"/>
  <c r="J44" i="35"/>
  <c r="K44" i="35" s="1"/>
  <c r="I44" i="35"/>
  <c r="B44" i="35"/>
  <c r="M43" i="35"/>
  <c r="A43" i="35" s="1"/>
  <c r="J43" i="35"/>
  <c r="K43" i="35" s="1"/>
  <c r="I43" i="35"/>
  <c r="B43" i="35"/>
  <c r="J42" i="35"/>
  <c r="K42" i="35" s="1"/>
  <c r="I42" i="35"/>
  <c r="M42" i="35" s="1"/>
  <c r="A42" i="35" s="1"/>
  <c r="B42" i="35"/>
  <c r="M41" i="35"/>
  <c r="A41" i="35" s="1"/>
  <c r="K41" i="35"/>
  <c r="J41" i="35"/>
  <c r="I41" i="35"/>
  <c r="B41" i="35"/>
  <c r="M40" i="35"/>
  <c r="A40" i="35" s="1"/>
  <c r="J40" i="35"/>
  <c r="K40" i="35" s="1"/>
  <c r="I40" i="35"/>
  <c r="B40" i="35"/>
  <c r="M39" i="35"/>
  <c r="A39" i="35" s="1"/>
  <c r="J39" i="35"/>
  <c r="K39" i="35" s="1"/>
  <c r="I39" i="35"/>
  <c r="B39" i="35"/>
  <c r="J38" i="35"/>
  <c r="K38" i="35" s="1"/>
  <c r="I38" i="35"/>
  <c r="M38" i="35" s="1"/>
  <c r="A38" i="35" s="1"/>
  <c r="B38" i="35"/>
  <c r="M37" i="35"/>
  <c r="A37" i="35" s="1"/>
  <c r="K37" i="35"/>
  <c r="J37" i="35"/>
  <c r="I37" i="35"/>
  <c r="B37" i="35"/>
  <c r="M36" i="35"/>
  <c r="A36" i="35" s="1"/>
  <c r="J36" i="35"/>
  <c r="K36" i="35" s="1"/>
  <c r="I36" i="35"/>
  <c r="B36" i="35"/>
  <c r="M35" i="35"/>
  <c r="A35" i="35" s="1"/>
  <c r="J35" i="35"/>
  <c r="K35" i="35" s="1"/>
  <c r="I35" i="35"/>
  <c r="B35" i="35"/>
  <c r="J34" i="35"/>
  <c r="K34" i="35" s="1"/>
  <c r="I34" i="35"/>
  <c r="M34" i="35" s="1"/>
  <c r="A34" i="35" s="1"/>
  <c r="B34" i="35"/>
  <c r="M33" i="35"/>
  <c r="A33" i="35" s="1"/>
  <c r="K33" i="35"/>
  <c r="J33" i="35"/>
  <c r="I33" i="35"/>
  <c r="B33" i="35"/>
  <c r="M32" i="35"/>
  <c r="A32" i="35" s="1"/>
  <c r="J32" i="35"/>
  <c r="K32" i="35" s="1"/>
  <c r="I32" i="35"/>
  <c r="B32" i="35"/>
  <c r="M31" i="35"/>
  <c r="A31" i="35" s="1"/>
  <c r="J31" i="35"/>
  <c r="K31" i="35" s="1"/>
  <c r="I31" i="35"/>
  <c r="B31" i="35"/>
  <c r="J30" i="35"/>
  <c r="K30" i="35" s="1"/>
  <c r="I30" i="35"/>
  <c r="M30" i="35" s="1"/>
  <c r="A30" i="35" s="1"/>
  <c r="B30" i="35"/>
  <c r="M29" i="35"/>
  <c r="A29" i="35" s="1"/>
  <c r="K29" i="35"/>
  <c r="J29" i="35"/>
  <c r="I29" i="35"/>
  <c r="B29" i="35"/>
  <c r="M28" i="35"/>
  <c r="A28" i="35" s="1"/>
  <c r="J28" i="35"/>
  <c r="K28" i="35" s="1"/>
  <c r="I28" i="35"/>
  <c r="B28" i="35"/>
  <c r="M27" i="35"/>
  <c r="A27" i="35" s="1"/>
  <c r="J27" i="35"/>
  <c r="K27" i="35" s="1"/>
  <c r="I27" i="35"/>
  <c r="B27" i="35"/>
  <c r="J26" i="35"/>
  <c r="K26" i="35" s="1"/>
  <c r="I26" i="35"/>
  <c r="M26" i="35" s="1"/>
  <c r="A26" i="35" s="1"/>
  <c r="B26" i="35"/>
  <c r="M25" i="35"/>
  <c r="A25" i="35" s="1"/>
  <c r="K25" i="35"/>
  <c r="J25" i="35"/>
  <c r="I25" i="35"/>
  <c r="B25" i="35"/>
  <c r="M24" i="35"/>
  <c r="A24" i="35" s="1"/>
  <c r="J24" i="35"/>
  <c r="K24" i="35" s="1"/>
  <c r="I24" i="35"/>
  <c r="B24" i="35"/>
  <c r="M23" i="35"/>
  <c r="A23" i="35" s="1"/>
  <c r="J23" i="35"/>
  <c r="K23" i="35" s="1"/>
  <c r="I23" i="35"/>
  <c r="B23" i="35"/>
  <c r="J22" i="35"/>
  <c r="K22" i="35" s="1"/>
  <c r="I22" i="35"/>
  <c r="M22" i="35" s="1"/>
  <c r="A22" i="35" s="1"/>
  <c r="B22" i="35"/>
  <c r="M21" i="35"/>
  <c r="A21" i="35" s="1"/>
  <c r="K21" i="35"/>
  <c r="J21" i="35"/>
  <c r="I21" i="35"/>
  <c r="B21" i="35"/>
  <c r="M20" i="35"/>
  <c r="A20" i="35" s="1"/>
  <c r="J20" i="35"/>
  <c r="K20" i="35" s="1"/>
  <c r="I20" i="35"/>
  <c r="B20" i="35"/>
  <c r="M19" i="35"/>
  <c r="A19" i="35" s="1"/>
  <c r="J19" i="35"/>
  <c r="K19" i="35" s="1"/>
  <c r="I19" i="35"/>
  <c r="B19" i="35"/>
  <c r="J18" i="35"/>
  <c r="K18" i="35" s="1"/>
  <c r="I18" i="35"/>
  <c r="M18" i="35" s="1"/>
  <c r="A18" i="35" s="1"/>
  <c r="B18" i="35"/>
  <c r="M17" i="35"/>
  <c r="A17" i="35" s="1"/>
  <c r="K17" i="35"/>
  <c r="J17" i="35"/>
  <c r="I17" i="35"/>
  <c r="B17" i="35"/>
  <c r="AI16" i="35"/>
  <c r="K16" i="35"/>
  <c r="J16" i="35"/>
  <c r="I16" i="35"/>
  <c r="M16" i="35" s="1"/>
  <c r="A16" i="35" s="1"/>
  <c r="B16" i="35"/>
  <c r="K15" i="35"/>
  <c r="J15" i="35"/>
  <c r="I15" i="35"/>
  <c r="M15" i="35" s="1"/>
  <c r="A15" i="35" s="1"/>
  <c r="B15" i="35"/>
  <c r="AI14" i="35"/>
  <c r="M14" i="35"/>
  <c r="A14" i="35" s="1"/>
  <c r="J14" i="35"/>
  <c r="K14" i="35" s="1"/>
  <c r="I14" i="35"/>
  <c r="B14" i="35"/>
  <c r="AI13" i="35"/>
  <c r="K13" i="35"/>
  <c r="J13" i="35"/>
  <c r="I13" i="35"/>
  <c r="M13" i="35" s="1"/>
  <c r="A13" i="35" s="1"/>
  <c r="B13" i="35"/>
  <c r="AI12" i="35"/>
  <c r="J12" i="35"/>
  <c r="K12" i="35" s="1"/>
  <c r="I12" i="35"/>
  <c r="M12" i="35" s="1"/>
  <c r="A12" i="35" s="1"/>
  <c r="B12" i="35"/>
  <c r="M11" i="35"/>
  <c r="A11" i="35" s="1"/>
  <c r="K11" i="35"/>
  <c r="J11" i="35"/>
  <c r="I11" i="35"/>
  <c r="B11" i="35"/>
  <c r="M10" i="35"/>
  <c r="A10" i="35" s="1"/>
  <c r="J10" i="35"/>
  <c r="K10" i="35" s="1"/>
  <c r="I10" i="35"/>
  <c r="B10" i="35"/>
  <c r="K9" i="35"/>
  <c r="J9" i="35"/>
  <c r="I9" i="35"/>
  <c r="M9" i="35" s="1"/>
  <c r="A9" i="35" s="1"/>
  <c r="B9" i="35"/>
  <c r="J8" i="35"/>
  <c r="K8" i="35" s="1"/>
  <c r="I8" i="35"/>
  <c r="M8" i="35" s="1"/>
  <c r="A8" i="35" s="1"/>
  <c r="B8" i="35"/>
  <c r="K7" i="35"/>
  <c r="J7" i="35"/>
  <c r="I7" i="35"/>
  <c r="M7" i="35" s="1"/>
  <c r="A7" i="35" s="1"/>
  <c r="B7" i="35"/>
  <c r="M6" i="35"/>
  <c r="A6" i="35" s="1"/>
  <c r="J6" i="35"/>
  <c r="K6" i="35" s="1"/>
  <c r="I6" i="35"/>
  <c r="B6" i="35"/>
  <c r="K2" i="35"/>
  <c r="L6" i="35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K305" i="33"/>
  <c r="J305" i="33"/>
  <c r="I305" i="33"/>
  <c r="M305" i="33" s="1"/>
  <c r="K304" i="33"/>
  <c r="J304" i="33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K300" i="33"/>
  <c r="J300" i="33"/>
  <c r="I300" i="33"/>
  <c r="M300" i="33" s="1"/>
  <c r="K299" i="33"/>
  <c r="J299" i="33"/>
  <c r="I299" i="33"/>
  <c r="M299" i="33" s="1"/>
  <c r="K298" i="33"/>
  <c r="J298" i="33"/>
  <c r="I298" i="33"/>
  <c r="M298" i="33" s="1"/>
  <c r="K297" i="33"/>
  <c r="J297" i="33"/>
  <c r="I297" i="33"/>
  <c r="M297" i="33" s="1"/>
  <c r="K296" i="33"/>
  <c r="J296" i="33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K287" i="33"/>
  <c r="J287" i="33"/>
  <c r="I287" i="33"/>
  <c r="M287" i="33" s="1"/>
  <c r="J286" i="33"/>
  <c r="K286" i="33" s="1"/>
  <c r="I286" i="33"/>
  <c r="M286" i="33" s="1"/>
  <c r="K285" i="33"/>
  <c r="J285" i="33"/>
  <c r="I285" i="33"/>
  <c r="M285" i="33" s="1"/>
  <c r="J284" i="33"/>
  <c r="K284" i="33" s="1"/>
  <c r="I284" i="33"/>
  <c r="M284" i="33" s="1"/>
  <c r="K283" i="33"/>
  <c r="J283" i="33"/>
  <c r="I283" i="33"/>
  <c r="M283" i="33" s="1"/>
  <c r="J282" i="33"/>
  <c r="K282" i="33" s="1"/>
  <c r="I282" i="33"/>
  <c r="M282" i="33" s="1"/>
  <c r="K281" i="33"/>
  <c r="J281" i="33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K271" i="33"/>
  <c r="J271" i="33"/>
  <c r="I271" i="33"/>
  <c r="M271" i="33" s="1"/>
  <c r="J270" i="33"/>
  <c r="K270" i="33" s="1"/>
  <c r="I270" i="33"/>
  <c r="M270" i="33" s="1"/>
  <c r="K269" i="33"/>
  <c r="J269" i="33"/>
  <c r="I269" i="33"/>
  <c r="M269" i="33" s="1"/>
  <c r="J268" i="33"/>
  <c r="K268" i="33" s="1"/>
  <c r="I268" i="33"/>
  <c r="M268" i="33" s="1"/>
  <c r="K267" i="33"/>
  <c r="J267" i="33"/>
  <c r="I267" i="33"/>
  <c r="M267" i="33" s="1"/>
  <c r="J266" i="33"/>
  <c r="K266" i="33" s="1"/>
  <c r="I266" i="33"/>
  <c r="M266" i="33" s="1"/>
  <c r="K265" i="33"/>
  <c r="J265" i="33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K255" i="33"/>
  <c r="J255" i="33"/>
  <c r="I255" i="33"/>
  <c r="M255" i="33" s="1"/>
  <c r="J254" i="33"/>
  <c r="K254" i="33" s="1"/>
  <c r="I254" i="33"/>
  <c r="M254" i="33" s="1"/>
  <c r="K253" i="33"/>
  <c r="J253" i="33"/>
  <c r="I253" i="33"/>
  <c r="M253" i="33" s="1"/>
  <c r="J252" i="33"/>
  <c r="K252" i="33" s="1"/>
  <c r="I252" i="33"/>
  <c r="M252" i="33" s="1"/>
  <c r="K251" i="33"/>
  <c r="J251" i="33"/>
  <c r="I251" i="33"/>
  <c r="M251" i="33" s="1"/>
  <c r="J250" i="33"/>
  <c r="K250" i="33" s="1"/>
  <c r="I250" i="33"/>
  <c r="M250" i="33" s="1"/>
  <c r="K249" i="33"/>
  <c r="J249" i="33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K239" i="33"/>
  <c r="J239" i="33"/>
  <c r="I239" i="33"/>
  <c r="M239" i="33" s="1"/>
  <c r="J238" i="33"/>
  <c r="K238" i="33" s="1"/>
  <c r="I238" i="33"/>
  <c r="M238" i="33" s="1"/>
  <c r="K237" i="33"/>
  <c r="J237" i="33"/>
  <c r="I237" i="33"/>
  <c r="M237" i="33" s="1"/>
  <c r="J236" i="33"/>
  <c r="K236" i="33" s="1"/>
  <c r="I236" i="33"/>
  <c r="M236" i="33" s="1"/>
  <c r="K235" i="33"/>
  <c r="J235" i="33"/>
  <c r="I235" i="33"/>
  <c r="M235" i="33" s="1"/>
  <c r="J234" i="33"/>
  <c r="K234" i="33" s="1"/>
  <c r="I234" i="33"/>
  <c r="M234" i="33" s="1"/>
  <c r="K233" i="33"/>
  <c r="J233" i="33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K223" i="33"/>
  <c r="J223" i="33"/>
  <c r="I223" i="33"/>
  <c r="M223" i="33" s="1"/>
  <c r="J222" i="33"/>
  <c r="K222" i="33" s="1"/>
  <c r="I222" i="33"/>
  <c r="M222" i="33" s="1"/>
  <c r="K221" i="33"/>
  <c r="J221" i="33"/>
  <c r="I221" i="33"/>
  <c r="M221" i="33" s="1"/>
  <c r="J220" i="33"/>
  <c r="K220" i="33" s="1"/>
  <c r="I220" i="33"/>
  <c r="M220" i="33" s="1"/>
  <c r="K219" i="33"/>
  <c r="J219" i="33"/>
  <c r="I219" i="33"/>
  <c r="M219" i="33" s="1"/>
  <c r="J218" i="33"/>
  <c r="K218" i="33" s="1"/>
  <c r="I218" i="33"/>
  <c r="M218" i="33" s="1"/>
  <c r="K217" i="33"/>
  <c r="J217" i="33"/>
  <c r="I217" i="33"/>
  <c r="M217" i="33" s="1"/>
  <c r="J216" i="33"/>
  <c r="K216" i="33" s="1"/>
  <c r="I216" i="33"/>
  <c r="M216" i="33" s="1"/>
  <c r="J215" i="33"/>
  <c r="K215" i="33" s="1"/>
  <c r="I215" i="33"/>
  <c r="M215" i="33" s="1"/>
  <c r="M214" i="33"/>
  <c r="K214" i="33"/>
  <c r="J214" i="33"/>
  <c r="I214" i="33"/>
  <c r="J213" i="33"/>
  <c r="K213" i="33" s="1"/>
  <c r="I213" i="33"/>
  <c r="M213" i="33" s="1"/>
  <c r="M212" i="33"/>
  <c r="K212" i="33"/>
  <c r="J212" i="33"/>
  <c r="I212" i="33"/>
  <c r="K211" i="33"/>
  <c r="J211" i="33"/>
  <c r="I211" i="33"/>
  <c r="M211" i="33" s="1"/>
  <c r="M210" i="33"/>
  <c r="J210" i="33"/>
  <c r="K210" i="33" s="1"/>
  <c r="I210" i="33"/>
  <c r="J209" i="33"/>
  <c r="K209" i="33" s="1"/>
  <c r="I209" i="33"/>
  <c r="M209" i="33" s="1"/>
  <c r="K208" i="33"/>
  <c r="J208" i="33"/>
  <c r="I208" i="33"/>
  <c r="M208" i="33" s="1"/>
  <c r="K207" i="33"/>
  <c r="J207" i="33"/>
  <c r="I207" i="33"/>
  <c r="M207" i="33" s="1"/>
  <c r="J206" i="33"/>
  <c r="K206" i="33" s="1"/>
  <c r="I206" i="33"/>
  <c r="M206" i="33" s="1"/>
  <c r="K205" i="33"/>
  <c r="J205" i="33"/>
  <c r="I205" i="33"/>
  <c r="M205" i="33" s="1"/>
  <c r="J204" i="33"/>
  <c r="K204" i="33" s="1"/>
  <c r="I204" i="33"/>
  <c r="M204" i="33" s="1"/>
  <c r="J203" i="33"/>
  <c r="K203" i="33" s="1"/>
  <c r="I203" i="33"/>
  <c r="M203" i="33" s="1"/>
  <c r="M202" i="33"/>
  <c r="K202" i="33"/>
  <c r="J202" i="33"/>
  <c r="I202" i="33"/>
  <c r="K201" i="33"/>
  <c r="J201" i="33"/>
  <c r="I201" i="33"/>
  <c r="M201" i="33" s="1"/>
  <c r="M200" i="33"/>
  <c r="J200" i="33"/>
  <c r="K200" i="33" s="1"/>
  <c r="I200" i="33"/>
  <c r="J199" i="33"/>
  <c r="K199" i="33" s="1"/>
  <c r="I199" i="33"/>
  <c r="M199" i="33" s="1"/>
  <c r="M198" i="33"/>
  <c r="K198" i="33"/>
  <c r="J198" i="33"/>
  <c r="I198" i="33"/>
  <c r="J197" i="33"/>
  <c r="K197" i="33" s="1"/>
  <c r="I197" i="33"/>
  <c r="M197" i="33" s="1"/>
  <c r="M196" i="33"/>
  <c r="K196" i="33"/>
  <c r="J196" i="33"/>
  <c r="I196" i="33"/>
  <c r="K195" i="33"/>
  <c r="J195" i="33"/>
  <c r="I195" i="33"/>
  <c r="M195" i="33" s="1"/>
  <c r="M194" i="33"/>
  <c r="J194" i="33"/>
  <c r="K194" i="33" s="1"/>
  <c r="I194" i="33"/>
  <c r="J193" i="33"/>
  <c r="K193" i="33" s="1"/>
  <c r="I193" i="33"/>
  <c r="M193" i="33" s="1"/>
  <c r="K192" i="33"/>
  <c r="J192" i="33"/>
  <c r="I192" i="33"/>
  <c r="M192" i="33" s="1"/>
  <c r="K191" i="33"/>
  <c r="J191" i="33"/>
  <c r="I191" i="33"/>
  <c r="M191" i="33" s="1"/>
  <c r="J190" i="33"/>
  <c r="K190" i="33" s="1"/>
  <c r="I190" i="33"/>
  <c r="M190" i="33" s="1"/>
  <c r="K189" i="33"/>
  <c r="J189" i="33"/>
  <c r="I189" i="33"/>
  <c r="M189" i="33" s="1"/>
  <c r="J188" i="33"/>
  <c r="K188" i="33" s="1"/>
  <c r="I188" i="33"/>
  <c r="M188" i="33" s="1"/>
  <c r="J187" i="33"/>
  <c r="K187" i="33" s="1"/>
  <c r="I187" i="33"/>
  <c r="M187" i="33" s="1"/>
  <c r="M186" i="33"/>
  <c r="K186" i="33"/>
  <c r="J186" i="33"/>
  <c r="I186" i="33"/>
  <c r="K185" i="33"/>
  <c r="J185" i="33"/>
  <c r="I185" i="33"/>
  <c r="M185" i="33" s="1"/>
  <c r="M184" i="33"/>
  <c r="J184" i="33"/>
  <c r="K184" i="33" s="1"/>
  <c r="I184" i="33"/>
  <c r="J183" i="33"/>
  <c r="K183" i="33" s="1"/>
  <c r="I183" i="33"/>
  <c r="M183" i="33" s="1"/>
  <c r="M182" i="33"/>
  <c r="K182" i="33"/>
  <c r="J182" i="33"/>
  <c r="I182" i="33"/>
  <c r="J181" i="33"/>
  <c r="K181" i="33" s="1"/>
  <c r="I181" i="33"/>
  <c r="M181" i="33" s="1"/>
  <c r="M180" i="33"/>
  <c r="K180" i="33"/>
  <c r="J180" i="33"/>
  <c r="I180" i="33"/>
  <c r="K179" i="33"/>
  <c r="J179" i="33"/>
  <c r="I179" i="33"/>
  <c r="M179" i="33" s="1"/>
  <c r="M178" i="33"/>
  <c r="J178" i="33"/>
  <c r="K178" i="33" s="1"/>
  <c r="I178" i="33"/>
  <c r="J177" i="33"/>
  <c r="K177" i="33" s="1"/>
  <c r="I177" i="33"/>
  <c r="M177" i="33" s="1"/>
  <c r="K176" i="33"/>
  <c r="J176" i="33"/>
  <c r="I176" i="33"/>
  <c r="M176" i="33" s="1"/>
  <c r="K175" i="33"/>
  <c r="J175" i="33"/>
  <c r="I175" i="33"/>
  <c r="M175" i="33" s="1"/>
  <c r="J174" i="33"/>
  <c r="K174" i="33" s="1"/>
  <c r="I174" i="33"/>
  <c r="M174" i="33" s="1"/>
  <c r="K173" i="33"/>
  <c r="J173" i="33"/>
  <c r="I173" i="33"/>
  <c r="M173" i="33" s="1"/>
  <c r="J172" i="33"/>
  <c r="K172" i="33" s="1"/>
  <c r="I172" i="33"/>
  <c r="M172" i="33" s="1"/>
  <c r="J171" i="33"/>
  <c r="K171" i="33" s="1"/>
  <c r="I171" i="33"/>
  <c r="M171" i="33" s="1"/>
  <c r="M170" i="33"/>
  <c r="K170" i="33"/>
  <c r="J170" i="33"/>
  <c r="I170" i="33"/>
  <c r="K169" i="33"/>
  <c r="J169" i="33"/>
  <c r="I169" i="33"/>
  <c r="M169" i="33" s="1"/>
  <c r="M168" i="33"/>
  <c r="J168" i="33"/>
  <c r="K168" i="33" s="1"/>
  <c r="I168" i="33"/>
  <c r="J167" i="33"/>
  <c r="K167" i="33" s="1"/>
  <c r="I167" i="33"/>
  <c r="M167" i="33" s="1"/>
  <c r="M166" i="33"/>
  <c r="K166" i="33"/>
  <c r="J166" i="33"/>
  <c r="I166" i="33"/>
  <c r="J165" i="33"/>
  <c r="K165" i="33" s="1"/>
  <c r="I165" i="33"/>
  <c r="M165" i="33" s="1"/>
  <c r="M164" i="33"/>
  <c r="K164" i="33"/>
  <c r="J164" i="33"/>
  <c r="I164" i="33"/>
  <c r="K163" i="33"/>
  <c r="J163" i="33"/>
  <c r="I163" i="33"/>
  <c r="M163" i="33" s="1"/>
  <c r="M162" i="33"/>
  <c r="J162" i="33"/>
  <c r="K162" i="33" s="1"/>
  <c r="I162" i="33"/>
  <c r="J161" i="33"/>
  <c r="K161" i="33" s="1"/>
  <c r="I161" i="33"/>
  <c r="M161" i="33" s="1"/>
  <c r="K160" i="33"/>
  <c r="J160" i="33"/>
  <c r="I160" i="33"/>
  <c r="M160" i="33" s="1"/>
  <c r="K159" i="33"/>
  <c r="J159" i="33"/>
  <c r="I159" i="33"/>
  <c r="M159" i="33" s="1"/>
  <c r="J158" i="33"/>
  <c r="K158" i="33" s="1"/>
  <c r="I158" i="33"/>
  <c r="M158" i="33" s="1"/>
  <c r="K157" i="33"/>
  <c r="J157" i="33"/>
  <c r="I157" i="33"/>
  <c r="M157" i="33" s="1"/>
  <c r="J156" i="33"/>
  <c r="K156" i="33" s="1"/>
  <c r="I156" i="33"/>
  <c r="M156" i="33" s="1"/>
  <c r="J155" i="33"/>
  <c r="K155" i="33" s="1"/>
  <c r="I155" i="33"/>
  <c r="M155" i="33" s="1"/>
  <c r="M154" i="33"/>
  <c r="K154" i="33"/>
  <c r="J154" i="33"/>
  <c r="I154" i="33"/>
  <c r="K153" i="33"/>
  <c r="J153" i="33"/>
  <c r="I153" i="33"/>
  <c r="M153" i="33" s="1"/>
  <c r="M152" i="33"/>
  <c r="J152" i="33"/>
  <c r="K152" i="33" s="1"/>
  <c r="I152" i="33"/>
  <c r="J151" i="33"/>
  <c r="K151" i="33" s="1"/>
  <c r="I151" i="33"/>
  <c r="M151" i="33" s="1"/>
  <c r="M150" i="33"/>
  <c r="K150" i="33"/>
  <c r="J150" i="33"/>
  <c r="I150" i="33"/>
  <c r="J149" i="33"/>
  <c r="K149" i="33" s="1"/>
  <c r="I149" i="33"/>
  <c r="M149" i="33" s="1"/>
  <c r="M148" i="33"/>
  <c r="K148" i="33"/>
  <c r="J148" i="33"/>
  <c r="I148" i="33"/>
  <c r="K147" i="33"/>
  <c r="J147" i="33"/>
  <c r="I147" i="33"/>
  <c r="M147" i="33" s="1"/>
  <c r="M146" i="33"/>
  <c r="J146" i="33"/>
  <c r="K146" i="33" s="1"/>
  <c r="I146" i="33"/>
  <c r="J145" i="33"/>
  <c r="K145" i="33" s="1"/>
  <c r="I145" i="33"/>
  <c r="M145" i="33" s="1"/>
  <c r="K144" i="33"/>
  <c r="J144" i="33"/>
  <c r="I144" i="33"/>
  <c r="M144" i="33" s="1"/>
  <c r="K143" i="33"/>
  <c r="J143" i="33"/>
  <c r="I143" i="33"/>
  <c r="M143" i="33" s="1"/>
  <c r="J142" i="33"/>
  <c r="K142" i="33" s="1"/>
  <c r="I142" i="33"/>
  <c r="M142" i="33" s="1"/>
  <c r="K141" i="33"/>
  <c r="J141" i="33"/>
  <c r="I141" i="33"/>
  <c r="M141" i="33" s="1"/>
  <c r="J140" i="33"/>
  <c r="K140" i="33" s="1"/>
  <c r="I140" i="33"/>
  <c r="M140" i="33" s="1"/>
  <c r="J139" i="33"/>
  <c r="K139" i="33" s="1"/>
  <c r="I139" i="33"/>
  <c r="M139" i="33" s="1"/>
  <c r="M138" i="33"/>
  <c r="K138" i="33"/>
  <c r="J138" i="33"/>
  <c r="I138" i="33"/>
  <c r="K137" i="33"/>
  <c r="J137" i="33"/>
  <c r="I137" i="33"/>
  <c r="M137" i="33" s="1"/>
  <c r="M136" i="33"/>
  <c r="J136" i="33"/>
  <c r="K136" i="33" s="1"/>
  <c r="I136" i="33"/>
  <c r="K135" i="33"/>
  <c r="J135" i="33"/>
  <c r="I135" i="33"/>
  <c r="M135" i="33" s="1"/>
  <c r="M134" i="33"/>
  <c r="J134" i="33"/>
  <c r="K134" i="33" s="1"/>
  <c r="I134" i="33"/>
  <c r="K133" i="33"/>
  <c r="J133" i="33"/>
  <c r="I133" i="33"/>
  <c r="M133" i="33" s="1"/>
  <c r="M132" i="33"/>
  <c r="J132" i="33"/>
  <c r="K132" i="33" s="1"/>
  <c r="I132" i="33"/>
  <c r="K131" i="33"/>
  <c r="J131" i="33"/>
  <c r="I131" i="33"/>
  <c r="M131" i="33" s="1"/>
  <c r="M130" i="33"/>
  <c r="J130" i="33"/>
  <c r="K130" i="33" s="1"/>
  <c r="I130" i="33"/>
  <c r="K129" i="33"/>
  <c r="J129" i="33"/>
  <c r="I129" i="33"/>
  <c r="M129" i="33" s="1"/>
  <c r="M128" i="33"/>
  <c r="J128" i="33"/>
  <c r="K128" i="33" s="1"/>
  <c r="I128" i="33"/>
  <c r="K127" i="33"/>
  <c r="J127" i="33"/>
  <c r="I127" i="33"/>
  <c r="M127" i="33" s="1"/>
  <c r="M126" i="33"/>
  <c r="J126" i="33"/>
  <c r="K126" i="33" s="1"/>
  <c r="I126" i="33"/>
  <c r="K125" i="33"/>
  <c r="J125" i="33"/>
  <c r="I125" i="33"/>
  <c r="M125" i="33" s="1"/>
  <c r="M124" i="33"/>
  <c r="J124" i="33"/>
  <c r="K124" i="33" s="1"/>
  <c r="I124" i="33"/>
  <c r="K123" i="33"/>
  <c r="J123" i="33"/>
  <c r="I123" i="33"/>
  <c r="M123" i="33" s="1"/>
  <c r="M122" i="33"/>
  <c r="J122" i="33"/>
  <c r="K122" i="33" s="1"/>
  <c r="I122" i="33"/>
  <c r="K121" i="33"/>
  <c r="J121" i="33"/>
  <c r="I121" i="33"/>
  <c r="M121" i="33" s="1"/>
  <c r="M120" i="33"/>
  <c r="J120" i="33"/>
  <c r="K120" i="33" s="1"/>
  <c r="I120" i="33"/>
  <c r="K119" i="33"/>
  <c r="J119" i="33"/>
  <c r="I119" i="33"/>
  <c r="M119" i="33" s="1"/>
  <c r="M118" i="33"/>
  <c r="J118" i="33"/>
  <c r="K118" i="33" s="1"/>
  <c r="I118" i="33"/>
  <c r="K117" i="33"/>
  <c r="J117" i="33"/>
  <c r="I117" i="33"/>
  <c r="M117" i="33" s="1"/>
  <c r="M116" i="33"/>
  <c r="J116" i="33"/>
  <c r="K116" i="33" s="1"/>
  <c r="I116" i="33"/>
  <c r="K115" i="33"/>
  <c r="J115" i="33"/>
  <c r="I115" i="33"/>
  <c r="M115" i="33" s="1"/>
  <c r="M114" i="33"/>
  <c r="J114" i="33"/>
  <c r="K114" i="33" s="1"/>
  <c r="I114" i="33"/>
  <c r="K113" i="33"/>
  <c r="J113" i="33"/>
  <c r="I113" i="33"/>
  <c r="M113" i="33" s="1"/>
  <c r="M112" i="33"/>
  <c r="J112" i="33"/>
  <c r="K112" i="33" s="1"/>
  <c r="I112" i="33"/>
  <c r="K111" i="33"/>
  <c r="J111" i="33"/>
  <c r="I111" i="33"/>
  <c r="M111" i="33" s="1"/>
  <c r="M110" i="33"/>
  <c r="J110" i="33"/>
  <c r="K110" i="33" s="1"/>
  <c r="I110" i="33"/>
  <c r="K109" i="33"/>
  <c r="J109" i="33"/>
  <c r="I109" i="33"/>
  <c r="M109" i="33" s="1"/>
  <c r="M108" i="33"/>
  <c r="J108" i="33"/>
  <c r="K108" i="33" s="1"/>
  <c r="I108" i="33"/>
  <c r="K107" i="33"/>
  <c r="J107" i="33"/>
  <c r="I107" i="33"/>
  <c r="M107" i="33" s="1"/>
  <c r="M106" i="33"/>
  <c r="J106" i="33"/>
  <c r="K106" i="33" s="1"/>
  <c r="I106" i="33"/>
  <c r="K105" i="33"/>
  <c r="J105" i="33"/>
  <c r="I105" i="33"/>
  <c r="M105" i="33" s="1"/>
  <c r="M104" i="33"/>
  <c r="J104" i="33"/>
  <c r="K104" i="33" s="1"/>
  <c r="I104" i="33"/>
  <c r="K103" i="33"/>
  <c r="J103" i="33"/>
  <c r="I103" i="33"/>
  <c r="M103" i="33" s="1"/>
  <c r="M102" i="33"/>
  <c r="J102" i="33"/>
  <c r="K102" i="33" s="1"/>
  <c r="I102" i="33"/>
  <c r="K101" i="33"/>
  <c r="J101" i="33"/>
  <c r="I101" i="33"/>
  <c r="M101" i="33" s="1"/>
  <c r="M100" i="33"/>
  <c r="J100" i="33"/>
  <c r="K100" i="33" s="1"/>
  <c r="I100" i="33"/>
  <c r="K99" i="33"/>
  <c r="J99" i="33"/>
  <c r="I99" i="33"/>
  <c r="M99" i="33" s="1"/>
  <c r="M98" i="33"/>
  <c r="J98" i="33"/>
  <c r="K98" i="33" s="1"/>
  <c r="I98" i="33"/>
  <c r="K97" i="33"/>
  <c r="J97" i="33"/>
  <c r="I97" i="33"/>
  <c r="M97" i="33" s="1"/>
  <c r="M96" i="33"/>
  <c r="J96" i="33"/>
  <c r="K96" i="33" s="1"/>
  <c r="I96" i="33"/>
  <c r="K95" i="33"/>
  <c r="J95" i="33"/>
  <c r="I95" i="33"/>
  <c r="M95" i="33" s="1"/>
  <c r="M94" i="33"/>
  <c r="J94" i="33"/>
  <c r="K94" i="33" s="1"/>
  <c r="I94" i="33"/>
  <c r="K93" i="33"/>
  <c r="J93" i="33"/>
  <c r="I93" i="33"/>
  <c r="M93" i="33" s="1"/>
  <c r="M92" i="33"/>
  <c r="J92" i="33"/>
  <c r="K92" i="33" s="1"/>
  <c r="I92" i="33"/>
  <c r="K91" i="33"/>
  <c r="J91" i="33"/>
  <c r="I91" i="33"/>
  <c r="M91" i="33" s="1"/>
  <c r="M90" i="33"/>
  <c r="J90" i="33"/>
  <c r="K90" i="33" s="1"/>
  <c r="I90" i="33"/>
  <c r="K89" i="33"/>
  <c r="J89" i="33"/>
  <c r="I89" i="33"/>
  <c r="M89" i="33" s="1"/>
  <c r="M88" i="33"/>
  <c r="J88" i="33"/>
  <c r="K88" i="33" s="1"/>
  <c r="I88" i="33"/>
  <c r="K87" i="33"/>
  <c r="J87" i="33"/>
  <c r="I87" i="33"/>
  <c r="M87" i="33" s="1"/>
  <c r="M86" i="33"/>
  <c r="J86" i="33"/>
  <c r="K86" i="33" s="1"/>
  <c r="I86" i="33"/>
  <c r="K85" i="33"/>
  <c r="J85" i="33"/>
  <c r="I85" i="33"/>
  <c r="M85" i="33" s="1"/>
  <c r="M84" i="33"/>
  <c r="J84" i="33"/>
  <c r="K84" i="33" s="1"/>
  <c r="I84" i="33"/>
  <c r="K83" i="33"/>
  <c r="J83" i="33"/>
  <c r="I83" i="33"/>
  <c r="M83" i="33" s="1"/>
  <c r="M82" i="33"/>
  <c r="J82" i="33"/>
  <c r="K82" i="33" s="1"/>
  <c r="I82" i="33"/>
  <c r="K81" i="33"/>
  <c r="J81" i="33"/>
  <c r="I81" i="33"/>
  <c r="M81" i="33" s="1"/>
  <c r="M80" i="33"/>
  <c r="J80" i="33"/>
  <c r="K80" i="33" s="1"/>
  <c r="I80" i="33"/>
  <c r="K79" i="33"/>
  <c r="J79" i="33"/>
  <c r="I79" i="33"/>
  <c r="M79" i="33" s="1"/>
  <c r="M78" i="33"/>
  <c r="J78" i="33"/>
  <c r="K78" i="33" s="1"/>
  <c r="I78" i="33"/>
  <c r="K77" i="33"/>
  <c r="J77" i="33"/>
  <c r="I77" i="33"/>
  <c r="M77" i="33" s="1"/>
  <c r="M76" i="33"/>
  <c r="J76" i="33"/>
  <c r="K76" i="33" s="1"/>
  <c r="I76" i="33"/>
  <c r="K75" i="33"/>
  <c r="J75" i="33"/>
  <c r="I75" i="33"/>
  <c r="M75" i="33" s="1"/>
  <c r="M74" i="33"/>
  <c r="J74" i="33"/>
  <c r="K74" i="33" s="1"/>
  <c r="I74" i="33"/>
  <c r="K73" i="33"/>
  <c r="J73" i="33"/>
  <c r="I73" i="33"/>
  <c r="M73" i="33" s="1"/>
  <c r="M72" i="33"/>
  <c r="J72" i="33"/>
  <c r="K72" i="33" s="1"/>
  <c r="I72" i="33"/>
  <c r="K71" i="33"/>
  <c r="J71" i="33"/>
  <c r="I71" i="33"/>
  <c r="M71" i="33" s="1"/>
  <c r="M70" i="33"/>
  <c r="J70" i="33"/>
  <c r="K70" i="33" s="1"/>
  <c r="I70" i="33"/>
  <c r="K69" i="33"/>
  <c r="J69" i="33"/>
  <c r="I69" i="33"/>
  <c r="M69" i="33" s="1"/>
  <c r="M68" i="33"/>
  <c r="J68" i="33"/>
  <c r="K68" i="33" s="1"/>
  <c r="I68" i="33"/>
  <c r="K67" i="33"/>
  <c r="J67" i="33"/>
  <c r="I67" i="33"/>
  <c r="M67" i="33" s="1"/>
  <c r="M66" i="33"/>
  <c r="J66" i="33"/>
  <c r="K66" i="33" s="1"/>
  <c r="I66" i="33"/>
  <c r="K65" i="33"/>
  <c r="J65" i="33"/>
  <c r="I65" i="33"/>
  <c r="M65" i="33" s="1"/>
  <c r="B65" i="33"/>
  <c r="K64" i="33"/>
  <c r="J64" i="33"/>
  <c r="I64" i="33"/>
  <c r="M64" i="33" s="1"/>
  <c r="B64" i="33"/>
  <c r="M63" i="33"/>
  <c r="K63" i="33"/>
  <c r="J63" i="33"/>
  <c r="I63" i="33"/>
  <c r="B63" i="33"/>
  <c r="J62" i="33"/>
  <c r="K62" i="33" s="1"/>
  <c r="I62" i="33"/>
  <c r="M62" i="33" s="1"/>
  <c r="B62" i="33"/>
  <c r="M61" i="33"/>
  <c r="J61" i="33"/>
  <c r="K61" i="33" s="1"/>
  <c r="I61" i="33"/>
  <c r="B61" i="33"/>
  <c r="M60" i="33"/>
  <c r="J60" i="33"/>
  <c r="K60" i="33" s="1"/>
  <c r="I60" i="33"/>
  <c r="B60" i="33"/>
  <c r="K59" i="33"/>
  <c r="J59" i="33"/>
  <c r="I59" i="33"/>
  <c r="M59" i="33" s="1"/>
  <c r="B59" i="33"/>
  <c r="M58" i="33"/>
  <c r="K58" i="33"/>
  <c r="J58" i="33"/>
  <c r="I58" i="33"/>
  <c r="B58" i="33"/>
  <c r="K57" i="33"/>
  <c r="J57" i="33"/>
  <c r="I57" i="33"/>
  <c r="M57" i="33" s="1"/>
  <c r="B57" i="33"/>
  <c r="K56" i="33"/>
  <c r="J56" i="33"/>
  <c r="I56" i="33"/>
  <c r="M56" i="33" s="1"/>
  <c r="B56" i="33"/>
  <c r="M55" i="33"/>
  <c r="K55" i="33"/>
  <c r="J55" i="33"/>
  <c r="I55" i="33"/>
  <c r="B55" i="33"/>
  <c r="J54" i="33"/>
  <c r="K54" i="33" s="1"/>
  <c r="I54" i="33"/>
  <c r="M54" i="33" s="1"/>
  <c r="B54" i="33"/>
  <c r="M53" i="33"/>
  <c r="J53" i="33"/>
  <c r="K53" i="33" s="1"/>
  <c r="I53" i="33"/>
  <c r="B53" i="33"/>
  <c r="M52" i="33"/>
  <c r="J52" i="33"/>
  <c r="K52" i="33" s="1"/>
  <c r="I52" i="33"/>
  <c r="B52" i="33"/>
  <c r="K51" i="33"/>
  <c r="J51" i="33"/>
  <c r="I51" i="33"/>
  <c r="M51" i="33" s="1"/>
  <c r="B51" i="33"/>
  <c r="M50" i="33"/>
  <c r="K50" i="33"/>
  <c r="J50" i="33"/>
  <c r="I50" i="33"/>
  <c r="B50" i="33"/>
  <c r="K49" i="33"/>
  <c r="J49" i="33"/>
  <c r="I49" i="33"/>
  <c r="M49" i="33" s="1"/>
  <c r="B49" i="33"/>
  <c r="K48" i="33"/>
  <c r="J48" i="33"/>
  <c r="I48" i="33"/>
  <c r="M48" i="33" s="1"/>
  <c r="B48" i="33"/>
  <c r="M47" i="33"/>
  <c r="K47" i="33"/>
  <c r="J47" i="33"/>
  <c r="I47" i="33"/>
  <c r="B47" i="33"/>
  <c r="T46" i="33"/>
  <c r="R46" i="33"/>
  <c r="U46" i="33" s="1"/>
  <c r="M46" i="33"/>
  <c r="K46" i="33"/>
  <c r="J46" i="33"/>
  <c r="I46" i="33"/>
  <c r="B46" i="33"/>
  <c r="J45" i="33"/>
  <c r="K45" i="33" s="1"/>
  <c r="I45" i="33"/>
  <c r="M45" i="33" s="1"/>
  <c r="B45" i="33"/>
  <c r="M44" i="33"/>
  <c r="J44" i="33"/>
  <c r="K44" i="33" s="1"/>
  <c r="I44" i="33"/>
  <c r="B44" i="33"/>
  <c r="M43" i="33"/>
  <c r="J43" i="33"/>
  <c r="K43" i="33" s="1"/>
  <c r="I43" i="33"/>
  <c r="B43" i="33"/>
  <c r="J42" i="33"/>
  <c r="K42" i="33" s="1"/>
  <c r="I42" i="33"/>
  <c r="M42" i="33" s="1"/>
  <c r="B42" i="33"/>
  <c r="M41" i="33"/>
  <c r="K41" i="33"/>
  <c r="J41" i="33"/>
  <c r="I41" i="33"/>
  <c r="B41" i="33"/>
  <c r="K40" i="33"/>
  <c r="J40" i="33"/>
  <c r="I40" i="33"/>
  <c r="M40" i="33" s="1"/>
  <c r="B40" i="33"/>
  <c r="K39" i="33"/>
  <c r="J39" i="33"/>
  <c r="I39" i="33"/>
  <c r="M39" i="33" s="1"/>
  <c r="B39" i="33"/>
  <c r="M38" i="33"/>
  <c r="K38" i="33"/>
  <c r="J38" i="33"/>
  <c r="I38" i="33"/>
  <c r="B38" i="33"/>
  <c r="J37" i="33"/>
  <c r="K37" i="33" s="1"/>
  <c r="I37" i="33"/>
  <c r="M37" i="33" s="1"/>
  <c r="A37" i="33" s="1"/>
  <c r="B37" i="33"/>
  <c r="K36" i="33"/>
  <c r="J36" i="33"/>
  <c r="I36" i="33"/>
  <c r="M36" i="33" s="1"/>
  <c r="A36" i="33" s="1"/>
  <c r="B36" i="33"/>
  <c r="M35" i="33"/>
  <c r="A35" i="33" s="1"/>
  <c r="K35" i="33"/>
  <c r="J35" i="33"/>
  <c r="I35" i="33"/>
  <c r="B35" i="33"/>
  <c r="M34" i="33"/>
  <c r="A34" i="33" s="1"/>
  <c r="J34" i="33"/>
  <c r="K34" i="33" s="1"/>
  <c r="I34" i="33"/>
  <c r="B34" i="33"/>
  <c r="J33" i="33"/>
  <c r="K33" i="33" s="1"/>
  <c r="I33" i="33"/>
  <c r="M33" i="33" s="1"/>
  <c r="A33" i="33" s="1"/>
  <c r="B33" i="33"/>
  <c r="K32" i="33"/>
  <c r="J32" i="33"/>
  <c r="I32" i="33"/>
  <c r="M32" i="33" s="1"/>
  <c r="A32" i="33" s="1"/>
  <c r="B32" i="33"/>
  <c r="M31" i="33"/>
  <c r="A31" i="33" s="1"/>
  <c r="K31" i="33"/>
  <c r="J31" i="33"/>
  <c r="I31" i="33"/>
  <c r="B31" i="33"/>
  <c r="M30" i="33"/>
  <c r="A30" i="33" s="1"/>
  <c r="J30" i="33"/>
  <c r="K30" i="33" s="1"/>
  <c r="I30" i="33"/>
  <c r="B30" i="33"/>
  <c r="J29" i="33"/>
  <c r="K29" i="33" s="1"/>
  <c r="I29" i="33"/>
  <c r="M29" i="33" s="1"/>
  <c r="A29" i="33" s="1"/>
  <c r="B29" i="33"/>
  <c r="M28" i="33"/>
  <c r="K28" i="33"/>
  <c r="J28" i="33"/>
  <c r="I28" i="33"/>
  <c r="B28" i="33"/>
  <c r="A28" i="33"/>
  <c r="M27" i="33"/>
  <c r="A27" i="33" s="1"/>
  <c r="K27" i="33"/>
  <c r="J27" i="33"/>
  <c r="I27" i="33"/>
  <c r="B27" i="33"/>
  <c r="M26" i="33"/>
  <c r="A26" i="33" s="1"/>
  <c r="J26" i="33"/>
  <c r="K26" i="33" s="1"/>
  <c r="I26" i="33"/>
  <c r="B26" i="33"/>
  <c r="J25" i="33"/>
  <c r="K25" i="33" s="1"/>
  <c r="I25" i="33"/>
  <c r="M25" i="33" s="1"/>
  <c r="A25" i="33" s="1"/>
  <c r="B25" i="33"/>
  <c r="M24" i="33"/>
  <c r="K24" i="33"/>
  <c r="J24" i="33"/>
  <c r="I24" i="33"/>
  <c r="B24" i="33"/>
  <c r="A24" i="33"/>
  <c r="M23" i="33"/>
  <c r="A23" i="33" s="1"/>
  <c r="K23" i="33"/>
  <c r="J23" i="33"/>
  <c r="I23" i="33"/>
  <c r="B23" i="33"/>
  <c r="M22" i="33"/>
  <c r="A22" i="33" s="1"/>
  <c r="J22" i="33"/>
  <c r="K22" i="33" s="1"/>
  <c r="I22" i="33"/>
  <c r="B22" i="33"/>
  <c r="J21" i="33"/>
  <c r="K21" i="33" s="1"/>
  <c r="I21" i="33"/>
  <c r="M21" i="33" s="1"/>
  <c r="A21" i="33" s="1"/>
  <c r="B21" i="33"/>
  <c r="M20" i="33"/>
  <c r="K20" i="33"/>
  <c r="J20" i="33"/>
  <c r="I20" i="33"/>
  <c r="B20" i="33"/>
  <c r="A20" i="33"/>
  <c r="M19" i="33"/>
  <c r="A19" i="33" s="1"/>
  <c r="K19" i="33"/>
  <c r="J19" i="33"/>
  <c r="I19" i="33"/>
  <c r="B19" i="33"/>
  <c r="M18" i="33"/>
  <c r="A18" i="33" s="1"/>
  <c r="J18" i="33"/>
  <c r="K18" i="33" s="1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M15" i="33"/>
  <c r="J15" i="33"/>
  <c r="K15" i="33" s="1"/>
  <c r="I15" i="33"/>
  <c r="B15" i="33"/>
  <c r="A15" i="33"/>
  <c r="AI14" i="33"/>
  <c r="M14" i="33"/>
  <c r="A14" i="33" s="1"/>
  <c r="K14" i="33"/>
  <c r="J14" i="33"/>
  <c r="I14" i="33"/>
  <c r="B14" i="33"/>
  <c r="AI13" i="33"/>
  <c r="M13" i="33"/>
  <c r="A13" i="33" s="1"/>
  <c r="K13" i="33"/>
  <c r="J13" i="33"/>
  <c r="I13" i="33"/>
  <c r="B13" i="33"/>
  <c r="AI12" i="33"/>
  <c r="AI16" i="33" s="1"/>
  <c r="M12" i="33"/>
  <c r="A12" i="33" s="1"/>
  <c r="J12" i="33"/>
  <c r="K12" i="33" s="1"/>
  <c r="I12" i="33"/>
  <c r="B12" i="33"/>
  <c r="J11" i="33"/>
  <c r="K11" i="33" s="1"/>
  <c r="I11" i="33"/>
  <c r="M11" i="33" s="1"/>
  <c r="A11" i="33" s="1"/>
  <c r="B11" i="33"/>
  <c r="M10" i="33"/>
  <c r="K10" i="33"/>
  <c r="J10" i="33"/>
  <c r="I10" i="33"/>
  <c r="B10" i="33"/>
  <c r="A10" i="33"/>
  <c r="M9" i="33"/>
  <c r="A9" i="33" s="1"/>
  <c r="L9" i="33"/>
  <c r="J9" i="33"/>
  <c r="K9" i="33" s="1"/>
  <c r="I9" i="33"/>
  <c r="B9" i="33"/>
  <c r="L8" i="33"/>
  <c r="K8" i="33"/>
  <c r="J8" i="33"/>
  <c r="I8" i="33"/>
  <c r="M8" i="33" s="1"/>
  <c r="A8" i="33" s="1"/>
  <c r="B8" i="33"/>
  <c r="M7" i="33"/>
  <c r="A7" i="33" s="1"/>
  <c r="L7" i="33"/>
  <c r="K7" i="33"/>
  <c r="J7" i="33"/>
  <c r="I7" i="33"/>
  <c r="B7" i="33"/>
  <c r="L6" i="33"/>
  <c r="J6" i="33"/>
  <c r="K6" i="33" s="1"/>
  <c r="I6" i="33"/>
  <c r="M6" i="33" s="1"/>
  <c r="A6" i="33" s="1"/>
  <c r="B6" i="33"/>
  <c r="K2" i="33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4" i="13"/>
  <c r="T14" i="13" s="1"/>
  <c r="S13" i="13"/>
  <c r="T13" i="13" s="1"/>
  <c r="S12" i="13"/>
  <c r="T12" i="13" s="1"/>
  <c r="S11" i="13"/>
  <c r="T11" i="13" s="1"/>
  <c r="S10" i="13"/>
  <c r="T10" i="13" s="1"/>
  <c r="S9" i="13"/>
  <c r="T9" i="13" s="1"/>
  <c r="S8" i="13"/>
  <c r="T8" i="13" s="1"/>
  <c r="S7" i="13"/>
  <c r="T7" i="13" s="1"/>
  <c r="S6" i="13"/>
  <c r="T6" i="13" s="1"/>
  <c r="Q23" i="13"/>
  <c r="R23" i="13" s="1"/>
  <c r="Q22" i="13"/>
  <c r="R22" i="13" s="1"/>
  <c r="Q21" i="13"/>
  <c r="R21" i="13" s="1"/>
  <c r="Q20" i="13"/>
  <c r="R20" i="13" s="1"/>
  <c r="Q19" i="13"/>
  <c r="R19" i="13" s="1"/>
  <c r="Q18" i="13"/>
  <c r="R18" i="13" s="1"/>
  <c r="Q17" i="13"/>
  <c r="R17" i="13" s="1"/>
  <c r="Q16" i="13"/>
  <c r="R16" i="13" s="1"/>
  <c r="Q15" i="13"/>
  <c r="R15" i="13" s="1"/>
  <c r="Q14" i="13"/>
  <c r="R14" i="13" s="1"/>
  <c r="Q13" i="13"/>
  <c r="R13" i="13" s="1"/>
  <c r="Q12" i="13"/>
  <c r="R12" i="13" s="1"/>
  <c r="Q11" i="13"/>
  <c r="R11" i="13" s="1"/>
  <c r="Q10" i="13"/>
  <c r="R10" i="13" s="1"/>
  <c r="Q9" i="13"/>
  <c r="R9" i="13" s="1"/>
  <c r="Q8" i="13"/>
  <c r="R8" i="13" s="1"/>
  <c r="Q7" i="13"/>
  <c r="R7" i="13" s="1"/>
  <c r="Q6" i="13"/>
  <c r="R6" i="13" s="1"/>
  <c r="O8" i="13"/>
  <c r="O7" i="13"/>
  <c r="O6" i="13"/>
  <c r="J305" i="32"/>
  <c r="K305" i="32" s="1"/>
  <c r="I305" i="32"/>
  <c r="M305" i="32" s="1"/>
  <c r="K304" i="32"/>
  <c r="J304" i="32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K300" i="32"/>
  <c r="J300" i="32"/>
  <c r="I300" i="32"/>
  <c r="M300" i="32" s="1"/>
  <c r="J299" i="32"/>
  <c r="K299" i="32" s="1"/>
  <c r="I299" i="32"/>
  <c r="M299" i="32" s="1"/>
  <c r="K298" i="32"/>
  <c r="J298" i="32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K290" i="32"/>
  <c r="J290" i="32"/>
  <c r="I290" i="32"/>
  <c r="M290" i="32" s="1"/>
  <c r="J289" i="32"/>
  <c r="K289" i="32" s="1"/>
  <c r="I289" i="32"/>
  <c r="M289" i="32" s="1"/>
  <c r="K288" i="32"/>
  <c r="J288" i="32"/>
  <c r="I288" i="32"/>
  <c r="M288" i="32" s="1"/>
  <c r="J287" i="32"/>
  <c r="K287" i="32" s="1"/>
  <c r="I287" i="32"/>
  <c r="M287" i="32" s="1"/>
  <c r="K286" i="32"/>
  <c r="J286" i="32"/>
  <c r="I286" i="32"/>
  <c r="M286" i="32" s="1"/>
  <c r="J285" i="32"/>
  <c r="K285" i="32" s="1"/>
  <c r="I285" i="32"/>
  <c r="M285" i="32" s="1"/>
  <c r="K284" i="32"/>
  <c r="J284" i="32"/>
  <c r="I284" i="32"/>
  <c r="M284" i="32" s="1"/>
  <c r="J283" i="32"/>
  <c r="K283" i="32" s="1"/>
  <c r="I283" i="32"/>
  <c r="M283" i="32" s="1"/>
  <c r="K282" i="32"/>
  <c r="J282" i="32"/>
  <c r="I282" i="32"/>
  <c r="M282" i="32" s="1"/>
  <c r="J281" i="32"/>
  <c r="K281" i="32" s="1"/>
  <c r="I281" i="32"/>
  <c r="M281" i="32" s="1"/>
  <c r="K280" i="32"/>
  <c r="J280" i="32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K274" i="32"/>
  <c r="J274" i="32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K268" i="32"/>
  <c r="J268" i="32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K256" i="32"/>
  <c r="J256" i="32"/>
  <c r="I256" i="32"/>
  <c r="M256" i="32" s="1"/>
  <c r="J255" i="32"/>
  <c r="K255" i="32" s="1"/>
  <c r="I255" i="32"/>
  <c r="M255" i="32" s="1"/>
  <c r="K254" i="32"/>
  <c r="J254" i="32"/>
  <c r="I254" i="32"/>
  <c r="M254" i="32" s="1"/>
  <c r="J253" i="32"/>
  <c r="K253" i="32" s="1"/>
  <c r="I253" i="32"/>
  <c r="M253" i="32" s="1"/>
  <c r="K252" i="32"/>
  <c r="J252" i="32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K238" i="32"/>
  <c r="J238" i="32"/>
  <c r="I238" i="32"/>
  <c r="M238" i="32" s="1"/>
  <c r="J237" i="32"/>
  <c r="K237" i="32" s="1"/>
  <c r="I237" i="32"/>
  <c r="M237" i="32" s="1"/>
  <c r="K236" i="32"/>
  <c r="J236" i="32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K222" i="32"/>
  <c r="J222" i="32"/>
  <c r="I222" i="32"/>
  <c r="M222" i="32" s="1"/>
  <c r="J221" i="32"/>
  <c r="K221" i="32" s="1"/>
  <c r="I221" i="32"/>
  <c r="M221" i="32" s="1"/>
  <c r="K220" i="32"/>
  <c r="J220" i="32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K204" i="32"/>
  <c r="J204" i="32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K190" i="32"/>
  <c r="J190" i="32"/>
  <c r="I190" i="32"/>
  <c r="M190" i="32" s="1"/>
  <c r="J189" i="32"/>
  <c r="K189" i="32" s="1"/>
  <c r="I189" i="32"/>
  <c r="M189" i="32" s="1"/>
  <c r="K188" i="32"/>
  <c r="J188" i="32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K172" i="32"/>
  <c r="J172" i="32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K158" i="32"/>
  <c r="J158" i="32"/>
  <c r="I158" i="32"/>
  <c r="M158" i="32" s="1"/>
  <c r="J157" i="32"/>
  <c r="K157" i="32" s="1"/>
  <c r="I157" i="32"/>
  <c r="M157" i="32" s="1"/>
  <c r="K156" i="32"/>
  <c r="J156" i="32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K142" i="32"/>
  <c r="J142" i="32"/>
  <c r="I142" i="32"/>
  <c r="M142" i="32" s="1"/>
  <c r="J141" i="32"/>
  <c r="K141" i="32" s="1"/>
  <c r="I141" i="32"/>
  <c r="M141" i="32" s="1"/>
  <c r="K140" i="32"/>
  <c r="J140" i="32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M136" i="32"/>
  <c r="K136" i="32"/>
  <c r="J136" i="32"/>
  <c r="I136" i="32"/>
  <c r="K135" i="32"/>
  <c r="J135" i="32"/>
  <c r="I135" i="32"/>
  <c r="M135" i="32" s="1"/>
  <c r="M134" i="32"/>
  <c r="K134" i="32"/>
  <c r="J134" i="32"/>
  <c r="I134" i="32"/>
  <c r="K133" i="32"/>
  <c r="J133" i="32"/>
  <c r="I133" i="32"/>
  <c r="M133" i="32" s="1"/>
  <c r="M132" i="32"/>
  <c r="K132" i="32"/>
  <c r="J132" i="32"/>
  <c r="I132" i="32"/>
  <c r="K131" i="32"/>
  <c r="J131" i="32"/>
  <c r="I131" i="32"/>
  <c r="M131" i="32" s="1"/>
  <c r="M130" i="32"/>
  <c r="K130" i="32"/>
  <c r="J130" i="32"/>
  <c r="I130" i="32"/>
  <c r="K129" i="32"/>
  <c r="J129" i="32"/>
  <c r="I129" i="32"/>
  <c r="M129" i="32" s="1"/>
  <c r="M128" i="32"/>
  <c r="K128" i="32"/>
  <c r="J128" i="32"/>
  <c r="I128" i="32"/>
  <c r="K127" i="32"/>
  <c r="J127" i="32"/>
  <c r="I127" i="32"/>
  <c r="M127" i="32" s="1"/>
  <c r="M126" i="32"/>
  <c r="K126" i="32"/>
  <c r="J126" i="32"/>
  <c r="I126" i="32"/>
  <c r="K125" i="32"/>
  <c r="J125" i="32"/>
  <c r="I125" i="32"/>
  <c r="M125" i="32" s="1"/>
  <c r="M124" i="32"/>
  <c r="J124" i="32"/>
  <c r="K124" i="32" s="1"/>
  <c r="I124" i="32"/>
  <c r="K123" i="32"/>
  <c r="J123" i="32"/>
  <c r="I123" i="32"/>
  <c r="M123" i="32" s="1"/>
  <c r="M122" i="32"/>
  <c r="J122" i="32"/>
  <c r="K122" i="32" s="1"/>
  <c r="I122" i="32"/>
  <c r="K121" i="32"/>
  <c r="J121" i="32"/>
  <c r="I121" i="32"/>
  <c r="M121" i="32" s="1"/>
  <c r="M120" i="32"/>
  <c r="J120" i="32"/>
  <c r="K120" i="32" s="1"/>
  <c r="I120" i="32"/>
  <c r="K119" i="32"/>
  <c r="J119" i="32"/>
  <c r="I119" i="32"/>
  <c r="M119" i="32" s="1"/>
  <c r="M118" i="32"/>
  <c r="J118" i="32"/>
  <c r="K118" i="32" s="1"/>
  <c r="I118" i="32"/>
  <c r="K117" i="32"/>
  <c r="J117" i="32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M78" i="32"/>
  <c r="J78" i="32"/>
  <c r="K78" i="32" s="1"/>
  <c r="I78" i="32"/>
  <c r="J77" i="32"/>
  <c r="K77" i="32" s="1"/>
  <c r="I77" i="32"/>
  <c r="M77" i="32" s="1"/>
  <c r="M76" i="32"/>
  <c r="J76" i="32"/>
  <c r="K76" i="32" s="1"/>
  <c r="I76" i="32"/>
  <c r="J75" i="32"/>
  <c r="K75" i="32" s="1"/>
  <c r="I75" i="32"/>
  <c r="M75" i="32" s="1"/>
  <c r="M74" i="32"/>
  <c r="J74" i="32"/>
  <c r="K74" i="32" s="1"/>
  <c r="I74" i="32"/>
  <c r="J73" i="32"/>
  <c r="K73" i="32" s="1"/>
  <c r="I73" i="32"/>
  <c r="M73" i="32" s="1"/>
  <c r="M72" i="32"/>
  <c r="J72" i="32"/>
  <c r="K72" i="32" s="1"/>
  <c r="I72" i="32"/>
  <c r="J71" i="32"/>
  <c r="K71" i="32" s="1"/>
  <c r="I71" i="32"/>
  <c r="M71" i="32" s="1"/>
  <c r="M70" i="32"/>
  <c r="J70" i="32"/>
  <c r="K70" i="32" s="1"/>
  <c r="I70" i="32"/>
  <c r="J69" i="32"/>
  <c r="K69" i="32" s="1"/>
  <c r="I69" i="32"/>
  <c r="M69" i="32" s="1"/>
  <c r="M68" i="32"/>
  <c r="J68" i="32"/>
  <c r="K68" i="32" s="1"/>
  <c r="I68" i="32"/>
  <c r="J67" i="32"/>
  <c r="K67" i="32" s="1"/>
  <c r="I67" i="32"/>
  <c r="M67" i="32" s="1"/>
  <c r="M66" i="32"/>
  <c r="J66" i="32"/>
  <c r="K66" i="32" s="1"/>
  <c r="I66" i="32"/>
  <c r="J65" i="32"/>
  <c r="K65" i="32" s="1"/>
  <c r="I65" i="32"/>
  <c r="M65" i="32" s="1"/>
  <c r="B65" i="32"/>
  <c r="M64" i="32"/>
  <c r="K64" i="32"/>
  <c r="J64" i="32"/>
  <c r="I64" i="32"/>
  <c r="B64" i="32"/>
  <c r="M63" i="32"/>
  <c r="J63" i="32"/>
  <c r="K63" i="32" s="1"/>
  <c r="I63" i="32"/>
  <c r="B63" i="32"/>
  <c r="J62" i="32"/>
  <c r="K62" i="32" s="1"/>
  <c r="I62" i="32"/>
  <c r="M62" i="32" s="1"/>
  <c r="B62" i="32"/>
  <c r="M61" i="32"/>
  <c r="J61" i="32"/>
  <c r="K61" i="32" s="1"/>
  <c r="I61" i="32"/>
  <c r="B61" i="32"/>
  <c r="J60" i="32"/>
  <c r="K60" i="32" s="1"/>
  <c r="I60" i="32"/>
  <c r="M60" i="32" s="1"/>
  <c r="B60" i="32"/>
  <c r="M59" i="32"/>
  <c r="K59" i="32"/>
  <c r="J59" i="32"/>
  <c r="I59" i="32"/>
  <c r="B59" i="32"/>
  <c r="M58" i="32"/>
  <c r="K58" i="32"/>
  <c r="J58" i="32"/>
  <c r="I58" i="32"/>
  <c r="B58" i="32"/>
  <c r="J57" i="32"/>
  <c r="K57" i="32" s="1"/>
  <c r="I57" i="32"/>
  <c r="M57" i="32" s="1"/>
  <c r="B57" i="32"/>
  <c r="M56" i="32"/>
  <c r="K56" i="32"/>
  <c r="J56" i="32"/>
  <c r="I56" i="32"/>
  <c r="B56" i="32"/>
  <c r="M55" i="32"/>
  <c r="J55" i="32"/>
  <c r="K55" i="32" s="1"/>
  <c r="I55" i="32"/>
  <c r="B55" i="32"/>
  <c r="J54" i="32"/>
  <c r="K54" i="32" s="1"/>
  <c r="I54" i="32"/>
  <c r="M54" i="32" s="1"/>
  <c r="B54" i="32"/>
  <c r="M53" i="32"/>
  <c r="J53" i="32"/>
  <c r="K53" i="32" s="1"/>
  <c r="I53" i="32"/>
  <c r="B53" i="32"/>
  <c r="J52" i="32"/>
  <c r="K52" i="32" s="1"/>
  <c r="I52" i="32"/>
  <c r="M52" i="32" s="1"/>
  <c r="B52" i="32"/>
  <c r="M51" i="32"/>
  <c r="K51" i="32"/>
  <c r="J51" i="32"/>
  <c r="I51" i="32"/>
  <c r="B51" i="32"/>
  <c r="M50" i="32"/>
  <c r="K50" i="32"/>
  <c r="J50" i="32"/>
  <c r="I50" i="32"/>
  <c r="B50" i="32"/>
  <c r="J49" i="32"/>
  <c r="K49" i="32" s="1"/>
  <c r="I49" i="32"/>
  <c r="M49" i="32" s="1"/>
  <c r="B49" i="32"/>
  <c r="M48" i="32"/>
  <c r="K48" i="32"/>
  <c r="J48" i="32"/>
  <c r="I48" i="32"/>
  <c r="B48" i="32"/>
  <c r="M47" i="32"/>
  <c r="J47" i="32"/>
  <c r="K47" i="32" s="1"/>
  <c r="I47" i="32"/>
  <c r="B47" i="32"/>
  <c r="T46" i="32"/>
  <c r="R46" i="32"/>
  <c r="U46" i="32" s="1"/>
  <c r="M46" i="32"/>
  <c r="J46" i="32"/>
  <c r="K46" i="32" s="1"/>
  <c r="I46" i="32"/>
  <c r="B46" i="32"/>
  <c r="J45" i="32"/>
  <c r="K45" i="32" s="1"/>
  <c r="I45" i="32"/>
  <c r="M45" i="32" s="1"/>
  <c r="B45" i="32"/>
  <c r="M44" i="32"/>
  <c r="J44" i="32"/>
  <c r="K44" i="32" s="1"/>
  <c r="I44" i="32"/>
  <c r="B44" i="32"/>
  <c r="J43" i="32"/>
  <c r="K43" i="32" s="1"/>
  <c r="I43" i="32"/>
  <c r="M43" i="32" s="1"/>
  <c r="B43" i="32"/>
  <c r="M42" i="32"/>
  <c r="K42" i="32"/>
  <c r="J42" i="32"/>
  <c r="I42" i="32"/>
  <c r="B42" i="32"/>
  <c r="M41" i="32"/>
  <c r="K41" i="32"/>
  <c r="J41" i="32"/>
  <c r="I41" i="32"/>
  <c r="B41" i="32"/>
  <c r="J40" i="32"/>
  <c r="K40" i="32" s="1"/>
  <c r="I40" i="32"/>
  <c r="M40" i="32" s="1"/>
  <c r="B40" i="32"/>
  <c r="M39" i="32"/>
  <c r="K39" i="32"/>
  <c r="J39" i="32"/>
  <c r="I39" i="32"/>
  <c r="B39" i="32"/>
  <c r="M38" i="32"/>
  <c r="J38" i="32"/>
  <c r="K38" i="32" s="1"/>
  <c r="I38" i="32"/>
  <c r="B38" i="32"/>
  <c r="J37" i="32"/>
  <c r="K37" i="32" s="1"/>
  <c r="I37" i="32"/>
  <c r="M37" i="32" s="1"/>
  <c r="A37" i="32" s="1"/>
  <c r="B37" i="32"/>
  <c r="M36" i="32"/>
  <c r="K36" i="32"/>
  <c r="J36" i="32"/>
  <c r="I36" i="32"/>
  <c r="B36" i="32"/>
  <c r="A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M32" i="32"/>
  <c r="K32" i="32"/>
  <c r="J32" i="32"/>
  <c r="I32" i="32"/>
  <c r="B32" i="32"/>
  <c r="A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J29" i="32"/>
  <c r="K29" i="32" s="1"/>
  <c r="I29" i="32"/>
  <c r="M29" i="32" s="1"/>
  <c r="A29" i="32" s="1"/>
  <c r="B29" i="32"/>
  <c r="M28" i="32"/>
  <c r="K28" i="32"/>
  <c r="J28" i="32"/>
  <c r="I28" i="32"/>
  <c r="B28" i="32"/>
  <c r="A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M24" i="32"/>
  <c r="K24" i="32"/>
  <c r="J24" i="32"/>
  <c r="I24" i="32"/>
  <c r="B24" i="32"/>
  <c r="A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M20" i="32"/>
  <c r="K20" i="32"/>
  <c r="J20" i="32"/>
  <c r="I20" i="32"/>
  <c r="B20" i="32"/>
  <c r="A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J17" i="32"/>
  <c r="K17" i="32" s="1"/>
  <c r="I17" i="32"/>
  <c r="M17" i="32" s="1"/>
  <c r="A17" i="32" s="1"/>
  <c r="B17" i="32"/>
  <c r="M16" i="32"/>
  <c r="K16" i="32"/>
  <c r="J16" i="32"/>
  <c r="I16" i="32"/>
  <c r="B16" i="32"/>
  <c r="A16" i="32"/>
  <c r="M15" i="32"/>
  <c r="A15" i="32" s="1"/>
  <c r="J15" i="32"/>
  <c r="K15" i="32" s="1"/>
  <c r="I15" i="32"/>
  <c r="B15" i="32"/>
  <c r="AI14" i="32"/>
  <c r="M14" i="32"/>
  <c r="A14" i="32" s="1"/>
  <c r="K14" i="32"/>
  <c r="J14" i="32"/>
  <c r="I14" i="32"/>
  <c r="B14" i="32"/>
  <c r="AI13" i="32"/>
  <c r="AI16" i="32" s="1"/>
  <c r="M13" i="32"/>
  <c r="A13" i="32" s="1"/>
  <c r="J13" i="32"/>
  <c r="K13" i="32" s="1"/>
  <c r="I13" i="32"/>
  <c r="B13" i="32"/>
  <c r="AI12" i="32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M10" i="32"/>
  <c r="K10" i="32"/>
  <c r="J10" i="32"/>
  <c r="I10" i="32"/>
  <c r="B10" i="32"/>
  <c r="A10" i="32"/>
  <c r="M9" i="32"/>
  <c r="A9" i="32" s="1"/>
  <c r="K9" i="32"/>
  <c r="J9" i="32"/>
  <c r="I9" i="32"/>
  <c r="B9" i="32"/>
  <c r="M8" i="32"/>
  <c r="A8" i="32" s="1"/>
  <c r="L8" i="32"/>
  <c r="J8" i="32"/>
  <c r="K8" i="32" s="1"/>
  <c r="I8" i="32"/>
  <c r="B8" i="32"/>
  <c r="J7" i="32"/>
  <c r="K7" i="32" s="1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K136" i="31"/>
  <c r="J136" i="31"/>
  <c r="I136" i="31"/>
  <c r="M136" i="31" s="1"/>
  <c r="M135" i="31"/>
  <c r="J135" i="31"/>
  <c r="K135" i="31" s="1"/>
  <c r="I135" i="31"/>
  <c r="K134" i="31"/>
  <c r="J134" i="31"/>
  <c r="I134" i="31"/>
  <c r="M134" i="31" s="1"/>
  <c r="M133" i="31"/>
  <c r="J133" i="31"/>
  <c r="K133" i="31" s="1"/>
  <c r="I133" i="31"/>
  <c r="K132" i="31"/>
  <c r="J132" i="31"/>
  <c r="I132" i="31"/>
  <c r="M132" i="31" s="1"/>
  <c r="M131" i="31"/>
  <c r="J131" i="31"/>
  <c r="K131" i="31" s="1"/>
  <c r="I131" i="31"/>
  <c r="K130" i="31"/>
  <c r="J130" i="31"/>
  <c r="I130" i="31"/>
  <c r="M130" i="31" s="1"/>
  <c r="M129" i="31"/>
  <c r="J129" i="31"/>
  <c r="K129" i="31" s="1"/>
  <c r="I129" i="31"/>
  <c r="K128" i="31"/>
  <c r="J128" i="31"/>
  <c r="I128" i="31"/>
  <c r="M128" i="31" s="1"/>
  <c r="M127" i="31"/>
  <c r="J127" i="31"/>
  <c r="K127" i="31" s="1"/>
  <c r="I127" i="31"/>
  <c r="K126" i="31"/>
  <c r="J126" i="31"/>
  <c r="I126" i="31"/>
  <c r="M126" i="31" s="1"/>
  <c r="M125" i="31"/>
  <c r="J125" i="31"/>
  <c r="K125" i="31" s="1"/>
  <c r="I125" i="31"/>
  <c r="K124" i="31"/>
  <c r="J124" i="31"/>
  <c r="I124" i="31"/>
  <c r="M124" i="31" s="1"/>
  <c r="M123" i="31"/>
  <c r="J123" i="31"/>
  <c r="K123" i="31" s="1"/>
  <c r="I123" i="31"/>
  <c r="K122" i="31"/>
  <c r="J122" i="31"/>
  <c r="I122" i="31"/>
  <c r="M122" i="31" s="1"/>
  <c r="M121" i="31"/>
  <c r="J121" i="31"/>
  <c r="K121" i="31" s="1"/>
  <c r="I121" i="31"/>
  <c r="K120" i="31"/>
  <c r="J120" i="31"/>
  <c r="I120" i="31"/>
  <c r="M120" i="31" s="1"/>
  <c r="M119" i="31"/>
  <c r="J119" i="31"/>
  <c r="K119" i="31" s="1"/>
  <c r="I119" i="31"/>
  <c r="K118" i="31"/>
  <c r="J118" i="31"/>
  <c r="I118" i="31"/>
  <c r="M118" i="31" s="1"/>
  <c r="M117" i="31"/>
  <c r="J117" i="31"/>
  <c r="K117" i="31" s="1"/>
  <c r="I117" i="31"/>
  <c r="K116" i="31"/>
  <c r="J116" i="31"/>
  <c r="I116" i="31"/>
  <c r="M116" i="31" s="1"/>
  <c r="M115" i="31"/>
  <c r="J115" i="31"/>
  <c r="K115" i="31" s="1"/>
  <c r="I115" i="31"/>
  <c r="K114" i="31"/>
  <c r="J114" i="31"/>
  <c r="I114" i="31"/>
  <c r="M114" i="31" s="1"/>
  <c r="M113" i="31"/>
  <c r="J113" i="31"/>
  <c r="K113" i="31" s="1"/>
  <c r="I113" i="31"/>
  <c r="K112" i="31"/>
  <c r="J112" i="31"/>
  <c r="I112" i="31"/>
  <c r="M112" i="31" s="1"/>
  <c r="M111" i="31"/>
  <c r="J111" i="31"/>
  <c r="K111" i="31" s="1"/>
  <c r="I111" i="31"/>
  <c r="K110" i="31"/>
  <c r="J110" i="31"/>
  <c r="I110" i="31"/>
  <c r="M110" i="31" s="1"/>
  <c r="M109" i="31"/>
  <c r="J109" i="31"/>
  <c r="K109" i="31" s="1"/>
  <c r="I109" i="31"/>
  <c r="K108" i="31"/>
  <c r="J108" i="31"/>
  <c r="I108" i="31"/>
  <c r="M108" i="31" s="1"/>
  <c r="M107" i="31"/>
  <c r="J107" i="31"/>
  <c r="K107" i="31" s="1"/>
  <c r="I107" i="31"/>
  <c r="K106" i="31"/>
  <c r="J106" i="31"/>
  <c r="I106" i="31"/>
  <c r="M106" i="31" s="1"/>
  <c r="M105" i="31"/>
  <c r="J105" i="31"/>
  <c r="K105" i="31" s="1"/>
  <c r="I105" i="31"/>
  <c r="K104" i="31"/>
  <c r="J104" i="31"/>
  <c r="I104" i="31"/>
  <c r="M104" i="31" s="1"/>
  <c r="M103" i="31"/>
  <c r="J103" i="31"/>
  <c r="K103" i="31" s="1"/>
  <c r="I103" i="31"/>
  <c r="K102" i="31"/>
  <c r="J102" i="31"/>
  <c r="I102" i="31"/>
  <c r="M102" i="31" s="1"/>
  <c r="M101" i="31"/>
  <c r="J101" i="31"/>
  <c r="K101" i="31" s="1"/>
  <c r="I101" i="31"/>
  <c r="K100" i="31"/>
  <c r="J100" i="31"/>
  <c r="I100" i="31"/>
  <c r="M100" i="31" s="1"/>
  <c r="M99" i="31"/>
  <c r="J99" i="31"/>
  <c r="K99" i="31" s="1"/>
  <c r="I99" i="31"/>
  <c r="K98" i="31"/>
  <c r="J98" i="31"/>
  <c r="I98" i="31"/>
  <c r="M98" i="31" s="1"/>
  <c r="M97" i="31"/>
  <c r="J97" i="31"/>
  <c r="K97" i="31" s="1"/>
  <c r="I97" i="31"/>
  <c r="K96" i="31"/>
  <c r="J96" i="31"/>
  <c r="I96" i="31"/>
  <c r="M96" i="31" s="1"/>
  <c r="M95" i="31"/>
  <c r="J95" i="31"/>
  <c r="K95" i="31" s="1"/>
  <c r="I95" i="31"/>
  <c r="K94" i="31"/>
  <c r="J94" i="31"/>
  <c r="I94" i="31"/>
  <c r="M94" i="31" s="1"/>
  <c r="M93" i="31"/>
  <c r="J93" i="31"/>
  <c r="K93" i="31" s="1"/>
  <c r="I93" i="31"/>
  <c r="K92" i="31"/>
  <c r="J92" i="31"/>
  <c r="I92" i="31"/>
  <c r="M92" i="31" s="1"/>
  <c r="M91" i="31"/>
  <c r="J91" i="31"/>
  <c r="K91" i="31" s="1"/>
  <c r="I91" i="31"/>
  <c r="K90" i="31"/>
  <c r="J90" i="31"/>
  <c r="I90" i="31"/>
  <c r="M90" i="31" s="1"/>
  <c r="M89" i="31"/>
  <c r="J89" i="31"/>
  <c r="K89" i="31" s="1"/>
  <c r="I89" i="31"/>
  <c r="K88" i="31"/>
  <c r="J88" i="31"/>
  <c r="I88" i="31"/>
  <c r="M88" i="31" s="1"/>
  <c r="M87" i="31"/>
  <c r="J87" i="31"/>
  <c r="K87" i="31" s="1"/>
  <c r="I87" i="31"/>
  <c r="K86" i="31"/>
  <c r="J86" i="31"/>
  <c r="I86" i="31"/>
  <c r="M86" i="31" s="1"/>
  <c r="M85" i="31"/>
  <c r="J85" i="31"/>
  <c r="K85" i="31" s="1"/>
  <c r="I85" i="31"/>
  <c r="K84" i="31"/>
  <c r="J84" i="31"/>
  <c r="I84" i="31"/>
  <c r="M84" i="31" s="1"/>
  <c r="M83" i="31"/>
  <c r="J83" i="31"/>
  <c r="K83" i="31" s="1"/>
  <c r="I83" i="31"/>
  <c r="K82" i="31"/>
  <c r="J82" i="31"/>
  <c r="I82" i="31"/>
  <c r="M82" i="31" s="1"/>
  <c r="M81" i="31"/>
  <c r="J81" i="31"/>
  <c r="K81" i="31" s="1"/>
  <c r="I81" i="31"/>
  <c r="K80" i="31"/>
  <c r="J80" i="31"/>
  <c r="I80" i="31"/>
  <c r="M80" i="31" s="1"/>
  <c r="M79" i="31"/>
  <c r="J79" i="31"/>
  <c r="K79" i="31" s="1"/>
  <c r="I79" i="31"/>
  <c r="K78" i="31"/>
  <c r="J78" i="31"/>
  <c r="I78" i="31"/>
  <c r="M78" i="31" s="1"/>
  <c r="M77" i="31"/>
  <c r="J77" i="31"/>
  <c r="K77" i="31" s="1"/>
  <c r="I77" i="31"/>
  <c r="K76" i="31"/>
  <c r="J76" i="31"/>
  <c r="I76" i="31"/>
  <c r="M76" i="31" s="1"/>
  <c r="M75" i="31"/>
  <c r="J75" i="31"/>
  <c r="K75" i="31" s="1"/>
  <c r="I75" i="31"/>
  <c r="K74" i="31"/>
  <c r="J74" i="31"/>
  <c r="I74" i="31"/>
  <c r="M74" i="31" s="1"/>
  <c r="M73" i="31"/>
  <c r="J73" i="31"/>
  <c r="K73" i="31" s="1"/>
  <c r="I73" i="31"/>
  <c r="K72" i="31"/>
  <c r="J72" i="31"/>
  <c r="I72" i="31"/>
  <c r="M72" i="31" s="1"/>
  <c r="M71" i="31"/>
  <c r="J71" i="31"/>
  <c r="K71" i="31" s="1"/>
  <c r="I71" i="31"/>
  <c r="J70" i="31"/>
  <c r="K70" i="31" s="1"/>
  <c r="I70" i="31"/>
  <c r="M70" i="31" s="1"/>
  <c r="M69" i="31"/>
  <c r="J69" i="31"/>
  <c r="K69" i="31" s="1"/>
  <c r="I69" i="3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M65" i="31"/>
  <c r="J65" i="31"/>
  <c r="K65" i="31" s="1"/>
  <c r="I65" i="31"/>
  <c r="B65" i="31"/>
  <c r="J64" i="31"/>
  <c r="K64" i="31" s="1"/>
  <c r="I64" i="31"/>
  <c r="M64" i="31" s="1"/>
  <c r="B64" i="31"/>
  <c r="M63" i="31"/>
  <c r="K63" i="31"/>
  <c r="J63" i="31"/>
  <c r="I63" i="31"/>
  <c r="B63" i="31"/>
  <c r="K62" i="31"/>
  <c r="J62" i="31"/>
  <c r="I62" i="31"/>
  <c r="M62" i="31" s="1"/>
  <c r="B62" i="31"/>
  <c r="J61" i="31"/>
  <c r="K61" i="31" s="1"/>
  <c r="I61" i="31"/>
  <c r="M61" i="31" s="1"/>
  <c r="B61" i="31"/>
  <c r="M60" i="31"/>
  <c r="K60" i="31"/>
  <c r="J60" i="31"/>
  <c r="I60" i="31"/>
  <c r="B60" i="31"/>
  <c r="J59" i="31"/>
  <c r="K59" i="31" s="1"/>
  <c r="I59" i="31"/>
  <c r="M59" i="31" s="1"/>
  <c r="B59" i="31"/>
  <c r="J58" i="31"/>
  <c r="K58" i="31" s="1"/>
  <c r="I58" i="31"/>
  <c r="M58" i="31" s="1"/>
  <c r="B58" i="31"/>
  <c r="M57" i="31"/>
  <c r="J57" i="31"/>
  <c r="K57" i="31" s="1"/>
  <c r="I57" i="31"/>
  <c r="B57" i="31"/>
  <c r="J56" i="31"/>
  <c r="K56" i="31" s="1"/>
  <c r="I56" i="31"/>
  <c r="M56" i="31" s="1"/>
  <c r="B56" i="31"/>
  <c r="M55" i="31"/>
  <c r="K55" i="31"/>
  <c r="J55" i="31"/>
  <c r="I55" i="31"/>
  <c r="B55" i="31"/>
  <c r="K54" i="31"/>
  <c r="J54" i="31"/>
  <c r="I54" i="31"/>
  <c r="M54" i="31" s="1"/>
  <c r="B54" i="31"/>
  <c r="J53" i="31"/>
  <c r="K53" i="31" s="1"/>
  <c r="I53" i="31"/>
  <c r="M53" i="31" s="1"/>
  <c r="B53" i="31"/>
  <c r="M52" i="31"/>
  <c r="K52" i="31"/>
  <c r="J52" i="31"/>
  <c r="I52" i="31"/>
  <c r="B52" i="31"/>
  <c r="J51" i="31"/>
  <c r="K51" i="31" s="1"/>
  <c r="I51" i="31"/>
  <c r="M51" i="31" s="1"/>
  <c r="B51" i="31"/>
  <c r="J50" i="31"/>
  <c r="K50" i="31" s="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M47" i="31"/>
  <c r="K47" i="31"/>
  <c r="J47" i="31"/>
  <c r="I47" i="31"/>
  <c r="B47" i="31"/>
  <c r="T46" i="31"/>
  <c r="U46" i="31" s="1"/>
  <c r="R46" i="31"/>
  <c r="M46" i="31"/>
  <c r="K46" i="31"/>
  <c r="J46" i="31"/>
  <c r="I46" i="31"/>
  <c r="B46" i="31"/>
  <c r="K45" i="31"/>
  <c r="J45" i="31"/>
  <c r="I45" i="31"/>
  <c r="M45" i="31" s="1"/>
  <c r="B45" i="31"/>
  <c r="J44" i="31"/>
  <c r="K44" i="31" s="1"/>
  <c r="I44" i="31"/>
  <c r="M44" i="31" s="1"/>
  <c r="B44" i="31"/>
  <c r="M43" i="31"/>
  <c r="K43" i="31"/>
  <c r="J43" i="3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M40" i="31"/>
  <c r="J40" i="31"/>
  <c r="K40" i="31" s="1"/>
  <c r="I40" i="31"/>
  <c r="B40" i="31"/>
  <c r="J39" i="31"/>
  <c r="K39" i="31" s="1"/>
  <c r="I39" i="31"/>
  <c r="M39" i="31" s="1"/>
  <c r="B39" i="31"/>
  <c r="M38" i="31"/>
  <c r="K38" i="31"/>
  <c r="J38" i="31"/>
  <c r="I38" i="31"/>
  <c r="B38" i="31"/>
  <c r="K37" i="31"/>
  <c r="J37" i="3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M34" i="31"/>
  <c r="A34" i="31" s="1"/>
  <c r="K34" i="31"/>
  <c r="J34" i="31"/>
  <c r="I34" i="31"/>
  <c r="B34" i="31"/>
  <c r="K33" i="31"/>
  <c r="J33" i="3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M30" i="31"/>
  <c r="A30" i="31" s="1"/>
  <c r="K30" i="31"/>
  <c r="J30" i="31"/>
  <c r="I30" i="31"/>
  <c r="B30" i="31"/>
  <c r="K29" i="31"/>
  <c r="J29" i="3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K26" i="31"/>
  <c r="J26" i="31"/>
  <c r="I26" i="31"/>
  <c r="B26" i="31"/>
  <c r="K25" i="31"/>
  <c r="J25" i="3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K22" i="31"/>
  <c r="J22" i="31"/>
  <c r="I22" i="31"/>
  <c r="B22" i="31"/>
  <c r="K21" i="31"/>
  <c r="J21" i="3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M18" i="31"/>
  <c r="A18" i="31" s="1"/>
  <c r="K18" i="31"/>
  <c r="J18" i="31"/>
  <c r="I18" i="31"/>
  <c r="B18" i="31"/>
  <c r="K17" i="31"/>
  <c r="J17" i="31"/>
  <c r="I17" i="31"/>
  <c r="M17" i="31" s="1"/>
  <c r="A17" i="31" s="1"/>
  <c r="B17" i="31"/>
  <c r="J16" i="31"/>
  <c r="K16" i="31" s="1"/>
  <c r="I16" i="31"/>
  <c r="M16" i="31" s="1"/>
  <c r="A16" i="31" s="1"/>
  <c r="B16" i="31"/>
  <c r="K15" i="31"/>
  <c r="J15" i="3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M13" i="31"/>
  <c r="A13" i="31" s="1"/>
  <c r="K13" i="31"/>
  <c r="J13" i="31"/>
  <c r="I13" i="31"/>
  <c r="B13" i="31"/>
  <c r="AI12" i="31"/>
  <c r="AI16" i="31" s="1"/>
  <c r="M12" i="31"/>
  <c r="A12" i="31" s="1"/>
  <c r="K12" i="31"/>
  <c r="J12" i="31"/>
  <c r="I12" i="31"/>
  <c r="B12" i="31"/>
  <c r="K11" i="31"/>
  <c r="J11" i="31"/>
  <c r="I11" i="31"/>
  <c r="M11" i="31" s="1"/>
  <c r="A11" i="31" s="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B9" i="31"/>
  <c r="M8" i="31"/>
  <c r="L8" i="31"/>
  <c r="K8" i="31"/>
  <c r="J8" i="31"/>
  <c r="I8" i="31"/>
  <c r="B8" i="31"/>
  <c r="A8" i="31"/>
  <c r="M7" i="31"/>
  <c r="A7" i="31" s="1"/>
  <c r="L7" i="31"/>
  <c r="K7" i="31"/>
  <c r="J7" i="31"/>
  <c r="I7" i="31"/>
  <c r="B7" i="31"/>
  <c r="M6" i="31"/>
  <c r="A6" i="31" s="1"/>
  <c r="L6" i="31"/>
  <c r="J6" i="31"/>
  <c r="K6" i="31" s="1"/>
  <c r="I6" i="31"/>
  <c r="B6" i="31"/>
  <c r="K2" i="3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B28" i="30"/>
  <c r="A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B24" i="30"/>
  <c r="A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B20" i="30"/>
  <c r="A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B10" i="30"/>
  <c r="A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J7" i="30"/>
  <c r="K7" i="30" s="1"/>
  <c r="I7" i="30"/>
  <c r="M7" i="30" s="1"/>
  <c r="A7" i="30" s="1"/>
  <c r="B7" i="30"/>
  <c r="J6" i="30"/>
  <c r="K6" i="30" s="1"/>
  <c r="I6" i="30"/>
  <c r="B6" i="30"/>
  <c r="K2" i="30"/>
  <c r="B7" i="16"/>
  <c r="B6" i="16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I6" i="16"/>
  <c r="I6" i="15"/>
  <c r="I6" i="14"/>
  <c r="G29" i="20"/>
  <c r="H29" i="20" s="1"/>
  <c r="E29" i="20"/>
  <c r="F29" i="20" s="1"/>
  <c r="M28" i="20"/>
  <c r="G28" i="20"/>
  <c r="E28" i="20"/>
  <c r="F28" i="20" s="1"/>
  <c r="I27" i="20"/>
  <c r="G27" i="20"/>
  <c r="H27" i="20" s="1"/>
  <c r="E27" i="20"/>
  <c r="F27" i="20" s="1"/>
  <c r="I26" i="20"/>
  <c r="G26" i="20"/>
  <c r="E26" i="20"/>
  <c r="F26" i="20" s="1"/>
  <c r="G25" i="20"/>
  <c r="E25" i="20"/>
  <c r="F25" i="20" s="1"/>
  <c r="G24" i="20"/>
  <c r="E24" i="20"/>
  <c r="F24" i="20" s="1"/>
  <c r="G23" i="20"/>
  <c r="E23" i="20"/>
  <c r="F23" i="20" s="1"/>
  <c r="I22" i="20"/>
  <c r="G22" i="20"/>
  <c r="E22" i="20"/>
  <c r="F22" i="20" s="1"/>
  <c r="I21" i="20"/>
  <c r="G21" i="20"/>
  <c r="E21" i="20"/>
  <c r="F21" i="20" s="1"/>
  <c r="G20" i="20"/>
  <c r="E20" i="20"/>
  <c r="F20" i="20" s="1"/>
  <c r="G19" i="20"/>
  <c r="E19" i="20"/>
  <c r="F19" i="20" s="1"/>
  <c r="G18" i="20"/>
  <c r="E18" i="20"/>
  <c r="F18" i="20" s="1"/>
  <c r="I17" i="20"/>
  <c r="G17" i="20"/>
  <c r="E17" i="20"/>
  <c r="F17" i="20" s="1"/>
  <c r="I16" i="20"/>
  <c r="G16" i="20"/>
  <c r="E16" i="20"/>
  <c r="F16" i="20" s="1"/>
  <c r="G15" i="20"/>
  <c r="E15" i="20"/>
  <c r="F15" i="20" s="1"/>
  <c r="M14" i="20"/>
  <c r="G14" i="20"/>
  <c r="E14" i="20"/>
  <c r="F14" i="20" s="1"/>
  <c r="G13" i="20"/>
  <c r="E13" i="20"/>
  <c r="F13" i="20" s="1"/>
  <c r="G12" i="20"/>
  <c r="E12" i="20"/>
  <c r="F12" i="20" s="1"/>
  <c r="I11" i="20"/>
  <c r="G11" i="20"/>
  <c r="E11" i="20"/>
  <c r="F11" i="20" s="1"/>
  <c r="I10" i="20"/>
  <c r="G10" i="20"/>
  <c r="E10" i="20"/>
  <c r="F10" i="20" s="1"/>
  <c r="G9" i="20"/>
  <c r="E9" i="20"/>
  <c r="F9" i="20" s="1"/>
  <c r="U8" i="20"/>
  <c r="M8" i="20"/>
  <c r="G8" i="20"/>
  <c r="E8" i="20"/>
  <c r="F8" i="20" s="1"/>
  <c r="M6" i="20"/>
  <c r="K6" i="20"/>
  <c r="I6" i="20"/>
  <c r="G6" i="20"/>
  <c r="E6" i="20"/>
  <c r="M7" i="20"/>
  <c r="K7" i="20"/>
  <c r="I7" i="20"/>
  <c r="G7" i="20"/>
  <c r="E7" i="20"/>
  <c r="F7" i="20" s="1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M205" i="28" s="1"/>
  <c r="N205" i="28" s="1"/>
  <c r="A205" i="28" s="1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M196" i="28" s="1"/>
  <c r="N196" i="28" s="1"/>
  <c r="A196" i="28" s="1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M180" i="28" s="1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M164" i="28" s="1"/>
  <c r="N164" i="28" s="1"/>
  <c r="A164" i="28" s="1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M148" i="28" s="1"/>
  <c r="N148" i="28" s="1"/>
  <c r="A148" i="28" s="1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M139" i="28" s="1"/>
  <c r="N139" i="28" s="1"/>
  <c r="A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M136" i="28" s="1"/>
  <c r="N136" i="28" s="1"/>
  <c r="B136" i="28"/>
  <c r="A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M128" i="28" s="1"/>
  <c r="N128" i="28" s="1"/>
  <c r="A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M117" i="28" s="1"/>
  <c r="N117" i="28" s="1"/>
  <c r="A117" i="28" s="1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M111" i="28" s="1"/>
  <c r="N111" i="28" s="1"/>
  <c r="A111" i="28" s="1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M103" i="28" s="1"/>
  <c r="N103" i="28" s="1"/>
  <c r="A103" i="28" s="1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M92" i="28" s="1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N88" i="28" s="1"/>
  <c r="A88" i="28" s="1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N79" i="28" s="1"/>
  <c r="A79" i="28" s="1"/>
  <c r="B79" i="28"/>
  <c r="J78" i="28"/>
  <c r="K78" i="28" s="1"/>
  <c r="I78" i="28"/>
  <c r="B78" i="28"/>
  <c r="J77" i="28"/>
  <c r="K77" i="28" s="1"/>
  <c r="I77" i="28"/>
  <c r="M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M69" i="28" s="1"/>
  <c r="N69" i="28" s="1"/>
  <c r="A69" i="28" s="1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N64" i="28" s="1"/>
  <c r="A64" i="28" s="1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N59" i="28" s="1"/>
  <c r="A59" i="28" s="1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M54" i="28" s="1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M39" i="28" s="1"/>
  <c r="N39" i="28" s="1"/>
  <c r="A39" i="28" s="1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M35" i="28" s="1"/>
  <c r="N35" i="28" s="1"/>
  <c r="A35" i="28" s="1"/>
  <c r="B35" i="28"/>
  <c r="J34" i="28"/>
  <c r="K34" i="28" s="1"/>
  <c r="I34" i="28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J28" i="28"/>
  <c r="K28" i="28" s="1"/>
  <c r="I28" i="28"/>
  <c r="J27" i="28"/>
  <c r="K27" i="28" s="1"/>
  <c r="I27" i="28"/>
  <c r="M27" i="28" s="1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M19" i="28" s="1"/>
  <c r="N19" i="28" s="1"/>
  <c r="A19" i="28" s="1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AJ16" i="28" s="1"/>
  <c r="J13" i="28"/>
  <c r="K13" i="28" s="1"/>
  <c r="I13" i="28"/>
  <c r="M13" i="28" s="1"/>
  <c r="N13" i="28" s="1"/>
  <c r="A13" i="28" s="1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4"/>
  <c r="K305" i="24" s="1"/>
  <c r="I305" i="24"/>
  <c r="M305" i="24" s="1"/>
  <c r="K304" i="24"/>
  <c r="J304" i="24"/>
  <c r="I304" i="24"/>
  <c r="M304" i="24" s="1"/>
  <c r="K303" i="24"/>
  <c r="J303" i="24"/>
  <c r="I303" i="24"/>
  <c r="M303" i="24" s="1"/>
  <c r="K302" i="24"/>
  <c r="J302" i="24"/>
  <c r="I302" i="24"/>
  <c r="M302" i="24" s="1"/>
  <c r="M301" i="24"/>
  <c r="J301" i="24"/>
  <c r="K301" i="24" s="1"/>
  <c r="I301" i="24"/>
  <c r="K300" i="24"/>
  <c r="J300" i="24"/>
  <c r="I300" i="24"/>
  <c r="M300" i="24" s="1"/>
  <c r="M299" i="24"/>
  <c r="K299" i="24"/>
  <c r="J299" i="24"/>
  <c r="I299" i="24"/>
  <c r="K298" i="24"/>
  <c r="J298" i="24"/>
  <c r="I298" i="24"/>
  <c r="M298" i="24" s="1"/>
  <c r="M297" i="24"/>
  <c r="K297" i="24"/>
  <c r="J297" i="24"/>
  <c r="I297" i="24"/>
  <c r="K296" i="24"/>
  <c r="J296" i="24"/>
  <c r="I296" i="24"/>
  <c r="M296" i="24" s="1"/>
  <c r="M295" i="24"/>
  <c r="K295" i="24"/>
  <c r="J295" i="24"/>
  <c r="I295" i="24"/>
  <c r="K294" i="24"/>
  <c r="J294" i="24"/>
  <c r="I294" i="24"/>
  <c r="M294" i="24" s="1"/>
  <c r="J293" i="24"/>
  <c r="K293" i="24" s="1"/>
  <c r="I293" i="24"/>
  <c r="M293" i="24" s="1"/>
  <c r="K292" i="24"/>
  <c r="J292" i="24"/>
  <c r="I292" i="24"/>
  <c r="M292" i="24" s="1"/>
  <c r="J291" i="24"/>
  <c r="K291" i="24" s="1"/>
  <c r="I291" i="24"/>
  <c r="M291" i="24" s="1"/>
  <c r="K290" i="24"/>
  <c r="J290" i="24"/>
  <c r="I290" i="24"/>
  <c r="M290" i="24" s="1"/>
  <c r="J289" i="24"/>
  <c r="K289" i="24" s="1"/>
  <c r="I289" i="24"/>
  <c r="M289" i="24" s="1"/>
  <c r="K288" i="24"/>
  <c r="J288" i="24"/>
  <c r="I288" i="24"/>
  <c r="M288" i="24" s="1"/>
  <c r="K287" i="24"/>
  <c r="J287" i="24"/>
  <c r="I287" i="24"/>
  <c r="M287" i="24" s="1"/>
  <c r="K286" i="24"/>
  <c r="J286" i="24"/>
  <c r="I286" i="24"/>
  <c r="M286" i="24" s="1"/>
  <c r="M285" i="24"/>
  <c r="J285" i="24"/>
  <c r="K285" i="24" s="1"/>
  <c r="I285" i="24"/>
  <c r="K284" i="24"/>
  <c r="J284" i="24"/>
  <c r="I284" i="24"/>
  <c r="M284" i="24" s="1"/>
  <c r="M283" i="24"/>
  <c r="K283" i="24"/>
  <c r="J283" i="24"/>
  <c r="I283" i="24"/>
  <c r="K282" i="24"/>
  <c r="J282" i="24"/>
  <c r="I282" i="24"/>
  <c r="M282" i="24" s="1"/>
  <c r="M281" i="24"/>
  <c r="J281" i="24"/>
  <c r="K281" i="24" s="1"/>
  <c r="I281" i="24"/>
  <c r="K280" i="24"/>
  <c r="J280" i="24"/>
  <c r="I280" i="24"/>
  <c r="M280" i="24" s="1"/>
  <c r="J279" i="24"/>
  <c r="K279" i="24" s="1"/>
  <c r="I279" i="24"/>
  <c r="M279" i="24" s="1"/>
  <c r="K278" i="24"/>
  <c r="J278" i="24"/>
  <c r="I278" i="24"/>
  <c r="M278" i="24" s="1"/>
  <c r="M277" i="24"/>
  <c r="J277" i="24"/>
  <c r="K277" i="24" s="1"/>
  <c r="I277" i="24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M273" i="24"/>
  <c r="J273" i="24"/>
  <c r="K273" i="24" s="1"/>
  <c r="I273" i="24"/>
  <c r="J272" i="24"/>
  <c r="K272" i="24" s="1"/>
  <c r="I272" i="24"/>
  <c r="M272" i="24" s="1"/>
  <c r="M271" i="24"/>
  <c r="K271" i="24"/>
  <c r="J271" i="24"/>
  <c r="I271" i="24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M265" i="24"/>
  <c r="J265" i="24"/>
  <c r="K265" i="24" s="1"/>
  <c r="I265" i="24"/>
  <c r="J264" i="24"/>
  <c r="K264" i="24" s="1"/>
  <c r="I264" i="24"/>
  <c r="M264" i="24" s="1"/>
  <c r="M263" i="24"/>
  <c r="J263" i="24"/>
  <c r="K263" i="24" s="1"/>
  <c r="I263" i="24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M257" i="24"/>
  <c r="J257" i="24"/>
  <c r="K257" i="24" s="1"/>
  <c r="I257" i="24"/>
  <c r="J256" i="24"/>
  <c r="K256" i="24" s="1"/>
  <c r="I256" i="24"/>
  <c r="M256" i="24" s="1"/>
  <c r="M255" i="24"/>
  <c r="J255" i="24"/>
  <c r="K255" i="24" s="1"/>
  <c r="I255" i="24"/>
  <c r="J254" i="24"/>
  <c r="K254" i="24" s="1"/>
  <c r="I254" i="24"/>
  <c r="M254" i="24" s="1"/>
  <c r="M253" i="24"/>
  <c r="K253" i="24"/>
  <c r="J253" i="24"/>
  <c r="I253" i="24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M249" i="24"/>
  <c r="J249" i="24"/>
  <c r="K249" i="24" s="1"/>
  <c r="I249" i="24"/>
  <c r="J248" i="24"/>
  <c r="K248" i="24" s="1"/>
  <c r="I248" i="24"/>
  <c r="M248" i="24" s="1"/>
  <c r="M247" i="24"/>
  <c r="J247" i="24"/>
  <c r="K247" i="24" s="1"/>
  <c r="I247" i="24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M241" i="24"/>
  <c r="J241" i="24"/>
  <c r="K241" i="24" s="1"/>
  <c r="I241" i="24"/>
  <c r="J240" i="24"/>
  <c r="K240" i="24" s="1"/>
  <c r="I240" i="24"/>
  <c r="M240" i="24" s="1"/>
  <c r="M239" i="24"/>
  <c r="J239" i="24"/>
  <c r="K239" i="24" s="1"/>
  <c r="I239" i="24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M233" i="24"/>
  <c r="J233" i="24"/>
  <c r="K233" i="24" s="1"/>
  <c r="I233" i="24"/>
  <c r="J232" i="24"/>
  <c r="K232" i="24" s="1"/>
  <c r="I232" i="24"/>
  <c r="M232" i="24" s="1"/>
  <c r="M231" i="24"/>
  <c r="J231" i="24"/>
  <c r="K231" i="24" s="1"/>
  <c r="I231" i="24"/>
  <c r="J230" i="24"/>
  <c r="K230" i="24" s="1"/>
  <c r="I230" i="24"/>
  <c r="M230" i="24" s="1"/>
  <c r="M229" i="24"/>
  <c r="K229" i="24"/>
  <c r="J229" i="24"/>
  <c r="I229" i="24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M225" i="24"/>
  <c r="J225" i="24"/>
  <c r="K225" i="24" s="1"/>
  <c r="I225" i="24"/>
  <c r="J224" i="24"/>
  <c r="K224" i="24" s="1"/>
  <c r="I224" i="24"/>
  <c r="M224" i="24" s="1"/>
  <c r="M223" i="24"/>
  <c r="J223" i="24"/>
  <c r="K223" i="24" s="1"/>
  <c r="I223" i="24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M217" i="24"/>
  <c r="J217" i="24"/>
  <c r="K217" i="24" s="1"/>
  <c r="I217" i="24"/>
  <c r="J216" i="24"/>
  <c r="K216" i="24" s="1"/>
  <c r="I216" i="24"/>
  <c r="M216" i="24" s="1"/>
  <c r="M215" i="24"/>
  <c r="J215" i="24"/>
  <c r="K215" i="24" s="1"/>
  <c r="I215" i="24"/>
  <c r="J214" i="24"/>
  <c r="K214" i="24" s="1"/>
  <c r="I214" i="24"/>
  <c r="M214" i="24" s="1"/>
  <c r="M213" i="24"/>
  <c r="J213" i="24"/>
  <c r="K213" i="24" s="1"/>
  <c r="I213" i="24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M209" i="24"/>
  <c r="J209" i="24"/>
  <c r="K209" i="24" s="1"/>
  <c r="I209" i="24"/>
  <c r="J208" i="24"/>
  <c r="K208" i="24" s="1"/>
  <c r="I208" i="24"/>
  <c r="M208" i="24" s="1"/>
  <c r="M207" i="24"/>
  <c r="K207" i="24"/>
  <c r="J207" i="24"/>
  <c r="I207" i="24"/>
  <c r="J206" i="24"/>
  <c r="K206" i="24" s="1"/>
  <c r="I206" i="24"/>
  <c r="M206" i="24" s="1"/>
  <c r="K205" i="24"/>
  <c r="J205" i="24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M201" i="24"/>
  <c r="J201" i="24"/>
  <c r="K201" i="24" s="1"/>
  <c r="I201" i="24"/>
  <c r="J200" i="24"/>
  <c r="K200" i="24" s="1"/>
  <c r="I200" i="24"/>
  <c r="M200" i="24" s="1"/>
  <c r="M199" i="24"/>
  <c r="J199" i="24"/>
  <c r="K199" i="24" s="1"/>
  <c r="I199" i="24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M193" i="24"/>
  <c r="J193" i="24"/>
  <c r="K193" i="24" s="1"/>
  <c r="I193" i="24"/>
  <c r="J192" i="24"/>
  <c r="K192" i="24" s="1"/>
  <c r="I192" i="24"/>
  <c r="M192" i="24" s="1"/>
  <c r="M191" i="24"/>
  <c r="J191" i="24"/>
  <c r="K191" i="24" s="1"/>
  <c r="I191" i="24"/>
  <c r="J190" i="24"/>
  <c r="K190" i="24" s="1"/>
  <c r="I190" i="24"/>
  <c r="M190" i="24" s="1"/>
  <c r="M189" i="24"/>
  <c r="K189" i="24"/>
  <c r="J189" i="24"/>
  <c r="I189" i="24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M185" i="24"/>
  <c r="J185" i="24"/>
  <c r="K185" i="24" s="1"/>
  <c r="I185" i="24"/>
  <c r="J184" i="24"/>
  <c r="K184" i="24" s="1"/>
  <c r="I184" i="24"/>
  <c r="M184" i="24" s="1"/>
  <c r="M183" i="24"/>
  <c r="J183" i="24"/>
  <c r="K183" i="24" s="1"/>
  <c r="I183" i="24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M177" i="24"/>
  <c r="J177" i="24"/>
  <c r="K177" i="24" s="1"/>
  <c r="I177" i="24"/>
  <c r="J176" i="24"/>
  <c r="K176" i="24" s="1"/>
  <c r="I176" i="24"/>
  <c r="M176" i="24" s="1"/>
  <c r="M175" i="24"/>
  <c r="J175" i="24"/>
  <c r="K175" i="24" s="1"/>
  <c r="I175" i="24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M169" i="24"/>
  <c r="J169" i="24"/>
  <c r="K169" i="24" s="1"/>
  <c r="I169" i="24"/>
  <c r="J168" i="24"/>
  <c r="K168" i="24" s="1"/>
  <c r="I168" i="24"/>
  <c r="M168" i="24" s="1"/>
  <c r="M167" i="24"/>
  <c r="J167" i="24"/>
  <c r="K167" i="24" s="1"/>
  <c r="I167" i="24"/>
  <c r="J166" i="24"/>
  <c r="K166" i="24" s="1"/>
  <c r="I166" i="24"/>
  <c r="M166" i="24" s="1"/>
  <c r="M165" i="24"/>
  <c r="J165" i="24"/>
  <c r="K165" i="24" s="1"/>
  <c r="I165" i="24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M161" i="24"/>
  <c r="J161" i="24"/>
  <c r="K161" i="24" s="1"/>
  <c r="I161" i="24"/>
  <c r="J160" i="24"/>
  <c r="K160" i="24" s="1"/>
  <c r="I160" i="24"/>
  <c r="M160" i="24" s="1"/>
  <c r="M159" i="24"/>
  <c r="K159" i="24"/>
  <c r="J159" i="24"/>
  <c r="I159" i="24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M153" i="24"/>
  <c r="J153" i="24"/>
  <c r="K153" i="24" s="1"/>
  <c r="I153" i="24"/>
  <c r="J152" i="24"/>
  <c r="K152" i="24" s="1"/>
  <c r="I152" i="24"/>
  <c r="M152" i="24" s="1"/>
  <c r="M151" i="24"/>
  <c r="J151" i="24"/>
  <c r="K151" i="24" s="1"/>
  <c r="I151" i="24"/>
  <c r="J150" i="24"/>
  <c r="K150" i="24" s="1"/>
  <c r="I150" i="24"/>
  <c r="M150" i="24" s="1"/>
  <c r="M149" i="24"/>
  <c r="J149" i="24"/>
  <c r="K149" i="24" s="1"/>
  <c r="I149" i="24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M145" i="24"/>
  <c r="J145" i="24"/>
  <c r="K145" i="24" s="1"/>
  <c r="I145" i="24"/>
  <c r="J144" i="24"/>
  <c r="K144" i="24" s="1"/>
  <c r="I144" i="24"/>
  <c r="M144" i="24" s="1"/>
  <c r="M143" i="24"/>
  <c r="K143" i="24"/>
  <c r="J143" i="24"/>
  <c r="I143" i="24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M139" i="24"/>
  <c r="A139" i="24" s="1"/>
  <c r="K139" i="24"/>
  <c r="J139" i="24"/>
  <c r="I139" i="24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B136" i="24"/>
  <c r="A136" i="24"/>
  <c r="M135" i="24"/>
  <c r="A135" i="24" s="1"/>
  <c r="K135" i="24"/>
  <c r="J135" i="24"/>
  <c r="I135" i="24"/>
  <c r="B135" i="24"/>
  <c r="M134" i="24"/>
  <c r="A134" i="24" s="1"/>
  <c r="J134" i="24"/>
  <c r="K134" i="24" s="1"/>
  <c r="I134" i="24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M131" i="24"/>
  <c r="A131" i="24" s="1"/>
  <c r="K131" i="24"/>
  <c r="J131" i="24"/>
  <c r="I131" i="24"/>
  <c r="B131" i="24"/>
  <c r="J130" i="24"/>
  <c r="K130" i="24" s="1"/>
  <c r="I130" i="24"/>
  <c r="M130" i="24" s="1"/>
  <c r="A130" i="24" s="1"/>
  <c r="B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B128" i="24"/>
  <c r="A128" i="24"/>
  <c r="M127" i="24"/>
  <c r="A127" i="24" s="1"/>
  <c r="K127" i="24"/>
  <c r="J127" i="24"/>
  <c r="I127" i="24"/>
  <c r="B127" i="24"/>
  <c r="M126" i="24"/>
  <c r="A126" i="24" s="1"/>
  <c r="J126" i="24"/>
  <c r="K126" i="24" s="1"/>
  <c r="I126" i="24"/>
  <c r="B126" i="24"/>
  <c r="J125" i="24"/>
  <c r="K125" i="24" s="1"/>
  <c r="I125" i="24"/>
  <c r="M125" i="24" s="1"/>
  <c r="B125" i="24"/>
  <c r="A125" i="24"/>
  <c r="J124" i="24"/>
  <c r="K124" i="24" s="1"/>
  <c r="I124" i="24"/>
  <c r="M124" i="24" s="1"/>
  <c r="A124" i="24" s="1"/>
  <c r="B124" i="24"/>
  <c r="M123" i="24"/>
  <c r="A123" i="24" s="1"/>
  <c r="K123" i="24"/>
  <c r="J123" i="24"/>
  <c r="I123" i="24"/>
  <c r="B123" i="24"/>
  <c r="J122" i="24"/>
  <c r="K122" i="24" s="1"/>
  <c r="I122" i="24"/>
  <c r="M122" i="24" s="1"/>
  <c r="A122" i="24" s="1"/>
  <c r="B122" i="24"/>
  <c r="K121" i="24"/>
  <c r="J121" i="24"/>
  <c r="I121" i="24"/>
  <c r="M121" i="24" s="1"/>
  <c r="A121" i="24" s="1"/>
  <c r="B121" i="24"/>
  <c r="J120" i="24"/>
  <c r="K120" i="24" s="1"/>
  <c r="I120" i="24"/>
  <c r="M120" i="24" s="1"/>
  <c r="B120" i="24"/>
  <c r="A120" i="24"/>
  <c r="M119" i="24"/>
  <c r="A119" i="24" s="1"/>
  <c r="K119" i="24"/>
  <c r="J119" i="24"/>
  <c r="I119" i="24"/>
  <c r="B119" i="24"/>
  <c r="M118" i="24"/>
  <c r="A118" i="24" s="1"/>
  <c r="K118" i="24"/>
  <c r="J118" i="24"/>
  <c r="I118" i="24"/>
  <c r="B118" i="24"/>
  <c r="J117" i="24"/>
  <c r="K117" i="24" s="1"/>
  <c r="I117" i="24"/>
  <c r="M117" i="24" s="1"/>
  <c r="B117" i="24"/>
  <c r="A117" i="24"/>
  <c r="J116" i="24"/>
  <c r="K116" i="24" s="1"/>
  <c r="I116" i="24"/>
  <c r="M116" i="24" s="1"/>
  <c r="A116" i="24" s="1"/>
  <c r="B116" i="24"/>
  <c r="M115" i="24"/>
  <c r="A115" i="24" s="1"/>
  <c r="K115" i="24"/>
  <c r="J115" i="24"/>
  <c r="I115" i="24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M111" i="24"/>
  <c r="K111" i="24"/>
  <c r="J111" i="24"/>
  <c r="I111" i="24"/>
  <c r="B111" i="24"/>
  <c r="A111" i="24"/>
  <c r="M110" i="24"/>
  <c r="A110" i="24" s="1"/>
  <c r="J110" i="24"/>
  <c r="K110" i="24" s="1"/>
  <c r="I110" i="24"/>
  <c r="B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M107" i="24"/>
  <c r="A107" i="24" s="1"/>
  <c r="K107" i="24"/>
  <c r="J107" i="24"/>
  <c r="I107" i="24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B104" i="24"/>
  <c r="A104" i="24"/>
  <c r="M103" i="24"/>
  <c r="A103" i="24" s="1"/>
  <c r="K103" i="24"/>
  <c r="J103" i="24"/>
  <c r="I103" i="24"/>
  <c r="B103" i="24"/>
  <c r="M102" i="24"/>
  <c r="A102" i="24" s="1"/>
  <c r="J102" i="24"/>
  <c r="K102" i="24" s="1"/>
  <c r="I102" i="24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M99" i="24"/>
  <c r="A99" i="24" s="1"/>
  <c r="K99" i="24"/>
  <c r="J99" i="24"/>
  <c r="I99" i="24"/>
  <c r="B99" i="24"/>
  <c r="J98" i="24"/>
  <c r="K98" i="24" s="1"/>
  <c r="I98" i="24"/>
  <c r="M98" i="24" s="1"/>
  <c r="A98" i="24" s="1"/>
  <c r="B98" i="24"/>
  <c r="K97" i="24"/>
  <c r="J97" i="24"/>
  <c r="I97" i="24"/>
  <c r="M97" i="24" s="1"/>
  <c r="A97" i="24" s="1"/>
  <c r="B97" i="24"/>
  <c r="J96" i="24"/>
  <c r="K96" i="24" s="1"/>
  <c r="I96" i="24"/>
  <c r="M96" i="24" s="1"/>
  <c r="B96" i="24"/>
  <c r="A96" i="24"/>
  <c r="M95" i="24"/>
  <c r="A95" i="24" s="1"/>
  <c r="K95" i="24"/>
  <c r="J95" i="24"/>
  <c r="I95" i="24"/>
  <c r="B95" i="24"/>
  <c r="M94" i="24"/>
  <c r="A94" i="24" s="1"/>
  <c r="J94" i="24"/>
  <c r="K94" i="24" s="1"/>
  <c r="I94" i="24"/>
  <c r="B94" i="24"/>
  <c r="J93" i="24"/>
  <c r="K93" i="24" s="1"/>
  <c r="I93" i="24"/>
  <c r="M93" i="24" s="1"/>
  <c r="B93" i="24"/>
  <c r="A93" i="24"/>
  <c r="J92" i="24"/>
  <c r="K92" i="24" s="1"/>
  <c r="I92" i="24"/>
  <c r="M92" i="24" s="1"/>
  <c r="A92" i="24" s="1"/>
  <c r="B92" i="24"/>
  <c r="M91" i="24"/>
  <c r="A91" i="24" s="1"/>
  <c r="K91" i="24"/>
  <c r="J91" i="24"/>
  <c r="I91" i="24"/>
  <c r="B91" i="24"/>
  <c r="J90" i="24"/>
  <c r="K90" i="24" s="1"/>
  <c r="I90" i="24"/>
  <c r="M90" i="24" s="1"/>
  <c r="A90" i="24" s="1"/>
  <c r="B90" i="24"/>
  <c r="K89" i="24"/>
  <c r="J89" i="24"/>
  <c r="I89" i="24"/>
  <c r="M89" i="24" s="1"/>
  <c r="A89" i="24" s="1"/>
  <c r="B89" i="24"/>
  <c r="J88" i="24"/>
  <c r="K88" i="24" s="1"/>
  <c r="I88" i="24"/>
  <c r="M88" i="24" s="1"/>
  <c r="B88" i="24"/>
  <c r="A88" i="24"/>
  <c r="M87" i="24"/>
  <c r="A87" i="24" s="1"/>
  <c r="K87" i="24"/>
  <c r="J87" i="24"/>
  <c r="I87" i="24"/>
  <c r="B87" i="24"/>
  <c r="M86" i="24"/>
  <c r="A86" i="24" s="1"/>
  <c r="J86" i="24"/>
  <c r="K86" i="24" s="1"/>
  <c r="I86" i="24"/>
  <c r="B86" i="24"/>
  <c r="J85" i="24"/>
  <c r="K85" i="24" s="1"/>
  <c r="I85" i="24"/>
  <c r="M85" i="24" s="1"/>
  <c r="B85" i="24"/>
  <c r="A85" i="24"/>
  <c r="J84" i="24"/>
  <c r="K84" i="24" s="1"/>
  <c r="I84" i="24"/>
  <c r="M84" i="24" s="1"/>
  <c r="A84" i="24" s="1"/>
  <c r="B84" i="24"/>
  <c r="M83" i="24"/>
  <c r="A83" i="24" s="1"/>
  <c r="K83" i="24"/>
  <c r="J83" i="24"/>
  <c r="I83" i="24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M79" i="24"/>
  <c r="K79" i="24"/>
  <c r="J79" i="24"/>
  <c r="I79" i="24"/>
  <c r="B79" i="24"/>
  <c r="A79" i="24"/>
  <c r="M78" i="24"/>
  <c r="A78" i="24" s="1"/>
  <c r="J78" i="24"/>
  <c r="K78" i="24" s="1"/>
  <c r="I78" i="24"/>
  <c r="B78" i="24"/>
  <c r="J77" i="24"/>
  <c r="K77" i="24" s="1"/>
  <c r="I77" i="24"/>
  <c r="M77" i="24" s="1"/>
  <c r="B77" i="24"/>
  <c r="A77" i="24"/>
  <c r="J76" i="24"/>
  <c r="K76" i="24" s="1"/>
  <c r="I76" i="24"/>
  <c r="M76" i="24" s="1"/>
  <c r="A76" i="24" s="1"/>
  <c r="B76" i="24"/>
  <c r="M75" i="24"/>
  <c r="A75" i="24" s="1"/>
  <c r="K75" i="24"/>
  <c r="J75" i="24"/>
  <c r="I75" i="24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M71" i="24"/>
  <c r="A71" i="24" s="1"/>
  <c r="K71" i="24"/>
  <c r="J71" i="24"/>
  <c r="I71" i="24"/>
  <c r="B71" i="24"/>
  <c r="M70" i="24"/>
  <c r="A70" i="24" s="1"/>
  <c r="J70" i="24"/>
  <c r="K70" i="24" s="1"/>
  <c r="I70" i="24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M67" i="24"/>
  <c r="A67" i="24" s="1"/>
  <c r="K67" i="24"/>
  <c r="J67" i="24"/>
  <c r="I67" i="24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M63" i="24"/>
  <c r="A63" i="24" s="1"/>
  <c r="K63" i="24"/>
  <c r="J63" i="24"/>
  <c r="I63" i="24"/>
  <c r="B63" i="24"/>
  <c r="M62" i="24"/>
  <c r="A62" i="24" s="1"/>
  <c r="J62" i="24"/>
  <c r="K62" i="24" s="1"/>
  <c r="I62" i="24"/>
  <c r="B62" i="24"/>
  <c r="J61" i="24"/>
  <c r="K61" i="24" s="1"/>
  <c r="I61" i="24"/>
  <c r="M61" i="24" s="1"/>
  <c r="B61" i="24"/>
  <c r="A61" i="24"/>
  <c r="J60" i="24"/>
  <c r="K60" i="24" s="1"/>
  <c r="I60" i="24"/>
  <c r="M60" i="24" s="1"/>
  <c r="A60" i="24" s="1"/>
  <c r="B60" i="24"/>
  <c r="M59" i="24"/>
  <c r="A59" i="24" s="1"/>
  <c r="K59" i="24"/>
  <c r="J59" i="24"/>
  <c r="I59" i="24"/>
  <c r="B59" i="24"/>
  <c r="J58" i="24"/>
  <c r="K58" i="24" s="1"/>
  <c r="I58" i="24"/>
  <c r="M58" i="24" s="1"/>
  <c r="A58" i="24" s="1"/>
  <c r="B58" i="24"/>
  <c r="K57" i="24"/>
  <c r="J57" i="24"/>
  <c r="I57" i="24"/>
  <c r="M57" i="24" s="1"/>
  <c r="A57" i="24" s="1"/>
  <c r="B57" i="24"/>
  <c r="J56" i="24"/>
  <c r="K56" i="24" s="1"/>
  <c r="I56" i="24"/>
  <c r="M56" i="24" s="1"/>
  <c r="B56" i="24"/>
  <c r="A56" i="24"/>
  <c r="M55" i="24"/>
  <c r="A55" i="24" s="1"/>
  <c r="K55" i="24"/>
  <c r="J55" i="24"/>
  <c r="I55" i="24"/>
  <c r="B55" i="24"/>
  <c r="M54" i="24"/>
  <c r="A54" i="24" s="1"/>
  <c r="J54" i="24"/>
  <c r="K54" i="24" s="1"/>
  <c r="I54" i="24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M51" i="24"/>
  <c r="A51" i="24" s="1"/>
  <c r="K51" i="24"/>
  <c r="J51" i="24"/>
  <c r="I51" i="24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M47" i="24"/>
  <c r="K47" i="24"/>
  <c r="J47" i="24"/>
  <c r="I47" i="24"/>
  <c r="B47" i="24"/>
  <c r="A47" i="24"/>
  <c r="M46" i="24"/>
  <c r="A46" i="24" s="1"/>
  <c r="J46" i="24"/>
  <c r="K46" i="24" s="1"/>
  <c r="I46" i="24"/>
  <c r="B46" i="24"/>
  <c r="J45" i="24"/>
  <c r="K45" i="24" s="1"/>
  <c r="I45" i="24"/>
  <c r="M45" i="24" s="1"/>
  <c r="B45" i="24"/>
  <c r="A45" i="24"/>
  <c r="J44" i="24"/>
  <c r="K44" i="24" s="1"/>
  <c r="I44" i="24"/>
  <c r="M44" i="24" s="1"/>
  <c r="A44" i="24" s="1"/>
  <c r="B44" i="24"/>
  <c r="M43" i="24"/>
  <c r="A43" i="24" s="1"/>
  <c r="K43" i="24"/>
  <c r="J43" i="24"/>
  <c r="I43" i="24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A41" i="24" s="1"/>
  <c r="B41" i="24"/>
  <c r="J40" i="24"/>
  <c r="K40" i="24" s="1"/>
  <c r="I40" i="24"/>
  <c r="M40" i="24" s="1"/>
  <c r="B40" i="24"/>
  <c r="A40" i="24"/>
  <c r="M39" i="24"/>
  <c r="A39" i="24" s="1"/>
  <c r="K39" i="24"/>
  <c r="J39" i="24"/>
  <c r="I39" i="24"/>
  <c r="B39" i="24"/>
  <c r="M38" i="24"/>
  <c r="A38" i="24" s="1"/>
  <c r="J38" i="24"/>
  <c r="K38" i="24" s="1"/>
  <c r="I38" i="24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M35" i="24"/>
  <c r="A35" i="24" s="1"/>
  <c r="K35" i="24"/>
  <c r="J35" i="24"/>
  <c r="I35" i="24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B32" i="24"/>
  <c r="A32" i="24"/>
  <c r="M31" i="24"/>
  <c r="A31" i="24" s="1"/>
  <c r="K31" i="24"/>
  <c r="J31" i="24"/>
  <c r="I31" i="24"/>
  <c r="B31" i="24"/>
  <c r="M30" i="24"/>
  <c r="A30" i="24" s="1"/>
  <c r="J30" i="24"/>
  <c r="K30" i="24" s="1"/>
  <c r="I30" i="24"/>
  <c r="B30" i="24"/>
  <c r="J29" i="24"/>
  <c r="K29" i="24" s="1"/>
  <c r="I29" i="24"/>
  <c r="M29" i="24" s="1"/>
  <c r="B29" i="24"/>
  <c r="A29" i="24"/>
  <c r="J28" i="24"/>
  <c r="K28" i="24" s="1"/>
  <c r="I28" i="24"/>
  <c r="M28" i="24" s="1"/>
  <c r="A28" i="24" s="1"/>
  <c r="B28" i="24"/>
  <c r="M27" i="24"/>
  <c r="A27" i="24" s="1"/>
  <c r="K27" i="24"/>
  <c r="J27" i="24"/>
  <c r="I27" i="24"/>
  <c r="B27" i="24"/>
  <c r="J26" i="24"/>
  <c r="K26" i="24" s="1"/>
  <c r="I26" i="24"/>
  <c r="M26" i="24" s="1"/>
  <c r="A26" i="24" s="1"/>
  <c r="B26" i="24"/>
  <c r="K25" i="24"/>
  <c r="J25" i="24"/>
  <c r="I25" i="24"/>
  <c r="M25" i="24" s="1"/>
  <c r="A25" i="24" s="1"/>
  <c r="B25" i="24"/>
  <c r="J24" i="24"/>
  <c r="K24" i="24" s="1"/>
  <c r="I24" i="24"/>
  <c r="M24" i="24" s="1"/>
  <c r="B24" i="24"/>
  <c r="A24" i="24"/>
  <c r="M23" i="24"/>
  <c r="A23" i="24" s="1"/>
  <c r="K23" i="24"/>
  <c r="J23" i="24"/>
  <c r="I23" i="24"/>
  <c r="B23" i="24"/>
  <c r="M22" i="24"/>
  <c r="A22" i="24" s="1"/>
  <c r="J22" i="24"/>
  <c r="K22" i="24" s="1"/>
  <c r="I22" i="24"/>
  <c r="B22" i="24"/>
  <c r="J21" i="24"/>
  <c r="K21" i="24" s="1"/>
  <c r="I21" i="24"/>
  <c r="M21" i="24" s="1"/>
  <c r="B21" i="24"/>
  <c r="A21" i="24"/>
  <c r="J20" i="24"/>
  <c r="K20" i="24" s="1"/>
  <c r="I20" i="24"/>
  <c r="M20" i="24" s="1"/>
  <c r="A20" i="24" s="1"/>
  <c r="B20" i="24"/>
  <c r="M19" i="24"/>
  <c r="A19" i="24" s="1"/>
  <c r="K19" i="24"/>
  <c r="J19" i="24"/>
  <c r="I19" i="24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J16" i="24"/>
  <c r="K16" i="24" s="1"/>
  <c r="I16" i="24"/>
  <c r="M16" i="24" s="1"/>
  <c r="A16" i="24" s="1"/>
  <c r="B16" i="24"/>
  <c r="M15" i="24"/>
  <c r="K15" i="24"/>
  <c r="J15" i="24"/>
  <c r="I15" i="24"/>
  <c r="B15" i="24"/>
  <c r="A15" i="24"/>
  <c r="AI14" i="24"/>
  <c r="M14" i="24"/>
  <c r="K14" i="24"/>
  <c r="J14" i="24"/>
  <c r="I14" i="24"/>
  <c r="B14" i="24"/>
  <c r="A14" i="24"/>
  <c r="AI13" i="24"/>
  <c r="M13" i="24"/>
  <c r="A13" i="24" s="1"/>
  <c r="J13" i="24"/>
  <c r="K13" i="24" s="1"/>
  <c r="I13" i="24"/>
  <c r="B13" i="24"/>
  <c r="AI12" i="24"/>
  <c r="M12" i="24"/>
  <c r="A12" i="24" s="1"/>
  <c r="J12" i="24"/>
  <c r="K12" i="24" s="1"/>
  <c r="I12" i="24"/>
  <c r="B12" i="24"/>
  <c r="J11" i="24"/>
  <c r="K11" i="24" s="1"/>
  <c r="I11" i="24"/>
  <c r="M11" i="24" s="1"/>
  <c r="B11" i="24"/>
  <c r="A11" i="24"/>
  <c r="J10" i="24"/>
  <c r="K10" i="24" s="1"/>
  <c r="I10" i="24"/>
  <c r="M10" i="24" s="1"/>
  <c r="A10" i="24" s="1"/>
  <c r="B10" i="24"/>
  <c r="K9" i="24"/>
  <c r="J9" i="24"/>
  <c r="I9" i="24"/>
  <c r="M9" i="24" s="1"/>
  <c r="B9" i="24"/>
  <c r="A9" i="24"/>
  <c r="M8" i="24"/>
  <c r="K8" i="24"/>
  <c r="J8" i="24"/>
  <c r="I8" i="24"/>
  <c r="B8" i="24"/>
  <c r="A8" i="24"/>
  <c r="M7" i="24"/>
  <c r="A7" i="24" s="1"/>
  <c r="K7" i="24"/>
  <c r="J7" i="24"/>
  <c r="I7" i="24"/>
  <c r="B7" i="24"/>
  <c r="M6" i="24"/>
  <c r="A6" i="24" s="1"/>
  <c r="J6" i="24"/>
  <c r="K6" i="24" s="1"/>
  <c r="I6" i="24"/>
  <c r="B6" i="24"/>
  <c r="K2" i="24"/>
  <c r="M305" i="23"/>
  <c r="J305" i="23"/>
  <c r="K305" i="23" s="1"/>
  <c r="I305" i="23"/>
  <c r="K304" i="23"/>
  <c r="J304" i="23"/>
  <c r="I304" i="23"/>
  <c r="M304" i="23" s="1"/>
  <c r="M303" i="23"/>
  <c r="J303" i="23"/>
  <c r="K303" i="23" s="1"/>
  <c r="I303" i="23"/>
  <c r="K302" i="23"/>
  <c r="J302" i="23"/>
  <c r="I302" i="23"/>
  <c r="M302" i="23" s="1"/>
  <c r="M301" i="23"/>
  <c r="K301" i="23"/>
  <c r="J301" i="23"/>
  <c r="I301" i="23"/>
  <c r="K300" i="23"/>
  <c r="J300" i="23"/>
  <c r="I300" i="23"/>
  <c r="M300" i="23" s="1"/>
  <c r="M299" i="23"/>
  <c r="J299" i="23"/>
  <c r="K299" i="23" s="1"/>
  <c r="I299" i="23"/>
  <c r="K298" i="23"/>
  <c r="J298" i="23"/>
  <c r="I298" i="23"/>
  <c r="M298" i="23" s="1"/>
  <c r="M297" i="23"/>
  <c r="J297" i="23"/>
  <c r="K297" i="23" s="1"/>
  <c r="I297" i="23"/>
  <c r="K296" i="23"/>
  <c r="J296" i="23"/>
  <c r="I296" i="23"/>
  <c r="M296" i="23" s="1"/>
  <c r="M295" i="23"/>
  <c r="J295" i="23"/>
  <c r="K295" i="23" s="1"/>
  <c r="I295" i="23"/>
  <c r="K294" i="23"/>
  <c r="J294" i="23"/>
  <c r="I294" i="23"/>
  <c r="M294" i="23" s="1"/>
  <c r="M293" i="23"/>
  <c r="J293" i="23"/>
  <c r="K293" i="23" s="1"/>
  <c r="I293" i="23"/>
  <c r="K292" i="23"/>
  <c r="J292" i="23"/>
  <c r="I292" i="23"/>
  <c r="M292" i="23" s="1"/>
  <c r="M291" i="23"/>
  <c r="J291" i="23"/>
  <c r="K291" i="23" s="1"/>
  <c r="I291" i="23"/>
  <c r="J290" i="23"/>
  <c r="K290" i="23" s="1"/>
  <c r="I290" i="23"/>
  <c r="M290" i="23" s="1"/>
  <c r="M289" i="23"/>
  <c r="J289" i="23"/>
  <c r="K289" i="23" s="1"/>
  <c r="I289" i="23"/>
  <c r="M288" i="23"/>
  <c r="J288" i="23"/>
  <c r="K288" i="23" s="1"/>
  <c r="I288" i="23"/>
  <c r="M287" i="23"/>
  <c r="K287" i="23"/>
  <c r="J287" i="23"/>
  <c r="I287" i="23"/>
  <c r="M286" i="23"/>
  <c r="J286" i="23"/>
  <c r="K286" i="23" s="1"/>
  <c r="I286" i="23"/>
  <c r="J285" i="23"/>
  <c r="K285" i="23" s="1"/>
  <c r="I285" i="23"/>
  <c r="M285" i="23" s="1"/>
  <c r="M284" i="23"/>
  <c r="J284" i="23"/>
  <c r="K284" i="23" s="1"/>
  <c r="I284" i="23"/>
  <c r="J283" i="23"/>
  <c r="K283" i="23" s="1"/>
  <c r="I283" i="23"/>
  <c r="M283" i="23" s="1"/>
  <c r="J282" i="23"/>
  <c r="K282" i="23" s="1"/>
  <c r="I282" i="23"/>
  <c r="M282" i="23" s="1"/>
  <c r="K281" i="23"/>
  <c r="J281" i="23"/>
  <c r="I281" i="23"/>
  <c r="M281" i="23" s="1"/>
  <c r="J280" i="23"/>
  <c r="K280" i="23" s="1"/>
  <c r="I280" i="23"/>
  <c r="M280" i="23" s="1"/>
  <c r="M279" i="23"/>
  <c r="J279" i="23"/>
  <c r="K279" i="23" s="1"/>
  <c r="I279" i="23"/>
  <c r="J278" i="23"/>
  <c r="K278" i="23" s="1"/>
  <c r="I278" i="23"/>
  <c r="M278" i="23" s="1"/>
  <c r="M277" i="23"/>
  <c r="K277" i="23"/>
  <c r="J277" i="23"/>
  <c r="I277" i="23"/>
  <c r="J276" i="23"/>
  <c r="K276" i="23" s="1"/>
  <c r="I276" i="23"/>
  <c r="M276" i="23" s="1"/>
  <c r="M275" i="23"/>
  <c r="J275" i="23"/>
  <c r="K275" i="23" s="1"/>
  <c r="I275" i="23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M271" i="23"/>
  <c r="J271" i="23"/>
  <c r="K271" i="23" s="1"/>
  <c r="I271" i="23"/>
  <c r="M270" i="23"/>
  <c r="J270" i="23"/>
  <c r="K270" i="23" s="1"/>
  <c r="I270" i="23"/>
  <c r="J269" i="23"/>
  <c r="K269" i="23" s="1"/>
  <c r="I269" i="23"/>
  <c r="M269" i="23" s="1"/>
  <c r="M268" i="23"/>
  <c r="J268" i="23"/>
  <c r="K268" i="23" s="1"/>
  <c r="I268" i="23"/>
  <c r="J267" i="23"/>
  <c r="K267" i="23" s="1"/>
  <c r="I267" i="23"/>
  <c r="M267" i="23" s="1"/>
  <c r="M266" i="23"/>
  <c r="J266" i="23"/>
  <c r="K266" i="23" s="1"/>
  <c r="I266" i="23"/>
  <c r="K265" i="23"/>
  <c r="J265" i="23"/>
  <c r="I265" i="23"/>
  <c r="M265" i="23" s="1"/>
  <c r="J264" i="23"/>
  <c r="K264" i="23" s="1"/>
  <c r="I264" i="23"/>
  <c r="M264" i="23" s="1"/>
  <c r="M263" i="23"/>
  <c r="J263" i="23"/>
  <c r="K263" i="23" s="1"/>
  <c r="I263" i="23"/>
  <c r="J262" i="23"/>
  <c r="K262" i="23" s="1"/>
  <c r="I262" i="23"/>
  <c r="M262" i="23" s="1"/>
  <c r="M261" i="23"/>
  <c r="K261" i="23"/>
  <c r="J261" i="23"/>
  <c r="I261" i="23"/>
  <c r="J260" i="23"/>
  <c r="K260" i="23" s="1"/>
  <c r="I260" i="23"/>
  <c r="M260" i="23" s="1"/>
  <c r="M259" i="23"/>
  <c r="J259" i="23"/>
  <c r="K259" i="23" s="1"/>
  <c r="I259" i="23"/>
  <c r="J258" i="23"/>
  <c r="K258" i="23" s="1"/>
  <c r="I258" i="23"/>
  <c r="M258" i="23" s="1"/>
  <c r="J257" i="23"/>
  <c r="K257" i="23" s="1"/>
  <c r="I257" i="23"/>
  <c r="M257" i="23" s="1"/>
  <c r="M256" i="23"/>
  <c r="J256" i="23"/>
  <c r="K256" i="23" s="1"/>
  <c r="I256" i="23"/>
  <c r="J255" i="23"/>
  <c r="K255" i="23" s="1"/>
  <c r="I255" i="23"/>
  <c r="M255" i="23" s="1"/>
  <c r="M254" i="23"/>
  <c r="J254" i="23"/>
  <c r="K254" i="23" s="1"/>
  <c r="I254" i="23"/>
  <c r="K253" i="23"/>
  <c r="J253" i="23"/>
  <c r="I253" i="23"/>
  <c r="M253" i="23" s="1"/>
  <c r="M252" i="23"/>
  <c r="J252" i="23"/>
  <c r="K252" i="23" s="1"/>
  <c r="I252" i="23"/>
  <c r="J251" i="23"/>
  <c r="K251" i="23" s="1"/>
  <c r="I251" i="23"/>
  <c r="M251" i="23" s="1"/>
  <c r="M250" i="23"/>
  <c r="J250" i="23"/>
  <c r="K250" i="23" s="1"/>
  <c r="I250" i="23"/>
  <c r="K249" i="23"/>
  <c r="J249" i="23"/>
  <c r="I249" i="23"/>
  <c r="M249" i="23" s="1"/>
  <c r="J248" i="23"/>
  <c r="K248" i="23" s="1"/>
  <c r="I248" i="23"/>
  <c r="M248" i="23" s="1"/>
  <c r="M247" i="23"/>
  <c r="J247" i="23"/>
  <c r="K247" i="23" s="1"/>
  <c r="I247" i="23"/>
  <c r="J246" i="23"/>
  <c r="K246" i="23" s="1"/>
  <c r="I246" i="23"/>
  <c r="M246" i="23" s="1"/>
  <c r="M245" i="23"/>
  <c r="K245" i="23"/>
  <c r="J245" i="23"/>
  <c r="I245" i="23"/>
  <c r="J244" i="23"/>
  <c r="K244" i="23" s="1"/>
  <c r="I244" i="23"/>
  <c r="M244" i="23" s="1"/>
  <c r="M243" i="23"/>
  <c r="J243" i="23"/>
  <c r="K243" i="23" s="1"/>
  <c r="I243" i="23"/>
  <c r="J242" i="23"/>
  <c r="K242" i="23" s="1"/>
  <c r="I242" i="23"/>
  <c r="M242" i="23" s="1"/>
  <c r="J241" i="23"/>
  <c r="K241" i="23" s="1"/>
  <c r="I241" i="23"/>
  <c r="M241" i="23" s="1"/>
  <c r="M240" i="23"/>
  <c r="J240" i="23"/>
  <c r="K240" i="23" s="1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M236" i="23"/>
  <c r="J236" i="23"/>
  <c r="K236" i="23" s="1"/>
  <c r="I236" i="23"/>
  <c r="J235" i="23"/>
  <c r="K235" i="23" s="1"/>
  <c r="I235" i="23"/>
  <c r="M235" i="23" s="1"/>
  <c r="J234" i="23"/>
  <c r="K234" i="23" s="1"/>
  <c r="I234" i="23"/>
  <c r="M234" i="23" s="1"/>
  <c r="K233" i="23"/>
  <c r="J233" i="23"/>
  <c r="I233" i="23"/>
  <c r="M233" i="23" s="1"/>
  <c r="M232" i="23"/>
  <c r="J232" i="23"/>
  <c r="K232" i="23" s="1"/>
  <c r="I232" i="23"/>
  <c r="M231" i="23"/>
  <c r="J231" i="23"/>
  <c r="K231" i="23" s="1"/>
  <c r="I231" i="23"/>
  <c r="J230" i="23"/>
  <c r="K230" i="23" s="1"/>
  <c r="I230" i="23"/>
  <c r="M230" i="23" s="1"/>
  <c r="M229" i="23"/>
  <c r="K229" i="23"/>
  <c r="J229" i="23"/>
  <c r="I229" i="23"/>
  <c r="J228" i="23"/>
  <c r="K228" i="23" s="1"/>
  <c r="I228" i="23"/>
  <c r="M228" i="23" s="1"/>
  <c r="M227" i="23"/>
  <c r="K227" i="23"/>
  <c r="J227" i="23"/>
  <c r="I227" i="23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J223" i="23"/>
  <c r="K223" i="23" s="1"/>
  <c r="I223" i="23"/>
  <c r="M223" i="23" s="1"/>
  <c r="M222" i="23"/>
  <c r="J222" i="23"/>
  <c r="K222" i="23" s="1"/>
  <c r="I222" i="23"/>
  <c r="J221" i="23"/>
  <c r="K221" i="23" s="1"/>
  <c r="I221" i="23"/>
  <c r="M221" i="23" s="1"/>
  <c r="M220" i="23"/>
  <c r="J220" i="23"/>
  <c r="K220" i="23" s="1"/>
  <c r="I220" i="23"/>
  <c r="J219" i="23"/>
  <c r="K219" i="23" s="1"/>
  <c r="I219" i="23"/>
  <c r="M219" i="23" s="1"/>
  <c r="J218" i="23"/>
  <c r="K218" i="23" s="1"/>
  <c r="I218" i="23"/>
  <c r="M218" i="23" s="1"/>
  <c r="K217" i="23"/>
  <c r="J217" i="23"/>
  <c r="I217" i="23"/>
  <c r="M217" i="23" s="1"/>
  <c r="M216" i="23"/>
  <c r="J216" i="23"/>
  <c r="K216" i="23" s="1"/>
  <c r="I216" i="23"/>
  <c r="M215" i="23"/>
  <c r="J215" i="23"/>
  <c r="K215" i="23" s="1"/>
  <c r="I215" i="23"/>
  <c r="J214" i="23"/>
  <c r="K214" i="23" s="1"/>
  <c r="I214" i="23"/>
  <c r="M214" i="23" s="1"/>
  <c r="M213" i="23"/>
  <c r="K213" i="23"/>
  <c r="J213" i="23"/>
  <c r="I213" i="23"/>
  <c r="J212" i="23"/>
  <c r="K212" i="23" s="1"/>
  <c r="I212" i="23"/>
  <c r="M212" i="23" s="1"/>
  <c r="M211" i="23"/>
  <c r="K211" i="23"/>
  <c r="J211" i="23"/>
  <c r="I211" i="23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K207" i="23"/>
  <c r="J207" i="23"/>
  <c r="I207" i="23"/>
  <c r="M207" i="23" s="1"/>
  <c r="M206" i="23"/>
  <c r="J206" i="23"/>
  <c r="K206" i="23" s="1"/>
  <c r="I206" i="23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K201" i="23"/>
  <c r="J201" i="23"/>
  <c r="I201" i="23"/>
  <c r="M201" i="23" s="1"/>
  <c r="J200" i="23"/>
  <c r="K200" i="23" s="1"/>
  <c r="I200" i="23"/>
  <c r="M200" i="23" s="1"/>
  <c r="M199" i="23"/>
  <c r="J199" i="23"/>
  <c r="K199" i="23" s="1"/>
  <c r="I199" i="23"/>
  <c r="M198" i="23"/>
  <c r="J198" i="23"/>
  <c r="K198" i="23" s="1"/>
  <c r="I198" i="23"/>
  <c r="M197" i="23"/>
  <c r="K197" i="23"/>
  <c r="J197" i="23"/>
  <c r="I197" i="23"/>
  <c r="J196" i="23"/>
  <c r="K196" i="23" s="1"/>
  <c r="I196" i="23"/>
  <c r="M196" i="23" s="1"/>
  <c r="M195" i="23"/>
  <c r="J195" i="23"/>
  <c r="K195" i="23" s="1"/>
  <c r="I195" i="23"/>
  <c r="J194" i="23"/>
  <c r="K194" i="23" s="1"/>
  <c r="I194" i="23"/>
  <c r="M194" i="23" s="1"/>
  <c r="M193" i="23"/>
  <c r="J193" i="23"/>
  <c r="K193" i="23" s="1"/>
  <c r="I193" i="23"/>
  <c r="M192" i="23"/>
  <c r="J192" i="23"/>
  <c r="K192" i="23" s="1"/>
  <c r="I192" i="23"/>
  <c r="J191" i="23"/>
  <c r="K191" i="23" s="1"/>
  <c r="I191" i="23"/>
  <c r="M191" i="23" s="1"/>
  <c r="M190" i="23"/>
  <c r="J190" i="23"/>
  <c r="K190" i="23" s="1"/>
  <c r="I190" i="23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J186" i="23"/>
  <c r="K186" i="23" s="1"/>
  <c r="I186" i="23"/>
  <c r="M186" i="23" s="1"/>
  <c r="K185" i="23"/>
  <c r="J185" i="23"/>
  <c r="I185" i="23"/>
  <c r="M185" i="23" s="1"/>
  <c r="J184" i="23"/>
  <c r="K184" i="23" s="1"/>
  <c r="I184" i="23"/>
  <c r="M184" i="23" s="1"/>
  <c r="M183" i="23"/>
  <c r="J183" i="23"/>
  <c r="K183" i="23" s="1"/>
  <c r="I183" i="23"/>
  <c r="M182" i="23"/>
  <c r="J182" i="23"/>
  <c r="K182" i="23" s="1"/>
  <c r="I182" i="23"/>
  <c r="M181" i="23"/>
  <c r="K181" i="23"/>
  <c r="J181" i="23"/>
  <c r="I181" i="23"/>
  <c r="J180" i="23"/>
  <c r="K180" i="23" s="1"/>
  <c r="I180" i="23"/>
  <c r="M180" i="23" s="1"/>
  <c r="M179" i="23"/>
  <c r="J179" i="23"/>
  <c r="K179" i="23" s="1"/>
  <c r="I179" i="23"/>
  <c r="J178" i="23"/>
  <c r="K178" i="23" s="1"/>
  <c r="I178" i="23"/>
  <c r="M178" i="23" s="1"/>
  <c r="M177" i="23"/>
  <c r="K177" i="23"/>
  <c r="J177" i="23"/>
  <c r="I177" i="23"/>
  <c r="M176" i="23"/>
  <c r="J176" i="23"/>
  <c r="K176" i="23" s="1"/>
  <c r="I176" i="23"/>
  <c r="M175" i="23"/>
  <c r="J175" i="23"/>
  <c r="K175" i="23" s="1"/>
  <c r="I175" i="23"/>
  <c r="M174" i="23"/>
  <c r="J174" i="23"/>
  <c r="K174" i="23" s="1"/>
  <c r="I174" i="23"/>
  <c r="K173" i="23"/>
  <c r="J173" i="23"/>
  <c r="I173" i="23"/>
  <c r="M173" i="23" s="1"/>
  <c r="M172" i="23"/>
  <c r="J172" i="23"/>
  <c r="K172" i="23" s="1"/>
  <c r="I172" i="23"/>
  <c r="J171" i="23"/>
  <c r="K171" i="23" s="1"/>
  <c r="I171" i="23"/>
  <c r="M171" i="23" s="1"/>
  <c r="M170" i="23"/>
  <c r="J170" i="23"/>
  <c r="K170" i="23" s="1"/>
  <c r="I170" i="23"/>
  <c r="K169" i="23"/>
  <c r="J169" i="23"/>
  <c r="I169" i="23"/>
  <c r="M169" i="23" s="1"/>
  <c r="J168" i="23"/>
  <c r="K168" i="23" s="1"/>
  <c r="I168" i="23"/>
  <c r="M168" i="23" s="1"/>
  <c r="M167" i="23"/>
  <c r="J167" i="23"/>
  <c r="K167" i="23" s="1"/>
  <c r="I167" i="23"/>
  <c r="J166" i="23"/>
  <c r="K166" i="23" s="1"/>
  <c r="I166" i="23"/>
  <c r="M166" i="23" s="1"/>
  <c r="M165" i="23"/>
  <c r="K165" i="23"/>
  <c r="J165" i="23"/>
  <c r="I165" i="23"/>
  <c r="J164" i="23"/>
  <c r="K164" i="23" s="1"/>
  <c r="I164" i="23"/>
  <c r="M164" i="23" s="1"/>
  <c r="M163" i="23"/>
  <c r="J163" i="23"/>
  <c r="K163" i="23" s="1"/>
  <c r="I163" i="23"/>
  <c r="J162" i="23"/>
  <c r="K162" i="23" s="1"/>
  <c r="I162" i="23"/>
  <c r="M162" i="23" s="1"/>
  <c r="M161" i="23"/>
  <c r="J161" i="23"/>
  <c r="K161" i="23" s="1"/>
  <c r="I161" i="23"/>
  <c r="M160" i="23"/>
  <c r="J160" i="23"/>
  <c r="K160" i="23" s="1"/>
  <c r="I160" i="23"/>
  <c r="M159" i="23"/>
  <c r="K159" i="23"/>
  <c r="J159" i="23"/>
  <c r="I159" i="23"/>
  <c r="M158" i="23"/>
  <c r="J158" i="23"/>
  <c r="K158" i="23" s="1"/>
  <c r="I158" i="23"/>
  <c r="J157" i="23"/>
  <c r="K157" i="23" s="1"/>
  <c r="I157" i="23"/>
  <c r="M157" i="23" s="1"/>
  <c r="M156" i="23"/>
  <c r="J156" i="23"/>
  <c r="K156" i="23" s="1"/>
  <c r="I156" i="23"/>
  <c r="J155" i="23"/>
  <c r="K155" i="23" s="1"/>
  <c r="I155" i="23"/>
  <c r="M155" i="23" s="1"/>
  <c r="J154" i="23"/>
  <c r="K154" i="23" s="1"/>
  <c r="I154" i="23"/>
  <c r="M154" i="23" s="1"/>
  <c r="K153" i="23"/>
  <c r="J153" i="23"/>
  <c r="I153" i="23"/>
  <c r="M153" i="23" s="1"/>
  <c r="J152" i="23"/>
  <c r="K152" i="23" s="1"/>
  <c r="I152" i="23"/>
  <c r="M152" i="23" s="1"/>
  <c r="M151" i="23"/>
  <c r="J151" i="23"/>
  <c r="K151" i="23" s="1"/>
  <c r="I151" i="23"/>
  <c r="J150" i="23"/>
  <c r="K150" i="23" s="1"/>
  <c r="I150" i="23"/>
  <c r="M150" i="23" s="1"/>
  <c r="M149" i="23"/>
  <c r="K149" i="23"/>
  <c r="J149" i="23"/>
  <c r="I149" i="23"/>
  <c r="J148" i="23"/>
  <c r="K148" i="23" s="1"/>
  <c r="I148" i="23"/>
  <c r="M148" i="23" s="1"/>
  <c r="M147" i="23"/>
  <c r="J147" i="23"/>
  <c r="K147" i="23" s="1"/>
  <c r="I147" i="23"/>
  <c r="J146" i="23"/>
  <c r="K146" i="23" s="1"/>
  <c r="I146" i="23"/>
  <c r="M146" i="23" s="1"/>
  <c r="J145" i="23"/>
  <c r="K145" i="23" s="1"/>
  <c r="I145" i="23"/>
  <c r="M145" i="23" s="1"/>
  <c r="M144" i="23"/>
  <c r="J144" i="23"/>
  <c r="K144" i="23" s="1"/>
  <c r="I144" i="23"/>
  <c r="M143" i="23"/>
  <c r="J143" i="23"/>
  <c r="K143" i="23" s="1"/>
  <c r="I143" i="23"/>
  <c r="M142" i="23"/>
  <c r="J142" i="23"/>
  <c r="K142" i="23" s="1"/>
  <c r="I142" i="23"/>
  <c r="K141" i="23"/>
  <c r="J141" i="23"/>
  <c r="I141" i="23"/>
  <c r="M141" i="23" s="1"/>
  <c r="M140" i="23"/>
  <c r="J140" i="23"/>
  <c r="K140" i="23" s="1"/>
  <c r="I140" i="23"/>
  <c r="J139" i="23"/>
  <c r="K139" i="23" s="1"/>
  <c r="I139" i="23"/>
  <c r="M139" i="23" s="1"/>
  <c r="M138" i="23"/>
  <c r="J138" i="23"/>
  <c r="K138" i="23" s="1"/>
  <c r="I138" i="23"/>
  <c r="K137" i="23"/>
  <c r="J137" i="23"/>
  <c r="I137" i="23"/>
  <c r="M137" i="23" s="1"/>
  <c r="J136" i="23"/>
  <c r="K136" i="23" s="1"/>
  <c r="I136" i="23"/>
  <c r="M136" i="23" s="1"/>
  <c r="M135" i="23"/>
  <c r="J135" i="23"/>
  <c r="K135" i="23" s="1"/>
  <c r="I135" i="23"/>
  <c r="J134" i="23"/>
  <c r="K134" i="23" s="1"/>
  <c r="I134" i="23"/>
  <c r="M134" i="23" s="1"/>
  <c r="M133" i="23"/>
  <c r="K133" i="23"/>
  <c r="J133" i="23"/>
  <c r="I133" i="23"/>
  <c r="J132" i="23"/>
  <c r="K132" i="23" s="1"/>
  <c r="I132" i="23"/>
  <c r="M132" i="23" s="1"/>
  <c r="M131" i="23"/>
  <c r="J131" i="23"/>
  <c r="K131" i="23" s="1"/>
  <c r="I131" i="23"/>
  <c r="J130" i="23"/>
  <c r="K130" i="23" s="1"/>
  <c r="I130" i="23"/>
  <c r="M130" i="23" s="1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M126" i="23"/>
  <c r="J126" i="23"/>
  <c r="K126" i="23" s="1"/>
  <c r="I126" i="23"/>
  <c r="K125" i="23"/>
  <c r="J125" i="23"/>
  <c r="I125" i="23"/>
  <c r="M125" i="23" s="1"/>
  <c r="M124" i="23"/>
  <c r="J124" i="23"/>
  <c r="K124" i="23" s="1"/>
  <c r="I124" i="23"/>
  <c r="J123" i="23"/>
  <c r="K123" i="23" s="1"/>
  <c r="I123" i="23"/>
  <c r="M123" i="23" s="1"/>
  <c r="M122" i="23"/>
  <c r="J122" i="23"/>
  <c r="K122" i="23" s="1"/>
  <c r="I122" i="23"/>
  <c r="K121" i="23"/>
  <c r="J121" i="23"/>
  <c r="I121" i="23"/>
  <c r="M121" i="23" s="1"/>
  <c r="J120" i="23"/>
  <c r="K120" i="23" s="1"/>
  <c r="I120" i="23"/>
  <c r="M120" i="23" s="1"/>
  <c r="M119" i="23"/>
  <c r="J119" i="23"/>
  <c r="K119" i="23" s="1"/>
  <c r="I119" i="23"/>
  <c r="J118" i="23"/>
  <c r="K118" i="23" s="1"/>
  <c r="I118" i="23"/>
  <c r="M118" i="23" s="1"/>
  <c r="M117" i="23"/>
  <c r="K117" i="23"/>
  <c r="J117" i="23"/>
  <c r="I117" i="23"/>
  <c r="J116" i="23"/>
  <c r="K116" i="23" s="1"/>
  <c r="I116" i="23"/>
  <c r="M116" i="23" s="1"/>
  <c r="M115" i="23"/>
  <c r="J115" i="23"/>
  <c r="K115" i="23" s="1"/>
  <c r="I115" i="23"/>
  <c r="J114" i="23"/>
  <c r="K114" i="23" s="1"/>
  <c r="I114" i="23"/>
  <c r="M114" i="23" s="1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J106" i="23"/>
  <c r="K106" i="23" s="1"/>
  <c r="I106" i="23"/>
  <c r="M106" i="23" s="1"/>
  <c r="K105" i="23"/>
  <c r="J105" i="23"/>
  <c r="I105" i="23"/>
  <c r="M105" i="23" s="1"/>
  <c r="M104" i="23"/>
  <c r="J104" i="23"/>
  <c r="K104" i="23" s="1"/>
  <c r="I104" i="23"/>
  <c r="M103" i="23"/>
  <c r="J103" i="23"/>
  <c r="K103" i="23" s="1"/>
  <c r="I103" i="23"/>
  <c r="M102" i="23"/>
  <c r="J102" i="23"/>
  <c r="K102" i="23" s="1"/>
  <c r="I102" i="23"/>
  <c r="M101" i="23"/>
  <c r="K101" i="23"/>
  <c r="J101" i="23"/>
  <c r="I101" i="23"/>
  <c r="J100" i="23"/>
  <c r="K100" i="23" s="1"/>
  <c r="I100" i="23"/>
  <c r="M100" i="23" s="1"/>
  <c r="M99" i="23"/>
  <c r="J99" i="23"/>
  <c r="K99" i="23" s="1"/>
  <c r="I99" i="23"/>
  <c r="J98" i="23"/>
  <c r="K98" i="23" s="1"/>
  <c r="I98" i="23"/>
  <c r="M98" i="23" s="1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M92" i="23"/>
  <c r="J92" i="23"/>
  <c r="K92" i="23" s="1"/>
  <c r="I92" i="23"/>
  <c r="J91" i="23"/>
  <c r="K91" i="23" s="1"/>
  <c r="I91" i="23"/>
  <c r="M91" i="23" s="1"/>
  <c r="J90" i="23"/>
  <c r="K90" i="23" s="1"/>
  <c r="I90" i="23"/>
  <c r="M90" i="23" s="1"/>
  <c r="K89" i="23"/>
  <c r="J89" i="23"/>
  <c r="I89" i="23"/>
  <c r="M89" i="23" s="1"/>
  <c r="M88" i="23"/>
  <c r="J88" i="23"/>
  <c r="K88" i="23" s="1"/>
  <c r="I88" i="23"/>
  <c r="M87" i="23"/>
  <c r="J87" i="23"/>
  <c r="K87" i="23" s="1"/>
  <c r="I87" i="23"/>
  <c r="M86" i="23"/>
  <c r="J86" i="23"/>
  <c r="K86" i="23" s="1"/>
  <c r="I86" i="23"/>
  <c r="M85" i="23"/>
  <c r="K85" i="23"/>
  <c r="J85" i="23"/>
  <c r="I85" i="23"/>
  <c r="J84" i="23"/>
  <c r="K84" i="23" s="1"/>
  <c r="I84" i="23"/>
  <c r="M84" i="23" s="1"/>
  <c r="M83" i="23"/>
  <c r="K83" i="23"/>
  <c r="J83" i="23"/>
  <c r="I83" i="23"/>
  <c r="J82" i="23"/>
  <c r="K82" i="23" s="1"/>
  <c r="I82" i="23"/>
  <c r="M82" i="23" s="1"/>
  <c r="J81" i="23"/>
  <c r="K81" i="23" s="1"/>
  <c r="I81" i="23"/>
  <c r="M81" i="23" s="1"/>
  <c r="M80" i="23"/>
  <c r="J80" i="23"/>
  <c r="K80" i="23" s="1"/>
  <c r="I80" i="23"/>
  <c r="J79" i="23"/>
  <c r="K79" i="23" s="1"/>
  <c r="I79" i="23"/>
  <c r="M79" i="23" s="1"/>
  <c r="M78" i="23"/>
  <c r="J78" i="23"/>
  <c r="K78" i="23" s="1"/>
  <c r="I78" i="23"/>
  <c r="J77" i="23"/>
  <c r="K77" i="23" s="1"/>
  <c r="I77" i="23"/>
  <c r="M77" i="23" s="1"/>
  <c r="M76" i="23"/>
  <c r="J76" i="23"/>
  <c r="K76" i="23" s="1"/>
  <c r="I76" i="23"/>
  <c r="J75" i="23"/>
  <c r="K75" i="23" s="1"/>
  <c r="I75" i="23"/>
  <c r="M75" i="23" s="1"/>
  <c r="J74" i="23"/>
  <c r="K74" i="23" s="1"/>
  <c r="I74" i="23"/>
  <c r="M74" i="23" s="1"/>
  <c r="K73" i="23"/>
  <c r="J73" i="23"/>
  <c r="I73" i="23"/>
  <c r="M73" i="23" s="1"/>
  <c r="J72" i="23"/>
  <c r="K72" i="23" s="1"/>
  <c r="I72" i="23"/>
  <c r="M72" i="23" s="1"/>
  <c r="M71" i="23"/>
  <c r="J71" i="23"/>
  <c r="K71" i="23" s="1"/>
  <c r="I71" i="23"/>
  <c r="M70" i="23"/>
  <c r="J70" i="23"/>
  <c r="K70" i="23" s="1"/>
  <c r="I70" i="23"/>
  <c r="M69" i="23"/>
  <c r="K69" i="23"/>
  <c r="J69" i="23"/>
  <c r="I69" i="23"/>
  <c r="J68" i="23"/>
  <c r="K68" i="23" s="1"/>
  <c r="I68" i="23"/>
  <c r="M68" i="23" s="1"/>
  <c r="M67" i="23"/>
  <c r="J67" i="23"/>
  <c r="K67" i="23" s="1"/>
  <c r="I67" i="23"/>
  <c r="J66" i="23"/>
  <c r="K66" i="23" s="1"/>
  <c r="I66" i="23"/>
  <c r="M66" i="23" s="1"/>
  <c r="M65" i="23"/>
  <c r="J65" i="23"/>
  <c r="K65" i="23" s="1"/>
  <c r="I65" i="23"/>
  <c r="B65" i="23"/>
  <c r="K64" i="23"/>
  <c r="J64" i="23"/>
  <c r="I64" i="23"/>
  <c r="M64" i="23" s="1"/>
  <c r="B64" i="23"/>
  <c r="M63" i="23"/>
  <c r="K63" i="23"/>
  <c r="J63" i="23"/>
  <c r="I63" i="23"/>
  <c r="B63" i="23"/>
  <c r="J62" i="23"/>
  <c r="K62" i="23" s="1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K59" i="23"/>
  <c r="J59" i="23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K56" i="23"/>
  <c r="J56" i="23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M51" i="23"/>
  <c r="K51" i="23"/>
  <c r="J51" i="23"/>
  <c r="I51" i="23"/>
  <c r="B51" i="23"/>
  <c r="M50" i="23"/>
  <c r="K50" i="23"/>
  <c r="J50" i="23"/>
  <c r="I50" i="23"/>
  <c r="B50" i="23"/>
  <c r="K49" i="23"/>
  <c r="J49" i="23"/>
  <c r="I49" i="23"/>
  <c r="M49" i="23" s="1"/>
  <c r="B49" i="23"/>
  <c r="K48" i="23"/>
  <c r="J48" i="23"/>
  <c r="I48" i="23"/>
  <c r="M48" i="23" s="1"/>
  <c r="B48" i="23"/>
  <c r="M47" i="23"/>
  <c r="J47" i="23"/>
  <c r="K47" i="23" s="1"/>
  <c r="I47" i="23"/>
  <c r="B47" i="23"/>
  <c r="U46" i="23"/>
  <c r="T46" i="23"/>
  <c r="R46" i="23"/>
  <c r="M46" i="23"/>
  <c r="J46" i="23"/>
  <c r="K46" i="23" s="1"/>
  <c r="I46" i="23"/>
  <c r="B46" i="23"/>
  <c r="M45" i="23"/>
  <c r="K45" i="23"/>
  <c r="J45" i="23"/>
  <c r="I45" i="23"/>
  <c r="B45" i="23"/>
  <c r="J44" i="23"/>
  <c r="K44" i="23" s="1"/>
  <c r="I44" i="23"/>
  <c r="M44" i="23" s="1"/>
  <c r="B44" i="23"/>
  <c r="M43" i="23"/>
  <c r="J43" i="23"/>
  <c r="K43" i="23" s="1"/>
  <c r="I43" i="23"/>
  <c r="B43" i="23"/>
  <c r="J42" i="23"/>
  <c r="K42" i="23" s="1"/>
  <c r="I42" i="23"/>
  <c r="M42" i="23" s="1"/>
  <c r="B42" i="23"/>
  <c r="K41" i="23"/>
  <c r="J41" i="23"/>
  <c r="I41" i="23"/>
  <c r="M41" i="23" s="1"/>
  <c r="B41" i="23"/>
  <c r="M40" i="23"/>
  <c r="K40" i="23"/>
  <c r="J40" i="23"/>
  <c r="I40" i="23"/>
  <c r="B40" i="23"/>
  <c r="J39" i="23"/>
  <c r="K39" i="23" s="1"/>
  <c r="I39" i="23"/>
  <c r="M39" i="23" s="1"/>
  <c r="B39" i="23"/>
  <c r="M38" i="23"/>
  <c r="J38" i="23"/>
  <c r="K38" i="23" s="1"/>
  <c r="I38" i="23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M35" i="23"/>
  <c r="K35" i="23"/>
  <c r="J35" i="23"/>
  <c r="I35" i="23"/>
  <c r="B35" i="23"/>
  <c r="A35" i="23"/>
  <c r="M34" i="23"/>
  <c r="A34" i="23" s="1"/>
  <c r="J34" i="23"/>
  <c r="K34" i="23" s="1"/>
  <c r="I34" i="23"/>
  <c r="B34" i="23"/>
  <c r="M33" i="23"/>
  <c r="A33" i="23" s="1"/>
  <c r="K33" i="23"/>
  <c r="J33" i="23"/>
  <c r="I33" i="23"/>
  <c r="B33" i="23"/>
  <c r="K32" i="23"/>
  <c r="J32" i="23"/>
  <c r="I32" i="23"/>
  <c r="M32" i="23" s="1"/>
  <c r="B32" i="23"/>
  <c r="A32" i="23"/>
  <c r="M31" i="23"/>
  <c r="A31" i="23" s="1"/>
  <c r="K31" i="23"/>
  <c r="J31" i="23"/>
  <c r="I31" i="23"/>
  <c r="B31" i="23"/>
  <c r="M30" i="23"/>
  <c r="A30" i="23" s="1"/>
  <c r="K30" i="23"/>
  <c r="J30" i="23"/>
  <c r="I30" i="23"/>
  <c r="B30" i="23"/>
  <c r="J29" i="23"/>
  <c r="K29" i="23" s="1"/>
  <c r="I29" i="23"/>
  <c r="M29" i="23" s="1"/>
  <c r="B29" i="23"/>
  <c r="A29" i="23"/>
  <c r="J28" i="23"/>
  <c r="K28" i="23" s="1"/>
  <c r="I28" i="23"/>
  <c r="M28" i="23" s="1"/>
  <c r="B28" i="23"/>
  <c r="A28" i="23"/>
  <c r="M27" i="23"/>
  <c r="A27" i="23" s="1"/>
  <c r="K27" i="23"/>
  <c r="J27" i="23"/>
  <c r="I27" i="23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K24" i="23"/>
  <c r="J24" i="23"/>
  <c r="I24" i="23"/>
  <c r="M24" i="23" s="1"/>
  <c r="B24" i="23"/>
  <c r="A24" i="23"/>
  <c r="M23" i="23"/>
  <c r="A23" i="23" s="1"/>
  <c r="K23" i="23"/>
  <c r="J23" i="23"/>
  <c r="I23" i="23"/>
  <c r="B23" i="23"/>
  <c r="J22" i="23"/>
  <c r="K22" i="23" s="1"/>
  <c r="I22" i="23"/>
  <c r="M22" i="23" s="1"/>
  <c r="A22" i="23" s="1"/>
  <c r="B22" i="23"/>
  <c r="K21" i="23"/>
  <c r="J21" i="23"/>
  <c r="I21" i="23"/>
  <c r="M21" i="23" s="1"/>
  <c r="B21" i="23"/>
  <c r="A21" i="23"/>
  <c r="K20" i="23"/>
  <c r="J20" i="23"/>
  <c r="I20" i="23"/>
  <c r="M20" i="23" s="1"/>
  <c r="A20" i="23" s="1"/>
  <c r="B20" i="23"/>
  <c r="K19" i="23"/>
  <c r="J19" i="23"/>
  <c r="I19" i="23"/>
  <c r="M19" i="23" s="1"/>
  <c r="A19" i="23" s="1"/>
  <c r="B19" i="23"/>
  <c r="J18" i="23"/>
  <c r="K18" i="23" s="1"/>
  <c r="I18" i="23"/>
  <c r="M18" i="23" s="1"/>
  <c r="A18" i="23" s="1"/>
  <c r="B18" i="23"/>
  <c r="M17" i="23"/>
  <c r="J17" i="23"/>
  <c r="K17" i="23" s="1"/>
  <c r="I17" i="23"/>
  <c r="B17" i="23"/>
  <c r="A17" i="23"/>
  <c r="M16" i="23"/>
  <c r="A16" i="23" s="1"/>
  <c r="J16" i="23"/>
  <c r="K16" i="23" s="1"/>
  <c r="I16" i="23"/>
  <c r="B16" i="23"/>
  <c r="J15" i="23"/>
  <c r="K15" i="23" s="1"/>
  <c r="I15" i="23"/>
  <c r="M15" i="23" s="1"/>
  <c r="A15" i="23" s="1"/>
  <c r="B15" i="23"/>
  <c r="AI14" i="23"/>
  <c r="K14" i="23"/>
  <c r="J14" i="23"/>
  <c r="I14" i="23"/>
  <c r="M14" i="23" s="1"/>
  <c r="B14" i="23"/>
  <c r="A14" i="23"/>
  <c r="AI13" i="23"/>
  <c r="M13" i="23"/>
  <c r="K13" i="23"/>
  <c r="J13" i="23"/>
  <c r="I13" i="23"/>
  <c r="B13" i="23"/>
  <c r="A13" i="23"/>
  <c r="AI12" i="23"/>
  <c r="M12" i="23"/>
  <c r="A12" i="23" s="1"/>
  <c r="J12" i="23"/>
  <c r="K12" i="23" s="1"/>
  <c r="I12" i="23"/>
  <c r="B12" i="23"/>
  <c r="M11" i="23"/>
  <c r="A11" i="23" s="1"/>
  <c r="K11" i="23"/>
  <c r="J11" i="23"/>
  <c r="I11" i="23"/>
  <c r="B11" i="23"/>
  <c r="J10" i="23"/>
  <c r="K10" i="23" s="1"/>
  <c r="I10" i="23"/>
  <c r="M10" i="23" s="1"/>
  <c r="B10" i="23"/>
  <c r="A10" i="23"/>
  <c r="K9" i="23"/>
  <c r="I9" i="23"/>
  <c r="M9" i="23" s="1"/>
  <c r="A9" i="23" s="1"/>
  <c r="B9" i="23"/>
  <c r="M8" i="23"/>
  <c r="L8" i="23"/>
  <c r="K8" i="23"/>
  <c r="I8" i="23"/>
  <c r="B8" i="23"/>
  <c r="A8" i="23"/>
  <c r="K7" i="23"/>
  <c r="I7" i="23"/>
  <c r="M7" i="23" s="1"/>
  <c r="A7" i="23" s="1"/>
  <c r="B7" i="23"/>
  <c r="K6" i="23"/>
  <c r="I6" i="23"/>
  <c r="M6" i="23" s="1"/>
  <c r="A6" i="23" s="1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K304" i="22"/>
  <c r="J304" i="22"/>
  <c r="I304" i="22"/>
  <c r="M304" i="22" s="1"/>
  <c r="M303" i="22"/>
  <c r="K303" i="22"/>
  <c r="J303" i="22"/>
  <c r="I303" i="22"/>
  <c r="J302" i="22"/>
  <c r="K302" i="22" s="1"/>
  <c r="I302" i="22"/>
  <c r="M302" i="22" s="1"/>
  <c r="J301" i="22"/>
  <c r="K301" i="22" s="1"/>
  <c r="I301" i="22"/>
  <c r="M301" i="22" s="1"/>
  <c r="K300" i="22"/>
  <c r="J300" i="22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K295" i="22"/>
  <c r="J295" i="22"/>
  <c r="I295" i="22"/>
  <c r="M295" i="22" s="1"/>
  <c r="J294" i="22"/>
  <c r="K294" i="22" s="1"/>
  <c r="I294" i="22"/>
  <c r="M294" i="22" s="1"/>
  <c r="M293" i="22"/>
  <c r="J293" i="22"/>
  <c r="K293" i="22" s="1"/>
  <c r="I293" i="22"/>
  <c r="K292" i="22"/>
  <c r="J292" i="22"/>
  <c r="I292" i="22"/>
  <c r="M292" i="22" s="1"/>
  <c r="M291" i="22"/>
  <c r="K291" i="22"/>
  <c r="J291" i="22"/>
  <c r="I291" i="22"/>
  <c r="J290" i="22"/>
  <c r="K290" i="22" s="1"/>
  <c r="I290" i="22"/>
  <c r="M290" i="22" s="1"/>
  <c r="M289" i="22"/>
  <c r="J289" i="22"/>
  <c r="K289" i="22" s="1"/>
  <c r="I289" i="22"/>
  <c r="K288" i="22"/>
  <c r="J288" i="22"/>
  <c r="I288" i="22"/>
  <c r="M288" i="22" s="1"/>
  <c r="M287" i="22"/>
  <c r="J287" i="22"/>
  <c r="K287" i="22" s="1"/>
  <c r="I287" i="22"/>
  <c r="J286" i="22"/>
  <c r="K286" i="22" s="1"/>
  <c r="I286" i="22"/>
  <c r="M286" i="22" s="1"/>
  <c r="M285" i="22"/>
  <c r="J285" i="22"/>
  <c r="K285" i="22" s="1"/>
  <c r="I285" i="22"/>
  <c r="K284" i="22"/>
  <c r="J284" i="22"/>
  <c r="I284" i="22"/>
  <c r="M284" i="22" s="1"/>
  <c r="K283" i="22"/>
  <c r="J283" i="22"/>
  <c r="I283" i="22"/>
  <c r="M283" i="22" s="1"/>
  <c r="K282" i="22"/>
  <c r="J282" i="22"/>
  <c r="I282" i="22"/>
  <c r="M282" i="22" s="1"/>
  <c r="J281" i="22"/>
  <c r="K281" i="22" s="1"/>
  <c r="I281" i="22"/>
  <c r="M281" i="22" s="1"/>
  <c r="K280" i="22"/>
  <c r="J280" i="22"/>
  <c r="I280" i="22"/>
  <c r="M280" i="22" s="1"/>
  <c r="K279" i="22"/>
  <c r="J279" i="22"/>
  <c r="I279" i="22"/>
  <c r="M279" i="22" s="1"/>
  <c r="J278" i="22"/>
  <c r="K278" i="22" s="1"/>
  <c r="I278" i="22"/>
  <c r="M278" i="22" s="1"/>
  <c r="M277" i="22"/>
  <c r="J277" i="22"/>
  <c r="K277" i="22" s="1"/>
  <c r="I277" i="22"/>
  <c r="J276" i="22"/>
  <c r="K276" i="22" s="1"/>
  <c r="I276" i="22"/>
  <c r="M276" i="22" s="1"/>
  <c r="M275" i="22"/>
  <c r="K275" i="22"/>
  <c r="J275" i="22"/>
  <c r="I275" i="22"/>
  <c r="J274" i="22"/>
  <c r="K274" i="22" s="1"/>
  <c r="I274" i="22"/>
  <c r="M274" i="22" s="1"/>
  <c r="M273" i="22"/>
  <c r="J273" i="22"/>
  <c r="K273" i="22" s="1"/>
  <c r="I273" i="22"/>
  <c r="K272" i="22"/>
  <c r="J272" i="22"/>
  <c r="I272" i="22"/>
  <c r="M272" i="22" s="1"/>
  <c r="J271" i="22"/>
  <c r="K271" i="22" s="1"/>
  <c r="I271" i="22"/>
  <c r="M271" i="22" s="1"/>
  <c r="J270" i="22"/>
  <c r="K270" i="22" s="1"/>
  <c r="I270" i="22"/>
  <c r="M270" i="22" s="1"/>
  <c r="M269" i="22"/>
  <c r="K269" i="22"/>
  <c r="J269" i="22"/>
  <c r="I269" i="22"/>
  <c r="K268" i="22"/>
  <c r="J268" i="22"/>
  <c r="I268" i="22"/>
  <c r="M268" i="22" s="1"/>
  <c r="K267" i="22"/>
  <c r="J267" i="22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K263" i="22"/>
  <c r="J263" i="22"/>
  <c r="I263" i="22"/>
  <c r="M263" i="22" s="1"/>
  <c r="J262" i="22"/>
  <c r="K262" i="22" s="1"/>
  <c r="I262" i="22"/>
  <c r="M262" i="22" s="1"/>
  <c r="M261" i="22"/>
  <c r="J261" i="22"/>
  <c r="K261" i="22" s="1"/>
  <c r="I261" i="22"/>
  <c r="J260" i="22"/>
  <c r="K260" i="22" s="1"/>
  <c r="I260" i="22"/>
  <c r="M260" i="22" s="1"/>
  <c r="M259" i="22"/>
  <c r="K259" i="22"/>
  <c r="J259" i="22"/>
  <c r="I259" i="22"/>
  <c r="J258" i="22"/>
  <c r="K258" i="22" s="1"/>
  <c r="I258" i="22"/>
  <c r="M258" i="22" s="1"/>
  <c r="M257" i="22"/>
  <c r="J257" i="22"/>
  <c r="K257" i="22" s="1"/>
  <c r="I257" i="22"/>
  <c r="K256" i="22"/>
  <c r="J256" i="22"/>
  <c r="I256" i="22"/>
  <c r="M256" i="22" s="1"/>
  <c r="J255" i="22"/>
  <c r="K255" i="22" s="1"/>
  <c r="I255" i="22"/>
  <c r="M255" i="22" s="1"/>
  <c r="J254" i="22"/>
  <c r="K254" i="22" s="1"/>
  <c r="I254" i="22"/>
  <c r="M254" i="22" s="1"/>
  <c r="M253" i="22"/>
  <c r="J253" i="22"/>
  <c r="K253" i="22" s="1"/>
  <c r="I253" i="22"/>
  <c r="K252" i="22"/>
  <c r="J252" i="22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K247" i="22"/>
  <c r="J247" i="22"/>
  <c r="I247" i="22"/>
  <c r="M247" i="22" s="1"/>
  <c r="J246" i="22"/>
  <c r="K246" i="22" s="1"/>
  <c r="I246" i="22"/>
  <c r="M246" i="22" s="1"/>
  <c r="M245" i="22"/>
  <c r="J245" i="22"/>
  <c r="K245" i="22" s="1"/>
  <c r="I245" i="22"/>
  <c r="J244" i="22"/>
  <c r="K244" i="22" s="1"/>
  <c r="I244" i="22"/>
  <c r="M244" i="22" s="1"/>
  <c r="M243" i="22"/>
  <c r="K243" i="22"/>
  <c r="J243" i="22"/>
  <c r="I243" i="22"/>
  <c r="J242" i="22"/>
  <c r="K242" i="22" s="1"/>
  <c r="I242" i="22"/>
  <c r="M242" i="22" s="1"/>
  <c r="M241" i="22"/>
  <c r="J241" i="22"/>
  <c r="K241" i="22" s="1"/>
  <c r="I241" i="22"/>
  <c r="K240" i="22"/>
  <c r="J240" i="22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K236" i="22"/>
  <c r="J236" i="22"/>
  <c r="I236" i="22"/>
  <c r="M236" i="22" s="1"/>
  <c r="K235" i="22"/>
  <c r="J235" i="22"/>
  <c r="I235" i="22"/>
  <c r="M235" i="22" s="1"/>
  <c r="J234" i="22"/>
  <c r="K234" i="22" s="1"/>
  <c r="I234" i="22"/>
  <c r="M234" i="22" s="1"/>
  <c r="J233" i="22"/>
  <c r="K233" i="22" s="1"/>
  <c r="I233" i="22"/>
  <c r="M233" i="22" s="1"/>
  <c r="K232" i="22"/>
  <c r="J232" i="22"/>
  <c r="I232" i="22"/>
  <c r="M232" i="22" s="1"/>
  <c r="K231" i="22"/>
  <c r="J231" i="22"/>
  <c r="I231" i="22"/>
  <c r="M231" i="22" s="1"/>
  <c r="J230" i="22"/>
  <c r="K230" i="22" s="1"/>
  <c r="I230" i="22"/>
  <c r="M230" i="22" s="1"/>
  <c r="M229" i="22"/>
  <c r="J229" i="22"/>
  <c r="K229" i="22" s="1"/>
  <c r="I229" i="22"/>
  <c r="J228" i="22"/>
  <c r="K228" i="22" s="1"/>
  <c r="I228" i="22"/>
  <c r="M228" i="22" s="1"/>
  <c r="M227" i="22"/>
  <c r="K227" i="22"/>
  <c r="J227" i="22"/>
  <c r="I227" i="22"/>
  <c r="J226" i="22"/>
  <c r="K226" i="22" s="1"/>
  <c r="I226" i="22"/>
  <c r="M226" i="22" s="1"/>
  <c r="M225" i="22"/>
  <c r="J225" i="22"/>
  <c r="K225" i="22" s="1"/>
  <c r="I225" i="22"/>
  <c r="K224" i="22"/>
  <c r="J224" i="22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K220" i="22"/>
  <c r="J220" i="22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K215" i="22"/>
  <c r="J215" i="22"/>
  <c r="I215" i="22"/>
  <c r="M215" i="22" s="1"/>
  <c r="M214" i="22"/>
  <c r="K214" i="22"/>
  <c r="J214" i="22"/>
  <c r="I214" i="22"/>
  <c r="K213" i="22"/>
  <c r="J213" i="22"/>
  <c r="I213" i="22"/>
  <c r="M213" i="22" s="1"/>
  <c r="M212" i="22"/>
  <c r="K212" i="22"/>
  <c r="J212" i="22"/>
  <c r="I212" i="22"/>
  <c r="K211" i="22"/>
  <c r="J211" i="22"/>
  <c r="I211" i="22"/>
  <c r="M211" i="22" s="1"/>
  <c r="K210" i="22"/>
  <c r="J210" i="22"/>
  <c r="I210" i="22"/>
  <c r="M210" i="22" s="1"/>
  <c r="K209" i="22"/>
  <c r="J209" i="22"/>
  <c r="I209" i="22"/>
  <c r="M209" i="22" s="1"/>
  <c r="J208" i="22"/>
  <c r="K208" i="22" s="1"/>
  <c r="I208" i="22"/>
  <c r="M208" i="22" s="1"/>
  <c r="K207" i="22"/>
  <c r="J207" i="22"/>
  <c r="I207" i="22"/>
  <c r="M207" i="22" s="1"/>
  <c r="J206" i="22"/>
  <c r="K206" i="22" s="1"/>
  <c r="I206" i="22"/>
  <c r="M206" i="22" s="1"/>
  <c r="K205" i="22"/>
  <c r="J205" i="22"/>
  <c r="I205" i="22"/>
  <c r="M205" i="22" s="1"/>
  <c r="J204" i="22"/>
  <c r="K204" i="22" s="1"/>
  <c r="I204" i="22"/>
  <c r="M204" i="22" s="1"/>
  <c r="K203" i="22"/>
  <c r="J203" i="22"/>
  <c r="I203" i="22"/>
  <c r="M203" i="22" s="1"/>
  <c r="J202" i="22"/>
  <c r="K202" i="22" s="1"/>
  <c r="I202" i="22"/>
  <c r="M202" i="22" s="1"/>
  <c r="K201" i="22"/>
  <c r="J201" i="22"/>
  <c r="I201" i="22"/>
  <c r="M201" i="22" s="1"/>
  <c r="M200" i="22"/>
  <c r="J200" i="22"/>
  <c r="K200" i="22" s="1"/>
  <c r="I200" i="22"/>
  <c r="K199" i="22"/>
  <c r="J199" i="22"/>
  <c r="I199" i="22"/>
  <c r="M199" i="22" s="1"/>
  <c r="M198" i="22"/>
  <c r="K198" i="22"/>
  <c r="J198" i="22"/>
  <c r="I198" i="22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M190" i="22"/>
  <c r="K190" i="22"/>
  <c r="J190" i="22"/>
  <c r="I190" i="22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M182" i="22"/>
  <c r="K182" i="22"/>
  <c r="J182" i="22"/>
  <c r="I182" i="22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M174" i="22"/>
  <c r="K174" i="22"/>
  <c r="J174" i="22"/>
  <c r="I174" i="22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M166" i="22"/>
  <c r="K166" i="22"/>
  <c r="J166" i="22"/>
  <c r="I166" i="22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M158" i="22"/>
  <c r="K158" i="22"/>
  <c r="J158" i="22"/>
  <c r="I158" i="22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M150" i="22"/>
  <c r="K150" i="22"/>
  <c r="J150" i="22"/>
  <c r="I150" i="22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M142" i="22"/>
  <c r="K142" i="22"/>
  <c r="J142" i="22"/>
  <c r="I142" i="22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M134" i="22"/>
  <c r="K134" i="22"/>
  <c r="J134" i="22"/>
  <c r="I134" i="22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M126" i="22"/>
  <c r="K126" i="22"/>
  <c r="J126" i="22"/>
  <c r="I126" i="22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M118" i="22"/>
  <c r="K118" i="22"/>
  <c r="J118" i="22"/>
  <c r="I118" i="22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M110" i="22"/>
  <c r="K110" i="22"/>
  <c r="J110" i="22"/>
  <c r="I110" i="22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M102" i="22"/>
  <c r="K102" i="22"/>
  <c r="J102" i="22"/>
  <c r="I102" i="22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M94" i="22"/>
  <c r="K94" i="22"/>
  <c r="J94" i="22"/>
  <c r="I94" i="22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M86" i="22"/>
  <c r="K86" i="22"/>
  <c r="J86" i="22"/>
  <c r="I86" i="22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M78" i="22"/>
  <c r="K78" i="22"/>
  <c r="J78" i="22"/>
  <c r="I78" i="22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M70" i="22"/>
  <c r="K70" i="22"/>
  <c r="J70" i="22"/>
  <c r="I70" i="22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J64" i="22"/>
  <c r="K64" i="22" s="1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K60" i="22"/>
  <c r="J60" i="22"/>
  <c r="I60" i="22"/>
  <c r="M60" i="22" s="1"/>
  <c r="B60" i="22"/>
  <c r="M59" i="22"/>
  <c r="K59" i="22"/>
  <c r="J59" i="22"/>
  <c r="I59" i="22"/>
  <c r="B59" i="22"/>
  <c r="M58" i="22"/>
  <c r="J58" i="22"/>
  <c r="K58" i="22" s="1"/>
  <c r="I58" i="22"/>
  <c r="B58" i="22"/>
  <c r="J57" i="22"/>
  <c r="K57" i="22" s="1"/>
  <c r="I57" i="22"/>
  <c r="M57" i="22" s="1"/>
  <c r="B57" i="22"/>
  <c r="M56" i="22"/>
  <c r="J56" i="22"/>
  <c r="K56" i="22" s="1"/>
  <c r="I56" i="22"/>
  <c r="B56" i="22"/>
  <c r="J55" i="22"/>
  <c r="K55" i="22" s="1"/>
  <c r="I55" i="22"/>
  <c r="M55" i="22" s="1"/>
  <c r="B55" i="22"/>
  <c r="M54" i="22"/>
  <c r="J54" i="22"/>
  <c r="K54" i="22" s="1"/>
  <c r="I54" i="22"/>
  <c r="B54" i="22"/>
  <c r="J53" i="22"/>
  <c r="K53" i="22" s="1"/>
  <c r="I53" i="22"/>
  <c r="M53" i="22" s="1"/>
  <c r="B53" i="22"/>
  <c r="J52" i="22"/>
  <c r="K52" i="22" s="1"/>
  <c r="I52" i="22"/>
  <c r="M52" i="22" s="1"/>
  <c r="B52" i="22"/>
  <c r="M51" i="22"/>
  <c r="K51" i="22"/>
  <c r="J51" i="22"/>
  <c r="I51" i="22"/>
  <c r="B51" i="22"/>
  <c r="J50" i="22"/>
  <c r="K50" i="22" s="1"/>
  <c r="I50" i="22"/>
  <c r="M50" i="22" s="1"/>
  <c r="B50" i="22"/>
  <c r="J49" i="22"/>
  <c r="K49" i="22" s="1"/>
  <c r="I49" i="22"/>
  <c r="M49" i="22" s="1"/>
  <c r="B49" i="22"/>
  <c r="M48" i="22"/>
  <c r="J48" i="22"/>
  <c r="K48" i="22" s="1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J43" i="22"/>
  <c r="K43" i="22" s="1"/>
  <c r="I43" i="22"/>
  <c r="M43" i="22" s="1"/>
  <c r="B43" i="22"/>
  <c r="M42" i="22"/>
  <c r="K42" i="22"/>
  <c r="J42" i="22"/>
  <c r="I42" i="22"/>
  <c r="B42" i="22"/>
  <c r="M41" i="22"/>
  <c r="J41" i="22"/>
  <c r="K41" i="22" s="1"/>
  <c r="I41" i="22"/>
  <c r="B41" i="22"/>
  <c r="J40" i="22"/>
  <c r="K40" i="22" s="1"/>
  <c r="I40" i="22"/>
  <c r="M40" i="22" s="1"/>
  <c r="B40" i="22"/>
  <c r="M39" i="22"/>
  <c r="J39" i="22"/>
  <c r="K39" i="22" s="1"/>
  <c r="I39" i="22"/>
  <c r="B39" i="22"/>
  <c r="J38" i="22"/>
  <c r="K38" i="22" s="1"/>
  <c r="I38" i="22"/>
  <c r="M38" i="22" s="1"/>
  <c r="B38" i="22"/>
  <c r="M37" i="22"/>
  <c r="A37" i="22" s="1"/>
  <c r="J37" i="22"/>
  <c r="K37" i="22" s="1"/>
  <c r="I37" i="22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K34" i="22"/>
  <c r="J34" i="22"/>
  <c r="I34" i="22"/>
  <c r="M34" i="22" s="1"/>
  <c r="B34" i="22"/>
  <c r="A34" i="22"/>
  <c r="J33" i="22"/>
  <c r="K33" i="22" s="1"/>
  <c r="I33" i="22"/>
  <c r="M33" i="22" s="1"/>
  <c r="A33" i="22" s="1"/>
  <c r="B33" i="22"/>
  <c r="M32" i="22"/>
  <c r="J32" i="22"/>
  <c r="K32" i="22" s="1"/>
  <c r="I32" i="22"/>
  <c r="B32" i="22"/>
  <c r="A32" i="22"/>
  <c r="M31" i="22"/>
  <c r="A31" i="22" s="1"/>
  <c r="J31" i="22"/>
  <c r="K31" i="22" s="1"/>
  <c r="I31" i="22"/>
  <c r="B31" i="22"/>
  <c r="K30" i="22"/>
  <c r="J30" i="22"/>
  <c r="I30" i="22"/>
  <c r="M30" i="22" s="1"/>
  <c r="A30" i="22" s="1"/>
  <c r="B30" i="22"/>
  <c r="J29" i="22"/>
  <c r="K29" i="22" s="1"/>
  <c r="I29" i="22"/>
  <c r="M29" i="22" s="1"/>
  <c r="A29" i="22" s="1"/>
  <c r="B29" i="22"/>
  <c r="M28" i="22"/>
  <c r="A28" i="22" s="1"/>
  <c r="K28" i="22"/>
  <c r="J28" i="22"/>
  <c r="I28" i="22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B26" i="22"/>
  <c r="A26" i="22"/>
  <c r="M25" i="22"/>
  <c r="A25" i="22" s="1"/>
  <c r="J25" i="22"/>
  <c r="K25" i="22" s="1"/>
  <c r="I25" i="22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J21" i="22"/>
  <c r="K21" i="22" s="1"/>
  <c r="I21" i="22"/>
  <c r="M21" i="22" s="1"/>
  <c r="B21" i="22"/>
  <c r="A21" i="22"/>
  <c r="M20" i="22"/>
  <c r="J20" i="22"/>
  <c r="K20" i="22" s="1"/>
  <c r="I20" i="22"/>
  <c r="B20" i="22"/>
  <c r="A20" i="22"/>
  <c r="M19" i="22"/>
  <c r="A19" i="22" s="1"/>
  <c r="K19" i="22"/>
  <c r="J19" i="22"/>
  <c r="I19" i="22"/>
  <c r="B19" i="22"/>
  <c r="J18" i="22"/>
  <c r="K18" i="22" s="1"/>
  <c r="I18" i="22"/>
  <c r="M18" i="22" s="1"/>
  <c r="B18" i="22"/>
  <c r="A18" i="22"/>
  <c r="J17" i="22"/>
  <c r="K17" i="22" s="1"/>
  <c r="I17" i="22"/>
  <c r="M17" i="22" s="1"/>
  <c r="A17" i="22" s="1"/>
  <c r="B17" i="22"/>
  <c r="AI16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B13" i="22"/>
  <c r="A13" i="22"/>
  <c r="AI12" i="22"/>
  <c r="K12" i="22"/>
  <c r="J12" i="22"/>
  <c r="I12" i="22"/>
  <c r="M12" i="22" s="1"/>
  <c r="B12" i="22"/>
  <c r="A12" i="22"/>
  <c r="J11" i="22"/>
  <c r="K11" i="22" s="1"/>
  <c r="I11" i="22"/>
  <c r="M11" i="22" s="1"/>
  <c r="A11" i="22" s="1"/>
  <c r="B11" i="22"/>
  <c r="M10" i="22"/>
  <c r="J10" i="22"/>
  <c r="K10" i="22" s="1"/>
  <c r="I10" i="22"/>
  <c r="B10" i="22"/>
  <c r="A10" i="22"/>
  <c r="M9" i="22"/>
  <c r="A9" i="22" s="1"/>
  <c r="J9" i="22"/>
  <c r="K9" i="22" s="1"/>
  <c r="I9" i="22"/>
  <c r="B9" i="22"/>
  <c r="M8" i="22"/>
  <c r="A8" i="22" s="1"/>
  <c r="K8" i="22"/>
  <c r="J8" i="22"/>
  <c r="I8" i="22"/>
  <c r="B8" i="22"/>
  <c r="K7" i="22"/>
  <c r="J7" i="22"/>
  <c r="I7" i="22"/>
  <c r="M7" i="22" s="1"/>
  <c r="A7" i="22" s="1"/>
  <c r="B7" i="22"/>
  <c r="J6" i="22"/>
  <c r="K6" i="22" s="1"/>
  <c r="I6" i="22"/>
  <c r="M6" i="22" s="1"/>
  <c r="B6" i="22"/>
  <c r="A6" i="22"/>
  <c r="K2" i="22"/>
  <c r="AX29" i="20" a="1"/>
  <c r="AX29" i="20" s="1"/>
  <c r="AF29" i="20"/>
  <c r="AG29" i="20" s="1"/>
  <c r="BD29" i="20" s="1"/>
  <c r="AB29" i="20"/>
  <c r="A29" i="20"/>
  <c r="AX28" i="20" a="1"/>
  <c r="AX28" i="20" s="1"/>
  <c r="AF28" i="20"/>
  <c r="AG28" i="20" s="1"/>
  <c r="BD28" i="20" s="1"/>
  <c r="AB28" i="20"/>
  <c r="AC28" i="20" s="1"/>
  <c r="BC28" i="20" s="1"/>
  <c r="A28" i="20"/>
  <c r="AX27" i="20" a="1"/>
  <c r="AX27" i="20" s="1"/>
  <c r="AF27" i="20"/>
  <c r="AG27" i="20" s="1"/>
  <c r="BD27" i="20" s="1"/>
  <c r="Z27" i="20"/>
  <c r="AA27" i="20" s="1"/>
  <c r="BB27" i="20" s="1"/>
  <c r="A27" i="20"/>
  <c r="AX26" i="20" a="1"/>
  <c r="AX26" i="20" s="1"/>
  <c r="AF26" i="20"/>
  <c r="AG26" i="20" s="1"/>
  <c r="BD26" i="20" s="1"/>
  <c r="A26" i="20"/>
  <c r="AX25" i="20" a="1"/>
  <c r="AX25" i="20" s="1"/>
  <c r="AF25" i="20"/>
  <c r="AG25" i="20" s="1"/>
  <c r="BD25" i="20" s="1"/>
  <c r="AB25" i="20"/>
  <c r="AC25" i="20" s="1"/>
  <c r="BC25" i="20" s="1"/>
  <c r="A25" i="20"/>
  <c r="AX24" i="20" a="1"/>
  <c r="AX24" i="20" s="1"/>
  <c r="AF24" i="20"/>
  <c r="AG24" i="20" s="1"/>
  <c r="BD24" i="20" s="1"/>
  <c r="AB24" i="20"/>
  <c r="AC24" i="20" s="1"/>
  <c r="BC24" i="20" s="1"/>
  <c r="Z24" i="20"/>
  <c r="AA24" i="20" s="1"/>
  <c r="BB24" i="20" s="1"/>
  <c r="A24" i="20"/>
  <c r="AX23" i="20" a="1"/>
  <c r="AX23" i="20" s="1"/>
  <c r="AF23" i="20"/>
  <c r="AG23" i="20" s="1"/>
  <c r="BD23" i="20" s="1"/>
  <c r="Z23" i="20"/>
  <c r="AA23" i="20" s="1"/>
  <c r="BB23" i="20" s="1"/>
  <c r="A23" i="20"/>
  <c r="AX22" i="20" a="1"/>
  <c r="AX22" i="20" s="1"/>
  <c r="AF22" i="20"/>
  <c r="AG22" i="20" s="1"/>
  <c r="BD22" i="20" s="1"/>
  <c r="A22" i="20"/>
  <c r="AX21" i="20" a="1"/>
  <c r="AX21" i="20" s="1"/>
  <c r="AF21" i="20"/>
  <c r="AG21" i="20" s="1"/>
  <c r="BD21" i="20" s="1"/>
  <c r="AB21" i="20"/>
  <c r="AC21" i="20" s="1"/>
  <c r="BC21" i="20" s="1"/>
  <c r="A21" i="20"/>
  <c r="AX20" i="20" a="1"/>
  <c r="AX20" i="20" s="1"/>
  <c r="AF20" i="20"/>
  <c r="AG20" i="20" s="1"/>
  <c r="BD20" i="20" s="1"/>
  <c r="AB20" i="20"/>
  <c r="A20" i="20"/>
  <c r="AX19" i="20" a="1"/>
  <c r="AX19" i="20" s="1"/>
  <c r="AF19" i="20"/>
  <c r="AG19" i="20" s="1"/>
  <c r="BD19" i="20" s="1"/>
  <c r="Z19" i="20"/>
  <c r="AA19" i="20" s="1"/>
  <c r="BB19" i="20" s="1"/>
  <c r="A19" i="20"/>
  <c r="AX18" i="20" a="1"/>
  <c r="AX18" i="20" s="1"/>
  <c r="AF18" i="20"/>
  <c r="AG18" i="20" s="1"/>
  <c r="BD18" i="20" s="1"/>
  <c r="A18" i="20"/>
  <c r="AX17" i="20" a="1"/>
  <c r="AX17" i="20" s="1"/>
  <c r="AF17" i="20"/>
  <c r="AG17" i="20" s="1"/>
  <c r="BD17" i="20" s="1"/>
  <c r="AB17" i="20"/>
  <c r="AC17" i="20" s="1"/>
  <c r="BC17" i="20" s="1"/>
  <c r="A17" i="20"/>
  <c r="AX16" i="20" a="1"/>
  <c r="AX16" i="20" s="1"/>
  <c r="AF16" i="20"/>
  <c r="AG16" i="20" s="1"/>
  <c r="BD16" i="20" s="1"/>
  <c r="AB16" i="20"/>
  <c r="Z16" i="20"/>
  <c r="AA16" i="20" s="1"/>
  <c r="BB16" i="20" s="1"/>
  <c r="A16" i="20"/>
  <c r="AX15" i="20" a="1"/>
  <c r="AX15" i="20" s="1"/>
  <c r="AF15" i="20"/>
  <c r="AG15" i="20" s="1"/>
  <c r="BD15" i="20" s="1"/>
  <c r="A15" i="20"/>
  <c r="AX14" i="20" a="1"/>
  <c r="AX14" i="20" s="1"/>
  <c r="AF14" i="20"/>
  <c r="AG14" i="20" s="1"/>
  <c r="BD14" i="20" s="1"/>
  <c r="A14" i="20"/>
  <c r="AX13" i="20" a="1"/>
  <c r="AX13" i="20" s="1"/>
  <c r="AF13" i="20"/>
  <c r="AG13" i="20" s="1"/>
  <c r="BD13" i="20" s="1"/>
  <c r="AB13" i="20"/>
  <c r="AC13" i="20" s="1"/>
  <c r="BC13" i="20" s="1"/>
  <c r="A13" i="20"/>
  <c r="AX12" i="20" a="1"/>
  <c r="AX12" i="20" s="1"/>
  <c r="AF12" i="20"/>
  <c r="AG12" i="20" s="1"/>
  <c r="BD12" i="20" s="1"/>
  <c r="AB12" i="20"/>
  <c r="AC12" i="20" s="1"/>
  <c r="BC12" i="20" s="1"/>
  <c r="A12" i="20"/>
  <c r="AX11" i="20" a="1"/>
  <c r="AX11" i="20" s="1"/>
  <c r="AF11" i="20"/>
  <c r="AG11" i="20" s="1"/>
  <c r="BD11" i="20" s="1"/>
  <c r="Z11" i="20"/>
  <c r="A11" i="20"/>
  <c r="AX10" i="20" a="1"/>
  <c r="AX10" i="20" s="1"/>
  <c r="AF10" i="20"/>
  <c r="AG10" i="20" s="1"/>
  <c r="BD10" i="20" s="1"/>
  <c r="A10" i="20"/>
  <c r="AX9" i="20" a="1"/>
  <c r="AX9" i="20" s="1"/>
  <c r="AF9" i="20"/>
  <c r="AG9" i="20" s="1"/>
  <c r="BD9" i="20" s="1"/>
  <c r="AB9" i="20"/>
  <c r="A9" i="20"/>
  <c r="AX8" i="20" a="1"/>
  <c r="AX8" i="20" s="1"/>
  <c r="AF8" i="20"/>
  <c r="AG8" i="20" s="1"/>
  <c r="AB8" i="20"/>
  <c r="AC8" i="20" s="1"/>
  <c r="BC8" i="20" s="1"/>
  <c r="Z8" i="20"/>
  <c r="AA8" i="20" s="1"/>
  <c r="A8" i="20"/>
  <c r="AX6" i="20" a="1"/>
  <c r="AX6" i="20" s="1"/>
  <c r="AF6" i="20"/>
  <c r="AG6" i="20" s="1"/>
  <c r="AB6" i="20"/>
  <c r="Z6" i="20"/>
  <c r="AA6" i="20" s="1"/>
  <c r="A6" i="20"/>
  <c r="AX7" i="20" a="1"/>
  <c r="AX7" i="20" s="1"/>
  <c r="AF7" i="20"/>
  <c r="AG7" i="20" s="1"/>
  <c r="AB7" i="20"/>
  <c r="AC7" i="20" s="1"/>
  <c r="Z7" i="20"/>
  <c r="AA7" i="20" s="1"/>
  <c r="A7" i="20"/>
  <c r="U6" i="20"/>
  <c r="U7" i="20"/>
  <c r="U6" i="13"/>
  <c r="U7" i="13"/>
  <c r="M6" i="13"/>
  <c r="M7" i="13"/>
  <c r="K7" i="13"/>
  <c r="K6" i="13"/>
  <c r="I7" i="13"/>
  <c r="I6" i="13"/>
  <c r="J7" i="15"/>
  <c r="J6" i="15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K14" i="19" s="1"/>
  <c r="J13" i="19"/>
  <c r="J12" i="19"/>
  <c r="J11" i="19"/>
  <c r="J10" i="19"/>
  <c r="K10" i="19" s="1"/>
  <c r="J9" i="19"/>
  <c r="J8" i="19"/>
  <c r="J7" i="19"/>
  <c r="K13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K305" i="18" s="1"/>
  <c r="J304" i="18"/>
  <c r="K304" i="18" s="1"/>
  <c r="J303" i="18"/>
  <c r="K303" i="18" s="1"/>
  <c r="J302" i="18"/>
  <c r="K302" i="18" s="1"/>
  <c r="J301" i="18"/>
  <c r="J300" i="18"/>
  <c r="K300" i="18" s="1"/>
  <c r="J299" i="18"/>
  <c r="K299" i="18" s="1"/>
  <c r="J298" i="18"/>
  <c r="K298" i="18" s="1"/>
  <c r="J297" i="18"/>
  <c r="K297" i="18" s="1"/>
  <c r="J296" i="18"/>
  <c r="J295" i="18"/>
  <c r="J294" i="18"/>
  <c r="K294" i="18" s="1"/>
  <c r="J293" i="18"/>
  <c r="K293" i="18" s="1"/>
  <c r="J292" i="18"/>
  <c r="J291" i="18"/>
  <c r="K291" i="18" s="1"/>
  <c r="J290" i="18"/>
  <c r="K290" i="18" s="1"/>
  <c r="J289" i="18"/>
  <c r="K289" i="18" s="1"/>
  <c r="J288" i="18"/>
  <c r="K288" i="18" s="1"/>
  <c r="J287" i="18"/>
  <c r="K287" i="18" s="1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K281" i="18" s="1"/>
  <c r="J280" i="18"/>
  <c r="J279" i="18"/>
  <c r="J278" i="18"/>
  <c r="K278" i="18" s="1"/>
  <c r="J277" i="18"/>
  <c r="K277" i="18" s="1"/>
  <c r="J276" i="18"/>
  <c r="J275" i="18"/>
  <c r="K275" i="18" s="1"/>
  <c r="J274" i="18"/>
  <c r="K274" i="18" s="1"/>
  <c r="J273" i="18"/>
  <c r="J272" i="18"/>
  <c r="K272" i="18" s="1"/>
  <c r="J271" i="18"/>
  <c r="K271" i="18" s="1"/>
  <c r="J270" i="18"/>
  <c r="K270" i="18" s="1"/>
  <c r="J269" i="18"/>
  <c r="K269" i="18" s="1"/>
  <c r="J268" i="18"/>
  <c r="J267" i="18"/>
  <c r="K267" i="18" s="1"/>
  <c r="J266" i="18"/>
  <c r="K266" i="18" s="1"/>
  <c r="J265" i="18"/>
  <c r="K265" i="18" s="1"/>
  <c r="J264" i="18"/>
  <c r="J263" i="18"/>
  <c r="J262" i="18"/>
  <c r="K262" i="18" s="1"/>
  <c r="J261" i="18"/>
  <c r="K261" i="18" s="1"/>
  <c r="J260" i="18"/>
  <c r="J259" i="18"/>
  <c r="K259" i="18" s="1"/>
  <c r="J258" i="18"/>
  <c r="K258" i="18" s="1"/>
  <c r="J257" i="18"/>
  <c r="K257" i="18" s="1"/>
  <c r="J256" i="18"/>
  <c r="K256" i="18" s="1"/>
  <c r="J255" i="18"/>
  <c r="K255" i="18" s="1"/>
  <c r="J254" i="18"/>
  <c r="K254" i="18" s="1"/>
  <c r="J253" i="18"/>
  <c r="K253" i="18" s="1"/>
  <c r="J252" i="18"/>
  <c r="K252" i="18" s="1"/>
  <c r="J251" i="18"/>
  <c r="K251" i="18" s="1"/>
  <c r="J250" i="18"/>
  <c r="K250" i="18" s="1"/>
  <c r="J249" i="18"/>
  <c r="K249" i="18" s="1"/>
  <c r="J248" i="18"/>
  <c r="K248" i="18" s="1"/>
  <c r="J247" i="18"/>
  <c r="J246" i="18"/>
  <c r="J245" i="18"/>
  <c r="K245" i="18" s="1"/>
  <c r="J244" i="18"/>
  <c r="J243" i="18"/>
  <c r="K243" i="18" s="1"/>
  <c r="J242" i="18"/>
  <c r="K242" i="18" s="1"/>
  <c r="J241" i="18"/>
  <c r="K241" i="18" s="1"/>
  <c r="J240" i="18"/>
  <c r="J239" i="18"/>
  <c r="K239" i="18" s="1"/>
  <c r="J238" i="18"/>
  <c r="K238" i="18" s="1"/>
  <c r="J237" i="18"/>
  <c r="K237" i="18" s="1"/>
  <c r="J236" i="18"/>
  <c r="J235" i="18"/>
  <c r="K235" i="18" s="1"/>
  <c r="J234" i="18"/>
  <c r="K234" i="18" s="1"/>
  <c r="J233" i="18"/>
  <c r="K233" i="18" s="1"/>
  <c r="J232" i="18"/>
  <c r="K232" i="18" s="1"/>
  <c r="J231" i="18"/>
  <c r="J230" i="18"/>
  <c r="J229" i="18"/>
  <c r="K229" i="18" s="1"/>
  <c r="J228" i="18"/>
  <c r="K228" i="18" s="1"/>
  <c r="J227" i="18"/>
  <c r="K227" i="18" s="1"/>
  <c r="J226" i="18"/>
  <c r="K226" i="18" s="1"/>
  <c r="J225" i="18"/>
  <c r="K225" i="18" s="1"/>
  <c r="J224" i="18"/>
  <c r="J223" i="18"/>
  <c r="K223" i="18" s="1"/>
  <c r="J222" i="18"/>
  <c r="K222" i="18" s="1"/>
  <c r="J221" i="18"/>
  <c r="K221" i="18" s="1"/>
  <c r="J220" i="18"/>
  <c r="J219" i="18"/>
  <c r="J218" i="18"/>
  <c r="K218" i="18" s="1"/>
  <c r="J217" i="18"/>
  <c r="K217" i="18" s="1"/>
  <c r="J216" i="18"/>
  <c r="K216" i="18" s="1"/>
  <c r="J215" i="18"/>
  <c r="J214" i="18"/>
  <c r="K214" i="18" s="1"/>
  <c r="J213" i="18"/>
  <c r="K213" i="18" s="1"/>
  <c r="J212" i="18"/>
  <c r="J211" i="18"/>
  <c r="K211" i="18" s="1"/>
  <c r="J210" i="18"/>
  <c r="K210" i="18" s="1"/>
  <c r="J209" i="18"/>
  <c r="J208" i="18"/>
  <c r="J207" i="18"/>
  <c r="K207" i="18" s="1"/>
  <c r="J206" i="18"/>
  <c r="K206" i="18" s="1"/>
  <c r="J205" i="18"/>
  <c r="K205" i="18" s="1"/>
  <c r="J204" i="18"/>
  <c r="J203" i="18"/>
  <c r="K203" i="18" s="1"/>
  <c r="J202" i="18"/>
  <c r="K202" i="18" s="1"/>
  <c r="J201" i="18"/>
  <c r="K201" i="18" s="1"/>
  <c r="J200" i="18"/>
  <c r="K200" i="18" s="1"/>
  <c r="J199" i="18"/>
  <c r="J198" i="18"/>
  <c r="K198" i="18" s="1"/>
  <c r="J197" i="18"/>
  <c r="K197" i="18" s="1"/>
  <c r="J196" i="18"/>
  <c r="K196" i="18" s="1"/>
  <c r="J195" i="18"/>
  <c r="J194" i="18"/>
  <c r="K194" i="18" s="1"/>
  <c r="J193" i="18"/>
  <c r="K193" i="18" s="1"/>
  <c r="J192" i="18"/>
  <c r="J191" i="18"/>
  <c r="K191" i="18" s="1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K185" i="18" s="1"/>
  <c r="J184" i="18"/>
  <c r="K184" i="18" s="1"/>
  <c r="J183" i="18"/>
  <c r="J182" i="18"/>
  <c r="K182" i="18" s="1"/>
  <c r="J181" i="18"/>
  <c r="K181" i="18" s="1"/>
  <c r="J180" i="18"/>
  <c r="J179" i="18"/>
  <c r="K179" i="18" s="1"/>
  <c r="J178" i="18"/>
  <c r="K178" i="18" s="1"/>
  <c r="J177" i="18"/>
  <c r="K177" i="18" s="1"/>
  <c r="J176" i="18"/>
  <c r="J175" i="18"/>
  <c r="K175" i="18" s="1"/>
  <c r="J174" i="18"/>
  <c r="K174" i="18" s="1"/>
  <c r="J173" i="18"/>
  <c r="K173" i="18" s="1"/>
  <c r="J172" i="18"/>
  <c r="J171" i="18"/>
  <c r="K171" i="18" s="1"/>
  <c r="J170" i="18"/>
  <c r="K170" i="18" s="1"/>
  <c r="J169" i="18"/>
  <c r="K169" i="18" s="1"/>
  <c r="J168" i="18"/>
  <c r="J167" i="18"/>
  <c r="J166" i="18"/>
  <c r="K166" i="18" s="1"/>
  <c r="J165" i="18"/>
  <c r="K165" i="18" s="1"/>
  <c r="J164" i="18"/>
  <c r="J163" i="18"/>
  <c r="K163" i="18" s="1"/>
  <c r="J162" i="18"/>
  <c r="K162" i="18" s="1"/>
  <c r="J161" i="18"/>
  <c r="K161" i="18" s="1"/>
  <c r="J160" i="18"/>
  <c r="K160" i="18" s="1"/>
  <c r="J159" i="18"/>
  <c r="K159" i="18" s="1"/>
  <c r="J158" i="18"/>
  <c r="K158" i="18" s="1"/>
  <c r="J157" i="18"/>
  <c r="K157" i="18" s="1"/>
  <c r="J156" i="18"/>
  <c r="K156" i="18" s="1"/>
  <c r="J155" i="18"/>
  <c r="K155" i="18" s="1"/>
  <c r="J154" i="18"/>
  <c r="K154" i="18" s="1"/>
  <c r="J153" i="18"/>
  <c r="K153" i="18" s="1"/>
  <c r="J152" i="18"/>
  <c r="J151" i="18"/>
  <c r="J150" i="18"/>
  <c r="K150" i="18" s="1"/>
  <c r="J149" i="18"/>
  <c r="K149" i="18" s="1"/>
  <c r="J148" i="18"/>
  <c r="J147" i="18"/>
  <c r="K147" i="18" s="1"/>
  <c r="J146" i="18"/>
  <c r="K146" i="18" s="1"/>
  <c r="J145" i="18"/>
  <c r="J144" i="18"/>
  <c r="K144" i="18" s="1"/>
  <c r="J143" i="18"/>
  <c r="K143" i="18" s="1"/>
  <c r="J142" i="18"/>
  <c r="K142" i="18" s="1"/>
  <c r="J141" i="18"/>
  <c r="K141" i="18" s="1"/>
  <c r="J140" i="18"/>
  <c r="J139" i="18"/>
  <c r="J138" i="18"/>
  <c r="K138" i="18" s="1"/>
  <c r="J137" i="18"/>
  <c r="K137" i="18" s="1"/>
  <c r="J136" i="18"/>
  <c r="J135" i="18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K128" i="18" s="1"/>
  <c r="J127" i="18"/>
  <c r="K127" i="18" s="1"/>
  <c r="J126" i="18"/>
  <c r="K126" i="18" s="1"/>
  <c r="J125" i="18"/>
  <c r="K125" i="18" s="1"/>
  <c r="J124" i="18"/>
  <c r="J123" i="18"/>
  <c r="K123" i="18" s="1"/>
  <c r="J122" i="18"/>
  <c r="K122" i="18" s="1"/>
  <c r="J121" i="18"/>
  <c r="K121" i="18" s="1"/>
  <c r="J120" i="18"/>
  <c r="J119" i="18"/>
  <c r="J118" i="18"/>
  <c r="K118" i="18" s="1"/>
  <c r="J117" i="18"/>
  <c r="K117" i="18" s="1"/>
  <c r="J116" i="18"/>
  <c r="J115" i="18"/>
  <c r="K115" i="18" s="1"/>
  <c r="J114" i="18"/>
  <c r="K114" i="18" s="1"/>
  <c r="J113" i="18"/>
  <c r="K113" i="18" s="1"/>
  <c r="J112" i="18"/>
  <c r="K112" i="18" s="1"/>
  <c r="J111" i="18"/>
  <c r="K111" i="18" s="1"/>
  <c r="J110" i="18"/>
  <c r="K110" i="18" s="1"/>
  <c r="J109" i="18"/>
  <c r="J108" i="18"/>
  <c r="K108" i="18" s="1"/>
  <c r="J107" i="18"/>
  <c r="K107" i="18" s="1"/>
  <c r="J106" i="18"/>
  <c r="K106" i="18" s="1"/>
  <c r="J105" i="18"/>
  <c r="K105" i="18" s="1"/>
  <c r="J104" i="18"/>
  <c r="J103" i="18"/>
  <c r="J102" i="18"/>
  <c r="K102" i="18" s="1"/>
  <c r="J101" i="18"/>
  <c r="K101" i="18" s="1"/>
  <c r="J100" i="18"/>
  <c r="J99" i="18"/>
  <c r="K99" i="18" s="1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J92" i="18"/>
  <c r="K92" i="18" s="1"/>
  <c r="J91" i="18"/>
  <c r="K91" i="18" s="1"/>
  <c r="J90" i="18"/>
  <c r="K90" i="18" s="1"/>
  <c r="J89" i="18"/>
  <c r="K89" i="18" s="1"/>
  <c r="J88" i="18"/>
  <c r="J87" i="18"/>
  <c r="J86" i="18"/>
  <c r="K86" i="18" s="1"/>
  <c r="J85" i="18"/>
  <c r="K85" i="18" s="1"/>
  <c r="J84" i="18"/>
  <c r="J83" i="18"/>
  <c r="K83" i="18" s="1"/>
  <c r="J82" i="18"/>
  <c r="K82" i="18" s="1"/>
  <c r="J81" i="18"/>
  <c r="J80" i="18"/>
  <c r="K80" i="18" s="1"/>
  <c r="J79" i="18"/>
  <c r="K79" i="18" s="1"/>
  <c r="J78" i="18"/>
  <c r="K78" i="18" s="1"/>
  <c r="J77" i="18"/>
  <c r="J76" i="18"/>
  <c r="K76" i="18" s="1"/>
  <c r="J75" i="18"/>
  <c r="K75" i="18" s="1"/>
  <c r="J74" i="18"/>
  <c r="K74" i="18" s="1"/>
  <c r="J73" i="18"/>
  <c r="K73" i="18" s="1"/>
  <c r="J72" i="18"/>
  <c r="J71" i="18"/>
  <c r="J70" i="18"/>
  <c r="J69" i="18"/>
  <c r="K69" i="18" s="1"/>
  <c r="J68" i="18"/>
  <c r="J67" i="18"/>
  <c r="K67" i="18" s="1"/>
  <c r="J66" i="18"/>
  <c r="K66" i="18" s="1"/>
  <c r="J65" i="18"/>
  <c r="K65" i="18" s="1"/>
  <c r="J64" i="18"/>
  <c r="K64" i="18" s="1"/>
  <c r="J63" i="18"/>
  <c r="J62" i="18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J55" i="18"/>
  <c r="K55" i="18" s="1"/>
  <c r="J54" i="18"/>
  <c r="K54" i="18" s="1"/>
  <c r="J53" i="18"/>
  <c r="K53" i="18" s="1"/>
  <c r="J52" i="18"/>
  <c r="J51" i="18"/>
  <c r="K51" i="18" s="1"/>
  <c r="J50" i="18"/>
  <c r="K50" i="18" s="1"/>
  <c r="J49" i="18"/>
  <c r="K49" i="18" s="1"/>
  <c r="J48" i="18"/>
  <c r="K48" i="18" s="1"/>
  <c r="J47" i="18"/>
  <c r="K47" i="18" s="1"/>
  <c r="J46" i="18"/>
  <c r="K46" i="18" s="1"/>
  <c r="J45" i="18"/>
  <c r="K45" i="18" s="1"/>
  <c r="J44" i="18"/>
  <c r="J43" i="18"/>
  <c r="K43" i="18" s="1"/>
  <c r="J42" i="18"/>
  <c r="K42" i="18" s="1"/>
  <c r="J41" i="18"/>
  <c r="K41" i="18" s="1"/>
  <c r="J40" i="18"/>
  <c r="J39" i="18"/>
  <c r="K39" i="18" s="1"/>
  <c r="J38" i="18"/>
  <c r="K38" i="18" s="1"/>
  <c r="J37" i="18"/>
  <c r="J36" i="18"/>
  <c r="K36" i="18" s="1"/>
  <c r="J35" i="18"/>
  <c r="K35" i="18" s="1"/>
  <c r="J34" i="18"/>
  <c r="K34" i="18" s="1"/>
  <c r="J33" i="18"/>
  <c r="K33" i="18" s="1"/>
  <c r="J32" i="18"/>
  <c r="K32" i="18" s="1"/>
  <c r="J31" i="18"/>
  <c r="J30" i="18"/>
  <c r="K30" i="18" s="1"/>
  <c r="J29" i="18"/>
  <c r="K29" i="18" s="1"/>
  <c r="J28" i="18"/>
  <c r="J27" i="18"/>
  <c r="K27" i="18" s="1"/>
  <c r="J26" i="18"/>
  <c r="K26" i="18" s="1"/>
  <c r="J25" i="18"/>
  <c r="K25" i="18" s="1"/>
  <c r="J24" i="18"/>
  <c r="J23" i="18"/>
  <c r="K23" i="18" s="1"/>
  <c r="J22" i="18"/>
  <c r="K22" i="18" s="1"/>
  <c r="J21" i="18"/>
  <c r="K21" i="18" s="1"/>
  <c r="J20" i="18"/>
  <c r="J19" i="18"/>
  <c r="K19" i="18" s="1"/>
  <c r="J18" i="18"/>
  <c r="K18" i="18" s="1"/>
  <c r="J17" i="18"/>
  <c r="J16" i="18"/>
  <c r="K16" i="18" s="1"/>
  <c r="J15" i="18"/>
  <c r="J14" i="18"/>
  <c r="K14" i="18" s="1"/>
  <c r="J13" i="18"/>
  <c r="K13" i="18" s="1"/>
  <c r="J12" i="18"/>
  <c r="K12" i="18" s="1"/>
  <c r="J11" i="18"/>
  <c r="J10" i="18"/>
  <c r="K10" i="18" s="1"/>
  <c r="J9" i="18"/>
  <c r="K9" i="18" s="1"/>
  <c r="J8" i="18"/>
  <c r="K8" i="18" s="1"/>
  <c r="J7" i="18"/>
  <c r="K7" i="18" s="1"/>
  <c r="K62" i="18"/>
  <c r="K70" i="18"/>
  <c r="K230" i="18"/>
  <c r="K246" i="18"/>
  <c r="K273" i="18"/>
  <c r="K209" i="18"/>
  <c r="K145" i="18"/>
  <c r="K81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K299" i="17" s="1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K291" i="17" s="1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K283" i="17" s="1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K267" i="17" s="1"/>
  <c r="J266" i="17"/>
  <c r="J265" i="17"/>
  <c r="J264" i="17"/>
  <c r="J263" i="17"/>
  <c r="J262" i="17"/>
  <c r="J261" i="17"/>
  <c r="J260" i="17"/>
  <c r="K260" i="17" s="1"/>
  <c r="J259" i="17"/>
  <c r="K259" i="17" s="1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K244" i="17" s="1"/>
  <c r="J243" i="17"/>
  <c r="K243" i="17" s="1"/>
  <c r="J242" i="17"/>
  <c r="J241" i="17"/>
  <c r="J240" i="17"/>
  <c r="J239" i="17"/>
  <c r="J238" i="17"/>
  <c r="J237" i="17"/>
  <c r="J236" i="17"/>
  <c r="K236" i="17" s="1"/>
  <c r="J235" i="17"/>
  <c r="K235" i="17" s="1"/>
  <c r="J234" i="17"/>
  <c r="K234" i="17" s="1"/>
  <c r="J233" i="17"/>
  <c r="J232" i="17"/>
  <c r="J231" i="17"/>
  <c r="J230" i="17"/>
  <c r="J229" i="17"/>
  <c r="K229" i="17" s="1"/>
  <c r="J228" i="17"/>
  <c r="K228" i="17" s="1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K219" i="17" s="1"/>
  <c r="J218" i="17"/>
  <c r="J217" i="17"/>
  <c r="J216" i="17"/>
  <c r="J215" i="17"/>
  <c r="J214" i="17"/>
  <c r="J213" i="17"/>
  <c r="J212" i="17"/>
  <c r="K212" i="17" s="1"/>
  <c r="J211" i="17"/>
  <c r="K211" i="17" s="1"/>
  <c r="J210" i="17"/>
  <c r="J209" i="17"/>
  <c r="J208" i="17"/>
  <c r="J207" i="17"/>
  <c r="J206" i="17"/>
  <c r="J205" i="17"/>
  <c r="K205" i="17" s="1"/>
  <c r="J204" i="17"/>
  <c r="K204" i="17" s="1"/>
  <c r="J203" i="17"/>
  <c r="K203" i="17" s="1"/>
  <c r="J202" i="17"/>
  <c r="K202" i="17" s="1"/>
  <c r="J201" i="17"/>
  <c r="J200" i="17"/>
  <c r="J199" i="17"/>
  <c r="J198" i="17"/>
  <c r="J197" i="17"/>
  <c r="J196" i="17"/>
  <c r="K196" i="17" s="1"/>
  <c r="J195" i="17"/>
  <c r="J194" i="17"/>
  <c r="K194" i="17" s="1"/>
  <c r="J193" i="17"/>
  <c r="J192" i="17"/>
  <c r="J191" i="17"/>
  <c r="J190" i="17"/>
  <c r="J189" i="17"/>
  <c r="J188" i="17"/>
  <c r="K188" i="17" s="1"/>
  <c r="J187" i="17"/>
  <c r="K187" i="17" s="1"/>
  <c r="J186" i="17"/>
  <c r="K186" i="17" s="1"/>
  <c r="J185" i="17"/>
  <c r="J184" i="17"/>
  <c r="J183" i="17"/>
  <c r="J182" i="17"/>
  <c r="J181" i="17"/>
  <c r="K181" i="17" s="1"/>
  <c r="J180" i="17"/>
  <c r="J179" i="17"/>
  <c r="K179" i="17" s="1"/>
  <c r="J178" i="17"/>
  <c r="J177" i="17"/>
  <c r="J176" i="17"/>
  <c r="J175" i="17"/>
  <c r="J174" i="17"/>
  <c r="J173" i="17"/>
  <c r="K173" i="17" s="1"/>
  <c r="J172" i="17"/>
  <c r="K172" i="17" s="1"/>
  <c r="J171" i="17"/>
  <c r="K171" i="17" s="1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K139" i="17" s="1"/>
  <c r="J138" i="17"/>
  <c r="J137" i="17"/>
  <c r="J136" i="17"/>
  <c r="J135" i="17"/>
  <c r="J134" i="17"/>
  <c r="J133" i="17"/>
  <c r="J132" i="17"/>
  <c r="K132" i="17" s="1"/>
  <c r="J131" i="17"/>
  <c r="K131" i="17" s="1"/>
  <c r="J130" i="17"/>
  <c r="J129" i="17"/>
  <c r="J128" i="17"/>
  <c r="J127" i="17"/>
  <c r="J126" i="17"/>
  <c r="J125" i="17"/>
  <c r="K125" i="17" s="1"/>
  <c r="J124" i="17"/>
  <c r="K124" i="17" s="1"/>
  <c r="J123" i="17"/>
  <c r="K123" i="17" s="1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K115" i="17" s="1"/>
  <c r="J114" i="17"/>
  <c r="K114" i="17" s="1"/>
  <c r="J113" i="17"/>
  <c r="J112" i="17"/>
  <c r="J111" i="17"/>
  <c r="J110" i="17"/>
  <c r="J109" i="17"/>
  <c r="J108" i="17"/>
  <c r="K108" i="17" s="1"/>
  <c r="J107" i="17"/>
  <c r="K107" i="17" s="1"/>
  <c r="J106" i="17"/>
  <c r="J105" i="17"/>
  <c r="J104" i="17"/>
  <c r="J103" i="17"/>
  <c r="J102" i="17"/>
  <c r="J101" i="17"/>
  <c r="K101" i="17" s="1"/>
  <c r="J100" i="17"/>
  <c r="K100" i="17" s="1"/>
  <c r="J99" i="17"/>
  <c r="K99" i="17" s="1"/>
  <c r="J98" i="17"/>
  <c r="J97" i="17"/>
  <c r="J96" i="17"/>
  <c r="J95" i="17"/>
  <c r="J94" i="17"/>
  <c r="J93" i="17"/>
  <c r="J92" i="17"/>
  <c r="K92" i="17" s="1"/>
  <c r="J91" i="17"/>
  <c r="K91" i="17" s="1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K76" i="17" s="1"/>
  <c r="J75" i="17"/>
  <c r="K75" i="17" s="1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K62" i="17" s="1"/>
  <c r="J61" i="17"/>
  <c r="J60" i="17"/>
  <c r="K60" i="17" s="1"/>
  <c r="J59" i="17"/>
  <c r="K59" i="17" s="1"/>
  <c r="J58" i="17"/>
  <c r="J57" i="17"/>
  <c r="J56" i="17"/>
  <c r="J55" i="17"/>
  <c r="J54" i="17"/>
  <c r="J53" i="17"/>
  <c r="J52" i="17"/>
  <c r="K52" i="17" s="1"/>
  <c r="J51" i="17"/>
  <c r="K51" i="17" s="1"/>
  <c r="J50" i="17"/>
  <c r="J49" i="17"/>
  <c r="J48" i="17"/>
  <c r="J47" i="17"/>
  <c r="J46" i="17"/>
  <c r="J45" i="17"/>
  <c r="K45" i="17" s="1"/>
  <c r="J44" i="17"/>
  <c r="K44" i="17" s="1"/>
  <c r="J43" i="17"/>
  <c r="K43" i="17" s="1"/>
  <c r="J42" i="17"/>
  <c r="K42" i="17" s="1"/>
  <c r="J41" i="17"/>
  <c r="K41" i="17" s="1"/>
  <c r="J40" i="17"/>
  <c r="J39" i="17"/>
  <c r="J38" i="17"/>
  <c r="J37" i="17"/>
  <c r="K37" i="17" s="1"/>
  <c r="J36" i="17"/>
  <c r="J35" i="17"/>
  <c r="K35" i="17" s="1"/>
  <c r="J34" i="17"/>
  <c r="K34" i="17" s="1"/>
  <c r="J33" i="17"/>
  <c r="J32" i="17"/>
  <c r="J31" i="17"/>
  <c r="J30" i="17"/>
  <c r="K30" i="17" s="1"/>
  <c r="J29" i="17"/>
  <c r="K29" i="17" s="1"/>
  <c r="J28" i="17"/>
  <c r="K28" i="17" s="1"/>
  <c r="J27" i="17"/>
  <c r="K27" i="17" s="1"/>
  <c r="J26" i="17"/>
  <c r="J25" i="17"/>
  <c r="K25" i="17" s="1"/>
  <c r="J24" i="17"/>
  <c r="J23" i="17"/>
  <c r="J22" i="17"/>
  <c r="J21" i="17"/>
  <c r="J20" i="17"/>
  <c r="K20" i="17" s="1"/>
  <c r="J19" i="17"/>
  <c r="K19" i="17" s="1"/>
  <c r="J18" i="17"/>
  <c r="J17" i="17"/>
  <c r="J16" i="17"/>
  <c r="J15" i="17"/>
  <c r="J14" i="17"/>
  <c r="J13" i="17"/>
  <c r="J12" i="17"/>
  <c r="K12" i="17" s="1"/>
  <c r="J11" i="17"/>
  <c r="K11" i="17" s="1"/>
  <c r="J10" i="17"/>
  <c r="K10" i="17" s="1"/>
  <c r="J9" i="17"/>
  <c r="K9" i="17" s="1"/>
  <c r="J8" i="17"/>
  <c r="J7" i="17"/>
  <c r="K22" i="17"/>
  <c r="K38" i="17"/>
  <c r="K46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33" i="17"/>
  <c r="K26" i="17"/>
  <c r="K18" i="17"/>
  <c r="K17" i="17"/>
  <c r="J6" i="17"/>
  <c r="J305" i="16"/>
  <c r="J304" i="16"/>
  <c r="J303" i="16"/>
  <c r="J302" i="16"/>
  <c r="K302" i="16" s="1"/>
  <c r="J301" i="16"/>
  <c r="K301" i="16" s="1"/>
  <c r="J300" i="16"/>
  <c r="J299" i="16"/>
  <c r="K299" i="16" s="1"/>
  <c r="J298" i="16"/>
  <c r="J297" i="16"/>
  <c r="K297" i="16" s="1"/>
  <c r="J296" i="16"/>
  <c r="J295" i="16"/>
  <c r="J294" i="16"/>
  <c r="J293" i="16"/>
  <c r="J292" i="16"/>
  <c r="K292" i="16" s="1"/>
  <c r="J291" i="16"/>
  <c r="K291" i="16" s="1"/>
  <c r="J290" i="16"/>
  <c r="K290" i="16" s="1"/>
  <c r="J289" i="16"/>
  <c r="J288" i="16"/>
  <c r="J287" i="16"/>
  <c r="J286" i="16"/>
  <c r="K286" i="16" s="1"/>
  <c r="J285" i="16"/>
  <c r="J284" i="16"/>
  <c r="J283" i="16"/>
  <c r="K283" i="16" s="1"/>
  <c r="J282" i="16"/>
  <c r="K282" i="16" s="1"/>
  <c r="J281" i="16"/>
  <c r="K281" i="16" s="1"/>
  <c r="J280" i="16"/>
  <c r="J279" i="16"/>
  <c r="J278" i="16"/>
  <c r="K278" i="16" s="1"/>
  <c r="J277" i="16"/>
  <c r="K277" i="16" s="1"/>
  <c r="J276" i="16"/>
  <c r="K276" i="16" s="1"/>
  <c r="J275" i="16"/>
  <c r="K275" i="16" s="1"/>
  <c r="J274" i="16"/>
  <c r="K274" i="16" s="1"/>
  <c r="J273" i="16"/>
  <c r="J272" i="16"/>
  <c r="J271" i="16"/>
  <c r="J270" i="16"/>
  <c r="K270" i="16" s="1"/>
  <c r="J269" i="16"/>
  <c r="K269" i="16" s="1"/>
  <c r="J268" i="16"/>
  <c r="J267" i="16"/>
  <c r="K267" i="16" s="1"/>
  <c r="J266" i="16"/>
  <c r="K266" i="16" s="1"/>
  <c r="J265" i="16"/>
  <c r="K265" i="16" s="1"/>
  <c r="J264" i="16"/>
  <c r="J263" i="16"/>
  <c r="J262" i="16"/>
  <c r="K262" i="16" s="1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K254" i="16" s="1"/>
  <c r="J253" i="16"/>
  <c r="J252" i="16"/>
  <c r="J251" i="16"/>
  <c r="K251" i="16" s="1"/>
  <c r="J250" i="16"/>
  <c r="K250" i="16" s="1"/>
  <c r="J249" i="16"/>
  <c r="J248" i="16"/>
  <c r="J247" i="16"/>
  <c r="J246" i="16"/>
  <c r="K246" i="16" s="1"/>
  <c r="J245" i="16"/>
  <c r="K245" i="16" s="1"/>
  <c r="J244" i="16"/>
  <c r="K244" i="16" s="1"/>
  <c r="J243" i="16"/>
  <c r="K243" i="16" s="1"/>
  <c r="J242" i="16"/>
  <c r="K242" i="16" s="1"/>
  <c r="J241" i="16"/>
  <c r="J240" i="16"/>
  <c r="J239" i="16"/>
  <c r="J238" i="16"/>
  <c r="K238" i="16" s="1"/>
  <c r="J237" i="16"/>
  <c r="K237" i="16" s="1"/>
  <c r="J236" i="16"/>
  <c r="K236" i="16" s="1"/>
  <c r="J235" i="16"/>
  <c r="K235" i="16" s="1"/>
  <c r="J234" i="16"/>
  <c r="J233" i="16"/>
  <c r="J232" i="16"/>
  <c r="J231" i="16"/>
  <c r="J230" i="16"/>
  <c r="K230" i="16" s="1"/>
  <c r="J229" i="16"/>
  <c r="K229" i="16" s="1"/>
  <c r="J228" i="16"/>
  <c r="K228" i="16" s="1"/>
  <c r="J227" i="16"/>
  <c r="K227" i="16" s="1"/>
  <c r="J226" i="16"/>
  <c r="K226" i="16" s="1"/>
  <c r="J225" i="16"/>
  <c r="J224" i="16"/>
  <c r="J223" i="16"/>
  <c r="J222" i="16"/>
  <c r="K222" i="16" s="1"/>
  <c r="J221" i="16"/>
  <c r="J220" i="16"/>
  <c r="K220" i="16" s="1"/>
  <c r="J219" i="16"/>
  <c r="K219" i="16" s="1"/>
  <c r="J218" i="16"/>
  <c r="K218" i="16" s="1"/>
  <c r="J217" i="16"/>
  <c r="J216" i="16"/>
  <c r="J215" i="16"/>
  <c r="J214" i="16"/>
  <c r="K214" i="16" s="1"/>
  <c r="J213" i="16"/>
  <c r="J212" i="16"/>
  <c r="K212" i="16" s="1"/>
  <c r="J211" i="16"/>
  <c r="K211" i="16" s="1"/>
  <c r="J210" i="16"/>
  <c r="K210" i="16" s="1"/>
  <c r="J209" i="16"/>
  <c r="J208" i="16"/>
  <c r="J207" i="16"/>
  <c r="J206" i="16"/>
  <c r="K206" i="16" s="1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K198" i="16" s="1"/>
  <c r="J197" i="16"/>
  <c r="K197" i="16" s="1"/>
  <c r="J196" i="16"/>
  <c r="K196" i="16" s="1"/>
  <c r="J195" i="16"/>
  <c r="K195" i="16" s="1"/>
  <c r="J194" i="16"/>
  <c r="K194" i="16" s="1"/>
  <c r="J193" i="16"/>
  <c r="J192" i="16"/>
  <c r="J191" i="16"/>
  <c r="J190" i="16"/>
  <c r="K190" i="16" s="1"/>
  <c r="J189" i="16"/>
  <c r="K189" i="16" s="1"/>
  <c r="J188" i="16"/>
  <c r="K188" i="16" s="1"/>
  <c r="J187" i="16"/>
  <c r="K187" i="16" s="1"/>
  <c r="J186" i="16"/>
  <c r="K186" i="16" s="1"/>
  <c r="J185" i="16"/>
  <c r="J184" i="16"/>
  <c r="J183" i="16"/>
  <c r="J182" i="16"/>
  <c r="K182" i="16" s="1"/>
  <c r="J181" i="16"/>
  <c r="J180" i="16"/>
  <c r="K180" i="16" s="1"/>
  <c r="J179" i="16"/>
  <c r="K179" i="16" s="1"/>
  <c r="J178" i="16"/>
  <c r="K178" i="16" s="1"/>
  <c r="J177" i="16"/>
  <c r="J176" i="16"/>
  <c r="J175" i="16"/>
  <c r="J174" i="16"/>
  <c r="K174" i="16" s="1"/>
  <c r="J173" i="16"/>
  <c r="K173" i="16" s="1"/>
  <c r="J172" i="16"/>
  <c r="K172" i="16" s="1"/>
  <c r="J171" i="16"/>
  <c r="K171" i="16" s="1"/>
  <c r="J170" i="16"/>
  <c r="J169" i="16"/>
  <c r="J168" i="16"/>
  <c r="J167" i="16"/>
  <c r="J166" i="16"/>
  <c r="K166" i="16" s="1"/>
  <c r="J165" i="16"/>
  <c r="K165" i="16" s="1"/>
  <c r="J164" i="16"/>
  <c r="K164" i="16" s="1"/>
  <c r="J163" i="16"/>
  <c r="K163" i="16" s="1"/>
  <c r="J162" i="16"/>
  <c r="K162" i="16" s="1"/>
  <c r="J161" i="16"/>
  <c r="J160" i="16"/>
  <c r="J159" i="16"/>
  <c r="J158" i="16"/>
  <c r="K158" i="16" s="1"/>
  <c r="J157" i="16"/>
  <c r="J156" i="16"/>
  <c r="J155" i="16"/>
  <c r="K155" i="16" s="1"/>
  <c r="J154" i="16"/>
  <c r="K154" i="16" s="1"/>
  <c r="J153" i="16"/>
  <c r="K153" i="16" s="1"/>
  <c r="J152" i="16"/>
  <c r="J151" i="16"/>
  <c r="J150" i="16"/>
  <c r="K150" i="16" s="1"/>
  <c r="J149" i="16"/>
  <c r="K149" i="16" s="1"/>
  <c r="J148" i="16"/>
  <c r="K148" i="16" s="1"/>
  <c r="J147" i="16"/>
  <c r="K147" i="16" s="1"/>
  <c r="J146" i="16"/>
  <c r="K146" i="16" s="1"/>
  <c r="J145" i="16"/>
  <c r="J144" i="16"/>
  <c r="J143" i="16"/>
  <c r="J142" i="16"/>
  <c r="K142" i="16" s="1"/>
  <c r="J141" i="16"/>
  <c r="K141" i="16" s="1"/>
  <c r="J140" i="16"/>
  <c r="J139" i="16"/>
  <c r="K139" i="16" s="1"/>
  <c r="J138" i="16"/>
  <c r="K138" i="16" s="1"/>
  <c r="J137" i="16"/>
  <c r="J136" i="16"/>
  <c r="J135" i="16"/>
  <c r="J134" i="16"/>
  <c r="K134" i="16" s="1"/>
  <c r="J133" i="16"/>
  <c r="K133" i="16" s="1"/>
  <c r="J132" i="16"/>
  <c r="K132" i="16" s="1"/>
  <c r="J131" i="16"/>
  <c r="K131" i="16" s="1"/>
  <c r="J130" i="16"/>
  <c r="K130" i="16" s="1"/>
  <c r="J129" i="16"/>
  <c r="K129" i="16" s="1"/>
  <c r="J128" i="16"/>
  <c r="J127" i="16"/>
  <c r="J126" i="16"/>
  <c r="K126" i="16" s="1"/>
  <c r="J125" i="16"/>
  <c r="J124" i="16"/>
  <c r="K124" i="16" s="1"/>
  <c r="J123" i="16"/>
  <c r="K123" i="16" s="1"/>
  <c r="J122" i="16"/>
  <c r="K122" i="16" s="1"/>
  <c r="J121" i="16"/>
  <c r="J120" i="16"/>
  <c r="J119" i="16"/>
  <c r="J118" i="16"/>
  <c r="K118" i="16" s="1"/>
  <c r="J117" i="16"/>
  <c r="J116" i="16"/>
  <c r="K116" i="16" s="1"/>
  <c r="J115" i="16"/>
  <c r="K115" i="16" s="1"/>
  <c r="J114" i="16"/>
  <c r="K114" i="16" s="1"/>
  <c r="J113" i="16"/>
  <c r="K113" i="16" s="1"/>
  <c r="J112" i="16"/>
  <c r="J111" i="16"/>
  <c r="J110" i="16"/>
  <c r="K110" i="16" s="1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K102" i="16" s="1"/>
  <c r="J101" i="16"/>
  <c r="K101" i="16" s="1"/>
  <c r="J100" i="16"/>
  <c r="K100" i="16" s="1"/>
  <c r="J99" i="16"/>
  <c r="K99" i="16" s="1"/>
  <c r="J98" i="16"/>
  <c r="K98" i="16" s="1"/>
  <c r="J97" i="16"/>
  <c r="J96" i="16"/>
  <c r="J95" i="16"/>
  <c r="J94" i="16"/>
  <c r="J93" i="16"/>
  <c r="K93" i="16" s="1"/>
  <c r="J92" i="16"/>
  <c r="K92" i="16" s="1"/>
  <c r="J91" i="16"/>
  <c r="K91" i="16" s="1"/>
  <c r="J90" i="16"/>
  <c r="J89" i="16"/>
  <c r="J88" i="16"/>
  <c r="J87" i="16"/>
  <c r="J86" i="16"/>
  <c r="K86" i="16" s="1"/>
  <c r="J85" i="16"/>
  <c r="K85" i="16" s="1"/>
  <c r="J84" i="16"/>
  <c r="J83" i="16"/>
  <c r="K83" i="16" s="1"/>
  <c r="J82" i="16"/>
  <c r="J81" i="16"/>
  <c r="K81" i="16" s="1"/>
  <c r="J80" i="16"/>
  <c r="J79" i="16"/>
  <c r="J78" i="16"/>
  <c r="K78" i="16" s="1"/>
  <c r="J77" i="16"/>
  <c r="K77" i="16" s="1"/>
  <c r="J76" i="16"/>
  <c r="K76" i="16" s="1"/>
  <c r="J75" i="16"/>
  <c r="K75" i="16" s="1"/>
  <c r="J74" i="16"/>
  <c r="K74" i="16" s="1"/>
  <c r="J73" i="16"/>
  <c r="J72" i="16"/>
  <c r="J71" i="16"/>
  <c r="J70" i="16"/>
  <c r="K70" i="16" s="1"/>
  <c r="J69" i="16"/>
  <c r="J68" i="16"/>
  <c r="J67" i="16"/>
  <c r="K67" i="16" s="1"/>
  <c r="J66" i="16"/>
  <c r="K66" i="16" s="1"/>
  <c r="J65" i="16"/>
  <c r="J64" i="16"/>
  <c r="J63" i="16"/>
  <c r="J62" i="16"/>
  <c r="K62" i="16" s="1"/>
  <c r="J61" i="16"/>
  <c r="K61" i="16" s="1"/>
  <c r="J60" i="16"/>
  <c r="K60" i="16" s="1"/>
  <c r="J59" i="16"/>
  <c r="K59" i="16" s="1"/>
  <c r="J58" i="16"/>
  <c r="K58" i="16" s="1"/>
  <c r="J57" i="16"/>
  <c r="K57" i="16" s="1"/>
  <c r="J56" i="16"/>
  <c r="J55" i="16"/>
  <c r="J54" i="16"/>
  <c r="K54" i="16" s="1"/>
  <c r="J53" i="16"/>
  <c r="J52" i="16"/>
  <c r="K52" i="16" s="1"/>
  <c r="J51" i="16"/>
  <c r="K51" i="16" s="1"/>
  <c r="J50" i="16"/>
  <c r="K50" i="16" s="1"/>
  <c r="J49" i="16"/>
  <c r="J48" i="16"/>
  <c r="J47" i="16"/>
  <c r="J46" i="16"/>
  <c r="K46" i="16" s="1"/>
  <c r="J45" i="16"/>
  <c r="K45" i="16" s="1"/>
  <c r="J44" i="16"/>
  <c r="K44" i="16" s="1"/>
  <c r="J43" i="16"/>
  <c r="K43" i="16" s="1"/>
  <c r="J42" i="16"/>
  <c r="K42" i="16" s="1"/>
  <c r="J41" i="16"/>
  <c r="K41" i="16" s="1"/>
  <c r="J40" i="16"/>
  <c r="J39" i="16"/>
  <c r="J38" i="16"/>
  <c r="K38" i="16" s="1"/>
  <c r="J37" i="16"/>
  <c r="J36" i="16"/>
  <c r="J35" i="16"/>
  <c r="K35" i="16" s="1"/>
  <c r="J34" i="16"/>
  <c r="J33" i="16"/>
  <c r="J32" i="16"/>
  <c r="J31" i="16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4" i="16"/>
  <c r="J23" i="16"/>
  <c r="J22" i="16"/>
  <c r="K22" i="16" s="1"/>
  <c r="J21" i="16"/>
  <c r="J20" i="16"/>
  <c r="K20" i="16" s="1"/>
  <c r="J19" i="16"/>
  <c r="K19" i="16" s="1"/>
  <c r="J18" i="16"/>
  <c r="K18" i="16" s="1"/>
  <c r="J17" i="16"/>
  <c r="K17" i="16" s="1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J7" i="16"/>
  <c r="K37" i="16"/>
  <c r="K53" i="16"/>
  <c r="K94" i="16"/>
  <c r="K109" i="16"/>
  <c r="K117" i="16"/>
  <c r="K125" i="16"/>
  <c r="K205" i="16"/>
  <c r="K213" i="16"/>
  <c r="K221" i="16"/>
  <c r="K285" i="16"/>
  <c r="K293" i="16"/>
  <c r="K294" i="16"/>
  <c r="K298" i="16"/>
  <c r="K234" i="16"/>
  <c r="K170" i="16"/>
  <c r="K82" i="16"/>
  <c r="K48" i="16"/>
  <c r="K40" i="16"/>
  <c r="K24" i="16"/>
  <c r="J6" i="16"/>
  <c r="J305" i="15"/>
  <c r="J304" i="15"/>
  <c r="K304" i="15" s="1"/>
  <c r="J303" i="15"/>
  <c r="K303" i="15" s="1"/>
  <c r="J302" i="15"/>
  <c r="K302" i="15" s="1"/>
  <c r="J301" i="15"/>
  <c r="J300" i="15"/>
  <c r="J299" i="15"/>
  <c r="K299" i="15" s="1"/>
  <c r="J298" i="15"/>
  <c r="K298" i="15" s="1"/>
  <c r="J297" i="15"/>
  <c r="J296" i="15"/>
  <c r="J295" i="15"/>
  <c r="K295" i="15" s="1"/>
  <c r="J294" i="15"/>
  <c r="K294" i="15" s="1"/>
  <c r="J293" i="15"/>
  <c r="K293" i="15" s="1"/>
  <c r="J292" i="15"/>
  <c r="J291" i="15"/>
  <c r="K291" i="15" s="1"/>
  <c r="J290" i="15"/>
  <c r="K290" i="15" s="1"/>
  <c r="J289" i="15"/>
  <c r="J288" i="15"/>
  <c r="K288" i="15" s="1"/>
  <c r="J287" i="15"/>
  <c r="J286" i="15"/>
  <c r="J285" i="15"/>
  <c r="K285" i="15" s="1"/>
  <c r="J284" i="15"/>
  <c r="J283" i="15"/>
  <c r="J282" i="15"/>
  <c r="K282" i="15" s="1"/>
  <c r="J281" i="15"/>
  <c r="J280" i="15"/>
  <c r="K280" i="15" s="1"/>
  <c r="J279" i="15"/>
  <c r="K279" i="15" s="1"/>
  <c r="J278" i="15"/>
  <c r="K278" i="15" s="1"/>
  <c r="J277" i="15"/>
  <c r="K277" i="15" s="1"/>
  <c r="J276" i="15"/>
  <c r="J275" i="15"/>
  <c r="K275" i="15" s="1"/>
  <c r="J274" i="15"/>
  <c r="K274" i="15" s="1"/>
  <c r="J273" i="15"/>
  <c r="J272" i="15"/>
  <c r="J271" i="15"/>
  <c r="J270" i="15"/>
  <c r="K270" i="15" s="1"/>
  <c r="J269" i="15"/>
  <c r="K269" i="15" s="1"/>
  <c r="J268" i="15"/>
  <c r="J267" i="15"/>
  <c r="K267" i="15" s="1"/>
  <c r="J266" i="15"/>
  <c r="K266" i="15" s="1"/>
  <c r="J265" i="15"/>
  <c r="J264" i="15"/>
  <c r="K264" i="15" s="1"/>
  <c r="J263" i="15"/>
  <c r="K263" i="15" s="1"/>
  <c r="J262" i="15"/>
  <c r="J261" i="15"/>
  <c r="K261" i="15" s="1"/>
  <c r="J260" i="15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K253" i="15" s="1"/>
  <c r="J252" i="15"/>
  <c r="J251" i="15"/>
  <c r="K251" i="15" s="1"/>
  <c r="J250" i="15"/>
  <c r="K250" i="15" s="1"/>
  <c r="J249" i="15"/>
  <c r="J248" i="15"/>
  <c r="J247" i="15"/>
  <c r="J246" i="15"/>
  <c r="K246" i="15" s="1"/>
  <c r="J245" i="15"/>
  <c r="K245" i="15" s="1"/>
  <c r="J244" i="15"/>
  <c r="J243" i="15"/>
  <c r="J242" i="15"/>
  <c r="K242" i="15" s="1"/>
  <c r="J241" i="15"/>
  <c r="J240" i="15"/>
  <c r="K240" i="15" s="1"/>
  <c r="J239" i="15"/>
  <c r="K239" i="15" s="1"/>
  <c r="J238" i="15"/>
  <c r="J237" i="15"/>
  <c r="K237" i="15" s="1"/>
  <c r="J236" i="15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K229" i="15" s="1"/>
  <c r="J228" i="15"/>
  <c r="J227" i="15"/>
  <c r="K227" i="15" s="1"/>
  <c r="J226" i="15"/>
  <c r="K226" i="15" s="1"/>
  <c r="J225" i="15"/>
  <c r="J224" i="15"/>
  <c r="J223" i="15"/>
  <c r="J222" i="15"/>
  <c r="K222" i="15" s="1"/>
  <c r="J221" i="15"/>
  <c r="K221" i="15" s="1"/>
  <c r="J220" i="15"/>
  <c r="J219" i="15"/>
  <c r="K219" i="15" s="1"/>
  <c r="J218" i="15"/>
  <c r="J217" i="15"/>
  <c r="J216" i="15"/>
  <c r="K216" i="15" s="1"/>
  <c r="J215" i="15"/>
  <c r="K215" i="15" s="1"/>
  <c r="J214" i="15"/>
  <c r="K214" i="15" s="1"/>
  <c r="J213" i="15"/>
  <c r="J212" i="15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K205" i="15" s="1"/>
  <c r="J204" i="15"/>
  <c r="J203" i="15"/>
  <c r="J202" i="15"/>
  <c r="K202" i="15" s="1"/>
  <c r="J201" i="15"/>
  <c r="J200" i="15"/>
  <c r="K200" i="15" s="1"/>
  <c r="J199" i="15"/>
  <c r="J198" i="15"/>
  <c r="J197" i="15"/>
  <c r="K197" i="15" s="1"/>
  <c r="J196" i="15"/>
  <c r="J195" i="15"/>
  <c r="J194" i="15"/>
  <c r="K194" i="15" s="1"/>
  <c r="J193" i="15"/>
  <c r="J192" i="15"/>
  <c r="K192" i="15" s="1"/>
  <c r="J191" i="15"/>
  <c r="K191" i="15" s="1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K183" i="15" s="1"/>
  <c r="J182" i="15"/>
  <c r="K182" i="15" s="1"/>
  <c r="J181" i="15"/>
  <c r="K181" i="15" s="1"/>
  <c r="J180" i="15"/>
  <c r="J179" i="15"/>
  <c r="K179" i="15" s="1"/>
  <c r="J178" i="15"/>
  <c r="K178" i="15" s="1"/>
  <c r="J177" i="15"/>
  <c r="J176" i="15"/>
  <c r="K176" i="15" s="1"/>
  <c r="J175" i="15"/>
  <c r="J174" i="15"/>
  <c r="J173" i="15"/>
  <c r="K173" i="15" s="1"/>
  <c r="J172" i="15"/>
  <c r="J171" i="15"/>
  <c r="K171" i="15" s="1"/>
  <c r="J170" i="15"/>
  <c r="K170" i="15" s="1"/>
  <c r="J169" i="15"/>
  <c r="J168" i="15"/>
  <c r="K168" i="15" s="1"/>
  <c r="J167" i="15"/>
  <c r="K167" i="15" s="1"/>
  <c r="J166" i="15"/>
  <c r="K166" i="15" s="1"/>
  <c r="J165" i="15"/>
  <c r="J164" i="15"/>
  <c r="J163" i="15"/>
  <c r="K163" i="15" s="1"/>
  <c r="J162" i="15"/>
  <c r="K162" i="15" s="1"/>
  <c r="J161" i="15"/>
  <c r="J160" i="15"/>
  <c r="J159" i="15"/>
  <c r="K159" i="15" s="1"/>
  <c r="J158" i="15"/>
  <c r="K158" i="15" s="1"/>
  <c r="J157" i="15"/>
  <c r="K157" i="15" s="1"/>
  <c r="J156" i="15"/>
  <c r="J155" i="15"/>
  <c r="J154" i="15"/>
  <c r="K154" i="15" s="1"/>
  <c r="J153" i="15"/>
  <c r="J152" i="15"/>
  <c r="K152" i="15" s="1"/>
  <c r="J151" i="15"/>
  <c r="J150" i="15"/>
  <c r="J149" i="15"/>
  <c r="K149" i="15" s="1"/>
  <c r="J148" i="15"/>
  <c r="J147" i="15"/>
  <c r="J146" i="15"/>
  <c r="J145" i="15"/>
  <c r="J144" i="15"/>
  <c r="K144" i="15" s="1"/>
  <c r="J143" i="15"/>
  <c r="K143" i="15" s="1"/>
  <c r="J142" i="15"/>
  <c r="K142" i="15" s="1"/>
  <c r="J141" i="15"/>
  <c r="J140" i="15"/>
  <c r="J139" i="15"/>
  <c r="K139" i="15" s="1"/>
  <c r="J138" i="15"/>
  <c r="K138" i="15" s="1"/>
  <c r="J137" i="15"/>
  <c r="J136" i="15"/>
  <c r="J135" i="15"/>
  <c r="K135" i="15" s="1"/>
  <c r="J134" i="15"/>
  <c r="K134" i="15" s="1"/>
  <c r="J133" i="15"/>
  <c r="K133" i="15" s="1"/>
  <c r="J132" i="15"/>
  <c r="J131" i="15"/>
  <c r="K131" i="15" s="1"/>
  <c r="J130" i="15"/>
  <c r="K130" i="15" s="1"/>
  <c r="J129" i="15"/>
  <c r="J128" i="15"/>
  <c r="K128" i="15" s="1"/>
  <c r="J127" i="15"/>
  <c r="J126" i="15"/>
  <c r="J125" i="15"/>
  <c r="K125" i="15" s="1"/>
  <c r="J124" i="15"/>
  <c r="J123" i="15"/>
  <c r="J122" i="15"/>
  <c r="K122" i="15" s="1"/>
  <c r="J121" i="15"/>
  <c r="J120" i="15"/>
  <c r="K120" i="15" s="1"/>
  <c r="J119" i="15"/>
  <c r="K119" i="15" s="1"/>
  <c r="J118" i="15"/>
  <c r="K118" i="15" s="1"/>
  <c r="J117" i="15"/>
  <c r="K117" i="15" s="1"/>
  <c r="J116" i="15"/>
  <c r="J115" i="15"/>
  <c r="K115" i="15" s="1"/>
  <c r="J114" i="15"/>
  <c r="K114" i="15" s="1"/>
  <c r="J113" i="15"/>
  <c r="J112" i="15"/>
  <c r="J111" i="15"/>
  <c r="J110" i="15"/>
  <c r="K110" i="15" s="1"/>
  <c r="J109" i="15"/>
  <c r="K109" i="15" s="1"/>
  <c r="J108" i="15"/>
  <c r="J107" i="15"/>
  <c r="K107" i="15" s="1"/>
  <c r="J106" i="15"/>
  <c r="K106" i="15" s="1"/>
  <c r="J105" i="15"/>
  <c r="J104" i="15"/>
  <c r="K104" i="15" s="1"/>
  <c r="J103" i="15"/>
  <c r="K103" i="15" s="1"/>
  <c r="J102" i="15"/>
  <c r="J101" i="15"/>
  <c r="K101" i="15" s="1"/>
  <c r="J100" i="15"/>
  <c r="J99" i="15"/>
  <c r="K99" i="15" s="1"/>
  <c r="J98" i="15"/>
  <c r="K98" i="15" s="1"/>
  <c r="J97" i="15"/>
  <c r="J96" i="15"/>
  <c r="J95" i="15"/>
  <c r="K95" i="15" s="1"/>
  <c r="J94" i="15"/>
  <c r="K94" i="15" s="1"/>
  <c r="J93" i="15"/>
  <c r="K93" i="15" s="1"/>
  <c r="J92" i="15"/>
  <c r="J91" i="15"/>
  <c r="K91" i="15" s="1"/>
  <c r="J90" i="15"/>
  <c r="K90" i="15" s="1"/>
  <c r="J89" i="15"/>
  <c r="J88" i="15"/>
  <c r="J87" i="15"/>
  <c r="J86" i="15"/>
  <c r="K86" i="15" s="1"/>
  <c r="J85" i="15"/>
  <c r="K85" i="15" s="1"/>
  <c r="J84" i="15"/>
  <c r="J83" i="15"/>
  <c r="J82" i="15"/>
  <c r="J81" i="15"/>
  <c r="J80" i="15"/>
  <c r="K80" i="15" s="1"/>
  <c r="J79" i="15"/>
  <c r="K79" i="15" s="1"/>
  <c r="J78" i="15"/>
  <c r="J77" i="15"/>
  <c r="K77" i="15" s="1"/>
  <c r="J76" i="15"/>
  <c r="J75" i="15"/>
  <c r="K75" i="15" s="1"/>
  <c r="J74" i="15"/>
  <c r="K74" i="15" s="1"/>
  <c r="J73" i="15"/>
  <c r="J72" i="15"/>
  <c r="J71" i="15"/>
  <c r="K71" i="15" s="1"/>
  <c r="J70" i="15"/>
  <c r="K70" i="15" s="1"/>
  <c r="J69" i="15"/>
  <c r="K69" i="15" s="1"/>
  <c r="J68" i="15"/>
  <c r="J67" i="15"/>
  <c r="J66" i="15"/>
  <c r="K66" i="15" s="1"/>
  <c r="J65" i="15"/>
  <c r="J64" i="15"/>
  <c r="J63" i="15"/>
  <c r="K63" i="15" s="1"/>
  <c r="J62" i="15"/>
  <c r="K62" i="15" s="1"/>
  <c r="J61" i="15"/>
  <c r="J60" i="15"/>
  <c r="J59" i="15"/>
  <c r="K59" i="15" s="1"/>
  <c r="J58" i="15"/>
  <c r="K58" i="15" s="1"/>
  <c r="J57" i="15"/>
  <c r="J56" i="15"/>
  <c r="K56" i="15" s="1"/>
  <c r="J55" i="15"/>
  <c r="J54" i="15"/>
  <c r="K54" i="15" s="1"/>
  <c r="J53" i="15"/>
  <c r="K53" i="15" s="1"/>
  <c r="J52" i="15"/>
  <c r="J51" i="15"/>
  <c r="K51" i="15" s="1"/>
  <c r="J50" i="15"/>
  <c r="K50" i="15" s="1"/>
  <c r="J49" i="15"/>
  <c r="J48" i="15"/>
  <c r="K48" i="15" s="1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J39" i="15"/>
  <c r="K39" i="15" s="1"/>
  <c r="J38" i="15"/>
  <c r="K38" i="15" s="1"/>
  <c r="J37" i="15"/>
  <c r="K37" i="15" s="1"/>
  <c r="J36" i="15"/>
  <c r="J35" i="15"/>
  <c r="J34" i="15"/>
  <c r="K34" i="15" s="1"/>
  <c r="J33" i="15"/>
  <c r="J32" i="15"/>
  <c r="J31" i="15"/>
  <c r="J30" i="15"/>
  <c r="K30" i="15" s="1"/>
  <c r="J29" i="15"/>
  <c r="K29" i="15" s="1"/>
  <c r="J28" i="15"/>
  <c r="J27" i="15"/>
  <c r="K27" i="15" s="1"/>
  <c r="J26" i="15"/>
  <c r="K26" i="15" s="1"/>
  <c r="J25" i="15"/>
  <c r="J24" i="15"/>
  <c r="K24" i="15" s="1"/>
  <c r="J23" i="15"/>
  <c r="K23" i="15" s="1"/>
  <c r="J22" i="15"/>
  <c r="J21" i="15"/>
  <c r="K21" i="15" s="1"/>
  <c r="J20" i="15"/>
  <c r="K20" i="15" s="1"/>
  <c r="J19" i="15"/>
  <c r="K19" i="15" s="1"/>
  <c r="J18" i="15"/>
  <c r="J17" i="15"/>
  <c r="J16" i="15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18" i="15"/>
  <c r="K146" i="15"/>
  <c r="K82" i="15"/>
  <c r="K18" i="15"/>
  <c r="G9" i="13"/>
  <c r="G8" i="13"/>
  <c r="G7" i="13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K8" i="19"/>
  <c r="I8" i="19"/>
  <c r="U18" i="20"/>
  <c r="K7" i="19"/>
  <c r="I7" i="19"/>
  <c r="K6" i="19"/>
  <c r="L2" i="19"/>
  <c r="K2" i="19"/>
  <c r="I305" i="18"/>
  <c r="M305" i="18" s="1"/>
  <c r="I304" i="18"/>
  <c r="M304" i="18" s="1"/>
  <c r="I303" i="18"/>
  <c r="M303" i="18" s="1"/>
  <c r="I302" i="18"/>
  <c r="M302" i="18" s="1"/>
  <c r="K301" i="18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I288" i="18"/>
  <c r="M288" i="18" s="1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I256" i="18"/>
  <c r="M256" i="18" s="1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I223" i="18"/>
  <c r="M223" i="18" s="1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I207" i="18"/>
  <c r="M207" i="18" s="1"/>
  <c r="I206" i="18"/>
  <c r="M206" i="18" s="1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I200" i="18"/>
  <c r="M200" i="18" s="1"/>
  <c r="K199" i="18"/>
  <c r="I199" i="18"/>
  <c r="M199" i="18" s="1"/>
  <c r="I198" i="18"/>
  <c r="M198" i="18" s="1"/>
  <c r="I197" i="18"/>
  <c r="M197" i="18" s="1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I160" i="18"/>
  <c r="M160" i="18" s="1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I144" i="18"/>
  <c r="M144" i="18" s="1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I128" i="18"/>
  <c r="M128" i="18" s="1"/>
  <c r="I127" i="18"/>
  <c r="M127" i="18" s="1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K116" i="18"/>
  <c r="I116" i="18"/>
  <c r="M116" i="18" s="1"/>
  <c r="I115" i="18"/>
  <c r="M115" i="18" s="1"/>
  <c r="I114" i="18"/>
  <c r="M114" i="18" s="1"/>
  <c r="I113" i="18"/>
  <c r="M113" i="18" s="1"/>
  <c r="I112" i="18"/>
  <c r="M112" i="18" s="1"/>
  <c r="I111" i="18"/>
  <c r="M111" i="18" s="1"/>
  <c r="I110" i="18"/>
  <c r="M110" i="18" s="1"/>
  <c r="K109" i="18"/>
  <c r="I109" i="18"/>
  <c r="M109" i="18" s="1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K68" i="18"/>
  <c r="I68" i="18"/>
  <c r="M68" i="18" s="1"/>
  <c r="I67" i="18"/>
  <c r="M67" i="18" s="1"/>
  <c r="I66" i="18"/>
  <c r="M66" i="18" s="1"/>
  <c r="I65" i="18"/>
  <c r="M65" i="18" s="1"/>
  <c r="B65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I48" i="18"/>
  <c r="M48" i="18" s="1"/>
  <c r="B48" i="18"/>
  <c r="I47" i="18"/>
  <c r="M47" i="18" s="1"/>
  <c r="B47" i="18"/>
  <c r="T46" i="18"/>
  <c r="R46" i="18"/>
  <c r="I46" i="18"/>
  <c r="M46" i="18" s="1"/>
  <c r="B46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I36" i="18"/>
  <c r="B36" i="18"/>
  <c r="I35" i="18"/>
  <c r="B35" i="18"/>
  <c r="I34" i="18"/>
  <c r="M34" i="18" s="1"/>
  <c r="B34" i="18"/>
  <c r="I33" i="18"/>
  <c r="B33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I27" i="18"/>
  <c r="B27" i="18"/>
  <c r="I26" i="18"/>
  <c r="M26" i="18" s="1"/>
  <c r="B26" i="18"/>
  <c r="I25" i="18"/>
  <c r="B25" i="18"/>
  <c r="K24" i="18"/>
  <c r="I24" i="18"/>
  <c r="B24" i="18"/>
  <c r="I23" i="18"/>
  <c r="B23" i="18"/>
  <c r="I22" i="18"/>
  <c r="B22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I13" i="18"/>
  <c r="M13" i="18" s="1"/>
  <c r="A13" i="18" s="1"/>
  <c r="B13" i="18"/>
  <c r="AI12" i="18"/>
  <c r="AI16" i="18" s="1"/>
  <c r="I12" i="18"/>
  <c r="B12" i="18"/>
  <c r="K11" i="18"/>
  <c r="I11" i="18"/>
  <c r="B11" i="18"/>
  <c r="I10" i="18"/>
  <c r="M10" i="18" s="1"/>
  <c r="B10" i="18"/>
  <c r="I9" i="18"/>
  <c r="B9" i="18"/>
  <c r="M26" i="20" s="1"/>
  <c r="I8" i="18"/>
  <c r="I7" i="18"/>
  <c r="K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I244" i="17"/>
  <c r="M244" i="17" s="1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I188" i="17"/>
  <c r="M188" i="17" s="1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I76" i="17"/>
  <c r="M76" i="17" s="1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I11" i="17"/>
  <c r="B11" i="17"/>
  <c r="I10" i="17"/>
  <c r="M10" i="17" s="1"/>
  <c r="B10" i="17"/>
  <c r="I9" i="17"/>
  <c r="B9" i="17"/>
  <c r="K8" i="17"/>
  <c r="I8" i="17"/>
  <c r="M8" i="17" s="1"/>
  <c r="K7" i="17"/>
  <c r="I7" i="17"/>
  <c r="B7" i="17"/>
  <c r="K6" i="17"/>
  <c r="B6" i="17"/>
  <c r="K28" i="20" s="1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M28" i="16" s="1"/>
  <c r="B28" i="16"/>
  <c r="I27" i="16"/>
  <c r="M27" i="16" s="1"/>
  <c r="A27" i="16" s="1"/>
  <c r="B27" i="16"/>
  <c r="I26" i="16"/>
  <c r="M26" i="16" s="1"/>
  <c r="B26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M12" i="16" s="1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M8" i="16" s="1"/>
  <c r="B8" i="16"/>
  <c r="K7" i="16"/>
  <c r="I7" i="16"/>
  <c r="K6" i="16"/>
  <c r="I23" i="13"/>
  <c r="K2" i="16"/>
  <c r="K305" i="15"/>
  <c r="I305" i="15"/>
  <c r="M305" i="15" s="1"/>
  <c r="I304" i="15"/>
  <c r="M304" i="15" s="1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K286" i="15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I263" i="15"/>
  <c r="M263" i="15" s="1"/>
  <c r="K262" i="15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I239" i="15"/>
  <c r="M239" i="15" s="1"/>
  <c r="K238" i="15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K198" i="15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I191" i="15"/>
  <c r="M191" i="15" s="1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K174" i="15"/>
  <c r="I174" i="15"/>
  <c r="M174" i="15" s="1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K150" i="15"/>
  <c r="I150" i="15"/>
  <c r="M150" i="15" s="1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I144" i="15"/>
  <c r="M144" i="15" s="1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K126" i="15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I103" i="15"/>
  <c r="M103" i="15" s="1"/>
  <c r="K102" i="15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I79" i="15"/>
  <c r="M79" i="15" s="1"/>
  <c r="K78" i="15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I30" i="15"/>
  <c r="M30" i="15" s="1"/>
  <c r="A30" i="15" s="1"/>
  <c r="B30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M24" i="15" s="1"/>
  <c r="A24" i="15" s="1"/>
  <c r="B24" i="15"/>
  <c r="I23" i="15"/>
  <c r="M23" i="15" s="1"/>
  <c r="B23" i="15"/>
  <c r="K22" i="15"/>
  <c r="I22" i="15"/>
  <c r="M22" i="15" s="1"/>
  <c r="A22" i="15" s="1"/>
  <c r="B22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K16" i="15"/>
  <c r="I16" i="15"/>
  <c r="B16" i="15"/>
  <c r="I15" i="15"/>
  <c r="B15" i="15"/>
  <c r="AI14" i="15"/>
  <c r="I14" i="15"/>
  <c r="M14" i="15" s="1"/>
  <c r="A14" i="15" s="1"/>
  <c r="B14" i="15"/>
  <c r="AI13" i="15"/>
  <c r="I13" i="15"/>
  <c r="M13" i="15" s="1"/>
  <c r="A13" i="15" s="1"/>
  <c r="B13" i="15"/>
  <c r="AI12" i="15"/>
  <c r="AI16" i="15" s="1"/>
  <c r="I12" i="15"/>
  <c r="M12" i="15" s="1"/>
  <c r="A12" i="15" s="1"/>
  <c r="B12" i="15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B32" i="14"/>
  <c r="K31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K7" i="14"/>
  <c r="I7" i="14"/>
  <c r="B7" i="14"/>
  <c r="E7" i="13" s="1"/>
  <c r="B6" i="14"/>
  <c r="E6" i="13" s="1"/>
  <c r="K2" i="14"/>
  <c r="L7" i="14" s="1"/>
  <c r="BB8" i="20" l="1"/>
  <c r="BA8" i="20"/>
  <c r="BE8" i="20"/>
  <c r="BF8" i="20"/>
  <c r="BG8" i="20"/>
  <c r="BD8" i="20"/>
  <c r="U16" i="20"/>
  <c r="U23" i="20"/>
  <c r="U14" i="20"/>
  <c r="U21" i="20"/>
  <c r="V21" i="20" s="1"/>
  <c r="U12" i="20"/>
  <c r="U19" i="20"/>
  <c r="V19" i="20" s="1"/>
  <c r="U26" i="20"/>
  <c r="U28" i="20"/>
  <c r="U10" i="20"/>
  <c r="U24" i="20"/>
  <c r="U15" i="20"/>
  <c r="V15" i="20" s="1"/>
  <c r="U17" i="20"/>
  <c r="U13" i="20"/>
  <c r="V13" i="20" s="1"/>
  <c r="U20" i="20"/>
  <c r="U22" i="20"/>
  <c r="U29" i="20"/>
  <c r="U25" i="20"/>
  <c r="U27" i="20"/>
  <c r="U9" i="20"/>
  <c r="V9" i="20" s="1"/>
  <c r="U11" i="20"/>
  <c r="L8" i="30"/>
  <c r="L7" i="3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P6" i="13"/>
  <c r="P7" i="13"/>
  <c r="P8" i="13"/>
  <c r="P7" i="20"/>
  <c r="P6" i="20"/>
  <c r="P8" i="20"/>
  <c r="BD7" i="20"/>
  <c r="BE7" i="20"/>
  <c r="BB6" i="20"/>
  <c r="M10" i="20"/>
  <c r="M12" i="20"/>
  <c r="M25" i="20"/>
  <c r="M19" i="20"/>
  <c r="M21" i="20"/>
  <c r="M23" i="20"/>
  <c r="U46" i="18"/>
  <c r="M17" i="20"/>
  <c r="M16" i="20"/>
  <c r="M9" i="20"/>
  <c r="M18" i="20"/>
  <c r="M20" i="20"/>
  <c r="M27" i="20"/>
  <c r="M29" i="20"/>
  <c r="M11" i="20"/>
  <c r="M13" i="20"/>
  <c r="M15" i="20"/>
  <c r="M22" i="20"/>
  <c r="M24" i="20"/>
  <c r="BD6" i="20"/>
  <c r="BA7" i="20"/>
  <c r="BF7" i="20"/>
  <c r="BG7" i="20"/>
  <c r="BB7" i="20"/>
  <c r="H25" i="20"/>
  <c r="AC20" i="20"/>
  <c r="BC20" i="20" s="1"/>
  <c r="L9" i="41"/>
  <c r="L8" i="41"/>
  <c r="L7" i="41"/>
  <c r="L9" i="40"/>
  <c r="L8" i="40"/>
  <c r="L7" i="40"/>
  <c r="L9" i="39"/>
  <c r="L8" i="39"/>
  <c r="L7" i="39"/>
  <c r="L8" i="38"/>
  <c r="L6" i="36"/>
  <c r="L9" i="35"/>
  <c r="L8" i="35"/>
  <c r="L7" i="35"/>
  <c r="L7" i="32"/>
  <c r="L6" i="30"/>
  <c r="M6" i="30" s="1"/>
  <c r="A6" i="30" s="1"/>
  <c r="K16" i="20"/>
  <c r="K12" i="20"/>
  <c r="K15" i="20"/>
  <c r="K19" i="20"/>
  <c r="K23" i="20"/>
  <c r="K8" i="20"/>
  <c r="K26" i="20"/>
  <c r="K27" i="20"/>
  <c r="K11" i="20"/>
  <c r="K14" i="20"/>
  <c r="K18" i="20"/>
  <c r="K22" i="20"/>
  <c r="K25" i="20"/>
  <c r="K29" i="20"/>
  <c r="K10" i="20"/>
  <c r="K21" i="20"/>
  <c r="K9" i="20"/>
  <c r="K13" i="20"/>
  <c r="K17" i="20"/>
  <c r="K20" i="20"/>
  <c r="K24" i="20"/>
  <c r="I15" i="20"/>
  <c r="I20" i="20"/>
  <c r="I25" i="20"/>
  <c r="I9" i="20"/>
  <c r="I14" i="20"/>
  <c r="I8" i="20"/>
  <c r="I19" i="20"/>
  <c r="I24" i="20"/>
  <c r="I29" i="20"/>
  <c r="I13" i="20"/>
  <c r="I18" i="20"/>
  <c r="I12" i="20"/>
  <c r="I23" i="20"/>
  <c r="I28" i="20"/>
  <c r="L9" i="28"/>
  <c r="L8" i="28"/>
  <c r="L7" i="28"/>
  <c r="L6" i="28"/>
  <c r="M12" i="28"/>
  <c r="N12" i="28" s="1"/>
  <c r="A12" i="28" s="1"/>
  <c r="M14" i="28"/>
  <c r="N14" i="28" s="1"/>
  <c r="A14" i="28" s="1"/>
  <c r="M16" i="28"/>
  <c r="N16" i="28" s="1"/>
  <c r="A16" i="28" s="1"/>
  <c r="M17" i="28"/>
  <c r="N17" i="28" s="1"/>
  <c r="A17" i="28" s="1"/>
  <c r="M18" i="28"/>
  <c r="N18" i="28" s="1"/>
  <c r="A18" i="28" s="1"/>
  <c r="M23" i="28"/>
  <c r="N23" i="28" s="1"/>
  <c r="A23" i="28" s="1"/>
  <c r="M25" i="28"/>
  <c r="N25" i="28" s="1"/>
  <c r="A25" i="28" s="1"/>
  <c r="M26" i="28"/>
  <c r="N26" i="28" s="1"/>
  <c r="A26" i="28" s="1"/>
  <c r="M30" i="28"/>
  <c r="N31" i="28"/>
  <c r="A31" i="28" s="1"/>
  <c r="M31" i="28"/>
  <c r="M33" i="28"/>
  <c r="N33" i="28" s="1"/>
  <c r="A33" i="28" s="1"/>
  <c r="M34" i="28"/>
  <c r="N34" i="28" s="1"/>
  <c r="A34" i="28" s="1"/>
  <c r="M41" i="28"/>
  <c r="N41" i="28" s="1"/>
  <c r="A41" i="28" s="1"/>
  <c r="M42" i="28"/>
  <c r="N42" i="28" s="1"/>
  <c r="A42" i="28" s="1"/>
  <c r="M47" i="28"/>
  <c r="N47" i="28" s="1"/>
  <c r="A47" i="28" s="1"/>
  <c r="M49" i="28"/>
  <c r="N49" i="28" s="1"/>
  <c r="A49" i="28" s="1"/>
  <c r="M50" i="28"/>
  <c r="N50" i="28" s="1"/>
  <c r="A50" i="28" s="1"/>
  <c r="M55" i="28"/>
  <c r="N55" i="28" s="1"/>
  <c r="A55" i="28" s="1"/>
  <c r="M57" i="28"/>
  <c r="N57" i="28" s="1"/>
  <c r="A57" i="28" s="1"/>
  <c r="M58" i="28"/>
  <c r="N58" i="28" s="1"/>
  <c r="A58" i="28" s="1"/>
  <c r="M62" i="28"/>
  <c r="N62" i="28" s="1"/>
  <c r="A62" i="28" s="1"/>
  <c r="M63" i="28"/>
  <c r="N63" i="28" s="1"/>
  <c r="A63" i="28" s="1"/>
  <c r="M64" i="28"/>
  <c r="M66" i="28"/>
  <c r="M70" i="28"/>
  <c r="N70" i="28" s="1"/>
  <c r="A70" i="28" s="1"/>
  <c r="M71" i="28"/>
  <c r="N71" i="28" s="1"/>
  <c r="A71" i="28" s="1"/>
  <c r="M72" i="28"/>
  <c r="N72" i="28" s="1"/>
  <c r="A72" i="28" s="1"/>
  <c r="M78" i="28"/>
  <c r="N78" i="28" s="1"/>
  <c r="A78" i="28" s="1"/>
  <c r="M80" i="28"/>
  <c r="N80" i="28" s="1"/>
  <c r="A80" i="28" s="1"/>
  <c r="M86" i="28"/>
  <c r="N86" i="28" s="1"/>
  <c r="A86" i="28" s="1"/>
  <c r="M87" i="28"/>
  <c r="N87" i="28" s="1"/>
  <c r="A87" i="28" s="1"/>
  <c r="M88" i="28"/>
  <c r="N93" i="28"/>
  <c r="A93" i="28" s="1"/>
  <c r="M93" i="28"/>
  <c r="M94" i="28"/>
  <c r="N94" i="28" s="1"/>
  <c r="A94" i="28" s="1"/>
  <c r="M95" i="28"/>
  <c r="N95" i="28" s="1"/>
  <c r="A95" i="28" s="1"/>
  <c r="M96" i="28"/>
  <c r="N96" i="28" s="1"/>
  <c r="A96" i="28" s="1"/>
  <c r="M97" i="28"/>
  <c r="N97" i="28"/>
  <c r="A97" i="28" s="1"/>
  <c r="M100" i="28"/>
  <c r="M102" i="28"/>
  <c r="N102" i="28" s="1"/>
  <c r="A102" i="28" s="1"/>
  <c r="N104" i="28"/>
  <c r="A104" i="28" s="1"/>
  <c r="M104" i="28"/>
  <c r="N109" i="28"/>
  <c r="A109" i="28" s="1"/>
  <c r="M109" i="28"/>
  <c r="M110" i="28"/>
  <c r="N110" i="28" s="1"/>
  <c r="A110" i="28" s="1"/>
  <c r="M112" i="28"/>
  <c r="N112" i="28" s="1"/>
  <c r="A112" i="28" s="1"/>
  <c r="M113" i="28"/>
  <c r="N113" i="28"/>
  <c r="A113" i="28" s="1"/>
  <c r="M118" i="28"/>
  <c r="N118" i="28" s="1"/>
  <c r="A118" i="28" s="1"/>
  <c r="M119" i="28"/>
  <c r="N119" i="28" s="1"/>
  <c r="A119" i="28" s="1"/>
  <c r="N120" i="28"/>
  <c r="A120" i="28" s="1"/>
  <c r="M120" i="28"/>
  <c r="M121" i="28"/>
  <c r="N121" i="28"/>
  <c r="A121" i="28" s="1"/>
  <c r="M124" i="28"/>
  <c r="M126" i="28"/>
  <c r="N126" i="28" s="1"/>
  <c r="A126" i="28" s="1"/>
  <c r="M127" i="28"/>
  <c r="N127" i="28" s="1"/>
  <c r="A127" i="28" s="1"/>
  <c r="M132" i="28"/>
  <c r="N133" i="28"/>
  <c r="A133" i="28" s="1"/>
  <c r="M133" i="28"/>
  <c r="M134" i="28"/>
  <c r="N134" i="28" s="1"/>
  <c r="A134" i="28" s="1"/>
  <c r="M135" i="28"/>
  <c r="N135" i="28" s="1"/>
  <c r="A135" i="28" s="1"/>
  <c r="N140" i="28"/>
  <c r="A140" i="28" s="1"/>
  <c r="M140" i="28"/>
  <c r="M141" i="28"/>
  <c r="N141" i="28"/>
  <c r="A141" i="28" s="1"/>
  <c r="M142" i="28"/>
  <c r="N142" i="28" s="1"/>
  <c r="A142" i="28" s="1"/>
  <c r="M144" i="28"/>
  <c r="M147" i="28"/>
  <c r="N147" i="28" s="1"/>
  <c r="A147" i="28" s="1"/>
  <c r="M149" i="28"/>
  <c r="N149" i="28"/>
  <c r="A149" i="28" s="1"/>
  <c r="M150" i="28"/>
  <c r="N150" i="28" s="1"/>
  <c r="A150" i="28" s="1"/>
  <c r="M152" i="28"/>
  <c r="M155" i="28"/>
  <c r="N155" i="28" s="1"/>
  <c r="A155" i="28" s="1"/>
  <c r="M157" i="28"/>
  <c r="N157" i="28"/>
  <c r="A157" i="28" s="1"/>
  <c r="M158" i="28"/>
  <c r="N158" i="28" s="1"/>
  <c r="A158" i="28" s="1"/>
  <c r="M160" i="28"/>
  <c r="M163" i="28"/>
  <c r="N163" i="28" s="1"/>
  <c r="A163" i="28" s="1"/>
  <c r="M165" i="28"/>
  <c r="N165" i="28"/>
  <c r="A165" i="28" s="1"/>
  <c r="M166" i="28"/>
  <c r="N166" i="28" s="1"/>
  <c r="A166" i="28" s="1"/>
  <c r="M168" i="28"/>
  <c r="M171" i="28"/>
  <c r="N171" i="28" s="1"/>
  <c r="A171" i="28" s="1"/>
  <c r="N172" i="28"/>
  <c r="A172" i="28" s="1"/>
  <c r="M172" i="28"/>
  <c r="M173" i="28"/>
  <c r="N173" i="28"/>
  <c r="A173" i="28" s="1"/>
  <c r="M174" i="28"/>
  <c r="N174" i="28" s="1"/>
  <c r="A174" i="28" s="1"/>
  <c r="M176" i="28"/>
  <c r="M179" i="28"/>
  <c r="N179" i="28" s="1"/>
  <c r="A179" i="28" s="1"/>
  <c r="M181" i="28"/>
  <c r="N181" i="28"/>
  <c r="A181" i="28" s="1"/>
  <c r="M182" i="28"/>
  <c r="N182" i="28" s="1"/>
  <c r="A182" i="28" s="1"/>
  <c r="M184" i="28"/>
  <c r="M187" i="28"/>
  <c r="N187" i="28" s="1"/>
  <c r="A187" i="28" s="1"/>
  <c r="N188" i="28"/>
  <c r="A188" i="28" s="1"/>
  <c r="M188" i="28"/>
  <c r="M189" i="28"/>
  <c r="N189" i="28"/>
  <c r="A189" i="28" s="1"/>
  <c r="M190" i="28"/>
  <c r="N190" i="28" s="1"/>
  <c r="A190" i="28" s="1"/>
  <c r="M192" i="28"/>
  <c r="M195" i="28"/>
  <c r="N195" i="28" s="1"/>
  <c r="A195" i="28" s="1"/>
  <c r="M197" i="28"/>
  <c r="N197" i="28"/>
  <c r="A197" i="28" s="1"/>
  <c r="M198" i="28"/>
  <c r="N198" i="28" s="1"/>
  <c r="A198" i="28" s="1"/>
  <c r="M202" i="28"/>
  <c r="M204" i="28"/>
  <c r="N204" i="28" s="1"/>
  <c r="A204" i="28" s="1"/>
  <c r="M206" i="28"/>
  <c r="N206" i="28" s="1"/>
  <c r="A206" i="28" s="1"/>
  <c r="M207" i="28"/>
  <c r="N207" i="28"/>
  <c r="A207" i="28" s="1"/>
  <c r="N212" i="28"/>
  <c r="A212" i="28" s="1"/>
  <c r="M212" i="28"/>
  <c r="N213" i="28"/>
  <c r="A213" i="28" s="1"/>
  <c r="M213" i="28"/>
  <c r="N214" i="28"/>
  <c r="A214" i="28" s="1"/>
  <c r="M214" i="28"/>
  <c r="N218" i="28"/>
  <c r="A218" i="28" s="1"/>
  <c r="M218" i="28"/>
  <c r="N219" i="28"/>
  <c r="A219" i="28" s="1"/>
  <c r="M219" i="28"/>
  <c r="N220" i="28"/>
  <c r="A220" i="28" s="1"/>
  <c r="M220" i="28"/>
  <c r="N221" i="28"/>
  <c r="A221" i="28" s="1"/>
  <c r="M221" i="28"/>
  <c r="N222" i="28"/>
  <c r="A222" i="28" s="1"/>
  <c r="M222" i="28"/>
  <c r="M223" i="28"/>
  <c r="N223" i="28"/>
  <c r="A223" i="28" s="1"/>
  <c r="N226" i="28"/>
  <c r="A226" i="28" s="1"/>
  <c r="M226" i="28"/>
  <c r="N228" i="28"/>
  <c r="A228" i="28" s="1"/>
  <c r="M228" i="28"/>
  <c r="N229" i="28"/>
  <c r="A229" i="28" s="1"/>
  <c r="M229" i="28"/>
  <c r="N230" i="28"/>
  <c r="A230" i="28" s="1"/>
  <c r="M230" i="28"/>
  <c r="M231" i="28"/>
  <c r="N231" i="28"/>
  <c r="A231" i="28" s="1"/>
  <c r="N235" i="28"/>
  <c r="A235" i="28" s="1"/>
  <c r="M235" i="28"/>
  <c r="N236" i="28"/>
  <c r="A236" i="28" s="1"/>
  <c r="M236" i="28"/>
  <c r="N237" i="28"/>
  <c r="A237" i="28" s="1"/>
  <c r="M237" i="28"/>
  <c r="N238" i="28"/>
  <c r="A238" i="28" s="1"/>
  <c r="M238" i="28"/>
  <c r="N243" i="28"/>
  <c r="A243" i="28" s="1"/>
  <c r="M243" i="28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50" i="28"/>
  <c r="A250" i="28" s="1"/>
  <c r="M250" i="28"/>
  <c r="N251" i="28"/>
  <c r="A251" i="28" s="1"/>
  <c r="M251" i="28"/>
  <c r="N252" i="28"/>
  <c r="A252" i="28" s="1"/>
  <c r="M252" i="28"/>
  <c r="N254" i="28"/>
  <c r="A254" i="28" s="1"/>
  <c r="M254" i="28"/>
  <c r="N255" i="28"/>
  <c r="A255" i="28" s="1"/>
  <c r="M255" i="28"/>
  <c r="N256" i="28"/>
  <c r="A256" i="28" s="1"/>
  <c r="M256" i="28"/>
  <c r="N259" i="28"/>
  <c r="A259" i="28" s="1"/>
  <c r="M259" i="28"/>
  <c r="N260" i="28"/>
  <c r="A260" i="28" s="1"/>
  <c r="M260" i="28"/>
  <c r="N263" i="28"/>
  <c r="A263" i="28" s="1"/>
  <c r="M263" i="28"/>
  <c r="N264" i="28"/>
  <c r="A264" i="28" s="1"/>
  <c r="M264" i="28"/>
  <c r="N266" i="28"/>
  <c r="A266" i="28" s="1"/>
  <c r="M266" i="28"/>
  <c r="N267" i="28"/>
  <c r="A267" i="28" s="1"/>
  <c r="M267" i="28"/>
  <c r="N268" i="28"/>
  <c r="A268" i="28" s="1"/>
  <c r="M268" i="28"/>
  <c r="N270" i="28"/>
  <c r="A270" i="28" s="1"/>
  <c r="M270" i="28"/>
  <c r="N271" i="28"/>
  <c r="A271" i="28" s="1"/>
  <c r="M271" i="28"/>
  <c r="N272" i="28"/>
  <c r="A272" i="28" s="1"/>
  <c r="M272" i="28"/>
  <c r="N275" i="28"/>
  <c r="A275" i="28" s="1"/>
  <c r="M275" i="28"/>
  <c r="N276" i="28"/>
  <c r="A276" i="28" s="1"/>
  <c r="M276" i="28"/>
  <c r="N279" i="28"/>
  <c r="A279" i="28" s="1"/>
  <c r="M279" i="28"/>
  <c r="N280" i="28"/>
  <c r="A280" i="28" s="1"/>
  <c r="M280" i="28"/>
  <c r="N282" i="28"/>
  <c r="A282" i="28" s="1"/>
  <c r="M282" i="28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5" i="28"/>
  <c r="A295" i="28" s="1"/>
  <c r="M295" i="28"/>
  <c r="N296" i="28"/>
  <c r="A296" i="28" s="1"/>
  <c r="M296" i="28"/>
  <c r="N298" i="28"/>
  <c r="A298" i="28" s="1"/>
  <c r="M298" i="28"/>
  <c r="N299" i="28"/>
  <c r="A299" i="28" s="1"/>
  <c r="M299" i="28"/>
  <c r="N300" i="28"/>
  <c r="A300" i="28" s="1"/>
  <c r="M300" i="28"/>
  <c r="N302" i="28"/>
  <c r="A302" i="28" s="1"/>
  <c r="M302" i="28"/>
  <c r="N303" i="28"/>
  <c r="A303" i="28" s="1"/>
  <c r="M303" i="28"/>
  <c r="N304" i="28"/>
  <c r="A304" i="28" s="1"/>
  <c r="M304" i="28"/>
  <c r="H9" i="20"/>
  <c r="H14" i="20"/>
  <c r="H13" i="20"/>
  <c r="H18" i="20"/>
  <c r="H6" i="20"/>
  <c r="H12" i="20"/>
  <c r="H23" i="20"/>
  <c r="H17" i="20"/>
  <c r="H22" i="20"/>
  <c r="H19" i="20"/>
  <c r="H11" i="20"/>
  <c r="H16" i="20"/>
  <c r="H28" i="20"/>
  <c r="H8" i="20"/>
  <c r="H10" i="20"/>
  <c r="H21" i="20"/>
  <c r="H24" i="20"/>
  <c r="H15" i="20"/>
  <c r="H20" i="20"/>
  <c r="H26" i="20"/>
  <c r="AC9" i="20"/>
  <c r="BC9" i="20" s="1"/>
  <c r="Z9" i="20"/>
  <c r="AA9" i="20" s="1"/>
  <c r="BB9" i="20" s="1"/>
  <c r="Z18" i="20"/>
  <c r="AA18" i="20" s="1"/>
  <c r="BB18" i="20" s="1"/>
  <c r="Z14" i="20"/>
  <c r="AA14" i="20" s="1"/>
  <c r="BB14" i="20" s="1"/>
  <c r="Z10" i="20"/>
  <c r="AA10" i="20" s="1"/>
  <c r="BB10" i="20" s="1"/>
  <c r="Z29" i="20"/>
  <c r="AA29" i="20" s="1"/>
  <c r="BB29" i="20" s="1"/>
  <c r="Z25" i="20"/>
  <c r="AA25" i="20" s="1"/>
  <c r="BB25" i="20" s="1"/>
  <c r="Z21" i="20"/>
  <c r="AA21" i="20" s="1"/>
  <c r="BB21" i="20" s="1"/>
  <c r="Z17" i="20"/>
  <c r="AA17" i="20" s="1"/>
  <c r="BB17" i="20" s="1"/>
  <c r="Z13" i="20"/>
  <c r="AA13" i="20" s="1"/>
  <c r="BB13" i="20" s="1"/>
  <c r="Z26" i="20"/>
  <c r="AA26" i="20" s="1"/>
  <c r="BB26" i="20" s="1"/>
  <c r="Z22" i="20"/>
  <c r="AA22" i="20" s="1"/>
  <c r="BB22" i="20" s="1"/>
  <c r="Z28" i="20"/>
  <c r="AA28" i="20" s="1"/>
  <c r="BB28" i="20" s="1"/>
  <c r="Z12" i="20"/>
  <c r="AA12" i="20" s="1"/>
  <c r="BB12" i="20" s="1"/>
  <c r="Z15" i="20"/>
  <c r="AA15" i="20" s="1"/>
  <c r="BB15" i="20" s="1"/>
  <c r="Z20" i="20"/>
  <c r="AA20" i="20" s="1"/>
  <c r="BB20" i="20" s="1"/>
  <c r="AC6" i="20"/>
  <c r="BC7" i="20" s="1"/>
  <c r="AA11" i="20"/>
  <c r="BB11" i="20" s="1"/>
  <c r="AC29" i="20"/>
  <c r="BC29" i="20" s="1"/>
  <c r="AC16" i="20"/>
  <c r="BC16" i="20" s="1"/>
  <c r="L6" i="22"/>
  <c r="L9" i="22"/>
  <c r="L7" i="22"/>
  <c r="L8" i="22"/>
  <c r="AI16" i="23"/>
  <c r="BA16" i="20"/>
  <c r="M38" i="28"/>
  <c r="N38" i="28" s="1"/>
  <c r="A38" i="28" s="1"/>
  <c r="N51" i="28"/>
  <c r="A51" i="28" s="1"/>
  <c r="M51" i="28"/>
  <c r="BA17" i="20"/>
  <c r="AB14" i="20"/>
  <c r="AC14" i="20" s="1"/>
  <c r="BC14" i="20" s="1"/>
  <c r="AB10" i="20"/>
  <c r="AC10" i="20" s="1"/>
  <c r="BC10" i="20" s="1"/>
  <c r="AB19" i="20"/>
  <c r="AC19" i="20" s="1"/>
  <c r="BC19" i="20" s="1"/>
  <c r="AB15" i="20"/>
  <c r="AC15" i="20" s="1"/>
  <c r="BC15" i="20" s="1"/>
  <c r="AB26" i="20"/>
  <c r="AC26" i="20" s="1"/>
  <c r="BC26" i="20" s="1"/>
  <c r="AB22" i="20"/>
  <c r="AC22" i="20" s="1"/>
  <c r="BC22" i="20" s="1"/>
  <c r="AB18" i="20"/>
  <c r="AC18" i="20" s="1"/>
  <c r="BC18" i="20" s="1"/>
  <c r="AB27" i="20"/>
  <c r="AC27" i="20" s="1"/>
  <c r="BC27" i="20" s="1"/>
  <c r="AB11" i="20"/>
  <c r="AC11" i="20" s="1"/>
  <c r="BC11" i="20" s="1"/>
  <c r="AB23" i="20"/>
  <c r="AC23" i="20" s="1"/>
  <c r="BC23" i="20" s="1"/>
  <c r="L7" i="24"/>
  <c r="L8" i="24"/>
  <c r="L9" i="24"/>
  <c r="L6" i="24"/>
  <c r="M105" i="28"/>
  <c r="N105" i="28"/>
  <c r="A105" i="28" s="1"/>
  <c r="N130" i="28"/>
  <c r="A130" i="28" s="1"/>
  <c r="M130" i="28"/>
  <c r="M32" i="28"/>
  <c r="N32" i="28"/>
  <c r="A32" i="28" s="1"/>
  <c r="M11" i="28"/>
  <c r="N11" i="28" s="1"/>
  <c r="A11" i="28" s="1"/>
  <c r="M170" i="28"/>
  <c r="N170" i="28" s="1"/>
  <c r="A170" i="28" s="1"/>
  <c r="M7" i="28"/>
  <c r="N7" i="28" s="1"/>
  <c r="A7" i="28" s="1"/>
  <c r="L9" i="23"/>
  <c r="L6" i="23"/>
  <c r="L7" i="23"/>
  <c r="M125" i="28"/>
  <c r="N125" i="28" s="1"/>
  <c r="A125" i="28" s="1"/>
  <c r="M68" i="28"/>
  <c r="N68" i="28" s="1"/>
  <c r="A68" i="28" s="1"/>
  <c r="AI16" i="24"/>
  <c r="N85" i="28"/>
  <c r="A85" i="28" s="1"/>
  <c r="M85" i="28"/>
  <c r="M122" i="28"/>
  <c r="N122" i="28" s="1"/>
  <c r="A122" i="28" s="1"/>
  <c r="N53" i="28"/>
  <c r="A53" i="28" s="1"/>
  <c r="M53" i="28"/>
  <c r="M89" i="28"/>
  <c r="N89" i="28"/>
  <c r="A89" i="28" s="1"/>
  <c r="M91" i="28"/>
  <c r="N91" i="28" s="1"/>
  <c r="A91" i="28" s="1"/>
  <c r="M169" i="28"/>
  <c r="N169" i="28"/>
  <c r="A169" i="28" s="1"/>
  <c r="M185" i="28"/>
  <c r="N185" i="28" s="1"/>
  <c r="A185" i="28" s="1"/>
  <c r="M81" i="28"/>
  <c r="N81" i="28"/>
  <c r="A81" i="28" s="1"/>
  <c r="M37" i="28"/>
  <c r="N37" i="28" s="1"/>
  <c r="A37" i="28" s="1"/>
  <c r="M46" i="28"/>
  <c r="N46" i="28" s="1"/>
  <c r="A46" i="28" s="1"/>
  <c r="M15" i="28"/>
  <c r="N15" i="28" s="1"/>
  <c r="A15" i="28" s="1"/>
  <c r="N27" i="28"/>
  <c r="A27" i="28" s="1"/>
  <c r="M48" i="28"/>
  <c r="N48" i="28"/>
  <c r="A48" i="28" s="1"/>
  <c r="N77" i="28"/>
  <c r="A77" i="28" s="1"/>
  <c r="M123" i="28"/>
  <c r="N123" i="28" s="1"/>
  <c r="A123" i="28" s="1"/>
  <c r="N154" i="28"/>
  <c r="A154" i="28" s="1"/>
  <c r="M154" i="28"/>
  <c r="N162" i="28"/>
  <c r="A162" i="28" s="1"/>
  <c r="M162" i="28"/>
  <c r="N210" i="28"/>
  <c r="A210" i="28" s="1"/>
  <c r="M210" i="28"/>
  <c r="N242" i="28"/>
  <c r="A242" i="28" s="1"/>
  <c r="M242" i="28"/>
  <c r="N262" i="28"/>
  <c r="A262" i="28" s="1"/>
  <c r="M262" i="28"/>
  <c r="M29" i="28"/>
  <c r="N29" i="28" s="1"/>
  <c r="A29" i="28" s="1"/>
  <c r="M56" i="28"/>
  <c r="N56" i="28" s="1"/>
  <c r="A56" i="28" s="1"/>
  <c r="M106" i="28"/>
  <c r="N106" i="28" s="1"/>
  <c r="A106" i="28" s="1"/>
  <c r="N108" i="28"/>
  <c r="A108" i="28" s="1"/>
  <c r="M108" i="28"/>
  <c r="M146" i="28"/>
  <c r="N146" i="28" s="1"/>
  <c r="A146" i="28" s="1"/>
  <c r="M215" i="28"/>
  <c r="N215" i="28"/>
  <c r="A215" i="28" s="1"/>
  <c r="M8" i="28"/>
  <c r="M22" i="28"/>
  <c r="N22" i="28" s="1"/>
  <c r="A22" i="28" s="1"/>
  <c r="N43" i="28"/>
  <c r="A43" i="28" s="1"/>
  <c r="M43" i="28"/>
  <c r="N116" i="28"/>
  <c r="A116" i="28" s="1"/>
  <c r="M116" i="28"/>
  <c r="M137" i="28"/>
  <c r="N137" i="28"/>
  <c r="A137" i="28" s="1"/>
  <c r="M194" i="28"/>
  <c r="N194" i="28" s="1"/>
  <c r="A194" i="28" s="1"/>
  <c r="M208" i="28"/>
  <c r="N208" i="28" s="1"/>
  <c r="A208" i="28" s="1"/>
  <c r="M65" i="28"/>
  <c r="N65" i="28" s="1"/>
  <c r="A65" i="28" s="1"/>
  <c r="N74" i="28"/>
  <c r="A74" i="28" s="1"/>
  <c r="M114" i="28"/>
  <c r="N114" i="28" s="1"/>
  <c r="A114" i="28" s="1"/>
  <c r="N138" i="28"/>
  <c r="A138" i="28" s="1"/>
  <c r="M138" i="28"/>
  <c r="M153" i="28"/>
  <c r="N153" i="28"/>
  <c r="A153" i="28" s="1"/>
  <c r="N278" i="28"/>
  <c r="A278" i="28" s="1"/>
  <c r="M278" i="28"/>
  <c r="M6" i="28"/>
  <c r="N6" i="28" s="1"/>
  <c r="A6" i="28" s="1"/>
  <c r="M10" i="28"/>
  <c r="N10" i="28" s="1"/>
  <c r="A10" i="28" s="1"/>
  <c r="M45" i="28"/>
  <c r="N45" i="28" s="1"/>
  <c r="A45" i="28" s="1"/>
  <c r="N54" i="28"/>
  <c r="A54" i="28" s="1"/>
  <c r="M76" i="28"/>
  <c r="N76" i="28" s="1"/>
  <c r="A76" i="28" s="1"/>
  <c r="M99" i="28"/>
  <c r="N99" i="28" s="1"/>
  <c r="A99" i="28" s="1"/>
  <c r="M101" i="28"/>
  <c r="N101" i="28" s="1"/>
  <c r="A101" i="28" s="1"/>
  <c r="N131" i="28"/>
  <c r="A131" i="28" s="1"/>
  <c r="M131" i="28"/>
  <c r="M186" i="28"/>
  <c r="N186" i="28" s="1"/>
  <c r="A186" i="28" s="1"/>
  <c r="N232" i="28"/>
  <c r="A232" i="28" s="1"/>
  <c r="M232" i="28"/>
  <c r="N258" i="28"/>
  <c r="A258" i="28" s="1"/>
  <c r="M258" i="28"/>
  <c r="M21" i="28"/>
  <c r="N21" i="28" s="1"/>
  <c r="A21" i="28" s="1"/>
  <c r="N24" i="28"/>
  <c r="A24" i="28" s="1"/>
  <c r="N30" i="28"/>
  <c r="A30" i="28" s="1"/>
  <c r="M40" i="28"/>
  <c r="N40" i="28" s="1"/>
  <c r="A40" i="28" s="1"/>
  <c r="N61" i="28"/>
  <c r="A61" i="28" s="1"/>
  <c r="M61" i="28"/>
  <c r="M74" i="28"/>
  <c r="N90" i="28"/>
  <c r="A90" i="28" s="1"/>
  <c r="M90" i="28"/>
  <c r="N124" i="28"/>
  <c r="A124" i="28" s="1"/>
  <c r="M178" i="28"/>
  <c r="N178" i="28" s="1"/>
  <c r="A178" i="28" s="1"/>
  <c r="N201" i="28"/>
  <c r="A201" i="28" s="1"/>
  <c r="M201" i="28"/>
  <c r="N274" i="28"/>
  <c r="A274" i="28" s="1"/>
  <c r="M274" i="28"/>
  <c r="M129" i="28"/>
  <c r="N129" i="28"/>
  <c r="A129" i="28" s="1"/>
  <c r="M145" i="28"/>
  <c r="N145" i="28"/>
  <c r="A145" i="28" s="1"/>
  <c r="M161" i="28"/>
  <c r="N161" i="28"/>
  <c r="A161" i="28" s="1"/>
  <c r="M177" i="28"/>
  <c r="N177" i="28" s="1"/>
  <c r="A177" i="28" s="1"/>
  <c r="M193" i="28"/>
  <c r="N193" i="28"/>
  <c r="A193" i="28" s="1"/>
  <c r="N211" i="28"/>
  <c r="A211" i="28" s="1"/>
  <c r="M211" i="28"/>
  <c r="M9" i="28"/>
  <c r="N9" i="28" s="1"/>
  <c r="A9" i="28" s="1"/>
  <c r="N60" i="28"/>
  <c r="A60" i="28" s="1"/>
  <c r="M60" i="28"/>
  <c r="M73" i="28"/>
  <c r="N73" i="28"/>
  <c r="A73" i="28" s="1"/>
  <c r="M115" i="28"/>
  <c r="N115" i="28" s="1"/>
  <c r="A115" i="28" s="1"/>
  <c r="M203" i="28"/>
  <c r="N203" i="28" s="1"/>
  <c r="A203" i="28" s="1"/>
  <c r="N227" i="28"/>
  <c r="A227" i="28" s="1"/>
  <c r="M227" i="28"/>
  <c r="N240" i="28"/>
  <c r="A240" i="28" s="1"/>
  <c r="M240" i="28"/>
  <c r="N294" i="28"/>
  <c r="A294" i="28" s="1"/>
  <c r="M294" i="28"/>
  <c r="N8" i="28"/>
  <c r="A8" i="28" s="1"/>
  <c r="M20" i="28"/>
  <c r="N20" i="28" s="1"/>
  <c r="A20" i="28" s="1"/>
  <c r="M28" i="28"/>
  <c r="N28" i="28" s="1"/>
  <c r="A28" i="28" s="1"/>
  <c r="M36" i="28"/>
  <c r="N36" i="28" s="1"/>
  <c r="A36" i="28" s="1"/>
  <c r="M44" i="28"/>
  <c r="N44" i="28" s="1"/>
  <c r="A44" i="28" s="1"/>
  <c r="M52" i="28"/>
  <c r="N52" i="28" s="1"/>
  <c r="A52" i="28" s="1"/>
  <c r="N66" i="28"/>
  <c r="A66" i="28" s="1"/>
  <c r="M82" i="28"/>
  <c r="N82" i="28" s="1"/>
  <c r="A82" i="28" s="1"/>
  <c r="N84" i="28"/>
  <c r="A84" i="28" s="1"/>
  <c r="M84" i="28"/>
  <c r="N92" i="28"/>
  <c r="A92" i="28" s="1"/>
  <c r="N132" i="28"/>
  <c r="A132" i="28" s="1"/>
  <c r="M209" i="28"/>
  <c r="N209" i="28" s="1"/>
  <c r="A209" i="28" s="1"/>
  <c r="N216" i="28"/>
  <c r="A216" i="28" s="1"/>
  <c r="M216" i="28"/>
  <c r="N234" i="28"/>
  <c r="A234" i="28" s="1"/>
  <c r="M234" i="28"/>
  <c r="N290" i="28"/>
  <c r="A290" i="28" s="1"/>
  <c r="M290" i="28"/>
  <c r="M67" i="28"/>
  <c r="N67" i="28" s="1"/>
  <c r="A67" i="28" s="1"/>
  <c r="M75" i="28"/>
  <c r="N75" i="28" s="1"/>
  <c r="A75" i="28" s="1"/>
  <c r="M83" i="28"/>
  <c r="N83" i="28" s="1"/>
  <c r="A83" i="28" s="1"/>
  <c r="M98" i="28"/>
  <c r="N98" i="28" s="1"/>
  <c r="A98" i="28" s="1"/>
  <c r="N100" i="28"/>
  <c r="A100" i="28" s="1"/>
  <c r="N249" i="28"/>
  <c r="A249" i="28" s="1"/>
  <c r="M249" i="28"/>
  <c r="M107" i="28"/>
  <c r="N107" i="28" s="1"/>
  <c r="A107" i="28" s="1"/>
  <c r="M143" i="28"/>
  <c r="N143" i="28" s="1"/>
  <c r="A143" i="28" s="1"/>
  <c r="M151" i="28"/>
  <c r="N151" i="28" s="1"/>
  <c r="A151" i="28" s="1"/>
  <c r="M159" i="28"/>
  <c r="N159" i="28" s="1"/>
  <c r="A159" i="28" s="1"/>
  <c r="M167" i="28"/>
  <c r="N167" i="28" s="1"/>
  <c r="A167" i="28" s="1"/>
  <c r="M175" i="28"/>
  <c r="N175" i="28" s="1"/>
  <c r="A175" i="28" s="1"/>
  <c r="M183" i="28"/>
  <c r="N183" i="28" s="1"/>
  <c r="A183" i="28" s="1"/>
  <c r="M191" i="28"/>
  <c r="N191" i="28" s="1"/>
  <c r="A191" i="28" s="1"/>
  <c r="M199" i="28"/>
  <c r="N199" i="28" s="1"/>
  <c r="A199" i="28" s="1"/>
  <c r="N225" i="28"/>
  <c r="A225" i="28" s="1"/>
  <c r="M225" i="28"/>
  <c r="M239" i="28"/>
  <c r="N239" i="28"/>
  <c r="A239" i="28" s="1"/>
  <c r="N241" i="28"/>
  <c r="A241" i="28" s="1"/>
  <c r="M241" i="28"/>
  <c r="N253" i="28"/>
  <c r="A253" i="28" s="1"/>
  <c r="M253" i="28"/>
  <c r="N261" i="28"/>
  <c r="A261" i="28" s="1"/>
  <c r="M261" i="28"/>
  <c r="N265" i="28"/>
  <c r="A265" i="28" s="1"/>
  <c r="M265" i="28"/>
  <c r="N269" i="28"/>
  <c r="A269" i="28" s="1"/>
  <c r="M269" i="28"/>
  <c r="N277" i="28"/>
  <c r="A277" i="28" s="1"/>
  <c r="M277" i="28"/>
  <c r="N281" i="28"/>
  <c r="A281" i="28" s="1"/>
  <c r="M281" i="28"/>
  <c r="N285" i="28"/>
  <c r="A285" i="28" s="1"/>
  <c r="M285" i="28"/>
  <c r="N293" i="28"/>
  <c r="A293" i="28" s="1"/>
  <c r="M293" i="28"/>
  <c r="N297" i="28"/>
  <c r="A297" i="28" s="1"/>
  <c r="M297" i="28"/>
  <c r="N301" i="28"/>
  <c r="A301" i="28" s="1"/>
  <c r="M301" i="28"/>
  <c r="N217" i="28"/>
  <c r="A217" i="28" s="1"/>
  <c r="M217" i="28"/>
  <c r="N248" i="28"/>
  <c r="A248" i="28" s="1"/>
  <c r="M248" i="28"/>
  <c r="N224" i="28"/>
  <c r="A224" i="28" s="1"/>
  <c r="M224" i="28"/>
  <c r="N257" i="28"/>
  <c r="A257" i="28" s="1"/>
  <c r="M257" i="28"/>
  <c r="N273" i="28"/>
  <c r="A273" i="28" s="1"/>
  <c r="M273" i="28"/>
  <c r="N289" i="28"/>
  <c r="A289" i="28" s="1"/>
  <c r="M289" i="28"/>
  <c r="N305" i="28"/>
  <c r="A305" i="28" s="1"/>
  <c r="M305" i="28"/>
  <c r="N144" i="28"/>
  <c r="A144" i="28" s="1"/>
  <c r="N152" i="28"/>
  <c r="A152" i="28" s="1"/>
  <c r="N160" i="28"/>
  <c r="A160" i="28" s="1"/>
  <c r="N168" i="28"/>
  <c r="A168" i="28" s="1"/>
  <c r="N176" i="28"/>
  <c r="A176" i="28" s="1"/>
  <c r="N184" i="28"/>
  <c r="A184" i="28" s="1"/>
  <c r="N192" i="28"/>
  <c r="A192" i="28" s="1"/>
  <c r="M200" i="28"/>
  <c r="N200" i="28" s="1"/>
  <c r="A200" i="28" s="1"/>
  <c r="N202" i="28"/>
  <c r="A202" i="28" s="1"/>
  <c r="N233" i="28"/>
  <c r="A233" i="28" s="1"/>
  <c r="M233" i="28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7" i="14"/>
  <c r="E17" i="13"/>
  <c r="E9" i="13"/>
  <c r="E8" i="13"/>
  <c r="M9" i="14"/>
  <c r="A9" i="14" s="1"/>
  <c r="M10" i="14"/>
  <c r="A10" i="14" s="1"/>
  <c r="M11" i="14"/>
  <c r="A11" i="14" s="1"/>
  <c r="M12" i="14"/>
  <c r="A12" i="14" s="1"/>
  <c r="M13" i="14"/>
  <c r="A13" i="14" s="1"/>
  <c r="AI16" i="14"/>
  <c r="M14" i="14"/>
  <c r="A14" i="14" s="1"/>
  <c r="M15" i="14"/>
  <c r="A15" i="14" s="1"/>
  <c r="M16" i="14"/>
  <c r="A16" i="14" s="1"/>
  <c r="M19" i="14"/>
  <c r="A19" i="14" s="1"/>
  <c r="M20" i="14"/>
  <c r="A20" i="14" s="1"/>
  <c r="M21" i="14"/>
  <c r="A21" i="14" s="1"/>
  <c r="M22" i="14"/>
  <c r="A22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4" i="14"/>
  <c r="A34" i="14" s="1"/>
  <c r="M35" i="14"/>
  <c r="A35" i="14" s="1"/>
  <c r="M36" i="14"/>
  <c r="A36" i="14" s="1"/>
  <c r="M37" i="14"/>
  <c r="A37" i="14" s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AI1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M6" i="19" s="1"/>
  <c r="N6" i="19" s="1"/>
  <c r="A6" i="19" s="1"/>
  <c r="V7" i="20" s="1"/>
  <c r="L8" i="19"/>
  <c r="M8" i="19"/>
  <c r="N8" i="19" s="1"/>
  <c r="N9" i="19"/>
  <c r="A9" i="19" s="1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L7" i="17"/>
  <c r="M7" i="17" s="1"/>
  <c r="L8" i="17"/>
  <c r="L6" i="17"/>
  <c r="M6" i="17" s="1"/>
  <c r="A6" i="17" s="1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U46" i="16"/>
  <c r="I8" i="13"/>
  <c r="I16" i="13"/>
  <c r="I9" i="13"/>
  <c r="I17" i="13"/>
  <c r="M20" i="16"/>
  <c r="A20" i="16" s="1"/>
  <c r="I10" i="13"/>
  <c r="I18" i="13"/>
  <c r="A28" i="16"/>
  <c r="I11" i="13"/>
  <c r="I19" i="13"/>
  <c r="A36" i="16"/>
  <c r="M22" i="16"/>
  <c r="A22" i="16" s="1"/>
  <c r="M30" i="16"/>
  <c r="A30" i="16" s="1"/>
  <c r="I12" i="13"/>
  <c r="I20" i="13"/>
  <c r="A12" i="16"/>
  <c r="A26" i="16"/>
  <c r="I13" i="13"/>
  <c r="I21" i="13"/>
  <c r="M16" i="16"/>
  <c r="A16" i="16" s="1"/>
  <c r="I14" i="13"/>
  <c r="I22" i="13"/>
  <c r="A24" i="16"/>
  <c r="A32" i="16"/>
  <c r="I15" i="13"/>
  <c r="A46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H6" i="13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F7" i="13" s="1"/>
  <c r="E10" i="13"/>
  <c r="E22" i="13"/>
  <c r="A8" i="14"/>
  <c r="F9" i="13" s="1"/>
  <c r="L6" i="14"/>
  <c r="A8" i="16"/>
  <c r="L7" i="16"/>
  <c r="M7" i="16" s="1"/>
  <c r="A7" i="16" s="1"/>
  <c r="L8" i="16"/>
  <c r="L6" i="16"/>
  <c r="A45" i="19"/>
  <c r="L6" i="18"/>
  <c r="M6" i="18" s="1"/>
  <c r="A6" i="18" s="1"/>
  <c r="L7" i="18"/>
  <c r="A18" i="19"/>
  <c r="A8" i="19"/>
  <c r="V18" i="20" s="1"/>
  <c r="A57" i="19"/>
  <c r="A164" i="19"/>
  <c r="A212" i="19"/>
  <c r="A228" i="19"/>
  <c r="A264" i="19"/>
  <c r="A276" i="19"/>
  <c r="A160" i="19"/>
  <c r="A208" i="19"/>
  <c r="A218" i="19"/>
  <c r="A180" i="19"/>
  <c r="A224" i="19"/>
  <c r="A260" i="19"/>
  <c r="A272" i="19"/>
  <c r="L7" i="19"/>
  <c r="A166" i="19"/>
  <c r="A176" i="19"/>
  <c r="A138" i="19"/>
  <c r="A186" i="19"/>
  <c r="A226" i="19"/>
  <c r="A238" i="19"/>
  <c r="A262" i="19"/>
  <c r="A274" i="19"/>
  <c r="A286" i="19"/>
  <c r="A158" i="19"/>
  <c r="A206" i="19"/>
  <c r="A168" i="19"/>
  <c r="A178" i="19"/>
  <c r="V11" i="20" l="1"/>
  <c r="V17" i="20"/>
  <c r="V12" i="20"/>
  <c r="V27" i="20"/>
  <c r="V8" i="20"/>
  <c r="V14" i="20"/>
  <c r="V25" i="20"/>
  <c r="V24" i="20"/>
  <c r="V23" i="20"/>
  <c r="V29" i="20"/>
  <c r="V10" i="20"/>
  <c r="V16" i="20"/>
  <c r="V22" i="20"/>
  <c r="V28" i="20"/>
  <c r="V20" i="20"/>
  <c r="V26" i="20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BC6" i="20"/>
  <c r="M6" i="16"/>
  <c r="A6" i="16" s="1"/>
  <c r="AY7" i="20"/>
  <c r="AY6" i="20"/>
  <c r="AY8" i="20"/>
  <c r="AY9" i="20"/>
  <c r="AY10" i="20"/>
  <c r="AY11" i="20"/>
  <c r="AY12" i="20"/>
  <c r="AY13" i="20"/>
  <c r="AY14" i="20"/>
  <c r="AY15" i="20"/>
  <c r="AY16" i="20"/>
  <c r="AY17" i="20"/>
  <c r="AY18" i="20"/>
  <c r="AY19" i="20"/>
  <c r="AY20" i="20"/>
  <c r="AY21" i="20"/>
  <c r="AY22" i="20"/>
  <c r="AY23" i="20"/>
  <c r="AY24" i="20"/>
  <c r="AY25" i="20"/>
  <c r="AY26" i="20"/>
  <c r="AY27" i="20"/>
  <c r="AY28" i="20"/>
  <c r="AY29" i="20"/>
  <c r="N23" i="20"/>
  <c r="N21" i="20"/>
  <c r="N19" i="20"/>
  <c r="N17" i="20"/>
  <c r="N15" i="20"/>
  <c r="N13" i="20"/>
  <c r="N11" i="20"/>
  <c r="N9" i="20"/>
  <c r="N8" i="20"/>
  <c r="N10" i="20"/>
  <c r="N12" i="20"/>
  <c r="N14" i="20"/>
  <c r="N16" i="20"/>
  <c r="N18" i="20"/>
  <c r="N20" i="20"/>
  <c r="N22" i="20"/>
  <c r="N24" i="20"/>
  <c r="N25" i="20"/>
  <c r="N26" i="20"/>
  <c r="N27" i="20"/>
  <c r="N28" i="20"/>
  <c r="N29" i="20"/>
  <c r="L28" i="20"/>
  <c r="L26" i="20"/>
  <c r="L24" i="20"/>
  <c r="L7" i="20"/>
  <c r="L6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5" i="20"/>
  <c r="L27" i="20"/>
  <c r="L29" i="20"/>
  <c r="J7" i="20"/>
  <c r="J6" i="20"/>
  <c r="H7" i="13"/>
  <c r="H7" i="20"/>
  <c r="V7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N7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M7" i="19"/>
  <c r="N7" i="19" s="1"/>
  <c r="A7" i="19" s="1"/>
  <c r="M7" i="18"/>
  <c r="A7" i="18" s="1"/>
  <c r="N6" i="20" s="1"/>
  <c r="L7" i="13"/>
  <c r="L6" i="13"/>
  <c r="M6" i="14"/>
  <c r="A6" i="14" s="1"/>
  <c r="F6" i="20" s="1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J7" i="13"/>
  <c r="J6" i="13"/>
  <c r="H14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8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6" i="13"/>
  <c r="D21" i="20" l="1"/>
  <c r="V6" i="13"/>
  <c r="V6" i="20"/>
  <c r="D6" i="20" s="1"/>
  <c r="N7" i="20"/>
  <c r="D7" i="20" s="1"/>
  <c r="N6" i="13"/>
  <c r="D6" i="13" s="1"/>
  <c r="D7" i="13"/>
  <c r="D21" i="13"/>
  <c r="D10" i="13"/>
  <c r="J12" i="20"/>
  <c r="D12" i="20" s="1"/>
  <c r="J15" i="20"/>
  <c r="D15" i="20" s="1"/>
  <c r="J27" i="20"/>
  <c r="D27" i="20" s="1"/>
  <c r="J13" i="13"/>
  <c r="D13" i="13" s="1"/>
  <c r="J12" i="13"/>
  <c r="D12" i="13" s="1"/>
  <c r="J9" i="13"/>
  <c r="D9" i="13" s="1"/>
  <c r="J18" i="20"/>
  <c r="D18" i="20" s="1"/>
  <c r="J11" i="20"/>
  <c r="D11" i="20" s="1"/>
  <c r="J20" i="13"/>
  <c r="D20" i="13" s="1"/>
  <c r="J13" i="20"/>
  <c r="D13" i="20" s="1"/>
  <c r="J18" i="13"/>
  <c r="D18" i="13" s="1"/>
  <c r="J10" i="20"/>
  <c r="D10" i="20" s="1"/>
  <c r="J17" i="20"/>
  <c r="D17" i="20" s="1"/>
  <c r="J28" i="20"/>
  <c r="D28" i="20" s="1"/>
  <c r="J8" i="13"/>
  <c r="D8" i="13" s="1"/>
  <c r="J10" i="13"/>
  <c r="J22" i="20"/>
  <c r="D22" i="20" s="1"/>
  <c r="J15" i="13"/>
  <c r="D15" i="13" s="1"/>
  <c r="J20" i="20"/>
  <c r="D20" i="20" s="1"/>
  <c r="J9" i="20"/>
  <c r="D9" i="20" s="1"/>
  <c r="J14" i="13"/>
  <c r="D14" i="13" s="1"/>
  <c r="J16" i="20"/>
  <c r="D16" i="20" s="1"/>
  <c r="J14" i="20"/>
  <c r="D14" i="20" s="1"/>
  <c r="J23" i="13"/>
  <c r="D23" i="13" s="1"/>
  <c r="J8" i="20"/>
  <c r="D8" i="20" s="1"/>
  <c r="J19" i="20"/>
  <c r="D19" i="20" s="1"/>
  <c r="J29" i="20"/>
  <c r="D29" i="20" s="1"/>
  <c r="J21" i="13"/>
  <c r="J11" i="13"/>
  <c r="D11" i="13" s="1"/>
  <c r="J16" i="13"/>
  <c r="D16" i="13" s="1"/>
  <c r="J21" i="20"/>
  <c r="J23" i="20"/>
  <c r="D23" i="20" s="1"/>
  <c r="J22" i="13"/>
  <c r="D22" i="13" s="1"/>
  <c r="J24" i="20"/>
  <c r="D24" i="20" s="1"/>
  <c r="J19" i="13"/>
  <c r="D19" i="13" s="1"/>
  <c r="J25" i="20"/>
  <c r="D25" i="20" s="1"/>
  <c r="J17" i="13"/>
  <c r="D17" i="13" s="1"/>
  <c r="J26" i="20"/>
  <c r="D26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<sst xmlns="http://schemas.openxmlformats.org/spreadsheetml/2006/main" count="934" uniqueCount="172">
  <si>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</si>
  <si>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</si>
  <si>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</si>
  <si>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KOBIETY 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</si>
  <si>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</si>
  <si>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</si>
  <si>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</si>
  <si>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</si>
  <si>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</si>
  <si>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</si>
  <si>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</si>
  <si>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</si>
  <si>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</si>
  <si>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</si>
  <si>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</si>
  <si>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</si>
  <si>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</si>
  <si>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</si>
  <si>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</si>
  <si>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BORKOWSKA Halina</t>
  </si>
  <si>
    <t>MULSON Irena</t>
  </si>
  <si>
    <t>TOMASZEWSKA Hanna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</si>
  <si>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</si>
  <si>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</si>
  <si>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</si>
  <si>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</si>
  <si>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</si>
  <si>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</si>
  <si>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</si>
  <si>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</si>
  <si>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</si>
  <si>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</si>
  <si>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</si>
  <si>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</si>
  <si>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</si>
  <si>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</si>
  <si>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</si>
  <si>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</si>
  <si>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</si>
  <si>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</si>
  <si>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</si>
  <si>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</si>
  <si>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</si>
  <si>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</si>
  <si>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</si>
  <si>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</si>
  <si>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</si>
  <si>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</si>
  <si>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</si>
  <si>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</si>
  <si>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</si>
  <si>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</si>
  <si>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UKS 35 BIELAWY</t>
  </si>
  <si>
    <t>NIEPOŁOMICE</t>
  </si>
  <si>
    <t>Alex Toruń</t>
  </si>
  <si>
    <t> POL</t>
  </si>
  <si>
    <t>OPOLE</t>
  </si>
  <si>
    <t>23-24.10.2023</t>
  </si>
  <si>
    <t>GDAŃSK</t>
  </si>
  <si>
    <t>28.10.2023</t>
  </si>
  <si>
    <t>TS Alex Toruń</t>
  </si>
  <si>
    <t>KRAKÓW</t>
  </si>
  <si>
    <t>18-19.11.2023</t>
  </si>
  <si>
    <t>SPAŁA</t>
  </si>
  <si>
    <t>28.01.2024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</si>
  <si>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</si>
  <si>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</si>
  <si>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</si>
  <si>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</si>
  <si>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</si>
  <si>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KOBIETY Kat.3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</si>
  <si>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</si>
  <si>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</si>
  <si>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</si>
  <si>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</si>
  <si>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</si>
  <si>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</si>
  <si>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</si>
  <si>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</si>
  <si>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</si>
  <si>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</si>
  <si>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</si>
  <si>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</si>
  <si>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</si>
  <si>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</si>
  <si>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</si>
  <si>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</si>
  <si>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Faches-Thumesnil</t>
  </si>
  <si>
    <t>21-22.01.2023</t>
  </si>
  <si>
    <t>Terni</t>
  </si>
  <si>
    <t>11.02.2023</t>
  </si>
  <si>
    <t>Paryż</t>
  </si>
  <si>
    <t>Graz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</si>
  <si>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</si>
  <si>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</si>
  <si>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</si>
  <si>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</si>
  <si>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</si>
  <si>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</si>
  <si>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</si>
  <si>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</si>
  <si>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</si>
  <si>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</si>
  <si>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</si>
  <si>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23.03.2023</t>
  </si>
  <si>
    <t>Thionville</t>
  </si>
  <si>
    <t xml:space="preserve"> HILGERS </t>
  </si>
  <si>
    <t xml:space="preserve"> BRITTA </t>
  </si>
  <si>
    <t xml:space="preserve">  GER  </t>
  </si>
  <si>
    <t xml:space="preserve">  </t>
  </si>
  <si>
    <t xml:space="preserve"> CIRILLO </t>
  </si>
  <si>
    <t xml:space="preserve"> GIANNA </t>
  </si>
  <si>
    <t xml:space="preserve">  ITA  </t>
  </si>
  <si>
    <t xml:space="preserve"> CLAYTON </t>
  </si>
  <si>
    <t xml:space="preserve"> JANE </t>
  </si>
  <si>
    <t xml:space="preserve">  GBR  </t>
  </si>
  <si>
    <t xml:space="preserve"> KIRCHEIS </t>
  </si>
  <si>
    <t xml:space="preserve"> ASTRID </t>
  </si>
  <si>
    <t xml:space="preserve"> WORMAN </t>
  </si>
  <si>
    <t xml:space="preserve"> GILLIAN </t>
  </si>
  <si>
    <t xml:space="preserve"> MORRIS </t>
  </si>
  <si>
    <t xml:space="preserve"> JENNY </t>
  </si>
  <si>
    <t xml:space="preserve"> AUBAILLY </t>
  </si>
  <si>
    <t xml:space="preserve"> CORINNE </t>
  </si>
  <si>
    <t xml:space="preserve">  FRA  </t>
  </si>
  <si>
    <t xml:space="preserve"> SZEREDAY </t>
  </si>
  <si>
    <t xml:space="preserve"> JUDITH MARTA </t>
  </si>
  <si>
    <t xml:space="preserve">  ROU  </t>
  </si>
  <si>
    <t xml:space="preserve"> SARACINO </t>
  </si>
  <si>
    <t xml:space="preserve"> MARIA VICENZA </t>
  </si>
  <si>
    <t xml:space="preserve"> ROSENHAMMER </t>
  </si>
  <si>
    <t xml:space="preserve"> ANDREA </t>
  </si>
  <si>
    <t xml:space="preserve"> MARTINOT </t>
  </si>
  <si>
    <t xml:space="preserve"> CLAIRE </t>
  </si>
  <si>
    <t xml:space="preserve"> DRESEN-KUCHALSKI </t>
  </si>
  <si>
    <t xml:space="preserve"> MARGARETHA </t>
  </si>
  <si>
    <t xml:space="preserve"> DE GRAAF-STOEL </t>
  </si>
  <si>
    <t xml:space="preserve"> MIEKE </t>
  </si>
  <si>
    <t xml:space="preserve">  NED  </t>
  </si>
  <si>
    <t xml:space="preserve"> TURNBULL </t>
  </si>
  <si>
    <t xml:space="preserve"> FIONA </t>
  </si>
  <si>
    <t xml:space="preserve"> WEI </t>
  </si>
  <si>
    <t xml:space="preserve"> LIQIN </t>
  </si>
  <si>
    <t xml:space="preserve"> ARCHER </t>
  </si>
  <si>
    <t xml:space="preserve"> KATALIN </t>
  </si>
  <si>
    <t xml:space="preserve"> HINTERSEER </t>
  </si>
  <si>
    <t xml:space="preserve"> URSULA </t>
  </si>
  <si>
    <t xml:space="preserve">  AUT  </t>
  </si>
  <si>
    <t xml:space="preserve"> KOLCZONAY ERNONE </t>
  </si>
  <si>
    <t xml:space="preserve"> JUDIT </t>
  </si>
  <si>
    <t xml:space="preserve">  HUN  </t>
  </si>
  <si>
    <t xml:space="preserve"> FLEISCHER </t>
  </si>
  <si>
    <t xml:space="preserve"> FLOS </t>
  </si>
  <si>
    <t xml:space="preserve"> KENNETT </t>
  </si>
  <si>
    <t xml:space="preserve"> DOMINIQUE </t>
  </si>
  <si>
    <t xml:space="preserve"> ULM </t>
  </si>
  <si>
    <t xml:space="preserve"> RENATE </t>
  </si>
  <si>
    <t xml:space="preserve"> HALINA </t>
  </si>
  <si>
    <t xml:space="preserve">  POL  </t>
  </si>
  <si>
    <t xml:space="preserve"> KESSLING </t>
  </si>
  <si>
    <t xml:space="preserve"> PETRA </t>
  </si>
  <si>
    <t xml:space="preserve"> IRENA </t>
  </si>
  <si>
    <t>WARSZAWA</t>
  </si>
  <si>
    <t>2-3.03.2024</t>
  </si>
  <si>
    <t>MIEJSCE</t>
  </si>
  <si>
    <t>NAZWISKO</t>
  </si>
  <si>
    <t>RUNDY</t>
  </si>
  <si>
    <t>PKTY ZA PUCHAR</t>
  </si>
  <si>
    <t>LIPKOWSKA (1) Dominika</t>
  </si>
  <si>
    <t>WASILCZUK (2) Beata</t>
  </si>
  <si>
    <t>TOMASZEWSKA (2) Hanna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</si>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</sst>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86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2" fontId="13" fillId="7" borderId="12" xfId="0" applyNumberFormat="1" applyFont="1" applyFill="1" applyBorder="1" applyAlignment="1">
      <alignment horizontal="center" vertical="center"/>
    </xf>
    <xf numFmtId="2" fontId="27" fillId="7" borderId="12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14" fontId="9" fillId="8" borderId="0" xfId="8" applyNumberFormat="1" applyFill="1" applyAlignment="1">
      <alignment horizontal="left"/>
    </xf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1" fontId="2" fillId="8" borderId="0" xfId="6" applyNumberFormat="1" applyFill="1" applyAlignment="1">
      <alignment horizontal="center" vertical="center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1" fontId="19" fillId="10" borderId="0" xfId="6" applyNumberFormat="1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2" fontId="2" fillId="0" borderId="0" xfId="6" applyNumberFormat="1" applyAlignment="1">
      <alignment horizontal="center"/>
    </xf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9" fillId="8" borderId="0" xfId="8" applyFill="1"/>
    <xf numFmtId="0" fontId="30" fillId="8" borderId="0" xfId="2" applyFont="1" applyFill="1"/>
    <xf numFmtId="0" fontId="30" fillId="8" borderId="0" xfId="2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0" fontId="9" fillId="14" borderId="0" xfId="8" applyFill="1" applyBorder="1" applyAlignment="1"/>
    <xf numFmtId="0" fontId="0" fillId="14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C2BED859-D8D7-42E2-896A-EE5E371F9E43}"/>
    <cellStyle name="Normal 2 2" xfId="5" xr:uid="{6BE4F601-140B-4D60-800C-ED05C5998668}"/>
    <cellStyle name="Normal 2 2 2" xfId="4" xr:uid="{3F1A49A5-A57F-46AF-BE4C-5CC972FB6900}"/>
    <cellStyle name="Normal 2 2 2 2" xfId="6" xr:uid="{76BD6828-992C-46B8-9E68-E4AE783A6E6F}"/>
    <cellStyle name="Normal 2 2 2 3" xfId="7" xr:uid="{F2FC8AC9-3919-41B1-86CD-AD49D4F51131}"/>
    <cellStyle name="Normalny" xfId="0" builtinId="0"/>
  </cellStyles>
  <dxfs count="3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C88CDA795034C5580B13ABF9049749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98DDAEEC00B4D94A99AFBE220A5E57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8BD669190E148C9BD47636A247239D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7472153EC684DA8BAEC60C626D19B1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6832828805A3499B8778D7DE37B3255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9AA426AE74441C2B2DBBCBA0F711B4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58B693ECA074884937402307A9A606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tournaments/eventSchedule/A49E0E562CE6460B82AACFD5C909F0BE?fbclid=IwAR1RRlCfbIFnvVBnV64nn7CpjnBkbpivQYReixL_X_5woy4jEQvC2uURZVw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tournament/fencingaddict/crit2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app.php?id=3471G28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F&amp;c=8&amp;f=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70C3DA14A4BC4EBF8333BD545692A9DA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tournament/sthlm/efv2024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foilv3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AA39"/>
  <sheetViews>
    <sheetView tabSelected="1" workbookViewId="0">
      <selection activeCell="B16" sqref="B1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53" t="s">
        <v>2</v>
      </c>
      <c r="Y2" s="254"/>
      <c r="Z2" s="254"/>
      <c r="AA2" s="255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56"/>
      <c r="Y3" s="257"/>
      <c r="Z3" s="257"/>
      <c r="AA3" s="258"/>
    </row>
    <row r="4" spans="1:27" ht="24.8" customHeight="1" thickBot="1" x14ac:dyDescent="0.25">
      <c r="A4" s="248" t="s">
        <v>4</v>
      </c>
      <c r="B4" s="250" t="s">
        <v>5</v>
      </c>
      <c r="C4" s="250" t="s">
        <v>6</v>
      </c>
      <c r="D4" s="250" t="s">
        <v>7</v>
      </c>
      <c r="E4" s="246" t="s">
        <v>8</v>
      </c>
      <c r="F4" s="247"/>
      <c r="G4" s="246" t="s">
        <v>9</v>
      </c>
      <c r="H4" s="247"/>
      <c r="I4" s="246" t="s">
        <v>10</v>
      </c>
      <c r="J4" s="247"/>
      <c r="K4" s="246" t="s">
        <v>11</v>
      </c>
      <c r="L4" s="247"/>
      <c r="M4" s="246" t="s">
        <v>12</v>
      </c>
      <c r="N4" s="247"/>
      <c r="O4" s="246" t="s">
        <v>13</v>
      </c>
      <c r="P4" s="247"/>
      <c r="Q4" s="246" t="s">
        <v>14</v>
      </c>
      <c r="R4" s="247"/>
      <c r="S4" s="246" t="s">
        <v>15</v>
      </c>
      <c r="T4" s="247"/>
      <c r="U4" s="246" t="s">
        <v>16</v>
      </c>
      <c r="V4" s="247"/>
      <c r="X4" s="259"/>
      <c r="Y4" s="260"/>
      <c r="Z4" s="260"/>
      <c r="AA4" s="261"/>
    </row>
    <row r="5" spans="1:27" ht="18" customHeight="1" thickTop="1" x14ac:dyDescent="0.2">
      <c r="A5" s="249"/>
      <c r="B5" s="251"/>
      <c r="C5" s="251"/>
      <c r="D5" s="252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95" customHeight="1" x14ac:dyDescent="0.25">
      <c r="A6" s="8">
        <f t="shared" ref="A6:A23" si="0">ROW()-5</f>
        <v>1</v>
      </c>
      <c r="B6" s="9" t="s">
        <v>19</v>
      </c>
      <c r="C6" s="77"/>
      <c r="D6" s="78">
        <f>SUM(F6,H6,J6,L6,N6,P6,R6,T6,V6)-SUM(SMALL((F6,H6,J6,L6,N6,P6,R6,T6),1),SMALL((F6,H6,J6,L6,N6,P6,R6,T6),2))</f>
        <v>332.0178683471616</v>
      </c>
      <c r="E6" s="10">
        <f>_xlfn.XLOOKUP($B6,'GP1'!$C$6:$C$55,'GP1'!$B$6:$B$55,"")</f>
        <v>1</v>
      </c>
      <c r="F6" s="203">
        <f>_xlfn.XLOOKUP(E6,'GP1'!$B$6:$B$55,'GP1'!$A$6:$A$55,0)</f>
        <v>71.339289449053865</v>
      </c>
      <c r="G6" s="10" t="str">
        <f>_xlfn.XLOOKUP($B6,'GP2'!$C$6:$C$15,'GP2'!$B$6:$B$15,"")</f>
        <v/>
      </c>
      <c r="H6" s="203">
        <f>_xlfn.XLOOKUP(G6,'GP2'!$B$6:$B$15,'GP2'!$A$6:$A$15,0)</f>
        <v>0</v>
      </c>
      <c r="I6" s="10">
        <f>_xlfn.XLOOKUP($B6,'GP3'!$C$6:$C$15,'GP3'!$B$6:$B$15,"")</f>
        <v>1</v>
      </c>
      <c r="J6" s="203">
        <f>_xlfn.XLOOKUP(I6,'GP3'!$B$6:$B$15,'GP3'!$A$6:$A$15,0)</f>
        <v>71.339289449053865</v>
      </c>
      <c r="K6" s="10">
        <f>_xlfn.XLOOKUP($B6,'GP4'!$C$6:$C$15,'GP4'!$B$6:$B$15,"")</f>
        <v>1</v>
      </c>
      <c r="L6" s="203">
        <f>_xlfn.XLOOKUP(K6,'GP4'!$B$6:$B$15,'GP4'!$A$6:$A$15,0)</f>
        <v>59</v>
      </c>
      <c r="M6" s="10">
        <f>_xlfn.XLOOKUP($B6,'GP5'!$C$6:$C$15,'GP5'!$B$6:$B$15,"")</f>
        <v>1</v>
      </c>
      <c r="N6" s="205">
        <f>_xlfn.XLOOKUP(M6,'GP5'!$B$6:$B$15,'GP5'!$A$6:$A$15,0)</f>
        <v>71.339289449053865</v>
      </c>
      <c r="O6" s="10">
        <f>_xlfn.XLOOKUP($B6,'GP6'!$C$6:$C$15,'GP6'!$B$6:$B$15,"")</f>
        <v>1</v>
      </c>
      <c r="P6" s="205">
        <f>_xlfn.XLOOKUP(O6,'GP6'!$B$6:$B$15,'GP6'!$A$6:$A$15,0)</f>
        <v>59</v>
      </c>
      <c r="Q6" s="10" t="str">
        <f>_xlfn.XLOOKUP($B6,'GP7'!$C$6:$C$15,'GP7'!$B$6:$B$15,"")</f>
        <v/>
      </c>
      <c r="R6" s="205">
        <f>_xlfn.XLOOKUP(Q6,'GP7'!$B$6:$B$15,'GP7'!$A$6:$A$15,0)</f>
        <v>0</v>
      </c>
      <c r="S6" s="10" t="str">
        <f>_xlfn.XLOOKUP($B6,'GP8'!$C$6:$C$15,'GP8'!$B$6:$B$15,"")</f>
        <v/>
      </c>
      <c r="T6" s="205">
        <f>_xlfn.XLOOKUP(S6,'GP8'!$B$6:$B$15,'GP8'!$A$6:$A$15,0)</f>
        <v>0</v>
      </c>
      <c r="U6" s="10" t="str">
        <f>_xlfn.XLOOKUP(B6,MPW!C$6:C$15,MPW!B$6:B$15,"")</f>
        <v/>
      </c>
      <c r="V6" s="205">
        <f>_xlfn.XLOOKUP(U6,MPW!B$6:B$15,MPW!A$6:A$15,0)</f>
        <v>0</v>
      </c>
    </row>
    <row r="7" spans="1:27" ht="14.95" customHeight="1" x14ac:dyDescent="0.25">
      <c r="A7" s="8">
        <f t="shared" si="0"/>
        <v>2</v>
      </c>
      <c r="B7" s="9" t="s">
        <v>20</v>
      </c>
      <c r="C7" s="11"/>
      <c r="D7" s="78">
        <f>SUM(F7,H7,J7,L7,N7,P7,R7,T7,V7)-SUM(SMALL((F7,H7,J7,L7,N7,P7,R7,T7),1),SMALL((F7,H7,J7,L7,N7,P7,R7,T7),2))</f>
        <v>84.678578898107716</v>
      </c>
      <c r="E7" s="12">
        <f>_xlfn.XLOOKUP($B7,'GP1'!$C$6:$C$55,'GP1'!$B$6:$B$55,"")</f>
        <v>2</v>
      </c>
      <c r="F7" s="204">
        <f>_xlfn.XLOOKUP(E7,'GP1'!$B$6:$B$55,'GP1'!$A$6:$A$55,0)</f>
        <v>8.5595262993692387</v>
      </c>
      <c r="G7" s="12">
        <f>_xlfn.XLOOKUP($B7,'GP2'!$C$6:$C$15,'GP2'!$B$6:$B$15,"")</f>
        <v>1</v>
      </c>
      <c r="H7" s="204">
        <f>_xlfn.XLOOKUP(G7,'GP2'!$B$6:$B$15,'GP2'!$A$6:$A$15,0)</f>
        <v>59</v>
      </c>
      <c r="I7" s="12">
        <f>_xlfn.XLOOKUP($B7,'GP3'!$C$6:$C$15,'GP3'!$B$6:$B$15,"")</f>
        <v>2</v>
      </c>
      <c r="J7" s="204">
        <f>_xlfn.XLOOKUP(I7,'GP3'!$B$6:$B$15,'GP3'!$A$6:$A$15,0)</f>
        <v>8.5595262993692387</v>
      </c>
      <c r="K7" s="12" t="str">
        <f>_xlfn.XLOOKUP($B7,'GP4'!$C$6:$C$15,'GP4'!$B$6:$B$15,"")</f>
        <v/>
      </c>
      <c r="L7" s="204">
        <f>_xlfn.XLOOKUP(K7,'GP4'!$B$6:$B$15,'GP4'!$A$6:$A$15,0)</f>
        <v>0</v>
      </c>
      <c r="M7" s="12">
        <f>_xlfn.XLOOKUP($B7,'GP5'!$C$6:$C$15,'GP5'!$B$6:$B$15,"")</f>
        <v>2</v>
      </c>
      <c r="N7" s="206">
        <f>_xlfn.XLOOKUP(M7,'GP5'!$B$6:$B$15,'GP5'!$A$6:$A$15,0)</f>
        <v>8.5595262993692387</v>
      </c>
      <c r="O7" s="12" t="str">
        <f>_xlfn.XLOOKUP($B7,'GP6'!$C$6:$C$15,'GP6'!$B$6:$B$15,"")</f>
        <v/>
      </c>
      <c r="P7" s="206">
        <f>_xlfn.XLOOKUP(O7,'GP6'!$B$6:$B$15,'GP6'!$A$6:$A$15,0)</f>
        <v>0</v>
      </c>
      <c r="Q7" s="12" t="str">
        <f>_xlfn.XLOOKUP($B7,'GP7'!$C$6:$C$15,'GP7'!$B$6:$B$15,"")</f>
        <v/>
      </c>
      <c r="R7" s="206">
        <f>_xlfn.XLOOKUP(Q7,'GP7'!$B$6:$B$15,'GP7'!$A$6:$A$15,0)</f>
        <v>0</v>
      </c>
      <c r="S7" s="12" t="str">
        <f>_xlfn.XLOOKUP($B7,'GP8'!$C$6:$C$15,'GP8'!$B$6:$B$15,"")</f>
        <v/>
      </c>
      <c r="T7" s="206">
        <f>_xlfn.XLOOKUP(S7,'GP8'!$B$6:$B$15,'GP8'!$A$6:$A$15,0)</f>
        <v>0</v>
      </c>
      <c r="U7" s="12" t="str">
        <f>_xlfn.XLOOKUP(B7,MPW!C$6:C$15,MPW!B$6:B$15,"")</f>
        <v/>
      </c>
      <c r="V7" s="206">
        <f>_xlfn.XLOOKUP(U7,MPW!B$6:B$15,MPW!A$6:A$15,0)</f>
        <v>0</v>
      </c>
    </row>
    <row r="8" spans="1:27" ht="14.95" customHeight="1" x14ac:dyDescent="0.25">
      <c r="A8" s="8">
        <f t="shared" si="0"/>
        <v>3</v>
      </c>
      <c r="B8" s="9"/>
      <c r="C8" s="11"/>
      <c r="D8" s="78">
        <f>SUM(F8,H8,J8,L8,N8,P8,R8,T8,V8)-SUM(SMALL((F8,H8,J8,L8,N8,P8,R8,T8),1),SMALL((F8,H8,J8,L8,N8,P8,R8,T8),2))</f>
        <v>0</v>
      </c>
      <c r="E8" s="12" t="str">
        <f>_xlfn.XLOOKUP($B8,'GP1'!$C$6:$C$55,'GP1'!$B$6:$B$55,"")</f>
        <v/>
      </c>
      <c r="F8" s="204">
        <f>_xlfn.XLOOKUP(E8,'GP1'!$B$6:$B$55,'GP1'!$A$6:$A$55,0)</f>
        <v>0</v>
      </c>
      <c r="G8" s="12" t="str">
        <f>_xlfn.XLOOKUP($B8,'GP2'!$C$6:$C$15,'GP2'!$B$6:$B$15,"")</f>
        <v/>
      </c>
      <c r="H8" s="204">
        <f>_xlfn.XLOOKUP(G8,'GP2'!$B$6:$B$15,'GP2'!$A$6:$A$15,0)</f>
        <v>0</v>
      </c>
      <c r="I8" s="12" t="str">
        <f>_xlfn.XLOOKUP($B8,'GP3'!$C$6:$C$15,'GP3'!$B$6:$B$15,"")</f>
        <v/>
      </c>
      <c r="J8" s="204">
        <f>_xlfn.XLOOKUP(I8,'GP3'!$B$6:$B$15,'GP3'!$A$6:$A$15,0)</f>
        <v>0</v>
      </c>
      <c r="K8" s="12" t="str">
        <f>_xlfn.XLOOKUP($B8,'GP4'!$C$6:$C$15,'GP4'!$B$6:$B$15,"")</f>
        <v/>
      </c>
      <c r="L8" s="204">
        <f>_xlfn.XLOOKUP(K8,'GP4'!$B$6:$B$15,'GP4'!$A$6:$A$15,0)</f>
        <v>0</v>
      </c>
      <c r="M8" s="12" t="str">
        <f>_xlfn.XLOOKUP($B8,'GP5'!$C$6:$C$15,'GP5'!$B$6:$B$15,"")</f>
        <v/>
      </c>
      <c r="N8" s="206">
        <f>_xlfn.XLOOKUP(M8,'GP5'!$B$6:$B$15,'GP5'!$A$6:$A$15,0)</f>
        <v>0</v>
      </c>
      <c r="O8" s="12" t="str">
        <f>_xlfn.XLOOKUP($B8,'GP6'!$C$6:$C$15,'GP6'!$B$6:$B$15,"")</f>
        <v/>
      </c>
      <c r="P8" s="206">
        <f>_xlfn.XLOOKUP(O8,'GP6'!$B$6:$B$15,'GP6'!$A$6:$A$15,0)</f>
        <v>0</v>
      </c>
      <c r="Q8" s="12" t="str">
        <f>_xlfn.XLOOKUP($B8,'GP7'!$C$6:$C$15,'GP7'!$B$6:$B$15,"")</f>
        <v/>
      </c>
      <c r="R8" s="206">
        <f>_xlfn.XLOOKUP(Q8,'GP7'!$B$6:$B$15,'GP7'!$A$6:$A$15,0)</f>
        <v>0</v>
      </c>
      <c r="S8" s="12" t="str">
        <f>_xlfn.XLOOKUP($B8,'GP8'!$C$6:$C$15,'GP8'!$B$6:$B$15,"")</f>
        <v/>
      </c>
      <c r="T8" s="206">
        <f>_xlfn.XLOOKUP(S8,'GP8'!$B$6:$B$15,'GP8'!$A$6:$A$15,0)</f>
        <v>0</v>
      </c>
      <c r="U8" s="12" t="str">
        <f>_xlfn.XLOOKUP(B8,MPW!C$6:C$15,MPW!B$6:B$15,"")</f>
        <v/>
      </c>
      <c r="V8" s="206">
        <f>_xlfn.XLOOKUP(U8,MPW!B$6:B$15,MPW!A$6:A$15,0)</f>
        <v>0</v>
      </c>
    </row>
    <row r="9" spans="1:27" ht="14.95" customHeight="1" x14ac:dyDescent="0.25">
      <c r="A9" s="8">
        <f t="shared" si="0"/>
        <v>4</v>
      </c>
      <c r="B9" s="9"/>
      <c r="C9" s="11"/>
      <c r="D9" s="78">
        <f>SUM(F9,H9,J9,L9,N9,P9,R9,T9,V9)-SUM(SMALL((F9,H9,J9,L9,N9,P9,R9,T9),1),SMALL((F9,H9,J9,L9,N9,P9,R9,T9),2))</f>
        <v>0</v>
      </c>
      <c r="E9" s="12" t="str">
        <f>_xlfn.XLOOKUP($B9,'GP1'!$C$6:$C$55,'GP1'!$B$6:$B$55,"")</f>
        <v/>
      </c>
      <c r="F9" s="204">
        <f>_xlfn.XLOOKUP(E9,'GP1'!$B$6:$B$55,'GP1'!$A$6:$A$55,0)</f>
        <v>0</v>
      </c>
      <c r="G9" s="12" t="str">
        <f>_xlfn.XLOOKUP($B9,'GP2'!$C$6:$C$15,'GP2'!$B$6:$B$15,"")</f>
        <v/>
      </c>
      <c r="H9" s="204">
        <f>_xlfn.XLOOKUP(G9,'GP2'!$B$6:$B$15,'GP2'!$A$6:$A$15,0)</f>
        <v>0</v>
      </c>
      <c r="I9" s="12" t="str">
        <f>_xlfn.XLOOKUP($B9,'GP3'!$C$6:$C$15,'GP3'!$B$6:$B$15,"")</f>
        <v/>
      </c>
      <c r="J9" s="204">
        <f>_xlfn.XLOOKUP(I9,'GP3'!$B$6:$B$15,'GP3'!$A$6:$A$15,0)</f>
        <v>0</v>
      </c>
      <c r="K9" s="12" t="str">
        <f>_xlfn.XLOOKUP($B9,'GP4'!$C$6:$C$15,'GP4'!$B$6:$B$15,"")</f>
        <v/>
      </c>
      <c r="L9" s="204">
        <f>_xlfn.XLOOKUP(K9,'GP4'!$B$6:$B$15,'GP4'!$A$6:$A$15,0)</f>
        <v>0</v>
      </c>
      <c r="M9" s="12" t="str">
        <f>_xlfn.XLOOKUP($B9,'GP5'!$C$6:$C$15,'GP5'!$B$6:$B$15,"")</f>
        <v/>
      </c>
      <c r="N9" s="206">
        <f>_xlfn.XLOOKUP(M9,'GP5'!$B$6:$B$15,'GP5'!$A$6:$A$15,0)</f>
        <v>0</v>
      </c>
      <c r="O9" s="12" t="str">
        <f>_xlfn.XLOOKUP($B9,'GP6'!$C$6:$C$15,'GP6'!$B$6:$B$15,"")</f>
        <v/>
      </c>
      <c r="P9" s="206">
        <f>_xlfn.XLOOKUP(O9,'GP6'!$B$6:$B$15,'GP6'!$A$6:$A$15,0)</f>
        <v>0</v>
      </c>
      <c r="Q9" s="12" t="str">
        <f>_xlfn.XLOOKUP($B9,'GP7'!$C$6:$C$15,'GP7'!$B$6:$B$15,"")</f>
        <v/>
      </c>
      <c r="R9" s="206">
        <f>_xlfn.XLOOKUP(Q9,'GP7'!$B$6:$B$15,'GP7'!$A$6:$A$15,0)</f>
        <v>0</v>
      </c>
      <c r="S9" s="12" t="str">
        <f>_xlfn.XLOOKUP($B9,'GP8'!$C$6:$C$15,'GP8'!$B$6:$B$15,"")</f>
        <v/>
      </c>
      <c r="T9" s="206">
        <f>_xlfn.XLOOKUP(S9,'GP8'!$B$6:$B$15,'GP8'!$A$6:$A$15,0)</f>
        <v>0</v>
      </c>
      <c r="U9" s="12" t="str">
        <f>_xlfn.XLOOKUP(B9,MPW!C$6:C$15,MPW!B$6:B$15,"")</f>
        <v/>
      </c>
      <c r="V9" s="206">
        <f>_xlfn.XLOOKUP(U9,MPW!B$6:B$15,MPW!A$6:A$15,0)</f>
        <v>0</v>
      </c>
    </row>
    <row r="10" spans="1:27" ht="14.95" customHeight="1" x14ac:dyDescent="0.25">
      <c r="A10" s="8">
        <f t="shared" si="0"/>
        <v>5</v>
      </c>
      <c r="B10" s="9"/>
      <c r="C10" s="11"/>
      <c r="D10" s="78">
        <f>SUM(F10,H10,J10,L10,N10,P10,R10,T10,V10)-SUM(SMALL((F10,H10,J10,L10,N10,P10,R10,T10),1),SMALL((F10,H10,J10,L10,N10,P10,R10,T10),2))</f>
        <v>0</v>
      </c>
      <c r="E10" s="12" t="str">
        <f>_xlfn.XLOOKUP($B10,'GP1'!$C$6:$C$55,'GP1'!$B$6:$B$55,"")</f>
        <v/>
      </c>
      <c r="F10" s="204">
        <f>_xlfn.XLOOKUP(E10,'GP1'!$B$6:$B$55,'GP1'!$A$6:$A$55,0)</f>
        <v>0</v>
      </c>
      <c r="G10" s="12" t="str">
        <f>_xlfn.XLOOKUP($B10,'GP2'!$C$6:$C$15,'GP2'!$B$6:$B$15,"")</f>
        <v/>
      </c>
      <c r="H10" s="204">
        <f>_xlfn.XLOOKUP(G10,'GP2'!$B$6:$B$15,'GP2'!$A$6:$A$15,0)</f>
        <v>0</v>
      </c>
      <c r="I10" s="12" t="str">
        <f>_xlfn.XLOOKUP($B10,'GP3'!$C$6:$C$15,'GP3'!$B$6:$B$15,"")</f>
        <v/>
      </c>
      <c r="J10" s="204">
        <f>_xlfn.XLOOKUP(I10,'GP3'!$B$6:$B$15,'GP3'!$A$6:$A$15,0)</f>
        <v>0</v>
      </c>
      <c r="K10" s="12" t="str">
        <f>_xlfn.XLOOKUP($B10,'GP4'!$C$6:$C$15,'GP4'!$B$6:$B$15,"")</f>
        <v/>
      </c>
      <c r="L10" s="204">
        <f>_xlfn.XLOOKUP(K10,'GP4'!$B$6:$B$15,'GP4'!$A$6:$A$15,0)</f>
        <v>0</v>
      </c>
      <c r="M10" s="12" t="str">
        <f>_xlfn.XLOOKUP($B10,'GP5'!$C$6:$C$15,'GP5'!$B$6:$B$15,"")</f>
        <v/>
      </c>
      <c r="N10" s="206">
        <f>_xlfn.XLOOKUP(M10,'GP5'!$B$6:$B$15,'GP5'!$A$6:$A$15,0)</f>
        <v>0</v>
      </c>
      <c r="O10" s="12" t="str">
        <f>_xlfn.XLOOKUP($B10,'GP6'!$C$6:$C$15,'GP6'!$B$6:$B$15,"")</f>
        <v/>
      </c>
      <c r="P10" s="206">
        <f>_xlfn.XLOOKUP(O10,'GP6'!$B$6:$B$15,'GP6'!$A$6:$A$15,0)</f>
        <v>0</v>
      </c>
      <c r="Q10" s="12" t="str">
        <f>_xlfn.XLOOKUP($B10,'GP7'!$C$6:$C$15,'GP7'!$B$6:$B$15,"")</f>
        <v/>
      </c>
      <c r="R10" s="206">
        <f>_xlfn.XLOOKUP(Q10,'GP7'!$B$6:$B$15,'GP7'!$A$6:$A$15,0)</f>
        <v>0</v>
      </c>
      <c r="S10" s="12" t="str">
        <f>_xlfn.XLOOKUP($B10,'GP8'!$C$6:$C$15,'GP8'!$B$6:$B$15,"")</f>
        <v/>
      </c>
      <c r="T10" s="206">
        <f>_xlfn.XLOOKUP(S10,'GP8'!$B$6:$B$15,'GP8'!$A$6:$A$15,0)</f>
        <v>0</v>
      </c>
      <c r="U10" s="12" t="str">
        <f>_xlfn.XLOOKUP(B10,MPW!C$6:C$15,MPW!B$6:B$15,"")</f>
        <v/>
      </c>
      <c r="V10" s="206">
        <f>_xlfn.XLOOKUP(U10,MPW!B$6:B$15,MPW!A$6:A$15,0)</f>
        <v>0</v>
      </c>
    </row>
    <row r="11" spans="1:27" ht="14.95" customHeight="1" x14ac:dyDescent="0.25">
      <c r="A11" s="8">
        <f t="shared" si="0"/>
        <v>6</v>
      </c>
      <c r="B11" s="9"/>
      <c r="C11" s="11"/>
      <c r="D11" s="78">
        <f>SUM(F11,H11,J11,L11,N11,P11,R11,T11,V11)-SUM(SMALL((F11,H11,J11,L11,N11,P11,R11,T11),1),SMALL((F11,H11,J11,L11,N11,P11,R11,T11),2))</f>
        <v>0</v>
      </c>
      <c r="E11" s="12" t="str">
        <f>_xlfn.XLOOKUP($B11,'GP1'!$C$6:$C$55,'GP1'!$B$6:$B$55,"")</f>
        <v/>
      </c>
      <c r="F11" s="204">
        <f>_xlfn.XLOOKUP(E11,'GP1'!$B$6:$B$55,'GP1'!$A$6:$A$55,0)</f>
        <v>0</v>
      </c>
      <c r="G11" s="12" t="str">
        <f>_xlfn.XLOOKUP($B11,'GP2'!$C$6:$C$15,'GP2'!$B$6:$B$15,"")</f>
        <v/>
      </c>
      <c r="H11" s="204">
        <f>_xlfn.XLOOKUP(G11,'GP2'!$B$6:$B$15,'GP2'!$A$6:$A$15,0)</f>
        <v>0</v>
      </c>
      <c r="I11" s="12" t="str">
        <f>_xlfn.XLOOKUP($B11,'GP3'!$C$6:$C$15,'GP3'!$B$6:$B$15,"")</f>
        <v/>
      </c>
      <c r="J11" s="204">
        <f>_xlfn.XLOOKUP(I11,'GP3'!$B$6:$B$15,'GP3'!$A$6:$A$15,0)</f>
        <v>0</v>
      </c>
      <c r="K11" s="12" t="str">
        <f>_xlfn.XLOOKUP($B11,'GP4'!$C$6:$C$15,'GP4'!$B$6:$B$15,"")</f>
        <v/>
      </c>
      <c r="L11" s="204">
        <f>_xlfn.XLOOKUP(K11,'GP4'!$B$6:$B$15,'GP4'!$A$6:$A$15,0)</f>
        <v>0</v>
      </c>
      <c r="M11" s="12" t="str">
        <f>_xlfn.XLOOKUP($B11,'GP5'!$C$6:$C$15,'GP5'!$B$6:$B$15,"")</f>
        <v/>
      </c>
      <c r="N11" s="206">
        <f>_xlfn.XLOOKUP(M11,'GP5'!$B$6:$B$15,'GP5'!$A$6:$A$15,0)</f>
        <v>0</v>
      </c>
      <c r="O11" s="12" t="str">
        <f>_xlfn.XLOOKUP($B11,'GP6'!$C$6:$C$15,'GP6'!$B$6:$B$15,"")</f>
        <v/>
      </c>
      <c r="P11" s="206">
        <f>_xlfn.XLOOKUP(O11,'GP6'!$B$6:$B$15,'GP6'!$A$6:$A$15,0)</f>
        <v>0</v>
      </c>
      <c r="Q11" s="12" t="str">
        <f>_xlfn.XLOOKUP($B11,'GP7'!$C$6:$C$15,'GP7'!$B$6:$B$15,"")</f>
        <v/>
      </c>
      <c r="R11" s="206">
        <f>_xlfn.XLOOKUP(Q11,'GP7'!$B$6:$B$15,'GP7'!$A$6:$A$15,0)</f>
        <v>0</v>
      </c>
      <c r="S11" s="12" t="str">
        <f>_xlfn.XLOOKUP($B11,'GP8'!$C$6:$C$15,'GP8'!$B$6:$B$15,"")</f>
        <v/>
      </c>
      <c r="T11" s="206">
        <f>_xlfn.XLOOKUP(S11,'GP8'!$B$6:$B$15,'GP8'!$A$6:$A$15,0)</f>
        <v>0</v>
      </c>
      <c r="U11" s="12" t="str">
        <f>_xlfn.XLOOKUP(B11,MPW!C$6:C$15,MPW!B$6:B$15,"")</f>
        <v/>
      </c>
      <c r="V11" s="206">
        <f>_xlfn.XLOOKUP(U11,MPW!B$6:B$15,MPW!A$6:A$15,0)</f>
        <v>0</v>
      </c>
    </row>
    <row r="12" spans="1:27" ht="14.95" customHeight="1" x14ac:dyDescent="0.25">
      <c r="A12" s="8">
        <f t="shared" si="0"/>
        <v>7</v>
      </c>
      <c r="B12" s="9"/>
      <c r="C12" s="11"/>
      <c r="D12" s="78">
        <f>SUM(F12,H12,J12,L12,N12,P12,R12,T12,V12)-SUM(SMALL((F12,H12,J12,L12,N12,P12,R12,T12),1),SMALL((F12,H12,J12,L12,N12,P12,R12,T12),2))</f>
        <v>0</v>
      </c>
      <c r="E12" s="12" t="str">
        <f>_xlfn.XLOOKUP($B12,'GP1'!$C$6:$C$55,'GP1'!$B$6:$B$55,"")</f>
        <v/>
      </c>
      <c r="F12" s="204">
        <f>_xlfn.XLOOKUP(E12,'GP1'!$B$6:$B$55,'GP1'!$A$6:$A$55,0)</f>
        <v>0</v>
      </c>
      <c r="G12" s="12" t="str">
        <f>_xlfn.XLOOKUP($B12,'GP2'!$C$6:$C$15,'GP2'!$B$6:$B$15,"")</f>
        <v/>
      </c>
      <c r="H12" s="204">
        <f>_xlfn.XLOOKUP(G12,'GP2'!$B$6:$B$15,'GP2'!$A$6:$A$15,0)</f>
        <v>0</v>
      </c>
      <c r="I12" s="12" t="str">
        <f>_xlfn.XLOOKUP($B12,'GP3'!$C$6:$C$15,'GP3'!$B$6:$B$15,"")</f>
        <v/>
      </c>
      <c r="J12" s="204">
        <f>_xlfn.XLOOKUP(I12,'GP3'!$B$6:$B$15,'GP3'!$A$6:$A$15,0)</f>
        <v>0</v>
      </c>
      <c r="K12" s="12" t="str">
        <f>_xlfn.XLOOKUP($B12,'GP4'!$C$6:$C$15,'GP4'!$B$6:$B$15,"")</f>
        <v/>
      </c>
      <c r="L12" s="204">
        <f>_xlfn.XLOOKUP(K12,'GP4'!$B$6:$B$15,'GP4'!$A$6:$A$15,0)</f>
        <v>0</v>
      </c>
      <c r="M12" s="12" t="str">
        <f>_xlfn.XLOOKUP($B12,'GP5'!$C$6:$C$15,'GP5'!$B$6:$B$15,"")</f>
        <v/>
      </c>
      <c r="N12" s="206">
        <f>_xlfn.XLOOKUP(M12,'GP5'!$B$6:$B$15,'GP5'!$A$6:$A$15,0)</f>
        <v>0</v>
      </c>
      <c r="O12" s="12" t="str">
        <f>_xlfn.XLOOKUP($B12,'GP6'!$C$6:$C$15,'GP6'!$B$6:$B$15,"")</f>
        <v/>
      </c>
      <c r="P12" s="206">
        <f>_xlfn.XLOOKUP(O12,'GP6'!$B$6:$B$15,'GP6'!$A$6:$A$15,0)</f>
        <v>0</v>
      </c>
      <c r="Q12" s="12" t="str">
        <f>_xlfn.XLOOKUP($B12,'GP7'!$C$6:$C$15,'GP7'!$B$6:$B$15,"")</f>
        <v/>
      </c>
      <c r="R12" s="206">
        <f>_xlfn.XLOOKUP(Q12,'GP7'!$B$6:$B$15,'GP7'!$A$6:$A$15,0)</f>
        <v>0</v>
      </c>
      <c r="S12" s="12" t="str">
        <f>_xlfn.XLOOKUP($B12,'GP8'!$C$6:$C$15,'GP8'!$B$6:$B$15,"")</f>
        <v/>
      </c>
      <c r="T12" s="206">
        <f>_xlfn.XLOOKUP(S12,'GP8'!$B$6:$B$15,'GP8'!$A$6:$A$15,0)</f>
        <v>0</v>
      </c>
      <c r="U12" s="12" t="str">
        <f>_xlfn.XLOOKUP(B12,MPW!C$6:C$15,MPW!B$6:B$15,"")</f>
        <v/>
      </c>
      <c r="V12" s="206">
        <f>_xlfn.XLOOKUP(U12,MPW!B$6:B$15,MPW!A$6:A$15,0)</f>
        <v>0</v>
      </c>
    </row>
    <row r="13" spans="1:27" ht="14.95" customHeight="1" x14ac:dyDescent="0.25">
      <c r="A13" s="8">
        <f t="shared" si="0"/>
        <v>8</v>
      </c>
      <c r="B13" s="9"/>
      <c r="C13" s="11"/>
      <c r="D13" s="78">
        <f>SUM(F13,H13,J13,L13,N13,P13,R13,T13,V13)-SUM(SMALL((F13,H13,J13,L13,N13,P13,R13,T13),1),SMALL((F13,H13,J13,L13,N13,P13,R13,T13),2))</f>
        <v>0</v>
      </c>
      <c r="E13" s="12" t="str">
        <f>_xlfn.XLOOKUP($B13,'GP1'!$C$6:$C$55,'GP1'!$B$6:$B$55,"")</f>
        <v/>
      </c>
      <c r="F13" s="204">
        <f>_xlfn.XLOOKUP(E13,'GP1'!$B$6:$B$55,'GP1'!$A$6:$A$55,0)</f>
        <v>0</v>
      </c>
      <c r="G13" s="12" t="str">
        <f>_xlfn.XLOOKUP($B13,'GP2'!$C$6:$C$15,'GP2'!$B$6:$B$15,"")</f>
        <v/>
      </c>
      <c r="H13" s="204">
        <f>_xlfn.XLOOKUP(G13,'GP2'!$B$6:$B$15,'GP2'!$A$6:$A$15,0)</f>
        <v>0</v>
      </c>
      <c r="I13" s="12" t="str">
        <f>_xlfn.XLOOKUP($B13,'GP3'!$C$6:$C$15,'GP3'!$B$6:$B$15,"")</f>
        <v/>
      </c>
      <c r="J13" s="204">
        <f>_xlfn.XLOOKUP(I13,'GP3'!$B$6:$B$15,'GP3'!$A$6:$A$15,0)</f>
        <v>0</v>
      </c>
      <c r="K13" s="12" t="str">
        <f>_xlfn.XLOOKUP($B13,'GP4'!$C$6:$C$15,'GP4'!$B$6:$B$15,"")</f>
        <v/>
      </c>
      <c r="L13" s="204">
        <f>_xlfn.XLOOKUP(K13,'GP4'!$B$6:$B$15,'GP4'!$A$6:$A$15,0)</f>
        <v>0</v>
      </c>
      <c r="M13" s="12" t="str">
        <f>_xlfn.XLOOKUP($B13,'GP5'!$C$6:$C$15,'GP5'!$B$6:$B$15,"")</f>
        <v/>
      </c>
      <c r="N13" s="206">
        <f>_xlfn.XLOOKUP(M13,'GP5'!$B$6:$B$15,'GP5'!$A$6:$A$15,0)</f>
        <v>0</v>
      </c>
      <c r="O13" s="12" t="str">
        <f>_xlfn.XLOOKUP($B13,'GP6'!$C$6:$C$15,'GP6'!$B$6:$B$15,"")</f>
        <v/>
      </c>
      <c r="P13" s="206">
        <f>_xlfn.XLOOKUP(O13,'GP6'!$B$6:$B$15,'GP6'!$A$6:$A$15,0)</f>
        <v>0</v>
      </c>
      <c r="Q13" s="12" t="str">
        <f>_xlfn.XLOOKUP($B13,'GP7'!$C$6:$C$15,'GP7'!$B$6:$B$15,"")</f>
        <v/>
      </c>
      <c r="R13" s="206">
        <f>_xlfn.XLOOKUP(Q13,'GP7'!$B$6:$B$15,'GP7'!$A$6:$A$15,0)</f>
        <v>0</v>
      </c>
      <c r="S13" s="12" t="str">
        <f>_xlfn.XLOOKUP($B13,'GP8'!$C$6:$C$15,'GP8'!$B$6:$B$15,"")</f>
        <v/>
      </c>
      <c r="T13" s="206">
        <f>_xlfn.XLOOKUP(S13,'GP8'!$B$6:$B$15,'GP8'!$A$6:$A$15,0)</f>
        <v>0</v>
      </c>
      <c r="U13" s="12" t="str">
        <f>_xlfn.XLOOKUP(B13,MPW!C$6:C$15,MPW!B$6:B$15,"")</f>
        <v/>
      </c>
      <c r="V13" s="206">
        <f>_xlfn.XLOOKUP(U13,MPW!B$6:B$15,MPW!A$6:A$15,0)</f>
        <v>0</v>
      </c>
    </row>
    <row r="14" spans="1:27" ht="14.95" customHeight="1" x14ac:dyDescent="0.25">
      <c r="A14" s="8">
        <f t="shared" si="0"/>
        <v>9</v>
      </c>
      <c r="B14" s="9"/>
      <c r="C14" s="11"/>
      <c r="D14" s="78">
        <f>SUM(F14,H14,J14,L14,N14,P14,R14,T14,V14)-SUM(SMALL((F14,H14,J14,L14,N14,P14,R14,T14),1),SMALL((F14,H14,J14,L14,N14,P14,R14,T14),2))</f>
        <v>0</v>
      </c>
      <c r="E14" s="12" t="str">
        <f>_xlfn.XLOOKUP($B14,'GP1'!$C$6:$C$55,'GP1'!$B$6:$B$55,"")</f>
        <v/>
      </c>
      <c r="F14" s="204">
        <f>_xlfn.XLOOKUP(E14,'GP1'!$B$6:$B$55,'GP1'!$A$6:$A$55,0)</f>
        <v>0</v>
      </c>
      <c r="G14" s="12" t="str">
        <f>_xlfn.XLOOKUP($B14,'GP2'!$C$6:$C$15,'GP2'!$B$6:$B$15,"")</f>
        <v/>
      </c>
      <c r="H14" s="204">
        <f>_xlfn.XLOOKUP(G14,'GP2'!$B$6:$B$15,'GP2'!$A$6:$A$15,0)</f>
        <v>0</v>
      </c>
      <c r="I14" s="12" t="str">
        <f>_xlfn.XLOOKUP($B14,'GP3'!$C$6:$C$15,'GP3'!$B$6:$B$15,"")</f>
        <v/>
      </c>
      <c r="J14" s="204">
        <f>_xlfn.XLOOKUP(I14,'GP3'!$B$6:$B$15,'GP3'!$A$6:$A$15,0)</f>
        <v>0</v>
      </c>
      <c r="K14" s="12" t="str">
        <f>_xlfn.XLOOKUP($B14,'GP4'!$C$6:$C$15,'GP4'!$B$6:$B$15,"")</f>
        <v/>
      </c>
      <c r="L14" s="204">
        <f>_xlfn.XLOOKUP(K14,'GP4'!$B$6:$B$15,'GP4'!$A$6:$A$15,0)</f>
        <v>0</v>
      </c>
      <c r="M14" s="12" t="str">
        <f>_xlfn.XLOOKUP($B14,'GP5'!$C$6:$C$15,'GP5'!$B$6:$B$15,"")</f>
        <v/>
      </c>
      <c r="N14" s="206">
        <f>_xlfn.XLOOKUP(M14,'GP5'!$B$6:$B$15,'GP5'!$A$6:$A$15,0)</f>
        <v>0</v>
      </c>
      <c r="O14" s="12" t="str">
        <f>_xlfn.XLOOKUP($B14,'GP6'!$C$6:$C$15,'GP6'!$B$6:$B$15,"")</f>
        <v/>
      </c>
      <c r="P14" s="206">
        <f>_xlfn.XLOOKUP(O14,'GP6'!$B$6:$B$15,'GP6'!$A$6:$A$15,0)</f>
        <v>0</v>
      </c>
      <c r="Q14" s="12" t="str">
        <f>_xlfn.XLOOKUP($B14,'GP7'!$C$6:$C$15,'GP7'!$B$6:$B$15,"")</f>
        <v/>
      </c>
      <c r="R14" s="206">
        <f>_xlfn.XLOOKUP(Q14,'GP7'!$B$6:$B$15,'GP7'!$A$6:$A$15,0)</f>
        <v>0</v>
      </c>
      <c r="S14" s="12" t="str">
        <f>_xlfn.XLOOKUP($B14,'GP8'!$C$6:$C$15,'GP8'!$B$6:$B$15,"")</f>
        <v/>
      </c>
      <c r="T14" s="206">
        <f>_xlfn.XLOOKUP(S14,'GP8'!$B$6:$B$15,'GP8'!$A$6:$A$15,0)</f>
        <v>0</v>
      </c>
      <c r="U14" s="12" t="str">
        <f>_xlfn.XLOOKUP(B14,MPW!C$6:C$15,MPW!B$6:B$15,"")</f>
        <v/>
      </c>
      <c r="V14" s="206">
        <f>_xlfn.XLOOKUP(U14,MPW!B$6:B$15,MPW!A$6:A$15,0)</f>
        <v>0</v>
      </c>
    </row>
    <row r="15" spans="1:27" ht="14.95" customHeight="1" x14ac:dyDescent="0.25">
      <c r="A15" s="8">
        <f t="shared" si="0"/>
        <v>10</v>
      </c>
      <c r="B15" s="9"/>
      <c r="C15" s="11"/>
      <c r="D15" s="78">
        <f>SUM(F15,H15,J15,L15,N15,P15,R15,T15,V15)-SUM(SMALL((F15,H15,J15,L15,N15,P15,R15,T15),1),SMALL((F15,H15,J15,L15,N15,P15,R15,T15),2))</f>
        <v>0</v>
      </c>
      <c r="E15" s="12" t="str">
        <f>_xlfn.XLOOKUP($B15,'GP1'!$C$6:$C$55,'GP1'!$B$6:$B$55,"")</f>
        <v/>
      </c>
      <c r="F15" s="204">
        <f>_xlfn.XLOOKUP(E15,'GP1'!$B$6:$B$55,'GP1'!$A$6:$A$55,0)</f>
        <v>0</v>
      </c>
      <c r="G15" s="12" t="str">
        <f>_xlfn.XLOOKUP($B15,'GP2'!$C$6:$C$15,'GP2'!$B$6:$B$15,"")</f>
        <v/>
      </c>
      <c r="H15" s="204">
        <f>_xlfn.XLOOKUP(G15,'GP2'!$B$6:$B$15,'GP2'!$A$6:$A$15,0)</f>
        <v>0</v>
      </c>
      <c r="I15" s="12" t="str">
        <f>_xlfn.XLOOKUP($B15,'GP3'!$C$6:$C$15,'GP3'!$B$6:$B$15,"")</f>
        <v/>
      </c>
      <c r="J15" s="204">
        <f>_xlfn.XLOOKUP(I15,'GP3'!$B$6:$B$15,'GP3'!$A$6:$A$15,0)</f>
        <v>0</v>
      </c>
      <c r="K15" s="12" t="str">
        <f>_xlfn.XLOOKUP($B15,'GP4'!$C$6:$C$15,'GP4'!$B$6:$B$15,"")</f>
        <v/>
      </c>
      <c r="L15" s="204">
        <f>_xlfn.XLOOKUP(K15,'GP4'!$B$6:$B$15,'GP4'!$A$6:$A$15,0)</f>
        <v>0</v>
      </c>
      <c r="M15" s="12" t="str">
        <f>_xlfn.XLOOKUP($B15,'GP5'!$C$6:$C$15,'GP5'!$B$6:$B$15,"")</f>
        <v/>
      </c>
      <c r="N15" s="206">
        <f>_xlfn.XLOOKUP(M15,'GP5'!$B$6:$B$15,'GP5'!$A$6:$A$15,0)</f>
        <v>0</v>
      </c>
      <c r="O15" s="12" t="str">
        <f>_xlfn.XLOOKUP($B15,'GP6'!$C$6:$C$15,'GP6'!$B$6:$B$15,"")</f>
        <v/>
      </c>
      <c r="P15" s="206">
        <f>_xlfn.XLOOKUP(O15,'GP6'!$B$6:$B$15,'GP6'!$A$6:$A$15,0)</f>
        <v>0</v>
      </c>
      <c r="Q15" s="12" t="str">
        <f>_xlfn.XLOOKUP($B15,'GP7'!$C$6:$C$15,'GP7'!$B$6:$B$15,"")</f>
        <v/>
      </c>
      <c r="R15" s="206">
        <f>_xlfn.XLOOKUP(Q15,'GP7'!$B$6:$B$15,'GP7'!$A$6:$A$15,0)</f>
        <v>0</v>
      </c>
      <c r="S15" s="12" t="str">
        <f>_xlfn.XLOOKUP($B15,'GP8'!$C$6:$C$15,'GP8'!$B$6:$B$15,"")</f>
        <v/>
      </c>
      <c r="T15" s="206">
        <f>_xlfn.XLOOKUP(S15,'GP8'!$B$6:$B$15,'GP8'!$A$6:$A$15,0)</f>
        <v>0</v>
      </c>
      <c r="U15" s="12" t="str">
        <f>_xlfn.XLOOKUP(B15,MPW!C$6:C$15,MPW!B$6:B$15,"")</f>
        <v/>
      </c>
      <c r="V15" s="206">
        <f>_xlfn.XLOOKUP(U15,MPW!B$6:B$15,MPW!A$6:A$15,0)</f>
        <v>0</v>
      </c>
    </row>
    <row r="16" spans="1:27" ht="14.95" customHeight="1" x14ac:dyDescent="0.25">
      <c r="A16" s="8">
        <f t="shared" si="0"/>
        <v>11</v>
      </c>
      <c r="B16" s="9"/>
      <c r="C16" s="11"/>
      <c r="D16" s="78">
        <f>SUM(F16,H16,J16,L16,N16,P16,R16,T16,V16)-SUM(SMALL((F16,H16,J16,L16,N16,P16,R16,T16),1),SMALL((F16,H16,J16,L16,N16,P16,R16,T16),2))</f>
        <v>0</v>
      </c>
      <c r="E16" s="12" t="str">
        <f>_xlfn.XLOOKUP($B16,'GP1'!$C$6:$C$55,'GP1'!$B$6:$B$55,"")</f>
        <v/>
      </c>
      <c r="F16" s="204">
        <f>_xlfn.XLOOKUP(E16,'GP1'!$B$6:$B$55,'GP1'!$A$6:$A$55,0)</f>
        <v>0</v>
      </c>
      <c r="G16" s="12" t="str">
        <f>_xlfn.XLOOKUP($B16,'GP2'!$C$6:$C$15,'GP2'!$B$6:$B$15,"")</f>
        <v/>
      </c>
      <c r="H16" s="204">
        <f>_xlfn.XLOOKUP(G16,'GP2'!$B$6:$B$15,'GP2'!$A$6:$A$15,0)</f>
        <v>0</v>
      </c>
      <c r="I16" s="12" t="str">
        <f>_xlfn.XLOOKUP($B16,'GP3'!$C$6:$C$15,'GP3'!$B$6:$B$15,"")</f>
        <v/>
      </c>
      <c r="J16" s="204">
        <f>_xlfn.XLOOKUP(I16,'GP3'!$B$6:$B$15,'GP3'!$A$6:$A$15,0)</f>
        <v>0</v>
      </c>
      <c r="K16" s="12" t="str">
        <f>_xlfn.XLOOKUP($B16,'GP4'!$C$6:$C$15,'GP4'!$B$6:$B$15,"")</f>
        <v/>
      </c>
      <c r="L16" s="204">
        <f>_xlfn.XLOOKUP(K16,'GP4'!$B$6:$B$15,'GP4'!$A$6:$A$15,0)</f>
        <v>0</v>
      </c>
      <c r="M16" s="12" t="str">
        <f>_xlfn.XLOOKUP($B16,'GP5'!$C$6:$C$15,'GP5'!$B$6:$B$15,"")</f>
        <v/>
      </c>
      <c r="N16" s="206">
        <f>_xlfn.XLOOKUP(M16,'GP5'!$B$6:$B$15,'GP5'!$A$6:$A$15,0)</f>
        <v>0</v>
      </c>
      <c r="O16" s="12" t="str">
        <f>_xlfn.XLOOKUP($B16,'GP6'!$C$6:$C$15,'GP6'!$B$6:$B$15,"")</f>
        <v/>
      </c>
      <c r="P16" s="206">
        <f>_xlfn.XLOOKUP(O16,'GP6'!$B$6:$B$15,'GP6'!$A$6:$A$15,0)</f>
        <v>0</v>
      </c>
      <c r="Q16" s="12" t="str">
        <f>_xlfn.XLOOKUP($B16,'GP7'!$C$6:$C$15,'GP7'!$B$6:$B$15,"")</f>
        <v/>
      </c>
      <c r="R16" s="206">
        <f>_xlfn.XLOOKUP(Q16,'GP7'!$B$6:$B$15,'GP7'!$A$6:$A$15,0)</f>
        <v>0</v>
      </c>
      <c r="S16" s="12" t="str">
        <f>_xlfn.XLOOKUP($B16,'GP8'!$C$6:$C$15,'GP8'!$B$6:$B$15,"")</f>
        <v/>
      </c>
      <c r="T16" s="206">
        <f>_xlfn.XLOOKUP(S16,'GP8'!$B$6:$B$15,'GP8'!$A$6:$A$15,0)</f>
        <v>0</v>
      </c>
      <c r="U16" s="12" t="str">
        <f>_xlfn.XLOOKUP(B16,MPW!C$6:C$15,MPW!B$6:B$15,"")</f>
        <v/>
      </c>
      <c r="V16" s="206">
        <f>_xlfn.XLOOKUP(U16,MPW!B$6:B$15,MPW!A$6:A$15,0)</f>
        <v>0</v>
      </c>
    </row>
    <row r="17" spans="1:22" ht="14.95" customHeight="1" x14ac:dyDescent="0.25">
      <c r="A17" s="8">
        <f t="shared" si="0"/>
        <v>12</v>
      </c>
      <c r="B17" s="9"/>
      <c r="C17" s="11"/>
      <c r="D17" s="78">
        <f>SUM(F17,H17,J17,L17,N17,P17,R17,T17,V17)-SUM(SMALL((F17,H17,J17,L17,N17,P17,R17,T17),1),SMALL((F17,H17,J17,L17,N17,P17,R17,T17),2))</f>
        <v>0</v>
      </c>
      <c r="E17" s="12" t="str">
        <f>_xlfn.XLOOKUP($B17,'GP1'!$C$6:$C$55,'GP1'!$B$6:$B$55,"")</f>
        <v/>
      </c>
      <c r="F17" s="204">
        <f>_xlfn.XLOOKUP(E17,'GP1'!$B$6:$B$55,'GP1'!$A$6:$A$55,0)</f>
        <v>0</v>
      </c>
      <c r="G17" s="12" t="str">
        <f>_xlfn.XLOOKUP($B17,'GP2'!$C$6:$C$15,'GP2'!$B$6:$B$15,"")</f>
        <v/>
      </c>
      <c r="H17" s="204">
        <f>_xlfn.XLOOKUP(G17,'GP2'!$B$6:$B$15,'GP2'!$A$6:$A$15,0)</f>
        <v>0</v>
      </c>
      <c r="I17" s="12" t="str">
        <f>_xlfn.XLOOKUP($B17,'GP3'!$C$6:$C$15,'GP3'!$B$6:$B$15,"")</f>
        <v/>
      </c>
      <c r="J17" s="204">
        <f>_xlfn.XLOOKUP(I17,'GP3'!$B$6:$B$15,'GP3'!$A$6:$A$15,0)</f>
        <v>0</v>
      </c>
      <c r="K17" s="12" t="str">
        <f>_xlfn.XLOOKUP($B17,'GP4'!$C$6:$C$15,'GP4'!$B$6:$B$15,"")</f>
        <v/>
      </c>
      <c r="L17" s="204">
        <f>_xlfn.XLOOKUP(K17,'GP4'!$B$6:$B$15,'GP4'!$A$6:$A$15,0)</f>
        <v>0</v>
      </c>
      <c r="M17" s="12" t="str">
        <f>_xlfn.XLOOKUP($B17,'GP5'!$C$6:$C$15,'GP5'!$B$6:$B$15,"")</f>
        <v/>
      </c>
      <c r="N17" s="206">
        <f>_xlfn.XLOOKUP(M17,'GP5'!$B$6:$B$15,'GP5'!$A$6:$A$15,0)</f>
        <v>0</v>
      </c>
      <c r="O17" s="12" t="str">
        <f>_xlfn.XLOOKUP($B17,'GP6'!$C$6:$C$15,'GP6'!$B$6:$B$15,"")</f>
        <v/>
      </c>
      <c r="P17" s="206">
        <f>_xlfn.XLOOKUP(O17,'GP6'!$B$6:$B$15,'GP6'!$A$6:$A$15,0)</f>
        <v>0</v>
      </c>
      <c r="Q17" s="12" t="str">
        <f>_xlfn.XLOOKUP($B17,'GP7'!$C$6:$C$15,'GP7'!$B$6:$B$15,"")</f>
        <v/>
      </c>
      <c r="R17" s="206">
        <f>_xlfn.XLOOKUP(Q17,'GP7'!$B$6:$B$15,'GP7'!$A$6:$A$15,0)</f>
        <v>0</v>
      </c>
      <c r="S17" s="12" t="str">
        <f>_xlfn.XLOOKUP($B17,'GP8'!$C$6:$C$15,'GP8'!$B$6:$B$15,"")</f>
        <v/>
      </c>
      <c r="T17" s="206">
        <f>_xlfn.XLOOKUP(S17,'GP8'!$B$6:$B$15,'GP8'!$A$6:$A$15,0)</f>
        <v>0</v>
      </c>
      <c r="U17" s="12" t="str">
        <f>_xlfn.XLOOKUP(B17,MPW!C$6:C$15,MPW!B$6:B$15,"")</f>
        <v/>
      </c>
      <c r="V17" s="206">
        <f>_xlfn.XLOOKUP(U17,MPW!B$6:B$15,MPW!A$6:A$15,0)</f>
        <v>0</v>
      </c>
    </row>
    <row r="18" spans="1:22" ht="14.95" customHeight="1" x14ac:dyDescent="0.25">
      <c r="A18" s="8">
        <f t="shared" si="0"/>
        <v>13</v>
      </c>
      <c r="B18" s="9"/>
      <c r="C18" s="11"/>
      <c r="D18" s="78">
        <f>SUM(F18,H18,J18,L18,N18,P18,R18,T18,V18)-SUM(SMALL((F18,H18,J18,L18,N18,P18,R18,T18),1),SMALL((F18,H18,J18,L18,N18,P18,R18,T18),2))</f>
        <v>0</v>
      </c>
      <c r="E18" s="12" t="str">
        <f>_xlfn.XLOOKUP($B18,'GP1'!$C$6:$C$55,'GP1'!$B$6:$B$55,"")</f>
        <v/>
      </c>
      <c r="F18" s="204">
        <f>_xlfn.XLOOKUP(E18,'GP1'!$B$6:$B$55,'GP1'!$A$6:$A$55,0)</f>
        <v>0</v>
      </c>
      <c r="G18" s="12" t="str">
        <f>_xlfn.XLOOKUP($B18,'GP2'!$C$6:$C$15,'GP2'!$B$6:$B$15,"")</f>
        <v/>
      </c>
      <c r="H18" s="204">
        <f>_xlfn.XLOOKUP(G18,'GP2'!$B$6:$B$15,'GP2'!$A$6:$A$15,0)</f>
        <v>0</v>
      </c>
      <c r="I18" s="12" t="str">
        <f>_xlfn.XLOOKUP($B18,'GP3'!$C$6:$C$15,'GP3'!$B$6:$B$15,"")</f>
        <v/>
      </c>
      <c r="J18" s="204">
        <f>_xlfn.XLOOKUP(I18,'GP3'!$B$6:$B$15,'GP3'!$A$6:$A$15,0)</f>
        <v>0</v>
      </c>
      <c r="K18" s="12" t="str">
        <f>_xlfn.XLOOKUP($B18,'GP4'!$C$6:$C$15,'GP4'!$B$6:$B$15,"")</f>
        <v/>
      </c>
      <c r="L18" s="204">
        <f>_xlfn.XLOOKUP(K18,'GP4'!$B$6:$B$15,'GP4'!$A$6:$A$15,0)</f>
        <v>0</v>
      </c>
      <c r="M18" s="12" t="str">
        <f>_xlfn.XLOOKUP($B18,'GP5'!$C$6:$C$15,'GP5'!$B$6:$B$15,"")</f>
        <v/>
      </c>
      <c r="N18" s="206">
        <f>_xlfn.XLOOKUP(M18,'GP5'!$B$6:$B$15,'GP5'!$A$6:$A$15,0)</f>
        <v>0</v>
      </c>
      <c r="O18" s="12" t="str">
        <f>_xlfn.XLOOKUP($B18,'GP6'!$C$6:$C$15,'GP6'!$B$6:$B$15,"")</f>
        <v/>
      </c>
      <c r="P18" s="206">
        <f>_xlfn.XLOOKUP(O18,'GP6'!$B$6:$B$15,'GP6'!$A$6:$A$15,0)</f>
        <v>0</v>
      </c>
      <c r="Q18" s="12" t="str">
        <f>_xlfn.XLOOKUP($B18,'GP7'!$C$6:$C$15,'GP7'!$B$6:$B$15,"")</f>
        <v/>
      </c>
      <c r="R18" s="206">
        <f>_xlfn.XLOOKUP(Q18,'GP7'!$B$6:$B$15,'GP7'!$A$6:$A$15,0)</f>
        <v>0</v>
      </c>
      <c r="S18" s="12" t="str">
        <f>_xlfn.XLOOKUP($B18,'GP8'!$C$6:$C$15,'GP8'!$B$6:$B$15,"")</f>
        <v/>
      </c>
      <c r="T18" s="206">
        <f>_xlfn.XLOOKUP(S18,'GP8'!$B$6:$B$15,'GP8'!$A$6:$A$15,0)</f>
        <v>0</v>
      </c>
      <c r="U18" s="12" t="str">
        <f>_xlfn.XLOOKUP(B18,MPW!C$6:C$15,MPW!B$6:B$15,"")</f>
        <v/>
      </c>
      <c r="V18" s="206">
        <f>_xlfn.XLOOKUP(U18,MPW!B$6:B$15,MPW!A$6:A$15,0)</f>
        <v>0</v>
      </c>
    </row>
    <row r="19" spans="1:22" ht="14.95" customHeight="1" x14ac:dyDescent="0.25">
      <c r="A19" s="8">
        <f t="shared" si="0"/>
        <v>14</v>
      </c>
      <c r="B19" s="9"/>
      <c r="C19" s="11"/>
      <c r="D19" s="78">
        <f>SUM(F19,H19,J19,L19,N19,P19,R19,T19,V19)-SUM(SMALL((F19,H19,J19,L19,N19,P19,R19,T19),1),SMALL((F19,H19,J19,L19,N19,P19,R19,T19),2))</f>
        <v>0</v>
      </c>
      <c r="E19" s="12" t="str">
        <f>_xlfn.XLOOKUP($B19,'GP1'!$C$6:$C$55,'GP1'!$B$6:$B$55,"")</f>
        <v/>
      </c>
      <c r="F19" s="204">
        <f>_xlfn.XLOOKUP(E19,'GP1'!$B$6:$B$55,'GP1'!$A$6:$A$55,0)</f>
        <v>0</v>
      </c>
      <c r="G19" s="12" t="str">
        <f>_xlfn.XLOOKUP($B19,'GP2'!$C$6:$C$15,'GP2'!$B$6:$B$15,"")</f>
        <v/>
      </c>
      <c r="H19" s="204">
        <f>_xlfn.XLOOKUP(G19,'GP2'!$B$6:$B$15,'GP2'!$A$6:$A$15,0)</f>
        <v>0</v>
      </c>
      <c r="I19" s="12" t="str">
        <f>_xlfn.XLOOKUP($B19,'GP3'!$C$6:$C$15,'GP3'!$B$6:$B$15,"")</f>
        <v/>
      </c>
      <c r="J19" s="204">
        <f>_xlfn.XLOOKUP(I19,'GP3'!$B$6:$B$15,'GP3'!$A$6:$A$15,0)</f>
        <v>0</v>
      </c>
      <c r="K19" s="12" t="str">
        <f>_xlfn.XLOOKUP($B19,'GP4'!$C$6:$C$15,'GP4'!$B$6:$B$15,"")</f>
        <v/>
      </c>
      <c r="L19" s="204">
        <f>_xlfn.XLOOKUP(K19,'GP4'!$B$6:$B$15,'GP4'!$A$6:$A$15,0)</f>
        <v>0</v>
      </c>
      <c r="M19" s="12" t="str">
        <f>_xlfn.XLOOKUP($B19,'GP5'!$C$6:$C$15,'GP5'!$B$6:$B$15,"")</f>
        <v/>
      </c>
      <c r="N19" s="206">
        <f>_xlfn.XLOOKUP(M19,'GP5'!$B$6:$B$15,'GP5'!$A$6:$A$15,0)</f>
        <v>0</v>
      </c>
      <c r="O19" s="12" t="str">
        <f>_xlfn.XLOOKUP($B19,'GP6'!$C$6:$C$15,'GP6'!$B$6:$B$15,"")</f>
        <v/>
      </c>
      <c r="P19" s="206">
        <f>_xlfn.XLOOKUP(O19,'GP6'!$B$6:$B$15,'GP6'!$A$6:$A$15,0)</f>
        <v>0</v>
      </c>
      <c r="Q19" s="12" t="str">
        <f>_xlfn.XLOOKUP($B19,'GP7'!$C$6:$C$15,'GP7'!$B$6:$B$15,"")</f>
        <v/>
      </c>
      <c r="R19" s="206">
        <f>_xlfn.XLOOKUP(Q19,'GP7'!$B$6:$B$15,'GP7'!$A$6:$A$15,0)</f>
        <v>0</v>
      </c>
      <c r="S19" s="12" t="str">
        <f>_xlfn.XLOOKUP($B19,'GP8'!$C$6:$C$15,'GP8'!$B$6:$B$15,"")</f>
        <v/>
      </c>
      <c r="T19" s="206">
        <f>_xlfn.XLOOKUP(S19,'GP8'!$B$6:$B$15,'GP8'!$A$6:$A$15,0)</f>
        <v>0</v>
      </c>
      <c r="U19" s="12" t="str">
        <f>_xlfn.XLOOKUP(B19,MPW!C$6:C$15,MPW!B$6:B$15,"")</f>
        <v/>
      </c>
      <c r="V19" s="206">
        <f>_xlfn.XLOOKUP(U19,MPW!B$6:B$15,MPW!A$6:A$15,0)</f>
        <v>0</v>
      </c>
    </row>
    <row r="20" spans="1:22" ht="14.95" customHeight="1" x14ac:dyDescent="0.25">
      <c r="A20" s="8">
        <f t="shared" si="0"/>
        <v>15</v>
      </c>
      <c r="B20" s="9"/>
      <c r="C20" s="11"/>
      <c r="D20" s="78">
        <f>SUM(F20,H20,J20,L20,N20,P20,R20,T20,V20)-SUM(SMALL((F20,H20,J20,L20,N20,P20,R20,T20),1),SMALL((F20,H20,J20,L20,N20,P20,R20,T20),2))</f>
        <v>0</v>
      </c>
      <c r="E20" s="12" t="str">
        <f>_xlfn.XLOOKUP($B20,'GP1'!$C$6:$C$55,'GP1'!$B$6:$B$55,"")</f>
        <v/>
      </c>
      <c r="F20" s="204">
        <f>_xlfn.XLOOKUP(E20,'GP1'!$B$6:$B$55,'GP1'!$A$6:$A$55,0)</f>
        <v>0</v>
      </c>
      <c r="G20" s="12" t="str">
        <f>_xlfn.XLOOKUP($B20,'GP2'!$C$6:$C$15,'GP2'!$B$6:$B$15,"")</f>
        <v/>
      </c>
      <c r="H20" s="204">
        <f>_xlfn.XLOOKUP(G20,'GP2'!$B$6:$B$15,'GP2'!$A$6:$A$15,0)</f>
        <v>0</v>
      </c>
      <c r="I20" s="12" t="str">
        <f>_xlfn.XLOOKUP($B20,'GP3'!$C$6:$C$15,'GP3'!$B$6:$B$15,"")</f>
        <v/>
      </c>
      <c r="J20" s="204">
        <f>_xlfn.XLOOKUP(I20,'GP3'!$B$6:$B$15,'GP3'!$A$6:$A$15,0)</f>
        <v>0</v>
      </c>
      <c r="K20" s="12" t="str">
        <f>_xlfn.XLOOKUP($B20,'GP4'!$C$6:$C$15,'GP4'!$B$6:$B$15,"")</f>
        <v/>
      </c>
      <c r="L20" s="204">
        <f>_xlfn.XLOOKUP(K20,'GP4'!$B$6:$B$15,'GP4'!$A$6:$A$15,0)</f>
        <v>0</v>
      </c>
      <c r="M20" s="12" t="str">
        <f>_xlfn.XLOOKUP($B20,'GP5'!$C$6:$C$15,'GP5'!$B$6:$B$15,"")</f>
        <v/>
      </c>
      <c r="N20" s="206">
        <f>_xlfn.XLOOKUP(M20,'GP5'!$B$6:$B$15,'GP5'!$A$6:$A$15,0)</f>
        <v>0</v>
      </c>
      <c r="O20" s="12" t="str">
        <f>_xlfn.XLOOKUP($B20,'GP6'!$C$6:$C$15,'GP6'!$B$6:$B$15,"")</f>
        <v/>
      </c>
      <c r="P20" s="206">
        <f>_xlfn.XLOOKUP(O20,'GP6'!$B$6:$B$15,'GP6'!$A$6:$A$15,0)</f>
        <v>0</v>
      </c>
      <c r="Q20" s="12" t="str">
        <f>_xlfn.XLOOKUP($B20,'GP7'!$C$6:$C$15,'GP7'!$B$6:$B$15,"")</f>
        <v/>
      </c>
      <c r="R20" s="206">
        <f>_xlfn.XLOOKUP(Q20,'GP7'!$B$6:$B$15,'GP7'!$A$6:$A$15,0)</f>
        <v>0</v>
      </c>
      <c r="S20" s="12" t="str">
        <f>_xlfn.XLOOKUP($B20,'GP8'!$C$6:$C$15,'GP8'!$B$6:$B$15,"")</f>
        <v/>
      </c>
      <c r="T20" s="206">
        <f>_xlfn.XLOOKUP(S20,'GP8'!$B$6:$B$15,'GP8'!$A$6:$A$15,0)</f>
        <v>0</v>
      </c>
      <c r="U20" s="12" t="str">
        <f>_xlfn.XLOOKUP(B20,MPW!C$6:C$15,MPW!B$6:B$15,"")</f>
        <v/>
      </c>
      <c r="V20" s="206">
        <f>_xlfn.XLOOKUP(U20,MPW!B$6:B$15,MPW!A$6:A$15,0)</f>
        <v>0</v>
      </c>
    </row>
    <row r="21" spans="1:22" ht="14.95" customHeight="1" x14ac:dyDescent="0.25">
      <c r="A21" s="8">
        <f t="shared" si="0"/>
        <v>16</v>
      </c>
      <c r="B21" s="9"/>
      <c r="C21" s="11"/>
      <c r="D21" s="78">
        <f>SUM(F21,H21,J21,L21,N21,P21,R21,T21,V21)-SUM(SMALL((F21,H21,J21,L21,N21,P21,R21,T21),1),SMALL((F21,H21,J21,L21,N21,P21,R21,T21),2))</f>
        <v>0</v>
      </c>
      <c r="E21" s="12" t="str">
        <f>_xlfn.XLOOKUP($B21,'GP1'!$C$6:$C$55,'GP1'!$B$6:$B$55,"")</f>
        <v/>
      </c>
      <c r="F21" s="204">
        <f>_xlfn.XLOOKUP(E21,'GP1'!$B$6:$B$55,'GP1'!$A$6:$A$55,0)</f>
        <v>0</v>
      </c>
      <c r="G21" s="12" t="str">
        <f>_xlfn.XLOOKUP($B21,'GP2'!$C$6:$C$15,'GP2'!$B$6:$B$15,"")</f>
        <v/>
      </c>
      <c r="H21" s="204">
        <f>_xlfn.XLOOKUP(G21,'GP2'!$B$6:$B$15,'GP2'!$A$6:$A$15,0)</f>
        <v>0</v>
      </c>
      <c r="I21" s="12" t="str">
        <f>_xlfn.XLOOKUP($B21,'GP3'!$C$6:$C$15,'GP3'!$B$6:$B$15,"")</f>
        <v/>
      </c>
      <c r="J21" s="204">
        <f>_xlfn.XLOOKUP(I21,'GP3'!$B$6:$B$15,'GP3'!$A$6:$A$15,0)</f>
        <v>0</v>
      </c>
      <c r="K21" s="12" t="str">
        <f>_xlfn.XLOOKUP($B21,'GP4'!$C$6:$C$15,'GP4'!$B$6:$B$15,"")</f>
        <v/>
      </c>
      <c r="L21" s="204">
        <f>_xlfn.XLOOKUP(K21,'GP4'!$B$6:$B$15,'GP4'!$A$6:$A$15,0)</f>
        <v>0</v>
      </c>
      <c r="M21" s="12" t="str">
        <f>_xlfn.XLOOKUP($B21,'GP5'!$C$6:$C$15,'GP5'!$B$6:$B$15,"")</f>
        <v/>
      </c>
      <c r="N21" s="206">
        <f>_xlfn.XLOOKUP(M21,'GP5'!$B$6:$B$15,'GP5'!$A$6:$A$15,0)</f>
        <v>0</v>
      </c>
      <c r="O21" s="12" t="str">
        <f>_xlfn.XLOOKUP($B21,'GP6'!$C$6:$C$15,'GP6'!$B$6:$B$15,"")</f>
        <v/>
      </c>
      <c r="P21" s="206">
        <f>_xlfn.XLOOKUP(O21,'GP6'!$B$6:$B$15,'GP6'!$A$6:$A$15,0)</f>
        <v>0</v>
      </c>
      <c r="Q21" s="12" t="str">
        <f>_xlfn.XLOOKUP($B21,'GP7'!$C$6:$C$15,'GP7'!$B$6:$B$15,"")</f>
        <v/>
      </c>
      <c r="R21" s="206">
        <f>_xlfn.XLOOKUP(Q21,'GP7'!$B$6:$B$15,'GP7'!$A$6:$A$15,0)</f>
        <v>0</v>
      </c>
      <c r="S21" s="12" t="str">
        <f>_xlfn.XLOOKUP($B21,'GP8'!$C$6:$C$15,'GP8'!$B$6:$B$15,"")</f>
        <v/>
      </c>
      <c r="T21" s="206">
        <f>_xlfn.XLOOKUP(S21,'GP8'!$B$6:$B$15,'GP8'!$A$6:$A$15,0)</f>
        <v>0</v>
      </c>
      <c r="U21" s="12" t="str">
        <f>_xlfn.XLOOKUP(B21,MPW!C$6:C$15,MPW!B$6:B$15,"")</f>
        <v/>
      </c>
      <c r="V21" s="206">
        <f>_xlfn.XLOOKUP(U21,MPW!B$6:B$15,MPW!A$6:A$15,0)</f>
        <v>0</v>
      </c>
    </row>
    <row r="22" spans="1:22" ht="14.95" customHeight="1" x14ac:dyDescent="0.25">
      <c r="A22" s="8">
        <f t="shared" si="0"/>
        <v>17</v>
      </c>
      <c r="B22" s="9"/>
      <c r="C22" s="11"/>
      <c r="D22" s="78">
        <f>SUM(F22,H22,J22,L22,N22,P22,R22,T22,V22)-SUM(SMALL((F22,H22,J22,L22,N22,P22,R22,T22),1),SMALL((F22,H22,J22,L22,N22,P22,R22,T22),2))</f>
        <v>0</v>
      </c>
      <c r="E22" s="12" t="str">
        <f>_xlfn.XLOOKUP($B22,'GP1'!$C$6:$C$55,'GP1'!$B$6:$B$55,"")</f>
        <v/>
      </c>
      <c r="F22" s="204">
        <f>_xlfn.XLOOKUP(E22,'GP1'!$B$6:$B$55,'GP1'!$A$6:$A$55,0)</f>
        <v>0</v>
      </c>
      <c r="G22" s="12" t="str">
        <f>_xlfn.XLOOKUP($B22,'GP2'!$C$6:$C$15,'GP2'!$B$6:$B$15,"")</f>
        <v/>
      </c>
      <c r="H22" s="204">
        <f>_xlfn.XLOOKUP(G22,'GP2'!$B$6:$B$15,'GP2'!$A$6:$A$15,0)</f>
        <v>0</v>
      </c>
      <c r="I22" s="12" t="str">
        <f>_xlfn.XLOOKUP($B22,'GP3'!$C$6:$C$15,'GP3'!$B$6:$B$15,"")</f>
        <v/>
      </c>
      <c r="J22" s="204">
        <f>_xlfn.XLOOKUP(I22,'GP3'!$B$6:$B$15,'GP3'!$A$6:$A$15,0)</f>
        <v>0</v>
      </c>
      <c r="K22" s="12" t="str">
        <f>_xlfn.XLOOKUP($B22,'GP4'!$C$6:$C$15,'GP4'!$B$6:$B$15,"")</f>
        <v/>
      </c>
      <c r="L22" s="204">
        <f>_xlfn.XLOOKUP(K22,'GP4'!$B$6:$B$15,'GP4'!$A$6:$A$15,0)</f>
        <v>0</v>
      </c>
      <c r="M22" s="12" t="str">
        <f>_xlfn.XLOOKUP($B22,'GP5'!$C$6:$C$15,'GP5'!$B$6:$B$15,"")</f>
        <v/>
      </c>
      <c r="N22" s="206">
        <f>_xlfn.XLOOKUP(M22,'GP5'!$B$6:$B$15,'GP5'!$A$6:$A$15,0)</f>
        <v>0</v>
      </c>
      <c r="O22" s="12" t="str">
        <f>_xlfn.XLOOKUP($B22,'GP6'!$C$6:$C$15,'GP6'!$B$6:$B$15,"")</f>
        <v/>
      </c>
      <c r="P22" s="206">
        <f>_xlfn.XLOOKUP(O22,'GP6'!$B$6:$B$15,'GP6'!$A$6:$A$15,0)</f>
        <v>0</v>
      </c>
      <c r="Q22" s="12" t="str">
        <f>_xlfn.XLOOKUP($B22,'GP7'!$C$6:$C$15,'GP7'!$B$6:$B$15,"")</f>
        <v/>
      </c>
      <c r="R22" s="206">
        <f>_xlfn.XLOOKUP(Q22,'GP7'!$B$6:$B$15,'GP7'!$A$6:$A$15,0)</f>
        <v>0</v>
      </c>
      <c r="S22" s="12" t="str">
        <f>_xlfn.XLOOKUP($B22,'GP8'!$C$6:$C$15,'GP8'!$B$6:$B$15,"")</f>
        <v/>
      </c>
      <c r="T22" s="206">
        <f>_xlfn.XLOOKUP(S22,'GP8'!$B$6:$B$15,'GP8'!$A$6:$A$15,0)</f>
        <v>0</v>
      </c>
      <c r="U22" s="12" t="str">
        <f>_xlfn.XLOOKUP(B22,MPW!C$6:C$15,MPW!B$6:B$15,"")</f>
        <v/>
      </c>
      <c r="V22" s="206">
        <f>_xlfn.XLOOKUP(U22,MPW!B$6:B$15,MPW!A$6:A$15,0)</f>
        <v>0</v>
      </c>
    </row>
    <row r="23" spans="1:22" ht="14.95" customHeight="1" x14ac:dyDescent="0.25">
      <c r="A23" s="8">
        <f t="shared" si="0"/>
        <v>18</v>
      </c>
      <c r="B23" s="9"/>
      <c r="C23" s="11"/>
      <c r="D23" s="78">
        <f>SUM(F23,H23,J23,L23,N23,P23,R23,T23,V23)-SUM(SMALL((F23,H23,J23,L23,N23,P23,R23,T23),1),SMALL((F23,H23,J23,L23,N23,P23,R23,T23),2))</f>
        <v>0</v>
      </c>
      <c r="E23" s="12" t="str">
        <f>_xlfn.XLOOKUP($B23,'GP1'!$C$6:$C$55,'GP1'!$B$6:$B$55,"")</f>
        <v/>
      </c>
      <c r="F23" s="204">
        <f>_xlfn.XLOOKUP(E23,'GP1'!$B$6:$B$55,'GP1'!$A$6:$A$55,0)</f>
        <v>0</v>
      </c>
      <c r="G23" s="12" t="str">
        <f>_xlfn.XLOOKUP($B23,'GP2'!$C$6:$C$15,'GP2'!$B$6:$B$15,"")</f>
        <v/>
      </c>
      <c r="H23" s="204">
        <f>_xlfn.XLOOKUP(G23,'GP2'!$B$6:$B$15,'GP2'!$A$6:$A$15,0)</f>
        <v>0</v>
      </c>
      <c r="I23" s="12" t="str">
        <f>_xlfn.XLOOKUP($B23,'GP3'!$C$6:$C$15,'GP3'!$B$6:$B$15,"")</f>
        <v/>
      </c>
      <c r="J23" s="204">
        <f>_xlfn.XLOOKUP(I23,'GP3'!$B$6:$B$15,'GP3'!$A$6:$A$15,0)</f>
        <v>0</v>
      </c>
      <c r="K23" s="12" t="str">
        <f>_xlfn.XLOOKUP($B23,'GP4'!$C$6:$C$15,'GP4'!$B$6:$B$15,"")</f>
        <v/>
      </c>
      <c r="L23" s="204">
        <f>_xlfn.XLOOKUP(K23,'GP4'!$B$6:$B$15,'GP4'!$A$6:$A$15,0)</f>
        <v>0</v>
      </c>
      <c r="M23" s="12" t="str">
        <f>_xlfn.XLOOKUP($B23,'GP5'!$C$6:$C$15,'GP5'!$B$6:$B$15,"")</f>
        <v/>
      </c>
      <c r="N23" s="206">
        <f>_xlfn.XLOOKUP(M23,'GP5'!$B$6:$B$15,'GP5'!$A$6:$A$15,0)</f>
        <v>0</v>
      </c>
      <c r="O23" s="12" t="str">
        <f>_xlfn.XLOOKUP($B23,'GP6'!$C$6:$C$15,'GP6'!$B$6:$B$15,"")</f>
        <v/>
      </c>
      <c r="P23" s="206">
        <f>_xlfn.XLOOKUP(O23,'GP6'!$B$6:$B$15,'GP6'!$A$6:$A$15,0)</f>
        <v>0</v>
      </c>
      <c r="Q23" s="12" t="str">
        <f>_xlfn.XLOOKUP($B23,'GP7'!$C$6:$C$15,'GP7'!$B$6:$B$15,"")</f>
        <v/>
      </c>
      <c r="R23" s="206">
        <f>_xlfn.XLOOKUP(Q23,'GP7'!$B$6:$B$15,'GP7'!$A$6:$A$15,0)</f>
        <v>0</v>
      </c>
      <c r="S23" s="12" t="str">
        <f>_xlfn.XLOOKUP($B23,'GP8'!$C$6:$C$15,'GP8'!$B$6:$B$15,"")</f>
        <v/>
      </c>
      <c r="T23" s="206">
        <f>_xlfn.XLOOKUP(S23,'GP8'!$B$6:$B$15,'GP8'!$A$6:$A$15,0)</f>
        <v>0</v>
      </c>
      <c r="U23" s="12" t="str">
        <f>_xlfn.XLOOKUP(B23,MPW!C$6:C$15,MPW!B$6:B$15,"")</f>
        <v/>
      </c>
      <c r="V23" s="206">
        <f>_xlfn.XLOOKUP(U23,MPW!B$6:B$15,MPW!A$6:A$15,0)</f>
        <v>0</v>
      </c>
    </row>
    <row r="24" spans="1:22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7BC64A02-7F9D-4101-8B93-07A15FACA476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6" priority="9" operator="equal">
      <formula>3</formula>
    </cfRule>
    <cfRule type="cellIs" dxfId="35" priority="10" operator="equal">
      <formula>2</formula>
    </cfRule>
    <cfRule type="cellIs" dxfId="34" priority="11" operator="equal">
      <formula>1</formula>
    </cfRule>
  </conditionalFormatting>
  <conditionalFormatting sqref="D6:V23">
    <cfRule type="cellIs" dxfId="3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D19" sqref="D19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ht="14.3" customHeight="1" x14ac:dyDescent="0.25">
      <c r="A2" s="14"/>
      <c r="B2" s="20" t="s">
        <v>26</v>
      </c>
      <c r="C2" s="262" t="s">
        <v>27</v>
      </c>
      <c r="D2" s="262"/>
      <c r="E2" s="21"/>
      <c r="F2" s="21"/>
      <c r="G2" s="21"/>
      <c r="H2" s="22">
        <v>2</v>
      </c>
      <c r="I2" s="23">
        <v>50</v>
      </c>
      <c r="J2" s="23">
        <v>10</v>
      </c>
      <c r="K2" s="66">
        <f>3*H2^(1/3)</f>
        <v>3.7797631496846193</v>
      </c>
      <c r="L2" s="18"/>
      <c r="M2" s="18"/>
    </row>
    <row r="3" spans="1:36" ht="14.3" customHeight="1" x14ac:dyDescent="0.25">
      <c r="A3" s="14"/>
      <c r="B3" s="25" t="s">
        <v>28</v>
      </c>
      <c r="C3" s="263">
        <v>44941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71.339289449053865</v>
      </c>
      <c r="B6" s="34">
        <f>IF(H6&gt;$H$2,"",(ROW()-5))</f>
        <v>1</v>
      </c>
      <c r="C6" s="35" t="s">
        <v>19</v>
      </c>
      <c r="D6" s="35"/>
      <c r="E6" s="35"/>
      <c r="F6" s="35" t="s">
        <v>41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0">J6*$J$2</f>
        <v>10</v>
      </c>
      <c r="L6" s="38">
        <f>3*K2</f>
        <v>11.339289449053858</v>
      </c>
      <c r="M6" s="38">
        <f t="shared" ref="M6:M69" si="1">IF(I6&lt;&gt;"",K6+I6+L6,0)</f>
        <v>71.339289449053865</v>
      </c>
    </row>
    <row r="7" spans="1:36" ht="14.45" customHeight="1" x14ac:dyDescent="0.25">
      <c r="A7" s="39">
        <f t="shared" ref="A7:A37" si="2">M7</f>
        <v>8.5595262993692387</v>
      </c>
      <c r="B7" s="40">
        <f t="shared" ref="B7:B65" si="3">IF(H7&gt;$H$2,"",(ROW()-5))</f>
        <v>2</v>
      </c>
      <c r="C7" s="41" t="s">
        <v>20</v>
      </c>
      <c r="D7" s="41"/>
      <c r="E7" s="41"/>
      <c r="F7" s="41" t="s">
        <v>41</v>
      </c>
      <c r="G7" s="28"/>
      <c r="H7" s="42">
        <v>2</v>
      </c>
      <c r="I7" s="43">
        <f t="shared" ref="I7:I69" si="4">IF(H7&lt;$H$2+1,($I$2-($I$2-1)*(LOG(H7)/LOG($H$2))),"")</f>
        <v>1</v>
      </c>
      <c r="J7" s="42">
        <f t="shared" ref="J7:J70" si="5">INT(LOG($H$2,2))-ROUNDUP(LOG(H7,2),0)+IF(OR($H$2=1,$H$2=2,$H$2=4,$H$2=8,$H$2=16,$H$2=32,$H$2=64,$H$2=128,$H$2=256),0,1)</f>
        <v>0</v>
      </c>
      <c r="K7" s="42">
        <f t="shared" si="0"/>
        <v>0</v>
      </c>
      <c r="L7" s="44">
        <f>2*K2</f>
        <v>7.5595262993692387</v>
      </c>
      <c r="M7" s="44">
        <f t="shared" si="1"/>
        <v>8.5595262993692387</v>
      </c>
    </row>
    <row r="8" spans="1:36" ht="14.45" customHeight="1" x14ac:dyDescent="0.25">
      <c r="A8" s="33">
        <f t="shared" si="2"/>
        <v>0</v>
      </c>
      <c r="B8" s="34" t="str">
        <f t="shared" si="3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-1</v>
      </c>
      <c r="K8" s="36">
        <f t="shared" si="0"/>
        <v>-10</v>
      </c>
      <c r="L8" s="38">
        <f>K2</f>
        <v>3.7797631496846193</v>
      </c>
      <c r="M8" s="38">
        <f t="shared" si="1"/>
        <v>0</v>
      </c>
    </row>
    <row r="9" spans="1:36" ht="14.45" customHeight="1" x14ac:dyDescent="0.25">
      <c r="A9" s="39">
        <f t="shared" si="2"/>
        <v>0</v>
      </c>
      <c r="B9" s="40" t="str">
        <f t="shared" si="3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-1</v>
      </c>
      <c r="K9" s="42">
        <f t="shared" si="0"/>
        <v>-10</v>
      </c>
      <c r="L9" s="44"/>
      <c r="M9" s="44">
        <f t="shared" si="1"/>
        <v>0</v>
      </c>
      <c r="V9" s="45"/>
      <c r="Z9" s="46"/>
      <c r="AA9" s="46"/>
      <c r="AG9" s="47"/>
      <c r="AH9" s="19" t="s">
        <v>42</v>
      </c>
      <c r="AI9" s="19">
        <v>23</v>
      </c>
    </row>
    <row r="10" spans="1:36" ht="14.45" customHeight="1" x14ac:dyDescent="0.25">
      <c r="A10" s="33">
        <f t="shared" si="2"/>
        <v>0</v>
      </c>
      <c r="B10" s="34" t="str">
        <f t="shared" si="3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-2</v>
      </c>
      <c r="K10" s="36">
        <f t="shared" si="0"/>
        <v>-20</v>
      </c>
      <c r="L10" s="36"/>
      <c r="M10" s="38">
        <f t="shared" si="1"/>
        <v>0</v>
      </c>
      <c r="V10" s="45"/>
      <c r="Z10" s="46"/>
      <c r="AA10" s="46"/>
      <c r="AG10" s="47"/>
      <c r="AH10" s="19" t="s">
        <v>43</v>
      </c>
      <c r="AI10" s="19">
        <v>45</v>
      </c>
    </row>
    <row r="11" spans="1:36" ht="14.45" customHeight="1" x14ac:dyDescent="0.25">
      <c r="A11" s="39">
        <f t="shared" si="2"/>
        <v>0</v>
      </c>
      <c r="B11" s="40" t="str">
        <f t="shared" si="3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-2</v>
      </c>
      <c r="K11" s="42">
        <f t="shared" si="0"/>
        <v>-20</v>
      </c>
      <c r="L11" s="42"/>
      <c r="M11" s="44">
        <f t="shared" si="1"/>
        <v>0</v>
      </c>
      <c r="V11" s="48"/>
      <c r="Z11" s="46"/>
      <c r="AA11" s="46"/>
      <c r="AG11" s="47"/>
      <c r="AH11" s="19" t="s">
        <v>44</v>
      </c>
      <c r="AI11" s="19">
        <v>50</v>
      </c>
    </row>
    <row r="12" spans="1:36" ht="14.45" customHeight="1" x14ac:dyDescent="0.25">
      <c r="A12" s="33">
        <f t="shared" si="2"/>
        <v>0</v>
      </c>
      <c r="B12" s="34" t="str">
        <f t="shared" si="3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-2</v>
      </c>
      <c r="K12" s="36">
        <f t="shared" si="0"/>
        <v>-20</v>
      </c>
      <c r="L12" s="36"/>
      <c r="M12" s="38">
        <f t="shared" si="1"/>
        <v>0</v>
      </c>
      <c r="Z12" s="46"/>
      <c r="AA12" s="46"/>
      <c r="AG12" s="47"/>
      <c r="AH12" s="19" t="s">
        <v>45</v>
      </c>
      <c r="AI12" s="19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3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-2</v>
      </c>
      <c r="K13" s="42">
        <f t="shared" si="0"/>
        <v>-20</v>
      </c>
      <c r="L13" s="42"/>
      <c r="M13" s="44">
        <f t="shared" si="1"/>
        <v>0</v>
      </c>
      <c r="X13" s="45"/>
      <c r="AG13" s="47"/>
      <c r="AH13" s="19" t="s">
        <v>46</v>
      </c>
      <c r="AI13" s="19">
        <f>LOG(AI9)</f>
        <v>1.3617278360175928</v>
      </c>
    </row>
    <row r="14" spans="1:36" x14ac:dyDescent="0.25">
      <c r="A14" s="50">
        <f t="shared" si="2"/>
        <v>0</v>
      </c>
      <c r="B14" s="34" t="str">
        <f t="shared" si="3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-3</v>
      </c>
      <c r="K14" s="36">
        <f t="shared" si="0"/>
        <v>-30</v>
      </c>
      <c r="L14" s="36"/>
      <c r="M14" s="38">
        <f t="shared" si="1"/>
        <v>0</v>
      </c>
      <c r="X14" s="51"/>
      <c r="Z14" s="46"/>
      <c r="AA14" s="46"/>
      <c r="AG14" s="47"/>
      <c r="AH14" s="19" t="s">
        <v>47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 t="str">
        <f t="shared" si="3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-3</v>
      </c>
      <c r="K15" s="42">
        <f t="shared" si="0"/>
        <v>-30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2"/>
        <v>0</v>
      </c>
      <c r="B16" s="34" t="str">
        <f t="shared" si="3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-3</v>
      </c>
      <c r="K16" s="36">
        <f t="shared" si="0"/>
        <v>-30</v>
      </c>
      <c r="L16" s="36"/>
      <c r="M16" s="38">
        <f t="shared" si="1"/>
        <v>0</v>
      </c>
      <c r="R16" s="52"/>
      <c r="Z16" s="46"/>
      <c r="AA16" s="46"/>
      <c r="AH16" s="53" t="s">
        <v>48</v>
      </c>
      <c r="AI16" s="19">
        <f>AI11-AI12*AI13/AI14</f>
        <v>9.6393909380186855</v>
      </c>
      <c r="AJ16" s="19" t="s">
        <v>49</v>
      </c>
    </row>
    <row r="17" spans="1:19" x14ac:dyDescent="0.25">
      <c r="A17" s="49">
        <f t="shared" si="2"/>
        <v>0</v>
      </c>
      <c r="B17" s="40" t="str">
        <f t="shared" si="3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-3</v>
      </c>
      <c r="K17" s="42">
        <f t="shared" si="0"/>
        <v>-30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 t="str">
        <f t="shared" si="3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-3</v>
      </c>
      <c r="K18" s="36">
        <f t="shared" si="0"/>
        <v>-30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 t="str">
        <f t="shared" si="3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-3</v>
      </c>
      <c r="K19" s="42">
        <f t="shared" si="0"/>
        <v>-30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si="3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-3</v>
      </c>
      <c r="K20" s="36">
        <f t="shared" si="0"/>
        <v>-30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3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-3</v>
      </c>
      <c r="K21" s="42">
        <f t="shared" si="0"/>
        <v>-30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3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-4</v>
      </c>
      <c r="K22" s="36">
        <f t="shared" si="0"/>
        <v>-40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3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-4</v>
      </c>
      <c r="K23" s="42">
        <f t="shared" si="0"/>
        <v>-40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3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-4</v>
      </c>
      <c r="K24" s="36">
        <f t="shared" si="0"/>
        <v>-40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3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-4</v>
      </c>
      <c r="K25" s="42">
        <f t="shared" si="0"/>
        <v>-40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3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-4</v>
      </c>
      <c r="K26" s="36">
        <f t="shared" si="0"/>
        <v>-40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3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-4</v>
      </c>
      <c r="K27" s="42">
        <f t="shared" si="0"/>
        <v>-40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3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-4</v>
      </c>
      <c r="K28" s="36">
        <f t="shared" si="0"/>
        <v>-40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3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-4</v>
      </c>
      <c r="K29" s="42">
        <f t="shared" si="0"/>
        <v>-40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3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-4</v>
      </c>
      <c r="K30" s="36">
        <f t="shared" si="0"/>
        <v>-40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3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-4</v>
      </c>
      <c r="K31" s="42">
        <f t="shared" si="0"/>
        <v>-40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3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-4</v>
      </c>
      <c r="K32" s="36">
        <f t="shared" si="0"/>
        <v>-40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3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-4</v>
      </c>
      <c r="K33" s="42">
        <f t="shared" si="0"/>
        <v>-40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3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-4</v>
      </c>
      <c r="K34" s="36">
        <f t="shared" si="0"/>
        <v>-40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3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-4</v>
      </c>
      <c r="K35" s="42">
        <f t="shared" si="0"/>
        <v>-40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3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-4</v>
      </c>
      <c r="K36" s="36">
        <f t="shared" si="0"/>
        <v>-40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3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-4</v>
      </c>
      <c r="K37" s="42">
        <f t="shared" si="0"/>
        <v>-40</v>
      </c>
      <c r="L37" s="42"/>
      <c r="M37" s="44">
        <f t="shared" si="1"/>
        <v>0</v>
      </c>
    </row>
    <row r="38" spans="1:21" x14ac:dyDescent="0.25">
      <c r="A38" s="50"/>
      <c r="B38" s="34" t="str">
        <f t="shared" si="3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-5</v>
      </c>
      <c r="K38" s="36">
        <f t="shared" si="0"/>
        <v>-50</v>
      </c>
      <c r="L38" s="36"/>
      <c r="M38" s="38">
        <f t="shared" si="1"/>
        <v>0</v>
      </c>
    </row>
    <row r="39" spans="1:21" x14ac:dyDescent="0.25">
      <c r="A39" s="49"/>
      <c r="B39" s="40" t="str">
        <f t="shared" si="3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-5</v>
      </c>
      <c r="K39" s="42">
        <f t="shared" si="0"/>
        <v>-50</v>
      </c>
      <c r="L39" s="42"/>
      <c r="M39" s="44">
        <f t="shared" si="1"/>
        <v>0</v>
      </c>
    </row>
    <row r="40" spans="1:21" x14ac:dyDescent="0.25">
      <c r="A40" s="50"/>
      <c r="B40" s="34" t="str">
        <f t="shared" si="3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-5</v>
      </c>
      <c r="K40" s="36">
        <f t="shared" si="0"/>
        <v>-50</v>
      </c>
      <c r="L40" s="36"/>
      <c r="M40" s="38">
        <f t="shared" si="1"/>
        <v>0</v>
      </c>
    </row>
    <row r="41" spans="1:21" x14ac:dyDescent="0.25">
      <c r="A41" s="49"/>
      <c r="B41" s="40" t="str">
        <f t="shared" si="3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-5</v>
      </c>
      <c r="K41" s="42">
        <f t="shared" si="0"/>
        <v>-50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3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-5</v>
      </c>
      <c r="K42" s="36">
        <f t="shared" si="0"/>
        <v>-50</v>
      </c>
      <c r="L42" s="36"/>
      <c r="M42" s="38">
        <f t="shared" si="1"/>
        <v>0</v>
      </c>
    </row>
    <row r="43" spans="1:21" x14ac:dyDescent="0.25">
      <c r="A43" s="49"/>
      <c r="B43" s="40" t="str">
        <f t="shared" si="3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-5</v>
      </c>
      <c r="K43" s="42">
        <f t="shared" si="0"/>
        <v>-50</v>
      </c>
      <c r="L43" s="42"/>
      <c r="M43" s="44">
        <f t="shared" si="1"/>
        <v>0</v>
      </c>
    </row>
    <row r="44" spans="1:21" x14ac:dyDescent="0.25">
      <c r="A44" s="50"/>
      <c r="B44" s="34" t="str">
        <f t="shared" si="3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-5</v>
      </c>
      <c r="K44" s="36">
        <f t="shared" si="0"/>
        <v>-50</v>
      </c>
      <c r="L44" s="36"/>
      <c r="M44" s="38">
        <f t="shared" si="1"/>
        <v>0</v>
      </c>
    </row>
    <row r="45" spans="1:21" x14ac:dyDescent="0.25">
      <c r="A45" s="49"/>
      <c r="B45" s="40" t="str">
        <f t="shared" si="3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-5</v>
      </c>
      <c r="K45" s="42">
        <f t="shared" si="0"/>
        <v>-50</v>
      </c>
      <c r="L45" s="42"/>
      <c r="M45" s="44">
        <f t="shared" si="1"/>
        <v>0</v>
      </c>
    </row>
    <row r="46" spans="1:21" x14ac:dyDescent="0.25">
      <c r="A46" s="50"/>
      <c r="B46" s="34" t="str">
        <f t="shared" si="3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-5</v>
      </c>
      <c r="K46" s="36">
        <f t="shared" si="0"/>
        <v>-50</v>
      </c>
      <c r="L46" s="36"/>
      <c r="M46" s="38">
        <f t="shared" si="1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 x14ac:dyDescent="0.25">
      <c r="A47" s="49"/>
      <c r="B47" s="40" t="str">
        <f t="shared" si="3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-5</v>
      </c>
      <c r="K47" s="42">
        <f t="shared" si="0"/>
        <v>-50</v>
      </c>
      <c r="L47" s="42"/>
      <c r="M47" s="44">
        <f t="shared" si="1"/>
        <v>0</v>
      </c>
    </row>
    <row r="48" spans="1:21" x14ac:dyDescent="0.25">
      <c r="A48" s="50"/>
      <c r="B48" s="34" t="str">
        <f t="shared" si="3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-5</v>
      </c>
      <c r="K48" s="36">
        <f t="shared" si="0"/>
        <v>-50</v>
      </c>
      <c r="L48" s="36"/>
      <c r="M48" s="38">
        <f t="shared" si="1"/>
        <v>0</v>
      </c>
    </row>
    <row r="49" spans="1:13" x14ac:dyDescent="0.25">
      <c r="A49" s="49"/>
      <c r="B49" s="40" t="str">
        <f t="shared" si="3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-5</v>
      </c>
      <c r="K49" s="42">
        <f t="shared" si="0"/>
        <v>-50</v>
      </c>
      <c r="L49" s="42"/>
      <c r="M49" s="44">
        <f t="shared" si="1"/>
        <v>0</v>
      </c>
    </row>
    <row r="50" spans="1:13" x14ac:dyDescent="0.25">
      <c r="A50" s="50"/>
      <c r="B50" s="34" t="str">
        <f t="shared" si="3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-5</v>
      </c>
      <c r="K50" s="36">
        <f t="shared" si="0"/>
        <v>-50</v>
      </c>
      <c r="L50" s="36"/>
      <c r="M50" s="38">
        <f t="shared" si="1"/>
        <v>0</v>
      </c>
    </row>
    <row r="51" spans="1:13" x14ac:dyDescent="0.25">
      <c r="A51" s="49"/>
      <c r="B51" s="40" t="str">
        <f t="shared" si="3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-5</v>
      </c>
      <c r="K51" s="42">
        <f t="shared" si="0"/>
        <v>-50</v>
      </c>
      <c r="L51" s="42"/>
      <c r="M51" s="44">
        <f t="shared" si="1"/>
        <v>0</v>
      </c>
    </row>
    <row r="52" spans="1:13" x14ac:dyDescent="0.25">
      <c r="A52" s="50"/>
      <c r="B52" s="34" t="str">
        <f t="shared" si="3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-5</v>
      </c>
      <c r="K52" s="36">
        <f t="shared" si="0"/>
        <v>-50</v>
      </c>
      <c r="L52" s="36"/>
      <c r="M52" s="38">
        <f t="shared" si="1"/>
        <v>0</v>
      </c>
    </row>
    <row r="53" spans="1:13" x14ac:dyDescent="0.25">
      <c r="A53" s="49"/>
      <c r="B53" s="40" t="str">
        <f t="shared" si="3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-5</v>
      </c>
      <c r="K53" s="42">
        <f t="shared" si="0"/>
        <v>-50</v>
      </c>
      <c r="L53" s="42"/>
      <c r="M53" s="44">
        <f t="shared" si="1"/>
        <v>0</v>
      </c>
    </row>
    <row r="54" spans="1:13" x14ac:dyDescent="0.25">
      <c r="A54" s="50"/>
      <c r="B54" s="34" t="str">
        <f t="shared" si="3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-5</v>
      </c>
      <c r="K54" s="36">
        <f t="shared" si="0"/>
        <v>-50</v>
      </c>
      <c r="L54" s="36"/>
      <c r="M54" s="38">
        <f t="shared" si="1"/>
        <v>0</v>
      </c>
    </row>
    <row r="55" spans="1:13" x14ac:dyDescent="0.25">
      <c r="A55" s="49"/>
      <c r="B55" s="40" t="str">
        <f t="shared" si="3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-5</v>
      </c>
      <c r="K55" s="42">
        <f t="shared" si="0"/>
        <v>-50</v>
      </c>
      <c r="L55" s="42"/>
      <c r="M55" s="44">
        <f t="shared" si="1"/>
        <v>0</v>
      </c>
    </row>
    <row r="56" spans="1:13" x14ac:dyDescent="0.25">
      <c r="A56" s="50"/>
      <c r="B56" s="34" t="str">
        <f t="shared" si="3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-5</v>
      </c>
      <c r="K56" s="36">
        <f t="shared" si="0"/>
        <v>-50</v>
      </c>
      <c r="L56" s="36"/>
      <c r="M56" s="38">
        <f t="shared" si="1"/>
        <v>0</v>
      </c>
    </row>
    <row r="57" spans="1:13" x14ac:dyDescent="0.25">
      <c r="A57" s="49"/>
      <c r="B57" s="40" t="str">
        <f t="shared" si="3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-5</v>
      </c>
      <c r="K57" s="42">
        <f t="shared" si="0"/>
        <v>-50</v>
      </c>
      <c r="L57" s="42"/>
      <c r="M57" s="44">
        <f t="shared" si="1"/>
        <v>0</v>
      </c>
    </row>
    <row r="58" spans="1:13" x14ac:dyDescent="0.25">
      <c r="A58" s="50"/>
      <c r="B58" s="34" t="str">
        <f t="shared" si="3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-5</v>
      </c>
      <c r="K58" s="36">
        <f t="shared" si="0"/>
        <v>-50</v>
      </c>
      <c r="L58" s="36"/>
      <c r="M58" s="38">
        <f t="shared" si="1"/>
        <v>0</v>
      </c>
    </row>
    <row r="59" spans="1:13" x14ac:dyDescent="0.25">
      <c r="A59" s="49"/>
      <c r="B59" s="40" t="str">
        <f t="shared" si="3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-5</v>
      </c>
      <c r="K59" s="42">
        <f t="shared" si="0"/>
        <v>-50</v>
      </c>
      <c r="L59" s="42"/>
      <c r="M59" s="44">
        <f t="shared" si="1"/>
        <v>0</v>
      </c>
    </row>
    <row r="60" spans="1:13" x14ac:dyDescent="0.25">
      <c r="A60" s="50"/>
      <c r="B60" s="34" t="str">
        <f t="shared" si="3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-5</v>
      </c>
      <c r="K60" s="36">
        <f t="shared" si="0"/>
        <v>-50</v>
      </c>
      <c r="L60" s="36"/>
      <c r="M60" s="38">
        <f t="shared" si="1"/>
        <v>0</v>
      </c>
    </row>
    <row r="61" spans="1:13" x14ac:dyDescent="0.25">
      <c r="A61" s="49"/>
      <c r="B61" s="40" t="str">
        <f t="shared" si="3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-5</v>
      </c>
      <c r="K61" s="42">
        <f t="shared" si="0"/>
        <v>-50</v>
      </c>
      <c r="L61" s="42"/>
      <c r="M61" s="44">
        <f t="shared" si="1"/>
        <v>0</v>
      </c>
    </row>
    <row r="62" spans="1:13" x14ac:dyDescent="0.25">
      <c r="A62" s="50"/>
      <c r="B62" s="34" t="str">
        <f t="shared" si="3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-5</v>
      </c>
      <c r="K62" s="36">
        <f t="shared" si="0"/>
        <v>-50</v>
      </c>
      <c r="L62" s="36"/>
      <c r="M62" s="38">
        <f t="shared" si="1"/>
        <v>0</v>
      </c>
    </row>
    <row r="63" spans="1:13" x14ac:dyDescent="0.25">
      <c r="A63" s="49"/>
      <c r="B63" s="40" t="str">
        <f t="shared" si="3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-5</v>
      </c>
      <c r="K63" s="42">
        <f t="shared" si="0"/>
        <v>-50</v>
      </c>
      <c r="L63" s="42"/>
      <c r="M63" s="44">
        <f t="shared" si="1"/>
        <v>0</v>
      </c>
    </row>
    <row r="64" spans="1:13" x14ac:dyDescent="0.25">
      <c r="A64" s="50"/>
      <c r="B64" s="34" t="str">
        <f t="shared" si="3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-5</v>
      </c>
      <c r="K64" s="36">
        <f t="shared" si="0"/>
        <v>-50</v>
      </c>
      <c r="L64" s="36"/>
      <c r="M64" s="38">
        <f t="shared" si="1"/>
        <v>0</v>
      </c>
    </row>
    <row r="65" spans="1:13" x14ac:dyDescent="0.25">
      <c r="A65" s="49"/>
      <c r="B65" s="40" t="str">
        <f t="shared" si="3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-5</v>
      </c>
      <c r="K65" s="42">
        <f t="shared" si="0"/>
        <v>-50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-5</v>
      </c>
      <c r="K66" s="36">
        <f t="shared" si="0"/>
        <v>-50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-5</v>
      </c>
      <c r="K67" s="36">
        <f t="shared" si="0"/>
        <v>-50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-5</v>
      </c>
      <c r="K68" s="36">
        <f t="shared" si="0"/>
        <v>-50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-5</v>
      </c>
      <c r="K69" s="36">
        <f t="shared" si="0"/>
        <v>-50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>
        <f t="shared" si="5"/>
        <v>-6</v>
      </c>
      <c r="K70" s="36">
        <f t="shared" ref="K70:K133" si="7">J70*$J$2</f>
        <v>-60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>
        <f t="shared" ref="J71:J134" si="9">INT(LOG($H$2,2))-ROUNDUP(LOG(H71,2),0)+IF(OR($H$2=1,$H$2=2,$H$2=4,$H$2=8,$H$2=16,$H$2=32,$H$2=64,$H$2=128,$H$2=256),0,1)</f>
        <v>-6</v>
      </c>
      <c r="K71" s="36">
        <f t="shared" si="7"/>
        <v>-60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>
        <f t="shared" si="9"/>
        <v>-6</v>
      </c>
      <c r="K72" s="36">
        <f t="shared" si="7"/>
        <v>-60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>
        <f t="shared" si="9"/>
        <v>-6</v>
      </c>
      <c r="K73" s="36">
        <f t="shared" si="7"/>
        <v>-60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>
        <f t="shared" si="9"/>
        <v>-6</v>
      </c>
      <c r="K74" s="36">
        <f t="shared" si="7"/>
        <v>-60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>
        <f t="shared" si="9"/>
        <v>-6</v>
      </c>
      <c r="K75" s="36">
        <f t="shared" si="7"/>
        <v>-60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>
        <f t="shared" si="9"/>
        <v>-6</v>
      </c>
      <c r="K76" s="36">
        <f t="shared" si="7"/>
        <v>-60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>
        <f t="shared" si="9"/>
        <v>-6</v>
      </c>
      <c r="K77" s="36">
        <f t="shared" si="7"/>
        <v>-60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>
        <f t="shared" si="9"/>
        <v>-6</v>
      </c>
      <c r="K78" s="36">
        <f t="shared" si="7"/>
        <v>-60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>
        <f t="shared" si="9"/>
        <v>-6</v>
      </c>
      <c r="K79" s="36">
        <f t="shared" si="7"/>
        <v>-60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>
        <f t="shared" si="9"/>
        <v>-6</v>
      </c>
      <c r="K80" s="36">
        <f t="shared" si="7"/>
        <v>-60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>
        <f t="shared" si="9"/>
        <v>-6</v>
      </c>
      <c r="K81" s="36">
        <f t="shared" si="7"/>
        <v>-60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>
        <f t="shared" si="9"/>
        <v>-6</v>
      </c>
      <c r="K82" s="36">
        <f t="shared" si="7"/>
        <v>-60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>
        <f t="shared" si="9"/>
        <v>-6</v>
      </c>
      <c r="K83" s="36">
        <f t="shared" si="7"/>
        <v>-60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>
        <f t="shared" si="9"/>
        <v>-6</v>
      </c>
      <c r="K84" s="36">
        <f t="shared" si="7"/>
        <v>-60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>
        <f t="shared" si="9"/>
        <v>-6</v>
      </c>
      <c r="K85" s="36">
        <f t="shared" si="7"/>
        <v>-60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>
        <f t="shared" si="9"/>
        <v>-6</v>
      </c>
      <c r="K86" s="36">
        <f t="shared" si="7"/>
        <v>-60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>
        <f t="shared" si="9"/>
        <v>-6</v>
      </c>
      <c r="K87" s="36">
        <f t="shared" si="7"/>
        <v>-60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>
        <f t="shared" si="9"/>
        <v>-6</v>
      </c>
      <c r="K88" s="36">
        <f t="shared" si="7"/>
        <v>-60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>
        <f t="shared" si="9"/>
        <v>-6</v>
      </c>
      <c r="K89" s="36">
        <f t="shared" si="7"/>
        <v>-60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>
        <f t="shared" si="9"/>
        <v>-6</v>
      </c>
      <c r="K90" s="36">
        <f t="shared" si="7"/>
        <v>-60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>
        <f t="shared" si="9"/>
        <v>-6</v>
      </c>
      <c r="K91" s="36">
        <f t="shared" si="7"/>
        <v>-60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>
        <f t="shared" si="9"/>
        <v>-6</v>
      </c>
      <c r="K92" s="36">
        <f t="shared" si="7"/>
        <v>-60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>
        <f t="shared" si="9"/>
        <v>-6</v>
      </c>
      <c r="K93" s="36">
        <f t="shared" si="7"/>
        <v>-60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>
        <f t="shared" si="9"/>
        <v>-6</v>
      </c>
      <c r="K94" s="36">
        <f t="shared" si="7"/>
        <v>-60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>
        <f t="shared" si="9"/>
        <v>-6</v>
      </c>
      <c r="K95" s="36">
        <f t="shared" si="7"/>
        <v>-60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>
        <f t="shared" si="9"/>
        <v>-6</v>
      </c>
      <c r="K96" s="36">
        <f t="shared" si="7"/>
        <v>-60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>
        <f t="shared" si="9"/>
        <v>-6</v>
      </c>
      <c r="K97" s="36">
        <f t="shared" si="7"/>
        <v>-60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>
        <f t="shared" si="9"/>
        <v>-6</v>
      </c>
      <c r="K98" s="36">
        <f t="shared" si="7"/>
        <v>-60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>
        <f t="shared" si="9"/>
        <v>-6</v>
      </c>
      <c r="K99" s="36">
        <f t="shared" si="7"/>
        <v>-60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>
        <f t="shared" si="9"/>
        <v>-6</v>
      </c>
      <c r="K100" s="36">
        <f t="shared" si="7"/>
        <v>-60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>
        <f t="shared" si="9"/>
        <v>-6</v>
      </c>
      <c r="K101" s="36">
        <f t="shared" si="7"/>
        <v>-60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>
        <f t="shared" si="9"/>
        <v>-6</v>
      </c>
      <c r="K102" s="36">
        <f t="shared" si="7"/>
        <v>-60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>
        <f t="shared" si="9"/>
        <v>-6</v>
      </c>
      <c r="K103" s="36">
        <f t="shared" si="7"/>
        <v>-60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>
        <f t="shared" si="9"/>
        <v>-6</v>
      </c>
      <c r="K104" s="36">
        <f t="shared" si="7"/>
        <v>-60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>
        <f t="shared" si="9"/>
        <v>-6</v>
      </c>
      <c r="K105" s="36">
        <f t="shared" si="7"/>
        <v>-60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>
        <f t="shared" si="9"/>
        <v>-6</v>
      </c>
      <c r="K106" s="36">
        <f t="shared" si="7"/>
        <v>-60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>
        <f t="shared" si="9"/>
        <v>-6</v>
      </c>
      <c r="K107" s="36">
        <f t="shared" si="7"/>
        <v>-60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>
        <f t="shared" si="9"/>
        <v>-6</v>
      </c>
      <c r="K108" s="36">
        <f t="shared" si="7"/>
        <v>-60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>
        <f t="shared" si="9"/>
        <v>-6</v>
      </c>
      <c r="K109" s="36">
        <f t="shared" si="7"/>
        <v>-60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>
        <f t="shared" si="9"/>
        <v>-6</v>
      </c>
      <c r="K110" s="36">
        <f t="shared" si="7"/>
        <v>-60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>
        <f t="shared" si="9"/>
        <v>-6</v>
      </c>
      <c r="K111" s="36">
        <f t="shared" si="7"/>
        <v>-60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>
        <f t="shared" si="9"/>
        <v>-6</v>
      </c>
      <c r="K112" s="36">
        <f t="shared" si="7"/>
        <v>-60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>
        <f t="shared" si="9"/>
        <v>-6</v>
      </c>
      <c r="K113" s="36">
        <f t="shared" si="7"/>
        <v>-60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>
        <f t="shared" si="9"/>
        <v>-6</v>
      </c>
      <c r="K114" s="36">
        <f t="shared" si="7"/>
        <v>-60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>
        <f t="shared" si="9"/>
        <v>-6</v>
      </c>
      <c r="K115" s="36">
        <f t="shared" si="7"/>
        <v>-60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>
        <f t="shared" si="9"/>
        <v>-6</v>
      </c>
      <c r="K116" s="36">
        <f t="shared" si="7"/>
        <v>-60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>
        <f t="shared" si="9"/>
        <v>-6</v>
      </c>
      <c r="K117" s="36">
        <f t="shared" si="7"/>
        <v>-60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>
        <f t="shared" si="9"/>
        <v>-6</v>
      </c>
      <c r="K118" s="36">
        <f t="shared" si="7"/>
        <v>-60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>
        <f t="shared" si="9"/>
        <v>-6</v>
      </c>
      <c r="K119" s="36">
        <f t="shared" si="7"/>
        <v>-60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>
        <f t="shared" si="9"/>
        <v>-6</v>
      </c>
      <c r="K120" s="36">
        <f t="shared" si="7"/>
        <v>-60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>
        <f t="shared" si="9"/>
        <v>-6</v>
      </c>
      <c r="K121" s="36">
        <f t="shared" si="7"/>
        <v>-60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>
        <f t="shared" si="9"/>
        <v>-6</v>
      </c>
      <c r="K122" s="36">
        <f t="shared" si="7"/>
        <v>-60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>
        <f t="shared" si="9"/>
        <v>-6</v>
      </c>
      <c r="K123" s="36">
        <f t="shared" si="7"/>
        <v>-60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>
        <f t="shared" si="9"/>
        <v>-6</v>
      </c>
      <c r="K124" s="36">
        <f t="shared" si="7"/>
        <v>-60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>
        <f t="shared" si="9"/>
        <v>-6</v>
      </c>
      <c r="K125" s="36">
        <f t="shared" si="7"/>
        <v>-60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>
        <f t="shared" si="9"/>
        <v>-6</v>
      </c>
      <c r="K126" s="36">
        <f t="shared" si="7"/>
        <v>-60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>
        <f t="shared" si="9"/>
        <v>-6</v>
      </c>
      <c r="K127" s="36">
        <f t="shared" si="7"/>
        <v>-60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>
        <f t="shared" si="9"/>
        <v>-6</v>
      </c>
      <c r="K128" s="36">
        <f t="shared" si="7"/>
        <v>-60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>
        <f t="shared" si="9"/>
        <v>-6</v>
      </c>
      <c r="K129" s="36">
        <f t="shared" si="7"/>
        <v>-60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>
        <f t="shared" si="9"/>
        <v>-6</v>
      </c>
      <c r="K130" s="36">
        <f t="shared" si="7"/>
        <v>-60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>
        <f t="shared" si="9"/>
        <v>-6</v>
      </c>
      <c r="K131" s="36">
        <f t="shared" si="7"/>
        <v>-60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>
        <f t="shared" si="9"/>
        <v>-6</v>
      </c>
      <c r="K132" s="36">
        <f t="shared" si="7"/>
        <v>-60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>
        <f t="shared" si="9"/>
        <v>-6</v>
      </c>
      <c r="K133" s="36">
        <f t="shared" si="7"/>
        <v>-60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>
        <f t="shared" si="9"/>
        <v>-7</v>
      </c>
      <c r="K134" s="36">
        <f t="shared" ref="K134:K197" si="11">J134*$J$2</f>
        <v>-70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>
        <f t="shared" ref="J135:J198" si="13">INT(LOG($H$2,2))-ROUNDUP(LOG(H135,2),0)+IF(OR($H$2=1,$H$2=2,$H$2=4,$H$2=8,$H$2=16,$H$2=32,$H$2=64,$H$2=128,$H$2=256),0,1)</f>
        <v>-7</v>
      </c>
      <c r="K135" s="36">
        <f t="shared" si="11"/>
        <v>-70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>
        <f t="shared" si="13"/>
        <v>-7</v>
      </c>
      <c r="K136" s="36">
        <f t="shared" si="11"/>
        <v>-70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>
        <f t="shared" si="13"/>
        <v>-7</v>
      </c>
      <c r="K137" s="36">
        <f t="shared" si="11"/>
        <v>-70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>
        <f t="shared" si="13"/>
        <v>-7</v>
      </c>
      <c r="K138" s="36">
        <f t="shared" si="11"/>
        <v>-70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>
        <f t="shared" si="13"/>
        <v>-7</v>
      </c>
      <c r="K139" s="36">
        <f t="shared" si="11"/>
        <v>-70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>
        <f t="shared" si="13"/>
        <v>-7</v>
      </c>
      <c r="K140" s="36">
        <f t="shared" si="11"/>
        <v>-70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>
        <f t="shared" si="13"/>
        <v>-7</v>
      </c>
      <c r="K141" s="36">
        <f t="shared" si="11"/>
        <v>-70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>
        <f t="shared" si="13"/>
        <v>-7</v>
      </c>
      <c r="K142" s="36">
        <f t="shared" si="11"/>
        <v>-70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>
        <f t="shared" si="13"/>
        <v>-7</v>
      </c>
      <c r="K143" s="36">
        <f t="shared" si="11"/>
        <v>-70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>
        <f t="shared" si="13"/>
        <v>-7</v>
      </c>
      <c r="K144" s="36">
        <f t="shared" si="11"/>
        <v>-70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>
        <f t="shared" si="13"/>
        <v>-7</v>
      </c>
      <c r="K145" s="36">
        <f t="shared" si="11"/>
        <v>-70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>
        <f t="shared" si="13"/>
        <v>-7</v>
      </c>
      <c r="K146" s="36">
        <f t="shared" si="11"/>
        <v>-70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>
        <f t="shared" si="13"/>
        <v>-7</v>
      </c>
      <c r="K147" s="36">
        <f t="shared" si="11"/>
        <v>-70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>
        <f t="shared" si="13"/>
        <v>-7</v>
      </c>
      <c r="K148" s="36">
        <f t="shared" si="11"/>
        <v>-70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>
        <f t="shared" si="13"/>
        <v>-7</v>
      </c>
      <c r="K149" s="36">
        <f t="shared" si="11"/>
        <v>-70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>
        <f t="shared" si="13"/>
        <v>-7</v>
      </c>
      <c r="K150" s="36">
        <f t="shared" si="11"/>
        <v>-70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>
        <f t="shared" si="13"/>
        <v>-7</v>
      </c>
      <c r="K151" s="36">
        <f t="shared" si="11"/>
        <v>-70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>
        <f t="shared" si="13"/>
        <v>-7</v>
      </c>
      <c r="K152" s="36">
        <f t="shared" si="11"/>
        <v>-70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>
        <f t="shared" si="13"/>
        <v>-7</v>
      </c>
      <c r="K153" s="36">
        <f t="shared" si="11"/>
        <v>-70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>
        <f t="shared" si="13"/>
        <v>-7</v>
      </c>
      <c r="K154" s="36">
        <f t="shared" si="11"/>
        <v>-70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>
        <f t="shared" si="13"/>
        <v>-7</v>
      </c>
      <c r="K155" s="36">
        <f t="shared" si="11"/>
        <v>-70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>
        <f t="shared" si="13"/>
        <v>-7</v>
      </c>
      <c r="K156" s="36">
        <f t="shared" si="11"/>
        <v>-70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>
        <f t="shared" si="13"/>
        <v>-7</v>
      </c>
      <c r="K157" s="36">
        <f t="shared" si="11"/>
        <v>-70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>
        <f t="shared" si="13"/>
        <v>-7</v>
      </c>
      <c r="K158" s="36">
        <f t="shared" si="11"/>
        <v>-70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>
        <f t="shared" si="13"/>
        <v>-7</v>
      </c>
      <c r="K159" s="36">
        <f t="shared" si="11"/>
        <v>-70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>
        <f t="shared" si="13"/>
        <v>-7</v>
      </c>
      <c r="K160" s="36">
        <f t="shared" si="11"/>
        <v>-70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>
        <f t="shared" si="13"/>
        <v>-7</v>
      </c>
      <c r="K161" s="36">
        <f t="shared" si="11"/>
        <v>-70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>
        <f t="shared" si="13"/>
        <v>-7</v>
      </c>
      <c r="K162" s="36">
        <f t="shared" si="11"/>
        <v>-70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>
        <f t="shared" si="13"/>
        <v>-7</v>
      </c>
      <c r="K163" s="36">
        <f t="shared" si="11"/>
        <v>-70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>
        <f t="shared" si="13"/>
        <v>-7</v>
      </c>
      <c r="K164" s="36">
        <f t="shared" si="11"/>
        <v>-70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>
        <f t="shared" si="13"/>
        <v>-7</v>
      </c>
      <c r="K165" s="36">
        <f t="shared" si="11"/>
        <v>-70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>
        <f t="shared" si="13"/>
        <v>-7</v>
      </c>
      <c r="K166" s="36">
        <f t="shared" si="11"/>
        <v>-70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>
        <f t="shared" si="13"/>
        <v>-7</v>
      </c>
      <c r="K167" s="36">
        <f t="shared" si="11"/>
        <v>-70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>
        <f t="shared" si="13"/>
        <v>-7</v>
      </c>
      <c r="K168" s="36">
        <f t="shared" si="11"/>
        <v>-70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>
        <f t="shared" si="13"/>
        <v>-7</v>
      </c>
      <c r="K169" s="36">
        <f t="shared" si="11"/>
        <v>-70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>
        <f t="shared" si="13"/>
        <v>-7</v>
      </c>
      <c r="K170" s="36">
        <f t="shared" si="11"/>
        <v>-70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>
        <f t="shared" si="13"/>
        <v>-7</v>
      </c>
      <c r="K171" s="36">
        <f t="shared" si="11"/>
        <v>-70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>
        <f t="shared" si="13"/>
        <v>-7</v>
      </c>
      <c r="K172" s="36">
        <f t="shared" si="11"/>
        <v>-70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>
        <f t="shared" si="13"/>
        <v>-7</v>
      </c>
      <c r="K173" s="36">
        <f t="shared" si="11"/>
        <v>-70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>
        <f t="shared" si="13"/>
        <v>-7</v>
      </c>
      <c r="K174" s="36">
        <f t="shared" si="11"/>
        <v>-70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>
        <f t="shared" si="13"/>
        <v>-7</v>
      </c>
      <c r="K175" s="36">
        <f t="shared" si="11"/>
        <v>-70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>
        <f t="shared" si="13"/>
        <v>-7</v>
      </c>
      <c r="K176" s="36">
        <f t="shared" si="11"/>
        <v>-70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>
        <f t="shared" si="13"/>
        <v>-7</v>
      </c>
      <c r="K177" s="36">
        <f t="shared" si="11"/>
        <v>-70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>
        <f t="shared" si="13"/>
        <v>-7</v>
      </c>
      <c r="K178" s="36">
        <f t="shared" si="11"/>
        <v>-70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>
        <f t="shared" si="13"/>
        <v>-7</v>
      </c>
      <c r="K179" s="36">
        <f t="shared" si="11"/>
        <v>-70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>
        <f t="shared" si="13"/>
        <v>-7</v>
      </c>
      <c r="K180" s="36">
        <f t="shared" si="11"/>
        <v>-70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>
        <f t="shared" si="13"/>
        <v>-7</v>
      </c>
      <c r="K181" s="36">
        <f t="shared" si="11"/>
        <v>-70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>
        <f t="shared" si="13"/>
        <v>-7</v>
      </c>
      <c r="K182" s="36">
        <f t="shared" si="11"/>
        <v>-70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>
        <f t="shared" si="13"/>
        <v>-7</v>
      </c>
      <c r="K183" s="36">
        <f t="shared" si="11"/>
        <v>-70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>
        <f t="shared" si="13"/>
        <v>-7</v>
      </c>
      <c r="K184" s="36">
        <f t="shared" si="11"/>
        <v>-70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>
        <f t="shared" si="13"/>
        <v>-7</v>
      </c>
      <c r="K185" s="36">
        <f t="shared" si="11"/>
        <v>-70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>
        <f t="shared" si="13"/>
        <v>-7</v>
      </c>
      <c r="K186" s="36">
        <f t="shared" si="11"/>
        <v>-70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>
        <f t="shared" si="13"/>
        <v>-7</v>
      </c>
      <c r="K187" s="36">
        <f t="shared" si="11"/>
        <v>-70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>
        <f t="shared" si="13"/>
        <v>-7</v>
      </c>
      <c r="K188" s="36">
        <f t="shared" si="11"/>
        <v>-70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>
        <f t="shared" si="13"/>
        <v>-7</v>
      </c>
      <c r="K189" s="36">
        <f t="shared" si="11"/>
        <v>-70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>
        <f t="shared" si="13"/>
        <v>-7</v>
      </c>
      <c r="K190" s="36">
        <f t="shared" si="11"/>
        <v>-70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>
        <f t="shared" si="13"/>
        <v>-7</v>
      </c>
      <c r="K191" s="36">
        <f t="shared" si="11"/>
        <v>-70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>
        <f t="shared" si="13"/>
        <v>-7</v>
      </c>
      <c r="K192" s="36">
        <f t="shared" si="11"/>
        <v>-70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>
        <f t="shared" si="13"/>
        <v>-7</v>
      </c>
      <c r="K193" s="36">
        <f t="shared" si="11"/>
        <v>-70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>
        <f t="shared" si="13"/>
        <v>-7</v>
      </c>
      <c r="K194" s="36">
        <f t="shared" si="11"/>
        <v>-70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>
        <f t="shared" si="13"/>
        <v>-7</v>
      </c>
      <c r="K195" s="36">
        <f t="shared" si="11"/>
        <v>-70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>
        <f t="shared" si="13"/>
        <v>-7</v>
      </c>
      <c r="K196" s="36">
        <f t="shared" si="11"/>
        <v>-70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>
        <f t="shared" si="13"/>
        <v>-7</v>
      </c>
      <c r="K197" s="36">
        <f t="shared" si="11"/>
        <v>-70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>
        <f t="shared" si="13"/>
        <v>-7</v>
      </c>
      <c r="K198" s="36">
        <f t="shared" ref="K198:K261" si="15">J198*$J$2</f>
        <v>-70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>
        <f t="shared" ref="J199:J262" si="17">INT(LOG($H$2,2))-ROUNDUP(LOG(H199,2),0)+IF(OR($H$2=1,$H$2=2,$H$2=4,$H$2=8,$H$2=16,$H$2=32,$H$2=64,$H$2=128,$H$2=256),0,1)</f>
        <v>-7</v>
      </c>
      <c r="K199" s="36">
        <f t="shared" si="15"/>
        <v>-70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>
        <f t="shared" si="17"/>
        <v>-7</v>
      </c>
      <c r="K200" s="36">
        <f t="shared" si="15"/>
        <v>-70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>
        <f t="shared" si="17"/>
        <v>-7</v>
      </c>
      <c r="K201" s="36">
        <f t="shared" si="15"/>
        <v>-70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>
        <f t="shared" si="17"/>
        <v>-7</v>
      </c>
      <c r="K202" s="36">
        <f t="shared" si="15"/>
        <v>-70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>
        <f t="shared" si="17"/>
        <v>-7</v>
      </c>
      <c r="K203" s="36">
        <f t="shared" si="15"/>
        <v>-70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>
        <f t="shared" si="17"/>
        <v>-7</v>
      </c>
      <c r="K204" s="36">
        <f t="shared" si="15"/>
        <v>-70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>
        <f t="shared" si="17"/>
        <v>-7</v>
      </c>
      <c r="K205" s="36">
        <f t="shared" si="15"/>
        <v>-70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>
        <f t="shared" si="17"/>
        <v>-7</v>
      </c>
      <c r="K206" s="36">
        <f t="shared" si="15"/>
        <v>-70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>
        <f t="shared" si="17"/>
        <v>-7</v>
      </c>
      <c r="K207" s="36">
        <f t="shared" si="15"/>
        <v>-70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>
        <f t="shared" si="17"/>
        <v>-7</v>
      </c>
      <c r="K208" s="36">
        <f t="shared" si="15"/>
        <v>-70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>
        <f t="shared" si="17"/>
        <v>-7</v>
      </c>
      <c r="K209" s="36">
        <f t="shared" si="15"/>
        <v>-70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>
        <f t="shared" si="17"/>
        <v>-7</v>
      </c>
      <c r="K210" s="36">
        <f t="shared" si="15"/>
        <v>-70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>
        <f t="shared" si="17"/>
        <v>-7</v>
      </c>
      <c r="K211" s="36">
        <f t="shared" si="15"/>
        <v>-70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>
        <f t="shared" si="17"/>
        <v>-7</v>
      </c>
      <c r="K212" s="36">
        <f t="shared" si="15"/>
        <v>-70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>
        <f t="shared" si="17"/>
        <v>-7</v>
      </c>
      <c r="K213" s="36">
        <f t="shared" si="15"/>
        <v>-70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>
        <f t="shared" si="17"/>
        <v>-7</v>
      </c>
      <c r="K214" s="36">
        <f t="shared" si="15"/>
        <v>-70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>
        <f t="shared" si="17"/>
        <v>-7</v>
      </c>
      <c r="K215" s="36">
        <f t="shared" si="15"/>
        <v>-70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>
        <f t="shared" si="17"/>
        <v>-7</v>
      </c>
      <c r="K216" s="36">
        <f t="shared" si="15"/>
        <v>-70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>
        <f t="shared" si="17"/>
        <v>-7</v>
      </c>
      <c r="K217" s="36">
        <f t="shared" si="15"/>
        <v>-70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>
        <f t="shared" si="17"/>
        <v>-7</v>
      </c>
      <c r="K218" s="36">
        <f t="shared" si="15"/>
        <v>-70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>
        <f t="shared" si="17"/>
        <v>-7</v>
      </c>
      <c r="K219" s="36">
        <f t="shared" si="15"/>
        <v>-70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>
        <f t="shared" si="17"/>
        <v>-7</v>
      </c>
      <c r="K220" s="36">
        <f t="shared" si="15"/>
        <v>-70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>
        <f t="shared" si="17"/>
        <v>-7</v>
      </c>
      <c r="K221" s="36">
        <f t="shared" si="15"/>
        <v>-70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>
        <f t="shared" si="17"/>
        <v>-7</v>
      </c>
      <c r="K222" s="36">
        <f t="shared" si="15"/>
        <v>-70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>
        <f t="shared" si="17"/>
        <v>-7</v>
      </c>
      <c r="K223" s="36">
        <f t="shared" si="15"/>
        <v>-70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>
        <f t="shared" si="17"/>
        <v>-7</v>
      </c>
      <c r="K224" s="36">
        <f t="shared" si="15"/>
        <v>-70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>
        <f t="shared" si="17"/>
        <v>-7</v>
      </c>
      <c r="K225" s="36">
        <f t="shared" si="15"/>
        <v>-70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>
        <f t="shared" si="17"/>
        <v>-7</v>
      </c>
      <c r="K226" s="36">
        <f t="shared" si="15"/>
        <v>-70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>
        <f t="shared" si="17"/>
        <v>-7</v>
      </c>
      <c r="K227" s="36">
        <f t="shared" si="15"/>
        <v>-70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>
        <f t="shared" si="17"/>
        <v>-7</v>
      </c>
      <c r="K228" s="36">
        <f t="shared" si="15"/>
        <v>-70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>
        <f t="shared" si="17"/>
        <v>-7</v>
      </c>
      <c r="K229" s="36">
        <f t="shared" si="15"/>
        <v>-70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>
        <f t="shared" si="17"/>
        <v>-7</v>
      </c>
      <c r="K230" s="36">
        <f t="shared" si="15"/>
        <v>-70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>
        <f t="shared" si="17"/>
        <v>-7</v>
      </c>
      <c r="K231" s="36">
        <f t="shared" si="15"/>
        <v>-70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>
        <f t="shared" si="17"/>
        <v>-7</v>
      </c>
      <c r="K232" s="36">
        <f t="shared" si="15"/>
        <v>-70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>
        <f t="shared" si="17"/>
        <v>-7</v>
      </c>
      <c r="K233" s="36">
        <f t="shared" si="15"/>
        <v>-70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>
        <f t="shared" si="17"/>
        <v>-7</v>
      </c>
      <c r="K234" s="36">
        <f t="shared" si="15"/>
        <v>-70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>
        <f t="shared" si="17"/>
        <v>-7</v>
      </c>
      <c r="K235" s="36">
        <f t="shared" si="15"/>
        <v>-70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>
        <f t="shared" si="17"/>
        <v>-7</v>
      </c>
      <c r="K236" s="36">
        <f t="shared" si="15"/>
        <v>-70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>
        <f t="shared" si="17"/>
        <v>-7</v>
      </c>
      <c r="K237" s="36">
        <f t="shared" si="15"/>
        <v>-70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>
        <f t="shared" si="17"/>
        <v>-7</v>
      </c>
      <c r="K238" s="36">
        <f t="shared" si="15"/>
        <v>-70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>
        <f t="shared" si="17"/>
        <v>-7</v>
      </c>
      <c r="K239" s="36">
        <f t="shared" si="15"/>
        <v>-70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>
        <f t="shared" si="17"/>
        <v>-7</v>
      </c>
      <c r="K240" s="36">
        <f t="shared" si="15"/>
        <v>-70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>
        <f t="shared" si="17"/>
        <v>-7</v>
      </c>
      <c r="K241" s="36">
        <f t="shared" si="15"/>
        <v>-70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>
        <f t="shared" si="17"/>
        <v>-7</v>
      </c>
      <c r="K242" s="36">
        <f t="shared" si="15"/>
        <v>-70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>
        <f t="shared" si="17"/>
        <v>-7</v>
      </c>
      <c r="K243" s="36">
        <f t="shared" si="15"/>
        <v>-70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>
        <f t="shared" si="17"/>
        <v>-7</v>
      </c>
      <c r="K244" s="36">
        <f t="shared" si="15"/>
        <v>-70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>
        <f t="shared" si="17"/>
        <v>-7</v>
      </c>
      <c r="K245" s="36">
        <f t="shared" si="15"/>
        <v>-70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>
        <f t="shared" si="17"/>
        <v>-7</v>
      </c>
      <c r="K246" s="36">
        <f t="shared" si="15"/>
        <v>-70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>
        <f t="shared" si="17"/>
        <v>-7</v>
      </c>
      <c r="K247" s="36">
        <f t="shared" si="15"/>
        <v>-70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>
        <f t="shared" si="17"/>
        <v>-7</v>
      </c>
      <c r="K248" s="36">
        <f t="shared" si="15"/>
        <v>-70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>
        <f t="shared" si="17"/>
        <v>-7</v>
      </c>
      <c r="K249" s="36">
        <f t="shared" si="15"/>
        <v>-70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>
        <f t="shared" si="17"/>
        <v>-7</v>
      </c>
      <c r="K250" s="36">
        <f t="shared" si="15"/>
        <v>-70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>
        <f t="shared" si="17"/>
        <v>-7</v>
      </c>
      <c r="K251" s="36">
        <f t="shared" si="15"/>
        <v>-70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>
        <f t="shared" si="17"/>
        <v>-7</v>
      </c>
      <c r="K252" s="36">
        <f t="shared" si="15"/>
        <v>-70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>
        <f t="shared" si="17"/>
        <v>-7</v>
      </c>
      <c r="K253" s="36">
        <f t="shared" si="15"/>
        <v>-70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>
        <f t="shared" si="17"/>
        <v>-7</v>
      </c>
      <c r="K254" s="36">
        <f t="shared" si="15"/>
        <v>-70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>
        <f t="shared" si="17"/>
        <v>-7</v>
      </c>
      <c r="K255" s="36">
        <f t="shared" si="15"/>
        <v>-70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>
        <f t="shared" si="17"/>
        <v>-7</v>
      </c>
      <c r="K256" s="36">
        <f t="shared" si="15"/>
        <v>-70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>
        <f t="shared" si="17"/>
        <v>-7</v>
      </c>
      <c r="K257" s="36">
        <f t="shared" si="15"/>
        <v>-70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>
        <f t="shared" si="17"/>
        <v>-7</v>
      </c>
      <c r="K258" s="36">
        <f t="shared" si="15"/>
        <v>-70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>
        <f t="shared" si="17"/>
        <v>-7</v>
      </c>
      <c r="K259" s="36">
        <f t="shared" si="15"/>
        <v>-70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>
        <f t="shared" si="17"/>
        <v>-7</v>
      </c>
      <c r="K260" s="36">
        <f t="shared" si="15"/>
        <v>-70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>
        <f t="shared" si="17"/>
        <v>-7</v>
      </c>
      <c r="K261" s="36">
        <f t="shared" si="15"/>
        <v>-70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>
        <f t="shared" si="17"/>
        <v>-8</v>
      </c>
      <c r="K262" s="36">
        <f t="shared" ref="K262:K305" si="19">J262*$J$2</f>
        <v>-80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>
        <f t="shared" ref="J263:J312" si="21">INT(LOG($H$2,2))-ROUNDUP(LOG(H263,2),0)+IF(OR($H$2=1,$H$2=2,$H$2=4,$H$2=8,$H$2=16,$H$2=32,$H$2=64,$H$2=128,$H$2=256),0,1)</f>
        <v>-8</v>
      </c>
      <c r="K263" s="36">
        <f t="shared" si="19"/>
        <v>-80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>
        <f t="shared" si="21"/>
        <v>-8</v>
      </c>
      <c r="K264" s="36">
        <f t="shared" si="19"/>
        <v>-80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>
        <f t="shared" si="21"/>
        <v>-8</v>
      </c>
      <c r="K265" s="36">
        <f t="shared" si="19"/>
        <v>-80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>
        <f t="shared" si="21"/>
        <v>-8</v>
      </c>
      <c r="K266" s="36">
        <f t="shared" si="19"/>
        <v>-80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>
        <f t="shared" si="21"/>
        <v>-8</v>
      </c>
      <c r="K267" s="36">
        <f t="shared" si="19"/>
        <v>-80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>
        <f t="shared" si="21"/>
        <v>-8</v>
      </c>
      <c r="K268" s="36">
        <f t="shared" si="19"/>
        <v>-80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>
        <f t="shared" si="21"/>
        <v>-8</v>
      </c>
      <c r="K269" s="36">
        <f t="shared" si="19"/>
        <v>-80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>
        <f t="shared" si="21"/>
        <v>-8</v>
      </c>
      <c r="K270" s="36">
        <f t="shared" si="19"/>
        <v>-80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>
        <f t="shared" si="21"/>
        <v>-8</v>
      </c>
      <c r="K271" s="36">
        <f t="shared" si="19"/>
        <v>-80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>
        <f t="shared" si="21"/>
        <v>-8</v>
      </c>
      <c r="K272" s="36">
        <f t="shared" si="19"/>
        <v>-80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>
        <f t="shared" si="21"/>
        <v>-8</v>
      </c>
      <c r="K273" s="36">
        <f t="shared" si="19"/>
        <v>-80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>
        <f t="shared" si="21"/>
        <v>-8</v>
      </c>
      <c r="K274" s="36">
        <f t="shared" si="19"/>
        <v>-80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>
        <f t="shared" si="21"/>
        <v>-8</v>
      </c>
      <c r="K275" s="36">
        <f t="shared" si="19"/>
        <v>-80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>
        <f t="shared" si="21"/>
        <v>-8</v>
      </c>
      <c r="K276" s="36">
        <f t="shared" si="19"/>
        <v>-80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>
        <f t="shared" si="21"/>
        <v>-8</v>
      </c>
      <c r="K277" s="36">
        <f t="shared" si="19"/>
        <v>-80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>
        <f t="shared" si="21"/>
        <v>-8</v>
      </c>
      <c r="K278" s="36">
        <f t="shared" si="19"/>
        <v>-80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>
        <f t="shared" si="21"/>
        <v>-8</v>
      </c>
      <c r="K279" s="36">
        <f t="shared" si="19"/>
        <v>-80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>
        <f t="shared" si="21"/>
        <v>-8</v>
      </c>
      <c r="K280" s="36">
        <f t="shared" si="19"/>
        <v>-80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>
        <f t="shared" si="21"/>
        <v>-8</v>
      </c>
      <c r="K281" s="36">
        <f t="shared" si="19"/>
        <v>-80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>
        <f t="shared" si="21"/>
        <v>-8</v>
      </c>
      <c r="K282" s="36">
        <f t="shared" si="19"/>
        <v>-80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>
        <f t="shared" si="21"/>
        <v>-8</v>
      </c>
      <c r="K283" s="36">
        <f t="shared" si="19"/>
        <v>-80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>
        <f t="shared" si="21"/>
        <v>-8</v>
      </c>
      <c r="K284" s="36">
        <f t="shared" si="19"/>
        <v>-80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>
        <f t="shared" si="21"/>
        <v>-8</v>
      </c>
      <c r="K285" s="36">
        <f t="shared" si="19"/>
        <v>-80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>
        <f t="shared" si="21"/>
        <v>-8</v>
      </c>
      <c r="K286" s="36">
        <f t="shared" si="19"/>
        <v>-80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>
        <f t="shared" si="21"/>
        <v>-8</v>
      </c>
      <c r="K287" s="36">
        <f t="shared" si="19"/>
        <v>-80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>
        <f t="shared" si="21"/>
        <v>-8</v>
      </c>
      <c r="K288" s="36">
        <f t="shared" si="19"/>
        <v>-80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>
        <f t="shared" si="21"/>
        <v>-8</v>
      </c>
      <c r="K289" s="36">
        <f t="shared" si="19"/>
        <v>-80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>
        <f t="shared" si="21"/>
        <v>-8</v>
      </c>
      <c r="K290" s="36">
        <f t="shared" si="19"/>
        <v>-80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>
        <f t="shared" si="21"/>
        <v>-8</v>
      </c>
      <c r="K291" s="36">
        <f t="shared" si="19"/>
        <v>-80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>
        <f t="shared" si="21"/>
        <v>-8</v>
      </c>
      <c r="K292" s="36">
        <f t="shared" si="19"/>
        <v>-80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>
        <f t="shared" si="21"/>
        <v>-8</v>
      </c>
      <c r="K293" s="36">
        <f t="shared" si="19"/>
        <v>-80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>
        <f t="shared" si="21"/>
        <v>-8</v>
      </c>
      <c r="K294" s="36">
        <f t="shared" si="19"/>
        <v>-80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>
        <f t="shared" si="21"/>
        <v>-8</v>
      </c>
      <c r="K295" s="36">
        <f t="shared" si="19"/>
        <v>-80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>
        <f t="shared" si="21"/>
        <v>-8</v>
      </c>
      <c r="K296" s="36">
        <f t="shared" si="19"/>
        <v>-80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>
        <f t="shared" si="21"/>
        <v>-8</v>
      </c>
      <c r="K297" s="36">
        <f t="shared" si="19"/>
        <v>-80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>
        <f t="shared" si="21"/>
        <v>-8</v>
      </c>
      <c r="K298" s="36">
        <f t="shared" si="19"/>
        <v>-80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>
        <f t="shared" si="21"/>
        <v>-8</v>
      </c>
      <c r="K299" s="36">
        <f t="shared" si="19"/>
        <v>-80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>
        <f t="shared" si="21"/>
        <v>-8</v>
      </c>
      <c r="K300" s="36">
        <f t="shared" si="19"/>
        <v>-80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>
        <f t="shared" si="21"/>
        <v>-8</v>
      </c>
      <c r="K301" s="36">
        <f t="shared" si="19"/>
        <v>-80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>
        <f t="shared" si="21"/>
        <v>-8</v>
      </c>
      <c r="K302" s="36">
        <f t="shared" si="19"/>
        <v>-80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>
        <f t="shared" si="21"/>
        <v>-8</v>
      </c>
      <c r="K303" s="36">
        <f t="shared" si="19"/>
        <v>-80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>
        <f t="shared" si="21"/>
        <v>-8</v>
      </c>
      <c r="K304" s="36">
        <f t="shared" si="19"/>
        <v>-80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>
        <f t="shared" si="21"/>
        <v>-8</v>
      </c>
      <c r="K305" s="36">
        <f t="shared" si="19"/>
        <v>-80</v>
      </c>
      <c r="L305" s="36"/>
      <c r="M305" s="38">
        <f t="shared" si="20"/>
        <v>0</v>
      </c>
    </row>
    <row r="306" spans="1:16" x14ac:dyDescent="0.25">
      <c r="A306" s="59"/>
      <c r="J306" s="60" t="e">
        <f t="shared" si="21"/>
        <v>#NUM!</v>
      </c>
    </row>
    <row r="307" spans="1:16" x14ac:dyDescent="0.25">
      <c r="J307" s="60" t="e">
        <f t="shared" si="21"/>
        <v>#NUM!</v>
      </c>
    </row>
    <row r="308" spans="1:16" x14ac:dyDescent="0.25">
      <c r="J308" s="60" t="e">
        <f t="shared" si="21"/>
        <v>#NUM!</v>
      </c>
    </row>
    <row r="309" spans="1:16" x14ac:dyDescent="0.25">
      <c r="J309" s="60" t="e">
        <f t="shared" si="21"/>
        <v>#NUM!</v>
      </c>
    </row>
    <row r="310" spans="1:16" x14ac:dyDescent="0.25">
      <c r="J310" s="60" t="e">
        <f t="shared" si="21"/>
        <v>#NUM!</v>
      </c>
    </row>
    <row r="311" spans="1:16" x14ac:dyDescent="0.25">
      <c r="J311" s="60" t="e">
        <f t="shared" si="21"/>
        <v>#NUM!</v>
      </c>
    </row>
    <row r="312" spans="1:16" x14ac:dyDescent="0.25">
      <c r="J312" s="60" t="e">
        <f t="shared" si="21"/>
        <v>#NUM!</v>
      </c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9:K305">
    <cfRule type="cellIs" dxfId="32" priority="1" operator="lessThanOrEqual">
      <formula>0</formula>
    </cfRule>
  </conditionalFormatting>
  <hyperlinks>
    <hyperlink ref="C2:D2" r:id="rId1" display="PABIANICE" xr:uid="{A13C4CED-C350-4DF9-9E35-3D2C52CC813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B11" sqref="B6:B11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x14ac:dyDescent="0.25">
      <c r="A2" s="14"/>
      <c r="B2" s="20" t="s">
        <v>26</v>
      </c>
      <c r="C2" s="262" t="s">
        <v>50</v>
      </c>
      <c r="D2" s="26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x14ac:dyDescent="0.25">
      <c r="A3" s="14"/>
      <c r="B3" s="25" t="s">
        <v>28</v>
      </c>
      <c r="C3" s="263" t="s">
        <v>51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59</v>
      </c>
      <c r="B6" s="34">
        <f t="shared" ref="B6:B11" si="0">IF(H6&gt;$H$2,"",(ROW()-5))</f>
        <v>1</v>
      </c>
      <c r="C6" s="35" t="s">
        <v>20</v>
      </c>
      <c r="D6" s="35" t="s">
        <v>52</v>
      </c>
      <c r="E6" s="35" t="s">
        <v>41</v>
      </c>
      <c r="F6" s="35"/>
      <c r="G6" s="28"/>
      <c r="H6" s="36">
        <v>1</v>
      </c>
      <c r="I6" s="37">
        <f>IF(H2=1,50,IF(H6&lt;$H$2+1,($I$2-($I$2-1)*(LOG(H6)/LOG($H$2))),""))</f>
        <v>50</v>
      </c>
      <c r="J6" s="36">
        <f t="shared" ref="J6:J70" si="1">INT(LOG($H$2,2))-ROUNDUP(LOG(H6,2),0)+IF(OR($H$2=1,$H$2=2,$H$2=4,$H$2=8,$H$2=16,$H$2=32,$H$2=64,$H$2=128,$H$2=256),0,1)</f>
        <v>0</v>
      </c>
      <c r="K6" s="36">
        <f t="shared" ref="K6:K69" si="2">J6*$J$2</f>
        <v>0</v>
      </c>
      <c r="L6" s="38">
        <f>3*K2</f>
        <v>9</v>
      </c>
      <c r="M6" s="38">
        <f t="shared" ref="M6:M69" si="3">IF(I6&lt;&gt;"",K6+I6+L6,0)</f>
        <v>59</v>
      </c>
    </row>
    <row r="7" spans="1:36" ht="14.45" customHeight="1" x14ac:dyDescent="0.25">
      <c r="A7" s="39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>
        <f t="shared" si="1"/>
        <v>-1</v>
      </c>
      <c r="K7" s="42">
        <f t="shared" si="2"/>
        <v>-10</v>
      </c>
      <c r="L7" s="44">
        <f>2*K2</f>
        <v>6</v>
      </c>
      <c r="M7" s="44">
        <f t="shared" si="3"/>
        <v>0</v>
      </c>
    </row>
    <row r="8" spans="1:36" ht="14.45" customHeight="1" x14ac:dyDescent="0.25">
      <c r="A8" s="33">
        <f t="shared" ref="A8" si="6">M8</f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>
        <f t="shared" si="1"/>
        <v>-2</v>
      </c>
      <c r="K8" s="36">
        <f t="shared" si="2"/>
        <v>-20</v>
      </c>
      <c r="L8" s="38">
        <f>K2</f>
        <v>3</v>
      </c>
      <c r="M8" s="38">
        <f t="shared" si="3"/>
        <v>0</v>
      </c>
    </row>
    <row r="9" spans="1:36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1"/>
        <v>-2</v>
      </c>
      <c r="K9" s="42">
        <f t="shared" si="2"/>
        <v>-20</v>
      </c>
      <c r="L9" s="44"/>
      <c r="M9" s="44">
        <f t="shared" si="3"/>
        <v>0</v>
      </c>
      <c r="V9" s="45"/>
      <c r="Z9" s="46"/>
      <c r="AA9" s="46"/>
      <c r="AG9" s="47"/>
      <c r="AH9" s="19" t="s">
        <v>42</v>
      </c>
      <c r="AI9" s="19">
        <v>23</v>
      </c>
    </row>
    <row r="10" spans="1:36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1"/>
        <v>-3</v>
      </c>
      <c r="K10" s="36">
        <f t="shared" si="2"/>
        <v>-30</v>
      </c>
      <c r="L10" s="36"/>
      <c r="M10" s="38">
        <f t="shared" si="3"/>
        <v>0</v>
      </c>
      <c r="V10" s="45"/>
      <c r="Z10" s="46"/>
      <c r="AA10" s="46"/>
      <c r="AG10" s="47"/>
      <c r="AH10" s="19" t="s">
        <v>43</v>
      </c>
      <c r="AI10" s="19">
        <v>45</v>
      </c>
    </row>
    <row r="11" spans="1:36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1"/>
        <v>-3</v>
      </c>
      <c r="K11" s="42">
        <f t="shared" si="2"/>
        <v>-30</v>
      </c>
      <c r="L11" s="42"/>
      <c r="M11" s="44">
        <f t="shared" si="3"/>
        <v>0</v>
      </c>
      <c r="V11" s="48"/>
      <c r="Z11" s="46"/>
      <c r="AA11" s="46"/>
      <c r="AG11" s="47"/>
      <c r="AH11" s="19" t="s">
        <v>44</v>
      </c>
      <c r="AI11" s="19">
        <v>50</v>
      </c>
    </row>
    <row r="12" spans="1:36" ht="14.45" customHeight="1" x14ac:dyDescent="0.25">
      <c r="A12" s="33">
        <f t="shared" si="4"/>
        <v>0</v>
      </c>
      <c r="B12" s="34" t="str">
        <f t="shared" ref="B12:B13" si="7">IF(H12&gt;$H$2,"",(ROW()-5))</f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1"/>
        <v>-3</v>
      </c>
      <c r="K12" s="36">
        <f t="shared" si="2"/>
        <v>-30</v>
      </c>
      <c r="L12" s="36"/>
      <c r="M12" s="38">
        <f t="shared" si="3"/>
        <v>0</v>
      </c>
      <c r="Z12" s="46"/>
      <c r="AA12" s="46"/>
      <c r="AG12" s="47"/>
      <c r="AH12" s="19" t="s">
        <v>45</v>
      </c>
      <c r="AI12" s="19">
        <f>AI11-1</f>
        <v>49</v>
      </c>
    </row>
    <row r="13" spans="1:36" ht="14.45" customHeight="1" x14ac:dyDescent="0.25">
      <c r="A13" s="49">
        <f t="shared" si="4"/>
        <v>0</v>
      </c>
      <c r="B13" s="40" t="str">
        <f t="shared" si="7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1"/>
        <v>-3</v>
      </c>
      <c r="K13" s="42">
        <f t="shared" si="2"/>
        <v>-30</v>
      </c>
      <c r="L13" s="42"/>
      <c r="M13" s="44">
        <f t="shared" si="3"/>
        <v>0</v>
      </c>
      <c r="X13" s="45"/>
      <c r="AG13" s="47"/>
      <c r="AH13" s="19" t="s">
        <v>46</v>
      </c>
      <c r="AI13" s="19">
        <f>LOG(AI9)</f>
        <v>1.3617278360175928</v>
      </c>
    </row>
    <row r="14" spans="1:36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1"/>
        <v>-4</v>
      </c>
      <c r="K14" s="36">
        <f t="shared" si="2"/>
        <v>-40</v>
      </c>
      <c r="L14" s="36"/>
      <c r="M14" s="38">
        <f t="shared" si="3"/>
        <v>0</v>
      </c>
      <c r="X14" s="51"/>
      <c r="Z14" s="46"/>
      <c r="AA14" s="46"/>
      <c r="AG14" s="47"/>
      <c r="AH14" s="19" t="s">
        <v>47</v>
      </c>
      <c r="AI14" s="19">
        <f>LOG(AI10)</f>
        <v>1.6532125137753437</v>
      </c>
    </row>
    <row r="15" spans="1:36" x14ac:dyDescent="0.25">
      <c r="A15" s="49">
        <f t="shared" si="4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1"/>
        <v>-4</v>
      </c>
      <c r="K15" s="42">
        <f t="shared" si="2"/>
        <v>-40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4"/>
        <v>0</v>
      </c>
      <c r="B16" s="34" t="str">
        <f t="shared" si="8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1"/>
        <v>-4</v>
      </c>
      <c r="K16" s="36">
        <f t="shared" si="2"/>
        <v>-40</v>
      </c>
      <c r="L16" s="36"/>
      <c r="M16" s="38">
        <f t="shared" si="3"/>
        <v>0</v>
      </c>
      <c r="R16" s="52"/>
      <c r="Z16" s="46"/>
      <c r="AA16" s="46"/>
      <c r="AH16" s="53" t="s">
        <v>48</v>
      </c>
      <c r="AI16" s="19">
        <f>AI11-AI12*AI13/AI14</f>
        <v>9.6393909380186855</v>
      </c>
      <c r="AJ16" s="19" t="s">
        <v>49</v>
      </c>
    </row>
    <row r="17" spans="1:19" x14ac:dyDescent="0.25">
      <c r="A17" s="49">
        <f t="shared" si="4"/>
        <v>0</v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1"/>
        <v>-4</v>
      </c>
      <c r="K17" s="42">
        <f t="shared" si="2"/>
        <v>-40</v>
      </c>
      <c r="L17" s="42"/>
      <c r="M17" s="44">
        <f t="shared" si="3"/>
        <v>0</v>
      </c>
    </row>
    <row r="18" spans="1:19" x14ac:dyDescent="0.25">
      <c r="A18" s="50">
        <f t="shared" si="4"/>
        <v>0</v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1"/>
        <v>-4</v>
      </c>
      <c r="K18" s="36">
        <f t="shared" si="2"/>
        <v>-40</v>
      </c>
      <c r="L18" s="36"/>
      <c r="M18" s="38">
        <f t="shared" si="3"/>
        <v>0</v>
      </c>
    </row>
    <row r="19" spans="1:19" x14ac:dyDescent="0.25">
      <c r="A19" s="49">
        <f t="shared" si="4"/>
        <v>0</v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1"/>
        <v>-4</v>
      </c>
      <c r="K19" s="42">
        <f t="shared" si="2"/>
        <v>-40</v>
      </c>
      <c r="L19" s="42"/>
      <c r="M19" s="44">
        <f t="shared" si="3"/>
        <v>0</v>
      </c>
    </row>
    <row r="20" spans="1:19" x14ac:dyDescent="0.25">
      <c r="A20" s="50">
        <f t="shared" si="4"/>
        <v>0</v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1"/>
        <v>-4</v>
      </c>
      <c r="K20" s="36">
        <f t="shared" si="2"/>
        <v>-40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4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1"/>
        <v>-4</v>
      </c>
      <c r="K21" s="42">
        <f t="shared" si="2"/>
        <v>-40</v>
      </c>
      <c r="L21" s="42"/>
      <c r="M21" s="44">
        <f t="shared" si="3"/>
        <v>0</v>
      </c>
    </row>
    <row r="22" spans="1:19" x14ac:dyDescent="0.25">
      <c r="A22" s="50">
        <f t="shared" si="4"/>
        <v>0</v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1"/>
        <v>-5</v>
      </c>
      <c r="K22" s="36">
        <f t="shared" si="2"/>
        <v>-50</v>
      </c>
      <c r="L22" s="36"/>
      <c r="M22" s="38">
        <f t="shared" si="3"/>
        <v>0</v>
      </c>
    </row>
    <row r="23" spans="1:19" x14ac:dyDescent="0.25">
      <c r="A23" s="49">
        <f t="shared" si="4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1"/>
        <v>-5</v>
      </c>
      <c r="K23" s="42">
        <f t="shared" si="2"/>
        <v>-50</v>
      </c>
      <c r="L23" s="42"/>
      <c r="M23" s="44">
        <f t="shared" si="3"/>
        <v>0</v>
      </c>
    </row>
    <row r="24" spans="1:19" x14ac:dyDescent="0.25">
      <c r="A24" s="50">
        <f t="shared" si="4"/>
        <v>0</v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1"/>
        <v>-5</v>
      </c>
      <c r="K24" s="36">
        <f t="shared" si="2"/>
        <v>-50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4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1"/>
        <v>-5</v>
      </c>
      <c r="K25" s="42">
        <f t="shared" si="2"/>
        <v>-50</v>
      </c>
      <c r="L25" s="42"/>
      <c r="M25" s="44">
        <f t="shared" si="3"/>
        <v>0</v>
      </c>
    </row>
    <row r="26" spans="1:19" x14ac:dyDescent="0.25">
      <c r="A26" s="50">
        <f t="shared" si="4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1"/>
        <v>-5</v>
      </c>
      <c r="K26" s="36">
        <f t="shared" si="2"/>
        <v>-50</v>
      </c>
      <c r="L26" s="36"/>
      <c r="M26" s="38">
        <f t="shared" si="3"/>
        <v>0</v>
      </c>
    </row>
    <row r="27" spans="1:19" x14ac:dyDescent="0.25">
      <c r="A27" s="49">
        <f t="shared" si="4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1"/>
        <v>-5</v>
      </c>
      <c r="K27" s="42">
        <f t="shared" si="2"/>
        <v>-50</v>
      </c>
      <c r="L27" s="42"/>
      <c r="M27" s="44">
        <f t="shared" si="3"/>
        <v>0</v>
      </c>
    </row>
    <row r="28" spans="1:19" x14ac:dyDescent="0.25">
      <c r="A28" s="50">
        <f t="shared" si="4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1"/>
        <v>-5</v>
      </c>
      <c r="K28" s="36">
        <f t="shared" si="2"/>
        <v>-50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4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1"/>
        <v>-5</v>
      </c>
      <c r="K29" s="42">
        <f t="shared" si="2"/>
        <v>-50</v>
      </c>
      <c r="L29" s="42"/>
      <c r="M29" s="44">
        <f t="shared" si="3"/>
        <v>0</v>
      </c>
    </row>
    <row r="30" spans="1:19" x14ac:dyDescent="0.25">
      <c r="A30" s="50">
        <f t="shared" si="4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1"/>
        <v>-5</v>
      </c>
      <c r="K30" s="36">
        <f t="shared" si="2"/>
        <v>-50</v>
      </c>
      <c r="L30" s="36"/>
      <c r="M30" s="38">
        <f t="shared" si="3"/>
        <v>0</v>
      </c>
    </row>
    <row r="31" spans="1:19" x14ac:dyDescent="0.25">
      <c r="A31" s="49">
        <f t="shared" si="4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1"/>
        <v>-5</v>
      </c>
      <c r="K31" s="42">
        <f t="shared" si="2"/>
        <v>-50</v>
      </c>
      <c r="L31" s="42"/>
      <c r="M31" s="44">
        <f t="shared" si="3"/>
        <v>0</v>
      </c>
    </row>
    <row r="32" spans="1:19" x14ac:dyDescent="0.25">
      <c r="A32" s="50">
        <f t="shared" si="4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1"/>
        <v>-5</v>
      </c>
      <c r="K32" s="36">
        <f t="shared" si="2"/>
        <v>-50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4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1"/>
        <v>-5</v>
      </c>
      <c r="K33" s="42">
        <f t="shared" si="2"/>
        <v>-50</v>
      </c>
      <c r="L33" s="42"/>
      <c r="M33" s="44">
        <f t="shared" si="3"/>
        <v>0</v>
      </c>
    </row>
    <row r="34" spans="1:21" x14ac:dyDescent="0.25">
      <c r="A34" s="50">
        <f t="shared" si="4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1"/>
        <v>-5</v>
      </c>
      <c r="K34" s="36">
        <f t="shared" si="2"/>
        <v>-50</v>
      </c>
      <c r="L34" s="36"/>
      <c r="M34" s="38">
        <f t="shared" si="3"/>
        <v>0</v>
      </c>
    </row>
    <row r="35" spans="1:21" x14ac:dyDescent="0.25">
      <c r="A35" s="49">
        <f t="shared" si="4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1"/>
        <v>-5</v>
      </c>
      <c r="K35" s="42">
        <f t="shared" si="2"/>
        <v>-50</v>
      </c>
      <c r="L35" s="42"/>
      <c r="M35" s="44">
        <f t="shared" si="3"/>
        <v>0</v>
      </c>
    </row>
    <row r="36" spans="1:21" x14ac:dyDescent="0.25">
      <c r="A36" s="50">
        <f t="shared" si="4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1"/>
        <v>-5</v>
      </c>
      <c r="K36" s="36">
        <f t="shared" si="2"/>
        <v>-50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4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1"/>
        <v>-5</v>
      </c>
      <c r="K37" s="42">
        <f t="shared" si="2"/>
        <v>-50</v>
      </c>
      <c r="L37" s="42"/>
      <c r="M37" s="44">
        <f t="shared" si="3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1"/>
        <v>-6</v>
      </c>
      <c r="K38" s="36">
        <f t="shared" si="2"/>
        <v>-60</v>
      </c>
      <c r="L38" s="36"/>
      <c r="M38" s="38">
        <f t="shared" si="3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1"/>
        <v>-6</v>
      </c>
      <c r="K39" s="42">
        <f t="shared" si="2"/>
        <v>-60</v>
      </c>
      <c r="L39" s="42"/>
      <c r="M39" s="44">
        <f t="shared" si="3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1"/>
        <v>-6</v>
      </c>
      <c r="K40" s="36">
        <f t="shared" si="2"/>
        <v>-60</v>
      </c>
      <c r="L40" s="36"/>
      <c r="M40" s="38">
        <f t="shared" si="3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1"/>
        <v>-6</v>
      </c>
      <c r="K41" s="42">
        <f t="shared" si="2"/>
        <v>-60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1"/>
        <v>-6</v>
      </c>
      <c r="K42" s="36">
        <f t="shared" si="2"/>
        <v>-60</v>
      </c>
      <c r="L42" s="36"/>
      <c r="M42" s="38">
        <f t="shared" si="3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1"/>
        <v>-6</v>
      </c>
      <c r="K43" s="42">
        <f t="shared" si="2"/>
        <v>-60</v>
      </c>
      <c r="L43" s="42"/>
      <c r="M43" s="44">
        <f t="shared" si="3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1"/>
        <v>-6</v>
      </c>
      <c r="K44" s="36">
        <f t="shared" si="2"/>
        <v>-60</v>
      </c>
      <c r="L44" s="36"/>
      <c r="M44" s="38">
        <f t="shared" si="3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1"/>
        <v>-6</v>
      </c>
      <c r="K45" s="42">
        <f t="shared" si="2"/>
        <v>-60</v>
      </c>
      <c r="L45" s="42"/>
      <c r="M45" s="44">
        <f t="shared" si="3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1"/>
        <v>-6</v>
      </c>
      <c r="K46" s="36">
        <f t="shared" si="2"/>
        <v>-60</v>
      </c>
      <c r="L46" s="36"/>
      <c r="M46" s="38">
        <f t="shared" si="3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1"/>
        <v>-6</v>
      </c>
      <c r="K47" s="42">
        <f t="shared" si="2"/>
        <v>-60</v>
      </c>
      <c r="L47" s="42"/>
      <c r="M47" s="44">
        <f t="shared" si="3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1"/>
        <v>-6</v>
      </c>
      <c r="K48" s="36">
        <f t="shared" si="2"/>
        <v>-60</v>
      </c>
      <c r="L48" s="36"/>
      <c r="M48" s="38">
        <f t="shared" si="3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1"/>
        <v>-6</v>
      </c>
      <c r="K49" s="42">
        <f t="shared" si="2"/>
        <v>-60</v>
      </c>
      <c r="L49" s="42"/>
      <c r="M49" s="44">
        <f t="shared" si="3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1"/>
        <v>-6</v>
      </c>
      <c r="K50" s="36">
        <f t="shared" si="2"/>
        <v>-60</v>
      </c>
      <c r="L50" s="36"/>
      <c r="M50" s="38">
        <f t="shared" si="3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1"/>
        <v>-6</v>
      </c>
      <c r="K51" s="42">
        <f t="shared" si="2"/>
        <v>-60</v>
      </c>
      <c r="L51" s="42"/>
      <c r="M51" s="44">
        <f t="shared" si="3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1"/>
        <v>-6</v>
      </c>
      <c r="K52" s="36">
        <f t="shared" si="2"/>
        <v>-60</v>
      </c>
      <c r="L52" s="36"/>
      <c r="M52" s="38">
        <f t="shared" si="3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1"/>
        <v>-6</v>
      </c>
      <c r="K53" s="42">
        <f t="shared" si="2"/>
        <v>-60</v>
      </c>
      <c r="L53" s="42"/>
      <c r="M53" s="44">
        <f t="shared" si="3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1"/>
        <v>-6</v>
      </c>
      <c r="K54" s="36">
        <f t="shared" si="2"/>
        <v>-60</v>
      </c>
      <c r="L54" s="36"/>
      <c r="M54" s="38">
        <f t="shared" si="3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1"/>
        <v>-6</v>
      </c>
      <c r="K55" s="42">
        <f t="shared" si="2"/>
        <v>-60</v>
      </c>
      <c r="L55" s="42"/>
      <c r="M55" s="44">
        <f t="shared" si="3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1"/>
        <v>-6</v>
      </c>
      <c r="K56" s="36">
        <f t="shared" si="2"/>
        <v>-60</v>
      </c>
      <c r="L56" s="36"/>
      <c r="M56" s="38">
        <f t="shared" si="3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1"/>
        <v>-6</v>
      </c>
      <c r="K57" s="42">
        <f t="shared" si="2"/>
        <v>-60</v>
      </c>
      <c r="L57" s="42"/>
      <c r="M57" s="44">
        <f t="shared" si="3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1"/>
        <v>-6</v>
      </c>
      <c r="K58" s="36">
        <f t="shared" si="2"/>
        <v>-60</v>
      </c>
      <c r="L58" s="36"/>
      <c r="M58" s="38">
        <f t="shared" si="3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1"/>
        <v>-6</v>
      </c>
      <c r="K59" s="42">
        <f t="shared" si="2"/>
        <v>-60</v>
      </c>
      <c r="L59" s="42"/>
      <c r="M59" s="44">
        <f t="shared" si="3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1"/>
        <v>-6</v>
      </c>
      <c r="K60" s="36">
        <f t="shared" si="2"/>
        <v>-60</v>
      </c>
      <c r="L60" s="36"/>
      <c r="M60" s="38">
        <f t="shared" si="3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1"/>
        <v>-6</v>
      </c>
      <c r="K61" s="42">
        <f t="shared" si="2"/>
        <v>-60</v>
      </c>
      <c r="L61" s="42"/>
      <c r="M61" s="44">
        <f t="shared" si="3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1"/>
        <v>-6</v>
      </c>
      <c r="K62" s="36">
        <f t="shared" si="2"/>
        <v>-60</v>
      </c>
      <c r="L62" s="36"/>
      <c r="M62" s="38">
        <f t="shared" si="3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1"/>
        <v>-6</v>
      </c>
      <c r="K63" s="42">
        <f t="shared" si="2"/>
        <v>-60</v>
      </c>
      <c r="L63" s="42"/>
      <c r="M63" s="44">
        <f t="shared" si="3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1"/>
        <v>-6</v>
      </c>
      <c r="K64" s="36">
        <f t="shared" si="2"/>
        <v>-60</v>
      </c>
      <c r="L64" s="36"/>
      <c r="M64" s="38">
        <f t="shared" si="3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1"/>
        <v>-6</v>
      </c>
      <c r="K65" s="42">
        <f t="shared" si="2"/>
        <v>-60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5"/>
        <v/>
      </c>
      <c r="J66" s="36">
        <f t="shared" si="1"/>
        <v>-6</v>
      </c>
      <c r="K66" s="36">
        <f t="shared" si="2"/>
        <v>-60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5"/>
        <v/>
      </c>
      <c r="J67" s="36">
        <f t="shared" si="1"/>
        <v>-6</v>
      </c>
      <c r="K67" s="36">
        <f t="shared" si="2"/>
        <v>-60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5"/>
        <v/>
      </c>
      <c r="J68" s="36">
        <f t="shared" si="1"/>
        <v>-6</v>
      </c>
      <c r="K68" s="36">
        <f t="shared" si="2"/>
        <v>-60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5"/>
        <v/>
      </c>
      <c r="J69" s="36">
        <f t="shared" si="1"/>
        <v>-6</v>
      </c>
      <c r="K69" s="36">
        <f t="shared" si="2"/>
        <v>-60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1"/>
        <v>-7</v>
      </c>
      <c r="K70" s="36">
        <f t="shared" ref="K70:K133" si="10">J70*$J$2</f>
        <v>-70</v>
      </c>
      <c r="L70" s="36"/>
      <c r="M70" s="38">
        <f t="shared" ref="M70:M133" si="11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9"/>
        <v/>
      </c>
      <c r="J71" s="36">
        <f t="shared" ref="J71:J134" si="12">INT(LOG($H$2,2))-ROUNDUP(LOG(H71,2),0)+IF(OR($H$2=1,$H$2=2,$H$2=4,$H$2=8,$H$2=16,$H$2=32,$H$2=64,$H$2=128,$H$2=256),0,1)</f>
        <v>-7</v>
      </c>
      <c r="K71" s="36">
        <f t="shared" si="10"/>
        <v>-70</v>
      </c>
      <c r="L71" s="36"/>
      <c r="M71" s="38">
        <f t="shared" si="11"/>
        <v>0</v>
      </c>
    </row>
    <row r="72" spans="1:13" x14ac:dyDescent="0.25">
      <c r="A72" s="57"/>
      <c r="G72" s="14"/>
      <c r="H72" s="36">
        <v>67</v>
      </c>
      <c r="I72" s="37" t="str">
        <f t="shared" si="9"/>
        <v/>
      </c>
      <c r="J72" s="36">
        <f t="shared" si="12"/>
        <v>-7</v>
      </c>
      <c r="K72" s="36">
        <f t="shared" si="10"/>
        <v>-70</v>
      </c>
      <c r="L72" s="36"/>
      <c r="M72" s="38">
        <f t="shared" si="11"/>
        <v>0</v>
      </c>
    </row>
    <row r="73" spans="1:13" x14ac:dyDescent="0.25">
      <c r="A73" s="57"/>
      <c r="G73" s="14"/>
      <c r="H73" s="36">
        <v>68</v>
      </c>
      <c r="I73" s="37" t="str">
        <f t="shared" si="9"/>
        <v/>
      </c>
      <c r="J73" s="36">
        <f t="shared" si="12"/>
        <v>-7</v>
      </c>
      <c r="K73" s="36">
        <f t="shared" si="10"/>
        <v>-70</v>
      </c>
      <c r="L73" s="36"/>
      <c r="M73" s="38">
        <f t="shared" si="11"/>
        <v>0</v>
      </c>
    </row>
    <row r="74" spans="1:13" x14ac:dyDescent="0.25">
      <c r="A74" s="57"/>
      <c r="G74" s="14"/>
      <c r="H74" s="36">
        <v>69</v>
      </c>
      <c r="I74" s="37" t="str">
        <f t="shared" si="9"/>
        <v/>
      </c>
      <c r="J74" s="36">
        <f t="shared" si="12"/>
        <v>-7</v>
      </c>
      <c r="K74" s="36">
        <f t="shared" si="10"/>
        <v>-70</v>
      </c>
      <c r="L74" s="36"/>
      <c r="M74" s="38">
        <f t="shared" si="11"/>
        <v>0</v>
      </c>
    </row>
    <row r="75" spans="1:13" x14ac:dyDescent="0.25">
      <c r="A75" s="57"/>
      <c r="G75" s="14"/>
      <c r="H75" s="36">
        <v>70</v>
      </c>
      <c r="I75" s="37" t="str">
        <f t="shared" si="9"/>
        <v/>
      </c>
      <c r="J75" s="36">
        <f t="shared" si="12"/>
        <v>-7</v>
      </c>
      <c r="K75" s="36">
        <f t="shared" si="10"/>
        <v>-70</v>
      </c>
      <c r="L75" s="36"/>
      <c r="M75" s="38">
        <f t="shared" si="11"/>
        <v>0</v>
      </c>
    </row>
    <row r="76" spans="1:13" x14ac:dyDescent="0.25">
      <c r="A76" s="57"/>
      <c r="G76" s="14"/>
      <c r="H76" s="36">
        <v>71</v>
      </c>
      <c r="I76" s="37" t="str">
        <f t="shared" si="9"/>
        <v/>
      </c>
      <c r="J76" s="36">
        <f t="shared" si="12"/>
        <v>-7</v>
      </c>
      <c r="K76" s="36">
        <f t="shared" si="10"/>
        <v>-70</v>
      </c>
      <c r="L76" s="36"/>
      <c r="M76" s="38">
        <f t="shared" si="11"/>
        <v>0</v>
      </c>
    </row>
    <row r="77" spans="1:13" x14ac:dyDescent="0.25">
      <c r="A77" s="57"/>
      <c r="G77" s="14"/>
      <c r="H77" s="36">
        <v>72</v>
      </c>
      <c r="I77" s="37" t="str">
        <f t="shared" si="9"/>
        <v/>
      </c>
      <c r="J77" s="36">
        <f t="shared" si="12"/>
        <v>-7</v>
      </c>
      <c r="K77" s="36">
        <f t="shared" si="10"/>
        <v>-70</v>
      </c>
      <c r="L77" s="36"/>
      <c r="M77" s="38">
        <f t="shared" si="11"/>
        <v>0</v>
      </c>
    </row>
    <row r="78" spans="1:13" x14ac:dyDescent="0.25">
      <c r="A78" s="57"/>
      <c r="G78" s="14"/>
      <c r="H78" s="36">
        <v>73</v>
      </c>
      <c r="I78" s="37" t="str">
        <f t="shared" si="9"/>
        <v/>
      </c>
      <c r="J78" s="36">
        <f t="shared" si="12"/>
        <v>-7</v>
      </c>
      <c r="K78" s="36">
        <f t="shared" si="10"/>
        <v>-70</v>
      </c>
      <c r="L78" s="36"/>
      <c r="M78" s="38">
        <f t="shared" si="11"/>
        <v>0</v>
      </c>
    </row>
    <row r="79" spans="1:13" x14ac:dyDescent="0.25">
      <c r="A79" s="57"/>
      <c r="G79" s="14"/>
      <c r="H79" s="36">
        <v>74</v>
      </c>
      <c r="I79" s="37" t="str">
        <f t="shared" si="9"/>
        <v/>
      </c>
      <c r="J79" s="36">
        <f t="shared" si="12"/>
        <v>-7</v>
      </c>
      <c r="K79" s="36">
        <f t="shared" si="10"/>
        <v>-70</v>
      </c>
      <c r="L79" s="36"/>
      <c r="M79" s="38">
        <f t="shared" si="11"/>
        <v>0</v>
      </c>
    </row>
    <row r="80" spans="1:13" x14ac:dyDescent="0.25">
      <c r="A80" s="57"/>
      <c r="G80" s="14"/>
      <c r="H80" s="36">
        <v>75</v>
      </c>
      <c r="I80" s="37" t="str">
        <f t="shared" si="9"/>
        <v/>
      </c>
      <c r="J80" s="36">
        <f t="shared" si="12"/>
        <v>-7</v>
      </c>
      <c r="K80" s="36">
        <f t="shared" si="10"/>
        <v>-70</v>
      </c>
      <c r="L80" s="36"/>
      <c r="M80" s="38">
        <f t="shared" si="11"/>
        <v>0</v>
      </c>
    </row>
    <row r="81" spans="1:13" x14ac:dyDescent="0.25">
      <c r="A81" s="57"/>
      <c r="G81" s="14"/>
      <c r="H81" s="36">
        <v>76</v>
      </c>
      <c r="I81" s="37" t="str">
        <f t="shared" si="9"/>
        <v/>
      </c>
      <c r="J81" s="36">
        <f t="shared" si="12"/>
        <v>-7</v>
      </c>
      <c r="K81" s="36">
        <f t="shared" si="10"/>
        <v>-70</v>
      </c>
      <c r="L81" s="36"/>
      <c r="M81" s="38">
        <f t="shared" si="11"/>
        <v>0</v>
      </c>
    </row>
    <row r="82" spans="1:13" x14ac:dyDescent="0.25">
      <c r="A82" s="57"/>
      <c r="G82" s="14"/>
      <c r="H82" s="36">
        <v>77</v>
      </c>
      <c r="I82" s="37" t="str">
        <f t="shared" si="9"/>
        <v/>
      </c>
      <c r="J82" s="36">
        <f t="shared" si="12"/>
        <v>-7</v>
      </c>
      <c r="K82" s="36">
        <f t="shared" si="10"/>
        <v>-70</v>
      </c>
      <c r="L82" s="36"/>
      <c r="M82" s="38">
        <f t="shared" si="11"/>
        <v>0</v>
      </c>
    </row>
    <row r="83" spans="1:13" x14ac:dyDescent="0.25">
      <c r="A83" s="57"/>
      <c r="G83" s="14"/>
      <c r="H83" s="36">
        <v>78</v>
      </c>
      <c r="I83" s="37" t="str">
        <f t="shared" si="9"/>
        <v/>
      </c>
      <c r="J83" s="36">
        <f t="shared" si="12"/>
        <v>-7</v>
      </c>
      <c r="K83" s="36">
        <f t="shared" si="10"/>
        <v>-70</v>
      </c>
      <c r="L83" s="36"/>
      <c r="M83" s="38">
        <f t="shared" si="11"/>
        <v>0</v>
      </c>
    </row>
    <row r="84" spans="1:13" x14ac:dyDescent="0.25">
      <c r="A84" s="57"/>
      <c r="G84" s="14"/>
      <c r="H84" s="36">
        <v>79</v>
      </c>
      <c r="I84" s="37" t="str">
        <f t="shared" si="9"/>
        <v/>
      </c>
      <c r="J84" s="36">
        <f t="shared" si="12"/>
        <v>-7</v>
      </c>
      <c r="K84" s="36">
        <f t="shared" si="10"/>
        <v>-70</v>
      </c>
      <c r="L84" s="36"/>
      <c r="M84" s="38">
        <f t="shared" si="11"/>
        <v>0</v>
      </c>
    </row>
    <row r="85" spans="1:13" x14ac:dyDescent="0.25">
      <c r="A85" s="57"/>
      <c r="G85" s="14"/>
      <c r="H85" s="36">
        <v>80</v>
      </c>
      <c r="I85" s="37" t="str">
        <f t="shared" si="9"/>
        <v/>
      </c>
      <c r="J85" s="36">
        <f t="shared" si="12"/>
        <v>-7</v>
      </c>
      <c r="K85" s="36">
        <f t="shared" si="10"/>
        <v>-70</v>
      </c>
      <c r="L85" s="36"/>
      <c r="M85" s="38">
        <f t="shared" si="11"/>
        <v>0</v>
      </c>
    </row>
    <row r="86" spans="1:13" x14ac:dyDescent="0.25">
      <c r="A86" s="57"/>
      <c r="G86" s="14"/>
      <c r="H86" s="36">
        <v>81</v>
      </c>
      <c r="I86" s="37" t="str">
        <f t="shared" si="9"/>
        <v/>
      </c>
      <c r="J86" s="36">
        <f t="shared" si="12"/>
        <v>-7</v>
      </c>
      <c r="K86" s="36">
        <f t="shared" si="10"/>
        <v>-70</v>
      </c>
      <c r="L86" s="36"/>
      <c r="M86" s="38">
        <f t="shared" si="11"/>
        <v>0</v>
      </c>
    </row>
    <row r="87" spans="1:13" x14ac:dyDescent="0.25">
      <c r="A87" s="57"/>
      <c r="G87" s="14"/>
      <c r="H87" s="36">
        <v>82</v>
      </c>
      <c r="I87" s="37" t="str">
        <f t="shared" si="9"/>
        <v/>
      </c>
      <c r="J87" s="36">
        <f t="shared" si="12"/>
        <v>-7</v>
      </c>
      <c r="K87" s="36">
        <f t="shared" si="10"/>
        <v>-70</v>
      </c>
      <c r="L87" s="36"/>
      <c r="M87" s="38">
        <f t="shared" si="11"/>
        <v>0</v>
      </c>
    </row>
    <row r="88" spans="1:13" x14ac:dyDescent="0.25">
      <c r="A88" s="57"/>
      <c r="G88" s="14"/>
      <c r="H88" s="36">
        <v>83</v>
      </c>
      <c r="I88" s="37" t="str">
        <f t="shared" si="9"/>
        <v/>
      </c>
      <c r="J88" s="36">
        <f t="shared" si="12"/>
        <v>-7</v>
      </c>
      <c r="K88" s="36">
        <f t="shared" si="10"/>
        <v>-70</v>
      </c>
      <c r="L88" s="36"/>
      <c r="M88" s="38">
        <f t="shared" si="11"/>
        <v>0</v>
      </c>
    </row>
    <row r="89" spans="1:13" x14ac:dyDescent="0.25">
      <c r="A89" s="57"/>
      <c r="G89" s="14"/>
      <c r="H89" s="36">
        <v>84</v>
      </c>
      <c r="I89" s="37" t="str">
        <f t="shared" si="9"/>
        <v/>
      </c>
      <c r="J89" s="36">
        <f t="shared" si="12"/>
        <v>-7</v>
      </c>
      <c r="K89" s="36">
        <f t="shared" si="10"/>
        <v>-70</v>
      </c>
      <c r="L89" s="36"/>
      <c r="M89" s="38">
        <f t="shared" si="11"/>
        <v>0</v>
      </c>
    </row>
    <row r="90" spans="1:13" x14ac:dyDescent="0.25">
      <c r="A90" s="57"/>
      <c r="G90" s="14"/>
      <c r="H90" s="36">
        <v>85</v>
      </c>
      <c r="I90" s="37" t="str">
        <f t="shared" si="9"/>
        <v/>
      </c>
      <c r="J90" s="36">
        <f t="shared" si="12"/>
        <v>-7</v>
      </c>
      <c r="K90" s="36">
        <f t="shared" si="10"/>
        <v>-70</v>
      </c>
      <c r="L90" s="36"/>
      <c r="M90" s="38">
        <f t="shared" si="11"/>
        <v>0</v>
      </c>
    </row>
    <row r="91" spans="1:13" x14ac:dyDescent="0.25">
      <c r="A91" s="57"/>
      <c r="G91" s="14"/>
      <c r="H91" s="36">
        <v>86</v>
      </c>
      <c r="I91" s="37" t="str">
        <f t="shared" si="9"/>
        <v/>
      </c>
      <c r="J91" s="36">
        <f t="shared" si="12"/>
        <v>-7</v>
      </c>
      <c r="K91" s="36">
        <f t="shared" si="10"/>
        <v>-70</v>
      </c>
      <c r="L91" s="36"/>
      <c r="M91" s="38">
        <f t="shared" si="11"/>
        <v>0</v>
      </c>
    </row>
    <row r="92" spans="1:13" x14ac:dyDescent="0.25">
      <c r="A92" s="57"/>
      <c r="G92" s="14"/>
      <c r="H92" s="36">
        <v>87</v>
      </c>
      <c r="I92" s="37" t="str">
        <f t="shared" si="9"/>
        <v/>
      </c>
      <c r="J92" s="36">
        <f t="shared" si="12"/>
        <v>-7</v>
      </c>
      <c r="K92" s="36">
        <f t="shared" si="10"/>
        <v>-70</v>
      </c>
      <c r="L92" s="36"/>
      <c r="M92" s="38">
        <f t="shared" si="11"/>
        <v>0</v>
      </c>
    </row>
    <row r="93" spans="1:13" x14ac:dyDescent="0.25">
      <c r="A93" s="57"/>
      <c r="G93" s="14"/>
      <c r="H93" s="36">
        <v>88</v>
      </c>
      <c r="I93" s="37" t="str">
        <f t="shared" si="9"/>
        <v/>
      </c>
      <c r="J93" s="36">
        <f t="shared" si="12"/>
        <v>-7</v>
      </c>
      <c r="K93" s="36">
        <f t="shared" si="10"/>
        <v>-70</v>
      </c>
      <c r="L93" s="36"/>
      <c r="M93" s="38">
        <f t="shared" si="11"/>
        <v>0</v>
      </c>
    </row>
    <row r="94" spans="1:13" x14ac:dyDescent="0.25">
      <c r="A94" s="57"/>
      <c r="G94" s="14"/>
      <c r="H94" s="36">
        <v>89</v>
      </c>
      <c r="I94" s="37" t="str">
        <f t="shared" si="9"/>
        <v/>
      </c>
      <c r="J94" s="36">
        <f t="shared" si="12"/>
        <v>-7</v>
      </c>
      <c r="K94" s="36">
        <f t="shared" si="10"/>
        <v>-70</v>
      </c>
      <c r="L94" s="36"/>
      <c r="M94" s="38">
        <f t="shared" si="11"/>
        <v>0</v>
      </c>
    </row>
    <row r="95" spans="1:13" x14ac:dyDescent="0.25">
      <c r="A95" s="57"/>
      <c r="G95" s="14"/>
      <c r="H95" s="36">
        <v>90</v>
      </c>
      <c r="I95" s="37" t="str">
        <f t="shared" si="9"/>
        <v/>
      </c>
      <c r="J95" s="36">
        <f t="shared" si="12"/>
        <v>-7</v>
      </c>
      <c r="K95" s="36">
        <f t="shared" si="10"/>
        <v>-70</v>
      </c>
      <c r="L95" s="36"/>
      <c r="M95" s="38">
        <f t="shared" si="11"/>
        <v>0</v>
      </c>
    </row>
    <row r="96" spans="1:13" x14ac:dyDescent="0.25">
      <c r="A96" s="57"/>
      <c r="G96" s="14"/>
      <c r="H96" s="36">
        <v>91</v>
      </c>
      <c r="I96" s="37" t="str">
        <f t="shared" si="9"/>
        <v/>
      </c>
      <c r="J96" s="36">
        <f t="shared" si="12"/>
        <v>-7</v>
      </c>
      <c r="K96" s="36">
        <f t="shared" si="10"/>
        <v>-70</v>
      </c>
      <c r="L96" s="36"/>
      <c r="M96" s="38">
        <f t="shared" si="11"/>
        <v>0</v>
      </c>
    </row>
    <row r="97" spans="1:13" x14ac:dyDescent="0.25">
      <c r="A97" s="57"/>
      <c r="G97" s="14"/>
      <c r="H97" s="36">
        <v>92</v>
      </c>
      <c r="I97" s="37" t="str">
        <f t="shared" si="9"/>
        <v/>
      </c>
      <c r="J97" s="36">
        <f t="shared" si="12"/>
        <v>-7</v>
      </c>
      <c r="K97" s="36">
        <f t="shared" si="10"/>
        <v>-70</v>
      </c>
      <c r="L97" s="36"/>
      <c r="M97" s="38">
        <f t="shared" si="11"/>
        <v>0</v>
      </c>
    </row>
    <row r="98" spans="1:13" x14ac:dyDescent="0.25">
      <c r="A98" s="57"/>
      <c r="G98" s="14"/>
      <c r="H98" s="36">
        <v>93</v>
      </c>
      <c r="I98" s="37" t="str">
        <f t="shared" si="9"/>
        <v/>
      </c>
      <c r="J98" s="36">
        <f t="shared" si="12"/>
        <v>-7</v>
      </c>
      <c r="K98" s="36">
        <f t="shared" si="10"/>
        <v>-70</v>
      </c>
      <c r="L98" s="36"/>
      <c r="M98" s="38">
        <f t="shared" si="11"/>
        <v>0</v>
      </c>
    </row>
    <row r="99" spans="1:13" x14ac:dyDescent="0.25">
      <c r="A99" s="57"/>
      <c r="G99" s="14"/>
      <c r="H99" s="36">
        <v>94</v>
      </c>
      <c r="I99" s="37" t="str">
        <f t="shared" si="9"/>
        <v/>
      </c>
      <c r="J99" s="36">
        <f t="shared" si="12"/>
        <v>-7</v>
      </c>
      <c r="K99" s="36">
        <f t="shared" si="10"/>
        <v>-70</v>
      </c>
      <c r="L99" s="36"/>
      <c r="M99" s="38">
        <f t="shared" si="11"/>
        <v>0</v>
      </c>
    </row>
    <row r="100" spans="1:13" x14ac:dyDescent="0.25">
      <c r="A100" s="57"/>
      <c r="G100" s="14"/>
      <c r="H100" s="36">
        <v>95</v>
      </c>
      <c r="I100" s="37" t="str">
        <f t="shared" si="9"/>
        <v/>
      </c>
      <c r="J100" s="36">
        <f t="shared" si="12"/>
        <v>-7</v>
      </c>
      <c r="K100" s="36">
        <f t="shared" si="10"/>
        <v>-70</v>
      </c>
      <c r="L100" s="36"/>
      <c r="M100" s="38">
        <f t="shared" si="11"/>
        <v>0</v>
      </c>
    </row>
    <row r="101" spans="1:13" x14ac:dyDescent="0.25">
      <c r="A101" s="57"/>
      <c r="G101" s="14"/>
      <c r="H101" s="36">
        <v>96</v>
      </c>
      <c r="I101" s="37" t="str">
        <f t="shared" si="9"/>
        <v/>
      </c>
      <c r="J101" s="36">
        <f t="shared" si="12"/>
        <v>-7</v>
      </c>
      <c r="K101" s="36">
        <f t="shared" si="10"/>
        <v>-70</v>
      </c>
      <c r="L101" s="36"/>
      <c r="M101" s="38">
        <f t="shared" si="11"/>
        <v>0</v>
      </c>
    </row>
    <row r="102" spans="1:13" x14ac:dyDescent="0.25">
      <c r="A102" s="57"/>
      <c r="G102" s="14"/>
      <c r="H102" s="36">
        <v>97</v>
      </c>
      <c r="I102" s="37" t="str">
        <f t="shared" si="9"/>
        <v/>
      </c>
      <c r="J102" s="36">
        <f t="shared" si="12"/>
        <v>-7</v>
      </c>
      <c r="K102" s="36">
        <f t="shared" si="10"/>
        <v>-70</v>
      </c>
      <c r="L102" s="36"/>
      <c r="M102" s="38">
        <f t="shared" si="11"/>
        <v>0</v>
      </c>
    </row>
    <row r="103" spans="1:13" x14ac:dyDescent="0.25">
      <c r="A103" s="57"/>
      <c r="G103" s="14"/>
      <c r="H103" s="36">
        <v>98</v>
      </c>
      <c r="I103" s="37" t="str">
        <f t="shared" si="9"/>
        <v/>
      </c>
      <c r="J103" s="36">
        <f t="shared" si="12"/>
        <v>-7</v>
      </c>
      <c r="K103" s="36">
        <f t="shared" si="10"/>
        <v>-70</v>
      </c>
      <c r="L103" s="36"/>
      <c r="M103" s="38">
        <f t="shared" si="11"/>
        <v>0</v>
      </c>
    </row>
    <row r="104" spans="1:13" x14ac:dyDescent="0.25">
      <c r="A104" s="57"/>
      <c r="G104" s="14"/>
      <c r="H104" s="36">
        <v>99</v>
      </c>
      <c r="I104" s="37" t="str">
        <f t="shared" si="9"/>
        <v/>
      </c>
      <c r="J104" s="36">
        <f t="shared" si="12"/>
        <v>-7</v>
      </c>
      <c r="K104" s="36">
        <f t="shared" si="10"/>
        <v>-70</v>
      </c>
      <c r="L104" s="36"/>
      <c r="M104" s="38">
        <f t="shared" si="11"/>
        <v>0</v>
      </c>
    </row>
    <row r="105" spans="1:13" x14ac:dyDescent="0.25">
      <c r="A105" s="57"/>
      <c r="G105" s="14"/>
      <c r="H105" s="36">
        <v>100</v>
      </c>
      <c r="I105" s="37" t="str">
        <f t="shared" si="9"/>
        <v/>
      </c>
      <c r="J105" s="36">
        <f t="shared" si="12"/>
        <v>-7</v>
      </c>
      <c r="K105" s="36">
        <f t="shared" si="10"/>
        <v>-70</v>
      </c>
      <c r="L105" s="36"/>
      <c r="M105" s="38">
        <f t="shared" si="11"/>
        <v>0</v>
      </c>
    </row>
    <row r="106" spans="1:13" x14ac:dyDescent="0.25">
      <c r="A106" s="57"/>
      <c r="G106" s="14"/>
      <c r="H106" s="36">
        <v>101</v>
      </c>
      <c r="I106" s="37" t="str">
        <f t="shared" si="9"/>
        <v/>
      </c>
      <c r="J106" s="36">
        <f t="shared" si="12"/>
        <v>-7</v>
      </c>
      <c r="K106" s="36">
        <f t="shared" si="10"/>
        <v>-70</v>
      </c>
      <c r="L106" s="36"/>
      <c r="M106" s="38">
        <f t="shared" si="11"/>
        <v>0</v>
      </c>
    </row>
    <row r="107" spans="1:13" x14ac:dyDescent="0.25">
      <c r="A107" s="57"/>
      <c r="G107" s="14"/>
      <c r="H107" s="36">
        <v>102</v>
      </c>
      <c r="I107" s="37" t="str">
        <f t="shared" si="9"/>
        <v/>
      </c>
      <c r="J107" s="36">
        <f t="shared" si="12"/>
        <v>-7</v>
      </c>
      <c r="K107" s="36">
        <f t="shared" si="10"/>
        <v>-70</v>
      </c>
      <c r="L107" s="36"/>
      <c r="M107" s="38">
        <f t="shared" si="11"/>
        <v>0</v>
      </c>
    </row>
    <row r="108" spans="1:13" x14ac:dyDescent="0.25">
      <c r="A108" s="57"/>
      <c r="G108" s="14"/>
      <c r="H108" s="36">
        <v>103</v>
      </c>
      <c r="I108" s="37" t="str">
        <f t="shared" si="9"/>
        <v/>
      </c>
      <c r="J108" s="36">
        <f t="shared" si="12"/>
        <v>-7</v>
      </c>
      <c r="K108" s="36">
        <f t="shared" si="10"/>
        <v>-70</v>
      </c>
      <c r="L108" s="36"/>
      <c r="M108" s="38">
        <f t="shared" si="11"/>
        <v>0</v>
      </c>
    </row>
    <row r="109" spans="1:13" x14ac:dyDescent="0.25">
      <c r="A109" s="57"/>
      <c r="G109" s="14"/>
      <c r="H109" s="36">
        <v>104</v>
      </c>
      <c r="I109" s="37" t="str">
        <f t="shared" si="9"/>
        <v/>
      </c>
      <c r="J109" s="36">
        <f t="shared" si="12"/>
        <v>-7</v>
      </c>
      <c r="K109" s="36">
        <f t="shared" si="10"/>
        <v>-70</v>
      </c>
      <c r="L109" s="36"/>
      <c r="M109" s="38">
        <f t="shared" si="11"/>
        <v>0</v>
      </c>
    </row>
    <row r="110" spans="1:13" x14ac:dyDescent="0.25">
      <c r="A110" s="57"/>
      <c r="G110" s="14"/>
      <c r="H110" s="36">
        <v>105</v>
      </c>
      <c r="I110" s="37" t="str">
        <f t="shared" si="9"/>
        <v/>
      </c>
      <c r="J110" s="36">
        <f t="shared" si="12"/>
        <v>-7</v>
      </c>
      <c r="K110" s="36">
        <f t="shared" si="10"/>
        <v>-70</v>
      </c>
      <c r="L110" s="36"/>
      <c r="M110" s="38">
        <f t="shared" si="11"/>
        <v>0</v>
      </c>
    </row>
    <row r="111" spans="1:13" x14ac:dyDescent="0.25">
      <c r="A111" s="57"/>
      <c r="G111" s="14"/>
      <c r="H111" s="36">
        <v>106</v>
      </c>
      <c r="I111" s="37" t="str">
        <f t="shared" si="9"/>
        <v/>
      </c>
      <c r="J111" s="36">
        <f t="shared" si="12"/>
        <v>-7</v>
      </c>
      <c r="K111" s="36">
        <f t="shared" si="10"/>
        <v>-70</v>
      </c>
      <c r="L111" s="36"/>
      <c r="M111" s="38">
        <f t="shared" si="11"/>
        <v>0</v>
      </c>
    </row>
    <row r="112" spans="1:13" x14ac:dyDescent="0.25">
      <c r="A112" s="57"/>
      <c r="G112" s="14"/>
      <c r="H112" s="36">
        <v>107</v>
      </c>
      <c r="I112" s="37" t="str">
        <f t="shared" si="9"/>
        <v/>
      </c>
      <c r="J112" s="36">
        <f t="shared" si="12"/>
        <v>-7</v>
      </c>
      <c r="K112" s="36">
        <f t="shared" si="10"/>
        <v>-70</v>
      </c>
      <c r="L112" s="36"/>
      <c r="M112" s="38">
        <f t="shared" si="11"/>
        <v>0</v>
      </c>
    </row>
    <row r="113" spans="1:13" x14ac:dyDescent="0.25">
      <c r="A113" s="57"/>
      <c r="G113" s="14"/>
      <c r="H113" s="36">
        <v>108</v>
      </c>
      <c r="I113" s="37" t="str">
        <f t="shared" si="9"/>
        <v/>
      </c>
      <c r="J113" s="36">
        <f t="shared" si="12"/>
        <v>-7</v>
      </c>
      <c r="K113" s="36">
        <f t="shared" si="10"/>
        <v>-70</v>
      </c>
      <c r="L113" s="36"/>
      <c r="M113" s="38">
        <f t="shared" si="11"/>
        <v>0</v>
      </c>
    </row>
    <row r="114" spans="1:13" x14ac:dyDescent="0.25">
      <c r="A114" s="57"/>
      <c r="G114" s="14"/>
      <c r="H114" s="36">
        <v>109</v>
      </c>
      <c r="I114" s="37" t="str">
        <f t="shared" si="9"/>
        <v/>
      </c>
      <c r="J114" s="36">
        <f t="shared" si="12"/>
        <v>-7</v>
      </c>
      <c r="K114" s="36">
        <f t="shared" si="10"/>
        <v>-70</v>
      </c>
      <c r="L114" s="36"/>
      <c r="M114" s="38">
        <f t="shared" si="11"/>
        <v>0</v>
      </c>
    </row>
    <row r="115" spans="1:13" x14ac:dyDescent="0.25">
      <c r="A115" s="57"/>
      <c r="G115" s="14"/>
      <c r="H115" s="36">
        <v>110</v>
      </c>
      <c r="I115" s="37" t="str">
        <f t="shared" si="9"/>
        <v/>
      </c>
      <c r="J115" s="36">
        <f t="shared" si="12"/>
        <v>-7</v>
      </c>
      <c r="K115" s="36">
        <f t="shared" si="10"/>
        <v>-70</v>
      </c>
      <c r="L115" s="36"/>
      <c r="M115" s="38">
        <f t="shared" si="11"/>
        <v>0</v>
      </c>
    </row>
    <row r="116" spans="1:13" x14ac:dyDescent="0.25">
      <c r="A116" s="57"/>
      <c r="G116" s="14"/>
      <c r="H116" s="36">
        <v>111</v>
      </c>
      <c r="I116" s="37" t="str">
        <f t="shared" si="9"/>
        <v/>
      </c>
      <c r="J116" s="36">
        <f t="shared" si="12"/>
        <v>-7</v>
      </c>
      <c r="K116" s="36">
        <f t="shared" si="10"/>
        <v>-70</v>
      </c>
      <c r="L116" s="36"/>
      <c r="M116" s="38">
        <f t="shared" si="11"/>
        <v>0</v>
      </c>
    </row>
    <row r="117" spans="1:13" x14ac:dyDescent="0.25">
      <c r="A117" s="57"/>
      <c r="G117" s="14"/>
      <c r="H117" s="36">
        <v>112</v>
      </c>
      <c r="I117" s="37" t="str">
        <f t="shared" si="9"/>
        <v/>
      </c>
      <c r="J117" s="36">
        <f t="shared" si="12"/>
        <v>-7</v>
      </c>
      <c r="K117" s="36">
        <f t="shared" si="10"/>
        <v>-70</v>
      </c>
      <c r="L117" s="36"/>
      <c r="M117" s="38">
        <f t="shared" si="11"/>
        <v>0</v>
      </c>
    </row>
    <row r="118" spans="1:13" x14ac:dyDescent="0.25">
      <c r="A118" s="57"/>
      <c r="G118" s="14"/>
      <c r="H118" s="36">
        <v>113</v>
      </c>
      <c r="I118" s="37" t="str">
        <f t="shared" si="9"/>
        <v/>
      </c>
      <c r="J118" s="36">
        <f t="shared" si="12"/>
        <v>-7</v>
      </c>
      <c r="K118" s="36">
        <f t="shared" si="10"/>
        <v>-70</v>
      </c>
      <c r="L118" s="36"/>
      <c r="M118" s="38">
        <f t="shared" si="11"/>
        <v>0</v>
      </c>
    </row>
    <row r="119" spans="1:13" x14ac:dyDescent="0.25">
      <c r="A119" s="57"/>
      <c r="G119" s="14"/>
      <c r="H119" s="36">
        <v>114</v>
      </c>
      <c r="I119" s="37" t="str">
        <f t="shared" si="9"/>
        <v/>
      </c>
      <c r="J119" s="36">
        <f t="shared" si="12"/>
        <v>-7</v>
      </c>
      <c r="K119" s="36">
        <f t="shared" si="10"/>
        <v>-70</v>
      </c>
      <c r="L119" s="36"/>
      <c r="M119" s="38">
        <f t="shared" si="11"/>
        <v>0</v>
      </c>
    </row>
    <row r="120" spans="1:13" x14ac:dyDescent="0.25">
      <c r="A120" s="57"/>
      <c r="G120" s="14"/>
      <c r="H120" s="36">
        <v>115</v>
      </c>
      <c r="I120" s="37" t="str">
        <f t="shared" si="9"/>
        <v/>
      </c>
      <c r="J120" s="36">
        <f t="shared" si="12"/>
        <v>-7</v>
      </c>
      <c r="K120" s="36">
        <f t="shared" si="10"/>
        <v>-70</v>
      </c>
      <c r="L120" s="36"/>
      <c r="M120" s="38">
        <f t="shared" si="11"/>
        <v>0</v>
      </c>
    </row>
    <row r="121" spans="1:13" x14ac:dyDescent="0.25">
      <c r="A121" s="57"/>
      <c r="G121" s="14"/>
      <c r="H121" s="36">
        <v>116</v>
      </c>
      <c r="I121" s="37" t="str">
        <f t="shared" si="9"/>
        <v/>
      </c>
      <c r="J121" s="36">
        <f t="shared" si="12"/>
        <v>-7</v>
      </c>
      <c r="K121" s="36">
        <f t="shared" si="10"/>
        <v>-70</v>
      </c>
      <c r="L121" s="36"/>
      <c r="M121" s="38">
        <f t="shared" si="11"/>
        <v>0</v>
      </c>
    </row>
    <row r="122" spans="1:13" x14ac:dyDescent="0.25">
      <c r="A122" s="57"/>
      <c r="G122" s="14"/>
      <c r="H122" s="36">
        <v>117</v>
      </c>
      <c r="I122" s="37" t="str">
        <f t="shared" si="9"/>
        <v/>
      </c>
      <c r="J122" s="36">
        <f t="shared" si="12"/>
        <v>-7</v>
      </c>
      <c r="K122" s="36">
        <f t="shared" si="10"/>
        <v>-70</v>
      </c>
      <c r="L122" s="36"/>
      <c r="M122" s="38">
        <f t="shared" si="11"/>
        <v>0</v>
      </c>
    </row>
    <row r="123" spans="1:13" x14ac:dyDescent="0.25">
      <c r="A123" s="57"/>
      <c r="G123" s="14"/>
      <c r="H123" s="36">
        <v>118</v>
      </c>
      <c r="I123" s="37" t="str">
        <f t="shared" si="9"/>
        <v/>
      </c>
      <c r="J123" s="36">
        <f t="shared" si="12"/>
        <v>-7</v>
      </c>
      <c r="K123" s="36">
        <f t="shared" si="10"/>
        <v>-70</v>
      </c>
      <c r="L123" s="36"/>
      <c r="M123" s="38">
        <f t="shared" si="11"/>
        <v>0</v>
      </c>
    </row>
    <row r="124" spans="1:13" x14ac:dyDescent="0.25">
      <c r="A124" s="57"/>
      <c r="G124" s="14"/>
      <c r="H124" s="36">
        <v>119</v>
      </c>
      <c r="I124" s="37" t="str">
        <f t="shared" si="9"/>
        <v/>
      </c>
      <c r="J124" s="36">
        <f t="shared" si="12"/>
        <v>-7</v>
      </c>
      <c r="K124" s="36">
        <f t="shared" si="10"/>
        <v>-70</v>
      </c>
      <c r="L124" s="36"/>
      <c r="M124" s="38">
        <f t="shared" si="11"/>
        <v>0</v>
      </c>
    </row>
    <row r="125" spans="1:13" x14ac:dyDescent="0.25">
      <c r="A125" s="57"/>
      <c r="G125" s="14"/>
      <c r="H125" s="36">
        <v>120</v>
      </c>
      <c r="I125" s="37" t="str">
        <f t="shared" si="9"/>
        <v/>
      </c>
      <c r="J125" s="36">
        <f t="shared" si="12"/>
        <v>-7</v>
      </c>
      <c r="K125" s="36">
        <f t="shared" si="10"/>
        <v>-70</v>
      </c>
      <c r="L125" s="36"/>
      <c r="M125" s="38">
        <f t="shared" si="11"/>
        <v>0</v>
      </c>
    </row>
    <row r="126" spans="1:13" x14ac:dyDescent="0.25">
      <c r="A126" s="57"/>
      <c r="G126" s="14"/>
      <c r="H126" s="36">
        <v>121</v>
      </c>
      <c r="I126" s="37" t="str">
        <f t="shared" si="9"/>
        <v/>
      </c>
      <c r="J126" s="36">
        <f t="shared" si="12"/>
        <v>-7</v>
      </c>
      <c r="K126" s="36">
        <f t="shared" si="10"/>
        <v>-70</v>
      </c>
      <c r="L126" s="36"/>
      <c r="M126" s="38">
        <f t="shared" si="11"/>
        <v>0</v>
      </c>
    </row>
    <row r="127" spans="1:13" x14ac:dyDescent="0.25">
      <c r="A127" s="57"/>
      <c r="G127" s="14"/>
      <c r="H127" s="36">
        <v>122</v>
      </c>
      <c r="I127" s="37" t="str">
        <f t="shared" si="9"/>
        <v/>
      </c>
      <c r="J127" s="36">
        <f t="shared" si="12"/>
        <v>-7</v>
      </c>
      <c r="K127" s="36">
        <f t="shared" si="10"/>
        <v>-70</v>
      </c>
      <c r="L127" s="36"/>
      <c r="M127" s="38">
        <f t="shared" si="11"/>
        <v>0</v>
      </c>
    </row>
    <row r="128" spans="1:13" x14ac:dyDescent="0.25">
      <c r="A128" s="57"/>
      <c r="G128" s="14"/>
      <c r="H128" s="36">
        <v>123</v>
      </c>
      <c r="I128" s="37" t="str">
        <f t="shared" si="9"/>
        <v/>
      </c>
      <c r="J128" s="36">
        <f t="shared" si="12"/>
        <v>-7</v>
      </c>
      <c r="K128" s="36">
        <f t="shared" si="10"/>
        <v>-70</v>
      </c>
      <c r="L128" s="36"/>
      <c r="M128" s="38">
        <f t="shared" si="11"/>
        <v>0</v>
      </c>
    </row>
    <row r="129" spans="1:13" x14ac:dyDescent="0.25">
      <c r="A129" s="57"/>
      <c r="G129" s="14"/>
      <c r="H129" s="36">
        <v>124</v>
      </c>
      <c r="I129" s="37" t="str">
        <f t="shared" si="9"/>
        <v/>
      </c>
      <c r="J129" s="36">
        <f t="shared" si="12"/>
        <v>-7</v>
      </c>
      <c r="K129" s="36">
        <f t="shared" si="10"/>
        <v>-70</v>
      </c>
      <c r="L129" s="36"/>
      <c r="M129" s="38">
        <f t="shared" si="11"/>
        <v>0</v>
      </c>
    </row>
    <row r="130" spans="1:13" x14ac:dyDescent="0.25">
      <c r="A130" s="57"/>
      <c r="G130" s="14"/>
      <c r="H130" s="36">
        <v>125</v>
      </c>
      <c r="I130" s="37" t="str">
        <f t="shared" si="9"/>
        <v/>
      </c>
      <c r="J130" s="36">
        <f t="shared" si="12"/>
        <v>-7</v>
      </c>
      <c r="K130" s="36">
        <f t="shared" si="10"/>
        <v>-70</v>
      </c>
      <c r="L130" s="36"/>
      <c r="M130" s="38">
        <f t="shared" si="11"/>
        <v>0</v>
      </c>
    </row>
    <row r="131" spans="1:13" x14ac:dyDescent="0.25">
      <c r="A131" s="57"/>
      <c r="G131" s="14"/>
      <c r="H131" s="36">
        <v>126</v>
      </c>
      <c r="I131" s="37" t="str">
        <f t="shared" si="9"/>
        <v/>
      </c>
      <c r="J131" s="36">
        <f t="shared" si="12"/>
        <v>-7</v>
      </c>
      <c r="K131" s="36">
        <f t="shared" si="10"/>
        <v>-70</v>
      </c>
      <c r="L131" s="36"/>
      <c r="M131" s="38">
        <f t="shared" si="11"/>
        <v>0</v>
      </c>
    </row>
    <row r="132" spans="1:13" x14ac:dyDescent="0.25">
      <c r="A132" s="57"/>
      <c r="G132" s="14"/>
      <c r="H132" s="36">
        <v>127</v>
      </c>
      <c r="I132" s="37" t="str">
        <f t="shared" si="9"/>
        <v/>
      </c>
      <c r="J132" s="36">
        <f t="shared" si="12"/>
        <v>-7</v>
      </c>
      <c r="K132" s="36">
        <f t="shared" si="10"/>
        <v>-70</v>
      </c>
      <c r="L132" s="36"/>
      <c r="M132" s="38">
        <f t="shared" si="11"/>
        <v>0</v>
      </c>
    </row>
    <row r="133" spans="1:13" x14ac:dyDescent="0.25">
      <c r="A133" s="57"/>
      <c r="G133" s="14"/>
      <c r="H133" s="36">
        <v>128</v>
      </c>
      <c r="I133" s="37" t="str">
        <f t="shared" si="9"/>
        <v/>
      </c>
      <c r="J133" s="36">
        <f t="shared" si="12"/>
        <v>-7</v>
      </c>
      <c r="K133" s="36">
        <f t="shared" si="10"/>
        <v>-70</v>
      </c>
      <c r="L133" s="36"/>
      <c r="M133" s="38">
        <f t="shared" si="11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3">IF(H134&lt;$H$2+1,($I$2-($I$2-1)*(LOG(H134)/LOG($H$2))),"")</f>
        <v/>
      </c>
      <c r="J134" s="36">
        <f t="shared" si="12"/>
        <v>-8</v>
      </c>
      <c r="K134" s="36">
        <f t="shared" ref="K134:K197" si="14">J134*$J$2</f>
        <v>-80</v>
      </c>
      <c r="L134" s="36"/>
      <c r="M134" s="38">
        <f t="shared" ref="M134:M197" si="15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3"/>
        <v/>
      </c>
      <c r="J135" s="36">
        <f t="shared" ref="J135:J198" si="16">INT(LOG($H$2,2))-ROUNDUP(LOG(H135,2),0)+IF(OR($H$2=1,$H$2=2,$H$2=4,$H$2=8,$H$2=16,$H$2=32,$H$2=64,$H$2=128,$H$2=256),0,1)</f>
        <v>-8</v>
      </c>
      <c r="K135" s="36">
        <f t="shared" si="14"/>
        <v>-80</v>
      </c>
      <c r="L135" s="36"/>
      <c r="M135" s="38">
        <f t="shared" si="15"/>
        <v>0</v>
      </c>
    </row>
    <row r="136" spans="1:13" x14ac:dyDescent="0.25">
      <c r="A136" s="57"/>
      <c r="G136" s="14"/>
      <c r="H136" s="36">
        <v>131</v>
      </c>
      <c r="I136" s="37" t="str">
        <f t="shared" si="13"/>
        <v/>
      </c>
      <c r="J136" s="36">
        <f t="shared" si="16"/>
        <v>-8</v>
      </c>
      <c r="K136" s="36">
        <f t="shared" si="14"/>
        <v>-80</v>
      </c>
      <c r="L136" s="36"/>
      <c r="M136" s="38">
        <f t="shared" si="15"/>
        <v>0</v>
      </c>
    </row>
    <row r="137" spans="1:13" x14ac:dyDescent="0.25">
      <c r="A137" s="57"/>
      <c r="G137" s="14"/>
      <c r="H137" s="36">
        <v>132</v>
      </c>
      <c r="I137" s="37" t="str">
        <f t="shared" si="13"/>
        <v/>
      </c>
      <c r="J137" s="36">
        <f t="shared" si="16"/>
        <v>-8</v>
      </c>
      <c r="K137" s="36">
        <f t="shared" si="14"/>
        <v>-80</v>
      </c>
      <c r="L137" s="36"/>
      <c r="M137" s="38">
        <f t="shared" si="15"/>
        <v>0</v>
      </c>
    </row>
    <row r="138" spans="1:13" x14ac:dyDescent="0.25">
      <c r="A138" s="57"/>
      <c r="G138" s="14"/>
      <c r="H138" s="36">
        <v>133</v>
      </c>
      <c r="I138" s="37" t="str">
        <f t="shared" si="13"/>
        <v/>
      </c>
      <c r="J138" s="36">
        <f t="shared" si="16"/>
        <v>-8</v>
      </c>
      <c r="K138" s="36">
        <f t="shared" si="14"/>
        <v>-80</v>
      </c>
      <c r="L138" s="36"/>
      <c r="M138" s="38">
        <f t="shared" si="15"/>
        <v>0</v>
      </c>
    </row>
    <row r="139" spans="1:13" x14ac:dyDescent="0.25">
      <c r="A139" s="57"/>
      <c r="G139" s="14"/>
      <c r="H139" s="36">
        <v>134</v>
      </c>
      <c r="I139" s="37" t="str">
        <f t="shared" si="13"/>
        <v/>
      </c>
      <c r="J139" s="36">
        <f t="shared" si="16"/>
        <v>-8</v>
      </c>
      <c r="K139" s="36">
        <f t="shared" si="14"/>
        <v>-80</v>
      </c>
      <c r="L139" s="36"/>
      <c r="M139" s="38">
        <f t="shared" si="15"/>
        <v>0</v>
      </c>
    </row>
    <row r="140" spans="1:13" x14ac:dyDescent="0.25">
      <c r="A140" s="57"/>
      <c r="G140" s="14"/>
      <c r="H140" s="36">
        <v>135</v>
      </c>
      <c r="I140" s="37" t="str">
        <f t="shared" si="13"/>
        <v/>
      </c>
      <c r="J140" s="36">
        <f t="shared" si="16"/>
        <v>-8</v>
      </c>
      <c r="K140" s="36">
        <f t="shared" si="14"/>
        <v>-80</v>
      </c>
      <c r="L140" s="36"/>
      <c r="M140" s="38">
        <f t="shared" si="15"/>
        <v>0</v>
      </c>
    </row>
    <row r="141" spans="1:13" x14ac:dyDescent="0.25">
      <c r="A141" s="57"/>
      <c r="G141" s="14"/>
      <c r="H141" s="36">
        <v>136</v>
      </c>
      <c r="I141" s="37" t="str">
        <f t="shared" si="13"/>
        <v/>
      </c>
      <c r="J141" s="36">
        <f t="shared" si="16"/>
        <v>-8</v>
      </c>
      <c r="K141" s="36">
        <f t="shared" si="14"/>
        <v>-80</v>
      </c>
      <c r="L141" s="36"/>
      <c r="M141" s="38">
        <f t="shared" si="15"/>
        <v>0</v>
      </c>
    </row>
    <row r="142" spans="1:13" x14ac:dyDescent="0.25">
      <c r="A142" s="57"/>
      <c r="G142" s="14"/>
      <c r="H142" s="36">
        <v>137</v>
      </c>
      <c r="I142" s="37" t="str">
        <f t="shared" si="13"/>
        <v/>
      </c>
      <c r="J142" s="36">
        <f t="shared" si="16"/>
        <v>-8</v>
      </c>
      <c r="K142" s="36">
        <f t="shared" si="14"/>
        <v>-80</v>
      </c>
      <c r="L142" s="36"/>
      <c r="M142" s="38">
        <f t="shared" si="15"/>
        <v>0</v>
      </c>
    </row>
    <row r="143" spans="1:13" x14ac:dyDescent="0.25">
      <c r="A143" s="57"/>
      <c r="G143" s="14"/>
      <c r="H143" s="36">
        <v>138</v>
      </c>
      <c r="I143" s="37" t="str">
        <f t="shared" si="13"/>
        <v/>
      </c>
      <c r="J143" s="36">
        <f t="shared" si="16"/>
        <v>-8</v>
      </c>
      <c r="K143" s="36">
        <f t="shared" si="14"/>
        <v>-80</v>
      </c>
      <c r="L143" s="36"/>
      <c r="M143" s="38">
        <f t="shared" si="15"/>
        <v>0</v>
      </c>
    </row>
    <row r="144" spans="1:13" x14ac:dyDescent="0.25">
      <c r="A144" s="57"/>
      <c r="G144" s="14"/>
      <c r="H144" s="36">
        <v>139</v>
      </c>
      <c r="I144" s="37" t="str">
        <f t="shared" si="13"/>
        <v/>
      </c>
      <c r="J144" s="36">
        <f t="shared" si="16"/>
        <v>-8</v>
      </c>
      <c r="K144" s="36">
        <f t="shared" si="14"/>
        <v>-80</v>
      </c>
      <c r="L144" s="36"/>
      <c r="M144" s="38">
        <f t="shared" si="15"/>
        <v>0</v>
      </c>
    </row>
    <row r="145" spans="1:13" x14ac:dyDescent="0.25">
      <c r="A145" s="57"/>
      <c r="G145" s="14"/>
      <c r="H145" s="36">
        <v>140</v>
      </c>
      <c r="I145" s="37" t="str">
        <f t="shared" si="13"/>
        <v/>
      </c>
      <c r="J145" s="36">
        <f t="shared" si="16"/>
        <v>-8</v>
      </c>
      <c r="K145" s="36">
        <f t="shared" si="14"/>
        <v>-80</v>
      </c>
      <c r="L145" s="36"/>
      <c r="M145" s="38">
        <f t="shared" si="15"/>
        <v>0</v>
      </c>
    </row>
    <row r="146" spans="1:13" x14ac:dyDescent="0.25">
      <c r="A146" s="57"/>
      <c r="G146" s="14"/>
      <c r="H146" s="36">
        <v>141</v>
      </c>
      <c r="I146" s="37" t="str">
        <f t="shared" si="13"/>
        <v/>
      </c>
      <c r="J146" s="36">
        <f t="shared" si="16"/>
        <v>-8</v>
      </c>
      <c r="K146" s="36">
        <f t="shared" si="14"/>
        <v>-80</v>
      </c>
      <c r="L146" s="36"/>
      <c r="M146" s="38">
        <f t="shared" si="15"/>
        <v>0</v>
      </c>
    </row>
    <row r="147" spans="1:13" x14ac:dyDescent="0.25">
      <c r="A147" s="57"/>
      <c r="G147" s="14"/>
      <c r="H147" s="36">
        <v>142</v>
      </c>
      <c r="I147" s="37" t="str">
        <f t="shared" si="13"/>
        <v/>
      </c>
      <c r="J147" s="36">
        <f t="shared" si="16"/>
        <v>-8</v>
      </c>
      <c r="K147" s="36">
        <f t="shared" si="14"/>
        <v>-80</v>
      </c>
      <c r="L147" s="36"/>
      <c r="M147" s="38">
        <f t="shared" si="15"/>
        <v>0</v>
      </c>
    </row>
    <row r="148" spans="1:13" x14ac:dyDescent="0.25">
      <c r="A148" s="57"/>
      <c r="G148" s="14"/>
      <c r="H148" s="36">
        <v>143</v>
      </c>
      <c r="I148" s="37" t="str">
        <f t="shared" si="13"/>
        <v/>
      </c>
      <c r="J148" s="36">
        <f t="shared" si="16"/>
        <v>-8</v>
      </c>
      <c r="K148" s="36">
        <f t="shared" si="14"/>
        <v>-80</v>
      </c>
      <c r="L148" s="36"/>
      <c r="M148" s="38">
        <f t="shared" si="15"/>
        <v>0</v>
      </c>
    </row>
    <row r="149" spans="1:13" x14ac:dyDescent="0.25">
      <c r="A149" s="57"/>
      <c r="G149" s="14"/>
      <c r="H149" s="36">
        <v>144</v>
      </c>
      <c r="I149" s="37" t="str">
        <f t="shared" si="13"/>
        <v/>
      </c>
      <c r="J149" s="36">
        <f t="shared" si="16"/>
        <v>-8</v>
      </c>
      <c r="K149" s="36">
        <f t="shared" si="14"/>
        <v>-80</v>
      </c>
      <c r="L149" s="36"/>
      <c r="M149" s="38">
        <f t="shared" si="15"/>
        <v>0</v>
      </c>
    </row>
    <row r="150" spans="1:13" x14ac:dyDescent="0.25">
      <c r="A150" s="57"/>
      <c r="G150" s="14"/>
      <c r="H150" s="36">
        <v>145</v>
      </c>
      <c r="I150" s="37" t="str">
        <f t="shared" si="13"/>
        <v/>
      </c>
      <c r="J150" s="36">
        <f t="shared" si="16"/>
        <v>-8</v>
      </c>
      <c r="K150" s="36">
        <f t="shared" si="14"/>
        <v>-80</v>
      </c>
      <c r="L150" s="36"/>
      <c r="M150" s="38">
        <f t="shared" si="15"/>
        <v>0</v>
      </c>
    </row>
    <row r="151" spans="1:13" x14ac:dyDescent="0.25">
      <c r="A151" s="57"/>
      <c r="G151" s="14"/>
      <c r="H151" s="36">
        <v>146</v>
      </c>
      <c r="I151" s="37" t="str">
        <f t="shared" si="13"/>
        <v/>
      </c>
      <c r="J151" s="36">
        <f t="shared" si="16"/>
        <v>-8</v>
      </c>
      <c r="K151" s="36">
        <f t="shared" si="14"/>
        <v>-80</v>
      </c>
      <c r="L151" s="36"/>
      <c r="M151" s="38">
        <f t="shared" si="15"/>
        <v>0</v>
      </c>
    </row>
    <row r="152" spans="1:13" x14ac:dyDescent="0.25">
      <c r="A152" s="57"/>
      <c r="G152" s="14"/>
      <c r="H152" s="36">
        <v>147</v>
      </c>
      <c r="I152" s="37" t="str">
        <f t="shared" si="13"/>
        <v/>
      </c>
      <c r="J152" s="36">
        <f t="shared" si="16"/>
        <v>-8</v>
      </c>
      <c r="K152" s="36">
        <f t="shared" si="14"/>
        <v>-80</v>
      </c>
      <c r="L152" s="36"/>
      <c r="M152" s="38">
        <f t="shared" si="15"/>
        <v>0</v>
      </c>
    </row>
    <row r="153" spans="1:13" x14ac:dyDescent="0.25">
      <c r="A153" s="57"/>
      <c r="G153" s="14"/>
      <c r="H153" s="36">
        <v>148</v>
      </c>
      <c r="I153" s="37" t="str">
        <f t="shared" si="13"/>
        <v/>
      </c>
      <c r="J153" s="36">
        <f t="shared" si="16"/>
        <v>-8</v>
      </c>
      <c r="K153" s="36">
        <f t="shared" si="14"/>
        <v>-80</v>
      </c>
      <c r="L153" s="36"/>
      <c r="M153" s="38">
        <f t="shared" si="15"/>
        <v>0</v>
      </c>
    </row>
    <row r="154" spans="1:13" x14ac:dyDescent="0.25">
      <c r="A154" s="57"/>
      <c r="G154" s="14"/>
      <c r="H154" s="36">
        <v>149</v>
      </c>
      <c r="I154" s="37" t="str">
        <f t="shared" si="13"/>
        <v/>
      </c>
      <c r="J154" s="36">
        <f t="shared" si="16"/>
        <v>-8</v>
      </c>
      <c r="K154" s="36">
        <f t="shared" si="14"/>
        <v>-80</v>
      </c>
      <c r="L154" s="36"/>
      <c r="M154" s="38">
        <f t="shared" si="15"/>
        <v>0</v>
      </c>
    </row>
    <row r="155" spans="1:13" x14ac:dyDescent="0.25">
      <c r="A155" s="57"/>
      <c r="G155" s="14"/>
      <c r="H155" s="36">
        <v>150</v>
      </c>
      <c r="I155" s="37" t="str">
        <f t="shared" si="13"/>
        <v/>
      </c>
      <c r="J155" s="36">
        <f t="shared" si="16"/>
        <v>-8</v>
      </c>
      <c r="K155" s="36">
        <f t="shared" si="14"/>
        <v>-80</v>
      </c>
      <c r="L155" s="36"/>
      <c r="M155" s="38">
        <f t="shared" si="15"/>
        <v>0</v>
      </c>
    </row>
    <row r="156" spans="1:13" x14ac:dyDescent="0.25">
      <c r="A156" s="57"/>
      <c r="G156" s="14"/>
      <c r="H156" s="36">
        <v>151</v>
      </c>
      <c r="I156" s="37" t="str">
        <f t="shared" si="13"/>
        <v/>
      </c>
      <c r="J156" s="36">
        <f t="shared" si="16"/>
        <v>-8</v>
      </c>
      <c r="K156" s="36">
        <f t="shared" si="14"/>
        <v>-80</v>
      </c>
      <c r="L156" s="36"/>
      <c r="M156" s="38">
        <f t="shared" si="15"/>
        <v>0</v>
      </c>
    </row>
    <row r="157" spans="1:13" x14ac:dyDescent="0.25">
      <c r="A157" s="57"/>
      <c r="G157" s="14"/>
      <c r="H157" s="36">
        <v>152</v>
      </c>
      <c r="I157" s="37" t="str">
        <f t="shared" si="13"/>
        <v/>
      </c>
      <c r="J157" s="36">
        <f t="shared" si="16"/>
        <v>-8</v>
      </c>
      <c r="K157" s="36">
        <f t="shared" si="14"/>
        <v>-80</v>
      </c>
      <c r="L157" s="36"/>
      <c r="M157" s="38">
        <f t="shared" si="15"/>
        <v>0</v>
      </c>
    </row>
    <row r="158" spans="1:13" x14ac:dyDescent="0.25">
      <c r="A158" s="57"/>
      <c r="G158" s="14"/>
      <c r="H158" s="36">
        <v>153</v>
      </c>
      <c r="I158" s="37" t="str">
        <f t="shared" si="13"/>
        <v/>
      </c>
      <c r="J158" s="36">
        <f t="shared" si="16"/>
        <v>-8</v>
      </c>
      <c r="K158" s="36">
        <f t="shared" si="14"/>
        <v>-80</v>
      </c>
      <c r="L158" s="36"/>
      <c r="M158" s="38">
        <f t="shared" si="15"/>
        <v>0</v>
      </c>
    </row>
    <row r="159" spans="1:13" x14ac:dyDescent="0.25">
      <c r="A159" s="57"/>
      <c r="G159" s="14"/>
      <c r="H159" s="36">
        <v>154</v>
      </c>
      <c r="I159" s="37" t="str">
        <f t="shared" si="13"/>
        <v/>
      </c>
      <c r="J159" s="36">
        <f t="shared" si="16"/>
        <v>-8</v>
      </c>
      <c r="K159" s="36">
        <f t="shared" si="14"/>
        <v>-80</v>
      </c>
      <c r="L159" s="36"/>
      <c r="M159" s="38">
        <f t="shared" si="15"/>
        <v>0</v>
      </c>
    </row>
    <row r="160" spans="1:13" x14ac:dyDescent="0.25">
      <c r="A160" s="57"/>
      <c r="G160" s="14"/>
      <c r="H160" s="36">
        <v>155</v>
      </c>
      <c r="I160" s="37" t="str">
        <f t="shared" si="13"/>
        <v/>
      </c>
      <c r="J160" s="36">
        <f t="shared" si="16"/>
        <v>-8</v>
      </c>
      <c r="K160" s="36">
        <f t="shared" si="14"/>
        <v>-80</v>
      </c>
      <c r="L160" s="36"/>
      <c r="M160" s="38">
        <f t="shared" si="15"/>
        <v>0</v>
      </c>
    </row>
    <row r="161" spans="1:13" x14ac:dyDescent="0.25">
      <c r="A161" s="57"/>
      <c r="G161" s="14"/>
      <c r="H161" s="36">
        <v>156</v>
      </c>
      <c r="I161" s="37" t="str">
        <f t="shared" si="13"/>
        <v/>
      </c>
      <c r="J161" s="36">
        <f t="shared" si="16"/>
        <v>-8</v>
      </c>
      <c r="K161" s="36">
        <f t="shared" si="14"/>
        <v>-80</v>
      </c>
      <c r="L161" s="36"/>
      <c r="M161" s="38">
        <f t="shared" si="15"/>
        <v>0</v>
      </c>
    </row>
    <row r="162" spans="1:13" x14ac:dyDescent="0.25">
      <c r="A162" s="57"/>
      <c r="G162" s="14"/>
      <c r="H162" s="36">
        <v>157</v>
      </c>
      <c r="I162" s="37" t="str">
        <f t="shared" si="13"/>
        <v/>
      </c>
      <c r="J162" s="36">
        <f t="shared" si="16"/>
        <v>-8</v>
      </c>
      <c r="K162" s="36">
        <f t="shared" si="14"/>
        <v>-80</v>
      </c>
      <c r="L162" s="36"/>
      <c r="M162" s="38">
        <f t="shared" si="15"/>
        <v>0</v>
      </c>
    </row>
    <row r="163" spans="1:13" x14ac:dyDescent="0.25">
      <c r="A163" s="57"/>
      <c r="G163" s="14"/>
      <c r="H163" s="36">
        <v>158</v>
      </c>
      <c r="I163" s="37" t="str">
        <f t="shared" si="13"/>
        <v/>
      </c>
      <c r="J163" s="36">
        <f t="shared" si="16"/>
        <v>-8</v>
      </c>
      <c r="K163" s="36">
        <f t="shared" si="14"/>
        <v>-80</v>
      </c>
      <c r="L163" s="36"/>
      <c r="M163" s="38">
        <f t="shared" si="15"/>
        <v>0</v>
      </c>
    </row>
    <row r="164" spans="1:13" x14ac:dyDescent="0.25">
      <c r="A164" s="57"/>
      <c r="G164" s="14"/>
      <c r="H164" s="36">
        <v>159</v>
      </c>
      <c r="I164" s="37" t="str">
        <f t="shared" si="13"/>
        <v/>
      </c>
      <c r="J164" s="36">
        <f t="shared" si="16"/>
        <v>-8</v>
      </c>
      <c r="K164" s="36">
        <f t="shared" si="14"/>
        <v>-80</v>
      </c>
      <c r="L164" s="36"/>
      <c r="M164" s="38">
        <f t="shared" si="15"/>
        <v>0</v>
      </c>
    </row>
    <row r="165" spans="1:13" x14ac:dyDescent="0.25">
      <c r="A165" s="57"/>
      <c r="G165" s="14"/>
      <c r="H165" s="36">
        <v>160</v>
      </c>
      <c r="I165" s="37" t="str">
        <f t="shared" si="13"/>
        <v/>
      </c>
      <c r="J165" s="36">
        <f t="shared" si="16"/>
        <v>-8</v>
      </c>
      <c r="K165" s="36">
        <f t="shared" si="14"/>
        <v>-80</v>
      </c>
      <c r="L165" s="36"/>
      <c r="M165" s="38">
        <f t="shared" si="15"/>
        <v>0</v>
      </c>
    </row>
    <row r="166" spans="1:13" x14ac:dyDescent="0.25">
      <c r="A166" s="57"/>
      <c r="G166" s="14"/>
      <c r="H166" s="36">
        <v>161</v>
      </c>
      <c r="I166" s="37" t="str">
        <f t="shared" si="13"/>
        <v/>
      </c>
      <c r="J166" s="36">
        <f t="shared" si="16"/>
        <v>-8</v>
      </c>
      <c r="K166" s="36">
        <f t="shared" si="14"/>
        <v>-80</v>
      </c>
      <c r="L166" s="36"/>
      <c r="M166" s="38">
        <f t="shared" si="15"/>
        <v>0</v>
      </c>
    </row>
    <row r="167" spans="1:13" x14ac:dyDescent="0.25">
      <c r="A167" s="57"/>
      <c r="G167" s="14"/>
      <c r="H167" s="36">
        <v>162</v>
      </c>
      <c r="I167" s="37" t="str">
        <f t="shared" si="13"/>
        <v/>
      </c>
      <c r="J167" s="36">
        <f t="shared" si="16"/>
        <v>-8</v>
      </c>
      <c r="K167" s="36">
        <f t="shared" si="14"/>
        <v>-80</v>
      </c>
      <c r="L167" s="36"/>
      <c r="M167" s="38">
        <f t="shared" si="15"/>
        <v>0</v>
      </c>
    </row>
    <row r="168" spans="1:13" x14ac:dyDescent="0.25">
      <c r="A168" s="57"/>
      <c r="G168" s="14"/>
      <c r="H168" s="36">
        <v>163</v>
      </c>
      <c r="I168" s="37" t="str">
        <f t="shared" si="13"/>
        <v/>
      </c>
      <c r="J168" s="36">
        <f t="shared" si="16"/>
        <v>-8</v>
      </c>
      <c r="K168" s="36">
        <f t="shared" si="14"/>
        <v>-80</v>
      </c>
      <c r="L168" s="36"/>
      <c r="M168" s="38">
        <f t="shared" si="15"/>
        <v>0</v>
      </c>
    </row>
    <row r="169" spans="1:13" x14ac:dyDescent="0.25">
      <c r="A169" s="57"/>
      <c r="G169" s="14"/>
      <c r="H169" s="36">
        <v>164</v>
      </c>
      <c r="I169" s="37" t="str">
        <f t="shared" si="13"/>
        <v/>
      </c>
      <c r="J169" s="36">
        <f t="shared" si="16"/>
        <v>-8</v>
      </c>
      <c r="K169" s="36">
        <f t="shared" si="14"/>
        <v>-80</v>
      </c>
      <c r="L169" s="36"/>
      <c r="M169" s="38">
        <f t="shared" si="15"/>
        <v>0</v>
      </c>
    </row>
    <row r="170" spans="1:13" x14ac:dyDescent="0.25">
      <c r="A170" s="57"/>
      <c r="G170" s="14"/>
      <c r="H170" s="36">
        <v>165</v>
      </c>
      <c r="I170" s="37" t="str">
        <f t="shared" si="13"/>
        <v/>
      </c>
      <c r="J170" s="36">
        <f t="shared" si="16"/>
        <v>-8</v>
      </c>
      <c r="K170" s="36">
        <f t="shared" si="14"/>
        <v>-80</v>
      </c>
      <c r="L170" s="36"/>
      <c r="M170" s="38">
        <f t="shared" si="15"/>
        <v>0</v>
      </c>
    </row>
    <row r="171" spans="1:13" x14ac:dyDescent="0.25">
      <c r="A171" s="57"/>
      <c r="G171" s="14"/>
      <c r="H171" s="36">
        <v>166</v>
      </c>
      <c r="I171" s="37" t="str">
        <f t="shared" si="13"/>
        <v/>
      </c>
      <c r="J171" s="36">
        <f t="shared" si="16"/>
        <v>-8</v>
      </c>
      <c r="K171" s="36">
        <f t="shared" si="14"/>
        <v>-80</v>
      </c>
      <c r="L171" s="36"/>
      <c r="M171" s="38">
        <f t="shared" si="15"/>
        <v>0</v>
      </c>
    </row>
    <row r="172" spans="1:13" x14ac:dyDescent="0.25">
      <c r="A172" s="57"/>
      <c r="G172" s="14"/>
      <c r="H172" s="36">
        <v>167</v>
      </c>
      <c r="I172" s="37" t="str">
        <f t="shared" si="13"/>
        <v/>
      </c>
      <c r="J172" s="36">
        <f t="shared" si="16"/>
        <v>-8</v>
      </c>
      <c r="K172" s="36">
        <f t="shared" si="14"/>
        <v>-80</v>
      </c>
      <c r="L172" s="36"/>
      <c r="M172" s="38">
        <f t="shared" si="15"/>
        <v>0</v>
      </c>
    </row>
    <row r="173" spans="1:13" x14ac:dyDescent="0.25">
      <c r="A173" s="57"/>
      <c r="G173" s="14"/>
      <c r="H173" s="36">
        <v>168</v>
      </c>
      <c r="I173" s="37" t="str">
        <f t="shared" si="13"/>
        <v/>
      </c>
      <c r="J173" s="36">
        <f t="shared" si="16"/>
        <v>-8</v>
      </c>
      <c r="K173" s="36">
        <f t="shared" si="14"/>
        <v>-80</v>
      </c>
      <c r="L173" s="36"/>
      <c r="M173" s="38">
        <f t="shared" si="15"/>
        <v>0</v>
      </c>
    </row>
    <row r="174" spans="1:13" x14ac:dyDescent="0.25">
      <c r="A174" s="57"/>
      <c r="G174" s="14"/>
      <c r="H174" s="36">
        <v>169</v>
      </c>
      <c r="I174" s="37" t="str">
        <f t="shared" si="13"/>
        <v/>
      </c>
      <c r="J174" s="36">
        <f t="shared" si="16"/>
        <v>-8</v>
      </c>
      <c r="K174" s="36">
        <f t="shared" si="14"/>
        <v>-80</v>
      </c>
      <c r="L174" s="36"/>
      <c r="M174" s="38">
        <f t="shared" si="15"/>
        <v>0</v>
      </c>
    </row>
    <row r="175" spans="1:13" x14ac:dyDescent="0.25">
      <c r="A175" s="57"/>
      <c r="G175" s="14"/>
      <c r="H175" s="36">
        <v>170</v>
      </c>
      <c r="I175" s="37" t="str">
        <f t="shared" si="13"/>
        <v/>
      </c>
      <c r="J175" s="36">
        <f t="shared" si="16"/>
        <v>-8</v>
      </c>
      <c r="K175" s="36">
        <f t="shared" si="14"/>
        <v>-80</v>
      </c>
      <c r="L175" s="36"/>
      <c r="M175" s="38">
        <f t="shared" si="15"/>
        <v>0</v>
      </c>
    </row>
    <row r="176" spans="1:13" x14ac:dyDescent="0.25">
      <c r="A176" s="57"/>
      <c r="G176" s="14"/>
      <c r="H176" s="36">
        <v>171</v>
      </c>
      <c r="I176" s="37" t="str">
        <f t="shared" si="13"/>
        <v/>
      </c>
      <c r="J176" s="36">
        <f t="shared" si="16"/>
        <v>-8</v>
      </c>
      <c r="K176" s="36">
        <f t="shared" si="14"/>
        <v>-80</v>
      </c>
      <c r="L176" s="36"/>
      <c r="M176" s="38">
        <f t="shared" si="15"/>
        <v>0</v>
      </c>
    </row>
    <row r="177" spans="1:13" x14ac:dyDescent="0.25">
      <c r="A177" s="57"/>
      <c r="G177" s="14"/>
      <c r="H177" s="36">
        <v>172</v>
      </c>
      <c r="I177" s="37" t="str">
        <f t="shared" si="13"/>
        <v/>
      </c>
      <c r="J177" s="36">
        <f t="shared" si="16"/>
        <v>-8</v>
      </c>
      <c r="K177" s="36">
        <f t="shared" si="14"/>
        <v>-80</v>
      </c>
      <c r="L177" s="36"/>
      <c r="M177" s="38">
        <f t="shared" si="15"/>
        <v>0</v>
      </c>
    </row>
    <row r="178" spans="1:13" x14ac:dyDescent="0.25">
      <c r="A178" s="57"/>
      <c r="G178" s="14"/>
      <c r="H178" s="36">
        <v>173</v>
      </c>
      <c r="I178" s="37" t="str">
        <f t="shared" si="13"/>
        <v/>
      </c>
      <c r="J178" s="36">
        <f t="shared" si="16"/>
        <v>-8</v>
      </c>
      <c r="K178" s="36">
        <f t="shared" si="14"/>
        <v>-80</v>
      </c>
      <c r="L178" s="36"/>
      <c r="M178" s="38">
        <f t="shared" si="15"/>
        <v>0</v>
      </c>
    </row>
    <row r="179" spans="1:13" x14ac:dyDescent="0.25">
      <c r="A179" s="57"/>
      <c r="G179" s="14"/>
      <c r="H179" s="36">
        <v>174</v>
      </c>
      <c r="I179" s="37" t="str">
        <f t="shared" si="13"/>
        <v/>
      </c>
      <c r="J179" s="36">
        <f t="shared" si="16"/>
        <v>-8</v>
      </c>
      <c r="K179" s="36">
        <f t="shared" si="14"/>
        <v>-80</v>
      </c>
      <c r="L179" s="36"/>
      <c r="M179" s="38">
        <f t="shared" si="15"/>
        <v>0</v>
      </c>
    </row>
    <row r="180" spans="1:13" x14ac:dyDescent="0.25">
      <c r="A180" s="57"/>
      <c r="G180" s="14"/>
      <c r="H180" s="36">
        <v>175</v>
      </c>
      <c r="I180" s="37" t="str">
        <f t="shared" si="13"/>
        <v/>
      </c>
      <c r="J180" s="36">
        <f t="shared" si="16"/>
        <v>-8</v>
      </c>
      <c r="K180" s="36">
        <f t="shared" si="14"/>
        <v>-80</v>
      </c>
      <c r="L180" s="36"/>
      <c r="M180" s="38">
        <f t="shared" si="15"/>
        <v>0</v>
      </c>
    </row>
    <row r="181" spans="1:13" x14ac:dyDescent="0.25">
      <c r="A181" s="57"/>
      <c r="G181" s="14"/>
      <c r="H181" s="36">
        <v>176</v>
      </c>
      <c r="I181" s="37" t="str">
        <f t="shared" si="13"/>
        <v/>
      </c>
      <c r="J181" s="36">
        <f t="shared" si="16"/>
        <v>-8</v>
      </c>
      <c r="K181" s="36">
        <f t="shared" si="14"/>
        <v>-80</v>
      </c>
      <c r="L181" s="36"/>
      <c r="M181" s="38">
        <f t="shared" si="15"/>
        <v>0</v>
      </c>
    </row>
    <row r="182" spans="1:13" x14ac:dyDescent="0.25">
      <c r="A182" s="57"/>
      <c r="G182" s="14"/>
      <c r="H182" s="36">
        <v>177</v>
      </c>
      <c r="I182" s="37" t="str">
        <f t="shared" si="13"/>
        <v/>
      </c>
      <c r="J182" s="36">
        <f t="shared" si="16"/>
        <v>-8</v>
      </c>
      <c r="K182" s="36">
        <f t="shared" si="14"/>
        <v>-80</v>
      </c>
      <c r="L182" s="36"/>
      <c r="M182" s="38">
        <f t="shared" si="15"/>
        <v>0</v>
      </c>
    </row>
    <row r="183" spans="1:13" x14ac:dyDescent="0.25">
      <c r="A183" s="57"/>
      <c r="G183" s="14"/>
      <c r="H183" s="36">
        <v>178</v>
      </c>
      <c r="I183" s="37" t="str">
        <f t="shared" si="13"/>
        <v/>
      </c>
      <c r="J183" s="36">
        <f t="shared" si="16"/>
        <v>-8</v>
      </c>
      <c r="K183" s="36">
        <f t="shared" si="14"/>
        <v>-80</v>
      </c>
      <c r="L183" s="36"/>
      <c r="M183" s="38">
        <f t="shared" si="15"/>
        <v>0</v>
      </c>
    </row>
    <row r="184" spans="1:13" x14ac:dyDescent="0.25">
      <c r="A184" s="57"/>
      <c r="G184" s="14"/>
      <c r="H184" s="36">
        <v>179</v>
      </c>
      <c r="I184" s="37" t="str">
        <f t="shared" si="13"/>
        <v/>
      </c>
      <c r="J184" s="36">
        <f t="shared" si="16"/>
        <v>-8</v>
      </c>
      <c r="K184" s="36">
        <f t="shared" si="14"/>
        <v>-80</v>
      </c>
      <c r="L184" s="36"/>
      <c r="M184" s="38">
        <f t="shared" si="15"/>
        <v>0</v>
      </c>
    </row>
    <row r="185" spans="1:13" x14ac:dyDescent="0.25">
      <c r="A185" s="57"/>
      <c r="G185" s="14"/>
      <c r="H185" s="36">
        <v>180</v>
      </c>
      <c r="I185" s="37" t="str">
        <f t="shared" si="13"/>
        <v/>
      </c>
      <c r="J185" s="36">
        <f t="shared" si="16"/>
        <v>-8</v>
      </c>
      <c r="K185" s="36">
        <f t="shared" si="14"/>
        <v>-80</v>
      </c>
      <c r="L185" s="36"/>
      <c r="M185" s="38">
        <f t="shared" si="15"/>
        <v>0</v>
      </c>
    </row>
    <row r="186" spans="1:13" x14ac:dyDescent="0.25">
      <c r="A186" s="57"/>
      <c r="G186" s="14"/>
      <c r="H186" s="36">
        <v>181</v>
      </c>
      <c r="I186" s="37" t="str">
        <f t="shared" si="13"/>
        <v/>
      </c>
      <c r="J186" s="36">
        <f t="shared" si="16"/>
        <v>-8</v>
      </c>
      <c r="K186" s="36">
        <f t="shared" si="14"/>
        <v>-80</v>
      </c>
      <c r="L186" s="36"/>
      <c r="M186" s="38">
        <f t="shared" si="15"/>
        <v>0</v>
      </c>
    </row>
    <row r="187" spans="1:13" x14ac:dyDescent="0.25">
      <c r="A187" s="57"/>
      <c r="G187" s="14"/>
      <c r="H187" s="36">
        <v>182</v>
      </c>
      <c r="I187" s="37" t="str">
        <f t="shared" si="13"/>
        <v/>
      </c>
      <c r="J187" s="36">
        <f t="shared" si="16"/>
        <v>-8</v>
      </c>
      <c r="K187" s="36">
        <f t="shared" si="14"/>
        <v>-80</v>
      </c>
      <c r="L187" s="36"/>
      <c r="M187" s="38">
        <f t="shared" si="15"/>
        <v>0</v>
      </c>
    </row>
    <row r="188" spans="1:13" x14ac:dyDescent="0.25">
      <c r="A188" s="57"/>
      <c r="G188" s="14"/>
      <c r="H188" s="36">
        <v>183</v>
      </c>
      <c r="I188" s="37" t="str">
        <f t="shared" si="13"/>
        <v/>
      </c>
      <c r="J188" s="36">
        <f t="shared" si="16"/>
        <v>-8</v>
      </c>
      <c r="K188" s="36">
        <f t="shared" si="14"/>
        <v>-80</v>
      </c>
      <c r="L188" s="36"/>
      <c r="M188" s="38">
        <f t="shared" si="15"/>
        <v>0</v>
      </c>
    </row>
    <row r="189" spans="1:13" x14ac:dyDescent="0.25">
      <c r="A189" s="57"/>
      <c r="G189" s="14"/>
      <c r="H189" s="36">
        <v>184</v>
      </c>
      <c r="I189" s="37" t="str">
        <f t="shared" si="13"/>
        <v/>
      </c>
      <c r="J189" s="36">
        <f t="shared" si="16"/>
        <v>-8</v>
      </c>
      <c r="K189" s="36">
        <f t="shared" si="14"/>
        <v>-80</v>
      </c>
      <c r="L189" s="36"/>
      <c r="M189" s="38">
        <f t="shared" si="15"/>
        <v>0</v>
      </c>
    </row>
    <row r="190" spans="1:13" x14ac:dyDescent="0.25">
      <c r="A190" s="57"/>
      <c r="G190" s="14"/>
      <c r="H190" s="36">
        <v>185</v>
      </c>
      <c r="I190" s="37" t="str">
        <f t="shared" si="13"/>
        <v/>
      </c>
      <c r="J190" s="36">
        <f t="shared" si="16"/>
        <v>-8</v>
      </c>
      <c r="K190" s="36">
        <f t="shared" si="14"/>
        <v>-80</v>
      </c>
      <c r="L190" s="36"/>
      <c r="M190" s="38">
        <f t="shared" si="15"/>
        <v>0</v>
      </c>
    </row>
    <row r="191" spans="1:13" x14ac:dyDescent="0.25">
      <c r="A191" s="57"/>
      <c r="G191" s="14"/>
      <c r="H191" s="36">
        <v>186</v>
      </c>
      <c r="I191" s="37" t="str">
        <f t="shared" si="13"/>
        <v/>
      </c>
      <c r="J191" s="36">
        <f t="shared" si="16"/>
        <v>-8</v>
      </c>
      <c r="K191" s="36">
        <f t="shared" si="14"/>
        <v>-80</v>
      </c>
      <c r="L191" s="36"/>
      <c r="M191" s="38">
        <f t="shared" si="15"/>
        <v>0</v>
      </c>
    </row>
    <row r="192" spans="1:13" x14ac:dyDescent="0.25">
      <c r="A192" s="57"/>
      <c r="G192" s="14"/>
      <c r="H192" s="36">
        <v>187</v>
      </c>
      <c r="I192" s="37" t="str">
        <f t="shared" si="13"/>
        <v/>
      </c>
      <c r="J192" s="36">
        <f t="shared" si="16"/>
        <v>-8</v>
      </c>
      <c r="K192" s="36">
        <f t="shared" si="14"/>
        <v>-80</v>
      </c>
      <c r="L192" s="36"/>
      <c r="M192" s="38">
        <f t="shared" si="15"/>
        <v>0</v>
      </c>
    </row>
    <row r="193" spans="1:13" x14ac:dyDescent="0.25">
      <c r="A193" s="57"/>
      <c r="G193" s="14"/>
      <c r="H193" s="36">
        <v>188</v>
      </c>
      <c r="I193" s="37" t="str">
        <f t="shared" si="13"/>
        <v/>
      </c>
      <c r="J193" s="36">
        <f t="shared" si="16"/>
        <v>-8</v>
      </c>
      <c r="K193" s="36">
        <f t="shared" si="14"/>
        <v>-80</v>
      </c>
      <c r="L193" s="36"/>
      <c r="M193" s="38">
        <f t="shared" si="15"/>
        <v>0</v>
      </c>
    </row>
    <row r="194" spans="1:13" x14ac:dyDescent="0.25">
      <c r="A194" s="57"/>
      <c r="G194" s="14"/>
      <c r="H194" s="36">
        <v>189</v>
      </c>
      <c r="I194" s="37" t="str">
        <f t="shared" si="13"/>
        <v/>
      </c>
      <c r="J194" s="36">
        <f t="shared" si="16"/>
        <v>-8</v>
      </c>
      <c r="K194" s="36">
        <f t="shared" si="14"/>
        <v>-80</v>
      </c>
      <c r="L194" s="36"/>
      <c r="M194" s="38">
        <f t="shared" si="15"/>
        <v>0</v>
      </c>
    </row>
    <row r="195" spans="1:13" x14ac:dyDescent="0.25">
      <c r="A195" s="57"/>
      <c r="G195" s="14"/>
      <c r="H195" s="36">
        <v>190</v>
      </c>
      <c r="I195" s="37" t="str">
        <f t="shared" si="13"/>
        <v/>
      </c>
      <c r="J195" s="36">
        <f t="shared" si="16"/>
        <v>-8</v>
      </c>
      <c r="K195" s="36">
        <f t="shared" si="14"/>
        <v>-80</v>
      </c>
      <c r="L195" s="36"/>
      <c r="M195" s="38">
        <f t="shared" si="15"/>
        <v>0</v>
      </c>
    </row>
    <row r="196" spans="1:13" x14ac:dyDescent="0.25">
      <c r="A196" s="57"/>
      <c r="G196" s="14"/>
      <c r="H196" s="36">
        <v>191</v>
      </c>
      <c r="I196" s="37" t="str">
        <f t="shared" si="13"/>
        <v/>
      </c>
      <c r="J196" s="36">
        <f t="shared" si="16"/>
        <v>-8</v>
      </c>
      <c r="K196" s="36">
        <f t="shared" si="14"/>
        <v>-80</v>
      </c>
      <c r="L196" s="36"/>
      <c r="M196" s="38">
        <f t="shared" si="15"/>
        <v>0</v>
      </c>
    </row>
    <row r="197" spans="1:13" x14ac:dyDescent="0.25">
      <c r="A197" s="57"/>
      <c r="G197" s="14"/>
      <c r="H197" s="36">
        <v>192</v>
      </c>
      <c r="I197" s="37" t="str">
        <f t="shared" si="13"/>
        <v/>
      </c>
      <c r="J197" s="36">
        <f t="shared" si="16"/>
        <v>-8</v>
      </c>
      <c r="K197" s="36">
        <f t="shared" si="14"/>
        <v>-80</v>
      </c>
      <c r="L197" s="36"/>
      <c r="M197" s="38">
        <f t="shared" si="15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7">IF(H198&lt;$H$2+1,($I$2-($I$2-1)*(LOG(H198)/LOG($H$2))),"")</f>
        <v/>
      </c>
      <c r="J198" s="36">
        <f t="shared" si="16"/>
        <v>-8</v>
      </c>
      <c r="K198" s="36">
        <f t="shared" ref="K198:K261" si="18">J198*$J$2</f>
        <v>-80</v>
      </c>
      <c r="L198" s="36"/>
      <c r="M198" s="38">
        <f t="shared" ref="M198:M261" si="19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7"/>
        <v/>
      </c>
      <c r="J199" s="36">
        <f t="shared" ref="J199:J262" si="20">INT(LOG($H$2,2))-ROUNDUP(LOG(H199,2),0)+IF(OR($H$2=1,$H$2=2,$H$2=4,$H$2=8,$H$2=16,$H$2=32,$H$2=64,$H$2=128,$H$2=256),0,1)</f>
        <v>-8</v>
      </c>
      <c r="K199" s="36">
        <f t="shared" si="18"/>
        <v>-80</v>
      </c>
      <c r="L199" s="36"/>
      <c r="M199" s="38">
        <f t="shared" si="19"/>
        <v>0</v>
      </c>
    </row>
    <row r="200" spans="1:13" x14ac:dyDescent="0.25">
      <c r="A200" s="57"/>
      <c r="G200" s="14"/>
      <c r="H200" s="36">
        <v>195</v>
      </c>
      <c r="I200" s="37" t="str">
        <f t="shared" si="17"/>
        <v/>
      </c>
      <c r="J200" s="36">
        <f t="shared" si="20"/>
        <v>-8</v>
      </c>
      <c r="K200" s="36">
        <f t="shared" si="18"/>
        <v>-80</v>
      </c>
      <c r="L200" s="36"/>
      <c r="M200" s="38">
        <f t="shared" si="19"/>
        <v>0</v>
      </c>
    </row>
    <row r="201" spans="1:13" x14ac:dyDescent="0.25">
      <c r="A201" s="57"/>
      <c r="G201" s="14"/>
      <c r="H201" s="36">
        <v>196</v>
      </c>
      <c r="I201" s="37" t="str">
        <f t="shared" si="17"/>
        <v/>
      </c>
      <c r="J201" s="36">
        <f t="shared" si="20"/>
        <v>-8</v>
      </c>
      <c r="K201" s="36">
        <f t="shared" si="18"/>
        <v>-80</v>
      </c>
      <c r="L201" s="36"/>
      <c r="M201" s="38">
        <f t="shared" si="19"/>
        <v>0</v>
      </c>
    </row>
    <row r="202" spans="1:13" x14ac:dyDescent="0.25">
      <c r="A202" s="57"/>
      <c r="G202" s="14"/>
      <c r="H202" s="36">
        <v>197</v>
      </c>
      <c r="I202" s="37" t="str">
        <f t="shared" si="17"/>
        <v/>
      </c>
      <c r="J202" s="36">
        <f t="shared" si="20"/>
        <v>-8</v>
      </c>
      <c r="K202" s="36">
        <f t="shared" si="18"/>
        <v>-80</v>
      </c>
      <c r="L202" s="36"/>
      <c r="M202" s="38">
        <f t="shared" si="19"/>
        <v>0</v>
      </c>
    </row>
    <row r="203" spans="1:13" x14ac:dyDescent="0.25">
      <c r="A203" s="57"/>
      <c r="G203" s="14"/>
      <c r="H203" s="36">
        <v>198</v>
      </c>
      <c r="I203" s="37" t="str">
        <f t="shared" si="17"/>
        <v/>
      </c>
      <c r="J203" s="36">
        <f t="shared" si="20"/>
        <v>-8</v>
      </c>
      <c r="K203" s="36">
        <f t="shared" si="18"/>
        <v>-80</v>
      </c>
      <c r="L203" s="36"/>
      <c r="M203" s="38">
        <f t="shared" si="19"/>
        <v>0</v>
      </c>
    </row>
    <row r="204" spans="1:13" x14ac:dyDescent="0.25">
      <c r="A204" s="57"/>
      <c r="G204" s="14"/>
      <c r="H204" s="36">
        <v>199</v>
      </c>
      <c r="I204" s="37" t="str">
        <f t="shared" si="17"/>
        <v/>
      </c>
      <c r="J204" s="36">
        <f t="shared" si="20"/>
        <v>-8</v>
      </c>
      <c r="K204" s="36">
        <f t="shared" si="18"/>
        <v>-80</v>
      </c>
      <c r="L204" s="36"/>
      <c r="M204" s="38">
        <f t="shared" si="19"/>
        <v>0</v>
      </c>
    </row>
    <row r="205" spans="1:13" x14ac:dyDescent="0.25">
      <c r="A205" s="57"/>
      <c r="G205" s="14"/>
      <c r="H205" s="36">
        <v>200</v>
      </c>
      <c r="I205" s="37" t="str">
        <f t="shared" si="17"/>
        <v/>
      </c>
      <c r="J205" s="36">
        <f t="shared" si="20"/>
        <v>-8</v>
      </c>
      <c r="K205" s="36">
        <f t="shared" si="18"/>
        <v>-80</v>
      </c>
      <c r="L205" s="36"/>
      <c r="M205" s="38">
        <f t="shared" si="19"/>
        <v>0</v>
      </c>
    </row>
    <row r="206" spans="1:13" x14ac:dyDescent="0.25">
      <c r="A206" s="57"/>
      <c r="G206" s="14"/>
      <c r="H206" s="36">
        <v>201</v>
      </c>
      <c r="I206" s="37" t="str">
        <f t="shared" si="17"/>
        <v/>
      </c>
      <c r="J206" s="36">
        <f t="shared" si="20"/>
        <v>-8</v>
      </c>
      <c r="K206" s="36">
        <f t="shared" si="18"/>
        <v>-80</v>
      </c>
      <c r="L206" s="36"/>
      <c r="M206" s="38">
        <f t="shared" si="19"/>
        <v>0</v>
      </c>
    </row>
    <row r="207" spans="1:13" x14ac:dyDescent="0.25">
      <c r="A207" s="57"/>
      <c r="G207" s="14"/>
      <c r="H207" s="36">
        <v>202</v>
      </c>
      <c r="I207" s="37" t="str">
        <f t="shared" si="17"/>
        <v/>
      </c>
      <c r="J207" s="36">
        <f t="shared" si="20"/>
        <v>-8</v>
      </c>
      <c r="K207" s="36">
        <f t="shared" si="18"/>
        <v>-80</v>
      </c>
      <c r="L207" s="36"/>
      <c r="M207" s="38">
        <f t="shared" si="19"/>
        <v>0</v>
      </c>
    </row>
    <row r="208" spans="1:13" x14ac:dyDescent="0.25">
      <c r="A208" s="57"/>
      <c r="G208" s="14"/>
      <c r="H208" s="36">
        <v>203</v>
      </c>
      <c r="I208" s="37" t="str">
        <f t="shared" si="17"/>
        <v/>
      </c>
      <c r="J208" s="36">
        <f t="shared" si="20"/>
        <v>-8</v>
      </c>
      <c r="K208" s="36">
        <f t="shared" si="18"/>
        <v>-80</v>
      </c>
      <c r="L208" s="36"/>
      <c r="M208" s="38">
        <f t="shared" si="19"/>
        <v>0</v>
      </c>
    </row>
    <row r="209" spans="1:13" x14ac:dyDescent="0.25">
      <c r="A209" s="57"/>
      <c r="G209" s="14"/>
      <c r="H209" s="36">
        <v>204</v>
      </c>
      <c r="I209" s="37" t="str">
        <f t="shared" si="17"/>
        <v/>
      </c>
      <c r="J209" s="36">
        <f t="shared" si="20"/>
        <v>-8</v>
      </c>
      <c r="K209" s="36">
        <f t="shared" si="18"/>
        <v>-80</v>
      </c>
      <c r="L209" s="36"/>
      <c r="M209" s="38">
        <f t="shared" si="19"/>
        <v>0</v>
      </c>
    </row>
    <row r="210" spans="1:13" x14ac:dyDescent="0.25">
      <c r="A210" s="57"/>
      <c r="G210" s="14"/>
      <c r="H210" s="36">
        <v>205</v>
      </c>
      <c r="I210" s="37" t="str">
        <f t="shared" si="17"/>
        <v/>
      </c>
      <c r="J210" s="36">
        <f t="shared" si="20"/>
        <v>-8</v>
      </c>
      <c r="K210" s="36">
        <f t="shared" si="18"/>
        <v>-80</v>
      </c>
      <c r="L210" s="36"/>
      <c r="M210" s="38">
        <f t="shared" si="19"/>
        <v>0</v>
      </c>
    </row>
    <row r="211" spans="1:13" x14ac:dyDescent="0.25">
      <c r="A211" s="57"/>
      <c r="G211" s="14"/>
      <c r="H211" s="36">
        <v>206</v>
      </c>
      <c r="I211" s="37" t="str">
        <f t="shared" si="17"/>
        <v/>
      </c>
      <c r="J211" s="36">
        <f t="shared" si="20"/>
        <v>-8</v>
      </c>
      <c r="K211" s="36">
        <f t="shared" si="18"/>
        <v>-80</v>
      </c>
      <c r="L211" s="36"/>
      <c r="M211" s="38">
        <f t="shared" si="19"/>
        <v>0</v>
      </c>
    </row>
    <row r="212" spans="1:13" x14ac:dyDescent="0.25">
      <c r="A212" s="57"/>
      <c r="G212" s="14"/>
      <c r="H212" s="36">
        <v>207</v>
      </c>
      <c r="I212" s="37" t="str">
        <f t="shared" si="17"/>
        <v/>
      </c>
      <c r="J212" s="36">
        <f t="shared" si="20"/>
        <v>-8</v>
      </c>
      <c r="K212" s="36">
        <f t="shared" si="18"/>
        <v>-80</v>
      </c>
      <c r="L212" s="36"/>
      <c r="M212" s="38">
        <f t="shared" si="19"/>
        <v>0</v>
      </c>
    </row>
    <row r="213" spans="1:13" x14ac:dyDescent="0.25">
      <c r="A213" s="57"/>
      <c r="G213" s="14"/>
      <c r="H213" s="36">
        <v>208</v>
      </c>
      <c r="I213" s="37" t="str">
        <f t="shared" si="17"/>
        <v/>
      </c>
      <c r="J213" s="36">
        <f t="shared" si="20"/>
        <v>-8</v>
      </c>
      <c r="K213" s="36">
        <f t="shared" si="18"/>
        <v>-80</v>
      </c>
      <c r="L213" s="36"/>
      <c r="M213" s="38">
        <f t="shared" si="19"/>
        <v>0</v>
      </c>
    </row>
    <row r="214" spans="1:13" x14ac:dyDescent="0.25">
      <c r="A214" s="57"/>
      <c r="G214" s="14"/>
      <c r="H214" s="36">
        <v>209</v>
      </c>
      <c r="I214" s="37" t="str">
        <f t="shared" si="17"/>
        <v/>
      </c>
      <c r="J214" s="36">
        <f t="shared" si="20"/>
        <v>-8</v>
      </c>
      <c r="K214" s="36">
        <f t="shared" si="18"/>
        <v>-80</v>
      </c>
      <c r="L214" s="36"/>
      <c r="M214" s="38">
        <f t="shared" si="19"/>
        <v>0</v>
      </c>
    </row>
    <row r="215" spans="1:13" x14ac:dyDescent="0.25">
      <c r="A215" s="57"/>
      <c r="G215" s="14"/>
      <c r="H215" s="36">
        <v>210</v>
      </c>
      <c r="I215" s="37" t="str">
        <f t="shared" si="17"/>
        <v/>
      </c>
      <c r="J215" s="36">
        <f t="shared" si="20"/>
        <v>-8</v>
      </c>
      <c r="K215" s="36">
        <f t="shared" si="18"/>
        <v>-80</v>
      </c>
      <c r="L215" s="36"/>
      <c r="M215" s="38">
        <f t="shared" si="19"/>
        <v>0</v>
      </c>
    </row>
    <row r="216" spans="1:13" x14ac:dyDescent="0.25">
      <c r="A216" s="57"/>
      <c r="G216" s="14"/>
      <c r="H216" s="36">
        <v>211</v>
      </c>
      <c r="I216" s="37" t="str">
        <f t="shared" si="17"/>
        <v/>
      </c>
      <c r="J216" s="36">
        <f t="shared" si="20"/>
        <v>-8</v>
      </c>
      <c r="K216" s="36">
        <f t="shared" si="18"/>
        <v>-80</v>
      </c>
      <c r="L216" s="36"/>
      <c r="M216" s="38">
        <f t="shared" si="19"/>
        <v>0</v>
      </c>
    </row>
    <row r="217" spans="1:13" x14ac:dyDescent="0.25">
      <c r="A217" s="57"/>
      <c r="G217" s="14"/>
      <c r="H217" s="36">
        <v>212</v>
      </c>
      <c r="I217" s="37" t="str">
        <f t="shared" si="17"/>
        <v/>
      </c>
      <c r="J217" s="36">
        <f t="shared" si="20"/>
        <v>-8</v>
      </c>
      <c r="K217" s="36">
        <f t="shared" si="18"/>
        <v>-80</v>
      </c>
      <c r="L217" s="36"/>
      <c r="M217" s="38">
        <f t="shared" si="19"/>
        <v>0</v>
      </c>
    </row>
    <row r="218" spans="1:13" x14ac:dyDescent="0.25">
      <c r="A218" s="57"/>
      <c r="G218" s="14"/>
      <c r="H218" s="36">
        <v>213</v>
      </c>
      <c r="I218" s="37" t="str">
        <f t="shared" si="17"/>
        <v/>
      </c>
      <c r="J218" s="36">
        <f t="shared" si="20"/>
        <v>-8</v>
      </c>
      <c r="K218" s="36">
        <f t="shared" si="18"/>
        <v>-80</v>
      </c>
      <c r="L218" s="36"/>
      <c r="M218" s="38">
        <f t="shared" si="19"/>
        <v>0</v>
      </c>
    </row>
    <row r="219" spans="1:13" x14ac:dyDescent="0.25">
      <c r="A219" s="57"/>
      <c r="G219" s="14"/>
      <c r="H219" s="36">
        <v>214</v>
      </c>
      <c r="I219" s="37" t="str">
        <f t="shared" si="17"/>
        <v/>
      </c>
      <c r="J219" s="36">
        <f t="shared" si="20"/>
        <v>-8</v>
      </c>
      <c r="K219" s="36">
        <f t="shared" si="18"/>
        <v>-80</v>
      </c>
      <c r="L219" s="36"/>
      <c r="M219" s="38">
        <f t="shared" si="19"/>
        <v>0</v>
      </c>
    </row>
    <row r="220" spans="1:13" x14ac:dyDescent="0.25">
      <c r="A220" s="57"/>
      <c r="G220" s="14"/>
      <c r="H220" s="36">
        <v>215</v>
      </c>
      <c r="I220" s="37" t="str">
        <f t="shared" si="17"/>
        <v/>
      </c>
      <c r="J220" s="36">
        <f t="shared" si="20"/>
        <v>-8</v>
      </c>
      <c r="K220" s="36">
        <f t="shared" si="18"/>
        <v>-80</v>
      </c>
      <c r="L220" s="36"/>
      <c r="M220" s="38">
        <f t="shared" si="19"/>
        <v>0</v>
      </c>
    </row>
    <row r="221" spans="1:13" x14ac:dyDescent="0.25">
      <c r="A221" s="57"/>
      <c r="G221" s="14"/>
      <c r="H221" s="36">
        <v>216</v>
      </c>
      <c r="I221" s="37" t="str">
        <f t="shared" si="17"/>
        <v/>
      </c>
      <c r="J221" s="36">
        <f t="shared" si="20"/>
        <v>-8</v>
      </c>
      <c r="K221" s="36">
        <f t="shared" si="18"/>
        <v>-80</v>
      </c>
      <c r="L221" s="36"/>
      <c r="M221" s="38">
        <f t="shared" si="19"/>
        <v>0</v>
      </c>
    </row>
    <row r="222" spans="1:13" x14ac:dyDescent="0.25">
      <c r="A222" s="57"/>
      <c r="G222" s="14"/>
      <c r="H222" s="36">
        <v>217</v>
      </c>
      <c r="I222" s="37" t="str">
        <f t="shared" si="17"/>
        <v/>
      </c>
      <c r="J222" s="36">
        <f t="shared" si="20"/>
        <v>-8</v>
      </c>
      <c r="K222" s="36">
        <f t="shared" si="18"/>
        <v>-80</v>
      </c>
      <c r="L222" s="36"/>
      <c r="M222" s="38">
        <f t="shared" si="19"/>
        <v>0</v>
      </c>
    </row>
    <row r="223" spans="1:13" x14ac:dyDescent="0.25">
      <c r="A223" s="57"/>
      <c r="G223" s="14"/>
      <c r="H223" s="36">
        <v>218</v>
      </c>
      <c r="I223" s="37" t="str">
        <f t="shared" si="17"/>
        <v/>
      </c>
      <c r="J223" s="36">
        <f t="shared" si="20"/>
        <v>-8</v>
      </c>
      <c r="K223" s="36">
        <f t="shared" si="18"/>
        <v>-80</v>
      </c>
      <c r="L223" s="36"/>
      <c r="M223" s="38">
        <f t="shared" si="19"/>
        <v>0</v>
      </c>
    </row>
    <row r="224" spans="1:13" x14ac:dyDescent="0.25">
      <c r="A224" s="57"/>
      <c r="G224" s="14"/>
      <c r="H224" s="36">
        <v>219</v>
      </c>
      <c r="I224" s="37" t="str">
        <f t="shared" si="17"/>
        <v/>
      </c>
      <c r="J224" s="36">
        <f t="shared" si="20"/>
        <v>-8</v>
      </c>
      <c r="K224" s="36">
        <f t="shared" si="18"/>
        <v>-80</v>
      </c>
      <c r="L224" s="36"/>
      <c r="M224" s="38">
        <f t="shared" si="19"/>
        <v>0</v>
      </c>
    </row>
    <row r="225" spans="1:13" x14ac:dyDescent="0.25">
      <c r="A225" s="57"/>
      <c r="G225" s="14"/>
      <c r="H225" s="36">
        <v>220</v>
      </c>
      <c r="I225" s="37" t="str">
        <f t="shared" si="17"/>
        <v/>
      </c>
      <c r="J225" s="36">
        <f t="shared" si="20"/>
        <v>-8</v>
      </c>
      <c r="K225" s="36">
        <f t="shared" si="18"/>
        <v>-80</v>
      </c>
      <c r="L225" s="36"/>
      <c r="M225" s="38">
        <f t="shared" si="19"/>
        <v>0</v>
      </c>
    </row>
    <row r="226" spans="1:13" x14ac:dyDescent="0.25">
      <c r="A226" s="57"/>
      <c r="G226" s="14"/>
      <c r="H226" s="36">
        <v>221</v>
      </c>
      <c r="I226" s="37" t="str">
        <f t="shared" si="17"/>
        <v/>
      </c>
      <c r="J226" s="36">
        <f t="shared" si="20"/>
        <v>-8</v>
      </c>
      <c r="K226" s="36">
        <f t="shared" si="18"/>
        <v>-80</v>
      </c>
      <c r="L226" s="36"/>
      <c r="M226" s="38">
        <f t="shared" si="19"/>
        <v>0</v>
      </c>
    </row>
    <row r="227" spans="1:13" x14ac:dyDescent="0.25">
      <c r="A227" s="57"/>
      <c r="G227" s="14"/>
      <c r="H227" s="36">
        <v>222</v>
      </c>
      <c r="I227" s="37" t="str">
        <f t="shared" si="17"/>
        <v/>
      </c>
      <c r="J227" s="36">
        <f t="shared" si="20"/>
        <v>-8</v>
      </c>
      <c r="K227" s="36">
        <f t="shared" si="18"/>
        <v>-80</v>
      </c>
      <c r="L227" s="36"/>
      <c r="M227" s="38">
        <f t="shared" si="19"/>
        <v>0</v>
      </c>
    </row>
    <row r="228" spans="1:13" x14ac:dyDescent="0.25">
      <c r="A228" s="57"/>
      <c r="G228" s="14"/>
      <c r="H228" s="36">
        <v>223</v>
      </c>
      <c r="I228" s="37" t="str">
        <f t="shared" si="17"/>
        <v/>
      </c>
      <c r="J228" s="36">
        <f t="shared" si="20"/>
        <v>-8</v>
      </c>
      <c r="K228" s="36">
        <f t="shared" si="18"/>
        <v>-80</v>
      </c>
      <c r="L228" s="36"/>
      <c r="M228" s="38">
        <f t="shared" si="19"/>
        <v>0</v>
      </c>
    </row>
    <row r="229" spans="1:13" x14ac:dyDescent="0.25">
      <c r="A229" s="57"/>
      <c r="G229" s="14"/>
      <c r="H229" s="36">
        <v>224</v>
      </c>
      <c r="I229" s="37" t="str">
        <f t="shared" si="17"/>
        <v/>
      </c>
      <c r="J229" s="36">
        <f t="shared" si="20"/>
        <v>-8</v>
      </c>
      <c r="K229" s="36">
        <f t="shared" si="18"/>
        <v>-80</v>
      </c>
      <c r="L229" s="36"/>
      <c r="M229" s="38">
        <f t="shared" si="19"/>
        <v>0</v>
      </c>
    </row>
    <row r="230" spans="1:13" x14ac:dyDescent="0.25">
      <c r="A230" s="57"/>
      <c r="G230" s="14"/>
      <c r="H230" s="36">
        <v>225</v>
      </c>
      <c r="I230" s="37" t="str">
        <f t="shared" si="17"/>
        <v/>
      </c>
      <c r="J230" s="36">
        <f t="shared" si="20"/>
        <v>-8</v>
      </c>
      <c r="K230" s="36">
        <f t="shared" si="18"/>
        <v>-80</v>
      </c>
      <c r="L230" s="36"/>
      <c r="M230" s="38">
        <f t="shared" si="19"/>
        <v>0</v>
      </c>
    </row>
    <row r="231" spans="1:13" x14ac:dyDescent="0.25">
      <c r="A231" s="57"/>
      <c r="G231" s="14"/>
      <c r="H231" s="36">
        <v>226</v>
      </c>
      <c r="I231" s="37" t="str">
        <f t="shared" si="17"/>
        <v/>
      </c>
      <c r="J231" s="36">
        <f t="shared" si="20"/>
        <v>-8</v>
      </c>
      <c r="K231" s="36">
        <f t="shared" si="18"/>
        <v>-80</v>
      </c>
      <c r="L231" s="36"/>
      <c r="M231" s="38">
        <f t="shared" si="19"/>
        <v>0</v>
      </c>
    </row>
    <row r="232" spans="1:13" x14ac:dyDescent="0.25">
      <c r="A232" s="57"/>
      <c r="G232" s="14"/>
      <c r="H232" s="36">
        <v>227</v>
      </c>
      <c r="I232" s="37" t="str">
        <f t="shared" si="17"/>
        <v/>
      </c>
      <c r="J232" s="36">
        <f t="shared" si="20"/>
        <v>-8</v>
      </c>
      <c r="K232" s="36">
        <f t="shared" si="18"/>
        <v>-80</v>
      </c>
      <c r="L232" s="36"/>
      <c r="M232" s="38">
        <f t="shared" si="19"/>
        <v>0</v>
      </c>
    </row>
    <row r="233" spans="1:13" x14ac:dyDescent="0.25">
      <c r="A233" s="57"/>
      <c r="G233" s="14"/>
      <c r="H233" s="36">
        <v>228</v>
      </c>
      <c r="I233" s="37" t="str">
        <f t="shared" si="17"/>
        <v/>
      </c>
      <c r="J233" s="36">
        <f t="shared" si="20"/>
        <v>-8</v>
      </c>
      <c r="K233" s="36">
        <f t="shared" si="18"/>
        <v>-80</v>
      </c>
      <c r="L233" s="36"/>
      <c r="M233" s="38">
        <f t="shared" si="19"/>
        <v>0</v>
      </c>
    </row>
    <row r="234" spans="1:13" x14ac:dyDescent="0.25">
      <c r="A234" s="57"/>
      <c r="G234" s="14"/>
      <c r="H234" s="36">
        <v>229</v>
      </c>
      <c r="I234" s="37" t="str">
        <f t="shared" si="17"/>
        <v/>
      </c>
      <c r="J234" s="36">
        <f t="shared" si="20"/>
        <v>-8</v>
      </c>
      <c r="K234" s="36">
        <f t="shared" si="18"/>
        <v>-80</v>
      </c>
      <c r="L234" s="36"/>
      <c r="M234" s="38">
        <f t="shared" si="19"/>
        <v>0</v>
      </c>
    </row>
    <row r="235" spans="1:13" x14ac:dyDescent="0.25">
      <c r="A235" s="57"/>
      <c r="G235" s="14"/>
      <c r="H235" s="36">
        <v>230</v>
      </c>
      <c r="I235" s="37" t="str">
        <f t="shared" si="17"/>
        <v/>
      </c>
      <c r="J235" s="36">
        <f t="shared" si="20"/>
        <v>-8</v>
      </c>
      <c r="K235" s="36">
        <f t="shared" si="18"/>
        <v>-80</v>
      </c>
      <c r="L235" s="36"/>
      <c r="M235" s="38">
        <f t="shared" si="19"/>
        <v>0</v>
      </c>
    </row>
    <row r="236" spans="1:13" x14ac:dyDescent="0.25">
      <c r="A236" s="57"/>
      <c r="G236" s="14"/>
      <c r="H236" s="36">
        <v>231</v>
      </c>
      <c r="I236" s="37" t="str">
        <f t="shared" si="17"/>
        <v/>
      </c>
      <c r="J236" s="36">
        <f t="shared" si="20"/>
        <v>-8</v>
      </c>
      <c r="K236" s="36">
        <f t="shared" si="18"/>
        <v>-80</v>
      </c>
      <c r="L236" s="36"/>
      <c r="M236" s="38">
        <f t="shared" si="19"/>
        <v>0</v>
      </c>
    </row>
    <row r="237" spans="1:13" x14ac:dyDescent="0.25">
      <c r="A237" s="57"/>
      <c r="G237" s="14"/>
      <c r="H237" s="36">
        <v>232</v>
      </c>
      <c r="I237" s="37" t="str">
        <f t="shared" si="17"/>
        <v/>
      </c>
      <c r="J237" s="36">
        <f t="shared" si="20"/>
        <v>-8</v>
      </c>
      <c r="K237" s="36">
        <f t="shared" si="18"/>
        <v>-80</v>
      </c>
      <c r="L237" s="36"/>
      <c r="M237" s="38">
        <f t="shared" si="19"/>
        <v>0</v>
      </c>
    </row>
    <row r="238" spans="1:13" x14ac:dyDescent="0.25">
      <c r="A238" s="57"/>
      <c r="G238" s="14"/>
      <c r="H238" s="36">
        <v>233</v>
      </c>
      <c r="I238" s="37" t="str">
        <f t="shared" si="17"/>
        <v/>
      </c>
      <c r="J238" s="36">
        <f t="shared" si="20"/>
        <v>-8</v>
      </c>
      <c r="K238" s="36">
        <f t="shared" si="18"/>
        <v>-80</v>
      </c>
      <c r="L238" s="36"/>
      <c r="M238" s="38">
        <f t="shared" si="19"/>
        <v>0</v>
      </c>
    </row>
    <row r="239" spans="1:13" x14ac:dyDescent="0.25">
      <c r="A239" s="57"/>
      <c r="G239" s="14"/>
      <c r="H239" s="36">
        <v>234</v>
      </c>
      <c r="I239" s="37" t="str">
        <f t="shared" si="17"/>
        <v/>
      </c>
      <c r="J239" s="36">
        <f t="shared" si="20"/>
        <v>-8</v>
      </c>
      <c r="K239" s="36">
        <f t="shared" si="18"/>
        <v>-80</v>
      </c>
      <c r="L239" s="36"/>
      <c r="M239" s="38">
        <f t="shared" si="19"/>
        <v>0</v>
      </c>
    </row>
    <row r="240" spans="1:13" x14ac:dyDescent="0.25">
      <c r="A240" s="57"/>
      <c r="G240" s="14"/>
      <c r="H240" s="36">
        <v>235</v>
      </c>
      <c r="I240" s="37" t="str">
        <f t="shared" si="17"/>
        <v/>
      </c>
      <c r="J240" s="36">
        <f t="shared" si="20"/>
        <v>-8</v>
      </c>
      <c r="K240" s="36">
        <f t="shared" si="18"/>
        <v>-80</v>
      </c>
      <c r="L240" s="36"/>
      <c r="M240" s="38">
        <f t="shared" si="19"/>
        <v>0</v>
      </c>
    </row>
    <row r="241" spans="1:13" x14ac:dyDescent="0.25">
      <c r="A241" s="57"/>
      <c r="G241" s="14"/>
      <c r="H241" s="36">
        <v>236</v>
      </c>
      <c r="I241" s="37" t="str">
        <f t="shared" si="17"/>
        <v/>
      </c>
      <c r="J241" s="36">
        <f t="shared" si="20"/>
        <v>-8</v>
      </c>
      <c r="K241" s="36">
        <f t="shared" si="18"/>
        <v>-80</v>
      </c>
      <c r="L241" s="36"/>
      <c r="M241" s="38">
        <f t="shared" si="19"/>
        <v>0</v>
      </c>
    </row>
    <row r="242" spans="1:13" x14ac:dyDescent="0.25">
      <c r="A242" s="57"/>
      <c r="G242" s="14"/>
      <c r="H242" s="36">
        <v>237</v>
      </c>
      <c r="I242" s="37" t="str">
        <f t="shared" si="17"/>
        <v/>
      </c>
      <c r="J242" s="36">
        <f t="shared" si="20"/>
        <v>-8</v>
      </c>
      <c r="K242" s="36">
        <f t="shared" si="18"/>
        <v>-80</v>
      </c>
      <c r="L242" s="36"/>
      <c r="M242" s="38">
        <f t="shared" si="19"/>
        <v>0</v>
      </c>
    </row>
    <row r="243" spans="1:13" x14ac:dyDescent="0.25">
      <c r="A243" s="57"/>
      <c r="G243" s="14"/>
      <c r="H243" s="36">
        <v>238</v>
      </c>
      <c r="I243" s="37" t="str">
        <f t="shared" si="17"/>
        <v/>
      </c>
      <c r="J243" s="36">
        <f t="shared" si="20"/>
        <v>-8</v>
      </c>
      <c r="K243" s="36">
        <f t="shared" si="18"/>
        <v>-80</v>
      </c>
      <c r="L243" s="36"/>
      <c r="M243" s="38">
        <f t="shared" si="19"/>
        <v>0</v>
      </c>
    </row>
    <row r="244" spans="1:13" x14ac:dyDescent="0.25">
      <c r="A244" s="57"/>
      <c r="G244" s="14"/>
      <c r="H244" s="36">
        <v>239</v>
      </c>
      <c r="I244" s="37" t="str">
        <f t="shared" si="17"/>
        <v/>
      </c>
      <c r="J244" s="36">
        <f t="shared" si="20"/>
        <v>-8</v>
      </c>
      <c r="K244" s="36">
        <f t="shared" si="18"/>
        <v>-80</v>
      </c>
      <c r="L244" s="36"/>
      <c r="M244" s="38">
        <f t="shared" si="19"/>
        <v>0</v>
      </c>
    </row>
    <row r="245" spans="1:13" x14ac:dyDescent="0.25">
      <c r="A245" s="57"/>
      <c r="G245" s="14"/>
      <c r="H245" s="36">
        <v>240</v>
      </c>
      <c r="I245" s="37" t="str">
        <f t="shared" si="17"/>
        <v/>
      </c>
      <c r="J245" s="36">
        <f t="shared" si="20"/>
        <v>-8</v>
      </c>
      <c r="K245" s="36">
        <f t="shared" si="18"/>
        <v>-80</v>
      </c>
      <c r="L245" s="36"/>
      <c r="M245" s="38">
        <f t="shared" si="19"/>
        <v>0</v>
      </c>
    </row>
    <row r="246" spans="1:13" x14ac:dyDescent="0.25">
      <c r="A246" s="57"/>
      <c r="G246" s="14"/>
      <c r="H246" s="36">
        <v>241</v>
      </c>
      <c r="I246" s="37" t="str">
        <f t="shared" si="17"/>
        <v/>
      </c>
      <c r="J246" s="36">
        <f t="shared" si="20"/>
        <v>-8</v>
      </c>
      <c r="K246" s="36">
        <f t="shared" si="18"/>
        <v>-80</v>
      </c>
      <c r="L246" s="36"/>
      <c r="M246" s="38">
        <f t="shared" si="19"/>
        <v>0</v>
      </c>
    </row>
    <row r="247" spans="1:13" x14ac:dyDescent="0.25">
      <c r="A247" s="57"/>
      <c r="G247" s="14"/>
      <c r="H247" s="36">
        <v>242</v>
      </c>
      <c r="I247" s="37" t="str">
        <f t="shared" si="17"/>
        <v/>
      </c>
      <c r="J247" s="36">
        <f t="shared" si="20"/>
        <v>-8</v>
      </c>
      <c r="K247" s="36">
        <f t="shared" si="18"/>
        <v>-80</v>
      </c>
      <c r="L247" s="36"/>
      <c r="M247" s="38">
        <f t="shared" si="19"/>
        <v>0</v>
      </c>
    </row>
    <row r="248" spans="1:13" x14ac:dyDescent="0.25">
      <c r="A248" s="57"/>
      <c r="G248" s="14"/>
      <c r="H248" s="36">
        <v>243</v>
      </c>
      <c r="I248" s="37" t="str">
        <f t="shared" si="17"/>
        <v/>
      </c>
      <c r="J248" s="36">
        <f t="shared" si="20"/>
        <v>-8</v>
      </c>
      <c r="K248" s="36">
        <f t="shared" si="18"/>
        <v>-80</v>
      </c>
      <c r="L248" s="36"/>
      <c r="M248" s="38">
        <f t="shared" si="19"/>
        <v>0</v>
      </c>
    </row>
    <row r="249" spans="1:13" x14ac:dyDescent="0.25">
      <c r="A249" s="57"/>
      <c r="G249" s="14"/>
      <c r="H249" s="36">
        <v>244</v>
      </c>
      <c r="I249" s="37" t="str">
        <f t="shared" si="17"/>
        <v/>
      </c>
      <c r="J249" s="36">
        <f t="shared" si="20"/>
        <v>-8</v>
      </c>
      <c r="K249" s="36">
        <f t="shared" si="18"/>
        <v>-80</v>
      </c>
      <c r="L249" s="36"/>
      <c r="M249" s="38">
        <f t="shared" si="19"/>
        <v>0</v>
      </c>
    </row>
    <row r="250" spans="1:13" x14ac:dyDescent="0.25">
      <c r="A250" s="57"/>
      <c r="G250" s="14"/>
      <c r="H250" s="36">
        <v>245</v>
      </c>
      <c r="I250" s="37" t="str">
        <f t="shared" si="17"/>
        <v/>
      </c>
      <c r="J250" s="36">
        <f t="shared" si="20"/>
        <v>-8</v>
      </c>
      <c r="K250" s="36">
        <f t="shared" si="18"/>
        <v>-80</v>
      </c>
      <c r="L250" s="36"/>
      <c r="M250" s="38">
        <f t="shared" si="19"/>
        <v>0</v>
      </c>
    </row>
    <row r="251" spans="1:13" x14ac:dyDescent="0.25">
      <c r="A251" s="57"/>
      <c r="G251" s="14"/>
      <c r="H251" s="36">
        <v>246</v>
      </c>
      <c r="I251" s="37" t="str">
        <f t="shared" si="17"/>
        <v/>
      </c>
      <c r="J251" s="36">
        <f t="shared" si="20"/>
        <v>-8</v>
      </c>
      <c r="K251" s="36">
        <f t="shared" si="18"/>
        <v>-80</v>
      </c>
      <c r="L251" s="36"/>
      <c r="M251" s="38">
        <f t="shared" si="19"/>
        <v>0</v>
      </c>
    </row>
    <row r="252" spans="1:13" x14ac:dyDescent="0.25">
      <c r="A252" s="57"/>
      <c r="G252" s="14"/>
      <c r="H252" s="36">
        <v>247</v>
      </c>
      <c r="I252" s="37" t="str">
        <f t="shared" si="17"/>
        <v/>
      </c>
      <c r="J252" s="36">
        <f t="shared" si="20"/>
        <v>-8</v>
      </c>
      <c r="K252" s="36">
        <f t="shared" si="18"/>
        <v>-80</v>
      </c>
      <c r="L252" s="36"/>
      <c r="M252" s="38">
        <f t="shared" si="19"/>
        <v>0</v>
      </c>
    </row>
    <row r="253" spans="1:13" x14ac:dyDescent="0.25">
      <c r="A253" s="57"/>
      <c r="G253" s="14"/>
      <c r="H253" s="36">
        <v>248</v>
      </c>
      <c r="I253" s="37" t="str">
        <f t="shared" si="17"/>
        <v/>
      </c>
      <c r="J253" s="36">
        <f t="shared" si="20"/>
        <v>-8</v>
      </c>
      <c r="K253" s="36">
        <f t="shared" si="18"/>
        <v>-80</v>
      </c>
      <c r="L253" s="36"/>
      <c r="M253" s="38">
        <f t="shared" si="19"/>
        <v>0</v>
      </c>
    </row>
    <row r="254" spans="1:13" x14ac:dyDescent="0.25">
      <c r="A254" s="57"/>
      <c r="G254" s="14"/>
      <c r="H254" s="36">
        <v>249</v>
      </c>
      <c r="I254" s="37" t="str">
        <f t="shared" si="17"/>
        <v/>
      </c>
      <c r="J254" s="36">
        <f t="shared" si="20"/>
        <v>-8</v>
      </c>
      <c r="K254" s="36">
        <f t="shared" si="18"/>
        <v>-80</v>
      </c>
      <c r="L254" s="36"/>
      <c r="M254" s="38">
        <f t="shared" si="19"/>
        <v>0</v>
      </c>
    </row>
    <row r="255" spans="1:13" x14ac:dyDescent="0.25">
      <c r="A255" s="57"/>
      <c r="G255" s="14"/>
      <c r="H255" s="36">
        <v>250</v>
      </c>
      <c r="I255" s="37" t="str">
        <f t="shared" si="17"/>
        <v/>
      </c>
      <c r="J255" s="36">
        <f t="shared" si="20"/>
        <v>-8</v>
      </c>
      <c r="K255" s="36">
        <f t="shared" si="18"/>
        <v>-80</v>
      </c>
      <c r="L255" s="36"/>
      <c r="M255" s="38">
        <f t="shared" si="19"/>
        <v>0</v>
      </c>
    </row>
    <row r="256" spans="1:13" x14ac:dyDescent="0.25">
      <c r="A256" s="57"/>
      <c r="G256" s="14"/>
      <c r="H256" s="36">
        <v>251</v>
      </c>
      <c r="I256" s="37" t="str">
        <f t="shared" si="17"/>
        <v/>
      </c>
      <c r="J256" s="36">
        <f t="shared" si="20"/>
        <v>-8</v>
      </c>
      <c r="K256" s="36">
        <f t="shared" si="18"/>
        <v>-80</v>
      </c>
      <c r="L256" s="36"/>
      <c r="M256" s="38">
        <f t="shared" si="19"/>
        <v>0</v>
      </c>
    </row>
    <row r="257" spans="1:13" x14ac:dyDescent="0.25">
      <c r="A257" s="57"/>
      <c r="G257" s="14"/>
      <c r="H257" s="36">
        <v>252</v>
      </c>
      <c r="I257" s="37" t="str">
        <f t="shared" si="17"/>
        <v/>
      </c>
      <c r="J257" s="36">
        <f t="shared" si="20"/>
        <v>-8</v>
      </c>
      <c r="K257" s="36">
        <f t="shared" si="18"/>
        <v>-80</v>
      </c>
      <c r="L257" s="36"/>
      <c r="M257" s="38">
        <f t="shared" si="19"/>
        <v>0</v>
      </c>
    </row>
    <row r="258" spans="1:13" x14ac:dyDescent="0.25">
      <c r="A258" s="57"/>
      <c r="G258" s="14"/>
      <c r="H258" s="36">
        <v>253</v>
      </c>
      <c r="I258" s="37" t="str">
        <f t="shared" si="17"/>
        <v/>
      </c>
      <c r="J258" s="36">
        <f t="shared" si="20"/>
        <v>-8</v>
      </c>
      <c r="K258" s="36">
        <f t="shared" si="18"/>
        <v>-80</v>
      </c>
      <c r="L258" s="36"/>
      <c r="M258" s="38">
        <f t="shared" si="19"/>
        <v>0</v>
      </c>
    </row>
    <row r="259" spans="1:13" x14ac:dyDescent="0.25">
      <c r="A259" s="57"/>
      <c r="G259" s="14"/>
      <c r="H259" s="36">
        <v>254</v>
      </c>
      <c r="I259" s="37" t="str">
        <f t="shared" si="17"/>
        <v/>
      </c>
      <c r="J259" s="36">
        <f t="shared" si="20"/>
        <v>-8</v>
      </c>
      <c r="K259" s="36">
        <f t="shared" si="18"/>
        <v>-80</v>
      </c>
      <c r="L259" s="36"/>
      <c r="M259" s="38">
        <f t="shared" si="19"/>
        <v>0</v>
      </c>
    </row>
    <row r="260" spans="1:13" x14ac:dyDescent="0.25">
      <c r="A260" s="57"/>
      <c r="G260" s="14"/>
      <c r="H260" s="36">
        <v>255</v>
      </c>
      <c r="I260" s="37" t="str">
        <f t="shared" si="17"/>
        <v/>
      </c>
      <c r="J260" s="36">
        <f t="shared" si="20"/>
        <v>-8</v>
      </c>
      <c r="K260" s="36">
        <f t="shared" si="18"/>
        <v>-80</v>
      </c>
      <c r="L260" s="36"/>
      <c r="M260" s="38">
        <f t="shared" si="19"/>
        <v>0</v>
      </c>
    </row>
    <row r="261" spans="1:13" x14ac:dyDescent="0.25">
      <c r="A261" s="57"/>
      <c r="G261" s="14"/>
      <c r="H261" s="36">
        <v>256</v>
      </c>
      <c r="I261" s="37" t="str">
        <f t="shared" si="17"/>
        <v/>
      </c>
      <c r="J261" s="36">
        <f t="shared" si="20"/>
        <v>-8</v>
      </c>
      <c r="K261" s="36">
        <f t="shared" si="18"/>
        <v>-80</v>
      </c>
      <c r="L261" s="36"/>
      <c r="M261" s="38">
        <f t="shared" si="19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1">IF(H262&lt;$H$2+1,($I$2-($I$2-1)*(LOG(H262)/LOG($H$2))),"")</f>
        <v/>
      </c>
      <c r="J262" s="36">
        <f t="shared" si="20"/>
        <v>-9</v>
      </c>
      <c r="K262" s="36">
        <f t="shared" ref="K262:K305" si="22">J262*$J$2</f>
        <v>-90</v>
      </c>
      <c r="L262" s="36"/>
      <c r="M262" s="38">
        <f t="shared" ref="M262:M305" si="23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1"/>
        <v/>
      </c>
      <c r="J263" s="36">
        <f t="shared" ref="J263:J305" si="24">INT(LOG($H$2,2))-ROUNDUP(LOG(H263,2),0)+IF(OR($H$2=1,$H$2=2,$H$2=4,$H$2=8,$H$2=16,$H$2=32,$H$2=64,$H$2=128,$H$2=256),0,1)</f>
        <v>-9</v>
      </c>
      <c r="K263" s="36">
        <f t="shared" si="22"/>
        <v>-90</v>
      </c>
      <c r="L263" s="36"/>
      <c r="M263" s="38">
        <f t="shared" si="23"/>
        <v>0</v>
      </c>
    </row>
    <row r="264" spans="1:13" x14ac:dyDescent="0.25">
      <c r="A264" s="57"/>
      <c r="G264" s="14"/>
      <c r="H264" s="36">
        <v>259</v>
      </c>
      <c r="I264" s="37" t="str">
        <f t="shared" si="21"/>
        <v/>
      </c>
      <c r="J264" s="36">
        <f t="shared" si="24"/>
        <v>-9</v>
      </c>
      <c r="K264" s="36">
        <f t="shared" si="22"/>
        <v>-90</v>
      </c>
      <c r="L264" s="36"/>
      <c r="M264" s="38">
        <f t="shared" si="23"/>
        <v>0</v>
      </c>
    </row>
    <row r="265" spans="1:13" x14ac:dyDescent="0.25">
      <c r="A265" s="57"/>
      <c r="G265" s="14"/>
      <c r="H265" s="36">
        <v>260</v>
      </c>
      <c r="I265" s="37" t="str">
        <f t="shared" si="21"/>
        <v/>
      </c>
      <c r="J265" s="36">
        <f t="shared" si="24"/>
        <v>-9</v>
      </c>
      <c r="K265" s="36">
        <f t="shared" si="22"/>
        <v>-90</v>
      </c>
      <c r="L265" s="36"/>
      <c r="M265" s="38">
        <f t="shared" si="23"/>
        <v>0</v>
      </c>
    </row>
    <row r="266" spans="1:13" x14ac:dyDescent="0.25">
      <c r="A266" s="57"/>
      <c r="G266" s="14"/>
      <c r="H266" s="36">
        <v>261</v>
      </c>
      <c r="I266" s="37" t="str">
        <f t="shared" si="21"/>
        <v/>
      </c>
      <c r="J266" s="36">
        <f t="shared" si="24"/>
        <v>-9</v>
      </c>
      <c r="K266" s="36">
        <f t="shared" si="22"/>
        <v>-90</v>
      </c>
      <c r="L266" s="36"/>
      <c r="M266" s="38">
        <f t="shared" si="23"/>
        <v>0</v>
      </c>
    </row>
    <row r="267" spans="1:13" x14ac:dyDescent="0.25">
      <c r="A267" s="57"/>
      <c r="G267" s="14"/>
      <c r="H267" s="36">
        <v>262</v>
      </c>
      <c r="I267" s="37" t="str">
        <f t="shared" si="21"/>
        <v/>
      </c>
      <c r="J267" s="36">
        <f t="shared" si="24"/>
        <v>-9</v>
      </c>
      <c r="K267" s="36">
        <f t="shared" si="22"/>
        <v>-90</v>
      </c>
      <c r="L267" s="36"/>
      <c r="M267" s="38">
        <f t="shared" si="23"/>
        <v>0</v>
      </c>
    </row>
    <row r="268" spans="1:13" x14ac:dyDescent="0.25">
      <c r="A268" s="57"/>
      <c r="G268" s="14"/>
      <c r="H268" s="36">
        <v>263</v>
      </c>
      <c r="I268" s="37" t="str">
        <f t="shared" si="21"/>
        <v/>
      </c>
      <c r="J268" s="36">
        <f t="shared" si="24"/>
        <v>-9</v>
      </c>
      <c r="K268" s="36">
        <f t="shared" si="22"/>
        <v>-90</v>
      </c>
      <c r="L268" s="36"/>
      <c r="M268" s="38">
        <f t="shared" si="23"/>
        <v>0</v>
      </c>
    </row>
    <row r="269" spans="1:13" x14ac:dyDescent="0.25">
      <c r="A269" s="57"/>
      <c r="G269" s="14"/>
      <c r="H269" s="36">
        <v>264</v>
      </c>
      <c r="I269" s="37" t="str">
        <f t="shared" si="21"/>
        <v/>
      </c>
      <c r="J269" s="36">
        <f t="shared" si="24"/>
        <v>-9</v>
      </c>
      <c r="K269" s="36">
        <f t="shared" si="22"/>
        <v>-90</v>
      </c>
      <c r="L269" s="36"/>
      <c r="M269" s="38">
        <f t="shared" si="23"/>
        <v>0</v>
      </c>
    </row>
    <row r="270" spans="1:13" x14ac:dyDescent="0.25">
      <c r="A270" s="57"/>
      <c r="G270" s="14"/>
      <c r="H270" s="36">
        <v>265</v>
      </c>
      <c r="I270" s="37" t="str">
        <f t="shared" si="21"/>
        <v/>
      </c>
      <c r="J270" s="36">
        <f t="shared" si="24"/>
        <v>-9</v>
      </c>
      <c r="K270" s="36">
        <f t="shared" si="22"/>
        <v>-90</v>
      </c>
      <c r="L270" s="36"/>
      <c r="M270" s="38">
        <f t="shared" si="23"/>
        <v>0</v>
      </c>
    </row>
    <row r="271" spans="1:13" x14ac:dyDescent="0.25">
      <c r="A271" s="57"/>
      <c r="G271" s="14"/>
      <c r="H271" s="36">
        <v>266</v>
      </c>
      <c r="I271" s="37" t="str">
        <f t="shared" si="21"/>
        <v/>
      </c>
      <c r="J271" s="36">
        <f t="shared" si="24"/>
        <v>-9</v>
      </c>
      <c r="K271" s="36">
        <f t="shared" si="22"/>
        <v>-90</v>
      </c>
      <c r="L271" s="36"/>
      <c r="M271" s="38">
        <f t="shared" si="23"/>
        <v>0</v>
      </c>
    </row>
    <row r="272" spans="1:13" x14ac:dyDescent="0.25">
      <c r="A272" s="57"/>
      <c r="G272" s="14"/>
      <c r="H272" s="36">
        <v>267</v>
      </c>
      <c r="I272" s="37" t="str">
        <f t="shared" si="21"/>
        <v/>
      </c>
      <c r="J272" s="36">
        <f t="shared" si="24"/>
        <v>-9</v>
      </c>
      <c r="K272" s="36">
        <f t="shared" si="22"/>
        <v>-90</v>
      </c>
      <c r="L272" s="36"/>
      <c r="M272" s="38">
        <f t="shared" si="23"/>
        <v>0</v>
      </c>
    </row>
    <row r="273" spans="1:13" x14ac:dyDescent="0.25">
      <c r="A273" s="57"/>
      <c r="G273" s="14"/>
      <c r="H273" s="36">
        <v>268</v>
      </c>
      <c r="I273" s="37" t="str">
        <f t="shared" si="21"/>
        <v/>
      </c>
      <c r="J273" s="36">
        <f t="shared" si="24"/>
        <v>-9</v>
      </c>
      <c r="K273" s="36">
        <f t="shared" si="22"/>
        <v>-90</v>
      </c>
      <c r="L273" s="36"/>
      <c r="M273" s="38">
        <f t="shared" si="23"/>
        <v>0</v>
      </c>
    </row>
    <row r="274" spans="1:13" x14ac:dyDescent="0.25">
      <c r="A274" s="57"/>
      <c r="G274" s="14"/>
      <c r="H274" s="36">
        <v>269</v>
      </c>
      <c r="I274" s="37" t="str">
        <f t="shared" si="21"/>
        <v/>
      </c>
      <c r="J274" s="36">
        <f t="shared" si="24"/>
        <v>-9</v>
      </c>
      <c r="K274" s="36">
        <f t="shared" si="22"/>
        <v>-90</v>
      </c>
      <c r="L274" s="36"/>
      <c r="M274" s="38">
        <f t="shared" si="23"/>
        <v>0</v>
      </c>
    </row>
    <row r="275" spans="1:13" x14ac:dyDescent="0.25">
      <c r="A275" s="57"/>
      <c r="G275" s="14"/>
      <c r="H275" s="36">
        <v>270</v>
      </c>
      <c r="I275" s="37" t="str">
        <f t="shared" si="21"/>
        <v/>
      </c>
      <c r="J275" s="36">
        <f t="shared" si="24"/>
        <v>-9</v>
      </c>
      <c r="K275" s="36">
        <f t="shared" si="22"/>
        <v>-90</v>
      </c>
      <c r="L275" s="36"/>
      <c r="M275" s="38">
        <f t="shared" si="23"/>
        <v>0</v>
      </c>
    </row>
    <row r="276" spans="1:13" x14ac:dyDescent="0.25">
      <c r="A276" s="57"/>
      <c r="G276" s="14"/>
      <c r="H276" s="36">
        <v>271</v>
      </c>
      <c r="I276" s="37" t="str">
        <f t="shared" si="21"/>
        <v/>
      </c>
      <c r="J276" s="36">
        <f t="shared" si="24"/>
        <v>-9</v>
      </c>
      <c r="K276" s="36">
        <f t="shared" si="22"/>
        <v>-90</v>
      </c>
      <c r="L276" s="36"/>
      <c r="M276" s="38">
        <f t="shared" si="23"/>
        <v>0</v>
      </c>
    </row>
    <row r="277" spans="1:13" x14ac:dyDescent="0.25">
      <c r="A277" s="57"/>
      <c r="G277" s="14"/>
      <c r="H277" s="36">
        <v>272</v>
      </c>
      <c r="I277" s="37" t="str">
        <f t="shared" si="21"/>
        <v/>
      </c>
      <c r="J277" s="36">
        <f t="shared" si="24"/>
        <v>-9</v>
      </c>
      <c r="K277" s="36">
        <f t="shared" si="22"/>
        <v>-90</v>
      </c>
      <c r="L277" s="36"/>
      <c r="M277" s="38">
        <f t="shared" si="23"/>
        <v>0</v>
      </c>
    </row>
    <row r="278" spans="1:13" x14ac:dyDescent="0.25">
      <c r="A278" s="57"/>
      <c r="G278" s="14"/>
      <c r="H278" s="36">
        <v>273</v>
      </c>
      <c r="I278" s="37" t="str">
        <f t="shared" si="21"/>
        <v/>
      </c>
      <c r="J278" s="36">
        <f t="shared" si="24"/>
        <v>-9</v>
      </c>
      <c r="K278" s="36">
        <f t="shared" si="22"/>
        <v>-90</v>
      </c>
      <c r="L278" s="36"/>
      <c r="M278" s="38">
        <f t="shared" si="23"/>
        <v>0</v>
      </c>
    </row>
    <row r="279" spans="1:13" x14ac:dyDescent="0.25">
      <c r="A279" s="57"/>
      <c r="G279" s="14"/>
      <c r="H279" s="36">
        <v>274</v>
      </c>
      <c r="I279" s="37" t="str">
        <f t="shared" si="21"/>
        <v/>
      </c>
      <c r="J279" s="36">
        <f t="shared" si="24"/>
        <v>-9</v>
      </c>
      <c r="K279" s="36">
        <f t="shared" si="22"/>
        <v>-90</v>
      </c>
      <c r="L279" s="36"/>
      <c r="M279" s="38">
        <f t="shared" si="23"/>
        <v>0</v>
      </c>
    </row>
    <row r="280" spans="1:13" x14ac:dyDescent="0.25">
      <c r="A280" s="57"/>
      <c r="G280" s="14"/>
      <c r="H280" s="36">
        <v>275</v>
      </c>
      <c r="I280" s="37" t="str">
        <f t="shared" si="21"/>
        <v/>
      </c>
      <c r="J280" s="36">
        <f t="shared" si="24"/>
        <v>-9</v>
      </c>
      <c r="K280" s="36">
        <f t="shared" si="22"/>
        <v>-90</v>
      </c>
      <c r="L280" s="36"/>
      <c r="M280" s="38">
        <f t="shared" si="23"/>
        <v>0</v>
      </c>
    </row>
    <row r="281" spans="1:13" x14ac:dyDescent="0.25">
      <c r="A281" s="57"/>
      <c r="G281" s="14"/>
      <c r="H281" s="36">
        <v>276</v>
      </c>
      <c r="I281" s="37" t="str">
        <f t="shared" si="21"/>
        <v/>
      </c>
      <c r="J281" s="36">
        <f t="shared" si="24"/>
        <v>-9</v>
      </c>
      <c r="K281" s="36">
        <f t="shared" si="22"/>
        <v>-90</v>
      </c>
      <c r="L281" s="36"/>
      <c r="M281" s="38">
        <f t="shared" si="23"/>
        <v>0</v>
      </c>
    </row>
    <row r="282" spans="1:13" x14ac:dyDescent="0.25">
      <c r="A282" s="57"/>
      <c r="G282" s="14"/>
      <c r="H282" s="36">
        <v>277</v>
      </c>
      <c r="I282" s="37" t="str">
        <f t="shared" si="21"/>
        <v/>
      </c>
      <c r="J282" s="36">
        <f t="shared" si="24"/>
        <v>-9</v>
      </c>
      <c r="K282" s="36">
        <f t="shared" si="22"/>
        <v>-90</v>
      </c>
      <c r="L282" s="36"/>
      <c r="M282" s="38">
        <f t="shared" si="23"/>
        <v>0</v>
      </c>
    </row>
    <row r="283" spans="1:13" x14ac:dyDescent="0.25">
      <c r="A283" s="57"/>
      <c r="G283" s="14"/>
      <c r="H283" s="36">
        <v>278</v>
      </c>
      <c r="I283" s="37" t="str">
        <f t="shared" si="21"/>
        <v/>
      </c>
      <c r="J283" s="36">
        <f t="shared" si="24"/>
        <v>-9</v>
      </c>
      <c r="K283" s="36">
        <f t="shared" si="22"/>
        <v>-90</v>
      </c>
      <c r="L283" s="36"/>
      <c r="M283" s="38">
        <f t="shared" si="23"/>
        <v>0</v>
      </c>
    </row>
    <row r="284" spans="1:13" x14ac:dyDescent="0.25">
      <c r="A284" s="57"/>
      <c r="G284" s="14"/>
      <c r="H284" s="36">
        <v>279</v>
      </c>
      <c r="I284" s="37" t="str">
        <f t="shared" si="21"/>
        <v/>
      </c>
      <c r="J284" s="36">
        <f t="shared" si="24"/>
        <v>-9</v>
      </c>
      <c r="K284" s="36">
        <f t="shared" si="22"/>
        <v>-90</v>
      </c>
      <c r="L284" s="36"/>
      <c r="M284" s="38">
        <f t="shared" si="23"/>
        <v>0</v>
      </c>
    </row>
    <row r="285" spans="1:13" x14ac:dyDescent="0.25">
      <c r="A285" s="57"/>
      <c r="G285" s="14"/>
      <c r="H285" s="36">
        <v>280</v>
      </c>
      <c r="I285" s="37" t="str">
        <f t="shared" si="21"/>
        <v/>
      </c>
      <c r="J285" s="36">
        <f t="shared" si="24"/>
        <v>-9</v>
      </c>
      <c r="K285" s="36">
        <f t="shared" si="22"/>
        <v>-90</v>
      </c>
      <c r="L285" s="36"/>
      <c r="M285" s="38">
        <f t="shared" si="23"/>
        <v>0</v>
      </c>
    </row>
    <row r="286" spans="1:13" x14ac:dyDescent="0.25">
      <c r="A286" s="57"/>
      <c r="G286" s="14"/>
      <c r="H286" s="36">
        <v>281</v>
      </c>
      <c r="I286" s="37" t="str">
        <f t="shared" si="21"/>
        <v/>
      </c>
      <c r="J286" s="36">
        <f t="shared" si="24"/>
        <v>-9</v>
      </c>
      <c r="K286" s="36">
        <f t="shared" si="22"/>
        <v>-90</v>
      </c>
      <c r="L286" s="36"/>
      <c r="M286" s="38">
        <f t="shared" si="23"/>
        <v>0</v>
      </c>
    </row>
    <row r="287" spans="1:13" x14ac:dyDescent="0.25">
      <c r="A287" s="57"/>
      <c r="G287" s="14"/>
      <c r="H287" s="36">
        <v>282</v>
      </c>
      <c r="I287" s="37" t="str">
        <f t="shared" si="21"/>
        <v/>
      </c>
      <c r="J287" s="36">
        <f t="shared" si="24"/>
        <v>-9</v>
      </c>
      <c r="K287" s="36">
        <f t="shared" si="22"/>
        <v>-90</v>
      </c>
      <c r="L287" s="36"/>
      <c r="M287" s="38">
        <f t="shared" si="23"/>
        <v>0</v>
      </c>
    </row>
    <row r="288" spans="1:13" x14ac:dyDescent="0.25">
      <c r="A288" s="57"/>
      <c r="G288" s="14"/>
      <c r="H288" s="36">
        <v>283</v>
      </c>
      <c r="I288" s="37" t="str">
        <f t="shared" si="21"/>
        <v/>
      </c>
      <c r="J288" s="36">
        <f t="shared" si="24"/>
        <v>-9</v>
      </c>
      <c r="K288" s="36">
        <f t="shared" si="22"/>
        <v>-90</v>
      </c>
      <c r="L288" s="36"/>
      <c r="M288" s="38">
        <f t="shared" si="23"/>
        <v>0</v>
      </c>
    </row>
    <row r="289" spans="1:13" x14ac:dyDescent="0.25">
      <c r="A289" s="57"/>
      <c r="G289" s="14"/>
      <c r="H289" s="36">
        <v>284</v>
      </c>
      <c r="I289" s="37" t="str">
        <f t="shared" si="21"/>
        <v/>
      </c>
      <c r="J289" s="36">
        <f t="shared" si="24"/>
        <v>-9</v>
      </c>
      <c r="K289" s="36">
        <f t="shared" si="22"/>
        <v>-90</v>
      </c>
      <c r="L289" s="36"/>
      <c r="M289" s="38">
        <f t="shared" si="23"/>
        <v>0</v>
      </c>
    </row>
    <row r="290" spans="1:13" x14ac:dyDescent="0.25">
      <c r="A290" s="57"/>
      <c r="G290" s="14"/>
      <c r="H290" s="36">
        <v>285</v>
      </c>
      <c r="I290" s="37" t="str">
        <f t="shared" si="21"/>
        <v/>
      </c>
      <c r="J290" s="36">
        <f t="shared" si="24"/>
        <v>-9</v>
      </c>
      <c r="K290" s="36">
        <f t="shared" si="22"/>
        <v>-90</v>
      </c>
      <c r="L290" s="36"/>
      <c r="M290" s="38">
        <f t="shared" si="23"/>
        <v>0</v>
      </c>
    </row>
    <row r="291" spans="1:13" x14ac:dyDescent="0.25">
      <c r="A291" s="57"/>
      <c r="G291" s="14"/>
      <c r="H291" s="36">
        <v>286</v>
      </c>
      <c r="I291" s="37" t="str">
        <f t="shared" si="21"/>
        <v/>
      </c>
      <c r="J291" s="36">
        <f t="shared" si="24"/>
        <v>-9</v>
      </c>
      <c r="K291" s="36">
        <f t="shared" si="22"/>
        <v>-90</v>
      </c>
      <c r="L291" s="36"/>
      <c r="M291" s="38">
        <f t="shared" si="23"/>
        <v>0</v>
      </c>
    </row>
    <row r="292" spans="1:13" x14ac:dyDescent="0.25">
      <c r="A292" s="57"/>
      <c r="G292" s="14"/>
      <c r="H292" s="36">
        <v>287</v>
      </c>
      <c r="I292" s="37" t="str">
        <f t="shared" si="21"/>
        <v/>
      </c>
      <c r="J292" s="36">
        <f t="shared" si="24"/>
        <v>-9</v>
      </c>
      <c r="K292" s="36">
        <f t="shared" si="22"/>
        <v>-90</v>
      </c>
      <c r="L292" s="36"/>
      <c r="M292" s="38">
        <f t="shared" si="23"/>
        <v>0</v>
      </c>
    </row>
    <row r="293" spans="1:13" x14ac:dyDescent="0.25">
      <c r="A293" s="57"/>
      <c r="G293" s="14"/>
      <c r="H293" s="36">
        <v>288</v>
      </c>
      <c r="I293" s="37" t="str">
        <f t="shared" si="21"/>
        <v/>
      </c>
      <c r="J293" s="36">
        <f t="shared" si="24"/>
        <v>-9</v>
      </c>
      <c r="K293" s="36">
        <f t="shared" si="22"/>
        <v>-90</v>
      </c>
      <c r="L293" s="36"/>
      <c r="M293" s="38">
        <f t="shared" si="23"/>
        <v>0</v>
      </c>
    </row>
    <row r="294" spans="1:13" x14ac:dyDescent="0.25">
      <c r="A294" s="57"/>
      <c r="G294" s="14"/>
      <c r="H294" s="36">
        <v>289</v>
      </c>
      <c r="I294" s="37" t="str">
        <f t="shared" si="21"/>
        <v/>
      </c>
      <c r="J294" s="36">
        <f t="shared" si="24"/>
        <v>-9</v>
      </c>
      <c r="K294" s="36">
        <f t="shared" si="22"/>
        <v>-90</v>
      </c>
      <c r="L294" s="36"/>
      <c r="M294" s="38">
        <f t="shared" si="23"/>
        <v>0</v>
      </c>
    </row>
    <row r="295" spans="1:13" x14ac:dyDescent="0.25">
      <c r="A295" s="57"/>
      <c r="G295" s="14"/>
      <c r="H295" s="36">
        <v>290</v>
      </c>
      <c r="I295" s="37" t="str">
        <f t="shared" si="21"/>
        <v/>
      </c>
      <c r="J295" s="36">
        <f t="shared" si="24"/>
        <v>-9</v>
      </c>
      <c r="K295" s="36">
        <f t="shared" si="22"/>
        <v>-90</v>
      </c>
      <c r="L295" s="36"/>
      <c r="M295" s="38">
        <f t="shared" si="23"/>
        <v>0</v>
      </c>
    </row>
    <row r="296" spans="1:13" x14ac:dyDescent="0.25">
      <c r="A296" s="57"/>
      <c r="G296" s="14"/>
      <c r="H296" s="36">
        <v>291</v>
      </c>
      <c r="I296" s="37" t="str">
        <f t="shared" si="21"/>
        <v/>
      </c>
      <c r="J296" s="36">
        <f t="shared" si="24"/>
        <v>-9</v>
      </c>
      <c r="K296" s="36">
        <f t="shared" si="22"/>
        <v>-90</v>
      </c>
      <c r="L296" s="36"/>
      <c r="M296" s="38">
        <f t="shared" si="23"/>
        <v>0</v>
      </c>
    </row>
    <row r="297" spans="1:13" x14ac:dyDescent="0.25">
      <c r="A297" s="57"/>
      <c r="G297" s="14"/>
      <c r="H297" s="36">
        <v>292</v>
      </c>
      <c r="I297" s="37" t="str">
        <f t="shared" si="21"/>
        <v/>
      </c>
      <c r="J297" s="36">
        <f t="shared" si="24"/>
        <v>-9</v>
      </c>
      <c r="K297" s="36">
        <f t="shared" si="22"/>
        <v>-90</v>
      </c>
      <c r="L297" s="36"/>
      <c r="M297" s="38">
        <f t="shared" si="23"/>
        <v>0</v>
      </c>
    </row>
    <row r="298" spans="1:13" x14ac:dyDescent="0.25">
      <c r="A298" s="57"/>
      <c r="G298" s="14"/>
      <c r="H298" s="36">
        <v>293</v>
      </c>
      <c r="I298" s="37" t="str">
        <f t="shared" si="21"/>
        <v/>
      </c>
      <c r="J298" s="36">
        <f t="shared" si="24"/>
        <v>-9</v>
      </c>
      <c r="K298" s="36">
        <f t="shared" si="22"/>
        <v>-90</v>
      </c>
      <c r="L298" s="36"/>
      <c r="M298" s="38">
        <f t="shared" si="23"/>
        <v>0</v>
      </c>
    </row>
    <row r="299" spans="1:13" x14ac:dyDescent="0.25">
      <c r="A299" s="57"/>
      <c r="G299" s="14"/>
      <c r="H299" s="36">
        <v>294</v>
      </c>
      <c r="I299" s="37" t="str">
        <f t="shared" si="21"/>
        <v/>
      </c>
      <c r="J299" s="36">
        <f t="shared" si="24"/>
        <v>-9</v>
      </c>
      <c r="K299" s="36">
        <f t="shared" si="22"/>
        <v>-90</v>
      </c>
      <c r="L299" s="36"/>
      <c r="M299" s="38">
        <f t="shared" si="23"/>
        <v>0</v>
      </c>
    </row>
    <row r="300" spans="1:13" x14ac:dyDescent="0.25">
      <c r="A300" s="57"/>
      <c r="G300" s="14"/>
      <c r="H300" s="36">
        <v>295</v>
      </c>
      <c r="I300" s="37" t="str">
        <f t="shared" si="21"/>
        <v/>
      </c>
      <c r="J300" s="36">
        <f t="shared" si="24"/>
        <v>-9</v>
      </c>
      <c r="K300" s="36">
        <f t="shared" si="22"/>
        <v>-90</v>
      </c>
      <c r="L300" s="36"/>
      <c r="M300" s="38">
        <f t="shared" si="23"/>
        <v>0</v>
      </c>
    </row>
    <row r="301" spans="1:13" x14ac:dyDescent="0.25">
      <c r="A301" s="57"/>
      <c r="G301" s="14"/>
      <c r="H301" s="36">
        <v>296</v>
      </c>
      <c r="I301" s="37" t="str">
        <f t="shared" si="21"/>
        <v/>
      </c>
      <c r="J301" s="36">
        <f t="shared" si="24"/>
        <v>-9</v>
      </c>
      <c r="K301" s="36">
        <f t="shared" si="22"/>
        <v>-90</v>
      </c>
      <c r="L301" s="36"/>
      <c r="M301" s="38">
        <f t="shared" si="23"/>
        <v>0</v>
      </c>
    </row>
    <row r="302" spans="1:13" x14ac:dyDescent="0.25">
      <c r="A302" s="57"/>
      <c r="G302" s="14"/>
      <c r="H302" s="36">
        <v>297</v>
      </c>
      <c r="I302" s="37" t="str">
        <f t="shared" si="21"/>
        <v/>
      </c>
      <c r="J302" s="36">
        <f t="shared" si="24"/>
        <v>-9</v>
      </c>
      <c r="K302" s="36">
        <f t="shared" si="22"/>
        <v>-90</v>
      </c>
      <c r="L302" s="36"/>
      <c r="M302" s="38">
        <f t="shared" si="23"/>
        <v>0</v>
      </c>
    </row>
    <row r="303" spans="1:13" x14ac:dyDescent="0.25">
      <c r="A303" s="57"/>
      <c r="G303" s="14"/>
      <c r="H303" s="36">
        <v>298</v>
      </c>
      <c r="I303" s="37" t="str">
        <f t="shared" si="21"/>
        <v/>
      </c>
      <c r="J303" s="36">
        <f t="shared" si="24"/>
        <v>-9</v>
      </c>
      <c r="K303" s="36">
        <f t="shared" si="22"/>
        <v>-90</v>
      </c>
      <c r="L303" s="36"/>
      <c r="M303" s="38">
        <f t="shared" si="23"/>
        <v>0</v>
      </c>
    </row>
    <row r="304" spans="1:13" x14ac:dyDescent="0.25">
      <c r="A304" s="57"/>
      <c r="G304" s="14"/>
      <c r="H304" s="36">
        <v>299</v>
      </c>
      <c r="I304" s="37" t="str">
        <f t="shared" si="21"/>
        <v/>
      </c>
      <c r="J304" s="36">
        <f t="shared" si="24"/>
        <v>-9</v>
      </c>
      <c r="K304" s="36">
        <f t="shared" si="22"/>
        <v>-90</v>
      </c>
      <c r="L304" s="36"/>
      <c r="M304" s="38">
        <f t="shared" si="23"/>
        <v>0</v>
      </c>
    </row>
    <row r="305" spans="1:16" x14ac:dyDescent="0.25">
      <c r="A305" s="57"/>
      <c r="G305" s="14"/>
      <c r="H305" s="36">
        <v>300</v>
      </c>
      <c r="I305" s="37" t="str">
        <f t="shared" si="21"/>
        <v/>
      </c>
      <c r="J305" s="36">
        <f t="shared" si="24"/>
        <v>-9</v>
      </c>
      <c r="K305" s="36">
        <f t="shared" si="22"/>
        <v>-90</v>
      </c>
      <c r="L305" s="36"/>
      <c r="M305" s="38">
        <f t="shared" si="23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DA19F132-903E-4716-91B1-DC493BC097C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x14ac:dyDescent="0.25">
      <c r="A2" s="14"/>
      <c r="B2" s="20" t="s">
        <v>26</v>
      </c>
      <c r="C2" s="262" t="s">
        <v>53</v>
      </c>
      <c r="D2" s="262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</row>
    <row r="3" spans="1:36" x14ac:dyDescent="0.25">
      <c r="A3" s="14"/>
      <c r="B3" s="25" t="s">
        <v>28</v>
      </c>
      <c r="C3" s="263">
        <v>45095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71.339289449053865</v>
      </c>
      <c r="B6" s="34">
        <f t="shared" ref="B6:B13" si="0">IF(H6&gt;$H$2,"",(ROW()-5))</f>
        <v>1</v>
      </c>
      <c r="C6" s="35" t="s">
        <v>19</v>
      </c>
      <c r="D6" s="35" t="s">
        <v>54</v>
      </c>
      <c r="E6" s="35"/>
      <c r="F6" s="35" t="s">
        <v>55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1">J6*$J$2</f>
        <v>10</v>
      </c>
      <c r="L6" s="38">
        <f>3*K2</f>
        <v>11.339289449053858</v>
      </c>
      <c r="M6" s="38">
        <f t="shared" ref="M6:M69" si="2">IF(I6&lt;&gt;"",K6+I6+L6,0)</f>
        <v>71.339289449053865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41" t="s">
        <v>20</v>
      </c>
      <c r="D7" s="41" t="s">
        <v>54</v>
      </c>
      <c r="E7" s="41"/>
      <c r="F7" s="41" t="s">
        <v>55</v>
      </c>
      <c r="G7" s="28"/>
      <c r="H7" s="42">
        <v>2</v>
      </c>
      <c r="I7" s="43">
        <f t="shared" ref="I7:I69" si="4">IF(H7&lt;$H$2+1,($I$2-($I$2-1)*(LOG(H7)/LOG($H$2))),"")</f>
        <v>1</v>
      </c>
      <c r="J7" s="42">
        <f t="shared" ref="J7:J70" si="5">INT(LOG($H$2,2))-ROUNDUP(LOG(H7,2),0)+IF(OR($H$2=1,$H$2=2,$H$2=4,$H$2=8,$H$2=16,$H$2=32,$H$2=64,$H$2=128,$H$2=256),0,1)</f>
        <v>0</v>
      </c>
      <c r="K7" s="42">
        <f t="shared" si="1"/>
        <v>0</v>
      </c>
      <c r="L7" s="44">
        <f>2*K2</f>
        <v>7.5595262993692387</v>
      </c>
      <c r="M7" s="44">
        <f t="shared" si="2"/>
        <v>8.5595262993692387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-1</v>
      </c>
      <c r="K8" s="36">
        <f t="shared" si="1"/>
        <v>-10</v>
      </c>
      <c r="L8" s="38">
        <f>K2</f>
        <v>3.7797631496846193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-1</v>
      </c>
      <c r="K9" s="42">
        <f t="shared" si="1"/>
        <v>-10</v>
      </c>
      <c r="L9" s="44"/>
      <c r="M9" s="44">
        <f t="shared" si="2"/>
        <v>0</v>
      </c>
      <c r="V9" s="45"/>
      <c r="Z9" s="46"/>
      <c r="AA9" s="46"/>
      <c r="AG9" s="47"/>
      <c r="AH9" s="19" t="s">
        <v>42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-2</v>
      </c>
      <c r="K10" s="36">
        <f t="shared" si="1"/>
        <v>-20</v>
      </c>
      <c r="L10" s="36"/>
      <c r="M10" s="38">
        <f t="shared" si="2"/>
        <v>0</v>
      </c>
      <c r="V10" s="45"/>
      <c r="Z10" s="46"/>
      <c r="AA10" s="46"/>
      <c r="AG10" s="47"/>
      <c r="AH10" s="19" t="s">
        <v>43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-2</v>
      </c>
      <c r="K11" s="42">
        <f t="shared" si="1"/>
        <v>-20</v>
      </c>
      <c r="L11" s="42"/>
      <c r="M11" s="44">
        <f t="shared" si="2"/>
        <v>0</v>
      </c>
      <c r="V11" s="48"/>
      <c r="Z11" s="46"/>
      <c r="AA11" s="46"/>
      <c r="AG11" s="47"/>
      <c r="AH11" s="19" t="s">
        <v>44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-2</v>
      </c>
      <c r="K12" s="36">
        <f t="shared" si="1"/>
        <v>-20</v>
      </c>
      <c r="L12" s="36"/>
      <c r="M12" s="38">
        <f t="shared" si="2"/>
        <v>0</v>
      </c>
      <c r="Z12" s="46"/>
      <c r="AA12" s="46"/>
      <c r="AG12" s="47"/>
      <c r="AH12" s="19" t="s">
        <v>45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-2</v>
      </c>
      <c r="K13" s="42">
        <f t="shared" si="1"/>
        <v>-20</v>
      </c>
      <c r="L13" s="42"/>
      <c r="M13" s="44">
        <f t="shared" si="2"/>
        <v>0</v>
      </c>
      <c r="X13" s="45"/>
      <c r="AG13" s="47"/>
      <c r="AH13" s="19" t="s">
        <v>46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-3</v>
      </c>
      <c r="K14" s="36">
        <f t="shared" si="1"/>
        <v>-30</v>
      </c>
      <c r="L14" s="36"/>
      <c r="M14" s="38">
        <f t="shared" si="2"/>
        <v>0</v>
      </c>
      <c r="X14" s="51"/>
      <c r="Z14" s="46"/>
      <c r="AA14" s="46"/>
      <c r="AG14" s="47"/>
      <c r="AH14" s="19" t="s">
        <v>47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-3</v>
      </c>
      <c r="K15" s="42">
        <f t="shared" si="1"/>
        <v>-30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-3</v>
      </c>
      <c r="K16" s="36">
        <f t="shared" si="1"/>
        <v>-30</v>
      </c>
      <c r="L16" s="36"/>
      <c r="M16" s="38">
        <f t="shared" si="2"/>
        <v>0</v>
      </c>
      <c r="R16" s="52"/>
      <c r="Z16" s="46"/>
      <c r="AA16" s="46"/>
      <c r="AH16" s="53" t="s">
        <v>48</v>
      </c>
      <c r="AI16" s="19">
        <f>AI11-AI12*AI13/AI14</f>
        <v>9.6393909380186855</v>
      </c>
      <c r="AJ16" s="19" t="s">
        <v>49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-3</v>
      </c>
      <c r="K17" s="42">
        <f t="shared" si="1"/>
        <v>-30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-3</v>
      </c>
      <c r="K18" s="36">
        <f t="shared" si="1"/>
        <v>-30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-3</v>
      </c>
      <c r="K19" s="42">
        <f t="shared" si="1"/>
        <v>-30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-3</v>
      </c>
      <c r="K20" s="36">
        <f t="shared" si="1"/>
        <v>-30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-3</v>
      </c>
      <c r="K21" s="42">
        <f t="shared" si="1"/>
        <v>-30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-4</v>
      </c>
      <c r="K22" s="36">
        <f t="shared" si="1"/>
        <v>-40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-4</v>
      </c>
      <c r="K23" s="42">
        <f t="shared" si="1"/>
        <v>-40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-4</v>
      </c>
      <c r="K24" s="36">
        <f t="shared" si="1"/>
        <v>-40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-4</v>
      </c>
      <c r="K25" s="42">
        <f t="shared" si="1"/>
        <v>-40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-4</v>
      </c>
      <c r="K26" s="36">
        <f t="shared" si="1"/>
        <v>-40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-4</v>
      </c>
      <c r="K27" s="42">
        <f t="shared" si="1"/>
        <v>-40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-4</v>
      </c>
      <c r="K28" s="36">
        <f t="shared" si="1"/>
        <v>-40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-4</v>
      </c>
      <c r="K29" s="42">
        <f t="shared" si="1"/>
        <v>-40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-4</v>
      </c>
      <c r="K30" s="36">
        <f t="shared" si="1"/>
        <v>-40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-4</v>
      </c>
      <c r="K31" s="42">
        <f t="shared" si="1"/>
        <v>-40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-4</v>
      </c>
      <c r="K32" s="36">
        <f t="shared" si="1"/>
        <v>-40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-4</v>
      </c>
      <c r="K33" s="42">
        <f t="shared" si="1"/>
        <v>-40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-4</v>
      </c>
      <c r="K34" s="36">
        <f t="shared" si="1"/>
        <v>-40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-4</v>
      </c>
      <c r="K35" s="42">
        <f t="shared" si="1"/>
        <v>-40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-4</v>
      </c>
      <c r="K36" s="36">
        <f t="shared" si="1"/>
        <v>-40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-4</v>
      </c>
      <c r="K37" s="42">
        <f t="shared" si="1"/>
        <v>-40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-5</v>
      </c>
      <c r="K38" s="36">
        <f t="shared" si="1"/>
        <v>-50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-5</v>
      </c>
      <c r="K39" s="42">
        <f t="shared" si="1"/>
        <v>-50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-5</v>
      </c>
      <c r="K40" s="36">
        <f t="shared" si="1"/>
        <v>-50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-5</v>
      </c>
      <c r="K41" s="42">
        <f t="shared" si="1"/>
        <v>-50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-5</v>
      </c>
      <c r="K42" s="36">
        <f t="shared" si="1"/>
        <v>-50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-5</v>
      </c>
      <c r="K43" s="42">
        <f t="shared" si="1"/>
        <v>-50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-5</v>
      </c>
      <c r="K44" s="36">
        <f t="shared" si="1"/>
        <v>-50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-5</v>
      </c>
      <c r="K45" s="42">
        <f t="shared" si="1"/>
        <v>-50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-5</v>
      </c>
      <c r="K46" s="36">
        <f t="shared" si="1"/>
        <v>-50</v>
      </c>
      <c r="L46" s="36"/>
      <c r="M46" s="38">
        <f t="shared" si="2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-5</v>
      </c>
      <c r="K47" s="42">
        <f t="shared" si="1"/>
        <v>-50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-5</v>
      </c>
      <c r="K48" s="36">
        <f t="shared" si="1"/>
        <v>-50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-5</v>
      </c>
      <c r="K49" s="42">
        <f t="shared" si="1"/>
        <v>-50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-5</v>
      </c>
      <c r="K50" s="36">
        <f t="shared" si="1"/>
        <v>-50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-5</v>
      </c>
      <c r="K51" s="42">
        <f t="shared" si="1"/>
        <v>-50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-5</v>
      </c>
      <c r="K52" s="36">
        <f t="shared" si="1"/>
        <v>-50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-5</v>
      </c>
      <c r="K53" s="42">
        <f t="shared" si="1"/>
        <v>-50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-5</v>
      </c>
      <c r="K54" s="36">
        <f t="shared" si="1"/>
        <v>-50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-5</v>
      </c>
      <c r="K55" s="42">
        <f t="shared" si="1"/>
        <v>-50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-5</v>
      </c>
      <c r="K56" s="36">
        <f t="shared" si="1"/>
        <v>-50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-5</v>
      </c>
      <c r="K57" s="42">
        <f t="shared" si="1"/>
        <v>-50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-5</v>
      </c>
      <c r="K58" s="36">
        <f t="shared" si="1"/>
        <v>-50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-5</v>
      </c>
      <c r="K59" s="42">
        <f t="shared" si="1"/>
        <v>-50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-5</v>
      </c>
      <c r="K60" s="36">
        <f t="shared" si="1"/>
        <v>-50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-5</v>
      </c>
      <c r="K61" s="42">
        <f t="shared" si="1"/>
        <v>-50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-5</v>
      </c>
      <c r="K62" s="36">
        <f t="shared" si="1"/>
        <v>-50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-5</v>
      </c>
      <c r="K63" s="42">
        <f t="shared" si="1"/>
        <v>-50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-5</v>
      </c>
      <c r="K64" s="36">
        <f t="shared" si="1"/>
        <v>-50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-5</v>
      </c>
      <c r="K65" s="42">
        <f t="shared" si="1"/>
        <v>-50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-5</v>
      </c>
      <c r="K66" s="36">
        <f t="shared" si="1"/>
        <v>-50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-5</v>
      </c>
      <c r="K67" s="36">
        <f t="shared" si="1"/>
        <v>-50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-5</v>
      </c>
      <c r="K68" s="36">
        <f t="shared" si="1"/>
        <v>-50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-5</v>
      </c>
      <c r="K69" s="36">
        <f t="shared" si="1"/>
        <v>-50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-6</v>
      </c>
      <c r="K70" s="36">
        <f t="shared" ref="K70:K133" si="8">J70*$J$2</f>
        <v>-60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-6</v>
      </c>
      <c r="K71" s="36">
        <f t="shared" si="8"/>
        <v>-60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-6</v>
      </c>
      <c r="K72" s="36">
        <f t="shared" si="8"/>
        <v>-60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-6</v>
      </c>
      <c r="K73" s="36">
        <f t="shared" si="8"/>
        <v>-60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-6</v>
      </c>
      <c r="K74" s="36">
        <f t="shared" si="8"/>
        <v>-60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-6</v>
      </c>
      <c r="K75" s="36">
        <f t="shared" si="8"/>
        <v>-60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-6</v>
      </c>
      <c r="K76" s="36">
        <f t="shared" si="8"/>
        <v>-60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-6</v>
      </c>
      <c r="K77" s="36">
        <f t="shared" si="8"/>
        <v>-60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-6</v>
      </c>
      <c r="K78" s="36">
        <f t="shared" si="8"/>
        <v>-60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-6</v>
      </c>
      <c r="K79" s="36">
        <f t="shared" si="8"/>
        <v>-60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-6</v>
      </c>
      <c r="K80" s="36">
        <f t="shared" si="8"/>
        <v>-60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-6</v>
      </c>
      <c r="K81" s="36">
        <f t="shared" si="8"/>
        <v>-60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-6</v>
      </c>
      <c r="K82" s="36">
        <f t="shared" si="8"/>
        <v>-60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-6</v>
      </c>
      <c r="K83" s="36">
        <f t="shared" si="8"/>
        <v>-60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-6</v>
      </c>
      <c r="K84" s="36">
        <f t="shared" si="8"/>
        <v>-60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-6</v>
      </c>
      <c r="K85" s="36">
        <f t="shared" si="8"/>
        <v>-60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-6</v>
      </c>
      <c r="K86" s="36">
        <f t="shared" si="8"/>
        <v>-60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-6</v>
      </c>
      <c r="K87" s="36">
        <f t="shared" si="8"/>
        <v>-60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-6</v>
      </c>
      <c r="K88" s="36">
        <f t="shared" si="8"/>
        <v>-60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-6</v>
      </c>
      <c r="K89" s="36">
        <f t="shared" si="8"/>
        <v>-60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-6</v>
      </c>
      <c r="K90" s="36">
        <f t="shared" si="8"/>
        <v>-60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-6</v>
      </c>
      <c r="K91" s="36">
        <f t="shared" si="8"/>
        <v>-60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-6</v>
      </c>
      <c r="K92" s="36">
        <f t="shared" si="8"/>
        <v>-60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-6</v>
      </c>
      <c r="K93" s="36">
        <f t="shared" si="8"/>
        <v>-60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-6</v>
      </c>
      <c r="K94" s="36">
        <f t="shared" si="8"/>
        <v>-60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-6</v>
      </c>
      <c r="K95" s="36">
        <f t="shared" si="8"/>
        <v>-60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-6</v>
      </c>
      <c r="K96" s="36">
        <f t="shared" si="8"/>
        <v>-60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-6</v>
      </c>
      <c r="K97" s="36">
        <f t="shared" si="8"/>
        <v>-60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-6</v>
      </c>
      <c r="K98" s="36">
        <f t="shared" si="8"/>
        <v>-60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-6</v>
      </c>
      <c r="K99" s="36">
        <f t="shared" si="8"/>
        <v>-60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-6</v>
      </c>
      <c r="K100" s="36">
        <f t="shared" si="8"/>
        <v>-60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-6</v>
      </c>
      <c r="K101" s="36">
        <f t="shared" si="8"/>
        <v>-60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-6</v>
      </c>
      <c r="K102" s="36">
        <f t="shared" si="8"/>
        <v>-60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-6</v>
      </c>
      <c r="K103" s="36">
        <f t="shared" si="8"/>
        <v>-60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-6</v>
      </c>
      <c r="K104" s="36">
        <f t="shared" si="8"/>
        <v>-60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-6</v>
      </c>
      <c r="K105" s="36">
        <f t="shared" si="8"/>
        <v>-60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-6</v>
      </c>
      <c r="K106" s="36">
        <f t="shared" si="8"/>
        <v>-60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-6</v>
      </c>
      <c r="K107" s="36">
        <f t="shared" si="8"/>
        <v>-60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-6</v>
      </c>
      <c r="K108" s="36">
        <f t="shared" si="8"/>
        <v>-60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-6</v>
      </c>
      <c r="K109" s="36">
        <f t="shared" si="8"/>
        <v>-60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-6</v>
      </c>
      <c r="K110" s="36">
        <f t="shared" si="8"/>
        <v>-60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-6</v>
      </c>
      <c r="K111" s="36">
        <f t="shared" si="8"/>
        <v>-60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-6</v>
      </c>
      <c r="K112" s="36">
        <f t="shared" si="8"/>
        <v>-60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-6</v>
      </c>
      <c r="K113" s="36">
        <f t="shared" si="8"/>
        <v>-60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-6</v>
      </c>
      <c r="K114" s="36">
        <f t="shared" si="8"/>
        <v>-60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-6</v>
      </c>
      <c r="K115" s="36">
        <f t="shared" si="8"/>
        <v>-60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-6</v>
      </c>
      <c r="K116" s="36">
        <f t="shared" si="8"/>
        <v>-60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-6</v>
      </c>
      <c r="K117" s="36">
        <f t="shared" si="8"/>
        <v>-60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-6</v>
      </c>
      <c r="K118" s="36">
        <f t="shared" si="8"/>
        <v>-60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-6</v>
      </c>
      <c r="K119" s="36">
        <f t="shared" si="8"/>
        <v>-60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-6</v>
      </c>
      <c r="K120" s="36">
        <f t="shared" si="8"/>
        <v>-60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-6</v>
      </c>
      <c r="K121" s="36">
        <f t="shared" si="8"/>
        <v>-60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-6</v>
      </c>
      <c r="K122" s="36">
        <f t="shared" si="8"/>
        <v>-60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-6</v>
      </c>
      <c r="K123" s="36">
        <f t="shared" si="8"/>
        <v>-60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-6</v>
      </c>
      <c r="K124" s="36">
        <f t="shared" si="8"/>
        <v>-60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-6</v>
      </c>
      <c r="K125" s="36">
        <f t="shared" si="8"/>
        <v>-60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-6</v>
      </c>
      <c r="K126" s="36">
        <f t="shared" si="8"/>
        <v>-60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-6</v>
      </c>
      <c r="K127" s="36">
        <f t="shared" si="8"/>
        <v>-60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-6</v>
      </c>
      <c r="K128" s="36">
        <f t="shared" si="8"/>
        <v>-60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-6</v>
      </c>
      <c r="K129" s="36">
        <f t="shared" si="8"/>
        <v>-60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-6</v>
      </c>
      <c r="K130" s="36">
        <f t="shared" si="8"/>
        <v>-60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-6</v>
      </c>
      <c r="K131" s="36">
        <f t="shared" si="8"/>
        <v>-60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-6</v>
      </c>
      <c r="K132" s="36">
        <f t="shared" si="8"/>
        <v>-60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-6</v>
      </c>
      <c r="K133" s="36">
        <f t="shared" si="8"/>
        <v>-60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-7</v>
      </c>
      <c r="K134" s="36">
        <f t="shared" ref="K134:K197" si="12">J134*$J$2</f>
        <v>-70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-7</v>
      </c>
      <c r="K135" s="36">
        <f t="shared" si="12"/>
        <v>-70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-7</v>
      </c>
      <c r="K136" s="36">
        <f t="shared" si="12"/>
        <v>-70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-7</v>
      </c>
      <c r="K137" s="36">
        <f t="shared" si="12"/>
        <v>-70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-7</v>
      </c>
      <c r="K138" s="36">
        <f t="shared" si="12"/>
        <v>-70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-7</v>
      </c>
      <c r="K139" s="36">
        <f t="shared" si="12"/>
        <v>-70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-7</v>
      </c>
      <c r="K140" s="36">
        <f t="shared" si="12"/>
        <v>-70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-7</v>
      </c>
      <c r="K141" s="36">
        <f t="shared" si="12"/>
        <v>-70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-7</v>
      </c>
      <c r="K142" s="36">
        <f t="shared" si="12"/>
        <v>-70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-7</v>
      </c>
      <c r="K143" s="36">
        <f t="shared" si="12"/>
        <v>-70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-7</v>
      </c>
      <c r="K144" s="36">
        <f t="shared" si="12"/>
        <v>-70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-7</v>
      </c>
      <c r="K145" s="36">
        <f t="shared" si="12"/>
        <v>-70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-7</v>
      </c>
      <c r="K146" s="36">
        <f t="shared" si="12"/>
        <v>-70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-7</v>
      </c>
      <c r="K147" s="36">
        <f t="shared" si="12"/>
        <v>-70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-7</v>
      </c>
      <c r="K148" s="36">
        <f t="shared" si="12"/>
        <v>-70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-7</v>
      </c>
      <c r="K149" s="36">
        <f t="shared" si="12"/>
        <v>-70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-7</v>
      </c>
      <c r="K150" s="36">
        <f t="shared" si="12"/>
        <v>-70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-7</v>
      </c>
      <c r="K151" s="36">
        <f t="shared" si="12"/>
        <v>-70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-7</v>
      </c>
      <c r="K152" s="36">
        <f t="shared" si="12"/>
        <v>-70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-7</v>
      </c>
      <c r="K153" s="36">
        <f t="shared" si="12"/>
        <v>-70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-7</v>
      </c>
      <c r="K154" s="36">
        <f t="shared" si="12"/>
        <v>-70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-7</v>
      </c>
      <c r="K155" s="36">
        <f t="shared" si="12"/>
        <v>-70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-7</v>
      </c>
      <c r="K156" s="36">
        <f t="shared" si="12"/>
        <v>-70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-7</v>
      </c>
      <c r="K157" s="36">
        <f t="shared" si="12"/>
        <v>-70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-7</v>
      </c>
      <c r="K158" s="36">
        <f t="shared" si="12"/>
        <v>-70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-7</v>
      </c>
      <c r="K159" s="36">
        <f t="shared" si="12"/>
        <v>-70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-7</v>
      </c>
      <c r="K160" s="36">
        <f t="shared" si="12"/>
        <v>-70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-7</v>
      </c>
      <c r="K161" s="36">
        <f t="shared" si="12"/>
        <v>-70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-7</v>
      </c>
      <c r="K162" s="36">
        <f t="shared" si="12"/>
        <v>-70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-7</v>
      </c>
      <c r="K163" s="36">
        <f t="shared" si="12"/>
        <v>-70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-7</v>
      </c>
      <c r="K164" s="36">
        <f t="shared" si="12"/>
        <v>-70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-7</v>
      </c>
      <c r="K165" s="36">
        <f t="shared" si="12"/>
        <v>-70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-7</v>
      </c>
      <c r="K166" s="36">
        <f t="shared" si="12"/>
        <v>-70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-7</v>
      </c>
      <c r="K167" s="36">
        <f t="shared" si="12"/>
        <v>-70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-7</v>
      </c>
      <c r="K168" s="36">
        <f t="shared" si="12"/>
        <v>-70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-7</v>
      </c>
      <c r="K169" s="36">
        <f t="shared" si="12"/>
        <v>-70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-7</v>
      </c>
      <c r="K170" s="36">
        <f t="shared" si="12"/>
        <v>-70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-7</v>
      </c>
      <c r="K171" s="36">
        <f t="shared" si="12"/>
        <v>-70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-7</v>
      </c>
      <c r="K172" s="36">
        <f t="shared" si="12"/>
        <v>-70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-7</v>
      </c>
      <c r="K173" s="36">
        <f t="shared" si="12"/>
        <v>-70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-7</v>
      </c>
      <c r="K174" s="36">
        <f t="shared" si="12"/>
        <v>-70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-7</v>
      </c>
      <c r="K175" s="36">
        <f t="shared" si="12"/>
        <v>-70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-7</v>
      </c>
      <c r="K176" s="36">
        <f t="shared" si="12"/>
        <v>-70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-7</v>
      </c>
      <c r="K177" s="36">
        <f t="shared" si="12"/>
        <v>-70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-7</v>
      </c>
      <c r="K178" s="36">
        <f t="shared" si="12"/>
        <v>-70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-7</v>
      </c>
      <c r="K179" s="36">
        <f t="shared" si="12"/>
        <v>-70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-7</v>
      </c>
      <c r="K180" s="36">
        <f t="shared" si="12"/>
        <v>-70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-7</v>
      </c>
      <c r="K181" s="36">
        <f t="shared" si="12"/>
        <v>-70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-7</v>
      </c>
      <c r="K182" s="36">
        <f t="shared" si="12"/>
        <v>-70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-7</v>
      </c>
      <c r="K183" s="36">
        <f t="shared" si="12"/>
        <v>-70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-7</v>
      </c>
      <c r="K184" s="36">
        <f t="shared" si="12"/>
        <v>-70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-7</v>
      </c>
      <c r="K185" s="36">
        <f t="shared" si="12"/>
        <v>-70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-7</v>
      </c>
      <c r="K186" s="36">
        <f t="shared" si="12"/>
        <v>-70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-7</v>
      </c>
      <c r="K187" s="36">
        <f t="shared" si="12"/>
        <v>-70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-7</v>
      </c>
      <c r="K188" s="36">
        <f t="shared" si="12"/>
        <v>-70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-7</v>
      </c>
      <c r="K189" s="36">
        <f t="shared" si="12"/>
        <v>-70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-7</v>
      </c>
      <c r="K190" s="36">
        <f t="shared" si="12"/>
        <v>-70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-7</v>
      </c>
      <c r="K191" s="36">
        <f t="shared" si="12"/>
        <v>-70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-7</v>
      </c>
      <c r="K192" s="36">
        <f t="shared" si="12"/>
        <v>-70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-7</v>
      </c>
      <c r="K193" s="36">
        <f t="shared" si="12"/>
        <v>-70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-7</v>
      </c>
      <c r="K194" s="36">
        <f t="shared" si="12"/>
        <v>-70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-7</v>
      </c>
      <c r="K195" s="36">
        <f t="shared" si="12"/>
        <v>-70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-7</v>
      </c>
      <c r="K196" s="36">
        <f t="shared" si="12"/>
        <v>-70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-7</v>
      </c>
      <c r="K197" s="36">
        <f t="shared" si="12"/>
        <v>-70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-7</v>
      </c>
      <c r="K198" s="36">
        <f t="shared" ref="K198:K261" si="16">J198*$J$2</f>
        <v>-70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-7</v>
      </c>
      <c r="K199" s="36">
        <f t="shared" si="16"/>
        <v>-70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-7</v>
      </c>
      <c r="K200" s="36">
        <f t="shared" si="16"/>
        <v>-70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-7</v>
      </c>
      <c r="K201" s="36">
        <f t="shared" si="16"/>
        <v>-70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-7</v>
      </c>
      <c r="K202" s="36">
        <f t="shared" si="16"/>
        <v>-70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-7</v>
      </c>
      <c r="K203" s="36">
        <f t="shared" si="16"/>
        <v>-70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-7</v>
      </c>
      <c r="K204" s="36">
        <f t="shared" si="16"/>
        <v>-70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-7</v>
      </c>
      <c r="K205" s="36">
        <f t="shared" si="16"/>
        <v>-70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-7</v>
      </c>
      <c r="K206" s="36">
        <f t="shared" si="16"/>
        <v>-70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-7</v>
      </c>
      <c r="K207" s="36">
        <f t="shared" si="16"/>
        <v>-70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-7</v>
      </c>
      <c r="K208" s="36">
        <f t="shared" si="16"/>
        <v>-70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-7</v>
      </c>
      <c r="K209" s="36">
        <f t="shared" si="16"/>
        <v>-70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-7</v>
      </c>
      <c r="K210" s="36">
        <f t="shared" si="16"/>
        <v>-70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-7</v>
      </c>
      <c r="K211" s="36">
        <f t="shared" si="16"/>
        <v>-70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-7</v>
      </c>
      <c r="K212" s="36">
        <f t="shared" si="16"/>
        <v>-70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-7</v>
      </c>
      <c r="K213" s="36">
        <f t="shared" si="16"/>
        <v>-70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-7</v>
      </c>
      <c r="K214" s="36">
        <f t="shared" si="16"/>
        <v>-70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-7</v>
      </c>
      <c r="K215" s="36">
        <f t="shared" si="16"/>
        <v>-70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-7</v>
      </c>
      <c r="K216" s="36">
        <f t="shared" si="16"/>
        <v>-70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-7</v>
      </c>
      <c r="K217" s="36">
        <f t="shared" si="16"/>
        <v>-70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-7</v>
      </c>
      <c r="K218" s="36">
        <f t="shared" si="16"/>
        <v>-70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-7</v>
      </c>
      <c r="K219" s="36">
        <f t="shared" si="16"/>
        <v>-70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-7</v>
      </c>
      <c r="K220" s="36">
        <f t="shared" si="16"/>
        <v>-70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-7</v>
      </c>
      <c r="K221" s="36">
        <f t="shared" si="16"/>
        <v>-70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-7</v>
      </c>
      <c r="K222" s="36">
        <f t="shared" si="16"/>
        <v>-70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-7</v>
      </c>
      <c r="K223" s="36">
        <f t="shared" si="16"/>
        <v>-70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-7</v>
      </c>
      <c r="K224" s="36">
        <f t="shared" si="16"/>
        <v>-70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-7</v>
      </c>
      <c r="K225" s="36">
        <f t="shared" si="16"/>
        <v>-70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-7</v>
      </c>
      <c r="K226" s="36">
        <f t="shared" si="16"/>
        <v>-70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-7</v>
      </c>
      <c r="K227" s="36">
        <f t="shared" si="16"/>
        <v>-70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-7</v>
      </c>
      <c r="K228" s="36">
        <f t="shared" si="16"/>
        <v>-70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-7</v>
      </c>
      <c r="K229" s="36">
        <f t="shared" si="16"/>
        <v>-70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-7</v>
      </c>
      <c r="K230" s="36">
        <f t="shared" si="16"/>
        <v>-70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-7</v>
      </c>
      <c r="K231" s="36">
        <f t="shared" si="16"/>
        <v>-70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-7</v>
      </c>
      <c r="K232" s="36">
        <f t="shared" si="16"/>
        <v>-70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-7</v>
      </c>
      <c r="K233" s="36">
        <f t="shared" si="16"/>
        <v>-70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-7</v>
      </c>
      <c r="K234" s="36">
        <f t="shared" si="16"/>
        <v>-70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-7</v>
      </c>
      <c r="K235" s="36">
        <f t="shared" si="16"/>
        <v>-70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-7</v>
      </c>
      <c r="K236" s="36">
        <f t="shared" si="16"/>
        <v>-70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-7</v>
      </c>
      <c r="K237" s="36">
        <f t="shared" si="16"/>
        <v>-70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-7</v>
      </c>
      <c r="K238" s="36">
        <f t="shared" si="16"/>
        <v>-70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-7</v>
      </c>
      <c r="K239" s="36">
        <f t="shared" si="16"/>
        <v>-70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-7</v>
      </c>
      <c r="K240" s="36">
        <f t="shared" si="16"/>
        <v>-70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-7</v>
      </c>
      <c r="K241" s="36">
        <f t="shared" si="16"/>
        <v>-70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-7</v>
      </c>
      <c r="K242" s="36">
        <f t="shared" si="16"/>
        <v>-70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-7</v>
      </c>
      <c r="K243" s="36">
        <f t="shared" si="16"/>
        <v>-70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-7</v>
      </c>
      <c r="K244" s="36">
        <f t="shared" si="16"/>
        <v>-70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-7</v>
      </c>
      <c r="K245" s="36">
        <f t="shared" si="16"/>
        <v>-70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-7</v>
      </c>
      <c r="K246" s="36">
        <f t="shared" si="16"/>
        <v>-70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-7</v>
      </c>
      <c r="K247" s="36">
        <f t="shared" si="16"/>
        <v>-70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-7</v>
      </c>
      <c r="K248" s="36">
        <f t="shared" si="16"/>
        <v>-70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-7</v>
      </c>
      <c r="K249" s="36">
        <f t="shared" si="16"/>
        <v>-70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-7</v>
      </c>
      <c r="K250" s="36">
        <f t="shared" si="16"/>
        <v>-70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-7</v>
      </c>
      <c r="K251" s="36">
        <f t="shared" si="16"/>
        <v>-70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-7</v>
      </c>
      <c r="K252" s="36">
        <f t="shared" si="16"/>
        <v>-70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-7</v>
      </c>
      <c r="K253" s="36">
        <f t="shared" si="16"/>
        <v>-70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-7</v>
      </c>
      <c r="K254" s="36">
        <f t="shared" si="16"/>
        <v>-70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-7</v>
      </c>
      <c r="K255" s="36">
        <f t="shared" si="16"/>
        <v>-70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-7</v>
      </c>
      <c r="K256" s="36">
        <f t="shared" si="16"/>
        <v>-70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-7</v>
      </c>
      <c r="K257" s="36">
        <f t="shared" si="16"/>
        <v>-70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-7</v>
      </c>
      <c r="K258" s="36">
        <f t="shared" si="16"/>
        <v>-70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-7</v>
      </c>
      <c r="K259" s="36">
        <f t="shared" si="16"/>
        <v>-70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-7</v>
      </c>
      <c r="K260" s="36">
        <f t="shared" si="16"/>
        <v>-70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-7</v>
      </c>
      <c r="K261" s="36">
        <f t="shared" si="16"/>
        <v>-70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-8</v>
      </c>
      <c r="K262" s="36">
        <f t="shared" ref="K262:K305" si="20">J262*$J$2</f>
        <v>-80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-8</v>
      </c>
      <c r="K263" s="36">
        <f t="shared" si="20"/>
        <v>-80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-8</v>
      </c>
      <c r="K264" s="36">
        <f t="shared" si="20"/>
        <v>-80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-8</v>
      </c>
      <c r="K265" s="36">
        <f t="shared" si="20"/>
        <v>-80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-8</v>
      </c>
      <c r="K266" s="36">
        <f t="shared" si="20"/>
        <v>-80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-8</v>
      </c>
      <c r="K267" s="36">
        <f t="shared" si="20"/>
        <v>-80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-8</v>
      </c>
      <c r="K268" s="36">
        <f t="shared" si="20"/>
        <v>-80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-8</v>
      </c>
      <c r="K269" s="36">
        <f t="shared" si="20"/>
        <v>-80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-8</v>
      </c>
      <c r="K270" s="36">
        <f t="shared" si="20"/>
        <v>-80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-8</v>
      </c>
      <c r="K271" s="36">
        <f t="shared" si="20"/>
        <v>-80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-8</v>
      </c>
      <c r="K272" s="36">
        <f t="shared" si="20"/>
        <v>-80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-8</v>
      </c>
      <c r="K273" s="36">
        <f t="shared" si="20"/>
        <v>-80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-8</v>
      </c>
      <c r="K274" s="36">
        <f t="shared" si="20"/>
        <v>-80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-8</v>
      </c>
      <c r="K275" s="36">
        <f t="shared" si="20"/>
        <v>-80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-8</v>
      </c>
      <c r="K276" s="36">
        <f t="shared" si="20"/>
        <v>-80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-8</v>
      </c>
      <c r="K277" s="36">
        <f t="shared" si="20"/>
        <v>-80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-8</v>
      </c>
      <c r="K278" s="36">
        <f t="shared" si="20"/>
        <v>-80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-8</v>
      </c>
      <c r="K279" s="36">
        <f t="shared" si="20"/>
        <v>-80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-8</v>
      </c>
      <c r="K280" s="36">
        <f t="shared" si="20"/>
        <v>-80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-8</v>
      </c>
      <c r="K281" s="36">
        <f t="shared" si="20"/>
        <v>-80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-8</v>
      </c>
      <c r="K282" s="36">
        <f t="shared" si="20"/>
        <v>-80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-8</v>
      </c>
      <c r="K283" s="36">
        <f t="shared" si="20"/>
        <v>-80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-8</v>
      </c>
      <c r="K284" s="36">
        <f t="shared" si="20"/>
        <v>-80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-8</v>
      </c>
      <c r="K285" s="36">
        <f t="shared" si="20"/>
        <v>-80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-8</v>
      </c>
      <c r="K286" s="36">
        <f t="shared" si="20"/>
        <v>-80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-8</v>
      </c>
      <c r="K287" s="36">
        <f t="shared" si="20"/>
        <v>-80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-8</v>
      </c>
      <c r="K288" s="36">
        <f t="shared" si="20"/>
        <v>-80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-8</v>
      </c>
      <c r="K289" s="36">
        <f t="shared" si="20"/>
        <v>-80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-8</v>
      </c>
      <c r="K290" s="36">
        <f t="shared" si="20"/>
        <v>-80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-8</v>
      </c>
      <c r="K291" s="36">
        <f t="shared" si="20"/>
        <v>-80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-8</v>
      </c>
      <c r="K292" s="36">
        <f t="shared" si="20"/>
        <v>-80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-8</v>
      </c>
      <c r="K293" s="36">
        <f t="shared" si="20"/>
        <v>-80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-8</v>
      </c>
      <c r="K294" s="36">
        <f t="shared" si="20"/>
        <v>-80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-8</v>
      </c>
      <c r="K295" s="36">
        <f t="shared" si="20"/>
        <v>-80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-8</v>
      </c>
      <c r="K296" s="36">
        <f t="shared" si="20"/>
        <v>-80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-8</v>
      </c>
      <c r="K297" s="36">
        <f t="shared" si="20"/>
        <v>-80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-8</v>
      </c>
      <c r="K298" s="36">
        <f t="shared" si="20"/>
        <v>-80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-8</v>
      </c>
      <c r="K299" s="36">
        <f t="shared" si="20"/>
        <v>-80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-8</v>
      </c>
      <c r="K300" s="36">
        <f t="shared" si="20"/>
        <v>-80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-8</v>
      </c>
      <c r="K301" s="36">
        <f t="shared" si="20"/>
        <v>-80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-8</v>
      </c>
      <c r="K302" s="36">
        <f t="shared" si="20"/>
        <v>-80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-8</v>
      </c>
      <c r="K303" s="36">
        <f t="shared" si="20"/>
        <v>-80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-8</v>
      </c>
      <c r="K304" s="36">
        <f t="shared" si="20"/>
        <v>-80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-8</v>
      </c>
      <c r="K305" s="36">
        <f t="shared" si="20"/>
        <v>-80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A8" sqref="A8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ht="14.45" customHeight="1" x14ac:dyDescent="0.25">
      <c r="A2" s="14"/>
      <c r="B2" s="20" t="s">
        <v>26</v>
      </c>
      <c r="C2" s="262" t="s">
        <v>56</v>
      </c>
      <c r="D2" s="26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ht="14.45" customHeight="1" x14ac:dyDescent="0.25">
      <c r="A3" s="14"/>
      <c r="B3" s="25" t="s">
        <v>28</v>
      </c>
      <c r="C3" s="263" t="s">
        <v>57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19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0</v>
      </c>
      <c r="K6" s="36">
        <f t="shared" ref="K6:K69" si="1">J6*$J$2</f>
        <v>0</v>
      </c>
      <c r="L6" s="38">
        <f>3*K2</f>
        <v>9</v>
      </c>
      <c r="M6" s="38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ref="B8" si="6">IF(H8&gt;$H$2,"",(ROW()-5))</f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1"/>
        <v>-20</v>
      </c>
      <c r="L8" s="36">
        <f>K2</f>
        <v>3</v>
      </c>
      <c r="M8" s="38">
        <f t="shared" si="2"/>
        <v>0</v>
      </c>
      <c r="V8" s="45"/>
      <c r="Z8" s="46"/>
      <c r="AA8" s="46"/>
      <c r="AG8" s="47"/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1"/>
        <v>-20</v>
      </c>
      <c r="L9" s="44"/>
      <c r="M9" s="44">
        <f t="shared" si="2"/>
        <v>0</v>
      </c>
      <c r="V9" s="45"/>
      <c r="Z9" s="46"/>
      <c r="AA9" s="46"/>
      <c r="AG9" s="47"/>
      <c r="AH9" s="19" t="s">
        <v>42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1"/>
        <v>-30</v>
      </c>
      <c r="L10" s="36"/>
      <c r="M10" s="38">
        <f t="shared" si="2"/>
        <v>0</v>
      </c>
      <c r="V10" s="45"/>
      <c r="Z10" s="46"/>
      <c r="AA10" s="46"/>
      <c r="AG10" s="47"/>
      <c r="AH10" s="19" t="s">
        <v>43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1"/>
        <v>-30</v>
      </c>
      <c r="L11" s="42"/>
      <c r="M11" s="44">
        <f t="shared" si="2"/>
        <v>0</v>
      </c>
      <c r="V11" s="48"/>
      <c r="Z11" s="46"/>
      <c r="AA11" s="46"/>
      <c r="AG11" s="47"/>
      <c r="AH11" s="19" t="s">
        <v>44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1"/>
        <v>-30</v>
      </c>
      <c r="L12" s="36"/>
      <c r="M12" s="38">
        <f t="shared" si="2"/>
        <v>0</v>
      </c>
      <c r="Z12" s="46"/>
      <c r="AA12" s="46"/>
      <c r="AG12" s="47"/>
      <c r="AH12" s="19" t="s">
        <v>45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1"/>
        <v>-30</v>
      </c>
      <c r="L13" s="42"/>
      <c r="M13" s="44">
        <f t="shared" si="2"/>
        <v>0</v>
      </c>
      <c r="X13" s="45"/>
      <c r="AG13" s="47"/>
      <c r="AH13" s="19" t="s">
        <v>46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1"/>
        <v>-40</v>
      </c>
      <c r="L14" s="36"/>
      <c r="M14" s="38">
        <f t="shared" si="2"/>
        <v>0</v>
      </c>
      <c r="X14" s="51"/>
      <c r="Z14" s="46"/>
      <c r="AA14" s="46"/>
      <c r="AG14" s="47"/>
      <c r="AH14" s="19" t="s">
        <v>47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1"/>
        <v>-40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1"/>
        <v>-40</v>
      </c>
      <c r="L16" s="36"/>
      <c r="M16" s="38">
        <f t="shared" si="2"/>
        <v>0</v>
      </c>
      <c r="R16" s="52"/>
      <c r="Z16" s="46"/>
      <c r="AA16" s="46"/>
      <c r="AH16" s="53" t="s">
        <v>48</v>
      </c>
      <c r="AI16" s="19">
        <f>AI11-AI12*AI13/AI14</f>
        <v>9.6393909380186855</v>
      </c>
      <c r="AJ16" s="19" t="s">
        <v>49</v>
      </c>
    </row>
    <row r="17" spans="1:19" x14ac:dyDescent="0.25">
      <c r="A17" s="49">
        <f t="shared" si="3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1"/>
        <v>-40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1"/>
        <v>-40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1"/>
        <v>-40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1"/>
        <v>-40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1"/>
        <v>-40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1"/>
        <v>-50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1"/>
        <v>-50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1"/>
        <v>-50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1"/>
        <v>-50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1"/>
        <v>-50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1"/>
        <v>-50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1"/>
        <v>-50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1"/>
        <v>-50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1"/>
        <v>-50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1"/>
        <v>-50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1"/>
        <v>-50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1"/>
        <v>-50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1"/>
        <v>-50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1"/>
        <v>-50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1"/>
        <v>-50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1"/>
        <v>-50</v>
      </c>
      <c r="L37" s="42"/>
      <c r="M37" s="44">
        <f t="shared" si="2"/>
        <v>0</v>
      </c>
    </row>
    <row r="38" spans="1:21" x14ac:dyDescent="0.25">
      <c r="A38" s="50"/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1"/>
        <v>-60</v>
      </c>
      <c r="L38" s="36"/>
      <c r="M38" s="38">
        <f t="shared" si="2"/>
        <v>0</v>
      </c>
    </row>
    <row r="39" spans="1:21" x14ac:dyDescent="0.25">
      <c r="A39" s="49"/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1"/>
        <v>-60</v>
      </c>
      <c r="L39" s="42"/>
      <c r="M39" s="44">
        <f t="shared" si="2"/>
        <v>0</v>
      </c>
    </row>
    <row r="40" spans="1:21" x14ac:dyDescent="0.25">
      <c r="A40" s="50"/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1"/>
        <v>-60</v>
      </c>
      <c r="L40" s="36"/>
      <c r="M40" s="38">
        <f t="shared" si="2"/>
        <v>0</v>
      </c>
    </row>
    <row r="41" spans="1:21" x14ac:dyDescent="0.25">
      <c r="A41" s="49"/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1"/>
        <v>-60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1"/>
        <v>-60</v>
      </c>
      <c r="L42" s="36"/>
      <c r="M42" s="38">
        <f t="shared" si="2"/>
        <v>0</v>
      </c>
    </row>
    <row r="43" spans="1:21" x14ac:dyDescent="0.25">
      <c r="A43" s="49"/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1"/>
        <v>-60</v>
      </c>
      <c r="L43" s="42"/>
      <c r="M43" s="44">
        <f t="shared" si="2"/>
        <v>0</v>
      </c>
    </row>
    <row r="44" spans="1:21" x14ac:dyDescent="0.25">
      <c r="A44" s="50"/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1"/>
        <v>-60</v>
      </c>
      <c r="L44" s="36"/>
      <c r="M44" s="38">
        <f t="shared" si="2"/>
        <v>0</v>
      </c>
    </row>
    <row r="45" spans="1:21" x14ac:dyDescent="0.25">
      <c r="A45" s="49"/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1"/>
        <v>-60</v>
      </c>
      <c r="L45" s="42"/>
      <c r="M45" s="44">
        <f t="shared" si="2"/>
        <v>0</v>
      </c>
    </row>
    <row r="46" spans="1:21" x14ac:dyDescent="0.25">
      <c r="A46" s="50"/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1"/>
        <v>-60</v>
      </c>
      <c r="L46" s="36"/>
      <c r="M46" s="38">
        <f t="shared" si="2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1"/>
        <v>-60</v>
      </c>
      <c r="L47" s="42"/>
      <c r="M47" s="44">
        <f t="shared" si="2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1"/>
        <v>-60</v>
      </c>
      <c r="L48" s="36"/>
      <c r="M48" s="38">
        <f t="shared" si="2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1"/>
        <v>-60</v>
      </c>
      <c r="L49" s="42"/>
      <c r="M49" s="44">
        <f t="shared" si="2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1"/>
        <v>-60</v>
      </c>
      <c r="L50" s="36"/>
      <c r="M50" s="38">
        <f t="shared" si="2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1"/>
        <v>-60</v>
      </c>
      <c r="L51" s="42"/>
      <c r="M51" s="44">
        <f t="shared" si="2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1"/>
        <v>-60</v>
      </c>
      <c r="L52" s="36"/>
      <c r="M52" s="38">
        <f t="shared" si="2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1"/>
        <v>-60</v>
      </c>
      <c r="L53" s="42"/>
      <c r="M53" s="44">
        <f t="shared" si="2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1"/>
        <v>-60</v>
      </c>
      <c r="L54" s="36"/>
      <c r="M54" s="38">
        <f t="shared" si="2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1"/>
        <v>-60</v>
      </c>
      <c r="L55" s="42"/>
      <c r="M55" s="44">
        <f t="shared" si="2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1"/>
        <v>-60</v>
      </c>
      <c r="L56" s="36"/>
      <c r="M56" s="38">
        <f t="shared" si="2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1"/>
        <v>-60</v>
      </c>
      <c r="L57" s="42"/>
      <c r="M57" s="44">
        <f t="shared" si="2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1"/>
        <v>-60</v>
      </c>
      <c r="L58" s="36"/>
      <c r="M58" s="38">
        <f t="shared" si="2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1"/>
        <v>-60</v>
      </c>
      <c r="L59" s="42"/>
      <c r="M59" s="44">
        <f t="shared" si="2"/>
        <v>0</v>
      </c>
    </row>
    <row r="60" spans="1:13" x14ac:dyDescent="0.25">
      <c r="A60" s="50"/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1"/>
        <v>-60</v>
      </c>
      <c r="L60" s="36"/>
      <c r="M60" s="38">
        <f t="shared" si="2"/>
        <v>0</v>
      </c>
    </row>
    <row r="61" spans="1:13" x14ac:dyDescent="0.25">
      <c r="A61" s="49"/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1"/>
        <v>-60</v>
      </c>
      <c r="L61" s="42"/>
      <c r="M61" s="44">
        <f t="shared" si="2"/>
        <v>0</v>
      </c>
    </row>
    <row r="62" spans="1:13" x14ac:dyDescent="0.25">
      <c r="A62" s="50"/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1"/>
        <v>-60</v>
      </c>
      <c r="L62" s="36"/>
      <c r="M62" s="38">
        <f t="shared" si="2"/>
        <v>0</v>
      </c>
    </row>
    <row r="63" spans="1:13" x14ac:dyDescent="0.25">
      <c r="A63" s="49"/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1"/>
        <v>-60</v>
      </c>
      <c r="L63" s="42"/>
      <c r="M63" s="44">
        <f t="shared" si="2"/>
        <v>0</v>
      </c>
    </row>
    <row r="64" spans="1:13" x14ac:dyDescent="0.25">
      <c r="A64" s="50"/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1"/>
        <v>-60</v>
      </c>
      <c r="L64" s="36"/>
      <c r="M64" s="38">
        <f t="shared" si="2"/>
        <v>0</v>
      </c>
    </row>
    <row r="65" spans="1:13" x14ac:dyDescent="0.25">
      <c r="A65" s="49"/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1"/>
        <v>-60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1"/>
        <v>-60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1"/>
        <v>-60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1"/>
        <v>-60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1"/>
        <v>-60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5"/>
        <v>-7</v>
      </c>
      <c r="K70" s="36">
        <f t="shared" ref="K70:K133" si="9">J70*$J$2</f>
        <v>-70</v>
      </c>
      <c r="L70" s="36"/>
      <c r="M70" s="38">
        <f t="shared" ref="M70:M133" si="10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8"/>
        <v/>
      </c>
      <c r="J71" s="36">
        <f t="shared" ref="J71:J134" si="11">INT(LOG($H$2,2))-ROUNDUP(LOG(H71,2),0)+IF(OR($H$2=1,$H$2=2,$H$2=4,$H$2=8,$H$2=16,$H$2=32,$H$2=64,$H$2=128,$H$2=256),0,1)</f>
        <v>-7</v>
      </c>
      <c r="K71" s="36">
        <f t="shared" si="9"/>
        <v>-70</v>
      </c>
      <c r="L71" s="36"/>
      <c r="M71" s="38">
        <f t="shared" si="10"/>
        <v>0</v>
      </c>
    </row>
    <row r="72" spans="1:13" x14ac:dyDescent="0.25">
      <c r="A72" s="57"/>
      <c r="G72" s="14"/>
      <c r="H72" s="36">
        <v>67</v>
      </c>
      <c r="I72" s="37" t="str">
        <f t="shared" si="8"/>
        <v/>
      </c>
      <c r="J72" s="36">
        <f t="shared" si="11"/>
        <v>-7</v>
      </c>
      <c r="K72" s="36">
        <f t="shared" si="9"/>
        <v>-70</v>
      </c>
      <c r="L72" s="36"/>
      <c r="M72" s="38">
        <f t="shared" si="10"/>
        <v>0</v>
      </c>
    </row>
    <row r="73" spans="1:13" x14ac:dyDescent="0.25">
      <c r="A73" s="57"/>
      <c r="G73" s="14"/>
      <c r="H73" s="36">
        <v>68</v>
      </c>
      <c r="I73" s="37" t="str">
        <f t="shared" si="8"/>
        <v/>
      </c>
      <c r="J73" s="36">
        <f t="shared" si="11"/>
        <v>-7</v>
      </c>
      <c r="K73" s="36">
        <f t="shared" si="9"/>
        <v>-70</v>
      </c>
      <c r="L73" s="36"/>
      <c r="M73" s="38">
        <f t="shared" si="10"/>
        <v>0</v>
      </c>
    </row>
    <row r="74" spans="1:13" x14ac:dyDescent="0.25">
      <c r="A74" s="57"/>
      <c r="G74" s="14"/>
      <c r="H74" s="36">
        <v>69</v>
      </c>
      <c r="I74" s="37" t="str">
        <f t="shared" si="8"/>
        <v/>
      </c>
      <c r="J74" s="36">
        <f t="shared" si="11"/>
        <v>-7</v>
      </c>
      <c r="K74" s="36">
        <f t="shared" si="9"/>
        <v>-70</v>
      </c>
      <c r="L74" s="36"/>
      <c r="M74" s="38">
        <f t="shared" si="10"/>
        <v>0</v>
      </c>
    </row>
    <row r="75" spans="1:13" x14ac:dyDescent="0.25">
      <c r="A75" s="57"/>
      <c r="G75" s="14"/>
      <c r="H75" s="36">
        <v>70</v>
      </c>
      <c r="I75" s="37" t="str">
        <f t="shared" si="8"/>
        <v/>
      </c>
      <c r="J75" s="36">
        <f t="shared" si="11"/>
        <v>-7</v>
      </c>
      <c r="K75" s="36">
        <f t="shared" si="9"/>
        <v>-70</v>
      </c>
      <c r="L75" s="36"/>
      <c r="M75" s="38">
        <f t="shared" si="10"/>
        <v>0</v>
      </c>
    </row>
    <row r="76" spans="1:13" x14ac:dyDescent="0.25">
      <c r="A76" s="57"/>
      <c r="G76" s="14"/>
      <c r="H76" s="36">
        <v>71</v>
      </c>
      <c r="I76" s="37" t="str">
        <f t="shared" si="8"/>
        <v/>
      </c>
      <c r="J76" s="36">
        <f t="shared" si="11"/>
        <v>-7</v>
      </c>
      <c r="K76" s="36">
        <f t="shared" si="9"/>
        <v>-70</v>
      </c>
      <c r="L76" s="36"/>
      <c r="M76" s="38">
        <f t="shared" si="10"/>
        <v>0</v>
      </c>
    </row>
    <row r="77" spans="1:13" x14ac:dyDescent="0.25">
      <c r="A77" s="57"/>
      <c r="G77" s="14"/>
      <c r="H77" s="36">
        <v>72</v>
      </c>
      <c r="I77" s="37" t="str">
        <f t="shared" si="8"/>
        <v/>
      </c>
      <c r="J77" s="36">
        <f t="shared" si="11"/>
        <v>-7</v>
      </c>
      <c r="K77" s="36">
        <f t="shared" si="9"/>
        <v>-70</v>
      </c>
      <c r="L77" s="36"/>
      <c r="M77" s="38">
        <f t="shared" si="10"/>
        <v>0</v>
      </c>
    </row>
    <row r="78" spans="1:13" x14ac:dyDescent="0.25">
      <c r="A78" s="57"/>
      <c r="G78" s="14"/>
      <c r="H78" s="36">
        <v>73</v>
      </c>
      <c r="I78" s="37" t="str">
        <f t="shared" si="8"/>
        <v/>
      </c>
      <c r="J78" s="36">
        <f t="shared" si="11"/>
        <v>-7</v>
      </c>
      <c r="K78" s="36">
        <f t="shared" si="9"/>
        <v>-70</v>
      </c>
      <c r="L78" s="36"/>
      <c r="M78" s="38">
        <f t="shared" si="10"/>
        <v>0</v>
      </c>
    </row>
    <row r="79" spans="1:13" x14ac:dyDescent="0.25">
      <c r="A79" s="57"/>
      <c r="G79" s="14"/>
      <c r="H79" s="36">
        <v>74</v>
      </c>
      <c r="I79" s="37" t="str">
        <f t="shared" si="8"/>
        <v/>
      </c>
      <c r="J79" s="36">
        <f t="shared" si="11"/>
        <v>-7</v>
      </c>
      <c r="K79" s="36">
        <f t="shared" si="9"/>
        <v>-70</v>
      </c>
      <c r="L79" s="36"/>
      <c r="M79" s="38">
        <f t="shared" si="10"/>
        <v>0</v>
      </c>
    </row>
    <row r="80" spans="1:13" x14ac:dyDescent="0.25">
      <c r="A80" s="57"/>
      <c r="G80" s="14"/>
      <c r="H80" s="36">
        <v>75</v>
      </c>
      <c r="I80" s="37" t="str">
        <f t="shared" si="8"/>
        <v/>
      </c>
      <c r="J80" s="36">
        <f t="shared" si="11"/>
        <v>-7</v>
      </c>
      <c r="K80" s="36">
        <f t="shared" si="9"/>
        <v>-70</v>
      </c>
      <c r="L80" s="36"/>
      <c r="M80" s="38">
        <f t="shared" si="10"/>
        <v>0</v>
      </c>
    </row>
    <row r="81" spans="1:13" x14ac:dyDescent="0.25">
      <c r="A81" s="57"/>
      <c r="G81" s="14"/>
      <c r="H81" s="36">
        <v>76</v>
      </c>
      <c r="I81" s="37" t="str">
        <f t="shared" si="8"/>
        <v/>
      </c>
      <c r="J81" s="36">
        <f t="shared" si="11"/>
        <v>-7</v>
      </c>
      <c r="K81" s="36">
        <f t="shared" si="9"/>
        <v>-70</v>
      </c>
      <c r="L81" s="36"/>
      <c r="M81" s="38">
        <f t="shared" si="10"/>
        <v>0</v>
      </c>
    </row>
    <row r="82" spans="1:13" x14ac:dyDescent="0.25">
      <c r="A82" s="57"/>
      <c r="G82" s="14"/>
      <c r="H82" s="36">
        <v>77</v>
      </c>
      <c r="I82" s="37" t="str">
        <f t="shared" si="8"/>
        <v/>
      </c>
      <c r="J82" s="36">
        <f t="shared" si="11"/>
        <v>-7</v>
      </c>
      <c r="K82" s="36">
        <f t="shared" si="9"/>
        <v>-70</v>
      </c>
      <c r="L82" s="36"/>
      <c r="M82" s="38">
        <f t="shared" si="10"/>
        <v>0</v>
      </c>
    </row>
    <row r="83" spans="1:13" x14ac:dyDescent="0.25">
      <c r="A83" s="57"/>
      <c r="G83" s="14"/>
      <c r="H83" s="36">
        <v>78</v>
      </c>
      <c r="I83" s="37" t="str">
        <f t="shared" si="8"/>
        <v/>
      </c>
      <c r="J83" s="36">
        <f t="shared" si="11"/>
        <v>-7</v>
      </c>
      <c r="K83" s="36">
        <f t="shared" si="9"/>
        <v>-70</v>
      </c>
      <c r="L83" s="36"/>
      <c r="M83" s="38">
        <f t="shared" si="10"/>
        <v>0</v>
      </c>
    </row>
    <row r="84" spans="1:13" x14ac:dyDescent="0.25">
      <c r="A84" s="57"/>
      <c r="G84" s="14"/>
      <c r="H84" s="36">
        <v>79</v>
      </c>
      <c r="I84" s="37" t="str">
        <f t="shared" si="8"/>
        <v/>
      </c>
      <c r="J84" s="36">
        <f t="shared" si="11"/>
        <v>-7</v>
      </c>
      <c r="K84" s="36">
        <f t="shared" si="9"/>
        <v>-70</v>
      </c>
      <c r="L84" s="36"/>
      <c r="M84" s="38">
        <f t="shared" si="10"/>
        <v>0</v>
      </c>
    </row>
    <row r="85" spans="1:13" x14ac:dyDescent="0.25">
      <c r="A85" s="57"/>
      <c r="G85" s="14"/>
      <c r="H85" s="36">
        <v>80</v>
      </c>
      <c r="I85" s="37" t="str">
        <f t="shared" si="8"/>
        <v/>
      </c>
      <c r="J85" s="36">
        <f t="shared" si="11"/>
        <v>-7</v>
      </c>
      <c r="K85" s="36">
        <f t="shared" si="9"/>
        <v>-70</v>
      </c>
      <c r="L85" s="36"/>
      <c r="M85" s="38">
        <f t="shared" si="10"/>
        <v>0</v>
      </c>
    </row>
    <row r="86" spans="1:13" x14ac:dyDescent="0.25">
      <c r="A86" s="57"/>
      <c r="G86" s="14"/>
      <c r="H86" s="36">
        <v>81</v>
      </c>
      <c r="I86" s="37" t="str">
        <f t="shared" si="8"/>
        <v/>
      </c>
      <c r="J86" s="36">
        <f t="shared" si="11"/>
        <v>-7</v>
      </c>
      <c r="K86" s="36">
        <f t="shared" si="9"/>
        <v>-70</v>
      </c>
      <c r="L86" s="36"/>
      <c r="M86" s="38">
        <f t="shared" si="10"/>
        <v>0</v>
      </c>
    </row>
    <row r="87" spans="1:13" x14ac:dyDescent="0.25">
      <c r="A87" s="57"/>
      <c r="G87" s="14"/>
      <c r="H87" s="36">
        <v>82</v>
      </c>
      <c r="I87" s="37" t="str">
        <f t="shared" si="8"/>
        <v/>
      </c>
      <c r="J87" s="36">
        <f t="shared" si="11"/>
        <v>-7</v>
      </c>
      <c r="K87" s="36">
        <f t="shared" si="9"/>
        <v>-70</v>
      </c>
      <c r="L87" s="36"/>
      <c r="M87" s="38">
        <f t="shared" si="10"/>
        <v>0</v>
      </c>
    </row>
    <row r="88" spans="1:13" x14ac:dyDescent="0.25">
      <c r="A88" s="57"/>
      <c r="G88" s="14"/>
      <c r="H88" s="36">
        <v>83</v>
      </c>
      <c r="I88" s="37" t="str">
        <f t="shared" si="8"/>
        <v/>
      </c>
      <c r="J88" s="36">
        <f t="shared" si="11"/>
        <v>-7</v>
      </c>
      <c r="K88" s="36">
        <f t="shared" si="9"/>
        <v>-70</v>
      </c>
      <c r="L88" s="36"/>
      <c r="M88" s="38">
        <f t="shared" si="10"/>
        <v>0</v>
      </c>
    </row>
    <row r="89" spans="1:13" x14ac:dyDescent="0.25">
      <c r="A89" s="57"/>
      <c r="G89" s="14"/>
      <c r="H89" s="36">
        <v>84</v>
      </c>
      <c r="I89" s="37" t="str">
        <f t="shared" si="8"/>
        <v/>
      </c>
      <c r="J89" s="36">
        <f t="shared" si="11"/>
        <v>-7</v>
      </c>
      <c r="K89" s="36">
        <f t="shared" si="9"/>
        <v>-70</v>
      </c>
      <c r="L89" s="36"/>
      <c r="M89" s="38">
        <f t="shared" si="10"/>
        <v>0</v>
      </c>
    </row>
    <row r="90" spans="1:13" x14ac:dyDescent="0.25">
      <c r="A90" s="57"/>
      <c r="G90" s="14"/>
      <c r="H90" s="36">
        <v>85</v>
      </c>
      <c r="I90" s="37" t="str">
        <f t="shared" si="8"/>
        <v/>
      </c>
      <c r="J90" s="36">
        <f t="shared" si="11"/>
        <v>-7</v>
      </c>
      <c r="K90" s="36">
        <f t="shared" si="9"/>
        <v>-70</v>
      </c>
      <c r="L90" s="36"/>
      <c r="M90" s="38">
        <f t="shared" si="10"/>
        <v>0</v>
      </c>
    </row>
    <row r="91" spans="1:13" x14ac:dyDescent="0.25">
      <c r="A91" s="57"/>
      <c r="G91" s="14"/>
      <c r="H91" s="36">
        <v>86</v>
      </c>
      <c r="I91" s="37" t="str">
        <f t="shared" si="8"/>
        <v/>
      </c>
      <c r="J91" s="36">
        <f t="shared" si="11"/>
        <v>-7</v>
      </c>
      <c r="K91" s="36">
        <f t="shared" si="9"/>
        <v>-70</v>
      </c>
      <c r="L91" s="36"/>
      <c r="M91" s="38">
        <f t="shared" si="10"/>
        <v>0</v>
      </c>
    </row>
    <row r="92" spans="1:13" x14ac:dyDescent="0.25">
      <c r="A92" s="57"/>
      <c r="G92" s="14"/>
      <c r="H92" s="36">
        <v>87</v>
      </c>
      <c r="I92" s="37" t="str">
        <f t="shared" si="8"/>
        <v/>
      </c>
      <c r="J92" s="36">
        <f t="shared" si="11"/>
        <v>-7</v>
      </c>
      <c r="K92" s="36">
        <f t="shared" si="9"/>
        <v>-70</v>
      </c>
      <c r="L92" s="36"/>
      <c r="M92" s="38">
        <f t="shared" si="10"/>
        <v>0</v>
      </c>
    </row>
    <row r="93" spans="1:13" x14ac:dyDescent="0.25">
      <c r="A93" s="57"/>
      <c r="G93" s="14"/>
      <c r="H93" s="36">
        <v>88</v>
      </c>
      <c r="I93" s="37" t="str">
        <f t="shared" si="8"/>
        <v/>
      </c>
      <c r="J93" s="36">
        <f t="shared" si="11"/>
        <v>-7</v>
      </c>
      <c r="K93" s="36">
        <f t="shared" si="9"/>
        <v>-70</v>
      </c>
      <c r="L93" s="36"/>
      <c r="M93" s="38">
        <f t="shared" si="10"/>
        <v>0</v>
      </c>
    </row>
    <row r="94" spans="1:13" x14ac:dyDescent="0.25">
      <c r="A94" s="57"/>
      <c r="G94" s="14"/>
      <c r="H94" s="36">
        <v>89</v>
      </c>
      <c r="I94" s="37" t="str">
        <f t="shared" si="8"/>
        <v/>
      </c>
      <c r="J94" s="36">
        <f t="shared" si="11"/>
        <v>-7</v>
      </c>
      <c r="K94" s="36">
        <f t="shared" si="9"/>
        <v>-70</v>
      </c>
      <c r="L94" s="36"/>
      <c r="M94" s="38">
        <f t="shared" si="10"/>
        <v>0</v>
      </c>
    </row>
    <row r="95" spans="1:13" x14ac:dyDescent="0.25">
      <c r="A95" s="57"/>
      <c r="G95" s="14"/>
      <c r="H95" s="36">
        <v>90</v>
      </c>
      <c r="I95" s="37" t="str">
        <f t="shared" si="8"/>
        <v/>
      </c>
      <c r="J95" s="36">
        <f t="shared" si="11"/>
        <v>-7</v>
      </c>
      <c r="K95" s="36">
        <f t="shared" si="9"/>
        <v>-70</v>
      </c>
      <c r="L95" s="36"/>
      <c r="M95" s="38">
        <f t="shared" si="10"/>
        <v>0</v>
      </c>
    </row>
    <row r="96" spans="1:13" x14ac:dyDescent="0.25">
      <c r="A96" s="57"/>
      <c r="G96" s="14"/>
      <c r="H96" s="36">
        <v>91</v>
      </c>
      <c r="I96" s="37" t="str">
        <f t="shared" si="8"/>
        <v/>
      </c>
      <c r="J96" s="36">
        <f t="shared" si="11"/>
        <v>-7</v>
      </c>
      <c r="K96" s="36">
        <f t="shared" si="9"/>
        <v>-70</v>
      </c>
      <c r="L96" s="36"/>
      <c r="M96" s="38">
        <f t="shared" si="10"/>
        <v>0</v>
      </c>
    </row>
    <row r="97" spans="1:13" x14ac:dyDescent="0.25">
      <c r="A97" s="57"/>
      <c r="G97" s="14"/>
      <c r="H97" s="36">
        <v>92</v>
      </c>
      <c r="I97" s="37" t="str">
        <f t="shared" si="8"/>
        <v/>
      </c>
      <c r="J97" s="36">
        <f t="shared" si="11"/>
        <v>-7</v>
      </c>
      <c r="K97" s="36">
        <f t="shared" si="9"/>
        <v>-70</v>
      </c>
      <c r="L97" s="36"/>
      <c r="M97" s="38">
        <f t="shared" si="10"/>
        <v>0</v>
      </c>
    </row>
    <row r="98" spans="1:13" x14ac:dyDescent="0.25">
      <c r="A98" s="57"/>
      <c r="G98" s="14"/>
      <c r="H98" s="36">
        <v>93</v>
      </c>
      <c r="I98" s="37" t="str">
        <f t="shared" si="8"/>
        <v/>
      </c>
      <c r="J98" s="36">
        <f t="shared" si="11"/>
        <v>-7</v>
      </c>
      <c r="K98" s="36">
        <f t="shared" si="9"/>
        <v>-70</v>
      </c>
      <c r="L98" s="36"/>
      <c r="M98" s="38">
        <f t="shared" si="10"/>
        <v>0</v>
      </c>
    </row>
    <row r="99" spans="1:13" x14ac:dyDescent="0.25">
      <c r="A99" s="57"/>
      <c r="G99" s="14"/>
      <c r="H99" s="36">
        <v>94</v>
      </c>
      <c r="I99" s="37" t="str">
        <f t="shared" si="8"/>
        <v/>
      </c>
      <c r="J99" s="36">
        <f t="shared" si="11"/>
        <v>-7</v>
      </c>
      <c r="K99" s="36">
        <f t="shared" si="9"/>
        <v>-70</v>
      </c>
      <c r="L99" s="36"/>
      <c r="M99" s="38">
        <f t="shared" si="10"/>
        <v>0</v>
      </c>
    </row>
    <row r="100" spans="1:13" x14ac:dyDescent="0.25">
      <c r="A100" s="57"/>
      <c r="G100" s="14"/>
      <c r="H100" s="36">
        <v>95</v>
      </c>
      <c r="I100" s="37" t="str">
        <f t="shared" si="8"/>
        <v/>
      </c>
      <c r="J100" s="36">
        <f t="shared" si="11"/>
        <v>-7</v>
      </c>
      <c r="K100" s="36">
        <f t="shared" si="9"/>
        <v>-70</v>
      </c>
      <c r="L100" s="36"/>
      <c r="M100" s="38">
        <f t="shared" si="10"/>
        <v>0</v>
      </c>
    </row>
    <row r="101" spans="1:13" x14ac:dyDescent="0.25">
      <c r="A101" s="57"/>
      <c r="G101" s="14"/>
      <c r="H101" s="36">
        <v>96</v>
      </c>
      <c r="I101" s="37" t="str">
        <f t="shared" si="8"/>
        <v/>
      </c>
      <c r="J101" s="36">
        <f t="shared" si="11"/>
        <v>-7</v>
      </c>
      <c r="K101" s="36">
        <f t="shared" si="9"/>
        <v>-70</v>
      </c>
      <c r="L101" s="36"/>
      <c r="M101" s="38">
        <f t="shared" si="10"/>
        <v>0</v>
      </c>
    </row>
    <row r="102" spans="1:13" x14ac:dyDescent="0.25">
      <c r="A102" s="57"/>
      <c r="G102" s="14"/>
      <c r="H102" s="36">
        <v>97</v>
      </c>
      <c r="I102" s="37" t="str">
        <f t="shared" si="8"/>
        <v/>
      </c>
      <c r="J102" s="36">
        <f t="shared" si="11"/>
        <v>-7</v>
      </c>
      <c r="K102" s="36">
        <f t="shared" si="9"/>
        <v>-70</v>
      </c>
      <c r="L102" s="36"/>
      <c r="M102" s="38">
        <f t="shared" si="10"/>
        <v>0</v>
      </c>
    </row>
    <row r="103" spans="1:13" x14ac:dyDescent="0.25">
      <c r="A103" s="57"/>
      <c r="G103" s="14"/>
      <c r="H103" s="36">
        <v>98</v>
      </c>
      <c r="I103" s="37" t="str">
        <f t="shared" si="8"/>
        <v/>
      </c>
      <c r="J103" s="36">
        <f t="shared" si="11"/>
        <v>-7</v>
      </c>
      <c r="K103" s="36">
        <f t="shared" si="9"/>
        <v>-70</v>
      </c>
      <c r="L103" s="36"/>
      <c r="M103" s="38">
        <f t="shared" si="10"/>
        <v>0</v>
      </c>
    </row>
    <row r="104" spans="1:13" x14ac:dyDescent="0.25">
      <c r="A104" s="57"/>
      <c r="G104" s="14"/>
      <c r="H104" s="36">
        <v>99</v>
      </c>
      <c r="I104" s="37" t="str">
        <f t="shared" si="8"/>
        <v/>
      </c>
      <c r="J104" s="36">
        <f t="shared" si="11"/>
        <v>-7</v>
      </c>
      <c r="K104" s="36">
        <f t="shared" si="9"/>
        <v>-70</v>
      </c>
      <c r="L104" s="36"/>
      <c r="M104" s="38">
        <f t="shared" si="10"/>
        <v>0</v>
      </c>
    </row>
    <row r="105" spans="1:13" x14ac:dyDescent="0.25">
      <c r="A105" s="57"/>
      <c r="G105" s="14"/>
      <c r="H105" s="36">
        <v>100</v>
      </c>
      <c r="I105" s="37" t="str">
        <f t="shared" si="8"/>
        <v/>
      </c>
      <c r="J105" s="36">
        <f t="shared" si="11"/>
        <v>-7</v>
      </c>
      <c r="K105" s="36">
        <f t="shared" si="9"/>
        <v>-70</v>
      </c>
      <c r="L105" s="36"/>
      <c r="M105" s="38">
        <f t="shared" si="10"/>
        <v>0</v>
      </c>
    </row>
    <row r="106" spans="1:13" x14ac:dyDescent="0.25">
      <c r="A106" s="57"/>
      <c r="G106" s="14"/>
      <c r="H106" s="36">
        <v>101</v>
      </c>
      <c r="I106" s="37" t="str">
        <f t="shared" si="8"/>
        <v/>
      </c>
      <c r="J106" s="36">
        <f t="shared" si="11"/>
        <v>-7</v>
      </c>
      <c r="K106" s="36">
        <f t="shared" si="9"/>
        <v>-70</v>
      </c>
      <c r="L106" s="36"/>
      <c r="M106" s="38">
        <f t="shared" si="10"/>
        <v>0</v>
      </c>
    </row>
    <row r="107" spans="1:13" x14ac:dyDescent="0.25">
      <c r="A107" s="57"/>
      <c r="G107" s="14"/>
      <c r="H107" s="36">
        <v>102</v>
      </c>
      <c r="I107" s="37" t="str">
        <f t="shared" si="8"/>
        <v/>
      </c>
      <c r="J107" s="36">
        <f t="shared" si="11"/>
        <v>-7</v>
      </c>
      <c r="K107" s="36">
        <f t="shared" si="9"/>
        <v>-70</v>
      </c>
      <c r="L107" s="36"/>
      <c r="M107" s="38">
        <f t="shared" si="10"/>
        <v>0</v>
      </c>
    </row>
    <row r="108" spans="1:13" x14ac:dyDescent="0.25">
      <c r="A108" s="57"/>
      <c r="G108" s="14"/>
      <c r="H108" s="36">
        <v>103</v>
      </c>
      <c r="I108" s="37" t="str">
        <f t="shared" si="8"/>
        <v/>
      </c>
      <c r="J108" s="36">
        <f t="shared" si="11"/>
        <v>-7</v>
      </c>
      <c r="K108" s="36">
        <f t="shared" si="9"/>
        <v>-70</v>
      </c>
      <c r="L108" s="36"/>
      <c r="M108" s="38">
        <f t="shared" si="10"/>
        <v>0</v>
      </c>
    </row>
    <row r="109" spans="1:13" x14ac:dyDescent="0.25">
      <c r="A109" s="57"/>
      <c r="G109" s="14"/>
      <c r="H109" s="36">
        <v>104</v>
      </c>
      <c r="I109" s="37" t="str">
        <f t="shared" si="8"/>
        <v/>
      </c>
      <c r="J109" s="36">
        <f t="shared" si="11"/>
        <v>-7</v>
      </c>
      <c r="K109" s="36">
        <f t="shared" si="9"/>
        <v>-70</v>
      </c>
      <c r="L109" s="36"/>
      <c r="M109" s="38">
        <f t="shared" si="10"/>
        <v>0</v>
      </c>
    </row>
    <row r="110" spans="1:13" x14ac:dyDescent="0.25">
      <c r="A110" s="57"/>
      <c r="G110" s="14"/>
      <c r="H110" s="36">
        <v>105</v>
      </c>
      <c r="I110" s="37" t="str">
        <f t="shared" si="8"/>
        <v/>
      </c>
      <c r="J110" s="36">
        <f t="shared" si="11"/>
        <v>-7</v>
      </c>
      <c r="K110" s="36">
        <f t="shared" si="9"/>
        <v>-70</v>
      </c>
      <c r="L110" s="36"/>
      <c r="M110" s="38">
        <f t="shared" si="10"/>
        <v>0</v>
      </c>
    </row>
    <row r="111" spans="1:13" x14ac:dyDescent="0.25">
      <c r="A111" s="57"/>
      <c r="G111" s="14"/>
      <c r="H111" s="36">
        <v>106</v>
      </c>
      <c r="I111" s="37" t="str">
        <f t="shared" si="8"/>
        <v/>
      </c>
      <c r="J111" s="36">
        <f t="shared" si="11"/>
        <v>-7</v>
      </c>
      <c r="K111" s="36">
        <f t="shared" si="9"/>
        <v>-70</v>
      </c>
      <c r="L111" s="36"/>
      <c r="M111" s="38">
        <f t="shared" si="10"/>
        <v>0</v>
      </c>
    </row>
    <row r="112" spans="1:13" x14ac:dyDescent="0.25">
      <c r="A112" s="57"/>
      <c r="G112" s="14"/>
      <c r="H112" s="36">
        <v>107</v>
      </c>
      <c r="I112" s="37" t="str">
        <f t="shared" si="8"/>
        <v/>
      </c>
      <c r="J112" s="36">
        <f t="shared" si="11"/>
        <v>-7</v>
      </c>
      <c r="K112" s="36">
        <f t="shared" si="9"/>
        <v>-70</v>
      </c>
      <c r="L112" s="36"/>
      <c r="M112" s="38">
        <f t="shared" si="10"/>
        <v>0</v>
      </c>
    </row>
    <row r="113" spans="1:13" x14ac:dyDescent="0.25">
      <c r="A113" s="57"/>
      <c r="G113" s="14"/>
      <c r="H113" s="36">
        <v>108</v>
      </c>
      <c r="I113" s="37" t="str">
        <f t="shared" si="8"/>
        <v/>
      </c>
      <c r="J113" s="36">
        <f t="shared" si="11"/>
        <v>-7</v>
      </c>
      <c r="K113" s="36">
        <f t="shared" si="9"/>
        <v>-70</v>
      </c>
      <c r="L113" s="36"/>
      <c r="M113" s="38">
        <f t="shared" si="10"/>
        <v>0</v>
      </c>
    </row>
    <row r="114" spans="1:13" x14ac:dyDescent="0.25">
      <c r="A114" s="57"/>
      <c r="G114" s="14"/>
      <c r="H114" s="36">
        <v>109</v>
      </c>
      <c r="I114" s="37" t="str">
        <f t="shared" si="8"/>
        <v/>
      </c>
      <c r="J114" s="36">
        <f t="shared" si="11"/>
        <v>-7</v>
      </c>
      <c r="K114" s="36">
        <f t="shared" si="9"/>
        <v>-70</v>
      </c>
      <c r="L114" s="36"/>
      <c r="M114" s="38">
        <f t="shared" si="10"/>
        <v>0</v>
      </c>
    </row>
    <row r="115" spans="1:13" x14ac:dyDescent="0.25">
      <c r="A115" s="57"/>
      <c r="G115" s="14"/>
      <c r="H115" s="36">
        <v>110</v>
      </c>
      <c r="I115" s="37" t="str">
        <f t="shared" si="8"/>
        <v/>
      </c>
      <c r="J115" s="36">
        <f t="shared" si="11"/>
        <v>-7</v>
      </c>
      <c r="K115" s="36">
        <f t="shared" si="9"/>
        <v>-70</v>
      </c>
      <c r="L115" s="36"/>
      <c r="M115" s="38">
        <f t="shared" si="10"/>
        <v>0</v>
      </c>
    </row>
    <row r="116" spans="1:13" x14ac:dyDescent="0.25">
      <c r="A116" s="57"/>
      <c r="G116" s="14"/>
      <c r="H116" s="36">
        <v>111</v>
      </c>
      <c r="I116" s="37" t="str">
        <f t="shared" si="8"/>
        <v/>
      </c>
      <c r="J116" s="36">
        <f t="shared" si="11"/>
        <v>-7</v>
      </c>
      <c r="K116" s="36">
        <f t="shared" si="9"/>
        <v>-70</v>
      </c>
      <c r="L116" s="36"/>
      <c r="M116" s="38">
        <f t="shared" si="10"/>
        <v>0</v>
      </c>
    </row>
    <row r="117" spans="1:13" x14ac:dyDescent="0.25">
      <c r="A117" s="57"/>
      <c r="G117" s="14"/>
      <c r="H117" s="36">
        <v>112</v>
      </c>
      <c r="I117" s="37" t="str">
        <f t="shared" si="8"/>
        <v/>
      </c>
      <c r="J117" s="36">
        <f t="shared" si="11"/>
        <v>-7</v>
      </c>
      <c r="K117" s="36">
        <f t="shared" si="9"/>
        <v>-70</v>
      </c>
      <c r="L117" s="36"/>
      <c r="M117" s="38">
        <f t="shared" si="10"/>
        <v>0</v>
      </c>
    </row>
    <row r="118" spans="1:13" x14ac:dyDescent="0.25">
      <c r="A118" s="57"/>
      <c r="G118" s="14"/>
      <c r="H118" s="36">
        <v>113</v>
      </c>
      <c r="I118" s="37" t="str">
        <f t="shared" si="8"/>
        <v/>
      </c>
      <c r="J118" s="36">
        <f t="shared" si="11"/>
        <v>-7</v>
      </c>
      <c r="K118" s="36">
        <f t="shared" si="9"/>
        <v>-70</v>
      </c>
      <c r="L118" s="36"/>
      <c r="M118" s="38">
        <f t="shared" si="10"/>
        <v>0</v>
      </c>
    </row>
    <row r="119" spans="1:13" x14ac:dyDescent="0.25">
      <c r="A119" s="57"/>
      <c r="G119" s="14"/>
      <c r="H119" s="36">
        <v>114</v>
      </c>
      <c r="I119" s="37" t="str">
        <f t="shared" si="8"/>
        <v/>
      </c>
      <c r="J119" s="36">
        <f t="shared" si="11"/>
        <v>-7</v>
      </c>
      <c r="K119" s="36">
        <f t="shared" si="9"/>
        <v>-70</v>
      </c>
      <c r="L119" s="36"/>
      <c r="M119" s="38">
        <f t="shared" si="10"/>
        <v>0</v>
      </c>
    </row>
    <row r="120" spans="1:13" x14ac:dyDescent="0.25">
      <c r="A120" s="57"/>
      <c r="G120" s="14"/>
      <c r="H120" s="36">
        <v>115</v>
      </c>
      <c r="I120" s="37" t="str">
        <f t="shared" si="8"/>
        <v/>
      </c>
      <c r="J120" s="36">
        <f t="shared" si="11"/>
        <v>-7</v>
      </c>
      <c r="K120" s="36">
        <f t="shared" si="9"/>
        <v>-70</v>
      </c>
      <c r="L120" s="36"/>
      <c r="M120" s="38">
        <f t="shared" si="10"/>
        <v>0</v>
      </c>
    </row>
    <row r="121" spans="1:13" x14ac:dyDescent="0.25">
      <c r="A121" s="57"/>
      <c r="G121" s="14"/>
      <c r="H121" s="36">
        <v>116</v>
      </c>
      <c r="I121" s="37" t="str">
        <f t="shared" si="8"/>
        <v/>
      </c>
      <c r="J121" s="36">
        <f t="shared" si="11"/>
        <v>-7</v>
      </c>
      <c r="K121" s="36">
        <f t="shared" si="9"/>
        <v>-70</v>
      </c>
      <c r="L121" s="36"/>
      <c r="M121" s="38">
        <f t="shared" si="10"/>
        <v>0</v>
      </c>
    </row>
    <row r="122" spans="1:13" x14ac:dyDescent="0.25">
      <c r="A122" s="57"/>
      <c r="G122" s="14"/>
      <c r="H122" s="36">
        <v>117</v>
      </c>
      <c r="I122" s="37" t="str">
        <f t="shared" si="8"/>
        <v/>
      </c>
      <c r="J122" s="36">
        <f t="shared" si="11"/>
        <v>-7</v>
      </c>
      <c r="K122" s="36">
        <f t="shared" si="9"/>
        <v>-70</v>
      </c>
      <c r="L122" s="36"/>
      <c r="M122" s="38">
        <f t="shared" si="10"/>
        <v>0</v>
      </c>
    </row>
    <row r="123" spans="1:13" x14ac:dyDescent="0.25">
      <c r="A123" s="57"/>
      <c r="G123" s="14"/>
      <c r="H123" s="36">
        <v>118</v>
      </c>
      <c r="I123" s="37" t="str">
        <f t="shared" si="8"/>
        <v/>
      </c>
      <c r="J123" s="36">
        <f t="shared" si="11"/>
        <v>-7</v>
      </c>
      <c r="K123" s="36">
        <f t="shared" si="9"/>
        <v>-70</v>
      </c>
      <c r="L123" s="36"/>
      <c r="M123" s="38">
        <f t="shared" si="10"/>
        <v>0</v>
      </c>
    </row>
    <row r="124" spans="1:13" x14ac:dyDescent="0.25">
      <c r="A124" s="57"/>
      <c r="G124" s="14"/>
      <c r="H124" s="36">
        <v>119</v>
      </c>
      <c r="I124" s="37" t="str">
        <f t="shared" si="8"/>
        <v/>
      </c>
      <c r="J124" s="36">
        <f t="shared" si="11"/>
        <v>-7</v>
      </c>
      <c r="K124" s="36">
        <f t="shared" si="9"/>
        <v>-70</v>
      </c>
      <c r="L124" s="36"/>
      <c r="M124" s="38">
        <f t="shared" si="10"/>
        <v>0</v>
      </c>
    </row>
    <row r="125" spans="1:13" x14ac:dyDescent="0.25">
      <c r="A125" s="57"/>
      <c r="G125" s="14"/>
      <c r="H125" s="36">
        <v>120</v>
      </c>
      <c r="I125" s="37" t="str">
        <f t="shared" si="8"/>
        <v/>
      </c>
      <c r="J125" s="36">
        <f t="shared" si="11"/>
        <v>-7</v>
      </c>
      <c r="K125" s="36">
        <f t="shared" si="9"/>
        <v>-70</v>
      </c>
      <c r="L125" s="36"/>
      <c r="M125" s="38">
        <f t="shared" si="10"/>
        <v>0</v>
      </c>
    </row>
    <row r="126" spans="1:13" x14ac:dyDescent="0.25">
      <c r="A126" s="57"/>
      <c r="G126" s="14"/>
      <c r="H126" s="36">
        <v>121</v>
      </c>
      <c r="I126" s="37" t="str">
        <f t="shared" si="8"/>
        <v/>
      </c>
      <c r="J126" s="36">
        <f t="shared" si="11"/>
        <v>-7</v>
      </c>
      <c r="K126" s="36">
        <f t="shared" si="9"/>
        <v>-70</v>
      </c>
      <c r="L126" s="36"/>
      <c r="M126" s="38">
        <f t="shared" si="10"/>
        <v>0</v>
      </c>
    </row>
    <row r="127" spans="1:13" x14ac:dyDescent="0.25">
      <c r="A127" s="57"/>
      <c r="G127" s="14"/>
      <c r="H127" s="36">
        <v>122</v>
      </c>
      <c r="I127" s="37" t="str">
        <f t="shared" si="8"/>
        <v/>
      </c>
      <c r="J127" s="36">
        <f t="shared" si="11"/>
        <v>-7</v>
      </c>
      <c r="K127" s="36">
        <f t="shared" si="9"/>
        <v>-70</v>
      </c>
      <c r="L127" s="36"/>
      <c r="M127" s="38">
        <f t="shared" si="10"/>
        <v>0</v>
      </c>
    </row>
    <row r="128" spans="1:13" x14ac:dyDescent="0.25">
      <c r="A128" s="57"/>
      <c r="G128" s="14"/>
      <c r="H128" s="36">
        <v>123</v>
      </c>
      <c r="I128" s="37" t="str">
        <f t="shared" si="8"/>
        <v/>
      </c>
      <c r="J128" s="36">
        <f t="shared" si="11"/>
        <v>-7</v>
      </c>
      <c r="K128" s="36">
        <f t="shared" si="9"/>
        <v>-70</v>
      </c>
      <c r="L128" s="36"/>
      <c r="M128" s="38">
        <f t="shared" si="10"/>
        <v>0</v>
      </c>
    </row>
    <row r="129" spans="1:13" x14ac:dyDescent="0.25">
      <c r="A129" s="57"/>
      <c r="G129" s="14"/>
      <c r="H129" s="36">
        <v>124</v>
      </c>
      <c r="I129" s="37" t="str">
        <f t="shared" si="8"/>
        <v/>
      </c>
      <c r="J129" s="36">
        <f t="shared" si="11"/>
        <v>-7</v>
      </c>
      <c r="K129" s="36">
        <f t="shared" si="9"/>
        <v>-70</v>
      </c>
      <c r="L129" s="36"/>
      <c r="M129" s="38">
        <f t="shared" si="10"/>
        <v>0</v>
      </c>
    </row>
    <row r="130" spans="1:13" x14ac:dyDescent="0.25">
      <c r="A130" s="57"/>
      <c r="G130" s="14"/>
      <c r="H130" s="36">
        <v>125</v>
      </c>
      <c r="I130" s="37" t="str">
        <f t="shared" si="8"/>
        <v/>
      </c>
      <c r="J130" s="36">
        <f t="shared" si="11"/>
        <v>-7</v>
      </c>
      <c r="K130" s="36">
        <f t="shared" si="9"/>
        <v>-70</v>
      </c>
      <c r="L130" s="36"/>
      <c r="M130" s="38">
        <f t="shared" si="10"/>
        <v>0</v>
      </c>
    </row>
    <row r="131" spans="1:13" x14ac:dyDescent="0.25">
      <c r="A131" s="57"/>
      <c r="G131" s="14"/>
      <c r="H131" s="36">
        <v>126</v>
      </c>
      <c r="I131" s="37" t="str">
        <f t="shared" si="8"/>
        <v/>
      </c>
      <c r="J131" s="36">
        <f t="shared" si="11"/>
        <v>-7</v>
      </c>
      <c r="K131" s="36">
        <f t="shared" si="9"/>
        <v>-70</v>
      </c>
      <c r="L131" s="36"/>
      <c r="M131" s="38">
        <f t="shared" si="10"/>
        <v>0</v>
      </c>
    </row>
    <row r="132" spans="1:13" x14ac:dyDescent="0.25">
      <c r="A132" s="57"/>
      <c r="G132" s="14"/>
      <c r="H132" s="36">
        <v>127</v>
      </c>
      <c r="I132" s="37" t="str">
        <f t="shared" si="8"/>
        <v/>
      </c>
      <c r="J132" s="36">
        <f t="shared" si="11"/>
        <v>-7</v>
      </c>
      <c r="K132" s="36">
        <f t="shared" si="9"/>
        <v>-70</v>
      </c>
      <c r="L132" s="36"/>
      <c r="M132" s="38">
        <f t="shared" si="10"/>
        <v>0</v>
      </c>
    </row>
    <row r="133" spans="1:13" x14ac:dyDescent="0.25">
      <c r="A133" s="57"/>
      <c r="G133" s="14"/>
      <c r="H133" s="36">
        <v>128</v>
      </c>
      <c r="I133" s="37" t="str">
        <f t="shared" si="8"/>
        <v/>
      </c>
      <c r="J133" s="36">
        <f t="shared" si="11"/>
        <v>-7</v>
      </c>
      <c r="K133" s="36">
        <f t="shared" si="9"/>
        <v>-70</v>
      </c>
      <c r="L133" s="36"/>
      <c r="M133" s="38">
        <f t="shared" si="10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>
        <f t="shared" si="11"/>
        <v>-8</v>
      </c>
      <c r="K134" s="36">
        <f t="shared" ref="K134:K197" si="13">J134*$J$2</f>
        <v>-80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2"/>
        <v/>
      </c>
      <c r="J135" s="36">
        <f t="shared" ref="J135:J198" si="15">INT(LOG($H$2,2))-ROUNDUP(LOG(H135,2),0)+IF(OR($H$2=1,$H$2=2,$H$2=4,$H$2=8,$H$2=16,$H$2=32,$H$2=64,$H$2=128,$H$2=256),0,1)</f>
        <v>-8</v>
      </c>
      <c r="K135" s="36">
        <f t="shared" si="13"/>
        <v>-80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2"/>
        <v/>
      </c>
      <c r="J136" s="36">
        <f t="shared" si="15"/>
        <v>-8</v>
      </c>
      <c r="K136" s="36">
        <f t="shared" si="13"/>
        <v>-80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2"/>
        <v/>
      </c>
      <c r="J137" s="36">
        <f t="shared" si="15"/>
        <v>-8</v>
      </c>
      <c r="K137" s="36">
        <f t="shared" si="13"/>
        <v>-80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2"/>
        <v/>
      </c>
      <c r="J138" s="36">
        <f t="shared" si="15"/>
        <v>-8</v>
      </c>
      <c r="K138" s="36">
        <f t="shared" si="13"/>
        <v>-80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2"/>
        <v/>
      </c>
      <c r="J139" s="36">
        <f t="shared" si="15"/>
        <v>-8</v>
      </c>
      <c r="K139" s="36">
        <f t="shared" si="13"/>
        <v>-80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2"/>
        <v/>
      </c>
      <c r="J140" s="36">
        <f t="shared" si="15"/>
        <v>-8</v>
      </c>
      <c r="K140" s="36">
        <f t="shared" si="13"/>
        <v>-80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2"/>
        <v/>
      </c>
      <c r="J141" s="36">
        <f t="shared" si="15"/>
        <v>-8</v>
      </c>
      <c r="K141" s="36">
        <f t="shared" si="13"/>
        <v>-80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2"/>
        <v/>
      </c>
      <c r="J142" s="36">
        <f t="shared" si="15"/>
        <v>-8</v>
      </c>
      <c r="K142" s="36">
        <f t="shared" si="13"/>
        <v>-80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2"/>
        <v/>
      </c>
      <c r="J143" s="36">
        <f t="shared" si="15"/>
        <v>-8</v>
      </c>
      <c r="K143" s="36">
        <f t="shared" si="13"/>
        <v>-80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2"/>
        <v/>
      </c>
      <c r="J144" s="36">
        <f t="shared" si="15"/>
        <v>-8</v>
      </c>
      <c r="K144" s="36">
        <f t="shared" si="13"/>
        <v>-80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2"/>
        <v/>
      </c>
      <c r="J145" s="36">
        <f t="shared" si="15"/>
        <v>-8</v>
      </c>
      <c r="K145" s="36">
        <f t="shared" si="13"/>
        <v>-80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2"/>
        <v/>
      </c>
      <c r="J146" s="36">
        <f t="shared" si="15"/>
        <v>-8</v>
      </c>
      <c r="K146" s="36">
        <f t="shared" si="13"/>
        <v>-80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2"/>
        <v/>
      </c>
      <c r="J147" s="36">
        <f t="shared" si="15"/>
        <v>-8</v>
      </c>
      <c r="K147" s="36">
        <f t="shared" si="13"/>
        <v>-80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2"/>
        <v/>
      </c>
      <c r="J148" s="36">
        <f t="shared" si="15"/>
        <v>-8</v>
      </c>
      <c r="K148" s="36">
        <f t="shared" si="13"/>
        <v>-80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2"/>
        <v/>
      </c>
      <c r="J149" s="36">
        <f t="shared" si="15"/>
        <v>-8</v>
      </c>
      <c r="K149" s="36">
        <f t="shared" si="13"/>
        <v>-80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2"/>
        <v/>
      </c>
      <c r="J150" s="36">
        <f t="shared" si="15"/>
        <v>-8</v>
      </c>
      <c r="K150" s="36">
        <f t="shared" si="13"/>
        <v>-80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2"/>
        <v/>
      </c>
      <c r="J151" s="36">
        <f t="shared" si="15"/>
        <v>-8</v>
      </c>
      <c r="K151" s="36">
        <f t="shared" si="13"/>
        <v>-80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2"/>
        <v/>
      </c>
      <c r="J152" s="36">
        <f t="shared" si="15"/>
        <v>-8</v>
      </c>
      <c r="K152" s="36">
        <f t="shared" si="13"/>
        <v>-80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2"/>
        <v/>
      </c>
      <c r="J153" s="36">
        <f t="shared" si="15"/>
        <v>-8</v>
      </c>
      <c r="K153" s="36">
        <f t="shared" si="13"/>
        <v>-80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2"/>
        <v/>
      </c>
      <c r="J154" s="36">
        <f t="shared" si="15"/>
        <v>-8</v>
      </c>
      <c r="K154" s="36">
        <f t="shared" si="13"/>
        <v>-80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2"/>
        <v/>
      </c>
      <c r="J155" s="36">
        <f t="shared" si="15"/>
        <v>-8</v>
      </c>
      <c r="K155" s="36">
        <f t="shared" si="13"/>
        <v>-80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2"/>
        <v/>
      </c>
      <c r="J156" s="36">
        <f t="shared" si="15"/>
        <v>-8</v>
      </c>
      <c r="K156" s="36">
        <f t="shared" si="13"/>
        <v>-80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2"/>
        <v/>
      </c>
      <c r="J157" s="36">
        <f t="shared" si="15"/>
        <v>-8</v>
      </c>
      <c r="K157" s="36">
        <f t="shared" si="13"/>
        <v>-80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2"/>
        <v/>
      </c>
      <c r="J158" s="36">
        <f t="shared" si="15"/>
        <v>-8</v>
      </c>
      <c r="K158" s="36">
        <f t="shared" si="13"/>
        <v>-80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2"/>
        <v/>
      </c>
      <c r="J159" s="36">
        <f t="shared" si="15"/>
        <v>-8</v>
      </c>
      <c r="K159" s="36">
        <f t="shared" si="13"/>
        <v>-80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2"/>
        <v/>
      </c>
      <c r="J160" s="36">
        <f t="shared" si="15"/>
        <v>-8</v>
      </c>
      <c r="K160" s="36">
        <f t="shared" si="13"/>
        <v>-80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2"/>
        <v/>
      </c>
      <c r="J161" s="36">
        <f t="shared" si="15"/>
        <v>-8</v>
      </c>
      <c r="K161" s="36">
        <f t="shared" si="13"/>
        <v>-80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2"/>
        <v/>
      </c>
      <c r="J162" s="36">
        <f t="shared" si="15"/>
        <v>-8</v>
      </c>
      <c r="K162" s="36">
        <f t="shared" si="13"/>
        <v>-80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2"/>
        <v/>
      </c>
      <c r="J163" s="36">
        <f t="shared" si="15"/>
        <v>-8</v>
      </c>
      <c r="K163" s="36">
        <f t="shared" si="13"/>
        <v>-80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2"/>
        <v/>
      </c>
      <c r="J164" s="36">
        <f t="shared" si="15"/>
        <v>-8</v>
      </c>
      <c r="K164" s="36">
        <f t="shared" si="13"/>
        <v>-80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2"/>
        <v/>
      </c>
      <c r="J165" s="36">
        <f t="shared" si="15"/>
        <v>-8</v>
      </c>
      <c r="K165" s="36">
        <f t="shared" si="13"/>
        <v>-80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2"/>
        <v/>
      </c>
      <c r="J166" s="36">
        <f t="shared" si="15"/>
        <v>-8</v>
      </c>
      <c r="K166" s="36">
        <f t="shared" si="13"/>
        <v>-80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2"/>
        <v/>
      </c>
      <c r="J167" s="36">
        <f t="shared" si="15"/>
        <v>-8</v>
      </c>
      <c r="K167" s="36">
        <f t="shared" si="13"/>
        <v>-80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2"/>
        <v/>
      </c>
      <c r="J168" s="36">
        <f t="shared" si="15"/>
        <v>-8</v>
      </c>
      <c r="K168" s="36">
        <f t="shared" si="13"/>
        <v>-80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2"/>
        <v/>
      </c>
      <c r="J169" s="36">
        <f t="shared" si="15"/>
        <v>-8</v>
      </c>
      <c r="K169" s="36">
        <f t="shared" si="13"/>
        <v>-80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2"/>
        <v/>
      </c>
      <c r="J170" s="36">
        <f t="shared" si="15"/>
        <v>-8</v>
      </c>
      <c r="K170" s="36">
        <f t="shared" si="13"/>
        <v>-80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2"/>
        <v/>
      </c>
      <c r="J171" s="36">
        <f t="shared" si="15"/>
        <v>-8</v>
      </c>
      <c r="K171" s="36">
        <f t="shared" si="13"/>
        <v>-80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2"/>
        <v/>
      </c>
      <c r="J172" s="36">
        <f t="shared" si="15"/>
        <v>-8</v>
      </c>
      <c r="K172" s="36">
        <f t="shared" si="13"/>
        <v>-80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2"/>
        <v/>
      </c>
      <c r="J173" s="36">
        <f t="shared" si="15"/>
        <v>-8</v>
      </c>
      <c r="K173" s="36">
        <f t="shared" si="13"/>
        <v>-80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2"/>
        <v/>
      </c>
      <c r="J174" s="36">
        <f t="shared" si="15"/>
        <v>-8</v>
      </c>
      <c r="K174" s="36">
        <f t="shared" si="13"/>
        <v>-80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2"/>
        <v/>
      </c>
      <c r="J175" s="36">
        <f t="shared" si="15"/>
        <v>-8</v>
      </c>
      <c r="K175" s="36">
        <f t="shared" si="13"/>
        <v>-80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2"/>
        <v/>
      </c>
      <c r="J176" s="36">
        <f t="shared" si="15"/>
        <v>-8</v>
      </c>
      <c r="K176" s="36">
        <f t="shared" si="13"/>
        <v>-80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2"/>
        <v/>
      </c>
      <c r="J177" s="36">
        <f t="shared" si="15"/>
        <v>-8</v>
      </c>
      <c r="K177" s="36">
        <f t="shared" si="13"/>
        <v>-80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2"/>
        <v/>
      </c>
      <c r="J178" s="36">
        <f t="shared" si="15"/>
        <v>-8</v>
      </c>
      <c r="K178" s="36">
        <f t="shared" si="13"/>
        <v>-80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2"/>
        <v/>
      </c>
      <c r="J179" s="36">
        <f t="shared" si="15"/>
        <v>-8</v>
      </c>
      <c r="K179" s="36">
        <f t="shared" si="13"/>
        <v>-80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2"/>
        <v/>
      </c>
      <c r="J180" s="36">
        <f t="shared" si="15"/>
        <v>-8</v>
      </c>
      <c r="K180" s="36">
        <f t="shared" si="13"/>
        <v>-80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2"/>
        <v/>
      </c>
      <c r="J181" s="36">
        <f t="shared" si="15"/>
        <v>-8</v>
      </c>
      <c r="K181" s="36">
        <f t="shared" si="13"/>
        <v>-80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2"/>
        <v/>
      </c>
      <c r="J182" s="36">
        <f t="shared" si="15"/>
        <v>-8</v>
      </c>
      <c r="K182" s="36">
        <f t="shared" si="13"/>
        <v>-80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2"/>
        <v/>
      </c>
      <c r="J183" s="36">
        <f t="shared" si="15"/>
        <v>-8</v>
      </c>
      <c r="K183" s="36">
        <f t="shared" si="13"/>
        <v>-80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2"/>
        <v/>
      </c>
      <c r="J184" s="36">
        <f t="shared" si="15"/>
        <v>-8</v>
      </c>
      <c r="K184" s="36">
        <f t="shared" si="13"/>
        <v>-80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2"/>
        <v/>
      </c>
      <c r="J185" s="36">
        <f t="shared" si="15"/>
        <v>-8</v>
      </c>
      <c r="K185" s="36">
        <f t="shared" si="13"/>
        <v>-80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2"/>
        <v/>
      </c>
      <c r="J186" s="36">
        <f t="shared" si="15"/>
        <v>-8</v>
      </c>
      <c r="K186" s="36">
        <f t="shared" si="13"/>
        <v>-80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2"/>
        <v/>
      </c>
      <c r="J187" s="36">
        <f t="shared" si="15"/>
        <v>-8</v>
      </c>
      <c r="K187" s="36">
        <f t="shared" si="13"/>
        <v>-80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2"/>
        <v/>
      </c>
      <c r="J188" s="36">
        <f t="shared" si="15"/>
        <v>-8</v>
      </c>
      <c r="K188" s="36">
        <f t="shared" si="13"/>
        <v>-80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2"/>
        <v/>
      </c>
      <c r="J189" s="36">
        <f t="shared" si="15"/>
        <v>-8</v>
      </c>
      <c r="K189" s="36">
        <f t="shared" si="13"/>
        <v>-80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2"/>
        <v/>
      </c>
      <c r="J190" s="36">
        <f t="shared" si="15"/>
        <v>-8</v>
      </c>
      <c r="K190" s="36">
        <f t="shared" si="13"/>
        <v>-80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2"/>
        <v/>
      </c>
      <c r="J191" s="36">
        <f t="shared" si="15"/>
        <v>-8</v>
      </c>
      <c r="K191" s="36">
        <f t="shared" si="13"/>
        <v>-80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2"/>
        <v/>
      </c>
      <c r="J192" s="36">
        <f t="shared" si="15"/>
        <v>-8</v>
      </c>
      <c r="K192" s="36">
        <f t="shared" si="13"/>
        <v>-80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2"/>
        <v/>
      </c>
      <c r="J193" s="36">
        <f t="shared" si="15"/>
        <v>-8</v>
      </c>
      <c r="K193" s="36">
        <f t="shared" si="13"/>
        <v>-80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2"/>
        <v/>
      </c>
      <c r="J194" s="36">
        <f t="shared" si="15"/>
        <v>-8</v>
      </c>
      <c r="K194" s="36">
        <f t="shared" si="13"/>
        <v>-80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2"/>
        <v/>
      </c>
      <c r="J195" s="36">
        <f t="shared" si="15"/>
        <v>-8</v>
      </c>
      <c r="K195" s="36">
        <f t="shared" si="13"/>
        <v>-80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2"/>
        <v/>
      </c>
      <c r="J196" s="36">
        <f t="shared" si="15"/>
        <v>-8</v>
      </c>
      <c r="K196" s="36">
        <f t="shared" si="13"/>
        <v>-80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2"/>
        <v/>
      </c>
      <c r="J197" s="36">
        <f t="shared" si="15"/>
        <v>-8</v>
      </c>
      <c r="K197" s="36">
        <f t="shared" si="13"/>
        <v>-80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>
        <f t="shared" si="15"/>
        <v>-8</v>
      </c>
      <c r="K198" s="36">
        <f t="shared" ref="K198:K261" si="17">J198*$J$2</f>
        <v>-80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6"/>
        <v/>
      </c>
      <c r="J199" s="36">
        <f t="shared" ref="J199:J262" si="19">INT(LOG($H$2,2))-ROUNDUP(LOG(H199,2),0)+IF(OR($H$2=1,$H$2=2,$H$2=4,$H$2=8,$H$2=16,$H$2=32,$H$2=64,$H$2=128,$H$2=256),0,1)</f>
        <v>-8</v>
      </c>
      <c r="K199" s="36">
        <f t="shared" si="17"/>
        <v>-80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6"/>
        <v/>
      </c>
      <c r="J200" s="36">
        <f t="shared" si="19"/>
        <v>-8</v>
      </c>
      <c r="K200" s="36">
        <f t="shared" si="17"/>
        <v>-80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6"/>
        <v/>
      </c>
      <c r="J201" s="36">
        <f t="shared" si="19"/>
        <v>-8</v>
      </c>
      <c r="K201" s="36">
        <f t="shared" si="17"/>
        <v>-80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6"/>
        <v/>
      </c>
      <c r="J202" s="36">
        <f t="shared" si="19"/>
        <v>-8</v>
      </c>
      <c r="K202" s="36">
        <f t="shared" si="17"/>
        <v>-80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6"/>
        <v/>
      </c>
      <c r="J203" s="36">
        <f t="shared" si="19"/>
        <v>-8</v>
      </c>
      <c r="K203" s="36">
        <f t="shared" si="17"/>
        <v>-80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6"/>
        <v/>
      </c>
      <c r="J204" s="36">
        <f t="shared" si="19"/>
        <v>-8</v>
      </c>
      <c r="K204" s="36">
        <f t="shared" si="17"/>
        <v>-80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6"/>
        <v/>
      </c>
      <c r="J205" s="36">
        <f t="shared" si="19"/>
        <v>-8</v>
      </c>
      <c r="K205" s="36">
        <f t="shared" si="17"/>
        <v>-80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6"/>
        <v/>
      </c>
      <c r="J206" s="36">
        <f t="shared" si="19"/>
        <v>-8</v>
      </c>
      <c r="K206" s="36">
        <f t="shared" si="17"/>
        <v>-80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6"/>
        <v/>
      </c>
      <c r="J207" s="36">
        <f t="shared" si="19"/>
        <v>-8</v>
      </c>
      <c r="K207" s="36">
        <f t="shared" si="17"/>
        <v>-80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6"/>
        <v/>
      </c>
      <c r="J208" s="36">
        <f t="shared" si="19"/>
        <v>-8</v>
      </c>
      <c r="K208" s="36">
        <f t="shared" si="17"/>
        <v>-80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6"/>
        <v/>
      </c>
      <c r="J209" s="36">
        <f t="shared" si="19"/>
        <v>-8</v>
      </c>
      <c r="K209" s="36">
        <f t="shared" si="17"/>
        <v>-80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6"/>
        <v/>
      </c>
      <c r="J210" s="36">
        <f t="shared" si="19"/>
        <v>-8</v>
      </c>
      <c r="K210" s="36">
        <f t="shared" si="17"/>
        <v>-80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6"/>
        <v/>
      </c>
      <c r="J211" s="36">
        <f t="shared" si="19"/>
        <v>-8</v>
      </c>
      <c r="K211" s="36">
        <f t="shared" si="17"/>
        <v>-80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6"/>
        <v/>
      </c>
      <c r="J212" s="36">
        <f t="shared" si="19"/>
        <v>-8</v>
      </c>
      <c r="K212" s="36">
        <f t="shared" si="17"/>
        <v>-80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6"/>
        <v/>
      </c>
      <c r="J213" s="36">
        <f t="shared" si="19"/>
        <v>-8</v>
      </c>
      <c r="K213" s="36">
        <f t="shared" si="17"/>
        <v>-80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6"/>
        <v/>
      </c>
      <c r="J214" s="36">
        <f t="shared" si="19"/>
        <v>-8</v>
      </c>
      <c r="K214" s="36">
        <f t="shared" si="17"/>
        <v>-80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6"/>
        <v/>
      </c>
      <c r="J215" s="36">
        <f t="shared" si="19"/>
        <v>-8</v>
      </c>
      <c r="K215" s="36">
        <f t="shared" si="17"/>
        <v>-80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6"/>
        <v/>
      </c>
      <c r="J216" s="36">
        <f t="shared" si="19"/>
        <v>-8</v>
      </c>
      <c r="K216" s="36">
        <f t="shared" si="17"/>
        <v>-80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6"/>
        <v/>
      </c>
      <c r="J217" s="36">
        <f t="shared" si="19"/>
        <v>-8</v>
      </c>
      <c r="K217" s="36">
        <f t="shared" si="17"/>
        <v>-80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6"/>
        <v/>
      </c>
      <c r="J218" s="36">
        <f t="shared" si="19"/>
        <v>-8</v>
      </c>
      <c r="K218" s="36">
        <f t="shared" si="17"/>
        <v>-80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6"/>
        <v/>
      </c>
      <c r="J219" s="36">
        <f t="shared" si="19"/>
        <v>-8</v>
      </c>
      <c r="K219" s="36">
        <f t="shared" si="17"/>
        <v>-80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6"/>
        <v/>
      </c>
      <c r="J220" s="36">
        <f t="shared" si="19"/>
        <v>-8</v>
      </c>
      <c r="K220" s="36">
        <f t="shared" si="17"/>
        <v>-80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6"/>
        <v/>
      </c>
      <c r="J221" s="36">
        <f t="shared" si="19"/>
        <v>-8</v>
      </c>
      <c r="K221" s="36">
        <f t="shared" si="17"/>
        <v>-80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6"/>
        <v/>
      </c>
      <c r="J222" s="36">
        <f t="shared" si="19"/>
        <v>-8</v>
      </c>
      <c r="K222" s="36">
        <f t="shared" si="17"/>
        <v>-80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6"/>
        <v/>
      </c>
      <c r="J223" s="36">
        <f t="shared" si="19"/>
        <v>-8</v>
      </c>
      <c r="K223" s="36">
        <f t="shared" si="17"/>
        <v>-80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6"/>
        <v/>
      </c>
      <c r="J224" s="36">
        <f t="shared" si="19"/>
        <v>-8</v>
      </c>
      <c r="K224" s="36">
        <f t="shared" si="17"/>
        <v>-80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6"/>
        <v/>
      </c>
      <c r="J225" s="36">
        <f t="shared" si="19"/>
        <v>-8</v>
      </c>
      <c r="K225" s="36">
        <f t="shared" si="17"/>
        <v>-80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6"/>
        <v/>
      </c>
      <c r="J226" s="36">
        <f t="shared" si="19"/>
        <v>-8</v>
      </c>
      <c r="K226" s="36">
        <f t="shared" si="17"/>
        <v>-80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6"/>
        <v/>
      </c>
      <c r="J227" s="36">
        <f t="shared" si="19"/>
        <v>-8</v>
      </c>
      <c r="K227" s="36">
        <f t="shared" si="17"/>
        <v>-80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6"/>
        <v/>
      </c>
      <c r="J228" s="36">
        <f t="shared" si="19"/>
        <v>-8</v>
      </c>
      <c r="K228" s="36">
        <f t="shared" si="17"/>
        <v>-80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6"/>
        <v/>
      </c>
      <c r="J229" s="36">
        <f t="shared" si="19"/>
        <v>-8</v>
      </c>
      <c r="K229" s="36">
        <f t="shared" si="17"/>
        <v>-80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6"/>
        <v/>
      </c>
      <c r="J230" s="36">
        <f t="shared" si="19"/>
        <v>-8</v>
      </c>
      <c r="K230" s="36">
        <f t="shared" si="17"/>
        <v>-80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6"/>
        <v/>
      </c>
      <c r="J231" s="36">
        <f t="shared" si="19"/>
        <v>-8</v>
      </c>
      <c r="K231" s="36">
        <f t="shared" si="17"/>
        <v>-80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6"/>
        <v/>
      </c>
      <c r="J232" s="36">
        <f t="shared" si="19"/>
        <v>-8</v>
      </c>
      <c r="K232" s="36">
        <f t="shared" si="17"/>
        <v>-80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6"/>
        <v/>
      </c>
      <c r="J233" s="36">
        <f t="shared" si="19"/>
        <v>-8</v>
      </c>
      <c r="K233" s="36">
        <f t="shared" si="17"/>
        <v>-80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6"/>
        <v/>
      </c>
      <c r="J234" s="36">
        <f t="shared" si="19"/>
        <v>-8</v>
      </c>
      <c r="K234" s="36">
        <f t="shared" si="17"/>
        <v>-80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6"/>
        <v/>
      </c>
      <c r="J235" s="36">
        <f t="shared" si="19"/>
        <v>-8</v>
      </c>
      <c r="K235" s="36">
        <f t="shared" si="17"/>
        <v>-80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6"/>
        <v/>
      </c>
      <c r="J236" s="36">
        <f t="shared" si="19"/>
        <v>-8</v>
      </c>
      <c r="K236" s="36">
        <f t="shared" si="17"/>
        <v>-80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6"/>
        <v/>
      </c>
      <c r="J237" s="36">
        <f t="shared" si="19"/>
        <v>-8</v>
      </c>
      <c r="K237" s="36">
        <f t="shared" si="17"/>
        <v>-80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6"/>
        <v/>
      </c>
      <c r="J238" s="36">
        <f t="shared" si="19"/>
        <v>-8</v>
      </c>
      <c r="K238" s="36">
        <f t="shared" si="17"/>
        <v>-80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6"/>
        <v/>
      </c>
      <c r="J239" s="36">
        <f t="shared" si="19"/>
        <v>-8</v>
      </c>
      <c r="K239" s="36">
        <f t="shared" si="17"/>
        <v>-80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6"/>
        <v/>
      </c>
      <c r="J240" s="36">
        <f t="shared" si="19"/>
        <v>-8</v>
      </c>
      <c r="K240" s="36">
        <f t="shared" si="17"/>
        <v>-80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6"/>
        <v/>
      </c>
      <c r="J241" s="36">
        <f t="shared" si="19"/>
        <v>-8</v>
      </c>
      <c r="K241" s="36">
        <f t="shared" si="17"/>
        <v>-80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6"/>
        <v/>
      </c>
      <c r="J242" s="36">
        <f t="shared" si="19"/>
        <v>-8</v>
      </c>
      <c r="K242" s="36">
        <f t="shared" si="17"/>
        <v>-80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6"/>
        <v/>
      </c>
      <c r="J243" s="36">
        <f t="shared" si="19"/>
        <v>-8</v>
      </c>
      <c r="K243" s="36">
        <f t="shared" si="17"/>
        <v>-80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6"/>
        <v/>
      </c>
      <c r="J244" s="36">
        <f t="shared" si="19"/>
        <v>-8</v>
      </c>
      <c r="K244" s="36">
        <f t="shared" si="17"/>
        <v>-80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6"/>
        <v/>
      </c>
      <c r="J245" s="36">
        <f t="shared" si="19"/>
        <v>-8</v>
      </c>
      <c r="K245" s="36">
        <f t="shared" si="17"/>
        <v>-80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6"/>
        <v/>
      </c>
      <c r="J246" s="36">
        <f t="shared" si="19"/>
        <v>-8</v>
      </c>
      <c r="K246" s="36">
        <f t="shared" si="17"/>
        <v>-80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6"/>
        <v/>
      </c>
      <c r="J247" s="36">
        <f t="shared" si="19"/>
        <v>-8</v>
      </c>
      <c r="K247" s="36">
        <f t="shared" si="17"/>
        <v>-80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6"/>
        <v/>
      </c>
      <c r="J248" s="36">
        <f t="shared" si="19"/>
        <v>-8</v>
      </c>
      <c r="K248" s="36">
        <f t="shared" si="17"/>
        <v>-80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6"/>
        <v/>
      </c>
      <c r="J249" s="36">
        <f t="shared" si="19"/>
        <v>-8</v>
      </c>
      <c r="K249" s="36">
        <f t="shared" si="17"/>
        <v>-80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6"/>
        <v/>
      </c>
      <c r="J250" s="36">
        <f t="shared" si="19"/>
        <v>-8</v>
      </c>
      <c r="K250" s="36">
        <f t="shared" si="17"/>
        <v>-80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6"/>
        <v/>
      </c>
      <c r="J251" s="36">
        <f t="shared" si="19"/>
        <v>-8</v>
      </c>
      <c r="K251" s="36">
        <f t="shared" si="17"/>
        <v>-80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6"/>
        <v/>
      </c>
      <c r="J252" s="36">
        <f t="shared" si="19"/>
        <v>-8</v>
      </c>
      <c r="K252" s="36">
        <f t="shared" si="17"/>
        <v>-80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6"/>
        <v/>
      </c>
      <c r="J253" s="36">
        <f t="shared" si="19"/>
        <v>-8</v>
      </c>
      <c r="K253" s="36">
        <f t="shared" si="17"/>
        <v>-80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6"/>
        <v/>
      </c>
      <c r="J254" s="36">
        <f t="shared" si="19"/>
        <v>-8</v>
      </c>
      <c r="K254" s="36">
        <f t="shared" si="17"/>
        <v>-80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6"/>
        <v/>
      </c>
      <c r="J255" s="36">
        <f t="shared" si="19"/>
        <v>-8</v>
      </c>
      <c r="K255" s="36">
        <f t="shared" si="17"/>
        <v>-80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6"/>
        <v/>
      </c>
      <c r="J256" s="36">
        <f t="shared" si="19"/>
        <v>-8</v>
      </c>
      <c r="K256" s="36">
        <f t="shared" si="17"/>
        <v>-80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6"/>
        <v/>
      </c>
      <c r="J257" s="36">
        <f t="shared" si="19"/>
        <v>-8</v>
      </c>
      <c r="K257" s="36">
        <f t="shared" si="17"/>
        <v>-80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6"/>
        <v/>
      </c>
      <c r="J258" s="36">
        <f t="shared" si="19"/>
        <v>-8</v>
      </c>
      <c r="K258" s="36">
        <f t="shared" si="17"/>
        <v>-80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6"/>
        <v/>
      </c>
      <c r="J259" s="36">
        <f t="shared" si="19"/>
        <v>-8</v>
      </c>
      <c r="K259" s="36">
        <f t="shared" si="17"/>
        <v>-80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6"/>
        <v/>
      </c>
      <c r="J260" s="36">
        <f t="shared" si="19"/>
        <v>-8</v>
      </c>
      <c r="K260" s="36">
        <f t="shared" si="17"/>
        <v>-80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6"/>
        <v/>
      </c>
      <c r="J261" s="36">
        <f t="shared" si="19"/>
        <v>-8</v>
      </c>
      <c r="K261" s="36">
        <f t="shared" si="17"/>
        <v>-80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>
        <f t="shared" si="19"/>
        <v>-9</v>
      </c>
      <c r="K262" s="36">
        <f t="shared" ref="K262:K305" si="21">J262*$J$2</f>
        <v>-90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0"/>
        <v/>
      </c>
      <c r="J263" s="36">
        <f t="shared" ref="J263:J305" si="23">INT(LOG($H$2,2))-ROUNDUP(LOG(H263,2),0)+IF(OR($H$2=1,$H$2=2,$H$2=4,$H$2=8,$H$2=16,$H$2=32,$H$2=64,$H$2=128,$H$2=256),0,1)</f>
        <v>-9</v>
      </c>
      <c r="K263" s="36">
        <f t="shared" si="21"/>
        <v>-90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20"/>
        <v/>
      </c>
      <c r="J264" s="36">
        <f t="shared" si="23"/>
        <v>-9</v>
      </c>
      <c r="K264" s="36">
        <f t="shared" si="21"/>
        <v>-90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20"/>
        <v/>
      </c>
      <c r="J265" s="36">
        <f t="shared" si="23"/>
        <v>-9</v>
      </c>
      <c r="K265" s="36">
        <f t="shared" si="21"/>
        <v>-90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20"/>
        <v/>
      </c>
      <c r="J266" s="36">
        <f t="shared" si="23"/>
        <v>-9</v>
      </c>
      <c r="K266" s="36">
        <f t="shared" si="21"/>
        <v>-90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20"/>
        <v/>
      </c>
      <c r="J267" s="36">
        <f t="shared" si="23"/>
        <v>-9</v>
      </c>
      <c r="K267" s="36">
        <f t="shared" si="21"/>
        <v>-90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20"/>
        <v/>
      </c>
      <c r="J268" s="36">
        <f t="shared" si="23"/>
        <v>-9</v>
      </c>
      <c r="K268" s="36">
        <f t="shared" si="21"/>
        <v>-90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20"/>
        <v/>
      </c>
      <c r="J269" s="36">
        <f t="shared" si="23"/>
        <v>-9</v>
      </c>
      <c r="K269" s="36">
        <f t="shared" si="21"/>
        <v>-90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20"/>
        <v/>
      </c>
      <c r="J270" s="36">
        <f t="shared" si="23"/>
        <v>-9</v>
      </c>
      <c r="K270" s="36">
        <f t="shared" si="21"/>
        <v>-90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20"/>
        <v/>
      </c>
      <c r="J271" s="36">
        <f t="shared" si="23"/>
        <v>-9</v>
      </c>
      <c r="K271" s="36">
        <f t="shared" si="21"/>
        <v>-90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20"/>
        <v/>
      </c>
      <c r="J272" s="36">
        <f t="shared" si="23"/>
        <v>-9</v>
      </c>
      <c r="K272" s="36">
        <f t="shared" si="21"/>
        <v>-90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20"/>
        <v/>
      </c>
      <c r="J273" s="36">
        <f t="shared" si="23"/>
        <v>-9</v>
      </c>
      <c r="K273" s="36">
        <f t="shared" si="21"/>
        <v>-90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20"/>
        <v/>
      </c>
      <c r="J274" s="36">
        <f t="shared" si="23"/>
        <v>-9</v>
      </c>
      <c r="K274" s="36">
        <f t="shared" si="21"/>
        <v>-90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20"/>
        <v/>
      </c>
      <c r="J275" s="36">
        <f t="shared" si="23"/>
        <v>-9</v>
      </c>
      <c r="K275" s="36">
        <f t="shared" si="21"/>
        <v>-90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20"/>
        <v/>
      </c>
      <c r="J276" s="36">
        <f t="shared" si="23"/>
        <v>-9</v>
      </c>
      <c r="K276" s="36">
        <f t="shared" si="21"/>
        <v>-90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20"/>
        <v/>
      </c>
      <c r="J277" s="36">
        <f t="shared" si="23"/>
        <v>-9</v>
      </c>
      <c r="K277" s="36">
        <f t="shared" si="21"/>
        <v>-90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20"/>
        <v/>
      </c>
      <c r="J278" s="36">
        <f t="shared" si="23"/>
        <v>-9</v>
      </c>
      <c r="K278" s="36">
        <f t="shared" si="21"/>
        <v>-90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20"/>
        <v/>
      </c>
      <c r="J279" s="36">
        <f t="shared" si="23"/>
        <v>-9</v>
      </c>
      <c r="K279" s="36">
        <f t="shared" si="21"/>
        <v>-90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20"/>
        <v/>
      </c>
      <c r="J280" s="36">
        <f t="shared" si="23"/>
        <v>-9</v>
      </c>
      <c r="K280" s="36">
        <f t="shared" si="21"/>
        <v>-90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20"/>
        <v/>
      </c>
      <c r="J281" s="36">
        <f t="shared" si="23"/>
        <v>-9</v>
      </c>
      <c r="K281" s="36">
        <f t="shared" si="21"/>
        <v>-90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20"/>
        <v/>
      </c>
      <c r="J282" s="36">
        <f t="shared" si="23"/>
        <v>-9</v>
      </c>
      <c r="K282" s="36">
        <f t="shared" si="21"/>
        <v>-90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20"/>
        <v/>
      </c>
      <c r="J283" s="36">
        <f t="shared" si="23"/>
        <v>-9</v>
      </c>
      <c r="K283" s="36">
        <f t="shared" si="21"/>
        <v>-90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20"/>
        <v/>
      </c>
      <c r="J284" s="36">
        <f t="shared" si="23"/>
        <v>-9</v>
      </c>
      <c r="K284" s="36">
        <f t="shared" si="21"/>
        <v>-90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20"/>
        <v/>
      </c>
      <c r="J285" s="36">
        <f t="shared" si="23"/>
        <v>-9</v>
      </c>
      <c r="K285" s="36">
        <f t="shared" si="21"/>
        <v>-90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20"/>
        <v/>
      </c>
      <c r="J286" s="36">
        <f t="shared" si="23"/>
        <v>-9</v>
      </c>
      <c r="K286" s="36">
        <f t="shared" si="21"/>
        <v>-90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20"/>
        <v/>
      </c>
      <c r="J287" s="36">
        <f t="shared" si="23"/>
        <v>-9</v>
      </c>
      <c r="K287" s="36">
        <f t="shared" si="21"/>
        <v>-90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20"/>
        <v/>
      </c>
      <c r="J288" s="36">
        <f t="shared" si="23"/>
        <v>-9</v>
      </c>
      <c r="K288" s="36">
        <f t="shared" si="21"/>
        <v>-90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20"/>
        <v/>
      </c>
      <c r="J289" s="36">
        <f t="shared" si="23"/>
        <v>-9</v>
      </c>
      <c r="K289" s="36">
        <f t="shared" si="21"/>
        <v>-90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20"/>
        <v/>
      </c>
      <c r="J290" s="36">
        <f t="shared" si="23"/>
        <v>-9</v>
      </c>
      <c r="K290" s="36">
        <f t="shared" si="21"/>
        <v>-90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20"/>
        <v/>
      </c>
      <c r="J291" s="36">
        <f t="shared" si="23"/>
        <v>-9</v>
      </c>
      <c r="K291" s="36">
        <f t="shared" si="21"/>
        <v>-90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20"/>
        <v/>
      </c>
      <c r="J292" s="36">
        <f t="shared" si="23"/>
        <v>-9</v>
      </c>
      <c r="K292" s="36">
        <f t="shared" si="21"/>
        <v>-90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20"/>
        <v/>
      </c>
      <c r="J293" s="36">
        <f t="shared" si="23"/>
        <v>-9</v>
      </c>
      <c r="K293" s="36">
        <f t="shared" si="21"/>
        <v>-90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20"/>
        <v/>
      </c>
      <c r="J294" s="36">
        <f t="shared" si="23"/>
        <v>-9</v>
      </c>
      <c r="K294" s="36">
        <f t="shared" si="21"/>
        <v>-90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20"/>
        <v/>
      </c>
      <c r="J295" s="36">
        <f t="shared" si="23"/>
        <v>-9</v>
      </c>
      <c r="K295" s="36">
        <f t="shared" si="21"/>
        <v>-90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20"/>
        <v/>
      </c>
      <c r="J296" s="36">
        <f t="shared" si="23"/>
        <v>-9</v>
      </c>
      <c r="K296" s="36">
        <f t="shared" si="21"/>
        <v>-90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20"/>
        <v/>
      </c>
      <c r="J297" s="36">
        <f t="shared" si="23"/>
        <v>-9</v>
      </c>
      <c r="K297" s="36">
        <f t="shared" si="21"/>
        <v>-90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20"/>
        <v/>
      </c>
      <c r="J298" s="36">
        <f t="shared" si="23"/>
        <v>-9</v>
      </c>
      <c r="K298" s="36">
        <f t="shared" si="21"/>
        <v>-90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20"/>
        <v/>
      </c>
      <c r="J299" s="36">
        <f t="shared" si="23"/>
        <v>-9</v>
      </c>
      <c r="K299" s="36">
        <f t="shared" si="21"/>
        <v>-90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20"/>
        <v/>
      </c>
      <c r="J300" s="36">
        <f t="shared" si="23"/>
        <v>-9</v>
      </c>
      <c r="K300" s="36">
        <f t="shared" si="21"/>
        <v>-90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20"/>
        <v/>
      </c>
      <c r="J301" s="36">
        <f t="shared" si="23"/>
        <v>-9</v>
      </c>
      <c r="K301" s="36">
        <f t="shared" si="21"/>
        <v>-90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20"/>
        <v/>
      </c>
      <c r="J302" s="36">
        <f t="shared" si="23"/>
        <v>-9</v>
      </c>
      <c r="K302" s="36">
        <f t="shared" si="21"/>
        <v>-90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20"/>
        <v/>
      </c>
      <c r="J303" s="36">
        <f t="shared" si="23"/>
        <v>-9</v>
      </c>
      <c r="K303" s="36">
        <f t="shared" si="21"/>
        <v>-90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20"/>
        <v/>
      </c>
      <c r="J304" s="36">
        <f t="shared" si="23"/>
        <v>-9</v>
      </c>
      <c r="K304" s="36">
        <f t="shared" si="21"/>
        <v>-90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20"/>
        <v/>
      </c>
      <c r="J305" s="36">
        <f t="shared" si="23"/>
        <v>-9</v>
      </c>
      <c r="K305" s="36">
        <f t="shared" si="21"/>
        <v>-90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OPOLE" xr:uid="{FA074658-B1B2-4326-945A-1F7A2C1F072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D24" sqref="D24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ht="14.3" customHeight="1" x14ac:dyDescent="0.25">
      <c r="A2" s="14"/>
      <c r="B2" s="20" t="s">
        <v>26</v>
      </c>
      <c r="C2" s="262" t="s">
        <v>58</v>
      </c>
      <c r="D2" s="262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</row>
    <row r="3" spans="1:36" ht="14.3" customHeight="1" x14ac:dyDescent="0.25">
      <c r="A3" s="14"/>
      <c r="B3" s="25" t="s">
        <v>28</v>
      </c>
      <c r="C3" s="263" t="s">
        <v>59</v>
      </c>
      <c r="D3" s="26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71.339289449053865</v>
      </c>
      <c r="B6" s="34">
        <f t="shared" ref="B6:B8" si="0">IF(H6&gt;$H$2,"",(ROW()-5))</f>
        <v>1</v>
      </c>
      <c r="C6" s="35" t="s">
        <v>19</v>
      </c>
      <c r="D6" s="35" t="s">
        <v>60</v>
      </c>
      <c r="E6" s="35"/>
      <c r="F6" s="35" t="s">
        <v>55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1">J6*$J$2</f>
        <v>10</v>
      </c>
      <c r="L6" s="38">
        <f>3*K2</f>
        <v>11.339289449053858</v>
      </c>
      <c r="M6" s="38">
        <f t="shared" ref="M6:M69" si="2">IF(I6&lt;&gt;"",K6+I6+L6,0)</f>
        <v>71.339289449053865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41" t="s">
        <v>20</v>
      </c>
      <c r="D7" s="41" t="s">
        <v>54</v>
      </c>
      <c r="E7" s="41"/>
      <c r="F7" s="41" t="s">
        <v>55</v>
      </c>
      <c r="G7" s="28"/>
      <c r="H7" s="42">
        <v>2</v>
      </c>
      <c r="I7" s="43">
        <f t="shared" ref="I7:I69" si="4">IF(H7&lt;$H$2+1,($I$2-($I$2-1)*(LOG(H7)/LOG($H$2))),"")</f>
        <v>1</v>
      </c>
      <c r="J7" s="42">
        <f t="shared" ref="J7:J70" si="5">INT(LOG($H$2,2))-ROUNDUP(LOG(H7,2),0)+IF(OR($H$2=1,$H$2=2,$H$2=4,$H$2=8,$H$2=16,$H$2=32,$H$2=64,$H$2=128,$H$2=256),0,1)</f>
        <v>0</v>
      </c>
      <c r="K7" s="42">
        <f t="shared" si="1"/>
        <v>0</v>
      </c>
      <c r="L7" s="44">
        <f>2*K2</f>
        <v>7.5595262993692387</v>
      </c>
      <c r="M7" s="44">
        <f t="shared" si="2"/>
        <v>8.5595262993692387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-1</v>
      </c>
      <c r="K8" s="36">
        <f t="shared" si="1"/>
        <v>-10</v>
      </c>
      <c r="L8" s="38">
        <f>K2</f>
        <v>3.7797631496846193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ref="B9:B13" si="6">IF(H9&gt;$H$2,"",(ROW()-5))</f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-1</v>
      </c>
      <c r="K9" s="42">
        <f t="shared" si="1"/>
        <v>-10</v>
      </c>
      <c r="L9" s="44"/>
      <c r="M9" s="44">
        <f t="shared" si="2"/>
        <v>0</v>
      </c>
      <c r="V9" s="45"/>
      <c r="Z9" s="46"/>
      <c r="AA9" s="46"/>
      <c r="AG9" s="47"/>
      <c r="AH9" s="19" t="s">
        <v>42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6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-2</v>
      </c>
      <c r="K10" s="36">
        <f t="shared" si="1"/>
        <v>-20</v>
      </c>
      <c r="L10" s="36"/>
      <c r="M10" s="38">
        <f t="shared" si="2"/>
        <v>0</v>
      </c>
      <c r="V10" s="45"/>
      <c r="Z10" s="46"/>
      <c r="AA10" s="46"/>
      <c r="AG10" s="47"/>
      <c r="AH10" s="19" t="s">
        <v>43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6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-2</v>
      </c>
      <c r="K11" s="42">
        <f t="shared" si="1"/>
        <v>-20</v>
      </c>
      <c r="L11" s="42"/>
      <c r="M11" s="44">
        <f t="shared" si="2"/>
        <v>0</v>
      </c>
      <c r="V11" s="48"/>
      <c r="Z11" s="46"/>
      <c r="AA11" s="46"/>
      <c r="AG11" s="47"/>
      <c r="AH11" s="19" t="s">
        <v>44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6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-2</v>
      </c>
      <c r="K12" s="36">
        <f t="shared" si="1"/>
        <v>-20</v>
      </c>
      <c r="L12" s="36"/>
      <c r="M12" s="38">
        <f t="shared" si="2"/>
        <v>0</v>
      </c>
      <c r="Z12" s="46"/>
      <c r="AA12" s="46"/>
      <c r="AG12" s="47"/>
      <c r="AH12" s="19" t="s">
        <v>45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6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-2</v>
      </c>
      <c r="K13" s="42">
        <f t="shared" si="1"/>
        <v>-20</v>
      </c>
      <c r="L13" s="42"/>
      <c r="M13" s="44">
        <f t="shared" si="2"/>
        <v>0</v>
      </c>
      <c r="X13" s="45"/>
      <c r="AG13" s="47"/>
      <c r="AH13" s="19" t="s">
        <v>46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-3</v>
      </c>
      <c r="K14" s="36">
        <f t="shared" si="1"/>
        <v>-30</v>
      </c>
      <c r="L14" s="36"/>
      <c r="M14" s="38">
        <f t="shared" si="2"/>
        <v>0</v>
      </c>
      <c r="X14" s="51"/>
      <c r="Z14" s="46"/>
      <c r="AA14" s="46"/>
      <c r="AG14" s="47"/>
      <c r="AH14" s="19" t="s">
        <v>47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-3</v>
      </c>
      <c r="K15" s="42">
        <f t="shared" si="1"/>
        <v>-30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-3</v>
      </c>
      <c r="K16" s="36">
        <f t="shared" si="1"/>
        <v>-30</v>
      </c>
      <c r="L16" s="36"/>
      <c r="M16" s="38">
        <f t="shared" si="2"/>
        <v>0</v>
      </c>
      <c r="R16" s="52"/>
      <c r="Z16" s="46"/>
      <c r="AA16" s="46"/>
      <c r="AH16" s="53" t="s">
        <v>48</v>
      </c>
      <c r="AI16" s="19">
        <f>AI11-AI12*AI13/AI14</f>
        <v>9.6393909380186855</v>
      </c>
      <c r="AJ16" s="19" t="s">
        <v>49</v>
      </c>
    </row>
    <row r="17" spans="1:19" x14ac:dyDescent="0.25">
      <c r="A17" s="49">
        <f t="shared" si="3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-3</v>
      </c>
      <c r="K17" s="42">
        <f t="shared" si="1"/>
        <v>-30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-3</v>
      </c>
      <c r="K18" s="36">
        <f t="shared" si="1"/>
        <v>-30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-3</v>
      </c>
      <c r="K19" s="42">
        <f t="shared" si="1"/>
        <v>-30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-3</v>
      </c>
      <c r="K20" s="36">
        <f t="shared" si="1"/>
        <v>-30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-3</v>
      </c>
      <c r="K21" s="42">
        <f t="shared" si="1"/>
        <v>-30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-4</v>
      </c>
      <c r="K22" s="36">
        <f t="shared" si="1"/>
        <v>-40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-4</v>
      </c>
      <c r="K23" s="42">
        <f t="shared" si="1"/>
        <v>-40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-4</v>
      </c>
      <c r="K24" s="36">
        <f t="shared" si="1"/>
        <v>-40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-4</v>
      </c>
      <c r="K25" s="42">
        <f t="shared" si="1"/>
        <v>-40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-4</v>
      </c>
      <c r="K26" s="36">
        <f t="shared" si="1"/>
        <v>-40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-4</v>
      </c>
      <c r="K27" s="42">
        <f t="shared" si="1"/>
        <v>-40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-4</v>
      </c>
      <c r="K28" s="36">
        <f t="shared" si="1"/>
        <v>-40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-4</v>
      </c>
      <c r="K29" s="42">
        <f t="shared" si="1"/>
        <v>-40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-4</v>
      </c>
      <c r="K30" s="36">
        <f t="shared" si="1"/>
        <v>-40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-4</v>
      </c>
      <c r="K31" s="42">
        <f t="shared" si="1"/>
        <v>-40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-4</v>
      </c>
      <c r="K32" s="36">
        <f t="shared" si="1"/>
        <v>-40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-4</v>
      </c>
      <c r="K33" s="42">
        <f t="shared" si="1"/>
        <v>-40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-4</v>
      </c>
      <c r="K34" s="36">
        <f t="shared" si="1"/>
        <v>-40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-4</v>
      </c>
      <c r="K35" s="42">
        <f t="shared" si="1"/>
        <v>-40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-4</v>
      </c>
      <c r="K36" s="36">
        <f t="shared" si="1"/>
        <v>-40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-4</v>
      </c>
      <c r="K37" s="42">
        <f t="shared" si="1"/>
        <v>-40</v>
      </c>
      <c r="L37" s="42"/>
      <c r="M37" s="44">
        <f t="shared" si="2"/>
        <v>0</v>
      </c>
    </row>
    <row r="38" spans="1:21" x14ac:dyDescent="0.25">
      <c r="A38" s="50"/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-5</v>
      </c>
      <c r="K38" s="36">
        <f t="shared" si="1"/>
        <v>-50</v>
      </c>
      <c r="L38" s="36"/>
      <c r="M38" s="38">
        <f t="shared" si="2"/>
        <v>0</v>
      </c>
    </row>
    <row r="39" spans="1:21" x14ac:dyDescent="0.25">
      <c r="A39" s="49"/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-5</v>
      </c>
      <c r="K39" s="42">
        <f t="shared" si="1"/>
        <v>-50</v>
      </c>
      <c r="L39" s="42"/>
      <c r="M39" s="44">
        <f t="shared" si="2"/>
        <v>0</v>
      </c>
    </row>
    <row r="40" spans="1:21" x14ac:dyDescent="0.25">
      <c r="A40" s="50"/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-5</v>
      </c>
      <c r="K40" s="36">
        <f t="shared" si="1"/>
        <v>-50</v>
      </c>
      <c r="L40" s="36"/>
      <c r="M40" s="38">
        <f t="shared" si="2"/>
        <v>0</v>
      </c>
    </row>
    <row r="41" spans="1:21" x14ac:dyDescent="0.25">
      <c r="A41" s="49"/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-5</v>
      </c>
      <c r="K41" s="42">
        <f t="shared" si="1"/>
        <v>-50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-5</v>
      </c>
      <c r="K42" s="36">
        <f t="shared" si="1"/>
        <v>-50</v>
      </c>
      <c r="L42" s="36"/>
      <c r="M42" s="38">
        <f t="shared" si="2"/>
        <v>0</v>
      </c>
    </row>
    <row r="43" spans="1:21" x14ac:dyDescent="0.25">
      <c r="A43" s="49"/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-5</v>
      </c>
      <c r="K43" s="42">
        <f t="shared" si="1"/>
        <v>-50</v>
      </c>
      <c r="L43" s="42"/>
      <c r="M43" s="44">
        <f t="shared" si="2"/>
        <v>0</v>
      </c>
    </row>
    <row r="44" spans="1:21" x14ac:dyDescent="0.25">
      <c r="A44" s="50"/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-5</v>
      </c>
      <c r="K44" s="36">
        <f t="shared" si="1"/>
        <v>-50</v>
      </c>
      <c r="L44" s="36"/>
      <c r="M44" s="38">
        <f t="shared" si="2"/>
        <v>0</v>
      </c>
    </row>
    <row r="45" spans="1:21" x14ac:dyDescent="0.25">
      <c r="A45" s="49"/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-5</v>
      </c>
      <c r="K45" s="42">
        <f t="shared" si="1"/>
        <v>-50</v>
      </c>
      <c r="L45" s="42"/>
      <c r="M45" s="44">
        <f t="shared" si="2"/>
        <v>0</v>
      </c>
    </row>
    <row r="46" spans="1:21" x14ac:dyDescent="0.25">
      <c r="A46" s="50"/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-5</v>
      </c>
      <c r="K46" s="36">
        <f t="shared" si="1"/>
        <v>-50</v>
      </c>
      <c r="L46" s="36"/>
      <c r="M46" s="38">
        <f t="shared" si="2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 x14ac:dyDescent="0.25">
      <c r="A47" s="49"/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-5</v>
      </c>
      <c r="K47" s="42">
        <f t="shared" si="1"/>
        <v>-50</v>
      </c>
      <c r="L47" s="42"/>
      <c r="M47" s="44">
        <f t="shared" si="2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-5</v>
      </c>
      <c r="K48" s="36">
        <f t="shared" si="1"/>
        <v>-50</v>
      </c>
      <c r="L48" s="36"/>
      <c r="M48" s="38">
        <f t="shared" si="2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-5</v>
      </c>
      <c r="K49" s="42">
        <f t="shared" si="1"/>
        <v>-50</v>
      </c>
      <c r="L49" s="42"/>
      <c r="M49" s="44">
        <f t="shared" si="2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-5</v>
      </c>
      <c r="K50" s="36">
        <f t="shared" si="1"/>
        <v>-50</v>
      </c>
      <c r="L50" s="36"/>
      <c r="M50" s="38">
        <f t="shared" si="2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-5</v>
      </c>
      <c r="K51" s="42">
        <f t="shared" si="1"/>
        <v>-50</v>
      </c>
      <c r="L51" s="42"/>
      <c r="M51" s="44">
        <f t="shared" si="2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-5</v>
      </c>
      <c r="K52" s="36">
        <f t="shared" si="1"/>
        <v>-50</v>
      </c>
      <c r="L52" s="36"/>
      <c r="M52" s="38">
        <f t="shared" si="2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-5</v>
      </c>
      <c r="K53" s="42">
        <f t="shared" si="1"/>
        <v>-50</v>
      </c>
      <c r="L53" s="42"/>
      <c r="M53" s="44">
        <f t="shared" si="2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-5</v>
      </c>
      <c r="K54" s="36">
        <f t="shared" si="1"/>
        <v>-50</v>
      </c>
      <c r="L54" s="36"/>
      <c r="M54" s="38">
        <f t="shared" si="2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-5</v>
      </c>
      <c r="K55" s="42">
        <f t="shared" si="1"/>
        <v>-50</v>
      </c>
      <c r="L55" s="42"/>
      <c r="M55" s="44">
        <f t="shared" si="2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-5</v>
      </c>
      <c r="K56" s="36">
        <f t="shared" si="1"/>
        <v>-50</v>
      </c>
      <c r="L56" s="36"/>
      <c r="M56" s="38">
        <f t="shared" si="2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-5</v>
      </c>
      <c r="K57" s="42">
        <f t="shared" si="1"/>
        <v>-50</v>
      </c>
      <c r="L57" s="42"/>
      <c r="M57" s="44">
        <f t="shared" si="2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-5</v>
      </c>
      <c r="K58" s="36">
        <f t="shared" si="1"/>
        <v>-50</v>
      </c>
      <c r="L58" s="36"/>
      <c r="M58" s="38">
        <f t="shared" si="2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-5</v>
      </c>
      <c r="K59" s="42">
        <f t="shared" si="1"/>
        <v>-50</v>
      </c>
      <c r="L59" s="42"/>
      <c r="M59" s="44">
        <f t="shared" si="2"/>
        <v>0</v>
      </c>
    </row>
    <row r="60" spans="1:13" x14ac:dyDescent="0.25">
      <c r="A60" s="50"/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-5</v>
      </c>
      <c r="K60" s="36">
        <f t="shared" si="1"/>
        <v>-50</v>
      </c>
      <c r="L60" s="36"/>
      <c r="M60" s="38">
        <f t="shared" si="2"/>
        <v>0</v>
      </c>
    </row>
    <row r="61" spans="1:13" x14ac:dyDescent="0.25">
      <c r="A61" s="49"/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-5</v>
      </c>
      <c r="K61" s="42">
        <f t="shared" si="1"/>
        <v>-50</v>
      </c>
      <c r="L61" s="42"/>
      <c r="M61" s="44">
        <f t="shared" si="2"/>
        <v>0</v>
      </c>
    </row>
    <row r="62" spans="1:13" x14ac:dyDescent="0.25">
      <c r="A62" s="50"/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-5</v>
      </c>
      <c r="K62" s="36">
        <f t="shared" si="1"/>
        <v>-50</v>
      </c>
      <c r="L62" s="36"/>
      <c r="M62" s="38">
        <f t="shared" si="2"/>
        <v>0</v>
      </c>
    </row>
    <row r="63" spans="1:13" x14ac:dyDescent="0.25">
      <c r="A63" s="49"/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-5</v>
      </c>
      <c r="K63" s="42">
        <f t="shared" si="1"/>
        <v>-50</v>
      </c>
      <c r="L63" s="42"/>
      <c r="M63" s="44">
        <f t="shared" si="2"/>
        <v>0</v>
      </c>
    </row>
    <row r="64" spans="1:13" x14ac:dyDescent="0.25">
      <c r="A64" s="50"/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-5</v>
      </c>
      <c r="K64" s="36">
        <f t="shared" si="1"/>
        <v>-50</v>
      </c>
      <c r="L64" s="36"/>
      <c r="M64" s="38">
        <f t="shared" si="2"/>
        <v>0</v>
      </c>
    </row>
    <row r="65" spans="1:13" x14ac:dyDescent="0.25">
      <c r="A65" s="49"/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-5</v>
      </c>
      <c r="K65" s="42">
        <f t="shared" si="1"/>
        <v>-50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-5</v>
      </c>
      <c r="K66" s="36">
        <f t="shared" si="1"/>
        <v>-50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-5</v>
      </c>
      <c r="K67" s="36">
        <f t="shared" si="1"/>
        <v>-50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-5</v>
      </c>
      <c r="K68" s="36">
        <f t="shared" si="1"/>
        <v>-50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-5</v>
      </c>
      <c r="K69" s="36">
        <f t="shared" si="1"/>
        <v>-50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5"/>
        <v>-6</v>
      </c>
      <c r="K70" s="36">
        <f t="shared" ref="K70:K133" si="9">J70*$J$2</f>
        <v>-60</v>
      </c>
      <c r="L70" s="36"/>
      <c r="M70" s="38">
        <f t="shared" ref="M70:M133" si="10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8"/>
        <v/>
      </c>
      <c r="J71" s="36">
        <f t="shared" ref="J71:J134" si="11">INT(LOG($H$2,2))-ROUNDUP(LOG(H71,2),0)+IF(OR($H$2=1,$H$2=2,$H$2=4,$H$2=8,$H$2=16,$H$2=32,$H$2=64,$H$2=128,$H$2=256),0,1)</f>
        <v>-6</v>
      </c>
      <c r="K71" s="36">
        <f t="shared" si="9"/>
        <v>-60</v>
      </c>
      <c r="L71" s="36"/>
      <c r="M71" s="38">
        <f t="shared" si="10"/>
        <v>0</v>
      </c>
    </row>
    <row r="72" spans="1:13" x14ac:dyDescent="0.25">
      <c r="A72" s="57"/>
      <c r="G72" s="14"/>
      <c r="H72" s="36">
        <v>67</v>
      </c>
      <c r="I72" s="37" t="str">
        <f t="shared" si="8"/>
        <v/>
      </c>
      <c r="J72" s="36">
        <f t="shared" si="11"/>
        <v>-6</v>
      </c>
      <c r="K72" s="36">
        <f t="shared" si="9"/>
        <v>-60</v>
      </c>
      <c r="L72" s="36"/>
      <c r="M72" s="38">
        <f t="shared" si="10"/>
        <v>0</v>
      </c>
    </row>
    <row r="73" spans="1:13" x14ac:dyDescent="0.25">
      <c r="A73" s="57"/>
      <c r="G73" s="14"/>
      <c r="H73" s="36">
        <v>68</v>
      </c>
      <c r="I73" s="37" t="str">
        <f t="shared" si="8"/>
        <v/>
      </c>
      <c r="J73" s="36">
        <f t="shared" si="11"/>
        <v>-6</v>
      </c>
      <c r="K73" s="36">
        <f t="shared" si="9"/>
        <v>-60</v>
      </c>
      <c r="L73" s="36"/>
      <c r="M73" s="38">
        <f t="shared" si="10"/>
        <v>0</v>
      </c>
    </row>
    <row r="74" spans="1:13" x14ac:dyDescent="0.25">
      <c r="A74" s="57"/>
      <c r="G74" s="14"/>
      <c r="H74" s="36">
        <v>69</v>
      </c>
      <c r="I74" s="37" t="str">
        <f t="shared" si="8"/>
        <v/>
      </c>
      <c r="J74" s="36">
        <f t="shared" si="11"/>
        <v>-6</v>
      </c>
      <c r="K74" s="36">
        <f t="shared" si="9"/>
        <v>-60</v>
      </c>
      <c r="L74" s="36"/>
      <c r="M74" s="38">
        <f t="shared" si="10"/>
        <v>0</v>
      </c>
    </row>
    <row r="75" spans="1:13" x14ac:dyDescent="0.25">
      <c r="A75" s="57"/>
      <c r="G75" s="14"/>
      <c r="H75" s="36">
        <v>70</v>
      </c>
      <c r="I75" s="37" t="str">
        <f t="shared" si="8"/>
        <v/>
      </c>
      <c r="J75" s="36">
        <f t="shared" si="11"/>
        <v>-6</v>
      </c>
      <c r="K75" s="36">
        <f t="shared" si="9"/>
        <v>-60</v>
      </c>
      <c r="L75" s="36"/>
      <c r="M75" s="38">
        <f t="shared" si="10"/>
        <v>0</v>
      </c>
    </row>
    <row r="76" spans="1:13" x14ac:dyDescent="0.25">
      <c r="A76" s="57"/>
      <c r="G76" s="14"/>
      <c r="H76" s="36">
        <v>71</v>
      </c>
      <c r="I76" s="37" t="str">
        <f t="shared" si="8"/>
        <v/>
      </c>
      <c r="J76" s="36">
        <f t="shared" si="11"/>
        <v>-6</v>
      </c>
      <c r="K76" s="36">
        <f t="shared" si="9"/>
        <v>-60</v>
      </c>
      <c r="L76" s="36"/>
      <c r="M76" s="38">
        <f t="shared" si="10"/>
        <v>0</v>
      </c>
    </row>
    <row r="77" spans="1:13" x14ac:dyDescent="0.25">
      <c r="A77" s="57"/>
      <c r="G77" s="14"/>
      <c r="H77" s="36">
        <v>72</v>
      </c>
      <c r="I77" s="37" t="str">
        <f t="shared" si="8"/>
        <v/>
      </c>
      <c r="J77" s="36">
        <f t="shared" si="11"/>
        <v>-6</v>
      </c>
      <c r="K77" s="36">
        <f t="shared" si="9"/>
        <v>-60</v>
      </c>
      <c r="L77" s="36"/>
      <c r="M77" s="38">
        <f t="shared" si="10"/>
        <v>0</v>
      </c>
    </row>
    <row r="78" spans="1:13" x14ac:dyDescent="0.25">
      <c r="A78" s="57"/>
      <c r="G78" s="14"/>
      <c r="H78" s="36">
        <v>73</v>
      </c>
      <c r="I78" s="37" t="str">
        <f t="shared" si="8"/>
        <v/>
      </c>
      <c r="J78" s="36">
        <f t="shared" si="11"/>
        <v>-6</v>
      </c>
      <c r="K78" s="36">
        <f t="shared" si="9"/>
        <v>-60</v>
      </c>
      <c r="L78" s="36"/>
      <c r="M78" s="38">
        <f t="shared" si="10"/>
        <v>0</v>
      </c>
    </row>
    <row r="79" spans="1:13" x14ac:dyDescent="0.25">
      <c r="A79" s="57"/>
      <c r="G79" s="14"/>
      <c r="H79" s="36">
        <v>74</v>
      </c>
      <c r="I79" s="37" t="str">
        <f t="shared" si="8"/>
        <v/>
      </c>
      <c r="J79" s="36">
        <f t="shared" si="11"/>
        <v>-6</v>
      </c>
      <c r="K79" s="36">
        <f t="shared" si="9"/>
        <v>-60</v>
      </c>
      <c r="L79" s="36"/>
      <c r="M79" s="38">
        <f t="shared" si="10"/>
        <v>0</v>
      </c>
    </row>
    <row r="80" spans="1:13" x14ac:dyDescent="0.25">
      <c r="A80" s="57"/>
      <c r="G80" s="14"/>
      <c r="H80" s="36">
        <v>75</v>
      </c>
      <c r="I80" s="37" t="str">
        <f t="shared" si="8"/>
        <v/>
      </c>
      <c r="J80" s="36">
        <f t="shared" si="11"/>
        <v>-6</v>
      </c>
      <c r="K80" s="36">
        <f t="shared" si="9"/>
        <v>-60</v>
      </c>
      <c r="L80" s="36"/>
      <c r="M80" s="38">
        <f t="shared" si="10"/>
        <v>0</v>
      </c>
    </row>
    <row r="81" spans="1:13" x14ac:dyDescent="0.25">
      <c r="A81" s="57"/>
      <c r="G81" s="14"/>
      <c r="H81" s="36">
        <v>76</v>
      </c>
      <c r="I81" s="37" t="str">
        <f t="shared" si="8"/>
        <v/>
      </c>
      <c r="J81" s="36">
        <f t="shared" si="11"/>
        <v>-6</v>
      </c>
      <c r="K81" s="36">
        <f t="shared" si="9"/>
        <v>-60</v>
      </c>
      <c r="L81" s="36"/>
      <c r="M81" s="38">
        <f t="shared" si="10"/>
        <v>0</v>
      </c>
    </row>
    <row r="82" spans="1:13" x14ac:dyDescent="0.25">
      <c r="A82" s="57"/>
      <c r="G82" s="14"/>
      <c r="H82" s="36">
        <v>77</v>
      </c>
      <c r="I82" s="37" t="str">
        <f t="shared" si="8"/>
        <v/>
      </c>
      <c r="J82" s="36">
        <f t="shared" si="11"/>
        <v>-6</v>
      </c>
      <c r="K82" s="36">
        <f t="shared" si="9"/>
        <v>-60</v>
      </c>
      <c r="L82" s="36"/>
      <c r="M82" s="38">
        <f t="shared" si="10"/>
        <v>0</v>
      </c>
    </row>
    <row r="83" spans="1:13" x14ac:dyDescent="0.25">
      <c r="A83" s="57"/>
      <c r="G83" s="14"/>
      <c r="H83" s="36">
        <v>78</v>
      </c>
      <c r="I83" s="37" t="str">
        <f t="shared" si="8"/>
        <v/>
      </c>
      <c r="J83" s="36">
        <f t="shared" si="11"/>
        <v>-6</v>
      </c>
      <c r="K83" s="36">
        <f t="shared" si="9"/>
        <v>-60</v>
      </c>
      <c r="L83" s="36"/>
      <c r="M83" s="38">
        <f t="shared" si="10"/>
        <v>0</v>
      </c>
    </row>
    <row r="84" spans="1:13" x14ac:dyDescent="0.25">
      <c r="A84" s="57"/>
      <c r="G84" s="14"/>
      <c r="H84" s="36">
        <v>79</v>
      </c>
      <c r="I84" s="37" t="str">
        <f t="shared" si="8"/>
        <v/>
      </c>
      <c r="J84" s="36">
        <f t="shared" si="11"/>
        <v>-6</v>
      </c>
      <c r="K84" s="36">
        <f t="shared" si="9"/>
        <v>-60</v>
      </c>
      <c r="L84" s="36"/>
      <c r="M84" s="38">
        <f t="shared" si="10"/>
        <v>0</v>
      </c>
    </row>
    <row r="85" spans="1:13" x14ac:dyDescent="0.25">
      <c r="A85" s="57"/>
      <c r="G85" s="14"/>
      <c r="H85" s="36">
        <v>80</v>
      </c>
      <c r="I85" s="37" t="str">
        <f t="shared" si="8"/>
        <v/>
      </c>
      <c r="J85" s="36">
        <f t="shared" si="11"/>
        <v>-6</v>
      </c>
      <c r="K85" s="36">
        <f t="shared" si="9"/>
        <v>-60</v>
      </c>
      <c r="L85" s="36"/>
      <c r="M85" s="38">
        <f t="shared" si="10"/>
        <v>0</v>
      </c>
    </row>
    <row r="86" spans="1:13" x14ac:dyDescent="0.25">
      <c r="A86" s="57"/>
      <c r="G86" s="14"/>
      <c r="H86" s="36">
        <v>81</v>
      </c>
      <c r="I86" s="37" t="str">
        <f t="shared" si="8"/>
        <v/>
      </c>
      <c r="J86" s="36">
        <f t="shared" si="11"/>
        <v>-6</v>
      </c>
      <c r="K86" s="36">
        <f t="shared" si="9"/>
        <v>-60</v>
      </c>
      <c r="L86" s="36"/>
      <c r="M86" s="38">
        <f t="shared" si="10"/>
        <v>0</v>
      </c>
    </row>
    <row r="87" spans="1:13" x14ac:dyDescent="0.25">
      <c r="A87" s="57"/>
      <c r="G87" s="14"/>
      <c r="H87" s="36">
        <v>82</v>
      </c>
      <c r="I87" s="37" t="str">
        <f t="shared" si="8"/>
        <v/>
      </c>
      <c r="J87" s="36">
        <f t="shared" si="11"/>
        <v>-6</v>
      </c>
      <c r="K87" s="36">
        <f t="shared" si="9"/>
        <v>-60</v>
      </c>
      <c r="L87" s="36"/>
      <c r="M87" s="38">
        <f t="shared" si="10"/>
        <v>0</v>
      </c>
    </row>
    <row r="88" spans="1:13" x14ac:dyDescent="0.25">
      <c r="A88" s="57"/>
      <c r="G88" s="14"/>
      <c r="H88" s="36">
        <v>83</v>
      </c>
      <c r="I88" s="37" t="str">
        <f t="shared" si="8"/>
        <v/>
      </c>
      <c r="J88" s="36">
        <f t="shared" si="11"/>
        <v>-6</v>
      </c>
      <c r="K88" s="36">
        <f t="shared" si="9"/>
        <v>-60</v>
      </c>
      <c r="L88" s="36"/>
      <c r="M88" s="38">
        <f t="shared" si="10"/>
        <v>0</v>
      </c>
    </row>
    <row r="89" spans="1:13" x14ac:dyDescent="0.25">
      <c r="A89" s="57"/>
      <c r="G89" s="14"/>
      <c r="H89" s="36">
        <v>84</v>
      </c>
      <c r="I89" s="37" t="str">
        <f t="shared" si="8"/>
        <v/>
      </c>
      <c r="J89" s="36">
        <f t="shared" si="11"/>
        <v>-6</v>
      </c>
      <c r="K89" s="36">
        <f t="shared" si="9"/>
        <v>-60</v>
      </c>
      <c r="L89" s="36"/>
      <c r="M89" s="38">
        <f t="shared" si="10"/>
        <v>0</v>
      </c>
    </row>
    <row r="90" spans="1:13" x14ac:dyDescent="0.25">
      <c r="A90" s="57"/>
      <c r="G90" s="14"/>
      <c r="H90" s="36">
        <v>85</v>
      </c>
      <c r="I90" s="37" t="str">
        <f t="shared" si="8"/>
        <v/>
      </c>
      <c r="J90" s="36">
        <f t="shared" si="11"/>
        <v>-6</v>
      </c>
      <c r="K90" s="36">
        <f t="shared" si="9"/>
        <v>-60</v>
      </c>
      <c r="L90" s="36"/>
      <c r="M90" s="38">
        <f t="shared" si="10"/>
        <v>0</v>
      </c>
    </row>
    <row r="91" spans="1:13" x14ac:dyDescent="0.25">
      <c r="A91" s="57"/>
      <c r="G91" s="14"/>
      <c r="H91" s="36">
        <v>86</v>
      </c>
      <c r="I91" s="37" t="str">
        <f t="shared" si="8"/>
        <v/>
      </c>
      <c r="J91" s="36">
        <f t="shared" si="11"/>
        <v>-6</v>
      </c>
      <c r="K91" s="36">
        <f t="shared" si="9"/>
        <v>-60</v>
      </c>
      <c r="L91" s="36"/>
      <c r="M91" s="38">
        <f t="shared" si="10"/>
        <v>0</v>
      </c>
    </row>
    <row r="92" spans="1:13" x14ac:dyDescent="0.25">
      <c r="A92" s="57"/>
      <c r="G92" s="14"/>
      <c r="H92" s="36">
        <v>87</v>
      </c>
      <c r="I92" s="37" t="str">
        <f t="shared" si="8"/>
        <v/>
      </c>
      <c r="J92" s="36">
        <f t="shared" si="11"/>
        <v>-6</v>
      </c>
      <c r="K92" s="36">
        <f t="shared" si="9"/>
        <v>-60</v>
      </c>
      <c r="L92" s="36"/>
      <c r="M92" s="38">
        <f t="shared" si="10"/>
        <v>0</v>
      </c>
    </row>
    <row r="93" spans="1:13" x14ac:dyDescent="0.25">
      <c r="A93" s="57"/>
      <c r="G93" s="14"/>
      <c r="H93" s="36">
        <v>88</v>
      </c>
      <c r="I93" s="37" t="str">
        <f t="shared" si="8"/>
        <v/>
      </c>
      <c r="J93" s="36">
        <f t="shared" si="11"/>
        <v>-6</v>
      </c>
      <c r="K93" s="36">
        <f t="shared" si="9"/>
        <v>-60</v>
      </c>
      <c r="L93" s="36"/>
      <c r="M93" s="38">
        <f t="shared" si="10"/>
        <v>0</v>
      </c>
    </row>
    <row r="94" spans="1:13" x14ac:dyDescent="0.25">
      <c r="A94" s="57"/>
      <c r="G94" s="14"/>
      <c r="H94" s="36">
        <v>89</v>
      </c>
      <c r="I94" s="37" t="str">
        <f t="shared" si="8"/>
        <v/>
      </c>
      <c r="J94" s="36">
        <f t="shared" si="11"/>
        <v>-6</v>
      </c>
      <c r="K94" s="36">
        <f t="shared" si="9"/>
        <v>-60</v>
      </c>
      <c r="L94" s="36"/>
      <c r="M94" s="38">
        <f t="shared" si="10"/>
        <v>0</v>
      </c>
    </row>
    <row r="95" spans="1:13" x14ac:dyDescent="0.25">
      <c r="A95" s="57"/>
      <c r="G95" s="14"/>
      <c r="H95" s="36">
        <v>90</v>
      </c>
      <c r="I95" s="37" t="str">
        <f t="shared" si="8"/>
        <v/>
      </c>
      <c r="J95" s="36">
        <f t="shared" si="11"/>
        <v>-6</v>
      </c>
      <c r="K95" s="36">
        <f t="shared" si="9"/>
        <v>-60</v>
      </c>
      <c r="L95" s="36"/>
      <c r="M95" s="38">
        <f t="shared" si="10"/>
        <v>0</v>
      </c>
    </row>
    <row r="96" spans="1:13" x14ac:dyDescent="0.25">
      <c r="A96" s="57"/>
      <c r="G96" s="14"/>
      <c r="H96" s="36">
        <v>91</v>
      </c>
      <c r="I96" s="37" t="str">
        <f t="shared" si="8"/>
        <v/>
      </c>
      <c r="J96" s="36">
        <f t="shared" si="11"/>
        <v>-6</v>
      </c>
      <c r="K96" s="36">
        <f t="shared" si="9"/>
        <v>-60</v>
      </c>
      <c r="L96" s="36"/>
      <c r="M96" s="38">
        <f t="shared" si="10"/>
        <v>0</v>
      </c>
    </row>
    <row r="97" spans="1:13" x14ac:dyDescent="0.25">
      <c r="A97" s="57"/>
      <c r="G97" s="14"/>
      <c r="H97" s="36">
        <v>92</v>
      </c>
      <c r="I97" s="37" t="str">
        <f t="shared" si="8"/>
        <v/>
      </c>
      <c r="J97" s="36">
        <f t="shared" si="11"/>
        <v>-6</v>
      </c>
      <c r="K97" s="36">
        <f t="shared" si="9"/>
        <v>-60</v>
      </c>
      <c r="L97" s="36"/>
      <c r="M97" s="38">
        <f t="shared" si="10"/>
        <v>0</v>
      </c>
    </row>
    <row r="98" spans="1:13" x14ac:dyDescent="0.25">
      <c r="A98" s="57"/>
      <c r="G98" s="14"/>
      <c r="H98" s="36">
        <v>93</v>
      </c>
      <c r="I98" s="37" t="str">
        <f t="shared" si="8"/>
        <v/>
      </c>
      <c r="J98" s="36">
        <f t="shared" si="11"/>
        <v>-6</v>
      </c>
      <c r="K98" s="36">
        <f t="shared" si="9"/>
        <v>-60</v>
      </c>
      <c r="L98" s="36"/>
      <c r="M98" s="38">
        <f t="shared" si="10"/>
        <v>0</v>
      </c>
    </row>
    <row r="99" spans="1:13" x14ac:dyDescent="0.25">
      <c r="A99" s="57"/>
      <c r="G99" s="14"/>
      <c r="H99" s="36">
        <v>94</v>
      </c>
      <c r="I99" s="37" t="str">
        <f t="shared" si="8"/>
        <v/>
      </c>
      <c r="J99" s="36">
        <f t="shared" si="11"/>
        <v>-6</v>
      </c>
      <c r="K99" s="36">
        <f t="shared" si="9"/>
        <v>-60</v>
      </c>
      <c r="L99" s="36"/>
      <c r="M99" s="38">
        <f t="shared" si="10"/>
        <v>0</v>
      </c>
    </row>
    <row r="100" spans="1:13" x14ac:dyDescent="0.25">
      <c r="A100" s="57"/>
      <c r="G100" s="14"/>
      <c r="H100" s="36">
        <v>95</v>
      </c>
      <c r="I100" s="37" t="str">
        <f t="shared" si="8"/>
        <v/>
      </c>
      <c r="J100" s="36">
        <f t="shared" si="11"/>
        <v>-6</v>
      </c>
      <c r="K100" s="36">
        <f t="shared" si="9"/>
        <v>-60</v>
      </c>
      <c r="L100" s="36"/>
      <c r="M100" s="38">
        <f t="shared" si="10"/>
        <v>0</v>
      </c>
    </row>
    <row r="101" spans="1:13" x14ac:dyDescent="0.25">
      <c r="A101" s="57"/>
      <c r="G101" s="14"/>
      <c r="H101" s="36">
        <v>96</v>
      </c>
      <c r="I101" s="37" t="str">
        <f t="shared" si="8"/>
        <v/>
      </c>
      <c r="J101" s="36">
        <f t="shared" si="11"/>
        <v>-6</v>
      </c>
      <c r="K101" s="36">
        <f t="shared" si="9"/>
        <v>-60</v>
      </c>
      <c r="L101" s="36"/>
      <c r="M101" s="38">
        <f t="shared" si="10"/>
        <v>0</v>
      </c>
    </row>
    <row r="102" spans="1:13" x14ac:dyDescent="0.25">
      <c r="A102" s="57"/>
      <c r="G102" s="14"/>
      <c r="H102" s="36">
        <v>97</v>
      </c>
      <c r="I102" s="37" t="str">
        <f t="shared" si="8"/>
        <v/>
      </c>
      <c r="J102" s="36">
        <f t="shared" si="11"/>
        <v>-6</v>
      </c>
      <c r="K102" s="36">
        <f t="shared" si="9"/>
        <v>-60</v>
      </c>
      <c r="L102" s="36"/>
      <c r="M102" s="38">
        <f t="shared" si="10"/>
        <v>0</v>
      </c>
    </row>
    <row r="103" spans="1:13" x14ac:dyDescent="0.25">
      <c r="A103" s="57"/>
      <c r="G103" s="14"/>
      <c r="H103" s="36">
        <v>98</v>
      </c>
      <c r="I103" s="37" t="str">
        <f t="shared" si="8"/>
        <v/>
      </c>
      <c r="J103" s="36">
        <f t="shared" si="11"/>
        <v>-6</v>
      </c>
      <c r="K103" s="36">
        <f t="shared" si="9"/>
        <v>-60</v>
      </c>
      <c r="L103" s="36"/>
      <c r="M103" s="38">
        <f t="shared" si="10"/>
        <v>0</v>
      </c>
    </row>
    <row r="104" spans="1:13" x14ac:dyDescent="0.25">
      <c r="A104" s="57"/>
      <c r="G104" s="14"/>
      <c r="H104" s="36">
        <v>99</v>
      </c>
      <c r="I104" s="37" t="str">
        <f t="shared" si="8"/>
        <v/>
      </c>
      <c r="J104" s="36">
        <f t="shared" si="11"/>
        <v>-6</v>
      </c>
      <c r="K104" s="36">
        <f t="shared" si="9"/>
        <v>-60</v>
      </c>
      <c r="L104" s="36"/>
      <c r="M104" s="38">
        <f t="shared" si="10"/>
        <v>0</v>
      </c>
    </row>
    <row r="105" spans="1:13" x14ac:dyDescent="0.25">
      <c r="A105" s="57"/>
      <c r="G105" s="14"/>
      <c r="H105" s="36">
        <v>100</v>
      </c>
      <c r="I105" s="37" t="str">
        <f t="shared" si="8"/>
        <v/>
      </c>
      <c r="J105" s="36">
        <f t="shared" si="11"/>
        <v>-6</v>
      </c>
      <c r="K105" s="36">
        <f t="shared" si="9"/>
        <v>-60</v>
      </c>
      <c r="L105" s="36"/>
      <c r="M105" s="38">
        <f t="shared" si="10"/>
        <v>0</v>
      </c>
    </row>
    <row r="106" spans="1:13" x14ac:dyDescent="0.25">
      <c r="A106" s="57"/>
      <c r="G106" s="14"/>
      <c r="H106" s="36">
        <v>101</v>
      </c>
      <c r="I106" s="37" t="str">
        <f t="shared" si="8"/>
        <v/>
      </c>
      <c r="J106" s="36">
        <f t="shared" si="11"/>
        <v>-6</v>
      </c>
      <c r="K106" s="36">
        <f t="shared" si="9"/>
        <v>-60</v>
      </c>
      <c r="L106" s="36"/>
      <c r="M106" s="38">
        <f t="shared" si="10"/>
        <v>0</v>
      </c>
    </row>
    <row r="107" spans="1:13" x14ac:dyDescent="0.25">
      <c r="A107" s="57"/>
      <c r="G107" s="14"/>
      <c r="H107" s="36">
        <v>102</v>
      </c>
      <c r="I107" s="37" t="str">
        <f t="shared" si="8"/>
        <v/>
      </c>
      <c r="J107" s="36">
        <f t="shared" si="11"/>
        <v>-6</v>
      </c>
      <c r="K107" s="36">
        <f t="shared" si="9"/>
        <v>-60</v>
      </c>
      <c r="L107" s="36"/>
      <c r="M107" s="38">
        <f t="shared" si="10"/>
        <v>0</v>
      </c>
    </row>
    <row r="108" spans="1:13" x14ac:dyDescent="0.25">
      <c r="A108" s="57"/>
      <c r="G108" s="14"/>
      <c r="H108" s="36">
        <v>103</v>
      </c>
      <c r="I108" s="37" t="str">
        <f t="shared" si="8"/>
        <v/>
      </c>
      <c r="J108" s="36">
        <f t="shared" si="11"/>
        <v>-6</v>
      </c>
      <c r="K108" s="36">
        <f t="shared" si="9"/>
        <v>-60</v>
      </c>
      <c r="L108" s="36"/>
      <c r="M108" s="38">
        <f t="shared" si="10"/>
        <v>0</v>
      </c>
    </row>
    <row r="109" spans="1:13" x14ac:dyDescent="0.25">
      <c r="A109" s="57"/>
      <c r="G109" s="14"/>
      <c r="H109" s="36">
        <v>104</v>
      </c>
      <c r="I109" s="37" t="str">
        <f t="shared" si="8"/>
        <v/>
      </c>
      <c r="J109" s="36">
        <f t="shared" si="11"/>
        <v>-6</v>
      </c>
      <c r="K109" s="36">
        <f t="shared" si="9"/>
        <v>-60</v>
      </c>
      <c r="L109" s="36"/>
      <c r="M109" s="38">
        <f t="shared" si="10"/>
        <v>0</v>
      </c>
    </row>
    <row r="110" spans="1:13" x14ac:dyDescent="0.25">
      <c r="A110" s="57"/>
      <c r="G110" s="14"/>
      <c r="H110" s="36">
        <v>105</v>
      </c>
      <c r="I110" s="37" t="str">
        <f t="shared" si="8"/>
        <v/>
      </c>
      <c r="J110" s="36">
        <f t="shared" si="11"/>
        <v>-6</v>
      </c>
      <c r="K110" s="36">
        <f t="shared" si="9"/>
        <v>-60</v>
      </c>
      <c r="L110" s="36"/>
      <c r="M110" s="38">
        <f t="shared" si="10"/>
        <v>0</v>
      </c>
    </row>
    <row r="111" spans="1:13" x14ac:dyDescent="0.25">
      <c r="A111" s="57"/>
      <c r="G111" s="14"/>
      <c r="H111" s="36">
        <v>106</v>
      </c>
      <c r="I111" s="37" t="str">
        <f t="shared" si="8"/>
        <v/>
      </c>
      <c r="J111" s="36">
        <f t="shared" si="11"/>
        <v>-6</v>
      </c>
      <c r="K111" s="36">
        <f t="shared" si="9"/>
        <v>-60</v>
      </c>
      <c r="L111" s="36"/>
      <c r="M111" s="38">
        <f t="shared" si="10"/>
        <v>0</v>
      </c>
    </row>
    <row r="112" spans="1:13" x14ac:dyDescent="0.25">
      <c r="A112" s="57"/>
      <c r="G112" s="14"/>
      <c r="H112" s="36">
        <v>107</v>
      </c>
      <c r="I112" s="37" t="str">
        <f t="shared" si="8"/>
        <v/>
      </c>
      <c r="J112" s="36">
        <f t="shared" si="11"/>
        <v>-6</v>
      </c>
      <c r="K112" s="36">
        <f t="shared" si="9"/>
        <v>-60</v>
      </c>
      <c r="L112" s="36"/>
      <c r="M112" s="38">
        <f t="shared" si="10"/>
        <v>0</v>
      </c>
    </row>
    <row r="113" spans="1:13" x14ac:dyDescent="0.25">
      <c r="A113" s="57"/>
      <c r="G113" s="14"/>
      <c r="H113" s="36">
        <v>108</v>
      </c>
      <c r="I113" s="37" t="str">
        <f t="shared" si="8"/>
        <v/>
      </c>
      <c r="J113" s="36">
        <f t="shared" si="11"/>
        <v>-6</v>
      </c>
      <c r="K113" s="36">
        <f t="shared" si="9"/>
        <v>-60</v>
      </c>
      <c r="L113" s="36"/>
      <c r="M113" s="38">
        <f t="shared" si="10"/>
        <v>0</v>
      </c>
    </row>
    <row r="114" spans="1:13" x14ac:dyDescent="0.25">
      <c r="A114" s="57"/>
      <c r="G114" s="14"/>
      <c r="H114" s="36">
        <v>109</v>
      </c>
      <c r="I114" s="37" t="str">
        <f t="shared" si="8"/>
        <v/>
      </c>
      <c r="J114" s="36">
        <f t="shared" si="11"/>
        <v>-6</v>
      </c>
      <c r="K114" s="36">
        <f t="shared" si="9"/>
        <v>-60</v>
      </c>
      <c r="L114" s="36"/>
      <c r="M114" s="38">
        <f t="shared" si="10"/>
        <v>0</v>
      </c>
    </row>
    <row r="115" spans="1:13" x14ac:dyDescent="0.25">
      <c r="A115" s="57"/>
      <c r="G115" s="14"/>
      <c r="H115" s="36">
        <v>110</v>
      </c>
      <c r="I115" s="37" t="str">
        <f t="shared" si="8"/>
        <v/>
      </c>
      <c r="J115" s="36">
        <f t="shared" si="11"/>
        <v>-6</v>
      </c>
      <c r="K115" s="36">
        <f t="shared" si="9"/>
        <v>-60</v>
      </c>
      <c r="L115" s="36"/>
      <c r="M115" s="38">
        <f t="shared" si="10"/>
        <v>0</v>
      </c>
    </row>
    <row r="116" spans="1:13" x14ac:dyDescent="0.25">
      <c r="A116" s="57"/>
      <c r="G116" s="14"/>
      <c r="H116" s="36">
        <v>111</v>
      </c>
      <c r="I116" s="37" t="str">
        <f t="shared" si="8"/>
        <v/>
      </c>
      <c r="J116" s="36">
        <f t="shared" si="11"/>
        <v>-6</v>
      </c>
      <c r="K116" s="36">
        <f t="shared" si="9"/>
        <v>-60</v>
      </c>
      <c r="L116" s="36"/>
      <c r="M116" s="38">
        <f t="shared" si="10"/>
        <v>0</v>
      </c>
    </row>
    <row r="117" spans="1:13" x14ac:dyDescent="0.25">
      <c r="A117" s="57"/>
      <c r="G117" s="14"/>
      <c r="H117" s="36">
        <v>112</v>
      </c>
      <c r="I117" s="37" t="str">
        <f t="shared" si="8"/>
        <v/>
      </c>
      <c r="J117" s="36">
        <f t="shared" si="11"/>
        <v>-6</v>
      </c>
      <c r="K117" s="36">
        <f t="shared" si="9"/>
        <v>-60</v>
      </c>
      <c r="L117" s="36"/>
      <c r="M117" s="38">
        <f t="shared" si="10"/>
        <v>0</v>
      </c>
    </row>
    <row r="118" spans="1:13" x14ac:dyDescent="0.25">
      <c r="A118" s="57"/>
      <c r="G118" s="14"/>
      <c r="H118" s="36">
        <v>113</v>
      </c>
      <c r="I118" s="37" t="str">
        <f t="shared" si="8"/>
        <v/>
      </c>
      <c r="J118" s="36">
        <f t="shared" si="11"/>
        <v>-6</v>
      </c>
      <c r="K118" s="36">
        <f t="shared" si="9"/>
        <v>-60</v>
      </c>
      <c r="L118" s="36"/>
      <c r="M118" s="38">
        <f t="shared" si="10"/>
        <v>0</v>
      </c>
    </row>
    <row r="119" spans="1:13" x14ac:dyDescent="0.25">
      <c r="A119" s="57"/>
      <c r="G119" s="14"/>
      <c r="H119" s="36">
        <v>114</v>
      </c>
      <c r="I119" s="37" t="str">
        <f t="shared" si="8"/>
        <v/>
      </c>
      <c r="J119" s="36">
        <f t="shared" si="11"/>
        <v>-6</v>
      </c>
      <c r="K119" s="36">
        <f t="shared" si="9"/>
        <v>-60</v>
      </c>
      <c r="L119" s="36"/>
      <c r="M119" s="38">
        <f t="shared" si="10"/>
        <v>0</v>
      </c>
    </row>
    <row r="120" spans="1:13" x14ac:dyDescent="0.25">
      <c r="A120" s="57"/>
      <c r="G120" s="14"/>
      <c r="H120" s="36">
        <v>115</v>
      </c>
      <c r="I120" s="37" t="str">
        <f t="shared" si="8"/>
        <v/>
      </c>
      <c r="J120" s="36">
        <f t="shared" si="11"/>
        <v>-6</v>
      </c>
      <c r="K120" s="36">
        <f t="shared" si="9"/>
        <v>-60</v>
      </c>
      <c r="L120" s="36"/>
      <c r="M120" s="38">
        <f t="shared" si="10"/>
        <v>0</v>
      </c>
    </row>
    <row r="121" spans="1:13" x14ac:dyDescent="0.25">
      <c r="A121" s="57"/>
      <c r="G121" s="14"/>
      <c r="H121" s="36">
        <v>116</v>
      </c>
      <c r="I121" s="37" t="str">
        <f t="shared" si="8"/>
        <v/>
      </c>
      <c r="J121" s="36">
        <f t="shared" si="11"/>
        <v>-6</v>
      </c>
      <c r="K121" s="36">
        <f t="shared" si="9"/>
        <v>-60</v>
      </c>
      <c r="L121" s="36"/>
      <c r="M121" s="38">
        <f t="shared" si="10"/>
        <v>0</v>
      </c>
    </row>
    <row r="122" spans="1:13" x14ac:dyDescent="0.25">
      <c r="A122" s="57"/>
      <c r="G122" s="14"/>
      <c r="H122" s="36">
        <v>117</v>
      </c>
      <c r="I122" s="37" t="str">
        <f t="shared" si="8"/>
        <v/>
      </c>
      <c r="J122" s="36">
        <f t="shared" si="11"/>
        <v>-6</v>
      </c>
      <c r="K122" s="36">
        <f t="shared" si="9"/>
        <v>-60</v>
      </c>
      <c r="L122" s="36"/>
      <c r="M122" s="38">
        <f t="shared" si="10"/>
        <v>0</v>
      </c>
    </row>
    <row r="123" spans="1:13" x14ac:dyDescent="0.25">
      <c r="A123" s="57"/>
      <c r="G123" s="14"/>
      <c r="H123" s="36">
        <v>118</v>
      </c>
      <c r="I123" s="37" t="str">
        <f t="shared" si="8"/>
        <v/>
      </c>
      <c r="J123" s="36">
        <f t="shared" si="11"/>
        <v>-6</v>
      </c>
      <c r="K123" s="36">
        <f t="shared" si="9"/>
        <v>-60</v>
      </c>
      <c r="L123" s="36"/>
      <c r="M123" s="38">
        <f t="shared" si="10"/>
        <v>0</v>
      </c>
    </row>
    <row r="124" spans="1:13" x14ac:dyDescent="0.25">
      <c r="A124" s="57"/>
      <c r="G124" s="14"/>
      <c r="H124" s="36">
        <v>119</v>
      </c>
      <c r="I124" s="37" t="str">
        <f t="shared" si="8"/>
        <v/>
      </c>
      <c r="J124" s="36">
        <f t="shared" si="11"/>
        <v>-6</v>
      </c>
      <c r="K124" s="36">
        <f t="shared" si="9"/>
        <v>-60</v>
      </c>
      <c r="L124" s="36"/>
      <c r="M124" s="38">
        <f t="shared" si="10"/>
        <v>0</v>
      </c>
    </row>
    <row r="125" spans="1:13" x14ac:dyDescent="0.25">
      <c r="A125" s="57"/>
      <c r="G125" s="14"/>
      <c r="H125" s="36">
        <v>120</v>
      </c>
      <c r="I125" s="37" t="str">
        <f t="shared" si="8"/>
        <v/>
      </c>
      <c r="J125" s="36">
        <f t="shared" si="11"/>
        <v>-6</v>
      </c>
      <c r="K125" s="36">
        <f t="shared" si="9"/>
        <v>-60</v>
      </c>
      <c r="L125" s="36"/>
      <c r="M125" s="38">
        <f t="shared" si="10"/>
        <v>0</v>
      </c>
    </row>
    <row r="126" spans="1:13" x14ac:dyDescent="0.25">
      <c r="A126" s="57"/>
      <c r="G126" s="14"/>
      <c r="H126" s="36">
        <v>121</v>
      </c>
      <c r="I126" s="37" t="str">
        <f t="shared" si="8"/>
        <v/>
      </c>
      <c r="J126" s="36">
        <f t="shared" si="11"/>
        <v>-6</v>
      </c>
      <c r="K126" s="36">
        <f t="shared" si="9"/>
        <v>-60</v>
      </c>
      <c r="L126" s="36"/>
      <c r="M126" s="38">
        <f t="shared" si="10"/>
        <v>0</v>
      </c>
    </row>
    <row r="127" spans="1:13" x14ac:dyDescent="0.25">
      <c r="A127" s="57"/>
      <c r="G127" s="14"/>
      <c r="H127" s="36">
        <v>122</v>
      </c>
      <c r="I127" s="37" t="str">
        <f t="shared" si="8"/>
        <v/>
      </c>
      <c r="J127" s="36">
        <f t="shared" si="11"/>
        <v>-6</v>
      </c>
      <c r="K127" s="36">
        <f t="shared" si="9"/>
        <v>-60</v>
      </c>
      <c r="L127" s="36"/>
      <c r="M127" s="38">
        <f t="shared" si="10"/>
        <v>0</v>
      </c>
    </row>
    <row r="128" spans="1:13" x14ac:dyDescent="0.25">
      <c r="A128" s="57"/>
      <c r="G128" s="14"/>
      <c r="H128" s="36">
        <v>123</v>
      </c>
      <c r="I128" s="37" t="str">
        <f t="shared" si="8"/>
        <v/>
      </c>
      <c r="J128" s="36">
        <f t="shared" si="11"/>
        <v>-6</v>
      </c>
      <c r="K128" s="36">
        <f t="shared" si="9"/>
        <v>-60</v>
      </c>
      <c r="L128" s="36"/>
      <c r="M128" s="38">
        <f t="shared" si="10"/>
        <v>0</v>
      </c>
    </row>
    <row r="129" spans="1:13" x14ac:dyDescent="0.25">
      <c r="A129" s="57"/>
      <c r="G129" s="14"/>
      <c r="H129" s="36">
        <v>124</v>
      </c>
      <c r="I129" s="37" t="str">
        <f t="shared" si="8"/>
        <v/>
      </c>
      <c r="J129" s="36">
        <f t="shared" si="11"/>
        <v>-6</v>
      </c>
      <c r="K129" s="36">
        <f t="shared" si="9"/>
        <v>-60</v>
      </c>
      <c r="L129" s="36"/>
      <c r="M129" s="38">
        <f t="shared" si="10"/>
        <v>0</v>
      </c>
    </row>
    <row r="130" spans="1:13" x14ac:dyDescent="0.25">
      <c r="A130" s="57"/>
      <c r="G130" s="14"/>
      <c r="H130" s="36">
        <v>125</v>
      </c>
      <c r="I130" s="37" t="str">
        <f t="shared" si="8"/>
        <v/>
      </c>
      <c r="J130" s="36">
        <f t="shared" si="11"/>
        <v>-6</v>
      </c>
      <c r="K130" s="36">
        <f t="shared" si="9"/>
        <v>-60</v>
      </c>
      <c r="L130" s="36"/>
      <c r="M130" s="38">
        <f t="shared" si="10"/>
        <v>0</v>
      </c>
    </row>
    <row r="131" spans="1:13" x14ac:dyDescent="0.25">
      <c r="A131" s="57"/>
      <c r="G131" s="14"/>
      <c r="H131" s="36">
        <v>126</v>
      </c>
      <c r="I131" s="37" t="str">
        <f t="shared" si="8"/>
        <v/>
      </c>
      <c r="J131" s="36">
        <f t="shared" si="11"/>
        <v>-6</v>
      </c>
      <c r="K131" s="36">
        <f t="shared" si="9"/>
        <v>-60</v>
      </c>
      <c r="L131" s="36"/>
      <c r="M131" s="38">
        <f t="shared" si="10"/>
        <v>0</v>
      </c>
    </row>
    <row r="132" spans="1:13" x14ac:dyDescent="0.25">
      <c r="A132" s="57"/>
      <c r="G132" s="14"/>
      <c r="H132" s="36">
        <v>127</v>
      </c>
      <c r="I132" s="37" t="str">
        <f t="shared" si="8"/>
        <v/>
      </c>
      <c r="J132" s="36">
        <f t="shared" si="11"/>
        <v>-6</v>
      </c>
      <c r="K132" s="36">
        <f t="shared" si="9"/>
        <v>-60</v>
      </c>
      <c r="L132" s="36"/>
      <c r="M132" s="38">
        <f t="shared" si="10"/>
        <v>0</v>
      </c>
    </row>
    <row r="133" spans="1:13" x14ac:dyDescent="0.25">
      <c r="A133" s="57"/>
      <c r="G133" s="14"/>
      <c r="H133" s="36">
        <v>128</v>
      </c>
      <c r="I133" s="37" t="str">
        <f t="shared" si="8"/>
        <v/>
      </c>
      <c r="J133" s="36">
        <f t="shared" si="11"/>
        <v>-6</v>
      </c>
      <c r="K133" s="36">
        <f t="shared" si="9"/>
        <v>-60</v>
      </c>
      <c r="L133" s="36"/>
      <c r="M133" s="38">
        <f t="shared" si="10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>
        <f t="shared" si="11"/>
        <v>-7</v>
      </c>
      <c r="K134" s="36">
        <f t="shared" ref="K134:K197" si="13">J134*$J$2</f>
        <v>-70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2"/>
        <v/>
      </c>
      <c r="J135" s="36">
        <f t="shared" ref="J135:J198" si="15">INT(LOG($H$2,2))-ROUNDUP(LOG(H135,2),0)+IF(OR($H$2=1,$H$2=2,$H$2=4,$H$2=8,$H$2=16,$H$2=32,$H$2=64,$H$2=128,$H$2=256),0,1)</f>
        <v>-7</v>
      </c>
      <c r="K135" s="36">
        <f t="shared" si="13"/>
        <v>-70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2"/>
        <v/>
      </c>
      <c r="J136" s="36">
        <f t="shared" si="15"/>
        <v>-7</v>
      </c>
      <c r="K136" s="36">
        <f t="shared" si="13"/>
        <v>-70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2"/>
        <v/>
      </c>
      <c r="J137" s="36">
        <f t="shared" si="15"/>
        <v>-7</v>
      </c>
      <c r="K137" s="36">
        <f t="shared" si="13"/>
        <v>-70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2"/>
        <v/>
      </c>
      <c r="J138" s="36">
        <f t="shared" si="15"/>
        <v>-7</v>
      </c>
      <c r="K138" s="36">
        <f t="shared" si="13"/>
        <v>-70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2"/>
        <v/>
      </c>
      <c r="J139" s="36">
        <f t="shared" si="15"/>
        <v>-7</v>
      </c>
      <c r="K139" s="36">
        <f t="shared" si="13"/>
        <v>-70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2"/>
        <v/>
      </c>
      <c r="J140" s="36">
        <f t="shared" si="15"/>
        <v>-7</v>
      </c>
      <c r="K140" s="36">
        <f t="shared" si="13"/>
        <v>-70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2"/>
        <v/>
      </c>
      <c r="J141" s="36">
        <f t="shared" si="15"/>
        <v>-7</v>
      </c>
      <c r="K141" s="36">
        <f t="shared" si="13"/>
        <v>-70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2"/>
        <v/>
      </c>
      <c r="J142" s="36">
        <f t="shared" si="15"/>
        <v>-7</v>
      </c>
      <c r="K142" s="36">
        <f t="shared" si="13"/>
        <v>-70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2"/>
        <v/>
      </c>
      <c r="J143" s="36">
        <f t="shared" si="15"/>
        <v>-7</v>
      </c>
      <c r="K143" s="36">
        <f t="shared" si="13"/>
        <v>-70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2"/>
        <v/>
      </c>
      <c r="J144" s="36">
        <f t="shared" si="15"/>
        <v>-7</v>
      </c>
      <c r="K144" s="36">
        <f t="shared" si="13"/>
        <v>-70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2"/>
        <v/>
      </c>
      <c r="J145" s="36">
        <f t="shared" si="15"/>
        <v>-7</v>
      </c>
      <c r="K145" s="36">
        <f t="shared" si="13"/>
        <v>-70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2"/>
        <v/>
      </c>
      <c r="J146" s="36">
        <f t="shared" si="15"/>
        <v>-7</v>
      </c>
      <c r="K146" s="36">
        <f t="shared" si="13"/>
        <v>-70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2"/>
        <v/>
      </c>
      <c r="J147" s="36">
        <f t="shared" si="15"/>
        <v>-7</v>
      </c>
      <c r="K147" s="36">
        <f t="shared" si="13"/>
        <v>-70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2"/>
        <v/>
      </c>
      <c r="J148" s="36">
        <f t="shared" si="15"/>
        <v>-7</v>
      </c>
      <c r="K148" s="36">
        <f t="shared" si="13"/>
        <v>-70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2"/>
        <v/>
      </c>
      <c r="J149" s="36">
        <f t="shared" si="15"/>
        <v>-7</v>
      </c>
      <c r="K149" s="36">
        <f t="shared" si="13"/>
        <v>-70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2"/>
        <v/>
      </c>
      <c r="J150" s="36">
        <f t="shared" si="15"/>
        <v>-7</v>
      </c>
      <c r="K150" s="36">
        <f t="shared" si="13"/>
        <v>-70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2"/>
        <v/>
      </c>
      <c r="J151" s="36">
        <f t="shared" si="15"/>
        <v>-7</v>
      </c>
      <c r="K151" s="36">
        <f t="shared" si="13"/>
        <v>-70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2"/>
        <v/>
      </c>
      <c r="J152" s="36">
        <f t="shared" si="15"/>
        <v>-7</v>
      </c>
      <c r="K152" s="36">
        <f t="shared" si="13"/>
        <v>-70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2"/>
        <v/>
      </c>
      <c r="J153" s="36">
        <f t="shared" si="15"/>
        <v>-7</v>
      </c>
      <c r="K153" s="36">
        <f t="shared" si="13"/>
        <v>-70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2"/>
        <v/>
      </c>
      <c r="J154" s="36">
        <f t="shared" si="15"/>
        <v>-7</v>
      </c>
      <c r="K154" s="36">
        <f t="shared" si="13"/>
        <v>-70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2"/>
        <v/>
      </c>
      <c r="J155" s="36">
        <f t="shared" si="15"/>
        <v>-7</v>
      </c>
      <c r="K155" s="36">
        <f t="shared" si="13"/>
        <v>-70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2"/>
        <v/>
      </c>
      <c r="J156" s="36">
        <f t="shared" si="15"/>
        <v>-7</v>
      </c>
      <c r="K156" s="36">
        <f t="shared" si="13"/>
        <v>-70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2"/>
        <v/>
      </c>
      <c r="J157" s="36">
        <f t="shared" si="15"/>
        <v>-7</v>
      </c>
      <c r="K157" s="36">
        <f t="shared" si="13"/>
        <v>-70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2"/>
        <v/>
      </c>
      <c r="J158" s="36">
        <f t="shared" si="15"/>
        <v>-7</v>
      </c>
      <c r="K158" s="36">
        <f t="shared" si="13"/>
        <v>-70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2"/>
        <v/>
      </c>
      <c r="J159" s="36">
        <f t="shared" si="15"/>
        <v>-7</v>
      </c>
      <c r="K159" s="36">
        <f t="shared" si="13"/>
        <v>-70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2"/>
        <v/>
      </c>
      <c r="J160" s="36">
        <f t="shared" si="15"/>
        <v>-7</v>
      </c>
      <c r="K160" s="36">
        <f t="shared" si="13"/>
        <v>-70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2"/>
        <v/>
      </c>
      <c r="J161" s="36">
        <f t="shared" si="15"/>
        <v>-7</v>
      </c>
      <c r="K161" s="36">
        <f t="shared" si="13"/>
        <v>-70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2"/>
        <v/>
      </c>
      <c r="J162" s="36">
        <f t="shared" si="15"/>
        <v>-7</v>
      </c>
      <c r="K162" s="36">
        <f t="shared" si="13"/>
        <v>-70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2"/>
        <v/>
      </c>
      <c r="J163" s="36">
        <f t="shared" si="15"/>
        <v>-7</v>
      </c>
      <c r="K163" s="36">
        <f t="shared" si="13"/>
        <v>-70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2"/>
        <v/>
      </c>
      <c r="J164" s="36">
        <f t="shared" si="15"/>
        <v>-7</v>
      </c>
      <c r="K164" s="36">
        <f t="shared" si="13"/>
        <v>-70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2"/>
        <v/>
      </c>
      <c r="J165" s="36">
        <f t="shared" si="15"/>
        <v>-7</v>
      </c>
      <c r="K165" s="36">
        <f t="shared" si="13"/>
        <v>-70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2"/>
        <v/>
      </c>
      <c r="J166" s="36">
        <f t="shared" si="15"/>
        <v>-7</v>
      </c>
      <c r="K166" s="36">
        <f t="shared" si="13"/>
        <v>-70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2"/>
        <v/>
      </c>
      <c r="J167" s="36">
        <f t="shared" si="15"/>
        <v>-7</v>
      </c>
      <c r="K167" s="36">
        <f t="shared" si="13"/>
        <v>-70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2"/>
        <v/>
      </c>
      <c r="J168" s="36">
        <f t="shared" si="15"/>
        <v>-7</v>
      </c>
      <c r="K168" s="36">
        <f t="shared" si="13"/>
        <v>-70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2"/>
        <v/>
      </c>
      <c r="J169" s="36">
        <f t="shared" si="15"/>
        <v>-7</v>
      </c>
      <c r="K169" s="36">
        <f t="shared" si="13"/>
        <v>-70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2"/>
        <v/>
      </c>
      <c r="J170" s="36">
        <f t="shared" si="15"/>
        <v>-7</v>
      </c>
      <c r="K170" s="36">
        <f t="shared" si="13"/>
        <v>-70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2"/>
        <v/>
      </c>
      <c r="J171" s="36">
        <f t="shared" si="15"/>
        <v>-7</v>
      </c>
      <c r="K171" s="36">
        <f t="shared" si="13"/>
        <v>-70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2"/>
        <v/>
      </c>
      <c r="J172" s="36">
        <f t="shared" si="15"/>
        <v>-7</v>
      </c>
      <c r="K172" s="36">
        <f t="shared" si="13"/>
        <v>-70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2"/>
        <v/>
      </c>
      <c r="J173" s="36">
        <f t="shared" si="15"/>
        <v>-7</v>
      </c>
      <c r="K173" s="36">
        <f t="shared" si="13"/>
        <v>-70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2"/>
        <v/>
      </c>
      <c r="J174" s="36">
        <f t="shared" si="15"/>
        <v>-7</v>
      </c>
      <c r="K174" s="36">
        <f t="shared" si="13"/>
        <v>-70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2"/>
        <v/>
      </c>
      <c r="J175" s="36">
        <f t="shared" si="15"/>
        <v>-7</v>
      </c>
      <c r="K175" s="36">
        <f t="shared" si="13"/>
        <v>-70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2"/>
        <v/>
      </c>
      <c r="J176" s="36">
        <f t="shared" si="15"/>
        <v>-7</v>
      </c>
      <c r="K176" s="36">
        <f t="shared" si="13"/>
        <v>-70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2"/>
        <v/>
      </c>
      <c r="J177" s="36">
        <f t="shared" si="15"/>
        <v>-7</v>
      </c>
      <c r="K177" s="36">
        <f t="shared" si="13"/>
        <v>-70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2"/>
        <v/>
      </c>
      <c r="J178" s="36">
        <f t="shared" si="15"/>
        <v>-7</v>
      </c>
      <c r="K178" s="36">
        <f t="shared" si="13"/>
        <v>-70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2"/>
        <v/>
      </c>
      <c r="J179" s="36">
        <f t="shared" si="15"/>
        <v>-7</v>
      </c>
      <c r="K179" s="36">
        <f t="shared" si="13"/>
        <v>-70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2"/>
        <v/>
      </c>
      <c r="J180" s="36">
        <f t="shared" si="15"/>
        <v>-7</v>
      </c>
      <c r="K180" s="36">
        <f t="shared" si="13"/>
        <v>-70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2"/>
        <v/>
      </c>
      <c r="J181" s="36">
        <f t="shared" si="15"/>
        <v>-7</v>
      </c>
      <c r="K181" s="36">
        <f t="shared" si="13"/>
        <v>-70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2"/>
        <v/>
      </c>
      <c r="J182" s="36">
        <f t="shared" si="15"/>
        <v>-7</v>
      </c>
      <c r="K182" s="36">
        <f t="shared" si="13"/>
        <v>-70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2"/>
        <v/>
      </c>
      <c r="J183" s="36">
        <f t="shared" si="15"/>
        <v>-7</v>
      </c>
      <c r="K183" s="36">
        <f t="shared" si="13"/>
        <v>-70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2"/>
        <v/>
      </c>
      <c r="J184" s="36">
        <f t="shared" si="15"/>
        <v>-7</v>
      </c>
      <c r="K184" s="36">
        <f t="shared" si="13"/>
        <v>-70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2"/>
        <v/>
      </c>
      <c r="J185" s="36">
        <f t="shared" si="15"/>
        <v>-7</v>
      </c>
      <c r="K185" s="36">
        <f t="shared" si="13"/>
        <v>-70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2"/>
        <v/>
      </c>
      <c r="J186" s="36">
        <f t="shared" si="15"/>
        <v>-7</v>
      </c>
      <c r="K186" s="36">
        <f t="shared" si="13"/>
        <v>-70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2"/>
        <v/>
      </c>
      <c r="J187" s="36">
        <f t="shared" si="15"/>
        <v>-7</v>
      </c>
      <c r="K187" s="36">
        <f t="shared" si="13"/>
        <v>-70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2"/>
        <v/>
      </c>
      <c r="J188" s="36">
        <f t="shared" si="15"/>
        <v>-7</v>
      </c>
      <c r="K188" s="36">
        <f t="shared" si="13"/>
        <v>-70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2"/>
        <v/>
      </c>
      <c r="J189" s="36">
        <f t="shared" si="15"/>
        <v>-7</v>
      </c>
      <c r="K189" s="36">
        <f t="shared" si="13"/>
        <v>-70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2"/>
        <v/>
      </c>
      <c r="J190" s="36">
        <f t="shared" si="15"/>
        <v>-7</v>
      </c>
      <c r="K190" s="36">
        <f t="shared" si="13"/>
        <v>-70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2"/>
        <v/>
      </c>
      <c r="J191" s="36">
        <f t="shared" si="15"/>
        <v>-7</v>
      </c>
      <c r="K191" s="36">
        <f t="shared" si="13"/>
        <v>-70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2"/>
        <v/>
      </c>
      <c r="J192" s="36">
        <f t="shared" si="15"/>
        <v>-7</v>
      </c>
      <c r="K192" s="36">
        <f t="shared" si="13"/>
        <v>-70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2"/>
        <v/>
      </c>
      <c r="J193" s="36">
        <f t="shared" si="15"/>
        <v>-7</v>
      </c>
      <c r="K193" s="36">
        <f t="shared" si="13"/>
        <v>-70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2"/>
        <v/>
      </c>
      <c r="J194" s="36">
        <f t="shared" si="15"/>
        <v>-7</v>
      </c>
      <c r="K194" s="36">
        <f t="shared" si="13"/>
        <v>-70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2"/>
        <v/>
      </c>
      <c r="J195" s="36">
        <f t="shared" si="15"/>
        <v>-7</v>
      </c>
      <c r="K195" s="36">
        <f t="shared" si="13"/>
        <v>-70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2"/>
        <v/>
      </c>
      <c r="J196" s="36">
        <f t="shared" si="15"/>
        <v>-7</v>
      </c>
      <c r="K196" s="36">
        <f t="shared" si="13"/>
        <v>-70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2"/>
        <v/>
      </c>
      <c r="J197" s="36">
        <f t="shared" si="15"/>
        <v>-7</v>
      </c>
      <c r="K197" s="36">
        <f t="shared" si="13"/>
        <v>-70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>
        <f t="shared" si="15"/>
        <v>-7</v>
      </c>
      <c r="K198" s="36">
        <f t="shared" ref="K198:K261" si="17">J198*$J$2</f>
        <v>-70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6"/>
        <v/>
      </c>
      <c r="J199" s="36">
        <f t="shared" ref="J199:J262" si="19">INT(LOG($H$2,2))-ROUNDUP(LOG(H199,2),0)+IF(OR($H$2=1,$H$2=2,$H$2=4,$H$2=8,$H$2=16,$H$2=32,$H$2=64,$H$2=128,$H$2=256),0,1)</f>
        <v>-7</v>
      </c>
      <c r="K199" s="36">
        <f t="shared" si="17"/>
        <v>-70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6"/>
        <v/>
      </c>
      <c r="J200" s="36">
        <f t="shared" si="19"/>
        <v>-7</v>
      </c>
      <c r="K200" s="36">
        <f t="shared" si="17"/>
        <v>-70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6"/>
        <v/>
      </c>
      <c r="J201" s="36">
        <f t="shared" si="19"/>
        <v>-7</v>
      </c>
      <c r="K201" s="36">
        <f t="shared" si="17"/>
        <v>-70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6"/>
        <v/>
      </c>
      <c r="J202" s="36">
        <f t="shared" si="19"/>
        <v>-7</v>
      </c>
      <c r="K202" s="36">
        <f t="shared" si="17"/>
        <v>-70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6"/>
        <v/>
      </c>
      <c r="J203" s="36">
        <f t="shared" si="19"/>
        <v>-7</v>
      </c>
      <c r="K203" s="36">
        <f t="shared" si="17"/>
        <v>-70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6"/>
        <v/>
      </c>
      <c r="J204" s="36">
        <f t="shared" si="19"/>
        <v>-7</v>
      </c>
      <c r="K204" s="36">
        <f t="shared" si="17"/>
        <v>-70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6"/>
        <v/>
      </c>
      <c r="J205" s="36">
        <f t="shared" si="19"/>
        <v>-7</v>
      </c>
      <c r="K205" s="36">
        <f t="shared" si="17"/>
        <v>-70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6"/>
        <v/>
      </c>
      <c r="J206" s="36">
        <f t="shared" si="19"/>
        <v>-7</v>
      </c>
      <c r="K206" s="36">
        <f t="shared" si="17"/>
        <v>-70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6"/>
        <v/>
      </c>
      <c r="J207" s="36">
        <f t="shared" si="19"/>
        <v>-7</v>
      </c>
      <c r="K207" s="36">
        <f t="shared" si="17"/>
        <v>-70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6"/>
        <v/>
      </c>
      <c r="J208" s="36">
        <f t="shared" si="19"/>
        <v>-7</v>
      </c>
      <c r="K208" s="36">
        <f t="shared" si="17"/>
        <v>-70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6"/>
        <v/>
      </c>
      <c r="J209" s="36">
        <f t="shared" si="19"/>
        <v>-7</v>
      </c>
      <c r="K209" s="36">
        <f t="shared" si="17"/>
        <v>-70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6"/>
        <v/>
      </c>
      <c r="J210" s="36">
        <f t="shared" si="19"/>
        <v>-7</v>
      </c>
      <c r="K210" s="36">
        <f t="shared" si="17"/>
        <v>-70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6"/>
        <v/>
      </c>
      <c r="J211" s="36">
        <f t="shared" si="19"/>
        <v>-7</v>
      </c>
      <c r="K211" s="36">
        <f t="shared" si="17"/>
        <v>-70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6"/>
        <v/>
      </c>
      <c r="J212" s="36">
        <f t="shared" si="19"/>
        <v>-7</v>
      </c>
      <c r="K212" s="36">
        <f t="shared" si="17"/>
        <v>-70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6"/>
        <v/>
      </c>
      <c r="J213" s="36">
        <f t="shared" si="19"/>
        <v>-7</v>
      </c>
      <c r="K213" s="36">
        <f t="shared" si="17"/>
        <v>-70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6"/>
        <v/>
      </c>
      <c r="J214" s="36">
        <f t="shared" si="19"/>
        <v>-7</v>
      </c>
      <c r="K214" s="36">
        <f t="shared" si="17"/>
        <v>-70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6"/>
        <v/>
      </c>
      <c r="J215" s="36">
        <f t="shared" si="19"/>
        <v>-7</v>
      </c>
      <c r="K215" s="36">
        <f t="shared" si="17"/>
        <v>-70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6"/>
        <v/>
      </c>
      <c r="J216" s="36">
        <f t="shared" si="19"/>
        <v>-7</v>
      </c>
      <c r="K216" s="36">
        <f t="shared" si="17"/>
        <v>-70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6"/>
        <v/>
      </c>
      <c r="J217" s="36">
        <f t="shared" si="19"/>
        <v>-7</v>
      </c>
      <c r="K217" s="36">
        <f t="shared" si="17"/>
        <v>-70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6"/>
        <v/>
      </c>
      <c r="J218" s="36">
        <f t="shared" si="19"/>
        <v>-7</v>
      </c>
      <c r="K218" s="36">
        <f t="shared" si="17"/>
        <v>-70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6"/>
        <v/>
      </c>
      <c r="J219" s="36">
        <f t="shared" si="19"/>
        <v>-7</v>
      </c>
      <c r="K219" s="36">
        <f t="shared" si="17"/>
        <v>-70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6"/>
        <v/>
      </c>
      <c r="J220" s="36">
        <f t="shared" si="19"/>
        <v>-7</v>
      </c>
      <c r="K220" s="36">
        <f t="shared" si="17"/>
        <v>-70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6"/>
        <v/>
      </c>
      <c r="J221" s="36">
        <f t="shared" si="19"/>
        <v>-7</v>
      </c>
      <c r="K221" s="36">
        <f t="shared" si="17"/>
        <v>-70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6"/>
        <v/>
      </c>
      <c r="J222" s="36">
        <f t="shared" si="19"/>
        <v>-7</v>
      </c>
      <c r="K222" s="36">
        <f t="shared" si="17"/>
        <v>-70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6"/>
        <v/>
      </c>
      <c r="J223" s="36">
        <f t="shared" si="19"/>
        <v>-7</v>
      </c>
      <c r="K223" s="36">
        <f t="shared" si="17"/>
        <v>-70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6"/>
        <v/>
      </c>
      <c r="J224" s="36">
        <f t="shared" si="19"/>
        <v>-7</v>
      </c>
      <c r="K224" s="36">
        <f t="shared" si="17"/>
        <v>-70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6"/>
        <v/>
      </c>
      <c r="J225" s="36">
        <f t="shared" si="19"/>
        <v>-7</v>
      </c>
      <c r="K225" s="36">
        <f t="shared" si="17"/>
        <v>-70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6"/>
        <v/>
      </c>
      <c r="J226" s="36">
        <f t="shared" si="19"/>
        <v>-7</v>
      </c>
      <c r="K226" s="36">
        <f t="shared" si="17"/>
        <v>-70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6"/>
        <v/>
      </c>
      <c r="J227" s="36">
        <f t="shared" si="19"/>
        <v>-7</v>
      </c>
      <c r="K227" s="36">
        <f t="shared" si="17"/>
        <v>-70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6"/>
        <v/>
      </c>
      <c r="J228" s="36">
        <f t="shared" si="19"/>
        <v>-7</v>
      </c>
      <c r="K228" s="36">
        <f t="shared" si="17"/>
        <v>-70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6"/>
        <v/>
      </c>
      <c r="J229" s="36">
        <f t="shared" si="19"/>
        <v>-7</v>
      </c>
      <c r="K229" s="36">
        <f t="shared" si="17"/>
        <v>-70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6"/>
        <v/>
      </c>
      <c r="J230" s="36">
        <f t="shared" si="19"/>
        <v>-7</v>
      </c>
      <c r="K230" s="36">
        <f t="shared" si="17"/>
        <v>-70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6"/>
        <v/>
      </c>
      <c r="J231" s="36">
        <f t="shared" si="19"/>
        <v>-7</v>
      </c>
      <c r="K231" s="36">
        <f t="shared" si="17"/>
        <v>-70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6"/>
        <v/>
      </c>
      <c r="J232" s="36">
        <f t="shared" si="19"/>
        <v>-7</v>
      </c>
      <c r="K232" s="36">
        <f t="shared" si="17"/>
        <v>-70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6"/>
        <v/>
      </c>
      <c r="J233" s="36">
        <f t="shared" si="19"/>
        <v>-7</v>
      </c>
      <c r="K233" s="36">
        <f t="shared" si="17"/>
        <v>-70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6"/>
        <v/>
      </c>
      <c r="J234" s="36">
        <f t="shared" si="19"/>
        <v>-7</v>
      </c>
      <c r="K234" s="36">
        <f t="shared" si="17"/>
        <v>-70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6"/>
        <v/>
      </c>
      <c r="J235" s="36">
        <f t="shared" si="19"/>
        <v>-7</v>
      </c>
      <c r="K235" s="36">
        <f t="shared" si="17"/>
        <v>-70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6"/>
        <v/>
      </c>
      <c r="J236" s="36">
        <f t="shared" si="19"/>
        <v>-7</v>
      </c>
      <c r="K236" s="36">
        <f t="shared" si="17"/>
        <v>-70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6"/>
        <v/>
      </c>
      <c r="J237" s="36">
        <f t="shared" si="19"/>
        <v>-7</v>
      </c>
      <c r="K237" s="36">
        <f t="shared" si="17"/>
        <v>-70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6"/>
        <v/>
      </c>
      <c r="J238" s="36">
        <f t="shared" si="19"/>
        <v>-7</v>
      </c>
      <c r="K238" s="36">
        <f t="shared" si="17"/>
        <v>-70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6"/>
        <v/>
      </c>
      <c r="J239" s="36">
        <f t="shared" si="19"/>
        <v>-7</v>
      </c>
      <c r="K239" s="36">
        <f t="shared" si="17"/>
        <v>-70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6"/>
        <v/>
      </c>
      <c r="J240" s="36">
        <f t="shared" si="19"/>
        <v>-7</v>
      </c>
      <c r="K240" s="36">
        <f t="shared" si="17"/>
        <v>-70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6"/>
        <v/>
      </c>
      <c r="J241" s="36">
        <f t="shared" si="19"/>
        <v>-7</v>
      </c>
      <c r="K241" s="36">
        <f t="shared" si="17"/>
        <v>-70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6"/>
        <v/>
      </c>
      <c r="J242" s="36">
        <f t="shared" si="19"/>
        <v>-7</v>
      </c>
      <c r="K242" s="36">
        <f t="shared" si="17"/>
        <v>-70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6"/>
        <v/>
      </c>
      <c r="J243" s="36">
        <f t="shared" si="19"/>
        <v>-7</v>
      </c>
      <c r="K243" s="36">
        <f t="shared" si="17"/>
        <v>-70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6"/>
        <v/>
      </c>
      <c r="J244" s="36">
        <f t="shared" si="19"/>
        <v>-7</v>
      </c>
      <c r="K244" s="36">
        <f t="shared" si="17"/>
        <v>-70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6"/>
        <v/>
      </c>
      <c r="J245" s="36">
        <f t="shared" si="19"/>
        <v>-7</v>
      </c>
      <c r="K245" s="36">
        <f t="shared" si="17"/>
        <v>-70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6"/>
        <v/>
      </c>
      <c r="J246" s="36">
        <f t="shared" si="19"/>
        <v>-7</v>
      </c>
      <c r="K246" s="36">
        <f t="shared" si="17"/>
        <v>-70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6"/>
        <v/>
      </c>
      <c r="J247" s="36">
        <f t="shared" si="19"/>
        <v>-7</v>
      </c>
      <c r="K247" s="36">
        <f t="shared" si="17"/>
        <v>-70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6"/>
        <v/>
      </c>
      <c r="J248" s="36">
        <f t="shared" si="19"/>
        <v>-7</v>
      </c>
      <c r="K248" s="36">
        <f t="shared" si="17"/>
        <v>-70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6"/>
        <v/>
      </c>
      <c r="J249" s="36">
        <f t="shared" si="19"/>
        <v>-7</v>
      </c>
      <c r="K249" s="36">
        <f t="shared" si="17"/>
        <v>-70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6"/>
        <v/>
      </c>
      <c r="J250" s="36">
        <f t="shared" si="19"/>
        <v>-7</v>
      </c>
      <c r="K250" s="36">
        <f t="shared" si="17"/>
        <v>-70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6"/>
        <v/>
      </c>
      <c r="J251" s="36">
        <f t="shared" si="19"/>
        <v>-7</v>
      </c>
      <c r="K251" s="36">
        <f t="shared" si="17"/>
        <v>-70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6"/>
        <v/>
      </c>
      <c r="J252" s="36">
        <f t="shared" si="19"/>
        <v>-7</v>
      </c>
      <c r="K252" s="36">
        <f t="shared" si="17"/>
        <v>-70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6"/>
        <v/>
      </c>
      <c r="J253" s="36">
        <f t="shared" si="19"/>
        <v>-7</v>
      </c>
      <c r="K253" s="36">
        <f t="shared" si="17"/>
        <v>-70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6"/>
        <v/>
      </c>
      <c r="J254" s="36">
        <f t="shared" si="19"/>
        <v>-7</v>
      </c>
      <c r="K254" s="36">
        <f t="shared" si="17"/>
        <v>-70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6"/>
        <v/>
      </c>
      <c r="J255" s="36">
        <f t="shared" si="19"/>
        <v>-7</v>
      </c>
      <c r="K255" s="36">
        <f t="shared" si="17"/>
        <v>-70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6"/>
        <v/>
      </c>
      <c r="J256" s="36">
        <f t="shared" si="19"/>
        <v>-7</v>
      </c>
      <c r="K256" s="36">
        <f t="shared" si="17"/>
        <v>-70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6"/>
        <v/>
      </c>
      <c r="J257" s="36">
        <f t="shared" si="19"/>
        <v>-7</v>
      </c>
      <c r="K257" s="36">
        <f t="shared" si="17"/>
        <v>-70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6"/>
        <v/>
      </c>
      <c r="J258" s="36">
        <f t="shared" si="19"/>
        <v>-7</v>
      </c>
      <c r="K258" s="36">
        <f t="shared" si="17"/>
        <v>-70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6"/>
        <v/>
      </c>
      <c r="J259" s="36">
        <f t="shared" si="19"/>
        <v>-7</v>
      </c>
      <c r="K259" s="36">
        <f t="shared" si="17"/>
        <v>-70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6"/>
        <v/>
      </c>
      <c r="J260" s="36">
        <f t="shared" si="19"/>
        <v>-7</v>
      </c>
      <c r="K260" s="36">
        <f t="shared" si="17"/>
        <v>-70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6"/>
        <v/>
      </c>
      <c r="J261" s="36">
        <f t="shared" si="19"/>
        <v>-7</v>
      </c>
      <c r="K261" s="36">
        <f t="shared" si="17"/>
        <v>-70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>
        <f t="shared" si="19"/>
        <v>-8</v>
      </c>
      <c r="K262" s="36">
        <f t="shared" ref="K262:K305" si="21">J262*$J$2</f>
        <v>-80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0"/>
        <v/>
      </c>
      <c r="J263" s="36">
        <f t="shared" ref="J263:J305" si="23">INT(LOG($H$2,2))-ROUNDUP(LOG(H263,2),0)+IF(OR($H$2=1,$H$2=2,$H$2=4,$H$2=8,$H$2=16,$H$2=32,$H$2=64,$H$2=128,$H$2=256),0,1)</f>
        <v>-8</v>
      </c>
      <c r="K263" s="36">
        <f t="shared" si="21"/>
        <v>-80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20"/>
        <v/>
      </c>
      <c r="J264" s="36">
        <f t="shared" si="23"/>
        <v>-8</v>
      </c>
      <c r="K264" s="36">
        <f t="shared" si="21"/>
        <v>-80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20"/>
        <v/>
      </c>
      <c r="J265" s="36">
        <f t="shared" si="23"/>
        <v>-8</v>
      </c>
      <c r="K265" s="36">
        <f t="shared" si="21"/>
        <v>-80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20"/>
        <v/>
      </c>
      <c r="J266" s="36">
        <f t="shared" si="23"/>
        <v>-8</v>
      </c>
      <c r="K266" s="36">
        <f t="shared" si="21"/>
        <v>-80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20"/>
        <v/>
      </c>
      <c r="J267" s="36">
        <f t="shared" si="23"/>
        <v>-8</v>
      </c>
      <c r="K267" s="36">
        <f t="shared" si="21"/>
        <v>-80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20"/>
        <v/>
      </c>
      <c r="J268" s="36">
        <f t="shared" si="23"/>
        <v>-8</v>
      </c>
      <c r="K268" s="36">
        <f t="shared" si="21"/>
        <v>-80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20"/>
        <v/>
      </c>
      <c r="J269" s="36">
        <f t="shared" si="23"/>
        <v>-8</v>
      </c>
      <c r="K269" s="36">
        <f t="shared" si="21"/>
        <v>-80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20"/>
        <v/>
      </c>
      <c r="J270" s="36">
        <f t="shared" si="23"/>
        <v>-8</v>
      </c>
      <c r="K270" s="36">
        <f t="shared" si="21"/>
        <v>-80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20"/>
        <v/>
      </c>
      <c r="J271" s="36">
        <f t="shared" si="23"/>
        <v>-8</v>
      </c>
      <c r="K271" s="36">
        <f t="shared" si="21"/>
        <v>-80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20"/>
        <v/>
      </c>
      <c r="J272" s="36">
        <f t="shared" si="23"/>
        <v>-8</v>
      </c>
      <c r="K272" s="36">
        <f t="shared" si="21"/>
        <v>-80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20"/>
        <v/>
      </c>
      <c r="J273" s="36">
        <f t="shared" si="23"/>
        <v>-8</v>
      </c>
      <c r="K273" s="36">
        <f t="shared" si="21"/>
        <v>-80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20"/>
        <v/>
      </c>
      <c r="J274" s="36">
        <f t="shared" si="23"/>
        <v>-8</v>
      </c>
      <c r="K274" s="36">
        <f t="shared" si="21"/>
        <v>-80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20"/>
        <v/>
      </c>
      <c r="J275" s="36">
        <f t="shared" si="23"/>
        <v>-8</v>
      </c>
      <c r="K275" s="36">
        <f t="shared" si="21"/>
        <v>-80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20"/>
        <v/>
      </c>
      <c r="J276" s="36">
        <f t="shared" si="23"/>
        <v>-8</v>
      </c>
      <c r="K276" s="36">
        <f t="shared" si="21"/>
        <v>-80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20"/>
        <v/>
      </c>
      <c r="J277" s="36">
        <f t="shared" si="23"/>
        <v>-8</v>
      </c>
      <c r="K277" s="36">
        <f t="shared" si="21"/>
        <v>-80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20"/>
        <v/>
      </c>
      <c r="J278" s="36">
        <f t="shared" si="23"/>
        <v>-8</v>
      </c>
      <c r="K278" s="36">
        <f t="shared" si="21"/>
        <v>-80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20"/>
        <v/>
      </c>
      <c r="J279" s="36">
        <f t="shared" si="23"/>
        <v>-8</v>
      </c>
      <c r="K279" s="36">
        <f t="shared" si="21"/>
        <v>-80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20"/>
        <v/>
      </c>
      <c r="J280" s="36">
        <f t="shared" si="23"/>
        <v>-8</v>
      </c>
      <c r="K280" s="36">
        <f t="shared" si="21"/>
        <v>-80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20"/>
        <v/>
      </c>
      <c r="J281" s="36">
        <f t="shared" si="23"/>
        <v>-8</v>
      </c>
      <c r="K281" s="36">
        <f t="shared" si="21"/>
        <v>-80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20"/>
        <v/>
      </c>
      <c r="J282" s="36">
        <f t="shared" si="23"/>
        <v>-8</v>
      </c>
      <c r="K282" s="36">
        <f t="shared" si="21"/>
        <v>-80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20"/>
        <v/>
      </c>
      <c r="J283" s="36">
        <f t="shared" si="23"/>
        <v>-8</v>
      </c>
      <c r="K283" s="36">
        <f t="shared" si="21"/>
        <v>-80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20"/>
        <v/>
      </c>
      <c r="J284" s="36">
        <f t="shared" si="23"/>
        <v>-8</v>
      </c>
      <c r="K284" s="36">
        <f t="shared" si="21"/>
        <v>-80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20"/>
        <v/>
      </c>
      <c r="J285" s="36">
        <f t="shared" si="23"/>
        <v>-8</v>
      </c>
      <c r="K285" s="36">
        <f t="shared" si="21"/>
        <v>-80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20"/>
        <v/>
      </c>
      <c r="J286" s="36">
        <f t="shared" si="23"/>
        <v>-8</v>
      </c>
      <c r="K286" s="36">
        <f t="shared" si="21"/>
        <v>-80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20"/>
        <v/>
      </c>
      <c r="J287" s="36">
        <f t="shared" si="23"/>
        <v>-8</v>
      </c>
      <c r="K287" s="36">
        <f t="shared" si="21"/>
        <v>-80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20"/>
        <v/>
      </c>
      <c r="J288" s="36">
        <f t="shared" si="23"/>
        <v>-8</v>
      </c>
      <c r="K288" s="36">
        <f t="shared" si="21"/>
        <v>-80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20"/>
        <v/>
      </c>
      <c r="J289" s="36">
        <f t="shared" si="23"/>
        <v>-8</v>
      </c>
      <c r="K289" s="36">
        <f t="shared" si="21"/>
        <v>-80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20"/>
        <v/>
      </c>
      <c r="J290" s="36">
        <f t="shared" si="23"/>
        <v>-8</v>
      </c>
      <c r="K290" s="36">
        <f t="shared" si="21"/>
        <v>-80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20"/>
        <v/>
      </c>
      <c r="J291" s="36">
        <f t="shared" si="23"/>
        <v>-8</v>
      </c>
      <c r="K291" s="36">
        <f t="shared" si="21"/>
        <v>-80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20"/>
        <v/>
      </c>
      <c r="J292" s="36">
        <f t="shared" si="23"/>
        <v>-8</v>
      </c>
      <c r="K292" s="36">
        <f t="shared" si="21"/>
        <v>-80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20"/>
        <v/>
      </c>
      <c r="J293" s="36">
        <f t="shared" si="23"/>
        <v>-8</v>
      </c>
      <c r="K293" s="36">
        <f t="shared" si="21"/>
        <v>-80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20"/>
        <v/>
      </c>
      <c r="J294" s="36">
        <f t="shared" si="23"/>
        <v>-8</v>
      </c>
      <c r="K294" s="36">
        <f t="shared" si="21"/>
        <v>-80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20"/>
        <v/>
      </c>
      <c r="J295" s="36">
        <f t="shared" si="23"/>
        <v>-8</v>
      </c>
      <c r="K295" s="36">
        <f t="shared" si="21"/>
        <v>-80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20"/>
        <v/>
      </c>
      <c r="J296" s="36">
        <f t="shared" si="23"/>
        <v>-8</v>
      </c>
      <c r="K296" s="36">
        <f t="shared" si="21"/>
        <v>-80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20"/>
        <v/>
      </c>
      <c r="J297" s="36">
        <f t="shared" si="23"/>
        <v>-8</v>
      </c>
      <c r="K297" s="36">
        <f t="shared" si="21"/>
        <v>-80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20"/>
        <v/>
      </c>
      <c r="J298" s="36">
        <f t="shared" si="23"/>
        <v>-8</v>
      </c>
      <c r="K298" s="36">
        <f t="shared" si="21"/>
        <v>-80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20"/>
        <v/>
      </c>
      <c r="J299" s="36">
        <f t="shared" si="23"/>
        <v>-8</v>
      </c>
      <c r="K299" s="36">
        <f t="shared" si="21"/>
        <v>-80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20"/>
        <v/>
      </c>
      <c r="J300" s="36">
        <f t="shared" si="23"/>
        <v>-8</v>
      </c>
      <c r="K300" s="36">
        <f t="shared" si="21"/>
        <v>-80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20"/>
        <v/>
      </c>
      <c r="J301" s="36">
        <f t="shared" si="23"/>
        <v>-8</v>
      </c>
      <c r="K301" s="36">
        <f t="shared" si="21"/>
        <v>-80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20"/>
        <v/>
      </c>
      <c r="J302" s="36">
        <f t="shared" si="23"/>
        <v>-8</v>
      </c>
      <c r="K302" s="36">
        <f t="shared" si="21"/>
        <v>-80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20"/>
        <v/>
      </c>
      <c r="J303" s="36">
        <f t="shared" si="23"/>
        <v>-8</v>
      </c>
      <c r="K303" s="36">
        <f t="shared" si="21"/>
        <v>-80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20"/>
        <v/>
      </c>
      <c r="J304" s="36">
        <f t="shared" si="23"/>
        <v>-8</v>
      </c>
      <c r="K304" s="36">
        <f t="shared" si="21"/>
        <v>-80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20"/>
        <v/>
      </c>
      <c r="J305" s="36">
        <f t="shared" si="23"/>
        <v>-8</v>
      </c>
      <c r="K305" s="36">
        <f t="shared" si="21"/>
        <v>-80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GDAŃSK" xr:uid="{47CD2028-18A8-4EB8-82DA-484304B038C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A20C-B3D9-48F5-A0CD-8EBDC175F537}">
  <sheetPr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159" customWidth="1"/>
    <col min="2" max="2" width="8.25" style="159" customWidth="1"/>
    <col min="3" max="3" width="34.75" style="159" customWidth="1"/>
    <col min="4" max="4" width="11.25" style="159" customWidth="1"/>
    <col min="5" max="6" width="8.875" style="159"/>
    <col min="7" max="7" width="0.875" style="159" customWidth="1"/>
    <col min="8" max="8" width="8.875" style="161"/>
    <col min="9" max="9" width="11" style="161" customWidth="1"/>
    <col min="10" max="10" width="15.25" style="161" customWidth="1"/>
    <col min="11" max="11" width="8.75" style="161" customWidth="1"/>
    <col min="12" max="12" width="11" style="161" customWidth="1"/>
    <col min="13" max="13" width="11.75" style="162" customWidth="1"/>
    <col min="14" max="15" width="13.875" style="128" customWidth="1"/>
    <col min="16" max="18" width="8.875" style="128"/>
    <col min="19" max="20" width="8.875" style="133"/>
    <col min="21" max="21" width="12.125" style="133" customWidth="1"/>
    <col min="22" max="22" width="27.375" style="133" customWidth="1"/>
    <col min="23" max="38" width="8.875" style="133"/>
    <col min="39" max="16384" width="8.875" style="159"/>
  </cols>
  <sheetData>
    <row r="1" spans="1:36" x14ac:dyDescent="0.25">
      <c r="A1" s="128"/>
      <c r="B1" s="128"/>
      <c r="C1" s="128"/>
      <c r="D1" s="128"/>
      <c r="E1" s="128"/>
      <c r="F1" s="128"/>
      <c r="G1" s="128"/>
      <c r="H1" s="129" t="s">
        <v>22</v>
      </c>
      <c r="I1" s="130" t="s">
        <v>23</v>
      </c>
      <c r="J1" s="130" t="s">
        <v>24</v>
      </c>
      <c r="K1" s="131" t="s">
        <v>25</v>
      </c>
      <c r="L1" s="132"/>
      <c r="M1" s="132"/>
    </row>
    <row r="2" spans="1:36" ht="14.45" customHeight="1" x14ac:dyDescent="0.25">
      <c r="A2" s="128"/>
      <c r="B2" s="20" t="s">
        <v>26</v>
      </c>
      <c r="C2" s="262" t="s">
        <v>61</v>
      </c>
      <c r="D2" s="262"/>
      <c r="E2" s="21"/>
      <c r="F2" s="21"/>
      <c r="G2" s="21"/>
      <c r="H2" s="134">
        <v>1</v>
      </c>
      <c r="I2" s="135">
        <v>50</v>
      </c>
      <c r="J2" s="135">
        <v>10</v>
      </c>
      <c r="K2" s="136">
        <f>3*H2^(1/3)</f>
        <v>3</v>
      </c>
      <c r="L2" s="132"/>
      <c r="M2" s="132"/>
    </row>
    <row r="3" spans="1:36" ht="14.45" customHeight="1" x14ac:dyDescent="0.25">
      <c r="A3" s="128"/>
      <c r="B3" s="137" t="s">
        <v>28</v>
      </c>
      <c r="C3" s="263" t="s">
        <v>62</v>
      </c>
      <c r="D3" s="263"/>
      <c r="E3" s="26"/>
      <c r="F3" s="26"/>
      <c r="G3" s="26"/>
      <c r="H3" s="132"/>
      <c r="I3" s="132"/>
      <c r="J3" s="138"/>
      <c r="K3" s="132"/>
      <c r="L3" s="132"/>
      <c r="M3" s="13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2"/>
      <c r="I4" s="132"/>
      <c r="J4" s="138"/>
      <c r="K4" s="132"/>
      <c r="L4" s="132"/>
      <c r="M4" s="132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39" t="s">
        <v>35</v>
      </c>
      <c r="I5" s="140" t="s">
        <v>36</v>
      </c>
      <c r="J5" s="141" t="s">
        <v>37</v>
      </c>
      <c r="K5" s="140" t="s">
        <v>38</v>
      </c>
      <c r="L5" s="140" t="s">
        <v>39</v>
      </c>
      <c r="M5" s="139" t="s">
        <v>40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19</v>
      </c>
      <c r="D6" s="35"/>
      <c r="E6" s="35"/>
      <c r="F6" s="35"/>
      <c r="G6" s="28"/>
      <c r="H6" s="142">
        <v>1</v>
      </c>
      <c r="I6" s="143">
        <f>IF(H2=1,50,IF(H6&lt;$H$2+1,($I$2-($I$2-1)*(LOG(H6)/LOG($H$2))),""))</f>
        <v>50</v>
      </c>
      <c r="J6" s="142">
        <f>INT(LOG($H$2,2))-ROUNDUP(LOG(H6,2),0)+IF(OR($H$2=1,$H$2=2,$H$2=4,$H$2=8,$H$2=16,$H$2=32,$H$2=64,$H$2=128,$H$2=256),0,1)</f>
        <v>0</v>
      </c>
      <c r="K6" s="142">
        <f t="shared" ref="K6:K69" si="1">J6*$J$2</f>
        <v>0</v>
      </c>
      <c r="L6" s="144">
        <f>3*K2</f>
        <v>9</v>
      </c>
      <c r="M6" s="144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5">
        <v>2</v>
      </c>
      <c r="I7" s="146" t="str">
        <f t="shared" ref="I7:I70" si="4">IF(H7&lt;$H$2+1,($I$2-($I$2-1)*(LOG(H7)/LOG($H$2))),"")</f>
        <v/>
      </c>
      <c r="J7" s="145">
        <f t="shared" ref="J7:J70" si="5">INT(LOG($H$2,2))-ROUNDUP(LOG(H7,2),0)+IF(OR($H$2=1,$H$2=2,$H$2=4,$H$2=8,$H$2=16,$H$2=32,$H$2=64,$H$2=128,$H$2=256),0,1)</f>
        <v>-1</v>
      </c>
      <c r="K7" s="145">
        <f t="shared" si="1"/>
        <v>-10</v>
      </c>
      <c r="L7" s="147">
        <f>2*K2</f>
        <v>6</v>
      </c>
      <c r="M7" s="147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2">
        <v>3</v>
      </c>
      <c r="I8" s="143" t="str">
        <f t="shared" si="4"/>
        <v/>
      </c>
      <c r="J8" s="142">
        <f t="shared" si="5"/>
        <v>-2</v>
      </c>
      <c r="K8" s="142">
        <f t="shared" si="1"/>
        <v>-20</v>
      </c>
      <c r="L8" s="144">
        <f>K2</f>
        <v>3</v>
      </c>
      <c r="M8" s="144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5">
        <v>4</v>
      </c>
      <c r="I9" s="146" t="str">
        <f t="shared" si="4"/>
        <v/>
      </c>
      <c r="J9" s="145">
        <f t="shared" si="5"/>
        <v>-2</v>
      </c>
      <c r="K9" s="145">
        <f t="shared" si="1"/>
        <v>-20</v>
      </c>
      <c r="L9" s="147"/>
      <c r="M9" s="147">
        <f t="shared" si="2"/>
        <v>0</v>
      </c>
      <c r="V9" s="148"/>
      <c r="Z9" s="149"/>
      <c r="AA9" s="149"/>
      <c r="AG9" s="150"/>
      <c r="AH9" s="133" t="s">
        <v>42</v>
      </c>
      <c r="AI9" s="133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2">
        <v>5</v>
      </c>
      <c r="I10" s="143" t="str">
        <f t="shared" si="4"/>
        <v/>
      </c>
      <c r="J10" s="142">
        <f t="shared" si="5"/>
        <v>-3</v>
      </c>
      <c r="K10" s="142">
        <f t="shared" si="1"/>
        <v>-30</v>
      </c>
      <c r="L10" s="142"/>
      <c r="M10" s="144">
        <f t="shared" si="2"/>
        <v>0</v>
      </c>
      <c r="V10" s="148"/>
      <c r="Z10" s="149"/>
      <c r="AA10" s="149"/>
      <c r="AG10" s="150"/>
      <c r="AH10" s="133" t="s">
        <v>43</v>
      </c>
      <c r="AI10" s="133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5">
        <v>6</v>
      </c>
      <c r="I11" s="146" t="str">
        <f t="shared" si="4"/>
        <v/>
      </c>
      <c r="J11" s="145">
        <f t="shared" si="5"/>
        <v>-3</v>
      </c>
      <c r="K11" s="145">
        <f t="shared" si="1"/>
        <v>-30</v>
      </c>
      <c r="L11" s="145"/>
      <c r="M11" s="147">
        <f t="shared" si="2"/>
        <v>0</v>
      </c>
      <c r="V11" s="151"/>
      <c r="Z11" s="149"/>
      <c r="AA11" s="149"/>
      <c r="AG11" s="150"/>
      <c r="AH11" s="133" t="s">
        <v>44</v>
      </c>
      <c r="AI11" s="133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2">
        <v>7</v>
      </c>
      <c r="I12" s="143" t="str">
        <f t="shared" si="4"/>
        <v/>
      </c>
      <c r="J12" s="142">
        <f t="shared" si="5"/>
        <v>-3</v>
      </c>
      <c r="K12" s="142">
        <f t="shared" si="1"/>
        <v>-30</v>
      </c>
      <c r="L12" s="142"/>
      <c r="M12" s="144">
        <f t="shared" si="2"/>
        <v>0</v>
      </c>
      <c r="Z12" s="149"/>
      <c r="AA12" s="149"/>
      <c r="AG12" s="150"/>
      <c r="AH12" s="133" t="s">
        <v>45</v>
      </c>
      <c r="AI12" s="133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5">
        <v>8</v>
      </c>
      <c r="I13" s="146" t="str">
        <f t="shared" si="4"/>
        <v/>
      </c>
      <c r="J13" s="145">
        <f t="shared" si="5"/>
        <v>-3</v>
      </c>
      <c r="K13" s="145">
        <f t="shared" si="1"/>
        <v>-30</v>
      </c>
      <c r="L13" s="145"/>
      <c r="M13" s="147">
        <f t="shared" si="2"/>
        <v>0</v>
      </c>
      <c r="X13" s="148"/>
      <c r="AG13" s="150"/>
      <c r="AH13" s="133" t="s">
        <v>46</v>
      </c>
      <c r="AI13" s="133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2">
        <v>9</v>
      </c>
      <c r="I14" s="143" t="str">
        <f t="shared" si="4"/>
        <v/>
      </c>
      <c r="J14" s="142">
        <f t="shared" si="5"/>
        <v>-4</v>
      </c>
      <c r="K14" s="142">
        <f t="shared" si="1"/>
        <v>-40</v>
      </c>
      <c r="L14" s="142"/>
      <c r="M14" s="144">
        <f t="shared" si="2"/>
        <v>0</v>
      </c>
      <c r="X14" s="152"/>
      <c r="Z14" s="149"/>
      <c r="AA14" s="149"/>
      <c r="AG14" s="150"/>
      <c r="AH14" s="133" t="s">
        <v>47</v>
      </c>
      <c r="AI14" s="133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5">
        <v>10</v>
      </c>
      <c r="I15" s="146" t="str">
        <f t="shared" si="4"/>
        <v/>
      </c>
      <c r="J15" s="145">
        <f t="shared" si="5"/>
        <v>-4</v>
      </c>
      <c r="K15" s="145">
        <f t="shared" si="1"/>
        <v>-40</v>
      </c>
      <c r="L15" s="145"/>
      <c r="M15" s="147">
        <f t="shared" si="2"/>
        <v>0</v>
      </c>
      <c r="X15" s="148"/>
      <c r="Z15" s="149"/>
      <c r="AA15" s="149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2">
        <v>11</v>
      </c>
      <c r="I16" s="143" t="str">
        <f t="shared" si="4"/>
        <v/>
      </c>
      <c r="J16" s="142">
        <f t="shared" si="5"/>
        <v>-4</v>
      </c>
      <c r="K16" s="142">
        <f t="shared" si="1"/>
        <v>-40</v>
      </c>
      <c r="L16" s="142"/>
      <c r="M16" s="144">
        <f t="shared" si="2"/>
        <v>0</v>
      </c>
      <c r="R16" s="153"/>
      <c r="Z16" s="149"/>
      <c r="AA16" s="149"/>
      <c r="AH16" s="154" t="s">
        <v>48</v>
      </c>
      <c r="AI16" s="133">
        <f>AI11-AI12*AI13/AI14</f>
        <v>9.6393909380186855</v>
      </c>
      <c r="AJ16" s="133" t="s">
        <v>49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5">
        <v>12</v>
      </c>
      <c r="I17" s="146" t="str">
        <f t="shared" si="4"/>
        <v/>
      </c>
      <c r="J17" s="145">
        <f t="shared" si="5"/>
        <v>-4</v>
      </c>
      <c r="K17" s="145">
        <f t="shared" si="1"/>
        <v>-40</v>
      </c>
      <c r="L17" s="145"/>
      <c r="M17" s="147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2">
        <v>13</v>
      </c>
      <c r="I18" s="143" t="str">
        <f t="shared" si="4"/>
        <v/>
      </c>
      <c r="J18" s="142">
        <f t="shared" si="5"/>
        <v>-4</v>
      </c>
      <c r="K18" s="142">
        <f t="shared" si="1"/>
        <v>-40</v>
      </c>
      <c r="L18" s="142"/>
      <c r="M18" s="144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5">
        <v>14</v>
      </c>
      <c r="I19" s="146" t="str">
        <f t="shared" si="4"/>
        <v/>
      </c>
      <c r="J19" s="145">
        <f t="shared" si="5"/>
        <v>-4</v>
      </c>
      <c r="K19" s="145">
        <f t="shared" si="1"/>
        <v>-40</v>
      </c>
      <c r="L19" s="145"/>
      <c r="M19" s="147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2">
        <v>15</v>
      </c>
      <c r="I20" s="143" t="str">
        <f t="shared" si="4"/>
        <v/>
      </c>
      <c r="J20" s="142">
        <f t="shared" si="5"/>
        <v>-4</v>
      </c>
      <c r="K20" s="142">
        <f t="shared" si="1"/>
        <v>-40</v>
      </c>
      <c r="L20" s="142"/>
      <c r="M20" s="144">
        <f t="shared" si="2"/>
        <v>0</v>
      </c>
      <c r="R20" s="155"/>
      <c r="S20" s="156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5">
        <v>16</v>
      </c>
      <c r="I21" s="146" t="str">
        <f t="shared" si="4"/>
        <v/>
      </c>
      <c r="J21" s="145">
        <f t="shared" si="5"/>
        <v>-4</v>
      </c>
      <c r="K21" s="145">
        <f t="shared" si="1"/>
        <v>-40</v>
      </c>
      <c r="L21" s="145"/>
      <c r="M21" s="147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2">
        <v>17</v>
      </c>
      <c r="I22" s="143" t="str">
        <f t="shared" si="4"/>
        <v/>
      </c>
      <c r="J22" s="142">
        <f t="shared" si="5"/>
        <v>-5</v>
      </c>
      <c r="K22" s="142">
        <f t="shared" si="1"/>
        <v>-50</v>
      </c>
      <c r="L22" s="142"/>
      <c r="M22" s="144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5">
        <v>18</v>
      </c>
      <c r="I23" s="146" t="str">
        <f t="shared" si="4"/>
        <v/>
      </c>
      <c r="J23" s="145">
        <f t="shared" si="5"/>
        <v>-5</v>
      </c>
      <c r="K23" s="145">
        <f t="shared" si="1"/>
        <v>-50</v>
      </c>
      <c r="L23" s="145"/>
      <c r="M23" s="14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2">
        <v>19</v>
      </c>
      <c r="I24" s="143" t="str">
        <f t="shared" si="4"/>
        <v/>
      </c>
      <c r="J24" s="142">
        <f t="shared" si="5"/>
        <v>-5</v>
      </c>
      <c r="K24" s="142">
        <f t="shared" si="1"/>
        <v>-50</v>
      </c>
      <c r="L24" s="142"/>
      <c r="M24" s="144">
        <f t="shared" si="2"/>
        <v>0</v>
      </c>
      <c r="R24" s="155"/>
      <c r="S24" s="15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5">
        <v>20</v>
      </c>
      <c r="I25" s="146" t="str">
        <f t="shared" si="4"/>
        <v/>
      </c>
      <c r="J25" s="145">
        <f t="shared" si="5"/>
        <v>-5</v>
      </c>
      <c r="K25" s="145">
        <f t="shared" si="1"/>
        <v>-50</v>
      </c>
      <c r="L25" s="145"/>
      <c r="M25" s="14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2">
        <v>21</v>
      </c>
      <c r="I26" s="143" t="str">
        <f t="shared" si="4"/>
        <v/>
      </c>
      <c r="J26" s="142">
        <f t="shared" si="5"/>
        <v>-5</v>
      </c>
      <c r="K26" s="142">
        <f t="shared" si="1"/>
        <v>-50</v>
      </c>
      <c r="L26" s="142"/>
      <c r="M26" s="144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5">
        <v>22</v>
      </c>
      <c r="I27" s="146" t="str">
        <f t="shared" si="4"/>
        <v/>
      </c>
      <c r="J27" s="145">
        <f t="shared" si="5"/>
        <v>-5</v>
      </c>
      <c r="K27" s="145">
        <f t="shared" si="1"/>
        <v>-50</v>
      </c>
      <c r="L27" s="145"/>
      <c r="M27" s="14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2">
        <v>23</v>
      </c>
      <c r="I28" s="143" t="str">
        <f t="shared" si="4"/>
        <v/>
      </c>
      <c r="J28" s="142">
        <f t="shared" si="5"/>
        <v>-5</v>
      </c>
      <c r="K28" s="142">
        <f t="shared" si="1"/>
        <v>-50</v>
      </c>
      <c r="L28" s="142"/>
      <c r="M28" s="144">
        <f t="shared" si="2"/>
        <v>0</v>
      </c>
      <c r="R28" s="155"/>
      <c r="S28" s="15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8"/>
      <c r="H29" s="145">
        <v>24</v>
      </c>
      <c r="I29" s="146" t="str">
        <f t="shared" si="4"/>
        <v/>
      </c>
      <c r="J29" s="145">
        <f t="shared" si="5"/>
        <v>-5</v>
      </c>
      <c r="K29" s="145">
        <f t="shared" si="1"/>
        <v>-50</v>
      </c>
      <c r="L29" s="145"/>
      <c r="M29" s="14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8"/>
      <c r="H30" s="142">
        <v>25</v>
      </c>
      <c r="I30" s="143" t="str">
        <f t="shared" si="4"/>
        <v/>
      </c>
      <c r="J30" s="142">
        <f t="shared" si="5"/>
        <v>-5</v>
      </c>
      <c r="K30" s="142">
        <f t="shared" si="1"/>
        <v>-50</v>
      </c>
      <c r="L30" s="142"/>
      <c r="M30" s="144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8"/>
      <c r="H31" s="145">
        <v>26</v>
      </c>
      <c r="I31" s="146" t="str">
        <f t="shared" si="4"/>
        <v/>
      </c>
      <c r="J31" s="145">
        <f t="shared" si="5"/>
        <v>-5</v>
      </c>
      <c r="K31" s="145">
        <f t="shared" si="1"/>
        <v>-50</v>
      </c>
      <c r="L31" s="145"/>
      <c r="M31" s="14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8"/>
      <c r="H32" s="142">
        <v>27</v>
      </c>
      <c r="I32" s="143" t="str">
        <f t="shared" si="4"/>
        <v/>
      </c>
      <c r="J32" s="142">
        <f t="shared" si="5"/>
        <v>-5</v>
      </c>
      <c r="K32" s="142">
        <f t="shared" si="1"/>
        <v>-50</v>
      </c>
      <c r="L32" s="142"/>
      <c r="M32" s="144">
        <f t="shared" si="2"/>
        <v>0</v>
      </c>
      <c r="R32" s="155"/>
      <c r="S32" s="15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8"/>
      <c r="H33" s="145">
        <v>28</v>
      </c>
      <c r="I33" s="146" t="str">
        <f t="shared" si="4"/>
        <v/>
      </c>
      <c r="J33" s="145">
        <f t="shared" si="5"/>
        <v>-5</v>
      </c>
      <c r="K33" s="145">
        <f t="shared" si="1"/>
        <v>-50</v>
      </c>
      <c r="L33" s="145"/>
      <c r="M33" s="14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8"/>
      <c r="H34" s="142">
        <v>29</v>
      </c>
      <c r="I34" s="143" t="str">
        <f t="shared" si="4"/>
        <v/>
      </c>
      <c r="J34" s="142">
        <f t="shared" si="5"/>
        <v>-5</v>
      </c>
      <c r="K34" s="142">
        <f t="shared" si="1"/>
        <v>-50</v>
      </c>
      <c r="L34" s="142"/>
      <c r="M34" s="144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8"/>
      <c r="H35" s="145">
        <v>30</v>
      </c>
      <c r="I35" s="146" t="str">
        <f t="shared" si="4"/>
        <v/>
      </c>
      <c r="J35" s="145">
        <f t="shared" si="5"/>
        <v>-5</v>
      </c>
      <c r="K35" s="145">
        <f t="shared" si="1"/>
        <v>-50</v>
      </c>
      <c r="L35" s="145"/>
      <c r="M35" s="14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8"/>
      <c r="H36" s="142">
        <v>31</v>
      </c>
      <c r="I36" s="143" t="str">
        <f t="shared" si="4"/>
        <v/>
      </c>
      <c r="J36" s="142">
        <f t="shared" si="5"/>
        <v>-5</v>
      </c>
      <c r="K36" s="142">
        <f t="shared" si="1"/>
        <v>-50</v>
      </c>
      <c r="L36" s="142"/>
      <c r="M36" s="144">
        <f t="shared" si="2"/>
        <v>0</v>
      </c>
      <c r="R36" s="155"/>
      <c r="S36" s="15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8"/>
      <c r="H37" s="145">
        <v>32</v>
      </c>
      <c r="I37" s="146" t="str">
        <f t="shared" si="4"/>
        <v/>
      </c>
      <c r="J37" s="145">
        <f t="shared" si="5"/>
        <v>-5</v>
      </c>
      <c r="K37" s="145">
        <f t="shared" si="1"/>
        <v>-50</v>
      </c>
      <c r="L37" s="145"/>
      <c r="M37" s="14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8"/>
      <c r="H38" s="142">
        <v>33</v>
      </c>
      <c r="I38" s="143" t="str">
        <f t="shared" si="4"/>
        <v/>
      </c>
      <c r="J38" s="142">
        <f t="shared" si="5"/>
        <v>-6</v>
      </c>
      <c r="K38" s="142">
        <f t="shared" si="1"/>
        <v>-60</v>
      </c>
      <c r="L38" s="142"/>
      <c r="M38" s="144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8"/>
      <c r="H39" s="145">
        <v>34</v>
      </c>
      <c r="I39" s="146" t="str">
        <f t="shared" si="4"/>
        <v/>
      </c>
      <c r="J39" s="145">
        <f t="shared" si="5"/>
        <v>-6</v>
      </c>
      <c r="K39" s="145">
        <f t="shared" si="1"/>
        <v>-60</v>
      </c>
      <c r="L39" s="145"/>
      <c r="M39" s="14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8"/>
      <c r="H40" s="142">
        <v>35</v>
      </c>
      <c r="I40" s="143" t="str">
        <f t="shared" si="4"/>
        <v/>
      </c>
      <c r="J40" s="142">
        <f t="shared" si="5"/>
        <v>-6</v>
      </c>
      <c r="K40" s="142">
        <f t="shared" si="1"/>
        <v>-60</v>
      </c>
      <c r="L40" s="142"/>
      <c r="M40" s="144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8"/>
      <c r="H41" s="145">
        <v>36</v>
      </c>
      <c r="I41" s="146" t="str">
        <f t="shared" si="4"/>
        <v/>
      </c>
      <c r="J41" s="145">
        <f t="shared" si="5"/>
        <v>-6</v>
      </c>
      <c r="K41" s="145">
        <f t="shared" si="1"/>
        <v>-60</v>
      </c>
      <c r="L41" s="145"/>
      <c r="M41" s="147">
        <f t="shared" si="2"/>
        <v>0</v>
      </c>
      <c r="S41" s="15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8"/>
      <c r="H42" s="142">
        <v>37</v>
      </c>
      <c r="I42" s="143" t="str">
        <f t="shared" si="4"/>
        <v/>
      </c>
      <c r="J42" s="142">
        <f t="shared" si="5"/>
        <v>-6</v>
      </c>
      <c r="K42" s="142">
        <f t="shared" si="1"/>
        <v>-60</v>
      </c>
      <c r="L42" s="142"/>
      <c r="M42" s="144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8"/>
      <c r="H43" s="145">
        <v>38</v>
      </c>
      <c r="I43" s="146" t="str">
        <f t="shared" si="4"/>
        <v/>
      </c>
      <c r="J43" s="145">
        <f t="shared" si="5"/>
        <v>-6</v>
      </c>
      <c r="K43" s="145">
        <f t="shared" si="1"/>
        <v>-60</v>
      </c>
      <c r="L43" s="145"/>
      <c r="M43" s="14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8"/>
      <c r="H44" s="142">
        <v>39</v>
      </c>
      <c r="I44" s="143" t="str">
        <f t="shared" si="4"/>
        <v/>
      </c>
      <c r="J44" s="142">
        <f t="shared" si="5"/>
        <v>-6</v>
      </c>
      <c r="K44" s="142">
        <f t="shared" si="1"/>
        <v>-60</v>
      </c>
      <c r="L44" s="142"/>
      <c r="M44" s="144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8"/>
      <c r="H45" s="145">
        <v>40</v>
      </c>
      <c r="I45" s="146" t="str">
        <f t="shared" si="4"/>
        <v/>
      </c>
      <c r="J45" s="145">
        <f t="shared" si="5"/>
        <v>-6</v>
      </c>
      <c r="K45" s="145">
        <f t="shared" si="1"/>
        <v>-60</v>
      </c>
      <c r="L45" s="145"/>
      <c r="M45" s="14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8"/>
      <c r="H46" s="142">
        <v>41</v>
      </c>
      <c r="I46" s="143" t="str">
        <f t="shared" si="4"/>
        <v/>
      </c>
      <c r="J46" s="142">
        <f t="shared" si="5"/>
        <v>-6</v>
      </c>
      <c r="K46" s="142">
        <f t="shared" si="1"/>
        <v>-60</v>
      </c>
      <c r="L46" s="142"/>
      <c r="M46" s="144">
        <f t="shared" si="2"/>
        <v>0</v>
      </c>
      <c r="R46" s="128">
        <f>LOG($H$2,2)</f>
        <v>0</v>
      </c>
      <c r="T46" s="133">
        <f>LOG(H38,2)</f>
        <v>5.0443941193584534</v>
      </c>
      <c r="U46" s="133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8"/>
      <c r="H47" s="145">
        <v>42</v>
      </c>
      <c r="I47" s="146" t="str">
        <f t="shared" si="4"/>
        <v/>
      </c>
      <c r="J47" s="145">
        <f t="shared" si="5"/>
        <v>-6</v>
      </c>
      <c r="K47" s="145">
        <f t="shared" si="1"/>
        <v>-60</v>
      </c>
      <c r="L47" s="145"/>
      <c r="M47" s="14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8"/>
      <c r="H48" s="142">
        <v>43</v>
      </c>
      <c r="I48" s="143" t="str">
        <f t="shared" si="4"/>
        <v/>
      </c>
      <c r="J48" s="142">
        <f t="shared" si="5"/>
        <v>-6</v>
      </c>
      <c r="K48" s="142">
        <f t="shared" si="1"/>
        <v>-60</v>
      </c>
      <c r="L48" s="142"/>
      <c r="M48" s="144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8"/>
      <c r="H49" s="145">
        <v>44</v>
      </c>
      <c r="I49" s="146" t="str">
        <f t="shared" si="4"/>
        <v/>
      </c>
      <c r="J49" s="145">
        <f t="shared" si="5"/>
        <v>-6</v>
      </c>
      <c r="K49" s="145">
        <f t="shared" si="1"/>
        <v>-60</v>
      </c>
      <c r="L49" s="145"/>
      <c r="M49" s="14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8"/>
      <c r="H50" s="142">
        <v>45</v>
      </c>
      <c r="I50" s="143" t="str">
        <f t="shared" si="4"/>
        <v/>
      </c>
      <c r="J50" s="142">
        <f t="shared" si="5"/>
        <v>-6</v>
      </c>
      <c r="K50" s="142">
        <f t="shared" si="1"/>
        <v>-60</v>
      </c>
      <c r="L50" s="142"/>
      <c r="M50" s="144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8"/>
      <c r="H51" s="145">
        <v>46</v>
      </c>
      <c r="I51" s="146" t="str">
        <f t="shared" si="4"/>
        <v/>
      </c>
      <c r="J51" s="145">
        <f t="shared" si="5"/>
        <v>-6</v>
      </c>
      <c r="K51" s="145">
        <f t="shared" si="1"/>
        <v>-60</v>
      </c>
      <c r="L51" s="145"/>
      <c r="M51" s="14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8"/>
      <c r="H52" s="142">
        <v>47</v>
      </c>
      <c r="I52" s="143" t="str">
        <f t="shared" si="4"/>
        <v/>
      </c>
      <c r="J52" s="142">
        <f t="shared" si="5"/>
        <v>-6</v>
      </c>
      <c r="K52" s="142">
        <f t="shared" si="1"/>
        <v>-60</v>
      </c>
      <c r="L52" s="142"/>
      <c r="M52" s="144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8"/>
      <c r="H53" s="145">
        <v>48</v>
      </c>
      <c r="I53" s="146" t="str">
        <f t="shared" si="4"/>
        <v/>
      </c>
      <c r="J53" s="145">
        <f t="shared" si="5"/>
        <v>-6</v>
      </c>
      <c r="K53" s="145">
        <f t="shared" si="1"/>
        <v>-60</v>
      </c>
      <c r="L53" s="145"/>
      <c r="M53" s="14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8"/>
      <c r="H54" s="142">
        <v>49</v>
      </c>
      <c r="I54" s="143" t="str">
        <f t="shared" si="4"/>
        <v/>
      </c>
      <c r="J54" s="142">
        <f t="shared" si="5"/>
        <v>-6</v>
      </c>
      <c r="K54" s="142">
        <f t="shared" si="1"/>
        <v>-60</v>
      </c>
      <c r="L54" s="142"/>
      <c r="M54" s="144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8"/>
      <c r="H55" s="145">
        <v>50</v>
      </c>
      <c r="I55" s="146" t="str">
        <f t="shared" si="4"/>
        <v/>
      </c>
      <c r="J55" s="145">
        <f t="shared" si="5"/>
        <v>-6</v>
      </c>
      <c r="K55" s="145">
        <f t="shared" si="1"/>
        <v>-60</v>
      </c>
      <c r="L55" s="145"/>
      <c r="M55" s="14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8"/>
      <c r="H56" s="142">
        <v>51</v>
      </c>
      <c r="I56" s="143" t="str">
        <f t="shared" si="4"/>
        <v/>
      </c>
      <c r="J56" s="142">
        <f t="shared" si="5"/>
        <v>-6</v>
      </c>
      <c r="K56" s="142">
        <f t="shared" si="1"/>
        <v>-60</v>
      </c>
      <c r="L56" s="142"/>
      <c r="M56" s="144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8"/>
      <c r="H57" s="145">
        <v>52</v>
      </c>
      <c r="I57" s="146" t="str">
        <f t="shared" si="4"/>
        <v/>
      </c>
      <c r="J57" s="145">
        <f t="shared" si="5"/>
        <v>-6</v>
      </c>
      <c r="K57" s="145">
        <f t="shared" si="1"/>
        <v>-60</v>
      </c>
      <c r="L57" s="145"/>
      <c r="M57" s="14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8"/>
      <c r="H58" s="142">
        <v>53</v>
      </c>
      <c r="I58" s="143" t="str">
        <f t="shared" si="4"/>
        <v/>
      </c>
      <c r="J58" s="142">
        <f t="shared" si="5"/>
        <v>-6</v>
      </c>
      <c r="K58" s="142">
        <f t="shared" si="1"/>
        <v>-60</v>
      </c>
      <c r="L58" s="142"/>
      <c r="M58" s="144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8"/>
      <c r="H59" s="145">
        <v>54</v>
      </c>
      <c r="I59" s="146" t="str">
        <f t="shared" si="4"/>
        <v/>
      </c>
      <c r="J59" s="145">
        <f t="shared" si="5"/>
        <v>-6</v>
      </c>
      <c r="K59" s="145">
        <f t="shared" si="1"/>
        <v>-60</v>
      </c>
      <c r="L59" s="145"/>
      <c r="M59" s="14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8"/>
      <c r="H60" s="142">
        <v>55</v>
      </c>
      <c r="I60" s="143" t="str">
        <f t="shared" si="4"/>
        <v/>
      </c>
      <c r="J60" s="142">
        <f t="shared" si="5"/>
        <v>-6</v>
      </c>
      <c r="K60" s="142">
        <f t="shared" si="1"/>
        <v>-60</v>
      </c>
      <c r="L60" s="142"/>
      <c r="M60" s="144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8"/>
      <c r="H61" s="145">
        <v>56</v>
      </c>
      <c r="I61" s="146" t="str">
        <f t="shared" si="4"/>
        <v/>
      </c>
      <c r="J61" s="145">
        <f t="shared" si="5"/>
        <v>-6</v>
      </c>
      <c r="K61" s="145">
        <f t="shared" si="1"/>
        <v>-60</v>
      </c>
      <c r="L61" s="145"/>
      <c r="M61" s="14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8"/>
      <c r="H62" s="142">
        <v>57</v>
      </c>
      <c r="I62" s="143" t="str">
        <f t="shared" si="4"/>
        <v/>
      </c>
      <c r="J62" s="142">
        <f t="shared" si="5"/>
        <v>-6</v>
      </c>
      <c r="K62" s="142">
        <f t="shared" si="1"/>
        <v>-60</v>
      </c>
      <c r="L62" s="142"/>
      <c r="M62" s="144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8"/>
      <c r="H63" s="145">
        <v>58</v>
      </c>
      <c r="I63" s="146" t="str">
        <f t="shared" si="4"/>
        <v/>
      </c>
      <c r="J63" s="145">
        <f t="shared" si="5"/>
        <v>-6</v>
      </c>
      <c r="K63" s="145">
        <f t="shared" si="1"/>
        <v>-60</v>
      </c>
      <c r="L63" s="145"/>
      <c r="M63" s="14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8"/>
      <c r="H64" s="142">
        <v>59</v>
      </c>
      <c r="I64" s="143" t="str">
        <f t="shared" si="4"/>
        <v/>
      </c>
      <c r="J64" s="142">
        <f t="shared" si="5"/>
        <v>-6</v>
      </c>
      <c r="K64" s="142">
        <f t="shared" si="1"/>
        <v>-60</v>
      </c>
      <c r="L64" s="142"/>
      <c r="M64" s="144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8"/>
      <c r="H65" s="145">
        <v>60</v>
      </c>
      <c r="I65" s="146" t="str">
        <f t="shared" si="4"/>
        <v/>
      </c>
      <c r="J65" s="145">
        <f t="shared" si="5"/>
        <v>-6</v>
      </c>
      <c r="K65" s="145">
        <f t="shared" si="1"/>
        <v>-60</v>
      </c>
      <c r="L65" s="145"/>
      <c r="M65" s="147">
        <f t="shared" si="2"/>
        <v>0</v>
      </c>
    </row>
    <row r="66" spans="1:13" x14ac:dyDescent="0.25">
      <c r="A66" s="158"/>
      <c r="B66" s="34"/>
      <c r="G66" s="128"/>
      <c r="H66" s="142">
        <v>61</v>
      </c>
      <c r="I66" s="143" t="str">
        <f t="shared" si="4"/>
        <v/>
      </c>
      <c r="J66" s="142">
        <f t="shared" si="5"/>
        <v>-6</v>
      </c>
      <c r="K66" s="142">
        <f t="shared" si="1"/>
        <v>-60</v>
      </c>
      <c r="L66" s="142"/>
      <c r="M66" s="144">
        <f t="shared" si="2"/>
        <v>0</v>
      </c>
    </row>
    <row r="67" spans="1:13" x14ac:dyDescent="0.25">
      <c r="A67" s="158"/>
      <c r="B67" s="40"/>
      <c r="G67" s="128"/>
      <c r="H67" s="142">
        <v>62</v>
      </c>
      <c r="I67" s="143" t="str">
        <f t="shared" si="4"/>
        <v/>
      </c>
      <c r="J67" s="142">
        <f t="shared" si="5"/>
        <v>-6</v>
      </c>
      <c r="K67" s="142">
        <f t="shared" si="1"/>
        <v>-60</v>
      </c>
      <c r="L67" s="142"/>
      <c r="M67" s="144">
        <f t="shared" si="2"/>
        <v>0</v>
      </c>
    </row>
    <row r="68" spans="1:13" x14ac:dyDescent="0.25">
      <c r="A68" s="158"/>
      <c r="B68" s="34"/>
      <c r="G68" s="128"/>
      <c r="H68" s="142">
        <v>63</v>
      </c>
      <c r="I68" s="143" t="str">
        <f t="shared" si="4"/>
        <v/>
      </c>
      <c r="J68" s="142">
        <f t="shared" si="5"/>
        <v>-6</v>
      </c>
      <c r="K68" s="142">
        <f t="shared" si="1"/>
        <v>-60</v>
      </c>
      <c r="L68" s="142"/>
      <c r="M68" s="144">
        <f t="shared" si="2"/>
        <v>0</v>
      </c>
    </row>
    <row r="69" spans="1:13" x14ac:dyDescent="0.25">
      <c r="A69" s="158"/>
      <c r="B69" s="40"/>
      <c r="G69" s="128"/>
      <c r="H69" s="142">
        <v>64</v>
      </c>
      <c r="I69" s="143" t="str">
        <f t="shared" si="4"/>
        <v/>
      </c>
      <c r="J69" s="142">
        <f t="shared" si="5"/>
        <v>-6</v>
      </c>
      <c r="K69" s="142">
        <f t="shared" si="1"/>
        <v>-60</v>
      </c>
      <c r="L69" s="142"/>
      <c r="M69" s="144">
        <f t="shared" si="2"/>
        <v>0</v>
      </c>
    </row>
    <row r="70" spans="1:13" x14ac:dyDescent="0.25">
      <c r="A70" s="158"/>
      <c r="G70" s="128"/>
      <c r="H70" s="142">
        <v>65</v>
      </c>
      <c r="I70" s="143" t="str">
        <f t="shared" si="4"/>
        <v/>
      </c>
      <c r="J70" s="142">
        <f t="shared" si="5"/>
        <v>-7</v>
      </c>
      <c r="K70" s="142">
        <f t="shared" ref="K70:K133" si="7">J70*$J$2</f>
        <v>-70</v>
      </c>
      <c r="L70" s="142"/>
      <c r="M70" s="144">
        <f t="shared" ref="M70:M133" si="8">IF(I70&lt;&gt;"",K70+I70+L70,0)</f>
        <v>0</v>
      </c>
    </row>
    <row r="71" spans="1:13" x14ac:dyDescent="0.25">
      <c r="A71" s="158"/>
      <c r="G71" s="128"/>
      <c r="H71" s="142">
        <v>66</v>
      </c>
      <c r="I71" s="143" t="str">
        <f t="shared" ref="I71:I134" si="9">IF(H71&lt;$H$2+1,($I$2-($I$2-1)*(LOG(H71)/LOG($H$2))),"")</f>
        <v/>
      </c>
      <c r="J71" s="142">
        <f t="shared" ref="J71:J134" si="10">INT(LOG($H$2,2))-ROUNDUP(LOG(H71,2),0)+IF(OR($H$2=1,$H$2=2,$H$2=4,$H$2=8,$H$2=16,$H$2=32,$H$2=64,$H$2=128,$H$2=256),0,1)</f>
        <v>-7</v>
      </c>
      <c r="K71" s="142">
        <f t="shared" si="7"/>
        <v>-70</v>
      </c>
      <c r="L71" s="142"/>
      <c r="M71" s="144">
        <f t="shared" si="8"/>
        <v>0</v>
      </c>
    </row>
    <row r="72" spans="1:13" x14ac:dyDescent="0.25">
      <c r="A72" s="158"/>
      <c r="G72" s="128"/>
      <c r="H72" s="142">
        <v>67</v>
      </c>
      <c r="I72" s="143" t="str">
        <f t="shared" si="9"/>
        <v/>
      </c>
      <c r="J72" s="142">
        <f t="shared" si="10"/>
        <v>-7</v>
      </c>
      <c r="K72" s="142">
        <f t="shared" si="7"/>
        <v>-70</v>
      </c>
      <c r="L72" s="142"/>
      <c r="M72" s="144">
        <f t="shared" si="8"/>
        <v>0</v>
      </c>
    </row>
    <row r="73" spans="1:13" x14ac:dyDescent="0.25">
      <c r="A73" s="158"/>
      <c r="G73" s="128"/>
      <c r="H73" s="142">
        <v>68</v>
      </c>
      <c r="I73" s="143" t="str">
        <f t="shared" si="9"/>
        <v/>
      </c>
      <c r="J73" s="142">
        <f t="shared" si="10"/>
        <v>-7</v>
      </c>
      <c r="K73" s="142">
        <f t="shared" si="7"/>
        <v>-70</v>
      </c>
      <c r="L73" s="142"/>
      <c r="M73" s="144">
        <f t="shared" si="8"/>
        <v>0</v>
      </c>
    </row>
    <row r="74" spans="1:13" x14ac:dyDescent="0.25">
      <c r="A74" s="158"/>
      <c r="G74" s="128"/>
      <c r="H74" s="142">
        <v>69</v>
      </c>
      <c r="I74" s="143" t="str">
        <f t="shared" si="9"/>
        <v/>
      </c>
      <c r="J74" s="142">
        <f t="shared" si="10"/>
        <v>-7</v>
      </c>
      <c r="K74" s="142">
        <f t="shared" si="7"/>
        <v>-70</v>
      </c>
      <c r="L74" s="142"/>
      <c r="M74" s="144">
        <f t="shared" si="8"/>
        <v>0</v>
      </c>
    </row>
    <row r="75" spans="1:13" x14ac:dyDescent="0.25">
      <c r="A75" s="158"/>
      <c r="G75" s="128"/>
      <c r="H75" s="142">
        <v>70</v>
      </c>
      <c r="I75" s="143" t="str">
        <f t="shared" si="9"/>
        <v/>
      </c>
      <c r="J75" s="142">
        <f t="shared" si="10"/>
        <v>-7</v>
      </c>
      <c r="K75" s="142">
        <f t="shared" si="7"/>
        <v>-70</v>
      </c>
      <c r="L75" s="142"/>
      <c r="M75" s="144">
        <f t="shared" si="8"/>
        <v>0</v>
      </c>
    </row>
    <row r="76" spans="1:13" x14ac:dyDescent="0.25">
      <c r="A76" s="158"/>
      <c r="G76" s="128"/>
      <c r="H76" s="142">
        <v>71</v>
      </c>
      <c r="I76" s="143" t="str">
        <f t="shared" si="9"/>
        <v/>
      </c>
      <c r="J76" s="142">
        <f t="shared" si="10"/>
        <v>-7</v>
      </c>
      <c r="K76" s="142">
        <f t="shared" si="7"/>
        <v>-70</v>
      </c>
      <c r="L76" s="142"/>
      <c r="M76" s="144">
        <f t="shared" si="8"/>
        <v>0</v>
      </c>
    </row>
    <row r="77" spans="1:13" x14ac:dyDescent="0.25">
      <c r="A77" s="158"/>
      <c r="G77" s="128"/>
      <c r="H77" s="142">
        <v>72</v>
      </c>
      <c r="I77" s="143" t="str">
        <f t="shared" si="9"/>
        <v/>
      </c>
      <c r="J77" s="142">
        <f t="shared" si="10"/>
        <v>-7</v>
      </c>
      <c r="K77" s="142">
        <f t="shared" si="7"/>
        <v>-70</v>
      </c>
      <c r="L77" s="142"/>
      <c r="M77" s="144">
        <f t="shared" si="8"/>
        <v>0</v>
      </c>
    </row>
    <row r="78" spans="1:13" x14ac:dyDescent="0.25">
      <c r="A78" s="158"/>
      <c r="G78" s="128"/>
      <c r="H78" s="142">
        <v>73</v>
      </c>
      <c r="I78" s="143" t="str">
        <f t="shared" si="9"/>
        <v/>
      </c>
      <c r="J78" s="142">
        <f t="shared" si="10"/>
        <v>-7</v>
      </c>
      <c r="K78" s="142">
        <f t="shared" si="7"/>
        <v>-70</v>
      </c>
      <c r="L78" s="142"/>
      <c r="M78" s="144">
        <f t="shared" si="8"/>
        <v>0</v>
      </c>
    </row>
    <row r="79" spans="1:13" x14ac:dyDescent="0.25">
      <c r="A79" s="158"/>
      <c r="G79" s="128"/>
      <c r="H79" s="142">
        <v>74</v>
      </c>
      <c r="I79" s="143" t="str">
        <f t="shared" si="9"/>
        <v/>
      </c>
      <c r="J79" s="142">
        <f t="shared" si="10"/>
        <v>-7</v>
      </c>
      <c r="K79" s="142">
        <f t="shared" si="7"/>
        <v>-70</v>
      </c>
      <c r="L79" s="142"/>
      <c r="M79" s="144">
        <f t="shared" si="8"/>
        <v>0</v>
      </c>
    </row>
    <row r="80" spans="1:13" x14ac:dyDescent="0.25">
      <c r="A80" s="158"/>
      <c r="G80" s="128"/>
      <c r="H80" s="142">
        <v>75</v>
      </c>
      <c r="I80" s="143" t="str">
        <f t="shared" si="9"/>
        <v/>
      </c>
      <c r="J80" s="142">
        <f t="shared" si="10"/>
        <v>-7</v>
      </c>
      <c r="K80" s="142">
        <f t="shared" si="7"/>
        <v>-70</v>
      </c>
      <c r="L80" s="142"/>
      <c r="M80" s="144">
        <f t="shared" si="8"/>
        <v>0</v>
      </c>
    </row>
    <row r="81" spans="1:13" x14ac:dyDescent="0.25">
      <c r="A81" s="158"/>
      <c r="G81" s="128"/>
      <c r="H81" s="142">
        <v>76</v>
      </c>
      <c r="I81" s="143" t="str">
        <f t="shared" si="9"/>
        <v/>
      </c>
      <c r="J81" s="142">
        <f t="shared" si="10"/>
        <v>-7</v>
      </c>
      <c r="K81" s="142">
        <f t="shared" si="7"/>
        <v>-70</v>
      </c>
      <c r="L81" s="142"/>
      <c r="M81" s="144">
        <f t="shared" si="8"/>
        <v>0</v>
      </c>
    </row>
    <row r="82" spans="1:13" x14ac:dyDescent="0.25">
      <c r="A82" s="158"/>
      <c r="G82" s="128"/>
      <c r="H82" s="142">
        <v>77</v>
      </c>
      <c r="I82" s="143" t="str">
        <f t="shared" si="9"/>
        <v/>
      </c>
      <c r="J82" s="142">
        <f t="shared" si="10"/>
        <v>-7</v>
      </c>
      <c r="K82" s="142">
        <f t="shared" si="7"/>
        <v>-70</v>
      </c>
      <c r="L82" s="142"/>
      <c r="M82" s="144">
        <f t="shared" si="8"/>
        <v>0</v>
      </c>
    </row>
    <row r="83" spans="1:13" x14ac:dyDescent="0.25">
      <c r="A83" s="158"/>
      <c r="G83" s="128"/>
      <c r="H83" s="142">
        <v>78</v>
      </c>
      <c r="I83" s="143" t="str">
        <f t="shared" si="9"/>
        <v/>
      </c>
      <c r="J83" s="142">
        <f t="shared" si="10"/>
        <v>-7</v>
      </c>
      <c r="K83" s="142">
        <f t="shared" si="7"/>
        <v>-70</v>
      </c>
      <c r="L83" s="142"/>
      <c r="M83" s="144">
        <f t="shared" si="8"/>
        <v>0</v>
      </c>
    </row>
    <row r="84" spans="1:13" x14ac:dyDescent="0.25">
      <c r="A84" s="158"/>
      <c r="G84" s="128"/>
      <c r="H84" s="142">
        <v>79</v>
      </c>
      <c r="I84" s="143" t="str">
        <f t="shared" si="9"/>
        <v/>
      </c>
      <c r="J84" s="142">
        <f t="shared" si="10"/>
        <v>-7</v>
      </c>
      <c r="K84" s="142">
        <f t="shared" si="7"/>
        <v>-70</v>
      </c>
      <c r="L84" s="142"/>
      <c r="M84" s="144">
        <f t="shared" si="8"/>
        <v>0</v>
      </c>
    </row>
    <row r="85" spans="1:13" x14ac:dyDescent="0.25">
      <c r="A85" s="158"/>
      <c r="G85" s="128"/>
      <c r="H85" s="142">
        <v>80</v>
      </c>
      <c r="I85" s="143" t="str">
        <f t="shared" si="9"/>
        <v/>
      </c>
      <c r="J85" s="142">
        <f t="shared" si="10"/>
        <v>-7</v>
      </c>
      <c r="K85" s="142">
        <f t="shared" si="7"/>
        <v>-70</v>
      </c>
      <c r="L85" s="142"/>
      <c r="M85" s="144">
        <f t="shared" si="8"/>
        <v>0</v>
      </c>
    </row>
    <row r="86" spans="1:13" x14ac:dyDescent="0.25">
      <c r="A86" s="158"/>
      <c r="G86" s="128"/>
      <c r="H86" s="142">
        <v>81</v>
      </c>
      <c r="I86" s="143" t="str">
        <f t="shared" si="9"/>
        <v/>
      </c>
      <c r="J86" s="142">
        <f t="shared" si="10"/>
        <v>-7</v>
      </c>
      <c r="K86" s="142">
        <f t="shared" si="7"/>
        <v>-70</v>
      </c>
      <c r="L86" s="142"/>
      <c r="M86" s="144">
        <f t="shared" si="8"/>
        <v>0</v>
      </c>
    </row>
    <row r="87" spans="1:13" x14ac:dyDescent="0.25">
      <c r="A87" s="158"/>
      <c r="G87" s="128"/>
      <c r="H87" s="142">
        <v>82</v>
      </c>
      <c r="I87" s="143" t="str">
        <f t="shared" si="9"/>
        <v/>
      </c>
      <c r="J87" s="142">
        <f t="shared" si="10"/>
        <v>-7</v>
      </c>
      <c r="K87" s="142">
        <f t="shared" si="7"/>
        <v>-70</v>
      </c>
      <c r="L87" s="142"/>
      <c r="M87" s="144">
        <f t="shared" si="8"/>
        <v>0</v>
      </c>
    </row>
    <row r="88" spans="1:13" x14ac:dyDescent="0.25">
      <c r="A88" s="158"/>
      <c r="G88" s="128"/>
      <c r="H88" s="142">
        <v>83</v>
      </c>
      <c r="I88" s="143" t="str">
        <f t="shared" si="9"/>
        <v/>
      </c>
      <c r="J88" s="142">
        <f t="shared" si="10"/>
        <v>-7</v>
      </c>
      <c r="K88" s="142">
        <f t="shared" si="7"/>
        <v>-70</v>
      </c>
      <c r="L88" s="142"/>
      <c r="M88" s="144">
        <f t="shared" si="8"/>
        <v>0</v>
      </c>
    </row>
    <row r="89" spans="1:13" x14ac:dyDescent="0.25">
      <c r="A89" s="158"/>
      <c r="G89" s="128"/>
      <c r="H89" s="142">
        <v>84</v>
      </c>
      <c r="I89" s="143" t="str">
        <f t="shared" si="9"/>
        <v/>
      </c>
      <c r="J89" s="142">
        <f t="shared" si="10"/>
        <v>-7</v>
      </c>
      <c r="K89" s="142">
        <f t="shared" si="7"/>
        <v>-70</v>
      </c>
      <c r="L89" s="142"/>
      <c r="M89" s="144">
        <f t="shared" si="8"/>
        <v>0</v>
      </c>
    </row>
    <row r="90" spans="1:13" x14ac:dyDescent="0.25">
      <c r="A90" s="158"/>
      <c r="G90" s="128"/>
      <c r="H90" s="142">
        <v>85</v>
      </c>
      <c r="I90" s="143" t="str">
        <f t="shared" si="9"/>
        <v/>
      </c>
      <c r="J90" s="142">
        <f t="shared" si="10"/>
        <v>-7</v>
      </c>
      <c r="K90" s="142">
        <f t="shared" si="7"/>
        <v>-70</v>
      </c>
      <c r="L90" s="142"/>
      <c r="M90" s="144">
        <f t="shared" si="8"/>
        <v>0</v>
      </c>
    </row>
    <row r="91" spans="1:13" x14ac:dyDescent="0.25">
      <c r="A91" s="158"/>
      <c r="G91" s="128"/>
      <c r="H91" s="142">
        <v>86</v>
      </c>
      <c r="I91" s="143" t="str">
        <f t="shared" si="9"/>
        <v/>
      </c>
      <c r="J91" s="142">
        <f t="shared" si="10"/>
        <v>-7</v>
      </c>
      <c r="K91" s="142">
        <f t="shared" si="7"/>
        <v>-70</v>
      </c>
      <c r="L91" s="142"/>
      <c r="M91" s="144">
        <f t="shared" si="8"/>
        <v>0</v>
      </c>
    </row>
    <row r="92" spans="1:13" x14ac:dyDescent="0.25">
      <c r="A92" s="158"/>
      <c r="G92" s="128"/>
      <c r="H92" s="142">
        <v>87</v>
      </c>
      <c r="I92" s="143" t="str">
        <f t="shared" si="9"/>
        <v/>
      </c>
      <c r="J92" s="142">
        <f t="shared" si="10"/>
        <v>-7</v>
      </c>
      <c r="K92" s="142">
        <f t="shared" si="7"/>
        <v>-70</v>
      </c>
      <c r="L92" s="142"/>
      <c r="M92" s="144">
        <f t="shared" si="8"/>
        <v>0</v>
      </c>
    </row>
    <row r="93" spans="1:13" x14ac:dyDescent="0.25">
      <c r="A93" s="158"/>
      <c r="G93" s="128"/>
      <c r="H93" s="142">
        <v>88</v>
      </c>
      <c r="I93" s="143" t="str">
        <f t="shared" si="9"/>
        <v/>
      </c>
      <c r="J93" s="142">
        <f t="shared" si="10"/>
        <v>-7</v>
      </c>
      <c r="K93" s="142">
        <f t="shared" si="7"/>
        <v>-70</v>
      </c>
      <c r="L93" s="142"/>
      <c r="M93" s="144">
        <f t="shared" si="8"/>
        <v>0</v>
      </c>
    </row>
    <row r="94" spans="1:13" x14ac:dyDescent="0.25">
      <c r="A94" s="158"/>
      <c r="G94" s="128"/>
      <c r="H94" s="142">
        <v>89</v>
      </c>
      <c r="I94" s="143" t="str">
        <f t="shared" si="9"/>
        <v/>
      </c>
      <c r="J94" s="142">
        <f t="shared" si="10"/>
        <v>-7</v>
      </c>
      <c r="K94" s="142">
        <f t="shared" si="7"/>
        <v>-70</v>
      </c>
      <c r="L94" s="142"/>
      <c r="M94" s="144">
        <f t="shared" si="8"/>
        <v>0</v>
      </c>
    </row>
    <row r="95" spans="1:13" x14ac:dyDescent="0.25">
      <c r="A95" s="158"/>
      <c r="G95" s="128"/>
      <c r="H95" s="142">
        <v>90</v>
      </c>
      <c r="I95" s="143" t="str">
        <f t="shared" si="9"/>
        <v/>
      </c>
      <c r="J95" s="142">
        <f t="shared" si="10"/>
        <v>-7</v>
      </c>
      <c r="K95" s="142">
        <f t="shared" si="7"/>
        <v>-70</v>
      </c>
      <c r="L95" s="142"/>
      <c r="M95" s="144">
        <f t="shared" si="8"/>
        <v>0</v>
      </c>
    </row>
    <row r="96" spans="1:13" x14ac:dyDescent="0.25">
      <c r="A96" s="158"/>
      <c r="G96" s="128"/>
      <c r="H96" s="142">
        <v>91</v>
      </c>
      <c r="I96" s="143" t="str">
        <f t="shared" si="9"/>
        <v/>
      </c>
      <c r="J96" s="142">
        <f t="shared" si="10"/>
        <v>-7</v>
      </c>
      <c r="K96" s="142">
        <f t="shared" si="7"/>
        <v>-70</v>
      </c>
      <c r="L96" s="142"/>
      <c r="M96" s="144">
        <f t="shared" si="8"/>
        <v>0</v>
      </c>
    </row>
    <row r="97" spans="1:13" x14ac:dyDescent="0.25">
      <c r="A97" s="158"/>
      <c r="G97" s="128"/>
      <c r="H97" s="142">
        <v>92</v>
      </c>
      <c r="I97" s="143" t="str">
        <f t="shared" si="9"/>
        <v/>
      </c>
      <c r="J97" s="142">
        <f t="shared" si="10"/>
        <v>-7</v>
      </c>
      <c r="K97" s="142">
        <f t="shared" si="7"/>
        <v>-70</v>
      </c>
      <c r="L97" s="142"/>
      <c r="M97" s="144">
        <f t="shared" si="8"/>
        <v>0</v>
      </c>
    </row>
    <row r="98" spans="1:13" x14ac:dyDescent="0.25">
      <c r="A98" s="158"/>
      <c r="G98" s="128"/>
      <c r="H98" s="142">
        <v>93</v>
      </c>
      <c r="I98" s="143" t="str">
        <f t="shared" si="9"/>
        <v/>
      </c>
      <c r="J98" s="142">
        <f t="shared" si="10"/>
        <v>-7</v>
      </c>
      <c r="K98" s="142">
        <f t="shared" si="7"/>
        <v>-70</v>
      </c>
      <c r="L98" s="142"/>
      <c r="M98" s="144">
        <f t="shared" si="8"/>
        <v>0</v>
      </c>
    </row>
    <row r="99" spans="1:13" x14ac:dyDescent="0.25">
      <c r="A99" s="158"/>
      <c r="G99" s="128"/>
      <c r="H99" s="142">
        <v>94</v>
      </c>
      <c r="I99" s="143" t="str">
        <f t="shared" si="9"/>
        <v/>
      </c>
      <c r="J99" s="142">
        <f t="shared" si="10"/>
        <v>-7</v>
      </c>
      <c r="K99" s="142">
        <f t="shared" si="7"/>
        <v>-70</v>
      </c>
      <c r="L99" s="142"/>
      <c r="M99" s="144">
        <f t="shared" si="8"/>
        <v>0</v>
      </c>
    </row>
    <row r="100" spans="1:13" x14ac:dyDescent="0.25">
      <c r="A100" s="158"/>
      <c r="G100" s="128"/>
      <c r="H100" s="142">
        <v>95</v>
      </c>
      <c r="I100" s="143" t="str">
        <f t="shared" si="9"/>
        <v/>
      </c>
      <c r="J100" s="142">
        <f t="shared" si="10"/>
        <v>-7</v>
      </c>
      <c r="K100" s="142">
        <f t="shared" si="7"/>
        <v>-70</v>
      </c>
      <c r="L100" s="142"/>
      <c r="M100" s="144">
        <f t="shared" si="8"/>
        <v>0</v>
      </c>
    </row>
    <row r="101" spans="1:13" x14ac:dyDescent="0.25">
      <c r="A101" s="158"/>
      <c r="G101" s="128"/>
      <c r="H101" s="142">
        <v>96</v>
      </c>
      <c r="I101" s="143" t="str">
        <f t="shared" si="9"/>
        <v/>
      </c>
      <c r="J101" s="142">
        <f t="shared" si="10"/>
        <v>-7</v>
      </c>
      <c r="K101" s="142">
        <f t="shared" si="7"/>
        <v>-70</v>
      </c>
      <c r="L101" s="142"/>
      <c r="M101" s="144">
        <f t="shared" si="8"/>
        <v>0</v>
      </c>
    </row>
    <row r="102" spans="1:13" x14ac:dyDescent="0.25">
      <c r="A102" s="158"/>
      <c r="G102" s="128"/>
      <c r="H102" s="142">
        <v>97</v>
      </c>
      <c r="I102" s="143" t="str">
        <f t="shared" si="9"/>
        <v/>
      </c>
      <c r="J102" s="142">
        <f t="shared" si="10"/>
        <v>-7</v>
      </c>
      <c r="K102" s="142">
        <f t="shared" si="7"/>
        <v>-70</v>
      </c>
      <c r="L102" s="142"/>
      <c r="M102" s="144">
        <f t="shared" si="8"/>
        <v>0</v>
      </c>
    </row>
    <row r="103" spans="1:13" x14ac:dyDescent="0.25">
      <c r="A103" s="158"/>
      <c r="G103" s="128"/>
      <c r="H103" s="142">
        <v>98</v>
      </c>
      <c r="I103" s="143" t="str">
        <f t="shared" si="9"/>
        <v/>
      </c>
      <c r="J103" s="142">
        <f t="shared" si="10"/>
        <v>-7</v>
      </c>
      <c r="K103" s="142">
        <f t="shared" si="7"/>
        <v>-70</v>
      </c>
      <c r="L103" s="142"/>
      <c r="M103" s="144">
        <f t="shared" si="8"/>
        <v>0</v>
      </c>
    </row>
    <row r="104" spans="1:13" x14ac:dyDescent="0.25">
      <c r="A104" s="158"/>
      <c r="G104" s="128"/>
      <c r="H104" s="142">
        <v>99</v>
      </c>
      <c r="I104" s="143" t="str">
        <f t="shared" si="9"/>
        <v/>
      </c>
      <c r="J104" s="142">
        <f t="shared" si="10"/>
        <v>-7</v>
      </c>
      <c r="K104" s="142">
        <f t="shared" si="7"/>
        <v>-70</v>
      </c>
      <c r="L104" s="142"/>
      <c r="M104" s="144">
        <f t="shared" si="8"/>
        <v>0</v>
      </c>
    </row>
    <row r="105" spans="1:13" x14ac:dyDescent="0.25">
      <c r="A105" s="158"/>
      <c r="G105" s="128"/>
      <c r="H105" s="142">
        <v>100</v>
      </c>
      <c r="I105" s="143" t="str">
        <f t="shared" si="9"/>
        <v/>
      </c>
      <c r="J105" s="142">
        <f t="shared" si="10"/>
        <v>-7</v>
      </c>
      <c r="K105" s="142">
        <f t="shared" si="7"/>
        <v>-70</v>
      </c>
      <c r="L105" s="142"/>
      <c r="M105" s="144">
        <f t="shared" si="8"/>
        <v>0</v>
      </c>
    </row>
    <row r="106" spans="1:13" x14ac:dyDescent="0.25">
      <c r="A106" s="158"/>
      <c r="G106" s="128"/>
      <c r="H106" s="142">
        <v>101</v>
      </c>
      <c r="I106" s="143" t="str">
        <f t="shared" si="9"/>
        <v/>
      </c>
      <c r="J106" s="142">
        <f t="shared" si="10"/>
        <v>-7</v>
      </c>
      <c r="K106" s="142">
        <f t="shared" si="7"/>
        <v>-70</v>
      </c>
      <c r="L106" s="142"/>
      <c r="M106" s="144">
        <f t="shared" si="8"/>
        <v>0</v>
      </c>
    </row>
    <row r="107" spans="1:13" x14ac:dyDescent="0.25">
      <c r="A107" s="158"/>
      <c r="G107" s="128"/>
      <c r="H107" s="142">
        <v>102</v>
      </c>
      <c r="I107" s="143" t="str">
        <f t="shared" si="9"/>
        <v/>
      </c>
      <c r="J107" s="142">
        <f t="shared" si="10"/>
        <v>-7</v>
      </c>
      <c r="K107" s="142">
        <f t="shared" si="7"/>
        <v>-70</v>
      </c>
      <c r="L107" s="142"/>
      <c r="M107" s="144">
        <f t="shared" si="8"/>
        <v>0</v>
      </c>
    </row>
    <row r="108" spans="1:13" x14ac:dyDescent="0.25">
      <c r="A108" s="158"/>
      <c r="G108" s="128"/>
      <c r="H108" s="142">
        <v>103</v>
      </c>
      <c r="I108" s="143" t="str">
        <f t="shared" si="9"/>
        <v/>
      </c>
      <c r="J108" s="142">
        <f t="shared" si="10"/>
        <v>-7</v>
      </c>
      <c r="K108" s="142">
        <f t="shared" si="7"/>
        <v>-70</v>
      </c>
      <c r="L108" s="142"/>
      <c r="M108" s="144">
        <f t="shared" si="8"/>
        <v>0</v>
      </c>
    </row>
    <row r="109" spans="1:13" x14ac:dyDescent="0.25">
      <c r="A109" s="158"/>
      <c r="G109" s="128"/>
      <c r="H109" s="142">
        <v>104</v>
      </c>
      <c r="I109" s="143" t="str">
        <f t="shared" si="9"/>
        <v/>
      </c>
      <c r="J109" s="142">
        <f t="shared" si="10"/>
        <v>-7</v>
      </c>
      <c r="K109" s="142">
        <f t="shared" si="7"/>
        <v>-70</v>
      </c>
      <c r="L109" s="142"/>
      <c r="M109" s="144">
        <f t="shared" si="8"/>
        <v>0</v>
      </c>
    </row>
    <row r="110" spans="1:13" x14ac:dyDescent="0.25">
      <c r="A110" s="158"/>
      <c r="G110" s="128"/>
      <c r="H110" s="142">
        <v>105</v>
      </c>
      <c r="I110" s="143" t="str">
        <f t="shared" si="9"/>
        <v/>
      </c>
      <c r="J110" s="142">
        <f t="shared" si="10"/>
        <v>-7</v>
      </c>
      <c r="K110" s="142">
        <f t="shared" si="7"/>
        <v>-70</v>
      </c>
      <c r="L110" s="142"/>
      <c r="M110" s="144">
        <f t="shared" si="8"/>
        <v>0</v>
      </c>
    </row>
    <row r="111" spans="1:13" x14ac:dyDescent="0.25">
      <c r="A111" s="158"/>
      <c r="G111" s="128"/>
      <c r="H111" s="142">
        <v>106</v>
      </c>
      <c r="I111" s="143" t="str">
        <f t="shared" si="9"/>
        <v/>
      </c>
      <c r="J111" s="142">
        <f t="shared" si="10"/>
        <v>-7</v>
      </c>
      <c r="K111" s="142">
        <f t="shared" si="7"/>
        <v>-70</v>
      </c>
      <c r="L111" s="142"/>
      <c r="M111" s="144">
        <f t="shared" si="8"/>
        <v>0</v>
      </c>
    </row>
    <row r="112" spans="1:13" x14ac:dyDescent="0.25">
      <c r="A112" s="158"/>
      <c r="G112" s="128"/>
      <c r="H112" s="142">
        <v>107</v>
      </c>
      <c r="I112" s="143" t="str">
        <f t="shared" si="9"/>
        <v/>
      </c>
      <c r="J112" s="142">
        <f t="shared" si="10"/>
        <v>-7</v>
      </c>
      <c r="K112" s="142">
        <f t="shared" si="7"/>
        <v>-70</v>
      </c>
      <c r="L112" s="142"/>
      <c r="M112" s="144">
        <f t="shared" si="8"/>
        <v>0</v>
      </c>
    </row>
    <row r="113" spans="1:13" x14ac:dyDescent="0.25">
      <c r="A113" s="158"/>
      <c r="G113" s="128"/>
      <c r="H113" s="142">
        <v>108</v>
      </c>
      <c r="I113" s="143" t="str">
        <f t="shared" si="9"/>
        <v/>
      </c>
      <c r="J113" s="142">
        <f t="shared" si="10"/>
        <v>-7</v>
      </c>
      <c r="K113" s="142">
        <f t="shared" si="7"/>
        <v>-70</v>
      </c>
      <c r="L113" s="142"/>
      <c r="M113" s="144">
        <f t="shared" si="8"/>
        <v>0</v>
      </c>
    </row>
    <row r="114" spans="1:13" x14ac:dyDescent="0.25">
      <c r="A114" s="158"/>
      <c r="G114" s="128"/>
      <c r="H114" s="142">
        <v>109</v>
      </c>
      <c r="I114" s="143" t="str">
        <f t="shared" si="9"/>
        <v/>
      </c>
      <c r="J114" s="142">
        <f t="shared" si="10"/>
        <v>-7</v>
      </c>
      <c r="K114" s="142">
        <f t="shared" si="7"/>
        <v>-70</v>
      </c>
      <c r="L114" s="142"/>
      <c r="M114" s="144">
        <f t="shared" si="8"/>
        <v>0</v>
      </c>
    </row>
    <row r="115" spans="1:13" x14ac:dyDescent="0.25">
      <c r="A115" s="158"/>
      <c r="G115" s="128"/>
      <c r="H115" s="142">
        <v>110</v>
      </c>
      <c r="I115" s="143" t="str">
        <f t="shared" si="9"/>
        <v/>
      </c>
      <c r="J115" s="142">
        <f t="shared" si="10"/>
        <v>-7</v>
      </c>
      <c r="K115" s="142">
        <f t="shared" si="7"/>
        <v>-70</v>
      </c>
      <c r="L115" s="142"/>
      <c r="M115" s="144">
        <f t="shared" si="8"/>
        <v>0</v>
      </c>
    </row>
    <row r="116" spans="1:13" x14ac:dyDescent="0.25">
      <c r="A116" s="158"/>
      <c r="G116" s="128"/>
      <c r="H116" s="142">
        <v>111</v>
      </c>
      <c r="I116" s="143" t="str">
        <f t="shared" si="9"/>
        <v/>
      </c>
      <c r="J116" s="142">
        <f t="shared" si="10"/>
        <v>-7</v>
      </c>
      <c r="K116" s="142">
        <f t="shared" si="7"/>
        <v>-70</v>
      </c>
      <c r="L116" s="142"/>
      <c r="M116" s="144">
        <f t="shared" si="8"/>
        <v>0</v>
      </c>
    </row>
    <row r="117" spans="1:13" x14ac:dyDescent="0.25">
      <c r="A117" s="158"/>
      <c r="G117" s="128"/>
      <c r="H117" s="142">
        <v>112</v>
      </c>
      <c r="I117" s="143" t="str">
        <f t="shared" si="9"/>
        <v/>
      </c>
      <c r="J117" s="142">
        <f t="shared" si="10"/>
        <v>-7</v>
      </c>
      <c r="K117" s="142">
        <f t="shared" si="7"/>
        <v>-70</v>
      </c>
      <c r="L117" s="142"/>
      <c r="M117" s="144">
        <f t="shared" si="8"/>
        <v>0</v>
      </c>
    </row>
    <row r="118" spans="1:13" x14ac:dyDescent="0.25">
      <c r="A118" s="158"/>
      <c r="G118" s="128"/>
      <c r="H118" s="142">
        <v>113</v>
      </c>
      <c r="I118" s="143" t="str">
        <f t="shared" si="9"/>
        <v/>
      </c>
      <c r="J118" s="142">
        <f t="shared" si="10"/>
        <v>-7</v>
      </c>
      <c r="K118" s="142">
        <f t="shared" si="7"/>
        <v>-70</v>
      </c>
      <c r="L118" s="142"/>
      <c r="M118" s="144">
        <f t="shared" si="8"/>
        <v>0</v>
      </c>
    </row>
    <row r="119" spans="1:13" x14ac:dyDescent="0.25">
      <c r="A119" s="158"/>
      <c r="G119" s="128"/>
      <c r="H119" s="142">
        <v>114</v>
      </c>
      <c r="I119" s="143" t="str">
        <f t="shared" si="9"/>
        <v/>
      </c>
      <c r="J119" s="142">
        <f t="shared" si="10"/>
        <v>-7</v>
      </c>
      <c r="K119" s="142">
        <f t="shared" si="7"/>
        <v>-70</v>
      </c>
      <c r="L119" s="142"/>
      <c r="M119" s="144">
        <f t="shared" si="8"/>
        <v>0</v>
      </c>
    </row>
    <row r="120" spans="1:13" x14ac:dyDescent="0.25">
      <c r="A120" s="158"/>
      <c r="G120" s="128"/>
      <c r="H120" s="142">
        <v>115</v>
      </c>
      <c r="I120" s="143" t="str">
        <f t="shared" si="9"/>
        <v/>
      </c>
      <c r="J120" s="142">
        <f t="shared" si="10"/>
        <v>-7</v>
      </c>
      <c r="K120" s="142">
        <f t="shared" si="7"/>
        <v>-70</v>
      </c>
      <c r="L120" s="142"/>
      <c r="M120" s="144">
        <f t="shared" si="8"/>
        <v>0</v>
      </c>
    </row>
    <row r="121" spans="1:13" x14ac:dyDescent="0.25">
      <c r="A121" s="158"/>
      <c r="G121" s="128"/>
      <c r="H121" s="142">
        <v>116</v>
      </c>
      <c r="I121" s="143" t="str">
        <f t="shared" si="9"/>
        <v/>
      </c>
      <c r="J121" s="142">
        <f t="shared" si="10"/>
        <v>-7</v>
      </c>
      <c r="K121" s="142">
        <f t="shared" si="7"/>
        <v>-70</v>
      </c>
      <c r="L121" s="142"/>
      <c r="M121" s="144">
        <f t="shared" si="8"/>
        <v>0</v>
      </c>
    </row>
    <row r="122" spans="1:13" x14ac:dyDescent="0.25">
      <c r="A122" s="158"/>
      <c r="G122" s="128"/>
      <c r="H122" s="142">
        <v>117</v>
      </c>
      <c r="I122" s="143" t="str">
        <f t="shared" si="9"/>
        <v/>
      </c>
      <c r="J122" s="142">
        <f t="shared" si="10"/>
        <v>-7</v>
      </c>
      <c r="K122" s="142">
        <f t="shared" si="7"/>
        <v>-70</v>
      </c>
      <c r="L122" s="142"/>
      <c r="M122" s="144">
        <f t="shared" si="8"/>
        <v>0</v>
      </c>
    </row>
    <row r="123" spans="1:13" x14ac:dyDescent="0.25">
      <c r="A123" s="158"/>
      <c r="G123" s="128"/>
      <c r="H123" s="142">
        <v>118</v>
      </c>
      <c r="I123" s="143" t="str">
        <f t="shared" si="9"/>
        <v/>
      </c>
      <c r="J123" s="142">
        <f t="shared" si="10"/>
        <v>-7</v>
      </c>
      <c r="K123" s="142">
        <f t="shared" si="7"/>
        <v>-70</v>
      </c>
      <c r="L123" s="142"/>
      <c r="M123" s="144">
        <f t="shared" si="8"/>
        <v>0</v>
      </c>
    </row>
    <row r="124" spans="1:13" x14ac:dyDescent="0.25">
      <c r="A124" s="158"/>
      <c r="G124" s="128"/>
      <c r="H124" s="142">
        <v>119</v>
      </c>
      <c r="I124" s="143" t="str">
        <f t="shared" si="9"/>
        <v/>
      </c>
      <c r="J124" s="142">
        <f t="shared" si="10"/>
        <v>-7</v>
      </c>
      <c r="K124" s="142">
        <f t="shared" si="7"/>
        <v>-70</v>
      </c>
      <c r="L124" s="142"/>
      <c r="M124" s="144">
        <f t="shared" si="8"/>
        <v>0</v>
      </c>
    </row>
    <row r="125" spans="1:13" x14ac:dyDescent="0.25">
      <c r="A125" s="158"/>
      <c r="G125" s="128"/>
      <c r="H125" s="142">
        <v>120</v>
      </c>
      <c r="I125" s="143" t="str">
        <f t="shared" si="9"/>
        <v/>
      </c>
      <c r="J125" s="142">
        <f t="shared" si="10"/>
        <v>-7</v>
      </c>
      <c r="K125" s="142">
        <f t="shared" si="7"/>
        <v>-70</v>
      </c>
      <c r="L125" s="142"/>
      <c r="M125" s="144">
        <f t="shared" si="8"/>
        <v>0</v>
      </c>
    </row>
    <row r="126" spans="1:13" x14ac:dyDescent="0.25">
      <c r="A126" s="158"/>
      <c r="G126" s="128"/>
      <c r="H126" s="142">
        <v>121</v>
      </c>
      <c r="I126" s="143" t="str">
        <f t="shared" si="9"/>
        <v/>
      </c>
      <c r="J126" s="142">
        <f t="shared" si="10"/>
        <v>-7</v>
      </c>
      <c r="K126" s="142">
        <f t="shared" si="7"/>
        <v>-70</v>
      </c>
      <c r="L126" s="142"/>
      <c r="M126" s="144">
        <f t="shared" si="8"/>
        <v>0</v>
      </c>
    </row>
    <row r="127" spans="1:13" x14ac:dyDescent="0.25">
      <c r="A127" s="158"/>
      <c r="G127" s="128"/>
      <c r="H127" s="142">
        <v>122</v>
      </c>
      <c r="I127" s="143" t="str">
        <f t="shared" si="9"/>
        <v/>
      </c>
      <c r="J127" s="142">
        <f t="shared" si="10"/>
        <v>-7</v>
      </c>
      <c r="K127" s="142">
        <f t="shared" si="7"/>
        <v>-70</v>
      </c>
      <c r="L127" s="142"/>
      <c r="M127" s="144">
        <f t="shared" si="8"/>
        <v>0</v>
      </c>
    </row>
    <row r="128" spans="1:13" x14ac:dyDescent="0.25">
      <c r="A128" s="158"/>
      <c r="G128" s="128"/>
      <c r="H128" s="142">
        <v>123</v>
      </c>
      <c r="I128" s="143" t="str">
        <f t="shared" si="9"/>
        <v/>
      </c>
      <c r="J128" s="142">
        <f t="shared" si="10"/>
        <v>-7</v>
      </c>
      <c r="K128" s="142">
        <f t="shared" si="7"/>
        <v>-70</v>
      </c>
      <c r="L128" s="142"/>
      <c r="M128" s="144">
        <f t="shared" si="8"/>
        <v>0</v>
      </c>
    </row>
    <row r="129" spans="1:13" x14ac:dyDescent="0.25">
      <c r="A129" s="158"/>
      <c r="G129" s="128"/>
      <c r="H129" s="142">
        <v>124</v>
      </c>
      <c r="I129" s="143" t="str">
        <f t="shared" si="9"/>
        <v/>
      </c>
      <c r="J129" s="142">
        <f t="shared" si="10"/>
        <v>-7</v>
      </c>
      <c r="K129" s="142">
        <f t="shared" si="7"/>
        <v>-70</v>
      </c>
      <c r="L129" s="142"/>
      <c r="M129" s="144">
        <f t="shared" si="8"/>
        <v>0</v>
      </c>
    </row>
    <row r="130" spans="1:13" x14ac:dyDescent="0.25">
      <c r="A130" s="158"/>
      <c r="G130" s="128"/>
      <c r="H130" s="142">
        <v>125</v>
      </c>
      <c r="I130" s="143" t="str">
        <f t="shared" si="9"/>
        <v/>
      </c>
      <c r="J130" s="142">
        <f t="shared" si="10"/>
        <v>-7</v>
      </c>
      <c r="K130" s="142">
        <f t="shared" si="7"/>
        <v>-70</v>
      </c>
      <c r="L130" s="142"/>
      <c r="M130" s="144">
        <f t="shared" si="8"/>
        <v>0</v>
      </c>
    </row>
    <row r="131" spans="1:13" x14ac:dyDescent="0.25">
      <c r="A131" s="158"/>
      <c r="G131" s="128"/>
      <c r="H131" s="142">
        <v>126</v>
      </c>
      <c r="I131" s="143" t="str">
        <f t="shared" si="9"/>
        <v/>
      </c>
      <c r="J131" s="142">
        <f t="shared" si="10"/>
        <v>-7</v>
      </c>
      <c r="K131" s="142">
        <f t="shared" si="7"/>
        <v>-70</v>
      </c>
      <c r="L131" s="142"/>
      <c r="M131" s="144">
        <f t="shared" si="8"/>
        <v>0</v>
      </c>
    </row>
    <row r="132" spans="1:13" x14ac:dyDescent="0.25">
      <c r="A132" s="158"/>
      <c r="G132" s="128"/>
      <c r="H132" s="142">
        <v>127</v>
      </c>
      <c r="I132" s="143" t="str">
        <f t="shared" si="9"/>
        <v/>
      </c>
      <c r="J132" s="142">
        <f t="shared" si="10"/>
        <v>-7</v>
      </c>
      <c r="K132" s="142">
        <f t="shared" si="7"/>
        <v>-70</v>
      </c>
      <c r="L132" s="142"/>
      <c r="M132" s="144">
        <f t="shared" si="8"/>
        <v>0</v>
      </c>
    </row>
    <row r="133" spans="1:13" x14ac:dyDescent="0.25">
      <c r="A133" s="158"/>
      <c r="G133" s="128"/>
      <c r="H133" s="142">
        <v>128</v>
      </c>
      <c r="I133" s="143" t="str">
        <f t="shared" si="9"/>
        <v/>
      </c>
      <c r="J133" s="142">
        <f t="shared" si="10"/>
        <v>-7</v>
      </c>
      <c r="K133" s="142">
        <f t="shared" si="7"/>
        <v>-70</v>
      </c>
      <c r="L133" s="142"/>
      <c r="M133" s="144">
        <f t="shared" si="8"/>
        <v>0</v>
      </c>
    </row>
    <row r="134" spans="1:13" x14ac:dyDescent="0.25">
      <c r="A134" s="158"/>
      <c r="G134" s="128"/>
      <c r="H134" s="142">
        <v>129</v>
      </c>
      <c r="I134" s="143" t="str">
        <f t="shared" si="9"/>
        <v/>
      </c>
      <c r="J134" s="142">
        <f t="shared" si="10"/>
        <v>-8</v>
      </c>
      <c r="K134" s="142">
        <f t="shared" ref="K134:K197" si="11">J134*$J$2</f>
        <v>-80</v>
      </c>
      <c r="L134" s="142"/>
      <c r="M134" s="144">
        <f t="shared" ref="M134:M197" si="12">IF(I134&lt;&gt;"",K134+I134+L134,0)</f>
        <v>0</v>
      </c>
    </row>
    <row r="135" spans="1:13" x14ac:dyDescent="0.25">
      <c r="A135" s="158"/>
      <c r="G135" s="128"/>
      <c r="H135" s="142">
        <v>130</v>
      </c>
      <c r="I135" s="143" t="str">
        <f t="shared" ref="I135:I198" si="13">IF(H135&lt;$H$2+1,($I$2-($I$2-1)*(LOG(H135)/LOG($H$2))),"")</f>
        <v/>
      </c>
      <c r="J135" s="142">
        <f t="shared" ref="J135:J198" si="14">INT(LOG($H$2,2))-ROUNDUP(LOG(H135,2),0)+IF(OR($H$2=1,$H$2=2,$H$2=4,$H$2=8,$H$2=16,$H$2=32,$H$2=64,$H$2=128,$H$2=256),0,1)</f>
        <v>-8</v>
      </c>
      <c r="K135" s="142">
        <f t="shared" si="11"/>
        <v>-80</v>
      </c>
      <c r="L135" s="142"/>
      <c r="M135" s="144">
        <f t="shared" si="12"/>
        <v>0</v>
      </c>
    </row>
    <row r="136" spans="1:13" x14ac:dyDescent="0.25">
      <c r="A136" s="158"/>
      <c r="G136" s="128"/>
      <c r="H136" s="142">
        <v>131</v>
      </c>
      <c r="I136" s="143" t="str">
        <f t="shared" si="13"/>
        <v/>
      </c>
      <c r="J136" s="142">
        <f t="shared" si="14"/>
        <v>-8</v>
      </c>
      <c r="K136" s="142">
        <f t="shared" si="11"/>
        <v>-80</v>
      </c>
      <c r="L136" s="142"/>
      <c r="M136" s="144">
        <f t="shared" si="12"/>
        <v>0</v>
      </c>
    </row>
    <row r="137" spans="1:13" x14ac:dyDescent="0.25">
      <c r="A137" s="158"/>
      <c r="G137" s="128"/>
      <c r="H137" s="142">
        <v>132</v>
      </c>
      <c r="I137" s="143" t="str">
        <f t="shared" si="13"/>
        <v/>
      </c>
      <c r="J137" s="142">
        <f t="shared" si="14"/>
        <v>-8</v>
      </c>
      <c r="K137" s="142">
        <f t="shared" si="11"/>
        <v>-80</v>
      </c>
      <c r="L137" s="142"/>
      <c r="M137" s="144">
        <f t="shared" si="12"/>
        <v>0</v>
      </c>
    </row>
    <row r="138" spans="1:13" x14ac:dyDescent="0.25">
      <c r="A138" s="158"/>
      <c r="G138" s="128"/>
      <c r="H138" s="142">
        <v>133</v>
      </c>
      <c r="I138" s="143" t="str">
        <f t="shared" si="13"/>
        <v/>
      </c>
      <c r="J138" s="142">
        <f t="shared" si="14"/>
        <v>-8</v>
      </c>
      <c r="K138" s="142">
        <f t="shared" si="11"/>
        <v>-80</v>
      </c>
      <c r="L138" s="142"/>
      <c r="M138" s="144">
        <f t="shared" si="12"/>
        <v>0</v>
      </c>
    </row>
    <row r="139" spans="1:13" x14ac:dyDescent="0.25">
      <c r="A139" s="158"/>
      <c r="G139" s="128"/>
      <c r="H139" s="142">
        <v>134</v>
      </c>
      <c r="I139" s="143" t="str">
        <f t="shared" si="13"/>
        <v/>
      </c>
      <c r="J139" s="142">
        <f t="shared" si="14"/>
        <v>-8</v>
      </c>
      <c r="K139" s="142">
        <f t="shared" si="11"/>
        <v>-80</v>
      </c>
      <c r="L139" s="142"/>
      <c r="M139" s="144">
        <f t="shared" si="12"/>
        <v>0</v>
      </c>
    </row>
    <row r="140" spans="1:13" x14ac:dyDescent="0.25">
      <c r="A140" s="158"/>
      <c r="G140" s="128"/>
      <c r="H140" s="142">
        <v>135</v>
      </c>
      <c r="I140" s="143" t="str">
        <f t="shared" si="13"/>
        <v/>
      </c>
      <c r="J140" s="142">
        <f t="shared" si="14"/>
        <v>-8</v>
      </c>
      <c r="K140" s="142">
        <f t="shared" si="11"/>
        <v>-80</v>
      </c>
      <c r="L140" s="142"/>
      <c r="M140" s="144">
        <f t="shared" si="12"/>
        <v>0</v>
      </c>
    </row>
    <row r="141" spans="1:13" x14ac:dyDescent="0.25">
      <c r="A141" s="158"/>
      <c r="G141" s="128"/>
      <c r="H141" s="142">
        <v>136</v>
      </c>
      <c r="I141" s="143" t="str">
        <f t="shared" si="13"/>
        <v/>
      </c>
      <c r="J141" s="142">
        <f t="shared" si="14"/>
        <v>-8</v>
      </c>
      <c r="K141" s="142">
        <f t="shared" si="11"/>
        <v>-80</v>
      </c>
      <c r="L141" s="142"/>
      <c r="M141" s="144">
        <f t="shared" si="12"/>
        <v>0</v>
      </c>
    </row>
    <row r="142" spans="1:13" x14ac:dyDescent="0.25">
      <c r="A142" s="158"/>
      <c r="G142" s="128"/>
      <c r="H142" s="142">
        <v>137</v>
      </c>
      <c r="I142" s="143" t="str">
        <f t="shared" si="13"/>
        <v/>
      </c>
      <c r="J142" s="142">
        <f t="shared" si="14"/>
        <v>-8</v>
      </c>
      <c r="K142" s="142">
        <f t="shared" si="11"/>
        <v>-80</v>
      </c>
      <c r="L142" s="142"/>
      <c r="M142" s="144">
        <f t="shared" si="12"/>
        <v>0</v>
      </c>
    </row>
    <row r="143" spans="1:13" x14ac:dyDescent="0.25">
      <c r="A143" s="158"/>
      <c r="G143" s="128"/>
      <c r="H143" s="142">
        <v>138</v>
      </c>
      <c r="I143" s="143" t="str">
        <f t="shared" si="13"/>
        <v/>
      </c>
      <c r="J143" s="142">
        <f t="shared" si="14"/>
        <v>-8</v>
      </c>
      <c r="K143" s="142">
        <f t="shared" si="11"/>
        <v>-80</v>
      </c>
      <c r="L143" s="142"/>
      <c r="M143" s="144">
        <f t="shared" si="12"/>
        <v>0</v>
      </c>
    </row>
    <row r="144" spans="1:13" x14ac:dyDescent="0.25">
      <c r="A144" s="158"/>
      <c r="G144" s="128"/>
      <c r="H144" s="142">
        <v>139</v>
      </c>
      <c r="I144" s="143" t="str">
        <f t="shared" si="13"/>
        <v/>
      </c>
      <c r="J144" s="142">
        <f t="shared" si="14"/>
        <v>-8</v>
      </c>
      <c r="K144" s="142">
        <f t="shared" si="11"/>
        <v>-80</v>
      </c>
      <c r="L144" s="142"/>
      <c r="M144" s="144">
        <f t="shared" si="12"/>
        <v>0</v>
      </c>
    </row>
    <row r="145" spans="1:13" x14ac:dyDescent="0.25">
      <c r="A145" s="158"/>
      <c r="G145" s="128"/>
      <c r="H145" s="142">
        <v>140</v>
      </c>
      <c r="I145" s="143" t="str">
        <f t="shared" si="13"/>
        <v/>
      </c>
      <c r="J145" s="142">
        <f t="shared" si="14"/>
        <v>-8</v>
      </c>
      <c r="K145" s="142">
        <f t="shared" si="11"/>
        <v>-80</v>
      </c>
      <c r="L145" s="142"/>
      <c r="M145" s="144">
        <f t="shared" si="12"/>
        <v>0</v>
      </c>
    </row>
    <row r="146" spans="1:13" x14ac:dyDescent="0.25">
      <c r="A146" s="158"/>
      <c r="G146" s="128"/>
      <c r="H146" s="142">
        <v>141</v>
      </c>
      <c r="I146" s="143" t="str">
        <f t="shared" si="13"/>
        <v/>
      </c>
      <c r="J146" s="142">
        <f t="shared" si="14"/>
        <v>-8</v>
      </c>
      <c r="K146" s="142">
        <f t="shared" si="11"/>
        <v>-80</v>
      </c>
      <c r="L146" s="142"/>
      <c r="M146" s="144">
        <f t="shared" si="12"/>
        <v>0</v>
      </c>
    </row>
    <row r="147" spans="1:13" x14ac:dyDescent="0.25">
      <c r="A147" s="158"/>
      <c r="G147" s="128"/>
      <c r="H147" s="142">
        <v>142</v>
      </c>
      <c r="I147" s="143" t="str">
        <f t="shared" si="13"/>
        <v/>
      </c>
      <c r="J147" s="142">
        <f t="shared" si="14"/>
        <v>-8</v>
      </c>
      <c r="K147" s="142">
        <f t="shared" si="11"/>
        <v>-80</v>
      </c>
      <c r="L147" s="142"/>
      <c r="M147" s="144">
        <f t="shared" si="12"/>
        <v>0</v>
      </c>
    </row>
    <row r="148" spans="1:13" x14ac:dyDescent="0.25">
      <c r="A148" s="158"/>
      <c r="G148" s="128"/>
      <c r="H148" s="142">
        <v>143</v>
      </c>
      <c r="I148" s="143" t="str">
        <f t="shared" si="13"/>
        <v/>
      </c>
      <c r="J148" s="142">
        <f t="shared" si="14"/>
        <v>-8</v>
      </c>
      <c r="K148" s="142">
        <f t="shared" si="11"/>
        <v>-80</v>
      </c>
      <c r="L148" s="142"/>
      <c r="M148" s="144">
        <f t="shared" si="12"/>
        <v>0</v>
      </c>
    </row>
    <row r="149" spans="1:13" x14ac:dyDescent="0.25">
      <c r="A149" s="158"/>
      <c r="G149" s="128"/>
      <c r="H149" s="142">
        <v>144</v>
      </c>
      <c r="I149" s="143" t="str">
        <f t="shared" si="13"/>
        <v/>
      </c>
      <c r="J149" s="142">
        <f t="shared" si="14"/>
        <v>-8</v>
      </c>
      <c r="K149" s="142">
        <f t="shared" si="11"/>
        <v>-80</v>
      </c>
      <c r="L149" s="142"/>
      <c r="M149" s="144">
        <f t="shared" si="12"/>
        <v>0</v>
      </c>
    </row>
    <row r="150" spans="1:13" x14ac:dyDescent="0.25">
      <c r="A150" s="158"/>
      <c r="G150" s="128"/>
      <c r="H150" s="142">
        <v>145</v>
      </c>
      <c r="I150" s="143" t="str">
        <f t="shared" si="13"/>
        <v/>
      </c>
      <c r="J150" s="142">
        <f t="shared" si="14"/>
        <v>-8</v>
      </c>
      <c r="K150" s="142">
        <f t="shared" si="11"/>
        <v>-80</v>
      </c>
      <c r="L150" s="142"/>
      <c r="M150" s="144">
        <f t="shared" si="12"/>
        <v>0</v>
      </c>
    </row>
    <row r="151" spans="1:13" x14ac:dyDescent="0.25">
      <c r="A151" s="158"/>
      <c r="G151" s="128"/>
      <c r="H151" s="142">
        <v>146</v>
      </c>
      <c r="I151" s="143" t="str">
        <f t="shared" si="13"/>
        <v/>
      </c>
      <c r="J151" s="142">
        <f t="shared" si="14"/>
        <v>-8</v>
      </c>
      <c r="K151" s="142">
        <f t="shared" si="11"/>
        <v>-80</v>
      </c>
      <c r="L151" s="142"/>
      <c r="M151" s="144">
        <f t="shared" si="12"/>
        <v>0</v>
      </c>
    </row>
    <row r="152" spans="1:13" x14ac:dyDescent="0.25">
      <c r="A152" s="158"/>
      <c r="G152" s="128"/>
      <c r="H152" s="142">
        <v>147</v>
      </c>
      <c r="I152" s="143" t="str">
        <f t="shared" si="13"/>
        <v/>
      </c>
      <c r="J152" s="142">
        <f t="shared" si="14"/>
        <v>-8</v>
      </c>
      <c r="K152" s="142">
        <f t="shared" si="11"/>
        <v>-80</v>
      </c>
      <c r="L152" s="142"/>
      <c r="M152" s="144">
        <f t="shared" si="12"/>
        <v>0</v>
      </c>
    </row>
    <row r="153" spans="1:13" x14ac:dyDescent="0.25">
      <c r="A153" s="158"/>
      <c r="G153" s="128"/>
      <c r="H153" s="142">
        <v>148</v>
      </c>
      <c r="I153" s="143" t="str">
        <f t="shared" si="13"/>
        <v/>
      </c>
      <c r="J153" s="142">
        <f t="shared" si="14"/>
        <v>-8</v>
      </c>
      <c r="K153" s="142">
        <f t="shared" si="11"/>
        <v>-80</v>
      </c>
      <c r="L153" s="142"/>
      <c r="M153" s="144">
        <f t="shared" si="12"/>
        <v>0</v>
      </c>
    </row>
    <row r="154" spans="1:13" x14ac:dyDescent="0.25">
      <c r="A154" s="158"/>
      <c r="G154" s="128"/>
      <c r="H154" s="142">
        <v>149</v>
      </c>
      <c r="I154" s="143" t="str">
        <f t="shared" si="13"/>
        <v/>
      </c>
      <c r="J154" s="142">
        <f t="shared" si="14"/>
        <v>-8</v>
      </c>
      <c r="K154" s="142">
        <f t="shared" si="11"/>
        <v>-80</v>
      </c>
      <c r="L154" s="142"/>
      <c r="M154" s="144">
        <f t="shared" si="12"/>
        <v>0</v>
      </c>
    </row>
    <row r="155" spans="1:13" x14ac:dyDescent="0.25">
      <c r="A155" s="158"/>
      <c r="G155" s="128"/>
      <c r="H155" s="142">
        <v>150</v>
      </c>
      <c r="I155" s="143" t="str">
        <f t="shared" si="13"/>
        <v/>
      </c>
      <c r="J155" s="142">
        <f t="shared" si="14"/>
        <v>-8</v>
      </c>
      <c r="K155" s="142">
        <f t="shared" si="11"/>
        <v>-80</v>
      </c>
      <c r="L155" s="142"/>
      <c r="M155" s="144">
        <f t="shared" si="12"/>
        <v>0</v>
      </c>
    </row>
    <row r="156" spans="1:13" x14ac:dyDescent="0.25">
      <c r="A156" s="158"/>
      <c r="G156" s="128"/>
      <c r="H156" s="142">
        <v>151</v>
      </c>
      <c r="I156" s="143" t="str">
        <f t="shared" si="13"/>
        <v/>
      </c>
      <c r="J156" s="142">
        <f t="shared" si="14"/>
        <v>-8</v>
      </c>
      <c r="K156" s="142">
        <f t="shared" si="11"/>
        <v>-80</v>
      </c>
      <c r="L156" s="142"/>
      <c r="M156" s="144">
        <f t="shared" si="12"/>
        <v>0</v>
      </c>
    </row>
    <row r="157" spans="1:13" x14ac:dyDescent="0.25">
      <c r="A157" s="158"/>
      <c r="G157" s="128"/>
      <c r="H157" s="142">
        <v>152</v>
      </c>
      <c r="I157" s="143" t="str">
        <f t="shared" si="13"/>
        <v/>
      </c>
      <c r="J157" s="142">
        <f t="shared" si="14"/>
        <v>-8</v>
      </c>
      <c r="K157" s="142">
        <f t="shared" si="11"/>
        <v>-80</v>
      </c>
      <c r="L157" s="142"/>
      <c r="M157" s="144">
        <f t="shared" si="12"/>
        <v>0</v>
      </c>
    </row>
    <row r="158" spans="1:13" x14ac:dyDescent="0.25">
      <c r="A158" s="158"/>
      <c r="G158" s="128"/>
      <c r="H158" s="142">
        <v>153</v>
      </c>
      <c r="I158" s="143" t="str">
        <f t="shared" si="13"/>
        <v/>
      </c>
      <c r="J158" s="142">
        <f t="shared" si="14"/>
        <v>-8</v>
      </c>
      <c r="K158" s="142">
        <f t="shared" si="11"/>
        <v>-80</v>
      </c>
      <c r="L158" s="142"/>
      <c r="M158" s="144">
        <f t="shared" si="12"/>
        <v>0</v>
      </c>
    </row>
    <row r="159" spans="1:13" x14ac:dyDescent="0.25">
      <c r="A159" s="158"/>
      <c r="G159" s="128"/>
      <c r="H159" s="142">
        <v>154</v>
      </c>
      <c r="I159" s="143" t="str">
        <f t="shared" si="13"/>
        <v/>
      </c>
      <c r="J159" s="142">
        <f t="shared" si="14"/>
        <v>-8</v>
      </c>
      <c r="K159" s="142">
        <f t="shared" si="11"/>
        <v>-80</v>
      </c>
      <c r="L159" s="142"/>
      <c r="M159" s="144">
        <f t="shared" si="12"/>
        <v>0</v>
      </c>
    </row>
    <row r="160" spans="1:13" x14ac:dyDescent="0.25">
      <c r="A160" s="158"/>
      <c r="G160" s="128"/>
      <c r="H160" s="142">
        <v>155</v>
      </c>
      <c r="I160" s="143" t="str">
        <f t="shared" si="13"/>
        <v/>
      </c>
      <c r="J160" s="142">
        <f t="shared" si="14"/>
        <v>-8</v>
      </c>
      <c r="K160" s="142">
        <f t="shared" si="11"/>
        <v>-80</v>
      </c>
      <c r="L160" s="142"/>
      <c r="M160" s="144">
        <f t="shared" si="12"/>
        <v>0</v>
      </c>
    </row>
    <row r="161" spans="1:13" x14ac:dyDescent="0.25">
      <c r="A161" s="158"/>
      <c r="G161" s="128"/>
      <c r="H161" s="142">
        <v>156</v>
      </c>
      <c r="I161" s="143" t="str">
        <f t="shared" si="13"/>
        <v/>
      </c>
      <c r="J161" s="142">
        <f t="shared" si="14"/>
        <v>-8</v>
      </c>
      <c r="K161" s="142">
        <f t="shared" si="11"/>
        <v>-80</v>
      </c>
      <c r="L161" s="142"/>
      <c r="M161" s="144">
        <f t="shared" si="12"/>
        <v>0</v>
      </c>
    </row>
    <row r="162" spans="1:13" x14ac:dyDescent="0.25">
      <c r="A162" s="158"/>
      <c r="G162" s="128"/>
      <c r="H162" s="142">
        <v>157</v>
      </c>
      <c r="I162" s="143" t="str">
        <f t="shared" si="13"/>
        <v/>
      </c>
      <c r="J162" s="142">
        <f t="shared" si="14"/>
        <v>-8</v>
      </c>
      <c r="K162" s="142">
        <f t="shared" si="11"/>
        <v>-80</v>
      </c>
      <c r="L162" s="142"/>
      <c r="M162" s="144">
        <f t="shared" si="12"/>
        <v>0</v>
      </c>
    </row>
    <row r="163" spans="1:13" x14ac:dyDescent="0.25">
      <c r="A163" s="158"/>
      <c r="G163" s="128"/>
      <c r="H163" s="142">
        <v>158</v>
      </c>
      <c r="I163" s="143" t="str">
        <f t="shared" si="13"/>
        <v/>
      </c>
      <c r="J163" s="142">
        <f t="shared" si="14"/>
        <v>-8</v>
      </c>
      <c r="K163" s="142">
        <f t="shared" si="11"/>
        <v>-80</v>
      </c>
      <c r="L163" s="142"/>
      <c r="M163" s="144">
        <f t="shared" si="12"/>
        <v>0</v>
      </c>
    </row>
    <row r="164" spans="1:13" x14ac:dyDescent="0.25">
      <c r="A164" s="158"/>
      <c r="G164" s="128"/>
      <c r="H164" s="142">
        <v>159</v>
      </c>
      <c r="I164" s="143" t="str">
        <f t="shared" si="13"/>
        <v/>
      </c>
      <c r="J164" s="142">
        <f t="shared" si="14"/>
        <v>-8</v>
      </c>
      <c r="K164" s="142">
        <f t="shared" si="11"/>
        <v>-80</v>
      </c>
      <c r="L164" s="142"/>
      <c r="M164" s="144">
        <f t="shared" si="12"/>
        <v>0</v>
      </c>
    </row>
    <row r="165" spans="1:13" x14ac:dyDescent="0.25">
      <c r="A165" s="158"/>
      <c r="G165" s="128"/>
      <c r="H165" s="142">
        <v>160</v>
      </c>
      <c r="I165" s="143" t="str">
        <f t="shared" si="13"/>
        <v/>
      </c>
      <c r="J165" s="142">
        <f t="shared" si="14"/>
        <v>-8</v>
      </c>
      <c r="K165" s="142">
        <f t="shared" si="11"/>
        <v>-80</v>
      </c>
      <c r="L165" s="142"/>
      <c r="M165" s="144">
        <f t="shared" si="12"/>
        <v>0</v>
      </c>
    </row>
    <row r="166" spans="1:13" x14ac:dyDescent="0.25">
      <c r="A166" s="158"/>
      <c r="G166" s="128"/>
      <c r="H166" s="142">
        <v>161</v>
      </c>
      <c r="I166" s="143" t="str">
        <f t="shared" si="13"/>
        <v/>
      </c>
      <c r="J166" s="142">
        <f t="shared" si="14"/>
        <v>-8</v>
      </c>
      <c r="K166" s="142">
        <f t="shared" si="11"/>
        <v>-80</v>
      </c>
      <c r="L166" s="142"/>
      <c r="M166" s="144">
        <f t="shared" si="12"/>
        <v>0</v>
      </c>
    </row>
    <row r="167" spans="1:13" x14ac:dyDescent="0.25">
      <c r="A167" s="158"/>
      <c r="G167" s="128"/>
      <c r="H167" s="142">
        <v>162</v>
      </c>
      <c r="I167" s="143" t="str">
        <f t="shared" si="13"/>
        <v/>
      </c>
      <c r="J167" s="142">
        <f t="shared" si="14"/>
        <v>-8</v>
      </c>
      <c r="K167" s="142">
        <f t="shared" si="11"/>
        <v>-80</v>
      </c>
      <c r="L167" s="142"/>
      <c r="M167" s="144">
        <f t="shared" si="12"/>
        <v>0</v>
      </c>
    </row>
    <row r="168" spans="1:13" x14ac:dyDescent="0.25">
      <c r="A168" s="158"/>
      <c r="G168" s="128"/>
      <c r="H168" s="142">
        <v>163</v>
      </c>
      <c r="I168" s="143" t="str">
        <f t="shared" si="13"/>
        <v/>
      </c>
      <c r="J168" s="142">
        <f t="shared" si="14"/>
        <v>-8</v>
      </c>
      <c r="K168" s="142">
        <f t="shared" si="11"/>
        <v>-80</v>
      </c>
      <c r="L168" s="142"/>
      <c r="M168" s="144">
        <f t="shared" si="12"/>
        <v>0</v>
      </c>
    </row>
    <row r="169" spans="1:13" x14ac:dyDescent="0.25">
      <c r="A169" s="158"/>
      <c r="G169" s="128"/>
      <c r="H169" s="142">
        <v>164</v>
      </c>
      <c r="I169" s="143" t="str">
        <f t="shared" si="13"/>
        <v/>
      </c>
      <c r="J169" s="142">
        <f t="shared" si="14"/>
        <v>-8</v>
      </c>
      <c r="K169" s="142">
        <f t="shared" si="11"/>
        <v>-80</v>
      </c>
      <c r="L169" s="142"/>
      <c r="M169" s="144">
        <f t="shared" si="12"/>
        <v>0</v>
      </c>
    </row>
    <row r="170" spans="1:13" x14ac:dyDescent="0.25">
      <c r="A170" s="158"/>
      <c r="G170" s="128"/>
      <c r="H170" s="142">
        <v>165</v>
      </c>
      <c r="I170" s="143" t="str">
        <f t="shared" si="13"/>
        <v/>
      </c>
      <c r="J170" s="142">
        <f t="shared" si="14"/>
        <v>-8</v>
      </c>
      <c r="K170" s="142">
        <f t="shared" si="11"/>
        <v>-80</v>
      </c>
      <c r="L170" s="142"/>
      <c r="M170" s="144">
        <f t="shared" si="12"/>
        <v>0</v>
      </c>
    </row>
    <row r="171" spans="1:13" x14ac:dyDescent="0.25">
      <c r="A171" s="158"/>
      <c r="G171" s="128"/>
      <c r="H171" s="142">
        <v>166</v>
      </c>
      <c r="I171" s="143" t="str">
        <f t="shared" si="13"/>
        <v/>
      </c>
      <c r="J171" s="142">
        <f t="shared" si="14"/>
        <v>-8</v>
      </c>
      <c r="K171" s="142">
        <f t="shared" si="11"/>
        <v>-80</v>
      </c>
      <c r="L171" s="142"/>
      <c r="M171" s="144">
        <f t="shared" si="12"/>
        <v>0</v>
      </c>
    </row>
    <row r="172" spans="1:13" x14ac:dyDescent="0.25">
      <c r="A172" s="158"/>
      <c r="G172" s="128"/>
      <c r="H172" s="142">
        <v>167</v>
      </c>
      <c r="I172" s="143" t="str">
        <f t="shared" si="13"/>
        <v/>
      </c>
      <c r="J172" s="142">
        <f t="shared" si="14"/>
        <v>-8</v>
      </c>
      <c r="K172" s="142">
        <f t="shared" si="11"/>
        <v>-80</v>
      </c>
      <c r="L172" s="142"/>
      <c r="M172" s="144">
        <f t="shared" si="12"/>
        <v>0</v>
      </c>
    </row>
    <row r="173" spans="1:13" x14ac:dyDescent="0.25">
      <c r="A173" s="158"/>
      <c r="G173" s="128"/>
      <c r="H173" s="142">
        <v>168</v>
      </c>
      <c r="I173" s="143" t="str">
        <f t="shared" si="13"/>
        <v/>
      </c>
      <c r="J173" s="142">
        <f t="shared" si="14"/>
        <v>-8</v>
      </c>
      <c r="K173" s="142">
        <f t="shared" si="11"/>
        <v>-80</v>
      </c>
      <c r="L173" s="142"/>
      <c r="M173" s="144">
        <f t="shared" si="12"/>
        <v>0</v>
      </c>
    </row>
    <row r="174" spans="1:13" x14ac:dyDescent="0.25">
      <c r="A174" s="158"/>
      <c r="G174" s="128"/>
      <c r="H174" s="142">
        <v>169</v>
      </c>
      <c r="I174" s="143" t="str">
        <f t="shared" si="13"/>
        <v/>
      </c>
      <c r="J174" s="142">
        <f t="shared" si="14"/>
        <v>-8</v>
      </c>
      <c r="K174" s="142">
        <f t="shared" si="11"/>
        <v>-80</v>
      </c>
      <c r="L174" s="142"/>
      <c r="M174" s="144">
        <f t="shared" si="12"/>
        <v>0</v>
      </c>
    </row>
    <row r="175" spans="1:13" x14ac:dyDescent="0.25">
      <c r="A175" s="158"/>
      <c r="G175" s="128"/>
      <c r="H175" s="142">
        <v>170</v>
      </c>
      <c r="I175" s="143" t="str">
        <f t="shared" si="13"/>
        <v/>
      </c>
      <c r="J175" s="142">
        <f t="shared" si="14"/>
        <v>-8</v>
      </c>
      <c r="K175" s="142">
        <f t="shared" si="11"/>
        <v>-80</v>
      </c>
      <c r="L175" s="142"/>
      <c r="M175" s="144">
        <f t="shared" si="12"/>
        <v>0</v>
      </c>
    </row>
    <row r="176" spans="1:13" x14ac:dyDescent="0.25">
      <c r="A176" s="158"/>
      <c r="G176" s="128"/>
      <c r="H176" s="142">
        <v>171</v>
      </c>
      <c r="I176" s="143" t="str">
        <f t="shared" si="13"/>
        <v/>
      </c>
      <c r="J176" s="142">
        <f t="shared" si="14"/>
        <v>-8</v>
      </c>
      <c r="K176" s="142">
        <f t="shared" si="11"/>
        <v>-80</v>
      </c>
      <c r="L176" s="142"/>
      <c r="M176" s="144">
        <f t="shared" si="12"/>
        <v>0</v>
      </c>
    </row>
    <row r="177" spans="1:13" x14ac:dyDescent="0.25">
      <c r="A177" s="158"/>
      <c r="G177" s="128"/>
      <c r="H177" s="142">
        <v>172</v>
      </c>
      <c r="I177" s="143" t="str">
        <f t="shared" si="13"/>
        <v/>
      </c>
      <c r="J177" s="142">
        <f t="shared" si="14"/>
        <v>-8</v>
      </c>
      <c r="K177" s="142">
        <f t="shared" si="11"/>
        <v>-80</v>
      </c>
      <c r="L177" s="142"/>
      <c r="M177" s="144">
        <f t="shared" si="12"/>
        <v>0</v>
      </c>
    </row>
    <row r="178" spans="1:13" x14ac:dyDescent="0.25">
      <c r="A178" s="158"/>
      <c r="G178" s="128"/>
      <c r="H178" s="142">
        <v>173</v>
      </c>
      <c r="I178" s="143" t="str">
        <f t="shared" si="13"/>
        <v/>
      </c>
      <c r="J178" s="142">
        <f t="shared" si="14"/>
        <v>-8</v>
      </c>
      <c r="K178" s="142">
        <f t="shared" si="11"/>
        <v>-80</v>
      </c>
      <c r="L178" s="142"/>
      <c r="M178" s="144">
        <f t="shared" si="12"/>
        <v>0</v>
      </c>
    </row>
    <row r="179" spans="1:13" x14ac:dyDescent="0.25">
      <c r="A179" s="158"/>
      <c r="G179" s="128"/>
      <c r="H179" s="142">
        <v>174</v>
      </c>
      <c r="I179" s="143" t="str">
        <f t="shared" si="13"/>
        <v/>
      </c>
      <c r="J179" s="142">
        <f t="shared" si="14"/>
        <v>-8</v>
      </c>
      <c r="K179" s="142">
        <f t="shared" si="11"/>
        <v>-80</v>
      </c>
      <c r="L179" s="142"/>
      <c r="M179" s="144">
        <f t="shared" si="12"/>
        <v>0</v>
      </c>
    </row>
    <row r="180" spans="1:13" x14ac:dyDescent="0.25">
      <c r="A180" s="158"/>
      <c r="G180" s="128"/>
      <c r="H180" s="142">
        <v>175</v>
      </c>
      <c r="I180" s="143" t="str">
        <f t="shared" si="13"/>
        <v/>
      </c>
      <c r="J180" s="142">
        <f t="shared" si="14"/>
        <v>-8</v>
      </c>
      <c r="K180" s="142">
        <f t="shared" si="11"/>
        <v>-80</v>
      </c>
      <c r="L180" s="142"/>
      <c r="M180" s="144">
        <f t="shared" si="12"/>
        <v>0</v>
      </c>
    </row>
    <row r="181" spans="1:13" x14ac:dyDescent="0.25">
      <c r="A181" s="158"/>
      <c r="G181" s="128"/>
      <c r="H181" s="142">
        <v>176</v>
      </c>
      <c r="I181" s="143" t="str">
        <f t="shared" si="13"/>
        <v/>
      </c>
      <c r="J181" s="142">
        <f t="shared" si="14"/>
        <v>-8</v>
      </c>
      <c r="K181" s="142">
        <f t="shared" si="11"/>
        <v>-80</v>
      </c>
      <c r="L181" s="142"/>
      <c r="M181" s="144">
        <f t="shared" si="12"/>
        <v>0</v>
      </c>
    </row>
    <row r="182" spans="1:13" x14ac:dyDescent="0.25">
      <c r="A182" s="158"/>
      <c r="G182" s="128"/>
      <c r="H182" s="142">
        <v>177</v>
      </c>
      <c r="I182" s="143" t="str">
        <f t="shared" si="13"/>
        <v/>
      </c>
      <c r="J182" s="142">
        <f t="shared" si="14"/>
        <v>-8</v>
      </c>
      <c r="K182" s="142">
        <f t="shared" si="11"/>
        <v>-80</v>
      </c>
      <c r="L182" s="142"/>
      <c r="M182" s="144">
        <f t="shared" si="12"/>
        <v>0</v>
      </c>
    </row>
    <row r="183" spans="1:13" x14ac:dyDescent="0.25">
      <c r="A183" s="158"/>
      <c r="G183" s="128"/>
      <c r="H183" s="142">
        <v>178</v>
      </c>
      <c r="I183" s="143" t="str">
        <f t="shared" si="13"/>
        <v/>
      </c>
      <c r="J183" s="142">
        <f t="shared" si="14"/>
        <v>-8</v>
      </c>
      <c r="K183" s="142">
        <f t="shared" si="11"/>
        <v>-80</v>
      </c>
      <c r="L183" s="142"/>
      <c r="M183" s="144">
        <f t="shared" si="12"/>
        <v>0</v>
      </c>
    </row>
    <row r="184" spans="1:13" x14ac:dyDescent="0.25">
      <c r="A184" s="158"/>
      <c r="G184" s="128"/>
      <c r="H184" s="142">
        <v>179</v>
      </c>
      <c r="I184" s="143" t="str">
        <f t="shared" si="13"/>
        <v/>
      </c>
      <c r="J184" s="142">
        <f t="shared" si="14"/>
        <v>-8</v>
      </c>
      <c r="K184" s="142">
        <f t="shared" si="11"/>
        <v>-80</v>
      </c>
      <c r="L184" s="142"/>
      <c r="M184" s="144">
        <f t="shared" si="12"/>
        <v>0</v>
      </c>
    </row>
    <row r="185" spans="1:13" x14ac:dyDescent="0.25">
      <c r="A185" s="158"/>
      <c r="G185" s="128"/>
      <c r="H185" s="142">
        <v>180</v>
      </c>
      <c r="I185" s="143" t="str">
        <f t="shared" si="13"/>
        <v/>
      </c>
      <c r="J185" s="142">
        <f t="shared" si="14"/>
        <v>-8</v>
      </c>
      <c r="K185" s="142">
        <f t="shared" si="11"/>
        <v>-80</v>
      </c>
      <c r="L185" s="142"/>
      <c r="M185" s="144">
        <f t="shared" si="12"/>
        <v>0</v>
      </c>
    </row>
    <row r="186" spans="1:13" x14ac:dyDescent="0.25">
      <c r="A186" s="158"/>
      <c r="G186" s="128"/>
      <c r="H186" s="142">
        <v>181</v>
      </c>
      <c r="I186" s="143" t="str">
        <f t="shared" si="13"/>
        <v/>
      </c>
      <c r="J186" s="142">
        <f t="shared" si="14"/>
        <v>-8</v>
      </c>
      <c r="K186" s="142">
        <f t="shared" si="11"/>
        <v>-80</v>
      </c>
      <c r="L186" s="142"/>
      <c r="M186" s="144">
        <f t="shared" si="12"/>
        <v>0</v>
      </c>
    </row>
    <row r="187" spans="1:13" x14ac:dyDescent="0.25">
      <c r="A187" s="158"/>
      <c r="G187" s="128"/>
      <c r="H187" s="142">
        <v>182</v>
      </c>
      <c r="I187" s="143" t="str">
        <f t="shared" si="13"/>
        <v/>
      </c>
      <c r="J187" s="142">
        <f t="shared" si="14"/>
        <v>-8</v>
      </c>
      <c r="K187" s="142">
        <f t="shared" si="11"/>
        <v>-80</v>
      </c>
      <c r="L187" s="142"/>
      <c r="M187" s="144">
        <f t="shared" si="12"/>
        <v>0</v>
      </c>
    </row>
    <row r="188" spans="1:13" x14ac:dyDescent="0.25">
      <c r="A188" s="158"/>
      <c r="G188" s="128"/>
      <c r="H188" s="142">
        <v>183</v>
      </c>
      <c r="I188" s="143" t="str">
        <f t="shared" si="13"/>
        <v/>
      </c>
      <c r="J188" s="142">
        <f t="shared" si="14"/>
        <v>-8</v>
      </c>
      <c r="K188" s="142">
        <f t="shared" si="11"/>
        <v>-80</v>
      </c>
      <c r="L188" s="142"/>
      <c r="M188" s="144">
        <f t="shared" si="12"/>
        <v>0</v>
      </c>
    </row>
    <row r="189" spans="1:13" x14ac:dyDescent="0.25">
      <c r="A189" s="158"/>
      <c r="G189" s="128"/>
      <c r="H189" s="142">
        <v>184</v>
      </c>
      <c r="I189" s="143" t="str">
        <f t="shared" si="13"/>
        <v/>
      </c>
      <c r="J189" s="142">
        <f t="shared" si="14"/>
        <v>-8</v>
      </c>
      <c r="K189" s="142">
        <f t="shared" si="11"/>
        <v>-80</v>
      </c>
      <c r="L189" s="142"/>
      <c r="M189" s="144">
        <f t="shared" si="12"/>
        <v>0</v>
      </c>
    </row>
    <row r="190" spans="1:13" x14ac:dyDescent="0.25">
      <c r="A190" s="158"/>
      <c r="G190" s="128"/>
      <c r="H190" s="142">
        <v>185</v>
      </c>
      <c r="I190" s="143" t="str">
        <f t="shared" si="13"/>
        <v/>
      </c>
      <c r="J190" s="142">
        <f t="shared" si="14"/>
        <v>-8</v>
      </c>
      <c r="K190" s="142">
        <f t="shared" si="11"/>
        <v>-80</v>
      </c>
      <c r="L190" s="142"/>
      <c r="M190" s="144">
        <f t="shared" si="12"/>
        <v>0</v>
      </c>
    </row>
    <row r="191" spans="1:13" x14ac:dyDescent="0.25">
      <c r="A191" s="158"/>
      <c r="G191" s="128"/>
      <c r="H191" s="142">
        <v>186</v>
      </c>
      <c r="I191" s="143" t="str">
        <f t="shared" si="13"/>
        <v/>
      </c>
      <c r="J191" s="142">
        <f t="shared" si="14"/>
        <v>-8</v>
      </c>
      <c r="K191" s="142">
        <f t="shared" si="11"/>
        <v>-80</v>
      </c>
      <c r="L191" s="142"/>
      <c r="M191" s="144">
        <f t="shared" si="12"/>
        <v>0</v>
      </c>
    </row>
    <row r="192" spans="1:13" x14ac:dyDescent="0.25">
      <c r="A192" s="158"/>
      <c r="G192" s="128"/>
      <c r="H192" s="142">
        <v>187</v>
      </c>
      <c r="I192" s="143" t="str">
        <f t="shared" si="13"/>
        <v/>
      </c>
      <c r="J192" s="142">
        <f t="shared" si="14"/>
        <v>-8</v>
      </c>
      <c r="K192" s="142">
        <f t="shared" si="11"/>
        <v>-80</v>
      </c>
      <c r="L192" s="142"/>
      <c r="M192" s="144">
        <f t="shared" si="12"/>
        <v>0</v>
      </c>
    </row>
    <row r="193" spans="1:13" x14ac:dyDescent="0.25">
      <c r="A193" s="158"/>
      <c r="G193" s="128"/>
      <c r="H193" s="142">
        <v>188</v>
      </c>
      <c r="I193" s="143" t="str">
        <f t="shared" si="13"/>
        <v/>
      </c>
      <c r="J193" s="142">
        <f t="shared" si="14"/>
        <v>-8</v>
      </c>
      <c r="K193" s="142">
        <f t="shared" si="11"/>
        <v>-80</v>
      </c>
      <c r="L193" s="142"/>
      <c r="M193" s="144">
        <f t="shared" si="12"/>
        <v>0</v>
      </c>
    </row>
    <row r="194" spans="1:13" x14ac:dyDescent="0.25">
      <c r="A194" s="158"/>
      <c r="G194" s="128"/>
      <c r="H194" s="142">
        <v>189</v>
      </c>
      <c r="I194" s="143" t="str">
        <f t="shared" si="13"/>
        <v/>
      </c>
      <c r="J194" s="142">
        <f t="shared" si="14"/>
        <v>-8</v>
      </c>
      <c r="K194" s="142">
        <f t="shared" si="11"/>
        <v>-80</v>
      </c>
      <c r="L194" s="142"/>
      <c r="M194" s="144">
        <f t="shared" si="12"/>
        <v>0</v>
      </c>
    </row>
    <row r="195" spans="1:13" x14ac:dyDescent="0.25">
      <c r="A195" s="158"/>
      <c r="G195" s="128"/>
      <c r="H195" s="142">
        <v>190</v>
      </c>
      <c r="I195" s="143" t="str">
        <f t="shared" si="13"/>
        <v/>
      </c>
      <c r="J195" s="142">
        <f t="shared" si="14"/>
        <v>-8</v>
      </c>
      <c r="K195" s="142">
        <f t="shared" si="11"/>
        <v>-80</v>
      </c>
      <c r="L195" s="142"/>
      <c r="M195" s="144">
        <f t="shared" si="12"/>
        <v>0</v>
      </c>
    </row>
    <row r="196" spans="1:13" x14ac:dyDescent="0.25">
      <c r="A196" s="158"/>
      <c r="G196" s="128"/>
      <c r="H196" s="142">
        <v>191</v>
      </c>
      <c r="I196" s="143" t="str">
        <f t="shared" si="13"/>
        <v/>
      </c>
      <c r="J196" s="142">
        <f t="shared" si="14"/>
        <v>-8</v>
      </c>
      <c r="K196" s="142">
        <f t="shared" si="11"/>
        <v>-80</v>
      </c>
      <c r="L196" s="142"/>
      <c r="M196" s="144">
        <f t="shared" si="12"/>
        <v>0</v>
      </c>
    </row>
    <row r="197" spans="1:13" x14ac:dyDescent="0.25">
      <c r="A197" s="158"/>
      <c r="G197" s="128"/>
      <c r="H197" s="142">
        <v>192</v>
      </c>
      <c r="I197" s="143" t="str">
        <f t="shared" si="13"/>
        <v/>
      </c>
      <c r="J197" s="142">
        <f t="shared" si="14"/>
        <v>-8</v>
      </c>
      <c r="K197" s="142">
        <f t="shared" si="11"/>
        <v>-80</v>
      </c>
      <c r="L197" s="142"/>
      <c r="M197" s="144">
        <f t="shared" si="12"/>
        <v>0</v>
      </c>
    </row>
    <row r="198" spans="1:13" x14ac:dyDescent="0.25">
      <c r="A198" s="158"/>
      <c r="G198" s="128"/>
      <c r="H198" s="142">
        <v>193</v>
      </c>
      <c r="I198" s="143" t="str">
        <f t="shared" si="13"/>
        <v/>
      </c>
      <c r="J198" s="142">
        <f t="shared" si="14"/>
        <v>-8</v>
      </c>
      <c r="K198" s="142">
        <f t="shared" ref="K198:K261" si="15">J198*$J$2</f>
        <v>-80</v>
      </c>
      <c r="L198" s="142"/>
      <c r="M198" s="144">
        <f t="shared" ref="M198:M261" si="16">IF(I198&lt;&gt;"",K198+I198+L198,0)</f>
        <v>0</v>
      </c>
    </row>
    <row r="199" spans="1:13" x14ac:dyDescent="0.25">
      <c r="A199" s="158"/>
      <c r="G199" s="128"/>
      <c r="H199" s="142">
        <v>194</v>
      </c>
      <c r="I199" s="143" t="str">
        <f t="shared" ref="I199:I262" si="17">IF(H199&lt;$H$2+1,($I$2-($I$2-1)*(LOG(H199)/LOG($H$2))),"")</f>
        <v/>
      </c>
      <c r="J199" s="142">
        <f t="shared" ref="J199:J262" si="18">INT(LOG($H$2,2))-ROUNDUP(LOG(H199,2),0)+IF(OR($H$2=1,$H$2=2,$H$2=4,$H$2=8,$H$2=16,$H$2=32,$H$2=64,$H$2=128,$H$2=256),0,1)</f>
        <v>-8</v>
      </c>
      <c r="K199" s="142">
        <f t="shared" si="15"/>
        <v>-80</v>
      </c>
      <c r="L199" s="142"/>
      <c r="M199" s="144">
        <f t="shared" si="16"/>
        <v>0</v>
      </c>
    </row>
    <row r="200" spans="1:13" x14ac:dyDescent="0.25">
      <c r="A200" s="158"/>
      <c r="G200" s="128"/>
      <c r="H200" s="142">
        <v>195</v>
      </c>
      <c r="I200" s="143" t="str">
        <f t="shared" si="17"/>
        <v/>
      </c>
      <c r="J200" s="142">
        <f t="shared" si="18"/>
        <v>-8</v>
      </c>
      <c r="K200" s="142">
        <f t="shared" si="15"/>
        <v>-80</v>
      </c>
      <c r="L200" s="142"/>
      <c r="M200" s="144">
        <f t="shared" si="16"/>
        <v>0</v>
      </c>
    </row>
    <row r="201" spans="1:13" x14ac:dyDescent="0.25">
      <c r="A201" s="158"/>
      <c r="G201" s="128"/>
      <c r="H201" s="142">
        <v>196</v>
      </c>
      <c r="I201" s="143" t="str">
        <f t="shared" si="17"/>
        <v/>
      </c>
      <c r="J201" s="142">
        <f t="shared" si="18"/>
        <v>-8</v>
      </c>
      <c r="K201" s="142">
        <f t="shared" si="15"/>
        <v>-80</v>
      </c>
      <c r="L201" s="142"/>
      <c r="M201" s="144">
        <f t="shared" si="16"/>
        <v>0</v>
      </c>
    </row>
    <row r="202" spans="1:13" x14ac:dyDescent="0.25">
      <c r="A202" s="158"/>
      <c r="G202" s="128"/>
      <c r="H202" s="142">
        <v>197</v>
      </c>
      <c r="I202" s="143" t="str">
        <f t="shared" si="17"/>
        <v/>
      </c>
      <c r="J202" s="142">
        <f t="shared" si="18"/>
        <v>-8</v>
      </c>
      <c r="K202" s="142">
        <f t="shared" si="15"/>
        <v>-80</v>
      </c>
      <c r="L202" s="142"/>
      <c r="M202" s="144">
        <f t="shared" si="16"/>
        <v>0</v>
      </c>
    </row>
    <row r="203" spans="1:13" x14ac:dyDescent="0.25">
      <c r="A203" s="158"/>
      <c r="G203" s="128"/>
      <c r="H203" s="142">
        <v>198</v>
      </c>
      <c r="I203" s="143" t="str">
        <f t="shared" si="17"/>
        <v/>
      </c>
      <c r="J203" s="142">
        <f t="shared" si="18"/>
        <v>-8</v>
      </c>
      <c r="K203" s="142">
        <f t="shared" si="15"/>
        <v>-80</v>
      </c>
      <c r="L203" s="142"/>
      <c r="M203" s="144">
        <f t="shared" si="16"/>
        <v>0</v>
      </c>
    </row>
    <row r="204" spans="1:13" x14ac:dyDescent="0.25">
      <c r="A204" s="158"/>
      <c r="G204" s="128"/>
      <c r="H204" s="142">
        <v>199</v>
      </c>
      <c r="I204" s="143" t="str">
        <f t="shared" si="17"/>
        <v/>
      </c>
      <c r="J204" s="142">
        <f t="shared" si="18"/>
        <v>-8</v>
      </c>
      <c r="K204" s="142">
        <f t="shared" si="15"/>
        <v>-80</v>
      </c>
      <c r="L204" s="142"/>
      <c r="M204" s="144">
        <f t="shared" si="16"/>
        <v>0</v>
      </c>
    </row>
    <row r="205" spans="1:13" x14ac:dyDescent="0.25">
      <c r="A205" s="158"/>
      <c r="G205" s="128"/>
      <c r="H205" s="142">
        <v>200</v>
      </c>
      <c r="I205" s="143" t="str">
        <f t="shared" si="17"/>
        <v/>
      </c>
      <c r="J205" s="142">
        <f t="shared" si="18"/>
        <v>-8</v>
      </c>
      <c r="K205" s="142">
        <f t="shared" si="15"/>
        <v>-80</v>
      </c>
      <c r="L205" s="142"/>
      <c r="M205" s="144">
        <f t="shared" si="16"/>
        <v>0</v>
      </c>
    </row>
    <row r="206" spans="1:13" x14ac:dyDescent="0.25">
      <c r="A206" s="158"/>
      <c r="G206" s="128"/>
      <c r="H206" s="142">
        <v>201</v>
      </c>
      <c r="I206" s="143" t="str">
        <f t="shared" si="17"/>
        <v/>
      </c>
      <c r="J206" s="142">
        <f t="shared" si="18"/>
        <v>-8</v>
      </c>
      <c r="K206" s="142">
        <f t="shared" si="15"/>
        <v>-80</v>
      </c>
      <c r="L206" s="142"/>
      <c r="M206" s="144">
        <f t="shared" si="16"/>
        <v>0</v>
      </c>
    </row>
    <row r="207" spans="1:13" x14ac:dyDescent="0.25">
      <c r="A207" s="158"/>
      <c r="G207" s="128"/>
      <c r="H207" s="142">
        <v>202</v>
      </c>
      <c r="I207" s="143" t="str">
        <f t="shared" si="17"/>
        <v/>
      </c>
      <c r="J207" s="142">
        <f t="shared" si="18"/>
        <v>-8</v>
      </c>
      <c r="K207" s="142">
        <f t="shared" si="15"/>
        <v>-80</v>
      </c>
      <c r="L207" s="142"/>
      <c r="M207" s="144">
        <f t="shared" si="16"/>
        <v>0</v>
      </c>
    </row>
    <row r="208" spans="1:13" x14ac:dyDescent="0.25">
      <c r="A208" s="158"/>
      <c r="G208" s="128"/>
      <c r="H208" s="142">
        <v>203</v>
      </c>
      <c r="I208" s="143" t="str">
        <f t="shared" si="17"/>
        <v/>
      </c>
      <c r="J208" s="142">
        <f t="shared" si="18"/>
        <v>-8</v>
      </c>
      <c r="K208" s="142">
        <f t="shared" si="15"/>
        <v>-80</v>
      </c>
      <c r="L208" s="142"/>
      <c r="M208" s="144">
        <f t="shared" si="16"/>
        <v>0</v>
      </c>
    </row>
    <row r="209" spans="1:13" x14ac:dyDescent="0.25">
      <c r="A209" s="158"/>
      <c r="G209" s="128"/>
      <c r="H209" s="142">
        <v>204</v>
      </c>
      <c r="I209" s="143" t="str">
        <f t="shared" si="17"/>
        <v/>
      </c>
      <c r="J209" s="142">
        <f t="shared" si="18"/>
        <v>-8</v>
      </c>
      <c r="K209" s="142">
        <f t="shared" si="15"/>
        <v>-80</v>
      </c>
      <c r="L209" s="142"/>
      <c r="M209" s="144">
        <f t="shared" si="16"/>
        <v>0</v>
      </c>
    </row>
    <row r="210" spans="1:13" x14ac:dyDescent="0.25">
      <c r="A210" s="158"/>
      <c r="G210" s="128"/>
      <c r="H210" s="142">
        <v>205</v>
      </c>
      <c r="I210" s="143" t="str">
        <f t="shared" si="17"/>
        <v/>
      </c>
      <c r="J210" s="142">
        <f t="shared" si="18"/>
        <v>-8</v>
      </c>
      <c r="K210" s="142">
        <f t="shared" si="15"/>
        <v>-80</v>
      </c>
      <c r="L210" s="142"/>
      <c r="M210" s="144">
        <f t="shared" si="16"/>
        <v>0</v>
      </c>
    </row>
    <row r="211" spans="1:13" x14ac:dyDescent="0.25">
      <c r="A211" s="158"/>
      <c r="G211" s="128"/>
      <c r="H211" s="142">
        <v>206</v>
      </c>
      <c r="I211" s="143" t="str">
        <f t="shared" si="17"/>
        <v/>
      </c>
      <c r="J211" s="142">
        <f t="shared" si="18"/>
        <v>-8</v>
      </c>
      <c r="K211" s="142">
        <f t="shared" si="15"/>
        <v>-80</v>
      </c>
      <c r="L211" s="142"/>
      <c r="M211" s="144">
        <f t="shared" si="16"/>
        <v>0</v>
      </c>
    </row>
    <row r="212" spans="1:13" x14ac:dyDescent="0.25">
      <c r="A212" s="158"/>
      <c r="G212" s="128"/>
      <c r="H212" s="142">
        <v>207</v>
      </c>
      <c r="I212" s="143" t="str">
        <f t="shared" si="17"/>
        <v/>
      </c>
      <c r="J212" s="142">
        <f t="shared" si="18"/>
        <v>-8</v>
      </c>
      <c r="K212" s="142">
        <f t="shared" si="15"/>
        <v>-80</v>
      </c>
      <c r="L212" s="142"/>
      <c r="M212" s="144">
        <f t="shared" si="16"/>
        <v>0</v>
      </c>
    </row>
    <row r="213" spans="1:13" x14ac:dyDescent="0.25">
      <c r="A213" s="158"/>
      <c r="G213" s="128"/>
      <c r="H213" s="142">
        <v>208</v>
      </c>
      <c r="I213" s="143" t="str">
        <f t="shared" si="17"/>
        <v/>
      </c>
      <c r="J213" s="142">
        <f t="shared" si="18"/>
        <v>-8</v>
      </c>
      <c r="K213" s="142">
        <f t="shared" si="15"/>
        <v>-80</v>
      </c>
      <c r="L213" s="142"/>
      <c r="M213" s="144">
        <f t="shared" si="16"/>
        <v>0</v>
      </c>
    </row>
    <row r="214" spans="1:13" x14ac:dyDescent="0.25">
      <c r="A214" s="158"/>
      <c r="G214" s="128"/>
      <c r="H214" s="142">
        <v>209</v>
      </c>
      <c r="I214" s="143" t="str">
        <f t="shared" si="17"/>
        <v/>
      </c>
      <c r="J214" s="142">
        <f t="shared" si="18"/>
        <v>-8</v>
      </c>
      <c r="K214" s="142">
        <f t="shared" si="15"/>
        <v>-80</v>
      </c>
      <c r="L214" s="142"/>
      <c r="M214" s="144">
        <f t="shared" si="16"/>
        <v>0</v>
      </c>
    </row>
    <row r="215" spans="1:13" x14ac:dyDescent="0.25">
      <c r="A215" s="158"/>
      <c r="G215" s="128"/>
      <c r="H215" s="142">
        <v>210</v>
      </c>
      <c r="I215" s="143" t="str">
        <f t="shared" si="17"/>
        <v/>
      </c>
      <c r="J215" s="142">
        <f t="shared" si="18"/>
        <v>-8</v>
      </c>
      <c r="K215" s="142">
        <f t="shared" si="15"/>
        <v>-80</v>
      </c>
      <c r="L215" s="142"/>
      <c r="M215" s="144">
        <f t="shared" si="16"/>
        <v>0</v>
      </c>
    </row>
    <row r="216" spans="1:13" x14ac:dyDescent="0.25">
      <c r="A216" s="158"/>
      <c r="G216" s="128"/>
      <c r="H216" s="142">
        <v>211</v>
      </c>
      <c r="I216" s="143" t="str">
        <f t="shared" si="17"/>
        <v/>
      </c>
      <c r="J216" s="142">
        <f t="shared" si="18"/>
        <v>-8</v>
      </c>
      <c r="K216" s="142">
        <f t="shared" si="15"/>
        <v>-80</v>
      </c>
      <c r="L216" s="142"/>
      <c r="M216" s="144">
        <f t="shared" si="16"/>
        <v>0</v>
      </c>
    </row>
    <row r="217" spans="1:13" x14ac:dyDescent="0.25">
      <c r="A217" s="158"/>
      <c r="G217" s="128"/>
      <c r="H217" s="142">
        <v>212</v>
      </c>
      <c r="I217" s="143" t="str">
        <f t="shared" si="17"/>
        <v/>
      </c>
      <c r="J217" s="142">
        <f t="shared" si="18"/>
        <v>-8</v>
      </c>
      <c r="K217" s="142">
        <f t="shared" si="15"/>
        <v>-80</v>
      </c>
      <c r="L217" s="142"/>
      <c r="M217" s="144">
        <f t="shared" si="16"/>
        <v>0</v>
      </c>
    </row>
    <row r="218" spans="1:13" x14ac:dyDescent="0.25">
      <c r="A218" s="158"/>
      <c r="G218" s="128"/>
      <c r="H218" s="142">
        <v>213</v>
      </c>
      <c r="I218" s="143" t="str">
        <f t="shared" si="17"/>
        <v/>
      </c>
      <c r="J218" s="142">
        <f t="shared" si="18"/>
        <v>-8</v>
      </c>
      <c r="K218" s="142">
        <f t="shared" si="15"/>
        <v>-80</v>
      </c>
      <c r="L218" s="142"/>
      <c r="M218" s="144">
        <f t="shared" si="16"/>
        <v>0</v>
      </c>
    </row>
    <row r="219" spans="1:13" x14ac:dyDescent="0.25">
      <c r="A219" s="158"/>
      <c r="G219" s="128"/>
      <c r="H219" s="142">
        <v>214</v>
      </c>
      <c r="I219" s="143" t="str">
        <f t="shared" si="17"/>
        <v/>
      </c>
      <c r="J219" s="142">
        <f t="shared" si="18"/>
        <v>-8</v>
      </c>
      <c r="K219" s="142">
        <f t="shared" si="15"/>
        <v>-80</v>
      </c>
      <c r="L219" s="142"/>
      <c r="M219" s="144">
        <f t="shared" si="16"/>
        <v>0</v>
      </c>
    </row>
    <row r="220" spans="1:13" x14ac:dyDescent="0.25">
      <c r="A220" s="158"/>
      <c r="G220" s="128"/>
      <c r="H220" s="142">
        <v>215</v>
      </c>
      <c r="I220" s="143" t="str">
        <f t="shared" si="17"/>
        <v/>
      </c>
      <c r="J220" s="142">
        <f t="shared" si="18"/>
        <v>-8</v>
      </c>
      <c r="K220" s="142">
        <f t="shared" si="15"/>
        <v>-80</v>
      </c>
      <c r="L220" s="142"/>
      <c r="M220" s="144">
        <f t="shared" si="16"/>
        <v>0</v>
      </c>
    </row>
    <row r="221" spans="1:13" x14ac:dyDescent="0.25">
      <c r="A221" s="158"/>
      <c r="G221" s="128"/>
      <c r="H221" s="142">
        <v>216</v>
      </c>
      <c r="I221" s="143" t="str">
        <f t="shared" si="17"/>
        <v/>
      </c>
      <c r="J221" s="142">
        <f t="shared" si="18"/>
        <v>-8</v>
      </c>
      <c r="K221" s="142">
        <f t="shared" si="15"/>
        <v>-80</v>
      </c>
      <c r="L221" s="142"/>
      <c r="M221" s="144">
        <f t="shared" si="16"/>
        <v>0</v>
      </c>
    </row>
    <row r="222" spans="1:13" x14ac:dyDescent="0.25">
      <c r="A222" s="158"/>
      <c r="G222" s="128"/>
      <c r="H222" s="142">
        <v>217</v>
      </c>
      <c r="I222" s="143" t="str">
        <f t="shared" si="17"/>
        <v/>
      </c>
      <c r="J222" s="142">
        <f t="shared" si="18"/>
        <v>-8</v>
      </c>
      <c r="K222" s="142">
        <f t="shared" si="15"/>
        <v>-80</v>
      </c>
      <c r="L222" s="142"/>
      <c r="M222" s="144">
        <f t="shared" si="16"/>
        <v>0</v>
      </c>
    </row>
    <row r="223" spans="1:13" x14ac:dyDescent="0.25">
      <c r="A223" s="158"/>
      <c r="G223" s="128"/>
      <c r="H223" s="142">
        <v>218</v>
      </c>
      <c r="I223" s="143" t="str">
        <f t="shared" si="17"/>
        <v/>
      </c>
      <c r="J223" s="142">
        <f t="shared" si="18"/>
        <v>-8</v>
      </c>
      <c r="K223" s="142">
        <f t="shared" si="15"/>
        <v>-80</v>
      </c>
      <c r="L223" s="142"/>
      <c r="M223" s="144">
        <f t="shared" si="16"/>
        <v>0</v>
      </c>
    </row>
    <row r="224" spans="1:13" x14ac:dyDescent="0.25">
      <c r="A224" s="158"/>
      <c r="G224" s="128"/>
      <c r="H224" s="142">
        <v>219</v>
      </c>
      <c r="I224" s="143" t="str">
        <f t="shared" si="17"/>
        <v/>
      </c>
      <c r="J224" s="142">
        <f t="shared" si="18"/>
        <v>-8</v>
      </c>
      <c r="K224" s="142">
        <f t="shared" si="15"/>
        <v>-80</v>
      </c>
      <c r="L224" s="142"/>
      <c r="M224" s="144">
        <f t="shared" si="16"/>
        <v>0</v>
      </c>
    </row>
    <row r="225" spans="1:13" x14ac:dyDescent="0.25">
      <c r="A225" s="158"/>
      <c r="G225" s="128"/>
      <c r="H225" s="142">
        <v>220</v>
      </c>
      <c r="I225" s="143" t="str">
        <f t="shared" si="17"/>
        <v/>
      </c>
      <c r="J225" s="142">
        <f t="shared" si="18"/>
        <v>-8</v>
      </c>
      <c r="K225" s="142">
        <f t="shared" si="15"/>
        <v>-80</v>
      </c>
      <c r="L225" s="142"/>
      <c r="M225" s="144">
        <f t="shared" si="16"/>
        <v>0</v>
      </c>
    </row>
    <row r="226" spans="1:13" x14ac:dyDescent="0.25">
      <c r="A226" s="158"/>
      <c r="G226" s="128"/>
      <c r="H226" s="142">
        <v>221</v>
      </c>
      <c r="I226" s="143" t="str">
        <f t="shared" si="17"/>
        <v/>
      </c>
      <c r="J226" s="142">
        <f t="shared" si="18"/>
        <v>-8</v>
      </c>
      <c r="K226" s="142">
        <f t="shared" si="15"/>
        <v>-80</v>
      </c>
      <c r="L226" s="142"/>
      <c r="M226" s="144">
        <f t="shared" si="16"/>
        <v>0</v>
      </c>
    </row>
    <row r="227" spans="1:13" x14ac:dyDescent="0.25">
      <c r="A227" s="158"/>
      <c r="G227" s="128"/>
      <c r="H227" s="142">
        <v>222</v>
      </c>
      <c r="I227" s="143" t="str">
        <f t="shared" si="17"/>
        <v/>
      </c>
      <c r="J227" s="142">
        <f t="shared" si="18"/>
        <v>-8</v>
      </c>
      <c r="K227" s="142">
        <f t="shared" si="15"/>
        <v>-80</v>
      </c>
      <c r="L227" s="142"/>
      <c r="M227" s="144">
        <f t="shared" si="16"/>
        <v>0</v>
      </c>
    </row>
    <row r="228" spans="1:13" x14ac:dyDescent="0.25">
      <c r="A228" s="158"/>
      <c r="G228" s="128"/>
      <c r="H228" s="142">
        <v>223</v>
      </c>
      <c r="I228" s="143" t="str">
        <f t="shared" si="17"/>
        <v/>
      </c>
      <c r="J228" s="142">
        <f t="shared" si="18"/>
        <v>-8</v>
      </c>
      <c r="K228" s="142">
        <f t="shared" si="15"/>
        <v>-80</v>
      </c>
      <c r="L228" s="142"/>
      <c r="M228" s="144">
        <f t="shared" si="16"/>
        <v>0</v>
      </c>
    </row>
    <row r="229" spans="1:13" x14ac:dyDescent="0.25">
      <c r="A229" s="158"/>
      <c r="G229" s="128"/>
      <c r="H229" s="142">
        <v>224</v>
      </c>
      <c r="I229" s="143" t="str">
        <f t="shared" si="17"/>
        <v/>
      </c>
      <c r="J229" s="142">
        <f t="shared" si="18"/>
        <v>-8</v>
      </c>
      <c r="K229" s="142">
        <f t="shared" si="15"/>
        <v>-80</v>
      </c>
      <c r="L229" s="142"/>
      <c r="M229" s="144">
        <f t="shared" si="16"/>
        <v>0</v>
      </c>
    </row>
    <row r="230" spans="1:13" x14ac:dyDescent="0.25">
      <c r="A230" s="158"/>
      <c r="G230" s="128"/>
      <c r="H230" s="142">
        <v>225</v>
      </c>
      <c r="I230" s="143" t="str">
        <f t="shared" si="17"/>
        <v/>
      </c>
      <c r="J230" s="142">
        <f t="shared" si="18"/>
        <v>-8</v>
      </c>
      <c r="K230" s="142">
        <f t="shared" si="15"/>
        <v>-80</v>
      </c>
      <c r="L230" s="142"/>
      <c r="M230" s="144">
        <f t="shared" si="16"/>
        <v>0</v>
      </c>
    </row>
    <row r="231" spans="1:13" x14ac:dyDescent="0.25">
      <c r="A231" s="158"/>
      <c r="G231" s="128"/>
      <c r="H231" s="142">
        <v>226</v>
      </c>
      <c r="I231" s="143" t="str">
        <f t="shared" si="17"/>
        <v/>
      </c>
      <c r="J231" s="142">
        <f t="shared" si="18"/>
        <v>-8</v>
      </c>
      <c r="K231" s="142">
        <f t="shared" si="15"/>
        <v>-80</v>
      </c>
      <c r="L231" s="142"/>
      <c r="M231" s="144">
        <f t="shared" si="16"/>
        <v>0</v>
      </c>
    </row>
    <row r="232" spans="1:13" x14ac:dyDescent="0.25">
      <c r="A232" s="158"/>
      <c r="G232" s="128"/>
      <c r="H232" s="142">
        <v>227</v>
      </c>
      <c r="I232" s="143" t="str">
        <f t="shared" si="17"/>
        <v/>
      </c>
      <c r="J232" s="142">
        <f t="shared" si="18"/>
        <v>-8</v>
      </c>
      <c r="K232" s="142">
        <f t="shared" si="15"/>
        <v>-80</v>
      </c>
      <c r="L232" s="142"/>
      <c r="M232" s="144">
        <f t="shared" si="16"/>
        <v>0</v>
      </c>
    </row>
    <row r="233" spans="1:13" x14ac:dyDescent="0.25">
      <c r="A233" s="158"/>
      <c r="G233" s="128"/>
      <c r="H233" s="142">
        <v>228</v>
      </c>
      <c r="I233" s="143" t="str">
        <f t="shared" si="17"/>
        <v/>
      </c>
      <c r="J233" s="142">
        <f t="shared" si="18"/>
        <v>-8</v>
      </c>
      <c r="K233" s="142">
        <f t="shared" si="15"/>
        <v>-80</v>
      </c>
      <c r="L233" s="142"/>
      <c r="M233" s="144">
        <f t="shared" si="16"/>
        <v>0</v>
      </c>
    </row>
    <row r="234" spans="1:13" x14ac:dyDescent="0.25">
      <c r="A234" s="158"/>
      <c r="G234" s="128"/>
      <c r="H234" s="142">
        <v>229</v>
      </c>
      <c r="I234" s="143" t="str">
        <f t="shared" si="17"/>
        <v/>
      </c>
      <c r="J234" s="142">
        <f t="shared" si="18"/>
        <v>-8</v>
      </c>
      <c r="K234" s="142">
        <f t="shared" si="15"/>
        <v>-80</v>
      </c>
      <c r="L234" s="142"/>
      <c r="M234" s="144">
        <f t="shared" si="16"/>
        <v>0</v>
      </c>
    </row>
    <row r="235" spans="1:13" x14ac:dyDescent="0.25">
      <c r="A235" s="158"/>
      <c r="G235" s="128"/>
      <c r="H235" s="142">
        <v>230</v>
      </c>
      <c r="I235" s="143" t="str">
        <f t="shared" si="17"/>
        <v/>
      </c>
      <c r="J235" s="142">
        <f t="shared" si="18"/>
        <v>-8</v>
      </c>
      <c r="K235" s="142">
        <f t="shared" si="15"/>
        <v>-80</v>
      </c>
      <c r="L235" s="142"/>
      <c r="M235" s="144">
        <f t="shared" si="16"/>
        <v>0</v>
      </c>
    </row>
    <row r="236" spans="1:13" x14ac:dyDescent="0.25">
      <c r="A236" s="158"/>
      <c r="G236" s="128"/>
      <c r="H236" s="142">
        <v>231</v>
      </c>
      <c r="I236" s="143" t="str">
        <f t="shared" si="17"/>
        <v/>
      </c>
      <c r="J236" s="142">
        <f t="shared" si="18"/>
        <v>-8</v>
      </c>
      <c r="K236" s="142">
        <f t="shared" si="15"/>
        <v>-80</v>
      </c>
      <c r="L236" s="142"/>
      <c r="M236" s="144">
        <f t="shared" si="16"/>
        <v>0</v>
      </c>
    </row>
    <row r="237" spans="1:13" x14ac:dyDescent="0.25">
      <c r="A237" s="158"/>
      <c r="G237" s="128"/>
      <c r="H237" s="142">
        <v>232</v>
      </c>
      <c r="I237" s="143" t="str">
        <f t="shared" si="17"/>
        <v/>
      </c>
      <c r="J237" s="142">
        <f t="shared" si="18"/>
        <v>-8</v>
      </c>
      <c r="K237" s="142">
        <f t="shared" si="15"/>
        <v>-80</v>
      </c>
      <c r="L237" s="142"/>
      <c r="M237" s="144">
        <f t="shared" si="16"/>
        <v>0</v>
      </c>
    </row>
    <row r="238" spans="1:13" x14ac:dyDescent="0.25">
      <c r="A238" s="158"/>
      <c r="G238" s="128"/>
      <c r="H238" s="142">
        <v>233</v>
      </c>
      <c r="I238" s="143" t="str">
        <f t="shared" si="17"/>
        <v/>
      </c>
      <c r="J238" s="142">
        <f t="shared" si="18"/>
        <v>-8</v>
      </c>
      <c r="K238" s="142">
        <f t="shared" si="15"/>
        <v>-80</v>
      </c>
      <c r="L238" s="142"/>
      <c r="M238" s="144">
        <f t="shared" si="16"/>
        <v>0</v>
      </c>
    </row>
    <row r="239" spans="1:13" x14ac:dyDescent="0.25">
      <c r="A239" s="158"/>
      <c r="G239" s="128"/>
      <c r="H239" s="142">
        <v>234</v>
      </c>
      <c r="I239" s="143" t="str">
        <f t="shared" si="17"/>
        <v/>
      </c>
      <c r="J239" s="142">
        <f t="shared" si="18"/>
        <v>-8</v>
      </c>
      <c r="K239" s="142">
        <f t="shared" si="15"/>
        <v>-80</v>
      </c>
      <c r="L239" s="142"/>
      <c r="M239" s="144">
        <f t="shared" si="16"/>
        <v>0</v>
      </c>
    </row>
    <row r="240" spans="1:13" x14ac:dyDescent="0.25">
      <c r="A240" s="158"/>
      <c r="G240" s="128"/>
      <c r="H240" s="142">
        <v>235</v>
      </c>
      <c r="I240" s="143" t="str">
        <f t="shared" si="17"/>
        <v/>
      </c>
      <c r="J240" s="142">
        <f t="shared" si="18"/>
        <v>-8</v>
      </c>
      <c r="K240" s="142">
        <f t="shared" si="15"/>
        <v>-80</v>
      </c>
      <c r="L240" s="142"/>
      <c r="M240" s="144">
        <f t="shared" si="16"/>
        <v>0</v>
      </c>
    </row>
    <row r="241" spans="1:13" x14ac:dyDescent="0.25">
      <c r="A241" s="158"/>
      <c r="G241" s="128"/>
      <c r="H241" s="142">
        <v>236</v>
      </c>
      <c r="I241" s="143" t="str">
        <f t="shared" si="17"/>
        <v/>
      </c>
      <c r="J241" s="142">
        <f t="shared" si="18"/>
        <v>-8</v>
      </c>
      <c r="K241" s="142">
        <f t="shared" si="15"/>
        <v>-80</v>
      </c>
      <c r="L241" s="142"/>
      <c r="M241" s="144">
        <f t="shared" si="16"/>
        <v>0</v>
      </c>
    </row>
    <row r="242" spans="1:13" x14ac:dyDescent="0.25">
      <c r="A242" s="158"/>
      <c r="G242" s="128"/>
      <c r="H242" s="142">
        <v>237</v>
      </c>
      <c r="I242" s="143" t="str">
        <f t="shared" si="17"/>
        <v/>
      </c>
      <c r="J242" s="142">
        <f t="shared" si="18"/>
        <v>-8</v>
      </c>
      <c r="K242" s="142">
        <f t="shared" si="15"/>
        <v>-80</v>
      </c>
      <c r="L242" s="142"/>
      <c r="M242" s="144">
        <f t="shared" si="16"/>
        <v>0</v>
      </c>
    </row>
    <row r="243" spans="1:13" x14ac:dyDescent="0.25">
      <c r="A243" s="158"/>
      <c r="G243" s="128"/>
      <c r="H243" s="142">
        <v>238</v>
      </c>
      <c r="I243" s="143" t="str">
        <f t="shared" si="17"/>
        <v/>
      </c>
      <c r="J243" s="142">
        <f t="shared" si="18"/>
        <v>-8</v>
      </c>
      <c r="K243" s="142">
        <f t="shared" si="15"/>
        <v>-80</v>
      </c>
      <c r="L243" s="142"/>
      <c r="M243" s="144">
        <f t="shared" si="16"/>
        <v>0</v>
      </c>
    </row>
    <row r="244" spans="1:13" x14ac:dyDescent="0.25">
      <c r="A244" s="158"/>
      <c r="G244" s="128"/>
      <c r="H244" s="142">
        <v>239</v>
      </c>
      <c r="I244" s="143" t="str">
        <f t="shared" si="17"/>
        <v/>
      </c>
      <c r="J244" s="142">
        <f t="shared" si="18"/>
        <v>-8</v>
      </c>
      <c r="K244" s="142">
        <f t="shared" si="15"/>
        <v>-80</v>
      </c>
      <c r="L244" s="142"/>
      <c r="M244" s="144">
        <f t="shared" si="16"/>
        <v>0</v>
      </c>
    </row>
    <row r="245" spans="1:13" x14ac:dyDescent="0.25">
      <c r="A245" s="158"/>
      <c r="G245" s="128"/>
      <c r="H245" s="142">
        <v>240</v>
      </c>
      <c r="I245" s="143" t="str">
        <f t="shared" si="17"/>
        <v/>
      </c>
      <c r="J245" s="142">
        <f t="shared" si="18"/>
        <v>-8</v>
      </c>
      <c r="K245" s="142">
        <f t="shared" si="15"/>
        <v>-80</v>
      </c>
      <c r="L245" s="142"/>
      <c r="M245" s="144">
        <f t="shared" si="16"/>
        <v>0</v>
      </c>
    </row>
    <row r="246" spans="1:13" x14ac:dyDescent="0.25">
      <c r="A246" s="158"/>
      <c r="G246" s="128"/>
      <c r="H246" s="142">
        <v>241</v>
      </c>
      <c r="I246" s="143" t="str">
        <f t="shared" si="17"/>
        <v/>
      </c>
      <c r="J246" s="142">
        <f t="shared" si="18"/>
        <v>-8</v>
      </c>
      <c r="K246" s="142">
        <f t="shared" si="15"/>
        <v>-80</v>
      </c>
      <c r="L246" s="142"/>
      <c r="M246" s="144">
        <f t="shared" si="16"/>
        <v>0</v>
      </c>
    </row>
    <row r="247" spans="1:13" x14ac:dyDescent="0.25">
      <c r="A247" s="158"/>
      <c r="G247" s="128"/>
      <c r="H247" s="142">
        <v>242</v>
      </c>
      <c r="I247" s="143" t="str">
        <f t="shared" si="17"/>
        <v/>
      </c>
      <c r="J247" s="142">
        <f t="shared" si="18"/>
        <v>-8</v>
      </c>
      <c r="K247" s="142">
        <f t="shared" si="15"/>
        <v>-80</v>
      </c>
      <c r="L247" s="142"/>
      <c r="M247" s="144">
        <f t="shared" si="16"/>
        <v>0</v>
      </c>
    </row>
    <row r="248" spans="1:13" x14ac:dyDescent="0.25">
      <c r="A248" s="158"/>
      <c r="G248" s="128"/>
      <c r="H248" s="142">
        <v>243</v>
      </c>
      <c r="I248" s="143" t="str">
        <f t="shared" si="17"/>
        <v/>
      </c>
      <c r="J248" s="142">
        <f t="shared" si="18"/>
        <v>-8</v>
      </c>
      <c r="K248" s="142">
        <f t="shared" si="15"/>
        <v>-80</v>
      </c>
      <c r="L248" s="142"/>
      <c r="M248" s="144">
        <f t="shared" si="16"/>
        <v>0</v>
      </c>
    </row>
    <row r="249" spans="1:13" x14ac:dyDescent="0.25">
      <c r="A249" s="158"/>
      <c r="G249" s="128"/>
      <c r="H249" s="142">
        <v>244</v>
      </c>
      <c r="I249" s="143" t="str">
        <f t="shared" si="17"/>
        <v/>
      </c>
      <c r="J249" s="142">
        <f t="shared" si="18"/>
        <v>-8</v>
      </c>
      <c r="K249" s="142">
        <f t="shared" si="15"/>
        <v>-80</v>
      </c>
      <c r="L249" s="142"/>
      <c r="M249" s="144">
        <f t="shared" si="16"/>
        <v>0</v>
      </c>
    </row>
    <row r="250" spans="1:13" x14ac:dyDescent="0.25">
      <c r="A250" s="158"/>
      <c r="G250" s="128"/>
      <c r="H250" s="142">
        <v>245</v>
      </c>
      <c r="I250" s="143" t="str">
        <f t="shared" si="17"/>
        <v/>
      </c>
      <c r="J250" s="142">
        <f t="shared" si="18"/>
        <v>-8</v>
      </c>
      <c r="K250" s="142">
        <f t="shared" si="15"/>
        <v>-80</v>
      </c>
      <c r="L250" s="142"/>
      <c r="M250" s="144">
        <f t="shared" si="16"/>
        <v>0</v>
      </c>
    </row>
    <row r="251" spans="1:13" x14ac:dyDescent="0.25">
      <c r="A251" s="158"/>
      <c r="G251" s="128"/>
      <c r="H251" s="142">
        <v>246</v>
      </c>
      <c r="I251" s="143" t="str">
        <f t="shared" si="17"/>
        <v/>
      </c>
      <c r="J251" s="142">
        <f t="shared" si="18"/>
        <v>-8</v>
      </c>
      <c r="K251" s="142">
        <f t="shared" si="15"/>
        <v>-80</v>
      </c>
      <c r="L251" s="142"/>
      <c r="M251" s="144">
        <f t="shared" si="16"/>
        <v>0</v>
      </c>
    </row>
    <row r="252" spans="1:13" x14ac:dyDescent="0.25">
      <c r="A252" s="158"/>
      <c r="G252" s="128"/>
      <c r="H252" s="142">
        <v>247</v>
      </c>
      <c r="I252" s="143" t="str">
        <f t="shared" si="17"/>
        <v/>
      </c>
      <c r="J252" s="142">
        <f t="shared" si="18"/>
        <v>-8</v>
      </c>
      <c r="K252" s="142">
        <f t="shared" si="15"/>
        <v>-80</v>
      </c>
      <c r="L252" s="142"/>
      <c r="M252" s="144">
        <f t="shared" si="16"/>
        <v>0</v>
      </c>
    </row>
    <row r="253" spans="1:13" x14ac:dyDescent="0.25">
      <c r="A253" s="158"/>
      <c r="G253" s="128"/>
      <c r="H253" s="142">
        <v>248</v>
      </c>
      <c r="I253" s="143" t="str">
        <f t="shared" si="17"/>
        <v/>
      </c>
      <c r="J253" s="142">
        <f t="shared" si="18"/>
        <v>-8</v>
      </c>
      <c r="K253" s="142">
        <f t="shared" si="15"/>
        <v>-80</v>
      </c>
      <c r="L253" s="142"/>
      <c r="M253" s="144">
        <f t="shared" si="16"/>
        <v>0</v>
      </c>
    </row>
    <row r="254" spans="1:13" x14ac:dyDescent="0.25">
      <c r="A254" s="158"/>
      <c r="G254" s="128"/>
      <c r="H254" s="142">
        <v>249</v>
      </c>
      <c r="I254" s="143" t="str">
        <f t="shared" si="17"/>
        <v/>
      </c>
      <c r="J254" s="142">
        <f t="shared" si="18"/>
        <v>-8</v>
      </c>
      <c r="K254" s="142">
        <f t="shared" si="15"/>
        <v>-80</v>
      </c>
      <c r="L254" s="142"/>
      <c r="M254" s="144">
        <f t="shared" si="16"/>
        <v>0</v>
      </c>
    </row>
    <row r="255" spans="1:13" x14ac:dyDescent="0.25">
      <c r="A255" s="158"/>
      <c r="G255" s="128"/>
      <c r="H255" s="142">
        <v>250</v>
      </c>
      <c r="I255" s="143" t="str">
        <f t="shared" si="17"/>
        <v/>
      </c>
      <c r="J255" s="142">
        <f t="shared" si="18"/>
        <v>-8</v>
      </c>
      <c r="K255" s="142">
        <f t="shared" si="15"/>
        <v>-80</v>
      </c>
      <c r="L255" s="142"/>
      <c r="M255" s="144">
        <f t="shared" si="16"/>
        <v>0</v>
      </c>
    </row>
    <row r="256" spans="1:13" x14ac:dyDescent="0.25">
      <c r="A256" s="158"/>
      <c r="G256" s="128"/>
      <c r="H256" s="142">
        <v>251</v>
      </c>
      <c r="I256" s="143" t="str">
        <f t="shared" si="17"/>
        <v/>
      </c>
      <c r="J256" s="142">
        <f t="shared" si="18"/>
        <v>-8</v>
      </c>
      <c r="K256" s="142">
        <f t="shared" si="15"/>
        <v>-80</v>
      </c>
      <c r="L256" s="142"/>
      <c r="M256" s="144">
        <f t="shared" si="16"/>
        <v>0</v>
      </c>
    </row>
    <row r="257" spans="1:13" x14ac:dyDescent="0.25">
      <c r="A257" s="158"/>
      <c r="G257" s="128"/>
      <c r="H257" s="142">
        <v>252</v>
      </c>
      <c r="I257" s="143" t="str">
        <f t="shared" si="17"/>
        <v/>
      </c>
      <c r="J257" s="142">
        <f t="shared" si="18"/>
        <v>-8</v>
      </c>
      <c r="K257" s="142">
        <f t="shared" si="15"/>
        <v>-80</v>
      </c>
      <c r="L257" s="142"/>
      <c r="M257" s="144">
        <f t="shared" si="16"/>
        <v>0</v>
      </c>
    </row>
    <row r="258" spans="1:13" x14ac:dyDescent="0.25">
      <c r="A258" s="158"/>
      <c r="G258" s="128"/>
      <c r="H258" s="142">
        <v>253</v>
      </c>
      <c r="I258" s="143" t="str">
        <f t="shared" si="17"/>
        <v/>
      </c>
      <c r="J258" s="142">
        <f t="shared" si="18"/>
        <v>-8</v>
      </c>
      <c r="K258" s="142">
        <f t="shared" si="15"/>
        <v>-80</v>
      </c>
      <c r="L258" s="142"/>
      <c r="M258" s="144">
        <f t="shared" si="16"/>
        <v>0</v>
      </c>
    </row>
    <row r="259" spans="1:13" x14ac:dyDescent="0.25">
      <c r="A259" s="158"/>
      <c r="G259" s="128"/>
      <c r="H259" s="142">
        <v>254</v>
      </c>
      <c r="I259" s="143" t="str">
        <f t="shared" si="17"/>
        <v/>
      </c>
      <c r="J259" s="142">
        <f t="shared" si="18"/>
        <v>-8</v>
      </c>
      <c r="K259" s="142">
        <f t="shared" si="15"/>
        <v>-80</v>
      </c>
      <c r="L259" s="142"/>
      <c r="M259" s="144">
        <f t="shared" si="16"/>
        <v>0</v>
      </c>
    </row>
    <row r="260" spans="1:13" x14ac:dyDescent="0.25">
      <c r="A260" s="158"/>
      <c r="G260" s="128"/>
      <c r="H260" s="142">
        <v>255</v>
      </c>
      <c r="I260" s="143" t="str">
        <f t="shared" si="17"/>
        <v/>
      </c>
      <c r="J260" s="142">
        <f t="shared" si="18"/>
        <v>-8</v>
      </c>
      <c r="K260" s="142">
        <f t="shared" si="15"/>
        <v>-80</v>
      </c>
      <c r="L260" s="142"/>
      <c r="M260" s="144">
        <f t="shared" si="16"/>
        <v>0</v>
      </c>
    </row>
    <row r="261" spans="1:13" x14ac:dyDescent="0.25">
      <c r="A261" s="158"/>
      <c r="G261" s="128"/>
      <c r="H261" s="142">
        <v>256</v>
      </c>
      <c r="I261" s="143" t="str">
        <f t="shared" si="17"/>
        <v/>
      </c>
      <c r="J261" s="142">
        <f t="shared" si="18"/>
        <v>-8</v>
      </c>
      <c r="K261" s="142">
        <f t="shared" si="15"/>
        <v>-80</v>
      </c>
      <c r="L261" s="142"/>
      <c r="M261" s="144">
        <f t="shared" si="16"/>
        <v>0</v>
      </c>
    </row>
    <row r="262" spans="1:13" x14ac:dyDescent="0.25">
      <c r="A262" s="158"/>
      <c r="G262" s="128"/>
      <c r="H262" s="142">
        <v>257</v>
      </c>
      <c r="I262" s="143" t="str">
        <f t="shared" si="17"/>
        <v/>
      </c>
      <c r="J262" s="142">
        <f t="shared" si="18"/>
        <v>-9</v>
      </c>
      <c r="K262" s="142">
        <f t="shared" ref="K262:K305" si="19">J262*$J$2</f>
        <v>-90</v>
      </c>
      <c r="L262" s="142"/>
      <c r="M262" s="144">
        <f t="shared" ref="M262:M305" si="20">IF(I262&lt;&gt;"",K262+I262+L262,0)</f>
        <v>0</v>
      </c>
    </row>
    <row r="263" spans="1:13" x14ac:dyDescent="0.25">
      <c r="A263" s="158"/>
      <c r="G263" s="128"/>
      <c r="H263" s="142">
        <v>258</v>
      </c>
      <c r="I263" s="143" t="str">
        <f t="shared" ref="I263:I305" si="21">IF(H263&lt;$H$2+1,($I$2-($I$2-1)*(LOG(H263)/LOG($H$2))),"")</f>
        <v/>
      </c>
      <c r="J263" s="142">
        <f t="shared" ref="J263:J305" si="22">INT(LOG($H$2,2))-ROUNDUP(LOG(H263,2),0)+IF(OR($H$2=1,$H$2=2,$H$2=4,$H$2=8,$H$2=16,$H$2=32,$H$2=64,$H$2=128,$H$2=256),0,1)</f>
        <v>-9</v>
      </c>
      <c r="K263" s="142">
        <f t="shared" si="19"/>
        <v>-90</v>
      </c>
      <c r="L263" s="142"/>
      <c r="M263" s="144">
        <f t="shared" si="20"/>
        <v>0</v>
      </c>
    </row>
    <row r="264" spans="1:13" x14ac:dyDescent="0.25">
      <c r="A264" s="158"/>
      <c r="G264" s="128"/>
      <c r="H264" s="142">
        <v>259</v>
      </c>
      <c r="I264" s="143" t="str">
        <f t="shared" si="21"/>
        <v/>
      </c>
      <c r="J264" s="142">
        <f t="shared" si="22"/>
        <v>-9</v>
      </c>
      <c r="K264" s="142">
        <f t="shared" si="19"/>
        <v>-90</v>
      </c>
      <c r="L264" s="142"/>
      <c r="M264" s="144">
        <f t="shared" si="20"/>
        <v>0</v>
      </c>
    </row>
    <row r="265" spans="1:13" x14ac:dyDescent="0.25">
      <c r="A265" s="158"/>
      <c r="G265" s="128"/>
      <c r="H265" s="142">
        <v>260</v>
      </c>
      <c r="I265" s="143" t="str">
        <f t="shared" si="21"/>
        <v/>
      </c>
      <c r="J265" s="142">
        <f t="shared" si="22"/>
        <v>-9</v>
      </c>
      <c r="K265" s="142">
        <f t="shared" si="19"/>
        <v>-90</v>
      </c>
      <c r="L265" s="142"/>
      <c r="M265" s="144">
        <f t="shared" si="20"/>
        <v>0</v>
      </c>
    </row>
    <row r="266" spans="1:13" x14ac:dyDescent="0.25">
      <c r="A266" s="158"/>
      <c r="G266" s="128"/>
      <c r="H266" s="142">
        <v>261</v>
      </c>
      <c r="I266" s="143" t="str">
        <f t="shared" si="21"/>
        <v/>
      </c>
      <c r="J266" s="142">
        <f t="shared" si="22"/>
        <v>-9</v>
      </c>
      <c r="K266" s="142">
        <f t="shared" si="19"/>
        <v>-90</v>
      </c>
      <c r="L266" s="142"/>
      <c r="M266" s="144">
        <f t="shared" si="20"/>
        <v>0</v>
      </c>
    </row>
    <row r="267" spans="1:13" x14ac:dyDescent="0.25">
      <c r="A267" s="158"/>
      <c r="G267" s="128"/>
      <c r="H267" s="142">
        <v>262</v>
      </c>
      <c r="I267" s="143" t="str">
        <f t="shared" si="21"/>
        <v/>
      </c>
      <c r="J267" s="142">
        <f t="shared" si="22"/>
        <v>-9</v>
      </c>
      <c r="K267" s="142">
        <f t="shared" si="19"/>
        <v>-90</v>
      </c>
      <c r="L267" s="142"/>
      <c r="M267" s="144">
        <f t="shared" si="20"/>
        <v>0</v>
      </c>
    </row>
    <row r="268" spans="1:13" x14ac:dyDescent="0.25">
      <c r="A268" s="158"/>
      <c r="G268" s="128"/>
      <c r="H268" s="142">
        <v>263</v>
      </c>
      <c r="I268" s="143" t="str">
        <f t="shared" si="21"/>
        <v/>
      </c>
      <c r="J268" s="142">
        <f t="shared" si="22"/>
        <v>-9</v>
      </c>
      <c r="K268" s="142">
        <f t="shared" si="19"/>
        <v>-90</v>
      </c>
      <c r="L268" s="142"/>
      <c r="M268" s="144">
        <f t="shared" si="20"/>
        <v>0</v>
      </c>
    </row>
    <row r="269" spans="1:13" x14ac:dyDescent="0.25">
      <c r="A269" s="158"/>
      <c r="G269" s="128"/>
      <c r="H269" s="142">
        <v>264</v>
      </c>
      <c r="I269" s="143" t="str">
        <f t="shared" si="21"/>
        <v/>
      </c>
      <c r="J269" s="142">
        <f t="shared" si="22"/>
        <v>-9</v>
      </c>
      <c r="K269" s="142">
        <f t="shared" si="19"/>
        <v>-90</v>
      </c>
      <c r="L269" s="142"/>
      <c r="M269" s="144">
        <f t="shared" si="20"/>
        <v>0</v>
      </c>
    </row>
    <row r="270" spans="1:13" x14ac:dyDescent="0.25">
      <c r="A270" s="158"/>
      <c r="G270" s="128"/>
      <c r="H270" s="142">
        <v>265</v>
      </c>
      <c r="I270" s="143" t="str">
        <f t="shared" si="21"/>
        <v/>
      </c>
      <c r="J270" s="142">
        <f t="shared" si="22"/>
        <v>-9</v>
      </c>
      <c r="K270" s="142">
        <f t="shared" si="19"/>
        <v>-90</v>
      </c>
      <c r="L270" s="142"/>
      <c r="M270" s="144">
        <f t="shared" si="20"/>
        <v>0</v>
      </c>
    </row>
    <row r="271" spans="1:13" x14ac:dyDescent="0.25">
      <c r="A271" s="158"/>
      <c r="G271" s="128"/>
      <c r="H271" s="142">
        <v>266</v>
      </c>
      <c r="I271" s="143" t="str">
        <f t="shared" si="21"/>
        <v/>
      </c>
      <c r="J271" s="142">
        <f t="shared" si="22"/>
        <v>-9</v>
      </c>
      <c r="K271" s="142">
        <f t="shared" si="19"/>
        <v>-90</v>
      </c>
      <c r="L271" s="142"/>
      <c r="M271" s="144">
        <f t="shared" si="20"/>
        <v>0</v>
      </c>
    </row>
    <row r="272" spans="1:13" x14ac:dyDescent="0.25">
      <c r="A272" s="158"/>
      <c r="G272" s="128"/>
      <c r="H272" s="142">
        <v>267</v>
      </c>
      <c r="I272" s="143" t="str">
        <f t="shared" si="21"/>
        <v/>
      </c>
      <c r="J272" s="142">
        <f t="shared" si="22"/>
        <v>-9</v>
      </c>
      <c r="K272" s="142">
        <f t="shared" si="19"/>
        <v>-90</v>
      </c>
      <c r="L272" s="142"/>
      <c r="M272" s="144">
        <f t="shared" si="20"/>
        <v>0</v>
      </c>
    </row>
    <row r="273" spans="1:13" x14ac:dyDescent="0.25">
      <c r="A273" s="158"/>
      <c r="G273" s="128"/>
      <c r="H273" s="142">
        <v>268</v>
      </c>
      <c r="I273" s="143" t="str">
        <f t="shared" si="21"/>
        <v/>
      </c>
      <c r="J273" s="142">
        <f t="shared" si="22"/>
        <v>-9</v>
      </c>
      <c r="K273" s="142">
        <f t="shared" si="19"/>
        <v>-90</v>
      </c>
      <c r="L273" s="142"/>
      <c r="M273" s="144">
        <f t="shared" si="20"/>
        <v>0</v>
      </c>
    </row>
    <row r="274" spans="1:13" x14ac:dyDescent="0.25">
      <c r="A274" s="158"/>
      <c r="G274" s="128"/>
      <c r="H274" s="142">
        <v>269</v>
      </c>
      <c r="I274" s="143" t="str">
        <f t="shared" si="21"/>
        <v/>
      </c>
      <c r="J274" s="142">
        <f t="shared" si="22"/>
        <v>-9</v>
      </c>
      <c r="K274" s="142">
        <f t="shared" si="19"/>
        <v>-90</v>
      </c>
      <c r="L274" s="142"/>
      <c r="M274" s="144">
        <f t="shared" si="20"/>
        <v>0</v>
      </c>
    </row>
    <row r="275" spans="1:13" x14ac:dyDescent="0.25">
      <c r="A275" s="158"/>
      <c r="G275" s="128"/>
      <c r="H275" s="142">
        <v>270</v>
      </c>
      <c r="I275" s="143" t="str">
        <f t="shared" si="21"/>
        <v/>
      </c>
      <c r="J275" s="142">
        <f t="shared" si="22"/>
        <v>-9</v>
      </c>
      <c r="K275" s="142">
        <f t="shared" si="19"/>
        <v>-90</v>
      </c>
      <c r="L275" s="142"/>
      <c r="M275" s="144">
        <f t="shared" si="20"/>
        <v>0</v>
      </c>
    </row>
    <row r="276" spans="1:13" x14ac:dyDescent="0.25">
      <c r="A276" s="158"/>
      <c r="G276" s="128"/>
      <c r="H276" s="142">
        <v>271</v>
      </c>
      <c r="I276" s="143" t="str">
        <f t="shared" si="21"/>
        <v/>
      </c>
      <c r="J276" s="142">
        <f t="shared" si="22"/>
        <v>-9</v>
      </c>
      <c r="K276" s="142">
        <f t="shared" si="19"/>
        <v>-90</v>
      </c>
      <c r="L276" s="142"/>
      <c r="M276" s="144">
        <f t="shared" si="20"/>
        <v>0</v>
      </c>
    </row>
    <row r="277" spans="1:13" x14ac:dyDescent="0.25">
      <c r="A277" s="158"/>
      <c r="G277" s="128"/>
      <c r="H277" s="142">
        <v>272</v>
      </c>
      <c r="I277" s="143" t="str">
        <f t="shared" si="21"/>
        <v/>
      </c>
      <c r="J277" s="142">
        <f t="shared" si="22"/>
        <v>-9</v>
      </c>
      <c r="K277" s="142">
        <f t="shared" si="19"/>
        <v>-90</v>
      </c>
      <c r="L277" s="142"/>
      <c r="M277" s="144">
        <f t="shared" si="20"/>
        <v>0</v>
      </c>
    </row>
    <row r="278" spans="1:13" x14ac:dyDescent="0.25">
      <c r="A278" s="158"/>
      <c r="G278" s="128"/>
      <c r="H278" s="142">
        <v>273</v>
      </c>
      <c r="I278" s="143" t="str">
        <f t="shared" si="21"/>
        <v/>
      </c>
      <c r="J278" s="142">
        <f t="shared" si="22"/>
        <v>-9</v>
      </c>
      <c r="K278" s="142">
        <f t="shared" si="19"/>
        <v>-90</v>
      </c>
      <c r="L278" s="142"/>
      <c r="M278" s="144">
        <f t="shared" si="20"/>
        <v>0</v>
      </c>
    </row>
    <row r="279" spans="1:13" x14ac:dyDescent="0.25">
      <c r="A279" s="158"/>
      <c r="G279" s="128"/>
      <c r="H279" s="142">
        <v>274</v>
      </c>
      <c r="I279" s="143" t="str">
        <f t="shared" si="21"/>
        <v/>
      </c>
      <c r="J279" s="142">
        <f t="shared" si="22"/>
        <v>-9</v>
      </c>
      <c r="K279" s="142">
        <f t="shared" si="19"/>
        <v>-90</v>
      </c>
      <c r="L279" s="142"/>
      <c r="M279" s="144">
        <f t="shared" si="20"/>
        <v>0</v>
      </c>
    </row>
    <row r="280" spans="1:13" x14ac:dyDescent="0.25">
      <c r="A280" s="158"/>
      <c r="G280" s="128"/>
      <c r="H280" s="142">
        <v>275</v>
      </c>
      <c r="I280" s="143" t="str">
        <f t="shared" si="21"/>
        <v/>
      </c>
      <c r="J280" s="142">
        <f t="shared" si="22"/>
        <v>-9</v>
      </c>
      <c r="K280" s="142">
        <f t="shared" si="19"/>
        <v>-90</v>
      </c>
      <c r="L280" s="142"/>
      <c r="M280" s="144">
        <f t="shared" si="20"/>
        <v>0</v>
      </c>
    </row>
    <row r="281" spans="1:13" x14ac:dyDescent="0.25">
      <c r="A281" s="158"/>
      <c r="G281" s="128"/>
      <c r="H281" s="142">
        <v>276</v>
      </c>
      <c r="I281" s="143" t="str">
        <f t="shared" si="21"/>
        <v/>
      </c>
      <c r="J281" s="142">
        <f t="shared" si="22"/>
        <v>-9</v>
      </c>
      <c r="K281" s="142">
        <f t="shared" si="19"/>
        <v>-90</v>
      </c>
      <c r="L281" s="142"/>
      <c r="M281" s="144">
        <f t="shared" si="20"/>
        <v>0</v>
      </c>
    </row>
    <row r="282" spans="1:13" x14ac:dyDescent="0.25">
      <c r="A282" s="158"/>
      <c r="G282" s="128"/>
      <c r="H282" s="142">
        <v>277</v>
      </c>
      <c r="I282" s="143" t="str">
        <f t="shared" si="21"/>
        <v/>
      </c>
      <c r="J282" s="142">
        <f t="shared" si="22"/>
        <v>-9</v>
      </c>
      <c r="K282" s="142">
        <f t="shared" si="19"/>
        <v>-90</v>
      </c>
      <c r="L282" s="142"/>
      <c r="M282" s="144">
        <f t="shared" si="20"/>
        <v>0</v>
      </c>
    </row>
    <row r="283" spans="1:13" x14ac:dyDescent="0.25">
      <c r="A283" s="158"/>
      <c r="G283" s="128"/>
      <c r="H283" s="142">
        <v>278</v>
      </c>
      <c r="I283" s="143" t="str">
        <f t="shared" si="21"/>
        <v/>
      </c>
      <c r="J283" s="142">
        <f t="shared" si="22"/>
        <v>-9</v>
      </c>
      <c r="K283" s="142">
        <f t="shared" si="19"/>
        <v>-90</v>
      </c>
      <c r="L283" s="142"/>
      <c r="M283" s="144">
        <f t="shared" si="20"/>
        <v>0</v>
      </c>
    </row>
    <row r="284" spans="1:13" x14ac:dyDescent="0.25">
      <c r="A284" s="158"/>
      <c r="G284" s="128"/>
      <c r="H284" s="142">
        <v>279</v>
      </c>
      <c r="I284" s="143" t="str">
        <f t="shared" si="21"/>
        <v/>
      </c>
      <c r="J284" s="142">
        <f t="shared" si="22"/>
        <v>-9</v>
      </c>
      <c r="K284" s="142">
        <f t="shared" si="19"/>
        <v>-90</v>
      </c>
      <c r="L284" s="142"/>
      <c r="M284" s="144">
        <f t="shared" si="20"/>
        <v>0</v>
      </c>
    </row>
    <row r="285" spans="1:13" x14ac:dyDescent="0.25">
      <c r="A285" s="158"/>
      <c r="G285" s="128"/>
      <c r="H285" s="142">
        <v>280</v>
      </c>
      <c r="I285" s="143" t="str">
        <f t="shared" si="21"/>
        <v/>
      </c>
      <c r="J285" s="142">
        <f t="shared" si="22"/>
        <v>-9</v>
      </c>
      <c r="K285" s="142">
        <f t="shared" si="19"/>
        <v>-90</v>
      </c>
      <c r="L285" s="142"/>
      <c r="M285" s="144">
        <f t="shared" si="20"/>
        <v>0</v>
      </c>
    </row>
    <row r="286" spans="1:13" x14ac:dyDescent="0.25">
      <c r="A286" s="158"/>
      <c r="G286" s="128"/>
      <c r="H286" s="142">
        <v>281</v>
      </c>
      <c r="I286" s="143" t="str">
        <f t="shared" si="21"/>
        <v/>
      </c>
      <c r="J286" s="142">
        <f t="shared" si="22"/>
        <v>-9</v>
      </c>
      <c r="K286" s="142">
        <f t="shared" si="19"/>
        <v>-90</v>
      </c>
      <c r="L286" s="142"/>
      <c r="M286" s="144">
        <f t="shared" si="20"/>
        <v>0</v>
      </c>
    </row>
    <row r="287" spans="1:13" x14ac:dyDescent="0.25">
      <c r="A287" s="158"/>
      <c r="G287" s="128"/>
      <c r="H287" s="142">
        <v>282</v>
      </c>
      <c r="I287" s="143" t="str">
        <f t="shared" si="21"/>
        <v/>
      </c>
      <c r="J287" s="142">
        <f t="shared" si="22"/>
        <v>-9</v>
      </c>
      <c r="K287" s="142">
        <f t="shared" si="19"/>
        <v>-90</v>
      </c>
      <c r="L287" s="142"/>
      <c r="M287" s="144">
        <f t="shared" si="20"/>
        <v>0</v>
      </c>
    </row>
    <row r="288" spans="1:13" x14ac:dyDescent="0.25">
      <c r="A288" s="158"/>
      <c r="G288" s="128"/>
      <c r="H288" s="142">
        <v>283</v>
      </c>
      <c r="I288" s="143" t="str">
        <f t="shared" si="21"/>
        <v/>
      </c>
      <c r="J288" s="142">
        <f t="shared" si="22"/>
        <v>-9</v>
      </c>
      <c r="K288" s="142">
        <f t="shared" si="19"/>
        <v>-90</v>
      </c>
      <c r="L288" s="142"/>
      <c r="M288" s="144">
        <f t="shared" si="20"/>
        <v>0</v>
      </c>
    </row>
    <row r="289" spans="1:13" x14ac:dyDescent="0.25">
      <c r="A289" s="158"/>
      <c r="G289" s="128"/>
      <c r="H289" s="142">
        <v>284</v>
      </c>
      <c r="I289" s="143" t="str">
        <f t="shared" si="21"/>
        <v/>
      </c>
      <c r="J289" s="142">
        <f t="shared" si="22"/>
        <v>-9</v>
      </c>
      <c r="K289" s="142">
        <f t="shared" si="19"/>
        <v>-90</v>
      </c>
      <c r="L289" s="142"/>
      <c r="M289" s="144">
        <f t="shared" si="20"/>
        <v>0</v>
      </c>
    </row>
    <row r="290" spans="1:13" x14ac:dyDescent="0.25">
      <c r="A290" s="158"/>
      <c r="G290" s="128"/>
      <c r="H290" s="142">
        <v>285</v>
      </c>
      <c r="I290" s="143" t="str">
        <f t="shared" si="21"/>
        <v/>
      </c>
      <c r="J290" s="142">
        <f t="shared" si="22"/>
        <v>-9</v>
      </c>
      <c r="K290" s="142">
        <f t="shared" si="19"/>
        <v>-90</v>
      </c>
      <c r="L290" s="142"/>
      <c r="M290" s="144">
        <f t="shared" si="20"/>
        <v>0</v>
      </c>
    </row>
    <row r="291" spans="1:13" x14ac:dyDescent="0.25">
      <c r="A291" s="158"/>
      <c r="G291" s="128"/>
      <c r="H291" s="142">
        <v>286</v>
      </c>
      <c r="I291" s="143" t="str">
        <f t="shared" si="21"/>
        <v/>
      </c>
      <c r="J291" s="142">
        <f t="shared" si="22"/>
        <v>-9</v>
      </c>
      <c r="K291" s="142">
        <f t="shared" si="19"/>
        <v>-90</v>
      </c>
      <c r="L291" s="142"/>
      <c r="M291" s="144">
        <f t="shared" si="20"/>
        <v>0</v>
      </c>
    </row>
    <row r="292" spans="1:13" x14ac:dyDescent="0.25">
      <c r="A292" s="158"/>
      <c r="G292" s="128"/>
      <c r="H292" s="142">
        <v>287</v>
      </c>
      <c r="I292" s="143" t="str">
        <f t="shared" si="21"/>
        <v/>
      </c>
      <c r="J292" s="142">
        <f t="shared" si="22"/>
        <v>-9</v>
      </c>
      <c r="K292" s="142">
        <f t="shared" si="19"/>
        <v>-90</v>
      </c>
      <c r="L292" s="142"/>
      <c r="M292" s="144">
        <f t="shared" si="20"/>
        <v>0</v>
      </c>
    </row>
    <row r="293" spans="1:13" x14ac:dyDescent="0.25">
      <c r="A293" s="158"/>
      <c r="G293" s="128"/>
      <c r="H293" s="142">
        <v>288</v>
      </c>
      <c r="I293" s="143" t="str">
        <f t="shared" si="21"/>
        <v/>
      </c>
      <c r="J293" s="142">
        <f t="shared" si="22"/>
        <v>-9</v>
      </c>
      <c r="K293" s="142">
        <f t="shared" si="19"/>
        <v>-90</v>
      </c>
      <c r="L293" s="142"/>
      <c r="M293" s="144">
        <f t="shared" si="20"/>
        <v>0</v>
      </c>
    </row>
    <row r="294" spans="1:13" x14ac:dyDescent="0.25">
      <c r="A294" s="158"/>
      <c r="G294" s="128"/>
      <c r="H294" s="142">
        <v>289</v>
      </c>
      <c r="I294" s="143" t="str">
        <f t="shared" si="21"/>
        <v/>
      </c>
      <c r="J294" s="142">
        <f t="shared" si="22"/>
        <v>-9</v>
      </c>
      <c r="K294" s="142">
        <f t="shared" si="19"/>
        <v>-90</v>
      </c>
      <c r="L294" s="142"/>
      <c r="M294" s="144">
        <f t="shared" si="20"/>
        <v>0</v>
      </c>
    </row>
    <row r="295" spans="1:13" x14ac:dyDescent="0.25">
      <c r="A295" s="158"/>
      <c r="G295" s="128"/>
      <c r="H295" s="142">
        <v>290</v>
      </c>
      <c r="I295" s="143" t="str">
        <f t="shared" si="21"/>
        <v/>
      </c>
      <c r="J295" s="142">
        <f t="shared" si="22"/>
        <v>-9</v>
      </c>
      <c r="K295" s="142">
        <f t="shared" si="19"/>
        <v>-90</v>
      </c>
      <c r="L295" s="142"/>
      <c r="M295" s="144">
        <f t="shared" si="20"/>
        <v>0</v>
      </c>
    </row>
    <row r="296" spans="1:13" x14ac:dyDescent="0.25">
      <c r="A296" s="158"/>
      <c r="G296" s="128"/>
      <c r="H296" s="142">
        <v>291</v>
      </c>
      <c r="I296" s="143" t="str">
        <f t="shared" si="21"/>
        <v/>
      </c>
      <c r="J296" s="142">
        <f t="shared" si="22"/>
        <v>-9</v>
      </c>
      <c r="K296" s="142">
        <f t="shared" si="19"/>
        <v>-90</v>
      </c>
      <c r="L296" s="142"/>
      <c r="M296" s="144">
        <f t="shared" si="20"/>
        <v>0</v>
      </c>
    </row>
    <row r="297" spans="1:13" x14ac:dyDescent="0.25">
      <c r="A297" s="158"/>
      <c r="G297" s="128"/>
      <c r="H297" s="142">
        <v>292</v>
      </c>
      <c r="I297" s="143" t="str">
        <f t="shared" si="21"/>
        <v/>
      </c>
      <c r="J297" s="142">
        <f t="shared" si="22"/>
        <v>-9</v>
      </c>
      <c r="K297" s="142">
        <f t="shared" si="19"/>
        <v>-90</v>
      </c>
      <c r="L297" s="142"/>
      <c r="M297" s="144">
        <f t="shared" si="20"/>
        <v>0</v>
      </c>
    </row>
    <row r="298" spans="1:13" x14ac:dyDescent="0.25">
      <c r="A298" s="158"/>
      <c r="G298" s="128"/>
      <c r="H298" s="142">
        <v>293</v>
      </c>
      <c r="I298" s="143" t="str">
        <f t="shared" si="21"/>
        <v/>
      </c>
      <c r="J298" s="142">
        <f t="shared" si="22"/>
        <v>-9</v>
      </c>
      <c r="K298" s="142">
        <f t="shared" si="19"/>
        <v>-90</v>
      </c>
      <c r="L298" s="142"/>
      <c r="M298" s="144">
        <f t="shared" si="20"/>
        <v>0</v>
      </c>
    </row>
    <row r="299" spans="1:13" x14ac:dyDescent="0.25">
      <c r="A299" s="158"/>
      <c r="G299" s="128"/>
      <c r="H299" s="142">
        <v>294</v>
      </c>
      <c r="I299" s="143" t="str">
        <f t="shared" si="21"/>
        <v/>
      </c>
      <c r="J299" s="142">
        <f t="shared" si="22"/>
        <v>-9</v>
      </c>
      <c r="K299" s="142">
        <f t="shared" si="19"/>
        <v>-90</v>
      </c>
      <c r="L299" s="142"/>
      <c r="M299" s="144">
        <f t="shared" si="20"/>
        <v>0</v>
      </c>
    </row>
    <row r="300" spans="1:13" x14ac:dyDescent="0.25">
      <c r="A300" s="158"/>
      <c r="G300" s="128"/>
      <c r="H300" s="142">
        <v>295</v>
      </c>
      <c r="I300" s="143" t="str">
        <f t="shared" si="21"/>
        <v/>
      </c>
      <c r="J300" s="142">
        <f t="shared" si="22"/>
        <v>-9</v>
      </c>
      <c r="K300" s="142">
        <f t="shared" si="19"/>
        <v>-90</v>
      </c>
      <c r="L300" s="142"/>
      <c r="M300" s="144">
        <f t="shared" si="20"/>
        <v>0</v>
      </c>
    </row>
    <row r="301" spans="1:13" x14ac:dyDescent="0.25">
      <c r="A301" s="158"/>
      <c r="G301" s="128"/>
      <c r="H301" s="142">
        <v>296</v>
      </c>
      <c r="I301" s="143" t="str">
        <f t="shared" si="21"/>
        <v/>
      </c>
      <c r="J301" s="142">
        <f t="shared" si="22"/>
        <v>-9</v>
      </c>
      <c r="K301" s="142">
        <f t="shared" si="19"/>
        <v>-90</v>
      </c>
      <c r="L301" s="142"/>
      <c r="M301" s="144">
        <f t="shared" si="20"/>
        <v>0</v>
      </c>
    </row>
    <row r="302" spans="1:13" x14ac:dyDescent="0.25">
      <c r="A302" s="158"/>
      <c r="G302" s="128"/>
      <c r="H302" s="142">
        <v>297</v>
      </c>
      <c r="I302" s="143" t="str">
        <f t="shared" si="21"/>
        <v/>
      </c>
      <c r="J302" s="142">
        <f t="shared" si="22"/>
        <v>-9</v>
      </c>
      <c r="K302" s="142">
        <f t="shared" si="19"/>
        <v>-90</v>
      </c>
      <c r="L302" s="142"/>
      <c r="M302" s="144">
        <f t="shared" si="20"/>
        <v>0</v>
      </c>
    </row>
    <row r="303" spans="1:13" x14ac:dyDescent="0.25">
      <c r="A303" s="158"/>
      <c r="G303" s="128"/>
      <c r="H303" s="142">
        <v>298</v>
      </c>
      <c r="I303" s="143" t="str">
        <f t="shared" si="21"/>
        <v/>
      </c>
      <c r="J303" s="142">
        <f t="shared" si="22"/>
        <v>-9</v>
      </c>
      <c r="K303" s="142">
        <f t="shared" si="19"/>
        <v>-90</v>
      </c>
      <c r="L303" s="142"/>
      <c r="M303" s="144">
        <f t="shared" si="20"/>
        <v>0</v>
      </c>
    </row>
    <row r="304" spans="1:13" x14ac:dyDescent="0.25">
      <c r="A304" s="158"/>
      <c r="G304" s="128"/>
      <c r="H304" s="142">
        <v>299</v>
      </c>
      <c r="I304" s="143" t="str">
        <f t="shared" si="21"/>
        <v/>
      </c>
      <c r="J304" s="142">
        <f t="shared" si="22"/>
        <v>-9</v>
      </c>
      <c r="K304" s="142">
        <f t="shared" si="19"/>
        <v>-90</v>
      </c>
      <c r="L304" s="142"/>
      <c r="M304" s="144">
        <f t="shared" si="20"/>
        <v>0</v>
      </c>
    </row>
    <row r="305" spans="1:16" x14ac:dyDescent="0.25">
      <c r="A305" s="158"/>
      <c r="G305" s="128"/>
      <c r="H305" s="142">
        <v>300</v>
      </c>
      <c r="I305" s="143" t="str">
        <f t="shared" si="21"/>
        <v/>
      </c>
      <c r="J305" s="142">
        <f t="shared" si="22"/>
        <v>-9</v>
      </c>
      <c r="K305" s="142">
        <f t="shared" si="19"/>
        <v>-90</v>
      </c>
      <c r="L305" s="142"/>
      <c r="M305" s="144">
        <f t="shared" si="20"/>
        <v>0</v>
      </c>
    </row>
    <row r="306" spans="1:16" x14ac:dyDescent="0.25">
      <c r="A306" s="160"/>
    </row>
    <row r="314" spans="1:16" x14ac:dyDescent="0.25">
      <c r="L314" s="163"/>
      <c r="P314" s="153"/>
    </row>
    <row r="315" spans="1:16" x14ac:dyDescent="0.25">
      <c r="L315" s="163"/>
      <c r="P315" s="153"/>
    </row>
    <row r="316" spans="1:16" x14ac:dyDescent="0.25">
      <c r="L316" s="163"/>
      <c r="P316" s="153"/>
    </row>
    <row r="317" spans="1:16" x14ac:dyDescent="0.25">
      <c r="L317" s="163"/>
      <c r="P317" s="153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F4BAC4B6-36E5-4349-94AF-E93EE1094571}">
      <formula1>#REF!</formula1>
    </dataValidation>
  </dataValidations>
  <hyperlinks>
    <hyperlink ref="C2:D2" r:id="rId1" location="today" display="KRAKÓW" xr:uid="{10E5DE00-1EEE-46A1-B4A9-0C5CD8A47C9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DBAF-6598-46DF-9E48-B5063F5D2ABC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159" customWidth="1"/>
    <col min="2" max="2" width="8.25" style="159" customWidth="1"/>
    <col min="3" max="3" width="34.75" style="159" customWidth="1"/>
    <col min="4" max="4" width="11.25" style="159" customWidth="1"/>
    <col min="5" max="6" width="8.875" style="159"/>
    <col min="7" max="7" width="0.875" style="159" customWidth="1"/>
    <col min="8" max="8" width="8.875" style="161"/>
    <col min="9" max="9" width="11" style="161" customWidth="1"/>
    <col min="10" max="10" width="15.25" style="161" customWidth="1"/>
    <col min="11" max="11" width="8.75" style="161" customWidth="1"/>
    <col min="12" max="12" width="11" style="161" customWidth="1"/>
    <col min="13" max="13" width="11.75" style="162" customWidth="1"/>
    <col min="14" max="15" width="13.875" style="128" customWidth="1"/>
    <col min="16" max="18" width="8.875" style="128"/>
    <col min="19" max="20" width="8.875" style="133"/>
    <col min="21" max="21" width="12.125" style="133" customWidth="1"/>
    <col min="22" max="22" width="27.375" style="133" customWidth="1"/>
    <col min="23" max="38" width="8.875" style="133"/>
    <col min="39" max="16384" width="8.875" style="159"/>
  </cols>
  <sheetData>
    <row r="1" spans="1:36" x14ac:dyDescent="0.25">
      <c r="A1" s="128"/>
      <c r="B1" s="128"/>
      <c r="C1" s="128"/>
      <c r="D1" s="128"/>
      <c r="E1" s="128"/>
      <c r="F1" s="128"/>
      <c r="G1" s="128"/>
      <c r="H1" s="129" t="s">
        <v>22</v>
      </c>
      <c r="I1" s="130" t="s">
        <v>23</v>
      </c>
      <c r="J1" s="130" t="s">
        <v>24</v>
      </c>
      <c r="K1" s="131" t="s">
        <v>25</v>
      </c>
      <c r="L1" s="132"/>
      <c r="M1" s="132"/>
    </row>
    <row r="2" spans="1:36" ht="14.45" customHeight="1" x14ac:dyDescent="0.25">
      <c r="A2" s="128"/>
      <c r="B2" s="20" t="s">
        <v>26</v>
      </c>
      <c r="C2" s="262" t="s">
        <v>63</v>
      </c>
      <c r="D2" s="262"/>
      <c r="E2" s="21"/>
      <c r="F2" s="21"/>
      <c r="G2" s="21"/>
      <c r="H2" s="134">
        <v>0</v>
      </c>
      <c r="I2" s="135">
        <v>50</v>
      </c>
      <c r="J2" s="135">
        <v>10</v>
      </c>
      <c r="K2" s="136">
        <f>3*H2^(1/3)</f>
        <v>0</v>
      </c>
      <c r="L2" s="132"/>
      <c r="M2" s="132"/>
    </row>
    <row r="3" spans="1:36" ht="14.45" customHeight="1" x14ac:dyDescent="0.25">
      <c r="A3" s="128"/>
      <c r="B3" s="137" t="s">
        <v>28</v>
      </c>
      <c r="C3" s="263" t="s">
        <v>64</v>
      </c>
      <c r="D3" s="263"/>
      <c r="E3" s="26"/>
      <c r="F3" s="26"/>
      <c r="G3" s="26"/>
      <c r="H3" s="132"/>
      <c r="I3" s="132"/>
      <c r="J3" s="138"/>
      <c r="K3" s="132"/>
      <c r="L3" s="132"/>
      <c r="M3" s="13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2"/>
      <c r="I4" s="132"/>
      <c r="J4" s="138"/>
      <c r="K4" s="132"/>
      <c r="L4" s="132"/>
      <c r="M4" s="132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39" t="s">
        <v>35</v>
      </c>
      <c r="I5" s="140" t="s">
        <v>36</v>
      </c>
      <c r="J5" s="141" t="s">
        <v>37</v>
      </c>
      <c r="K5" s="140" t="s">
        <v>38</v>
      </c>
      <c r="L5" s="140" t="s">
        <v>39</v>
      </c>
      <c r="M5" s="139" t="s">
        <v>40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142">
        <v>1</v>
      </c>
      <c r="I6" s="143" t="str">
        <f>IF(H2=1,50,IF(H6&lt;$H$2+1,($I$2-($I$2-1)*(LOG(H6)/LOG($H$2))),""))</f>
        <v/>
      </c>
      <c r="J6" s="142" t="e">
        <f>INT(LOG($H$2,2))-ROUNDUP(LOG(H6,2),0)+IF(OR($H$2=1,$H$2=2,$H$2=4,$H$2=8,$H$2=16,$H$2=32,$H$2=64,$H$2=128,$H$2=256),0,1)</f>
        <v>#NUM!</v>
      </c>
      <c r="K6" s="142" t="e">
        <f t="shared" ref="K6:K69" si="1">J6*$J$2</f>
        <v>#NUM!</v>
      </c>
      <c r="L6" s="144">
        <f>3*K2</f>
        <v>0</v>
      </c>
      <c r="M6" s="144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5">
        <v>2</v>
      </c>
      <c r="I7" s="146" t="str">
        <f t="shared" ref="I7:I70" si="4">IF(H7&lt;$H$2+1,($I$2-($I$2-1)*(LOG(H7)/LOG($H$2))),"")</f>
        <v/>
      </c>
      <c r="J7" s="145" t="e">
        <f t="shared" ref="J7:J70" si="5">INT(LOG($H$2,2))-ROUNDUP(LOG(H7,2),0)+IF(OR($H$2=1,$H$2=2,$H$2=4,$H$2=8,$H$2=16,$H$2=32,$H$2=64,$H$2=128,$H$2=256),0,1)</f>
        <v>#NUM!</v>
      </c>
      <c r="K7" s="145" t="e">
        <f t="shared" si="1"/>
        <v>#NUM!</v>
      </c>
      <c r="L7" s="147">
        <f>2*K2</f>
        <v>0</v>
      </c>
      <c r="M7" s="147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2">
        <v>3</v>
      </c>
      <c r="I8" s="143" t="str">
        <f t="shared" si="4"/>
        <v/>
      </c>
      <c r="J8" s="142" t="e">
        <f t="shared" si="5"/>
        <v>#NUM!</v>
      </c>
      <c r="K8" s="142" t="e">
        <f t="shared" si="1"/>
        <v>#NUM!</v>
      </c>
      <c r="L8" s="144">
        <f>K2</f>
        <v>0</v>
      </c>
      <c r="M8" s="144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5">
        <v>4</v>
      </c>
      <c r="I9" s="146" t="str">
        <f t="shared" si="4"/>
        <v/>
      </c>
      <c r="J9" s="145" t="e">
        <f t="shared" si="5"/>
        <v>#NUM!</v>
      </c>
      <c r="K9" s="145" t="e">
        <f t="shared" si="1"/>
        <v>#NUM!</v>
      </c>
      <c r="L9" s="147"/>
      <c r="M9" s="147">
        <f t="shared" si="2"/>
        <v>0</v>
      </c>
      <c r="V9" s="148"/>
      <c r="Z9" s="149"/>
      <c r="AA9" s="149"/>
      <c r="AG9" s="150"/>
      <c r="AH9" s="133" t="s">
        <v>42</v>
      </c>
      <c r="AI9" s="133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2">
        <v>5</v>
      </c>
      <c r="I10" s="143" t="str">
        <f t="shared" si="4"/>
        <v/>
      </c>
      <c r="J10" s="142" t="e">
        <f t="shared" si="5"/>
        <v>#NUM!</v>
      </c>
      <c r="K10" s="142" t="e">
        <f t="shared" si="1"/>
        <v>#NUM!</v>
      </c>
      <c r="L10" s="142"/>
      <c r="M10" s="144">
        <f t="shared" si="2"/>
        <v>0</v>
      </c>
      <c r="V10" s="148"/>
      <c r="Z10" s="149"/>
      <c r="AA10" s="149"/>
      <c r="AG10" s="150"/>
      <c r="AH10" s="133" t="s">
        <v>43</v>
      </c>
      <c r="AI10" s="133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5">
        <v>6</v>
      </c>
      <c r="I11" s="146" t="str">
        <f t="shared" si="4"/>
        <v/>
      </c>
      <c r="J11" s="145" t="e">
        <f t="shared" si="5"/>
        <v>#NUM!</v>
      </c>
      <c r="K11" s="145" t="e">
        <f t="shared" si="1"/>
        <v>#NUM!</v>
      </c>
      <c r="L11" s="145"/>
      <c r="M11" s="147">
        <f t="shared" si="2"/>
        <v>0</v>
      </c>
      <c r="V11" s="151"/>
      <c r="Z11" s="149"/>
      <c r="AA11" s="149"/>
      <c r="AG11" s="150"/>
      <c r="AH11" s="133" t="s">
        <v>44</v>
      </c>
      <c r="AI11" s="133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2">
        <v>7</v>
      </c>
      <c r="I12" s="143" t="str">
        <f t="shared" si="4"/>
        <v/>
      </c>
      <c r="J12" s="142" t="e">
        <f t="shared" si="5"/>
        <v>#NUM!</v>
      </c>
      <c r="K12" s="142" t="e">
        <f t="shared" si="1"/>
        <v>#NUM!</v>
      </c>
      <c r="L12" s="142"/>
      <c r="M12" s="144">
        <f t="shared" si="2"/>
        <v>0</v>
      </c>
      <c r="Z12" s="149"/>
      <c r="AA12" s="149"/>
      <c r="AG12" s="150"/>
      <c r="AH12" s="133" t="s">
        <v>45</v>
      </c>
      <c r="AI12" s="133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5">
        <v>8</v>
      </c>
      <c r="I13" s="146" t="str">
        <f t="shared" si="4"/>
        <v/>
      </c>
      <c r="J13" s="145" t="e">
        <f t="shared" si="5"/>
        <v>#NUM!</v>
      </c>
      <c r="K13" s="145" t="e">
        <f t="shared" si="1"/>
        <v>#NUM!</v>
      </c>
      <c r="L13" s="145"/>
      <c r="M13" s="147">
        <f t="shared" si="2"/>
        <v>0</v>
      </c>
      <c r="X13" s="148"/>
      <c r="AG13" s="150"/>
      <c r="AH13" s="133" t="s">
        <v>46</v>
      </c>
      <c r="AI13" s="133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2">
        <v>9</v>
      </c>
      <c r="I14" s="143" t="str">
        <f t="shared" si="4"/>
        <v/>
      </c>
      <c r="J14" s="142" t="e">
        <f t="shared" si="5"/>
        <v>#NUM!</v>
      </c>
      <c r="K14" s="142" t="e">
        <f t="shared" si="1"/>
        <v>#NUM!</v>
      </c>
      <c r="L14" s="142"/>
      <c r="M14" s="144">
        <f t="shared" si="2"/>
        <v>0</v>
      </c>
      <c r="X14" s="152"/>
      <c r="Z14" s="149"/>
      <c r="AA14" s="149"/>
      <c r="AG14" s="150"/>
      <c r="AH14" s="133" t="s">
        <v>47</v>
      </c>
      <c r="AI14" s="133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5">
        <v>10</v>
      </c>
      <c r="I15" s="146" t="str">
        <f t="shared" si="4"/>
        <v/>
      </c>
      <c r="J15" s="145" t="e">
        <f t="shared" si="5"/>
        <v>#NUM!</v>
      </c>
      <c r="K15" s="145" t="e">
        <f t="shared" si="1"/>
        <v>#NUM!</v>
      </c>
      <c r="L15" s="145"/>
      <c r="M15" s="147">
        <f t="shared" si="2"/>
        <v>0</v>
      </c>
      <c r="X15" s="148"/>
      <c r="Z15" s="149"/>
      <c r="AA15" s="149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2">
        <v>11</v>
      </c>
      <c r="I16" s="143" t="str">
        <f t="shared" si="4"/>
        <v/>
      </c>
      <c r="J16" s="142" t="e">
        <f t="shared" si="5"/>
        <v>#NUM!</v>
      </c>
      <c r="K16" s="142" t="e">
        <f t="shared" si="1"/>
        <v>#NUM!</v>
      </c>
      <c r="L16" s="142"/>
      <c r="M16" s="144">
        <f t="shared" si="2"/>
        <v>0</v>
      </c>
      <c r="R16" s="153"/>
      <c r="Z16" s="149"/>
      <c r="AA16" s="149"/>
      <c r="AH16" s="154" t="s">
        <v>48</v>
      </c>
      <c r="AI16" s="133">
        <f>AI11-AI12*AI13/AI14</f>
        <v>9.6393909380186855</v>
      </c>
      <c r="AJ16" s="133" t="s">
        <v>49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5">
        <v>12</v>
      </c>
      <c r="I17" s="146" t="str">
        <f t="shared" si="4"/>
        <v/>
      </c>
      <c r="J17" s="145" t="e">
        <f t="shared" si="5"/>
        <v>#NUM!</v>
      </c>
      <c r="K17" s="145" t="e">
        <f t="shared" si="1"/>
        <v>#NUM!</v>
      </c>
      <c r="L17" s="145"/>
      <c r="M17" s="147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2">
        <v>13</v>
      </c>
      <c r="I18" s="143" t="str">
        <f t="shared" si="4"/>
        <v/>
      </c>
      <c r="J18" s="142" t="e">
        <f t="shared" si="5"/>
        <v>#NUM!</v>
      </c>
      <c r="K18" s="142" t="e">
        <f t="shared" si="1"/>
        <v>#NUM!</v>
      </c>
      <c r="L18" s="142"/>
      <c r="M18" s="144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5">
        <v>14</v>
      </c>
      <c r="I19" s="146" t="str">
        <f t="shared" si="4"/>
        <v/>
      </c>
      <c r="J19" s="145" t="e">
        <f t="shared" si="5"/>
        <v>#NUM!</v>
      </c>
      <c r="K19" s="145" t="e">
        <f t="shared" si="1"/>
        <v>#NUM!</v>
      </c>
      <c r="L19" s="145"/>
      <c r="M19" s="147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2">
        <v>15</v>
      </c>
      <c r="I20" s="143" t="str">
        <f t="shared" si="4"/>
        <v/>
      </c>
      <c r="J20" s="142" t="e">
        <f t="shared" si="5"/>
        <v>#NUM!</v>
      </c>
      <c r="K20" s="142" t="e">
        <f t="shared" si="1"/>
        <v>#NUM!</v>
      </c>
      <c r="L20" s="142"/>
      <c r="M20" s="144">
        <f t="shared" si="2"/>
        <v>0</v>
      </c>
      <c r="R20" s="155"/>
      <c r="S20" s="156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5">
        <v>16</v>
      </c>
      <c r="I21" s="146" t="str">
        <f t="shared" si="4"/>
        <v/>
      </c>
      <c r="J21" s="145" t="e">
        <f t="shared" si="5"/>
        <v>#NUM!</v>
      </c>
      <c r="K21" s="145" t="e">
        <f t="shared" si="1"/>
        <v>#NUM!</v>
      </c>
      <c r="L21" s="145"/>
      <c r="M21" s="147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2">
        <v>17</v>
      </c>
      <c r="I22" s="143" t="str">
        <f t="shared" si="4"/>
        <v/>
      </c>
      <c r="J22" s="142" t="e">
        <f t="shared" si="5"/>
        <v>#NUM!</v>
      </c>
      <c r="K22" s="142" t="e">
        <f t="shared" si="1"/>
        <v>#NUM!</v>
      </c>
      <c r="L22" s="142"/>
      <c r="M22" s="144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5">
        <v>18</v>
      </c>
      <c r="I23" s="146" t="str">
        <f t="shared" si="4"/>
        <v/>
      </c>
      <c r="J23" s="145" t="e">
        <f t="shared" si="5"/>
        <v>#NUM!</v>
      </c>
      <c r="K23" s="145" t="e">
        <f t="shared" si="1"/>
        <v>#NUM!</v>
      </c>
      <c r="L23" s="145"/>
      <c r="M23" s="14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2">
        <v>19</v>
      </c>
      <c r="I24" s="143" t="str">
        <f t="shared" si="4"/>
        <v/>
      </c>
      <c r="J24" s="142" t="e">
        <f t="shared" si="5"/>
        <v>#NUM!</v>
      </c>
      <c r="K24" s="142" t="e">
        <f t="shared" si="1"/>
        <v>#NUM!</v>
      </c>
      <c r="L24" s="142"/>
      <c r="M24" s="144">
        <f t="shared" si="2"/>
        <v>0</v>
      </c>
      <c r="R24" s="155"/>
      <c r="S24" s="15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5">
        <v>20</v>
      </c>
      <c r="I25" s="146" t="str">
        <f t="shared" si="4"/>
        <v/>
      </c>
      <c r="J25" s="145" t="e">
        <f t="shared" si="5"/>
        <v>#NUM!</v>
      </c>
      <c r="K25" s="145" t="e">
        <f t="shared" si="1"/>
        <v>#NUM!</v>
      </c>
      <c r="L25" s="145"/>
      <c r="M25" s="14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2">
        <v>21</v>
      </c>
      <c r="I26" s="143" t="str">
        <f t="shared" si="4"/>
        <v/>
      </c>
      <c r="J26" s="142" t="e">
        <f t="shared" si="5"/>
        <v>#NUM!</v>
      </c>
      <c r="K26" s="142" t="e">
        <f t="shared" si="1"/>
        <v>#NUM!</v>
      </c>
      <c r="L26" s="142"/>
      <c r="M26" s="144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5">
        <v>22</v>
      </c>
      <c r="I27" s="146" t="str">
        <f t="shared" si="4"/>
        <v/>
      </c>
      <c r="J27" s="145" t="e">
        <f t="shared" si="5"/>
        <v>#NUM!</v>
      </c>
      <c r="K27" s="145" t="e">
        <f t="shared" si="1"/>
        <v>#NUM!</v>
      </c>
      <c r="L27" s="145"/>
      <c r="M27" s="14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2">
        <v>23</v>
      </c>
      <c r="I28" s="143" t="str">
        <f t="shared" si="4"/>
        <v/>
      </c>
      <c r="J28" s="142" t="e">
        <f t="shared" si="5"/>
        <v>#NUM!</v>
      </c>
      <c r="K28" s="142" t="e">
        <f t="shared" si="1"/>
        <v>#NUM!</v>
      </c>
      <c r="L28" s="142"/>
      <c r="M28" s="144">
        <f t="shared" si="2"/>
        <v>0</v>
      </c>
      <c r="R28" s="155"/>
      <c r="S28" s="15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8"/>
      <c r="H29" s="145">
        <v>24</v>
      </c>
      <c r="I29" s="146" t="str">
        <f t="shared" si="4"/>
        <v/>
      </c>
      <c r="J29" s="145" t="e">
        <f t="shared" si="5"/>
        <v>#NUM!</v>
      </c>
      <c r="K29" s="145" t="e">
        <f t="shared" si="1"/>
        <v>#NUM!</v>
      </c>
      <c r="L29" s="145"/>
      <c r="M29" s="14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8"/>
      <c r="H30" s="142">
        <v>25</v>
      </c>
      <c r="I30" s="143" t="str">
        <f t="shared" si="4"/>
        <v/>
      </c>
      <c r="J30" s="142" t="e">
        <f t="shared" si="5"/>
        <v>#NUM!</v>
      </c>
      <c r="K30" s="142" t="e">
        <f t="shared" si="1"/>
        <v>#NUM!</v>
      </c>
      <c r="L30" s="142"/>
      <c r="M30" s="144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8"/>
      <c r="H31" s="145">
        <v>26</v>
      </c>
      <c r="I31" s="146" t="str">
        <f t="shared" si="4"/>
        <v/>
      </c>
      <c r="J31" s="145" t="e">
        <f t="shared" si="5"/>
        <v>#NUM!</v>
      </c>
      <c r="K31" s="145" t="e">
        <f t="shared" si="1"/>
        <v>#NUM!</v>
      </c>
      <c r="L31" s="145"/>
      <c r="M31" s="14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8"/>
      <c r="H32" s="142">
        <v>27</v>
      </c>
      <c r="I32" s="143" t="str">
        <f t="shared" si="4"/>
        <v/>
      </c>
      <c r="J32" s="142" t="e">
        <f t="shared" si="5"/>
        <v>#NUM!</v>
      </c>
      <c r="K32" s="142" t="e">
        <f t="shared" si="1"/>
        <v>#NUM!</v>
      </c>
      <c r="L32" s="142"/>
      <c r="M32" s="144">
        <f t="shared" si="2"/>
        <v>0</v>
      </c>
      <c r="R32" s="155"/>
      <c r="S32" s="15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8"/>
      <c r="H33" s="145">
        <v>28</v>
      </c>
      <c r="I33" s="146" t="str">
        <f t="shared" si="4"/>
        <v/>
      </c>
      <c r="J33" s="145" t="e">
        <f t="shared" si="5"/>
        <v>#NUM!</v>
      </c>
      <c r="K33" s="145" t="e">
        <f t="shared" si="1"/>
        <v>#NUM!</v>
      </c>
      <c r="L33" s="145"/>
      <c r="M33" s="14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8"/>
      <c r="H34" s="142">
        <v>29</v>
      </c>
      <c r="I34" s="143" t="str">
        <f t="shared" si="4"/>
        <v/>
      </c>
      <c r="J34" s="142" t="e">
        <f t="shared" si="5"/>
        <v>#NUM!</v>
      </c>
      <c r="K34" s="142" t="e">
        <f t="shared" si="1"/>
        <v>#NUM!</v>
      </c>
      <c r="L34" s="142"/>
      <c r="M34" s="144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8"/>
      <c r="H35" s="145">
        <v>30</v>
      </c>
      <c r="I35" s="146" t="str">
        <f t="shared" si="4"/>
        <v/>
      </c>
      <c r="J35" s="145" t="e">
        <f t="shared" si="5"/>
        <v>#NUM!</v>
      </c>
      <c r="K35" s="145" t="e">
        <f t="shared" si="1"/>
        <v>#NUM!</v>
      </c>
      <c r="L35" s="145"/>
      <c r="M35" s="14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8"/>
      <c r="H36" s="142">
        <v>31</v>
      </c>
      <c r="I36" s="143" t="str">
        <f t="shared" si="4"/>
        <v/>
      </c>
      <c r="J36" s="142" t="e">
        <f t="shared" si="5"/>
        <v>#NUM!</v>
      </c>
      <c r="K36" s="142" t="e">
        <f t="shared" si="1"/>
        <v>#NUM!</v>
      </c>
      <c r="L36" s="142"/>
      <c r="M36" s="144">
        <f t="shared" si="2"/>
        <v>0</v>
      </c>
      <c r="R36" s="155"/>
      <c r="S36" s="15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8"/>
      <c r="H37" s="145">
        <v>32</v>
      </c>
      <c r="I37" s="146" t="str">
        <f t="shared" si="4"/>
        <v/>
      </c>
      <c r="J37" s="145" t="e">
        <f t="shared" si="5"/>
        <v>#NUM!</v>
      </c>
      <c r="K37" s="145" t="e">
        <f t="shared" si="1"/>
        <v>#NUM!</v>
      </c>
      <c r="L37" s="145"/>
      <c r="M37" s="14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8"/>
      <c r="H38" s="142">
        <v>33</v>
      </c>
      <c r="I38" s="143" t="str">
        <f t="shared" si="4"/>
        <v/>
      </c>
      <c r="J38" s="142" t="e">
        <f t="shared" si="5"/>
        <v>#NUM!</v>
      </c>
      <c r="K38" s="142" t="e">
        <f t="shared" si="1"/>
        <v>#NUM!</v>
      </c>
      <c r="L38" s="142"/>
      <c r="M38" s="144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8"/>
      <c r="H39" s="145">
        <v>34</v>
      </c>
      <c r="I39" s="146" t="str">
        <f t="shared" si="4"/>
        <v/>
      </c>
      <c r="J39" s="145" t="e">
        <f t="shared" si="5"/>
        <v>#NUM!</v>
      </c>
      <c r="K39" s="145" t="e">
        <f t="shared" si="1"/>
        <v>#NUM!</v>
      </c>
      <c r="L39" s="145"/>
      <c r="M39" s="14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8"/>
      <c r="H40" s="142">
        <v>35</v>
      </c>
      <c r="I40" s="143" t="str">
        <f t="shared" si="4"/>
        <v/>
      </c>
      <c r="J40" s="142" t="e">
        <f t="shared" si="5"/>
        <v>#NUM!</v>
      </c>
      <c r="K40" s="142" t="e">
        <f t="shared" si="1"/>
        <v>#NUM!</v>
      </c>
      <c r="L40" s="142"/>
      <c r="M40" s="144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8"/>
      <c r="H41" s="145">
        <v>36</v>
      </c>
      <c r="I41" s="146" t="str">
        <f t="shared" si="4"/>
        <v/>
      </c>
      <c r="J41" s="145" t="e">
        <f t="shared" si="5"/>
        <v>#NUM!</v>
      </c>
      <c r="K41" s="145" t="e">
        <f t="shared" si="1"/>
        <v>#NUM!</v>
      </c>
      <c r="L41" s="145"/>
      <c r="M41" s="147">
        <f t="shared" si="2"/>
        <v>0</v>
      </c>
      <c r="S41" s="15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8"/>
      <c r="H42" s="142">
        <v>37</v>
      </c>
      <c r="I42" s="143" t="str">
        <f t="shared" si="4"/>
        <v/>
      </c>
      <c r="J42" s="142" t="e">
        <f t="shared" si="5"/>
        <v>#NUM!</v>
      </c>
      <c r="K42" s="142" t="e">
        <f t="shared" si="1"/>
        <v>#NUM!</v>
      </c>
      <c r="L42" s="142"/>
      <c r="M42" s="144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8"/>
      <c r="H43" s="145">
        <v>38</v>
      </c>
      <c r="I43" s="146" t="str">
        <f t="shared" si="4"/>
        <v/>
      </c>
      <c r="J43" s="145" t="e">
        <f t="shared" si="5"/>
        <v>#NUM!</v>
      </c>
      <c r="K43" s="145" t="e">
        <f t="shared" si="1"/>
        <v>#NUM!</v>
      </c>
      <c r="L43" s="145"/>
      <c r="M43" s="14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8"/>
      <c r="H44" s="142">
        <v>39</v>
      </c>
      <c r="I44" s="143" t="str">
        <f t="shared" si="4"/>
        <v/>
      </c>
      <c r="J44" s="142" t="e">
        <f t="shared" si="5"/>
        <v>#NUM!</v>
      </c>
      <c r="K44" s="142" t="e">
        <f t="shared" si="1"/>
        <v>#NUM!</v>
      </c>
      <c r="L44" s="142"/>
      <c r="M44" s="144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8"/>
      <c r="H45" s="145">
        <v>40</v>
      </c>
      <c r="I45" s="146" t="str">
        <f t="shared" si="4"/>
        <v/>
      </c>
      <c r="J45" s="145" t="e">
        <f t="shared" si="5"/>
        <v>#NUM!</v>
      </c>
      <c r="K45" s="145" t="e">
        <f t="shared" si="1"/>
        <v>#NUM!</v>
      </c>
      <c r="L45" s="145"/>
      <c r="M45" s="14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8"/>
      <c r="H46" s="142">
        <v>41</v>
      </c>
      <c r="I46" s="143" t="str">
        <f t="shared" si="4"/>
        <v/>
      </c>
      <c r="J46" s="142" t="e">
        <f t="shared" si="5"/>
        <v>#NUM!</v>
      </c>
      <c r="K46" s="142" t="e">
        <f t="shared" si="1"/>
        <v>#NUM!</v>
      </c>
      <c r="L46" s="142"/>
      <c r="M46" s="144">
        <f t="shared" si="2"/>
        <v>0</v>
      </c>
      <c r="R46" s="128" t="e">
        <f>LOG($H$2,2)</f>
        <v>#NUM!</v>
      </c>
      <c r="T46" s="133">
        <f>LOG(H38,2)</f>
        <v>5.0443941193584534</v>
      </c>
      <c r="U46" s="133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8"/>
      <c r="H47" s="145">
        <v>42</v>
      </c>
      <c r="I47" s="146" t="str">
        <f t="shared" si="4"/>
        <v/>
      </c>
      <c r="J47" s="145" t="e">
        <f t="shared" si="5"/>
        <v>#NUM!</v>
      </c>
      <c r="K47" s="145" t="e">
        <f t="shared" si="1"/>
        <v>#NUM!</v>
      </c>
      <c r="L47" s="145"/>
      <c r="M47" s="14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8"/>
      <c r="H48" s="142">
        <v>43</v>
      </c>
      <c r="I48" s="143" t="str">
        <f t="shared" si="4"/>
        <v/>
      </c>
      <c r="J48" s="142" t="e">
        <f t="shared" si="5"/>
        <v>#NUM!</v>
      </c>
      <c r="K48" s="142" t="e">
        <f t="shared" si="1"/>
        <v>#NUM!</v>
      </c>
      <c r="L48" s="142"/>
      <c r="M48" s="144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8"/>
      <c r="H49" s="145">
        <v>44</v>
      </c>
      <c r="I49" s="146" t="str">
        <f t="shared" si="4"/>
        <v/>
      </c>
      <c r="J49" s="145" t="e">
        <f t="shared" si="5"/>
        <v>#NUM!</v>
      </c>
      <c r="K49" s="145" t="e">
        <f t="shared" si="1"/>
        <v>#NUM!</v>
      </c>
      <c r="L49" s="145"/>
      <c r="M49" s="14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8"/>
      <c r="H50" s="142">
        <v>45</v>
      </c>
      <c r="I50" s="143" t="str">
        <f t="shared" si="4"/>
        <v/>
      </c>
      <c r="J50" s="142" t="e">
        <f t="shared" si="5"/>
        <v>#NUM!</v>
      </c>
      <c r="K50" s="142" t="e">
        <f t="shared" si="1"/>
        <v>#NUM!</v>
      </c>
      <c r="L50" s="142"/>
      <c r="M50" s="144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8"/>
      <c r="H51" s="145">
        <v>46</v>
      </c>
      <c r="I51" s="146" t="str">
        <f t="shared" si="4"/>
        <v/>
      </c>
      <c r="J51" s="145" t="e">
        <f t="shared" si="5"/>
        <v>#NUM!</v>
      </c>
      <c r="K51" s="145" t="e">
        <f t="shared" si="1"/>
        <v>#NUM!</v>
      </c>
      <c r="L51" s="145"/>
      <c r="M51" s="14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8"/>
      <c r="H52" s="142">
        <v>47</v>
      </c>
      <c r="I52" s="143" t="str">
        <f t="shared" si="4"/>
        <v/>
      </c>
      <c r="J52" s="142" t="e">
        <f t="shared" si="5"/>
        <v>#NUM!</v>
      </c>
      <c r="K52" s="142" t="e">
        <f t="shared" si="1"/>
        <v>#NUM!</v>
      </c>
      <c r="L52" s="142"/>
      <c r="M52" s="144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8"/>
      <c r="H53" s="145">
        <v>48</v>
      </c>
      <c r="I53" s="146" t="str">
        <f t="shared" si="4"/>
        <v/>
      </c>
      <c r="J53" s="145" t="e">
        <f t="shared" si="5"/>
        <v>#NUM!</v>
      </c>
      <c r="K53" s="145" t="e">
        <f t="shared" si="1"/>
        <v>#NUM!</v>
      </c>
      <c r="L53" s="145"/>
      <c r="M53" s="14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8"/>
      <c r="H54" s="142">
        <v>49</v>
      </c>
      <c r="I54" s="143" t="str">
        <f t="shared" si="4"/>
        <v/>
      </c>
      <c r="J54" s="142" t="e">
        <f t="shared" si="5"/>
        <v>#NUM!</v>
      </c>
      <c r="K54" s="142" t="e">
        <f t="shared" si="1"/>
        <v>#NUM!</v>
      </c>
      <c r="L54" s="142"/>
      <c r="M54" s="144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8"/>
      <c r="H55" s="145">
        <v>50</v>
      </c>
      <c r="I55" s="146" t="str">
        <f t="shared" si="4"/>
        <v/>
      </c>
      <c r="J55" s="145" t="e">
        <f t="shared" si="5"/>
        <v>#NUM!</v>
      </c>
      <c r="K55" s="145" t="e">
        <f t="shared" si="1"/>
        <v>#NUM!</v>
      </c>
      <c r="L55" s="145"/>
      <c r="M55" s="14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8"/>
      <c r="H56" s="142">
        <v>51</v>
      </c>
      <c r="I56" s="143" t="str">
        <f t="shared" si="4"/>
        <v/>
      </c>
      <c r="J56" s="142" t="e">
        <f t="shared" si="5"/>
        <v>#NUM!</v>
      </c>
      <c r="K56" s="142" t="e">
        <f t="shared" si="1"/>
        <v>#NUM!</v>
      </c>
      <c r="L56" s="142"/>
      <c r="M56" s="144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8"/>
      <c r="H57" s="145">
        <v>52</v>
      </c>
      <c r="I57" s="146" t="str">
        <f t="shared" si="4"/>
        <v/>
      </c>
      <c r="J57" s="145" t="e">
        <f t="shared" si="5"/>
        <v>#NUM!</v>
      </c>
      <c r="K57" s="145" t="e">
        <f t="shared" si="1"/>
        <v>#NUM!</v>
      </c>
      <c r="L57" s="145"/>
      <c r="M57" s="14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8"/>
      <c r="H58" s="142">
        <v>53</v>
      </c>
      <c r="I58" s="143" t="str">
        <f t="shared" si="4"/>
        <v/>
      </c>
      <c r="J58" s="142" t="e">
        <f t="shared" si="5"/>
        <v>#NUM!</v>
      </c>
      <c r="K58" s="142" t="e">
        <f t="shared" si="1"/>
        <v>#NUM!</v>
      </c>
      <c r="L58" s="142"/>
      <c r="M58" s="144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8"/>
      <c r="H59" s="145">
        <v>54</v>
      </c>
      <c r="I59" s="146" t="str">
        <f t="shared" si="4"/>
        <v/>
      </c>
      <c r="J59" s="145" t="e">
        <f t="shared" si="5"/>
        <v>#NUM!</v>
      </c>
      <c r="K59" s="145" t="e">
        <f t="shared" si="1"/>
        <v>#NUM!</v>
      </c>
      <c r="L59" s="145"/>
      <c r="M59" s="14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8"/>
      <c r="H60" s="142">
        <v>55</v>
      </c>
      <c r="I60" s="143" t="str">
        <f t="shared" si="4"/>
        <v/>
      </c>
      <c r="J60" s="142" t="e">
        <f t="shared" si="5"/>
        <v>#NUM!</v>
      </c>
      <c r="K60" s="142" t="e">
        <f t="shared" si="1"/>
        <v>#NUM!</v>
      </c>
      <c r="L60" s="142"/>
      <c r="M60" s="144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8"/>
      <c r="H61" s="145">
        <v>56</v>
      </c>
      <c r="I61" s="146" t="str">
        <f t="shared" si="4"/>
        <v/>
      </c>
      <c r="J61" s="145" t="e">
        <f t="shared" si="5"/>
        <v>#NUM!</v>
      </c>
      <c r="K61" s="145" t="e">
        <f t="shared" si="1"/>
        <v>#NUM!</v>
      </c>
      <c r="L61" s="145"/>
      <c r="M61" s="14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8"/>
      <c r="H62" s="142">
        <v>57</v>
      </c>
      <c r="I62" s="143" t="str">
        <f t="shared" si="4"/>
        <v/>
      </c>
      <c r="J62" s="142" t="e">
        <f t="shared" si="5"/>
        <v>#NUM!</v>
      </c>
      <c r="K62" s="142" t="e">
        <f t="shared" si="1"/>
        <v>#NUM!</v>
      </c>
      <c r="L62" s="142"/>
      <c r="M62" s="144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8"/>
      <c r="H63" s="145">
        <v>58</v>
      </c>
      <c r="I63" s="146" t="str">
        <f t="shared" si="4"/>
        <v/>
      </c>
      <c r="J63" s="145" t="e">
        <f t="shared" si="5"/>
        <v>#NUM!</v>
      </c>
      <c r="K63" s="145" t="e">
        <f t="shared" si="1"/>
        <v>#NUM!</v>
      </c>
      <c r="L63" s="145"/>
      <c r="M63" s="14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8"/>
      <c r="H64" s="142">
        <v>59</v>
      </c>
      <c r="I64" s="143" t="str">
        <f t="shared" si="4"/>
        <v/>
      </c>
      <c r="J64" s="142" t="e">
        <f t="shared" si="5"/>
        <v>#NUM!</v>
      </c>
      <c r="K64" s="142" t="e">
        <f t="shared" si="1"/>
        <v>#NUM!</v>
      </c>
      <c r="L64" s="142"/>
      <c r="M64" s="144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8"/>
      <c r="H65" s="145">
        <v>60</v>
      </c>
      <c r="I65" s="146" t="str">
        <f t="shared" si="4"/>
        <v/>
      </c>
      <c r="J65" s="145" t="e">
        <f t="shared" si="5"/>
        <v>#NUM!</v>
      </c>
      <c r="K65" s="145" t="e">
        <f t="shared" si="1"/>
        <v>#NUM!</v>
      </c>
      <c r="L65" s="145"/>
      <c r="M65" s="147">
        <f t="shared" si="2"/>
        <v>0</v>
      </c>
    </row>
    <row r="66" spans="1:13" x14ac:dyDescent="0.25">
      <c r="A66" s="158"/>
      <c r="B66" s="34"/>
      <c r="G66" s="128"/>
      <c r="H66" s="142">
        <v>61</v>
      </c>
      <c r="I66" s="143" t="str">
        <f t="shared" si="4"/>
        <v/>
      </c>
      <c r="J66" s="142" t="e">
        <f t="shared" si="5"/>
        <v>#NUM!</v>
      </c>
      <c r="K66" s="142" t="e">
        <f t="shared" si="1"/>
        <v>#NUM!</v>
      </c>
      <c r="L66" s="142"/>
      <c r="M66" s="144">
        <f t="shared" si="2"/>
        <v>0</v>
      </c>
    </row>
    <row r="67" spans="1:13" x14ac:dyDescent="0.25">
      <c r="A67" s="158"/>
      <c r="B67" s="40"/>
      <c r="G67" s="128"/>
      <c r="H67" s="142">
        <v>62</v>
      </c>
      <c r="I67" s="143" t="str">
        <f t="shared" si="4"/>
        <v/>
      </c>
      <c r="J67" s="142" t="e">
        <f t="shared" si="5"/>
        <v>#NUM!</v>
      </c>
      <c r="K67" s="142" t="e">
        <f t="shared" si="1"/>
        <v>#NUM!</v>
      </c>
      <c r="L67" s="142"/>
      <c r="M67" s="144">
        <f t="shared" si="2"/>
        <v>0</v>
      </c>
    </row>
    <row r="68" spans="1:13" x14ac:dyDescent="0.25">
      <c r="A68" s="158"/>
      <c r="B68" s="34"/>
      <c r="G68" s="128"/>
      <c r="H68" s="142">
        <v>63</v>
      </c>
      <c r="I68" s="143" t="str">
        <f t="shared" si="4"/>
        <v/>
      </c>
      <c r="J68" s="142" t="e">
        <f t="shared" si="5"/>
        <v>#NUM!</v>
      </c>
      <c r="K68" s="142" t="e">
        <f t="shared" si="1"/>
        <v>#NUM!</v>
      </c>
      <c r="L68" s="142"/>
      <c r="M68" s="144">
        <f t="shared" si="2"/>
        <v>0</v>
      </c>
    </row>
    <row r="69" spans="1:13" x14ac:dyDescent="0.25">
      <c r="A69" s="158"/>
      <c r="B69" s="40"/>
      <c r="G69" s="128"/>
      <c r="H69" s="142">
        <v>64</v>
      </c>
      <c r="I69" s="143" t="str">
        <f t="shared" si="4"/>
        <v/>
      </c>
      <c r="J69" s="142" t="e">
        <f t="shared" si="5"/>
        <v>#NUM!</v>
      </c>
      <c r="K69" s="142" t="e">
        <f t="shared" si="1"/>
        <v>#NUM!</v>
      </c>
      <c r="L69" s="142"/>
      <c r="M69" s="144">
        <f t="shared" si="2"/>
        <v>0</v>
      </c>
    </row>
    <row r="70" spans="1:13" x14ac:dyDescent="0.25">
      <c r="A70" s="158"/>
      <c r="G70" s="128"/>
      <c r="H70" s="142">
        <v>65</v>
      </c>
      <c r="I70" s="143" t="str">
        <f t="shared" si="4"/>
        <v/>
      </c>
      <c r="J70" s="142" t="e">
        <f t="shared" si="5"/>
        <v>#NUM!</v>
      </c>
      <c r="K70" s="142" t="e">
        <f t="shared" ref="K70:K133" si="7">J70*$J$2</f>
        <v>#NUM!</v>
      </c>
      <c r="L70" s="142"/>
      <c r="M70" s="144">
        <f t="shared" ref="M70:M133" si="8">IF(I70&lt;&gt;"",K70+I70+L70,0)</f>
        <v>0</v>
      </c>
    </row>
    <row r="71" spans="1:13" x14ac:dyDescent="0.25">
      <c r="A71" s="158"/>
      <c r="G71" s="128"/>
      <c r="H71" s="142">
        <v>66</v>
      </c>
      <c r="I71" s="143" t="str">
        <f t="shared" ref="I71:I134" si="9">IF(H71&lt;$H$2+1,($I$2-($I$2-1)*(LOG(H71)/LOG($H$2))),"")</f>
        <v/>
      </c>
      <c r="J71" s="142" t="e">
        <f t="shared" ref="J71:J134" si="10">INT(LOG($H$2,2))-ROUNDUP(LOG(H71,2),0)+IF(OR($H$2=1,$H$2=2,$H$2=4,$H$2=8,$H$2=16,$H$2=32,$H$2=64,$H$2=128,$H$2=256),0,1)</f>
        <v>#NUM!</v>
      </c>
      <c r="K71" s="142" t="e">
        <f t="shared" si="7"/>
        <v>#NUM!</v>
      </c>
      <c r="L71" s="142"/>
      <c r="M71" s="144">
        <f t="shared" si="8"/>
        <v>0</v>
      </c>
    </row>
    <row r="72" spans="1:13" x14ac:dyDescent="0.25">
      <c r="A72" s="158"/>
      <c r="G72" s="128"/>
      <c r="H72" s="142">
        <v>67</v>
      </c>
      <c r="I72" s="143" t="str">
        <f t="shared" si="9"/>
        <v/>
      </c>
      <c r="J72" s="142" t="e">
        <f t="shared" si="10"/>
        <v>#NUM!</v>
      </c>
      <c r="K72" s="142" t="e">
        <f t="shared" si="7"/>
        <v>#NUM!</v>
      </c>
      <c r="L72" s="142"/>
      <c r="M72" s="144">
        <f t="shared" si="8"/>
        <v>0</v>
      </c>
    </row>
    <row r="73" spans="1:13" x14ac:dyDescent="0.25">
      <c r="A73" s="158"/>
      <c r="G73" s="128"/>
      <c r="H73" s="142">
        <v>68</v>
      </c>
      <c r="I73" s="143" t="str">
        <f t="shared" si="9"/>
        <v/>
      </c>
      <c r="J73" s="142" t="e">
        <f t="shared" si="10"/>
        <v>#NUM!</v>
      </c>
      <c r="K73" s="142" t="e">
        <f t="shared" si="7"/>
        <v>#NUM!</v>
      </c>
      <c r="L73" s="142"/>
      <c r="M73" s="144">
        <f t="shared" si="8"/>
        <v>0</v>
      </c>
    </row>
    <row r="74" spans="1:13" x14ac:dyDescent="0.25">
      <c r="A74" s="158"/>
      <c r="G74" s="128"/>
      <c r="H74" s="142">
        <v>69</v>
      </c>
      <c r="I74" s="143" t="str">
        <f t="shared" si="9"/>
        <v/>
      </c>
      <c r="J74" s="142" t="e">
        <f t="shared" si="10"/>
        <v>#NUM!</v>
      </c>
      <c r="K74" s="142" t="e">
        <f t="shared" si="7"/>
        <v>#NUM!</v>
      </c>
      <c r="L74" s="142"/>
      <c r="M74" s="144">
        <f t="shared" si="8"/>
        <v>0</v>
      </c>
    </row>
    <row r="75" spans="1:13" x14ac:dyDescent="0.25">
      <c r="A75" s="158"/>
      <c r="G75" s="128"/>
      <c r="H75" s="142">
        <v>70</v>
      </c>
      <c r="I75" s="143" t="str">
        <f t="shared" si="9"/>
        <v/>
      </c>
      <c r="J75" s="142" t="e">
        <f t="shared" si="10"/>
        <v>#NUM!</v>
      </c>
      <c r="K75" s="142" t="e">
        <f t="shared" si="7"/>
        <v>#NUM!</v>
      </c>
      <c r="L75" s="142"/>
      <c r="M75" s="144">
        <f t="shared" si="8"/>
        <v>0</v>
      </c>
    </row>
    <row r="76" spans="1:13" x14ac:dyDescent="0.25">
      <c r="A76" s="158"/>
      <c r="G76" s="128"/>
      <c r="H76" s="142">
        <v>71</v>
      </c>
      <c r="I76" s="143" t="str">
        <f t="shared" si="9"/>
        <v/>
      </c>
      <c r="J76" s="142" t="e">
        <f t="shared" si="10"/>
        <v>#NUM!</v>
      </c>
      <c r="K76" s="142" t="e">
        <f t="shared" si="7"/>
        <v>#NUM!</v>
      </c>
      <c r="L76" s="142"/>
      <c r="M76" s="144">
        <f t="shared" si="8"/>
        <v>0</v>
      </c>
    </row>
    <row r="77" spans="1:13" x14ac:dyDescent="0.25">
      <c r="A77" s="158"/>
      <c r="G77" s="128"/>
      <c r="H77" s="142">
        <v>72</v>
      </c>
      <c r="I77" s="143" t="str">
        <f t="shared" si="9"/>
        <v/>
      </c>
      <c r="J77" s="142" t="e">
        <f t="shared" si="10"/>
        <v>#NUM!</v>
      </c>
      <c r="K77" s="142" t="e">
        <f t="shared" si="7"/>
        <v>#NUM!</v>
      </c>
      <c r="L77" s="142"/>
      <c r="M77" s="144">
        <f t="shared" si="8"/>
        <v>0</v>
      </c>
    </row>
    <row r="78" spans="1:13" x14ac:dyDescent="0.25">
      <c r="A78" s="158"/>
      <c r="G78" s="128"/>
      <c r="H78" s="142">
        <v>73</v>
      </c>
      <c r="I78" s="143" t="str">
        <f t="shared" si="9"/>
        <v/>
      </c>
      <c r="J78" s="142" t="e">
        <f t="shared" si="10"/>
        <v>#NUM!</v>
      </c>
      <c r="K78" s="142" t="e">
        <f t="shared" si="7"/>
        <v>#NUM!</v>
      </c>
      <c r="L78" s="142"/>
      <c r="M78" s="144">
        <f t="shared" si="8"/>
        <v>0</v>
      </c>
    </row>
    <row r="79" spans="1:13" x14ac:dyDescent="0.25">
      <c r="A79" s="158"/>
      <c r="G79" s="128"/>
      <c r="H79" s="142">
        <v>74</v>
      </c>
      <c r="I79" s="143" t="str">
        <f t="shared" si="9"/>
        <v/>
      </c>
      <c r="J79" s="142" t="e">
        <f t="shared" si="10"/>
        <v>#NUM!</v>
      </c>
      <c r="K79" s="142" t="e">
        <f t="shared" si="7"/>
        <v>#NUM!</v>
      </c>
      <c r="L79" s="142"/>
      <c r="M79" s="144">
        <f t="shared" si="8"/>
        <v>0</v>
      </c>
    </row>
    <row r="80" spans="1:13" x14ac:dyDescent="0.25">
      <c r="A80" s="158"/>
      <c r="G80" s="128"/>
      <c r="H80" s="142">
        <v>75</v>
      </c>
      <c r="I80" s="143" t="str">
        <f t="shared" si="9"/>
        <v/>
      </c>
      <c r="J80" s="142" t="e">
        <f t="shared" si="10"/>
        <v>#NUM!</v>
      </c>
      <c r="K80" s="142" t="e">
        <f t="shared" si="7"/>
        <v>#NUM!</v>
      </c>
      <c r="L80" s="142"/>
      <c r="M80" s="144">
        <f t="shared" si="8"/>
        <v>0</v>
      </c>
    </row>
    <row r="81" spans="1:13" x14ac:dyDescent="0.25">
      <c r="A81" s="158"/>
      <c r="G81" s="128"/>
      <c r="H81" s="142">
        <v>76</v>
      </c>
      <c r="I81" s="143" t="str">
        <f t="shared" si="9"/>
        <v/>
      </c>
      <c r="J81" s="142" t="e">
        <f t="shared" si="10"/>
        <v>#NUM!</v>
      </c>
      <c r="K81" s="142" t="e">
        <f t="shared" si="7"/>
        <v>#NUM!</v>
      </c>
      <c r="L81" s="142"/>
      <c r="M81" s="144">
        <f t="shared" si="8"/>
        <v>0</v>
      </c>
    </row>
    <row r="82" spans="1:13" x14ac:dyDescent="0.25">
      <c r="A82" s="158"/>
      <c r="G82" s="128"/>
      <c r="H82" s="142">
        <v>77</v>
      </c>
      <c r="I82" s="143" t="str">
        <f t="shared" si="9"/>
        <v/>
      </c>
      <c r="J82" s="142" t="e">
        <f t="shared" si="10"/>
        <v>#NUM!</v>
      </c>
      <c r="K82" s="142" t="e">
        <f t="shared" si="7"/>
        <v>#NUM!</v>
      </c>
      <c r="L82" s="142"/>
      <c r="M82" s="144">
        <f t="shared" si="8"/>
        <v>0</v>
      </c>
    </row>
    <row r="83" spans="1:13" x14ac:dyDescent="0.25">
      <c r="A83" s="158"/>
      <c r="G83" s="128"/>
      <c r="H83" s="142">
        <v>78</v>
      </c>
      <c r="I83" s="143" t="str">
        <f t="shared" si="9"/>
        <v/>
      </c>
      <c r="J83" s="142" t="e">
        <f t="shared" si="10"/>
        <v>#NUM!</v>
      </c>
      <c r="K83" s="142" t="e">
        <f t="shared" si="7"/>
        <v>#NUM!</v>
      </c>
      <c r="L83" s="142"/>
      <c r="M83" s="144">
        <f t="shared" si="8"/>
        <v>0</v>
      </c>
    </row>
    <row r="84" spans="1:13" x14ac:dyDescent="0.25">
      <c r="A84" s="158"/>
      <c r="G84" s="128"/>
      <c r="H84" s="142">
        <v>79</v>
      </c>
      <c r="I84" s="143" t="str">
        <f t="shared" si="9"/>
        <v/>
      </c>
      <c r="J84" s="142" t="e">
        <f t="shared" si="10"/>
        <v>#NUM!</v>
      </c>
      <c r="K84" s="142" t="e">
        <f t="shared" si="7"/>
        <v>#NUM!</v>
      </c>
      <c r="L84" s="142"/>
      <c r="M84" s="144">
        <f t="shared" si="8"/>
        <v>0</v>
      </c>
    </row>
    <row r="85" spans="1:13" x14ac:dyDescent="0.25">
      <c r="A85" s="158"/>
      <c r="G85" s="128"/>
      <c r="H85" s="142">
        <v>80</v>
      </c>
      <c r="I85" s="143" t="str">
        <f t="shared" si="9"/>
        <v/>
      </c>
      <c r="J85" s="142" t="e">
        <f t="shared" si="10"/>
        <v>#NUM!</v>
      </c>
      <c r="K85" s="142" t="e">
        <f t="shared" si="7"/>
        <v>#NUM!</v>
      </c>
      <c r="L85" s="142"/>
      <c r="M85" s="144">
        <f t="shared" si="8"/>
        <v>0</v>
      </c>
    </row>
    <row r="86" spans="1:13" x14ac:dyDescent="0.25">
      <c r="A86" s="158"/>
      <c r="G86" s="128"/>
      <c r="H86" s="142">
        <v>81</v>
      </c>
      <c r="I86" s="143" t="str">
        <f t="shared" si="9"/>
        <v/>
      </c>
      <c r="J86" s="142" t="e">
        <f t="shared" si="10"/>
        <v>#NUM!</v>
      </c>
      <c r="K86" s="142" t="e">
        <f t="shared" si="7"/>
        <v>#NUM!</v>
      </c>
      <c r="L86" s="142"/>
      <c r="M86" s="144">
        <f t="shared" si="8"/>
        <v>0</v>
      </c>
    </row>
    <row r="87" spans="1:13" x14ac:dyDescent="0.25">
      <c r="A87" s="158"/>
      <c r="G87" s="128"/>
      <c r="H87" s="142">
        <v>82</v>
      </c>
      <c r="I87" s="143" t="str">
        <f t="shared" si="9"/>
        <v/>
      </c>
      <c r="J87" s="142" t="e">
        <f t="shared" si="10"/>
        <v>#NUM!</v>
      </c>
      <c r="K87" s="142" t="e">
        <f t="shared" si="7"/>
        <v>#NUM!</v>
      </c>
      <c r="L87" s="142"/>
      <c r="M87" s="144">
        <f t="shared" si="8"/>
        <v>0</v>
      </c>
    </row>
    <row r="88" spans="1:13" x14ac:dyDescent="0.25">
      <c r="A88" s="158"/>
      <c r="G88" s="128"/>
      <c r="H88" s="142">
        <v>83</v>
      </c>
      <c r="I88" s="143" t="str">
        <f t="shared" si="9"/>
        <v/>
      </c>
      <c r="J88" s="142" t="e">
        <f t="shared" si="10"/>
        <v>#NUM!</v>
      </c>
      <c r="K88" s="142" t="e">
        <f t="shared" si="7"/>
        <v>#NUM!</v>
      </c>
      <c r="L88" s="142"/>
      <c r="M88" s="144">
        <f t="shared" si="8"/>
        <v>0</v>
      </c>
    </row>
    <row r="89" spans="1:13" x14ac:dyDescent="0.25">
      <c r="A89" s="158"/>
      <c r="G89" s="128"/>
      <c r="H89" s="142">
        <v>84</v>
      </c>
      <c r="I89" s="143" t="str">
        <f t="shared" si="9"/>
        <v/>
      </c>
      <c r="J89" s="142" t="e">
        <f t="shared" si="10"/>
        <v>#NUM!</v>
      </c>
      <c r="K89" s="142" t="e">
        <f t="shared" si="7"/>
        <v>#NUM!</v>
      </c>
      <c r="L89" s="142"/>
      <c r="M89" s="144">
        <f t="shared" si="8"/>
        <v>0</v>
      </c>
    </row>
    <row r="90" spans="1:13" x14ac:dyDescent="0.25">
      <c r="A90" s="158"/>
      <c r="G90" s="128"/>
      <c r="H90" s="142">
        <v>85</v>
      </c>
      <c r="I90" s="143" t="str">
        <f t="shared" si="9"/>
        <v/>
      </c>
      <c r="J90" s="142" t="e">
        <f t="shared" si="10"/>
        <v>#NUM!</v>
      </c>
      <c r="K90" s="142" t="e">
        <f t="shared" si="7"/>
        <v>#NUM!</v>
      </c>
      <c r="L90" s="142"/>
      <c r="M90" s="144">
        <f t="shared" si="8"/>
        <v>0</v>
      </c>
    </row>
    <row r="91" spans="1:13" x14ac:dyDescent="0.25">
      <c r="A91" s="158"/>
      <c r="G91" s="128"/>
      <c r="H91" s="142">
        <v>86</v>
      </c>
      <c r="I91" s="143" t="str">
        <f t="shared" si="9"/>
        <v/>
      </c>
      <c r="J91" s="142" t="e">
        <f t="shared" si="10"/>
        <v>#NUM!</v>
      </c>
      <c r="K91" s="142" t="e">
        <f t="shared" si="7"/>
        <v>#NUM!</v>
      </c>
      <c r="L91" s="142"/>
      <c r="M91" s="144">
        <f t="shared" si="8"/>
        <v>0</v>
      </c>
    </row>
    <row r="92" spans="1:13" x14ac:dyDescent="0.25">
      <c r="A92" s="158"/>
      <c r="G92" s="128"/>
      <c r="H92" s="142">
        <v>87</v>
      </c>
      <c r="I92" s="143" t="str">
        <f t="shared" si="9"/>
        <v/>
      </c>
      <c r="J92" s="142" t="e">
        <f t="shared" si="10"/>
        <v>#NUM!</v>
      </c>
      <c r="K92" s="142" t="e">
        <f t="shared" si="7"/>
        <v>#NUM!</v>
      </c>
      <c r="L92" s="142"/>
      <c r="M92" s="144">
        <f t="shared" si="8"/>
        <v>0</v>
      </c>
    </row>
    <row r="93" spans="1:13" x14ac:dyDescent="0.25">
      <c r="A93" s="158"/>
      <c r="G93" s="128"/>
      <c r="H93" s="142">
        <v>88</v>
      </c>
      <c r="I93" s="143" t="str">
        <f t="shared" si="9"/>
        <v/>
      </c>
      <c r="J93" s="142" t="e">
        <f t="shared" si="10"/>
        <v>#NUM!</v>
      </c>
      <c r="K93" s="142" t="e">
        <f t="shared" si="7"/>
        <v>#NUM!</v>
      </c>
      <c r="L93" s="142"/>
      <c r="M93" s="144">
        <f t="shared" si="8"/>
        <v>0</v>
      </c>
    </row>
    <row r="94" spans="1:13" x14ac:dyDescent="0.25">
      <c r="A94" s="158"/>
      <c r="G94" s="128"/>
      <c r="H94" s="142">
        <v>89</v>
      </c>
      <c r="I94" s="143" t="str">
        <f t="shared" si="9"/>
        <v/>
      </c>
      <c r="J94" s="142" t="e">
        <f t="shared" si="10"/>
        <v>#NUM!</v>
      </c>
      <c r="K94" s="142" t="e">
        <f t="shared" si="7"/>
        <v>#NUM!</v>
      </c>
      <c r="L94" s="142"/>
      <c r="M94" s="144">
        <f t="shared" si="8"/>
        <v>0</v>
      </c>
    </row>
    <row r="95" spans="1:13" x14ac:dyDescent="0.25">
      <c r="A95" s="158"/>
      <c r="G95" s="128"/>
      <c r="H95" s="142">
        <v>90</v>
      </c>
      <c r="I95" s="143" t="str">
        <f t="shared" si="9"/>
        <v/>
      </c>
      <c r="J95" s="142" t="e">
        <f t="shared" si="10"/>
        <v>#NUM!</v>
      </c>
      <c r="K95" s="142" t="e">
        <f t="shared" si="7"/>
        <v>#NUM!</v>
      </c>
      <c r="L95" s="142"/>
      <c r="M95" s="144">
        <f t="shared" si="8"/>
        <v>0</v>
      </c>
    </row>
    <row r="96" spans="1:13" x14ac:dyDescent="0.25">
      <c r="A96" s="158"/>
      <c r="G96" s="128"/>
      <c r="H96" s="142">
        <v>91</v>
      </c>
      <c r="I96" s="143" t="str">
        <f t="shared" si="9"/>
        <v/>
      </c>
      <c r="J96" s="142" t="e">
        <f t="shared" si="10"/>
        <v>#NUM!</v>
      </c>
      <c r="K96" s="142" t="e">
        <f t="shared" si="7"/>
        <v>#NUM!</v>
      </c>
      <c r="L96" s="142"/>
      <c r="M96" s="144">
        <f t="shared" si="8"/>
        <v>0</v>
      </c>
    </row>
    <row r="97" spans="1:13" x14ac:dyDescent="0.25">
      <c r="A97" s="158"/>
      <c r="G97" s="128"/>
      <c r="H97" s="142">
        <v>92</v>
      </c>
      <c r="I97" s="143" t="str">
        <f t="shared" si="9"/>
        <v/>
      </c>
      <c r="J97" s="142" t="e">
        <f t="shared" si="10"/>
        <v>#NUM!</v>
      </c>
      <c r="K97" s="142" t="e">
        <f t="shared" si="7"/>
        <v>#NUM!</v>
      </c>
      <c r="L97" s="142"/>
      <c r="M97" s="144">
        <f t="shared" si="8"/>
        <v>0</v>
      </c>
    </row>
    <row r="98" spans="1:13" x14ac:dyDescent="0.25">
      <c r="A98" s="158"/>
      <c r="G98" s="128"/>
      <c r="H98" s="142">
        <v>93</v>
      </c>
      <c r="I98" s="143" t="str">
        <f t="shared" si="9"/>
        <v/>
      </c>
      <c r="J98" s="142" t="e">
        <f t="shared" si="10"/>
        <v>#NUM!</v>
      </c>
      <c r="K98" s="142" t="e">
        <f t="shared" si="7"/>
        <v>#NUM!</v>
      </c>
      <c r="L98" s="142"/>
      <c r="M98" s="144">
        <f t="shared" si="8"/>
        <v>0</v>
      </c>
    </row>
    <row r="99" spans="1:13" x14ac:dyDescent="0.25">
      <c r="A99" s="158"/>
      <c r="G99" s="128"/>
      <c r="H99" s="142">
        <v>94</v>
      </c>
      <c r="I99" s="143" t="str">
        <f t="shared" si="9"/>
        <v/>
      </c>
      <c r="J99" s="142" t="e">
        <f t="shared" si="10"/>
        <v>#NUM!</v>
      </c>
      <c r="K99" s="142" t="e">
        <f t="shared" si="7"/>
        <v>#NUM!</v>
      </c>
      <c r="L99" s="142"/>
      <c r="M99" s="144">
        <f t="shared" si="8"/>
        <v>0</v>
      </c>
    </row>
    <row r="100" spans="1:13" x14ac:dyDescent="0.25">
      <c r="A100" s="158"/>
      <c r="G100" s="128"/>
      <c r="H100" s="142">
        <v>95</v>
      </c>
      <c r="I100" s="143" t="str">
        <f t="shared" si="9"/>
        <v/>
      </c>
      <c r="J100" s="142" t="e">
        <f t="shared" si="10"/>
        <v>#NUM!</v>
      </c>
      <c r="K100" s="142" t="e">
        <f t="shared" si="7"/>
        <v>#NUM!</v>
      </c>
      <c r="L100" s="142"/>
      <c r="M100" s="144">
        <f t="shared" si="8"/>
        <v>0</v>
      </c>
    </row>
    <row r="101" spans="1:13" x14ac:dyDescent="0.25">
      <c r="A101" s="158"/>
      <c r="G101" s="128"/>
      <c r="H101" s="142">
        <v>96</v>
      </c>
      <c r="I101" s="143" t="str">
        <f t="shared" si="9"/>
        <v/>
      </c>
      <c r="J101" s="142" t="e">
        <f t="shared" si="10"/>
        <v>#NUM!</v>
      </c>
      <c r="K101" s="142" t="e">
        <f t="shared" si="7"/>
        <v>#NUM!</v>
      </c>
      <c r="L101" s="142"/>
      <c r="M101" s="144">
        <f t="shared" si="8"/>
        <v>0</v>
      </c>
    </row>
    <row r="102" spans="1:13" x14ac:dyDescent="0.25">
      <c r="A102" s="158"/>
      <c r="G102" s="128"/>
      <c r="H102" s="142">
        <v>97</v>
      </c>
      <c r="I102" s="143" t="str">
        <f t="shared" si="9"/>
        <v/>
      </c>
      <c r="J102" s="142" t="e">
        <f t="shared" si="10"/>
        <v>#NUM!</v>
      </c>
      <c r="K102" s="142" t="e">
        <f t="shared" si="7"/>
        <v>#NUM!</v>
      </c>
      <c r="L102" s="142"/>
      <c r="M102" s="144">
        <f t="shared" si="8"/>
        <v>0</v>
      </c>
    </row>
    <row r="103" spans="1:13" x14ac:dyDescent="0.25">
      <c r="A103" s="158"/>
      <c r="G103" s="128"/>
      <c r="H103" s="142">
        <v>98</v>
      </c>
      <c r="I103" s="143" t="str">
        <f t="shared" si="9"/>
        <v/>
      </c>
      <c r="J103" s="142" t="e">
        <f t="shared" si="10"/>
        <v>#NUM!</v>
      </c>
      <c r="K103" s="142" t="e">
        <f t="shared" si="7"/>
        <v>#NUM!</v>
      </c>
      <c r="L103" s="142"/>
      <c r="M103" s="144">
        <f t="shared" si="8"/>
        <v>0</v>
      </c>
    </row>
    <row r="104" spans="1:13" x14ac:dyDescent="0.25">
      <c r="A104" s="158"/>
      <c r="G104" s="128"/>
      <c r="H104" s="142">
        <v>99</v>
      </c>
      <c r="I104" s="143" t="str">
        <f t="shared" si="9"/>
        <v/>
      </c>
      <c r="J104" s="142" t="e">
        <f t="shared" si="10"/>
        <v>#NUM!</v>
      </c>
      <c r="K104" s="142" t="e">
        <f t="shared" si="7"/>
        <v>#NUM!</v>
      </c>
      <c r="L104" s="142"/>
      <c r="M104" s="144">
        <f t="shared" si="8"/>
        <v>0</v>
      </c>
    </row>
    <row r="105" spans="1:13" x14ac:dyDescent="0.25">
      <c r="A105" s="158"/>
      <c r="G105" s="128"/>
      <c r="H105" s="142">
        <v>100</v>
      </c>
      <c r="I105" s="143" t="str">
        <f t="shared" si="9"/>
        <v/>
      </c>
      <c r="J105" s="142" t="e">
        <f t="shared" si="10"/>
        <v>#NUM!</v>
      </c>
      <c r="K105" s="142" t="e">
        <f t="shared" si="7"/>
        <v>#NUM!</v>
      </c>
      <c r="L105" s="142"/>
      <c r="M105" s="144">
        <f t="shared" si="8"/>
        <v>0</v>
      </c>
    </row>
    <row r="106" spans="1:13" x14ac:dyDescent="0.25">
      <c r="A106" s="158"/>
      <c r="G106" s="128"/>
      <c r="H106" s="142">
        <v>101</v>
      </c>
      <c r="I106" s="143" t="str">
        <f t="shared" si="9"/>
        <v/>
      </c>
      <c r="J106" s="142" t="e">
        <f t="shared" si="10"/>
        <v>#NUM!</v>
      </c>
      <c r="K106" s="142" t="e">
        <f t="shared" si="7"/>
        <v>#NUM!</v>
      </c>
      <c r="L106" s="142"/>
      <c r="M106" s="144">
        <f t="shared" si="8"/>
        <v>0</v>
      </c>
    </row>
    <row r="107" spans="1:13" x14ac:dyDescent="0.25">
      <c r="A107" s="158"/>
      <c r="G107" s="128"/>
      <c r="H107" s="142">
        <v>102</v>
      </c>
      <c r="I107" s="143" t="str">
        <f t="shared" si="9"/>
        <v/>
      </c>
      <c r="J107" s="142" t="e">
        <f t="shared" si="10"/>
        <v>#NUM!</v>
      </c>
      <c r="K107" s="142" t="e">
        <f t="shared" si="7"/>
        <v>#NUM!</v>
      </c>
      <c r="L107" s="142"/>
      <c r="M107" s="144">
        <f t="shared" si="8"/>
        <v>0</v>
      </c>
    </row>
    <row r="108" spans="1:13" x14ac:dyDescent="0.25">
      <c r="A108" s="158"/>
      <c r="G108" s="128"/>
      <c r="H108" s="142">
        <v>103</v>
      </c>
      <c r="I108" s="143" t="str">
        <f t="shared" si="9"/>
        <v/>
      </c>
      <c r="J108" s="142" t="e">
        <f t="shared" si="10"/>
        <v>#NUM!</v>
      </c>
      <c r="K108" s="142" t="e">
        <f t="shared" si="7"/>
        <v>#NUM!</v>
      </c>
      <c r="L108" s="142"/>
      <c r="M108" s="144">
        <f t="shared" si="8"/>
        <v>0</v>
      </c>
    </row>
    <row r="109" spans="1:13" x14ac:dyDescent="0.25">
      <c r="A109" s="158"/>
      <c r="G109" s="128"/>
      <c r="H109" s="142">
        <v>104</v>
      </c>
      <c r="I109" s="143" t="str">
        <f t="shared" si="9"/>
        <v/>
      </c>
      <c r="J109" s="142" t="e">
        <f t="shared" si="10"/>
        <v>#NUM!</v>
      </c>
      <c r="K109" s="142" t="e">
        <f t="shared" si="7"/>
        <v>#NUM!</v>
      </c>
      <c r="L109" s="142"/>
      <c r="M109" s="144">
        <f t="shared" si="8"/>
        <v>0</v>
      </c>
    </row>
    <row r="110" spans="1:13" x14ac:dyDescent="0.25">
      <c r="A110" s="158"/>
      <c r="G110" s="128"/>
      <c r="H110" s="142">
        <v>105</v>
      </c>
      <c r="I110" s="143" t="str">
        <f t="shared" si="9"/>
        <v/>
      </c>
      <c r="J110" s="142" t="e">
        <f t="shared" si="10"/>
        <v>#NUM!</v>
      </c>
      <c r="K110" s="142" t="e">
        <f t="shared" si="7"/>
        <v>#NUM!</v>
      </c>
      <c r="L110" s="142"/>
      <c r="M110" s="144">
        <f t="shared" si="8"/>
        <v>0</v>
      </c>
    </row>
    <row r="111" spans="1:13" x14ac:dyDescent="0.25">
      <c r="A111" s="158"/>
      <c r="G111" s="128"/>
      <c r="H111" s="142">
        <v>106</v>
      </c>
      <c r="I111" s="143" t="str">
        <f t="shared" si="9"/>
        <v/>
      </c>
      <c r="J111" s="142" t="e">
        <f t="shared" si="10"/>
        <v>#NUM!</v>
      </c>
      <c r="K111" s="142" t="e">
        <f t="shared" si="7"/>
        <v>#NUM!</v>
      </c>
      <c r="L111" s="142"/>
      <c r="M111" s="144">
        <f t="shared" si="8"/>
        <v>0</v>
      </c>
    </row>
    <row r="112" spans="1:13" x14ac:dyDescent="0.25">
      <c r="A112" s="158"/>
      <c r="G112" s="128"/>
      <c r="H112" s="142">
        <v>107</v>
      </c>
      <c r="I112" s="143" t="str">
        <f t="shared" si="9"/>
        <v/>
      </c>
      <c r="J112" s="142" t="e">
        <f t="shared" si="10"/>
        <v>#NUM!</v>
      </c>
      <c r="K112" s="142" t="e">
        <f t="shared" si="7"/>
        <v>#NUM!</v>
      </c>
      <c r="L112" s="142"/>
      <c r="M112" s="144">
        <f t="shared" si="8"/>
        <v>0</v>
      </c>
    </row>
    <row r="113" spans="1:13" x14ac:dyDescent="0.25">
      <c r="A113" s="158"/>
      <c r="G113" s="128"/>
      <c r="H113" s="142">
        <v>108</v>
      </c>
      <c r="I113" s="143" t="str">
        <f t="shared" si="9"/>
        <v/>
      </c>
      <c r="J113" s="142" t="e">
        <f t="shared" si="10"/>
        <v>#NUM!</v>
      </c>
      <c r="K113" s="142" t="e">
        <f t="shared" si="7"/>
        <v>#NUM!</v>
      </c>
      <c r="L113" s="142"/>
      <c r="M113" s="144">
        <f t="shared" si="8"/>
        <v>0</v>
      </c>
    </row>
    <row r="114" spans="1:13" x14ac:dyDescent="0.25">
      <c r="A114" s="158"/>
      <c r="G114" s="128"/>
      <c r="H114" s="142">
        <v>109</v>
      </c>
      <c r="I114" s="143" t="str">
        <f t="shared" si="9"/>
        <v/>
      </c>
      <c r="J114" s="142" t="e">
        <f t="shared" si="10"/>
        <v>#NUM!</v>
      </c>
      <c r="K114" s="142" t="e">
        <f t="shared" si="7"/>
        <v>#NUM!</v>
      </c>
      <c r="L114" s="142"/>
      <c r="M114" s="144">
        <f t="shared" si="8"/>
        <v>0</v>
      </c>
    </row>
    <row r="115" spans="1:13" x14ac:dyDescent="0.25">
      <c r="A115" s="158"/>
      <c r="G115" s="128"/>
      <c r="H115" s="142">
        <v>110</v>
      </c>
      <c r="I115" s="143" t="str">
        <f t="shared" si="9"/>
        <v/>
      </c>
      <c r="J115" s="142" t="e">
        <f t="shared" si="10"/>
        <v>#NUM!</v>
      </c>
      <c r="K115" s="142" t="e">
        <f t="shared" si="7"/>
        <v>#NUM!</v>
      </c>
      <c r="L115" s="142"/>
      <c r="M115" s="144">
        <f t="shared" si="8"/>
        <v>0</v>
      </c>
    </row>
    <row r="116" spans="1:13" x14ac:dyDescent="0.25">
      <c r="A116" s="158"/>
      <c r="G116" s="128"/>
      <c r="H116" s="142">
        <v>111</v>
      </c>
      <c r="I116" s="143" t="str">
        <f t="shared" si="9"/>
        <v/>
      </c>
      <c r="J116" s="142" t="e">
        <f t="shared" si="10"/>
        <v>#NUM!</v>
      </c>
      <c r="K116" s="142" t="e">
        <f t="shared" si="7"/>
        <v>#NUM!</v>
      </c>
      <c r="L116" s="142"/>
      <c r="M116" s="144">
        <f t="shared" si="8"/>
        <v>0</v>
      </c>
    </row>
    <row r="117" spans="1:13" x14ac:dyDescent="0.25">
      <c r="A117" s="158"/>
      <c r="G117" s="128"/>
      <c r="H117" s="142">
        <v>112</v>
      </c>
      <c r="I117" s="143" t="str">
        <f t="shared" si="9"/>
        <v/>
      </c>
      <c r="J117" s="142" t="e">
        <f t="shared" si="10"/>
        <v>#NUM!</v>
      </c>
      <c r="K117" s="142" t="e">
        <f t="shared" si="7"/>
        <v>#NUM!</v>
      </c>
      <c r="L117" s="142"/>
      <c r="M117" s="144">
        <f t="shared" si="8"/>
        <v>0</v>
      </c>
    </row>
    <row r="118" spans="1:13" x14ac:dyDescent="0.25">
      <c r="A118" s="158"/>
      <c r="G118" s="128"/>
      <c r="H118" s="142">
        <v>113</v>
      </c>
      <c r="I118" s="143" t="str">
        <f t="shared" si="9"/>
        <v/>
      </c>
      <c r="J118" s="142" t="e">
        <f t="shared" si="10"/>
        <v>#NUM!</v>
      </c>
      <c r="K118" s="142" t="e">
        <f t="shared" si="7"/>
        <v>#NUM!</v>
      </c>
      <c r="L118" s="142"/>
      <c r="M118" s="144">
        <f t="shared" si="8"/>
        <v>0</v>
      </c>
    </row>
    <row r="119" spans="1:13" x14ac:dyDescent="0.25">
      <c r="A119" s="158"/>
      <c r="G119" s="128"/>
      <c r="H119" s="142">
        <v>114</v>
      </c>
      <c r="I119" s="143" t="str">
        <f t="shared" si="9"/>
        <v/>
      </c>
      <c r="J119" s="142" t="e">
        <f t="shared" si="10"/>
        <v>#NUM!</v>
      </c>
      <c r="K119" s="142" t="e">
        <f t="shared" si="7"/>
        <v>#NUM!</v>
      </c>
      <c r="L119" s="142"/>
      <c r="M119" s="144">
        <f t="shared" si="8"/>
        <v>0</v>
      </c>
    </row>
    <row r="120" spans="1:13" x14ac:dyDescent="0.25">
      <c r="A120" s="158"/>
      <c r="G120" s="128"/>
      <c r="H120" s="142">
        <v>115</v>
      </c>
      <c r="I120" s="143" t="str">
        <f t="shared" si="9"/>
        <v/>
      </c>
      <c r="J120" s="142" t="e">
        <f t="shared" si="10"/>
        <v>#NUM!</v>
      </c>
      <c r="K120" s="142" t="e">
        <f t="shared" si="7"/>
        <v>#NUM!</v>
      </c>
      <c r="L120" s="142"/>
      <c r="M120" s="144">
        <f t="shared" si="8"/>
        <v>0</v>
      </c>
    </row>
    <row r="121" spans="1:13" x14ac:dyDescent="0.25">
      <c r="A121" s="158"/>
      <c r="G121" s="128"/>
      <c r="H121" s="142">
        <v>116</v>
      </c>
      <c r="I121" s="143" t="str">
        <f t="shared" si="9"/>
        <v/>
      </c>
      <c r="J121" s="142" t="e">
        <f t="shared" si="10"/>
        <v>#NUM!</v>
      </c>
      <c r="K121" s="142" t="e">
        <f t="shared" si="7"/>
        <v>#NUM!</v>
      </c>
      <c r="L121" s="142"/>
      <c r="M121" s="144">
        <f t="shared" si="8"/>
        <v>0</v>
      </c>
    </row>
    <row r="122" spans="1:13" x14ac:dyDescent="0.25">
      <c r="A122" s="158"/>
      <c r="G122" s="128"/>
      <c r="H122" s="142">
        <v>117</v>
      </c>
      <c r="I122" s="143" t="str">
        <f t="shared" si="9"/>
        <v/>
      </c>
      <c r="J122" s="142" t="e">
        <f t="shared" si="10"/>
        <v>#NUM!</v>
      </c>
      <c r="K122" s="142" t="e">
        <f t="shared" si="7"/>
        <v>#NUM!</v>
      </c>
      <c r="L122" s="142"/>
      <c r="M122" s="144">
        <f t="shared" si="8"/>
        <v>0</v>
      </c>
    </row>
    <row r="123" spans="1:13" x14ac:dyDescent="0.25">
      <c r="A123" s="158"/>
      <c r="G123" s="128"/>
      <c r="H123" s="142">
        <v>118</v>
      </c>
      <c r="I123" s="143" t="str">
        <f t="shared" si="9"/>
        <v/>
      </c>
      <c r="J123" s="142" t="e">
        <f t="shared" si="10"/>
        <v>#NUM!</v>
      </c>
      <c r="K123" s="142" t="e">
        <f t="shared" si="7"/>
        <v>#NUM!</v>
      </c>
      <c r="L123" s="142"/>
      <c r="M123" s="144">
        <f t="shared" si="8"/>
        <v>0</v>
      </c>
    </row>
    <row r="124" spans="1:13" x14ac:dyDescent="0.25">
      <c r="A124" s="158"/>
      <c r="G124" s="128"/>
      <c r="H124" s="142">
        <v>119</v>
      </c>
      <c r="I124" s="143" t="str">
        <f t="shared" si="9"/>
        <v/>
      </c>
      <c r="J124" s="142" t="e">
        <f t="shared" si="10"/>
        <v>#NUM!</v>
      </c>
      <c r="K124" s="142" t="e">
        <f t="shared" si="7"/>
        <v>#NUM!</v>
      </c>
      <c r="L124" s="142"/>
      <c r="M124" s="144">
        <f t="shared" si="8"/>
        <v>0</v>
      </c>
    </row>
    <row r="125" spans="1:13" x14ac:dyDescent="0.25">
      <c r="A125" s="158"/>
      <c r="G125" s="128"/>
      <c r="H125" s="142">
        <v>120</v>
      </c>
      <c r="I125" s="143" t="str">
        <f t="shared" si="9"/>
        <v/>
      </c>
      <c r="J125" s="142" t="e">
        <f t="shared" si="10"/>
        <v>#NUM!</v>
      </c>
      <c r="K125" s="142" t="e">
        <f t="shared" si="7"/>
        <v>#NUM!</v>
      </c>
      <c r="L125" s="142"/>
      <c r="M125" s="144">
        <f t="shared" si="8"/>
        <v>0</v>
      </c>
    </row>
    <row r="126" spans="1:13" x14ac:dyDescent="0.25">
      <c r="A126" s="158"/>
      <c r="G126" s="128"/>
      <c r="H126" s="142">
        <v>121</v>
      </c>
      <c r="I126" s="143" t="str">
        <f t="shared" si="9"/>
        <v/>
      </c>
      <c r="J126" s="142" t="e">
        <f t="shared" si="10"/>
        <v>#NUM!</v>
      </c>
      <c r="K126" s="142" t="e">
        <f t="shared" si="7"/>
        <v>#NUM!</v>
      </c>
      <c r="L126" s="142"/>
      <c r="M126" s="144">
        <f t="shared" si="8"/>
        <v>0</v>
      </c>
    </row>
    <row r="127" spans="1:13" x14ac:dyDescent="0.25">
      <c r="A127" s="158"/>
      <c r="G127" s="128"/>
      <c r="H127" s="142">
        <v>122</v>
      </c>
      <c r="I127" s="143" t="str">
        <f t="shared" si="9"/>
        <v/>
      </c>
      <c r="J127" s="142" t="e">
        <f t="shared" si="10"/>
        <v>#NUM!</v>
      </c>
      <c r="K127" s="142" t="e">
        <f t="shared" si="7"/>
        <v>#NUM!</v>
      </c>
      <c r="L127" s="142"/>
      <c r="M127" s="144">
        <f t="shared" si="8"/>
        <v>0</v>
      </c>
    </row>
    <row r="128" spans="1:13" x14ac:dyDescent="0.25">
      <c r="A128" s="158"/>
      <c r="G128" s="128"/>
      <c r="H128" s="142">
        <v>123</v>
      </c>
      <c r="I128" s="143" t="str">
        <f t="shared" si="9"/>
        <v/>
      </c>
      <c r="J128" s="142" t="e">
        <f t="shared" si="10"/>
        <v>#NUM!</v>
      </c>
      <c r="K128" s="142" t="e">
        <f t="shared" si="7"/>
        <v>#NUM!</v>
      </c>
      <c r="L128" s="142"/>
      <c r="M128" s="144">
        <f t="shared" si="8"/>
        <v>0</v>
      </c>
    </row>
    <row r="129" spans="1:13" x14ac:dyDescent="0.25">
      <c r="A129" s="158"/>
      <c r="G129" s="128"/>
      <c r="H129" s="142">
        <v>124</v>
      </c>
      <c r="I129" s="143" t="str">
        <f t="shared" si="9"/>
        <v/>
      </c>
      <c r="J129" s="142" t="e">
        <f t="shared" si="10"/>
        <v>#NUM!</v>
      </c>
      <c r="K129" s="142" t="e">
        <f t="shared" si="7"/>
        <v>#NUM!</v>
      </c>
      <c r="L129" s="142"/>
      <c r="M129" s="144">
        <f t="shared" si="8"/>
        <v>0</v>
      </c>
    </row>
    <row r="130" spans="1:13" x14ac:dyDescent="0.25">
      <c r="A130" s="158"/>
      <c r="G130" s="128"/>
      <c r="H130" s="142">
        <v>125</v>
      </c>
      <c r="I130" s="143" t="str">
        <f t="shared" si="9"/>
        <v/>
      </c>
      <c r="J130" s="142" t="e">
        <f t="shared" si="10"/>
        <v>#NUM!</v>
      </c>
      <c r="K130" s="142" t="e">
        <f t="shared" si="7"/>
        <v>#NUM!</v>
      </c>
      <c r="L130" s="142"/>
      <c r="M130" s="144">
        <f t="shared" si="8"/>
        <v>0</v>
      </c>
    </row>
    <row r="131" spans="1:13" x14ac:dyDescent="0.25">
      <c r="A131" s="158"/>
      <c r="G131" s="128"/>
      <c r="H131" s="142">
        <v>126</v>
      </c>
      <c r="I131" s="143" t="str">
        <f t="shared" si="9"/>
        <v/>
      </c>
      <c r="J131" s="142" t="e">
        <f t="shared" si="10"/>
        <v>#NUM!</v>
      </c>
      <c r="K131" s="142" t="e">
        <f t="shared" si="7"/>
        <v>#NUM!</v>
      </c>
      <c r="L131" s="142"/>
      <c r="M131" s="144">
        <f t="shared" si="8"/>
        <v>0</v>
      </c>
    </row>
    <row r="132" spans="1:13" x14ac:dyDescent="0.25">
      <c r="A132" s="158"/>
      <c r="G132" s="128"/>
      <c r="H132" s="142">
        <v>127</v>
      </c>
      <c r="I132" s="143" t="str">
        <f t="shared" si="9"/>
        <v/>
      </c>
      <c r="J132" s="142" t="e">
        <f t="shared" si="10"/>
        <v>#NUM!</v>
      </c>
      <c r="K132" s="142" t="e">
        <f t="shared" si="7"/>
        <v>#NUM!</v>
      </c>
      <c r="L132" s="142"/>
      <c r="M132" s="144">
        <f t="shared" si="8"/>
        <v>0</v>
      </c>
    </row>
    <row r="133" spans="1:13" x14ac:dyDescent="0.25">
      <c r="A133" s="158"/>
      <c r="G133" s="128"/>
      <c r="H133" s="142">
        <v>128</v>
      </c>
      <c r="I133" s="143" t="str">
        <f t="shared" si="9"/>
        <v/>
      </c>
      <c r="J133" s="142" t="e">
        <f t="shared" si="10"/>
        <v>#NUM!</v>
      </c>
      <c r="K133" s="142" t="e">
        <f t="shared" si="7"/>
        <v>#NUM!</v>
      </c>
      <c r="L133" s="142"/>
      <c r="M133" s="144">
        <f t="shared" si="8"/>
        <v>0</v>
      </c>
    </row>
    <row r="134" spans="1:13" x14ac:dyDescent="0.25">
      <c r="A134" s="158"/>
      <c r="G134" s="128"/>
      <c r="H134" s="142">
        <v>129</v>
      </c>
      <c r="I134" s="143" t="str">
        <f t="shared" si="9"/>
        <v/>
      </c>
      <c r="J134" s="142" t="e">
        <f t="shared" si="10"/>
        <v>#NUM!</v>
      </c>
      <c r="K134" s="142" t="e">
        <f t="shared" ref="K134:K197" si="11">J134*$J$2</f>
        <v>#NUM!</v>
      </c>
      <c r="L134" s="142"/>
      <c r="M134" s="144">
        <f t="shared" ref="M134:M197" si="12">IF(I134&lt;&gt;"",K134+I134+L134,0)</f>
        <v>0</v>
      </c>
    </row>
    <row r="135" spans="1:13" x14ac:dyDescent="0.25">
      <c r="A135" s="158"/>
      <c r="G135" s="128"/>
      <c r="H135" s="142">
        <v>130</v>
      </c>
      <c r="I135" s="143" t="str">
        <f t="shared" ref="I135:I198" si="13">IF(H135&lt;$H$2+1,($I$2-($I$2-1)*(LOG(H135)/LOG($H$2))),"")</f>
        <v/>
      </c>
      <c r="J135" s="142" t="e">
        <f t="shared" ref="J135:J198" si="14">INT(LOG($H$2,2))-ROUNDUP(LOG(H135,2),0)+IF(OR($H$2=1,$H$2=2,$H$2=4,$H$2=8,$H$2=16,$H$2=32,$H$2=64,$H$2=128,$H$2=256),0,1)</f>
        <v>#NUM!</v>
      </c>
      <c r="K135" s="142" t="e">
        <f t="shared" si="11"/>
        <v>#NUM!</v>
      </c>
      <c r="L135" s="142"/>
      <c r="M135" s="144">
        <f t="shared" si="12"/>
        <v>0</v>
      </c>
    </row>
    <row r="136" spans="1:13" x14ac:dyDescent="0.25">
      <c r="A136" s="158"/>
      <c r="G136" s="128"/>
      <c r="H136" s="142">
        <v>131</v>
      </c>
      <c r="I136" s="143" t="str">
        <f t="shared" si="13"/>
        <v/>
      </c>
      <c r="J136" s="142" t="e">
        <f t="shared" si="14"/>
        <v>#NUM!</v>
      </c>
      <c r="K136" s="142" t="e">
        <f t="shared" si="11"/>
        <v>#NUM!</v>
      </c>
      <c r="L136" s="142"/>
      <c r="M136" s="144">
        <f t="shared" si="12"/>
        <v>0</v>
      </c>
    </row>
    <row r="137" spans="1:13" x14ac:dyDescent="0.25">
      <c r="A137" s="158"/>
      <c r="G137" s="128"/>
      <c r="H137" s="142">
        <v>132</v>
      </c>
      <c r="I137" s="143" t="str">
        <f t="shared" si="13"/>
        <v/>
      </c>
      <c r="J137" s="142" t="e">
        <f t="shared" si="14"/>
        <v>#NUM!</v>
      </c>
      <c r="K137" s="142" t="e">
        <f t="shared" si="11"/>
        <v>#NUM!</v>
      </c>
      <c r="L137" s="142"/>
      <c r="M137" s="144">
        <f t="shared" si="12"/>
        <v>0</v>
      </c>
    </row>
    <row r="138" spans="1:13" x14ac:dyDescent="0.25">
      <c r="A138" s="158"/>
      <c r="G138" s="128"/>
      <c r="H138" s="142">
        <v>133</v>
      </c>
      <c r="I138" s="143" t="str">
        <f t="shared" si="13"/>
        <v/>
      </c>
      <c r="J138" s="142" t="e">
        <f t="shared" si="14"/>
        <v>#NUM!</v>
      </c>
      <c r="K138" s="142" t="e">
        <f t="shared" si="11"/>
        <v>#NUM!</v>
      </c>
      <c r="L138" s="142"/>
      <c r="M138" s="144">
        <f t="shared" si="12"/>
        <v>0</v>
      </c>
    </row>
    <row r="139" spans="1:13" x14ac:dyDescent="0.25">
      <c r="A139" s="158"/>
      <c r="G139" s="128"/>
      <c r="H139" s="142">
        <v>134</v>
      </c>
      <c r="I139" s="143" t="str">
        <f t="shared" si="13"/>
        <v/>
      </c>
      <c r="J139" s="142" t="e">
        <f t="shared" si="14"/>
        <v>#NUM!</v>
      </c>
      <c r="K139" s="142" t="e">
        <f t="shared" si="11"/>
        <v>#NUM!</v>
      </c>
      <c r="L139" s="142"/>
      <c r="M139" s="144">
        <f t="shared" si="12"/>
        <v>0</v>
      </c>
    </row>
    <row r="140" spans="1:13" x14ac:dyDescent="0.25">
      <c r="A140" s="158"/>
      <c r="G140" s="128"/>
      <c r="H140" s="142">
        <v>135</v>
      </c>
      <c r="I140" s="143" t="str">
        <f t="shared" si="13"/>
        <v/>
      </c>
      <c r="J140" s="142" t="e">
        <f t="shared" si="14"/>
        <v>#NUM!</v>
      </c>
      <c r="K140" s="142" t="e">
        <f t="shared" si="11"/>
        <v>#NUM!</v>
      </c>
      <c r="L140" s="142"/>
      <c r="M140" s="144">
        <f t="shared" si="12"/>
        <v>0</v>
      </c>
    </row>
    <row r="141" spans="1:13" x14ac:dyDescent="0.25">
      <c r="A141" s="158"/>
      <c r="G141" s="128"/>
      <c r="H141" s="142">
        <v>136</v>
      </c>
      <c r="I141" s="143" t="str">
        <f t="shared" si="13"/>
        <v/>
      </c>
      <c r="J141" s="142" t="e">
        <f t="shared" si="14"/>
        <v>#NUM!</v>
      </c>
      <c r="K141" s="142" t="e">
        <f t="shared" si="11"/>
        <v>#NUM!</v>
      </c>
      <c r="L141" s="142"/>
      <c r="M141" s="144">
        <f t="shared" si="12"/>
        <v>0</v>
      </c>
    </row>
    <row r="142" spans="1:13" x14ac:dyDescent="0.25">
      <c r="A142" s="158"/>
      <c r="G142" s="128"/>
      <c r="H142" s="142">
        <v>137</v>
      </c>
      <c r="I142" s="143" t="str">
        <f t="shared" si="13"/>
        <v/>
      </c>
      <c r="J142" s="142" t="e">
        <f t="shared" si="14"/>
        <v>#NUM!</v>
      </c>
      <c r="K142" s="142" t="e">
        <f t="shared" si="11"/>
        <v>#NUM!</v>
      </c>
      <c r="L142" s="142"/>
      <c r="M142" s="144">
        <f t="shared" si="12"/>
        <v>0</v>
      </c>
    </row>
    <row r="143" spans="1:13" x14ac:dyDescent="0.25">
      <c r="A143" s="158"/>
      <c r="G143" s="128"/>
      <c r="H143" s="142">
        <v>138</v>
      </c>
      <c r="I143" s="143" t="str">
        <f t="shared" si="13"/>
        <v/>
      </c>
      <c r="J143" s="142" t="e">
        <f t="shared" si="14"/>
        <v>#NUM!</v>
      </c>
      <c r="K143" s="142" t="e">
        <f t="shared" si="11"/>
        <v>#NUM!</v>
      </c>
      <c r="L143" s="142"/>
      <c r="M143" s="144">
        <f t="shared" si="12"/>
        <v>0</v>
      </c>
    </row>
    <row r="144" spans="1:13" x14ac:dyDescent="0.25">
      <c r="A144" s="158"/>
      <c r="G144" s="128"/>
      <c r="H144" s="142">
        <v>139</v>
      </c>
      <c r="I144" s="143" t="str">
        <f t="shared" si="13"/>
        <v/>
      </c>
      <c r="J144" s="142" t="e">
        <f t="shared" si="14"/>
        <v>#NUM!</v>
      </c>
      <c r="K144" s="142" t="e">
        <f t="shared" si="11"/>
        <v>#NUM!</v>
      </c>
      <c r="L144" s="142"/>
      <c r="M144" s="144">
        <f t="shared" si="12"/>
        <v>0</v>
      </c>
    </row>
    <row r="145" spans="1:13" x14ac:dyDescent="0.25">
      <c r="A145" s="158"/>
      <c r="G145" s="128"/>
      <c r="H145" s="142">
        <v>140</v>
      </c>
      <c r="I145" s="143" t="str">
        <f t="shared" si="13"/>
        <v/>
      </c>
      <c r="J145" s="142" t="e">
        <f t="shared" si="14"/>
        <v>#NUM!</v>
      </c>
      <c r="K145" s="142" t="e">
        <f t="shared" si="11"/>
        <v>#NUM!</v>
      </c>
      <c r="L145" s="142"/>
      <c r="M145" s="144">
        <f t="shared" si="12"/>
        <v>0</v>
      </c>
    </row>
    <row r="146" spans="1:13" x14ac:dyDescent="0.25">
      <c r="A146" s="158"/>
      <c r="G146" s="128"/>
      <c r="H146" s="142">
        <v>141</v>
      </c>
      <c r="I146" s="143" t="str">
        <f t="shared" si="13"/>
        <v/>
      </c>
      <c r="J146" s="142" t="e">
        <f t="shared" si="14"/>
        <v>#NUM!</v>
      </c>
      <c r="K146" s="142" t="e">
        <f t="shared" si="11"/>
        <v>#NUM!</v>
      </c>
      <c r="L146" s="142"/>
      <c r="M146" s="144">
        <f t="shared" si="12"/>
        <v>0</v>
      </c>
    </row>
    <row r="147" spans="1:13" x14ac:dyDescent="0.25">
      <c r="A147" s="158"/>
      <c r="G147" s="128"/>
      <c r="H147" s="142">
        <v>142</v>
      </c>
      <c r="I147" s="143" t="str">
        <f t="shared" si="13"/>
        <v/>
      </c>
      <c r="J147" s="142" t="e">
        <f t="shared" si="14"/>
        <v>#NUM!</v>
      </c>
      <c r="K147" s="142" t="e">
        <f t="shared" si="11"/>
        <v>#NUM!</v>
      </c>
      <c r="L147" s="142"/>
      <c r="M147" s="144">
        <f t="shared" si="12"/>
        <v>0</v>
      </c>
    </row>
    <row r="148" spans="1:13" x14ac:dyDescent="0.25">
      <c r="A148" s="158"/>
      <c r="G148" s="128"/>
      <c r="H148" s="142">
        <v>143</v>
      </c>
      <c r="I148" s="143" t="str">
        <f t="shared" si="13"/>
        <v/>
      </c>
      <c r="J148" s="142" t="e">
        <f t="shared" si="14"/>
        <v>#NUM!</v>
      </c>
      <c r="K148" s="142" t="e">
        <f t="shared" si="11"/>
        <v>#NUM!</v>
      </c>
      <c r="L148" s="142"/>
      <c r="M148" s="144">
        <f t="shared" si="12"/>
        <v>0</v>
      </c>
    </row>
    <row r="149" spans="1:13" x14ac:dyDescent="0.25">
      <c r="A149" s="158"/>
      <c r="G149" s="128"/>
      <c r="H149" s="142">
        <v>144</v>
      </c>
      <c r="I149" s="143" t="str">
        <f t="shared" si="13"/>
        <v/>
      </c>
      <c r="J149" s="142" t="e">
        <f t="shared" si="14"/>
        <v>#NUM!</v>
      </c>
      <c r="K149" s="142" t="e">
        <f t="shared" si="11"/>
        <v>#NUM!</v>
      </c>
      <c r="L149" s="142"/>
      <c r="M149" s="144">
        <f t="shared" si="12"/>
        <v>0</v>
      </c>
    </row>
    <row r="150" spans="1:13" x14ac:dyDescent="0.25">
      <c r="A150" s="158"/>
      <c r="G150" s="128"/>
      <c r="H150" s="142">
        <v>145</v>
      </c>
      <c r="I150" s="143" t="str">
        <f t="shared" si="13"/>
        <v/>
      </c>
      <c r="J150" s="142" t="e">
        <f t="shared" si="14"/>
        <v>#NUM!</v>
      </c>
      <c r="K150" s="142" t="e">
        <f t="shared" si="11"/>
        <v>#NUM!</v>
      </c>
      <c r="L150" s="142"/>
      <c r="M150" s="144">
        <f t="shared" si="12"/>
        <v>0</v>
      </c>
    </row>
    <row r="151" spans="1:13" x14ac:dyDescent="0.25">
      <c r="A151" s="158"/>
      <c r="G151" s="128"/>
      <c r="H151" s="142">
        <v>146</v>
      </c>
      <c r="I151" s="143" t="str">
        <f t="shared" si="13"/>
        <v/>
      </c>
      <c r="J151" s="142" t="e">
        <f t="shared" si="14"/>
        <v>#NUM!</v>
      </c>
      <c r="K151" s="142" t="e">
        <f t="shared" si="11"/>
        <v>#NUM!</v>
      </c>
      <c r="L151" s="142"/>
      <c r="M151" s="144">
        <f t="shared" si="12"/>
        <v>0</v>
      </c>
    </row>
    <row r="152" spans="1:13" x14ac:dyDescent="0.25">
      <c r="A152" s="158"/>
      <c r="G152" s="128"/>
      <c r="H152" s="142">
        <v>147</v>
      </c>
      <c r="I152" s="143" t="str">
        <f t="shared" si="13"/>
        <v/>
      </c>
      <c r="J152" s="142" t="e">
        <f t="shared" si="14"/>
        <v>#NUM!</v>
      </c>
      <c r="K152" s="142" t="e">
        <f t="shared" si="11"/>
        <v>#NUM!</v>
      </c>
      <c r="L152" s="142"/>
      <c r="M152" s="144">
        <f t="shared" si="12"/>
        <v>0</v>
      </c>
    </row>
    <row r="153" spans="1:13" x14ac:dyDescent="0.25">
      <c r="A153" s="158"/>
      <c r="G153" s="128"/>
      <c r="H153" s="142">
        <v>148</v>
      </c>
      <c r="I153" s="143" t="str">
        <f t="shared" si="13"/>
        <v/>
      </c>
      <c r="J153" s="142" t="e">
        <f t="shared" si="14"/>
        <v>#NUM!</v>
      </c>
      <c r="K153" s="142" t="e">
        <f t="shared" si="11"/>
        <v>#NUM!</v>
      </c>
      <c r="L153" s="142"/>
      <c r="M153" s="144">
        <f t="shared" si="12"/>
        <v>0</v>
      </c>
    </row>
    <row r="154" spans="1:13" x14ac:dyDescent="0.25">
      <c r="A154" s="158"/>
      <c r="G154" s="128"/>
      <c r="H154" s="142">
        <v>149</v>
      </c>
      <c r="I154" s="143" t="str">
        <f t="shared" si="13"/>
        <v/>
      </c>
      <c r="J154" s="142" t="e">
        <f t="shared" si="14"/>
        <v>#NUM!</v>
      </c>
      <c r="K154" s="142" t="e">
        <f t="shared" si="11"/>
        <v>#NUM!</v>
      </c>
      <c r="L154" s="142"/>
      <c r="M154" s="144">
        <f t="shared" si="12"/>
        <v>0</v>
      </c>
    </row>
    <row r="155" spans="1:13" x14ac:dyDescent="0.25">
      <c r="A155" s="158"/>
      <c r="G155" s="128"/>
      <c r="H155" s="142">
        <v>150</v>
      </c>
      <c r="I155" s="143" t="str">
        <f t="shared" si="13"/>
        <v/>
      </c>
      <c r="J155" s="142" t="e">
        <f t="shared" si="14"/>
        <v>#NUM!</v>
      </c>
      <c r="K155" s="142" t="e">
        <f t="shared" si="11"/>
        <v>#NUM!</v>
      </c>
      <c r="L155" s="142"/>
      <c r="M155" s="144">
        <f t="shared" si="12"/>
        <v>0</v>
      </c>
    </row>
    <row r="156" spans="1:13" x14ac:dyDescent="0.25">
      <c r="A156" s="158"/>
      <c r="G156" s="128"/>
      <c r="H156" s="142">
        <v>151</v>
      </c>
      <c r="I156" s="143" t="str">
        <f t="shared" si="13"/>
        <v/>
      </c>
      <c r="J156" s="142" t="e">
        <f t="shared" si="14"/>
        <v>#NUM!</v>
      </c>
      <c r="K156" s="142" t="e">
        <f t="shared" si="11"/>
        <v>#NUM!</v>
      </c>
      <c r="L156" s="142"/>
      <c r="M156" s="144">
        <f t="shared" si="12"/>
        <v>0</v>
      </c>
    </row>
    <row r="157" spans="1:13" x14ac:dyDescent="0.25">
      <c r="A157" s="158"/>
      <c r="G157" s="128"/>
      <c r="H157" s="142">
        <v>152</v>
      </c>
      <c r="I157" s="143" t="str">
        <f t="shared" si="13"/>
        <v/>
      </c>
      <c r="J157" s="142" t="e">
        <f t="shared" si="14"/>
        <v>#NUM!</v>
      </c>
      <c r="K157" s="142" t="e">
        <f t="shared" si="11"/>
        <v>#NUM!</v>
      </c>
      <c r="L157" s="142"/>
      <c r="M157" s="144">
        <f t="shared" si="12"/>
        <v>0</v>
      </c>
    </row>
    <row r="158" spans="1:13" x14ac:dyDescent="0.25">
      <c r="A158" s="158"/>
      <c r="G158" s="128"/>
      <c r="H158" s="142">
        <v>153</v>
      </c>
      <c r="I158" s="143" t="str">
        <f t="shared" si="13"/>
        <v/>
      </c>
      <c r="J158" s="142" t="e">
        <f t="shared" si="14"/>
        <v>#NUM!</v>
      </c>
      <c r="K158" s="142" t="e">
        <f t="shared" si="11"/>
        <v>#NUM!</v>
      </c>
      <c r="L158" s="142"/>
      <c r="M158" s="144">
        <f t="shared" si="12"/>
        <v>0</v>
      </c>
    </row>
    <row r="159" spans="1:13" x14ac:dyDescent="0.25">
      <c r="A159" s="158"/>
      <c r="G159" s="128"/>
      <c r="H159" s="142">
        <v>154</v>
      </c>
      <c r="I159" s="143" t="str">
        <f t="shared" si="13"/>
        <v/>
      </c>
      <c r="J159" s="142" t="e">
        <f t="shared" si="14"/>
        <v>#NUM!</v>
      </c>
      <c r="K159" s="142" t="e">
        <f t="shared" si="11"/>
        <v>#NUM!</v>
      </c>
      <c r="L159" s="142"/>
      <c r="M159" s="144">
        <f t="shared" si="12"/>
        <v>0</v>
      </c>
    </row>
    <row r="160" spans="1:13" x14ac:dyDescent="0.25">
      <c r="A160" s="158"/>
      <c r="G160" s="128"/>
      <c r="H160" s="142">
        <v>155</v>
      </c>
      <c r="I160" s="143" t="str">
        <f t="shared" si="13"/>
        <v/>
      </c>
      <c r="J160" s="142" t="e">
        <f t="shared" si="14"/>
        <v>#NUM!</v>
      </c>
      <c r="K160" s="142" t="e">
        <f t="shared" si="11"/>
        <v>#NUM!</v>
      </c>
      <c r="L160" s="142"/>
      <c r="M160" s="144">
        <f t="shared" si="12"/>
        <v>0</v>
      </c>
    </row>
    <row r="161" spans="1:13" x14ac:dyDescent="0.25">
      <c r="A161" s="158"/>
      <c r="G161" s="128"/>
      <c r="H161" s="142">
        <v>156</v>
      </c>
      <c r="I161" s="143" t="str">
        <f t="shared" si="13"/>
        <v/>
      </c>
      <c r="J161" s="142" t="e">
        <f t="shared" si="14"/>
        <v>#NUM!</v>
      </c>
      <c r="K161" s="142" t="e">
        <f t="shared" si="11"/>
        <v>#NUM!</v>
      </c>
      <c r="L161" s="142"/>
      <c r="M161" s="144">
        <f t="shared" si="12"/>
        <v>0</v>
      </c>
    </row>
    <row r="162" spans="1:13" x14ac:dyDescent="0.25">
      <c r="A162" s="158"/>
      <c r="G162" s="128"/>
      <c r="H162" s="142">
        <v>157</v>
      </c>
      <c r="I162" s="143" t="str">
        <f t="shared" si="13"/>
        <v/>
      </c>
      <c r="J162" s="142" t="e">
        <f t="shared" si="14"/>
        <v>#NUM!</v>
      </c>
      <c r="K162" s="142" t="e">
        <f t="shared" si="11"/>
        <v>#NUM!</v>
      </c>
      <c r="L162" s="142"/>
      <c r="M162" s="144">
        <f t="shared" si="12"/>
        <v>0</v>
      </c>
    </row>
    <row r="163" spans="1:13" x14ac:dyDescent="0.25">
      <c r="A163" s="158"/>
      <c r="G163" s="128"/>
      <c r="H163" s="142">
        <v>158</v>
      </c>
      <c r="I163" s="143" t="str">
        <f t="shared" si="13"/>
        <v/>
      </c>
      <c r="J163" s="142" t="e">
        <f t="shared" si="14"/>
        <v>#NUM!</v>
      </c>
      <c r="K163" s="142" t="e">
        <f t="shared" si="11"/>
        <v>#NUM!</v>
      </c>
      <c r="L163" s="142"/>
      <c r="M163" s="144">
        <f t="shared" si="12"/>
        <v>0</v>
      </c>
    </row>
    <row r="164" spans="1:13" x14ac:dyDescent="0.25">
      <c r="A164" s="158"/>
      <c r="G164" s="128"/>
      <c r="H164" s="142">
        <v>159</v>
      </c>
      <c r="I164" s="143" t="str">
        <f t="shared" si="13"/>
        <v/>
      </c>
      <c r="J164" s="142" t="e">
        <f t="shared" si="14"/>
        <v>#NUM!</v>
      </c>
      <c r="K164" s="142" t="e">
        <f t="shared" si="11"/>
        <v>#NUM!</v>
      </c>
      <c r="L164" s="142"/>
      <c r="M164" s="144">
        <f t="shared" si="12"/>
        <v>0</v>
      </c>
    </row>
    <row r="165" spans="1:13" x14ac:dyDescent="0.25">
      <c r="A165" s="158"/>
      <c r="G165" s="128"/>
      <c r="H165" s="142">
        <v>160</v>
      </c>
      <c r="I165" s="143" t="str">
        <f t="shared" si="13"/>
        <v/>
      </c>
      <c r="J165" s="142" t="e">
        <f t="shared" si="14"/>
        <v>#NUM!</v>
      </c>
      <c r="K165" s="142" t="e">
        <f t="shared" si="11"/>
        <v>#NUM!</v>
      </c>
      <c r="L165" s="142"/>
      <c r="M165" s="144">
        <f t="shared" si="12"/>
        <v>0</v>
      </c>
    </row>
    <row r="166" spans="1:13" x14ac:dyDescent="0.25">
      <c r="A166" s="158"/>
      <c r="G166" s="128"/>
      <c r="H166" s="142">
        <v>161</v>
      </c>
      <c r="I166" s="143" t="str">
        <f t="shared" si="13"/>
        <v/>
      </c>
      <c r="J166" s="142" t="e">
        <f t="shared" si="14"/>
        <v>#NUM!</v>
      </c>
      <c r="K166" s="142" t="e">
        <f t="shared" si="11"/>
        <v>#NUM!</v>
      </c>
      <c r="L166" s="142"/>
      <c r="M166" s="144">
        <f t="shared" si="12"/>
        <v>0</v>
      </c>
    </row>
    <row r="167" spans="1:13" x14ac:dyDescent="0.25">
      <c r="A167" s="158"/>
      <c r="G167" s="128"/>
      <c r="H167" s="142">
        <v>162</v>
      </c>
      <c r="I167" s="143" t="str">
        <f t="shared" si="13"/>
        <v/>
      </c>
      <c r="J167" s="142" t="e">
        <f t="shared" si="14"/>
        <v>#NUM!</v>
      </c>
      <c r="K167" s="142" t="e">
        <f t="shared" si="11"/>
        <v>#NUM!</v>
      </c>
      <c r="L167" s="142"/>
      <c r="M167" s="144">
        <f t="shared" si="12"/>
        <v>0</v>
      </c>
    </row>
    <row r="168" spans="1:13" x14ac:dyDescent="0.25">
      <c r="A168" s="158"/>
      <c r="G168" s="128"/>
      <c r="H168" s="142">
        <v>163</v>
      </c>
      <c r="I168" s="143" t="str">
        <f t="shared" si="13"/>
        <v/>
      </c>
      <c r="J168" s="142" t="e">
        <f t="shared" si="14"/>
        <v>#NUM!</v>
      </c>
      <c r="K168" s="142" t="e">
        <f t="shared" si="11"/>
        <v>#NUM!</v>
      </c>
      <c r="L168" s="142"/>
      <c r="M168" s="144">
        <f t="shared" si="12"/>
        <v>0</v>
      </c>
    </row>
    <row r="169" spans="1:13" x14ac:dyDescent="0.25">
      <c r="A169" s="158"/>
      <c r="G169" s="128"/>
      <c r="H169" s="142">
        <v>164</v>
      </c>
      <c r="I169" s="143" t="str">
        <f t="shared" si="13"/>
        <v/>
      </c>
      <c r="J169" s="142" t="e">
        <f t="shared" si="14"/>
        <v>#NUM!</v>
      </c>
      <c r="K169" s="142" t="e">
        <f t="shared" si="11"/>
        <v>#NUM!</v>
      </c>
      <c r="L169" s="142"/>
      <c r="M169" s="144">
        <f t="shared" si="12"/>
        <v>0</v>
      </c>
    </row>
    <row r="170" spans="1:13" x14ac:dyDescent="0.25">
      <c r="A170" s="158"/>
      <c r="G170" s="128"/>
      <c r="H170" s="142">
        <v>165</v>
      </c>
      <c r="I170" s="143" t="str">
        <f t="shared" si="13"/>
        <v/>
      </c>
      <c r="J170" s="142" t="e">
        <f t="shared" si="14"/>
        <v>#NUM!</v>
      </c>
      <c r="K170" s="142" t="e">
        <f t="shared" si="11"/>
        <v>#NUM!</v>
      </c>
      <c r="L170" s="142"/>
      <c r="M170" s="144">
        <f t="shared" si="12"/>
        <v>0</v>
      </c>
    </row>
    <row r="171" spans="1:13" x14ac:dyDescent="0.25">
      <c r="A171" s="158"/>
      <c r="G171" s="128"/>
      <c r="H171" s="142">
        <v>166</v>
      </c>
      <c r="I171" s="143" t="str">
        <f t="shared" si="13"/>
        <v/>
      </c>
      <c r="J171" s="142" t="e">
        <f t="shared" si="14"/>
        <v>#NUM!</v>
      </c>
      <c r="K171" s="142" t="e">
        <f t="shared" si="11"/>
        <v>#NUM!</v>
      </c>
      <c r="L171" s="142"/>
      <c r="M171" s="144">
        <f t="shared" si="12"/>
        <v>0</v>
      </c>
    </row>
    <row r="172" spans="1:13" x14ac:dyDescent="0.25">
      <c r="A172" s="158"/>
      <c r="G172" s="128"/>
      <c r="H172" s="142">
        <v>167</v>
      </c>
      <c r="I172" s="143" t="str">
        <f t="shared" si="13"/>
        <v/>
      </c>
      <c r="J172" s="142" t="e">
        <f t="shared" si="14"/>
        <v>#NUM!</v>
      </c>
      <c r="K172" s="142" t="e">
        <f t="shared" si="11"/>
        <v>#NUM!</v>
      </c>
      <c r="L172" s="142"/>
      <c r="M172" s="144">
        <f t="shared" si="12"/>
        <v>0</v>
      </c>
    </row>
    <row r="173" spans="1:13" x14ac:dyDescent="0.25">
      <c r="A173" s="158"/>
      <c r="G173" s="128"/>
      <c r="H173" s="142">
        <v>168</v>
      </c>
      <c r="I173" s="143" t="str">
        <f t="shared" si="13"/>
        <v/>
      </c>
      <c r="J173" s="142" t="e">
        <f t="shared" si="14"/>
        <v>#NUM!</v>
      </c>
      <c r="K173" s="142" t="e">
        <f t="shared" si="11"/>
        <v>#NUM!</v>
      </c>
      <c r="L173" s="142"/>
      <c r="M173" s="144">
        <f t="shared" si="12"/>
        <v>0</v>
      </c>
    </row>
    <row r="174" spans="1:13" x14ac:dyDescent="0.25">
      <c r="A174" s="158"/>
      <c r="G174" s="128"/>
      <c r="H174" s="142">
        <v>169</v>
      </c>
      <c r="I174" s="143" t="str">
        <f t="shared" si="13"/>
        <v/>
      </c>
      <c r="J174" s="142" t="e">
        <f t="shared" si="14"/>
        <v>#NUM!</v>
      </c>
      <c r="K174" s="142" t="e">
        <f t="shared" si="11"/>
        <v>#NUM!</v>
      </c>
      <c r="L174" s="142"/>
      <c r="M174" s="144">
        <f t="shared" si="12"/>
        <v>0</v>
      </c>
    </row>
    <row r="175" spans="1:13" x14ac:dyDescent="0.25">
      <c r="A175" s="158"/>
      <c r="G175" s="128"/>
      <c r="H175" s="142">
        <v>170</v>
      </c>
      <c r="I175" s="143" t="str">
        <f t="shared" si="13"/>
        <v/>
      </c>
      <c r="J175" s="142" t="e">
        <f t="shared" si="14"/>
        <v>#NUM!</v>
      </c>
      <c r="K175" s="142" t="e">
        <f t="shared" si="11"/>
        <v>#NUM!</v>
      </c>
      <c r="L175" s="142"/>
      <c r="M175" s="144">
        <f t="shared" si="12"/>
        <v>0</v>
      </c>
    </row>
    <row r="176" spans="1:13" x14ac:dyDescent="0.25">
      <c r="A176" s="158"/>
      <c r="G176" s="128"/>
      <c r="H176" s="142">
        <v>171</v>
      </c>
      <c r="I176" s="143" t="str">
        <f t="shared" si="13"/>
        <v/>
      </c>
      <c r="J176" s="142" t="e">
        <f t="shared" si="14"/>
        <v>#NUM!</v>
      </c>
      <c r="K176" s="142" t="e">
        <f t="shared" si="11"/>
        <v>#NUM!</v>
      </c>
      <c r="L176" s="142"/>
      <c r="M176" s="144">
        <f t="shared" si="12"/>
        <v>0</v>
      </c>
    </row>
    <row r="177" spans="1:13" x14ac:dyDescent="0.25">
      <c r="A177" s="158"/>
      <c r="G177" s="128"/>
      <c r="H177" s="142">
        <v>172</v>
      </c>
      <c r="I177" s="143" t="str">
        <f t="shared" si="13"/>
        <v/>
      </c>
      <c r="J177" s="142" t="e">
        <f t="shared" si="14"/>
        <v>#NUM!</v>
      </c>
      <c r="K177" s="142" t="e">
        <f t="shared" si="11"/>
        <v>#NUM!</v>
      </c>
      <c r="L177" s="142"/>
      <c r="M177" s="144">
        <f t="shared" si="12"/>
        <v>0</v>
      </c>
    </row>
    <row r="178" spans="1:13" x14ac:dyDescent="0.25">
      <c r="A178" s="158"/>
      <c r="G178" s="128"/>
      <c r="H178" s="142">
        <v>173</v>
      </c>
      <c r="I178" s="143" t="str">
        <f t="shared" si="13"/>
        <v/>
      </c>
      <c r="J178" s="142" t="e">
        <f t="shared" si="14"/>
        <v>#NUM!</v>
      </c>
      <c r="K178" s="142" t="e">
        <f t="shared" si="11"/>
        <v>#NUM!</v>
      </c>
      <c r="L178" s="142"/>
      <c r="M178" s="144">
        <f t="shared" si="12"/>
        <v>0</v>
      </c>
    </row>
    <row r="179" spans="1:13" x14ac:dyDescent="0.25">
      <c r="A179" s="158"/>
      <c r="G179" s="128"/>
      <c r="H179" s="142">
        <v>174</v>
      </c>
      <c r="I179" s="143" t="str">
        <f t="shared" si="13"/>
        <v/>
      </c>
      <c r="J179" s="142" t="e">
        <f t="shared" si="14"/>
        <v>#NUM!</v>
      </c>
      <c r="K179" s="142" t="e">
        <f t="shared" si="11"/>
        <v>#NUM!</v>
      </c>
      <c r="L179" s="142"/>
      <c r="M179" s="144">
        <f t="shared" si="12"/>
        <v>0</v>
      </c>
    </row>
    <row r="180" spans="1:13" x14ac:dyDescent="0.25">
      <c r="A180" s="158"/>
      <c r="G180" s="128"/>
      <c r="H180" s="142">
        <v>175</v>
      </c>
      <c r="I180" s="143" t="str">
        <f t="shared" si="13"/>
        <v/>
      </c>
      <c r="J180" s="142" t="e">
        <f t="shared" si="14"/>
        <v>#NUM!</v>
      </c>
      <c r="K180" s="142" t="e">
        <f t="shared" si="11"/>
        <v>#NUM!</v>
      </c>
      <c r="L180" s="142"/>
      <c r="M180" s="144">
        <f t="shared" si="12"/>
        <v>0</v>
      </c>
    </row>
    <row r="181" spans="1:13" x14ac:dyDescent="0.25">
      <c r="A181" s="158"/>
      <c r="G181" s="128"/>
      <c r="H181" s="142">
        <v>176</v>
      </c>
      <c r="I181" s="143" t="str">
        <f t="shared" si="13"/>
        <v/>
      </c>
      <c r="J181" s="142" t="e">
        <f t="shared" si="14"/>
        <v>#NUM!</v>
      </c>
      <c r="K181" s="142" t="e">
        <f t="shared" si="11"/>
        <v>#NUM!</v>
      </c>
      <c r="L181" s="142"/>
      <c r="M181" s="144">
        <f t="shared" si="12"/>
        <v>0</v>
      </c>
    </row>
    <row r="182" spans="1:13" x14ac:dyDescent="0.25">
      <c r="A182" s="158"/>
      <c r="G182" s="128"/>
      <c r="H182" s="142">
        <v>177</v>
      </c>
      <c r="I182" s="143" t="str">
        <f t="shared" si="13"/>
        <v/>
      </c>
      <c r="J182" s="142" t="e">
        <f t="shared" si="14"/>
        <v>#NUM!</v>
      </c>
      <c r="K182" s="142" t="e">
        <f t="shared" si="11"/>
        <v>#NUM!</v>
      </c>
      <c r="L182" s="142"/>
      <c r="M182" s="144">
        <f t="shared" si="12"/>
        <v>0</v>
      </c>
    </row>
    <row r="183" spans="1:13" x14ac:dyDescent="0.25">
      <c r="A183" s="158"/>
      <c r="G183" s="128"/>
      <c r="H183" s="142">
        <v>178</v>
      </c>
      <c r="I183" s="143" t="str">
        <f t="shared" si="13"/>
        <v/>
      </c>
      <c r="J183" s="142" t="e">
        <f t="shared" si="14"/>
        <v>#NUM!</v>
      </c>
      <c r="K183" s="142" t="e">
        <f t="shared" si="11"/>
        <v>#NUM!</v>
      </c>
      <c r="L183" s="142"/>
      <c r="M183" s="144">
        <f t="shared" si="12"/>
        <v>0</v>
      </c>
    </row>
    <row r="184" spans="1:13" x14ac:dyDescent="0.25">
      <c r="A184" s="158"/>
      <c r="G184" s="128"/>
      <c r="H184" s="142">
        <v>179</v>
      </c>
      <c r="I184" s="143" t="str">
        <f t="shared" si="13"/>
        <v/>
      </c>
      <c r="J184" s="142" t="e">
        <f t="shared" si="14"/>
        <v>#NUM!</v>
      </c>
      <c r="K184" s="142" t="e">
        <f t="shared" si="11"/>
        <v>#NUM!</v>
      </c>
      <c r="L184" s="142"/>
      <c r="M184" s="144">
        <f t="shared" si="12"/>
        <v>0</v>
      </c>
    </row>
    <row r="185" spans="1:13" x14ac:dyDescent="0.25">
      <c r="A185" s="158"/>
      <c r="G185" s="128"/>
      <c r="H185" s="142">
        <v>180</v>
      </c>
      <c r="I185" s="143" t="str">
        <f t="shared" si="13"/>
        <v/>
      </c>
      <c r="J185" s="142" t="e">
        <f t="shared" si="14"/>
        <v>#NUM!</v>
      </c>
      <c r="K185" s="142" t="e">
        <f t="shared" si="11"/>
        <v>#NUM!</v>
      </c>
      <c r="L185" s="142"/>
      <c r="M185" s="144">
        <f t="shared" si="12"/>
        <v>0</v>
      </c>
    </row>
    <row r="186" spans="1:13" x14ac:dyDescent="0.25">
      <c r="A186" s="158"/>
      <c r="G186" s="128"/>
      <c r="H186" s="142">
        <v>181</v>
      </c>
      <c r="I186" s="143" t="str">
        <f t="shared" si="13"/>
        <v/>
      </c>
      <c r="J186" s="142" t="e">
        <f t="shared" si="14"/>
        <v>#NUM!</v>
      </c>
      <c r="K186" s="142" t="e">
        <f t="shared" si="11"/>
        <v>#NUM!</v>
      </c>
      <c r="L186" s="142"/>
      <c r="M186" s="144">
        <f t="shared" si="12"/>
        <v>0</v>
      </c>
    </row>
    <row r="187" spans="1:13" x14ac:dyDescent="0.25">
      <c r="A187" s="158"/>
      <c r="G187" s="128"/>
      <c r="H187" s="142">
        <v>182</v>
      </c>
      <c r="I187" s="143" t="str">
        <f t="shared" si="13"/>
        <v/>
      </c>
      <c r="J187" s="142" t="e">
        <f t="shared" si="14"/>
        <v>#NUM!</v>
      </c>
      <c r="K187" s="142" t="e">
        <f t="shared" si="11"/>
        <v>#NUM!</v>
      </c>
      <c r="L187" s="142"/>
      <c r="M187" s="144">
        <f t="shared" si="12"/>
        <v>0</v>
      </c>
    </row>
    <row r="188" spans="1:13" x14ac:dyDescent="0.25">
      <c r="A188" s="158"/>
      <c r="G188" s="128"/>
      <c r="H188" s="142">
        <v>183</v>
      </c>
      <c r="I188" s="143" t="str">
        <f t="shared" si="13"/>
        <v/>
      </c>
      <c r="J188" s="142" t="e">
        <f t="shared" si="14"/>
        <v>#NUM!</v>
      </c>
      <c r="K188" s="142" t="e">
        <f t="shared" si="11"/>
        <v>#NUM!</v>
      </c>
      <c r="L188" s="142"/>
      <c r="M188" s="144">
        <f t="shared" si="12"/>
        <v>0</v>
      </c>
    </row>
    <row r="189" spans="1:13" x14ac:dyDescent="0.25">
      <c r="A189" s="158"/>
      <c r="G189" s="128"/>
      <c r="H189" s="142">
        <v>184</v>
      </c>
      <c r="I189" s="143" t="str">
        <f t="shared" si="13"/>
        <v/>
      </c>
      <c r="J189" s="142" t="e">
        <f t="shared" si="14"/>
        <v>#NUM!</v>
      </c>
      <c r="K189" s="142" t="e">
        <f t="shared" si="11"/>
        <v>#NUM!</v>
      </c>
      <c r="L189" s="142"/>
      <c r="M189" s="144">
        <f t="shared" si="12"/>
        <v>0</v>
      </c>
    </row>
    <row r="190" spans="1:13" x14ac:dyDescent="0.25">
      <c r="A190" s="158"/>
      <c r="G190" s="128"/>
      <c r="H190" s="142">
        <v>185</v>
      </c>
      <c r="I190" s="143" t="str">
        <f t="shared" si="13"/>
        <v/>
      </c>
      <c r="J190" s="142" t="e">
        <f t="shared" si="14"/>
        <v>#NUM!</v>
      </c>
      <c r="K190" s="142" t="e">
        <f t="shared" si="11"/>
        <v>#NUM!</v>
      </c>
      <c r="L190" s="142"/>
      <c r="M190" s="144">
        <f t="shared" si="12"/>
        <v>0</v>
      </c>
    </row>
    <row r="191" spans="1:13" x14ac:dyDescent="0.25">
      <c r="A191" s="158"/>
      <c r="G191" s="128"/>
      <c r="H191" s="142">
        <v>186</v>
      </c>
      <c r="I191" s="143" t="str">
        <f t="shared" si="13"/>
        <v/>
      </c>
      <c r="J191" s="142" t="e">
        <f t="shared" si="14"/>
        <v>#NUM!</v>
      </c>
      <c r="K191" s="142" t="e">
        <f t="shared" si="11"/>
        <v>#NUM!</v>
      </c>
      <c r="L191" s="142"/>
      <c r="M191" s="144">
        <f t="shared" si="12"/>
        <v>0</v>
      </c>
    </row>
    <row r="192" spans="1:13" x14ac:dyDescent="0.25">
      <c r="A192" s="158"/>
      <c r="G192" s="128"/>
      <c r="H192" s="142">
        <v>187</v>
      </c>
      <c r="I192" s="143" t="str">
        <f t="shared" si="13"/>
        <v/>
      </c>
      <c r="J192" s="142" t="e">
        <f t="shared" si="14"/>
        <v>#NUM!</v>
      </c>
      <c r="K192" s="142" t="e">
        <f t="shared" si="11"/>
        <v>#NUM!</v>
      </c>
      <c r="L192" s="142"/>
      <c r="M192" s="144">
        <f t="shared" si="12"/>
        <v>0</v>
      </c>
    </row>
    <row r="193" spans="1:13" x14ac:dyDescent="0.25">
      <c r="A193" s="158"/>
      <c r="G193" s="128"/>
      <c r="H193" s="142">
        <v>188</v>
      </c>
      <c r="I193" s="143" t="str">
        <f t="shared" si="13"/>
        <v/>
      </c>
      <c r="J193" s="142" t="e">
        <f t="shared" si="14"/>
        <v>#NUM!</v>
      </c>
      <c r="K193" s="142" t="e">
        <f t="shared" si="11"/>
        <v>#NUM!</v>
      </c>
      <c r="L193" s="142"/>
      <c r="M193" s="144">
        <f t="shared" si="12"/>
        <v>0</v>
      </c>
    </row>
    <row r="194" spans="1:13" x14ac:dyDescent="0.25">
      <c r="A194" s="158"/>
      <c r="G194" s="128"/>
      <c r="H194" s="142">
        <v>189</v>
      </c>
      <c r="I194" s="143" t="str">
        <f t="shared" si="13"/>
        <v/>
      </c>
      <c r="J194" s="142" t="e">
        <f t="shared" si="14"/>
        <v>#NUM!</v>
      </c>
      <c r="K194" s="142" t="e">
        <f t="shared" si="11"/>
        <v>#NUM!</v>
      </c>
      <c r="L194" s="142"/>
      <c r="M194" s="144">
        <f t="shared" si="12"/>
        <v>0</v>
      </c>
    </row>
    <row r="195" spans="1:13" x14ac:dyDescent="0.25">
      <c r="A195" s="158"/>
      <c r="G195" s="128"/>
      <c r="H195" s="142">
        <v>190</v>
      </c>
      <c r="I195" s="143" t="str">
        <f t="shared" si="13"/>
        <v/>
      </c>
      <c r="J195" s="142" t="e">
        <f t="shared" si="14"/>
        <v>#NUM!</v>
      </c>
      <c r="K195" s="142" t="e">
        <f t="shared" si="11"/>
        <v>#NUM!</v>
      </c>
      <c r="L195" s="142"/>
      <c r="M195" s="144">
        <f t="shared" si="12"/>
        <v>0</v>
      </c>
    </row>
    <row r="196" spans="1:13" x14ac:dyDescent="0.25">
      <c r="A196" s="158"/>
      <c r="G196" s="128"/>
      <c r="H196" s="142">
        <v>191</v>
      </c>
      <c r="I196" s="143" t="str">
        <f t="shared" si="13"/>
        <v/>
      </c>
      <c r="J196" s="142" t="e">
        <f t="shared" si="14"/>
        <v>#NUM!</v>
      </c>
      <c r="K196" s="142" t="e">
        <f t="shared" si="11"/>
        <v>#NUM!</v>
      </c>
      <c r="L196" s="142"/>
      <c r="M196" s="144">
        <f t="shared" si="12"/>
        <v>0</v>
      </c>
    </row>
    <row r="197" spans="1:13" x14ac:dyDescent="0.25">
      <c r="A197" s="158"/>
      <c r="G197" s="128"/>
      <c r="H197" s="142">
        <v>192</v>
      </c>
      <c r="I197" s="143" t="str">
        <f t="shared" si="13"/>
        <v/>
      </c>
      <c r="J197" s="142" t="e">
        <f t="shared" si="14"/>
        <v>#NUM!</v>
      </c>
      <c r="K197" s="142" t="e">
        <f t="shared" si="11"/>
        <v>#NUM!</v>
      </c>
      <c r="L197" s="142"/>
      <c r="M197" s="144">
        <f t="shared" si="12"/>
        <v>0</v>
      </c>
    </row>
    <row r="198" spans="1:13" x14ac:dyDescent="0.25">
      <c r="A198" s="158"/>
      <c r="G198" s="128"/>
      <c r="H198" s="142">
        <v>193</v>
      </c>
      <c r="I198" s="143" t="str">
        <f t="shared" si="13"/>
        <v/>
      </c>
      <c r="J198" s="142" t="e">
        <f t="shared" si="14"/>
        <v>#NUM!</v>
      </c>
      <c r="K198" s="142" t="e">
        <f t="shared" ref="K198:K261" si="15">J198*$J$2</f>
        <v>#NUM!</v>
      </c>
      <c r="L198" s="142"/>
      <c r="M198" s="144">
        <f t="shared" ref="M198:M261" si="16">IF(I198&lt;&gt;"",K198+I198+L198,0)</f>
        <v>0</v>
      </c>
    </row>
    <row r="199" spans="1:13" x14ac:dyDescent="0.25">
      <c r="A199" s="158"/>
      <c r="G199" s="128"/>
      <c r="H199" s="142">
        <v>194</v>
      </c>
      <c r="I199" s="143" t="str">
        <f t="shared" ref="I199:I262" si="17">IF(H199&lt;$H$2+1,($I$2-($I$2-1)*(LOG(H199)/LOG($H$2))),"")</f>
        <v/>
      </c>
      <c r="J199" s="142" t="e">
        <f t="shared" ref="J199:J262" si="18">INT(LOG($H$2,2))-ROUNDUP(LOG(H199,2),0)+IF(OR($H$2=1,$H$2=2,$H$2=4,$H$2=8,$H$2=16,$H$2=32,$H$2=64,$H$2=128,$H$2=256),0,1)</f>
        <v>#NUM!</v>
      </c>
      <c r="K199" s="142" t="e">
        <f t="shared" si="15"/>
        <v>#NUM!</v>
      </c>
      <c r="L199" s="142"/>
      <c r="M199" s="144">
        <f t="shared" si="16"/>
        <v>0</v>
      </c>
    </row>
    <row r="200" spans="1:13" x14ac:dyDescent="0.25">
      <c r="A200" s="158"/>
      <c r="G200" s="128"/>
      <c r="H200" s="142">
        <v>195</v>
      </c>
      <c r="I200" s="143" t="str">
        <f t="shared" si="17"/>
        <v/>
      </c>
      <c r="J200" s="142" t="e">
        <f t="shared" si="18"/>
        <v>#NUM!</v>
      </c>
      <c r="K200" s="142" t="e">
        <f t="shared" si="15"/>
        <v>#NUM!</v>
      </c>
      <c r="L200" s="142"/>
      <c r="M200" s="144">
        <f t="shared" si="16"/>
        <v>0</v>
      </c>
    </row>
    <row r="201" spans="1:13" x14ac:dyDescent="0.25">
      <c r="A201" s="158"/>
      <c r="G201" s="128"/>
      <c r="H201" s="142">
        <v>196</v>
      </c>
      <c r="I201" s="143" t="str">
        <f t="shared" si="17"/>
        <v/>
      </c>
      <c r="J201" s="142" t="e">
        <f t="shared" si="18"/>
        <v>#NUM!</v>
      </c>
      <c r="K201" s="142" t="e">
        <f t="shared" si="15"/>
        <v>#NUM!</v>
      </c>
      <c r="L201" s="142"/>
      <c r="M201" s="144">
        <f t="shared" si="16"/>
        <v>0</v>
      </c>
    </row>
    <row r="202" spans="1:13" x14ac:dyDescent="0.25">
      <c r="A202" s="158"/>
      <c r="G202" s="128"/>
      <c r="H202" s="142">
        <v>197</v>
      </c>
      <c r="I202" s="143" t="str">
        <f t="shared" si="17"/>
        <v/>
      </c>
      <c r="J202" s="142" t="e">
        <f t="shared" si="18"/>
        <v>#NUM!</v>
      </c>
      <c r="K202" s="142" t="e">
        <f t="shared" si="15"/>
        <v>#NUM!</v>
      </c>
      <c r="L202" s="142"/>
      <c r="M202" s="144">
        <f t="shared" si="16"/>
        <v>0</v>
      </c>
    </row>
    <row r="203" spans="1:13" x14ac:dyDescent="0.25">
      <c r="A203" s="158"/>
      <c r="G203" s="128"/>
      <c r="H203" s="142">
        <v>198</v>
      </c>
      <c r="I203" s="143" t="str">
        <f t="shared" si="17"/>
        <v/>
      </c>
      <c r="J203" s="142" t="e">
        <f t="shared" si="18"/>
        <v>#NUM!</v>
      </c>
      <c r="K203" s="142" t="e">
        <f t="shared" si="15"/>
        <v>#NUM!</v>
      </c>
      <c r="L203" s="142"/>
      <c r="M203" s="144">
        <f t="shared" si="16"/>
        <v>0</v>
      </c>
    </row>
    <row r="204" spans="1:13" x14ac:dyDescent="0.25">
      <c r="A204" s="158"/>
      <c r="G204" s="128"/>
      <c r="H204" s="142">
        <v>199</v>
      </c>
      <c r="I204" s="143" t="str">
        <f t="shared" si="17"/>
        <v/>
      </c>
      <c r="J204" s="142" t="e">
        <f t="shared" si="18"/>
        <v>#NUM!</v>
      </c>
      <c r="K204" s="142" t="e">
        <f t="shared" si="15"/>
        <v>#NUM!</v>
      </c>
      <c r="L204" s="142"/>
      <c r="M204" s="144">
        <f t="shared" si="16"/>
        <v>0</v>
      </c>
    </row>
    <row r="205" spans="1:13" x14ac:dyDescent="0.25">
      <c r="A205" s="158"/>
      <c r="G205" s="128"/>
      <c r="H205" s="142">
        <v>200</v>
      </c>
      <c r="I205" s="143" t="str">
        <f t="shared" si="17"/>
        <v/>
      </c>
      <c r="J205" s="142" t="e">
        <f t="shared" si="18"/>
        <v>#NUM!</v>
      </c>
      <c r="K205" s="142" t="e">
        <f t="shared" si="15"/>
        <v>#NUM!</v>
      </c>
      <c r="L205" s="142"/>
      <c r="M205" s="144">
        <f t="shared" si="16"/>
        <v>0</v>
      </c>
    </row>
    <row r="206" spans="1:13" x14ac:dyDescent="0.25">
      <c r="A206" s="158"/>
      <c r="G206" s="128"/>
      <c r="H206" s="142">
        <v>201</v>
      </c>
      <c r="I206" s="143" t="str">
        <f t="shared" si="17"/>
        <v/>
      </c>
      <c r="J206" s="142" t="e">
        <f t="shared" si="18"/>
        <v>#NUM!</v>
      </c>
      <c r="K206" s="142" t="e">
        <f t="shared" si="15"/>
        <v>#NUM!</v>
      </c>
      <c r="L206" s="142"/>
      <c r="M206" s="144">
        <f t="shared" si="16"/>
        <v>0</v>
      </c>
    </row>
    <row r="207" spans="1:13" x14ac:dyDescent="0.25">
      <c r="A207" s="158"/>
      <c r="G207" s="128"/>
      <c r="H207" s="142">
        <v>202</v>
      </c>
      <c r="I207" s="143" t="str">
        <f t="shared" si="17"/>
        <v/>
      </c>
      <c r="J207" s="142" t="e">
        <f t="shared" si="18"/>
        <v>#NUM!</v>
      </c>
      <c r="K207" s="142" t="e">
        <f t="shared" si="15"/>
        <v>#NUM!</v>
      </c>
      <c r="L207" s="142"/>
      <c r="M207" s="144">
        <f t="shared" si="16"/>
        <v>0</v>
      </c>
    </row>
    <row r="208" spans="1:13" x14ac:dyDescent="0.25">
      <c r="A208" s="158"/>
      <c r="G208" s="128"/>
      <c r="H208" s="142">
        <v>203</v>
      </c>
      <c r="I208" s="143" t="str">
        <f t="shared" si="17"/>
        <v/>
      </c>
      <c r="J208" s="142" t="e">
        <f t="shared" si="18"/>
        <v>#NUM!</v>
      </c>
      <c r="K208" s="142" t="e">
        <f t="shared" si="15"/>
        <v>#NUM!</v>
      </c>
      <c r="L208" s="142"/>
      <c r="M208" s="144">
        <f t="shared" si="16"/>
        <v>0</v>
      </c>
    </row>
    <row r="209" spans="1:13" x14ac:dyDescent="0.25">
      <c r="A209" s="158"/>
      <c r="G209" s="128"/>
      <c r="H209" s="142">
        <v>204</v>
      </c>
      <c r="I209" s="143" t="str">
        <f t="shared" si="17"/>
        <v/>
      </c>
      <c r="J209" s="142" t="e">
        <f t="shared" si="18"/>
        <v>#NUM!</v>
      </c>
      <c r="K209" s="142" t="e">
        <f t="shared" si="15"/>
        <v>#NUM!</v>
      </c>
      <c r="L209" s="142"/>
      <c r="M209" s="144">
        <f t="shared" si="16"/>
        <v>0</v>
      </c>
    </row>
    <row r="210" spans="1:13" x14ac:dyDescent="0.25">
      <c r="A210" s="158"/>
      <c r="G210" s="128"/>
      <c r="H210" s="142">
        <v>205</v>
      </c>
      <c r="I210" s="143" t="str">
        <f t="shared" si="17"/>
        <v/>
      </c>
      <c r="J210" s="142" t="e">
        <f t="shared" si="18"/>
        <v>#NUM!</v>
      </c>
      <c r="K210" s="142" t="e">
        <f t="shared" si="15"/>
        <v>#NUM!</v>
      </c>
      <c r="L210" s="142"/>
      <c r="M210" s="144">
        <f t="shared" si="16"/>
        <v>0</v>
      </c>
    </row>
    <row r="211" spans="1:13" x14ac:dyDescent="0.25">
      <c r="A211" s="158"/>
      <c r="G211" s="128"/>
      <c r="H211" s="142">
        <v>206</v>
      </c>
      <c r="I211" s="143" t="str">
        <f t="shared" si="17"/>
        <v/>
      </c>
      <c r="J211" s="142" t="e">
        <f t="shared" si="18"/>
        <v>#NUM!</v>
      </c>
      <c r="K211" s="142" t="e">
        <f t="shared" si="15"/>
        <v>#NUM!</v>
      </c>
      <c r="L211" s="142"/>
      <c r="M211" s="144">
        <f t="shared" si="16"/>
        <v>0</v>
      </c>
    </row>
    <row r="212" spans="1:13" x14ac:dyDescent="0.25">
      <c r="A212" s="158"/>
      <c r="G212" s="128"/>
      <c r="H212" s="142">
        <v>207</v>
      </c>
      <c r="I212" s="143" t="str">
        <f t="shared" si="17"/>
        <v/>
      </c>
      <c r="J212" s="142" t="e">
        <f t="shared" si="18"/>
        <v>#NUM!</v>
      </c>
      <c r="K212" s="142" t="e">
        <f t="shared" si="15"/>
        <v>#NUM!</v>
      </c>
      <c r="L212" s="142"/>
      <c r="M212" s="144">
        <f t="shared" si="16"/>
        <v>0</v>
      </c>
    </row>
    <row r="213" spans="1:13" x14ac:dyDescent="0.25">
      <c r="A213" s="158"/>
      <c r="G213" s="128"/>
      <c r="H213" s="142">
        <v>208</v>
      </c>
      <c r="I213" s="143" t="str">
        <f t="shared" si="17"/>
        <v/>
      </c>
      <c r="J213" s="142" t="e">
        <f t="shared" si="18"/>
        <v>#NUM!</v>
      </c>
      <c r="K213" s="142" t="e">
        <f t="shared" si="15"/>
        <v>#NUM!</v>
      </c>
      <c r="L213" s="142"/>
      <c r="M213" s="144">
        <f t="shared" si="16"/>
        <v>0</v>
      </c>
    </row>
    <row r="214" spans="1:13" x14ac:dyDescent="0.25">
      <c r="A214" s="158"/>
      <c r="G214" s="128"/>
      <c r="H214" s="142">
        <v>209</v>
      </c>
      <c r="I214" s="143" t="str">
        <f t="shared" si="17"/>
        <v/>
      </c>
      <c r="J214" s="142" t="e">
        <f t="shared" si="18"/>
        <v>#NUM!</v>
      </c>
      <c r="K214" s="142" t="e">
        <f t="shared" si="15"/>
        <v>#NUM!</v>
      </c>
      <c r="L214" s="142"/>
      <c r="M214" s="144">
        <f t="shared" si="16"/>
        <v>0</v>
      </c>
    </row>
    <row r="215" spans="1:13" x14ac:dyDescent="0.25">
      <c r="A215" s="158"/>
      <c r="G215" s="128"/>
      <c r="H215" s="142">
        <v>210</v>
      </c>
      <c r="I215" s="143" t="str">
        <f t="shared" si="17"/>
        <v/>
      </c>
      <c r="J215" s="142" t="e">
        <f t="shared" si="18"/>
        <v>#NUM!</v>
      </c>
      <c r="K215" s="142" t="e">
        <f t="shared" si="15"/>
        <v>#NUM!</v>
      </c>
      <c r="L215" s="142"/>
      <c r="M215" s="144">
        <f t="shared" si="16"/>
        <v>0</v>
      </c>
    </row>
    <row r="216" spans="1:13" x14ac:dyDescent="0.25">
      <c r="A216" s="158"/>
      <c r="G216" s="128"/>
      <c r="H216" s="142">
        <v>211</v>
      </c>
      <c r="I216" s="143" t="str">
        <f t="shared" si="17"/>
        <v/>
      </c>
      <c r="J216" s="142" t="e">
        <f t="shared" si="18"/>
        <v>#NUM!</v>
      </c>
      <c r="K216" s="142" t="e">
        <f t="shared" si="15"/>
        <v>#NUM!</v>
      </c>
      <c r="L216" s="142"/>
      <c r="M216" s="144">
        <f t="shared" si="16"/>
        <v>0</v>
      </c>
    </row>
    <row r="217" spans="1:13" x14ac:dyDescent="0.25">
      <c r="A217" s="158"/>
      <c r="G217" s="128"/>
      <c r="H217" s="142">
        <v>212</v>
      </c>
      <c r="I217" s="143" t="str">
        <f t="shared" si="17"/>
        <v/>
      </c>
      <c r="J217" s="142" t="e">
        <f t="shared" si="18"/>
        <v>#NUM!</v>
      </c>
      <c r="K217" s="142" t="e">
        <f t="shared" si="15"/>
        <v>#NUM!</v>
      </c>
      <c r="L217" s="142"/>
      <c r="M217" s="144">
        <f t="shared" si="16"/>
        <v>0</v>
      </c>
    </row>
    <row r="218" spans="1:13" x14ac:dyDescent="0.25">
      <c r="A218" s="158"/>
      <c r="G218" s="128"/>
      <c r="H218" s="142">
        <v>213</v>
      </c>
      <c r="I218" s="143" t="str">
        <f t="shared" si="17"/>
        <v/>
      </c>
      <c r="J218" s="142" t="e">
        <f t="shared" si="18"/>
        <v>#NUM!</v>
      </c>
      <c r="K218" s="142" t="e">
        <f t="shared" si="15"/>
        <v>#NUM!</v>
      </c>
      <c r="L218" s="142"/>
      <c r="M218" s="144">
        <f t="shared" si="16"/>
        <v>0</v>
      </c>
    </row>
    <row r="219" spans="1:13" x14ac:dyDescent="0.25">
      <c r="A219" s="158"/>
      <c r="G219" s="128"/>
      <c r="H219" s="142">
        <v>214</v>
      </c>
      <c r="I219" s="143" t="str">
        <f t="shared" si="17"/>
        <v/>
      </c>
      <c r="J219" s="142" t="e">
        <f t="shared" si="18"/>
        <v>#NUM!</v>
      </c>
      <c r="K219" s="142" t="e">
        <f t="shared" si="15"/>
        <v>#NUM!</v>
      </c>
      <c r="L219" s="142"/>
      <c r="M219" s="144">
        <f t="shared" si="16"/>
        <v>0</v>
      </c>
    </row>
    <row r="220" spans="1:13" x14ac:dyDescent="0.25">
      <c r="A220" s="158"/>
      <c r="G220" s="128"/>
      <c r="H220" s="142">
        <v>215</v>
      </c>
      <c r="I220" s="143" t="str">
        <f t="shared" si="17"/>
        <v/>
      </c>
      <c r="J220" s="142" t="e">
        <f t="shared" si="18"/>
        <v>#NUM!</v>
      </c>
      <c r="K220" s="142" t="e">
        <f t="shared" si="15"/>
        <v>#NUM!</v>
      </c>
      <c r="L220" s="142"/>
      <c r="M220" s="144">
        <f t="shared" si="16"/>
        <v>0</v>
      </c>
    </row>
    <row r="221" spans="1:13" x14ac:dyDescent="0.25">
      <c r="A221" s="158"/>
      <c r="G221" s="128"/>
      <c r="H221" s="142">
        <v>216</v>
      </c>
      <c r="I221" s="143" t="str">
        <f t="shared" si="17"/>
        <v/>
      </c>
      <c r="J221" s="142" t="e">
        <f t="shared" si="18"/>
        <v>#NUM!</v>
      </c>
      <c r="K221" s="142" t="e">
        <f t="shared" si="15"/>
        <v>#NUM!</v>
      </c>
      <c r="L221" s="142"/>
      <c r="M221" s="144">
        <f t="shared" si="16"/>
        <v>0</v>
      </c>
    </row>
    <row r="222" spans="1:13" x14ac:dyDescent="0.25">
      <c r="A222" s="158"/>
      <c r="G222" s="128"/>
      <c r="H222" s="142">
        <v>217</v>
      </c>
      <c r="I222" s="143" t="str">
        <f t="shared" si="17"/>
        <v/>
      </c>
      <c r="J222" s="142" t="e">
        <f t="shared" si="18"/>
        <v>#NUM!</v>
      </c>
      <c r="K222" s="142" t="e">
        <f t="shared" si="15"/>
        <v>#NUM!</v>
      </c>
      <c r="L222" s="142"/>
      <c r="M222" s="144">
        <f t="shared" si="16"/>
        <v>0</v>
      </c>
    </row>
    <row r="223" spans="1:13" x14ac:dyDescent="0.25">
      <c r="A223" s="158"/>
      <c r="G223" s="128"/>
      <c r="H223" s="142">
        <v>218</v>
      </c>
      <c r="I223" s="143" t="str">
        <f t="shared" si="17"/>
        <v/>
      </c>
      <c r="J223" s="142" t="e">
        <f t="shared" si="18"/>
        <v>#NUM!</v>
      </c>
      <c r="K223" s="142" t="e">
        <f t="shared" si="15"/>
        <v>#NUM!</v>
      </c>
      <c r="L223" s="142"/>
      <c r="M223" s="144">
        <f t="shared" si="16"/>
        <v>0</v>
      </c>
    </row>
    <row r="224" spans="1:13" x14ac:dyDescent="0.25">
      <c r="A224" s="158"/>
      <c r="G224" s="128"/>
      <c r="H224" s="142">
        <v>219</v>
      </c>
      <c r="I224" s="143" t="str">
        <f t="shared" si="17"/>
        <v/>
      </c>
      <c r="J224" s="142" t="e">
        <f t="shared" si="18"/>
        <v>#NUM!</v>
      </c>
      <c r="K224" s="142" t="e">
        <f t="shared" si="15"/>
        <v>#NUM!</v>
      </c>
      <c r="L224" s="142"/>
      <c r="M224" s="144">
        <f t="shared" si="16"/>
        <v>0</v>
      </c>
    </row>
    <row r="225" spans="1:13" x14ac:dyDescent="0.25">
      <c r="A225" s="158"/>
      <c r="G225" s="128"/>
      <c r="H225" s="142">
        <v>220</v>
      </c>
      <c r="I225" s="143" t="str">
        <f t="shared" si="17"/>
        <v/>
      </c>
      <c r="J225" s="142" t="e">
        <f t="shared" si="18"/>
        <v>#NUM!</v>
      </c>
      <c r="K225" s="142" t="e">
        <f t="shared" si="15"/>
        <v>#NUM!</v>
      </c>
      <c r="L225" s="142"/>
      <c r="M225" s="144">
        <f t="shared" si="16"/>
        <v>0</v>
      </c>
    </row>
    <row r="226" spans="1:13" x14ac:dyDescent="0.25">
      <c r="A226" s="158"/>
      <c r="G226" s="128"/>
      <c r="H226" s="142">
        <v>221</v>
      </c>
      <c r="I226" s="143" t="str">
        <f t="shared" si="17"/>
        <v/>
      </c>
      <c r="J226" s="142" t="e">
        <f t="shared" si="18"/>
        <v>#NUM!</v>
      </c>
      <c r="K226" s="142" t="e">
        <f t="shared" si="15"/>
        <v>#NUM!</v>
      </c>
      <c r="L226" s="142"/>
      <c r="M226" s="144">
        <f t="shared" si="16"/>
        <v>0</v>
      </c>
    </row>
    <row r="227" spans="1:13" x14ac:dyDescent="0.25">
      <c r="A227" s="158"/>
      <c r="G227" s="128"/>
      <c r="H227" s="142">
        <v>222</v>
      </c>
      <c r="I227" s="143" t="str">
        <f t="shared" si="17"/>
        <v/>
      </c>
      <c r="J227" s="142" t="e">
        <f t="shared" si="18"/>
        <v>#NUM!</v>
      </c>
      <c r="K227" s="142" t="e">
        <f t="shared" si="15"/>
        <v>#NUM!</v>
      </c>
      <c r="L227" s="142"/>
      <c r="M227" s="144">
        <f t="shared" si="16"/>
        <v>0</v>
      </c>
    </row>
    <row r="228" spans="1:13" x14ac:dyDescent="0.25">
      <c r="A228" s="158"/>
      <c r="G228" s="128"/>
      <c r="H228" s="142">
        <v>223</v>
      </c>
      <c r="I228" s="143" t="str">
        <f t="shared" si="17"/>
        <v/>
      </c>
      <c r="J228" s="142" t="e">
        <f t="shared" si="18"/>
        <v>#NUM!</v>
      </c>
      <c r="K228" s="142" t="e">
        <f t="shared" si="15"/>
        <v>#NUM!</v>
      </c>
      <c r="L228" s="142"/>
      <c r="M228" s="144">
        <f t="shared" si="16"/>
        <v>0</v>
      </c>
    </row>
    <row r="229" spans="1:13" x14ac:dyDescent="0.25">
      <c r="A229" s="158"/>
      <c r="G229" s="128"/>
      <c r="H229" s="142">
        <v>224</v>
      </c>
      <c r="I229" s="143" t="str">
        <f t="shared" si="17"/>
        <v/>
      </c>
      <c r="J229" s="142" t="e">
        <f t="shared" si="18"/>
        <v>#NUM!</v>
      </c>
      <c r="K229" s="142" t="e">
        <f t="shared" si="15"/>
        <v>#NUM!</v>
      </c>
      <c r="L229" s="142"/>
      <c r="M229" s="144">
        <f t="shared" si="16"/>
        <v>0</v>
      </c>
    </row>
    <row r="230" spans="1:13" x14ac:dyDescent="0.25">
      <c r="A230" s="158"/>
      <c r="G230" s="128"/>
      <c r="H230" s="142">
        <v>225</v>
      </c>
      <c r="I230" s="143" t="str">
        <f t="shared" si="17"/>
        <v/>
      </c>
      <c r="J230" s="142" t="e">
        <f t="shared" si="18"/>
        <v>#NUM!</v>
      </c>
      <c r="K230" s="142" t="e">
        <f t="shared" si="15"/>
        <v>#NUM!</v>
      </c>
      <c r="L230" s="142"/>
      <c r="M230" s="144">
        <f t="shared" si="16"/>
        <v>0</v>
      </c>
    </row>
    <row r="231" spans="1:13" x14ac:dyDescent="0.25">
      <c r="A231" s="158"/>
      <c r="G231" s="128"/>
      <c r="H231" s="142">
        <v>226</v>
      </c>
      <c r="I231" s="143" t="str">
        <f t="shared" si="17"/>
        <v/>
      </c>
      <c r="J231" s="142" t="e">
        <f t="shared" si="18"/>
        <v>#NUM!</v>
      </c>
      <c r="K231" s="142" t="e">
        <f t="shared" si="15"/>
        <v>#NUM!</v>
      </c>
      <c r="L231" s="142"/>
      <c r="M231" s="144">
        <f t="shared" si="16"/>
        <v>0</v>
      </c>
    </row>
    <row r="232" spans="1:13" x14ac:dyDescent="0.25">
      <c r="A232" s="158"/>
      <c r="G232" s="128"/>
      <c r="H232" s="142">
        <v>227</v>
      </c>
      <c r="I232" s="143" t="str">
        <f t="shared" si="17"/>
        <v/>
      </c>
      <c r="J232" s="142" t="e">
        <f t="shared" si="18"/>
        <v>#NUM!</v>
      </c>
      <c r="K232" s="142" t="e">
        <f t="shared" si="15"/>
        <v>#NUM!</v>
      </c>
      <c r="L232" s="142"/>
      <c r="M232" s="144">
        <f t="shared" si="16"/>
        <v>0</v>
      </c>
    </row>
    <row r="233" spans="1:13" x14ac:dyDescent="0.25">
      <c r="A233" s="158"/>
      <c r="G233" s="128"/>
      <c r="H233" s="142">
        <v>228</v>
      </c>
      <c r="I233" s="143" t="str">
        <f t="shared" si="17"/>
        <v/>
      </c>
      <c r="J233" s="142" t="e">
        <f t="shared" si="18"/>
        <v>#NUM!</v>
      </c>
      <c r="K233" s="142" t="e">
        <f t="shared" si="15"/>
        <v>#NUM!</v>
      </c>
      <c r="L233" s="142"/>
      <c r="M233" s="144">
        <f t="shared" si="16"/>
        <v>0</v>
      </c>
    </row>
    <row r="234" spans="1:13" x14ac:dyDescent="0.25">
      <c r="A234" s="158"/>
      <c r="G234" s="128"/>
      <c r="H234" s="142">
        <v>229</v>
      </c>
      <c r="I234" s="143" t="str">
        <f t="shared" si="17"/>
        <v/>
      </c>
      <c r="J234" s="142" t="e">
        <f t="shared" si="18"/>
        <v>#NUM!</v>
      </c>
      <c r="K234" s="142" t="e">
        <f t="shared" si="15"/>
        <v>#NUM!</v>
      </c>
      <c r="L234" s="142"/>
      <c r="M234" s="144">
        <f t="shared" si="16"/>
        <v>0</v>
      </c>
    </row>
    <row r="235" spans="1:13" x14ac:dyDescent="0.25">
      <c r="A235" s="158"/>
      <c r="G235" s="128"/>
      <c r="H235" s="142">
        <v>230</v>
      </c>
      <c r="I235" s="143" t="str">
        <f t="shared" si="17"/>
        <v/>
      </c>
      <c r="J235" s="142" t="e">
        <f t="shared" si="18"/>
        <v>#NUM!</v>
      </c>
      <c r="K235" s="142" t="e">
        <f t="shared" si="15"/>
        <v>#NUM!</v>
      </c>
      <c r="L235" s="142"/>
      <c r="M235" s="144">
        <f t="shared" si="16"/>
        <v>0</v>
      </c>
    </row>
    <row r="236" spans="1:13" x14ac:dyDescent="0.25">
      <c r="A236" s="158"/>
      <c r="G236" s="128"/>
      <c r="H236" s="142">
        <v>231</v>
      </c>
      <c r="I236" s="143" t="str">
        <f t="shared" si="17"/>
        <v/>
      </c>
      <c r="J236" s="142" t="e">
        <f t="shared" si="18"/>
        <v>#NUM!</v>
      </c>
      <c r="K236" s="142" t="e">
        <f t="shared" si="15"/>
        <v>#NUM!</v>
      </c>
      <c r="L236" s="142"/>
      <c r="M236" s="144">
        <f t="shared" si="16"/>
        <v>0</v>
      </c>
    </row>
    <row r="237" spans="1:13" x14ac:dyDescent="0.25">
      <c r="A237" s="158"/>
      <c r="G237" s="128"/>
      <c r="H237" s="142">
        <v>232</v>
      </c>
      <c r="I237" s="143" t="str">
        <f t="shared" si="17"/>
        <v/>
      </c>
      <c r="J237" s="142" t="e">
        <f t="shared" si="18"/>
        <v>#NUM!</v>
      </c>
      <c r="K237" s="142" t="e">
        <f t="shared" si="15"/>
        <v>#NUM!</v>
      </c>
      <c r="L237" s="142"/>
      <c r="M237" s="144">
        <f t="shared" si="16"/>
        <v>0</v>
      </c>
    </row>
    <row r="238" spans="1:13" x14ac:dyDescent="0.25">
      <c r="A238" s="158"/>
      <c r="G238" s="128"/>
      <c r="H238" s="142">
        <v>233</v>
      </c>
      <c r="I238" s="143" t="str">
        <f t="shared" si="17"/>
        <v/>
      </c>
      <c r="J238" s="142" t="e">
        <f t="shared" si="18"/>
        <v>#NUM!</v>
      </c>
      <c r="K238" s="142" t="e">
        <f t="shared" si="15"/>
        <v>#NUM!</v>
      </c>
      <c r="L238" s="142"/>
      <c r="M238" s="144">
        <f t="shared" si="16"/>
        <v>0</v>
      </c>
    </row>
    <row r="239" spans="1:13" x14ac:dyDescent="0.25">
      <c r="A239" s="158"/>
      <c r="G239" s="128"/>
      <c r="H239" s="142">
        <v>234</v>
      </c>
      <c r="I239" s="143" t="str">
        <f t="shared" si="17"/>
        <v/>
      </c>
      <c r="J239" s="142" t="e">
        <f t="shared" si="18"/>
        <v>#NUM!</v>
      </c>
      <c r="K239" s="142" t="e">
        <f t="shared" si="15"/>
        <v>#NUM!</v>
      </c>
      <c r="L239" s="142"/>
      <c r="M239" s="144">
        <f t="shared" si="16"/>
        <v>0</v>
      </c>
    </row>
    <row r="240" spans="1:13" x14ac:dyDescent="0.25">
      <c r="A240" s="158"/>
      <c r="G240" s="128"/>
      <c r="H240" s="142">
        <v>235</v>
      </c>
      <c r="I240" s="143" t="str">
        <f t="shared" si="17"/>
        <v/>
      </c>
      <c r="J240" s="142" t="e">
        <f t="shared" si="18"/>
        <v>#NUM!</v>
      </c>
      <c r="K240" s="142" t="e">
        <f t="shared" si="15"/>
        <v>#NUM!</v>
      </c>
      <c r="L240" s="142"/>
      <c r="M240" s="144">
        <f t="shared" si="16"/>
        <v>0</v>
      </c>
    </row>
    <row r="241" spans="1:13" x14ac:dyDescent="0.25">
      <c r="A241" s="158"/>
      <c r="G241" s="128"/>
      <c r="H241" s="142">
        <v>236</v>
      </c>
      <c r="I241" s="143" t="str">
        <f t="shared" si="17"/>
        <v/>
      </c>
      <c r="J241" s="142" t="e">
        <f t="shared" si="18"/>
        <v>#NUM!</v>
      </c>
      <c r="K241" s="142" t="e">
        <f t="shared" si="15"/>
        <v>#NUM!</v>
      </c>
      <c r="L241" s="142"/>
      <c r="M241" s="144">
        <f t="shared" si="16"/>
        <v>0</v>
      </c>
    </row>
    <row r="242" spans="1:13" x14ac:dyDescent="0.25">
      <c r="A242" s="158"/>
      <c r="G242" s="128"/>
      <c r="H242" s="142">
        <v>237</v>
      </c>
      <c r="I242" s="143" t="str">
        <f t="shared" si="17"/>
        <v/>
      </c>
      <c r="J242" s="142" t="e">
        <f t="shared" si="18"/>
        <v>#NUM!</v>
      </c>
      <c r="K242" s="142" t="e">
        <f t="shared" si="15"/>
        <v>#NUM!</v>
      </c>
      <c r="L242" s="142"/>
      <c r="M242" s="144">
        <f t="shared" si="16"/>
        <v>0</v>
      </c>
    </row>
    <row r="243" spans="1:13" x14ac:dyDescent="0.25">
      <c r="A243" s="158"/>
      <c r="G243" s="128"/>
      <c r="H243" s="142">
        <v>238</v>
      </c>
      <c r="I243" s="143" t="str">
        <f t="shared" si="17"/>
        <v/>
      </c>
      <c r="J243" s="142" t="e">
        <f t="shared" si="18"/>
        <v>#NUM!</v>
      </c>
      <c r="K243" s="142" t="e">
        <f t="shared" si="15"/>
        <v>#NUM!</v>
      </c>
      <c r="L243" s="142"/>
      <c r="M243" s="144">
        <f t="shared" si="16"/>
        <v>0</v>
      </c>
    </row>
    <row r="244" spans="1:13" x14ac:dyDescent="0.25">
      <c r="A244" s="158"/>
      <c r="G244" s="128"/>
      <c r="H244" s="142">
        <v>239</v>
      </c>
      <c r="I244" s="143" t="str">
        <f t="shared" si="17"/>
        <v/>
      </c>
      <c r="J244" s="142" t="e">
        <f t="shared" si="18"/>
        <v>#NUM!</v>
      </c>
      <c r="K244" s="142" t="e">
        <f t="shared" si="15"/>
        <v>#NUM!</v>
      </c>
      <c r="L244" s="142"/>
      <c r="M244" s="144">
        <f t="shared" si="16"/>
        <v>0</v>
      </c>
    </row>
    <row r="245" spans="1:13" x14ac:dyDescent="0.25">
      <c r="A245" s="158"/>
      <c r="G245" s="128"/>
      <c r="H245" s="142">
        <v>240</v>
      </c>
      <c r="I245" s="143" t="str">
        <f t="shared" si="17"/>
        <v/>
      </c>
      <c r="J245" s="142" t="e">
        <f t="shared" si="18"/>
        <v>#NUM!</v>
      </c>
      <c r="K245" s="142" t="e">
        <f t="shared" si="15"/>
        <v>#NUM!</v>
      </c>
      <c r="L245" s="142"/>
      <c r="M245" s="144">
        <f t="shared" si="16"/>
        <v>0</v>
      </c>
    </row>
    <row r="246" spans="1:13" x14ac:dyDescent="0.25">
      <c r="A246" s="158"/>
      <c r="G246" s="128"/>
      <c r="H246" s="142">
        <v>241</v>
      </c>
      <c r="I246" s="143" t="str">
        <f t="shared" si="17"/>
        <v/>
      </c>
      <c r="J246" s="142" t="e">
        <f t="shared" si="18"/>
        <v>#NUM!</v>
      </c>
      <c r="K246" s="142" t="e">
        <f t="shared" si="15"/>
        <v>#NUM!</v>
      </c>
      <c r="L246" s="142"/>
      <c r="M246" s="144">
        <f t="shared" si="16"/>
        <v>0</v>
      </c>
    </row>
    <row r="247" spans="1:13" x14ac:dyDescent="0.25">
      <c r="A247" s="158"/>
      <c r="G247" s="128"/>
      <c r="H247" s="142">
        <v>242</v>
      </c>
      <c r="I247" s="143" t="str">
        <f t="shared" si="17"/>
        <v/>
      </c>
      <c r="J247" s="142" t="e">
        <f t="shared" si="18"/>
        <v>#NUM!</v>
      </c>
      <c r="K247" s="142" t="e">
        <f t="shared" si="15"/>
        <v>#NUM!</v>
      </c>
      <c r="L247" s="142"/>
      <c r="M247" s="144">
        <f t="shared" si="16"/>
        <v>0</v>
      </c>
    </row>
    <row r="248" spans="1:13" x14ac:dyDescent="0.25">
      <c r="A248" s="158"/>
      <c r="G248" s="128"/>
      <c r="H248" s="142">
        <v>243</v>
      </c>
      <c r="I248" s="143" t="str">
        <f t="shared" si="17"/>
        <v/>
      </c>
      <c r="J248" s="142" t="e">
        <f t="shared" si="18"/>
        <v>#NUM!</v>
      </c>
      <c r="K248" s="142" t="e">
        <f t="shared" si="15"/>
        <v>#NUM!</v>
      </c>
      <c r="L248" s="142"/>
      <c r="M248" s="144">
        <f t="shared" si="16"/>
        <v>0</v>
      </c>
    </row>
    <row r="249" spans="1:13" x14ac:dyDescent="0.25">
      <c r="A249" s="158"/>
      <c r="G249" s="128"/>
      <c r="H249" s="142">
        <v>244</v>
      </c>
      <c r="I249" s="143" t="str">
        <f t="shared" si="17"/>
        <v/>
      </c>
      <c r="J249" s="142" t="e">
        <f t="shared" si="18"/>
        <v>#NUM!</v>
      </c>
      <c r="K249" s="142" t="e">
        <f t="shared" si="15"/>
        <v>#NUM!</v>
      </c>
      <c r="L249" s="142"/>
      <c r="M249" s="144">
        <f t="shared" si="16"/>
        <v>0</v>
      </c>
    </row>
    <row r="250" spans="1:13" x14ac:dyDescent="0.25">
      <c r="A250" s="158"/>
      <c r="G250" s="128"/>
      <c r="H250" s="142">
        <v>245</v>
      </c>
      <c r="I250" s="143" t="str">
        <f t="shared" si="17"/>
        <v/>
      </c>
      <c r="J250" s="142" t="e">
        <f t="shared" si="18"/>
        <v>#NUM!</v>
      </c>
      <c r="K250" s="142" t="e">
        <f t="shared" si="15"/>
        <v>#NUM!</v>
      </c>
      <c r="L250" s="142"/>
      <c r="M250" s="144">
        <f t="shared" si="16"/>
        <v>0</v>
      </c>
    </row>
    <row r="251" spans="1:13" x14ac:dyDescent="0.25">
      <c r="A251" s="158"/>
      <c r="G251" s="128"/>
      <c r="H251" s="142">
        <v>246</v>
      </c>
      <c r="I251" s="143" t="str">
        <f t="shared" si="17"/>
        <v/>
      </c>
      <c r="J251" s="142" t="e">
        <f t="shared" si="18"/>
        <v>#NUM!</v>
      </c>
      <c r="K251" s="142" t="e">
        <f t="shared" si="15"/>
        <v>#NUM!</v>
      </c>
      <c r="L251" s="142"/>
      <c r="M251" s="144">
        <f t="shared" si="16"/>
        <v>0</v>
      </c>
    </row>
    <row r="252" spans="1:13" x14ac:dyDescent="0.25">
      <c r="A252" s="158"/>
      <c r="G252" s="128"/>
      <c r="H252" s="142">
        <v>247</v>
      </c>
      <c r="I252" s="143" t="str">
        <f t="shared" si="17"/>
        <v/>
      </c>
      <c r="J252" s="142" t="e">
        <f t="shared" si="18"/>
        <v>#NUM!</v>
      </c>
      <c r="K252" s="142" t="e">
        <f t="shared" si="15"/>
        <v>#NUM!</v>
      </c>
      <c r="L252" s="142"/>
      <c r="M252" s="144">
        <f t="shared" si="16"/>
        <v>0</v>
      </c>
    </row>
    <row r="253" spans="1:13" x14ac:dyDescent="0.25">
      <c r="A253" s="158"/>
      <c r="G253" s="128"/>
      <c r="H253" s="142">
        <v>248</v>
      </c>
      <c r="I253" s="143" t="str">
        <f t="shared" si="17"/>
        <v/>
      </c>
      <c r="J253" s="142" t="e">
        <f t="shared" si="18"/>
        <v>#NUM!</v>
      </c>
      <c r="K253" s="142" t="e">
        <f t="shared" si="15"/>
        <v>#NUM!</v>
      </c>
      <c r="L253" s="142"/>
      <c r="M253" s="144">
        <f t="shared" si="16"/>
        <v>0</v>
      </c>
    </row>
    <row r="254" spans="1:13" x14ac:dyDescent="0.25">
      <c r="A254" s="158"/>
      <c r="G254" s="128"/>
      <c r="H254" s="142">
        <v>249</v>
      </c>
      <c r="I254" s="143" t="str">
        <f t="shared" si="17"/>
        <v/>
      </c>
      <c r="J254" s="142" t="e">
        <f t="shared" si="18"/>
        <v>#NUM!</v>
      </c>
      <c r="K254" s="142" t="e">
        <f t="shared" si="15"/>
        <v>#NUM!</v>
      </c>
      <c r="L254" s="142"/>
      <c r="M254" s="144">
        <f t="shared" si="16"/>
        <v>0</v>
      </c>
    </row>
    <row r="255" spans="1:13" x14ac:dyDescent="0.25">
      <c r="A255" s="158"/>
      <c r="G255" s="128"/>
      <c r="H255" s="142">
        <v>250</v>
      </c>
      <c r="I255" s="143" t="str">
        <f t="shared" si="17"/>
        <v/>
      </c>
      <c r="J255" s="142" t="e">
        <f t="shared" si="18"/>
        <v>#NUM!</v>
      </c>
      <c r="K255" s="142" t="e">
        <f t="shared" si="15"/>
        <v>#NUM!</v>
      </c>
      <c r="L255" s="142"/>
      <c r="M255" s="144">
        <f t="shared" si="16"/>
        <v>0</v>
      </c>
    </row>
    <row r="256" spans="1:13" x14ac:dyDescent="0.25">
      <c r="A256" s="158"/>
      <c r="G256" s="128"/>
      <c r="H256" s="142">
        <v>251</v>
      </c>
      <c r="I256" s="143" t="str">
        <f t="shared" si="17"/>
        <v/>
      </c>
      <c r="J256" s="142" t="e">
        <f t="shared" si="18"/>
        <v>#NUM!</v>
      </c>
      <c r="K256" s="142" t="e">
        <f t="shared" si="15"/>
        <v>#NUM!</v>
      </c>
      <c r="L256" s="142"/>
      <c r="M256" s="144">
        <f t="shared" si="16"/>
        <v>0</v>
      </c>
    </row>
    <row r="257" spans="1:13" x14ac:dyDescent="0.25">
      <c r="A257" s="158"/>
      <c r="G257" s="128"/>
      <c r="H257" s="142">
        <v>252</v>
      </c>
      <c r="I257" s="143" t="str">
        <f t="shared" si="17"/>
        <v/>
      </c>
      <c r="J257" s="142" t="e">
        <f t="shared" si="18"/>
        <v>#NUM!</v>
      </c>
      <c r="K257" s="142" t="e">
        <f t="shared" si="15"/>
        <v>#NUM!</v>
      </c>
      <c r="L257" s="142"/>
      <c r="M257" s="144">
        <f t="shared" si="16"/>
        <v>0</v>
      </c>
    </row>
    <row r="258" spans="1:13" x14ac:dyDescent="0.25">
      <c r="A258" s="158"/>
      <c r="G258" s="128"/>
      <c r="H258" s="142">
        <v>253</v>
      </c>
      <c r="I258" s="143" t="str">
        <f t="shared" si="17"/>
        <v/>
      </c>
      <c r="J258" s="142" t="e">
        <f t="shared" si="18"/>
        <v>#NUM!</v>
      </c>
      <c r="K258" s="142" t="e">
        <f t="shared" si="15"/>
        <v>#NUM!</v>
      </c>
      <c r="L258" s="142"/>
      <c r="M258" s="144">
        <f t="shared" si="16"/>
        <v>0</v>
      </c>
    </row>
    <row r="259" spans="1:13" x14ac:dyDescent="0.25">
      <c r="A259" s="158"/>
      <c r="G259" s="128"/>
      <c r="H259" s="142">
        <v>254</v>
      </c>
      <c r="I259" s="143" t="str">
        <f t="shared" si="17"/>
        <v/>
      </c>
      <c r="J259" s="142" t="e">
        <f t="shared" si="18"/>
        <v>#NUM!</v>
      </c>
      <c r="K259" s="142" t="e">
        <f t="shared" si="15"/>
        <v>#NUM!</v>
      </c>
      <c r="L259" s="142"/>
      <c r="M259" s="144">
        <f t="shared" si="16"/>
        <v>0</v>
      </c>
    </row>
    <row r="260" spans="1:13" x14ac:dyDescent="0.25">
      <c r="A260" s="158"/>
      <c r="G260" s="128"/>
      <c r="H260" s="142">
        <v>255</v>
      </c>
      <c r="I260" s="143" t="str">
        <f t="shared" si="17"/>
        <v/>
      </c>
      <c r="J260" s="142" t="e">
        <f t="shared" si="18"/>
        <v>#NUM!</v>
      </c>
      <c r="K260" s="142" t="e">
        <f t="shared" si="15"/>
        <v>#NUM!</v>
      </c>
      <c r="L260" s="142"/>
      <c r="M260" s="144">
        <f t="shared" si="16"/>
        <v>0</v>
      </c>
    </row>
    <row r="261" spans="1:13" x14ac:dyDescent="0.25">
      <c r="A261" s="158"/>
      <c r="G261" s="128"/>
      <c r="H261" s="142">
        <v>256</v>
      </c>
      <c r="I261" s="143" t="str">
        <f t="shared" si="17"/>
        <v/>
      </c>
      <c r="J261" s="142" t="e">
        <f t="shared" si="18"/>
        <v>#NUM!</v>
      </c>
      <c r="K261" s="142" t="e">
        <f t="shared" si="15"/>
        <v>#NUM!</v>
      </c>
      <c r="L261" s="142"/>
      <c r="M261" s="144">
        <f t="shared" si="16"/>
        <v>0</v>
      </c>
    </row>
    <row r="262" spans="1:13" x14ac:dyDescent="0.25">
      <c r="A262" s="158"/>
      <c r="G262" s="128"/>
      <c r="H262" s="142">
        <v>257</v>
      </c>
      <c r="I262" s="143" t="str">
        <f t="shared" si="17"/>
        <v/>
      </c>
      <c r="J262" s="142" t="e">
        <f t="shared" si="18"/>
        <v>#NUM!</v>
      </c>
      <c r="K262" s="142" t="e">
        <f t="shared" ref="K262:K305" si="19">J262*$J$2</f>
        <v>#NUM!</v>
      </c>
      <c r="L262" s="142"/>
      <c r="M262" s="144">
        <f t="shared" ref="M262:M305" si="20">IF(I262&lt;&gt;"",K262+I262+L262,0)</f>
        <v>0</v>
      </c>
    </row>
    <row r="263" spans="1:13" x14ac:dyDescent="0.25">
      <c r="A263" s="158"/>
      <c r="G263" s="128"/>
      <c r="H263" s="142">
        <v>258</v>
      </c>
      <c r="I263" s="143" t="str">
        <f t="shared" ref="I263:I305" si="21">IF(H263&lt;$H$2+1,($I$2-($I$2-1)*(LOG(H263)/LOG($H$2))),"")</f>
        <v/>
      </c>
      <c r="J263" s="142" t="e">
        <f t="shared" ref="J263:J305" si="22">INT(LOG($H$2,2))-ROUNDUP(LOG(H263,2),0)+IF(OR($H$2=1,$H$2=2,$H$2=4,$H$2=8,$H$2=16,$H$2=32,$H$2=64,$H$2=128,$H$2=256),0,1)</f>
        <v>#NUM!</v>
      </c>
      <c r="K263" s="142" t="e">
        <f t="shared" si="19"/>
        <v>#NUM!</v>
      </c>
      <c r="L263" s="142"/>
      <c r="M263" s="144">
        <f t="shared" si="20"/>
        <v>0</v>
      </c>
    </row>
    <row r="264" spans="1:13" x14ac:dyDescent="0.25">
      <c r="A264" s="158"/>
      <c r="G264" s="128"/>
      <c r="H264" s="142">
        <v>259</v>
      </c>
      <c r="I264" s="143" t="str">
        <f t="shared" si="21"/>
        <v/>
      </c>
      <c r="J264" s="142" t="e">
        <f t="shared" si="22"/>
        <v>#NUM!</v>
      </c>
      <c r="K264" s="142" t="e">
        <f t="shared" si="19"/>
        <v>#NUM!</v>
      </c>
      <c r="L264" s="142"/>
      <c r="M264" s="144">
        <f t="shared" si="20"/>
        <v>0</v>
      </c>
    </row>
    <row r="265" spans="1:13" x14ac:dyDescent="0.25">
      <c r="A265" s="158"/>
      <c r="G265" s="128"/>
      <c r="H265" s="142">
        <v>260</v>
      </c>
      <c r="I265" s="143" t="str">
        <f t="shared" si="21"/>
        <v/>
      </c>
      <c r="J265" s="142" t="e">
        <f t="shared" si="22"/>
        <v>#NUM!</v>
      </c>
      <c r="K265" s="142" t="e">
        <f t="shared" si="19"/>
        <v>#NUM!</v>
      </c>
      <c r="L265" s="142"/>
      <c r="M265" s="144">
        <f t="shared" si="20"/>
        <v>0</v>
      </c>
    </row>
    <row r="266" spans="1:13" x14ac:dyDescent="0.25">
      <c r="A266" s="158"/>
      <c r="G266" s="128"/>
      <c r="H266" s="142">
        <v>261</v>
      </c>
      <c r="I266" s="143" t="str">
        <f t="shared" si="21"/>
        <v/>
      </c>
      <c r="J266" s="142" t="e">
        <f t="shared" si="22"/>
        <v>#NUM!</v>
      </c>
      <c r="K266" s="142" t="e">
        <f t="shared" si="19"/>
        <v>#NUM!</v>
      </c>
      <c r="L266" s="142"/>
      <c r="M266" s="144">
        <f t="shared" si="20"/>
        <v>0</v>
      </c>
    </row>
    <row r="267" spans="1:13" x14ac:dyDescent="0.25">
      <c r="A267" s="158"/>
      <c r="G267" s="128"/>
      <c r="H267" s="142">
        <v>262</v>
      </c>
      <c r="I267" s="143" t="str">
        <f t="shared" si="21"/>
        <v/>
      </c>
      <c r="J267" s="142" t="e">
        <f t="shared" si="22"/>
        <v>#NUM!</v>
      </c>
      <c r="K267" s="142" t="e">
        <f t="shared" si="19"/>
        <v>#NUM!</v>
      </c>
      <c r="L267" s="142"/>
      <c r="M267" s="144">
        <f t="shared" si="20"/>
        <v>0</v>
      </c>
    </row>
    <row r="268" spans="1:13" x14ac:dyDescent="0.25">
      <c r="A268" s="158"/>
      <c r="G268" s="128"/>
      <c r="H268" s="142">
        <v>263</v>
      </c>
      <c r="I268" s="143" t="str">
        <f t="shared" si="21"/>
        <v/>
      </c>
      <c r="J268" s="142" t="e">
        <f t="shared" si="22"/>
        <v>#NUM!</v>
      </c>
      <c r="K268" s="142" t="e">
        <f t="shared" si="19"/>
        <v>#NUM!</v>
      </c>
      <c r="L268" s="142"/>
      <c r="M268" s="144">
        <f t="shared" si="20"/>
        <v>0</v>
      </c>
    </row>
    <row r="269" spans="1:13" x14ac:dyDescent="0.25">
      <c r="A269" s="158"/>
      <c r="G269" s="128"/>
      <c r="H269" s="142">
        <v>264</v>
      </c>
      <c r="I269" s="143" t="str">
        <f t="shared" si="21"/>
        <v/>
      </c>
      <c r="J269" s="142" t="e">
        <f t="shared" si="22"/>
        <v>#NUM!</v>
      </c>
      <c r="K269" s="142" t="e">
        <f t="shared" si="19"/>
        <v>#NUM!</v>
      </c>
      <c r="L269" s="142"/>
      <c r="M269" s="144">
        <f t="shared" si="20"/>
        <v>0</v>
      </c>
    </row>
    <row r="270" spans="1:13" x14ac:dyDescent="0.25">
      <c r="A270" s="158"/>
      <c r="G270" s="128"/>
      <c r="H270" s="142">
        <v>265</v>
      </c>
      <c r="I270" s="143" t="str">
        <f t="shared" si="21"/>
        <v/>
      </c>
      <c r="J270" s="142" t="e">
        <f t="shared" si="22"/>
        <v>#NUM!</v>
      </c>
      <c r="K270" s="142" t="e">
        <f t="shared" si="19"/>
        <v>#NUM!</v>
      </c>
      <c r="L270" s="142"/>
      <c r="M270" s="144">
        <f t="shared" si="20"/>
        <v>0</v>
      </c>
    </row>
    <row r="271" spans="1:13" x14ac:dyDescent="0.25">
      <c r="A271" s="158"/>
      <c r="G271" s="128"/>
      <c r="H271" s="142">
        <v>266</v>
      </c>
      <c r="I271" s="143" t="str">
        <f t="shared" si="21"/>
        <v/>
      </c>
      <c r="J271" s="142" t="e">
        <f t="shared" si="22"/>
        <v>#NUM!</v>
      </c>
      <c r="K271" s="142" t="e">
        <f t="shared" si="19"/>
        <v>#NUM!</v>
      </c>
      <c r="L271" s="142"/>
      <c r="M271" s="144">
        <f t="shared" si="20"/>
        <v>0</v>
      </c>
    </row>
    <row r="272" spans="1:13" x14ac:dyDescent="0.25">
      <c r="A272" s="158"/>
      <c r="G272" s="128"/>
      <c r="H272" s="142">
        <v>267</v>
      </c>
      <c r="I272" s="143" t="str">
        <f t="shared" si="21"/>
        <v/>
      </c>
      <c r="J272" s="142" t="e">
        <f t="shared" si="22"/>
        <v>#NUM!</v>
      </c>
      <c r="K272" s="142" t="e">
        <f t="shared" si="19"/>
        <v>#NUM!</v>
      </c>
      <c r="L272" s="142"/>
      <c r="M272" s="144">
        <f t="shared" si="20"/>
        <v>0</v>
      </c>
    </row>
    <row r="273" spans="1:13" x14ac:dyDescent="0.25">
      <c r="A273" s="158"/>
      <c r="G273" s="128"/>
      <c r="H273" s="142">
        <v>268</v>
      </c>
      <c r="I273" s="143" t="str">
        <f t="shared" si="21"/>
        <v/>
      </c>
      <c r="J273" s="142" t="e">
        <f t="shared" si="22"/>
        <v>#NUM!</v>
      </c>
      <c r="K273" s="142" t="e">
        <f t="shared" si="19"/>
        <v>#NUM!</v>
      </c>
      <c r="L273" s="142"/>
      <c r="M273" s="144">
        <f t="shared" si="20"/>
        <v>0</v>
      </c>
    </row>
    <row r="274" spans="1:13" x14ac:dyDescent="0.25">
      <c r="A274" s="158"/>
      <c r="G274" s="128"/>
      <c r="H274" s="142">
        <v>269</v>
      </c>
      <c r="I274" s="143" t="str">
        <f t="shared" si="21"/>
        <v/>
      </c>
      <c r="J274" s="142" t="e">
        <f t="shared" si="22"/>
        <v>#NUM!</v>
      </c>
      <c r="K274" s="142" t="e">
        <f t="shared" si="19"/>
        <v>#NUM!</v>
      </c>
      <c r="L274" s="142"/>
      <c r="M274" s="144">
        <f t="shared" si="20"/>
        <v>0</v>
      </c>
    </row>
    <row r="275" spans="1:13" x14ac:dyDescent="0.25">
      <c r="A275" s="158"/>
      <c r="G275" s="128"/>
      <c r="H275" s="142">
        <v>270</v>
      </c>
      <c r="I275" s="143" t="str">
        <f t="shared" si="21"/>
        <v/>
      </c>
      <c r="J275" s="142" t="e">
        <f t="shared" si="22"/>
        <v>#NUM!</v>
      </c>
      <c r="K275" s="142" t="e">
        <f t="shared" si="19"/>
        <v>#NUM!</v>
      </c>
      <c r="L275" s="142"/>
      <c r="M275" s="144">
        <f t="shared" si="20"/>
        <v>0</v>
      </c>
    </row>
    <row r="276" spans="1:13" x14ac:dyDescent="0.25">
      <c r="A276" s="158"/>
      <c r="G276" s="128"/>
      <c r="H276" s="142">
        <v>271</v>
      </c>
      <c r="I276" s="143" t="str">
        <f t="shared" si="21"/>
        <v/>
      </c>
      <c r="J276" s="142" t="e">
        <f t="shared" si="22"/>
        <v>#NUM!</v>
      </c>
      <c r="K276" s="142" t="e">
        <f t="shared" si="19"/>
        <v>#NUM!</v>
      </c>
      <c r="L276" s="142"/>
      <c r="M276" s="144">
        <f t="shared" si="20"/>
        <v>0</v>
      </c>
    </row>
    <row r="277" spans="1:13" x14ac:dyDescent="0.25">
      <c r="A277" s="158"/>
      <c r="G277" s="128"/>
      <c r="H277" s="142">
        <v>272</v>
      </c>
      <c r="I277" s="143" t="str">
        <f t="shared" si="21"/>
        <v/>
      </c>
      <c r="J277" s="142" t="e">
        <f t="shared" si="22"/>
        <v>#NUM!</v>
      </c>
      <c r="K277" s="142" t="e">
        <f t="shared" si="19"/>
        <v>#NUM!</v>
      </c>
      <c r="L277" s="142"/>
      <c r="M277" s="144">
        <f t="shared" si="20"/>
        <v>0</v>
      </c>
    </row>
    <row r="278" spans="1:13" x14ac:dyDescent="0.25">
      <c r="A278" s="158"/>
      <c r="G278" s="128"/>
      <c r="H278" s="142">
        <v>273</v>
      </c>
      <c r="I278" s="143" t="str">
        <f t="shared" si="21"/>
        <v/>
      </c>
      <c r="J278" s="142" t="e">
        <f t="shared" si="22"/>
        <v>#NUM!</v>
      </c>
      <c r="K278" s="142" t="e">
        <f t="shared" si="19"/>
        <v>#NUM!</v>
      </c>
      <c r="L278" s="142"/>
      <c r="M278" s="144">
        <f t="shared" si="20"/>
        <v>0</v>
      </c>
    </row>
    <row r="279" spans="1:13" x14ac:dyDescent="0.25">
      <c r="A279" s="158"/>
      <c r="G279" s="128"/>
      <c r="H279" s="142">
        <v>274</v>
      </c>
      <c r="I279" s="143" t="str">
        <f t="shared" si="21"/>
        <v/>
      </c>
      <c r="J279" s="142" t="e">
        <f t="shared" si="22"/>
        <v>#NUM!</v>
      </c>
      <c r="K279" s="142" t="e">
        <f t="shared" si="19"/>
        <v>#NUM!</v>
      </c>
      <c r="L279" s="142"/>
      <c r="M279" s="144">
        <f t="shared" si="20"/>
        <v>0</v>
      </c>
    </row>
    <row r="280" spans="1:13" x14ac:dyDescent="0.25">
      <c r="A280" s="158"/>
      <c r="G280" s="128"/>
      <c r="H280" s="142">
        <v>275</v>
      </c>
      <c r="I280" s="143" t="str">
        <f t="shared" si="21"/>
        <v/>
      </c>
      <c r="J280" s="142" t="e">
        <f t="shared" si="22"/>
        <v>#NUM!</v>
      </c>
      <c r="K280" s="142" t="e">
        <f t="shared" si="19"/>
        <v>#NUM!</v>
      </c>
      <c r="L280" s="142"/>
      <c r="M280" s="144">
        <f t="shared" si="20"/>
        <v>0</v>
      </c>
    </row>
    <row r="281" spans="1:13" x14ac:dyDescent="0.25">
      <c r="A281" s="158"/>
      <c r="G281" s="128"/>
      <c r="H281" s="142">
        <v>276</v>
      </c>
      <c r="I281" s="143" t="str">
        <f t="shared" si="21"/>
        <v/>
      </c>
      <c r="J281" s="142" t="e">
        <f t="shared" si="22"/>
        <v>#NUM!</v>
      </c>
      <c r="K281" s="142" t="e">
        <f t="shared" si="19"/>
        <v>#NUM!</v>
      </c>
      <c r="L281" s="142"/>
      <c r="M281" s="144">
        <f t="shared" si="20"/>
        <v>0</v>
      </c>
    </row>
    <row r="282" spans="1:13" x14ac:dyDescent="0.25">
      <c r="A282" s="158"/>
      <c r="G282" s="128"/>
      <c r="H282" s="142">
        <v>277</v>
      </c>
      <c r="I282" s="143" t="str">
        <f t="shared" si="21"/>
        <v/>
      </c>
      <c r="J282" s="142" t="e">
        <f t="shared" si="22"/>
        <v>#NUM!</v>
      </c>
      <c r="K282" s="142" t="e">
        <f t="shared" si="19"/>
        <v>#NUM!</v>
      </c>
      <c r="L282" s="142"/>
      <c r="M282" s="144">
        <f t="shared" si="20"/>
        <v>0</v>
      </c>
    </row>
    <row r="283" spans="1:13" x14ac:dyDescent="0.25">
      <c r="A283" s="158"/>
      <c r="G283" s="128"/>
      <c r="H283" s="142">
        <v>278</v>
      </c>
      <c r="I283" s="143" t="str">
        <f t="shared" si="21"/>
        <v/>
      </c>
      <c r="J283" s="142" t="e">
        <f t="shared" si="22"/>
        <v>#NUM!</v>
      </c>
      <c r="K283" s="142" t="e">
        <f t="shared" si="19"/>
        <v>#NUM!</v>
      </c>
      <c r="L283" s="142"/>
      <c r="M283" s="144">
        <f t="shared" si="20"/>
        <v>0</v>
      </c>
    </row>
    <row r="284" spans="1:13" x14ac:dyDescent="0.25">
      <c r="A284" s="158"/>
      <c r="G284" s="128"/>
      <c r="H284" s="142">
        <v>279</v>
      </c>
      <c r="I284" s="143" t="str">
        <f t="shared" si="21"/>
        <v/>
      </c>
      <c r="J284" s="142" t="e">
        <f t="shared" si="22"/>
        <v>#NUM!</v>
      </c>
      <c r="K284" s="142" t="e">
        <f t="shared" si="19"/>
        <v>#NUM!</v>
      </c>
      <c r="L284" s="142"/>
      <c r="M284" s="144">
        <f t="shared" si="20"/>
        <v>0</v>
      </c>
    </row>
    <row r="285" spans="1:13" x14ac:dyDescent="0.25">
      <c r="A285" s="158"/>
      <c r="G285" s="128"/>
      <c r="H285" s="142">
        <v>280</v>
      </c>
      <c r="I285" s="143" t="str">
        <f t="shared" si="21"/>
        <v/>
      </c>
      <c r="J285" s="142" t="e">
        <f t="shared" si="22"/>
        <v>#NUM!</v>
      </c>
      <c r="K285" s="142" t="e">
        <f t="shared" si="19"/>
        <v>#NUM!</v>
      </c>
      <c r="L285" s="142"/>
      <c r="M285" s="144">
        <f t="shared" si="20"/>
        <v>0</v>
      </c>
    </row>
    <row r="286" spans="1:13" x14ac:dyDescent="0.25">
      <c r="A286" s="158"/>
      <c r="G286" s="128"/>
      <c r="H286" s="142">
        <v>281</v>
      </c>
      <c r="I286" s="143" t="str">
        <f t="shared" si="21"/>
        <v/>
      </c>
      <c r="J286" s="142" t="e">
        <f t="shared" si="22"/>
        <v>#NUM!</v>
      </c>
      <c r="K286" s="142" t="e">
        <f t="shared" si="19"/>
        <v>#NUM!</v>
      </c>
      <c r="L286" s="142"/>
      <c r="M286" s="144">
        <f t="shared" si="20"/>
        <v>0</v>
      </c>
    </row>
    <row r="287" spans="1:13" x14ac:dyDescent="0.25">
      <c r="A287" s="158"/>
      <c r="G287" s="128"/>
      <c r="H287" s="142">
        <v>282</v>
      </c>
      <c r="I287" s="143" t="str">
        <f t="shared" si="21"/>
        <v/>
      </c>
      <c r="J287" s="142" t="e">
        <f t="shared" si="22"/>
        <v>#NUM!</v>
      </c>
      <c r="K287" s="142" t="e">
        <f t="shared" si="19"/>
        <v>#NUM!</v>
      </c>
      <c r="L287" s="142"/>
      <c r="M287" s="144">
        <f t="shared" si="20"/>
        <v>0</v>
      </c>
    </row>
    <row r="288" spans="1:13" x14ac:dyDescent="0.25">
      <c r="A288" s="158"/>
      <c r="G288" s="128"/>
      <c r="H288" s="142">
        <v>283</v>
      </c>
      <c r="I288" s="143" t="str">
        <f t="shared" si="21"/>
        <v/>
      </c>
      <c r="J288" s="142" t="e">
        <f t="shared" si="22"/>
        <v>#NUM!</v>
      </c>
      <c r="K288" s="142" t="e">
        <f t="shared" si="19"/>
        <v>#NUM!</v>
      </c>
      <c r="L288" s="142"/>
      <c r="M288" s="144">
        <f t="shared" si="20"/>
        <v>0</v>
      </c>
    </row>
    <row r="289" spans="1:13" x14ac:dyDescent="0.25">
      <c r="A289" s="158"/>
      <c r="G289" s="128"/>
      <c r="H289" s="142">
        <v>284</v>
      </c>
      <c r="I289" s="143" t="str">
        <f t="shared" si="21"/>
        <v/>
      </c>
      <c r="J289" s="142" t="e">
        <f t="shared" si="22"/>
        <v>#NUM!</v>
      </c>
      <c r="K289" s="142" t="e">
        <f t="shared" si="19"/>
        <v>#NUM!</v>
      </c>
      <c r="L289" s="142"/>
      <c r="M289" s="144">
        <f t="shared" si="20"/>
        <v>0</v>
      </c>
    </row>
    <row r="290" spans="1:13" x14ac:dyDescent="0.25">
      <c r="A290" s="158"/>
      <c r="G290" s="128"/>
      <c r="H290" s="142">
        <v>285</v>
      </c>
      <c r="I290" s="143" t="str">
        <f t="shared" si="21"/>
        <v/>
      </c>
      <c r="J290" s="142" t="e">
        <f t="shared" si="22"/>
        <v>#NUM!</v>
      </c>
      <c r="K290" s="142" t="e">
        <f t="shared" si="19"/>
        <v>#NUM!</v>
      </c>
      <c r="L290" s="142"/>
      <c r="M290" s="144">
        <f t="shared" si="20"/>
        <v>0</v>
      </c>
    </row>
    <row r="291" spans="1:13" x14ac:dyDescent="0.25">
      <c r="A291" s="158"/>
      <c r="G291" s="128"/>
      <c r="H291" s="142">
        <v>286</v>
      </c>
      <c r="I291" s="143" t="str">
        <f t="shared" si="21"/>
        <v/>
      </c>
      <c r="J291" s="142" t="e">
        <f t="shared" si="22"/>
        <v>#NUM!</v>
      </c>
      <c r="K291" s="142" t="e">
        <f t="shared" si="19"/>
        <v>#NUM!</v>
      </c>
      <c r="L291" s="142"/>
      <c r="M291" s="144">
        <f t="shared" si="20"/>
        <v>0</v>
      </c>
    </row>
    <row r="292" spans="1:13" x14ac:dyDescent="0.25">
      <c r="A292" s="158"/>
      <c r="G292" s="128"/>
      <c r="H292" s="142">
        <v>287</v>
      </c>
      <c r="I292" s="143" t="str">
        <f t="shared" si="21"/>
        <v/>
      </c>
      <c r="J292" s="142" t="e">
        <f t="shared" si="22"/>
        <v>#NUM!</v>
      </c>
      <c r="K292" s="142" t="e">
        <f t="shared" si="19"/>
        <v>#NUM!</v>
      </c>
      <c r="L292" s="142"/>
      <c r="M292" s="144">
        <f t="shared" si="20"/>
        <v>0</v>
      </c>
    </row>
    <row r="293" spans="1:13" x14ac:dyDescent="0.25">
      <c r="A293" s="158"/>
      <c r="G293" s="128"/>
      <c r="H293" s="142">
        <v>288</v>
      </c>
      <c r="I293" s="143" t="str">
        <f t="shared" si="21"/>
        <v/>
      </c>
      <c r="J293" s="142" t="e">
        <f t="shared" si="22"/>
        <v>#NUM!</v>
      </c>
      <c r="K293" s="142" t="e">
        <f t="shared" si="19"/>
        <v>#NUM!</v>
      </c>
      <c r="L293" s="142"/>
      <c r="M293" s="144">
        <f t="shared" si="20"/>
        <v>0</v>
      </c>
    </row>
    <row r="294" spans="1:13" x14ac:dyDescent="0.25">
      <c r="A294" s="158"/>
      <c r="G294" s="128"/>
      <c r="H294" s="142">
        <v>289</v>
      </c>
      <c r="I294" s="143" t="str">
        <f t="shared" si="21"/>
        <v/>
      </c>
      <c r="J294" s="142" t="e">
        <f t="shared" si="22"/>
        <v>#NUM!</v>
      </c>
      <c r="K294" s="142" t="e">
        <f t="shared" si="19"/>
        <v>#NUM!</v>
      </c>
      <c r="L294" s="142"/>
      <c r="M294" s="144">
        <f t="shared" si="20"/>
        <v>0</v>
      </c>
    </row>
    <row r="295" spans="1:13" x14ac:dyDescent="0.25">
      <c r="A295" s="158"/>
      <c r="G295" s="128"/>
      <c r="H295" s="142">
        <v>290</v>
      </c>
      <c r="I295" s="143" t="str">
        <f t="shared" si="21"/>
        <v/>
      </c>
      <c r="J295" s="142" t="e">
        <f t="shared" si="22"/>
        <v>#NUM!</v>
      </c>
      <c r="K295" s="142" t="e">
        <f t="shared" si="19"/>
        <v>#NUM!</v>
      </c>
      <c r="L295" s="142"/>
      <c r="M295" s="144">
        <f t="shared" si="20"/>
        <v>0</v>
      </c>
    </row>
    <row r="296" spans="1:13" x14ac:dyDescent="0.25">
      <c r="A296" s="158"/>
      <c r="G296" s="128"/>
      <c r="H296" s="142">
        <v>291</v>
      </c>
      <c r="I296" s="143" t="str">
        <f t="shared" si="21"/>
        <v/>
      </c>
      <c r="J296" s="142" t="e">
        <f t="shared" si="22"/>
        <v>#NUM!</v>
      </c>
      <c r="K296" s="142" t="e">
        <f t="shared" si="19"/>
        <v>#NUM!</v>
      </c>
      <c r="L296" s="142"/>
      <c r="M296" s="144">
        <f t="shared" si="20"/>
        <v>0</v>
      </c>
    </row>
    <row r="297" spans="1:13" x14ac:dyDescent="0.25">
      <c r="A297" s="158"/>
      <c r="G297" s="128"/>
      <c r="H297" s="142">
        <v>292</v>
      </c>
      <c r="I297" s="143" t="str">
        <f t="shared" si="21"/>
        <v/>
      </c>
      <c r="J297" s="142" t="e">
        <f t="shared" si="22"/>
        <v>#NUM!</v>
      </c>
      <c r="K297" s="142" t="e">
        <f t="shared" si="19"/>
        <v>#NUM!</v>
      </c>
      <c r="L297" s="142"/>
      <c r="M297" s="144">
        <f t="shared" si="20"/>
        <v>0</v>
      </c>
    </row>
    <row r="298" spans="1:13" x14ac:dyDescent="0.25">
      <c r="A298" s="158"/>
      <c r="G298" s="128"/>
      <c r="H298" s="142">
        <v>293</v>
      </c>
      <c r="I298" s="143" t="str">
        <f t="shared" si="21"/>
        <v/>
      </c>
      <c r="J298" s="142" t="e">
        <f t="shared" si="22"/>
        <v>#NUM!</v>
      </c>
      <c r="K298" s="142" t="e">
        <f t="shared" si="19"/>
        <v>#NUM!</v>
      </c>
      <c r="L298" s="142"/>
      <c r="M298" s="144">
        <f t="shared" si="20"/>
        <v>0</v>
      </c>
    </row>
    <row r="299" spans="1:13" x14ac:dyDescent="0.25">
      <c r="A299" s="158"/>
      <c r="G299" s="128"/>
      <c r="H299" s="142">
        <v>294</v>
      </c>
      <c r="I299" s="143" t="str">
        <f t="shared" si="21"/>
        <v/>
      </c>
      <c r="J299" s="142" t="e">
        <f t="shared" si="22"/>
        <v>#NUM!</v>
      </c>
      <c r="K299" s="142" t="e">
        <f t="shared" si="19"/>
        <v>#NUM!</v>
      </c>
      <c r="L299" s="142"/>
      <c r="M299" s="144">
        <f t="shared" si="20"/>
        <v>0</v>
      </c>
    </row>
    <row r="300" spans="1:13" x14ac:dyDescent="0.25">
      <c r="A300" s="158"/>
      <c r="G300" s="128"/>
      <c r="H300" s="142">
        <v>295</v>
      </c>
      <c r="I300" s="143" t="str">
        <f t="shared" si="21"/>
        <v/>
      </c>
      <c r="J300" s="142" t="e">
        <f t="shared" si="22"/>
        <v>#NUM!</v>
      </c>
      <c r="K300" s="142" t="e">
        <f t="shared" si="19"/>
        <v>#NUM!</v>
      </c>
      <c r="L300" s="142"/>
      <c r="M300" s="144">
        <f t="shared" si="20"/>
        <v>0</v>
      </c>
    </row>
    <row r="301" spans="1:13" x14ac:dyDescent="0.25">
      <c r="A301" s="158"/>
      <c r="G301" s="128"/>
      <c r="H301" s="142">
        <v>296</v>
      </c>
      <c r="I301" s="143" t="str">
        <f t="shared" si="21"/>
        <v/>
      </c>
      <c r="J301" s="142" t="e">
        <f t="shared" si="22"/>
        <v>#NUM!</v>
      </c>
      <c r="K301" s="142" t="e">
        <f t="shared" si="19"/>
        <v>#NUM!</v>
      </c>
      <c r="L301" s="142"/>
      <c r="M301" s="144">
        <f t="shared" si="20"/>
        <v>0</v>
      </c>
    </row>
    <row r="302" spans="1:13" x14ac:dyDescent="0.25">
      <c r="A302" s="158"/>
      <c r="G302" s="128"/>
      <c r="H302" s="142">
        <v>297</v>
      </c>
      <c r="I302" s="143" t="str">
        <f t="shared" si="21"/>
        <v/>
      </c>
      <c r="J302" s="142" t="e">
        <f t="shared" si="22"/>
        <v>#NUM!</v>
      </c>
      <c r="K302" s="142" t="e">
        <f t="shared" si="19"/>
        <v>#NUM!</v>
      </c>
      <c r="L302" s="142"/>
      <c r="M302" s="144">
        <f t="shared" si="20"/>
        <v>0</v>
      </c>
    </row>
    <row r="303" spans="1:13" x14ac:dyDescent="0.25">
      <c r="A303" s="158"/>
      <c r="G303" s="128"/>
      <c r="H303" s="142">
        <v>298</v>
      </c>
      <c r="I303" s="143" t="str">
        <f t="shared" si="21"/>
        <v/>
      </c>
      <c r="J303" s="142" t="e">
        <f t="shared" si="22"/>
        <v>#NUM!</v>
      </c>
      <c r="K303" s="142" t="e">
        <f t="shared" si="19"/>
        <v>#NUM!</v>
      </c>
      <c r="L303" s="142"/>
      <c r="M303" s="144">
        <f t="shared" si="20"/>
        <v>0</v>
      </c>
    </row>
    <row r="304" spans="1:13" x14ac:dyDescent="0.25">
      <c r="A304" s="158"/>
      <c r="G304" s="128"/>
      <c r="H304" s="142">
        <v>299</v>
      </c>
      <c r="I304" s="143" t="str">
        <f t="shared" si="21"/>
        <v/>
      </c>
      <c r="J304" s="142" t="e">
        <f t="shared" si="22"/>
        <v>#NUM!</v>
      </c>
      <c r="K304" s="142" t="e">
        <f t="shared" si="19"/>
        <v>#NUM!</v>
      </c>
      <c r="L304" s="142"/>
      <c r="M304" s="144">
        <f t="shared" si="20"/>
        <v>0</v>
      </c>
    </row>
    <row r="305" spans="1:16" x14ac:dyDescent="0.25">
      <c r="A305" s="158"/>
      <c r="G305" s="128"/>
      <c r="H305" s="142">
        <v>300</v>
      </c>
      <c r="I305" s="143" t="str">
        <f t="shared" si="21"/>
        <v/>
      </c>
      <c r="J305" s="142" t="e">
        <f t="shared" si="22"/>
        <v>#NUM!</v>
      </c>
      <c r="K305" s="142" t="e">
        <f t="shared" si="19"/>
        <v>#NUM!</v>
      </c>
      <c r="L305" s="142"/>
      <c r="M305" s="144">
        <f t="shared" si="20"/>
        <v>0</v>
      </c>
    </row>
    <row r="306" spans="1:16" x14ac:dyDescent="0.25">
      <c r="A306" s="160"/>
    </row>
    <row r="314" spans="1:16" x14ac:dyDescent="0.25">
      <c r="L314" s="163"/>
      <c r="P314" s="153"/>
    </row>
    <row r="315" spans="1:16" x14ac:dyDescent="0.25">
      <c r="L315" s="163"/>
      <c r="P315" s="153"/>
    </row>
    <row r="316" spans="1:16" x14ac:dyDescent="0.25">
      <c r="L316" s="163"/>
      <c r="P316" s="153"/>
    </row>
    <row r="317" spans="1:16" x14ac:dyDescent="0.25">
      <c r="L317" s="163"/>
      <c r="P317" s="153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B165D51C-BB67-49B8-AFC7-AB8855C075D7}">
      <formula1>#REF!</formula1>
    </dataValidation>
  </dataValidations>
  <hyperlinks>
    <hyperlink ref="C2:D2" r:id="rId1" display="SPAŁA" xr:uid="{ADEC38AA-F496-4596-BBAB-2D04F39EC97F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AFB7-4264-4315-B6BF-45539BAA7F6E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159" customWidth="1"/>
    <col min="2" max="2" width="8.25" style="159" customWidth="1"/>
    <col min="3" max="3" width="34.75" style="159" customWidth="1"/>
    <col min="4" max="4" width="11.25" style="159" customWidth="1"/>
    <col min="5" max="6" width="8.875" style="159"/>
    <col min="7" max="7" width="0.875" style="159" customWidth="1"/>
    <col min="8" max="8" width="8.875" style="161"/>
    <col min="9" max="9" width="11" style="161" customWidth="1"/>
    <col min="10" max="10" width="15.25" style="161" customWidth="1"/>
    <col min="11" max="11" width="8.75" style="161" customWidth="1"/>
    <col min="12" max="12" width="11" style="161" customWidth="1"/>
    <col min="13" max="13" width="11.75" style="162" customWidth="1"/>
    <col min="14" max="15" width="13.875" style="128" customWidth="1"/>
    <col min="16" max="18" width="8.875" style="128"/>
    <col min="19" max="20" width="8.875" style="133"/>
    <col min="21" max="21" width="12.125" style="133" customWidth="1"/>
    <col min="22" max="22" width="27.375" style="133" customWidth="1"/>
    <col min="23" max="38" width="8.875" style="133"/>
    <col min="39" max="16384" width="8.875" style="159"/>
  </cols>
  <sheetData>
    <row r="1" spans="1:36" x14ac:dyDescent="0.25">
      <c r="A1" s="128"/>
      <c r="B1" s="128"/>
      <c r="C1" s="128"/>
      <c r="D1" s="128"/>
      <c r="E1" s="128"/>
      <c r="F1" s="128"/>
      <c r="G1" s="128"/>
      <c r="H1" s="129" t="s">
        <v>22</v>
      </c>
      <c r="I1" s="130" t="s">
        <v>23</v>
      </c>
      <c r="J1" s="130" t="s">
        <v>24</v>
      </c>
      <c r="K1" s="131" t="s">
        <v>25</v>
      </c>
      <c r="L1" s="132"/>
      <c r="M1" s="132"/>
    </row>
    <row r="2" spans="1:36" ht="14.45" customHeight="1" x14ac:dyDescent="0.25">
      <c r="A2" s="128"/>
      <c r="B2" s="20" t="s">
        <v>26</v>
      </c>
      <c r="C2" s="262" t="s">
        <v>53</v>
      </c>
      <c r="D2" s="262"/>
      <c r="E2" s="21"/>
      <c r="F2" s="21"/>
      <c r="G2" s="21"/>
      <c r="H2" s="134">
        <v>0</v>
      </c>
      <c r="I2" s="135">
        <v>50</v>
      </c>
      <c r="J2" s="135">
        <v>10</v>
      </c>
      <c r="K2" s="136">
        <f>3*H2^(1/3)</f>
        <v>0</v>
      </c>
      <c r="L2" s="132"/>
      <c r="M2" s="132"/>
    </row>
    <row r="3" spans="1:36" ht="14.45" customHeight="1" x14ac:dyDescent="0.25">
      <c r="A3" s="128"/>
      <c r="B3" s="137" t="s">
        <v>28</v>
      </c>
      <c r="C3" s="263" t="s">
        <v>171</v>
      </c>
      <c r="D3" s="263"/>
      <c r="E3" s="26"/>
      <c r="F3" s="26"/>
      <c r="G3" s="26"/>
      <c r="H3" s="132"/>
      <c r="I3" s="132"/>
      <c r="J3" s="138"/>
      <c r="K3" s="132"/>
      <c r="L3" s="132"/>
      <c r="M3" s="13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2"/>
      <c r="I4" s="132"/>
      <c r="J4" s="138"/>
      <c r="K4" s="132"/>
      <c r="L4" s="132"/>
      <c r="M4" s="132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39" t="s">
        <v>35</v>
      </c>
      <c r="I5" s="140" t="s">
        <v>36</v>
      </c>
      <c r="J5" s="141" t="s">
        <v>37</v>
      </c>
      <c r="K5" s="140" t="s">
        <v>38</v>
      </c>
      <c r="L5" s="140" t="s">
        <v>39</v>
      </c>
      <c r="M5" s="139" t="s">
        <v>40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142">
        <v>1</v>
      </c>
      <c r="I6" s="143" t="str">
        <f>IF(H2=1,50,IF(H6&lt;$H$2+1,($I$2-($I$2-1)*(LOG(H6)/LOG($H$2))),""))</f>
        <v/>
      </c>
      <c r="J6" s="142" t="e">
        <f>INT(LOG($H$2,2))-ROUNDUP(LOG(H6,2),0)+IF(OR($H$2=1,$H$2=2,$H$2=4,$H$2=8,$H$2=16,$H$2=32,$H$2=64,$H$2=128,$H$2=256),0,1)</f>
        <v>#NUM!</v>
      </c>
      <c r="K6" s="142" t="e">
        <f t="shared" ref="K6:K69" si="1">J6*$J$2</f>
        <v>#NUM!</v>
      </c>
      <c r="L6" s="144">
        <f>3*K2</f>
        <v>0</v>
      </c>
      <c r="M6" s="144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5">
        <v>2</v>
      </c>
      <c r="I7" s="146" t="str">
        <f t="shared" ref="I7:I70" si="4">IF(H7&lt;$H$2+1,($I$2-($I$2-1)*(LOG(H7)/LOG($H$2))),"")</f>
        <v/>
      </c>
      <c r="J7" s="145" t="e">
        <f t="shared" ref="J7:J70" si="5">INT(LOG($H$2,2))-ROUNDUP(LOG(H7,2),0)+IF(OR($H$2=1,$H$2=2,$H$2=4,$H$2=8,$H$2=16,$H$2=32,$H$2=64,$H$2=128,$H$2=256),0,1)</f>
        <v>#NUM!</v>
      </c>
      <c r="K7" s="145" t="e">
        <f t="shared" si="1"/>
        <v>#NUM!</v>
      </c>
      <c r="L7" s="147">
        <f>2*K2</f>
        <v>0</v>
      </c>
      <c r="M7" s="147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2">
        <v>3</v>
      </c>
      <c r="I8" s="143" t="str">
        <f t="shared" si="4"/>
        <v/>
      </c>
      <c r="J8" s="142" t="e">
        <f t="shared" si="5"/>
        <v>#NUM!</v>
      </c>
      <c r="K8" s="142" t="e">
        <f t="shared" si="1"/>
        <v>#NUM!</v>
      </c>
      <c r="L8" s="144">
        <f>K2</f>
        <v>0</v>
      </c>
      <c r="M8" s="144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5">
        <v>4</v>
      </c>
      <c r="I9" s="146" t="str">
        <f t="shared" si="4"/>
        <v/>
      </c>
      <c r="J9" s="145" t="e">
        <f t="shared" si="5"/>
        <v>#NUM!</v>
      </c>
      <c r="K9" s="145" t="e">
        <f t="shared" si="1"/>
        <v>#NUM!</v>
      </c>
      <c r="L9" s="147"/>
      <c r="M9" s="147">
        <f t="shared" si="2"/>
        <v>0</v>
      </c>
      <c r="V9" s="148"/>
      <c r="Z9" s="149"/>
      <c r="AA9" s="149"/>
      <c r="AG9" s="150"/>
      <c r="AH9" s="133" t="s">
        <v>42</v>
      </c>
      <c r="AI9" s="133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2">
        <v>5</v>
      </c>
      <c r="I10" s="143" t="str">
        <f t="shared" si="4"/>
        <v/>
      </c>
      <c r="J10" s="142" t="e">
        <f t="shared" si="5"/>
        <v>#NUM!</v>
      </c>
      <c r="K10" s="142" t="e">
        <f t="shared" si="1"/>
        <v>#NUM!</v>
      </c>
      <c r="L10" s="142"/>
      <c r="M10" s="144">
        <f t="shared" si="2"/>
        <v>0</v>
      </c>
      <c r="V10" s="148"/>
      <c r="Z10" s="149"/>
      <c r="AA10" s="149"/>
      <c r="AG10" s="150"/>
      <c r="AH10" s="133" t="s">
        <v>43</v>
      </c>
      <c r="AI10" s="133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5">
        <v>6</v>
      </c>
      <c r="I11" s="146" t="str">
        <f t="shared" si="4"/>
        <v/>
      </c>
      <c r="J11" s="145" t="e">
        <f t="shared" si="5"/>
        <v>#NUM!</v>
      </c>
      <c r="K11" s="145" t="e">
        <f t="shared" si="1"/>
        <v>#NUM!</v>
      </c>
      <c r="L11" s="145"/>
      <c r="M11" s="147">
        <f t="shared" si="2"/>
        <v>0</v>
      </c>
      <c r="V11" s="151"/>
      <c r="Z11" s="149"/>
      <c r="AA11" s="149"/>
      <c r="AG11" s="150"/>
      <c r="AH11" s="133" t="s">
        <v>44</v>
      </c>
      <c r="AI11" s="133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2">
        <v>7</v>
      </c>
      <c r="I12" s="143" t="str">
        <f t="shared" si="4"/>
        <v/>
      </c>
      <c r="J12" s="142" t="e">
        <f t="shared" si="5"/>
        <v>#NUM!</v>
      </c>
      <c r="K12" s="142" t="e">
        <f t="shared" si="1"/>
        <v>#NUM!</v>
      </c>
      <c r="L12" s="142"/>
      <c r="M12" s="144">
        <f t="shared" si="2"/>
        <v>0</v>
      </c>
      <c r="Z12" s="149"/>
      <c r="AA12" s="149"/>
      <c r="AG12" s="150"/>
      <c r="AH12" s="133" t="s">
        <v>45</v>
      </c>
      <c r="AI12" s="133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5">
        <v>8</v>
      </c>
      <c r="I13" s="146" t="str">
        <f t="shared" si="4"/>
        <v/>
      </c>
      <c r="J13" s="145" t="e">
        <f t="shared" si="5"/>
        <v>#NUM!</v>
      </c>
      <c r="K13" s="145" t="e">
        <f t="shared" si="1"/>
        <v>#NUM!</v>
      </c>
      <c r="L13" s="145"/>
      <c r="M13" s="147">
        <f t="shared" si="2"/>
        <v>0</v>
      </c>
      <c r="X13" s="148"/>
      <c r="AG13" s="150"/>
      <c r="AH13" s="133" t="s">
        <v>46</v>
      </c>
      <c r="AI13" s="133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2">
        <v>9</v>
      </c>
      <c r="I14" s="143" t="str">
        <f t="shared" si="4"/>
        <v/>
      </c>
      <c r="J14" s="142" t="e">
        <f t="shared" si="5"/>
        <v>#NUM!</v>
      </c>
      <c r="K14" s="142" t="e">
        <f t="shared" si="1"/>
        <v>#NUM!</v>
      </c>
      <c r="L14" s="142"/>
      <c r="M14" s="144">
        <f t="shared" si="2"/>
        <v>0</v>
      </c>
      <c r="X14" s="152"/>
      <c r="Z14" s="149"/>
      <c r="AA14" s="149"/>
      <c r="AG14" s="150"/>
      <c r="AH14" s="133" t="s">
        <v>47</v>
      </c>
      <c r="AI14" s="133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5">
        <v>10</v>
      </c>
      <c r="I15" s="146" t="str">
        <f t="shared" si="4"/>
        <v/>
      </c>
      <c r="J15" s="145" t="e">
        <f t="shared" si="5"/>
        <v>#NUM!</v>
      </c>
      <c r="K15" s="145" t="e">
        <f t="shared" si="1"/>
        <v>#NUM!</v>
      </c>
      <c r="L15" s="145"/>
      <c r="M15" s="147">
        <f t="shared" si="2"/>
        <v>0</v>
      </c>
      <c r="X15" s="148"/>
      <c r="Z15" s="149"/>
      <c r="AA15" s="149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2">
        <v>11</v>
      </c>
      <c r="I16" s="143" t="str">
        <f t="shared" si="4"/>
        <v/>
      </c>
      <c r="J16" s="142" t="e">
        <f t="shared" si="5"/>
        <v>#NUM!</v>
      </c>
      <c r="K16" s="142" t="e">
        <f t="shared" si="1"/>
        <v>#NUM!</v>
      </c>
      <c r="L16" s="142"/>
      <c r="M16" s="144">
        <f t="shared" si="2"/>
        <v>0</v>
      </c>
      <c r="R16" s="153"/>
      <c r="Z16" s="149"/>
      <c r="AA16" s="149"/>
      <c r="AH16" s="154" t="s">
        <v>48</v>
      </c>
      <c r="AI16" s="133">
        <f>AI11-AI12*AI13/AI14</f>
        <v>9.6393909380186855</v>
      </c>
      <c r="AJ16" s="133" t="s">
        <v>49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5">
        <v>12</v>
      </c>
      <c r="I17" s="146" t="str">
        <f t="shared" si="4"/>
        <v/>
      </c>
      <c r="J17" s="145" t="e">
        <f t="shared" si="5"/>
        <v>#NUM!</v>
      </c>
      <c r="K17" s="145" t="e">
        <f t="shared" si="1"/>
        <v>#NUM!</v>
      </c>
      <c r="L17" s="145"/>
      <c r="M17" s="147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2">
        <v>13</v>
      </c>
      <c r="I18" s="143" t="str">
        <f t="shared" si="4"/>
        <v/>
      </c>
      <c r="J18" s="142" t="e">
        <f t="shared" si="5"/>
        <v>#NUM!</v>
      </c>
      <c r="K18" s="142" t="e">
        <f t="shared" si="1"/>
        <v>#NUM!</v>
      </c>
      <c r="L18" s="142"/>
      <c r="M18" s="144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5">
        <v>14</v>
      </c>
      <c r="I19" s="146" t="str">
        <f t="shared" si="4"/>
        <v/>
      </c>
      <c r="J19" s="145" t="e">
        <f t="shared" si="5"/>
        <v>#NUM!</v>
      </c>
      <c r="K19" s="145" t="e">
        <f t="shared" si="1"/>
        <v>#NUM!</v>
      </c>
      <c r="L19" s="145"/>
      <c r="M19" s="147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2">
        <v>15</v>
      </c>
      <c r="I20" s="143" t="str">
        <f t="shared" si="4"/>
        <v/>
      </c>
      <c r="J20" s="142" t="e">
        <f t="shared" si="5"/>
        <v>#NUM!</v>
      </c>
      <c r="K20" s="142" t="e">
        <f t="shared" si="1"/>
        <v>#NUM!</v>
      </c>
      <c r="L20" s="142"/>
      <c r="M20" s="144">
        <f t="shared" si="2"/>
        <v>0</v>
      </c>
      <c r="R20" s="155"/>
      <c r="S20" s="156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5">
        <v>16</v>
      </c>
      <c r="I21" s="146" t="str">
        <f t="shared" si="4"/>
        <v/>
      </c>
      <c r="J21" s="145" t="e">
        <f t="shared" si="5"/>
        <v>#NUM!</v>
      </c>
      <c r="K21" s="145" t="e">
        <f t="shared" si="1"/>
        <v>#NUM!</v>
      </c>
      <c r="L21" s="145"/>
      <c r="M21" s="147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2">
        <v>17</v>
      </c>
      <c r="I22" s="143" t="str">
        <f t="shared" si="4"/>
        <v/>
      </c>
      <c r="J22" s="142" t="e">
        <f t="shared" si="5"/>
        <v>#NUM!</v>
      </c>
      <c r="K22" s="142" t="e">
        <f t="shared" si="1"/>
        <v>#NUM!</v>
      </c>
      <c r="L22" s="142"/>
      <c r="M22" s="144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5">
        <v>18</v>
      </c>
      <c r="I23" s="146" t="str">
        <f t="shared" si="4"/>
        <v/>
      </c>
      <c r="J23" s="145" t="e">
        <f t="shared" si="5"/>
        <v>#NUM!</v>
      </c>
      <c r="K23" s="145" t="e">
        <f t="shared" si="1"/>
        <v>#NUM!</v>
      </c>
      <c r="L23" s="145"/>
      <c r="M23" s="14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2">
        <v>19</v>
      </c>
      <c r="I24" s="143" t="str">
        <f t="shared" si="4"/>
        <v/>
      </c>
      <c r="J24" s="142" t="e">
        <f t="shared" si="5"/>
        <v>#NUM!</v>
      </c>
      <c r="K24" s="142" t="e">
        <f t="shared" si="1"/>
        <v>#NUM!</v>
      </c>
      <c r="L24" s="142"/>
      <c r="M24" s="144">
        <f t="shared" si="2"/>
        <v>0</v>
      </c>
      <c r="R24" s="155"/>
      <c r="S24" s="15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5">
        <v>20</v>
      </c>
      <c r="I25" s="146" t="str">
        <f t="shared" si="4"/>
        <v/>
      </c>
      <c r="J25" s="145" t="e">
        <f t="shared" si="5"/>
        <v>#NUM!</v>
      </c>
      <c r="K25" s="145" t="e">
        <f t="shared" si="1"/>
        <v>#NUM!</v>
      </c>
      <c r="L25" s="145"/>
      <c r="M25" s="14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2">
        <v>21</v>
      </c>
      <c r="I26" s="143" t="str">
        <f t="shared" si="4"/>
        <v/>
      </c>
      <c r="J26" s="142" t="e">
        <f t="shared" si="5"/>
        <v>#NUM!</v>
      </c>
      <c r="K26" s="142" t="e">
        <f t="shared" si="1"/>
        <v>#NUM!</v>
      </c>
      <c r="L26" s="142"/>
      <c r="M26" s="144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5">
        <v>22</v>
      </c>
      <c r="I27" s="146" t="str">
        <f t="shared" si="4"/>
        <v/>
      </c>
      <c r="J27" s="145" t="e">
        <f t="shared" si="5"/>
        <v>#NUM!</v>
      </c>
      <c r="K27" s="145" t="e">
        <f t="shared" si="1"/>
        <v>#NUM!</v>
      </c>
      <c r="L27" s="145"/>
      <c r="M27" s="14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2">
        <v>23</v>
      </c>
      <c r="I28" s="143" t="str">
        <f t="shared" si="4"/>
        <v/>
      </c>
      <c r="J28" s="142" t="e">
        <f t="shared" si="5"/>
        <v>#NUM!</v>
      </c>
      <c r="K28" s="142" t="e">
        <f t="shared" si="1"/>
        <v>#NUM!</v>
      </c>
      <c r="L28" s="142"/>
      <c r="M28" s="144">
        <f t="shared" si="2"/>
        <v>0</v>
      </c>
      <c r="R28" s="155"/>
      <c r="S28" s="15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8"/>
      <c r="H29" s="145">
        <v>24</v>
      </c>
      <c r="I29" s="146" t="str">
        <f t="shared" si="4"/>
        <v/>
      </c>
      <c r="J29" s="145" t="e">
        <f t="shared" si="5"/>
        <v>#NUM!</v>
      </c>
      <c r="K29" s="145" t="e">
        <f t="shared" si="1"/>
        <v>#NUM!</v>
      </c>
      <c r="L29" s="145"/>
      <c r="M29" s="14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8"/>
      <c r="H30" s="142">
        <v>25</v>
      </c>
      <c r="I30" s="143" t="str">
        <f t="shared" si="4"/>
        <v/>
      </c>
      <c r="J30" s="142" t="e">
        <f t="shared" si="5"/>
        <v>#NUM!</v>
      </c>
      <c r="K30" s="142" t="e">
        <f t="shared" si="1"/>
        <v>#NUM!</v>
      </c>
      <c r="L30" s="142"/>
      <c r="M30" s="144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8"/>
      <c r="H31" s="145">
        <v>26</v>
      </c>
      <c r="I31" s="146" t="str">
        <f t="shared" si="4"/>
        <v/>
      </c>
      <c r="J31" s="145" t="e">
        <f t="shared" si="5"/>
        <v>#NUM!</v>
      </c>
      <c r="K31" s="145" t="e">
        <f t="shared" si="1"/>
        <v>#NUM!</v>
      </c>
      <c r="L31" s="145"/>
      <c r="M31" s="14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8"/>
      <c r="H32" s="142">
        <v>27</v>
      </c>
      <c r="I32" s="143" t="str">
        <f t="shared" si="4"/>
        <v/>
      </c>
      <c r="J32" s="142" t="e">
        <f t="shared" si="5"/>
        <v>#NUM!</v>
      </c>
      <c r="K32" s="142" t="e">
        <f t="shared" si="1"/>
        <v>#NUM!</v>
      </c>
      <c r="L32" s="142"/>
      <c r="M32" s="144">
        <f t="shared" si="2"/>
        <v>0</v>
      </c>
      <c r="R32" s="155"/>
      <c r="S32" s="15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8"/>
      <c r="H33" s="145">
        <v>28</v>
      </c>
      <c r="I33" s="146" t="str">
        <f t="shared" si="4"/>
        <v/>
      </c>
      <c r="J33" s="145" t="e">
        <f t="shared" si="5"/>
        <v>#NUM!</v>
      </c>
      <c r="K33" s="145" t="e">
        <f t="shared" si="1"/>
        <v>#NUM!</v>
      </c>
      <c r="L33" s="145"/>
      <c r="M33" s="14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8"/>
      <c r="H34" s="142">
        <v>29</v>
      </c>
      <c r="I34" s="143" t="str">
        <f t="shared" si="4"/>
        <v/>
      </c>
      <c r="J34" s="142" t="e">
        <f t="shared" si="5"/>
        <v>#NUM!</v>
      </c>
      <c r="K34" s="142" t="e">
        <f t="shared" si="1"/>
        <v>#NUM!</v>
      </c>
      <c r="L34" s="142"/>
      <c r="M34" s="144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8"/>
      <c r="H35" s="145">
        <v>30</v>
      </c>
      <c r="I35" s="146" t="str">
        <f t="shared" si="4"/>
        <v/>
      </c>
      <c r="J35" s="145" t="e">
        <f t="shared" si="5"/>
        <v>#NUM!</v>
      </c>
      <c r="K35" s="145" t="e">
        <f t="shared" si="1"/>
        <v>#NUM!</v>
      </c>
      <c r="L35" s="145"/>
      <c r="M35" s="14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8"/>
      <c r="H36" s="142">
        <v>31</v>
      </c>
      <c r="I36" s="143" t="str">
        <f t="shared" si="4"/>
        <v/>
      </c>
      <c r="J36" s="142" t="e">
        <f t="shared" si="5"/>
        <v>#NUM!</v>
      </c>
      <c r="K36" s="142" t="e">
        <f t="shared" si="1"/>
        <v>#NUM!</v>
      </c>
      <c r="L36" s="142"/>
      <c r="M36" s="144">
        <f t="shared" si="2"/>
        <v>0</v>
      </c>
      <c r="R36" s="155"/>
      <c r="S36" s="15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8"/>
      <c r="H37" s="145">
        <v>32</v>
      </c>
      <c r="I37" s="146" t="str">
        <f t="shared" si="4"/>
        <v/>
      </c>
      <c r="J37" s="145" t="e">
        <f t="shared" si="5"/>
        <v>#NUM!</v>
      </c>
      <c r="K37" s="145" t="e">
        <f t="shared" si="1"/>
        <v>#NUM!</v>
      </c>
      <c r="L37" s="145"/>
      <c r="M37" s="14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8"/>
      <c r="H38" s="142">
        <v>33</v>
      </c>
      <c r="I38" s="143" t="str">
        <f t="shared" si="4"/>
        <v/>
      </c>
      <c r="J38" s="142" t="e">
        <f t="shared" si="5"/>
        <v>#NUM!</v>
      </c>
      <c r="K38" s="142" t="e">
        <f t="shared" si="1"/>
        <v>#NUM!</v>
      </c>
      <c r="L38" s="142"/>
      <c r="M38" s="144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8"/>
      <c r="H39" s="145">
        <v>34</v>
      </c>
      <c r="I39" s="146" t="str">
        <f t="shared" si="4"/>
        <v/>
      </c>
      <c r="J39" s="145" t="e">
        <f t="shared" si="5"/>
        <v>#NUM!</v>
      </c>
      <c r="K39" s="145" t="e">
        <f t="shared" si="1"/>
        <v>#NUM!</v>
      </c>
      <c r="L39" s="145"/>
      <c r="M39" s="14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8"/>
      <c r="H40" s="142">
        <v>35</v>
      </c>
      <c r="I40" s="143" t="str">
        <f t="shared" si="4"/>
        <v/>
      </c>
      <c r="J40" s="142" t="e">
        <f t="shared" si="5"/>
        <v>#NUM!</v>
      </c>
      <c r="K40" s="142" t="e">
        <f t="shared" si="1"/>
        <v>#NUM!</v>
      </c>
      <c r="L40" s="142"/>
      <c r="M40" s="144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8"/>
      <c r="H41" s="145">
        <v>36</v>
      </c>
      <c r="I41" s="146" t="str">
        <f t="shared" si="4"/>
        <v/>
      </c>
      <c r="J41" s="145" t="e">
        <f t="shared" si="5"/>
        <v>#NUM!</v>
      </c>
      <c r="K41" s="145" t="e">
        <f t="shared" si="1"/>
        <v>#NUM!</v>
      </c>
      <c r="L41" s="145"/>
      <c r="M41" s="147">
        <f t="shared" si="2"/>
        <v>0</v>
      </c>
      <c r="S41" s="15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8"/>
      <c r="H42" s="142">
        <v>37</v>
      </c>
      <c r="I42" s="143" t="str">
        <f t="shared" si="4"/>
        <v/>
      </c>
      <c r="J42" s="142" t="e">
        <f t="shared" si="5"/>
        <v>#NUM!</v>
      </c>
      <c r="K42" s="142" t="e">
        <f t="shared" si="1"/>
        <v>#NUM!</v>
      </c>
      <c r="L42" s="142"/>
      <c r="M42" s="144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8"/>
      <c r="H43" s="145">
        <v>38</v>
      </c>
      <c r="I43" s="146" t="str">
        <f t="shared" si="4"/>
        <v/>
      </c>
      <c r="J43" s="145" t="e">
        <f t="shared" si="5"/>
        <v>#NUM!</v>
      </c>
      <c r="K43" s="145" t="e">
        <f t="shared" si="1"/>
        <v>#NUM!</v>
      </c>
      <c r="L43" s="145"/>
      <c r="M43" s="14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8"/>
      <c r="H44" s="142">
        <v>39</v>
      </c>
      <c r="I44" s="143" t="str">
        <f t="shared" si="4"/>
        <v/>
      </c>
      <c r="J44" s="142" t="e">
        <f t="shared" si="5"/>
        <v>#NUM!</v>
      </c>
      <c r="K44" s="142" t="e">
        <f t="shared" si="1"/>
        <v>#NUM!</v>
      </c>
      <c r="L44" s="142"/>
      <c r="M44" s="144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8"/>
      <c r="H45" s="145">
        <v>40</v>
      </c>
      <c r="I45" s="146" t="str">
        <f t="shared" si="4"/>
        <v/>
      </c>
      <c r="J45" s="145" t="e">
        <f t="shared" si="5"/>
        <v>#NUM!</v>
      </c>
      <c r="K45" s="145" t="e">
        <f t="shared" si="1"/>
        <v>#NUM!</v>
      </c>
      <c r="L45" s="145"/>
      <c r="M45" s="14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8"/>
      <c r="H46" s="142">
        <v>41</v>
      </c>
      <c r="I46" s="143" t="str">
        <f t="shared" si="4"/>
        <v/>
      </c>
      <c r="J46" s="142" t="e">
        <f t="shared" si="5"/>
        <v>#NUM!</v>
      </c>
      <c r="K46" s="142" t="e">
        <f t="shared" si="1"/>
        <v>#NUM!</v>
      </c>
      <c r="L46" s="142"/>
      <c r="M46" s="144">
        <f t="shared" si="2"/>
        <v>0</v>
      </c>
      <c r="R46" s="128" t="e">
        <f>LOG($H$2,2)</f>
        <v>#NUM!</v>
      </c>
      <c r="T46" s="133">
        <f>LOG(H38,2)</f>
        <v>5.0443941193584534</v>
      </c>
      <c r="U46" s="133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8"/>
      <c r="H47" s="145">
        <v>42</v>
      </c>
      <c r="I47" s="146" t="str">
        <f t="shared" si="4"/>
        <v/>
      </c>
      <c r="J47" s="145" t="e">
        <f t="shared" si="5"/>
        <v>#NUM!</v>
      </c>
      <c r="K47" s="145" t="e">
        <f t="shared" si="1"/>
        <v>#NUM!</v>
      </c>
      <c r="L47" s="145"/>
      <c r="M47" s="14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8"/>
      <c r="H48" s="142">
        <v>43</v>
      </c>
      <c r="I48" s="143" t="str">
        <f t="shared" si="4"/>
        <v/>
      </c>
      <c r="J48" s="142" t="e">
        <f t="shared" si="5"/>
        <v>#NUM!</v>
      </c>
      <c r="K48" s="142" t="e">
        <f t="shared" si="1"/>
        <v>#NUM!</v>
      </c>
      <c r="L48" s="142"/>
      <c r="M48" s="144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8"/>
      <c r="H49" s="145">
        <v>44</v>
      </c>
      <c r="I49" s="146" t="str">
        <f t="shared" si="4"/>
        <v/>
      </c>
      <c r="J49" s="145" t="e">
        <f t="shared" si="5"/>
        <v>#NUM!</v>
      </c>
      <c r="K49" s="145" t="e">
        <f t="shared" si="1"/>
        <v>#NUM!</v>
      </c>
      <c r="L49" s="145"/>
      <c r="M49" s="14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8"/>
      <c r="H50" s="142">
        <v>45</v>
      </c>
      <c r="I50" s="143" t="str">
        <f t="shared" si="4"/>
        <v/>
      </c>
      <c r="J50" s="142" t="e">
        <f t="shared" si="5"/>
        <v>#NUM!</v>
      </c>
      <c r="K50" s="142" t="e">
        <f t="shared" si="1"/>
        <v>#NUM!</v>
      </c>
      <c r="L50" s="142"/>
      <c r="M50" s="144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8"/>
      <c r="H51" s="145">
        <v>46</v>
      </c>
      <c r="I51" s="146" t="str">
        <f t="shared" si="4"/>
        <v/>
      </c>
      <c r="J51" s="145" t="e">
        <f t="shared" si="5"/>
        <v>#NUM!</v>
      </c>
      <c r="K51" s="145" t="e">
        <f t="shared" si="1"/>
        <v>#NUM!</v>
      </c>
      <c r="L51" s="145"/>
      <c r="M51" s="14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8"/>
      <c r="H52" s="142">
        <v>47</v>
      </c>
      <c r="I52" s="143" t="str">
        <f t="shared" si="4"/>
        <v/>
      </c>
      <c r="J52" s="142" t="e">
        <f t="shared" si="5"/>
        <v>#NUM!</v>
      </c>
      <c r="K52" s="142" t="e">
        <f t="shared" si="1"/>
        <v>#NUM!</v>
      </c>
      <c r="L52" s="142"/>
      <c r="M52" s="144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8"/>
      <c r="H53" s="145">
        <v>48</v>
      </c>
      <c r="I53" s="146" t="str">
        <f t="shared" si="4"/>
        <v/>
      </c>
      <c r="J53" s="145" t="e">
        <f t="shared" si="5"/>
        <v>#NUM!</v>
      </c>
      <c r="K53" s="145" t="e">
        <f t="shared" si="1"/>
        <v>#NUM!</v>
      </c>
      <c r="L53" s="145"/>
      <c r="M53" s="14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8"/>
      <c r="H54" s="142">
        <v>49</v>
      </c>
      <c r="I54" s="143" t="str">
        <f t="shared" si="4"/>
        <v/>
      </c>
      <c r="J54" s="142" t="e">
        <f t="shared" si="5"/>
        <v>#NUM!</v>
      </c>
      <c r="K54" s="142" t="e">
        <f t="shared" si="1"/>
        <v>#NUM!</v>
      </c>
      <c r="L54" s="142"/>
      <c r="M54" s="144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8"/>
      <c r="H55" s="145">
        <v>50</v>
      </c>
      <c r="I55" s="146" t="str">
        <f t="shared" si="4"/>
        <v/>
      </c>
      <c r="J55" s="145" t="e">
        <f t="shared" si="5"/>
        <v>#NUM!</v>
      </c>
      <c r="K55" s="145" t="e">
        <f t="shared" si="1"/>
        <v>#NUM!</v>
      </c>
      <c r="L55" s="145"/>
      <c r="M55" s="14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8"/>
      <c r="H56" s="142">
        <v>51</v>
      </c>
      <c r="I56" s="143" t="str">
        <f t="shared" si="4"/>
        <v/>
      </c>
      <c r="J56" s="142" t="e">
        <f t="shared" si="5"/>
        <v>#NUM!</v>
      </c>
      <c r="K56" s="142" t="e">
        <f t="shared" si="1"/>
        <v>#NUM!</v>
      </c>
      <c r="L56" s="142"/>
      <c r="M56" s="144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8"/>
      <c r="H57" s="145">
        <v>52</v>
      </c>
      <c r="I57" s="146" t="str">
        <f t="shared" si="4"/>
        <v/>
      </c>
      <c r="J57" s="145" t="e">
        <f t="shared" si="5"/>
        <v>#NUM!</v>
      </c>
      <c r="K57" s="145" t="e">
        <f t="shared" si="1"/>
        <v>#NUM!</v>
      </c>
      <c r="L57" s="145"/>
      <c r="M57" s="14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8"/>
      <c r="H58" s="142">
        <v>53</v>
      </c>
      <c r="I58" s="143" t="str">
        <f t="shared" si="4"/>
        <v/>
      </c>
      <c r="J58" s="142" t="e">
        <f t="shared" si="5"/>
        <v>#NUM!</v>
      </c>
      <c r="K58" s="142" t="e">
        <f t="shared" si="1"/>
        <v>#NUM!</v>
      </c>
      <c r="L58" s="142"/>
      <c r="M58" s="144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8"/>
      <c r="H59" s="145">
        <v>54</v>
      </c>
      <c r="I59" s="146" t="str">
        <f t="shared" si="4"/>
        <v/>
      </c>
      <c r="J59" s="145" t="e">
        <f t="shared" si="5"/>
        <v>#NUM!</v>
      </c>
      <c r="K59" s="145" t="e">
        <f t="shared" si="1"/>
        <v>#NUM!</v>
      </c>
      <c r="L59" s="145"/>
      <c r="M59" s="14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8"/>
      <c r="H60" s="142">
        <v>55</v>
      </c>
      <c r="I60" s="143" t="str">
        <f t="shared" si="4"/>
        <v/>
      </c>
      <c r="J60" s="142" t="e">
        <f t="shared" si="5"/>
        <v>#NUM!</v>
      </c>
      <c r="K60" s="142" t="e">
        <f t="shared" si="1"/>
        <v>#NUM!</v>
      </c>
      <c r="L60" s="142"/>
      <c r="M60" s="144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8"/>
      <c r="H61" s="145">
        <v>56</v>
      </c>
      <c r="I61" s="146" t="str">
        <f t="shared" si="4"/>
        <v/>
      </c>
      <c r="J61" s="145" t="e">
        <f t="shared" si="5"/>
        <v>#NUM!</v>
      </c>
      <c r="K61" s="145" t="e">
        <f t="shared" si="1"/>
        <v>#NUM!</v>
      </c>
      <c r="L61" s="145"/>
      <c r="M61" s="14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8"/>
      <c r="H62" s="142">
        <v>57</v>
      </c>
      <c r="I62" s="143" t="str">
        <f t="shared" si="4"/>
        <v/>
      </c>
      <c r="J62" s="142" t="e">
        <f t="shared" si="5"/>
        <v>#NUM!</v>
      </c>
      <c r="K62" s="142" t="e">
        <f t="shared" si="1"/>
        <v>#NUM!</v>
      </c>
      <c r="L62" s="142"/>
      <c r="M62" s="144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8"/>
      <c r="H63" s="145">
        <v>58</v>
      </c>
      <c r="I63" s="146" t="str">
        <f t="shared" si="4"/>
        <v/>
      </c>
      <c r="J63" s="145" t="e">
        <f t="shared" si="5"/>
        <v>#NUM!</v>
      </c>
      <c r="K63" s="145" t="e">
        <f t="shared" si="1"/>
        <v>#NUM!</v>
      </c>
      <c r="L63" s="145"/>
      <c r="M63" s="14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8"/>
      <c r="H64" s="142">
        <v>59</v>
      </c>
      <c r="I64" s="143" t="str">
        <f t="shared" si="4"/>
        <v/>
      </c>
      <c r="J64" s="142" t="e">
        <f t="shared" si="5"/>
        <v>#NUM!</v>
      </c>
      <c r="K64" s="142" t="e">
        <f t="shared" si="1"/>
        <v>#NUM!</v>
      </c>
      <c r="L64" s="142"/>
      <c r="M64" s="144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8"/>
      <c r="H65" s="145">
        <v>60</v>
      </c>
      <c r="I65" s="146" t="str">
        <f t="shared" si="4"/>
        <v/>
      </c>
      <c r="J65" s="145" t="e">
        <f t="shared" si="5"/>
        <v>#NUM!</v>
      </c>
      <c r="K65" s="145" t="e">
        <f t="shared" si="1"/>
        <v>#NUM!</v>
      </c>
      <c r="L65" s="145"/>
      <c r="M65" s="147">
        <f t="shared" si="2"/>
        <v>0</v>
      </c>
    </row>
    <row r="66" spans="1:13" x14ac:dyDescent="0.25">
      <c r="A66" s="158"/>
      <c r="B66" s="34"/>
      <c r="G66" s="128"/>
      <c r="H66" s="142">
        <v>61</v>
      </c>
      <c r="I66" s="143" t="str">
        <f t="shared" si="4"/>
        <v/>
      </c>
      <c r="J66" s="142" t="e">
        <f t="shared" si="5"/>
        <v>#NUM!</v>
      </c>
      <c r="K66" s="142" t="e">
        <f t="shared" si="1"/>
        <v>#NUM!</v>
      </c>
      <c r="L66" s="142"/>
      <c r="M66" s="144">
        <f t="shared" si="2"/>
        <v>0</v>
      </c>
    </row>
    <row r="67" spans="1:13" x14ac:dyDescent="0.25">
      <c r="A67" s="158"/>
      <c r="B67" s="40"/>
      <c r="G67" s="128"/>
      <c r="H67" s="142">
        <v>62</v>
      </c>
      <c r="I67" s="143" t="str">
        <f t="shared" si="4"/>
        <v/>
      </c>
      <c r="J67" s="142" t="e">
        <f t="shared" si="5"/>
        <v>#NUM!</v>
      </c>
      <c r="K67" s="142" t="e">
        <f t="shared" si="1"/>
        <v>#NUM!</v>
      </c>
      <c r="L67" s="142"/>
      <c r="M67" s="144">
        <f t="shared" si="2"/>
        <v>0</v>
      </c>
    </row>
    <row r="68" spans="1:13" x14ac:dyDescent="0.25">
      <c r="A68" s="158"/>
      <c r="B68" s="34"/>
      <c r="G68" s="128"/>
      <c r="H68" s="142">
        <v>63</v>
      </c>
      <c r="I68" s="143" t="str">
        <f t="shared" si="4"/>
        <v/>
      </c>
      <c r="J68" s="142" t="e">
        <f t="shared" si="5"/>
        <v>#NUM!</v>
      </c>
      <c r="K68" s="142" t="e">
        <f t="shared" si="1"/>
        <v>#NUM!</v>
      </c>
      <c r="L68" s="142"/>
      <c r="M68" s="144">
        <f t="shared" si="2"/>
        <v>0</v>
      </c>
    </row>
    <row r="69" spans="1:13" x14ac:dyDescent="0.25">
      <c r="A69" s="158"/>
      <c r="B69" s="40"/>
      <c r="G69" s="128"/>
      <c r="H69" s="142">
        <v>64</v>
      </c>
      <c r="I69" s="143" t="str">
        <f t="shared" si="4"/>
        <v/>
      </c>
      <c r="J69" s="142" t="e">
        <f t="shared" si="5"/>
        <v>#NUM!</v>
      </c>
      <c r="K69" s="142" t="e">
        <f t="shared" si="1"/>
        <v>#NUM!</v>
      </c>
      <c r="L69" s="142"/>
      <c r="M69" s="144">
        <f t="shared" si="2"/>
        <v>0</v>
      </c>
    </row>
    <row r="70" spans="1:13" x14ac:dyDescent="0.25">
      <c r="A70" s="158"/>
      <c r="G70" s="128"/>
      <c r="H70" s="142">
        <v>65</v>
      </c>
      <c r="I70" s="143" t="str">
        <f t="shared" si="4"/>
        <v/>
      </c>
      <c r="J70" s="142" t="e">
        <f t="shared" si="5"/>
        <v>#NUM!</v>
      </c>
      <c r="K70" s="142" t="e">
        <f t="shared" ref="K70:K133" si="7">J70*$J$2</f>
        <v>#NUM!</v>
      </c>
      <c r="L70" s="142"/>
      <c r="M70" s="144">
        <f t="shared" ref="M70:M133" si="8">IF(I70&lt;&gt;"",K70+I70+L70,0)</f>
        <v>0</v>
      </c>
    </row>
    <row r="71" spans="1:13" x14ac:dyDescent="0.25">
      <c r="A71" s="158"/>
      <c r="G71" s="128"/>
      <c r="H71" s="142">
        <v>66</v>
      </c>
      <c r="I71" s="143" t="str">
        <f t="shared" ref="I71:I134" si="9">IF(H71&lt;$H$2+1,($I$2-($I$2-1)*(LOG(H71)/LOG($H$2))),"")</f>
        <v/>
      </c>
      <c r="J71" s="142" t="e">
        <f t="shared" ref="J71:J134" si="10">INT(LOG($H$2,2))-ROUNDUP(LOG(H71,2),0)+IF(OR($H$2=1,$H$2=2,$H$2=4,$H$2=8,$H$2=16,$H$2=32,$H$2=64,$H$2=128,$H$2=256),0,1)</f>
        <v>#NUM!</v>
      </c>
      <c r="K71" s="142" t="e">
        <f t="shared" si="7"/>
        <v>#NUM!</v>
      </c>
      <c r="L71" s="142"/>
      <c r="M71" s="144">
        <f t="shared" si="8"/>
        <v>0</v>
      </c>
    </row>
    <row r="72" spans="1:13" x14ac:dyDescent="0.25">
      <c r="A72" s="158"/>
      <c r="G72" s="128"/>
      <c r="H72" s="142">
        <v>67</v>
      </c>
      <c r="I72" s="143" t="str">
        <f t="shared" si="9"/>
        <v/>
      </c>
      <c r="J72" s="142" t="e">
        <f t="shared" si="10"/>
        <v>#NUM!</v>
      </c>
      <c r="K72" s="142" t="e">
        <f t="shared" si="7"/>
        <v>#NUM!</v>
      </c>
      <c r="L72" s="142"/>
      <c r="M72" s="144">
        <f t="shared" si="8"/>
        <v>0</v>
      </c>
    </row>
    <row r="73" spans="1:13" x14ac:dyDescent="0.25">
      <c r="A73" s="158"/>
      <c r="G73" s="128"/>
      <c r="H73" s="142">
        <v>68</v>
      </c>
      <c r="I73" s="143" t="str">
        <f t="shared" si="9"/>
        <v/>
      </c>
      <c r="J73" s="142" t="e">
        <f t="shared" si="10"/>
        <v>#NUM!</v>
      </c>
      <c r="K73" s="142" t="e">
        <f t="shared" si="7"/>
        <v>#NUM!</v>
      </c>
      <c r="L73" s="142"/>
      <c r="M73" s="144">
        <f t="shared" si="8"/>
        <v>0</v>
      </c>
    </row>
    <row r="74" spans="1:13" x14ac:dyDescent="0.25">
      <c r="A74" s="158"/>
      <c r="G74" s="128"/>
      <c r="H74" s="142">
        <v>69</v>
      </c>
      <c r="I74" s="143" t="str">
        <f t="shared" si="9"/>
        <v/>
      </c>
      <c r="J74" s="142" t="e">
        <f t="shared" si="10"/>
        <v>#NUM!</v>
      </c>
      <c r="K74" s="142" t="e">
        <f t="shared" si="7"/>
        <v>#NUM!</v>
      </c>
      <c r="L74" s="142"/>
      <c r="M74" s="144">
        <f t="shared" si="8"/>
        <v>0</v>
      </c>
    </row>
    <row r="75" spans="1:13" x14ac:dyDescent="0.25">
      <c r="A75" s="158"/>
      <c r="G75" s="128"/>
      <c r="H75" s="142">
        <v>70</v>
      </c>
      <c r="I75" s="143" t="str">
        <f t="shared" si="9"/>
        <v/>
      </c>
      <c r="J75" s="142" t="e">
        <f t="shared" si="10"/>
        <v>#NUM!</v>
      </c>
      <c r="K75" s="142" t="e">
        <f t="shared" si="7"/>
        <v>#NUM!</v>
      </c>
      <c r="L75" s="142"/>
      <c r="M75" s="144">
        <f t="shared" si="8"/>
        <v>0</v>
      </c>
    </row>
    <row r="76" spans="1:13" x14ac:dyDescent="0.25">
      <c r="A76" s="158"/>
      <c r="G76" s="128"/>
      <c r="H76" s="142">
        <v>71</v>
      </c>
      <c r="I76" s="143" t="str">
        <f t="shared" si="9"/>
        <v/>
      </c>
      <c r="J76" s="142" t="e">
        <f t="shared" si="10"/>
        <v>#NUM!</v>
      </c>
      <c r="K76" s="142" t="e">
        <f t="shared" si="7"/>
        <v>#NUM!</v>
      </c>
      <c r="L76" s="142"/>
      <c r="M76" s="144">
        <f t="shared" si="8"/>
        <v>0</v>
      </c>
    </row>
    <row r="77" spans="1:13" x14ac:dyDescent="0.25">
      <c r="A77" s="158"/>
      <c r="G77" s="128"/>
      <c r="H77" s="142">
        <v>72</v>
      </c>
      <c r="I77" s="143" t="str">
        <f t="shared" si="9"/>
        <v/>
      </c>
      <c r="J77" s="142" t="e">
        <f t="shared" si="10"/>
        <v>#NUM!</v>
      </c>
      <c r="K77" s="142" t="e">
        <f t="shared" si="7"/>
        <v>#NUM!</v>
      </c>
      <c r="L77" s="142"/>
      <c r="M77" s="144">
        <f t="shared" si="8"/>
        <v>0</v>
      </c>
    </row>
    <row r="78" spans="1:13" x14ac:dyDescent="0.25">
      <c r="A78" s="158"/>
      <c r="G78" s="128"/>
      <c r="H78" s="142">
        <v>73</v>
      </c>
      <c r="I78" s="143" t="str">
        <f t="shared" si="9"/>
        <v/>
      </c>
      <c r="J78" s="142" t="e">
        <f t="shared" si="10"/>
        <v>#NUM!</v>
      </c>
      <c r="K78" s="142" t="e">
        <f t="shared" si="7"/>
        <v>#NUM!</v>
      </c>
      <c r="L78" s="142"/>
      <c r="M78" s="144">
        <f t="shared" si="8"/>
        <v>0</v>
      </c>
    </row>
    <row r="79" spans="1:13" x14ac:dyDescent="0.25">
      <c r="A79" s="158"/>
      <c r="G79" s="128"/>
      <c r="H79" s="142">
        <v>74</v>
      </c>
      <c r="I79" s="143" t="str">
        <f t="shared" si="9"/>
        <v/>
      </c>
      <c r="J79" s="142" t="e">
        <f t="shared" si="10"/>
        <v>#NUM!</v>
      </c>
      <c r="K79" s="142" t="e">
        <f t="shared" si="7"/>
        <v>#NUM!</v>
      </c>
      <c r="L79" s="142"/>
      <c r="M79" s="144">
        <f t="shared" si="8"/>
        <v>0</v>
      </c>
    </row>
    <row r="80" spans="1:13" x14ac:dyDescent="0.25">
      <c r="A80" s="158"/>
      <c r="G80" s="128"/>
      <c r="H80" s="142">
        <v>75</v>
      </c>
      <c r="I80" s="143" t="str">
        <f t="shared" si="9"/>
        <v/>
      </c>
      <c r="J80" s="142" t="e">
        <f t="shared" si="10"/>
        <v>#NUM!</v>
      </c>
      <c r="K80" s="142" t="e">
        <f t="shared" si="7"/>
        <v>#NUM!</v>
      </c>
      <c r="L80" s="142"/>
      <c r="M80" s="144">
        <f t="shared" si="8"/>
        <v>0</v>
      </c>
    </row>
    <row r="81" spans="1:13" x14ac:dyDescent="0.25">
      <c r="A81" s="158"/>
      <c r="G81" s="128"/>
      <c r="H81" s="142">
        <v>76</v>
      </c>
      <c r="I81" s="143" t="str">
        <f t="shared" si="9"/>
        <v/>
      </c>
      <c r="J81" s="142" t="e">
        <f t="shared" si="10"/>
        <v>#NUM!</v>
      </c>
      <c r="K81" s="142" t="e">
        <f t="shared" si="7"/>
        <v>#NUM!</v>
      </c>
      <c r="L81" s="142"/>
      <c r="M81" s="144">
        <f t="shared" si="8"/>
        <v>0</v>
      </c>
    </row>
    <row r="82" spans="1:13" x14ac:dyDescent="0.25">
      <c r="A82" s="158"/>
      <c r="G82" s="128"/>
      <c r="H82" s="142">
        <v>77</v>
      </c>
      <c r="I82" s="143" t="str">
        <f t="shared" si="9"/>
        <v/>
      </c>
      <c r="J82" s="142" t="e">
        <f t="shared" si="10"/>
        <v>#NUM!</v>
      </c>
      <c r="K82" s="142" t="e">
        <f t="shared" si="7"/>
        <v>#NUM!</v>
      </c>
      <c r="L82" s="142"/>
      <c r="M82" s="144">
        <f t="shared" si="8"/>
        <v>0</v>
      </c>
    </row>
    <row r="83" spans="1:13" x14ac:dyDescent="0.25">
      <c r="A83" s="158"/>
      <c r="G83" s="128"/>
      <c r="H83" s="142">
        <v>78</v>
      </c>
      <c r="I83" s="143" t="str">
        <f t="shared" si="9"/>
        <v/>
      </c>
      <c r="J83" s="142" t="e">
        <f t="shared" si="10"/>
        <v>#NUM!</v>
      </c>
      <c r="K83" s="142" t="e">
        <f t="shared" si="7"/>
        <v>#NUM!</v>
      </c>
      <c r="L83" s="142"/>
      <c r="M83" s="144">
        <f t="shared" si="8"/>
        <v>0</v>
      </c>
    </row>
    <row r="84" spans="1:13" x14ac:dyDescent="0.25">
      <c r="A84" s="158"/>
      <c r="G84" s="128"/>
      <c r="H84" s="142">
        <v>79</v>
      </c>
      <c r="I84" s="143" t="str">
        <f t="shared" si="9"/>
        <v/>
      </c>
      <c r="J84" s="142" t="e">
        <f t="shared" si="10"/>
        <v>#NUM!</v>
      </c>
      <c r="K84" s="142" t="e">
        <f t="shared" si="7"/>
        <v>#NUM!</v>
      </c>
      <c r="L84" s="142"/>
      <c r="M84" s="144">
        <f t="shared" si="8"/>
        <v>0</v>
      </c>
    </row>
    <row r="85" spans="1:13" x14ac:dyDescent="0.25">
      <c r="A85" s="158"/>
      <c r="G85" s="128"/>
      <c r="H85" s="142">
        <v>80</v>
      </c>
      <c r="I85" s="143" t="str">
        <f t="shared" si="9"/>
        <v/>
      </c>
      <c r="J85" s="142" t="e">
        <f t="shared" si="10"/>
        <v>#NUM!</v>
      </c>
      <c r="K85" s="142" t="e">
        <f t="shared" si="7"/>
        <v>#NUM!</v>
      </c>
      <c r="L85" s="142"/>
      <c r="M85" s="144">
        <f t="shared" si="8"/>
        <v>0</v>
      </c>
    </row>
    <row r="86" spans="1:13" x14ac:dyDescent="0.25">
      <c r="A86" s="158"/>
      <c r="G86" s="128"/>
      <c r="H86" s="142">
        <v>81</v>
      </c>
      <c r="I86" s="143" t="str">
        <f t="shared" si="9"/>
        <v/>
      </c>
      <c r="J86" s="142" t="e">
        <f t="shared" si="10"/>
        <v>#NUM!</v>
      </c>
      <c r="K86" s="142" t="e">
        <f t="shared" si="7"/>
        <v>#NUM!</v>
      </c>
      <c r="L86" s="142"/>
      <c r="M86" s="144">
        <f t="shared" si="8"/>
        <v>0</v>
      </c>
    </row>
    <row r="87" spans="1:13" x14ac:dyDescent="0.25">
      <c r="A87" s="158"/>
      <c r="G87" s="128"/>
      <c r="H87" s="142">
        <v>82</v>
      </c>
      <c r="I87" s="143" t="str">
        <f t="shared" si="9"/>
        <v/>
      </c>
      <c r="J87" s="142" t="e">
        <f t="shared" si="10"/>
        <v>#NUM!</v>
      </c>
      <c r="K87" s="142" t="e">
        <f t="shared" si="7"/>
        <v>#NUM!</v>
      </c>
      <c r="L87" s="142"/>
      <c r="M87" s="144">
        <f t="shared" si="8"/>
        <v>0</v>
      </c>
    </row>
    <row r="88" spans="1:13" x14ac:dyDescent="0.25">
      <c r="A88" s="158"/>
      <c r="G88" s="128"/>
      <c r="H88" s="142">
        <v>83</v>
      </c>
      <c r="I88" s="143" t="str">
        <f t="shared" si="9"/>
        <v/>
      </c>
      <c r="J88" s="142" t="e">
        <f t="shared" si="10"/>
        <v>#NUM!</v>
      </c>
      <c r="K88" s="142" t="e">
        <f t="shared" si="7"/>
        <v>#NUM!</v>
      </c>
      <c r="L88" s="142"/>
      <c r="M88" s="144">
        <f t="shared" si="8"/>
        <v>0</v>
      </c>
    </row>
    <row r="89" spans="1:13" x14ac:dyDescent="0.25">
      <c r="A89" s="158"/>
      <c r="G89" s="128"/>
      <c r="H89" s="142">
        <v>84</v>
      </c>
      <c r="I89" s="143" t="str">
        <f t="shared" si="9"/>
        <v/>
      </c>
      <c r="J89" s="142" t="e">
        <f t="shared" si="10"/>
        <v>#NUM!</v>
      </c>
      <c r="K89" s="142" t="e">
        <f t="shared" si="7"/>
        <v>#NUM!</v>
      </c>
      <c r="L89" s="142"/>
      <c r="M89" s="144">
        <f t="shared" si="8"/>
        <v>0</v>
      </c>
    </row>
    <row r="90" spans="1:13" x14ac:dyDescent="0.25">
      <c r="A90" s="158"/>
      <c r="G90" s="128"/>
      <c r="H90" s="142">
        <v>85</v>
      </c>
      <c r="I90" s="143" t="str">
        <f t="shared" si="9"/>
        <v/>
      </c>
      <c r="J90" s="142" t="e">
        <f t="shared" si="10"/>
        <v>#NUM!</v>
      </c>
      <c r="K90" s="142" t="e">
        <f t="shared" si="7"/>
        <v>#NUM!</v>
      </c>
      <c r="L90" s="142"/>
      <c r="M90" s="144">
        <f t="shared" si="8"/>
        <v>0</v>
      </c>
    </row>
    <row r="91" spans="1:13" x14ac:dyDescent="0.25">
      <c r="A91" s="158"/>
      <c r="G91" s="128"/>
      <c r="H91" s="142">
        <v>86</v>
      </c>
      <c r="I91" s="143" t="str">
        <f t="shared" si="9"/>
        <v/>
      </c>
      <c r="J91" s="142" t="e">
        <f t="shared" si="10"/>
        <v>#NUM!</v>
      </c>
      <c r="K91" s="142" t="e">
        <f t="shared" si="7"/>
        <v>#NUM!</v>
      </c>
      <c r="L91" s="142"/>
      <c r="M91" s="144">
        <f t="shared" si="8"/>
        <v>0</v>
      </c>
    </row>
    <row r="92" spans="1:13" x14ac:dyDescent="0.25">
      <c r="A92" s="158"/>
      <c r="G92" s="128"/>
      <c r="H92" s="142">
        <v>87</v>
      </c>
      <c r="I92" s="143" t="str">
        <f t="shared" si="9"/>
        <v/>
      </c>
      <c r="J92" s="142" t="e">
        <f t="shared" si="10"/>
        <v>#NUM!</v>
      </c>
      <c r="K92" s="142" t="e">
        <f t="shared" si="7"/>
        <v>#NUM!</v>
      </c>
      <c r="L92" s="142"/>
      <c r="M92" s="144">
        <f t="shared" si="8"/>
        <v>0</v>
      </c>
    </row>
    <row r="93" spans="1:13" x14ac:dyDescent="0.25">
      <c r="A93" s="158"/>
      <c r="G93" s="128"/>
      <c r="H93" s="142">
        <v>88</v>
      </c>
      <c r="I93" s="143" t="str">
        <f t="shared" si="9"/>
        <v/>
      </c>
      <c r="J93" s="142" t="e">
        <f t="shared" si="10"/>
        <v>#NUM!</v>
      </c>
      <c r="K93" s="142" t="e">
        <f t="shared" si="7"/>
        <v>#NUM!</v>
      </c>
      <c r="L93" s="142"/>
      <c r="M93" s="144">
        <f t="shared" si="8"/>
        <v>0</v>
      </c>
    </row>
    <row r="94" spans="1:13" x14ac:dyDescent="0.25">
      <c r="A94" s="158"/>
      <c r="G94" s="128"/>
      <c r="H94" s="142">
        <v>89</v>
      </c>
      <c r="I94" s="143" t="str">
        <f t="shared" si="9"/>
        <v/>
      </c>
      <c r="J94" s="142" t="e">
        <f t="shared" si="10"/>
        <v>#NUM!</v>
      </c>
      <c r="K94" s="142" t="e">
        <f t="shared" si="7"/>
        <v>#NUM!</v>
      </c>
      <c r="L94" s="142"/>
      <c r="M94" s="144">
        <f t="shared" si="8"/>
        <v>0</v>
      </c>
    </row>
    <row r="95" spans="1:13" x14ac:dyDescent="0.25">
      <c r="A95" s="158"/>
      <c r="G95" s="128"/>
      <c r="H95" s="142">
        <v>90</v>
      </c>
      <c r="I95" s="143" t="str">
        <f t="shared" si="9"/>
        <v/>
      </c>
      <c r="J95" s="142" t="e">
        <f t="shared" si="10"/>
        <v>#NUM!</v>
      </c>
      <c r="K95" s="142" t="e">
        <f t="shared" si="7"/>
        <v>#NUM!</v>
      </c>
      <c r="L95" s="142"/>
      <c r="M95" s="144">
        <f t="shared" si="8"/>
        <v>0</v>
      </c>
    </row>
    <row r="96" spans="1:13" x14ac:dyDescent="0.25">
      <c r="A96" s="158"/>
      <c r="G96" s="128"/>
      <c r="H96" s="142">
        <v>91</v>
      </c>
      <c r="I96" s="143" t="str">
        <f t="shared" si="9"/>
        <v/>
      </c>
      <c r="J96" s="142" t="e">
        <f t="shared" si="10"/>
        <v>#NUM!</v>
      </c>
      <c r="K96" s="142" t="e">
        <f t="shared" si="7"/>
        <v>#NUM!</v>
      </c>
      <c r="L96" s="142"/>
      <c r="M96" s="144">
        <f t="shared" si="8"/>
        <v>0</v>
      </c>
    </row>
    <row r="97" spans="1:13" x14ac:dyDescent="0.25">
      <c r="A97" s="158"/>
      <c r="G97" s="128"/>
      <c r="H97" s="142">
        <v>92</v>
      </c>
      <c r="I97" s="143" t="str">
        <f t="shared" si="9"/>
        <v/>
      </c>
      <c r="J97" s="142" t="e">
        <f t="shared" si="10"/>
        <v>#NUM!</v>
      </c>
      <c r="K97" s="142" t="e">
        <f t="shared" si="7"/>
        <v>#NUM!</v>
      </c>
      <c r="L97" s="142"/>
      <c r="M97" s="144">
        <f t="shared" si="8"/>
        <v>0</v>
      </c>
    </row>
    <row r="98" spans="1:13" x14ac:dyDescent="0.25">
      <c r="A98" s="158"/>
      <c r="G98" s="128"/>
      <c r="H98" s="142">
        <v>93</v>
      </c>
      <c r="I98" s="143" t="str">
        <f t="shared" si="9"/>
        <v/>
      </c>
      <c r="J98" s="142" t="e">
        <f t="shared" si="10"/>
        <v>#NUM!</v>
      </c>
      <c r="K98" s="142" t="e">
        <f t="shared" si="7"/>
        <v>#NUM!</v>
      </c>
      <c r="L98" s="142"/>
      <c r="M98" s="144">
        <f t="shared" si="8"/>
        <v>0</v>
      </c>
    </row>
    <row r="99" spans="1:13" x14ac:dyDescent="0.25">
      <c r="A99" s="158"/>
      <c r="G99" s="128"/>
      <c r="H99" s="142">
        <v>94</v>
      </c>
      <c r="I99" s="143" t="str">
        <f t="shared" si="9"/>
        <v/>
      </c>
      <c r="J99" s="142" t="e">
        <f t="shared" si="10"/>
        <v>#NUM!</v>
      </c>
      <c r="K99" s="142" t="e">
        <f t="shared" si="7"/>
        <v>#NUM!</v>
      </c>
      <c r="L99" s="142"/>
      <c r="M99" s="144">
        <f t="shared" si="8"/>
        <v>0</v>
      </c>
    </row>
    <row r="100" spans="1:13" x14ac:dyDescent="0.25">
      <c r="A100" s="158"/>
      <c r="G100" s="128"/>
      <c r="H100" s="142">
        <v>95</v>
      </c>
      <c r="I100" s="143" t="str">
        <f t="shared" si="9"/>
        <v/>
      </c>
      <c r="J100" s="142" t="e">
        <f t="shared" si="10"/>
        <v>#NUM!</v>
      </c>
      <c r="K100" s="142" t="e">
        <f t="shared" si="7"/>
        <v>#NUM!</v>
      </c>
      <c r="L100" s="142"/>
      <c r="M100" s="144">
        <f t="shared" si="8"/>
        <v>0</v>
      </c>
    </row>
    <row r="101" spans="1:13" x14ac:dyDescent="0.25">
      <c r="A101" s="158"/>
      <c r="G101" s="128"/>
      <c r="H101" s="142">
        <v>96</v>
      </c>
      <c r="I101" s="143" t="str">
        <f t="shared" si="9"/>
        <v/>
      </c>
      <c r="J101" s="142" t="e">
        <f t="shared" si="10"/>
        <v>#NUM!</v>
      </c>
      <c r="K101" s="142" t="e">
        <f t="shared" si="7"/>
        <v>#NUM!</v>
      </c>
      <c r="L101" s="142"/>
      <c r="M101" s="144">
        <f t="shared" si="8"/>
        <v>0</v>
      </c>
    </row>
    <row r="102" spans="1:13" x14ac:dyDescent="0.25">
      <c r="A102" s="158"/>
      <c r="G102" s="128"/>
      <c r="H102" s="142">
        <v>97</v>
      </c>
      <c r="I102" s="143" t="str">
        <f t="shared" si="9"/>
        <v/>
      </c>
      <c r="J102" s="142" t="e">
        <f t="shared" si="10"/>
        <v>#NUM!</v>
      </c>
      <c r="K102" s="142" t="e">
        <f t="shared" si="7"/>
        <v>#NUM!</v>
      </c>
      <c r="L102" s="142"/>
      <c r="M102" s="144">
        <f t="shared" si="8"/>
        <v>0</v>
      </c>
    </row>
    <row r="103" spans="1:13" x14ac:dyDescent="0.25">
      <c r="A103" s="158"/>
      <c r="G103" s="128"/>
      <c r="H103" s="142">
        <v>98</v>
      </c>
      <c r="I103" s="143" t="str">
        <f t="shared" si="9"/>
        <v/>
      </c>
      <c r="J103" s="142" t="e">
        <f t="shared" si="10"/>
        <v>#NUM!</v>
      </c>
      <c r="K103" s="142" t="e">
        <f t="shared" si="7"/>
        <v>#NUM!</v>
      </c>
      <c r="L103" s="142"/>
      <c r="M103" s="144">
        <f t="shared" si="8"/>
        <v>0</v>
      </c>
    </row>
    <row r="104" spans="1:13" x14ac:dyDescent="0.25">
      <c r="A104" s="158"/>
      <c r="G104" s="128"/>
      <c r="H104" s="142">
        <v>99</v>
      </c>
      <c r="I104" s="143" t="str">
        <f t="shared" si="9"/>
        <v/>
      </c>
      <c r="J104" s="142" t="e">
        <f t="shared" si="10"/>
        <v>#NUM!</v>
      </c>
      <c r="K104" s="142" t="e">
        <f t="shared" si="7"/>
        <v>#NUM!</v>
      </c>
      <c r="L104" s="142"/>
      <c r="M104" s="144">
        <f t="shared" si="8"/>
        <v>0</v>
      </c>
    </row>
    <row r="105" spans="1:13" x14ac:dyDescent="0.25">
      <c r="A105" s="158"/>
      <c r="G105" s="128"/>
      <c r="H105" s="142">
        <v>100</v>
      </c>
      <c r="I105" s="143" t="str">
        <f t="shared" si="9"/>
        <v/>
      </c>
      <c r="J105" s="142" t="e">
        <f t="shared" si="10"/>
        <v>#NUM!</v>
      </c>
      <c r="K105" s="142" t="e">
        <f t="shared" si="7"/>
        <v>#NUM!</v>
      </c>
      <c r="L105" s="142"/>
      <c r="M105" s="144">
        <f t="shared" si="8"/>
        <v>0</v>
      </c>
    </row>
    <row r="106" spans="1:13" x14ac:dyDescent="0.25">
      <c r="A106" s="158"/>
      <c r="G106" s="128"/>
      <c r="H106" s="142">
        <v>101</v>
      </c>
      <c r="I106" s="143" t="str">
        <f t="shared" si="9"/>
        <v/>
      </c>
      <c r="J106" s="142" t="e">
        <f t="shared" si="10"/>
        <v>#NUM!</v>
      </c>
      <c r="K106" s="142" t="e">
        <f t="shared" si="7"/>
        <v>#NUM!</v>
      </c>
      <c r="L106" s="142"/>
      <c r="M106" s="144">
        <f t="shared" si="8"/>
        <v>0</v>
      </c>
    </row>
    <row r="107" spans="1:13" x14ac:dyDescent="0.25">
      <c r="A107" s="158"/>
      <c r="G107" s="128"/>
      <c r="H107" s="142">
        <v>102</v>
      </c>
      <c r="I107" s="143" t="str">
        <f t="shared" si="9"/>
        <v/>
      </c>
      <c r="J107" s="142" t="e">
        <f t="shared" si="10"/>
        <v>#NUM!</v>
      </c>
      <c r="K107" s="142" t="e">
        <f t="shared" si="7"/>
        <v>#NUM!</v>
      </c>
      <c r="L107" s="142"/>
      <c r="M107" s="144">
        <f t="shared" si="8"/>
        <v>0</v>
      </c>
    </row>
    <row r="108" spans="1:13" x14ac:dyDescent="0.25">
      <c r="A108" s="158"/>
      <c r="G108" s="128"/>
      <c r="H108" s="142">
        <v>103</v>
      </c>
      <c r="I108" s="143" t="str">
        <f t="shared" si="9"/>
        <v/>
      </c>
      <c r="J108" s="142" t="e">
        <f t="shared" si="10"/>
        <v>#NUM!</v>
      </c>
      <c r="K108" s="142" t="e">
        <f t="shared" si="7"/>
        <v>#NUM!</v>
      </c>
      <c r="L108" s="142"/>
      <c r="M108" s="144">
        <f t="shared" si="8"/>
        <v>0</v>
      </c>
    </row>
    <row r="109" spans="1:13" x14ac:dyDescent="0.25">
      <c r="A109" s="158"/>
      <c r="G109" s="128"/>
      <c r="H109" s="142">
        <v>104</v>
      </c>
      <c r="I109" s="143" t="str">
        <f t="shared" si="9"/>
        <v/>
      </c>
      <c r="J109" s="142" t="e">
        <f t="shared" si="10"/>
        <v>#NUM!</v>
      </c>
      <c r="K109" s="142" t="e">
        <f t="shared" si="7"/>
        <v>#NUM!</v>
      </c>
      <c r="L109" s="142"/>
      <c r="M109" s="144">
        <f t="shared" si="8"/>
        <v>0</v>
      </c>
    </row>
    <row r="110" spans="1:13" x14ac:dyDescent="0.25">
      <c r="A110" s="158"/>
      <c r="G110" s="128"/>
      <c r="H110" s="142">
        <v>105</v>
      </c>
      <c r="I110" s="143" t="str">
        <f t="shared" si="9"/>
        <v/>
      </c>
      <c r="J110" s="142" t="e">
        <f t="shared" si="10"/>
        <v>#NUM!</v>
      </c>
      <c r="K110" s="142" t="e">
        <f t="shared" si="7"/>
        <v>#NUM!</v>
      </c>
      <c r="L110" s="142"/>
      <c r="M110" s="144">
        <f t="shared" si="8"/>
        <v>0</v>
      </c>
    </row>
    <row r="111" spans="1:13" x14ac:dyDescent="0.25">
      <c r="A111" s="158"/>
      <c r="G111" s="128"/>
      <c r="H111" s="142">
        <v>106</v>
      </c>
      <c r="I111" s="143" t="str">
        <f t="shared" si="9"/>
        <v/>
      </c>
      <c r="J111" s="142" t="e">
        <f t="shared" si="10"/>
        <v>#NUM!</v>
      </c>
      <c r="K111" s="142" t="e">
        <f t="shared" si="7"/>
        <v>#NUM!</v>
      </c>
      <c r="L111" s="142"/>
      <c r="M111" s="144">
        <f t="shared" si="8"/>
        <v>0</v>
      </c>
    </row>
    <row r="112" spans="1:13" x14ac:dyDescent="0.25">
      <c r="A112" s="158"/>
      <c r="G112" s="128"/>
      <c r="H112" s="142">
        <v>107</v>
      </c>
      <c r="I112" s="143" t="str">
        <f t="shared" si="9"/>
        <v/>
      </c>
      <c r="J112" s="142" t="e">
        <f t="shared" si="10"/>
        <v>#NUM!</v>
      </c>
      <c r="K112" s="142" t="e">
        <f t="shared" si="7"/>
        <v>#NUM!</v>
      </c>
      <c r="L112" s="142"/>
      <c r="M112" s="144">
        <f t="shared" si="8"/>
        <v>0</v>
      </c>
    </row>
    <row r="113" spans="1:13" x14ac:dyDescent="0.25">
      <c r="A113" s="158"/>
      <c r="G113" s="128"/>
      <c r="H113" s="142">
        <v>108</v>
      </c>
      <c r="I113" s="143" t="str">
        <f t="shared" si="9"/>
        <v/>
      </c>
      <c r="J113" s="142" t="e">
        <f t="shared" si="10"/>
        <v>#NUM!</v>
      </c>
      <c r="K113" s="142" t="e">
        <f t="shared" si="7"/>
        <v>#NUM!</v>
      </c>
      <c r="L113" s="142"/>
      <c r="M113" s="144">
        <f t="shared" si="8"/>
        <v>0</v>
      </c>
    </row>
    <row r="114" spans="1:13" x14ac:dyDescent="0.25">
      <c r="A114" s="158"/>
      <c r="G114" s="128"/>
      <c r="H114" s="142">
        <v>109</v>
      </c>
      <c r="I114" s="143" t="str">
        <f t="shared" si="9"/>
        <v/>
      </c>
      <c r="J114" s="142" t="e">
        <f t="shared" si="10"/>
        <v>#NUM!</v>
      </c>
      <c r="K114" s="142" t="e">
        <f t="shared" si="7"/>
        <v>#NUM!</v>
      </c>
      <c r="L114" s="142"/>
      <c r="M114" s="144">
        <f t="shared" si="8"/>
        <v>0</v>
      </c>
    </row>
    <row r="115" spans="1:13" x14ac:dyDescent="0.25">
      <c r="A115" s="158"/>
      <c r="G115" s="128"/>
      <c r="H115" s="142">
        <v>110</v>
      </c>
      <c r="I115" s="143" t="str">
        <f t="shared" si="9"/>
        <v/>
      </c>
      <c r="J115" s="142" t="e">
        <f t="shared" si="10"/>
        <v>#NUM!</v>
      </c>
      <c r="K115" s="142" t="e">
        <f t="shared" si="7"/>
        <v>#NUM!</v>
      </c>
      <c r="L115" s="142"/>
      <c r="M115" s="144">
        <f t="shared" si="8"/>
        <v>0</v>
      </c>
    </row>
    <row r="116" spans="1:13" x14ac:dyDescent="0.25">
      <c r="A116" s="158"/>
      <c r="G116" s="128"/>
      <c r="H116" s="142">
        <v>111</v>
      </c>
      <c r="I116" s="143" t="str">
        <f t="shared" si="9"/>
        <v/>
      </c>
      <c r="J116" s="142" t="e">
        <f t="shared" si="10"/>
        <v>#NUM!</v>
      </c>
      <c r="K116" s="142" t="e">
        <f t="shared" si="7"/>
        <v>#NUM!</v>
      </c>
      <c r="L116" s="142"/>
      <c r="M116" s="144">
        <f t="shared" si="8"/>
        <v>0</v>
      </c>
    </row>
    <row r="117" spans="1:13" x14ac:dyDescent="0.25">
      <c r="A117" s="158"/>
      <c r="G117" s="128"/>
      <c r="H117" s="142">
        <v>112</v>
      </c>
      <c r="I117" s="143" t="str">
        <f t="shared" si="9"/>
        <v/>
      </c>
      <c r="J117" s="142" t="e">
        <f t="shared" si="10"/>
        <v>#NUM!</v>
      </c>
      <c r="K117" s="142" t="e">
        <f t="shared" si="7"/>
        <v>#NUM!</v>
      </c>
      <c r="L117" s="142"/>
      <c r="M117" s="144">
        <f t="shared" si="8"/>
        <v>0</v>
      </c>
    </row>
    <row r="118" spans="1:13" x14ac:dyDescent="0.25">
      <c r="A118" s="158"/>
      <c r="G118" s="128"/>
      <c r="H118" s="142">
        <v>113</v>
      </c>
      <c r="I118" s="143" t="str">
        <f t="shared" si="9"/>
        <v/>
      </c>
      <c r="J118" s="142" t="e">
        <f t="shared" si="10"/>
        <v>#NUM!</v>
      </c>
      <c r="K118" s="142" t="e">
        <f t="shared" si="7"/>
        <v>#NUM!</v>
      </c>
      <c r="L118" s="142"/>
      <c r="M118" s="144">
        <f t="shared" si="8"/>
        <v>0</v>
      </c>
    </row>
    <row r="119" spans="1:13" x14ac:dyDescent="0.25">
      <c r="A119" s="158"/>
      <c r="G119" s="128"/>
      <c r="H119" s="142">
        <v>114</v>
      </c>
      <c r="I119" s="143" t="str">
        <f t="shared" si="9"/>
        <v/>
      </c>
      <c r="J119" s="142" t="e">
        <f t="shared" si="10"/>
        <v>#NUM!</v>
      </c>
      <c r="K119" s="142" t="e">
        <f t="shared" si="7"/>
        <v>#NUM!</v>
      </c>
      <c r="L119" s="142"/>
      <c r="M119" s="144">
        <f t="shared" si="8"/>
        <v>0</v>
      </c>
    </row>
    <row r="120" spans="1:13" x14ac:dyDescent="0.25">
      <c r="A120" s="158"/>
      <c r="G120" s="128"/>
      <c r="H120" s="142">
        <v>115</v>
      </c>
      <c r="I120" s="143" t="str">
        <f t="shared" si="9"/>
        <v/>
      </c>
      <c r="J120" s="142" t="e">
        <f t="shared" si="10"/>
        <v>#NUM!</v>
      </c>
      <c r="K120" s="142" t="e">
        <f t="shared" si="7"/>
        <v>#NUM!</v>
      </c>
      <c r="L120" s="142"/>
      <c r="M120" s="144">
        <f t="shared" si="8"/>
        <v>0</v>
      </c>
    </row>
    <row r="121" spans="1:13" x14ac:dyDescent="0.25">
      <c r="A121" s="158"/>
      <c r="G121" s="128"/>
      <c r="H121" s="142">
        <v>116</v>
      </c>
      <c r="I121" s="143" t="str">
        <f t="shared" si="9"/>
        <v/>
      </c>
      <c r="J121" s="142" t="e">
        <f t="shared" si="10"/>
        <v>#NUM!</v>
      </c>
      <c r="K121" s="142" t="e">
        <f t="shared" si="7"/>
        <v>#NUM!</v>
      </c>
      <c r="L121" s="142"/>
      <c r="M121" s="144">
        <f t="shared" si="8"/>
        <v>0</v>
      </c>
    </row>
    <row r="122" spans="1:13" x14ac:dyDescent="0.25">
      <c r="A122" s="158"/>
      <c r="G122" s="128"/>
      <c r="H122" s="142">
        <v>117</v>
      </c>
      <c r="I122" s="143" t="str">
        <f t="shared" si="9"/>
        <v/>
      </c>
      <c r="J122" s="142" t="e">
        <f t="shared" si="10"/>
        <v>#NUM!</v>
      </c>
      <c r="K122" s="142" t="e">
        <f t="shared" si="7"/>
        <v>#NUM!</v>
      </c>
      <c r="L122" s="142"/>
      <c r="M122" s="144">
        <f t="shared" si="8"/>
        <v>0</v>
      </c>
    </row>
    <row r="123" spans="1:13" x14ac:dyDescent="0.25">
      <c r="A123" s="158"/>
      <c r="G123" s="128"/>
      <c r="H123" s="142">
        <v>118</v>
      </c>
      <c r="I123" s="143" t="str">
        <f t="shared" si="9"/>
        <v/>
      </c>
      <c r="J123" s="142" t="e">
        <f t="shared" si="10"/>
        <v>#NUM!</v>
      </c>
      <c r="K123" s="142" t="e">
        <f t="shared" si="7"/>
        <v>#NUM!</v>
      </c>
      <c r="L123" s="142"/>
      <c r="M123" s="144">
        <f t="shared" si="8"/>
        <v>0</v>
      </c>
    </row>
    <row r="124" spans="1:13" x14ac:dyDescent="0.25">
      <c r="A124" s="158"/>
      <c r="G124" s="128"/>
      <c r="H124" s="142">
        <v>119</v>
      </c>
      <c r="I124" s="143" t="str">
        <f t="shared" si="9"/>
        <v/>
      </c>
      <c r="J124" s="142" t="e">
        <f t="shared" si="10"/>
        <v>#NUM!</v>
      </c>
      <c r="K124" s="142" t="e">
        <f t="shared" si="7"/>
        <v>#NUM!</v>
      </c>
      <c r="L124" s="142"/>
      <c r="M124" s="144">
        <f t="shared" si="8"/>
        <v>0</v>
      </c>
    </row>
    <row r="125" spans="1:13" x14ac:dyDescent="0.25">
      <c r="A125" s="158"/>
      <c r="G125" s="128"/>
      <c r="H125" s="142">
        <v>120</v>
      </c>
      <c r="I125" s="143" t="str">
        <f t="shared" si="9"/>
        <v/>
      </c>
      <c r="J125" s="142" t="e">
        <f t="shared" si="10"/>
        <v>#NUM!</v>
      </c>
      <c r="K125" s="142" t="e">
        <f t="shared" si="7"/>
        <v>#NUM!</v>
      </c>
      <c r="L125" s="142"/>
      <c r="M125" s="144">
        <f t="shared" si="8"/>
        <v>0</v>
      </c>
    </row>
    <row r="126" spans="1:13" x14ac:dyDescent="0.25">
      <c r="A126" s="158"/>
      <c r="G126" s="128"/>
      <c r="H126" s="142">
        <v>121</v>
      </c>
      <c r="I126" s="143" t="str">
        <f t="shared" si="9"/>
        <v/>
      </c>
      <c r="J126" s="142" t="e">
        <f t="shared" si="10"/>
        <v>#NUM!</v>
      </c>
      <c r="K126" s="142" t="e">
        <f t="shared" si="7"/>
        <v>#NUM!</v>
      </c>
      <c r="L126" s="142"/>
      <c r="M126" s="144">
        <f t="shared" si="8"/>
        <v>0</v>
      </c>
    </row>
    <row r="127" spans="1:13" x14ac:dyDescent="0.25">
      <c r="A127" s="158"/>
      <c r="G127" s="128"/>
      <c r="H127" s="142">
        <v>122</v>
      </c>
      <c r="I127" s="143" t="str">
        <f t="shared" si="9"/>
        <v/>
      </c>
      <c r="J127" s="142" t="e">
        <f t="shared" si="10"/>
        <v>#NUM!</v>
      </c>
      <c r="K127" s="142" t="e">
        <f t="shared" si="7"/>
        <v>#NUM!</v>
      </c>
      <c r="L127" s="142"/>
      <c r="M127" s="144">
        <f t="shared" si="8"/>
        <v>0</v>
      </c>
    </row>
    <row r="128" spans="1:13" x14ac:dyDescent="0.25">
      <c r="A128" s="158"/>
      <c r="G128" s="128"/>
      <c r="H128" s="142">
        <v>123</v>
      </c>
      <c r="I128" s="143" t="str">
        <f t="shared" si="9"/>
        <v/>
      </c>
      <c r="J128" s="142" t="e">
        <f t="shared" si="10"/>
        <v>#NUM!</v>
      </c>
      <c r="K128" s="142" t="e">
        <f t="shared" si="7"/>
        <v>#NUM!</v>
      </c>
      <c r="L128" s="142"/>
      <c r="M128" s="144">
        <f t="shared" si="8"/>
        <v>0</v>
      </c>
    </row>
    <row r="129" spans="1:13" x14ac:dyDescent="0.25">
      <c r="A129" s="158"/>
      <c r="G129" s="128"/>
      <c r="H129" s="142">
        <v>124</v>
      </c>
      <c r="I129" s="143" t="str">
        <f t="shared" si="9"/>
        <v/>
      </c>
      <c r="J129" s="142" t="e">
        <f t="shared" si="10"/>
        <v>#NUM!</v>
      </c>
      <c r="K129" s="142" t="e">
        <f t="shared" si="7"/>
        <v>#NUM!</v>
      </c>
      <c r="L129" s="142"/>
      <c r="M129" s="144">
        <f t="shared" si="8"/>
        <v>0</v>
      </c>
    </row>
    <row r="130" spans="1:13" x14ac:dyDescent="0.25">
      <c r="A130" s="158"/>
      <c r="G130" s="128"/>
      <c r="H130" s="142">
        <v>125</v>
      </c>
      <c r="I130" s="143" t="str">
        <f t="shared" si="9"/>
        <v/>
      </c>
      <c r="J130" s="142" t="e">
        <f t="shared" si="10"/>
        <v>#NUM!</v>
      </c>
      <c r="K130" s="142" t="e">
        <f t="shared" si="7"/>
        <v>#NUM!</v>
      </c>
      <c r="L130" s="142"/>
      <c r="M130" s="144">
        <f t="shared" si="8"/>
        <v>0</v>
      </c>
    </row>
    <row r="131" spans="1:13" x14ac:dyDescent="0.25">
      <c r="A131" s="158"/>
      <c r="G131" s="128"/>
      <c r="H131" s="142">
        <v>126</v>
      </c>
      <c r="I131" s="143" t="str">
        <f t="shared" si="9"/>
        <v/>
      </c>
      <c r="J131" s="142" t="e">
        <f t="shared" si="10"/>
        <v>#NUM!</v>
      </c>
      <c r="K131" s="142" t="e">
        <f t="shared" si="7"/>
        <v>#NUM!</v>
      </c>
      <c r="L131" s="142"/>
      <c r="M131" s="144">
        <f t="shared" si="8"/>
        <v>0</v>
      </c>
    </row>
    <row r="132" spans="1:13" x14ac:dyDescent="0.25">
      <c r="A132" s="158"/>
      <c r="G132" s="128"/>
      <c r="H132" s="142">
        <v>127</v>
      </c>
      <c r="I132" s="143" t="str">
        <f t="shared" si="9"/>
        <v/>
      </c>
      <c r="J132" s="142" t="e">
        <f t="shared" si="10"/>
        <v>#NUM!</v>
      </c>
      <c r="K132" s="142" t="e">
        <f t="shared" si="7"/>
        <v>#NUM!</v>
      </c>
      <c r="L132" s="142"/>
      <c r="M132" s="144">
        <f t="shared" si="8"/>
        <v>0</v>
      </c>
    </row>
    <row r="133" spans="1:13" x14ac:dyDescent="0.25">
      <c r="A133" s="158"/>
      <c r="G133" s="128"/>
      <c r="H133" s="142">
        <v>128</v>
      </c>
      <c r="I133" s="143" t="str">
        <f t="shared" si="9"/>
        <v/>
      </c>
      <c r="J133" s="142" t="e">
        <f t="shared" si="10"/>
        <v>#NUM!</v>
      </c>
      <c r="K133" s="142" t="e">
        <f t="shared" si="7"/>
        <v>#NUM!</v>
      </c>
      <c r="L133" s="142"/>
      <c r="M133" s="144">
        <f t="shared" si="8"/>
        <v>0</v>
      </c>
    </row>
    <row r="134" spans="1:13" x14ac:dyDescent="0.25">
      <c r="A134" s="158"/>
      <c r="G134" s="128"/>
      <c r="H134" s="142">
        <v>129</v>
      </c>
      <c r="I134" s="143" t="str">
        <f t="shared" si="9"/>
        <v/>
      </c>
      <c r="J134" s="142" t="e">
        <f t="shared" si="10"/>
        <v>#NUM!</v>
      </c>
      <c r="K134" s="142" t="e">
        <f t="shared" ref="K134:K197" si="11">J134*$J$2</f>
        <v>#NUM!</v>
      </c>
      <c r="L134" s="142"/>
      <c r="M134" s="144">
        <f t="shared" ref="M134:M197" si="12">IF(I134&lt;&gt;"",K134+I134+L134,0)</f>
        <v>0</v>
      </c>
    </row>
    <row r="135" spans="1:13" x14ac:dyDescent="0.25">
      <c r="A135" s="158"/>
      <c r="G135" s="128"/>
      <c r="H135" s="142">
        <v>130</v>
      </c>
      <c r="I135" s="143" t="str">
        <f t="shared" ref="I135:I198" si="13">IF(H135&lt;$H$2+1,($I$2-($I$2-1)*(LOG(H135)/LOG($H$2))),"")</f>
        <v/>
      </c>
      <c r="J135" s="142" t="e">
        <f t="shared" ref="J135:J198" si="14">INT(LOG($H$2,2))-ROUNDUP(LOG(H135,2),0)+IF(OR($H$2=1,$H$2=2,$H$2=4,$H$2=8,$H$2=16,$H$2=32,$H$2=64,$H$2=128,$H$2=256),0,1)</f>
        <v>#NUM!</v>
      </c>
      <c r="K135" s="142" t="e">
        <f t="shared" si="11"/>
        <v>#NUM!</v>
      </c>
      <c r="L135" s="142"/>
      <c r="M135" s="144">
        <f t="shared" si="12"/>
        <v>0</v>
      </c>
    </row>
    <row r="136" spans="1:13" x14ac:dyDescent="0.25">
      <c r="A136" s="158"/>
      <c r="G136" s="128"/>
      <c r="H136" s="142">
        <v>131</v>
      </c>
      <c r="I136" s="143" t="str">
        <f t="shared" si="13"/>
        <v/>
      </c>
      <c r="J136" s="142" t="e">
        <f t="shared" si="14"/>
        <v>#NUM!</v>
      </c>
      <c r="K136" s="142" t="e">
        <f t="shared" si="11"/>
        <v>#NUM!</v>
      </c>
      <c r="L136" s="142"/>
      <c r="M136" s="144">
        <f t="shared" si="12"/>
        <v>0</v>
      </c>
    </row>
    <row r="137" spans="1:13" x14ac:dyDescent="0.25">
      <c r="A137" s="158"/>
      <c r="G137" s="128"/>
      <c r="H137" s="142">
        <v>132</v>
      </c>
      <c r="I137" s="143" t="str">
        <f t="shared" si="13"/>
        <v/>
      </c>
      <c r="J137" s="142" t="e">
        <f t="shared" si="14"/>
        <v>#NUM!</v>
      </c>
      <c r="K137" s="142" t="e">
        <f t="shared" si="11"/>
        <v>#NUM!</v>
      </c>
      <c r="L137" s="142"/>
      <c r="M137" s="144">
        <f t="shared" si="12"/>
        <v>0</v>
      </c>
    </row>
    <row r="138" spans="1:13" x14ac:dyDescent="0.25">
      <c r="A138" s="158"/>
      <c r="G138" s="128"/>
      <c r="H138" s="142">
        <v>133</v>
      </c>
      <c r="I138" s="143" t="str">
        <f t="shared" si="13"/>
        <v/>
      </c>
      <c r="J138" s="142" t="e">
        <f t="shared" si="14"/>
        <v>#NUM!</v>
      </c>
      <c r="K138" s="142" t="e">
        <f t="shared" si="11"/>
        <v>#NUM!</v>
      </c>
      <c r="L138" s="142"/>
      <c r="M138" s="144">
        <f t="shared" si="12"/>
        <v>0</v>
      </c>
    </row>
    <row r="139" spans="1:13" x14ac:dyDescent="0.25">
      <c r="A139" s="158"/>
      <c r="G139" s="128"/>
      <c r="H139" s="142">
        <v>134</v>
      </c>
      <c r="I139" s="143" t="str">
        <f t="shared" si="13"/>
        <v/>
      </c>
      <c r="J139" s="142" t="e">
        <f t="shared" si="14"/>
        <v>#NUM!</v>
      </c>
      <c r="K139" s="142" t="e">
        <f t="shared" si="11"/>
        <v>#NUM!</v>
      </c>
      <c r="L139" s="142"/>
      <c r="M139" s="144">
        <f t="shared" si="12"/>
        <v>0</v>
      </c>
    </row>
    <row r="140" spans="1:13" x14ac:dyDescent="0.25">
      <c r="A140" s="158"/>
      <c r="G140" s="128"/>
      <c r="H140" s="142">
        <v>135</v>
      </c>
      <c r="I140" s="143" t="str">
        <f t="shared" si="13"/>
        <v/>
      </c>
      <c r="J140" s="142" t="e">
        <f t="shared" si="14"/>
        <v>#NUM!</v>
      </c>
      <c r="K140" s="142" t="e">
        <f t="shared" si="11"/>
        <v>#NUM!</v>
      </c>
      <c r="L140" s="142"/>
      <c r="M140" s="144">
        <f t="shared" si="12"/>
        <v>0</v>
      </c>
    </row>
    <row r="141" spans="1:13" x14ac:dyDescent="0.25">
      <c r="A141" s="158"/>
      <c r="G141" s="128"/>
      <c r="H141" s="142">
        <v>136</v>
      </c>
      <c r="I141" s="143" t="str">
        <f t="shared" si="13"/>
        <v/>
      </c>
      <c r="J141" s="142" t="e">
        <f t="shared" si="14"/>
        <v>#NUM!</v>
      </c>
      <c r="K141" s="142" t="e">
        <f t="shared" si="11"/>
        <v>#NUM!</v>
      </c>
      <c r="L141" s="142"/>
      <c r="M141" s="144">
        <f t="shared" si="12"/>
        <v>0</v>
      </c>
    </row>
    <row r="142" spans="1:13" x14ac:dyDescent="0.25">
      <c r="A142" s="158"/>
      <c r="G142" s="128"/>
      <c r="H142" s="142">
        <v>137</v>
      </c>
      <c r="I142" s="143" t="str">
        <f t="shared" si="13"/>
        <v/>
      </c>
      <c r="J142" s="142" t="e">
        <f t="shared" si="14"/>
        <v>#NUM!</v>
      </c>
      <c r="K142" s="142" t="e">
        <f t="shared" si="11"/>
        <v>#NUM!</v>
      </c>
      <c r="L142" s="142"/>
      <c r="M142" s="144">
        <f t="shared" si="12"/>
        <v>0</v>
      </c>
    </row>
    <row r="143" spans="1:13" x14ac:dyDescent="0.25">
      <c r="A143" s="158"/>
      <c r="G143" s="128"/>
      <c r="H143" s="142">
        <v>138</v>
      </c>
      <c r="I143" s="143" t="str">
        <f t="shared" si="13"/>
        <v/>
      </c>
      <c r="J143" s="142" t="e">
        <f t="shared" si="14"/>
        <v>#NUM!</v>
      </c>
      <c r="K143" s="142" t="e">
        <f t="shared" si="11"/>
        <v>#NUM!</v>
      </c>
      <c r="L143" s="142"/>
      <c r="M143" s="144">
        <f t="shared" si="12"/>
        <v>0</v>
      </c>
    </row>
    <row r="144" spans="1:13" x14ac:dyDescent="0.25">
      <c r="A144" s="158"/>
      <c r="G144" s="128"/>
      <c r="H144" s="142">
        <v>139</v>
      </c>
      <c r="I144" s="143" t="str">
        <f t="shared" si="13"/>
        <v/>
      </c>
      <c r="J144" s="142" t="e">
        <f t="shared" si="14"/>
        <v>#NUM!</v>
      </c>
      <c r="K144" s="142" t="e">
        <f t="shared" si="11"/>
        <v>#NUM!</v>
      </c>
      <c r="L144" s="142"/>
      <c r="M144" s="144">
        <f t="shared" si="12"/>
        <v>0</v>
      </c>
    </row>
    <row r="145" spans="1:13" x14ac:dyDescent="0.25">
      <c r="A145" s="158"/>
      <c r="G145" s="128"/>
      <c r="H145" s="142">
        <v>140</v>
      </c>
      <c r="I145" s="143" t="str">
        <f t="shared" si="13"/>
        <v/>
      </c>
      <c r="J145" s="142" t="e">
        <f t="shared" si="14"/>
        <v>#NUM!</v>
      </c>
      <c r="K145" s="142" t="e">
        <f t="shared" si="11"/>
        <v>#NUM!</v>
      </c>
      <c r="L145" s="142"/>
      <c r="M145" s="144">
        <f t="shared" si="12"/>
        <v>0</v>
      </c>
    </row>
    <row r="146" spans="1:13" x14ac:dyDescent="0.25">
      <c r="A146" s="158"/>
      <c r="G146" s="128"/>
      <c r="H146" s="142">
        <v>141</v>
      </c>
      <c r="I146" s="143" t="str">
        <f t="shared" si="13"/>
        <v/>
      </c>
      <c r="J146" s="142" t="e">
        <f t="shared" si="14"/>
        <v>#NUM!</v>
      </c>
      <c r="K146" s="142" t="e">
        <f t="shared" si="11"/>
        <v>#NUM!</v>
      </c>
      <c r="L146" s="142"/>
      <c r="M146" s="144">
        <f t="shared" si="12"/>
        <v>0</v>
      </c>
    </row>
    <row r="147" spans="1:13" x14ac:dyDescent="0.25">
      <c r="A147" s="158"/>
      <c r="G147" s="128"/>
      <c r="H147" s="142">
        <v>142</v>
      </c>
      <c r="I147" s="143" t="str">
        <f t="shared" si="13"/>
        <v/>
      </c>
      <c r="J147" s="142" t="e">
        <f t="shared" si="14"/>
        <v>#NUM!</v>
      </c>
      <c r="K147" s="142" t="e">
        <f t="shared" si="11"/>
        <v>#NUM!</v>
      </c>
      <c r="L147" s="142"/>
      <c r="M147" s="144">
        <f t="shared" si="12"/>
        <v>0</v>
      </c>
    </row>
    <row r="148" spans="1:13" x14ac:dyDescent="0.25">
      <c r="A148" s="158"/>
      <c r="G148" s="128"/>
      <c r="H148" s="142">
        <v>143</v>
      </c>
      <c r="I148" s="143" t="str">
        <f t="shared" si="13"/>
        <v/>
      </c>
      <c r="J148" s="142" t="e">
        <f t="shared" si="14"/>
        <v>#NUM!</v>
      </c>
      <c r="K148" s="142" t="e">
        <f t="shared" si="11"/>
        <v>#NUM!</v>
      </c>
      <c r="L148" s="142"/>
      <c r="M148" s="144">
        <f t="shared" si="12"/>
        <v>0</v>
      </c>
    </row>
    <row r="149" spans="1:13" x14ac:dyDescent="0.25">
      <c r="A149" s="158"/>
      <c r="G149" s="128"/>
      <c r="H149" s="142">
        <v>144</v>
      </c>
      <c r="I149" s="143" t="str">
        <f t="shared" si="13"/>
        <v/>
      </c>
      <c r="J149" s="142" t="e">
        <f t="shared" si="14"/>
        <v>#NUM!</v>
      </c>
      <c r="K149" s="142" t="e">
        <f t="shared" si="11"/>
        <v>#NUM!</v>
      </c>
      <c r="L149" s="142"/>
      <c r="M149" s="144">
        <f t="shared" si="12"/>
        <v>0</v>
      </c>
    </row>
    <row r="150" spans="1:13" x14ac:dyDescent="0.25">
      <c r="A150" s="158"/>
      <c r="G150" s="128"/>
      <c r="H150" s="142">
        <v>145</v>
      </c>
      <c r="I150" s="143" t="str">
        <f t="shared" si="13"/>
        <v/>
      </c>
      <c r="J150" s="142" t="e">
        <f t="shared" si="14"/>
        <v>#NUM!</v>
      </c>
      <c r="K150" s="142" t="e">
        <f t="shared" si="11"/>
        <v>#NUM!</v>
      </c>
      <c r="L150" s="142"/>
      <c r="M150" s="144">
        <f t="shared" si="12"/>
        <v>0</v>
      </c>
    </row>
    <row r="151" spans="1:13" x14ac:dyDescent="0.25">
      <c r="A151" s="158"/>
      <c r="G151" s="128"/>
      <c r="H151" s="142">
        <v>146</v>
      </c>
      <c r="I151" s="143" t="str">
        <f t="shared" si="13"/>
        <v/>
      </c>
      <c r="J151" s="142" t="e">
        <f t="shared" si="14"/>
        <v>#NUM!</v>
      </c>
      <c r="K151" s="142" t="e">
        <f t="shared" si="11"/>
        <v>#NUM!</v>
      </c>
      <c r="L151" s="142"/>
      <c r="M151" s="144">
        <f t="shared" si="12"/>
        <v>0</v>
      </c>
    </row>
    <row r="152" spans="1:13" x14ac:dyDescent="0.25">
      <c r="A152" s="158"/>
      <c r="G152" s="128"/>
      <c r="H152" s="142">
        <v>147</v>
      </c>
      <c r="I152" s="143" t="str">
        <f t="shared" si="13"/>
        <v/>
      </c>
      <c r="J152" s="142" t="e">
        <f t="shared" si="14"/>
        <v>#NUM!</v>
      </c>
      <c r="K152" s="142" t="e">
        <f t="shared" si="11"/>
        <v>#NUM!</v>
      </c>
      <c r="L152" s="142"/>
      <c r="M152" s="144">
        <f t="shared" si="12"/>
        <v>0</v>
      </c>
    </row>
    <row r="153" spans="1:13" x14ac:dyDescent="0.25">
      <c r="A153" s="158"/>
      <c r="G153" s="128"/>
      <c r="H153" s="142">
        <v>148</v>
      </c>
      <c r="I153" s="143" t="str">
        <f t="shared" si="13"/>
        <v/>
      </c>
      <c r="J153" s="142" t="e">
        <f t="shared" si="14"/>
        <v>#NUM!</v>
      </c>
      <c r="K153" s="142" t="e">
        <f t="shared" si="11"/>
        <v>#NUM!</v>
      </c>
      <c r="L153" s="142"/>
      <c r="M153" s="144">
        <f t="shared" si="12"/>
        <v>0</v>
      </c>
    </row>
    <row r="154" spans="1:13" x14ac:dyDescent="0.25">
      <c r="A154" s="158"/>
      <c r="G154" s="128"/>
      <c r="H154" s="142">
        <v>149</v>
      </c>
      <c r="I154" s="143" t="str">
        <f t="shared" si="13"/>
        <v/>
      </c>
      <c r="J154" s="142" t="e">
        <f t="shared" si="14"/>
        <v>#NUM!</v>
      </c>
      <c r="K154" s="142" t="e">
        <f t="shared" si="11"/>
        <v>#NUM!</v>
      </c>
      <c r="L154" s="142"/>
      <c r="M154" s="144">
        <f t="shared" si="12"/>
        <v>0</v>
      </c>
    </row>
    <row r="155" spans="1:13" x14ac:dyDescent="0.25">
      <c r="A155" s="158"/>
      <c r="G155" s="128"/>
      <c r="H155" s="142">
        <v>150</v>
      </c>
      <c r="I155" s="143" t="str">
        <f t="shared" si="13"/>
        <v/>
      </c>
      <c r="J155" s="142" t="e">
        <f t="shared" si="14"/>
        <v>#NUM!</v>
      </c>
      <c r="K155" s="142" t="e">
        <f t="shared" si="11"/>
        <v>#NUM!</v>
      </c>
      <c r="L155" s="142"/>
      <c r="M155" s="144">
        <f t="shared" si="12"/>
        <v>0</v>
      </c>
    </row>
    <row r="156" spans="1:13" x14ac:dyDescent="0.25">
      <c r="A156" s="158"/>
      <c r="G156" s="128"/>
      <c r="H156" s="142">
        <v>151</v>
      </c>
      <c r="I156" s="143" t="str">
        <f t="shared" si="13"/>
        <v/>
      </c>
      <c r="J156" s="142" t="e">
        <f t="shared" si="14"/>
        <v>#NUM!</v>
      </c>
      <c r="K156" s="142" t="e">
        <f t="shared" si="11"/>
        <v>#NUM!</v>
      </c>
      <c r="L156" s="142"/>
      <c r="M156" s="144">
        <f t="shared" si="12"/>
        <v>0</v>
      </c>
    </row>
    <row r="157" spans="1:13" x14ac:dyDescent="0.25">
      <c r="A157" s="158"/>
      <c r="G157" s="128"/>
      <c r="H157" s="142">
        <v>152</v>
      </c>
      <c r="I157" s="143" t="str">
        <f t="shared" si="13"/>
        <v/>
      </c>
      <c r="J157" s="142" t="e">
        <f t="shared" si="14"/>
        <v>#NUM!</v>
      </c>
      <c r="K157" s="142" t="e">
        <f t="shared" si="11"/>
        <v>#NUM!</v>
      </c>
      <c r="L157" s="142"/>
      <c r="M157" s="144">
        <f t="shared" si="12"/>
        <v>0</v>
      </c>
    </row>
    <row r="158" spans="1:13" x14ac:dyDescent="0.25">
      <c r="A158" s="158"/>
      <c r="G158" s="128"/>
      <c r="H158" s="142">
        <v>153</v>
      </c>
      <c r="I158" s="143" t="str">
        <f t="shared" si="13"/>
        <v/>
      </c>
      <c r="J158" s="142" t="e">
        <f t="shared" si="14"/>
        <v>#NUM!</v>
      </c>
      <c r="K158" s="142" t="e">
        <f t="shared" si="11"/>
        <v>#NUM!</v>
      </c>
      <c r="L158" s="142"/>
      <c r="M158" s="144">
        <f t="shared" si="12"/>
        <v>0</v>
      </c>
    </row>
    <row r="159" spans="1:13" x14ac:dyDescent="0.25">
      <c r="A159" s="158"/>
      <c r="G159" s="128"/>
      <c r="H159" s="142">
        <v>154</v>
      </c>
      <c r="I159" s="143" t="str">
        <f t="shared" si="13"/>
        <v/>
      </c>
      <c r="J159" s="142" t="e">
        <f t="shared" si="14"/>
        <v>#NUM!</v>
      </c>
      <c r="K159" s="142" t="e">
        <f t="shared" si="11"/>
        <v>#NUM!</v>
      </c>
      <c r="L159" s="142"/>
      <c r="M159" s="144">
        <f t="shared" si="12"/>
        <v>0</v>
      </c>
    </row>
    <row r="160" spans="1:13" x14ac:dyDescent="0.25">
      <c r="A160" s="158"/>
      <c r="G160" s="128"/>
      <c r="H160" s="142">
        <v>155</v>
      </c>
      <c r="I160" s="143" t="str">
        <f t="shared" si="13"/>
        <v/>
      </c>
      <c r="J160" s="142" t="e">
        <f t="shared" si="14"/>
        <v>#NUM!</v>
      </c>
      <c r="K160" s="142" t="e">
        <f t="shared" si="11"/>
        <v>#NUM!</v>
      </c>
      <c r="L160" s="142"/>
      <c r="M160" s="144">
        <f t="shared" si="12"/>
        <v>0</v>
      </c>
    </row>
    <row r="161" spans="1:13" x14ac:dyDescent="0.25">
      <c r="A161" s="158"/>
      <c r="G161" s="128"/>
      <c r="H161" s="142">
        <v>156</v>
      </c>
      <c r="I161" s="143" t="str">
        <f t="shared" si="13"/>
        <v/>
      </c>
      <c r="J161" s="142" t="e">
        <f t="shared" si="14"/>
        <v>#NUM!</v>
      </c>
      <c r="K161" s="142" t="e">
        <f t="shared" si="11"/>
        <v>#NUM!</v>
      </c>
      <c r="L161" s="142"/>
      <c r="M161" s="144">
        <f t="shared" si="12"/>
        <v>0</v>
      </c>
    </row>
    <row r="162" spans="1:13" x14ac:dyDescent="0.25">
      <c r="A162" s="158"/>
      <c r="G162" s="128"/>
      <c r="H162" s="142">
        <v>157</v>
      </c>
      <c r="I162" s="143" t="str">
        <f t="shared" si="13"/>
        <v/>
      </c>
      <c r="J162" s="142" t="e">
        <f t="shared" si="14"/>
        <v>#NUM!</v>
      </c>
      <c r="K162" s="142" t="e">
        <f t="shared" si="11"/>
        <v>#NUM!</v>
      </c>
      <c r="L162" s="142"/>
      <c r="M162" s="144">
        <f t="shared" si="12"/>
        <v>0</v>
      </c>
    </row>
    <row r="163" spans="1:13" x14ac:dyDescent="0.25">
      <c r="A163" s="158"/>
      <c r="G163" s="128"/>
      <c r="H163" s="142">
        <v>158</v>
      </c>
      <c r="I163" s="143" t="str">
        <f t="shared" si="13"/>
        <v/>
      </c>
      <c r="J163" s="142" t="e">
        <f t="shared" si="14"/>
        <v>#NUM!</v>
      </c>
      <c r="K163" s="142" t="e">
        <f t="shared" si="11"/>
        <v>#NUM!</v>
      </c>
      <c r="L163" s="142"/>
      <c r="M163" s="144">
        <f t="shared" si="12"/>
        <v>0</v>
      </c>
    </row>
    <row r="164" spans="1:13" x14ac:dyDescent="0.25">
      <c r="A164" s="158"/>
      <c r="G164" s="128"/>
      <c r="H164" s="142">
        <v>159</v>
      </c>
      <c r="I164" s="143" t="str">
        <f t="shared" si="13"/>
        <v/>
      </c>
      <c r="J164" s="142" t="e">
        <f t="shared" si="14"/>
        <v>#NUM!</v>
      </c>
      <c r="K164" s="142" t="e">
        <f t="shared" si="11"/>
        <v>#NUM!</v>
      </c>
      <c r="L164" s="142"/>
      <c r="M164" s="144">
        <f t="shared" si="12"/>
        <v>0</v>
      </c>
    </row>
    <row r="165" spans="1:13" x14ac:dyDescent="0.25">
      <c r="A165" s="158"/>
      <c r="G165" s="128"/>
      <c r="H165" s="142">
        <v>160</v>
      </c>
      <c r="I165" s="143" t="str">
        <f t="shared" si="13"/>
        <v/>
      </c>
      <c r="J165" s="142" t="e">
        <f t="shared" si="14"/>
        <v>#NUM!</v>
      </c>
      <c r="K165" s="142" t="e">
        <f t="shared" si="11"/>
        <v>#NUM!</v>
      </c>
      <c r="L165" s="142"/>
      <c r="M165" s="144">
        <f t="shared" si="12"/>
        <v>0</v>
      </c>
    </row>
    <row r="166" spans="1:13" x14ac:dyDescent="0.25">
      <c r="A166" s="158"/>
      <c r="G166" s="128"/>
      <c r="H166" s="142">
        <v>161</v>
      </c>
      <c r="I166" s="143" t="str">
        <f t="shared" si="13"/>
        <v/>
      </c>
      <c r="J166" s="142" t="e">
        <f t="shared" si="14"/>
        <v>#NUM!</v>
      </c>
      <c r="K166" s="142" t="e">
        <f t="shared" si="11"/>
        <v>#NUM!</v>
      </c>
      <c r="L166" s="142"/>
      <c r="M166" s="144">
        <f t="shared" si="12"/>
        <v>0</v>
      </c>
    </row>
    <row r="167" spans="1:13" x14ac:dyDescent="0.25">
      <c r="A167" s="158"/>
      <c r="G167" s="128"/>
      <c r="H167" s="142">
        <v>162</v>
      </c>
      <c r="I167" s="143" t="str">
        <f t="shared" si="13"/>
        <v/>
      </c>
      <c r="J167" s="142" t="e">
        <f t="shared" si="14"/>
        <v>#NUM!</v>
      </c>
      <c r="K167" s="142" t="e">
        <f t="shared" si="11"/>
        <v>#NUM!</v>
      </c>
      <c r="L167" s="142"/>
      <c r="M167" s="144">
        <f t="shared" si="12"/>
        <v>0</v>
      </c>
    </row>
    <row r="168" spans="1:13" x14ac:dyDescent="0.25">
      <c r="A168" s="158"/>
      <c r="G168" s="128"/>
      <c r="H168" s="142">
        <v>163</v>
      </c>
      <c r="I168" s="143" t="str">
        <f t="shared" si="13"/>
        <v/>
      </c>
      <c r="J168" s="142" t="e">
        <f t="shared" si="14"/>
        <v>#NUM!</v>
      </c>
      <c r="K168" s="142" t="e">
        <f t="shared" si="11"/>
        <v>#NUM!</v>
      </c>
      <c r="L168" s="142"/>
      <c r="M168" s="144">
        <f t="shared" si="12"/>
        <v>0</v>
      </c>
    </row>
    <row r="169" spans="1:13" x14ac:dyDescent="0.25">
      <c r="A169" s="158"/>
      <c r="G169" s="128"/>
      <c r="H169" s="142">
        <v>164</v>
      </c>
      <c r="I169" s="143" t="str">
        <f t="shared" si="13"/>
        <v/>
      </c>
      <c r="J169" s="142" t="e">
        <f t="shared" si="14"/>
        <v>#NUM!</v>
      </c>
      <c r="K169" s="142" t="e">
        <f t="shared" si="11"/>
        <v>#NUM!</v>
      </c>
      <c r="L169" s="142"/>
      <c r="M169" s="144">
        <f t="shared" si="12"/>
        <v>0</v>
      </c>
    </row>
    <row r="170" spans="1:13" x14ac:dyDescent="0.25">
      <c r="A170" s="158"/>
      <c r="G170" s="128"/>
      <c r="H170" s="142">
        <v>165</v>
      </c>
      <c r="I170" s="143" t="str">
        <f t="shared" si="13"/>
        <v/>
      </c>
      <c r="J170" s="142" t="e">
        <f t="shared" si="14"/>
        <v>#NUM!</v>
      </c>
      <c r="K170" s="142" t="e">
        <f t="shared" si="11"/>
        <v>#NUM!</v>
      </c>
      <c r="L170" s="142"/>
      <c r="M170" s="144">
        <f t="shared" si="12"/>
        <v>0</v>
      </c>
    </row>
    <row r="171" spans="1:13" x14ac:dyDescent="0.25">
      <c r="A171" s="158"/>
      <c r="G171" s="128"/>
      <c r="H171" s="142">
        <v>166</v>
      </c>
      <c r="I171" s="143" t="str">
        <f t="shared" si="13"/>
        <v/>
      </c>
      <c r="J171" s="142" t="e">
        <f t="shared" si="14"/>
        <v>#NUM!</v>
      </c>
      <c r="K171" s="142" t="e">
        <f t="shared" si="11"/>
        <v>#NUM!</v>
      </c>
      <c r="L171" s="142"/>
      <c r="M171" s="144">
        <f t="shared" si="12"/>
        <v>0</v>
      </c>
    </row>
    <row r="172" spans="1:13" x14ac:dyDescent="0.25">
      <c r="A172" s="158"/>
      <c r="G172" s="128"/>
      <c r="H172" s="142">
        <v>167</v>
      </c>
      <c r="I172" s="143" t="str">
        <f t="shared" si="13"/>
        <v/>
      </c>
      <c r="J172" s="142" t="e">
        <f t="shared" si="14"/>
        <v>#NUM!</v>
      </c>
      <c r="K172" s="142" t="e">
        <f t="shared" si="11"/>
        <v>#NUM!</v>
      </c>
      <c r="L172" s="142"/>
      <c r="M172" s="144">
        <f t="shared" si="12"/>
        <v>0</v>
      </c>
    </row>
    <row r="173" spans="1:13" x14ac:dyDescent="0.25">
      <c r="A173" s="158"/>
      <c r="G173" s="128"/>
      <c r="H173" s="142">
        <v>168</v>
      </c>
      <c r="I173" s="143" t="str">
        <f t="shared" si="13"/>
        <v/>
      </c>
      <c r="J173" s="142" t="e">
        <f t="shared" si="14"/>
        <v>#NUM!</v>
      </c>
      <c r="K173" s="142" t="e">
        <f t="shared" si="11"/>
        <v>#NUM!</v>
      </c>
      <c r="L173" s="142"/>
      <c r="M173" s="144">
        <f t="shared" si="12"/>
        <v>0</v>
      </c>
    </row>
    <row r="174" spans="1:13" x14ac:dyDescent="0.25">
      <c r="A174" s="158"/>
      <c r="G174" s="128"/>
      <c r="H174" s="142">
        <v>169</v>
      </c>
      <c r="I174" s="143" t="str">
        <f t="shared" si="13"/>
        <v/>
      </c>
      <c r="J174" s="142" t="e">
        <f t="shared" si="14"/>
        <v>#NUM!</v>
      </c>
      <c r="K174" s="142" t="e">
        <f t="shared" si="11"/>
        <v>#NUM!</v>
      </c>
      <c r="L174" s="142"/>
      <c r="M174" s="144">
        <f t="shared" si="12"/>
        <v>0</v>
      </c>
    </row>
    <row r="175" spans="1:13" x14ac:dyDescent="0.25">
      <c r="A175" s="158"/>
      <c r="G175" s="128"/>
      <c r="H175" s="142">
        <v>170</v>
      </c>
      <c r="I175" s="143" t="str">
        <f t="shared" si="13"/>
        <v/>
      </c>
      <c r="J175" s="142" t="e">
        <f t="shared" si="14"/>
        <v>#NUM!</v>
      </c>
      <c r="K175" s="142" t="e">
        <f t="shared" si="11"/>
        <v>#NUM!</v>
      </c>
      <c r="L175" s="142"/>
      <c r="M175" s="144">
        <f t="shared" si="12"/>
        <v>0</v>
      </c>
    </row>
    <row r="176" spans="1:13" x14ac:dyDescent="0.25">
      <c r="A176" s="158"/>
      <c r="G176" s="128"/>
      <c r="H176" s="142">
        <v>171</v>
      </c>
      <c r="I176" s="143" t="str">
        <f t="shared" si="13"/>
        <v/>
      </c>
      <c r="J176" s="142" t="e">
        <f t="shared" si="14"/>
        <v>#NUM!</v>
      </c>
      <c r="K176" s="142" t="e">
        <f t="shared" si="11"/>
        <v>#NUM!</v>
      </c>
      <c r="L176" s="142"/>
      <c r="M176" s="144">
        <f t="shared" si="12"/>
        <v>0</v>
      </c>
    </row>
    <row r="177" spans="1:13" x14ac:dyDescent="0.25">
      <c r="A177" s="158"/>
      <c r="G177" s="128"/>
      <c r="H177" s="142">
        <v>172</v>
      </c>
      <c r="I177" s="143" t="str">
        <f t="shared" si="13"/>
        <v/>
      </c>
      <c r="J177" s="142" t="e">
        <f t="shared" si="14"/>
        <v>#NUM!</v>
      </c>
      <c r="K177" s="142" t="e">
        <f t="shared" si="11"/>
        <v>#NUM!</v>
      </c>
      <c r="L177" s="142"/>
      <c r="M177" s="144">
        <f t="shared" si="12"/>
        <v>0</v>
      </c>
    </row>
    <row r="178" spans="1:13" x14ac:dyDescent="0.25">
      <c r="A178" s="158"/>
      <c r="G178" s="128"/>
      <c r="H178" s="142">
        <v>173</v>
      </c>
      <c r="I178" s="143" t="str">
        <f t="shared" si="13"/>
        <v/>
      </c>
      <c r="J178" s="142" t="e">
        <f t="shared" si="14"/>
        <v>#NUM!</v>
      </c>
      <c r="K178" s="142" t="e">
        <f t="shared" si="11"/>
        <v>#NUM!</v>
      </c>
      <c r="L178" s="142"/>
      <c r="M178" s="144">
        <f t="shared" si="12"/>
        <v>0</v>
      </c>
    </row>
    <row r="179" spans="1:13" x14ac:dyDescent="0.25">
      <c r="A179" s="158"/>
      <c r="G179" s="128"/>
      <c r="H179" s="142">
        <v>174</v>
      </c>
      <c r="I179" s="143" t="str">
        <f t="shared" si="13"/>
        <v/>
      </c>
      <c r="J179" s="142" t="e">
        <f t="shared" si="14"/>
        <v>#NUM!</v>
      </c>
      <c r="K179" s="142" t="e">
        <f t="shared" si="11"/>
        <v>#NUM!</v>
      </c>
      <c r="L179" s="142"/>
      <c r="M179" s="144">
        <f t="shared" si="12"/>
        <v>0</v>
      </c>
    </row>
    <row r="180" spans="1:13" x14ac:dyDescent="0.25">
      <c r="A180" s="158"/>
      <c r="G180" s="128"/>
      <c r="H180" s="142">
        <v>175</v>
      </c>
      <c r="I180" s="143" t="str">
        <f t="shared" si="13"/>
        <v/>
      </c>
      <c r="J180" s="142" t="e">
        <f t="shared" si="14"/>
        <v>#NUM!</v>
      </c>
      <c r="K180" s="142" t="e">
        <f t="shared" si="11"/>
        <v>#NUM!</v>
      </c>
      <c r="L180" s="142"/>
      <c r="M180" s="144">
        <f t="shared" si="12"/>
        <v>0</v>
      </c>
    </row>
    <row r="181" spans="1:13" x14ac:dyDescent="0.25">
      <c r="A181" s="158"/>
      <c r="G181" s="128"/>
      <c r="H181" s="142">
        <v>176</v>
      </c>
      <c r="I181" s="143" t="str">
        <f t="shared" si="13"/>
        <v/>
      </c>
      <c r="J181" s="142" t="e">
        <f t="shared" si="14"/>
        <v>#NUM!</v>
      </c>
      <c r="K181" s="142" t="e">
        <f t="shared" si="11"/>
        <v>#NUM!</v>
      </c>
      <c r="L181" s="142"/>
      <c r="M181" s="144">
        <f t="shared" si="12"/>
        <v>0</v>
      </c>
    </row>
    <row r="182" spans="1:13" x14ac:dyDescent="0.25">
      <c r="A182" s="158"/>
      <c r="G182" s="128"/>
      <c r="H182" s="142">
        <v>177</v>
      </c>
      <c r="I182" s="143" t="str">
        <f t="shared" si="13"/>
        <v/>
      </c>
      <c r="J182" s="142" t="e">
        <f t="shared" si="14"/>
        <v>#NUM!</v>
      </c>
      <c r="K182" s="142" t="e">
        <f t="shared" si="11"/>
        <v>#NUM!</v>
      </c>
      <c r="L182" s="142"/>
      <c r="M182" s="144">
        <f t="shared" si="12"/>
        <v>0</v>
      </c>
    </row>
    <row r="183" spans="1:13" x14ac:dyDescent="0.25">
      <c r="A183" s="158"/>
      <c r="G183" s="128"/>
      <c r="H183" s="142">
        <v>178</v>
      </c>
      <c r="I183" s="143" t="str">
        <f t="shared" si="13"/>
        <v/>
      </c>
      <c r="J183" s="142" t="e">
        <f t="shared" si="14"/>
        <v>#NUM!</v>
      </c>
      <c r="K183" s="142" t="e">
        <f t="shared" si="11"/>
        <v>#NUM!</v>
      </c>
      <c r="L183" s="142"/>
      <c r="M183" s="144">
        <f t="shared" si="12"/>
        <v>0</v>
      </c>
    </row>
    <row r="184" spans="1:13" x14ac:dyDescent="0.25">
      <c r="A184" s="158"/>
      <c r="G184" s="128"/>
      <c r="H184" s="142">
        <v>179</v>
      </c>
      <c r="I184" s="143" t="str">
        <f t="shared" si="13"/>
        <v/>
      </c>
      <c r="J184" s="142" t="e">
        <f t="shared" si="14"/>
        <v>#NUM!</v>
      </c>
      <c r="K184" s="142" t="e">
        <f t="shared" si="11"/>
        <v>#NUM!</v>
      </c>
      <c r="L184" s="142"/>
      <c r="M184" s="144">
        <f t="shared" si="12"/>
        <v>0</v>
      </c>
    </row>
    <row r="185" spans="1:13" x14ac:dyDescent="0.25">
      <c r="A185" s="158"/>
      <c r="G185" s="128"/>
      <c r="H185" s="142">
        <v>180</v>
      </c>
      <c r="I185" s="143" t="str">
        <f t="shared" si="13"/>
        <v/>
      </c>
      <c r="J185" s="142" t="e">
        <f t="shared" si="14"/>
        <v>#NUM!</v>
      </c>
      <c r="K185" s="142" t="e">
        <f t="shared" si="11"/>
        <v>#NUM!</v>
      </c>
      <c r="L185" s="142"/>
      <c r="M185" s="144">
        <f t="shared" si="12"/>
        <v>0</v>
      </c>
    </row>
    <row r="186" spans="1:13" x14ac:dyDescent="0.25">
      <c r="A186" s="158"/>
      <c r="G186" s="128"/>
      <c r="H186" s="142">
        <v>181</v>
      </c>
      <c r="I186" s="143" t="str">
        <f t="shared" si="13"/>
        <v/>
      </c>
      <c r="J186" s="142" t="e">
        <f t="shared" si="14"/>
        <v>#NUM!</v>
      </c>
      <c r="K186" s="142" t="e">
        <f t="shared" si="11"/>
        <v>#NUM!</v>
      </c>
      <c r="L186" s="142"/>
      <c r="M186" s="144">
        <f t="shared" si="12"/>
        <v>0</v>
      </c>
    </row>
    <row r="187" spans="1:13" x14ac:dyDescent="0.25">
      <c r="A187" s="158"/>
      <c r="G187" s="128"/>
      <c r="H187" s="142">
        <v>182</v>
      </c>
      <c r="I187" s="143" t="str">
        <f t="shared" si="13"/>
        <v/>
      </c>
      <c r="J187" s="142" t="e">
        <f t="shared" si="14"/>
        <v>#NUM!</v>
      </c>
      <c r="K187" s="142" t="e">
        <f t="shared" si="11"/>
        <v>#NUM!</v>
      </c>
      <c r="L187" s="142"/>
      <c r="M187" s="144">
        <f t="shared" si="12"/>
        <v>0</v>
      </c>
    </row>
    <row r="188" spans="1:13" x14ac:dyDescent="0.25">
      <c r="A188" s="158"/>
      <c r="G188" s="128"/>
      <c r="H188" s="142">
        <v>183</v>
      </c>
      <c r="I188" s="143" t="str">
        <f t="shared" si="13"/>
        <v/>
      </c>
      <c r="J188" s="142" t="e">
        <f t="shared" si="14"/>
        <v>#NUM!</v>
      </c>
      <c r="K188" s="142" t="e">
        <f t="shared" si="11"/>
        <v>#NUM!</v>
      </c>
      <c r="L188" s="142"/>
      <c r="M188" s="144">
        <f t="shared" si="12"/>
        <v>0</v>
      </c>
    </row>
    <row r="189" spans="1:13" x14ac:dyDescent="0.25">
      <c r="A189" s="158"/>
      <c r="G189" s="128"/>
      <c r="H189" s="142">
        <v>184</v>
      </c>
      <c r="I189" s="143" t="str">
        <f t="shared" si="13"/>
        <v/>
      </c>
      <c r="J189" s="142" t="e">
        <f t="shared" si="14"/>
        <v>#NUM!</v>
      </c>
      <c r="K189" s="142" t="e">
        <f t="shared" si="11"/>
        <v>#NUM!</v>
      </c>
      <c r="L189" s="142"/>
      <c r="M189" s="144">
        <f t="shared" si="12"/>
        <v>0</v>
      </c>
    </row>
    <row r="190" spans="1:13" x14ac:dyDescent="0.25">
      <c r="A190" s="158"/>
      <c r="G190" s="128"/>
      <c r="H190" s="142">
        <v>185</v>
      </c>
      <c r="I190" s="143" t="str">
        <f t="shared" si="13"/>
        <v/>
      </c>
      <c r="J190" s="142" t="e">
        <f t="shared" si="14"/>
        <v>#NUM!</v>
      </c>
      <c r="K190" s="142" t="e">
        <f t="shared" si="11"/>
        <v>#NUM!</v>
      </c>
      <c r="L190" s="142"/>
      <c r="M190" s="144">
        <f t="shared" si="12"/>
        <v>0</v>
      </c>
    </row>
    <row r="191" spans="1:13" x14ac:dyDescent="0.25">
      <c r="A191" s="158"/>
      <c r="G191" s="128"/>
      <c r="H191" s="142">
        <v>186</v>
      </c>
      <c r="I191" s="143" t="str">
        <f t="shared" si="13"/>
        <v/>
      </c>
      <c r="J191" s="142" t="e">
        <f t="shared" si="14"/>
        <v>#NUM!</v>
      </c>
      <c r="K191" s="142" t="e">
        <f t="shared" si="11"/>
        <v>#NUM!</v>
      </c>
      <c r="L191" s="142"/>
      <c r="M191" s="144">
        <f t="shared" si="12"/>
        <v>0</v>
      </c>
    </row>
    <row r="192" spans="1:13" x14ac:dyDescent="0.25">
      <c r="A192" s="158"/>
      <c r="G192" s="128"/>
      <c r="H192" s="142">
        <v>187</v>
      </c>
      <c r="I192" s="143" t="str">
        <f t="shared" si="13"/>
        <v/>
      </c>
      <c r="J192" s="142" t="e">
        <f t="shared" si="14"/>
        <v>#NUM!</v>
      </c>
      <c r="K192" s="142" t="e">
        <f t="shared" si="11"/>
        <v>#NUM!</v>
      </c>
      <c r="L192" s="142"/>
      <c r="M192" s="144">
        <f t="shared" si="12"/>
        <v>0</v>
      </c>
    </row>
    <row r="193" spans="1:13" x14ac:dyDescent="0.25">
      <c r="A193" s="158"/>
      <c r="G193" s="128"/>
      <c r="H193" s="142">
        <v>188</v>
      </c>
      <c r="I193" s="143" t="str">
        <f t="shared" si="13"/>
        <v/>
      </c>
      <c r="J193" s="142" t="e">
        <f t="shared" si="14"/>
        <v>#NUM!</v>
      </c>
      <c r="K193" s="142" t="e">
        <f t="shared" si="11"/>
        <v>#NUM!</v>
      </c>
      <c r="L193" s="142"/>
      <c r="M193" s="144">
        <f t="shared" si="12"/>
        <v>0</v>
      </c>
    </row>
    <row r="194" spans="1:13" x14ac:dyDescent="0.25">
      <c r="A194" s="158"/>
      <c r="G194" s="128"/>
      <c r="H194" s="142">
        <v>189</v>
      </c>
      <c r="I194" s="143" t="str">
        <f t="shared" si="13"/>
        <v/>
      </c>
      <c r="J194" s="142" t="e">
        <f t="shared" si="14"/>
        <v>#NUM!</v>
      </c>
      <c r="K194" s="142" t="e">
        <f t="shared" si="11"/>
        <v>#NUM!</v>
      </c>
      <c r="L194" s="142"/>
      <c r="M194" s="144">
        <f t="shared" si="12"/>
        <v>0</v>
      </c>
    </row>
    <row r="195" spans="1:13" x14ac:dyDescent="0.25">
      <c r="A195" s="158"/>
      <c r="G195" s="128"/>
      <c r="H195" s="142">
        <v>190</v>
      </c>
      <c r="I195" s="143" t="str">
        <f t="shared" si="13"/>
        <v/>
      </c>
      <c r="J195" s="142" t="e">
        <f t="shared" si="14"/>
        <v>#NUM!</v>
      </c>
      <c r="K195" s="142" t="e">
        <f t="shared" si="11"/>
        <v>#NUM!</v>
      </c>
      <c r="L195" s="142"/>
      <c r="M195" s="144">
        <f t="shared" si="12"/>
        <v>0</v>
      </c>
    </row>
    <row r="196" spans="1:13" x14ac:dyDescent="0.25">
      <c r="A196" s="158"/>
      <c r="G196" s="128"/>
      <c r="H196" s="142">
        <v>191</v>
      </c>
      <c r="I196" s="143" t="str">
        <f t="shared" si="13"/>
        <v/>
      </c>
      <c r="J196" s="142" t="e">
        <f t="shared" si="14"/>
        <v>#NUM!</v>
      </c>
      <c r="K196" s="142" t="e">
        <f t="shared" si="11"/>
        <v>#NUM!</v>
      </c>
      <c r="L196" s="142"/>
      <c r="M196" s="144">
        <f t="shared" si="12"/>
        <v>0</v>
      </c>
    </row>
    <row r="197" spans="1:13" x14ac:dyDescent="0.25">
      <c r="A197" s="158"/>
      <c r="G197" s="128"/>
      <c r="H197" s="142">
        <v>192</v>
      </c>
      <c r="I197" s="143" t="str">
        <f t="shared" si="13"/>
        <v/>
      </c>
      <c r="J197" s="142" t="e">
        <f t="shared" si="14"/>
        <v>#NUM!</v>
      </c>
      <c r="K197" s="142" t="e">
        <f t="shared" si="11"/>
        <v>#NUM!</v>
      </c>
      <c r="L197" s="142"/>
      <c r="M197" s="144">
        <f t="shared" si="12"/>
        <v>0</v>
      </c>
    </row>
    <row r="198" spans="1:13" x14ac:dyDescent="0.25">
      <c r="A198" s="158"/>
      <c r="G198" s="128"/>
      <c r="H198" s="142">
        <v>193</v>
      </c>
      <c r="I198" s="143" t="str">
        <f t="shared" si="13"/>
        <v/>
      </c>
      <c r="J198" s="142" t="e">
        <f t="shared" si="14"/>
        <v>#NUM!</v>
      </c>
      <c r="K198" s="142" t="e">
        <f t="shared" ref="K198:K261" si="15">J198*$J$2</f>
        <v>#NUM!</v>
      </c>
      <c r="L198" s="142"/>
      <c r="M198" s="144">
        <f t="shared" ref="M198:M261" si="16">IF(I198&lt;&gt;"",K198+I198+L198,0)</f>
        <v>0</v>
      </c>
    </row>
    <row r="199" spans="1:13" x14ac:dyDescent="0.25">
      <c r="A199" s="158"/>
      <c r="G199" s="128"/>
      <c r="H199" s="142">
        <v>194</v>
      </c>
      <c r="I199" s="143" t="str">
        <f t="shared" ref="I199:I262" si="17">IF(H199&lt;$H$2+1,($I$2-($I$2-1)*(LOG(H199)/LOG($H$2))),"")</f>
        <v/>
      </c>
      <c r="J199" s="142" t="e">
        <f t="shared" ref="J199:J262" si="18">INT(LOG($H$2,2))-ROUNDUP(LOG(H199,2),0)+IF(OR($H$2=1,$H$2=2,$H$2=4,$H$2=8,$H$2=16,$H$2=32,$H$2=64,$H$2=128,$H$2=256),0,1)</f>
        <v>#NUM!</v>
      </c>
      <c r="K199" s="142" t="e">
        <f t="shared" si="15"/>
        <v>#NUM!</v>
      </c>
      <c r="L199" s="142"/>
      <c r="M199" s="144">
        <f t="shared" si="16"/>
        <v>0</v>
      </c>
    </row>
    <row r="200" spans="1:13" x14ac:dyDescent="0.25">
      <c r="A200" s="158"/>
      <c r="G200" s="128"/>
      <c r="H200" s="142">
        <v>195</v>
      </c>
      <c r="I200" s="143" t="str">
        <f t="shared" si="17"/>
        <v/>
      </c>
      <c r="J200" s="142" t="e">
        <f t="shared" si="18"/>
        <v>#NUM!</v>
      </c>
      <c r="K200" s="142" t="e">
        <f t="shared" si="15"/>
        <v>#NUM!</v>
      </c>
      <c r="L200" s="142"/>
      <c r="M200" s="144">
        <f t="shared" si="16"/>
        <v>0</v>
      </c>
    </row>
    <row r="201" spans="1:13" x14ac:dyDescent="0.25">
      <c r="A201" s="158"/>
      <c r="G201" s="128"/>
      <c r="H201" s="142">
        <v>196</v>
      </c>
      <c r="I201" s="143" t="str">
        <f t="shared" si="17"/>
        <v/>
      </c>
      <c r="J201" s="142" t="e">
        <f t="shared" si="18"/>
        <v>#NUM!</v>
      </c>
      <c r="K201" s="142" t="e">
        <f t="shared" si="15"/>
        <v>#NUM!</v>
      </c>
      <c r="L201" s="142"/>
      <c r="M201" s="144">
        <f t="shared" si="16"/>
        <v>0</v>
      </c>
    </row>
    <row r="202" spans="1:13" x14ac:dyDescent="0.25">
      <c r="A202" s="158"/>
      <c r="G202" s="128"/>
      <c r="H202" s="142">
        <v>197</v>
      </c>
      <c r="I202" s="143" t="str">
        <f t="shared" si="17"/>
        <v/>
      </c>
      <c r="J202" s="142" t="e">
        <f t="shared" si="18"/>
        <v>#NUM!</v>
      </c>
      <c r="K202" s="142" t="e">
        <f t="shared" si="15"/>
        <v>#NUM!</v>
      </c>
      <c r="L202" s="142"/>
      <c r="M202" s="144">
        <f t="shared" si="16"/>
        <v>0</v>
      </c>
    </row>
    <row r="203" spans="1:13" x14ac:dyDescent="0.25">
      <c r="A203" s="158"/>
      <c r="G203" s="128"/>
      <c r="H203" s="142">
        <v>198</v>
      </c>
      <c r="I203" s="143" t="str">
        <f t="shared" si="17"/>
        <v/>
      </c>
      <c r="J203" s="142" t="e">
        <f t="shared" si="18"/>
        <v>#NUM!</v>
      </c>
      <c r="K203" s="142" t="e">
        <f t="shared" si="15"/>
        <v>#NUM!</v>
      </c>
      <c r="L203" s="142"/>
      <c r="M203" s="144">
        <f t="shared" si="16"/>
        <v>0</v>
      </c>
    </row>
    <row r="204" spans="1:13" x14ac:dyDescent="0.25">
      <c r="A204" s="158"/>
      <c r="G204" s="128"/>
      <c r="H204" s="142">
        <v>199</v>
      </c>
      <c r="I204" s="143" t="str">
        <f t="shared" si="17"/>
        <v/>
      </c>
      <c r="J204" s="142" t="e">
        <f t="shared" si="18"/>
        <v>#NUM!</v>
      </c>
      <c r="K204" s="142" t="e">
        <f t="shared" si="15"/>
        <v>#NUM!</v>
      </c>
      <c r="L204" s="142"/>
      <c r="M204" s="144">
        <f t="shared" si="16"/>
        <v>0</v>
      </c>
    </row>
    <row r="205" spans="1:13" x14ac:dyDescent="0.25">
      <c r="A205" s="158"/>
      <c r="G205" s="128"/>
      <c r="H205" s="142">
        <v>200</v>
      </c>
      <c r="I205" s="143" t="str">
        <f t="shared" si="17"/>
        <v/>
      </c>
      <c r="J205" s="142" t="e">
        <f t="shared" si="18"/>
        <v>#NUM!</v>
      </c>
      <c r="K205" s="142" t="e">
        <f t="shared" si="15"/>
        <v>#NUM!</v>
      </c>
      <c r="L205" s="142"/>
      <c r="M205" s="144">
        <f t="shared" si="16"/>
        <v>0</v>
      </c>
    </row>
    <row r="206" spans="1:13" x14ac:dyDescent="0.25">
      <c r="A206" s="158"/>
      <c r="G206" s="128"/>
      <c r="H206" s="142">
        <v>201</v>
      </c>
      <c r="I206" s="143" t="str">
        <f t="shared" si="17"/>
        <v/>
      </c>
      <c r="J206" s="142" t="e">
        <f t="shared" si="18"/>
        <v>#NUM!</v>
      </c>
      <c r="K206" s="142" t="e">
        <f t="shared" si="15"/>
        <v>#NUM!</v>
      </c>
      <c r="L206" s="142"/>
      <c r="M206" s="144">
        <f t="shared" si="16"/>
        <v>0</v>
      </c>
    </row>
    <row r="207" spans="1:13" x14ac:dyDescent="0.25">
      <c r="A207" s="158"/>
      <c r="G207" s="128"/>
      <c r="H207" s="142">
        <v>202</v>
      </c>
      <c r="I207" s="143" t="str">
        <f t="shared" si="17"/>
        <v/>
      </c>
      <c r="J207" s="142" t="e">
        <f t="shared" si="18"/>
        <v>#NUM!</v>
      </c>
      <c r="K207" s="142" t="e">
        <f t="shared" si="15"/>
        <v>#NUM!</v>
      </c>
      <c r="L207" s="142"/>
      <c r="M207" s="144">
        <f t="shared" si="16"/>
        <v>0</v>
      </c>
    </row>
    <row r="208" spans="1:13" x14ac:dyDescent="0.25">
      <c r="A208" s="158"/>
      <c r="G208" s="128"/>
      <c r="H208" s="142">
        <v>203</v>
      </c>
      <c r="I208" s="143" t="str">
        <f t="shared" si="17"/>
        <v/>
      </c>
      <c r="J208" s="142" t="e">
        <f t="shared" si="18"/>
        <v>#NUM!</v>
      </c>
      <c r="K208" s="142" t="e">
        <f t="shared" si="15"/>
        <v>#NUM!</v>
      </c>
      <c r="L208" s="142"/>
      <c r="M208" s="144">
        <f t="shared" si="16"/>
        <v>0</v>
      </c>
    </row>
    <row r="209" spans="1:13" x14ac:dyDescent="0.25">
      <c r="A209" s="158"/>
      <c r="G209" s="128"/>
      <c r="H209" s="142">
        <v>204</v>
      </c>
      <c r="I209" s="143" t="str">
        <f t="shared" si="17"/>
        <v/>
      </c>
      <c r="J209" s="142" t="e">
        <f t="shared" si="18"/>
        <v>#NUM!</v>
      </c>
      <c r="K209" s="142" t="e">
        <f t="shared" si="15"/>
        <v>#NUM!</v>
      </c>
      <c r="L209" s="142"/>
      <c r="M209" s="144">
        <f t="shared" si="16"/>
        <v>0</v>
      </c>
    </row>
    <row r="210" spans="1:13" x14ac:dyDescent="0.25">
      <c r="A210" s="158"/>
      <c r="G210" s="128"/>
      <c r="H210" s="142">
        <v>205</v>
      </c>
      <c r="I210" s="143" t="str">
        <f t="shared" si="17"/>
        <v/>
      </c>
      <c r="J210" s="142" t="e">
        <f t="shared" si="18"/>
        <v>#NUM!</v>
      </c>
      <c r="K210" s="142" t="e">
        <f t="shared" si="15"/>
        <v>#NUM!</v>
      </c>
      <c r="L210" s="142"/>
      <c r="M210" s="144">
        <f t="shared" si="16"/>
        <v>0</v>
      </c>
    </row>
    <row r="211" spans="1:13" x14ac:dyDescent="0.25">
      <c r="A211" s="158"/>
      <c r="G211" s="128"/>
      <c r="H211" s="142">
        <v>206</v>
      </c>
      <c r="I211" s="143" t="str">
        <f t="shared" si="17"/>
        <v/>
      </c>
      <c r="J211" s="142" t="e">
        <f t="shared" si="18"/>
        <v>#NUM!</v>
      </c>
      <c r="K211" s="142" t="e">
        <f t="shared" si="15"/>
        <v>#NUM!</v>
      </c>
      <c r="L211" s="142"/>
      <c r="M211" s="144">
        <f t="shared" si="16"/>
        <v>0</v>
      </c>
    </row>
    <row r="212" spans="1:13" x14ac:dyDescent="0.25">
      <c r="A212" s="158"/>
      <c r="G212" s="128"/>
      <c r="H212" s="142">
        <v>207</v>
      </c>
      <c r="I212" s="143" t="str">
        <f t="shared" si="17"/>
        <v/>
      </c>
      <c r="J212" s="142" t="e">
        <f t="shared" si="18"/>
        <v>#NUM!</v>
      </c>
      <c r="K212" s="142" t="e">
        <f t="shared" si="15"/>
        <v>#NUM!</v>
      </c>
      <c r="L212" s="142"/>
      <c r="M212" s="144">
        <f t="shared" si="16"/>
        <v>0</v>
      </c>
    </row>
    <row r="213" spans="1:13" x14ac:dyDescent="0.25">
      <c r="A213" s="158"/>
      <c r="G213" s="128"/>
      <c r="H213" s="142">
        <v>208</v>
      </c>
      <c r="I213" s="143" t="str">
        <f t="shared" si="17"/>
        <v/>
      </c>
      <c r="J213" s="142" t="e">
        <f t="shared" si="18"/>
        <v>#NUM!</v>
      </c>
      <c r="K213" s="142" t="e">
        <f t="shared" si="15"/>
        <v>#NUM!</v>
      </c>
      <c r="L213" s="142"/>
      <c r="M213" s="144">
        <f t="shared" si="16"/>
        <v>0</v>
      </c>
    </row>
    <row r="214" spans="1:13" x14ac:dyDescent="0.25">
      <c r="A214" s="158"/>
      <c r="G214" s="128"/>
      <c r="H214" s="142">
        <v>209</v>
      </c>
      <c r="I214" s="143" t="str">
        <f t="shared" si="17"/>
        <v/>
      </c>
      <c r="J214" s="142" t="e">
        <f t="shared" si="18"/>
        <v>#NUM!</v>
      </c>
      <c r="K214" s="142" t="e">
        <f t="shared" si="15"/>
        <v>#NUM!</v>
      </c>
      <c r="L214" s="142"/>
      <c r="M214" s="144">
        <f t="shared" si="16"/>
        <v>0</v>
      </c>
    </row>
    <row r="215" spans="1:13" x14ac:dyDescent="0.25">
      <c r="A215" s="158"/>
      <c r="G215" s="128"/>
      <c r="H215" s="142">
        <v>210</v>
      </c>
      <c r="I215" s="143" t="str">
        <f t="shared" si="17"/>
        <v/>
      </c>
      <c r="J215" s="142" t="e">
        <f t="shared" si="18"/>
        <v>#NUM!</v>
      </c>
      <c r="K215" s="142" t="e">
        <f t="shared" si="15"/>
        <v>#NUM!</v>
      </c>
      <c r="L215" s="142"/>
      <c r="M215" s="144">
        <f t="shared" si="16"/>
        <v>0</v>
      </c>
    </row>
    <row r="216" spans="1:13" x14ac:dyDescent="0.25">
      <c r="A216" s="158"/>
      <c r="G216" s="128"/>
      <c r="H216" s="142">
        <v>211</v>
      </c>
      <c r="I216" s="143" t="str">
        <f t="shared" si="17"/>
        <v/>
      </c>
      <c r="J216" s="142" t="e">
        <f t="shared" si="18"/>
        <v>#NUM!</v>
      </c>
      <c r="K216" s="142" t="e">
        <f t="shared" si="15"/>
        <v>#NUM!</v>
      </c>
      <c r="L216" s="142"/>
      <c r="M216" s="144">
        <f t="shared" si="16"/>
        <v>0</v>
      </c>
    </row>
    <row r="217" spans="1:13" x14ac:dyDescent="0.25">
      <c r="A217" s="158"/>
      <c r="G217" s="128"/>
      <c r="H217" s="142">
        <v>212</v>
      </c>
      <c r="I217" s="143" t="str">
        <f t="shared" si="17"/>
        <v/>
      </c>
      <c r="J217" s="142" t="e">
        <f t="shared" si="18"/>
        <v>#NUM!</v>
      </c>
      <c r="K217" s="142" t="e">
        <f t="shared" si="15"/>
        <v>#NUM!</v>
      </c>
      <c r="L217" s="142"/>
      <c r="M217" s="144">
        <f t="shared" si="16"/>
        <v>0</v>
      </c>
    </row>
    <row r="218" spans="1:13" x14ac:dyDescent="0.25">
      <c r="A218" s="158"/>
      <c r="G218" s="128"/>
      <c r="H218" s="142">
        <v>213</v>
      </c>
      <c r="I218" s="143" t="str">
        <f t="shared" si="17"/>
        <v/>
      </c>
      <c r="J218" s="142" t="e">
        <f t="shared" si="18"/>
        <v>#NUM!</v>
      </c>
      <c r="K218" s="142" t="e">
        <f t="shared" si="15"/>
        <v>#NUM!</v>
      </c>
      <c r="L218" s="142"/>
      <c r="M218" s="144">
        <f t="shared" si="16"/>
        <v>0</v>
      </c>
    </row>
    <row r="219" spans="1:13" x14ac:dyDescent="0.25">
      <c r="A219" s="158"/>
      <c r="G219" s="128"/>
      <c r="H219" s="142">
        <v>214</v>
      </c>
      <c r="I219" s="143" t="str">
        <f t="shared" si="17"/>
        <v/>
      </c>
      <c r="J219" s="142" t="e">
        <f t="shared" si="18"/>
        <v>#NUM!</v>
      </c>
      <c r="K219" s="142" t="e">
        <f t="shared" si="15"/>
        <v>#NUM!</v>
      </c>
      <c r="L219" s="142"/>
      <c r="M219" s="144">
        <f t="shared" si="16"/>
        <v>0</v>
      </c>
    </row>
    <row r="220" spans="1:13" x14ac:dyDescent="0.25">
      <c r="A220" s="158"/>
      <c r="G220" s="128"/>
      <c r="H220" s="142">
        <v>215</v>
      </c>
      <c r="I220" s="143" t="str">
        <f t="shared" si="17"/>
        <v/>
      </c>
      <c r="J220" s="142" t="e">
        <f t="shared" si="18"/>
        <v>#NUM!</v>
      </c>
      <c r="K220" s="142" t="e">
        <f t="shared" si="15"/>
        <v>#NUM!</v>
      </c>
      <c r="L220" s="142"/>
      <c r="M220" s="144">
        <f t="shared" si="16"/>
        <v>0</v>
      </c>
    </row>
    <row r="221" spans="1:13" x14ac:dyDescent="0.25">
      <c r="A221" s="158"/>
      <c r="G221" s="128"/>
      <c r="H221" s="142">
        <v>216</v>
      </c>
      <c r="I221" s="143" t="str">
        <f t="shared" si="17"/>
        <v/>
      </c>
      <c r="J221" s="142" t="e">
        <f t="shared" si="18"/>
        <v>#NUM!</v>
      </c>
      <c r="K221" s="142" t="e">
        <f t="shared" si="15"/>
        <v>#NUM!</v>
      </c>
      <c r="L221" s="142"/>
      <c r="M221" s="144">
        <f t="shared" si="16"/>
        <v>0</v>
      </c>
    </row>
    <row r="222" spans="1:13" x14ac:dyDescent="0.25">
      <c r="A222" s="158"/>
      <c r="G222" s="128"/>
      <c r="H222" s="142">
        <v>217</v>
      </c>
      <c r="I222" s="143" t="str">
        <f t="shared" si="17"/>
        <v/>
      </c>
      <c r="J222" s="142" t="e">
        <f t="shared" si="18"/>
        <v>#NUM!</v>
      </c>
      <c r="K222" s="142" t="e">
        <f t="shared" si="15"/>
        <v>#NUM!</v>
      </c>
      <c r="L222" s="142"/>
      <c r="M222" s="144">
        <f t="shared" si="16"/>
        <v>0</v>
      </c>
    </row>
    <row r="223" spans="1:13" x14ac:dyDescent="0.25">
      <c r="A223" s="158"/>
      <c r="G223" s="128"/>
      <c r="H223" s="142">
        <v>218</v>
      </c>
      <c r="I223" s="143" t="str">
        <f t="shared" si="17"/>
        <v/>
      </c>
      <c r="J223" s="142" t="e">
        <f t="shared" si="18"/>
        <v>#NUM!</v>
      </c>
      <c r="K223" s="142" t="e">
        <f t="shared" si="15"/>
        <v>#NUM!</v>
      </c>
      <c r="L223" s="142"/>
      <c r="M223" s="144">
        <f t="shared" si="16"/>
        <v>0</v>
      </c>
    </row>
    <row r="224" spans="1:13" x14ac:dyDescent="0.25">
      <c r="A224" s="158"/>
      <c r="G224" s="128"/>
      <c r="H224" s="142">
        <v>219</v>
      </c>
      <c r="I224" s="143" t="str">
        <f t="shared" si="17"/>
        <v/>
      </c>
      <c r="J224" s="142" t="e">
        <f t="shared" si="18"/>
        <v>#NUM!</v>
      </c>
      <c r="K224" s="142" t="e">
        <f t="shared" si="15"/>
        <v>#NUM!</v>
      </c>
      <c r="L224" s="142"/>
      <c r="M224" s="144">
        <f t="shared" si="16"/>
        <v>0</v>
      </c>
    </row>
    <row r="225" spans="1:13" x14ac:dyDescent="0.25">
      <c r="A225" s="158"/>
      <c r="G225" s="128"/>
      <c r="H225" s="142">
        <v>220</v>
      </c>
      <c r="I225" s="143" t="str">
        <f t="shared" si="17"/>
        <v/>
      </c>
      <c r="J225" s="142" t="e">
        <f t="shared" si="18"/>
        <v>#NUM!</v>
      </c>
      <c r="K225" s="142" t="e">
        <f t="shared" si="15"/>
        <v>#NUM!</v>
      </c>
      <c r="L225" s="142"/>
      <c r="M225" s="144">
        <f t="shared" si="16"/>
        <v>0</v>
      </c>
    </row>
    <row r="226" spans="1:13" x14ac:dyDescent="0.25">
      <c r="A226" s="158"/>
      <c r="G226" s="128"/>
      <c r="H226" s="142">
        <v>221</v>
      </c>
      <c r="I226" s="143" t="str">
        <f t="shared" si="17"/>
        <v/>
      </c>
      <c r="J226" s="142" t="e">
        <f t="shared" si="18"/>
        <v>#NUM!</v>
      </c>
      <c r="K226" s="142" t="e">
        <f t="shared" si="15"/>
        <v>#NUM!</v>
      </c>
      <c r="L226" s="142"/>
      <c r="M226" s="144">
        <f t="shared" si="16"/>
        <v>0</v>
      </c>
    </row>
    <row r="227" spans="1:13" x14ac:dyDescent="0.25">
      <c r="A227" s="158"/>
      <c r="G227" s="128"/>
      <c r="H227" s="142">
        <v>222</v>
      </c>
      <c r="I227" s="143" t="str">
        <f t="shared" si="17"/>
        <v/>
      </c>
      <c r="J227" s="142" t="e">
        <f t="shared" si="18"/>
        <v>#NUM!</v>
      </c>
      <c r="K227" s="142" t="e">
        <f t="shared" si="15"/>
        <v>#NUM!</v>
      </c>
      <c r="L227" s="142"/>
      <c r="M227" s="144">
        <f t="shared" si="16"/>
        <v>0</v>
      </c>
    </row>
    <row r="228" spans="1:13" x14ac:dyDescent="0.25">
      <c r="A228" s="158"/>
      <c r="G228" s="128"/>
      <c r="H228" s="142">
        <v>223</v>
      </c>
      <c r="I228" s="143" t="str">
        <f t="shared" si="17"/>
        <v/>
      </c>
      <c r="J228" s="142" t="e">
        <f t="shared" si="18"/>
        <v>#NUM!</v>
      </c>
      <c r="K228" s="142" t="e">
        <f t="shared" si="15"/>
        <v>#NUM!</v>
      </c>
      <c r="L228" s="142"/>
      <c r="M228" s="144">
        <f t="shared" si="16"/>
        <v>0</v>
      </c>
    </row>
    <row r="229" spans="1:13" x14ac:dyDescent="0.25">
      <c r="A229" s="158"/>
      <c r="G229" s="128"/>
      <c r="H229" s="142">
        <v>224</v>
      </c>
      <c r="I229" s="143" t="str">
        <f t="shared" si="17"/>
        <v/>
      </c>
      <c r="J229" s="142" t="e">
        <f t="shared" si="18"/>
        <v>#NUM!</v>
      </c>
      <c r="K229" s="142" t="e">
        <f t="shared" si="15"/>
        <v>#NUM!</v>
      </c>
      <c r="L229" s="142"/>
      <c r="M229" s="144">
        <f t="shared" si="16"/>
        <v>0</v>
      </c>
    </row>
    <row r="230" spans="1:13" x14ac:dyDescent="0.25">
      <c r="A230" s="158"/>
      <c r="G230" s="128"/>
      <c r="H230" s="142">
        <v>225</v>
      </c>
      <c r="I230" s="143" t="str">
        <f t="shared" si="17"/>
        <v/>
      </c>
      <c r="J230" s="142" t="e">
        <f t="shared" si="18"/>
        <v>#NUM!</v>
      </c>
      <c r="K230" s="142" t="e">
        <f t="shared" si="15"/>
        <v>#NUM!</v>
      </c>
      <c r="L230" s="142"/>
      <c r="M230" s="144">
        <f t="shared" si="16"/>
        <v>0</v>
      </c>
    </row>
    <row r="231" spans="1:13" x14ac:dyDescent="0.25">
      <c r="A231" s="158"/>
      <c r="G231" s="128"/>
      <c r="H231" s="142">
        <v>226</v>
      </c>
      <c r="I231" s="143" t="str">
        <f t="shared" si="17"/>
        <v/>
      </c>
      <c r="J231" s="142" t="e">
        <f t="shared" si="18"/>
        <v>#NUM!</v>
      </c>
      <c r="K231" s="142" t="e">
        <f t="shared" si="15"/>
        <v>#NUM!</v>
      </c>
      <c r="L231" s="142"/>
      <c r="M231" s="144">
        <f t="shared" si="16"/>
        <v>0</v>
      </c>
    </row>
    <row r="232" spans="1:13" x14ac:dyDescent="0.25">
      <c r="A232" s="158"/>
      <c r="G232" s="128"/>
      <c r="H232" s="142">
        <v>227</v>
      </c>
      <c r="I232" s="143" t="str">
        <f t="shared" si="17"/>
        <v/>
      </c>
      <c r="J232" s="142" t="e">
        <f t="shared" si="18"/>
        <v>#NUM!</v>
      </c>
      <c r="K232" s="142" t="e">
        <f t="shared" si="15"/>
        <v>#NUM!</v>
      </c>
      <c r="L232" s="142"/>
      <c r="M232" s="144">
        <f t="shared" si="16"/>
        <v>0</v>
      </c>
    </row>
    <row r="233" spans="1:13" x14ac:dyDescent="0.25">
      <c r="A233" s="158"/>
      <c r="G233" s="128"/>
      <c r="H233" s="142">
        <v>228</v>
      </c>
      <c r="I233" s="143" t="str">
        <f t="shared" si="17"/>
        <v/>
      </c>
      <c r="J233" s="142" t="e">
        <f t="shared" si="18"/>
        <v>#NUM!</v>
      </c>
      <c r="K233" s="142" t="e">
        <f t="shared" si="15"/>
        <v>#NUM!</v>
      </c>
      <c r="L233" s="142"/>
      <c r="M233" s="144">
        <f t="shared" si="16"/>
        <v>0</v>
      </c>
    </row>
    <row r="234" spans="1:13" x14ac:dyDescent="0.25">
      <c r="A234" s="158"/>
      <c r="G234" s="128"/>
      <c r="H234" s="142">
        <v>229</v>
      </c>
      <c r="I234" s="143" t="str">
        <f t="shared" si="17"/>
        <v/>
      </c>
      <c r="J234" s="142" t="e">
        <f t="shared" si="18"/>
        <v>#NUM!</v>
      </c>
      <c r="K234" s="142" t="e">
        <f t="shared" si="15"/>
        <v>#NUM!</v>
      </c>
      <c r="L234" s="142"/>
      <c r="M234" s="144">
        <f t="shared" si="16"/>
        <v>0</v>
      </c>
    </row>
    <row r="235" spans="1:13" x14ac:dyDescent="0.25">
      <c r="A235" s="158"/>
      <c r="G235" s="128"/>
      <c r="H235" s="142">
        <v>230</v>
      </c>
      <c r="I235" s="143" t="str">
        <f t="shared" si="17"/>
        <v/>
      </c>
      <c r="J235" s="142" t="e">
        <f t="shared" si="18"/>
        <v>#NUM!</v>
      </c>
      <c r="K235" s="142" t="e">
        <f t="shared" si="15"/>
        <v>#NUM!</v>
      </c>
      <c r="L235" s="142"/>
      <c r="M235" s="144">
        <f t="shared" si="16"/>
        <v>0</v>
      </c>
    </row>
    <row r="236" spans="1:13" x14ac:dyDescent="0.25">
      <c r="A236" s="158"/>
      <c r="G236" s="128"/>
      <c r="H236" s="142">
        <v>231</v>
      </c>
      <c r="I236" s="143" t="str">
        <f t="shared" si="17"/>
        <v/>
      </c>
      <c r="J236" s="142" t="e">
        <f t="shared" si="18"/>
        <v>#NUM!</v>
      </c>
      <c r="K236" s="142" t="e">
        <f t="shared" si="15"/>
        <v>#NUM!</v>
      </c>
      <c r="L236" s="142"/>
      <c r="M236" s="144">
        <f t="shared" si="16"/>
        <v>0</v>
      </c>
    </row>
    <row r="237" spans="1:13" x14ac:dyDescent="0.25">
      <c r="A237" s="158"/>
      <c r="G237" s="128"/>
      <c r="H237" s="142">
        <v>232</v>
      </c>
      <c r="I237" s="143" t="str">
        <f t="shared" si="17"/>
        <v/>
      </c>
      <c r="J237" s="142" t="e">
        <f t="shared" si="18"/>
        <v>#NUM!</v>
      </c>
      <c r="K237" s="142" t="e">
        <f t="shared" si="15"/>
        <v>#NUM!</v>
      </c>
      <c r="L237" s="142"/>
      <c r="M237" s="144">
        <f t="shared" si="16"/>
        <v>0</v>
      </c>
    </row>
    <row r="238" spans="1:13" x14ac:dyDescent="0.25">
      <c r="A238" s="158"/>
      <c r="G238" s="128"/>
      <c r="H238" s="142">
        <v>233</v>
      </c>
      <c r="I238" s="143" t="str">
        <f t="shared" si="17"/>
        <v/>
      </c>
      <c r="J238" s="142" t="e">
        <f t="shared" si="18"/>
        <v>#NUM!</v>
      </c>
      <c r="K238" s="142" t="e">
        <f t="shared" si="15"/>
        <v>#NUM!</v>
      </c>
      <c r="L238" s="142"/>
      <c r="M238" s="144">
        <f t="shared" si="16"/>
        <v>0</v>
      </c>
    </row>
    <row r="239" spans="1:13" x14ac:dyDescent="0.25">
      <c r="A239" s="158"/>
      <c r="G239" s="128"/>
      <c r="H239" s="142">
        <v>234</v>
      </c>
      <c r="I239" s="143" t="str">
        <f t="shared" si="17"/>
        <v/>
      </c>
      <c r="J239" s="142" t="e">
        <f t="shared" si="18"/>
        <v>#NUM!</v>
      </c>
      <c r="K239" s="142" t="e">
        <f t="shared" si="15"/>
        <v>#NUM!</v>
      </c>
      <c r="L239" s="142"/>
      <c r="M239" s="144">
        <f t="shared" si="16"/>
        <v>0</v>
      </c>
    </row>
    <row r="240" spans="1:13" x14ac:dyDescent="0.25">
      <c r="A240" s="158"/>
      <c r="G240" s="128"/>
      <c r="H240" s="142">
        <v>235</v>
      </c>
      <c r="I240" s="143" t="str">
        <f t="shared" si="17"/>
        <v/>
      </c>
      <c r="J240" s="142" t="e">
        <f t="shared" si="18"/>
        <v>#NUM!</v>
      </c>
      <c r="K240" s="142" t="e">
        <f t="shared" si="15"/>
        <v>#NUM!</v>
      </c>
      <c r="L240" s="142"/>
      <c r="M240" s="144">
        <f t="shared" si="16"/>
        <v>0</v>
      </c>
    </row>
    <row r="241" spans="1:13" x14ac:dyDescent="0.25">
      <c r="A241" s="158"/>
      <c r="G241" s="128"/>
      <c r="H241" s="142">
        <v>236</v>
      </c>
      <c r="I241" s="143" t="str">
        <f t="shared" si="17"/>
        <v/>
      </c>
      <c r="J241" s="142" t="e">
        <f t="shared" si="18"/>
        <v>#NUM!</v>
      </c>
      <c r="K241" s="142" t="e">
        <f t="shared" si="15"/>
        <v>#NUM!</v>
      </c>
      <c r="L241" s="142"/>
      <c r="M241" s="144">
        <f t="shared" si="16"/>
        <v>0</v>
      </c>
    </row>
    <row r="242" spans="1:13" x14ac:dyDescent="0.25">
      <c r="A242" s="158"/>
      <c r="G242" s="128"/>
      <c r="H242" s="142">
        <v>237</v>
      </c>
      <c r="I242" s="143" t="str">
        <f t="shared" si="17"/>
        <v/>
      </c>
      <c r="J242" s="142" t="e">
        <f t="shared" si="18"/>
        <v>#NUM!</v>
      </c>
      <c r="K242" s="142" t="e">
        <f t="shared" si="15"/>
        <v>#NUM!</v>
      </c>
      <c r="L242" s="142"/>
      <c r="M242" s="144">
        <f t="shared" si="16"/>
        <v>0</v>
      </c>
    </row>
    <row r="243" spans="1:13" x14ac:dyDescent="0.25">
      <c r="A243" s="158"/>
      <c r="G243" s="128"/>
      <c r="H243" s="142">
        <v>238</v>
      </c>
      <c r="I243" s="143" t="str">
        <f t="shared" si="17"/>
        <v/>
      </c>
      <c r="J243" s="142" t="e">
        <f t="shared" si="18"/>
        <v>#NUM!</v>
      </c>
      <c r="K243" s="142" t="e">
        <f t="shared" si="15"/>
        <v>#NUM!</v>
      </c>
      <c r="L243" s="142"/>
      <c r="M243" s="144">
        <f t="shared" si="16"/>
        <v>0</v>
      </c>
    </row>
    <row r="244" spans="1:13" x14ac:dyDescent="0.25">
      <c r="A244" s="158"/>
      <c r="G244" s="128"/>
      <c r="H244" s="142">
        <v>239</v>
      </c>
      <c r="I244" s="143" t="str">
        <f t="shared" si="17"/>
        <v/>
      </c>
      <c r="J244" s="142" t="e">
        <f t="shared" si="18"/>
        <v>#NUM!</v>
      </c>
      <c r="K244" s="142" t="e">
        <f t="shared" si="15"/>
        <v>#NUM!</v>
      </c>
      <c r="L244" s="142"/>
      <c r="M244" s="144">
        <f t="shared" si="16"/>
        <v>0</v>
      </c>
    </row>
    <row r="245" spans="1:13" x14ac:dyDescent="0.25">
      <c r="A245" s="158"/>
      <c r="G245" s="128"/>
      <c r="H245" s="142">
        <v>240</v>
      </c>
      <c r="I245" s="143" t="str">
        <f t="shared" si="17"/>
        <v/>
      </c>
      <c r="J245" s="142" t="e">
        <f t="shared" si="18"/>
        <v>#NUM!</v>
      </c>
      <c r="K245" s="142" t="e">
        <f t="shared" si="15"/>
        <v>#NUM!</v>
      </c>
      <c r="L245" s="142"/>
      <c r="M245" s="144">
        <f t="shared" si="16"/>
        <v>0</v>
      </c>
    </row>
    <row r="246" spans="1:13" x14ac:dyDescent="0.25">
      <c r="A246" s="158"/>
      <c r="G246" s="128"/>
      <c r="H246" s="142">
        <v>241</v>
      </c>
      <c r="I246" s="143" t="str">
        <f t="shared" si="17"/>
        <v/>
      </c>
      <c r="J246" s="142" t="e">
        <f t="shared" si="18"/>
        <v>#NUM!</v>
      </c>
      <c r="K246" s="142" t="e">
        <f t="shared" si="15"/>
        <v>#NUM!</v>
      </c>
      <c r="L246" s="142"/>
      <c r="M246" s="144">
        <f t="shared" si="16"/>
        <v>0</v>
      </c>
    </row>
    <row r="247" spans="1:13" x14ac:dyDescent="0.25">
      <c r="A247" s="158"/>
      <c r="G247" s="128"/>
      <c r="H247" s="142">
        <v>242</v>
      </c>
      <c r="I247" s="143" t="str">
        <f t="shared" si="17"/>
        <v/>
      </c>
      <c r="J247" s="142" t="e">
        <f t="shared" si="18"/>
        <v>#NUM!</v>
      </c>
      <c r="K247" s="142" t="e">
        <f t="shared" si="15"/>
        <v>#NUM!</v>
      </c>
      <c r="L247" s="142"/>
      <c r="M247" s="144">
        <f t="shared" si="16"/>
        <v>0</v>
      </c>
    </row>
    <row r="248" spans="1:13" x14ac:dyDescent="0.25">
      <c r="A248" s="158"/>
      <c r="G248" s="128"/>
      <c r="H248" s="142">
        <v>243</v>
      </c>
      <c r="I248" s="143" t="str">
        <f t="shared" si="17"/>
        <v/>
      </c>
      <c r="J248" s="142" t="e">
        <f t="shared" si="18"/>
        <v>#NUM!</v>
      </c>
      <c r="K248" s="142" t="e">
        <f t="shared" si="15"/>
        <v>#NUM!</v>
      </c>
      <c r="L248" s="142"/>
      <c r="M248" s="144">
        <f t="shared" si="16"/>
        <v>0</v>
      </c>
    </row>
    <row r="249" spans="1:13" x14ac:dyDescent="0.25">
      <c r="A249" s="158"/>
      <c r="G249" s="128"/>
      <c r="H249" s="142">
        <v>244</v>
      </c>
      <c r="I249" s="143" t="str">
        <f t="shared" si="17"/>
        <v/>
      </c>
      <c r="J249" s="142" t="e">
        <f t="shared" si="18"/>
        <v>#NUM!</v>
      </c>
      <c r="K249" s="142" t="e">
        <f t="shared" si="15"/>
        <v>#NUM!</v>
      </c>
      <c r="L249" s="142"/>
      <c r="M249" s="144">
        <f t="shared" si="16"/>
        <v>0</v>
      </c>
    </row>
    <row r="250" spans="1:13" x14ac:dyDescent="0.25">
      <c r="A250" s="158"/>
      <c r="G250" s="128"/>
      <c r="H250" s="142">
        <v>245</v>
      </c>
      <c r="I250" s="143" t="str">
        <f t="shared" si="17"/>
        <v/>
      </c>
      <c r="J250" s="142" t="e">
        <f t="shared" si="18"/>
        <v>#NUM!</v>
      </c>
      <c r="K250" s="142" t="e">
        <f t="shared" si="15"/>
        <v>#NUM!</v>
      </c>
      <c r="L250" s="142"/>
      <c r="M250" s="144">
        <f t="shared" si="16"/>
        <v>0</v>
      </c>
    </row>
    <row r="251" spans="1:13" x14ac:dyDescent="0.25">
      <c r="A251" s="158"/>
      <c r="G251" s="128"/>
      <c r="H251" s="142">
        <v>246</v>
      </c>
      <c r="I251" s="143" t="str">
        <f t="shared" si="17"/>
        <v/>
      </c>
      <c r="J251" s="142" t="e">
        <f t="shared" si="18"/>
        <v>#NUM!</v>
      </c>
      <c r="K251" s="142" t="e">
        <f t="shared" si="15"/>
        <v>#NUM!</v>
      </c>
      <c r="L251" s="142"/>
      <c r="M251" s="144">
        <f t="shared" si="16"/>
        <v>0</v>
      </c>
    </row>
    <row r="252" spans="1:13" x14ac:dyDescent="0.25">
      <c r="A252" s="158"/>
      <c r="G252" s="128"/>
      <c r="H252" s="142">
        <v>247</v>
      </c>
      <c r="I252" s="143" t="str">
        <f t="shared" si="17"/>
        <v/>
      </c>
      <c r="J252" s="142" t="e">
        <f t="shared" si="18"/>
        <v>#NUM!</v>
      </c>
      <c r="K252" s="142" t="e">
        <f t="shared" si="15"/>
        <v>#NUM!</v>
      </c>
      <c r="L252" s="142"/>
      <c r="M252" s="144">
        <f t="shared" si="16"/>
        <v>0</v>
      </c>
    </row>
    <row r="253" spans="1:13" x14ac:dyDescent="0.25">
      <c r="A253" s="158"/>
      <c r="G253" s="128"/>
      <c r="H253" s="142">
        <v>248</v>
      </c>
      <c r="I253" s="143" t="str">
        <f t="shared" si="17"/>
        <v/>
      </c>
      <c r="J253" s="142" t="e">
        <f t="shared" si="18"/>
        <v>#NUM!</v>
      </c>
      <c r="K253" s="142" t="e">
        <f t="shared" si="15"/>
        <v>#NUM!</v>
      </c>
      <c r="L253" s="142"/>
      <c r="M253" s="144">
        <f t="shared" si="16"/>
        <v>0</v>
      </c>
    </row>
    <row r="254" spans="1:13" x14ac:dyDescent="0.25">
      <c r="A254" s="158"/>
      <c r="G254" s="128"/>
      <c r="H254" s="142">
        <v>249</v>
      </c>
      <c r="I254" s="143" t="str">
        <f t="shared" si="17"/>
        <v/>
      </c>
      <c r="J254" s="142" t="e">
        <f t="shared" si="18"/>
        <v>#NUM!</v>
      </c>
      <c r="K254" s="142" t="e">
        <f t="shared" si="15"/>
        <v>#NUM!</v>
      </c>
      <c r="L254" s="142"/>
      <c r="M254" s="144">
        <f t="shared" si="16"/>
        <v>0</v>
      </c>
    </row>
    <row r="255" spans="1:13" x14ac:dyDescent="0.25">
      <c r="A255" s="158"/>
      <c r="G255" s="128"/>
      <c r="H255" s="142">
        <v>250</v>
      </c>
      <c r="I255" s="143" t="str">
        <f t="shared" si="17"/>
        <v/>
      </c>
      <c r="J255" s="142" t="e">
        <f t="shared" si="18"/>
        <v>#NUM!</v>
      </c>
      <c r="K255" s="142" t="e">
        <f t="shared" si="15"/>
        <v>#NUM!</v>
      </c>
      <c r="L255" s="142"/>
      <c r="M255" s="144">
        <f t="shared" si="16"/>
        <v>0</v>
      </c>
    </row>
    <row r="256" spans="1:13" x14ac:dyDescent="0.25">
      <c r="A256" s="158"/>
      <c r="G256" s="128"/>
      <c r="H256" s="142">
        <v>251</v>
      </c>
      <c r="I256" s="143" t="str">
        <f t="shared" si="17"/>
        <v/>
      </c>
      <c r="J256" s="142" t="e">
        <f t="shared" si="18"/>
        <v>#NUM!</v>
      </c>
      <c r="K256" s="142" t="e">
        <f t="shared" si="15"/>
        <v>#NUM!</v>
      </c>
      <c r="L256" s="142"/>
      <c r="M256" s="144">
        <f t="shared" si="16"/>
        <v>0</v>
      </c>
    </row>
    <row r="257" spans="1:13" x14ac:dyDescent="0.25">
      <c r="A257" s="158"/>
      <c r="G257" s="128"/>
      <c r="H257" s="142">
        <v>252</v>
      </c>
      <c r="I257" s="143" t="str">
        <f t="shared" si="17"/>
        <v/>
      </c>
      <c r="J257" s="142" t="e">
        <f t="shared" si="18"/>
        <v>#NUM!</v>
      </c>
      <c r="K257" s="142" t="e">
        <f t="shared" si="15"/>
        <v>#NUM!</v>
      </c>
      <c r="L257" s="142"/>
      <c r="M257" s="144">
        <f t="shared" si="16"/>
        <v>0</v>
      </c>
    </row>
    <row r="258" spans="1:13" x14ac:dyDescent="0.25">
      <c r="A258" s="158"/>
      <c r="G258" s="128"/>
      <c r="H258" s="142">
        <v>253</v>
      </c>
      <c r="I258" s="143" t="str">
        <f t="shared" si="17"/>
        <v/>
      </c>
      <c r="J258" s="142" t="e">
        <f t="shared" si="18"/>
        <v>#NUM!</v>
      </c>
      <c r="K258" s="142" t="e">
        <f t="shared" si="15"/>
        <v>#NUM!</v>
      </c>
      <c r="L258" s="142"/>
      <c r="M258" s="144">
        <f t="shared" si="16"/>
        <v>0</v>
      </c>
    </row>
    <row r="259" spans="1:13" x14ac:dyDescent="0.25">
      <c r="A259" s="158"/>
      <c r="G259" s="128"/>
      <c r="H259" s="142">
        <v>254</v>
      </c>
      <c r="I259" s="143" t="str">
        <f t="shared" si="17"/>
        <v/>
      </c>
      <c r="J259" s="142" t="e">
        <f t="shared" si="18"/>
        <v>#NUM!</v>
      </c>
      <c r="K259" s="142" t="e">
        <f t="shared" si="15"/>
        <v>#NUM!</v>
      </c>
      <c r="L259" s="142"/>
      <c r="M259" s="144">
        <f t="shared" si="16"/>
        <v>0</v>
      </c>
    </row>
    <row r="260" spans="1:13" x14ac:dyDescent="0.25">
      <c r="A260" s="158"/>
      <c r="G260" s="128"/>
      <c r="H260" s="142">
        <v>255</v>
      </c>
      <c r="I260" s="143" t="str">
        <f t="shared" si="17"/>
        <v/>
      </c>
      <c r="J260" s="142" t="e">
        <f t="shared" si="18"/>
        <v>#NUM!</v>
      </c>
      <c r="K260" s="142" t="e">
        <f t="shared" si="15"/>
        <v>#NUM!</v>
      </c>
      <c r="L260" s="142"/>
      <c r="M260" s="144">
        <f t="shared" si="16"/>
        <v>0</v>
      </c>
    </row>
    <row r="261" spans="1:13" x14ac:dyDescent="0.25">
      <c r="A261" s="158"/>
      <c r="G261" s="128"/>
      <c r="H261" s="142">
        <v>256</v>
      </c>
      <c r="I261" s="143" t="str">
        <f t="shared" si="17"/>
        <v/>
      </c>
      <c r="J261" s="142" t="e">
        <f t="shared" si="18"/>
        <v>#NUM!</v>
      </c>
      <c r="K261" s="142" t="e">
        <f t="shared" si="15"/>
        <v>#NUM!</v>
      </c>
      <c r="L261" s="142"/>
      <c r="M261" s="144">
        <f t="shared" si="16"/>
        <v>0</v>
      </c>
    </row>
    <row r="262" spans="1:13" x14ac:dyDescent="0.25">
      <c r="A262" s="158"/>
      <c r="G262" s="128"/>
      <c r="H262" s="142">
        <v>257</v>
      </c>
      <c r="I262" s="143" t="str">
        <f t="shared" si="17"/>
        <v/>
      </c>
      <c r="J262" s="142" t="e">
        <f t="shared" si="18"/>
        <v>#NUM!</v>
      </c>
      <c r="K262" s="142" t="e">
        <f t="shared" ref="K262:K305" si="19">J262*$J$2</f>
        <v>#NUM!</v>
      </c>
      <c r="L262" s="142"/>
      <c r="M262" s="144">
        <f t="shared" ref="M262:M305" si="20">IF(I262&lt;&gt;"",K262+I262+L262,0)</f>
        <v>0</v>
      </c>
    </row>
    <row r="263" spans="1:13" x14ac:dyDescent="0.25">
      <c r="A263" s="158"/>
      <c r="G263" s="128"/>
      <c r="H263" s="142">
        <v>258</v>
      </c>
      <c r="I263" s="143" t="str">
        <f t="shared" ref="I263:I305" si="21">IF(H263&lt;$H$2+1,($I$2-($I$2-1)*(LOG(H263)/LOG($H$2))),"")</f>
        <v/>
      </c>
      <c r="J263" s="142" t="e">
        <f t="shared" ref="J263:J305" si="22">INT(LOG($H$2,2))-ROUNDUP(LOG(H263,2),0)+IF(OR($H$2=1,$H$2=2,$H$2=4,$H$2=8,$H$2=16,$H$2=32,$H$2=64,$H$2=128,$H$2=256),0,1)</f>
        <v>#NUM!</v>
      </c>
      <c r="K263" s="142" t="e">
        <f t="shared" si="19"/>
        <v>#NUM!</v>
      </c>
      <c r="L263" s="142"/>
      <c r="M263" s="144">
        <f t="shared" si="20"/>
        <v>0</v>
      </c>
    </row>
    <row r="264" spans="1:13" x14ac:dyDescent="0.25">
      <c r="A264" s="158"/>
      <c r="G264" s="128"/>
      <c r="H264" s="142">
        <v>259</v>
      </c>
      <c r="I264" s="143" t="str">
        <f t="shared" si="21"/>
        <v/>
      </c>
      <c r="J264" s="142" t="e">
        <f t="shared" si="22"/>
        <v>#NUM!</v>
      </c>
      <c r="K264" s="142" t="e">
        <f t="shared" si="19"/>
        <v>#NUM!</v>
      </c>
      <c r="L264" s="142"/>
      <c r="M264" s="144">
        <f t="shared" si="20"/>
        <v>0</v>
      </c>
    </row>
    <row r="265" spans="1:13" x14ac:dyDescent="0.25">
      <c r="A265" s="158"/>
      <c r="G265" s="128"/>
      <c r="H265" s="142">
        <v>260</v>
      </c>
      <c r="I265" s="143" t="str">
        <f t="shared" si="21"/>
        <v/>
      </c>
      <c r="J265" s="142" t="e">
        <f t="shared" si="22"/>
        <v>#NUM!</v>
      </c>
      <c r="K265" s="142" t="e">
        <f t="shared" si="19"/>
        <v>#NUM!</v>
      </c>
      <c r="L265" s="142"/>
      <c r="M265" s="144">
        <f t="shared" si="20"/>
        <v>0</v>
      </c>
    </row>
    <row r="266" spans="1:13" x14ac:dyDescent="0.25">
      <c r="A266" s="158"/>
      <c r="G266" s="128"/>
      <c r="H266" s="142">
        <v>261</v>
      </c>
      <c r="I266" s="143" t="str">
        <f t="shared" si="21"/>
        <v/>
      </c>
      <c r="J266" s="142" t="e">
        <f t="shared" si="22"/>
        <v>#NUM!</v>
      </c>
      <c r="K266" s="142" t="e">
        <f t="shared" si="19"/>
        <v>#NUM!</v>
      </c>
      <c r="L266" s="142"/>
      <c r="M266" s="144">
        <f t="shared" si="20"/>
        <v>0</v>
      </c>
    </row>
    <row r="267" spans="1:13" x14ac:dyDescent="0.25">
      <c r="A267" s="158"/>
      <c r="G267" s="128"/>
      <c r="H267" s="142">
        <v>262</v>
      </c>
      <c r="I267" s="143" t="str">
        <f t="shared" si="21"/>
        <v/>
      </c>
      <c r="J267" s="142" t="e">
        <f t="shared" si="22"/>
        <v>#NUM!</v>
      </c>
      <c r="K267" s="142" t="e">
        <f t="shared" si="19"/>
        <v>#NUM!</v>
      </c>
      <c r="L267" s="142"/>
      <c r="M267" s="144">
        <f t="shared" si="20"/>
        <v>0</v>
      </c>
    </row>
    <row r="268" spans="1:13" x14ac:dyDescent="0.25">
      <c r="A268" s="158"/>
      <c r="G268" s="128"/>
      <c r="H268" s="142">
        <v>263</v>
      </c>
      <c r="I268" s="143" t="str">
        <f t="shared" si="21"/>
        <v/>
      </c>
      <c r="J268" s="142" t="e">
        <f t="shared" si="22"/>
        <v>#NUM!</v>
      </c>
      <c r="K268" s="142" t="e">
        <f t="shared" si="19"/>
        <v>#NUM!</v>
      </c>
      <c r="L268" s="142"/>
      <c r="M268" s="144">
        <f t="shared" si="20"/>
        <v>0</v>
      </c>
    </row>
    <row r="269" spans="1:13" x14ac:dyDescent="0.25">
      <c r="A269" s="158"/>
      <c r="G269" s="128"/>
      <c r="H269" s="142">
        <v>264</v>
      </c>
      <c r="I269" s="143" t="str">
        <f t="shared" si="21"/>
        <v/>
      </c>
      <c r="J269" s="142" t="e">
        <f t="shared" si="22"/>
        <v>#NUM!</v>
      </c>
      <c r="K269" s="142" t="e">
        <f t="shared" si="19"/>
        <v>#NUM!</v>
      </c>
      <c r="L269" s="142"/>
      <c r="M269" s="144">
        <f t="shared" si="20"/>
        <v>0</v>
      </c>
    </row>
    <row r="270" spans="1:13" x14ac:dyDescent="0.25">
      <c r="A270" s="158"/>
      <c r="G270" s="128"/>
      <c r="H270" s="142">
        <v>265</v>
      </c>
      <c r="I270" s="143" t="str">
        <f t="shared" si="21"/>
        <v/>
      </c>
      <c r="J270" s="142" t="e">
        <f t="shared" si="22"/>
        <v>#NUM!</v>
      </c>
      <c r="K270" s="142" t="e">
        <f t="shared" si="19"/>
        <v>#NUM!</v>
      </c>
      <c r="L270" s="142"/>
      <c r="M270" s="144">
        <f t="shared" si="20"/>
        <v>0</v>
      </c>
    </row>
    <row r="271" spans="1:13" x14ac:dyDescent="0.25">
      <c r="A271" s="158"/>
      <c r="G271" s="128"/>
      <c r="H271" s="142">
        <v>266</v>
      </c>
      <c r="I271" s="143" t="str">
        <f t="shared" si="21"/>
        <v/>
      </c>
      <c r="J271" s="142" t="e">
        <f t="shared" si="22"/>
        <v>#NUM!</v>
      </c>
      <c r="K271" s="142" t="e">
        <f t="shared" si="19"/>
        <v>#NUM!</v>
      </c>
      <c r="L271" s="142"/>
      <c r="M271" s="144">
        <f t="shared" si="20"/>
        <v>0</v>
      </c>
    </row>
    <row r="272" spans="1:13" x14ac:dyDescent="0.25">
      <c r="A272" s="158"/>
      <c r="G272" s="128"/>
      <c r="H272" s="142">
        <v>267</v>
      </c>
      <c r="I272" s="143" t="str">
        <f t="shared" si="21"/>
        <v/>
      </c>
      <c r="J272" s="142" t="e">
        <f t="shared" si="22"/>
        <v>#NUM!</v>
      </c>
      <c r="K272" s="142" t="e">
        <f t="shared" si="19"/>
        <v>#NUM!</v>
      </c>
      <c r="L272" s="142"/>
      <c r="M272" s="144">
        <f t="shared" si="20"/>
        <v>0</v>
      </c>
    </row>
    <row r="273" spans="1:13" x14ac:dyDescent="0.25">
      <c r="A273" s="158"/>
      <c r="G273" s="128"/>
      <c r="H273" s="142">
        <v>268</v>
      </c>
      <c r="I273" s="143" t="str">
        <f t="shared" si="21"/>
        <v/>
      </c>
      <c r="J273" s="142" t="e">
        <f t="shared" si="22"/>
        <v>#NUM!</v>
      </c>
      <c r="K273" s="142" t="e">
        <f t="shared" si="19"/>
        <v>#NUM!</v>
      </c>
      <c r="L273" s="142"/>
      <c r="M273" s="144">
        <f t="shared" si="20"/>
        <v>0</v>
      </c>
    </row>
    <row r="274" spans="1:13" x14ac:dyDescent="0.25">
      <c r="A274" s="158"/>
      <c r="G274" s="128"/>
      <c r="H274" s="142">
        <v>269</v>
      </c>
      <c r="I274" s="143" t="str">
        <f t="shared" si="21"/>
        <v/>
      </c>
      <c r="J274" s="142" t="e">
        <f t="shared" si="22"/>
        <v>#NUM!</v>
      </c>
      <c r="K274" s="142" t="e">
        <f t="shared" si="19"/>
        <v>#NUM!</v>
      </c>
      <c r="L274" s="142"/>
      <c r="M274" s="144">
        <f t="shared" si="20"/>
        <v>0</v>
      </c>
    </row>
    <row r="275" spans="1:13" x14ac:dyDescent="0.25">
      <c r="A275" s="158"/>
      <c r="G275" s="128"/>
      <c r="H275" s="142">
        <v>270</v>
      </c>
      <c r="I275" s="143" t="str">
        <f t="shared" si="21"/>
        <v/>
      </c>
      <c r="J275" s="142" t="e">
        <f t="shared" si="22"/>
        <v>#NUM!</v>
      </c>
      <c r="K275" s="142" t="e">
        <f t="shared" si="19"/>
        <v>#NUM!</v>
      </c>
      <c r="L275" s="142"/>
      <c r="M275" s="144">
        <f t="shared" si="20"/>
        <v>0</v>
      </c>
    </row>
    <row r="276" spans="1:13" x14ac:dyDescent="0.25">
      <c r="A276" s="158"/>
      <c r="G276" s="128"/>
      <c r="H276" s="142">
        <v>271</v>
      </c>
      <c r="I276" s="143" t="str">
        <f t="shared" si="21"/>
        <v/>
      </c>
      <c r="J276" s="142" t="e">
        <f t="shared" si="22"/>
        <v>#NUM!</v>
      </c>
      <c r="K276" s="142" t="e">
        <f t="shared" si="19"/>
        <v>#NUM!</v>
      </c>
      <c r="L276" s="142"/>
      <c r="M276" s="144">
        <f t="shared" si="20"/>
        <v>0</v>
      </c>
    </row>
    <row r="277" spans="1:13" x14ac:dyDescent="0.25">
      <c r="A277" s="158"/>
      <c r="G277" s="128"/>
      <c r="H277" s="142">
        <v>272</v>
      </c>
      <c r="I277" s="143" t="str">
        <f t="shared" si="21"/>
        <v/>
      </c>
      <c r="J277" s="142" t="e">
        <f t="shared" si="22"/>
        <v>#NUM!</v>
      </c>
      <c r="K277" s="142" t="e">
        <f t="shared" si="19"/>
        <v>#NUM!</v>
      </c>
      <c r="L277" s="142"/>
      <c r="M277" s="144">
        <f t="shared" si="20"/>
        <v>0</v>
      </c>
    </row>
    <row r="278" spans="1:13" x14ac:dyDescent="0.25">
      <c r="A278" s="158"/>
      <c r="G278" s="128"/>
      <c r="H278" s="142">
        <v>273</v>
      </c>
      <c r="I278" s="143" t="str">
        <f t="shared" si="21"/>
        <v/>
      </c>
      <c r="J278" s="142" t="e">
        <f t="shared" si="22"/>
        <v>#NUM!</v>
      </c>
      <c r="K278" s="142" t="e">
        <f t="shared" si="19"/>
        <v>#NUM!</v>
      </c>
      <c r="L278" s="142"/>
      <c r="M278" s="144">
        <f t="shared" si="20"/>
        <v>0</v>
      </c>
    </row>
    <row r="279" spans="1:13" x14ac:dyDescent="0.25">
      <c r="A279" s="158"/>
      <c r="G279" s="128"/>
      <c r="H279" s="142">
        <v>274</v>
      </c>
      <c r="I279" s="143" t="str">
        <f t="shared" si="21"/>
        <v/>
      </c>
      <c r="J279" s="142" t="e">
        <f t="shared" si="22"/>
        <v>#NUM!</v>
      </c>
      <c r="K279" s="142" t="e">
        <f t="shared" si="19"/>
        <v>#NUM!</v>
      </c>
      <c r="L279" s="142"/>
      <c r="M279" s="144">
        <f t="shared" si="20"/>
        <v>0</v>
      </c>
    </row>
    <row r="280" spans="1:13" x14ac:dyDescent="0.25">
      <c r="A280" s="158"/>
      <c r="G280" s="128"/>
      <c r="H280" s="142">
        <v>275</v>
      </c>
      <c r="I280" s="143" t="str">
        <f t="shared" si="21"/>
        <v/>
      </c>
      <c r="J280" s="142" t="e">
        <f t="shared" si="22"/>
        <v>#NUM!</v>
      </c>
      <c r="K280" s="142" t="e">
        <f t="shared" si="19"/>
        <v>#NUM!</v>
      </c>
      <c r="L280" s="142"/>
      <c r="M280" s="144">
        <f t="shared" si="20"/>
        <v>0</v>
      </c>
    </row>
    <row r="281" spans="1:13" x14ac:dyDescent="0.25">
      <c r="A281" s="158"/>
      <c r="G281" s="128"/>
      <c r="H281" s="142">
        <v>276</v>
      </c>
      <c r="I281" s="143" t="str">
        <f t="shared" si="21"/>
        <v/>
      </c>
      <c r="J281" s="142" t="e">
        <f t="shared" si="22"/>
        <v>#NUM!</v>
      </c>
      <c r="K281" s="142" t="e">
        <f t="shared" si="19"/>
        <v>#NUM!</v>
      </c>
      <c r="L281" s="142"/>
      <c r="M281" s="144">
        <f t="shared" si="20"/>
        <v>0</v>
      </c>
    </row>
    <row r="282" spans="1:13" x14ac:dyDescent="0.25">
      <c r="A282" s="158"/>
      <c r="G282" s="128"/>
      <c r="H282" s="142">
        <v>277</v>
      </c>
      <c r="I282" s="143" t="str">
        <f t="shared" si="21"/>
        <v/>
      </c>
      <c r="J282" s="142" t="e">
        <f t="shared" si="22"/>
        <v>#NUM!</v>
      </c>
      <c r="K282" s="142" t="e">
        <f t="shared" si="19"/>
        <v>#NUM!</v>
      </c>
      <c r="L282" s="142"/>
      <c r="M282" s="144">
        <f t="shared" si="20"/>
        <v>0</v>
      </c>
    </row>
    <row r="283" spans="1:13" x14ac:dyDescent="0.25">
      <c r="A283" s="158"/>
      <c r="G283" s="128"/>
      <c r="H283" s="142">
        <v>278</v>
      </c>
      <c r="I283" s="143" t="str">
        <f t="shared" si="21"/>
        <v/>
      </c>
      <c r="J283" s="142" t="e">
        <f t="shared" si="22"/>
        <v>#NUM!</v>
      </c>
      <c r="K283" s="142" t="e">
        <f t="shared" si="19"/>
        <v>#NUM!</v>
      </c>
      <c r="L283" s="142"/>
      <c r="M283" s="144">
        <f t="shared" si="20"/>
        <v>0</v>
      </c>
    </row>
    <row r="284" spans="1:13" x14ac:dyDescent="0.25">
      <c r="A284" s="158"/>
      <c r="G284" s="128"/>
      <c r="H284" s="142">
        <v>279</v>
      </c>
      <c r="I284" s="143" t="str">
        <f t="shared" si="21"/>
        <v/>
      </c>
      <c r="J284" s="142" t="e">
        <f t="shared" si="22"/>
        <v>#NUM!</v>
      </c>
      <c r="K284" s="142" t="e">
        <f t="shared" si="19"/>
        <v>#NUM!</v>
      </c>
      <c r="L284" s="142"/>
      <c r="M284" s="144">
        <f t="shared" si="20"/>
        <v>0</v>
      </c>
    </row>
    <row r="285" spans="1:13" x14ac:dyDescent="0.25">
      <c r="A285" s="158"/>
      <c r="G285" s="128"/>
      <c r="H285" s="142">
        <v>280</v>
      </c>
      <c r="I285" s="143" t="str">
        <f t="shared" si="21"/>
        <v/>
      </c>
      <c r="J285" s="142" t="e">
        <f t="shared" si="22"/>
        <v>#NUM!</v>
      </c>
      <c r="K285" s="142" t="e">
        <f t="shared" si="19"/>
        <v>#NUM!</v>
      </c>
      <c r="L285" s="142"/>
      <c r="M285" s="144">
        <f t="shared" si="20"/>
        <v>0</v>
      </c>
    </row>
    <row r="286" spans="1:13" x14ac:dyDescent="0.25">
      <c r="A286" s="158"/>
      <c r="G286" s="128"/>
      <c r="H286" s="142">
        <v>281</v>
      </c>
      <c r="I286" s="143" t="str">
        <f t="shared" si="21"/>
        <v/>
      </c>
      <c r="J286" s="142" t="e">
        <f t="shared" si="22"/>
        <v>#NUM!</v>
      </c>
      <c r="K286" s="142" t="e">
        <f t="shared" si="19"/>
        <v>#NUM!</v>
      </c>
      <c r="L286" s="142"/>
      <c r="M286" s="144">
        <f t="shared" si="20"/>
        <v>0</v>
      </c>
    </row>
    <row r="287" spans="1:13" x14ac:dyDescent="0.25">
      <c r="A287" s="158"/>
      <c r="G287" s="128"/>
      <c r="H287" s="142">
        <v>282</v>
      </c>
      <c r="I287" s="143" t="str">
        <f t="shared" si="21"/>
        <v/>
      </c>
      <c r="J287" s="142" t="e">
        <f t="shared" si="22"/>
        <v>#NUM!</v>
      </c>
      <c r="K287" s="142" t="e">
        <f t="shared" si="19"/>
        <v>#NUM!</v>
      </c>
      <c r="L287" s="142"/>
      <c r="M287" s="144">
        <f t="shared" si="20"/>
        <v>0</v>
      </c>
    </row>
    <row r="288" spans="1:13" x14ac:dyDescent="0.25">
      <c r="A288" s="158"/>
      <c r="G288" s="128"/>
      <c r="H288" s="142">
        <v>283</v>
      </c>
      <c r="I288" s="143" t="str">
        <f t="shared" si="21"/>
        <v/>
      </c>
      <c r="J288" s="142" t="e">
        <f t="shared" si="22"/>
        <v>#NUM!</v>
      </c>
      <c r="K288" s="142" t="e">
        <f t="shared" si="19"/>
        <v>#NUM!</v>
      </c>
      <c r="L288" s="142"/>
      <c r="M288" s="144">
        <f t="shared" si="20"/>
        <v>0</v>
      </c>
    </row>
    <row r="289" spans="1:13" x14ac:dyDescent="0.25">
      <c r="A289" s="158"/>
      <c r="G289" s="128"/>
      <c r="H289" s="142">
        <v>284</v>
      </c>
      <c r="I289" s="143" t="str">
        <f t="shared" si="21"/>
        <v/>
      </c>
      <c r="J289" s="142" t="e">
        <f t="shared" si="22"/>
        <v>#NUM!</v>
      </c>
      <c r="K289" s="142" t="e">
        <f t="shared" si="19"/>
        <v>#NUM!</v>
      </c>
      <c r="L289" s="142"/>
      <c r="M289" s="144">
        <f t="shared" si="20"/>
        <v>0</v>
      </c>
    </row>
    <row r="290" spans="1:13" x14ac:dyDescent="0.25">
      <c r="A290" s="158"/>
      <c r="G290" s="128"/>
      <c r="H290" s="142">
        <v>285</v>
      </c>
      <c r="I290" s="143" t="str">
        <f t="shared" si="21"/>
        <v/>
      </c>
      <c r="J290" s="142" t="e">
        <f t="shared" si="22"/>
        <v>#NUM!</v>
      </c>
      <c r="K290" s="142" t="e">
        <f t="shared" si="19"/>
        <v>#NUM!</v>
      </c>
      <c r="L290" s="142"/>
      <c r="M290" s="144">
        <f t="shared" si="20"/>
        <v>0</v>
      </c>
    </row>
    <row r="291" spans="1:13" x14ac:dyDescent="0.25">
      <c r="A291" s="158"/>
      <c r="G291" s="128"/>
      <c r="H291" s="142">
        <v>286</v>
      </c>
      <c r="I291" s="143" t="str">
        <f t="shared" si="21"/>
        <v/>
      </c>
      <c r="J291" s="142" t="e">
        <f t="shared" si="22"/>
        <v>#NUM!</v>
      </c>
      <c r="K291" s="142" t="e">
        <f t="shared" si="19"/>
        <v>#NUM!</v>
      </c>
      <c r="L291" s="142"/>
      <c r="M291" s="144">
        <f t="shared" si="20"/>
        <v>0</v>
      </c>
    </row>
    <row r="292" spans="1:13" x14ac:dyDescent="0.25">
      <c r="A292" s="158"/>
      <c r="G292" s="128"/>
      <c r="H292" s="142">
        <v>287</v>
      </c>
      <c r="I292" s="143" t="str">
        <f t="shared" si="21"/>
        <v/>
      </c>
      <c r="J292" s="142" t="e">
        <f t="shared" si="22"/>
        <v>#NUM!</v>
      </c>
      <c r="K292" s="142" t="e">
        <f t="shared" si="19"/>
        <v>#NUM!</v>
      </c>
      <c r="L292" s="142"/>
      <c r="M292" s="144">
        <f t="shared" si="20"/>
        <v>0</v>
      </c>
    </row>
    <row r="293" spans="1:13" x14ac:dyDescent="0.25">
      <c r="A293" s="158"/>
      <c r="G293" s="128"/>
      <c r="H293" s="142">
        <v>288</v>
      </c>
      <c r="I293" s="143" t="str">
        <f t="shared" si="21"/>
        <v/>
      </c>
      <c r="J293" s="142" t="e">
        <f t="shared" si="22"/>
        <v>#NUM!</v>
      </c>
      <c r="K293" s="142" t="e">
        <f t="shared" si="19"/>
        <v>#NUM!</v>
      </c>
      <c r="L293" s="142"/>
      <c r="M293" s="144">
        <f t="shared" si="20"/>
        <v>0</v>
      </c>
    </row>
    <row r="294" spans="1:13" x14ac:dyDescent="0.25">
      <c r="A294" s="158"/>
      <c r="G294" s="128"/>
      <c r="H294" s="142">
        <v>289</v>
      </c>
      <c r="I294" s="143" t="str">
        <f t="shared" si="21"/>
        <v/>
      </c>
      <c r="J294" s="142" t="e">
        <f t="shared" si="22"/>
        <v>#NUM!</v>
      </c>
      <c r="K294" s="142" t="e">
        <f t="shared" si="19"/>
        <v>#NUM!</v>
      </c>
      <c r="L294" s="142"/>
      <c r="M294" s="144">
        <f t="shared" si="20"/>
        <v>0</v>
      </c>
    </row>
    <row r="295" spans="1:13" x14ac:dyDescent="0.25">
      <c r="A295" s="158"/>
      <c r="G295" s="128"/>
      <c r="H295" s="142">
        <v>290</v>
      </c>
      <c r="I295" s="143" t="str">
        <f t="shared" si="21"/>
        <v/>
      </c>
      <c r="J295" s="142" t="e">
        <f t="shared" si="22"/>
        <v>#NUM!</v>
      </c>
      <c r="K295" s="142" t="e">
        <f t="shared" si="19"/>
        <v>#NUM!</v>
      </c>
      <c r="L295" s="142"/>
      <c r="M295" s="144">
        <f t="shared" si="20"/>
        <v>0</v>
      </c>
    </row>
    <row r="296" spans="1:13" x14ac:dyDescent="0.25">
      <c r="A296" s="158"/>
      <c r="G296" s="128"/>
      <c r="H296" s="142">
        <v>291</v>
      </c>
      <c r="I296" s="143" t="str">
        <f t="shared" si="21"/>
        <v/>
      </c>
      <c r="J296" s="142" t="e">
        <f t="shared" si="22"/>
        <v>#NUM!</v>
      </c>
      <c r="K296" s="142" t="e">
        <f t="shared" si="19"/>
        <v>#NUM!</v>
      </c>
      <c r="L296" s="142"/>
      <c r="M296" s="144">
        <f t="shared" si="20"/>
        <v>0</v>
      </c>
    </row>
    <row r="297" spans="1:13" x14ac:dyDescent="0.25">
      <c r="A297" s="158"/>
      <c r="G297" s="128"/>
      <c r="H297" s="142">
        <v>292</v>
      </c>
      <c r="I297" s="143" t="str">
        <f t="shared" si="21"/>
        <v/>
      </c>
      <c r="J297" s="142" t="e">
        <f t="shared" si="22"/>
        <v>#NUM!</v>
      </c>
      <c r="K297" s="142" t="e">
        <f t="shared" si="19"/>
        <v>#NUM!</v>
      </c>
      <c r="L297" s="142"/>
      <c r="M297" s="144">
        <f t="shared" si="20"/>
        <v>0</v>
      </c>
    </row>
    <row r="298" spans="1:13" x14ac:dyDescent="0.25">
      <c r="A298" s="158"/>
      <c r="G298" s="128"/>
      <c r="H298" s="142">
        <v>293</v>
      </c>
      <c r="I298" s="143" t="str">
        <f t="shared" si="21"/>
        <v/>
      </c>
      <c r="J298" s="142" t="e">
        <f t="shared" si="22"/>
        <v>#NUM!</v>
      </c>
      <c r="K298" s="142" t="e">
        <f t="shared" si="19"/>
        <v>#NUM!</v>
      </c>
      <c r="L298" s="142"/>
      <c r="M298" s="144">
        <f t="shared" si="20"/>
        <v>0</v>
      </c>
    </row>
    <row r="299" spans="1:13" x14ac:dyDescent="0.25">
      <c r="A299" s="158"/>
      <c r="G299" s="128"/>
      <c r="H299" s="142">
        <v>294</v>
      </c>
      <c r="I299" s="143" t="str">
        <f t="shared" si="21"/>
        <v/>
      </c>
      <c r="J299" s="142" t="e">
        <f t="shared" si="22"/>
        <v>#NUM!</v>
      </c>
      <c r="K299" s="142" t="e">
        <f t="shared" si="19"/>
        <v>#NUM!</v>
      </c>
      <c r="L299" s="142"/>
      <c r="M299" s="144">
        <f t="shared" si="20"/>
        <v>0</v>
      </c>
    </row>
    <row r="300" spans="1:13" x14ac:dyDescent="0.25">
      <c r="A300" s="158"/>
      <c r="G300" s="128"/>
      <c r="H300" s="142">
        <v>295</v>
      </c>
      <c r="I300" s="143" t="str">
        <f t="shared" si="21"/>
        <v/>
      </c>
      <c r="J300" s="142" t="e">
        <f t="shared" si="22"/>
        <v>#NUM!</v>
      </c>
      <c r="K300" s="142" t="e">
        <f t="shared" si="19"/>
        <v>#NUM!</v>
      </c>
      <c r="L300" s="142"/>
      <c r="M300" s="144">
        <f t="shared" si="20"/>
        <v>0</v>
      </c>
    </row>
    <row r="301" spans="1:13" x14ac:dyDescent="0.25">
      <c r="A301" s="158"/>
      <c r="G301" s="128"/>
      <c r="H301" s="142">
        <v>296</v>
      </c>
      <c r="I301" s="143" t="str">
        <f t="shared" si="21"/>
        <v/>
      </c>
      <c r="J301" s="142" t="e">
        <f t="shared" si="22"/>
        <v>#NUM!</v>
      </c>
      <c r="K301" s="142" t="e">
        <f t="shared" si="19"/>
        <v>#NUM!</v>
      </c>
      <c r="L301" s="142"/>
      <c r="M301" s="144">
        <f t="shared" si="20"/>
        <v>0</v>
      </c>
    </row>
    <row r="302" spans="1:13" x14ac:dyDescent="0.25">
      <c r="A302" s="158"/>
      <c r="G302" s="128"/>
      <c r="H302" s="142">
        <v>297</v>
      </c>
      <c r="I302" s="143" t="str">
        <f t="shared" si="21"/>
        <v/>
      </c>
      <c r="J302" s="142" t="e">
        <f t="shared" si="22"/>
        <v>#NUM!</v>
      </c>
      <c r="K302" s="142" t="e">
        <f t="shared" si="19"/>
        <v>#NUM!</v>
      </c>
      <c r="L302" s="142"/>
      <c r="M302" s="144">
        <f t="shared" si="20"/>
        <v>0</v>
      </c>
    </row>
    <row r="303" spans="1:13" x14ac:dyDescent="0.25">
      <c r="A303" s="158"/>
      <c r="G303" s="128"/>
      <c r="H303" s="142">
        <v>298</v>
      </c>
      <c r="I303" s="143" t="str">
        <f t="shared" si="21"/>
        <v/>
      </c>
      <c r="J303" s="142" t="e">
        <f t="shared" si="22"/>
        <v>#NUM!</v>
      </c>
      <c r="K303" s="142" t="e">
        <f t="shared" si="19"/>
        <v>#NUM!</v>
      </c>
      <c r="L303" s="142"/>
      <c r="M303" s="144">
        <f t="shared" si="20"/>
        <v>0</v>
      </c>
    </row>
    <row r="304" spans="1:13" x14ac:dyDescent="0.25">
      <c r="A304" s="158"/>
      <c r="G304" s="128"/>
      <c r="H304" s="142">
        <v>299</v>
      </c>
      <c r="I304" s="143" t="str">
        <f t="shared" si="21"/>
        <v/>
      </c>
      <c r="J304" s="142" t="e">
        <f t="shared" si="22"/>
        <v>#NUM!</v>
      </c>
      <c r="K304" s="142" t="e">
        <f t="shared" si="19"/>
        <v>#NUM!</v>
      </c>
      <c r="L304" s="142"/>
      <c r="M304" s="144">
        <f t="shared" si="20"/>
        <v>0</v>
      </c>
    </row>
    <row r="305" spans="1:16" x14ac:dyDescent="0.25">
      <c r="A305" s="158"/>
      <c r="G305" s="128"/>
      <c r="H305" s="142">
        <v>300</v>
      </c>
      <c r="I305" s="143" t="str">
        <f t="shared" si="21"/>
        <v/>
      </c>
      <c r="J305" s="142" t="e">
        <f t="shared" si="22"/>
        <v>#NUM!</v>
      </c>
      <c r="K305" s="142" t="e">
        <f t="shared" si="19"/>
        <v>#NUM!</v>
      </c>
      <c r="L305" s="142"/>
      <c r="M305" s="144">
        <f t="shared" si="20"/>
        <v>0</v>
      </c>
    </row>
    <row r="306" spans="1:16" x14ac:dyDescent="0.25">
      <c r="A306" s="160"/>
    </row>
    <row r="314" spans="1:16" x14ac:dyDescent="0.25">
      <c r="L314" s="163"/>
      <c r="P314" s="153"/>
    </row>
    <row r="315" spans="1:16" x14ac:dyDescent="0.25">
      <c r="L315" s="163"/>
      <c r="P315" s="153"/>
    </row>
    <row r="316" spans="1:16" x14ac:dyDescent="0.25">
      <c r="L316" s="163"/>
      <c r="P316" s="153"/>
    </row>
    <row r="317" spans="1:16" x14ac:dyDescent="0.25">
      <c r="L317" s="163"/>
      <c r="P317" s="153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6F7F6E55-DF40-4EB7-8DAF-1A7E3D6E8CFF}">
      <formula1>#REF!</formula1>
    </dataValidation>
  </dataValidations>
  <hyperlinks>
    <hyperlink ref="C2:D2" r:id="rId1" display="NIEPOŁOMICE" xr:uid="{03877273-EFB4-431A-BFF6-8438DBA78479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6" sqref="C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65</v>
      </c>
      <c r="L1" s="63" t="s">
        <v>66</v>
      </c>
      <c r="M1" s="64"/>
      <c r="N1" s="18"/>
    </row>
    <row r="2" spans="1:37" x14ac:dyDescent="0.25">
      <c r="A2" s="14"/>
      <c r="B2" s="20" t="s">
        <v>26</v>
      </c>
      <c r="C2" s="262" t="s">
        <v>162</v>
      </c>
      <c r="D2" s="26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65">
        <f>1.2</f>
        <v>1.2</v>
      </c>
      <c r="M2" s="18"/>
      <c r="N2" s="18"/>
    </row>
    <row r="3" spans="1:37" ht="14.3" customHeight="1" x14ac:dyDescent="0.25">
      <c r="A3" s="14"/>
      <c r="B3" s="25" t="s">
        <v>28</v>
      </c>
      <c r="C3" s="263" t="s">
        <v>163</v>
      </c>
      <c r="D3" s="263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  <c r="N5" s="30" t="s">
        <v>67</v>
      </c>
      <c r="P5" s="244" t="s">
        <v>164</v>
      </c>
      <c r="Q5" s="244" t="s">
        <v>165</v>
      </c>
      <c r="R5" s="244" t="s">
        <v>166</v>
      </c>
      <c r="S5" s="244" t="s">
        <v>167</v>
      </c>
    </row>
    <row r="6" spans="1:37" ht="14.45" customHeight="1" x14ac:dyDescent="0.25">
      <c r="A6" s="33">
        <f>N6</f>
        <v>70.8</v>
      </c>
      <c r="B6" s="34">
        <f t="shared" ref="B6:B13" si="0">IF(H6&gt;$H$2,"",(ROW()-5))</f>
        <v>1</v>
      </c>
      <c r="C6" s="35" t="s">
        <v>21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0</v>
      </c>
      <c r="K6" s="36">
        <f t="shared" ref="K6:K69" si="1">J6*$J$2</f>
        <v>0</v>
      </c>
      <c r="L6" s="38">
        <f>3*K2</f>
        <v>9</v>
      </c>
      <c r="M6" s="38">
        <f t="shared" ref="M6:M69" si="2">IF(I6&lt;&gt;"",K6+I6+L6,0)</f>
        <v>59</v>
      </c>
      <c r="N6" s="38">
        <f t="shared" ref="N6:N69" si="3">IF(I6&lt;&gt;"",M6*L$2,0)</f>
        <v>70.8</v>
      </c>
      <c r="P6" s="245">
        <v>1</v>
      </c>
      <c r="Q6" s="244" t="s">
        <v>168</v>
      </c>
      <c r="R6" s="245">
        <v>2</v>
      </c>
      <c r="S6" s="245">
        <v>20</v>
      </c>
    </row>
    <row r="7" spans="1:37" ht="14.45" customHeight="1" x14ac:dyDescent="0.25">
      <c r="A7" s="39">
        <f t="shared" ref="A7:A70" si="4">N7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>
        <f t="shared" ref="J7:J70" si="6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  <c r="N7" s="44">
        <f t="shared" si="3"/>
        <v>0</v>
      </c>
      <c r="P7" s="245">
        <v>2</v>
      </c>
      <c r="Q7" s="244" t="s">
        <v>169</v>
      </c>
      <c r="R7" s="245">
        <v>1</v>
      </c>
      <c r="S7" s="245">
        <v>10</v>
      </c>
    </row>
    <row r="8" spans="1:37" ht="14.45" customHeight="1" x14ac:dyDescent="0.25">
      <c r="A8" s="33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>
        <f t="shared" si="6"/>
        <v>-2</v>
      </c>
      <c r="K8" s="36">
        <f t="shared" si="1"/>
        <v>-20</v>
      </c>
      <c r="L8" s="38">
        <f>K2</f>
        <v>3</v>
      </c>
      <c r="M8" s="38">
        <f t="shared" si="2"/>
        <v>0</v>
      </c>
      <c r="N8" s="38">
        <f t="shared" si="3"/>
        <v>0</v>
      </c>
      <c r="P8" s="245">
        <v>3</v>
      </c>
      <c r="Q8" s="244" t="s">
        <v>170</v>
      </c>
      <c r="R8" s="245">
        <v>0</v>
      </c>
      <c r="S8" s="245">
        <v>0</v>
      </c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6"/>
        <v>-2</v>
      </c>
      <c r="K9" s="42">
        <f t="shared" si="1"/>
        <v>-20</v>
      </c>
      <c r="L9" s="44"/>
      <c r="M9" s="44">
        <f t="shared" si="2"/>
        <v>0</v>
      </c>
      <c r="N9" s="44">
        <f t="shared" si="3"/>
        <v>0</v>
      </c>
      <c r="W9" s="45"/>
      <c r="AA9" s="46"/>
      <c r="AB9" s="46"/>
      <c r="AH9" s="47"/>
      <c r="AI9" s="19" t="s">
        <v>42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6"/>
        <v>-3</v>
      </c>
      <c r="K10" s="36">
        <f t="shared" si="1"/>
        <v>-30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43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-3</v>
      </c>
      <c r="K11" s="42">
        <f t="shared" si="1"/>
        <v>-30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44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-3</v>
      </c>
      <c r="K12" s="36">
        <f t="shared" si="1"/>
        <v>-30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45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-3</v>
      </c>
      <c r="K13" s="42">
        <f t="shared" si="1"/>
        <v>-30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46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-4</v>
      </c>
      <c r="K14" s="36">
        <f t="shared" si="1"/>
        <v>-40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47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-4</v>
      </c>
      <c r="K15" s="42">
        <f t="shared" si="1"/>
        <v>-40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-4</v>
      </c>
      <c r="K16" s="36">
        <f t="shared" si="1"/>
        <v>-40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48</v>
      </c>
      <c r="AJ16" s="19">
        <f>AJ11-AJ12*AJ13/AJ14</f>
        <v>9.6393909380186855</v>
      </c>
      <c r="AK16" s="19" t="s">
        <v>49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-4</v>
      </c>
      <c r="K17" s="42">
        <f t="shared" si="1"/>
        <v>-40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-4</v>
      </c>
      <c r="K18" s="36">
        <f t="shared" si="1"/>
        <v>-40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-4</v>
      </c>
      <c r="K19" s="42">
        <f t="shared" si="1"/>
        <v>-40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-4</v>
      </c>
      <c r="K20" s="36">
        <f t="shared" si="1"/>
        <v>-40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-4</v>
      </c>
      <c r="K21" s="42">
        <f t="shared" si="1"/>
        <v>-40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-5</v>
      </c>
      <c r="K22" s="36">
        <f t="shared" si="1"/>
        <v>-50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-5</v>
      </c>
      <c r="K23" s="42">
        <f t="shared" si="1"/>
        <v>-50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-5</v>
      </c>
      <c r="K24" s="36">
        <f t="shared" si="1"/>
        <v>-50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-5</v>
      </c>
      <c r="K25" s="42">
        <f t="shared" si="1"/>
        <v>-50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-5</v>
      </c>
      <c r="K26" s="36">
        <f t="shared" si="1"/>
        <v>-50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-5</v>
      </c>
      <c r="K27" s="42">
        <f t="shared" si="1"/>
        <v>-50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-5</v>
      </c>
      <c r="K28" s="36">
        <f t="shared" si="1"/>
        <v>-50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-5</v>
      </c>
      <c r="K29" s="42">
        <f t="shared" si="1"/>
        <v>-50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-5</v>
      </c>
      <c r="K30" s="36">
        <f t="shared" si="1"/>
        <v>-50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-5</v>
      </c>
      <c r="K31" s="42">
        <f t="shared" si="1"/>
        <v>-50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-5</v>
      </c>
      <c r="K32" s="36">
        <f t="shared" si="1"/>
        <v>-50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-5</v>
      </c>
      <c r="K33" s="42">
        <f t="shared" si="1"/>
        <v>-50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-5</v>
      </c>
      <c r="K34" s="36">
        <f t="shared" si="1"/>
        <v>-50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-5</v>
      </c>
      <c r="K35" s="42">
        <f t="shared" si="1"/>
        <v>-50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-5</v>
      </c>
      <c r="K36" s="36">
        <f t="shared" si="1"/>
        <v>-50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-5</v>
      </c>
      <c r="K37" s="42">
        <f t="shared" si="1"/>
        <v>-50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-6</v>
      </c>
      <c r="K38" s="36">
        <f t="shared" si="1"/>
        <v>-60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-6</v>
      </c>
      <c r="K39" s="42">
        <f t="shared" si="1"/>
        <v>-60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-6</v>
      </c>
      <c r="K40" s="36">
        <f t="shared" si="1"/>
        <v>-60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-6</v>
      </c>
      <c r="K41" s="42">
        <f t="shared" si="1"/>
        <v>-60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-6</v>
      </c>
      <c r="K42" s="36">
        <f t="shared" si="1"/>
        <v>-60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-6</v>
      </c>
      <c r="K43" s="42">
        <f t="shared" si="1"/>
        <v>-60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-6</v>
      </c>
      <c r="K44" s="36">
        <f t="shared" si="1"/>
        <v>-60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-6</v>
      </c>
      <c r="K45" s="42">
        <f t="shared" si="1"/>
        <v>-60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-6</v>
      </c>
      <c r="K46" s="36">
        <f t="shared" si="1"/>
        <v>-60</v>
      </c>
      <c r="L46" s="36"/>
      <c r="M46" s="38">
        <f t="shared" si="2"/>
        <v>0</v>
      </c>
      <c r="N46" s="38">
        <f t="shared" si="3"/>
        <v>0</v>
      </c>
      <c r="S46" s="14">
        <f>LOG($H$2,2)</f>
        <v>0</v>
      </c>
      <c r="U46" s="19">
        <f>LOG(H38,2)</f>
        <v>5.0443941193584534</v>
      </c>
      <c r="V46" s="19">
        <f>S46-U46</f>
        <v>-5.0443941193584534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-6</v>
      </c>
      <c r="K47" s="42">
        <f t="shared" si="1"/>
        <v>-60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-6</v>
      </c>
      <c r="K48" s="36">
        <f t="shared" si="1"/>
        <v>-60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-6</v>
      </c>
      <c r="K49" s="42">
        <f t="shared" si="1"/>
        <v>-60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-6</v>
      </c>
      <c r="K50" s="36">
        <f t="shared" si="1"/>
        <v>-60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-6</v>
      </c>
      <c r="K51" s="42">
        <f t="shared" si="1"/>
        <v>-60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-6</v>
      </c>
      <c r="K52" s="36">
        <f t="shared" si="1"/>
        <v>-60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-6</v>
      </c>
      <c r="K53" s="42">
        <f t="shared" si="1"/>
        <v>-60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-6</v>
      </c>
      <c r="K54" s="36">
        <f t="shared" si="1"/>
        <v>-60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-6</v>
      </c>
      <c r="K55" s="42">
        <f t="shared" si="1"/>
        <v>-60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-6</v>
      </c>
      <c r="K56" s="36">
        <f t="shared" si="1"/>
        <v>-60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-6</v>
      </c>
      <c r="K57" s="42">
        <f t="shared" si="1"/>
        <v>-60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-6</v>
      </c>
      <c r="K58" s="36">
        <f t="shared" si="1"/>
        <v>-60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-6</v>
      </c>
      <c r="K59" s="42">
        <f t="shared" si="1"/>
        <v>-60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-6</v>
      </c>
      <c r="K60" s="36">
        <f t="shared" si="1"/>
        <v>-60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-6</v>
      </c>
      <c r="K61" s="42">
        <f t="shared" si="1"/>
        <v>-60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-6</v>
      </c>
      <c r="K62" s="36">
        <f t="shared" si="1"/>
        <v>-60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-6</v>
      </c>
      <c r="K63" s="42">
        <f t="shared" si="1"/>
        <v>-60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-6</v>
      </c>
      <c r="K64" s="36">
        <f t="shared" si="1"/>
        <v>-60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-6</v>
      </c>
      <c r="K65" s="42">
        <f t="shared" si="1"/>
        <v>-60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-6</v>
      </c>
      <c r="K66" s="36">
        <f t="shared" si="1"/>
        <v>-60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-6</v>
      </c>
      <c r="K67" s="36">
        <f t="shared" si="1"/>
        <v>-60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-6</v>
      </c>
      <c r="K68" s="36">
        <f t="shared" si="1"/>
        <v>-60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-6</v>
      </c>
      <c r="K69" s="36">
        <f t="shared" si="1"/>
        <v>-60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6"/>
        <v>-7</v>
      </c>
      <c r="K70" s="36">
        <f t="shared" ref="K70:K133" si="9">J70*$J$2</f>
        <v>-70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>
        <f t="shared" ref="J71:J134" si="13">INT(LOG($H$2,2))-ROUNDUP(LOG(H71,2),0)+IF(OR($H$2=1,$H$2=2,$H$2=4,$H$2=8,$H$2=16,$H$2=32,$H$2=64,$H$2=128,$H$2=256),0,1)</f>
        <v>-7</v>
      </c>
      <c r="K71" s="36">
        <f t="shared" si="9"/>
        <v>-70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>
        <f t="shared" si="13"/>
        <v>-7</v>
      </c>
      <c r="K72" s="36">
        <f t="shared" si="9"/>
        <v>-70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>
        <f t="shared" si="13"/>
        <v>-7</v>
      </c>
      <c r="K73" s="36">
        <f t="shared" si="9"/>
        <v>-70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>
        <f t="shared" si="13"/>
        <v>-7</v>
      </c>
      <c r="K74" s="36">
        <f t="shared" si="9"/>
        <v>-70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>
        <f t="shared" si="13"/>
        <v>-7</v>
      </c>
      <c r="K75" s="36">
        <f t="shared" si="9"/>
        <v>-70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>
        <f t="shared" si="13"/>
        <v>-7</v>
      </c>
      <c r="K76" s="36">
        <f t="shared" si="9"/>
        <v>-70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>
        <f t="shared" si="13"/>
        <v>-7</v>
      </c>
      <c r="K77" s="36">
        <f t="shared" si="9"/>
        <v>-70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>
        <f t="shared" si="13"/>
        <v>-7</v>
      </c>
      <c r="K78" s="36">
        <f t="shared" si="9"/>
        <v>-70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>
        <f t="shared" si="13"/>
        <v>-7</v>
      </c>
      <c r="K79" s="36">
        <f t="shared" si="9"/>
        <v>-70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>
        <f t="shared" si="13"/>
        <v>-7</v>
      </c>
      <c r="K80" s="36">
        <f t="shared" si="9"/>
        <v>-70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>
        <f t="shared" si="13"/>
        <v>-7</v>
      </c>
      <c r="K81" s="36">
        <f t="shared" si="9"/>
        <v>-70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>
        <f t="shared" si="13"/>
        <v>-7</v>
      </c>
      <c r="K82" s="36">
        <f t="shared" si="9"/>
        <v>-70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>
        <f t="shared" si="13"/>
        <v>-7</v>
      </c>
      <c r="K83" s="36">
        <f t="shared" si="9"/>
        <v>-70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>
        <f t="shared" si="13"/>
        <v>-7</v>
      </c>
      <c r="K84" s="36">
        <f t="shared" si="9"/>
        <v>-70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>
        <f t="shared" si="13"/>
        <v>-7</v>
      </c>
      <c r="K85" s="36">
        <f t="shared" si="9"/>
        <v>-70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>
        <f t="shared" si="13"/>
        <v>-7</v>
      </c>
      <c r="K86" s="36">
        <f t="shared" si="9"/>
        <v>-70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>
        <f t="shared" si="13"/>
        <v>-7</v>
      </c>
      <c r="K87" s="36">
        <f t="shared" si="9"/>
        <v>-70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>
        <f t="shared" si="13"/>
        <v>-7</v>
      </c>
      <c r="K88" s="36">
        <f t="shared" si="9"/>
        <v>-70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>
        <f t="shared" si="13"/>
        <v>-7</v>
      </c>
      <c r="K89" s="36">
        <f t="shared" si="9"/>
        <v>-70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>
        <f t="shared" si="13"/>
        <v>-7</v>
      </c>
      <c r="K90" s="36">
        <f t="shared" si="9"/>
        <v>-70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>
        <f t="shared" si="13"/>
        <v>-7</v>
      </c>
      <c r="K91" s="36">
        <f t="shared" si="9"/>
        <v>-70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>
        <f t="shared" si="13"/>
        <v>-7</v>
      </c>
      <c r="K92" s="36">
        <f t="shared" si="9"/>
        <v>-70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>
        <f t="shared" si="13"/>
        <v>-7</v>
      </c>
      <c r="K93" s="36">
        <f t="shared" si="9"/>
        <v>-70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>
        <f t="shared" si="13"/>
        <v>-7</v>
      </c>
      <c r="K94" s="36">
        <f t="shared" si="9"/>
        <v>-70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>
        <f t="shared" si="13"/>
        <v>-7</v>
      </c>
      <c r="K95" s="36">
        <f t="shared" si="9"/>
        <v>-70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>
        <f t="shared" si="13"/>
        <v>-7</v>
      </c>
      <c r="K96" s="36">
        <f t="shared" si="9"/>
        <v>-70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>
        <f t="shared" si="13"/>
        <v>-7</v>
      </c>
      <c r="K97" s="36">
        <f t="shared" si="9"/>
        <v>-70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>
        <f t="shared" si="13"/>
        <v>-7</v>
      </c>
      <c r="K98" s="36">
        <f t="shared" si="9"/>
        <v>-70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>
        <f t="shared" si="13"/>
        <v>-7</v>
      </c>
      <c r="K99" s="36">
        <f t="shared" si="9"/>
        <v>-70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>
        <f t="shared" si="13"/>
        <v>-7</v>
      </c>
      <c r="K100" s="36">
        <f t="shared" si="9"/>
        <v>-70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>
        <f t="shared" si="13"/>
        <v>-7</v>
      </c>
      <c r="K101" s="36">
        <f t="shared" si="9"/>
        <v>-70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>
        <f t="shared" si="13"/>
        <v>-7</v>
      </c>
      <c r="K102" s="36">
        <f t="shared" si="9"/>
        <v>-70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>
        <f t="shared" si="13"/>
        <v>-7</v>
      </c>
      <c r="K103" s="36">
        <f t="shared" si="9"/>
        <v>-70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>
        <f t="shared" si="13"/>
        <v>-7</v>
      </c>
      <c r="K104" s="36">
        <f t="shared" si="9"/>
        <v>-70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>
        <f t="shared" si="13"/>
        <v>-7</v>
      </c>
      <c r="K105" s="36">
        <f t="shared" si="9"/>
        <v>-70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>
        <f t="shared" si="13"/>
        <v>-7</v>
      </c>
      <c r="K106" s="36">
        <f t="shared" si="9"/>
        <v>-70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>
        <f t="shared" si="13"/>
        <v>-7</v>
      </c>
      <c r="K107" s="36">
        <f t="shared" si="9"/>
        <v>-70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>
        <f t="shared" si="13"/>
        <v>-7</v>
      </c>
      <c r="K108" s="36">
        <f t="shared" si="9"/>
        <v>-70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>
        <f t="shared" si="13"/>
        <v>-7</v>
      </c>
      <c r="K109" s="36">
        <f t="shared" si="9"/>
        <v>-70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>
        <f t="shared" si="13"/>
        <v>-7</v>
      </c>
      <c r="K110" s="36">
        <f t="shared" si="9"/>
        <v>-70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>
        <f t="shared" si="13"/>
        <v>-7</v>
      </c>
      <c r="K111" s="36">
        <f t="shared" si="9"/>
        <v>-70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>
        <f t="shared" si="13"/>
        <v>-7</v>
      </c>
      <c r="K112" s="36">
        <f t="shared" si="9"/>
        <v>-70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>
        <f t="shared" si="13"/>
        <v>-7</v>
      </c>
      <c r="K113" s="36">
        <f t="shared" si="9"/>
        <v>-70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>
        <f t="shared" si="13"/>
        <v>-7</v>
      </c>
      <c r="K114" s="36">
        <f t="shared" si="9"/>
        <v>-70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>
        <f t="shared" si="13"/>
        <v>-7</v>
      </c>
      <c r="K115" s="36">
        <f t="shared" si="9"/>
        <v>-70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>
        <f t="shared" si="13"/>
        <v>-7</v>
      </c>
      <c r="K116" s="36">
        <f t="shared" si="9"/>
        <v>-70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>
        <f t="shared" si="13"/>
        <v>-7</v>
      </c>
      <c r="K117" s="36">
        <f t="shared" si="9"/>
        <v>-70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>
        <f t="shared" si="13"/>
        <v>-7</v>
      </c>
      <c r="K118" s="36">
        <f t="shared" si="9"/>
        <v>-70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>
        <f t="shared" si="13"/>
        <v>-7</v>
      </c>
      <c r="K119" s="36">
        <f t="shared" si="9"/>
        <v>-70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>
        <f t="shared" si="13"/>
        <v>-7</v>
      </c>
      <c r="K120" s="36">
        <f t="shared" si="9"/>
        <v>-70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>
        <f t="shared" si="13"/>
        <v>-7</v>
      </c>
      <c r="K121" s="36">
        <f t="shared" si="9"/>
        <v>-70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>
        <f t="shared" si="13"/>
        <v>-7</v>
      </c>
      <c r="K122" s="36">
        <f t="shared" si="9"/>
        <v>-70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>
        <f t="shared" si="13"/>
        <v>-7</v>
      </c>
      <c r="K123" s="36">
        <f t="shared" si="9"/>
        <v>-70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>
        <f t="shared" si="13"/>
        <v>-7</v>
      </c>
      <c r="K124" s="36">
        <f t="shared" si="9"/>
        <v>-70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>
        <f t="shared" si="13"/>
        <v>-7</v>
      </c>
      <c r="K125" s="36">
        <f t="shared" si="9"/>
        <v>-70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>
        <f t="shared" si="13"/>
        <v>-7</v>
      </c>
      <c r="K126" s="36">
        <f t="shared" si="9"/>
        <v>-70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>
        <f t="shared" si="13"/>
        <v>-7</v>
      </c>
      <c r="K127" s="36">
        <f t="shared" si="9"/>
        <v>-70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>
        <f t="shared" si="13"/>
        <v>-7</v>
      </c>
      <c r="K128" s="36">
        <f t="shared" si="9"/>
        <v>-70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>
        <f t="shared" si="13"/>
        <v>-7</v>
      </c>
      <c r="K129" s="36">
        <f t="shared" si="9"/>
        <v>-70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>
        <f t="shared" si="13"/>
        <v>-7</v>
      </c>
      <c r="K130" s="36">
        <f t="shared" si="9"/>
        <v>-70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>
        <f t="shared" si="13"/>
        <v>-7</v>
      </c>
      <c r="K131" s="36">
        <f t="shared" si="9"/>
        <v>-70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>
        <f t="shared" si="13"/>
        <v>-7</v>
      </c>
      <c r="K132" s="36">
        <f t="shared" si="9"/>
        <v>-70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>
        <f t="shared" si="13"/>
        <v>-7</v>
      </c>
      <c r="K133" s="36">
        <f t="shared" si="9"/>
        <v>-70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>
        <f t="shared" si="13"/>
        <v>-8</v>
      </c>
      <c r="K134" s="36">
        <f t="shared" ref="K134:K197" si="15">J134*$J$2</f>
        <v>-80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>
        <f t="shared" ref="J135:J198" si="19">INT(LOG($H$2,2))-ROUNDUP(LOG(H135,2),0)+IF(OR($H$2=1,$H$2=2,$H$2=4,$H$2=8,$H$2=16,$H$2=32,$H$2=64,$H$2=128,$H$2=256),0,1)</f>
        <v>-8</v>
      </c>
      <c r="K135" s="36">
        <f t="shared" si="15"/>
        <v>-80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>
        <f t="shared" si="19"/>
        <v>-8</v>
      </c>
      <c r="K136" s="36">
        <f t="shared" si="15"/>
        <v>-80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>
        <f t="shared" si="19"/>
        <v>-8</v>
      </c>
      <c r="K137" s="36">
        <f t="shared" si="15"/>
        <v>-80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>
        <f t="shared" si="19"/>
        <v>-8</v>
      </c>
      <c r="K138" s="36">
        <f t="shared" si="15"/>
        <v>-80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>
        <f t="shared" si="19"/>
        <v>-8</v>
      </c>
      <c r="K139" s="36">
        <f t="shared" si="15"/>
        <v>-80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>
        <f t="shared" si="19"/>
        <v>-8</v>
      </c>
      <c r="K140" s="36">
        <f t="shared" si="15"/>
        <v>-80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>
        <f t="shared" si="19"/>
        <v>-8</v>
      </c>
      <c r="K141" s="36">
        <f t="shared" si="15"/>
        <v>-80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>
        <f t="shared" si="19"/>
        <v>-8</v>
      </c>
      <c r="K142" s="36">
        <f t="shared" si="15"/>
        <v>-80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>
        <f t="shared" si="19"/>
        <v>-8</v>
      </c>
      <c r="K143" s="36">
        <f t="shared" si="15"/>
        <v>-80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>
        <f t="shared" si="19"/>
        <v>-8</v>
      </c>
      <c r="K144" s="36">
        <f t="shared" si="15"/>
        <v>-80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>
        <f t="shared" si="19"/>
        <v>-8</v>
      </c>
      <c r="K145" s="36">
        <f t="shared" si="15"/>
        <v>-80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>
        <f t="shared" si="19"/>
        <v>-8</v>
      </c>
      <c r="K146" s="36">
        <f t="shared" si="15"/>
        <v>-80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>
        <f t="shared" si="19"/>
        <v>-8</v>
      </c>
      <c r="K147" s="36">
        <f t="shared" si="15"/>
        <v>-80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>
        <f t="shared" si="19"/>
        <v>-8</v>
      </c>
      <c r="K148" s="36">
        <f t="shared" si="15"/>
        <v>-80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>
        <f t="shared" si="19"/>
        <v>-8</v>
      </c>
      <c r="K149" s="36">
        <f t="shared" si="15"/>
        <v>-80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>
        <f t="shared" si="19"/>
        <v>-8</v>
      </c>
      <c r="K150" s="36">
        <f t="shared" si="15"/>
        <v>-80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>
        <f t="shared" si="19"/>
        <v>-8</v>
      </c>
      <c r="K151" s="36">
        <f t="shared" si="15"/>
        <v>-80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>
        <f t="shared" si="19"/>
        <v>-8</v>
      </c>
      <c r="K152" s="36">
        <f t="shared" si="15"/>
        <v>-80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>
        <f t="shared" si="19"/>
        <v>-8</v>
      </c>
      <c r="K153" s="36">
        <f t="shared" si="15"/>
        <v>-80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>
        <f t="shared" si="19"/>
        <v>-8</v>
      </c>
      <c r="K154" s="36">
        <f t="shared" si="15"/>
        <v>-80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>
        <f t="shared" si="19"/>
        <v>-8</v>
      </c>
      <c r="K155" s="36">
        <f t="shared" si="15"/>
        <v>-80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>
        <f t="shared" si="19"/>
        <v>-8</v>
      </c>
      <c r="K156" s="36">
        <f t="shared" si="15"/>
        <v>-80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>
        <f t="shared" si="19"/>
        <v>-8</v>
      </c>
      <c r="K157" s="36">
        <f t="shared" si="15"/>
        <v>-80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>
        <f t="shared" si="19"/>
        <v>-8</v>
      </c>
      <c r="K158" s="36">
        <f t="shared" si="15"/>
        <v>-80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>
        <f t="shared" si="19"/>
        <v>-8</v>
      </c>
      <c r="K159" s="36">
        <f t="shared" si="15"/>
        <v>-80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>
        <f t="shared" si="19"/>
        <v>-8</v>
      </c>
      <c r="K160" s="36">
        <f t="shared" si="15"/>
        <v>-80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>
        <f t="shared" si="19"/>
        <v>-8</v>
      </c>
      <c r="K161" s="36">
        <f t="shared" si="15"/>
        <v>-80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>
        <f t="shared" si="19"/>
        <v>-8</v>
      </c>
      <c r="K162" s="36">
        <f t="shared" si="15"/>
        <v>-80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>
        <f t="shared" si="19"/>
        <v>-8</v>
      </c>
      <c r="K163" s="36">
        <f t="shared" si="15"/>
        <v>-80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>
        <f t="shared" si="19"/>
        <v>-8</v>
      </c>
      <c r="K164" s="36">
        <f t="shared" si="15"/>
        <v>-80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>
        <f t="shared" si="19"/>
        <v>-8</v>
      </c>
      <c r="K165" s="36">
        <f t="shared" si="15"/>
        <v>-80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>
        <f t="shared" si="19"/>
        <v>-8</v>
      </c>
      <c r="K166" s="36">
        <f t="shared" si="15"/>
        <v>-80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>
        <f t="shared" si="19"/>
        <v>-8</v>
      </c>
      <c r="K167" s="36">
        <f t="shared" si="15"/>
        <v>-80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>
        <f t="shared" si="19"/>
        <v>-8</v>
      </c>
      <c r="K168" s="36">
        <f t="shared" si="15"/>
        <v>-80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>
        <f t="shared" si="19"/>
        <v>-8</v>
      </c>
      <c r="K169" s="36">
        <f t="shared" si="15"/>
        <v>-80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>
        <f t="shared" si="19"/>
        <v>-8</v>
      </c>
      <c r="K170" s="36">
        <f t="shared" si="15"/>
        <v>-80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>
        <f t="shared" si="19"/>
        <v>-8</v>
      </c>
      <c r="K171" s="36">
        <f t="shared" si="15"/>
        <v>-80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>
        <f t="shared" si="19"/>
        <v>-8</v>
      </c>
      <c r="K172" s="36">
        <f t="shared" si="15"/>
        <v>-80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>
        <f t="shared" si="19"/>
        <v>-8</v>
      </c>
      <c r="K173" s="36">
        <f t="shared" si="15"/>
        <v>-80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>
        <f t="shared" si="19"/>
        <v>-8</v>
      </c>
      <c r="K174" s="36">
        <f t="shared" si="15"/>
        <v>-80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>
        <f t="shared" si="19"/>
        <v>-8</v>
      </c>
      <c r="K175" s="36">
        <f t="shared" si="15"/>
        <v>-80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>
        <f t="shared" si="19"/>
        <v>-8</v>
      </c>
      <c r="K176" s="36">
        <f t="shared" si="15"/>
        <v>-80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>
        <f t="shared" si="19"/>
        <v>-8</v>
      </c>
      <c r="K177" s="36">
        <f t="shared" si="15"/>
        <v>-80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>
        <f t="shared" si="19"/>
        <v>-8</v>
      </c>
      <c r="K178" s="36">
        <f t="shared" si="15"/>
        <v>-80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>
        <f t="shared" si="19"/>
        <v>-8</v>
      </c>
      <c r="K179" s="36">
        <f t="shared" si="15"/>
        <v>-80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>
        <f t="shared" si="19"/>
        <v>-8</v>
      </c>
      <c r="K180" s="36">
        <f t="shared" si="15"/>
        <v>-80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>
        <f t="shared" si="19"/>
        <v>-8</v>
      </c>
      <c r="K181" s="36">
        <f t="shared" si="15"/>
        <v>-80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>
        <f t="shared" si="19"/>
        <v>-8</v>
      </c>
      <c r="K182" s="36">
        <f t="shared" si="15"/>
        <v>-80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>
        <f t="shared" si="19"/>
        <v>-8</v>
      </c>
      <c r="K183" s="36">
        <f t="shared" si="15"/>
        <v>-80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>
        <f t="shared" si="19"/>
        <v>-8</v>
      </c>
      <c r="K184" s="36">
        <f t="shared" si="15"/>
        <v>-80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>
        <f t="shared" si="19"/>
        <v>-8</v>
      </c>
      <c r="K185" s="36">
        <f t="shared" si="15"/>
        <v>-80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>
        <f t="shared" si="19"/>
        <v>-8</v>
      </c>
      <c r="K186" s="36">
        <f t="shared" si="15"/>
        <v>-80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>
        <f t="shared" si="19"/>
        <v>-8</v>
      </c>
      <c r="K187" s="36">
        <f t="shared" si="15"/>
        <v>-80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>
        <f t="shared" si="19"/>
        <v>-8</v>
      </c>
      <c r="K188" s="36">
        <f t="shared" si="15"/>
        <v>-80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>
        <f t="shared" si="19"/>
        <v>-8</v>
      </c>
      <c r="K189" s="36">
        <f t="shared" si="15"/>
        <v>-80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>
        <f t="shared" si="19"/>
        <v>-8</v>
      </c>
      <c r="K190" s="36">
        <f t="shared" si="15"/>
        <v>-80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>
        <f t="shared" si="19"/>
        <v>-8</v>
      </c>
      <c r="K191" s="36">
        <f t="shared" si="15"/>
        <v>-80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>
        <f t="shared" si="19"/>
        <v>-8</v>
      </c>
      <c r="K192" s="36">
        <f t="shared" si="15"/>
        <v>-80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>
        <f t="shared" si="19"/>
        <v>-8</v>
      </c>
      <c r="K193" s="36">
        <f t="shared" si="15"/>
        <v>-80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>
        <f t="shared" si="19"/>
        <v>-8</v>
      </c>
      <c r="K194" s="36">
        <f t="shared" si="15"/>
        <v>-80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>
        <f t="shared" si="19"/>
        <v>-8</v>
      </c>
      <c r="K195" s="36">
        <f t="shared" si="15"/>
        <v>-80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>
        <f t="shared" si="19"/>
        <v>-8</v>
      </c>
      <c r="K196" s="36">
        <f t="shared" si="15"/>
        <v>-80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>
        <f t="shared" si="19"/>
        <v>-8</v>
      </c>
      <c r="K197" s="36">
        <f t="shared" si="15"/>
        <v>-80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>
        <f t="shared" si="19"/>
        <v>-8</v>
      </c>
      <c r="K198" s="36">
        <f t="shared" ref="K198:K261" si="21">J198*$J$2</f>
        <v>-80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>
        <f t="shared" ref="J199:J262" si="25">INT(LOG($H$2,2))-ROUNDUP(LOG(H199,2),0)+IF(OR($H$2=1,$H$2=2,$H$2=4,$H$2=8,$H$2=16,$H$2=32,$H$2=64,$H$2=128,$H$2=256),0,1)</f>
        <v>-8</v>
      </c>
      <c r="K199" s="36">
        <f t="shared" si="21"/>
        <v>-80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>
        <f t="shared" si="25"/>
        <v>-8</v>
      </c>
      <c r="K200" s="36">
        <f t="shared" si="21"/>
        <v>-80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>
        <f t="shared" si="25"/>
        <v>-8</v>
      </c>
      <c r="K201" s="36">
        <f t="shared" si="21"/>
        <v>-80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>
        <f t="shared" si="25"/>
        <v>-8</v>
      </c>
      <c r="K202" s="36">
        <f t="shared" si="21"/>
        <v>-80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>
        <f t="shared" si="25"/>
        <v>-8</v>
      </c>
      <c r="K203" s="36">
        <f t="shared" si="21"/>
        <v>-80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>
        <f t="shared" si="25"/>
        <v>-8</v>
      </c>
      <c r="K204" s="36">
        <f t="shared" si="21"/>
        <v>-80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>
        <f t="shared" si="25"/>
        <v>-8</v>
      </c>
      <c r="K205" s="36">
        <f t="shared" si="21"/>
        <v>-80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>
        <f t="shared" si="25"/>
        <v>-8</v>
      </c>
      <c r="K206" s="36">
        <f t="shared" si="21"/>
        <v>-80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>
        <f t="shared" si="25"/>
        <v>-8</v>
      </c>
      <c r="K207" s="36">
        <f t="shared" si="21"/>
        <v>-80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>
        <f t="shared" si="25"/>
        <v>-8</v>
      </c>
      <c r="K208" s="36">
        <f t="shared" si="21"/>
        <v>-80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>
        <f t="shared" si="25"/>
        <v>-8</v>
      </c>
      <c r="K209" s="36">
        <f t="shared" si="21"/>
        <v>-80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>
        <f t="shared" si="25"/>
        <v>-8</v>
      </c>
      <c r="K210" s="36">
        <f t="shared" si="21"/>
        <v>-80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>
        <f t="shared" si="25"/>
        <v>-8</v>
      </c>
      <c r="K211" s="36">
        <f t="shared" si="21"/>
        <v>-80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>
        <f t="shared" si="25"/>
        <v>-8</v>
      </c>
      <c r="K212" s="36">
        <f t="shared" si="21"/>
        <v>-80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>
        <f t="shared" si="25"/>
        <v>-8</v>
      </c>
      <c r="K213" s="36">
        <f t="shared" si="21"/>
        <v>-80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>
        <f t="shared" si="25"/>
        <v>-8</v>
      </c>
      <c r="K214" s="36">
        <f t="shared" si="21"/>
        <v>-80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>
        <f t="shared" si="25"/>
        <v>-8</v>
      </c>
      <c r="K215" s="36">
        <f t="shared" si="21"/>
        <v>-80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>
        <f t="shared" si="25"/>
        <v>-8</v>
      </c>
      <c r="K216" s="36">
        <f t="shared" si="21"/>
        <v>-80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>
        <f t="shared" si="25"/>
        <v>-8</v>
      </c>
      <c r="K217" s="36">
        <f t="shared" si="21"/>
        <v>-80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>
        <f t="shared" si="25"/>
        <v>-8</v>
      </c>
      <c r="K218" s="36">
        <f t="shared" si="21"/>
        <v>-80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>
        <f t="shared" si="25"/>
        <v>-8</v>
      </c>
      <c r="K219" s="36">
        <f t="shared" si="21"/>
        <v>-80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>
        <f t="shared" si="25"/>
        <v>-8</v>
      </c>
      <c r="K220" s="36">
        <f t="shared" si="21"/>
        <v>-80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>
        <f t="shared" si="25"/>
        <v>-8</v>
      </c>
      <c r="K221" s="36">
        <f t="shared" si="21"/>
        <v>-80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>
        <f t="shared" si="25"/>
        <v>-8</v>
      </c>
      <c r="K222" s="36">
        <f t="shared" si="21"/>
        <v>-80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>
        <f t="shared" si="25"/>
        <v>-8</v>
      </c>
      <c r="K223" s="36">
        <f t="shared" si="21"/>
        <v>-80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>
        <f t="shared" si="25"/>
        <v>-8</v>
      </c>
      <c r="K224" s="36">
        <f t="shared" si="21"/>
        <v>-80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>
        <f t="shared" si="25"/>
        <v>-8</v>
      </c>
      <c r="K225" s="36">
        <f t="shared" si="21"/>
        <v>-80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>
        <f t="shared" si="25"/>
        <v>-8</v>
      </c>
      <c r="K226" s="36">
        <f t="shared" si="21"/>
        <v>-80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>
        <f t="shared" si="25"/>
        <v>-8</v>
      </c>
      <c r="K227" s="36">
        <f t="shared" si="21"/>
        <v>-80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>
        <f t="shared" si="25"/>
        <v>-8</v>
      </c>
      <c r="K228" s="36">
        <f t="shared" si="21"/>
        <v>-80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>
        <f t="shared" si="25"/>
        <v>-8</v>
      </c>
      <c r="K229" s="36">
        <f t="shared" si="21"/>
        <v>-80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>
        <f t="shared" si="25"/>
        <v>-8</v>
      </c>
      <c r="K230" s="36">
        <f t="shared" si="21"/>
        <v>-80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>
        <f t="shared" si="25"/>
        <v>-8</v>
      </c>
      <c r="K231" s="36">
        <f t="shared" si="21"/>
        <v>-80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>
        <f t="shared" si="25"/>
        <v>-8</v>
      </c>
      <c r="K232" s="36">
        <f t="shared" si="21"/>
        <v>-80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>
        <f t="shared" si="25"/>
        <v>-8</v>
      </c>
      <c r="K233" s="36">
        <f t="shared" si="21"/>
        <v>-80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>
        <f t="shared" si="25"/>
        <v>-8</v>
      </c>
      <c r="K234" s="36">
        <f t="shared" si="21"/>
        <v>-80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>
        <f t="shared" si="25"/>
        <v>-8</v>
      </c>
      <c r="K235" s="36">
        <f t="shared" si="21"/>
        <v>-80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>
        <f t="shared" si="25"/>
        <v>-8</v>
      </c>
      <c r="K236" s="36">
        <f t="shared" si="21"/>
        <v>-80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>
        <f t="shared" si="25"/>
        <v>-8</v>
      </c>
      <c r="K237" s="36">
        <f t="shared" si="21"/>
        <v>-80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>
        <f t="shared" si="25"/>
        <v>-8</v>
      </c>
      <c r="K238" s="36">
        <f t="shared" si="21"/>
        <v>-80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>
        <f t="shared" si="25"/>
        <v>-8</v>
      </c>
      <c r="K239" s="36">
        <f t="shared" si="21"/>
        <v>-80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>
        <f t="shared" si="25"/>
        <v>-8</v>
      </c>
      <c r="K240" s="36">
        <f t="shared" si="21"/>
        <v>-80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>
        <f t="shared" si="25"/>
        <v>-8</v>
      </c>
      <c r="K241" s="36">
        <f t="shared" si="21"/>
        <v>-80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>
        <f t="shared" si="25"/>
        <v>-8</v>
      </c>
      <c r="K242" s="36">
        <f t="shared" si="21"/>
        <v>-80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>
        <f t="shared" si="25"/>
        <v>-8</v>
      </c>
      <c r="K243" s="36">
        <f t="shared" si="21"/>
        <v>-80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>
        <f t="shared" si="25"/>
        <v>-8</v>
      </c>
      <c r="K244" s="36">
        <f t="shared" si="21"/>
        <v>-80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>
        <f t="shared" si="25"/>
        <v>-8</v>
      </c>
      <c r="K245" s="36">
        <f t="shared" si="21"/>
        <v>-80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>
        <f t="shared" si="25"/>
        <v>-8</v>
      </c>
      <c r="K246" s="36">
        <f t="shared" si="21"/>
        <v>-80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>
        <f t="shared" si="25"/>
        <v>-8</v>
      </c>
      <c r="K247" s="36">
        <f t="shared" si="21"/>
        <v>-80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>
        <f t="shared" si="25"/>
        <v>-8</v>
      </c>
      <c r="K248" s="36">
        <f t="shared" si="21"/>
        <v>-80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>
        <f t="shared" si="25"/>
        <v>-8</v>
      </c>
      <c r="K249" s="36">
        <f t="shared" si="21"/>
        <v>-80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>
        <f t="shared" si="25"/>
        <v>-8</v>
      </c>
      <c r="K250" s="36">
        <f t="shared" si="21"/>
        <v>-80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>
        <f t="shared" si="25"/>
        <v>-8</v>
      </c>
      <c r="K251" s="36">
        <f t="shared" si="21"/>
        <v>-80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>
        <f t="shared" si="25"/>
        <v>-8</v>
      </c>
      <c r="K252" s="36">
        <f t="shared" si="21"/>
        <v>-80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>
        <f t="shared" si="25"/>
        <v>-8</v>
      </c>
      <c r="K253" s="36">
        <f t="shared" si="21"/>
        <v>-80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>
        <f t="shared" si="25"/>
        <v>-8</v>
      </c>
      <c r="K254" s="36">
        <f t="shared" si="21"/>
        <v>-80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>
        <f t="shared" si="25"/>
        <v>-8</v>
      </c>
      <c r="K255" s="36">
        <f t="shared" si="21"/>
        <v>-80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>
        <f t="shared" si="25"/>
        <v>-8</v>
      </c>
      <c r="K256" s="36">
        <f t="shared" si="21"/>
        <v>-80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>
        <f t="shared" si="25"/>
        <v>-8</v>
      </c>
      <c r="K257" s="36">
        <f t="shared" si="21"/>
        <v>-80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>
        <f t="shared" si="25"/>
        <v>-8</v>
      </c>
      <c r="K258" s="36">
        <f t="shared" si="21"/>
        <v>-80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>
        <f t="shared" si="25"/>
        <v>-8</v>
      </c>
      <c r="K259" s="36">
        <f t="shared" si="21"/>
        <v>-80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>
        <f t="shared" si="25"/>
        <v>-8</v>
      </c>
      <c r="K260" s="36">
        <f t="shared" si="21"/>
        <v>-80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>
        <f t="shared" si="25"/>
        <v>-8</v>
      </c>
      <c r="K261" s="36">
        <f t="shared" si="21"/>
        <v>-80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>
        <f t="shared" si="25"/>
        <v>-9</v>
      </c>
      <c r="K262" s="36">
        <f t="shared" ref="K262:K305" si="27">J262*$J$2</f>
        <v>-90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>
        <f t="shared" ref="J263:J305" si="31">INT(LOG($H$2,2))-ROUNDUP(LOG(H263,2),0)+IF(OR($H$2=1,$H$2=2,$H$2=4,$H$2=8,$H$2=16,$H$2=32,$H$2=64,$H$2=128,$H$2=256),0,1)</f>
        <v>-9</v>
      </c>
      <c r="K263" s="36">
        <f t="shared" si="27"/>
        <v>-90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>
        <f t="shared" si="31"/>
        <v>-9</v>
      </c>
      <c r="K264" s="36">
        <f t="shared" si="27"/>
        <v>-90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>
        <f t="shared" si="31"/>
        <v>-9</v>
      </c>
      <c r="K265" s="36">
        <f t="shared" si="27"/>
        <v>-90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>
        <f t="shared" si="31"/>
        <v>-9</v>
      </c>
      <c r="K266" s="36">
        <f t="shared" si="27"/>
        <v>-90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>
        <f t="shared" si="31"/>
        <v>-9</v>
      </c>
      <c r="K267" s="36">
        <f t="shared" si="27"/>
        <v>-90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>
        <f t="shared" si="31"/>
        <v>-9</v>
      </c>
      <c r="K268" s="36">
        <f t="shared" si="27"/>
        <v>-90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>
        <f t="shared" si="31"/>
        <v>-9</v>
      </c>
      <c r="K269" s="36">
        <f t="shared" si="27"/>
        <v>-90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>
        <f t="shared" si="31"/>
        <v>-9</v>
      </c>
      <c r="K270" s="36">
        <f t="shared" si="27"/>
        <v>-90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>
        <f t="shared" si="31"/>
        <v>-9</v>
      </c>
      <c r="K271" s="36">
        <f t="shared" si="27"/>
        <v>-90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>
        <f t="shared" si="31"/>
        <v>-9</v>
      </c>
      <c r="K272" s="36">
        <f t="shared" si="27"/>
        <v>-90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>
        <f t="shared" si="31"/>
        <v>-9</v>
      </c>
      <c r="K273" s="36">
        <f t="shared" si="27"/>
        <v>-90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>
        <f t="shared" si="31"/>
        <v>-9</v>
      </c>
      <c r="K274" s="36">
        <f t="shared" si="27"/>
        <v>-90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>
        <f t="shared" si="31"/>
        <v>-9</v>
      </c>
      <c r="K275" s="36">
        <f t="shared" si="27"/>
        <v>-90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>
        <f t="shared" si="31"/>
        <v>-9</v>
      </c>
      <c r="K276" s="36">
        <f t="shared" si="27"/>
        <v>-90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>
        <f t="shared" si="31"/>
        <v>-9</v>
      </c>
      <c r="K277" s="36">
        <f t="shared" si="27"/>
        <v>-90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>
        <f t="shared" si="31"/>
        <v>-9</v>
      </c>
      <c r="K278" s="36">
        <f t="shared" si="27"/>
        <v>-90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>
        <f t="shared" si="31"/>
        <v>-9</v>
      </c>
      <c r="K279" s="36">
        <f t="shared" si="27"/>
        <v>-90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>
        <f t="shared" si="31"/>
        <v>-9</v>
      </c>
      <c r="K280" s="36">
        <f t="shared" si="27"/>
        <v>-90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>
        <f t="shared" si="31"/>
        <v>-9</v>
      </c>
      <c r="K281" s="36">
        <f t="shared" si="27"/>
        <v>-90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>
        <f t="shared" si="31"/>
        <v>-9</v>
      </c>
      <c r="K282" s="36">
        <f t="shared" si="27"/>
        <v>-90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>
        <f t="shared" si="31"/>
        <v>-9</v>
      </c>
      <c r="K283" s="36">
        <f t="shared" si="27"/>
        <v>-90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>
        <f t="shared" si="31"/>
        <v>-9</v>
      </c>
      <c r="K284" s="36">
        <f t="shared" si="27"/>
        <v>-90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>
        <f t="shared" si="31"/>
        <v>-9</v>
      </c>
      <c r="K285" s="36">
        <f t="shared" si="27"/>
        <v>-90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>
        <f t="shared" si="31"/>
        <v>-9</v>
      </c>
      <c r="K286" s="36">
        <f t="shared" si="27"/>
        <v>-90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>
        <f t="shared" si="31"/>
        <v>-9</v>
      </c>
      <c r="K287" s="36">
        <f t="shared" si="27"/>
        <v>-90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>
        <f t="shared" si="31"/>
        <v>-9</v>
      </c>
      <c r="K288" s="36">
        <f t="shared" si="27"/>
        <v>-90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>
        <f t="shared" si="31"/>
        <v>-9</v>
      </c>
      <c r="K289" s="36">
        <f t="shared" si="27"/>
        <v>-90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>
        <f t="shared" si="31"/>
        <v>-9</v>
      </c>
      <c r="K290" s="36">
        <f t="shared" si="27"/>
        <v>-90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>
        <f t="shared" si="31"/>
        <v>-9</v>
      </c>
      <c r="K291" s="36">
        <f t="shared" si="27"/>
        <v>-90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>
        <f t="shared" si="31"/>
        <v>-9</v>
      </c>
      <c r="K292" s="36">
        <f t="shared" si="27"/>
        <v>-90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>
        <f t="shared" si="31"/>
        <v>-9</v>
      </c>
      <c r="K293" s="36">
        <f t="shared" si="27"/>
        <v>-90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>
        <f t="shared" si="31"/>
        <v>-9</v>
      </c>
      <c r="K294" s="36">
        <f t="shared" si="27"/>
        <v>-90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>
        <f t="shared" si="31"/>
        <v>-9</v>
      </c>
      <c r="K295" s="36">
        <f t="shared" si="27"/>
        <v>-90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>
        <f t="shared" si="31"/>
        <v>-9</v>
      </c>
      <c r="K296" s="36">
        <f t="shared" si="27"/>
        <v>-90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>
        <f t="shared" si="31"/>
        <v>-9</v>
      </c>
      <c r="K297" s="36">
        <f t="shared" si="27"/>
        <v>-90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>
        <f t="shared" si="31"/>
        <v>-9</v>
      </c>
      <c r="K298" s="36">
        <f t="shared" si="27"/>
        <v>-90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>
        <f t="shared" si="31"/>
        <v>-9</v>
      </c>
      <c r="K299" s="36">
        <f t="shared" si="27"/>
        <v>-90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>
        <f t="shared" si="31"/>
        <v>-9</v>
      </c>
      <c r="K300" s="36">
        <f t="shared" si="27"/>
        <v>-90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>
        <f t="shared" si="31"/>
        <v>-9</v>
      </c>
      <c r="K301" s="36">
        <f t="shared" si="27"/>
        <v>-90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>
        <f t="shared" si="31"/>
        <v>-9</v>
      </c>
      <c r="K302" s="36">
        <f t="shared" si="27"/>
        <v>-90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>
        <f t="shared" si="31"/>
        <v>-9</v>
      </c>
      <c r="K303" s="36">
        <f t="shared" si="27"/>
        <v>-90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>
        <f t="shared" si="31"/>
        <v>-9</v>
      </c>
      <c r="K304" s="36">
        <f t="shared" si="27"/>
        <v>-90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>
        <f t="shared" si="31"/>
        <v>-9</v>
      </c>
      <c r="K305" s="36">
        <f t="shared" si="27"/>
        <v>-90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WARSZAWA" xr:uid="{5FF2350B-EC55-4461-B7B6-82A1929A7AE2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20E9-F8B7-492F-BB01-8847831CAE8D}">
  <dimension ref="A1:BG169"/>
  <sheetViews>
    <sheetView workbookViewId="0">
      <selection activeCell="B7" sqref="B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14.37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282" t="s">
        <v>68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X1" s="264" t="s">
        <v>69</v>
      </c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6"/>
    </row>
    <row r="2" spans="1:59" ht="13.75" customHeight="1" x14ac:dyDescent="0.2">
      <c r="A2" s="3"/>
      <c r="B2" s="4" t="s">
        <v>0</v>
      </c>
      <c r="C2" s="3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X2" s="267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8"/>
      <c r="AP2" s="268"/>
      <c r="AQ2" s="268"/>
      <c r="AR2" s="268"/>
      <c r="AS2" s="268"/>
      <c r="AT2" s="268"/>
      <c r="AU2" s="268"/>
      <c r="AV2" s="268"/>
      <c r="AW2" s="268"/>
      <c r="AX2" s="268"/>
      <c r="AY2" s="268"/>
      <c r="AZ2" s="268"/>
      <c r="BA2" s="269"/>
    </row>
    <row r="3" spans="1:59" ht="13.75" customHeight="1" thickBot="1" x14ac:dyDescent="0.3">
      <c r="A3" s="3"/>
      <c r="B3" s="3"/>
      <c r="C3" s="3"/>
      <c r="D3" s="72" t="s">
        <v>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2"/>
    </row>
    <row r="4" spans="1:59" ht="24.8" customHeight="1" thickTop="1" x14ac:dyDescent="0.2">
      <c r="A4" s="275" t="s">
        <v>4</v>
      </c>
      <c r="B4" s="277" t="s">
        <v>5</v>
      </c>
      <c r="C4" s="277" t="s">
        <v>6</v>
      </c>
      <c r="D4" s="277" t="s">
        <v>7</v>
      </c>
      <c r="E4" s="280" t="s">
        <v>8</v>
      </c>
      <c r="F4" s="281"/>
      <c r="G4" s="280" t="s">
        <v>9</v>
      </c>
      <c r="H4" s="281"/>
      <c r="I4" s="280" t="s">
        <v>10</v>
      </c>
      <c r="J4" s="281"/>
      <c r="K4" s="280" t="s">
        <v>11</v>
      </c>
      <c r="L4" s="281"/>
      <c r="M4" s="280" t="s">
        <v>12</v>
      </c>
      <c r="N4" s="281"/>
      <c r="O4" s="280" t="s">
        <v>13</v>
      </c>
      <c r="P4" s="281"/>
      <c r="Q4" s="280" t="s">
        <v>14</v>
      </c>
      <c r="R4" s="281"/>
      <c r="S4" s="280" t="s">
        <v>15</v>
      </c>
      <c r="T4" s="281"/>
      <c r="U4" s="280" t="s">
        <v>16</v>
      </c>
      <c r="V4" s="281"/>
      <c r="X4" s="273" t="s">
        <v>71</v>
      </c>
      <c r="Y4" s="274"/>
      <c r="Z4" s="273" t="s">
        <v>72</v>
      </c>
      <c r="AA4" s="274"/>
      <c r="AB4" s="273" t="s">
        <v>73</v>
      </c>
      <c r="AC4" s="274"/>
      <c r="AD4" s="273" t="s">
        <v>74</v>
      </c>
      <c r="AE4" s="274"/>
      <c r="AF4" s="273" t="s">
        <v>75</v>
      </c>
      <c r="AG4" s="274"/>
      <c r="AH4" s="273" t="s">
        <v>76</v>
      </c>
      <c r="AI4" s="274"/>
      <c r="AJ4" s="273" t="s">
        <v>77</v>
      </c>
      <c r="AK4" s="274"/>
      <c r="AL4" s="273" t="s">
        <v>78</v>
      </c>
      <c r="AM4" s="274"/>
      <c r="AN4" s="273" t="s">
        <v>79</v>
      </c>
      <c r="AO4" s="274"/>
      <c r="AP4" s="273" t="s">
        <v>80</v>
      </c>
      <c r="AQ4" s="274"/>
      <c r="AR4" s="273" t="s">
        <v>81</v>
      </c>
      <c r="AS4" s="274"/>
      <c r="AT4" s="273" t="s">
        <v>82</v>
      </c>
      <c r="AU4" s="274"/>
      <c r="AV4" s="273" t="s">
        <v>83</v>
      </c>
      <c r="AW4" s="274"/>
      <c r="AX4" s="273" t="s">
        <v>84</v>
      </c>
      <c r="AY4" s="274"/>
    </row>
    <row r="5" spans="1:59" ht="18" customHeight="1" x14ac:dyDescent="0.2">
      <c r="A5" s="276"/>
      <c r="B5" s="278"/>
      <c r="C5" s="278"/>
      <c r="D5" s="279"/>
      <c r="E5" s="73" t="s">
        <v>17</v>
      </c>
      <c r="F5" s="73" t="s">
        <v>18</v>
      </c>
      <c r="G5" s="73" t="s">
        <v>17</v>
      </c>
      <c r="H5" s="73" t="s">
        <v>18</v>
      </c>
      <c r="I5" s="73" t="s">
        <v>17</v>
      </c>
      <c r="J5" s="73" t="s">
        <v>18</v>
      </c>
      <c r="K5" s="73" t="s">
        <v>17</v>
      </c>
      <c r="L5" s="73" t="s">
        <v>18</v>
      </c>
      <c r="M5" s="73" t="s">
        <v>17</v>
      </c>
      <c r="N5" s="74" t="s">
        <v>18</v>
      </c>
      <c r="O5" s="73" t="s">
        <v>17</v>
      </c>
      <c r="P5" s="74" t="s">
        <v>18</v>
      </c>
      <c r="Q5" s="73" t="s">
        <v>17</v>
      </c>
      <c r="R5" s="74" t="s">
        <v>18</v>
      </c>
      <c r="S5" s="73" t="s">
        <v>17</v>
      </c>
      <c r="T5" s="74" t="s">
        <v>18</v>
      </c>
      <c r="U5" s="73" t="s">
        <v>17</v>
      </c>
      <c r="V5" s="74" t="s">
        <v>18</v>
      </c>
      <c r="X5" s="75" t="s">
        <v>17</v>
      </c>
      <c r="Y5" s="75" t="s">
        <v>18</v>
      </c>
      <c r="Z5" s="75" t="s">
        <v>17</v>
      </c>
      <c r="AA5" s="75" t="s">
        <v>18</v>
      </c>
      <c r="AB5" s="75" t="s">
        <v>17</v>
      </c>
      <c r="AC5" s="75" t="s">
        <v>18</v>
      </c>
      <c r="AD5" s="75" t="s">
        <v>17</v>
      </c>
      <c r="AE5" s="75" t="s">
        <v>18</v>
      </c>
      <c r="AF5" s="75" t="s">
        <v>17</v>
      </c>
      <c r="AG5" s="75" t="s">
        <v>18</v>
      </c>
      <c r="AH5" s="75" t="s">
        <v>17</v>
      </c>
      <c r="AI5" s="76" t="s">
        <v>18</v>
      </c>
      <c r="AJ5" s="75" t="s">
        <v>17</v>
      </c>
      <c r="AK5" s="76" t="s">
        <v>18</v>
      </c>
      <c r="AL5" s="75" t="s">
        <v>17</v>
      </c>
      <c r="AM5" s="76" t="s">
        <v>18</v>
      </c>
      <c r="AN5" s="75" t="s">
        <v>17</v>
      </c>
      <c r="AO5" s="76" t="s">
        <v>18</v>
      </c>
      <c r="AP5" s="75" t="s">
        <v>17</v>
      </c>
      <c r="AQ5" s="76" t="s">
        <v>18</v>
      </c>
      <c r="AR5" s="75" t="s">
        <v>17</v>
      </c>
      <c r="AS5" s="76" t="s">
        <v>18</v>
      </c>
      <c r="AT5" s="75" t="s">
        <v>17</v>
      </c>
      <c r="AU5" s="76" t="s">
        <v>18</v>
      </c>
      <c r="AV5" s="75" t="s">
        <v>17</v>
      </c>
      <c r="AW5" s="76" t="s">
        <v>18</v>
      </c>
      <c r="AX5" s="75" t="s">
        <v>17</v>
      </c>
      <c r="AY5" s="76" t="s">
        <v>18</v>
      </c>
    </row>
    <row r="6" spans="1:59" ht="14.8" customHeight="1" x14ac:dyDescent="0.25">
      <c r="A6" s="8">
        <f t="shared" ref="A6:A29" si="0">ROW()-5</f>
        <v>1</v>
      </c>
      <c r="B6" s="9" t="s">
        <v>19</v>
      </c>
      <c r="C6" s="67"/>
      <c r="D6" s="78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334.8277432077237</v>
      </c>
      <c r="E6" s="10">
        <f>_xlfn.XLOOKUP($B6,'GP1'!$C$6:$C$55,'GP1'!$B$6:$B$55,"")</f>
        <v>1</v>
      </c>
      <c r="F6" s="203">
        <f>_xlfn.XLOOKUP(E6,'GP1'!$B$6:$B$55,'GP1'!$A$6:$A$55,0)</f>
        <v>71.339289449053865</v>
      </c>
      <c r="G6" s="10" t="str">
        <f>_xlfn.XLOOKUP($B6,'GP2'!$C$6:$C$15,'GP2'!$B$6:$B$15,"")</f>
        <v/>
      </c>
      <c r="H6" s="203">
        <f>_xlfn.XLOOKUP(G6,'GP2'!$B$6:$B$15,'GP2'!$A$6:$A$15,0)</f>
        <v>0</v>
      </c>
      <c r="I6" s="10">
        <f>_xlfn.XLOOKUP($B6,'GP3'!$C$6:$C$15,'GP3'!$B$6:$B$15,"")</f>
        <v>1</v>
      </c>
      <c r="J6" s="203">
        <f>_xlfn.XLOOKUP(I6,'GP3'!$B$6:$B$15,'GP3'!$A$6:$A$15,0)</f>
        <v>71.339289449053865</v>
      </c>
      <c r="K6" s="10">
        <f>_xlfn.XLOOKUP($B6,'GP4'!$C$6:$C$15,'GP4'!$B$6:$B$15,"")</f>
        <v>1</v>
      </c>
      <c r="L6" s="203">
        <f>_xlfn.XLOOKUP(K6,'GP4'!$B$6:$B$15,'GP4'!$A$6:$A$15,0)</f>
        <v>59</v>
      </c>
      <c r="M6" s="10">
        <f>_xlfn.XLOOKUP($B6,'GP5'!$C$6:$C$15,'GP5'!$B$6:$B$15,"")</f>
        <v>1</v>
      </c>
      <c r="N6" s="205">
        <f>_xlfn.XLOOKUP(M6,'GP5'!$B$6:$B$15,'GP5'!$A$6:$A$15,0)</f>
        <v>71.339289449053865</v>
      </c>
      <c r="O6" s="10">
        <f>_xlfn.XLOOKUP($B6,'GP6'!$C$6:$C$15,'GP6'!$B$6:$B$15,"")</f>
        <v>1</v>
      </c>
      <c r="P6" s="205">
        <f>_xlfn.XLOOKUP(O6,'GP6'!$B$6:$B$15,'GP6'!$A$6:$A$15,0)</f>
        <v>59</v>
      </c>
      <c r="Q6" s="10" t="str">
        <f>_xlfn.XLOOKUP($B6,'GP7'!$C$6:$C$15,'GP7'!$B$6:$B$15,"")</f>
        <v/>
      </c>
      <c r="R6" s="205">
        <f>_xlfn.XLOOKUP(Q6,'GP7'!$B$6:$B$15,'GP7'!$A$6:$A$15,0)</f>
        <v>0</v>
      </c>
      <c r="S6" s="10" t="str">
        <f>_xlfn.XLOOKUP($B6,'GP8'!$C$6:$C$15,'GP8'!$B$6:$B$15,"")</f>
        <v/>
      </c>
      <c r="T6" s="205">
        <f>_xlfn.XLOOKUP(S6,'GP8'!$B$6:$B$15,'GP8'!$A$6:$A$15,0)</f>
        <v>0</v>
      </c>
      <c r="U6" s="10" t="str">
        <f>_xlfn.XLOOKUP(B6,MPW!C$6:C$15,MPW!B$6:B$15,"")</f>
        <v/>
      </c>
      <c r="V6" s="205">
        <f>_xlfn.XLOOKUP(U6,MPW!B$6:B$15,MPW!A$6:A$15,0)</f>
        <v>0</v>
      </c>
      <c r="X6" s="10" t="str">
        <f>_xlfn.XLOOKUP($B6,'PEW1'!$C$6:$C$201,'PEW1'!$B$6:$B$201,"")</f>
        <v/>
      </c>
      <c r="Y6" s="79">
        <f>_xlfn.XLOOKUP(X6,'PEW1'!$B$6:$B$201,'PEW1'!$A$6:$A$201,0)</f>
        <v>0</v>
      </c>
      <c r="Z6" s="10" t="str">
        <f>_xlfn.XLOOKUP($B6,'PEW2'!$C$6:$C$201,'PEW2'!$B$6:$B$201,"")</f>
        <v/>
      </c>
      <c r="AA6" s="79">
        <f>_xlfn.XLOOKUP(Z6,'PEW2'!$B$6:$B$201,'PEW2'!$A$6:$A$201,0)</f>
        <v>0</v>
      </c>
      <c r="AB6" s="10" t="str">
        <f>_xlfn.XLOOKUP($B6,'PEW3'!$C$6:$C$201,'PEW3'!$B$6:$B$201,"")</f>
        <v/>
      </c>
      <c r="AC6" s="79">
        <f>_xlfn.XLOOKUP(AB6,'PEW3'!$B$6:$B$201,'PEW3'!$A$6:$A$201,0)</f>
        <v>0</v>
      </c>
      <c r="AD6" s="10" t="str">
        <f>_xlfn.XLOOKUP($B6,VFC!$C$6:$C$201,VFC!$B$6:$B$201,"")</f>
        <v/>
      </c>
      <c r="AE6" s="79">
        <f>_xlfn.XLOOKUP(AD6,VFC!$B$6:$B$201,VFC!$A$6:$A$201,0)</f>
        <v>0</v>
      </c>
      <c r="AF6" s="10" t="str">
        <f>_xlfn.XLOOKUP($B6,'PEW4'!$C$6:$C$201,'PEW4'!$B$6:$B$201,"")</f>
        <v/>
      </c>
      <c r="AG6" s="79">
        <f>_xlfn.XLOOKUP(AF6,'PEW4'!$B$6:$B$201,'PEW4'!$A$6:$A$201,0)</f>
        <v>0</v>
      </c>
      <c r="AH6" s="10" t="str">
        <f>_xlfn.XLOOKUP($B6,'PEW5'!$C$6:$C$201,'PEW5'!$B$6:$B$201,"")</f>
        <v/>
      </c>
      <c r="AI6" s="79">
        <f>_xlfn.XLOOKUP(AH6,'PEW5'!$B$6:$B$201,'PEW5'!$A$6:$A$201,0)</f>
        <v>0</v>
      </c>
      <c r="AJ6" s="10" t="str">
        <f>_xlfn.XLOOKUP($B6,'PEW6'!$C$6:$C$201,'PEW6'!$B$6:$B$201,"")</f>
        <v/>
      </c>
      <c r="AK6" s="79">
        <f>_xlfn.XLOOKUP(AJ6,'PEW6'!$B$6:$B$201,'PEW6'!$A$6:$A$201,0)</f>
        <v>0</v>
      </c>
      <c r="AL6" s="10" t="str">
        <f>_xlfn.XLOOKUP($B6,'PEW7'!$C$6:$C$201,'PEW7'!$B$6:$B$201,"")</f>
        <v/>
      </c>
      <c r="AM6" s="79">
        <f>_xlfn.XLOOKUP(AL6,'PEW7'!$B$6:$B$201,'PEW7'!$A$6:$A$201,0)</f>
        <v>0</v>
      </c>
      <c r="AN6" s="10" t="str">
        <f>_xlfn.XLOOKUP($B6,'PEW8'!$C$6:$C$201,'PEW8'!$B$6:$B$201,"")</f>
        <v/>
      </c>
      <c r="AO6" s="79">
        <f>_xlfn.XLOOKUP(AN6,'PEW8'!$B$6:$B$201,'PEW8'!$A$6:$A$201,0)</f>
        <v>0</v>
      </c>
      <c r="AP6" s="10" t="str">
        <f>_xlfn.XLOOKUP($B6,'PEW9'!$C$6:$C$201,'PEW9'!$B$6:$B$201,"")</f>
        <v/>
      </c>
      <c r="AQ6" s="79">
        <f>_xlfn.XLOOKUP(AP6,'PEW9'!$B$6:$B$201,'PEW9'!$A$6:$A$201,0)</f>
        <v>0</v>
      </c>
      <c r="AR6" s="10" t="str">
        <f>_xlfn.XLOOKUP($B6,'PEW10'!$C$6:$C$201,'PEW10'!$B$6:$B$201,"")</f>
        <v/>
      </c>
      <c r="AS6" s="79">
        <f>_xlfn.XLOOKUP(AR6,'PEW10'!$B$6:$B$201,'PEW10'!$A$6:$A$201,0)</f>
        <v>0</v>
      </c>
      <c r="AT6" s="10" t="str">
        <f>_xlfn.XLOOKUP($B6,'PEW11'!$C$6:$C$201,'PEW11'!$B$6:$B$201,"")</f>
        <v/>
      </c>
      <c r="AU6" s="79">
        <f>_xlfn.XLOOKUP(AT6,'PEW11'!$B$6:$B$201,'PEW11'!$A$6:$A$201,0)</f>
        <v>0</v>
      </c>
      <c r="AV6" s="10" t="str">
        <f>_xlfn.XLOOKUP($B6,'PEW12'!$C$6:$C$201,'PEW12'!$B$6:$B$201,"")</f>
        <v/>
      </c>
      <c r="AW6" s="79">
        <f>_xlfn.XLOOKUP(AV6,'PEW12'!$B$6:$B$201,'PEW12'!$A$6:$A$201,0)</f>
        <v>0</v>
      </c>
      <c r="AX6" s="10" cm="1">
        <f t="array" ref="AX6">_xlfn.XLOOKUP($B6,IMEW!C$6:C$201,IMEW!$B$6:B$201,"")</f>
        <v>22</v>
      </c>
      <c r="AY6" s="80">
        <f>_xlfn.XLOOKUP(AX6,IMEW!$B$6:$B$201,IMEW!$A$6:$A$201,0)</f>
        <v>2.8098748605620925</v>
      </c>
      <c r="BA6" s="81">
        <f>Y6</f>
        <v>0</v>
      </c>
      <c r="BB6" s="81">
        <f>AA6</f>
        <v>0</v>
      </c>
      <c r="BC6" s="81">
        <f>AC6</f>
        <v>0</v>
      </c>
      <c r="BD6" s="81">
        <f>AG6</f>
        <v>0</v>
      </c>
      <c r="BE6" s="81">
        <f>AI6</f>
        <v>0</v>
      </c>
      <c r="BF6" s="81">
        <f>AK6</f>
        <v>0</v>
      </c>
      <c r="BG6" s="81">
        <f>AM6</f>
        <v>0</v>
      </c>
    </row>
    <row r="7" spans="1:59" ht="14.8" customHeight="1" x14ac:dyDescent="0.25">
      <c r="A7" s="8">
        <f t="shared" si="0"/>
        <v>2</v>
      </c>
      <c r="B7" s="9" t="s">
        <v>20</v>
      </c>
      <c r="C7" s="68"/>
      <c r="D7" s="78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85.878578898107719</v>
      </c>
      <c r="E7" s="12">
        <f>_xlfn.XLOOKUP($B7,'GP1'!$C$6:$C$55,'GP1'!$B$6:$B$55,"")</f>
        <v>2</v>
      </c>
      <c r="F7" s="204">
        <f>_xlfn.XLOOKUP(E7,'GP1'!$B$6:$B$55,'GP1'!$A$6:$A$55,0)</f>
        <v>8.5595262993692387</v>
      </c>
      <c r="G7" s="12">
        <f>_xlfn.XLOOKUP($B7,'GP2'!$C$6:$C$15,'GP2'!$B$6:$B$15,"")</f>
        <v>1</v>
      </c>
      <c r="H7" s="204">
        <f>_xlfn.XLOOKUP(G7,'GP2'!$B$6:$B$15,'GP2'!$A$6:$A$15,0)</f>
        <v>59</v>
      </c>
      <c r="I7" s="12">
        <f>_xlfn.XLOOKUP($B7,'GP3'!$C$6:$C$15,'GP3'!$B$6:$B$15,"")</f>
        <v>2</v>
      </c>
      <c r="J7" s="204">
        <f>_xlfn.XLOOKUP(I7,'GP3'!$B$6:$B$15,'GP3'!$A$6:$A$15,0)</f>
        <v>8.5595262993692387</v>
      </c>
      <c r="K7" s="12" t="str">
        <f>_xlfn.XLOOKUP($B7,'GP4'!$C$6:$C$15,'GP4'!$B$6:$B$15,"")</f>
        <v/>
      </c>
      <c r="L7" s="204">
        <f>_xlfn.XLOOKUP(K7,'GP4'!$B$6:$B$15,'GP4'!$A$6:$A$15,0)</f>
        <v>0</v>
      </c>
      <c r="M7" s="12">
        <f>_xlfn.XLOOKUP($B7,'GP5'!$C$6:$C$15,'GP5'!$B$6:$B$15,"")</f>
        <v>2</v>
      </c>
      <c r="N7" s="206">
        <f>_xlfn.XLOOKUP(M7,'GP5'!$B$6:$B$15,'GP5'!$A$6:$A$15,0)</f>
        <v>8.5595262993692387</v>
      </c>
      <c r="O7" s="12" t="str">
        <f>_xlfn.XLOOKUP($B7,'GP6'!$C$6:$C$15,'GP6'!$B$6:$B$15,"")</f>
        <v/>
      </c>
      <c r="P7" s="206">
        <f>_xlfn.XLOOKUP(O7,'GP6'!$B$6:$B$15,'GP6'!$A$6:$A$15,0)</f>
        <v>0</v>
      </c>
      <c r="Q7" s="12" t="str">
        <f>_xlfn.XLOOKUP($B7,'GP7'!$C$6:$C$15,'GP7'!$B$6:$B$15,"")</f>
        <v/>
      </c>
      <c r="R7" s="206">
        <f>_xlfn.XLOOKUP(Q7,'GP7'!$B$6:$B$15,'GP7'!$A$6:$A$15,0)</f>
        <v>0</v>
      </c>
      <c r="S7" s="12" t="str">
        <f>_xlfn.XLOOKUP($B7,'GP8'!$C$6:$C$15,'GP8'!$B$6:$B$15,"")</f>
        <v/>
      </c>
      <c r="T7" s="206">
        <f>_xlfn.XLOOKUP(S7,'GP8'!$B$6:$B$15,'GP8'!$A$6:$A$15,0)</f>
        <v>0</v>
      </c>
      <c r="U7" s="12" t="str">
        <f>_xlfn.XLOOKUP(B7,MPW!C$6:C$15,MPW!B$6:B$15,"")</f>
        <v/>
      </c>
      <c r="V7" s="206">
        <f>_xlfn.XLOOKUP(U7,MPW!B$6:B$15,MPW!A$6:A$15,0)</f>
        <v>0</v>
      </c>
      <c r="X7" s="10" t="str">
        <f>_xlfn.XLOOKUP($B7,'PEW1'!$C$6:$C$201,'PEW1'!$B$6:$B$201,"")</f>
        <v/>
      </c>
      <c r="Y7" s="79">
        <f>_xlfn.XLOOKUP(X7,'PEW1'!$B$6:$B$201,'PEW1'!$A$6:$A$201,0)</f>
        <v>0</v>
      </c>
      <c r="Z7" s="10" t="str">
        <f>_xlfn.XLOOKUP($B7,'PEW2'!$C$6:$C$201,'PEW2'!$B$6:$B$201,"")</f>
        <v/>
      </c>
      <c r="AA7" s="79">
        <f>_xlfn.XLOOKUP(Z7,'PEW2'!$B$6:$B$201,'PEW2'!$A$6:$A$201,0)</f>
        <v>0</v>
      </c>
      <c r="AB7" s="10" t="str">
        <f>_xlfn.XLOOKUP($B7,'PEW3'!$C$6:$C$201,'PEW3'!$B$6:$B$201,"")</f>
        <v/>
      </c>
      <c r="AC7" s="79">
        <f>_xlfn.XLOOKUP(AB7,'PEW3'!$B$6:$B$201,'PEW3'!$A$6:$A$201,0)</f>
        <v>0</v>
      </c>
      <c r="AD7" s="10" t="str">
        <f>_xlfn.XLOOKUP($B7,VFC!$C$6:$C$201,VFC!$B$6:$B$201,"")</f>
        <v/>
      </c>
      <c r="AE7" s="79">
        <f>_xlfn.XLOOKUP(AD7,VFC!$B$6:$B$201,VFC!$A$6:$A$201,0)</f>
        <v>0</v>
      </c>
      <c r="AF7" s="10" t="str">
        <f>_xlfn.XLOOKUP($B7,'PEW4'!$C$6:$C$201,'PEW4'!$B$6:$B$201,"")</f>
        <v/>
      </c>
      <c r="AG7" s="79">
        <f>_xlfn.XLOOKUP(AF7,'PEW4'!$B$6:$B$201,'PEW4'!$A$6:$A$201,0)</f>
        <v>0</v>
      </c>
      <c r="AH7" s="10" t="str">
        <f>_xlfn.XLOOKUP($B7,'PEW5'!$C$6:$C$201,'PEW5'!$B$6:$B$201,"")</f>
        <v/>
      </c>
      <c r="AI7" s="79">
        <f>_xlfn.XLOOKUP(AH7,'PEW5'!$B$6:$B$201,'PEW5'!$A$6:$A$201,0)</f>
        <v>0</v>
      </c>
      <c r="AJ7" s="10" t="str">
        <f>_xlfn.XLOOKUP($B7,'PEW6'!$C$6:$C$201,'PEW6'!$B$6:$B$201,"")</f>
        <v/>
      </c>
      <c r="AK7" s="79">
        <f>_xlfn.XLOOKUP(AJ7,'PEW6'!$B$6:$B$201,'PEW6'!$A$6:$A$201,0)</f>
        <v>0</v>
      </c>
      <c r="AL7" s="10" t="str">
        <f>_xlfn.XLOOKUP($B7,'PEW7'!$C$6:$C$201,'PEW7'!$B$6:$B$201,"")</f>
        <v/>
      </c>
      <c r="AM7" s="79">
        <f>_xlfn.XLOOKUP(AL7,'PEW7'!$B$6:$B$201,'PEW7'!$A$6:$A$201,0)</f>
        <v>0</v>
      </c>
      <c r="AN7" s="10" t="str">
        <f>_xlfn.XLOOKUP($B7,'PEW8'!$C$6:$C$201,'PEW8'!$B$6:$B$201,"")</f>
        <v/>
      </c>
      <c r="AO7" s="79">
        <f>_xlfn.XLOOKUP(AN7,'PEW8'!$B$6:$B$201,'PEW8'!$A$6:$A$201,0)</f>
        <v>0</v>
      </c>
      <c r="AP7" s="10" t="str">
        <f>_xlfn.XLOOKUP($B7,'PEW9'!$C$6:$C$201,'PEW9'!$B$6:$B$201,"")</f>
        <v/>
      </c>
      <c r="AQ7" s="79">
        <f>_xlfn.XLOOKUP(AP7,'PEW9'!$B$6:$B$201,'PEW9'!$A$6:$A$201,0)</f>
        <v>0</v>
      </c>
      <c r="AR7" s="10" t="str">
        <f>_xlfn.XLOOKUP($B7,'PEW10'!$C$6:$C$201,'PEW10'!$B$6:$B$201,"")</f>
        <v/>
      </c>
      <c r="AS7" s="79">
        <f>_xlfn.XLOOKUP(AR7,'PEW10'!$B$6:$B$201,'PEW10'!$A$6:$A$201,0)</f>
        <v>0</v>
      </c>
      <c r="AT7" s="10" t="str">
        <f>_xlfn.XLOOKUP($B7,'PEW11'!$C$6:$C$201,'PEW11'!$B$6:$B$201,"")</f>
        <v/>
      </c>
      <c r="AU7" s="79">
        <f>_xlfn.XLOOKUP(AT7,'PEW11'!$B$6:$B$201,'PEW11'!$A$6:$A$201,0)</f>
        <v>0</v>
      </c>
      <c r="AV7" s="10" t="str">
        <f>_xlfn.XLOOKUP($B7,'PEW12'!$C$6:$C$201,'PEW12'!$B$6:$B$201,"")</f>
        <v/>
      </c>
      <c r="AW7" s="79">
        <f>_xlfn.XLOOKUP(AV7,'PEW12'!$B$6:$B$201,'PEW12'!$A$6:$A$201,0)</f>
        <v>0</v>
      </c>
      <c r="AX7" s="10" cm="1">
        <f t="array" ref="AX7">_xlfn.XLOOKUP($B7,IMEW!C$6:C$201,IMEW!$B$6:B$201,"")</f>
        <v>24</v>
      </c>
      <c r="AY7" s="80">
        <f>_xlfn.XLOOKUP(AX7,IMEW!$B$6:$B$201,IMEW!$A$6:$A$201,0)</f>
        <v>1.2</v>
      </c>
      <c r="BA7" s="81">
        <f t="shared" ref="BA7:BA29" si="1">Y7</f>
        <v>0</v>
      </c>
      <c r="BB7" s="81">
        <f t="shared" ref="BB7:BB29" si="2">AA7</f>
        <v>0</v>
      </c>
      <c r="BC7" s="81">
        <f t="shared" ref="BC7:BC29" si="3">AC7</f>
        <v>0</v>
      </c>
      <c r="BD7" s="81">
        <f t="shared" ref="BD7:BD29" si="4">AG7</f>
        <v>0</v>
      </c>
      <c r="BE7" s="81">
        <f t="shared" ref="BE7:BE29" si="5">AI7</f>
        <v>0</v>
      </c>
      <c r="BF7" s="81">
        <f t="shared" ref="BF7:BF29" si="6">AK7</f>
        <v>0</v>
      </c>
      <c r="BG7" s="81">
        <f t="shared" ref="BG7:BG29" si="7">AM7</f>
        <v>0</v>
      </c>
    </row>
    <row r="8" spans="1:59" ht="15.8" customHeight="1" x14ac:dyDescent="0.25">
      <c r="A8" s="8">
        <f t="shared" si="0"/>
        <v>3</v>
      </c>
      <c r="B8" s="9"/>
      <c r="C8" s="11"/>
      <c r="D8" s="78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0</v>
      </c>
      <c r="E8" s="12" t="str">
        <f>_xlfn.XLOOKUP($B8,'GP1'!$C$6:$C$55,'GP1'!$B$6:$B$55,"")</f>
        <v/>
      </c>
      <c r="F8" s="204">
        <f>_xlfn.XLOOKUP(E8,'GP1'!$B$6:$B$55,'GP1'!$A$6:$A$55,0)</f>
        <v>0</v>
      </c>
      <c r="G8" s="12" t="str">
        <f>_xlfn.XLOOKUP($B8,'GP2'!$C$6:$C$15,'GP2'!$B$6:$B$15,"")</f>
        <v/>
      </c>
      <c r="H8" s="204">
        <f>_xlfn.XLOOKUP(G8,'GP2'!$B$6:$B$15,'GP2'!$A$6:$A$15,0)</f>
        <v>0</v>
      </c>
      <c r="I8" s="12" t="str">
        <f>_xlfn.XLOOKUP($B8,'GP3'!$C$6:$C$15,'GP3'!$B$6:$B$15,"")</f>
        <v/>
      </c>
      <c r="J8" s="204">
        <f>_xlfn.XLOOKUP(I8,'GP3'!$B$6:$B$15,'GP3'!$A$6:$A$15,0)</f>
        <v>0</v>
      </c>
      <c r="K8" s="12" t="str">
        <f>_xlfn.XLOOKUP($B8,'GP4'!$C$6:$C$15,'GP4'!$B$6:$B$15,"")</f>
        <v/>
      </c>
      <c r="L8" s="204">
        <f>_xlfn.XLOOKUP(K8,'GP4'!$B$6:$B$15,'GP4'!$A$6:$A$15,0)</f>
        <v>0</v>
      </c>
      <c r="M8" s="12" t="str">
        <f>_xlfn.XLOOKUP($B8,'GP5'!$C$6:$C$15,'GP5'!$B$6:$B$15,"")</f>
        <v/>
      </c>
      <c r="N8" s="206">
        <f>_xlfn.XLOOKUP(M8,'GP5'!$B$6:$B$15,'GP5'!$A$6:$A$15,0)</f>
        <v>0</v>
      </c>
      <c r="O8" s="12" t="str">
        <f>_xlfn.XLOOKUP($B8,'GP6'!$C$6:$C$15,'GP6'!$B$6:$B$15,"")</f>
        <v/>
      </c>
      <c r="P8" s="206">
        <f>_xlfn.XLOOKUP(O8,'GP6'!$B$6:$B$15,'GP6'!$A$6:$A$15,0)</f>
        <v>0</v>
      </c>
      <c r="Q8" s="12" t="str">
        <f>_xlfn.XLOOKUP($B8,'GP7'!$C$6:$C$15,'GP7'!$B$6:$B$15,"")</f>
        <v/>
      </c>
      <c r="R8" s="206">
        <f>_xlfn.XLOOKUP(Q8,'GP7'!$B$6:$B$15,'GP7'!$A$6:$A$15,0)</f>
        <v>0</v>
      </c>
      <c r="S8" s="12" t="str">
        <f>_xlfn.XLOOKUP($B8,'GP8'!$C$6:$C$15,'GP8'!$B$6:$B$15,"")</f>
        <v/>
      </c>
      <c r="T8" s="206">
        <f>_xlfn.XLOOKUP(S8,'GP8'!$B$6:$B$15,'GP8'!$A$6:$A$15,0)</f>
        <v>0</v>
      </c>
      <c r="U8" s="12" t="str">
        <f>_xlfn.XLOOKUP(B8,MPW!C$6:C$15,MPW!B$6:B$15,"")</f>
        <v/>
      </c>
      <c r="V8" s="206">
        <f>_xlfn.XLOOKUP(U8,MPW!B$6:B$15,MPW!A$6:A$15,0)</f>
        <v>0</v>
      </c>
      <c r="X8" s="10" t="str">
        <f>_xlfn.XLOOKUP($B8,'PEW1'!$C$6:$C$201,'PEW1'!$B$6:$B$201,"")</f>
        <v/>
      </c>
      <c r="Y8" s="79">
        <f>_xlfn.XLOOKUP(X8,'PEW1'!$B$6:$B$201,'PEW1'!$A$6:$A$201,0)</f>
        <v>0</v>
      </c>
      <c r="Z8" s="10" t="str">
        <f>_xlfn.XLOOKUP($B8,'PEW2'!$C$6:$C$201,'PEW2'!$B$6:$B$201,"")</f>
        <v/>
      </c>
      <c r="AA8" s="79">
        <f>_xlfn.XLOOKUP(Z8,'PEW2'!$B$6:$B$201,'PEW2'!$A$6:$A$201,0)</f>
        <v>0</v>
      </c>
      <c r="AB8" s="10" t="str">
        <f>_xlfn.XLOOKUP($B8,'PEW3'!$C$6:$C$201,'PEW3'!$B$6:$B$201,"")</f>
        <v/>
      </c>
      <c r="AC8" s="79">
        <f>_xlfn.XLOOKUP(AB8,'PEW3'!$B$6:$B$201,'PEW3'!$A$6:$A$201,0)</f>
        <v>0</v>
      </c>
      <c r="AD8" s="10" t="str">
        <f>_xlfn.XLOOKUP($B8,VFC!$C$6:$C$201,VFC!$B$6:$B$201,"")</f>
        <v/>
      </c>
      <c r="AE8" s="79">
        <f>_xlfn.XLOOKUP(AD8,VFC!$B$6:$B$201,VFC!$A$6:$A$201,0)</f>
        <v>0</v>
      </c>
      <c r="AF8" s="10" t="str">
        <f>_xlfn.XLOOKUP($B8,'PEW4'!$C$6:$C$201,'PEW4'!$B$6:$B$201,"")</f>
        <v/>
      </c>
      <c r="AG8" s="79">
        <f>_xlfn.XLOOKUP(AF8,'PEW4'!$B$6:$B$201,'PEW4'!$A$6:$A$201,0)</f>
        <v>0</v>
      </c>
      <c r="AH8" s="10" t="str">
        <f>_xlfn.XLOOKUP($B8,'PEW5'!$C$6:$C$201,'PEW5'!$B$6:$B$201,"")</f>
        <v/>
      </c>
      <c r="AI8" s="79">
        <f>_xlfn.XLOOKUP(AH8,'PEW5'!$B$6:$B$201,'PEW5'!$A$6:$A$201,0)</f>
        <v>0</v>
      </c>
      <c r="AJ8" s="10" t="str">
        <f>_xlfn.XLOOKUP($B8,'PEW6'!$C$6:$C$201,'PEW6'!$B$6:$B$201,"")</f>
        <v/>
      </c>
      <c r="AK8" s="79">
        <f>_xlfn.XLOOKUP(AJ8,'PEW6'!$B$6:$B$201,'PEW6'!$A$6:$A$201,0)</f>
        <v>0</v>
      </c>
      <c r="AL8" s="10" t="str">
        <f>_xlfn.XLOOKUP($B8,'PEW7'!$C$6:$C$201,'PEW7'!$B$6:$B$201,"")</f>
        <v/>
      </c>
      <c r="AM8" s="79">
        <f>_xlfn.XLOOKUP(AL8,'PEW7'!$B$6:$B$201,'PEW7'!$A$6:$A$201,0)</f>
        <v>0</v>
      </c>
      <c r="AN8" s="10" t="str">
        <f>_xlfn.XLOOKUP($B8,'PEW8'!$C$6:$C$201,'PEW8'!$B$6:$B$201,"")</f>
        <v/>
      </c>
      <c r="AO8" s="79">
        <f>_xlfn.XLOOKUP(AN8,'PEW8'!$B$6:$B$201,'PEW8'!$A$6:$A$201,0)</f>
        <v>0</v>
      </c>
      <c r="AP8" s="10" t="str">
        <f>_xlfn.XLOOKUP($B8,'PEW9'!$C$6:$C$201,'PEW9'!$B$6:$B$201,"")</f>
        <v/>
      </c>
      <c r="AQ8" s="79">
        <f>_xlfn.XLOOKUP(AP8,'PEW9'!$B$6:$B$201,'PEW9'!$A$6:$A$201,0)</f>
        <v>0</v>
      </c>
      <c r="AR8" s="10" t="str">
        <f>_xlfn.XLOOKUP($B8,'PEW10'!$C$6:$C$201,'PEW10'!$B$6:$B$201,"")</f>
        <v/>
      </c>
      <c r="AS8" s="79">
        <f>_xlfn.XLOOKUP(AR8,'PEW10'!$B$6:$B$201,'PEW10'!$A$6:$A$201,0)</f>
        <v>0</v>
      </c>
      <c r="AT8" s="10" t="str">
        <f>_xlfn.XLOOKUP($B8,'PEW11'!$C$6:$C$201,'PEW11'!$B$6:$B$201,"")</f>
        <v/>
      </c>
      <c r="AU8" s="79">
        <f>_xlfn.XLOOKUP(AT8,'PEW11'!$B$6:$B$201,'PEW11'!$A$6:$A$201,0)</f>
        <v>0</v>
      </c>
      <c r="AV8" s="10" t="str">
        <f>_xlfn.XLOOKUP($B8,'PEW12'!$C$6:$C$201,'PEW12'!$B$6:$B$201,"")</f>
        <v/>
      </c>
      <c r="AW8" s="79">
        <f>_xlfn.XLOOKUP(AV8,'PEW12'!$B$6:$B$201,'PEW12'!$A$6:$A$201,0)</f>
        <v>0</v>
      </c>
      <c r="AX8" s="10" t="str" cm="1">
        <f t="array" ref="AX8">_xlfn.XLOOKUP($B8,IMEW!C$6:C$201,IMEW!$B$6:B$201,"")</f>
        <v/>
      </c>
      <c r="AY8" s="80">
        <f>_xlfn.XLOOKUP(AX8,IMEW!$B$6:$B$201,IMEW!$A$6:$A$201,0)</f>
        <v>0</v>
      </c>
      <c r="BA8" s="81">
        <f t="shared" si="1"/>
        <v>0</v>
      </c>
      <c r="BB8" s="81">
        <f t="shared" si="2"/>
        <v>0</v>
      </c>
      <c r="BC8" s="81">
        <f t="shared" si="3"/>
        <v>0</v>
      </c>
      <c r="BD8" s="81">
        <f t="shared" si="4"/>
        <v>0</v>
      </c>
      <c r="BE8" s="81">
        <f t="shared" si="5"/>
        <v>0</v>
      </c>
      <c r="BF8" s="81">
        <f t="shared" si="6"/>
        <v>0</v>
      </c>
      <c r="BG8" s="81">
        <f t="shared" si="7"/>
        <v>0</v>
      </c>
    </row>
    <row r="9" spans="1:59" ht="14.8" customHeight="1" x14ac:dyDescent="0.25">
      <c r="A9" s="8">
        <f t="shared" si="0"/>
        <v>4</v>
      </c>
      <c r="B9" s="9"/>
      <c r="C9" s="11"/>
      <c r="D9" s="78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2" t="str">
        <f>_xlfn.XLOOKUP($B9,'GP1'!$C$6:$C$55,'GP1'!$B$6:$B$55,"")</f>
        <v/>
      </c>
      <c r="F9" s="204">
        <f>_xlfn.XLOOKUP(E9,'GP1'!$B$6:$B$55,'GP1'!$A$6:$A$55,0)</f>
        <v>0</v>
      </c>
      <c r="G9" s="12" t="str">
        <f>_xlfn.XLOOKUP($B9,'GP2'!$C$6:$C$15,'GP2'!$B$6:$B$15,"")</f>
        <v/>
      </c>
      <c r="H9" s="204">
        <f>_xlfn.XLOOKUP(G9,'GP2'!$B$6:$B$15,'GP2'!$A$6:$A$15,0)</f>
        <v>0</v>
      </c>
      <c r="I9" s="12" t="str">
        <f>_xlfn.XLOOKUP($B9,'GP3'!$C$6:$C$15,'GP3'!$B$6:$B$15,"")</f>
        <v/>
      </c>
      <c r="J9" s="204">
        <f>_xlfn.XLOOKUP(I9,'GP3'!$B$6:$B$15,'GP3'!$A$6:$A$15,0)</f>
        <v>0</v>
      </c>
      <c r="K9" s="12" t="str">
        <f>_xlfn.XLOOKUP($B9,'GP4'!$C$6:$C$15,'GP4'!$B$6:$B$15,"")</f>
        <v/>
      </c>
      <c r="L9" s="204">
        <f>_xlfn.XLOOKUP(K9,'GP4'!$B$6:$B$15,'GP4'!$A$6:$A$15,0)</f>
        <v>0</v>
      </c>
      <c r="M9" s="12" t="str">
        <f>_xlfn.XLOOKUP($B9,'GP5'!$C$6:$C$15,'GP5'!$B$6:$B$15,"")</f>
        <v/>
      </c>
      <c r="N9" s="206">
        <f>_xlfn.XLOOKUP(M9,'GP5'!$B$6:$B$15,'GP5'!$A$6:$A$15,0)</f>
        <v>0</v>
      </c>
      <c r="O9" s="12" t="str">
        <f>_xlfn.XLOOKUP($B9,'GP6'!$C$6:$C$15,'GP6'!$B$6:$B$15,"")</f>
        <v/>
      </c>
      <c r="P9" s="206">
        <f>_xlfn.XLOOKUP(O9,'GP6'!$B$6:$B$15,'GP6'!$A$6:$A$15,0)</f>
        <v>0</v>
      </c>
      <c r="Q9" s="12" t="str">
        <f>_xlfn.XLOOKUP($B9,'GP7'!$C$6:$C$15,'GP7'!$B$6:$B$15,"")</f>
        <v/>
      </c>
      <c r="R9" s="206">
        <f>_xlfn.XLOOKUP(Q9,'GP7'!$B$6:$B$15,'GP7'!$A$6:$A$15,0)</f>
        <v>0</v>
      </c>
      <c r="S9" s="12" t="str">
        <f>_xlfn.XLOOKUP($B9,'GP8'!$C$6:$C$15,'GP8'!$B$6:$B$15,"")</f>
        <v/>
      </c>
      <c r="T9" s="206">
        <f>_xlfn.XLOOKUP(S9,'GP8'!$B$6:$B$15,'GP8'!$A$6:$A$15,0)</f>
        <v>0</v>
      </c>
      <c r="U9" s="12" t="str">
        <f>_xlfn.XLOOKUP(B9,MPW!C$6:C$15,MPW!B$6:B$15,"")</f>
        <v/>
      </c>
      <c r="V9" s="206">
        <f>_xlfn.XLOOKUP(U9,MPW!B$6:B$15,MPW!A$6:A$15,0)</f>
        <v>0</v>
      </c>
      <c r="X9" s="10" t="str">
        <f>_xlfn.XLOOKUP($B9,'PEW1'!$C$6:$C$201,'PEW1'!$B$6:$B$201,"")</f>
        <v/>
      </c>
      <c r="Y9" s="79">
        <f>_xlfn.XLOOKUP(X9,'PEW1'!$B$6:$B$201,'PEW1'!$A$6:$A$201,0)</f>
        <v>0</v>
      </c>
      <c r="Z9" s="10" t="str">
        <f>_xlfn.XLOOKUP($B9,'PEW2'!$C$6:$C$201,'PEW2'!$B$6:$B$201,"")</f>
        <v/>
      </c>
      <c r="AA9" s="79">
        <f>_xlfn.XLOOKUP(Z9,'PEW2'!$B$6:$B$201,'PEW2'!$A$6:$A$201,0)</f>
        <v>0</v>
      </c>
      <c r="AB9" s="10" t="str">
        <f>_xlfn.XLOOKUP($B9,'PEW3'!$C$6:$C$201,'PEW3'!$B$6:$B$201,"")</f>
        <v/>
      </c>
      <c r="AC9" s="79">
        <f>_xlfn.XLOOKUP(AB9,'PEW3'!$B$6:$B$201,'PEW3'!$A$6:$A$201,0)</f>
        <v>0</v>
      </c>
      <c r="AD9" s="10" t="str">
        <f>_xlfn.XLOOKUP($B9,VFC!$C$6:$C$201,VFC!$B$6:$B$201,"")</f>
        <v/>
      </c>
      <c r="AE9" s="79">
        <f>_xlfn.XLOOKUP(AD9,VFC!$B$6:$B$201,VFC!$A$6:$A$201,0)</f>
        <v>0</v>
      </c>
      <c r="AF9" s="10" t="str">
        <f>_xlfn.XLOOKUP($B9,'PEW4'!$C$6:$C$201,'PEW4'!$B$6:$B$201,"")</f>
        <v/>
      </c>
      <c r="AG9" s="79">
        <f>_xlfn.XLOOKUP(AF9,'PEW4'!$B$6:$B$201,'PEW4'!$A$6:$A$201,0)</f>
        <v>0</v>
      </c>
      <c r="AH9" s="10" t="str">
        <f>_xlfn.XLOOKUP($B9,'PEW5'!$C$6:$C$201,'PEW5'!$B$6:$B$201,"")</f>
        <v/>
      </c>
      <c r="AI9" s="79">
        <f>_xlfn.XLOOKUP(AH9,'PEW5'!$B$6:$B$201,'PEW5'!$A$6:$A$201,0)</f>
        <v>0</v>
      </c>
      <c r="AJ9" s="10" t="str">
        <f>_xlfn.XLOOKUP($B9,'PEW6'!$C$6:$C$201,'PEW6'!$B$6:$B$201,"")</f>
        <v/>
      </c>
      <c r="AK9" s="79">
        <f>_xlfn.XLOOKUP(AJ9,'PEW6'!$B$6:$B$201,'PEW6'!$A$6:$A$201,0)</f>
        <v>0</v>
      </c>
      <c r="AL9" s="10" t="str">
        <f>_xlfn.XLOOKUP($B9,'PEW7'!$C$6:$C$201,'PEW7'!$B$6:$B$201,"")</f>
        <v/>
      </c>
      <c r="AM9" s="79">
        <f>_xlfn.XLOOKUP(AL9,'PEW7'!$B$6:$B$201,'PEW7'!$A$6:$A$201,0)</f>
        <v>0</v>
      </c>
      <c r="AN9" s="10" t="str">
        <f>_xlfn.XLOOKUP($B9,'PEW8'!$C$6:$C$201,'PEW8'!$B$6:$B$201,"")</f>
        <v/>
      </c>
      <c r="AO9" s="79">
        <f>_xlfn.XLOOKUP(AN9,'PEW8'!$B$6:$B$201,'PEW8'!$A$6:$A$201,0)</f>
        <v>0</v>
      </c>
      <c r="AP9" s="10" t="str">
        <f>_xlfn.XLOOKUP($B9,'PEW9'!$C$6:$C$201,'PEW9'!$B$6:$B$201,"")</f>
        <v/>
      </c>
      <c r="AQ9" s="79">
        <f>_xlfn.XLOOKUP(AP9,'PEW9'!$B$6:$B$201,'PEW9'!$A$6:$A$201,0)</f>
        <v>0</v>
      </c>
      <c r="AR9" s="10" t="str">
        <f>_xlfn.XLOOKUP($B9,'PEW10'!$C$6:$C$201,'PEW10'!$B$6:$B$201,"")</f>
        <v/>
      </c>
      <c r="AS9" s="79">
        <f>_xlfn.XLOOKUP(AR9,'PEW10'!$B$6:$B$201,'PEW10'!$A$6:$A$201,0)</f>
        <v>0</v>
      </c>
      <c r="AT9" s="10" t="str">
        <f>_xlfn.XLOOKUP($B9,'PEW11'!$C$6:$C$201,'PEW11'!$B$6:$B$201,"")</f>
        <v/>
      </c>
      <c r="AU9" s="79">
        <f>_xlfn.XLOOKUP(AT9,'PEW11'!$B$6:$B$201,'PEW11'!$A$6:$A$201,0)</f>
        <v>0</v>
      </c>
      <c r="AV9" s="10" t="str">
        <f>_xlfn.XLOOKUP($B9,'PEW12'!$C$6:$C$201,'PEW12'!$B$6:$B$201,"")</f>
        <v/>
      </c>
      <c r="AW9" s="79">
        <f>_xlfn.XLOOKUP(AV9,'PEW12'!$B$6:$B$201,'PEW12'!$A$6:$A$201,0)</f>
        <v>0</v>
      </c>
      <c r="AX9" s="10" t="str" cm="1">
        <f t="array" ref="AX9">_xlfn.XLOOKUP($B9,IMEW!C$6:C$201,IMEW!$B$6:B$201,"")</f>
        <v/>
      </c>
      <c r="AY9" s="80">
        <f>_xlfn.XLOOKUP(AX9,IMEW!$B$6:$B$201,IMEW!$A$6:$A$201,0)</f>
        <v>0</v>
      </c>
      <c r="BA9" s="81">
        <f t="shared" si="1"/>
        <v>0</v>
      </c>
      <c r="BB9" s="81">
        <f t="shared" si="2"/>
        <v>0</v>
      </c>
      <c r="BC9" s="81">
        <f t="shared" si="3"/>
        <v>0</v>
      </c>
      <c r="BD9" s="81">
        <f t="shared" si="4"/>
        <v>0</v>
      </c>
      <c r="BE9" s="81">
        <f t="shared" si="5"/>
        <v>0</v>
      </c>
      <c r="BF9" s="81">
        <f t="shared" si="6"/>
        <v>0</v>
      </c>
      <c r="BG9" s="81">
        <f t="shared" si="7"/>
        <v>0</v>
      </c>
    </row>
    <row r="10" spans="1:59" ht="14.8" customHeight="1" x14ac:dyDescent="0.25">
      <c r="A10" s="8">
        <f t="shared" si="0"/>
        <v>5</v>
      </c>
      <c r="B10" s="9"/>
      <c r="C10" s="11"/>
      <c r="D10" s="78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2" t="str">
        <f>_xlfn.XLOOKUP($B10,'GP1'!$C$6:$C$55,'GP1'!$B$6:$B$55,"")</f>
        <v/>
      </c>
      <c r="F10" s="204">
        <f>_xlfn.XLOOKUP(E10,'GP1'!$B$6:$B$55,'GP1'!$A$6:$A$55,0)</f>
        <v>0</v>
      </c>
      <c r="G10" s="12" t="str">
        <f>_xlfn.XLOOKUP($B10,'GP2'!$C$6:$C$15,'GP2'!$B$6:$B$15,"")</f>
        <v/>
      </c>
      <c r="H10" s="204">
        <f>_xlfn.XLOOKUP(G10,'GP2'!$B$6:$B$15,'GP2'!$A$6:$A$15,0)</f>
        <v>0</v>
      </c>
      <c r="I10" s="12" t="str">
        <f>_xlfn.XLOOKUP($B10,'GP3'!$C$6:$C$15,'GP3'!$B$6:$B$15,"")</f>
        <v/>
      </c>
      <c r="J10" s="204">
        <f>_xlfn.XLOOKUP(I10,'GP3'!$B$6:$B$15,'GP3'!$A$6:$A$15,0)</f>
        <v>0</v>
      </c>
      <c r="K10" s="12" t="str">
        <f>_xlfn.XLOOKUP($B10,'GP4'!$C$6:$C$15,'GP4'!$B$6:$B$15,"")</f>
        <v/>
      </c>
      <c r="L10" s="204">
        <f>_xlfn.XLOOKUP(K10,'GP4'!$B$6:$B$15,'GP4'!$A$6:$A$15,0)</f>
        <v>0</v>
      </c>
      <c r="M10" s="12" t="str">
        <f>_xlfn.XLOOKUP($B10,'GP5'!$C$6:$C$15,'GP5'!$B$6:$B$15,"")</f>
        <v/>
      </c>
      <c r="N10" s="206">
        <f>_xlfn.XLOOKUP(M10,'GP5'!$B$6:$B$15,'GP5'!$A$6:$A$15,0)</f>
        <v>0</v>
      </c>
      <c r="O10" s="12" t="str">
        <f>_xlfn.XLOOKUP($B10,'GP6'!$C$6:$C$15,'GP6'!$B$6:$B$15,"")</f>
        <v/>
      </c>
      <c r="P10" s="206">
        <f>_xlfn.XLOOKUP(O10,'GP6'!$B$6:$B$15,'GP6'!$A$6:$A$15,0)</f>
        <v>0</v>
      </c>
      <c r="Q10" s="12" t="str">
        <f>_xlfn.XLOOKUP($B10,'GP7'!$C$6:$C$15,'GP7'!$B$6:$B$15,"")</f>
        <v/>
      </c>
      <c r="R10" s="206">
        <f>_xlfn.XLOOKUP(Q10,'GP7'!$B$6:$B$15,'GP7'!$A$6:$A$15,0)</f>
        <v>0</v>
      </c>
      <c r="S10" s="12" t="str">
        <f>_xlfn.XLOOKUP($B10,'GP8'!$C$6:$C$15,'GP8'!$B$6:$B$15,"")</f>
        <v/>
      </c>
      <c r="T10" s="206">
        <f>_xlfn.XLOOKUP(S10,'GP8'!$B$6:$B$15,'GP8'!$A$6:$A$15,0)</f>
        <v>0</v>
      </c>
      <c r="U10" s="12" t="str">
        <f>_xlfn.XLOOKUP(B10,MPW!C$6:C$15,MPW!B$6:B$15,"")</f>
        <v/>
      </c>
      <c r="V10" s="206">
        <f>_xlfn.XLOOKUP(U10,MPW!B$6:B$15,MPW!A$6:A$15,0)</f>
        <v>0</v>
      </c>
      <c r="X10" s="10" t="str">
        <f>_xlfn.XLOOKUP($B10,'PEW1'!$C$6:$C$201,'PEW1'!$B$6:$B$201,"")</f>
        <v/>
      </c>
      <c r="Y10" s="79">
        <f>_xlfn.XLOOKUP(X10,'PEW1'!$B$6:$B$201,'PEW1'!$A$6:$A$201,0)</f>
        <v>0</v>
      </c>
      <c r="Z10" s="10" t="str">
        <f>_xlfn.XLOOKUP($B10,'PEW2'!$C$6:$C$201,'PEW2'!$B$6:$B$201,"")</f>
        <v/>
      </c>
      <c r="AA10" s="79">
        <f>_xlfn.XLOOKUP(Z10,'PEW2'!$B$6:$B$201,'PEW2'!$A$6:$A$201,0)</f>
        <v>0</v>
      </c>
      <c r="AB10" s="10" t="str">
        <f>_xlfn.XLOOKUP($B10,'PEW3'!$C$6:$C$201,'PEW3'!$B$6:$B$201,"")</f>
        <v/>
      </c>
      <c r="AC10" s="79">
        <f>_xlfn.XLOOKUP(AB10,'PEW3'!$B$6:$B$201,'PEW3'!$A$6:$A$201,0)</f>
        <v>0</v>
      </c>
      <c r="AD10" s="10" t="str">
        <f>_xlfn.XLOOKUP($B10,VFC!$C$6:$C$201,VFC!$B$6:$B$201,"")</f>
        <v/>
      </c>
      <c r="AE10" s="79">
        <f>_xlfn.XLOOKUP(AD10,VFC!$B$6:$B$201,VFC!$A$6:$A$201,0)</f>
        <v>0</v>
      </c>
      <c r="AF10" s="10" t="str">
        <f>_xlfn.XLOOKUP($B10,'PEW4'!$C$6:$C$201,'PEW4'!$B$6:$B$201,"")</f>
        <v/>
      </c>
      <c r="AG10" s="79">
        <f>_xlfn.XLOOKUP(AF10,'PEW4'!$B$6:$B$201,'PEW4'!$A$6:$A$201,0)</f>
        <v>0</v>
      </c>
      <c r="AH10" s="10" t="str">
        <f>_xlfn.XLOOKUP($B10,'PEW5'!$C$6:$C$201,'PEW5'!$B$6:$B$201,"")</f>
        <v/>
      </c>
      <c r="AI10" s="79">
        <f>_xlfn.XLOOKUP(AH10,'PEW5'!$B$6:$B$201,'PEW5'!$A$6:$A$201,0)</f>
        <v>0</v>
      </c>
      <c r="AJ10" s="10" t="str">
        <f>_xlfn.XLOOKUP($B10,'PEW6'!$C$6:$C$201,'PEW6'!$B$6:$B$201,"")</f>
        <v/>
      </c>
      <c r="AK10" s="79">
        <f>_xlfn.XLOOKUP(AJ10,'PEW6'!$B$6:$B$201,'PEW6'!$A$6:$A$201,0)</f>
        <v>0</v>
      </c>
      <c r="AL10" s="10" t="str">
        <f>_xlfn.XLOOKUP($B10,'PEW7'!$C$6:$C$201,'PEW7'!$B$6:$B$201,"")</f>
        <v/>
      </c>
      <c r="AM10" s="79">
        <f>_xlfn.XLOOKUP(AL10,'PEW7'!$B$6:$B$201,'PEW7'!$A$6:$A$201,0)</f>
        <v>0</v>
      </c>
      <c r="AN10" s="10" t="str">
        <f>_xlfn.XLOOKUP($B10,'PEW8'!$C$6:$C$201,'PEW8'!$B$6:$B$201,"")</f>
        <v/>
      </c>
      <c r="AO10" s="79">
        <f>_xlfn.XLOOKUP(AN10,'PEW8'!$B$6:$B$201,'PEW8'!$A$6:$A$201,0)</f>
        <v>0</v>
      </c>
      <c r="AP10" s="10" t="str">
        <f>_xlfn.XLOOKUP($B10,'PEW9'!$C$6:$C$201,'PEW9'!$B$6:$B$201,"")</f>
        <v/>
      </c>
      <c r="AQ10" s="79">
        <f>_xlfn.XLOOKUP(AP10,'PEW9'!$B$6:$B$201,'PEW9'!$A$6:$A$201,0)</f>
        <v>0</v>
      </c>
      <c r="AR10" s="10" t="str">
        <f>_xlfn.XLOOKUP($B10,'PEW10'!$C$6:$C$201,'PEW10'!$B$6:$B$201,"")</f>
        <v/>
      </c>
      <c r="AS10" s="79">
        <f>_xlfn.XLOOKUP(AR10,'PEW10'!$B$6:$B$201,'PEW10'!$A$6:$A$201,0)</f>
        <v>0</v>
      </c>
      <c r="AT10" s="10" t="str">
        <f>_xlfn.XLOOKUP($B10,'PEW11'!$C$6:$C$201,'PEW11'!$B$6:$B$201,"")</f>
        <v/>
      </c>
      <c r="AU10" s="79">
        <f>_xlfn.XLOOKUP(AT10,'PEW11'!$B$6:$B$201,'PEW11'!$A$6:$A$201,0)</f>
        <v>0</v>
      </c>
      <c r="AV10" s="10" t="str">
        <f>_xlfn.XLOOKUP($B10,'PEW12'!$C$6:$C$201,'PEW12'!$B$6:$B$201,"")</f>
        <v/>
      </c>
      <c r="AW10" s="79">
        <f>_xlfn.XLOOKUP(AV10,'PEW12'!$B$6:$B$201,'PEW12'!$A$6:$A$201,0)</f>
        <v>0</v>
      </c>
      <c r="AX10" s="10" t="str" cm="1">
        <f t="array" ref="AX10">_xlfn.XLOOKUP($B10,IMEW!C$6:C$201,IMEW!$B$6:B$201,"")</f>
        <v/>
      </c>
      <c r="AY10" s="80">
        <f>_xlfn.XLOOKUP(AX10,IMEW!$B$6:$B$201,IMEW!$A$6:$A$201,0)</f>
        <v>0</v>
      </c>
      <c r="BA10" s="81">
        <f t="shared" si="1"/>
        <v>0</v>
      </c>
      <c r="BB10" s="81">
        <f t="shared" si="2"/>
        <v>0</v>
      </c>
      <c r="BC10" s="81">
        <f t="shared" si="3"/>
        <v>0</v>
      </c>
      <c r="BD10" s="81">
        <f t="shared" si="4"/>
        <v>0</v>
      </c>
      <c r="BE10" s="81">
        <f t="shared" si="5"/>
        <v>0</v>
      </c>
      <c r="BF10" s="81">
        <f t="shared" si="6"/>
        <v>0</v>
      </c>
      <c r="BG10" s="81">
        <f t="shared" si="7"/>
        <v>0</v>
      </c>
    </row>
    <row r="11" spans="1:59" ht="14.8" customHeight="1" x14ac:dyDescent="0.25">
      <c r="A11" s="8">
        <f t="shared" si="0"/>
        <v>6</v>
      </c>
      <c r="B11" s="9"/>
      <c r="C11" s="11"/>
      <c r="D11" s="78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2" t="str">
        <f>_xlfn.XLOOKUP($B11,'GP1'!$C$6:$C$55,'GP1'!$B$6:$B$55,"")</f>
        <v/>
      </c>
      <c r="F11" s="204">
        <f>_xlfn.XLOOKUP(E11,'GP1'!$B$6:$B$55,'GP1'!$A$6:$A$55,0)</f>
        <v>0</v>
      </c>
      <c r="G11" s="12" t="str">
        <f>_xlfn.XLOOKUP($B11,'GP2'!$C$6:$C$15,'GP2'!$B$6:$B$15,"")</f>
        <v/>
      </c>
      <c r="H11" s="204">
        <f>_xlfn.XLOOKUP(G11,'GP2'!$B$6:$B$15,'GP2'!$A$6:$A$15,0)</f>
        <v>0</v>
      </c>
      <c r="I11" s="12" t="str">
        <f>_xlfn.XLOOKUP($B11,'GP3'!$C$6:$C$15,'GP3'!$B$6:$B$15,"")</f>
        <v/>
      </c>
      <c r="J11" s="204">
        <f>_xlfn.XLOOKUP(I11,'GP3'!$B$6:$B$15,'GP3'!$A$6:$A$15,0)</f>
        <v>0</v>
      </c>
      <c r="K11" s="12" t="str">
        <f>_xlfn.XLOOKUP($B11,'GP4'!$C$6:$C$15,'GP4'!$B$6:$B$15,"")</f>
        <v/>
      </c>
      <c r="L11" s="204">
        <f>_xlfn.XLOOKUP(K11,'GP4'!$B$6:$B$15,'GP4'!$A$6:$A$15,0)</f>
        <v>0</v>
      </c>
      <c r="M11" s="12" t="str">
        <f>_xlfn.XLOOKUP($B11,'GP5'!$C$6:$C$15,'GP5'!$B$6:$B$15,"")</f>
        <v/>
      </c>
      <c r="N11" s="206">
        <f>_xlfn.XLOOKUP(M11,'GP5'!$B$6:$B$15,'GP5'!$A$6:$A$15,0)</f>
        <v>0</v>
      </c>
      <c r="O11" s="12" t="str">
        <f>_xlfn.XLOOKUP($B11,'GP6'!$C$6:$C$15,'GP6'!$B$6:$B$15,"")</f>
        <v/>
      </c>
      <c r="P11" s="206">
        <f>_xlfn.XLOOKUP(O11,'GP6'!$B$6:$B$15,'GP6'!$A$6:$A$15,0)</f>
        <v>0</v>
      </c>
      <c r="Q11" s="12" t="str">
        <f>_xlfn.XLOOKUP($B11,'GP7'!$C$6:$C$15,'GP7'!$B$6:$B$15,"")</f>
        <v/>
      </c>
      <c r="R11" s="206">
        <f>_xlfn.XLOOKUP(Q11,'GP7'!$B$6:$B$15,'GP7'!$A$6:$A$15,0)</f>
        <v>0</v>
      </c>
      <c r="S11" s="12" t="str">
        <f>_xlfn.XLOOKUP($B11,'GP8'!$C$6:$C$15,'GP8'!$B$6:$B$15,"")</f>
        <v/>
      </c>
      <c r="T11" s="206">
        <f>_xlfn.XLOOKUP(S11,'GP8'!$B$6:$B$15,'GP8'!$A$6:$A$15,0)</f>
        <v>0</v>
      </c>
      <c r="U11" s="12" t="str">
        <f>_xlfn.XLOOKUP(B11,MPW!C$6:C$15,MPW!B$6:B$15,"")</f>
        <v/>
      </c>
      <c r="V11" s="206">
        <f>_xlfn.XLOOKUP(U11,MPW!B$6:B$15,MPW!A$6:A$15,0)</f>
        <v>0</v>
      </c>
      <c r="X11" s="10" t="str">
        <f>_xlfn.XLOOKUP($B11,'PEW1'!$C$6:$C$201,'PEW1'!$B$6:$B$201,"")</f>
        <v/>
      </c>
      <c r="Y11" s="79">
        <f>_xlfn.XLOOKUP(X11,'PEW1'!$B$6:$B$201,'PEW1'!$A$6:$A$201,0)</f>
        <v>0</v>
      </c>
      <c r="Z11" s="10" t="str">
        <f>_xlfn.XLOOKUP($B11,'PEW2'!$C$6:$C$201,'PEW2'!$B$6:$B$201,"")</f>
        <v/>
      </c>
      <c r="AA11" s="79">
        <f>_xlfn.XLOOKUP(Z11,'PEW2'!$B$6:$B$201,'PEW2'!$A$6:$A$201,0)</f>
        <v>0</v>
      </c>
      <c r="AB11" s="10" t="str">
        <f>_xlfn.XLOOKUP($B11,'PEW3'!$C$6:$C$201,'PEW3'!$B$6:$B$201,"")</f>
        <v/>
      </c>
      <c r="AC11" s="79">
        <f>_xlfn.XLOOKUP(AB11,'PEW3'!$B$6:$B$201,'PEW3'!$A$6:$A$201,0)</f>
        <v>0</v>
      </c>
      <c r="AD11" s="10" t="str">
        <f>_xlfn.XLOOKUP($B11,VFC!$C$6:$C$201,VFC!$B$6:$B$201,"")</f>
        <v/>
      </c>
      <c r="AE11" s="79">
        <f>_xlfn.XLOOKUP(AD11,VFC!$B$6:$B$201,VFC!$A$6:$A$201,0)</f>
        <v>0</v>
      </c>
      <c r="AF11" s="10" t="str">
        <f>_xlfn.XLOOKUP($B11,'PEW4'!$C$6:$C$201,'PEW4'!$B$6:$B$201,"")</f>
        <v/>
      </c>
      <c r="AG11" s="79">
        <f>_xlfn.XLOOKUP(AF11,'PEW4'!$B$6:$B$201,'PEW4'!$A$6:$A$201,0)</f>
        <v>0</v>
      </c>
      <c r="AH11" s="10" t="str">
        <f>_xlfn.XLOOKUP($B11,'PEW5'!$C$6:$C$201,'PEW5'!$B$6:$B$201,"")</f>
        <v/>
      </c>
      <c r="AI11" s="79">
        <f>_xlfn.XLOOKUP(AH11,'PEW5'!$B$6:$B$201,'PEW5'!$A$6:$A$201,0)</f>
        <v>0</v>
      </c>
      <c r="AJ11" s="10" t="str">
        <f>_xlfn.XLOOKUP($B11,'PEW6'!$C$6:$C$201,'PEW6'!$B$6:$B$201,"")</f>
        <v/>
      </c>
      <c r="AK11" s="79">
        <f>_xlfn.XLOOKUP(AJ11,'PEW6'!$B$6:$B$201,'PEW6'!$A$6:$A$201,0)</f>
        <v>0</v>
      </c>
      <c r="AL11" s="10" t="str">
        <f>_xlfn.XLOOKUP($B11,'PEW7'!$C$6:$C$201,'PEW7'!$B$6:$B$201,"")</f>
        <v/>
      </c>
      <c r="AM11" s="79">
        <f>_xlfn.XLOOKUP(AL11,'PEW7'!$B$6:$B$201,'PEW7'!$A$6:$A$201,0)</f>
        <v>0</v>
      </c>
      <c r="AN11" s="10" t="str">
        <f>_xlfn.XLOOKUP($B11,'PEW8'!$C$6:$C$201,'PEW8'!$B$6:$B$201,"")</f>
        <v/>
      </c>
      <c r="AO11" s="79">
        <f>_xlfn.XLOOKUP(AN11,'PEW8'!$B$6:$B$201,'PEW8'!$A$6:$A$201,0)</f>
        <v>0</v>
      </c>
      <c r="AP11" s="10" t="str">
        <f>_xlfn.XLOOKUP($B11,'PEW9'!$C$6:$C$201,'PEW9'!$B$6:$B$201,"")</f>
        <v/>
      </c>
      <c r="AQ11" s="79">
        <f>_xlfn.XLOOKUP(AP11,'PEW9'!$B$6:$B$201,'PEW9'!$A$6:$A$201,0)</f>
        <v>0</v>
      </c>
      <c r="AR11" s="10" t="str">
        <f>_xlfn.XLOOKUP($B11,'PEW10'!$C$6:$C$201,'PEW10'!$B$6:$B$201,"")</f>
        <v/>
      </c>
      <c r="AS11" s="79">
        <f>_xlfn.XLOOKUP(AR11,'PEW10'!$B$6:$B$201,'PEW10'!$A$6:$A$201,0)</f>
        <v>0</v>
      </c>
      <c r="AT11" s="10" t="str">
        <f>_xlfn.XLOOKUP($B11,'PEW11'!$C$6:$C$201,'PEW11'!$B$6:$B$201,"")</f>
        <v/>
      </c>
      <c r="AU11" s="79">
        <f>_xlfn.XLOOKUP(AT11,'PEW11'!$B$6:$B$201,'PEW11'!$A$6:$A$201,0)</f>
        <v>0</v>
      </c>
      <c r="AV11" s="10" t="str">
        <f>_xlfn.XLOOKUP($B11,'PEW12'!$C$6:$C$201,'PEW12'!$B$6:$B$201,"")</f>
        <v/>
      </c>
      <c r="AW11" s="79">
        <f>_xlfn.XLOOKUP(AV11,'PEW12'!$B$6:$B$201,'PEW12'!$A$6:$A$201,0)</f>
        <v>0</v>
      </c>
      <c r="AX11" s="10" t="str" cm="1">
        <f t="array" ref="AX11">_xlfn.XLOOKUP($B11,IMEW!C$6:C$201,IMEW!$B$6:B$201,"")</f>
        <v/>
      </c>
      <c r="AY11" s="80">
        <f>_xlfn.XLOOKUP(AX11,IMEW!$B$6:$B$201,IMEW!$A$6:$A$201,0)</f>
        <v>0</v>
      </c>
      <c r="BA11" s="81">
        <f t="shared" si="1"/>
        <v>0</v>
      </c>
      <c r="BB11" s="81">
        <f t="shared" si="2"/>
        <v>0</v>
      </c>
      <c r="BC11" s="81">
        <f t="shared" si="3"/>
        <v>0</v>
      </c>
      <c r="BD11" s="81">
        <f t="shared" si="4"/>
        <v>0</v>
      </c>
      <c r="BE11" s="81">
        <f t="shared" si="5"/>
        <v>0</v>
      </c>
      <c r="BF11" s="81">
        <f t="shared" si="6"/>
        <v>0</v>
      </c>
      <c r="BG11" s="81">
        <f t="shared" si="7"/>
        <v>0</v>
      </c>
    </row>
    <row r="12" spans="1:59" ht="14.8" customHeight="1" x14ac:dyDescent="0.25">
      <c r="A12" s="8">
        <f t="shared" si="0"/>
        <v>7</v>
      </c>
      <c r="B12" s="9"/>
      <c r="C12" s="11"/>
      <c r="D12" s="78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2" t="str">
        <f>_xlfn.XLOOKUP($B12,'GP1'!$C$6:$C$55,'GP1'!$B$6:$B$55,"")</f>
        <v/>
      </c>
      <c r="F12" s="204">
        <f>_xlfn.XLOOKUP(E12,'GP1'!$B$6:$B$55,'GP1'!$A$6:$A$55,0)</f>
        <v>0</v>
      </c>
      <c r="G12" s="12" t="str">
        <f>_xlfn.XLOOKUP($B12,'GP2'!$C$6:$C$15,'GP2'!$B$6:$B$15,"")</f>
        <v/>
      </c>
      <c r="H12" s="204">
        <f>_xlfn.XLOOKUP(G12,'GP2'!$B$6:$B$15,'GP2'!$A$6:$A$15,0)</f>
        <v>0</v>
      </c>
      <c r="I12" s="12" t="str">
        <f>_xlfn.XLOOKUP($B12,'GP3'!$C$6:$C$15,'GP3'!$B$6:$B$15,"")</f>
        <v/>
      </c>
      <c r="J12" s="204">
        <f>_xlfn.XLOOKUP(I12,'GP3'!$B$6:$B$15,'GP3'!$A$6:$A$15,0)</f>
        <v>0</v>
      </c>
      <c r="K12" s="12" t="str">
        <f>_xlfn.XLOOKUP($B12,'GP4'!$C$6:$C$15,'GP4'!$B$6:$B$15,"")</f>
        <v/>
      </c>
      <c r="L12" s="204">
        <f>_xlfn.XLOOKUP(K12,'GP4'!$B$6:$B$15,'GP4'!$A$6:$A$15,0)</f>
        <v>0</v>
      </c>
      <c r="M12" s="12" t="str">
        <f>_xlfn.XLOOKUP($B12,'GP5'!$C$6:$C$15,'GP5'!$B$6:$B$15,"")</f>
        <v/>
      </c>
      <c r="N12" s="206">
        <f>_xlfn.XLOOKUP(M12,'GP5'!$B$6:$B$15,'GP5'!$A$6:$A$15,0)</f>
        <v>0</v>
      </c>
      <c r="O12" s="12" t="str">
        <f>_xlfn.XLOOKUP($B12,'GP6'!$C$6:$C$15,'GP6'!$B$6:$B$15,"")</f>
        <v/>
      </c>
      <c r="P12" s="206">
        <f>_xlfn.XLOOKUP(O12,'GP6'!$B$6:$B$15,'GP6'!$A$6:$A$15,0)</f>
        <v>0</v>
      </c>
      <c r="Q12" s="12" t="str">
        <f>_xlfn.XLOOKUP($B12,'GP7'!$C$6:$C$15,'GP7'!$B$6:$B$15,"")</f>
        <v/>
      </c>
      <c r="R12" s="206">
        <f>_xlfn.XLOOKUP(Q12,'GP7'!$B$6:$B$15,'GP7'!$A$6:$A$15,0)</f>
        <v>0</v>
      </c>
      <c r="S12" s="12" t="str">
        <f>_xlfn.XLOOKUP($B12,'GP8'!$C$6:$C$15,'GP8'!$B$6:$B$15,"")</f>
        <v/>
      </c>
      <c r="T12" s="206">
        <f>_xlfn.XLOOKUP(S12,'GP8'!$B$6:$B$15,'GP8'!$A$6:$A$15,0)</f>
        <v>0</v>
      </c>
      <c r="U12" s="12" t="str">
        <f>_xlfn.XLOOKUP(B12,MPW!C$6:C$15,MPW!B$6:B$15,"")</f>
        <v/>
      </c>
      <c r="V12" s="206">
        <f>_xlfn.XLOOKUP(U12,MPW!B$6:B$15,MPW!A$6:A$15,0)</f>
        <v>0</v>
      </c>
      <c r="X12" s="10" t="str">
        <f>_xlfn.XLOOKUP($B12,'PEW1'!$C$6:$C$201,'PEW1'!$B$6:$B$201,"")</f>
        <v/>
      </c>
      <c r="Y12" s="79">
        <f>_xlfn.XLOOKUP(X12,'PEW1'!$B$6:$B$201,'PEW1'!$A$6:$A$201,0)</f>
        <v>0</v>
      </c>
      <c r="Z12" s="10" t="str">
        <f>_xlfn.XLOOKUP($B12,'PEW2'!$C$6:$C$201,'PEW2'!$B$6:$B$201,"")</f>
        <v/>
      </c>
      <c r="AA12" s="79">
        <f>_xlfn.XLOOKUP(Z12,'PEW2'!$B$6:$B$201,'PEW2'!$A$6:$A$201,0)</f>
        <v>0</v>
      </c>
      <c r="AB12" s="10" t="str">
        <f>_xlfn.XLOOKUP($B12,'PEW3'!$C$6:$C$201,'PEW3'!$B$6:$B$201,"")</f>
        <v/>
      </c>
      <c r="AC12" s="79">
        <f>_xlfn.XLOOKUP(AB12,'PEW3'!$B$6:$B$201,'PEW3'!$A$6:$A$201,0)</f>
        <v>0</v>
      </c>
      <c r="AD12" s="10" t="str">
        <f>_xlfn.XLOOKUP($B12,VFC!$C$6:$C$201,VFC!$B$6:$B$201,"")</f>
        <v/>
      </c>
      <c r="AE12" s="79">
        <f>_xlfn.XLOOKUP(AD12,VFC!$B$6:$B$201,VFC!$A$6:$A$201,0)</f>
        <v>0</v>
      </c>
      <c r="AF12" s="10" t="str">
        <f>_xlfn.XLOOKUP($B12,'PEW4'!$C$6:$C$201,'PEW4'!$B$6:$B$201,"")</f>
        <v/>
      </c>
      <c r="AG12" s="79">
        <f>_xlfn.XLOOKUP(AF12,'PEW4'!$B$6:$B$201,'PEW4'!$A$6:$A$201,0)</f>
        <v>0</v>
      </c>
      <c r="AH12" s="10" t="str">
        <f>_xlfn.XLOOKUP($B12,'PEW5'!$C$6:$C$201,'PEW5'!$B$6:$B$201,"")</f>
        <v/>
      </c>
      <c r="AI12" s="79">
        <f>_xlfn.XLOOKUP(AH12,'PEW5'!$B$6:$B$201,'PEW5'!$A$6:$A$201,0)</f>
        <v>0</v>
      </c>
      <c r="AJ12" s="10" t="str">
        <f>_xlfn.XLOOKUP($B12,'PEW6'!$C$6:$C$201,'PEW6'!$B$6:$B$201,"")</f>
        <v/>
      </c>
      <c r="AK12" s="79">
        <f>_xlfn.XLOOKUP(AJ12,'PEW6'!$B$6:$B$201,'PEW6'!$A$6:$A$201,0)</f>
        <v>0</v>
      </c>
      <c r="AL12" s="10" t="str">
        <f>_xlfn.XLOOKUP($B12,'PEW7'!$C$6:$C$201,'PEW7'!$B$6:$B$201,"")</f>
        <v/>
      </c>
      <c r="AM12" s="79">
        <f>_xlfn.XLOOKUP(AL12,'PEW7'!$B$6:$B$201,'PEW7'!$A$6:$A$201,0)</f>
        <v>0</v>
      </c>
      <c r="AN12" s="10" t="str">
        <f>_xlfn.XLOOKUP($B12,'PEW8'!$C$6:$C$201,'PEW8'!$B$6:$B$201,"")</f>
        <v/>
      </c>
      <c r="AO12" s="79">
        <f>_xlfn.XLOOKUP(AN12,'PEW8'!$B$6:$B$201,'PEW8'!$A$6:$A$201,0)</f>
        <v>0</v>
      </c>
      <c r="AP12" s="10" t="str">
        <f>_xlfn.XLOOKUP($B12,'PEW9'!$C$6:$C$201,'PEW9'!$B$6:$B$201,"")</f>
        <v/>
      </c>
      <c r="AQ12" s="79">
        <f>_xlfn.XLOOKUP(AP12,'PEW9'!$B$6:$B$201,'PEW9'!$A$6:$A$201,0)</f>
        <v>0</v>
      </c>
      <c r="AR12" s="10" t="str">
        <f>_xlfn.XLOOKUP($B12,'PEW10'!$C$6:$C$201,'PEW10'!$B$6:$B$201,"")</f>
        <v/>
      </c>
      <c r="AS12" s="79">
        <f>_xlfn.XLOOKUP(AR12,'PEW10'!$B$6:$B$201,'PEW10'!$A$6:$A$201,0)</f>
        <v>0</v>
      </c>
      <c r="AT12" s="10" t="str">
        <f>_xlfn.XLOOKUP($B12,'PEW11'!$C$6:$C$201,'PEW11'!$B$6:$B$201,"")</f>
        <v/>
      </c>
      <c r="AU12" s="79">
        <f>_xlfn.XLOOKUP(AT12,'PEW11'!$B$6:$B$201,'PEW11'!$A$6:$A$201,0)</f>
        <v>0</v>
      </c>
      <c r="AV12" s="10" t="str">
        <f>_xlfn.XLOOKUP($B12,'PEW12'!$C$6:$C$201,'PEW12'!$B$6:$B$201,"")</f>
        <v/>
      </c>
      <c r="AW12" s="79">
        <f>_xlfn.XLOOKUP(AV12,'PEW12'!$B$6:$B$201,'PEW12'!$A$6:$A$201,0)</f>
        <v>0</v>
      </c>
      <c r="AX12" s="10" t="str" cm="1">
        <f t="array" ref="AX12">_xlfn.XLOOKUP($B12,IMEW!C$6:C$201,IMEW!$B$6:B$201,"")</f>
        <v/>
      </c>
      <c r="AY12" s="80">
        <f>_xlfn.XLOOKUP(AX12,IMEW!$B$6:$B$201,IMEW!$A$6:$A$201,0)</f>
        <v>0</v>
      </c>
      <c r="BA12" s="81">
        <f t="shared" si="1"/>
        <v>0</v>
      </c>
      <c r="BB12" s="81">
        <f t="shared" si="2"/>
        <v>0</v>
      </c>
      <c r="BC12" s="81">
        <f t="shared" si="3"/>
        <v>0</v>
      </c>
      <c r="BD12" s="81">
        <f t="shared" si="4"/>
        <v>0</v>
      </c>
      <c r="BE12" s="81">
        <f t="shared" si="5"/>
        <v>0</v>
      </c>
      <c r="BF12" s="81">
        <f t="shared" si="6"/>
        <v>0</v>
      </c>
      <c r="BG12" s="81">
        <f t="shared" si="7"/>
        <v>0</v>
      </c>
    </row>
    <row r="13" spans="1:59" ht="14.8" customHeight="1" x14ac:dyDescent="0.25">
      <c r="A13" s="8">
        <f t="shared" si="0"/>
        <v>8</v>
      </c>
      <c r="B13" s="9"/>
      <c r="C13" s="11"/>
      <c r="D13" s="78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2" t="str">
        <f>_xlfn.XLOOKUP($B13,'GP1'!$C$6:$C$55,'GP1'!$B$6:$B$55,"")</f>
        <v/>
      </c>
      <c r="F13" s="204">
        <f>_xlfn.XLOOKUP(E13,'GP1'!$B$6:$B$55,'GP1'!$A$6:$A$55,0)</f>
        <v>0</v>
      </c>
      <c r="G13" s="12" t="str">
        <f>_xlfn.XLOOKUP($B13,'GP2'!$C$6:$C$15,'GP2'!$B$6:$B$15,"")</f>
        <v/>
      </c>
      <c r="H13" s="204">
        <f>_xlfn.XLOOKUP(G13,'GP2'!$B$6:$B$15,'GP2'!$A$6:$A$15,0)</f>
        <v>0</v>
      </c>
      <c r="I13" s="12" t="str">
        <f>_xlfn.XLOOKUP($B13,'GP3'!$C$6:$C$15,'GP3'!$B$6:$B$15,"")</f>
        <v/>
      </c>
      <c r="J13" s="204">
        <f>_xlfn.XLOOKUP(I13,'GP3'!$B$6:$B$15,'GP3'!$A$6:$A$15,0)</f>
        <v>0</v>
      </c>
      <c r="K13" s="12" t="str">
        <f>_xlfn.XLOOKUP($B13,'GP4'!$C$6:$C$15,'GP4'!$B$6:$B$15,"")</f>
        <v/>
      </c>
      <c r="L13" s="204">
        <f>_xlfn.XLOOKUP(K13,'GP4'!$B$6:$B$15,'GP4'!$A$6:$A$15,0)</f>
        <v>0</v>
      </c>
      <c r="M13" s="12" t="str">
        <f>_xlfn.XLOOKUP($B13,'GP5'!$C$6:$C$15,'GP5'!$B$6:$B$15,"")</f>
        <v/>
      </c>
      <c r="N13" s="206">
        <f>_xlfn.XLOOKUP(M13,'GP5'!$B$6:$B$15,'GP5'!$A$6:$A$15,0)</f>
        <v>0</v>
      </c>
      <c r="O13" s="12" t="str">
        <f>_xlfn.XLOOKUP($B13,'GP6'!$C$6:$C$15,'GP6'!$B$6:$B$15,"")</f>
        <v/>
      </c>
      <c r="P13" s="206">
        <f>_xlfn.XLOOKUP(O13,'GP6'!$B$6:$B$15,'GP6'!$A$6:$A$15,0)</f>
        <v>0</v>
      </c>
      <c r="Q13" s="12" t="str">
        <f>_xlfn.XLOOKUP($B13,'GP7'!$C$6:$C$15,'GP7'!$B$6:$B$15,"")</f>
        <v/>
      </c>
      <c r="R13" s="206">
        <f>_xlfn.XLOOKUP(Q13,'GP7'!$B$6:$B$15,'GP7'!$A$6:$A$15,0)</f>
        <v>0</v>
      </c>
      <c r="S13" s="12" t="str">
        <f>_xlfn.XLOOKUP($B13,'GP8'!$C$6:$C$15,'GP8'!$B$6:$B$15,"")</f>
        <v/>
      </c>
      <c r="T13" s="206">
        <f>_xlfn.XLOOKUP(S13,'GP8'!$B$6:$B$15,'GP8'!$A$6:$A$15,0)</f>
        <v>0</v>
      </c>
      <c r="U13" s="12" t="str">
        <f>_xlfn.XLOOKUP(B13,MPW!C$6:C$15,MPW!B$6:B$15,"")</f>
        <v/>
      </c>
      <c r="V13" s="206">
        <f>_xlfn.XLOOKUP(U13,MPW!B$6:B$15,MPW!A$6:A$15,0)</f>
        <v>0</v>
      </c>
      <c r="X13" s="10" t="str">
        <f>_xlfn.XLOOKUP($B13,'PEW1'!$C$6:$C$201,'PEW1'!$B$6:$B$201,"")</f>
        <v/>
      </c>
      <c r="Y13" s="79">
        <f>_xlfn.XLOOKUP(X13,'PEW1'!$B$6:$B$201,'PEW1'!$A$6:$A$201,0)</f>
        <v>0</v>
      </c>
      <c r="Z13" s="10" t="str">
        <f>_xlfn.XLOOKUP($B13,'PEW2'!$C$6:$C$201,'PEW2'!$B$6:$B$201,"")</f>
        <v/>
      </c>
      <c r="AA13" s="79">
        <f>_xlfn.XLOOKUP(Z13,'PEW2'!$B$6:$B$201,'PEW2'!$A$6:$A$201,0)</f>
        <v>0</v>
      </c>
      <c r="AB13" s="10" t="str">
        <f>_xlfn.XLOOKUP($B13,'PEW3'!$C$6:$C$201,'PEW3'!$B$6:$B$201,"")</f>
        <v/>
      </c>
      <c r="AC13" s="79">
        <f>_xlfn.XLOOKUP(AB13,'PEW3'!$B$6:$B$201,'PEW3'!$A$6:$A$201,0)</f>
        <v>0</v>
      </c>
      <c r="AD13" s="10" t="str">
        <f>_xlfn.XLOOKUP($B13,VFC!$C$6:$C$201,VFC!$B$6:$B$201,"")</f>
        <v/>
      </c>
      <c r="AE13" s="79">
        <f>_xlfn.XLOOKUP(AD13,VFC!$B$6:$B$201,VFC!$A$6:$A$201,0)</f>
        <v>0</v>
      </c>
      <c r="AF13" s="10" t="str">
        <f>_xlfn.XLOOKUP($B13,'PEW4'!$C$6:$C$201,'PEW4'!$B$6:$B$201,"")</f>
        <v/>
      </c>
      <c r="AG13" s="79">
        <f>_xlfn.XLOOKUP(AF13,'PEW4'!$B$6:$B$201,'PEW4'!$A$6:$A$201,0)</f>
        <v>0</v>
      </c>
      <c r="AH13" s="10" t="str">
        <f>_xlfn.XLOOKUP($B13,'PEW5'!$C$6:$C$201,'PEW5'!$B$6:$B$201,"")</f>
        <v/>
      </c>
      <c r="AI13" s="79">
        <f>_xlfn.XLOOKUP(AH13,'PEW5'!$B$6:$B$201,'PEW5'!$A$6:$A$201,0)</f>
        <v>0</v>
      </c>
      <c r="AJ13" s="10" t="str">
        <f>_xlfn.XLOOKUP($B13,'PEW6'!$C$6:$C$201,'PEW6'!$B$6:$B$201,"")</f>
        <v/>
      </c>
      <c r="AK13" s="79">
        <f>_xlfn.XLOOKUP(AJ13,'PEW6'!$B$6:$B$201,'PEW6'!$A$6:$A$201,0)</f>
        <v>0</v>
      </c>
      <c r="AL13" s="10" t="str">
        <f>_xlfn.XLOOKUP($B13,'PEW7'!$C$6:$C$201,'PEW7'!$B$6:$B$201,"")</f>
        <v/>
      </c>
      <c r="AM13" s="79">
        <f>_xlfn.XLOOKUP(AL13,'PEW7'!$B$6:$B$201,'PEW7'!$A$6:$A$201,0)</f>
        <v>0</v>
      </c>
      <c r="AN13" s="10" t="str">
        <f>_xlfn.XLOOKUP($B13,'PEW8'!$C$6:$C$201,'PEW8'!$B$6:$B$201,"")</f>
        <v/>
      </c>
      <c r="AO13" s="79">
        <f>_xlfn.XLOOKUP(AN13,'PEW8'!$B$6:$B$201,'PEW8'!$A$6:$A$201,0)</f>
        <v>0</v>
      </c>
      <c r="AP13" s="10" t="str">
        <f>_xlfn.XLOOKUP($B13,'PEW9'!$C$6:$C$201,'PEW9'!$B$6:$B$201,"")</f>
        <v/>
      </c>
      <c r="AQ13" s="79">
        <f>_xlfn.XLOOKUP(AP13,'PEW9'!$B$6:$B$201,'PEW9'!$A$6:$A$201,0)</f>
        <v>0</v>
      </c>
      <c r="AR13" s="10" t="str">
        <f>_xlfn.XLOOKUP($B13,'PEW10'!$C$6:$C$201,'PEW10'!$B$6:$B$201,"")</f>
        <v/>
      </c>
      <c r="AS13" s="79">
        <f>_xlfn.XLOOKUP(AR13,'PEW10'!$B$6:$B$201,'PEW10'!$A$6:$A$201,0)</f>
        <v>0</v>
      </c>
      <c r="AT13" s="10" t="str">
        <f>_xlfn.XLOOKUP($B13,'PEW11'!$C$6:$C$201,'PEW11'!$B$6:$B$201,"")</f>
        <v/>
      </c>
      <c r="AU13" s="79">
        <f>_xlfn.XLOOKUP(AT13,'PEW11'!$B$6:$B$201,'PEW11'!$A$6:$A$201,0)</f>
        <v>0</v>
      </c>
      <c r="AV13" s="10" t="str">
        <f>_xlfn.XLOOKUP($B13,'PEW12'!$C$6:$C$201,'PEW12'!$B$6:$B$201,"")</f>
        <v/>
      </c>
      <c r="AW13" s="79">
        <f>_xlfn.XLOOKUP(AV13,'PEW12'!$B$6:$B$201,'PEW12'!$A$6:$A$201,0)</f>
        <v>0</v>
      </c>
      <c r="AX13" s="10" t="str" cm="1">
        <f t="array" ref="AX13">_xlfn.XLOOKUP($B13,IMEW!C$6:C$201,IMEW!$B$6:B$201,"")</f>
        <v/>
      </c>
      <c r="AY13" s="80">
        <f>_xlfn.XLOOKUP(AX13,IMEW!$B$6:$B$201,IMEW!$A$6:$A$201,0)</f>
        <v>0</v>
      </c>
      <c r="BA13" s="81">
        <f t="shared" si="1"/>
        <v>0</v>
      </c>
      <c r="BB13" s="81">
        <f t="shared" si="2"/>
        <v>0</v>
      </c>
      <c r="BC13" s="81">
        <f t="shared" si="3"/>
        <v>0</v>
      </c>
      <c r="BD13" s="81">
        <f t="shared" si="4"/>
        <v>0</v>
      </c>
      <c r="BE13" s="81">
        <f t="shared" si="5"/>
        <v>0</v>
      </c>
      <c r="BF13" s="81">
        <f t="shared" si="6"/>
        <v>0</v>
      </c>
      <c r="BG13" s="81">
        <f t="shared" si="7"/>
        <v>0</v>
      </c>
    </row>
    <row r="14" spans="1:59" ht="14.8" customHeight="1" x14ac:dyDescent="0.25">
      <c r="A14" s="8">
        <f t="shared" si="0"/>
        <v>9</v>
      </c>
      <c r="B14" s="9"/>
      <c r="C14" s="11"/>
      <c r="D14" s="78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2" t="str">
        <f>_xlfn.XLOOKUP($B14,'GP1'!$C$6:$C$55,'GP1'!$B$6:$B$55,"")</f>
        <v/>
      </c>
      <c r="F14" s="204">
        <f>_xlfn.XLOOKUP(E14,'GP1'!$B$6:$B$55,'GP1'!$A$6:$A$55,0)</f>
        <v>0</v>
      </c>
      <c r="G14" s="12" t="str">
        <f>_xlfn.XLOOKUP($B14,'GP2'!$C$6:$C$15,'GP2'!$B$6:$B$15,"")</f>
        <v/>
      </c>
      <c r="H14" s="204">
        <f>_xlfn.XLOOKUP(G14,'GP2'!$B$6:$B$15,'GP2'!$A$6:$A$15,0)</f>
        <v>0</v>
      </c>
      <c r="I14" s="12" t="str">
        <f>_xlfn.XLOOKUP($B14,'GP3'!$C$6:$C$15,'GP3'!$B$6:$B$15,"")</f>
        <v/>
      </c>
      <c r="J14" s="204">
        <f>_xlfn.XLOOKUP(I14,'GP3'!$B$6:$B$15,'GP3'!$A$6:$A$15,0)</f>
        <v>0</v>
      </c>
      <c r="K14" s="12" t="str">
        <f>_xlfn.XLOOKUP($B14,'GP4'!$C$6:$C$15,'GP4'!$B$6:$B$15,"")</f>
        <v/>
      </c>
      <c r="L14" s="204">
        <f>_xlfn.XLOOKUP(K14,'GP4'!$B$6:$B$15,'GP4'!$A$6:$A$15,0)</f>
        <v>0</v>
      </c>
      <c r="M14" s="12" t="str">
        <f>_xlfn.XLOOKUP($B14,'GP5'!$C$6:$C$15,'GP5'!$B$6:$B$15,"")</f>
        <v/>
      </c>
      <c r="N14" s="206">
        <f>_xlfn.XLOOKUP(M14,'GP5'!$B$6:$B$15,'GP5'!$A$6:$A$15,0)</f>
        <v>0</v>
      </c>
      <c r="O14" s="12" t="str">
        <f>_xlfn.XLOOKUP($B14,'GP6'!$C$6:$C$15,'GP6'!$B$6:$B$15,"")</f>
        <v/>
      </c>
      <c r="P14" s="206">
        <f>_xlfn.XLOOKUP(O14,'GP6'!$B$6:$B$15,'GP6'!$A$6:$A$15,0)</f>
        <v>0</v>
      </c>
      <c r="Q14" s="12" t="str">
        <f>_xlfn.XLOOKUP($B14,'GP7'!$C$6:$C$15,'GP7'!$B$6:$B$15,"")</f>
        <v/>
      </c>
      <c r="R14" s="206">
        <f>_xlfn.XLOOKUP(Q14,'GP7'!$B$6:$B$15,'GP7'!$A$6:$A$15,0)</f>
        <v>0</v>
      </c>
      <c r="S14" s="12" t="str">
        <f>_xlfn.XLOOKUP($B14,'GP8'!$C$6:$C$15,'GP8'!$B$6:$B$15,"")</f>
        <v/>
      </c>
      <c r="T14" s="206">
        <f>_xlfn.XLOOKUP(S14,'GP8'!$B$6:$B$15,'GP8'!$A$6:$A$15,0)</f>
        <v>0</v>
      </c>
      <c r="U14" s="12" t="str">
        <f>_xlfn.XLOOKUP(B14,MPW!C$6:C$15,MPW!B$6:B$15,"")</f>
        <v/>
      </c>
      <c r="V14" s="206">
        <f>_xlfn.XLOOKUP(U14,MPW!B$6:B$15,MPW!A$6:A$15,0)</f>
        <v>0</v>
      </c>
      <c r="X14" s="10" t="str">
        <f>_xlfn.XLOOKUP($B14,'PEW1'!$C$6:$C$201,'PEW1'!$B$6:$B$201,"")</f>
        <v/>
      </c>
      <c r="Y14" s="79">
        <f>_xlfn.XLOOKUP(X14,'PEW1'!$B$6:$B$201,'PEW1'!$A$6:$A$201,0)</f>
        <v>0</v>
      </c>
      <c r="Z14" s="10" t="str">
        <f>_xlfn.XLOOKUP($B14,'PEW2'!$C$6:$C$201,'PEW2'!$B$6:$B$201,"")</f>
        <v/>
      </c>
      <c r="AA14" s="79">
        <f>_xlfn.XLOOKUP(Z14,'PEW2'!$B$6:$B$201,'PEW2'!$A$6:$A$201,0)</f>
        <v>0</v>
      </c>
      <c r="AB14" s="10" t="str">
        <f>_xlfn.XLOOKUP($B14,'PEW3'!$C$6:$C$201,'PEW3'!$B$6:$B$201,"")</f>
        <v/>
      </c>
      <c r="AC14" s="79">
        <f>_xlfn.XLOOKUP(AB14,'PEW3'!$B$6:$B$201,'PEW3'!$A$6:$A$201,0)</f>
        <v>0</v>
      </c>
      <c r="AD14" s="10" t="str">
        <f>_xlfn.XLOOKUP($B14,VFC!$C$6:$C$201,VFC!$B$6:$B$201,"")</f>
        <v/>
      </c>
      <c r="AE14" s="79">
        <f>_xlfn.XLOOKUP(AD14,VFC!$B$6:$B$201,VFC!$A$6:$A$201,0)</f>
        <v>0</v>
      </c>
      <c r="AF14" s="10" t="str">
        <f>_xlfn.XLOOKUP($B14,'PEW4'!$C$6:$C$201,'PEW4'!$B$6:$B$201,"")</f>
        <v/>
      </c>
      <c r="AG14" s="79">
        <f>_xlfn.XLOOKUP(AF14,'PEW4'!$B$6:$B$201,'PEW4'!$A$6:$A$201,0)</f>
        <v>0</v>
      </c>
      <c r="AH14" s="10" t="str">
        <f>_xlfn.XLOOKUP($B14,'PEW5'!$C$6:$C$201,'PEW5'!$B$6:$B$201,"")</f>
        <v/>
      </c>
      <c r="AI14" s="79">
        <f>_xlfn.XLOOKUP(AH14,'PEW5'!$B$6:$B$201,'PEW5'!$A$6:$A$201,0)</f>
        <v>0</v>
      </c>
      <c r="AJ14" s="10" t="str">
        <f>_xlfn.XLOOKUP($B14,'PEW6'!$C$6:$C$201,'PEW6'!$B$6:$B$201,"")</f>
        <v/>
      </c>
      <c r="AK14" s="79">
        <f>_xlfn.XLOOKUP(AJ14,'PEW6'!$B$6:$B$201,'PEW6'!$A$6:$A$201,0)</f>
        <v>0</v>
      </c>
      <c r="AL14" s="10" t="str">
        <f>_xlfn.XLOOKUP($B14,'PEW7'!$C$6:$C$201,'PEW7'!$B$6:$B$201,"")</f>
        <v/>
      </c>
      <c r="AM14" s="79">
        <f>_xlfn.XLOOKUP(AL14,'PEW7'!$B$6:$B$201,'PEW7'!$A$6:$A$201,0)</f>
        <v>0</v>
      </c>
      <c r="AN14" s="10" t="str">
        <f>_xlfn.XLOOKUP($B14,'PEW8'!$C$6:$C$201,'PEW8'!$B$6:$B$201,"")</f>
        <v/>
      </c>
      <c r="AO14" s="79">
        <f>_xlfn.XLOOKUP(AN14,'PEW8'!$B$6:$B$201,'PEW8'!$A$6:$A$201,0)</f>
        <v>0</v>
      </c>
      <c r="AP14" s="10" t="str">
        <f>_xlfn.XLOOKUP($B14,'PEW9'!$C$6:$C$201,'PEW9'!$B$6:$B$201,"")</f>
        <v/>
      </c>
      <c r="AQ14" s="79">
        <f>_xlfn.XLOOKUP(AP14,'PEW9'!$B$6:$B$201,'PEW9'!$A$6:$A$201,0)</f>
        <v>0</v>
      </c>
      <c r="AR14" s="10" t="str">
        <f>_xlfn.XLOOKUP($B14,'PEW10'!$C$6:$C$201,'PEW10'!$B$6:$B$201,"")</f>
        <v/>
      </c>
      <c r="AS14" s="79">
        <f>_xlfn.XLOOKUP(AR14,'PEW10'!$B$6:$B$201,'PEW10'!$A$6:$A$201,0)</f>
        <v>0</v>
      </c>
      <c r="AT14" s="10" t="str">
        <f>_xlfn.XLOOKUP($B14,'PEW11'!$C$6:$C$201,'PEW11'!$B$6:$B$201,"")</f>
        <v/>
      </c>
      <c r="AU14" s="79">
        <f>_xlfn.XLOOKUP(AT14,'PEW11'!$B$6:$B$201,'PEW11'!$A$6:$A$201,0)</f>
        <v>0</v>
      </c>
      <c r="AV14" s="10" t="str">
        <f>_xlfn.XLOOKUP($B14,'PEW12'!$C$6:$C$201,'PEW12'!$B$6:$B$201,"")</f>
        <v/>
      </c>
      <c r="AW14" s="79">
        <f>_xlfn.XLOOKUP(AV14,'PEW12'!$B$6:$B$201,'PEW12'!$A$6:$A$201,0)</f>
        <v>0</v>
      </c>
      <c r="AX14" s="10" t="str" cm="1">
        <f t="array" ref="AX14">_xlfn.XLOOKUP($B14,IMEW!C$6:C$201,IMEW!$B$6:B$201,"")</f>
        <v/>
      </c>
      <c r="AY14" s="80">
        <f>_xlfn.XLOOKUP(AX14,IMEW!$B$6:$B$201,IMEW!$A$6:$A$201,0)</f>
        <v>0</v>
      </c>
      <c r="BA14" s="81">
        <f t="shared" si="1"/>
        <v>0</v>
      </c>
      <c r="BB14" s="81">
        <f t="shared" si="2"/>
        <v>0</v>
      </c>
      <c r="BC14" s="81">
        <f t="shared" si="3"/>
        <v>0</v>
      </c>
      <c r="BD14" s="81">
        <f t="shared" si="4"/>
        <v>0</v>
      </c>
      <c r="BE14" s="81">
        <f t="shared" si="5"/>
        <v>0</v>
      </c>
      <c r="BF14" s="81">
        <f t="shared" si="6"/>
        <v>0</v>
      </c>
      <c r="BG14" s="81">
        <f t="shared" si="7"/>
        <v>0</v>
      </c>
    </row>
    <row r="15" spans="1:59" ht="14.8" customHeight="1" x14ac:dyDescent="0.25">
      <c r="A15" s="8">
        <f t="shared" si="0"/>
        <v>10</v>
      </c>
      <c r="B15" s="9"/>
      <c r="C15" s="11"/>
      <c r="D15" s="78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2" t="str">
        <f>_xlfn.XLOOKUP($B15,'GP1'!$C$6:$C$55,'GP1'!$B$6:$B$55,"")</f>
        <v/>
      </c>
      <c r="F15" s="204">
        <f>_xlfn.XLOOKUP(E15,'GP1'!$B$6:$B$55,'GP1'!$A$6:$A$55,0)</f>
        <v>0</v>
      </c>
      <c r="G15" s="12" t="str">
        <f>_xlfn.XLOOKUP($B15,'GP2'!$C$6:$C$15,'GP2'!$B$6:$B$15,"")</f>
        <v/>
      </c>
      <c r="H15" s="204">
        <f>_xlfn.XLOOKUP(G15,'GP2'!$B$6:$B$15,'GP2'!$A$6:$A$15,0)</f>
        <v>0</v>
      </c>
      <c r="I15" s="12" t="str">
        <f>_xlfn.XLOOKUP($B15,'GP3'!$C$6:$C$15,'GP3'!$B$6:$B$15,"")</f>
        <v/>
      </c>
      <c r="J15" s="204">
        <f>_xlfn.XLOOKUP(I15,'GP3'!$B$6:$B$15,'GP3'!$A$6:$A$15,0)</f>
        <v>0</v>
      </c>
      <c r="K15" s="12" t="str">
        <f>_xlfn.XLOOKUP($B15,'GP4'!$C$6:$C$15,'GP4'!$B$6:$B$15,"")</f>
        <v/>
      </c>
      <c r="L15" s="204">
        <f>_xlfn.XLOOKUP(K15,'GP4'!$B$6:$B$15,'GP4'!$A$6:$A$15,0)</f>
        <v>0</v>
      </c>
      <c r="M15" s="12" t="str">
        <f>_xlfn.XLOOKUP($B15,'GP5'!$C$6:$C$15,'GP5'!$B$6:$B$15,"")</f>
        <v/>
      </c>
      <c r="N15" s="206">
        <f>_xlfn.XLOOKUP(M15,'GP5'!$B$6:$B$15,'GP5'!$A$6:$A$15,0)</f>
        <v>0</v>
      </c>
      <c r="O15" s="12" t="str">
        <f>_xlfn.XLOOKUP($B15,'GP6'!$C$6:$C$15,'GP6'!$B$6:$B$15,"")</f>
        <v/>
      </c>
      <c r="P15" s="206">
        <f>_xlfn.XLOOKUP(O15,'GP6'!$B$6:$B$15,'GP6'!$A$6:$A$15,0)</f>
        <v>0</v>
      </c>
      <c r="Q15" s="12" t="str">
        <f>_xlfn.XLOOKUP($B15,'GP7'!$C$6:$C$15,'GP7'!$B$6:$B$15,"")</f>
        <v/>
      </c>
      <c r="R15" s="206">
        <f>_xlfn.XLOOKUP(Q15,'GP7'!$B$6:$B$15,'GP7'!$A$6:$A$15,0)</f>
        <v>0</v>
      </c>
      <c r="S15" s="12" t="str">
        <f>_xlfn.XLOOKUP($B15,'GP8'!$C$6:$C$15,'GP8'!$B$6:$B$15,"")</f>
        <v/>
      </c>
      <c r="T15" s="206">
        <f>_xlfn.XLOOKUP(S15,'GP8'!$B$6:$B$15,'GP8'!$A$6:$A$15,0)</f>
        <v>0</v>
      </c>
      <c r="U15" s="12" t="str">
        <f>_xlfn.XLOOKUP(B15,MPW!C$6:C$15,MPW!B$6:B$15,"")</f>
        <v/>
      </c>
      <c r="V15" s="206">
        <f>_xlfn.XLOOKUP(U15,MPW!B$6:B$15,MPW!A$6:A$15,0)</f>
        <v>0</v>
      </c>
      <c r="X15" s="10" t="str">
        <f>_xlfn.XLOOKUP($B15,'PEW1'!$C$6:$C$201,'PEW1'!$B$6:$B$201,"")</f>
        <v/>
      </c>
      <c r="Y15" s="79">
        <f>_xlfn.XLOOKUP(X15,'PEW1'!$B$6:$B$201,'PEW1'!$A$6:$A$201,0)</f>
        <v>0</v>
      </c>
      <c r="Z15" s="10" t="str">
        <f>_xlfn.XLOOKUP($B15,'PEW2'!$C$6:$C$201,'PEW2'!$B$6:$B$201,"")</f>
        <v/>
      </c>
      <c r="AA15" s="79">
        <f>_xlfn.XLOOKUP(Z15,'PEW2'!$B$6:$B$201,'PEW2'!$A$6:$A$201,0)</f>
        <v>0</v>
      </c>
      <c r="AB15" s="10" t="str">
        <f>_xlfn.XLOOKUP($B15,'PEW3'!$C$6:$C$201,'PEW3'!$B$6:$B$201,"")</f>
        <v/>
      </c>
      <c r="AC15" s="79">
        <f>_xlfn.XLOOKUP(AB15,'PEW3'!$B$6:$B$201,'PEW3'!$A$6:$A$201,0)</f>
        <v>0</v>
      </c>
      <c r="AD15" s="10" t="str">
        <f>_xlfn.XLOOKUP($B15,VFC!$C$6:$C$201,VFC!$B$6:$B$201,"")</f>
        <v/>
      </c>
      <c r="AE15" s="79">
        <f>_xlfn.XLOOKUP(AD15,VFC!$B$6:$B$201,VFC!$A$6:$A$201,0)</f>
        <v>0</v>
      </c>
      <c r="AF15" s="10" t="str">
        <f>_xlfn.XLOOKUP($B15,'PEW4'!$C$6:$C$201,'PEW4'!$B$6:$B$201,"")</f>
        <v/>
      </c>
      <c r="AG15" s="79">
        <f>_xlfn.XLOOKUP(AF15,'PEW4'!$B$6:$B$201,'PEW4'!$A$6:$A$201,0)</f>
        <v>0</v>
      </c>
      <c r="AH15" s="10" t="str">
        <f>_xlfn.XLOOKUP($B15,'PEW5'!$C$6:$C$201,'PEW5'!$B$6:$B$201,"")</f>
        <v/>
      </c>
      <c r="AI15" s="79">
        <f>_xlfn.XLOOKUP(AH15,'PEW5'!$B$6:$B$201,'PEW5'!$A$6:$A$201,0)</f>
        <v>0</v>
      </c>
      <c r="AJ15" s="10" t="str">
        <f>_xlfn.XLOOKUP($B15,'PEW6'!$C$6:$C$201,'PEW6'!$B$6:$B$201,"")</f>
        <v/>
      </c>
      <c r="AK15" s="79">
        <f>_xlfn.XLOOKUP(AJ15,'PEW6'!$B$6:$B$201,'PEW6'!$A$6:$A$201,0)</f>
        <v>0</v>
      </c>
      <c r="AL15" s="10" t="str">
        <f>_xlfn.XLOOKUP($B15,'PEW7'!$C$6:$C$201,'PEW7'!$B$6:$B$201,"")</f>
        <v/>
      </c>
      <c r="AM15" s="79">
        <f>_xlfn.XLOOKUP(AL15,'PEW7'!$B$6:$B$201,'PEW7'!$A$6:$A$201,0)</f>
        <v>0</v>
      </c>
      <c r="AN15" s="10" t="str">
        <f>_xlfn.XLOOKUP($B15,'PEW8'!$C$6:$C$201,'PEW8'!$B$6:$B$201,"")</f>
        <v/>
      </c>
      <c r="AO15" s="79">
        <f>_xlfn.XLOOKUP(AN15,'PEW8'!$B$6:$B$201,'PEW8'!$A$6:$A$201,0)</f>
        <v>0</v>
      </c>
      <c r="AP15" s="10" t="str">
        <f>_xlfn.XLOOKUP($B15,'PEW9'!$C$6:$C$201,'PEW9'!$B$6:$B$201,"")</f>
        <v/>
      </c>
      <c r="AQ15" s="79">
        <f>_xlfn.XLOOKUP(AP15,'PEW9'!$B$6:$B$201,'PEW9'!$A$6:$A$201,0)</f>
        <v>0</v>
      </c>
      <c r="AR15" s="10" t="str">
        <f>_xlfn.XLOOKUP($B15,'PEW10'!$C$6:$C$201,'PEW10'!$B$6:$B$201,"")</f>
        <v/>
      </c>
      <c r="AS15" s="79">
        <f>_xlfn.XLOOKUP(AR15,'PEW10'!$B$6:$B$201,'PEW10'!$A$6:$A$201,0)</f>
        <v>0</v>
      </c>
      <c r="AT15" s="10" t="str">
        <f>_xlfn.XLOOKUP($B15,'PEW11'!$C$6:$C$201,'PEW11'!$B$6:$B$201,"")</f>
        <v/>
      </c>
      <c r="AU15" s="79">
        <f>_xlfn.XLOOKUP(AT15,'PEW11'!$B$6:$B$201,'PEW11'!$A$6:$A$201,0)</f>
        <v>0</v>
      </c>
      <c r="AV15" s="10" t="str">
        <f>_xlfn.XLOOKUP($B15,'PEW12'!$C$6:$C$201,'PEW12'!$B$6:$B$201,"")</f>
        <v/>
      </c>
      <c r="AW15" s="79">
        <f>_xlfn.XLOOKUP(AV15,'PEW12'!$B$6:$B$201,'PEW12'!$A$6:$A$201,0)</f>
        <v>0</v>
      </c>
      <c r="AX15" s="10" t="str" cm="1">
        <f t="array" ref="AX15">_xlfn.XLOOKUP($B15,IMEW!C$6:C$201,IMEW!$B$6:B$201,"")</f>
        <v/>
      </c>
      <c r="AY15" s="80">
        <f>_xlfn.XLOOKUP(AX15,IMEW!$B$6:$B$201,IMEW!$A$6:$A$201,0)</f>
        <v>0</v>
      </c>
      <c r="BA15" s="81">
        <f t="shared" si="1"/>
        <v>0</v>
      </c>
      <c r="BB15" s="81">
        <f t="shared" si="2"/>
        <v>0</v>
      </c>
      <c r="BC15" s="81">
        <f t="shared" si="3"/>
        <v>0</v>
      </c>
      <c r="BD15" s="81">
        <f t="shared" si="4"/>
        <v>0</v>
      </c>
      <c r="BE15" s="81">
        <f t="shared" si="5"/>
        <v>0</v>
      </c>
      <c r="BF15" s="81">
        <f t="shared" si="6"/>
        <v>0</v>
      </c>
      <c r="BG15" s="81">
        <f t="shared" si="7"/>
        <v>0</v>
      </c>
    </row>
    <row r="16" spans="1:59" ht="14.8" customHeight="1" x14ac:dyDescent="0.25">
      <c r="A16" s="8">
        <f t="shared" si="0"/>
        <v>11</v>
      </c>
      <c r="B16" s="9"/>
      <c r="C16" s="11"/>
      <c r="D16" s="78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2" t="str">
        <f>_xlfn.XLOOKUP($B16,'GP1'!$C$6:$C$55,'GP1'!$B$6:$B$55,"")</f>
        <v/>
      </c>
      <c r="F16" s="204">
        <f>_xlfn.XLOOKUP(E16,'GP1'!$B$6:$B$55,'GP1'!$A$6:$A$55,0)</f>
        <v>0</v>
      </c>
      <c r="G16" s="12" t="str">
        <f>_xlfn.XLOOKUP($B16,'GP2'!$C$6:$C$15,'GP2'!$B$6:$B$15,"")</f>
        <v/>
      </c>
      <c r="H16" s="204">
        <f>_xlfn.XLOOKUP(G16,'GP2'!$B$6:$B$15,'GP2'!$A$6:$A$15,0)</f>
        <v>0</v>
      </c>
      <c r="I16" s="12" t="str">
        <f>_xlfn.XLOOKUP($B16,'GP3'!$C$6:$C$15,'GP3'!$B$6:$B$15,"")</f>
        <v/>
      </c>
      <c r="J16" s="204">
        <f>_xlfn.XLOOKUP(I16,'GP3'!$B$6:$B$15,'GP3'!$A$6:$A$15,0)</f>
        <v>0</v>
      </c>
      <c r="K16" s="12" t="str">
        <f>_xlfn.XLOOKUP($B16,'GP4'!$C$6:$C$15,'GP4'!$B$6:$B$15,"")</f>
        <v/>
      </c>
      <c r="L16" s="204">
        <f>_xlfn.XLOOKUP(K16,'GP4'!$B$6:$B$15,'GP4'!$A$6:$A$15,0)</f>
        <v>0</v>
      </c>
      <c r="M16" s="12" t="str">
        <f>_xlfn.XLOOKUP($B16,'GP5'!$C$6:$C$15,'GP5'!$B$6:$B$15,"")</f>
        <v/>
      </c>
      <c r="N16" s="206">
        <f>_xlfn.XLOOKUP(M16,'GP5'!$B$6:$B$15,'GP5'!$A$6:$A$15,0)</f>
        <v>0</v>
      </c>
      <c r="O16" s="12" t="str">
        <f>_xlfn.XLOOKUP($B16,'GP6'!$C$6:$C$15,'GP6'!$B$6:$B$15,"")</f>
        <v/>
      </c>
      <c r="P16" s="206">
        <f>_xlfn.XLOOKUP(O16,'GP6'!$B$6:$B$15,'GP6'!$A$6:$A$15,0)</f>
        <v>0</v>
      </c>
      <c r="Q16" s="12" t="str">
        <f>_xlfn.XLOOKUP($B16,'GP7'!$C$6:$C$15,'GP7'!$B$6:$B$15,"")</f>
        <v/>
      </c>
      <c r="R16" s="206">
        <f>_xlfn.XLOOKUP(Q16,'GP7'!$B$6:$B$15,'GP7'!$A$6:$A$15,0)</f>
        <v>0</v>
      </c>
      <c r="S16" s="12" t="str">
        <f>_xlfn.XLOOKUP($B16,'GP8'!$C$6:$C$15,'GP8'!$B$6:$B$15,"")</f>
        <v/>
      </c>
      <c r="T16" s="206">
        <f>_xlfn.XLOOKUP(S16,'GP8'!$B$6:$B$15,'GP8'!$A$6:$A$15,0)</f>
        <v>0</v>
      </c>
      <c r="U16" s="12" t="str">
        <f>_xlfn.XLOOKUP(B16,MPW!C$6:C$15,MPW!B$6:B$15,"")</f>
        <v/>
      </c>
      <c r="V16" s="206">
        <f>_xlfn.XLOOKUP(U16,MPW!B$6:B$15,MPW!A$6:A$15,0)</f>
        <v>0</v>
      </c>
      <c r="X16" s="10" t="str">
        <f>_xlfn.XLOOKUP($B16,'PEW1'!$C$6:$C$201,'PEW1'!$B$6:$B$201,"")</f>
        <v/>
      </c>
      <c r="Y16" s="79">
        <f>_xlfn.XLOOKUP(X16,'PEW1'!$B$6:$B$201,'PEW1'!$A$6:$A$201,0)</f>
        <v>0</v>
      </c>
      <c r="Z16" s="10" t="str">
        <f>_xlfn.XLOOKUP($B16,'PEW2'!$C$6:$C$201,'PEW2'!$B$6:$B$201,"")</f>
        <v/>
      </c>
      <c r="AA16" s="79">
        <f>_xlfn.XLOOKUP(Z16,'PEW2'!$B$6:$B$201,'PEW2'!$A$6:$A$201,0)</f>
        <v>0</v>
      </c>
      <c r="AB16" s="10" t="str">
        <f>_xlfn.XLOOKUP($B16,'PEW3'!$C$6:$C$201,'PEW3'!$B$6:$B$201,"")</f>
        <v/>
      </c>
      <c r="AC16" s="79">
        <f>_xlfn.XLOOKUP(AB16,'PEW3'!$B$6:$B$201,'PEW3'!$A$6:$A$201,0)</f>
        <v>0</v>
      </c>
      <c r="AD16" s="10" t="str">
        <f>_xlfn.XLOOKUP($B16,VFC!$C$6:$C$201,VFC!$B$6:$B$201,"")</f>
        <v/>
      </c>
      <c r="AE16" s="79">
        <f>_xlfn.XLOOKUP(AD16,VFC!$B$6:$B$201,VFC!$A$6:$A$201,0)</f>
        <v>0</v>
      </c>
      <c r="AF16" s="10" t="str">
        <f>_xlfn.XLOOKUP($B16,'PEW4'!$C$6:$C$201,'PEW4'!$B$6:$B$201,"")</f>
        <v/>
      </c>
      <c r="AG16" s="79">
        <f>_xlfn.XLOOKUP(AF16,'PEW4'!$B$6:$B$201,'PEW4'!$A$6:$A$201,0)</f>
        <v>0</v>
      </c>
      <c r="AH16" s="10" t="str">
        <f>_xlfn.XLOOKUP($B16,'PEW5'!$C$6:$C$201,'PEW5'!$B$6:$B$201,"")</f>
        <v/>
      </c>
      <c r="AI16" s="79">
        <f>_xlfn.XLOOKUP(AH16,'PEW5'!$B$6:$B$201,'PEW5'!$A$6:$A$201,0)</f>
        <v>0</v>
      </c>
      <c r="AJ16" s="10" t="str">
        <f>_xlfn.XLOOKUP($B16,'PEW6'!$C$6:$C$201,'PEW6'!$B$6:$B$201,"")</f>
        <v/>
      </c>
      <c r="AK16" s="79">
        <f>_xlfn.XLOOKUP(AJ16,'PEW6'!$B$6:$B$201,'PEW6'!$A$6:$A$201,0)</f>
        <v>0</v>
      </c>
      <c r="AL16" s="10" t="str">
        <f>_xlfn.XLOOKUP($B16,'PEW7'!$C$6:$C$201,'PEW7'!$B$6:$B$201,"")</f>
        <v/>
      </c>
      <c r="AM16" s="79">
        <f>_xlfn.XLOOKUP(AL16,'PEW7'!$B$6:$B$201,'PEW7'!$A$6:$A$201,0)</f>
        <v>0</v>
      </c>
      <c r="AN16" s="10" t="str">
        <f>_xlfn.XLOOKUP($B16,'PEW8'!$C$6:$C$201,'PEW8'!$B$6:$B$201,"")</f>
        <v/>
      </c>
      <c r="AO16" s="79">
        <f>_xlfn.XLOOKUP(AN16,'PEW8'!$B$6:$B$201,'PEW8'!$A$6:$A$201,0)</f>
        <v>0</v>
      </c>
      <c r="AP16" s="10" t="str">
        <f>_xlfn.XLOOKUP($B16,'PEW9'!$C$6:$C$201,'PEW9'!$B$6:$B$201,"")</f>
        <v/>
      </c>
      <c r="AQ16" s="79">
        <f>_xlfn.XLOOKUP(AP16,'PEW9'!$B$6:$B$201,'PEW9'!$A$6:$A$201,0)</f>
        <v>0</v>
      </c>
      <c r="AR16" s="10" t="str">
        <f>_xlfn.XLOOKUP($B16,'PEW10'!$C$6:$C$201,'PEW10'!$B$6:$B$201,"")</f>
        <v/>
      </c>
      <c r="AS16" s="79">
        <f>_xlfn.XLOOKUP(AR16,'PEW10'!$B$6:$B$201,'PEW10'!$A$6:$A$201,0)</f>
        <v>0</v>
      </c>
      <c r="AT16" s="10" t="str">
        <f>_xlfn.XLOOKUP($B16,'PEW11'!$C$6:$C$201,'PEW11'!$B$6:$B$201,"")</f>
        <v/>
      </c>
      <c r="AU16" s="79">
        <f>_xlfn.XLOOKUP(AT16,'PEW11'!$B$6:$B$201,'PEW11'!$A$6:$A$201,0)</f>
        <v>0</v>
      </c>
      <c r="AV16" s="10" t="str">
        <f>_xlfn.XLOOKUP($B16,'PEW12'!$C$6:$C$201,'PEW12'!$B$6:$B$201,"")</f>
        <v/>
      </c>
      <c r="AW16" s="79">
        <f>_xlfn.XLOOKUP(AV16,'PEW12'!$B$6:$B$201,'PEW12'!$A$6:$A$201,0)</f>
        <v>0</v>
      </c>
      <c r="AX16" s="10" t="str" cm="1">
        <f t="array" ref="AX16">_xlfn.XLOOKUP($B16,IMEW!C$6:C$201,IMEW!$B$6:B$201,"")</f>
        <v/>
      </c>
      <c r="AY16" s="80">
        <f>_xlfn.XLOOKUP(AX16,IMEW!$B$6:$B$201,IMEW!$A$6:$A$201,0)</f>
        <v>0</v>
      </c>
      <c r="BA16" s="81">
        <f t="shared" si="1"/>
        <v>0</v>
      </c>
      <c r="BB16" s="81">
        <f t="shared" si="2"/>
        <v>0</v>
      </c>
      <c r="BC16" s="81">
        <f t="shared" si="3"/>
        <v>0</v>
      </c>
      <c r="BD16" s="81">
        <f t="shared" si="4"/>
        <v>0</v>
      </c>
      <c r="BE16" s="81">
        <f t="shared" si="5"/>
        <v>0</v>
      </c>
      <c r="BF16" s="81">
        <f t="shared" si="6"/>
        <v>0</v>
      </c>
      <c r="BG16" s="81">
        <f t="shared" si="7"/>
        <v>0</v>
      </c>
    </row>
    <row r="17" spans="1:59" ht="14.8" customHeight="1" x14ac:dyDescent="0.25">
      <c r="A17" s="8">
        <f t="shared" si="0"/>
        <v>12</v>
      </c>
      <c r="B17" s="9"/>
      <c r="C17" s="11"/>
      <c r="D17" s="78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2" t="str">
        <f>_xlfn.XLOOKUP($B17,'GP1'!$C$6:$C$55,'GP1'!$B$6:$B$55,"")</f>
        <v/>
      </c>
      <c r="F17" s="204">
        <f>_xlfn.XLOOKUP(E17,'GP1'!$B$6:$B$55,'GP1'!$A$6:$A$55,0)</f>
        <v>0</v>
      </c>
      <c r="G17" s="12" t="str">
        <f>_xlfn.XLOOKUP($B17,'GP2'!$C$6:$C$15,'GP2'!$B$6:$B$15,"")</f>
        <v/>
      </c>
      <c r="H17" s="204">
        <f>_xlfn.XLOOKUP(G17,'GP2'!$B$6:$B$15,'GP2'!$A$6:$A$15,0)</f>
        <v>0</v>
      </c>
      <c r="I17" s="12" t="str">
        <f>_xlfn.XLOOKUP($B17,'GP3'!$C$6:$C$15,'GP3'!$B$6:$B$15,"")</f>
        <v/>
      </c>
      <c r="J17" s="204">
        <f>_xlfn.XLOOKUP(I17,'GP3'!$B$6:$B$15,'GP3'!$A$6:$A$15,0)</f>
        <v>0</v>
      </c>
      <c r="K17" s="12" t="str">
        <f>_xlfn.XLOOKUP($B17,'GP4'!$C$6:$C$15,'GP4'!$B$6:$B$15,"")</f>
        <v/>
      </c>
      <c r="L17" s="204">
        <f>_xlfn.XLOOKUP(K17,'GP4'!$B$6:$B$15,'GP4'!$A$6:$A$15,0)</f>
        <v>0</v>
      </c>
      <c r="M17" s="12" t="str">
        <f>_xlfn.XLOOKUP($B17,'GP5'!$C$6:$C$15,'GP5'!$B$6:$B$15,"")</f>
        <v/>
      </c>
      <c r="N17" s="206">
        <f>_xlfn.XLOOKUP(M17,'GP5'!$B$6:$B$15,'GP5'!$A$6:$A$15,0)</f>
        <v>0</v>
      </c>
      <c r="O17" s="12" t="str">
        <f>_xlfn.XLOOKUP($B17,'GP6'!$C$6:$C$15,'GP6'!$B$6:$B$15,"")</f>
        <v/>
      </c>
      <c r="P17" s="206">
        <f>_xlfn.XLOOKUP(O17,'GP6'!$B$6:$B$15,'GP6'!$A$6:$A$15,0)</f>
        <v>0</v>
      </c>
      <c r="Q17" s="12" t="str">
        <f>_xlfn.XLOOKUP($B17,'GP7'!$C$6:$C$15,'GP7'!$B$6:$B$15,"")</f>
        <v/>
      </c>
      <c r="R17" s="206">
        <f>_xlfn.XLOOKUP(Q17,'GP7'!$B$6:$B$15,'GP7'!$A$6:$A$15,0)</f>
        <v>0</v>
      </c>
      <c r="S17" s="12" t="str">
        <f>_xlfn.XLOOKUP($B17,'GP8'!$C$6:$C$15,'GP8'!$B$6:$B$15,"")</f>
        <v/>
      </c>
      <c r="T17" s="206">
        <f>_xlfn.XLOOKUP(S17,'GP8'!$B$6:$B$15,'GP8'!$A$6:$A$15,0)</f>
        <v>0</v>
      </c>
      <c r="U17" s="12" t="str">
        <f>_xlfn.XLOOKUP(B17,MPW!C$6:C$15,MPW!B$6:B$15,"")</f>
        <v/>
      </c>
      <c r="V17" s="206">
        <f>_xlfn.XLOOKUP(U17,MPW!B$6:B$15,MPW!A$6:A$15,0)</f>
        <v>0</v>
      </c>
      <c r="X17" s="10" t="str">
        <f>_xlfn.XLOOKUP($B17,'PEW1'!$C$6:$C$201,'PEW1'!$B$6:$B$201,"")</f>
        <v/>
      </c>
      <c r="Y17" s="79">
        <f>_xlfn.XLOOKUP(X17,'PEW1'!$B$6:$B$201,'PEW1'!$A$6:$A$201,0)</f>
        <v>0</v>
      </c>
      <c r="Z17" s="10" t="str">
        <f>_xlfn.XLOOKUP($B17,'PEW2'!$C$6:$C$201,'PEW2'!$B$6:$B$201,"")</f>
        <v/>
      </c>
      <c r="AA17" s="79">
        <f>_xlfn.XLOOKUP(Z17,'PEW2'!$B$6:$B$201,'PEW2'!$A$6:$A$201,0)</f>
        <v>0</v>
      </c>
      <c r="AB17" s="10" t="str">
        <f>_xlfn.XLOOKUP($B17,'PEW3'!$C$6:$C$201,'PEW3'!$B$6:$B$201,"")</f>
        <v/>
      </c>
      <c r="AC17" s="79">
        <f>_xlfn.XLOOKUP(AB17,'PEW3'!$B$6:$B$201,'PEW3'!$A$6:$A$201,0)</f>
        <v>0</v>
      </c>
      <c r="AD17" s="10" t="str">
        <f>_xlfn.XLOOKUP($B17,VFC!$C$6:$C$201,VFC!$B$6:$B$201,"")</f>
        <v/>
      </c>
      <c r="AE17" s="79">
        <f>_xlfn.XLOOKUP(AD17,VFC!$B$6:$B$201,VFC!$A$6:$A$201,0)</f>
        <v>0</v>
      </c>
      <c r="AF17" s="10" t="str">
        <f>_xlfn.XLOOKUP($B17,'PEW4'!$C$6:$C$201,'PEW4'!$B$6:$B$201,"")</f>
        <v/>
      </c>
      <c r="AG17" s="79">
        <f>_xlfn.XLOOKUP(AF17,'PEW4'!$B$6:$B$201,'PEW4'!$A$6:$A$201,0)</f>
        <v>0</v>
      </c>
      <c r="AH17" s="10" t="str">
        <f>_xlfn.XLOOKUP($B17,'PEW5'!$C$6:$C$201,'PEW5'!$B$6:$B$201,"")</f>
        <v/>
      </c>
      <c r="AI17" s="79">
        <f>_xlfn.XLOOKUP(AH17,'PEW5'!$B$6:$B$201,'PEW5'!$A$6:$A$201,0)</f>
        <v>0</v>
      </c>
      <c r="AJ17" s="10" t="str">
        <f>_xlfn.XLOOKUP($B17,'PEW6'!$C$6:$C$201,'PEW6'!$B$6:$B$201,"")</f>
        <v/>
      </c>
      <c r="AK17" s="79">
        <f>_xlfn.XLOOKUP(AJ17,'PEW6'!$B$6:$B$201,'PEW6'!$A$6:$A$201,0)</f>
        <v>0</v>
      </c>
      <c r="AL17" s="10" t="str">
        <f>_xlfn.XLOOKUP($B17,'PEW7'!$C$6:$C$201,'PEW7'!$B$6:$B$201,"")</f>
        <v/>
      </c>
      <c r="AM17" s="79">
        <f>_xlfn.XLOOKUP(AL17,'PEW7'!$B$6:$B$201,'PEW7'!$A$6:$A$201,0)</f>
        <v>0</v>
      </c>
      <c r="AN17" s="10" t="str">
        <f>_xlfn.XLOOKUP($B17,'PEW8'!$C$6:$C$201,'PEW8'!$B$6:$B$201,"")</f>
        <v/>
      </c>
      <c r="AO17" s="79">
        <f>_xlfn.XLOOKUP(AN17,'PEW8'!$B$6:$B$201,'PEW8'!$A$6:$A$201,0)</f>
        <v>0</v>
      </c>
      <c r="AP17" s="10" t="str">
        <f>_xlfn.XLOOKUP($B17,'PEW9'!$C$6:$C$201,'PEW9'!$B$6:$B$201,"")</f>
        <v/>
      </c>
      <c r="AQ17" s="79">
        <f>_xlfn.XLOOKUP(AP17,'PEW9'!$B$6:$B$201,'PEW9'!$A$6:$A$201,0)</f>
        <v>0</v>
      </c>
      <c r="AR17" s="10" t="str">
        <f>_xlfn.XLOOKUP($B17,'PEW10'!$C$6:$C$201,'PEW10'!$B$6:$B$201,"")</f>
        <v/>
      </c>
      <c r="AS17" s="79">
        <f>_xlfn.XLOOKUP(AR17,'PEW10'!$B$6:$B$201,'PEW10'!$A$6:$A$201,0)</f>
        <v>0</v>
      </c>
      <c r="AT17" s="10" t="str">
        <f>_xlfn.XLOOKUP($B17,'PEW11'!$C$6:$C$201,'PEW11'!$B$6:$B$201,"")</f>
        <v/>
      </c>
      <c r="AU17" s="79">
        <f>_xlfn.XLOOKUP(AT17,'PEW11'!$B$6:$B$201,'PEW11'!$A$6:$A$201,0)</f>
        <v>0</v>
      </c>
      <c r="AV17" s="10" t="str">
        <f>_xlfn.XLOOKUP($B17,'PEW12'!$C$6:$C$201,'PEW12'!$B$6:$B$201,"")</f>
        <v/>
      </c>
      <c r="AW17" s="79">
        <f>_xlfn.XLOOKUP(AV17,'PEW12'!$B$6:$B$201,'PEW12'!$A$6:$A$201,0)</f>
        <v>0</v>
      </c>
      <c r="AX17" s="10" t="str" cm="1">
        <f t="array" ref="AX17">_xlfn.XLOOKUP($B17,IMEW!C$6:C$201,IMEW!$B$6:B$201,"")</f>
        <v/>
      </c>
      <c r="AY17" s="80">
        <f>_xlfn.XLOOKUP(AX17,IMEW!$B$6:$B$201,IMEW!$A$6:$A$201,0)</f>
        <v>0</v>
      </c>
      <c r="BA17" s="81">
        <f t="shared" si="1"/>
        <v>0</v>
      </c>
      <c r="BB17" s="81">
        <f t="shared" si="2"/>
        <v>0</v>
      </c>
      <c r="BC17" s="81">
        <f t="shared" si="3"/>
        <v>0</v>
      </c>
      <c r="BD17" s="81">
        <f t="shared" si="4"/>
        <v>0</v>
      </c>
      <c r="BE17" s="81">
        <f t="shared" si="5"/>
        <v>0</v>
      </c>
      <c r="BF17" s="81">
        <f t="shared" si="6"/>
        <v>0</v>
      </c>
      <c r="BG17" s="81">
        <f t="shared" si="7"/>
        <v>0</v>
      </c>
    </row>
    <row r="18" spans="1:59" ht="14.8" customHeight="1" x14ac:dyDescent="0.25">
      <c r="A18" s="8">
        <f t="shared" si="0"/>
        <v>13</v>
      </c>
      <c r="B18" s="9"/>
      <c r="C18" s="11"/>
      <c r="D18" s="78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2" t="str">
        <f>_xlfn.XLOOKUP($B18,'GP1'!$C$6:$C$55,'GP1'!$B$6:$B$55,"")</f>
        <v/>
      </c>
      <c r="F18" s="204">
        <f>_xlfn.XLOOKUP(E18,'GP1'!$B$6:$B$55,'GP1'!$A$6:$A$55,0)</f>
        <v>0</v>
      </c>
      <c r="G18" s="12" t="str">
        <f>_xlfn.XLOOKUP($B18,'GP2'!$C$6:$C$15,'GP2'!$B$6:$B$15,"")</f>
        <v/>
      </c>
      <c r="H18" s="204">
        <f>_xlfn.XLOOKUP(G18,'GP2'!$B$6:$B$15,'GP2'!$A$6:$A$15,0)</f>
        <v>0</v>
      </c>
      <c r="I18" s="12" t="str">
        <f>_xlfn.XLOOKUP($B18,'GP3'!$C$6:$C$15,'GP3'!$B$6:$B$15,"")</f>
        <v/>
      </c>
      <c r="J18" s="204">
        <f>_xlfn.XLOOKUP(I18,'GP3'!$B$6:$B$15,'GP3'!$A$6:$A$15,0)</f>
        <v>0</v>
      </c>
      <c r="K18" s="12" t="str">
        <f>_xlfn.XLOOKUP($B18,'GP4'!$C$6:$C$15,'GP4'!$B$6:$B$15,"")</f>
        <v/>
      </c>
      <c r="L18" s="204">
        <f>_xlfn.XLOOKUP(K18,'GP4'!$B$6:$B$15,'GP4'!$A$6:$A$15,0)</f>
        <v>0</v>
      </c>
      <c r="M18" s="12" t="str">
        <f>_xlfn.XLOOKUP($B18,'GP5'!$C$6:$C$15,'GP5'!$B$6:$B$15,"")</f>
        <v/>
      </c>
      <c r="N18" s="206">
        <f>_xlfn.XLOOKUP(M18,'GP5'!$B$6:$B$15,'GP5'!$A$6:$A$15,0)</f>
        <v>0</v>
      </c>
      <c r="O18" s="12" t="str">
        <f>_xlfn.XLOOKUP($B18,'GP6'!$C$6:$C$15,'GP6'!$B$6:$B$15,"")</f>
        <v/>
      </c>
      <c r="P18" s="206">
        <f>_xlfn.XLOOKUP(O18,'GP6'!$B$6:$B$15,'GP6'!$A$6:$A$15,0)</f>
        <v>0</v>
      </c>
      <c r="Q18" s="12" t="str">
        <f>_xlfn.XLOOKUP($B18,'GP7'!$C$6:$C$15,'GP7'!$B$6:$B$15,"")</f>
        <v/>
      </c>
      <c r="R18" s="206">
        <f>_xlfn.XLOOKUP(Q18,'GP7'!$B$6:$B$15,'GP7'!$A$6:$A$15,0)</f>
        <v>0</v>
      </c>
      <c r="S18" s="12" t="str">
        <f>_xlfn.XLOOKUP($B18,'GP8'!$C$6:$C$15,'GP8'!$B$6:$B$15,"")</f>
        <v/>
      </c>
      <c r="T18" s="206">
        <f>_xlfn.XLOOKUP(S18,'GP8'!$B$6:$B$15,'GP8'!$A$6:$A$15,0)</f>
        <v>0</v>
      </c>
      <c r="U18" s="12" t="str">
        <f>_xlfn.XLOOKUP(B18,MPW!C$6:C$15,MPW!B$6:B$15,"")</f>
        <v/>
      </c>
      <c r="V18" s="206">
        <f>_xlfn.XLOOKUP(U18,MPW!B$6:B$15,MPW!A$6:A$15,0)</f>
        <v>0</v>
      </c>
      <c r="X18" s="10" t="str">
        <f>_xlfn.XLOOKUP($B18,'PEW1'!$C$6:$C$201,'PEW1'!$B$6:$B$201,"")</f>
        <v/>
      </c>
      <c r="Y18" s="79">
        <f>_xlfn.XLOOKUP(X18,'PEW1'!$B$6:$B$201,'PEW1'!$A$6:$A$201,0)</f>
        <v>0</v>
      </c>
      <c r="Z18" s="10" t="str">
        <f>_xlfn.XLOOKUP($B18,'PEW2'!$C$6:$C$201,'PEW2'!$B$6:$B$201,"")</f>
        <v/>
      </c>
      <c r="AA18" s="79">
        <f>_xlfn.XLOOKUP(Z18,'PEW2'!$B$6:$B$201,'PEW2'!$A$6:$A$201,0)</f>
        <v>0</v>
      </c>
      <c r="AB18" s="10" t="str">
        <f>_xlfn.XLOOKUP($B18,'PEW3'!$C$6:$C$201,'PEW3'!$B$6:$B$201,"")</f>
        <v/>
      </c>
      <c r="AC18" s="79">
        <f>_xlfn.XLOOKUP(AB18,'PEW3'!$B$6:$B$201,'PEW3'!$A$6:$A$201,0)</f>
        <v>0</v>
      </c>
      <c r="AD18" s="10" t="str">
        <f>_xlfn.XLOOKUP($B18,VFC!$C$6:$C$201,VFC!$B$6:$B$201,"")</f>
        <v/>
      </c>
      <c r="AE18" s="79">
        <f>_xlfn.XLOOKUP(AD18,VFC!$B$6:$B$201,VFC!$A$6:$A$201,0)</f>
        <v>0</v>
      </c>
      <c r="AF18" s="10" t="str">
        <f>_xlfn.XLOOKUP($B18,'PEW4'!$C$6:$C$201,'PEW4'!$B$6:$B$201,"")</f>
        <v/>
      </c>
      <c r="AG18" s="79">
        <f>_xlfn.XLOOKUP(AF18,'PEW4'!$B$6:$B$201,'PEW4'!$A$6:$A$201,0)</f>
        <v>0</v>
      </c>
      <c r="AH18" s="10" t="str">
        <f>_xlfn.XLOOKUP($B18,'PEW5'!$C$6:$C$201,'PEW5'!$B$6:$B$201,"")</f>
        <v/>
      </c>
      <c r="AI18" s="79">
        <f>_xlfn.XLOOKUP(AH18,'PEW5'!$B$6:$B$201,'PEW5'!$A$6:$A$201,0)</f>
        <v>0</v>
      </c>
      <c r="AJ18" s="10" t="str">
        <f>_xlfn.XLOOKUP($B18,'PEW6'!$C$6:$C$201,'PEW6'!$B$6:$B$201,"")</f>
        <v/>
      </c>
      <c r="AK18" s="79">
        <f>_xlfn.XLOOKUP(AJ18,'PEW6'!$B$6:$B$201,'PEW6'!$A$6:$A$201,0)</f>
        <v>0</v>
      </c>
      <c r="AL18" s="10" t="str">
        <f>_xlfn.XLOOKUP($B18,'PEW7'!$C$6:$C$201,'PEW7'!$B$6:$B$201,"")</f>
        <v/>
      </c>
      <c r="AM18" s="79">
        <f>_xlfn.XLOOKUP(AL18,'PEW7'!$B$6:$B$201,'PEW7'!$A$6:$A$201,0)</f>
        <v>0</v>
      </c>
      <c r="AN18" s="10" t="str">
        <f>_xlfn.XLOOKUP($B18,'PEW8'!$C$6:$C$201,'PEW8'!$B$6:$B$201,"")</f>
        <v/>
      </c>
      <c r="AO18" s="79">
        <f>_xlfn.XLOOKUP(AN18,'PEW8'!$B$6:$B$201,'PEW8'!$A$6:$A$201,0)</f>
        <v>0</v>
      </c>
      <c r="AP18" s="10" t="str">
        <f>_xlfn.XLOOKUP($B18,'PEW9'!$C$6:$C$201,'PEW9'!$B$6:$B$201,"")</f>
        <v/>
      </c>
      <c r="AQ18" s="79">
        <f>_xlfn.XLOOKUP(AP18,'PEW9'!$B$6:$B$201,'PEW9'!$A$6:$A$201,0)</f>
        <v>0</v>
      </c>
      <c r="AR18" s="10" t="str">
        <f>_xlfn.XLOOKUP($B18,'PEW10'!$C$6:$C$201,'PEW10'!$B$6:$B$201,"")</f>
        <v/>
      </c>
      <c r="AS18" s="79">
        <f>_xlfn.XLOOKUP(AR18,'PEW10'!$B$6:$B$201,'PEW10'!$A$6:$A$201,0)</f>
        <v>0</v>
      </c>
      <c r="AT18" s="10" t="str">
        <f>_xlfn.XLOOKUP($B18,'PEW11'!$C$6:$C$201,'PEW11'!$B$6:$B$201,"")</f>
        <v/>
      </c>
      <c r="AU18" s="79">
        <f>_xlfn.XLOOKUP(AT18,'PEW11'!$B$6:$B$201,'PEW11'!$A$6:$A$201,0)</f>
        <v>0</v>
      </c>
      <c r="AV18" s="10" t="str">
        <f>_xlfn.XLOOKUP($B18,'PEW12'!$C$6:$C$201,'PEW12'!$B$6:$B$201,"")</f>
        <v/>
      </c>
      <c r="AW18" s="79">
        <f>_xlfn.XLOOKUP(AV18,'PEW12'!$B$6:$B$201,'PEW12'!$A$6:$A$201,0)</f>
        <v>0</v>
      </c>
      <c r="AX18" s="10" t="str" cm="1">
        <f t="array" ref="AX18">_xlfn.XLOOKUP($B18,IMEW!C$6:C$201,IMEW!$B$6:B$201,"")</f>
        <v/>
      </c>
      <c r="AY18" s="80">
        <f>_xlfn.XLOOKUP(AX18,IMEW!$B$6:$B$201,IMEW!$A$6:$A$201,0)</f>
        <v>0</v>
      </c>
      <c r="BA18" s="81">
        <f t="shared" si="1"/>
        <v>0</v>
      </c>
      <c r="BB18" s="81">
        <f t="shared" si="2"/>
        <v>0</v>
      </c>
      <c r="BC18" s="81">
        <f t="shared" si="3"/>
        <v>0</v>
      </c>
      <c r="BD18" s="81">
        <f t="shared" si="4"/>
        <v>0</v>
      </c>
      <c r="BE18" s="81">
        <f t="shared" si="5"/>
        <v>0</v>
      </c>
      <c r="BF18" s="81">
        <f t="shared" si="6"/>
        <v>0</v>
      </c>
      <c r="BG18" s="81">
        <f t="shared" si="7"/>
        <v>0</v>
      </c>
    </row>
    <row r="19" spans="1:59" ht="14.8" customHeight="1" x14ac:dyDescent="0.25">
      <c r="A19" s="8">
        <f t="shared" si="0"/>
        <v>14</v>
      </c>
      <c r="B19" s="9"/>
      <c r="C19" s="11"/>
      <c r="D19" s="78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2" t="str">
        <f>_xlfn.XLOOKUP($B19,'GP1'!$C$6:$C$55,'GP1'!$B$6:$B$55,"")</f>
        <v/>
      </c>
      <c r="F19" s="204">
        <f>_xlfn.XLOOKUP(E19,'GP1'!$B$6:$B$55,'GP1'!$A$6:$A$55,0)</f>
        <v>0</v>
      </c>
      <c r="G19" s="12" t="str">
        <f>_xlfn.XLOOKUP($B19,'GP2'!$C$6:$C$15,'GP2'!$B$6:$B$15,"")</f>
        <v/>
      </c>
      <c r="H19" s="204">
        <f>_xlfn.XLOOKUP(G19,'GP2'!$B$6:$B$15,'GP2'!$A$6:$A$15,0)</f>
        <v>0</v>
      </c>
      <c r="I19" s="12" t="str">
        <f>_xlfn.XLOOKUP($B19,'GP3'!$C$6:$C$15,'GP3'!$B$6:$B$15,"")</f>
        <v/>
      </c>
      <c r="J19" s="204">
        <f>_xlfn.XLOOKUP(I19,'GP3'!$B$6:$B$15,'GP3'!$A$6:$A$15,0)</f>
        <v>0</v>
      </c>
      <c r="K19" s="12" t="str">
        <f>_xlfn.XLOOKUP($B19,'GP4'!$C$6:$C$15,'GP4'!$B$6:$B$15,"")</f>
        <v/>
      </c>
      <c r="L19" s="204">
        <f>_xlfn.XLOOKUP(K19,'GP4'!$B$6:$B$15,'GP4'!$A$6:$A$15,0)</f>
        <v>0</v>
      </c>
      <c r="M19" s="12" t="str">
        <f>_xlfn.XLOOKUP($B19,'GP5'!$C$6:$C$15,'GP5'!$B$6:$B$15,"")</f>
        <v/>
      </c>
      <c r="N19" s="206">
        <f>_xlfn.XLOOKUP(M19,'GP5'!$B$6:$B$15,'GP5'!$A$6:$A$15,0)</f>
        <v>0</v>
      </c>
      <c r="O19" s="12" t="str">
        <f>_xlfn.XLOOKUP($B19,'GP6'!$C$6:$C$15,'GP6'!$B$6:$B$15,"")</f>
        <v/>
      </c>
      <c r="P19" s="206">
        <f>_xlfn.XLOOKUP(O19,'GP6'!$B$6:$B$15,'GP6'!$A$6:$A$15,0)</f>
        <v>0</v>
      </c>
      <c r="Q19" s="12" t="str">
        <f>_xlfn.XLOOKUP($B19,'GP7'!$C$6:$C$15,'GP7'!$B$6:$B$15,"")</f>
        <v/>
      </c>
      <c r="R19" s="206">
        <f>_xlfn.XLOOKUP(Q19,'GP7'!$B$6:$B$15,'GP7'!$A$6:$A$15,0)</f>
        <v>0</v>
      </c>
      <c r="S19" s="12" t="str">
        <f>_xlfn.XLOOKUP($B19,'GP8'!$C$6:$C$15,'GP8'!$B$6:$B$15,"")</f>
        <v/>
      </c>
      <c r="T19" s="206">
        <f>_xlfn.XLOOKUP(S19,'GP8'!$B$6:$B$15,'GP8'!$A$6:$A$15,0)</f>
        <v>0</v>
      </c>
      <c r="U19" s="12" t="str">
        <f>_xlfn.XLOOKUP(B19,MPW!C$6:C$15,MPW!B$6:B$15,"")</f>
        <v/>
      </c>
      <c r="V19" s="206">
        <f>_xlfn.XLOOKUP(U19,MPW!B$6:B$15,MPW!A$6:A$15,0)</f>
        <v>0</v>
      </c>
      <c r="X19" s="10" t="str">
        <f>_xlfn.XLOOKUP($B19,'PEW1'!$C$6:$C$201,'PEW1'!$B$6:$B$201,"")</f>
        <v/>
      </c>
      <c r="Y19" s="79">
        <f>_xlfn.XLOOKUP(X19,'PEW1'!$B$6:$B$201,'PEW1'!$A$6:$A$201,0)</f>
        <v>0</v>
      </c>
      <c r="Z19" s="10" t="str">
        <f>_xlfn.XLOOKUP($B19,'PEW2'!$C$6:$C$201,'PEW2'!$B$6:$B$201,"")</f>
        <v/>
      </c>
      <c r="AA19" s="79">
        <f>_xlfn.XLOOKUP(Z19,'PEW2'!$B$6:$B$201,'PEW2'!$A$6:$A$201,0)</f>
        <v>0</v>
      </c>
      <c r="AB19" s="10" t="str">
        <f>_xlfn.XLOOKUP($B19,'PEW3'!$C$6:$C$201,'PEW3'!$B$6:$B$201,"")</f>
        <v/>
      </c>
      <c r="AC19" s="79">
        <f>_xlfn.XLOOKUP(AB19,'PEW3'!$B$6:$B$201,'PEW3'!$A$6:$A$201,0)</f>
        <v>0</v>
      </c>
      <c r="AD19" s="10" t="str">
        <f>_xlfn.XLOOKUP($B19,VFC!$C$6:$C$201,VFC!$B$6:$B$201,"")</f>
        <v/>
      </c>
      <c r="AE19" s="79">
        <f>_xlfn.XLOOKUP(AD19,VFC!$B$6:$B$201,VFC!$A$6:$A$201,0)</f>
        <v>0</v>
      </c>
      <c r="AF19" s="10" t="str">
        <f>_xlfn.XLOOKUP($B19,'PEW4'!$C$6:$C$201,'PEW4'!$B$6:$B$201,"")</f>
        <v/>
      </c>
      <c r="AG19" s="79">
        <f>_xlfn.XLOOKUP(AF19,'PEW4'!$B$6:$B$201,'PEW4'!$A$6:$A$201,0)</f>
        <v>0</v>
      </c>
      <c r="AH19" s="10" t="str">
        <f>_xlfn.XLOOKUP($B19,'PEW5'!$C$6:$C$201,'PEW5'!$B$6:$B$201,"")</f>
        <v/>
      </c>
      <c r="AI19" s="79">
        <f>_xlfn.XLOOKUP(AH19,'PEW5'!$B$6:$B$201,'PEW5'!$A$6:$A$201,0)</f>
        <v>0</v>
      </c>
      <c r="AJ19" s="10" t="str">
        <f>_xlfn.XLOOKUP($B19,'PEW6'!$C$6:$C$201,'PEW6'!$B$6:$B$201,"")</f>
        <v/>
      </c>
      <c r="AK19" s="79">
        <f>_xlfn.XLOOKUP(AJ19,'PEW6'!$B$6:$B$201,'PEW6'!$A$6:$A$201,0)</f>
        <v>0</v>
      </c>
      <c r="AL19" s="10" t="str">
        <f>_xlfn.XLOOKUP($B19,'PEW7'!$C$6:$C$201,'PEW7'!$B$6:$B$201,"")</f>
        <v/>
      </c>
      <c r="AM19" s="79">
        <f>_xlfn.XLOOKUP(AL19,'PEW7'!$B$6:$B$201,'PEW7'!$A$6:$A$201,0)</f>
        <v>0</v>
      </c>
      <c r="AN19" s="10" t="str">
        <f>_xlfn.XLOOKUP($B19,'PEW8'!$C$6:$C$201,'PEW8'!$B$6:$B$201,"")</f>
        <v/>
      </c>
      <c r="AO19" s="79">
        <f>_xlfn.XLOOKUP(AN19,'PEW8'!$B$6:$B$201,'PEW8'!$A$6:$A$201,0)</f>
        <v>0</v>
      </c>
      <c r="AP19" s="10" t="str">
        <f>_xlfn.XLOOKUP($B19,'PEW9'!$C$6:$C$201,'PEW9'!$B$6:$B$201,"")</f>
        <v/>
      </c>
      <c r="AQ19" s="79">
        <f>_xlfn.XLOOKUP(AP19,'PEW9'!$B$6:$B$201,'PEW9'!$A$6:$A$201,0)</f>
        <v>0</v>
      </c>
      <c r="AR19" s="10" t="str">
        <f>_xlfn.XLOOKUP($B19,'PEW10'!$C$6:$C$201,'PEW10'!$B$6:$B$201,"")</f>
        <v/>
      </c>
      <c r="AS19" s="79">
        <f>_xlfn.XLOOKUP(AR19,'PEW10'!$B$6:$B$201,'PEW10'!$A$6:$A$201,0)</f>
        <v>0</v>
      </c>
      <c r="AT19" s="10" t="str">
        <f>_xlfn.XLOOKUP($B19,'PEW11'!$C$6:$C$201,'PEW11'!$B$6:$B$201,"")</f>
        <v/>
      </c>
      <c r="AU19" s="79">
        <f>_xlfn.XLOOKUP(AT19,'PEW11'!$B$6:$B$201,'PEW11'!$A$6:$A$201,0)</f>
        <v>0</v>
      </c>
      <c r="AV19" s="10" t="str">
        <f>_xlfn.XLOOKUP($B19,'PEW12'!$C$6:$C$201,'PEW12'!$B$6:$B$201,"")</f>
        <v/>
      </c>
      <c r="AW19" s="79">
        <f>_xlfn.XLOOKUP(AV19,'PEW12'!$B$6:$B$201,'PEW12'!$A$6:$A$201,0)</f>
        <v>0</v>
      </c>
      <c r="AX19" s="10" t="str" cm="1">
        <f t="array" ref="AX19">_xlfn.XLOOKUP($B19,IMEW!C$6:C$201,IMEW!$B$6:B$201,"")</f>
        <v/>
      </c>
      <c r="AY19" s="80">
        <f>_xlfn.XLOOKUP(AX19,IMEW!$B$6:$B$201,IMEW!$A$6:$A$201,0)</f>
        <v>0</v>
      </c>
      <c r="BA19" s="81">
        <f t="shared" si="1"/>
        <v>0</v>
      </c>
      <c r="BB19" s="81">
        <f t="shared" si="2"/>
        <v>0</v>
      </c>
      <c r="BC19" s="81">
        <f t="shared" si="3"/>
        <v>0</v>
      </c>
      <c r="BD19" s="81">
        <f t="shared" si="4"/>
        <v>0</v>
      </c>
      <c r="BE19" s="81">
        <f t="shared" si="5"/>
        <v>0</v>
      </c>
      <c r="BF19" s="81">
        <f t="shared" si="6"/>
        <v>0</v>
      </c>
      <c r="BG19" s="81">
        <f t="shared" si="7"/>
        <v>0</v>
      </c>
    </row>
    <row r="20" spans="1:59" ht="14.8" customHeight="1" x14ac:dyDescent="0.25">
      <c r="A20" s="8">
        <f t="shared" si="0"/>
        <v>15</v>
      </c>
      <c r="B20" s="9"/>
      <c r="C20" s="11"/>
      <c r="D20" s="78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2" t="str">
        <f>_xlfn.XLOOKUP($B20,'GP1'!$C$6:$C$55,'GP1'!$B$6:$B$55,"")</f>
        <v/>
      </c>
      <c r="F20" s="204">
        <f>_xlfn.XLOOKUP(E20,'GP1'!$B$6:$B$55,'GP1'!$A$6:$A$55,0)</f>
        <v>0</v>
      </c>
      <c r="G20" s="12" t="str">
        <f>_xlfn.XLOOKUP($B20,'GP2'!$C$6:$C$15,'GP2'!$B$6:$B$15,"")</f>
        <v/>
      </c>
      <c r="H20" s="204">
        <f>_xlfn.XLOOKUP(G20,'GP2'!$B$6:$B$15,'GP2'!$A$6:$A$15,0)</f>
        <v>0</v>
      </c>
      <c r="I20" s="12" t="str">
        <f>_xlfn.XLOOKUP($B20,'GP3'!$C$6:$C$15,'GP3'!$B$6:$B$15,"")</f>
        <v/>
      </c>
      <c r="J20" s="204">
        <f>_xlfn.XLOOKUP(I20,'GP3'!$B$6:$B$15,'GP3'!$A$6:$A$15,0)</f>
        <v>0</v>
      </c>
      <c r="K20" s="12" t="str">
        <f>_xlfn.XLOOKUP($B20,'GP4'!$C$6:$C$15,'GP4'!$B$6:$B$15,"")</f>
        <v/>
      </c>
      <c r="L20" s="204">
        <f>_xlfn.XLOOKUP(K20,'GP4'!$B$6:$B$15,'GP4'!$A$6:$A$15,0)</f>
        <v>0</v>
      </c>
      <c r="M20" s="12" t="str">
        <f>_xlfn.XLOOKUP($B20,'GP5'!$C$6:$C$15,'GP5'!$B$6:$B$15,"")</f>
        <v/>
      </c>
      <c r="N20" s="206">
        <f>_xlfn.XLOOKUP(M20,'GP5'!$B$6:$B$15,'GP5'!$A$6:$A$15,0)</f>
        <v>0</v>
      </c>
      <c r="O20" s="12" t="str">
        <f>_xlfn.XLOOKUP($B20,'GP6'!$C$6:$C$15,'GP6'!$B$6:$B$15,"")</f>
        <v/>
      </c>
      <c r="P20" s="206">
        <f>_xlfn.XLOOKUP(O20,'GP6'!$B$6:$B$15,'GP6'!$A$6:$A$15,0)</f>
        <v>0</v>
      </c>
      <c r="Q20" s="12" t="str">
        <f>_xlfn.XLOOKUP($B20,'GP7'!$C$6:$C$15,'GP7'!$B$6:$B$15,"")</f>
        <v/>
      </c>
      <c r="R20" s="206">
        <f>_xlfn.XLOOKUP(Q20,'GP7'!$B$6:$B$15,'GP7'!$A$6:$A$15,0)</f>
        <v>0</v>
      </c>
      <c r="S20" s="12" t="str">
        <f>_xlfn.XLOOKUP($B20,'GP8'!$C$6:$C$15,'GP8'!$B$6:$B$15,"")</f>
        <v/>
      </c>
      <c r="T20" s="206">
        <f>_xlfn.XLOOKUP(S20,'GP8'!$B$6:$B$15,'GP8'!$A$6:$A$15,0)</f>
        <v>0</v>
      </c>
      <c r="U20" s="12" t="str">
        <f>_xlfn.XLOOKUP(B20,MPW!C$6:C$15,MPW!B$6:B$15,"")</f>
        <v/>
      </c>
      <c r="V20" s="206">
        <f>_xlfn.XLOOKUP(U20,MPW!B$6:B$15,MPW!A$6:A$15,0)</f>
        <v>0</v>
      </c>
      <c r="X20" s="10" t="str">
        <f>_xlfn.XLOOKUP($B20,'PEW1'!$C$6:$C$201,'PEW1'!$B$6:$B$201,"")</f>
        <v/>
      </c>
      <c r="Y20" s="79">
        <f>_xlfn.XLOOKUP(X20,'PEW1'!$B$6:$B$201,'PEW1'!$A$6:$A$201,0)</f>
        <v>0</v>
      </c>
      <c r="Z20" s="10" t="str">
        <f>_xlfn.XLOOKUP($B20,'PEW2'!$C$6:$C$201,'PEW2'!$B$6:$B$201,"")</f>
        <v/>
      </c>
      <c r="AA20" s="79">
        <f>_xlfn.XLOOKUP(Z20,'PEW2'!$B$6:$B$201,'PEW2'!$A$6:$A$201,0)</f>
        <v>0</v>
      </c>
      <c r="AB20" s="10" t="str">
        <f>_xlfn.XLOOKUP($B20,'PEW3'!$C$6:$C$201,'PEW3'!$B$6:$B$201,"")</f>
        <v/>
      </c>
      <c r="AC20" s="79">
        <f>_xlfn.XLOOKUP(AB20,'PEW3'!$B$6:$B$201,'PEW3'!$A$6:$A$201,0)</f>
        <v>0</v>
      </c>
      <c r="AD20" s="10" t="str">
        <f>_xlfn.XLOOKUP($B20,VFC!$C$6:$C$201,VFC!$B$6:$B$201,"")</f>
        <v/>
      </c>
      <c r="AE20" s="79">
        <f>_xlfn.XLOOKUP(AD20,VFC!$B$6:$B$201,VFC!$A$6:$A$201,0)</f>
        <v>0</v>
      </c>
      <c r="AF20" s="10" t="str">
        <f>_xlfn.XLOOKUP($B20,'PEW4'!$C$6:$C$201,'PEW4'!$B$6:$B$201,"")</f>
        <v/>
      </c>
      <c r="AG20" s="79">
        <f>_xlfn.XLOOKUP(AF20,'PEW4'!$B$6:$B$201,'PEW4'!$A$6:$A$201,0)</f>
        <v>0</v>
      </c>
      <c r="AH20" s="10" t="str">
        <f>_xlfn.XLOOKUP($B20,'PEW5'!$C$6:$C$201,'PEW5'!$B$6:$B$201,"")</f>
        <v/>
      </c>
      <c r="AI20" s="79">
        <f>_xlfn.XLOOKUP(AH20,'PEW5'!$B$6:$B$201,'PEW5'!$A$6:$A$201,0)</f>
        <v>0</v>
      </c>
      <c r="AJ20" s="10" t="str">
        <f>_xlfn.XLOOKUP($B20,'PEW6'!$C$6:$C$201,'PEW6'!$B$6:$B$201,"")</f>
        <v/>
      </c>
      <c r="AK20" s="79">
        <f>_xlfn.XLOOKUP(AJ20,'PEW6'!$B$6:$B$201,'PEW6'!$A$6:$A$201,0)</f>
        <v>0</v>
      </c>
      <c r="AL20" s="10" t="str">
        <f>_xlfn.XLOOKUP($B20,'PEW7'!$C$6:$C$201,'PEW7'!$B$6:$B$201,"")</f>
        <v/>
      </c>
      <c r="AM20" s="79">
        <f>_xlfn.XLOOKUP(AL20,'PEW7'!$B$6:$B$201,'PEW7'!$A$6:$A$201,0)</f>
        <v>0</v>
      </c>
      <c r="AN20" s="10" t="str">
        <f>_xlfn.XLOOKUP($B20,'PEW8'!$C$6:$C$201,'PEW8'!$B$6:$B$201,"")</f>
        <v/>
      </c>
      <c r="AO20" s="79">
        <f>_xlfn.XLOOKUP(AN20,'PEW8'!$B$6:$B$201,'PEW8'!$A$6:$A$201,0)</f>
        <v>0</v>
      </c>
      <c r="AP20" s="10" t="str">
        <f>_xlfn.XLOOKUP($B20,'PEW9'!$C$6:$C$201,'PEW9'!$B$6:$B$201,"")</f>
        <v/>
      </c>
      <c r="AQ20" s="79">
        <f>_xlfn.XLOOKUP(AP20,'PEW9'!$B$6:$B$201,'PEW9'!$A$6:$A$201,0)</f>
        <v>0</v>
      </c>
      <c r="AR20" s="10" t="str">
        <f>_xlfn.XLOOKUP($B20,'PEW10'!$C$6:$C$201,'PEW10'!$B$6:$B$201,"")</f>
        <v/>
      </c>
      <c r="AS20" s="79">
        <f>_xlfn.XLOOKUP(AR20,'PEW10'!$B$6:$B$201,'PEW10'!$A$6:$A$201,0)</f>
        <v>0</v>
      </c>
      <c r="AT20" s="10" t="str">
        <f>_xlfn.XLOOKUP($B20,'PEW11'!$C$6:$C$201,'PEW11'!$B$6:$B$201,"")</f>
        <v/>
      </c>
      <c r="AU20" s="79">
        <f>_xlfn.XLOOKUP(AT20,'PEW11'!$B$6:$B$201,'PEW11'!$A$6:$A$201,0)</f>
        <v>0</v>
      </c>
      <c r="AV20" s="10" t="str">
        <f>_xlfn.XLOOKUP($B20,'PEW12'!$C$6:$C$201,'PEW12'!$B$6:$B$201,"")</f>
        <v/>
      </c>
      <c r="AW20" s="79">
        <f>_xlfn.XLOOKUP(AV20,'PEW12'!$B$6:$B$201,'PEW12'!$A$6:$A$201,0)</f>
        <v>0</v>
      </c>
      <c r="AX20" s="10" t="str" cm="1">
        <f t="array" ref="AX20">_xlfn.XLOOKUP($B20,IMEW!C$6:C$201,IMEW!$B$6:B$201,"")</f>
        <v/>
      </c>
      <c r="AY20" s="80">
        <f>_xlfn.XLOOKUP(AX20,IMEW!$B$6:$B$201,IMEW!$A$6:$A$201,0)</f>
        <v>0</v>
      </c>
      <c r="BA20" s="81">
        <f t="shared" si="1"/>
        <v>0</v>
      </c>
      <c r="BB20" s="81">
        <f t="shared" si="2"/>
        <v>0</v>
      </c>
      <c r="BC20" s="81">
        <f t="shared" si="3"/>
        <v>0</v>
      </c>
      <c r="BD20" s="81">
        <f t="shared" si="4"/>
        <v>0</v>
      </c>
      <c r="BE20" s="81">
        <f t="shared" si="5"/>
        <v>0</v>
      </c>
      <c r="BF20" s="81">
        <f t="shared" si="6"/>
        <v>0</v>
      </c>
      <c r="BG20" s="81">
        <f t="shared" si="7"/>
        <v>0</v>
      </c>
    </row>
    <row r="21" spans="1:59" ht="14.8" customHeight="1" x14ac:dyDescent="0.25">
      <c r="A21" s="8">
        <f t="shared" si="0"/>
        <v>16</v>
      </c>
      <c r="B21" s="9"/>
      <c r="C21" s="11"/>
      <c r="D21" s="78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2" t="str">
        <f>_xlfn.XLOOKUP($B21,'GP1'!$C$6:$C$55,'GP1'!$B$6:$B$55,"")</f>
        <v/>
      </c>
      <c r="F21" s="204">
        <f>_xlfn.XLOOKUP(E21,'GP1'!$B$6:$B$55,'GP1'!$A$6:$A$55,0)</f>
        <v>0</v>
      </c>
      <c r="G21" s="12" t="str">
        <f>_xlfn.XLOOKUP($B21,'GP2'!$C$6:$C$15,'GP2'!$B$6:$B$15,"")</f>
        <v/>
      </c>
      <c r="H21" s="204">
        <f>_xlfn.XLOOKUP(G21,'GP2'!$B$6:$B$15,'GP2'!$A$6:$A$15,0)</f>
        <v>0</v>
      </c>
      <c r="I21" s="12" t="str">
        <f>_xlfn.XLOOKUP($B21,'GP3'!$C$6:$C$15,'GP3'!$B$6:$B$15,"")</f>
        <v/>
      </c>
      <c r="J21" s="204">
        <f>_xlfn.XLOOKUP(I21,'GP3'!$B$6:$B$15,'GP3'!$A$6:$A$15,0)</f>
        <v>0</v>
      </c>
      <c r="K21" s="12" t="str">
        <f>_xlfn.XLOOKUP($B21,'GP4'!$C$6:$C$15,'GP4'!$B$6:$B$15,"")</f>
        <v/>
      </c>
      <c r="L21" s="204">
        <f>_xlfn.XLOOKUP(K21,'GP4'!$B$6:$B$15,'GP4'!$A$6:$A$15,0)</f>
        <v>0</v>
      </c>
      <c r="M21" s="12" t="str">
        <f>_xlfn.XLOOKUP($B21,'GP5'!$C$6:$C$15,'GP5'!$B$6:$B$15,"")</f>
        <v/>
      </c>
      <c r="N21" s="206">
        <f>_xlfn.XLOOKUP(M21,'GP5'!$B$6:$B$15,'GP5'!$A$6:$A$15,0)</f>
        <v>0</v>
      </c>
      <c r="O21" s="12" t="str">
        <f>_xlfn.XLOOKUP($B21,'GP6'!$C$6:$C$15,'GP6'!$B$6:$B$15,"")</f>
        <v/>
      </c>
      <c r="P21" s="206">
        <f>_xlfn.XLOOKUP(O21,'GP6'!$B$6:$B$15,'GP6'!$A$6:$A$15,0)</f>
        <v>0</v>
      </c>
      <c r="Q21" s="12" t="str">
        <f>_xlfn.XLOOKUP($B21,'GP7'!$C$6:$C$15,'GP7'!$B$6:$B$15,"")</f>
        <v/>
      </c>
      <c r="R21" s="206">
        <f>_xlfn.XLOOKUP(Q21,'GP7'!$B$6:$B$15,'GP7'!$A$6:$A$15,0)</f>
        <v>0</v>
      </c>
      <c r="S21" s="12" t="str">
        <f>_xlfn.XLOOKUP($B21,'GP8'!$C$6:$C$15,'GP8'!$B$6:$B$15,"")</f>
        <v/>
      </c>
      <c r="T21" s="206">
        <f>_xlfn.XLOOKUP(S21,'GP8'!$B$6:$B$15,'GP8'!$A$6:$A$15,0)</f>
        <v>0</v>
      </c>
      <c r="U21" s="12" t="str">
        <f>_xlfn.XLOOKUP(B21,MPW!C$6:C$15,MPW!B$6:B$15,"")</f>
        <v/>
      </c>
      <c r="V21" s="206">
        <f>_xlfn.XLOOKUP(U21,MPW!B$6:B$15,MPW!A$6:A$15,0)</f>
        <v>0</v>
      </c>
      <c r="X21" s="10" t="str">
        <f>_xlfn.XLOOKUP($B21,'PEW1'!$C$6:$C$201,'PEW1'!$B$6:$B$201,"")</f>
        <v/>
      </c>
      <c r="Y21" s="79">
        <f>_xlfn.XLOOKUP(X21,'PEW1'!$B$6:$B$201,'PEW1'!$A$6:$A$201,0)</f>
        <v>0</v>
      </c>
      <c r="Z21" s="10" t="str">
        <f>_xlfn.XLOOKUP($B21,'PEW2'!$C$6:$C$201,'PEW2'!$B$6:$B$201,"")</f>
        <v/>
      </c>
      <c r="AA21" s="79">
        <f>_xlfn.XLOOKUP(Z21,'PEW2'!$B$6:$B$201,'PEW2'!$A$6:$A$201,0)</f>
        <v>0</v>
      </c>
      <c r="AB21" s="10" t="str">
        <f>_xlfn.XLOOKUP($B21,'PEW3'!$C$6:$C$201,'PEW3'!$B$6:$B$201,"")</f>
        <v/>
      </c>
      <c r="AC21" s="79">
        <f>_xlfn.XLOOKUP(AB21,'PEW3'!$B$6:$B$201,'PEW3'!$A$6:$A$201,0)</f>
        <v>0</v>
      </c>
      <c r="AD21" s="10" t="str">
        <f>_xlfn.XLOOKUP($B21,VFC!$C$6:$C$201,VFC!$B$6:$B$201,"")</f>
        <v/>
      </c>
      <c r="AE21" s="79">
        <f>_xlfn.XLOOKUP(AD21,VFC!$B$6:$B$201,VFC!$A$6:$A$201,0)</f>
        <v>0</v>
      </c>
      <c r="AF21" s="10" t="str">
        <f>_xlfn.XLOOKUP($B21,'PEW4'!$C$6:$C$201,'PEW4'!$B$6:$B$201,"")</f>
        <v/>
      </c>
      <c r="AG21" s="79">
        <f>_xlfn.XLOOKUP(AF21,'PEW4'!$B$6:$B$201,'PEW4'!$A$6:$A$201,0)</f>
        <v>0</v>
      </c>
      <c r="AH21" s="10" t="str">
        <f>_xlfn.XLOOKUP($B21,'PEW5'!$C$6:$C$201,'PEW5'!$B$6:$B$201,"")</f>
        <v/>
      </c>
      <c r="AI21" s="79">
        <f>_xlfn.XLOOKUP(AH21,'PEW5'!$B$6:$B$201,'PEW5'!$A$6:$A$201,0)</f>
        <v>0</v>
      </c>
      <c r="AJ21" s="10" t="str">
        <f>_xlfn.XLOOKUP($B21,'PEW6'!$C$6:$C$201,'PEW6'!$B$6:$B$201,"")</f>
        <v/>
      </c>
      <c r="AK21" s="79">
        <f>_xlfn.XLOOKUP(AJ21,'PEW6'!$B$6:$B$201,'PEW6'!$A$6:$A$201,0)</f>
        <v>0</v>
      </c>
      <c r="AL21" s="10" t="str">
        <f>_xlfn.XLOOKUP($B21,'PEW7'!$C$6:$C$201,'PEW7'!$B$6:$B$201,"")</f>
        <v/>
      </c>
      <c r="AM21" s="79">
        <f>_xlfn.XLOOKUP(AL21,'PEW7'!$B$6:$B$201,'PEW7'!$A$6:$A$201,0)</f>
        <v>0</v>
      </c>
      <c r="AN21" s="10" t="str">
        <f>_xlfn.XLOOKUP($B21,'PEW8'!$C$6:$C$201,'PEW8'!$B$6:$B$201,"")</f>
        <v/>
      </c>
      <c r="AO21" s="79">
        <f>_xlfn.XLOOKUP(AN21,'PEW8'!$B$6:$B$201,'PEW8'!$A$6:$A$201,0)</f>
        <v>0</v>
      </c>
      <c r="AP21" s="10" t="str">
        <f>_xlfn.XLOOKUP($B21,'PEW9'!$C$6:$C$201,'PEW9'!$B$6:$B$201,"")</f>
        <v/>
      </c>
      <c r="AQ21" s="79">
        <f>_xlfn.XLOOKUP(AP21,'PEW9'!$B$6:$B$201,'PEW9'!$A$6:$A$201,0)</f>
        <v>0</v>
      </c>
      <c r="AR21" s="10" t="str">
        <f>_xlfn.XLOOKUP($B21,'PEW10'!$C$6:$C$201,'PEW10'!$B$6:$B$201,"")</f>
        <v/>
      </c>
      <c r="AS21" s="79">
        <f>_xlfn.XLOOKUP(AR21,'PEW10'!$B$6:$B$201,'PEW10'!$A$6:$A$201,0)</f>
        <v>0</v>
      </c>
      <c r="AT21" s="10" t="str">
        <f>_xlfn.XLOOKUP($B21,'PEW11'!$C$6:$C$201,'PEW11'!$B$6:$B$201,"")</f>
        <v/>
      </c>
      <c r="AU21" s="79">
        <f>_xlfn.XLOOKUP(AT21,'PEW11'!$B$6:$B$201,'PEW11'!$A$6:$A$201,0)</f>
        <v>0</v>
      </c>
      <c r="AV21" s="10" t="str">
        <f>_xlfn.XLOOKUP($B21,'PEW12'!$C$6:$C$201,'PEW12'!$B$6:$B$201,"")</f>
        <v/>
      </c>
      <c r="AW21" s="79">
        <f>_xlfn.XLOOKUP(AV21,'PEW12'!$B$6:$B$201,'PEW12'!$A$6:$A$201,0)</f>
        <v>0</v>
      </c>
      <c r="AX21" s="10" t="str" cm="1">
        <f t="array" ref="AX21">_xlfn.XLOOKUP($B21,IMEW!C$6:C$201,IMEW!$B$6:B$201,"")</f>
        <v/>
      </c>
      <c r="AY21" s="80">
        <f>_xlfn.XLOOKUP(AX21,IMEW!$B$6:$B$201,IMEW!$A$6:$A$201,0)</f>
        <v>0</v>
      </c>
      <c r="BA21" s="81">
        <f t="shared" si="1"/>
        <v>0</v>
      </c>
      <c r="BB21" s="81">
        <f t="shared" si="2"/>
        <v>0</v>
      </c>
      <c r="BC21" s="81">
        <f t="shared" si="3"/>
        <v>0</v>
      </c>
      <c r="BD21" s="81">
        <f t="shared" si="4"/>
        <v>0</v>
      </c>
      <c r="BE21" s="81">
        <f t="shared" si="5"/>
        <v>0</v>
      </c>
      <c r="BF21" s="81">
        <f t="shared" si="6"/>
        <v>0</v>
      </c>
      <c r="BG21" s="81">
        <f t="shared" si="7"/>
        <v>0</v>
      </c>
    </row>
    <row r="22" spans="1:59" ht="14.8" customHeight="1" x14ac:dyDescent="0.25">
      <c r="A22" s="8">
        <f t="shared" si="0"/>
        <v>17</v>
      </c>
      <c r="B22" s="9"/>
      <c r="C22" s="11"/>
      <c r="D22" s="78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2" t="str">
        <f>_xlfn.XLOOKUP($B22,'GP1'!$C$6:$C$55,'GP1'!$B$6:$B$55,"")</f>
        <v/>
      </c>
      <c r="F22" s="204">
        <f>_xlfn.XLOOKUP(E22,'GP1'!$B$6:$B$55,'GP1'!$A$6:$A$55,0)</f>
        <v>0</v>
      </c>
      <c r="G22" s="12" t="str">
        <f>_xlfn.XLOOKUP($B22,'GP2'!$C$6:$C$15,'GP2'!$B$6:$B$15,"")</f>
        <v/>
      </c>
      <c r="H22" s="204">
        <f>_xlfn.XLOOKUP(G22,'GP2'!$B$6:$B$15,'GP2'!$A$6:$A$15,0)</f>
        <v>0</v>
      </c>
      <c r="I22" s="12" t="str">
        <f>_xlfn.XLOOKUP($B22,'GP3'!$C$6:$C$15,'GP3'!$B$6:$B$15,"")</f>
        <v/>
      </c>
      <c r="J22" s="204">
        <f>_xlfn.XLOOKUP(I22,'GP3'!$B$6:$B$15,'GP3'!$A$6:$A$15,0)</f>
        <v>0</v>
      </c>
      <c r="K22" s="12" t="str">
        <f>_xlfn.XLOOKUP($B22,'GP4'!$C$6:$C$15,'GP4'!$B$6:$B$15,"")</f>
        <v/>
      </c>
      <c r="L22" s="204">
        <f>_xlfn.XLOOKUP(K22,'GP4'!$B$6:$B$15,'GP4'!$A$6:$A$15,0)</f>
        <v>0</v>
      </c>
      <c r="M22" s="12" t="str">
        <f>_xlfn.XLOOKUP($B22,'GP5'!$C$6:$C$15,'GP5'!$B$6:$B$15,"")</f>
        <v/>
      </c>
      <c r="N22" s="206">
        <f>_xlfn.XLOOKUP(M22,'GP5'!$B$6:$B$15,'GP5'!$A$6:$A$15,0)</f>
        <v>0</v>
      </c>
      <c r="O22" s="12" t="str">
        <f>_xlfn.XLOOKUP($B22,'GP6'!$C$6:$C$15,'GP6'!$B$6:$B$15,"")</f>
        <v/>
      </c>
      <c r="P22" s="206">
        <f>_xlfn.XLOOKUP(O22,'GP6'!$B$6:$B$15,'GP6'!$A$6:$A$15,0)</f>
        <v>0</v>
      </c>
      <c r="Q22" s="12" t="str">
        <f>_xlfn.XLOOKUP($B22,'GP7'!$C$6:$C$15,'GP7'!$B$6:$B$15,"")</f>
        <v/>
      </c>
      <c r="R22" s="206">
        <f>_xlfn.XLOOKUP(Q22,'GP7'!$B$6:$B$15,'GP7'!$A$6:$A$15,0)</f>
        <v>0</v>
      </c>
      <c r="S22" s="12" t="str">
        <f>_xlfn.XLOOKUP($B22,'GP8'!$C$6:$C$15,'GP8'!$B$6:$B$15,"")</f>
        <v/>
      </c>
      <c r="T22" s="206">
        <f>_xlfn.XLOOKUP(S22,'GP8'!$B$6:$B$15,'GP8'!$A$6:$A$15,0)</f>
        <v>0</v>
      </c>
      <c r="U22" s="12" t="str">
        <f>_xlfn.XLOOKUP(B22,MPW!C$6:C$15,MPW!B$6:B$15,"")</f>
        <v/>
      </c>
      <c r="V22" s="206">
        <f>_xlfn.XLOOKUP(U22,MPW!B$6:B$15,MPW!A$6:A$15,0)</f>
        <v>0</v>
      </c>
      <c r="X22" s="10" t="str">
        <f>_xlfn.XLOOKUP($B22,'PEW1'!$C$6:$C$201,'PEW1'!$B$6:$B$201,"")</f>
        <v/>
      </c>
      <c r="Y22" s="79">
        <f>_xlfn.XLOOKUP(X22,'PEW1'!$B$6:$B$201,'PEW1'!$A$6:$A$201,0)</f>
        <v>0</v>
      </c>
      <c r="Z22" s="10" t="str">
        <f>_xlfn.XLOOKUP($B22,'PEW2'!$C$6:$C$201,'PEW2'!$B$6:$B$201,"")</f>
        <v/>
      </c>
      <c r="AA22" s="79">
        <f>_xlfn.XLOOKUP(Z22,'PEW2'!$B$6:$B$201,'PEW2'!$A$6:$A$201,0)</f>
        <v>0</v>
      </c>
      <c r="AB22" s="10" t="str">
        <f>_xlfn.XLOOKUP($B22,'PEW3'!$C$6:$C$201,'PEW3'!$B$6:$B$201,"")</f>
        <v/>
      </c>
      <c r="AC22" s="79">
        <f>_xlfn.XLOOKUP(AB22,'PEW3'!$B$6:$B$201,'PEW3'!$A$6:$A$201,0)</f>
        <v>0</v>
      </c>
      <c r="AD22" s="10" t="str">
        <f>_xlfn.XLOOKUP($B22,VFC!$C$6:$C$201,VFC!$B$6:$B$201,"")</f>
        <v/>
      </c>
      <c r="AE22" s="79">
        <f>_xlfn.XLOOKUP(AD22,VFC!$B$6:$B$201,VFC!$A$6:$A$201,0)</f>
        <v>0</v>
      </c>
      <c r="AF22" s="10" t="str">
        <f>_xlfn.XLOOKUP($B22,'PEW4'!$C$6:$C$201,'PEW4'!$B$6:$B$201,"")</f>
        <v/>
      </c>
      <c r="AG22" s="79">
        <f>_xlfn.XLOOKUP(AF22,'PEW4'!$B$6:$B$201,'PEW4'!$A$6:$A$201,0)</f>
        <v>0</v>
      </c>
      <c r="AH22" s="10" t="str">
        <f>_xlfn.XLOOKUP($B22,'PEW5'!$C$6:$C$201,'PEW5'!$B$6:$B$201,"")</f>
        <v/>
      </c>
      <c r="AI22" s="79">
        <f>_xlfn.XLOOKUP(AH22,'PEW5'!$B$6:$B$201,'PEW5'!$A$6:$A$201,0)</f>
        <v>0</v>
      </c>
      <c r="AJ22" s="10" t="str">
        <f>_xlfn.XLOOKUP($B22,'PEW6'!$C$6:$C$201,'PEW6'!$B$6:$B$201,"")</f>
        <v/>
      </c>
      <c r="AK22" s="79">
        <f>_xlfn.XLOOKUP(AJ22,'PEW6'!$B$6:$B$201,'PEW6'!$A$6:$A$201,0)</f>
        <v>0</v>
      </c>
      <c r="AL22" s="10" t="str">
        <f>_xlfn.XLOOKUP($B22,'PEW7'!$C$6:$C$201,'PEW7'!$B$6:$B$201,"")</f>
        <v/>
      </c>
      <c r="AM22" s="79">
        <f>_xlfn.XLOOKUP(AL22,'PEW7'!$B$6:$B$201,'PEW7'!$A$6:$A$201,0)</f>
        <v>0</v>
      </c>
      <c r="AN22" s="10" t="str">
        <f>_xlfn.XLOOKUP($B22,'PEW8'!$C$6:$C$201,'PEW8'!$B$6:$B$201,"")</f>
        <v/>
      </c>
      <c r="AO22" s="79">
        <f>_xlfn.XLOOKUP(AN22,'PEW8'!$B$6:$B$201,'PEW8'!$A$6:$A$201,0)</f>
        <v>0</v>
      </c>
      <c r="AP22" s="10" t="str">
        <f>_xlfn.XLOOKUP($B22,'PEW9'!$C$6:$C$201,'PEW9'!$B$6:$B$201,"")</f>
        <v/>
      </c>
      <c r="AQ22" s="79">
        <f>_xlfn.XLOOKUP(AP22,'PEW9'!$B$6:$B$201,'PEW9'!$A$6:$A$201,0)</f>
        <v>0</v>
      </c>
      <c r="AR22" s="10" t="str">
        <f>_xlfn.XLOOKUP($B22,'PEW10'!$C$6:$C$201,'PEW10'!$B$6:$B$201,"")</f>
        <v/>
      </c>
      <c r="AS22" s="79">
        <f>_xlfn.XLOOKUP(AR22,'PEW10'!$B$6:$B$201,'PEW10'!$A$6:$A$201,0)</f>
        <v>0</v>
      </c>
      <c r="AT22" s="10" t="str">
        <f>_xlfn.XLOOKUP($B22,'PEW11'!$C$6:$C$201,'PEW11'!$B$6:$B$201,"")</f>
        <v/>
      </c>
      <c r="AU22" s="79">
        <f>_xlfn.XLOOKUP(AT22,'PEW11'!$B$6:$B$201,'PEW11'!$A$6:$A$201,0)</f>
        <v>0</v>
      </c>
      <c r="AV22" s="10" t="str">
        <f>_xlfn.XLOOKUP($B22,'PEW12'!$C$6:$C$201,'PEW12'!$B$6:$B$201,"")</f>
        <v/>
      </c>
      <c r="AW22" s="79">
        <f>_xlfn.XLOOKUP(AV22,'PEW12'!$B$6:$B$201,'PEW12'!$A$6:$A$201,0)</f>
        <v>0</v>
      </c>
      <c r="AX22" s="10" t="str" cm="1">
        <f t="array" ref="AX22">_xlfn.XLOOKUP($B22,IMEW!C$6:C$201,IMEW!$B$6:B$201,"")</f>
        <v/>
      </c>
      <c r="AY22" s="80">
        <f>_xlfn.XLOOKUP(AX22,IMEW!$B$6:$B$201,IMEW!$A$6:$A$201,0)</f>
        <v>0</v>
      </c>
      <c r="BA22" s="81">
        <f t="shared" si="1"/>
        <v>0</v>
      </c>
      <c r="BB22" s="81">
        <f t="shared" si="2"/>
        <v>0</v>
      </c>
      <c r="BC22" s="81">
        <f t="shared" si="3"/>
        <v>0</v>
      </c>
      <c r="BD22" s="81">
        <f t="shared" si="4"/>
        <v>0</v>
      </c>
      <c r="BE22" s="81">
        <f t="shared" si="5"/>
        <v>0</v>
      </c>
      <c r="BF22" s="81">
        <f t="shared" si="6"/>
        <v>0</v>
      </c>
      <c r="BG22" s="81">
        <f t="shared" si="7"/>
        <v>0</v>
      </c>
    </row>
    <row r="23" spans="1:59" ht="14.8" customHeight="1" x14ac:dyDescent="0.25">
      <c r="A23" s="8">
        <f t="shared" si="0"/>
        <v>18</v>
      </c>
      <c r="B23" s="9"/>
      <c r="C23" s="11"/>
      <c r="D23" s="78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2" t="str">
        <f>_xlfn.XLOOKUP($B23,'GP1'!$C$6:$C$55,'GP1'!$B$6:$B$55,"")</f>
        <v/>
      </c>
      <c r="F23" s="204">
        <f>_xlfn.XLOOKUP(E23,'GP1'!$B$6:$B$55,'GP1'!$A$6:$A$55,0)</f>
        <v>0</v>
      </c>
      <c r="G23" s="12" t="str">
        <f>_xlfn.XLOOKUP($B23,'GP2'!$C$6:$C$15,'GP2'!$B$6:$B$15,"")</f>
        <v/>
      </c>
      <c r="H23" s="204">
        <f>_xlfn.XLOOKUP(G23,'GP2'!$B$6:$B$15,'GP2'!$A$6:$A$15,0)</f>
        <v>0</v>
      </c>
      <c r="I23" s="12" t="str">
        <f>_xlfn.XLOOKUP($B23,'GP3'!$C$6:$C$15,'GP3'!$B$6:$B$15,"")</f>
        <v/>
      </c>
      <c r="J23" s="204">
        <f>_xlfn.XLOOKUP(I23,'GP3'!$B$6:$B$15,'GP3'!$A$6:$A$15,0)</f>
        <v>0</v>
      </c>
      <c r="K23" s="12" t="str">
        <f>_xlfn.XLOOKUP($B23,'GP4'!$C$6:$C$15,'GP4'!$B$6:$B$15,"")</f>
        <v/>
      </c>
      <c r="L23" s="204">
        <f>_xlfn.XLOOKUP(K23,'GP4'!$B$6:$B$15,'GP4'!$A$6:$A$15,0)</f>
        <v>0</v>
      </c>
      <c r="M23" s="12" t="str">
        <f>_xlfn.XLOOKUP($B23,'GP5'!$C$6:$C$15,'GP5'!$B$6:$B$15,"")</f>
        <v/>
      </c>
      <c r="N23" s="206">
        <f>_xlfn.XLOOKUP(M23,'GP5'!$B$6:$B$15,'GP5'!$A$6:$A$15,0)</f>
        <v>0</v>
      </c>
      <c r="O23" s="12" t="str">
        <f>_xlfn.XLOOKUP($B23,'GP6'!$C$6:$C$15,'GP6'!$B$6:$B$15,"")</f>
        <v/>
      </c>
      <c r="P23" s="206">
        <f>_xlfn.XLOOKUP(O23,'GP6'!$B$6:$B$15,'GP6'!$A$6:$A$15,0)</f>
        <v>0</v>
      </c>
      <c r="Q23" s="12" t="str">
        <f>_xlfn.XLOOKUP($B23,'GP7'!$C$6:$C$15,'GP7'!$B$6:$B$15,"")</f>
        <v/>
      </c>
      <c r="R23" s="206">
        <f>_xlfn.XLOOKUP(Q23,'GP7'!$B$6:$B$15,'GP7'!$A$6:$A$15,0)</f>
        <v>0</v>
      </c>
      <c r="S23" s="12" t="str">
        <f>_xlfn.XLOOKUP($B23,'GP8'!$C$6:$C$15,'GP8'!$B$6:$B$15,"")</f>
        <v/>
      </c>
      <c r="T23" s="206">
        <f>_xlfn.XLOOKUP(S23,'GP8'!$B$6:$B$15,'GP8'!$A$6:$A$15,0)</f>
        <v>0</v>
      </c>
      <c r="U23" s="12" t="str">
        <f>_xlfn.XLOOKUP(B23,MPW!C$6:C$15,MPW!B$6:B$15,"")</f>
        <v/>
      </c>
      <c r="V23" s="206">
        <f>_xlfn.XLOOKUP(U23,MPW!B$6:B$15,MPW!A$6:A$15,0)</f>
        <v>0</v>
      </c>
      <c r="X23" s="10" t="str">
        <f>_xlfn.XLOOKUP($B23,'PEW1'!$C$6:$C$201,'PEW1'!$B$6:$B$201,"")</f>
        <v/>
      </c>
      <c r="Y23" s="79">
        <f>_xlfn.XLOOKUP(X23,'PEW1'!$B$6:$B$201,'PEW1'!$A$6:$A$201,0)</f>
        <v>0</v>
      </c>
      <c r="Z23" s="10" t="str">
        <f>_xlfn.XLOOKUP($B23,'PEW2'!$C$6:$C$201,'PEW2'!$B$6:$B$201,"")</f>
        <v/>
      </c>
      <c r="AA23" s="79">
        <f>_xlfn.XLOOKUP(Z23,'PEW2'!$B$6:$B$201,'PEW2'!$A$6:$A$201,0)</f>
        <v>0</v>
      </c>
      <c r="AB23" s="10" t="str">
        <f>_xlfn.XLOOKUP($B23,'PEW3'!$C$6:$C$201,'PEW3'!$B$6:$B$201,"")</f>
        <v/>
      </c>
      <c r="AC23" s="79">
        <f>_xlfn.XLOOKUP(AB23,'PEW3'!$B$6:$B$201,'PEW3'!$A$6:$A$201,0)</f>
        <v>0</v>
      </c>
      <c r="AD23" s="10" t="str">
        <f>_xlfn.XLOOKUP($B23,VFC!$C$6:$C$201,VFC!$B$6:$B$201,"")</f>
        <v/>
      </c>
      <c r="AE23" s="79">
        <f>_xlfn.XLOOKUP(AD23,VFC!$B$6:$B$201,VFC!$A$6:$A$201,0)</f>
        <v>0</v>
      </c>
      <c r="AF23" s="10" t="str">
        <f>_xlfn.XLOOKUP($B23,'PEW4'!$C$6:$C$201,'PEW4'!$B$6:$B$201,"")</f>
        <v/>
      </c>
      <c r="AG23" s="79">
        <f>_xlfn.XLOOKUP(AF23,'PEW4'!$B$6:$B$201,'PEW4'!$A$6:$A$201,0)</f>
        <v>0</v>
      </c>
      <c r="AH23" s="10" t="str">
        <f>_xlfn.XLOOKUP($B23,'PEW5'!$C$6:$C$201,'PEW5'!$B$6:$B$201,"")</f>
        <v/>
      </c>
      <c r="AI23" s="79">
        <f>_xlfn.XLOOKUP(AH23,'PEW5'!$B$6:$B$201,'PEW5'!$A$6:$A$201,0)</f>
        <v>0</v>
      </c>
      <c r="AJ23" s="10" t="str">
        <f>_xlfn.XLOOKUP($B23,'PEW6'!$C$6:$C$201,'PEW6'!$B$6:$B$201,"")</f>
        <v/>
      </c>
      <c r="AK23" s="79">
        <f>_xlfn.XLOOKUP(AJ23,'PEW6'!$B$6:$B$201,'PEW6'!$A$6:$A$201,0)</f>
        <v>0</v>
      </c>
      <c r="AL23" s="10" t="str">
        <f>_xlfn.XLOOKUP($B23,'PEW7'!$C$6:$C$201,'PEW7'!$B$6:$B$201,"")</f>
        <v/>
      </c>
      <c r="AM23" s="79">
        <f>_xlfn.XLOOKUP(AL23,'PEW7'!$B$6:$B$201,'PEW7'!$A$6:$A$201,0)</f>
        <v>0</v>
      </c>
      <c r="AN23" s="10" t="str">
        <f>_xlfn.XLOOKUP($B23,'PEW8'!$C$6:$C$201,'PEW8'!$B$6:$B$201,"")</f>
        <v/>
      </c>
      <c r="AO23" s="79">
        <f>_xlfn.XLOOKUP(AN23,'PEW8'!$B$6:$B$201,'PEW8'!$A$6:$A$201,0)</f>
        <v>0</v>
      </c>
      <c r="AP23" s="10" t="str">
        <f>_xlfn.XLOOKUP($B23,'PEW9'!$C$6:$C$201,'PEW9'!$B$6:$B$201,"")</f>
        <v/>
      </c>
      <c r="AQ23" s="79">
        <f>_xlfn.XLOOKUP(AP23,'PEW9'!$B$6:$B$201,'PEW9'!$A$6:$A$201,0)</f>
        <v>0</v>
      </c>
      <c r="AR23" s="10" t="str">
        <f>_xlfn.XLOOKUP($B23,'PEW10'!$C$6:$C$201,'PEW10'!$B$6:$B$201,"")</f>
        <v/>
      </c>
      <c r="AS23" s="79">
        <f>_xlfn.XLOOKUP(AR23,'PEW10'!$B$6:$B$201,'PEW10'!$A$6:$A$201,0)</f>
        <v>0</v>
      </c>
      <c r="AT23" s="10" t="str">
        <f>_xlfn.XLOOKUP($B23,'PEW11'!$C$6:$C$201,'PEW11'!$B$6:$B$201,"")</f>
        <v/>
      </c>
      <c r="AU23" s="79">
        <f>_xlfn.XLOOKUP(AT23,'PEW11'!$B$6:$B$201,'PEW11'!$A$6:$A$201,0)</f>
        <v>0</v>
      </c>
      <c r="AV23" s="10" t="str">
        <f>_xlfn.XLOOKUP($B23,'PEW12'!$C$6:$C$201,'PEW12'!$B$6:$B$201,"")</f>
        <v/>
      </c>
      <c r="AW23" s="79">
        <f>_xlfn.XLOOKUP(AV23,'PEW12'!$B$6:$B$201,'PEW12'!$A$6:$A$201,0)</f>
        <v>0</v>
      </c>
      <c r="AX23" s="10" t="str" cm="1">
        <f t="array" ref="AX23">_xlfn.XLOOKUP($B23,IMEW!C$6:C$201,IMEW!$B$6:B$201,"")</f>
        <v/>
      </c>
      <c r="AY23" s="80">
        <f>_xlfn.XLOOKUP(AX23,IMEW!$B$6:$B$201,IMEW!$A$6:$A$201,0)</f>
        <v>0</v>
      </c>
      <c r="BA23" s="81">
        <f t="shared" si="1"/>
        <v>0</v>
      </c>
      <c r="BB23" s="81">
        <f t="shared" si="2"/>
        <v>0</v>
      </c>
      <c r="BC23" s="81">
        <f t="shared" si="3"/>
        <v>0</v>
      </c>
      <c r="BD23" s="81">
        <f t="shared" si="4"/>
        <v>0</v>
      </c>
      <c r="BE23" s="81">
        <f t="shared" si="5"/>
        <v>0</v>
      </c>
      <c r="BF23" s="81">
        <f t="shared" si="6"/>
        <v>0</v>
      </c>
      <c r="BG23" s="81">
        <f t="shared" si="7"/>
        <v>0</v>
      </c>
    </row>
    <row r="24" spans="1:59" ht="14.3" x14ac:dyDescent="0.25">
      <c r="A24" s="8">
        <f t="shared" si="0"/>
        <v>19</v>
      </c>
      <c r="B24" s="9"/>
      <c r="C24" s="11"/>
      <c r="D24" s="78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2" t="str">
        <f>_xlfn.XLOOKUP($B24,'GP1'!$C$6:$C$55,'GP1'!$B$6:$B$55,"")</f>
        <v/>
      </c>
      <c r="F24" s="204">
        <f>_xlfn.XLOOKUP(E24,'GP1'!$B$6:$B$55,'GP1'!$A$6:$A$55,0)</f>
        <v>0</v>
      </c>
      <c r="G24" s="12" t="str">
        <f>_xlfn.XLOOKUP($B24,'GP2'!$C$6:$C$15,'GP2'!$B$6:$B$15,"")</f>
        <v/>
      </c>
      <c r="H24" s="204">
        <f>_xlfn.XLOOKUP(G24,'GP2'!$B$6:$B$15,'GP2'!$A$6:$A$15,0)</f>
        <v>0</v>
      </c>
      <c r="I24" s="12" t="str">
        <f>_xlfn.XLOOKUP($B24,'GP3'!$C$6:$C$15,'GP3'!$B$6:$B$15,"")</f>
        <v/>
      </c>
      <c r="J24" s="204">
        <f>_xlfn.XLOOKUP(I24,'GP3'!$B$6:$B$15,'GP3'!$A$6:$A$15,0)</f>
        <v>0</v>
      </c>
      <c r="K24" s="12" t="str">
        <f>_xlfn.XLOOKUP($B24,'GP4'!$C$6:$C$15,'GP4'!$B$6:$B$15,"")</f>
        <v/>
      </c>
      <c r="L24" s="204">
        <f>_xlfn.XLOOKUP(K24,'GP4'!$B$6:$B$15,'GP4'!$A$6:$A$15,0)</f>
        <v>0</v>
      </c>
      <c r="M24" s="12" t="str">
        <f>_xlfn.XLOOKUP($B24,'GP5'!$C$6:$C$15,'GP5'!$B$6:$B$15,"")</f>
        <v/>
      </c>
      <c r="N24" s="206">
        <f>_xlfn.XLOOKUP(M24,'GP5'!$B$6:$B$15,'GP5'!$A$6:$A$15,0)</f>
        <v>0</v>
      </c>
      <c r="O24" s="12" t="str">
        <f>_xlfn.XLOOKUP($B24,'GP6'!$C$6:$C$15,'GP6'!$B$6:$B$15,"")</f>
        <v/>
      </c>
      <c r="P24" s="206">
        <f>_xlfn.XLOOKUP(O24,'GP6'!$B$6:$B$15,'GP6'!$A$6:$A$15,0)</f>
        <v>0</v>
      </c>
      <c r="Q24" s="12" t="str">
        <f>_xlfn.XLOOKUP($B24,'GP7'!$C$6:$C$15,'GP7'!$B$6:$B$15,"")</f>
        <v/>
      </c>
      <c r="R24" s="206">
        <f>_xlfn.XLOOKUP(Q24,'GP7'!$B$6:$B$15,'GP7'!$A$6:$A$15,0)</f>
        <v>0</v>
      </c>
      <c r="S24" s="12" t="str">
        <f>_xlfn.XLOOKUP($B24,'GP8'!$C$6:$C$15,'GP8'!$B$6:$B$15,"")</f>
        <v/>
      </c>
      <c r="T24" s="206">
        <f>_xlfn.XLOOKUP(S24,'GP8'!$B$6:$B$15,'GP8'!$A$6:$A$15,0)</f>
        <v>0</v>
      </c>
      <c r="U24" s="12" t="str">
        <f>_xlfn.XLOOKUP(B24,MPW!C$6:C$15,MPW!B$6:B$15,"")</f>
        <v/>
      </c>
      <c r="V24" s="206">
        <f>_xlfn.XLOOKUP(U24,MPW!B$6:B$15,MPW!A$6:A$15,0)</f>
        <v>0</v>
      </c>
      <c r="X24" s="10" t="str">
        <f>_xlfn.XLOOKUP($B24,'PEW1'!$C$6:$C$201,'PEW1'!$B$6:$B$201,"")</f>
        <v/>
      </c>
      <c r="Y24" s="79">
        <f>_xlfn.XLOOKUP(X24,'PEW1'!$B$6:$B$201,'PEW1'!$A$6:$A$201,0)</f>
        <v>0</v>
      </c>
      <c r="Z24" s="10" t="str">
        <f>_xlfn.XLOOKUP($B24,'PEW2'!$C$6:$C$201,'PEW2'!$B$6:$B$201,"")</f>
        <v/>
      </c>
      <c r="AA24" s="79">
        <f>_xlfn.XLOOKUP(Z24,'PEW2'!$B$6:$B$201,'PEW2'!$A$6:$A$201,0)</f>
        <v>0</v>
      </c>
      <c r="AB24" s="10" t="str">
        <f>_xlfn.XLOOKUP($B24,'PEW3'!$C$6:$C$201,'PEW3'!$B$6:$B$201,"")</f>
        <v/>
      </c>
      <c r="AC24" s="79">
        <f>_xlfn.XLOOKUP(AB24,'PEW3'!$B$6:$B$201,'PEW3'!$A$6:$A$201,0)</f>
        <v>0</v>
      </c>
      <c r="AD24" s="10" t="str">
        <f>_xlfn.XLOOKUP($B24,VFC!$C$6:$C$201,VFC!$B$6:$B$201,"")</f>
        <v/>
      </c>
      <c r="AE24" s="79">
        <f>_xlfn.XLOOKUP(AD24,VFC!$B$6:$B$201,VFC!$A$6:$A$201,0)</f>
        <v>0</v>
      </c>
      <c r="AF24" s="10" t="str">
        <f>_xlfn.XLOOKUP($B24,'PEW4'!$C$6:$C$201,'PEW4'!$B$6:$B$201,"")</f>
        <v/>
      </c>
      <c r="AG24" s="79">
        <f>_xlfn.XLOOKUP(AF24,'PEW4'!$B$6:$B$201,'PEW4'!$A$6:$A$201,0)</f>
        <v>0</v>
      </c>
      <c r="AH24" s="10" t="str">
        <f>_xlfn.XLOOKUP($B24,'PEW5'!$C$6:$C$201,'PEW5'!$B$6:$B$201,"")</f>
        <v/>
      </c>
      <c r="AI24" s="79">
        <f>_xlfn.XLOOKUP(AH24,'PEW5'!$B$6:$B$201,'PEW5'!$A$6:$A$201,0)</f>
        <v>0</v>
      </c>
      <c r="AJ24" s="10" t="str">
        <f>_xlfn.XLOOKUP($B24,'PEW6'!$C$6:$C$201,'PEW6'!$B$6:$B$201,"")</f>
        <v/>
      </c>
      <c r="AK24" s="79">
        <f>_xlfn.XLOOKUP(AJ24,'PEW6'!$B$6:$B$201,'PEW6'!$A$6:$A$201,0)</f>
        <v>0</v>
      </c>
      <c r="AL24" s="10" t="str">
        <f>_xlfn.XLOOKUP($B24,'PEW7'!$C$6:$C$201,'PEW7'!$B$6:$B$201,"")</f>
        <v/>
      </c>
      <c r="AM24" s="79">
        <f>_xlfn.XLOOKUP(AL24,'PEW7'!$B$6:$B$201,'PEW7'!$A$6:$A$201,0)</f>
        <v>0</v>
      </c>
      <c r="AN24" s="10" t="str">
        <f>_xlfn.XLOOKUP($B24,'PEW8'!$C$6:$C$201,'PEW8'!$B$6:$B$201,"")</f>
        <v/>
      </c>
      <c r="AO24" s="79">
        <f>_xlfn.XLOOKUP(AN24,'PEW8'!$B$6:$B$201,'PEW8'!$A$6:$A$201,0)</f>
        <v>0</v>
      </c>
      <c r="AP24" s="10" t="str">
        <f>_xlfn.XLOOKUP($B24,'PEW9'!$C$6:$C$201,'PEW9'!$B$6:$B$201,"")</f>
        <v/>
      </c>
      <c r="AQ24" s="79">
        <f>_xlfn.XLOOKUP(AP24,'PEW9'!$B$6:$B$201,'PEW9'!$A$6:$A$201,0)</f>
        <v>0</v>
      </c>
      <c r="AR24" s="10" t="str">
        <f>_xlfn.XLOOKUP($B24,'PEW10'!$C$6:$C$201,'PEW10'!$B$6:$B$201,"")</f>
        <v/>
      </c>
      <c r="AS24" s="79">
        <f>_xlfn.XLOOKUP(AR24,'PEW10'!$B$6:$B$201,'PEW10'!$A$6:$A$201,0)</f>
        <v>0</v>
      </c>
      <c r="AT24" s="10" t="str">
        <f>_xlfn.XLOOKUP($B24,'PEW11'!$C$6:$C$201,'PEW11'!$B$6:$B$201,"")</f>
        <v/>
      </c>
      <c r="AU24" s="79">
        <f>_xlfn.XLOOKUP(AT24,'PEW11'!$B$6:$B$201,'PEW11'!$A$6:$A$201,0)</f>
        <v>0</v>
      </c>
      <c r="AV24" s="10" t="str">
        <f>_xlfn.XLOOKUP($B24,'PEW12'!$C$6:$C$201,'PEW12'!$B$6:$B$201,"")</f>
        <v/>
      </c>
      <c r="AW24" s="79">
        <f>_xlfn.XLOOKUP(AV24,'PEW12'!$B$6:$B$201,'PEW12'!$A$6:$A$201,0)</f>
        <v>0</v>
      </c>
      <c r="AX24" s="10" t="str" cm="1">
        <f t="array" ref="AX24">_xlfn.XLOOKUP($B24,IMEW!C$6:C$201,IMEW!$B$6:B$201,"")</f>
        <v/>
      </c>
      <c r="AY24" s="80">
        <f>_xlfn.XLOOKUP(AX24,IMEW!$B$6:$B$201,IMEW!$A$6:$A$201,0)</f>
        <v>0</v>
      </c>
      <c r="BA24" s="81">
        <f t="shared" si="1"/>
        <v>0</v>
      </c>
      <c r="BB24" s="81">
        <f t="shared" si="2"/>
        <v>0</v>
      </c>
      <c r="BC24" s="81">
        <f t="shared" si="3"/>
        <v>0</v>
      </c>
      <c r="BD24" s="81">
        <f t="shared" si="4"/>
        <v>0</v>
      </c>
      <c r="BE24" s="81">
        <f t="shared" si="5"/>
        <v>0</v>
      </c>
      <c r="BF24" s="81">
        <f t="shared" si="6"/>
        <v>0</v>
      </c>
      <c r="BG24" s="81">
        <f t="shared" si="7"/>
        <v>0</v>
      </c>
    </row>
    <row r="25" spans="1:59" ht="14.3" x14ac:dyDescent="0.25">
      <c r="A25" s="8">
        <f t="shared" si="0"/>
        <v>20</v>
      </c>
      <c r="B25" s="9"/>
      <c r="C25" s="11"/>
      <c r="D25" s="78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2" t="str">
        <f>_xlfn.XLOOKUP($B25,'GP1'!$C$6:$C$55,'GP1'!$B$6:$B$55,"")</f>
        <v/>
      </c>
      <c r="F25" s="204">
        <f>_xlfn.XLOOKUP(E25,'GP1'!$B$6:$B$55,'GP1'!$A$6:$A$55,0)</f>
        <v>0</v>
      </c>
      <c r="G25" s="12" t="str">
        <f>_xlfn.XLOOKUP($B25,'GP2'!$C$6:$C$15,'GP2'!$B$6:$B$15,"")</f>
        <v/>
      </c>
      <c r="H25" s="204">
        <f>_xlfn.XLOOKUP(G25,'GP2'!$B$6:$B$15,'GP2'!$A$6:$A$15,0)</f>
        <v>0</v>
      </c>
      <c r="I25" s="12" t="str">
        <f>_xlfn.XLOOKUP($B25,'GP3'!$C$6:$C$15,'GP3'!$B$6:$B$15,"")</f>
        <v/>
      </c>
      <c r="J25" s="204">
        <f>_xlfn.XLOOKUP(I25,'GP3'!$B$6:$B$15,'GP3'!$A$6:$A$15,0)</f>
        <v>0</v>
      </c>
      <c r="K25" s="12" t="str">
        <f>_xlfn.XLOOKUP($B25,'GP4'!$C$6:$C$15,'GP4'!$B$6:$B$15,"")</f>
        <v/>
      </c>
      <c r="L25" s="204">
        <f>_xlfn.XLOOKUP(K25,'GP4'!$B$6:$B$15,'GP4'!$A$6:$A$15,0)</f>
        <v>0</v>
      </c>
      <c r="M25" s="12" t="str">
        <f>_xlfn.XLOOKUP($B25,'GP5'!$C$6:$C$15,'GP5'!$B$6:$B$15,"")</f>
        <v/>
      </c>
      <c r="N25" s="206">
        <f>_xlfn.XLOOKUP(M25,'GP5'!$B$6:$B$15,'GP5'!$A$6:$A$15,0)</f>
        <v>0</v>
      </c>
      <c r="O25" s="12" t="str">
        <f>_xlfn.XLOOKUP($B25,'GP6'!$C$6:$C$15,'GP6'!$B$6:$B$15,"")</f>
        <v/>
      </c>
      <c r="P25" s="206">
        <f>_xlfn.XLOOKUP(O25,'GP6'!$B$6:$B$15,'GP6'!$A$6:$A$15,0)</f>
        <v>0</v>
      </c>
      <c r="Q25" s="12" t="str">
        <f>_xlfn.XLOOKUP($B25,'GP7'!$C$6:$C$15,'GP7'!$B$6:$B$15,"")</f>
        <v/>
      </c>
      <c r="R25" s="206">
        <f>_xlfn.XLOOKUP(Q25,'GP7'!$B$6:$B$15,'GP7'!$A$6:$A$15,0)</f>
        <v>0</v>
      </c>
      <c r="S25" s="12" t="str">
        <f>_xlfn.XLOOKUP($B25,'GP8'!$C$6:$C$15,'GP8'!$B$6:$B$15,"")</f>
        <v/>
      </c>
      <c r="T25" s="206">
        <f>_xlfn.XLOOKUP(S25,'GP8'!$B$6:$B$15,'GP8'!$A$6:$A$15,0)</f>
        <v>0</v>
      </c>
      <c r="U25" s="12" t="str">
        <f>_xlfn.XLOOKUP(B25,MPW!C$6:C$15,MPW!B$6:B$15,"")</f>
        <v/>
      </c>
      <c r="V25" s="206">
        <f>_xlfn.XLOOKUP(U25,MPW!B$6:B$15,MPW!A$6:A$15,0)</f>
        <v>0</v>
      </c>
      <c r="X25" s="10" t="str">
        <f>_xlfn.XLOOKUP($B25,'PEW1'!$C$6:$C$201,'PEW1'!$B$6:$B$201,"")</f>
        <v/>
      </c>
      <c r="Y25" s="79">
        <f>_xlfn.XLOOKUP(X25,'PEW1'!$B$6:$B$201,'PEW1'!$A$6:$A$201,0)</f>
        <v>0</v>
      </c>
      <c r="Z25" s="10" t="str">
        <f>_xlfn.XLOOKUP($B25,'PEW2'!$C$6:$C$201,'PEW2'!$B$6:$B$201,"")</f>
        <v/>
      </c>
      <c r="AA25" s="79">
        <f>_xlfn.XLOOKUP(Z25,'PEW2'!$B$6:$B$201,'PEW2'!$A$6:$A$201,0)</f>
        <v>0</v>
      </c>
      <c r="AB25" s="10" t="str">
        <f>_xlfn.XLOOKUP($B25,'PEW3'!$C$6:$C$201,'PEW3'!$B$6:$B$201,"")</f>
        <v/>
      </c>
      <c r="AC25" s="79">
        <f>_xlfn.XLOOKUP(AB25,'PEW3'!$B$6:$B$201,'PEW3'!$A$6:$A$201,0)</f>
        <v>0</v>
      </c>
      <c r="AD25" s="10" t="str">
        <f>_xlfn.XLOOKUP($B25,VFC!$C$6:$C$201,VFC!$B$6:$B$201,"")</f>
        <v/>
      </c>
      <c r="AE25" s="79">
        <f>_xlfn.XLOOKUP(AD25,VFC!$B$6:$B$201,VFC!$A$6:$A$201,0)</f>
        <v>0</v>
      </c>
      <c r="AF25" s="10" t="str">
        <f>_xlfn.XLOOKUP($B25,'PEW4'!$C$6:$C$201,'PEW4'!$B$6:$B$201,"")</f>
        <v/>
      </c>
      <c r="AG25" s="79">
        <f>_xlfn.XLOOKUP(AF25,'PEW4'!$B$6:$B$201,'PEW4'!$A$6:$A$201,0)</f>
        <v>0</v>
      </c>
      <c r="AH25" s="10" t="str">
        <f>_xlfn.XLOOKUP($B25,'PEW5'!$C$6:$C$201,'PEW5'!$B$6:$B$201,"")</f>
        <v/>
      </c>
      <c r="AI25" s="79">
        <f>_xlfn.XLOOKUP(AH25,'PEW5'!$B$6:$B$201,'PEW5'!$A$6:$A$201,0)</f>
        <v>0</v>
      </c>
      <c r="AJ25" s="10" t="str">
        <f>_xlfn.XLOOKUP($B25,'PEW6'!$C$6:$C$201,'PEW6'!$B$6:$B$201,"")</f>
        <v/>
      </c>
      <c r="AK25" s="79">
        <f>_xlfn.XLOOKUP(AJ25,'PEW6'!$B$6:$B$201,'PEW6'!$A$6:$A$201,0)</f>
        <v>0</v>
      </c>
      <c r="AL25" s="10" t="str">
        <f>_xlfn.XLOOKUP($B25,'PEW7'!$C$6:$C$201,'PEW7'!$B$6:$B$201,"")</f>
        <v/>
      </c>
      <c r="AM25" s="79">
        <f>_xlfn.XLOOKUP(AL25,'PEW7'!$B$6:$B$201,'PEW7'!$A$6:$A$201,0)</f>
        <v>0</v>
      </c>
      <c r="AN25" s="10" t="str">
        <f>_xlfn.XLOOKUP($B25,'PEW8'!$C$6:$C$201,'PEW8'!$B$6:$B$201,"")</f>
        <v/>
      </c>
      <c r="AO25" s="79">
        <f>_xlfn.XLOOKUP(AN25,'PEW8'!$B$6:$B$201,'PEW8'!$A$6:$A$201,0)</f>
        <v>0</v>
      </c>
      <c r="AP25" s="10" t="str">
        <f>_xlfn.XLOOKUP($B25,'PEW9'!$C$6:$C$201,'PEW9'!$B$6:$B$201,"")</f>
        <v/>
      </c>
      <c r="AQ25" s="79">
        <f>_xlfn.XLOOKUP(AP25,'PEW9'!$B$6:$B$201,'PEW9'!$A$6:$A$201,0)</f>
        <v>0</v>
      </c>
      <c r="AR25" s="10" t="str">
        <f>_xlfn.XLOOKUP($B25,'PEW10'!$C$6:$C$201,'PEW10'!$B$6:$B$201,"")</f>
        <v/>
      </c>
      <c r="AS25" s="79">
        <f>_xlfn.XLOOKUP(AR25,'PEW10'!$B$6:$B$201,'PEW10'!$A$6:$A$201,0)</f>
        <v>0</v>
      </c>
      <c r="AT25" s="10" t="str">
        <f>_xlfn.XLOOKUP($B25,'PEW11'!$C$6:$C$201,'PEW11'!$B$6:$B$201,"")</f>
        <v/>
      </c>
      <c r="AU25" s="79">
        <f>_xlfn.XLOOKUP(AT25,'PEW11'!$B$6:$B$201,'PEW11'!$A$6:$A$201,0)</f>
        <v>0</v>
      </c>
      <c r="AV25" s="10" t="str">
        <f>_xlfn.XLOOKUP($B25,'PEW12'!$C$6:$C$201,'PEW12'!$B$6:$B$201,"")</f>
        <v/>
      </c>
      <c r="AW25" s="79">
        <f>_xlfn.XLOOKUP(AV25,'PEW12'!$B$6:$B$201,'PEW12'!$A$6:$A$201,0)</f>
        <v>0</v>
      </c>
      <c r="AX25" s="10" t="str" cm="1">
        <f t="array" ref="AX25">_xlfn.XLOOKUP($B25,IMEW!C$6:C$201,IMEW!$B$6:B$201,"")</f>
        <v/>
      </c>
      <c r="AY25" s="80">
        <f>_xlfn.XLOOKUP(AX25,IMEW!$B$6:$B$201,IMEW!$A$6:$A$201,0)</f>
        <v>0</v>
      </c>
      <c r="BA25" s="81">
        <f t="shared" si="1"/>
        <v>0</v>
      </c>
      <c r="BB25" s="81">
        <f t="shared" si="2"/>
        <v>0</v>
      </c>
      <c r="BC25" s="81">
        <f t="shared" si="3"/>
        <v>0</v>
      </c>
      <c r="BD25" s="81">
        <f t="shared" si="4"/>
        <v>0</v>
      </c>
      <c r="BE25" s="81">
        <f t="shared" si="5"/>
        <v>0</v>
      </c>
      <c r="BF25" s="81">
        <f t="shared" si="6"/>
        <v>0</v>
      </c>
      <c r="BG25" s="81">
        <f t="shared" si="7"/>
        <v>0</v>
      </c>
    </row>
    <row r="26" spans="1:59" ht="14.3" x14ac:dyDescent="0.25">
      <c r="A26" s="8">
        <f t="shared" si="0"/>
        <v>21</v>
      </c>
      <c r="B26" s="9"/>
      <c r="C26" s="11"/>
      <c r="D26" s="78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2" t="str">
        <f>_xlfn.XLOOKUP($B26,'GP1'!$C$6:$C$55,'GP1'!$B$6:$B$55,"")</f>
        <v/>
      </c>
      <c r="F26" s="204">
        <f>_xlfn.XLOOKUP(E26,'GP1'!$B$6:$B$55,'GP1'!$A$6:$A$55,0)</f>
        <v>0</v>
      </c>
      <c r="G26" s="12" t="str">
        <f>_xlfn.XLOOKUP($B26,'GP2'!$C$6:$C$15,'GP2'!$B$6:$B$15,"")</f>
        <v/>
      </c>
      <c r="H26" s="204">
        <f>_xlfn.XLOOKUP(G26,'GP2'!$B$6:$B$15,'GP2'!$A$6:$A$15,0)</f>
        <v>0</v>
      </c>
      <c r="I26" s="12" t="str">
        <f>_xlfn.XLOOKUP($B26,'GP3'!$C$6:$C$15,'GP3'!$B$6:$B$15,"")</f>
        <v/>
      </c>
      <c r="J26" s="204">
        <f>_xlfn.XLOOKUP(I26,'GP3'!$B$6:$B$15,'GP3'!$A$6:$A$15,0)</f>
        <v>0</v>
      </c>
      <c r="K26" s="12" t="str">
        <f>_xlfn.XLOOKUP($B26,'GP4'!$C$6:$C$15,'GP4'!$B$6:$B$15,"")</f>
        <v/>
      </c>
      <c r="L26" s="204">
        <f>_xlfn.XLOOKUP(K26,'GP4'!$B$6:$B$15,'GP4'!$A$6:$A$15,0)</f>
        <v>0</v>
      </c>
      <c r="M26" s="12" t="str">
        <f>_xlfn.XLOOKUP($B26,'GP5'!$C$6:$C$15,'GP5'!$B$6:$B$15,"")</f>
        <v/>
      </c>
      <c r="N26" s="206">
        <f>_xlfn.XLOOKUP(M26,'GP5'!$B$6:$B$15,'GP5'!$A$6:$A$15,0)</f>
        <v>0</v>
      </c>
      <c r="O26" s="12" t="str">
        <f>_xlfn.XLOOKUP($B26,'GP6'!$C$6:$C$15,'GP6'!$B$6:$B$15,"")</f>
        <v/>
      </c>
      <c r="P26" s="206">
        <f>_xlfn.XLOOKUP(O26,'GP6'!$B$6:$B$15,'GP6'!$A$6:$A$15,0)</f>
        <v>0</v>
      </c>
      <c r="Q26" s="12" t="str">
        <f>_xlfn.XLOOKUP($B26,'GP7'!$C$6:$C$15,'GP7'!$B$6:$B$15,"")</f>
        <v/>
      </c>
      <c r="R26" s="206">
        <f>_xlfn.XLOOKUP(Q26,'GP7'!$B$6:$B$15,'GP7'!$A$6:$A$15,0)</f>
        <v>0</v>
      </c>
      <c r="S26" s="12" t="str">
        <f>_xlfn.XLOOKUP($B26,'GP8'!$C$6:$C$15,'GP8'!$B$6:$B$15,"")</f>
        <v/>
      </c>
      <c r="T26" s="206">
        <f>_xlfn.XLOOKUP(S26,'GP8'!$B$6:$B$15,'GP8'!$A$6:$A$15,0)</f>
        <v>0</v>
      </c>
      <c r="U26" s="12" t="str">
        <f>_xlfn.XLOOKUP(B26,MPW!C$6:C$15,MPW!B$6:B$15,"")</f>
        <v/>
      </c>
      <c r="V26" s="206">
        <f>_xlfn.XLOOKUP(U26,MPW!B$6:B$15,MPW!A$6:A$15,0)</f>
        <v>0</v>
      </c>
      <c r="X26" s="10" t="str">
        <f>_xlfn.XLOOKUP($B26,'PEW1'!$C$6:$C$201,'PEW1'!$B$6:$B$201,"")</f>
        <v/>
      </c>
      <c r="Y26" s="79">
        <f>_xlfn.XLOOKUP(X26,'PEW1'!$B$6:$B$201,'PEW1'!$A$6:$A$201,0)</f>
        <v>0</v>
      </c>
      <c r="Z26" s="10" t="str">
        <f>_xlfn.XLOOKUP($B26,'PEW2'!$C$6:$C$201,'PEW2'!$B$6:$B$201,"")</f>
        <v/>
      </c>
      <c r="AA26" s="79">
        <f>_xlfn.XLOOKUP(Z26,'PEW2'!$B$6:$B$201,'PEW2'!$A$6:$A$201,0)</f>
        <v>0</v>
      </c>
      <c r="AB26" s="10" t="str">
        <f>_xlfn.XLOOKUP($B26,'PEW3'!$C$6:$C$201,'PEW3'!$B$6:$B$201,"")</f>
        <v/>
      </c>
      <c r="AC26" s="79">
        <f>_xlfn.XLOOKUP(AB26,'PEW3'!$B$6:$B$201,'PEW3'!$A$6:$A$201,0)</f>
        <v>0</v>
      </c>
      <c r="AD26" s="10" t="str">
        <f>_xlfn.XLOOKUP($B26,VFC!$C$6:$C$201,VFC!$B$6:$B$201,"")</f>
        <v/>
      </c>
      <c r="AE26" s="79">
        <f>_xlfn.XLOOKUP(AD26,VFC!$B$6:$B$201,VFC!$A$6:$A$201,0)</f>
        <v>0</v>
      </c>
      <c r="AF26" s="10" t="str">
        <f>_xlfn.XLOOKUP($B26,'PEW4'!$C$6:$C$201,'PEW4'!$B$6:$B$201,"")</f>
        <v/>
      </c>
      <c r="AG26" s="79">
        <f>_xlfn.XLOOKUP(AF26,'PEW4'!$B$6:$B$201,'PEW4'!$A$6:$A$201,0)</f>
        <v>0</v>
      </c>
      <c r="AH26" s="10" t="str">
        <f>_xlfn.XLOOKUP($B26,'PEW5'!$C$6:$C$201,'PEW5'!$B$6:$B$201,"")</f>
        <v/>
      </c>
      <c r="AI26" s="79">
        <f>_xlfn.XLOOKUP(AH26,'PEW5'!$B$6:$B$201,'PEW5'!$A$6:$A$201,0)</f>
        <v>0</v>
      </c>
      <c r="AJ26" s="10" t="str">
        <f>_xlfn.XLOOKUP($B26,'PEW6'!$C$6:$C$201,'PEW6'!$B$6:$B$201,"")</f>
        <v/>
      </c>
      <c r="AK26" s="79">
        <f>_xlfn.XLOOKUP(AJ26,'PEW6'!$B$6:$B$201,'PEW6'!$A$6:$A$201,0)</f>
        <v>0</v>
      </c>
      <c r="AL26" s="10" t="str">
        <f>_xlfn.XLOOKUP($B26,'PEW7'!$C$6:$C$201,'PEW7'!$B$6:$B$201,"")</f>
        <v/>
      </c>
      <c r="AM26" s="79">
        <f>_xlfn.XLOOKUP(AL26,'PEW7'!$B$6:$B$201,'PEW7'!$A$6:$A$201,0)</f>
        <v>0</v>
      </c>
      <c r="AN26" s="10" t="str">
        <f>_xlfn.XLOOKUP($B26,'PEW8'!$C$6:$C$201,'PEW8'!$B$6:$B$201,"")</f>
        <v/>
      </c>
      <c r="AO26" s="79">
        <f>_xlfn.XLOOKUP(AN26,'PEW8'!$B$6:$B$201,'PEW8'!$A$6:$A$201,0)</f>
        <v>0</v>
      </c>
      <c r="AP26" s="10" t="str">
        <f>_xlfn.XLOOKUP($B26,'PEW9'!$C$6:$C$201,'PEW9'!$B$6:$B$201,"")</f>
        <v/>
      </c>
      <c r="AQ26" s="79">
        <f>_xlfn.XLOOKUP(AP26,'PEW9'!$B$6:$B$201,'PEW9'!$A$6:$A$201,0)</f>
        <v>0</v>
      </c>
      <c r="AR26" s="10" t="str">
        <f>_xlfn.XLOOKUP($B26,'PEW10'!$C$6:$C$201,'PEW10'!$B$6:$B$201,"")</f>
        <v/>
      </c>
      <c r="AS26" s="79">
        <f>_xlfn.XLOOKUP(AR26,'PEW10'!$B$6:$B$201,'PEW10'!$A$6:$A$201,0)</f>
        <v>0</v>
      </c>
      <c r="AT26" s="10" t="str">
        <f>_xlfn.XLOOKUP($B26,'PEW11'!$C$6:$C$201,'PEW11'!$B$6:$B$201,"")</f>
        <v/>
      </c>
      <c r="AU26" s="79">
        <f>_xlfn.XLOOKUP(AT26,'PEW11'!$B$6:$B$201,'PEW11'!$A$6:$A$201,0)</f>
        <v>0</v>
      </c>
      <c r="AV26" s="10" t="str">
        <f>_xlfn.XLOOKUP($B26,'PEW12'!$C$6:$C$201,'PEW12'!$B$6:$B$201,"")</f>
        <v/>
      </c>
      <c r="AW26" s="79">
        <f>_xlfn.XLOOKUP(AV26,'PEW12'!$B$6:$B$201,'PEW12'!$A$6:$A$201,0)</f>
        <v>0</v>
      </c>
      <c r="AX26" s="10" t="str" cm="1">
        <f t="array" ref="AX26">_xlfn.XLOOKUP($B26,IMEW!C$6:C$201,IMEW!$B$6:B$201,"")</f>
        <v/>
      </c>
      <c r="AY26" s="80">
        <f>_xlfn.XLOOKUP(AX26,IMEW!$B$6:$B$201,IMEW!$A$6:$A$201,0)</f>
        <v>0</v>
      </c>
      <c r="BA26" s="81">
        <f t="shared" si="1"/>
        <v>0</v>
      </c>
      <c r="BB26" s="81">
        <f t="shared" si="2"/>
        <v>0</v>
      </c>
      <c r="BC26" s="81">
        <f t="shared" si="3"/>
        <v>0</v>
      </c>
      <c r="BD26" s="81">
        <f t="shared" si="4"/>
        <v>0</v>
      </c>
      <c r="BE26" s="81">
        <f t="shared" si="5"/>
        <v>0</v>
      </c>
      <c r="BF26" s="81">
        <f t="shared" si="6"/>
        <v>0</v>
      </c>
      <c r="BG26" s="81">
        <f t="shared" si="7"/>
        <v>0</v>
      </c>
    </row>
    <row r="27" spans="1:59" ht="14.3" x14ac:dyDescent="0.25">
      <c r="A27" s="8">
        <f t="shared" si="0"/>
        <v>22</v>
      </c>
      <c r="B27" s="9"/>
      <c r="C27" s="11"/>
      <c r="D27" s="78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2" t="str">
        <f>_xlfn.XLOOKUP($B27,'GP1'!$C$6:$C$55,'GP1'!$B$6:$B$55,"")</f>
        <v/>
      </c>
      <c r="F27" s="204">
        <f>_xlfn.XLOOKUP(E27,'GP1'!$B$6:$B$55,'GP1'!$A$6:$A$55,0)</f>
        <v>0</v>
      </c>
      <c r="G27" s="12" t="str">
        <f>_xlfn.XLOOKUP($B27,'GP2'!$C$6:$C$15,'GP2'!$B$6:$B$15,"")</f>
        <v/>
      </c>
      <c r="H27" s="204">
        <f>_xlfn.XLOOKUP(G27,'GP2'!$B$6:$B$15,'GP2'!$A$6:$A$15,0)</f>
        <v>0</v>
      </c>
      <c r="I27" s="12" t="str">
        <f>_xlfn.XLOOKUP($B27,'GP3'!$C$6:$C$15,'GP3'!$B$6:$B$15,"")</f>
        <v/>
      </c>
      <c r="J27" s="204">
        <f>_xlfn.XLOOKUP(I27,'GP3'!$B$6:$B$15,'GP3'!$A$6:$A$15,0)</f>
        <v>0</v>
      </c>
      <c r="K27" s="12" t="str">
        <f>_xlfn.XLOOKUP($B27,'GP4'!$C$6:$C$15,'GP4'!$B$6:$B$15,"")</f>
        <v/>
      </c>
      <c r="L27" s="204">
        <f>_xlfn.XLOOKUP(K27,'GP4'!$B$6:$B$15,'GP4'!$A$6:$A$15,0)</f>
        <v>0</v>
      </c>
      <c r="M27" s="12" t="str">
        <f>_xlfn.XLOOKUP($B27,'GP5'!$C$6:$C$15,'GP5'!$B$6:$B$15,"")</f>
        <v/>
      </c>
      <c r="N27" s="206">
        <f>_xlfn.XLOOKUP(M27,'GP5'!$B$6:$B$15,'GP5'!$A$6:$A$15,0)</f>
        <v>0</v>
      </c>
      <c r="O27" s="12" t="str">
        <f>_xlfn.XLOOKUP($B27,'GP6'!$C$6:$C$15,'GP6'!$B$6:$B$15,"")</f>
        <v/>
      </c>
      <c r="P27" s="206">
        <f>_xlfn.XLOOKUP(O27,'GP6'!$B$6:$B$15,'GP6'!$A$6:$A$15,0)</f>
        <v>0</v>
      </c>
      <c r="Q27" s="12" t="str">
        <f>_xlfn.XLOOKUP($B27,'GP7'!$C$6:$C$15,'GP7'!$B$6:$B$15,"")</f>
        <v/>
      </c>
      <c r="R27" s="206">
        <f>_xlfn.XLOOKUP(Q27,'GP7'!$B$6:$B$15,'GP7'!$A$6:$A$15,0)</f>
        <v>0</v>
      </c>
      <c r="S27" s="12" t="str">
        <f>_xlfn.XLOOKUP($B27,'GP8'!$C$6:$C$15,'GP8'!$B$6:$B$15,"")</f>
        <v/>
      </c>
      <c r="T27" s="206">
        <f>_xlfn.XLOOKUP(S27,'GP8'!$B$6:$B$15,'GP8'!$A$6:$A$15,0)</f>
        <v>0</v>
      </c>
      <c r="U27" s="12" t="str">
        <f>_xlfn.XLOOKUP(B27,MPW!C$6:C$15,MPW!B$6:B$15,"")</f>
        <v/>
      </c>
      <c r="V27" s="206">
        <f>_xlfn.XLOOKUP(U27,MPW!B$6:B$15,MPW!A$6:A$15,0)</f>
        <v>0</v>
      </c>
      <c r="X27" s="10" t="str">
        <f>_xlfn.XLOOKUP($B27,'PEW1'!$C$6:$C$201,'PEW1'!$B$6:$B$201,"")</f>
        <v/>
      </c>
      <c r="Y27" s="79">
        <f>_xlfn.XLOOKUP(X27,'PEW1'!$B$6:$B$201,'PEW1'!$A$6:$A$201,0)</f>
        <v>0</v>
      </c>
      <c r="Z27" s="10" t="str">
        <f>_xlfn.XLOOKUP($B27,'PEW2'!$C$6:$C$201,'PEW2'!$B$6:$B$201,"")</f>
        <v/>
      </c>
      <c r="AA27" s="79">
        <f>_xlfn.XLOOKUP(Z27,'PEW2'!$B$6:$B$201,'PEW2'!$A$6:$A$201,0)</f>
        <v>0</v>
      </c>
      <c r="AB27" s="10" t="str">
        <f>_xlfn.XLOOKUP($B27,'PEW3'!$C$6:$C$201,'PEW3'!$B$6:$B$201,"")</f>
        <v/>
      </c>
      <c r="AC27" s="79">
        <f>_xlfn.XLOOKUP(AB27,'PEW3'!$B$6:$B$201,'PEW3'!$A$6:$A$201,0)</f>
        <v>0</v>
      </c>
      <c r="AD27" s="10" t="str">
        <f>_xlfn.XLOOKUP($B27,VFC!$C$6:$C$201,VFC!$B$6:$B$201,"")</f>
        <v/>
      </c>
      <c r="AE27" s="79">
        <f>_xlfn.XLOOKUP(AD27,VFC!$B$6:$B$201,VFC!$A$6:$A$201,0)</f>
        <v>0</v>
      </c>
      <c r="AF27" s="10" t="str">
        <f>_xlfn.XLOOKUP($B27,'PEW4'!$C$6:$C$201,'PEW4'!$B$6:$B$201,"")</f>
        <v/>
      </c>
      <c r="AG27" s="79">
        <f>_xlfn.XLOOKUP(AF27,'PEW4'!$B$6:$B$201,'PEW4'!$A$6:$A$201,0)</f>
        <v>0</v>
      </c>
      <c r="AH27" s="10" t="str">
        <f>_xlfn.XLOOKUP($B27,'PEW5'!$C$6:$C$201,'PEW5'!$B$6:$B$201,"")</f>
        <v/>
      </c>
      <c r="AI27" s="79">
        <f>_xlfn.XLOOKUP(AH27,'PEW5'!$B$6:$B$201,'PEW5'!$A$6:$A$201,0)</f>
        <v>0</v>
      </c>
      <c r="AJ27" s="10" t="str">
        <f>_xlfn.XLOOKUP($B27,'PEW6'!$C$6:$C$201,'PEW6'!$B$6:$B$201,"")</f>
        <v/>
      </c>
      <c r="AK27" s="79">
        <f>_xlfn.XLOOKUP(AJ27,'PEW6'!$B$6:$B$201,'PEW6'!$A$6:$A$201,0)</f>
        <v>0</v>
      </c>
      <c r="AL27" s="10" t="str">
        <f>_xlfn.XLOOKUP($B27,'PEW7'!$C$6:$C$201,'PEW7'!$B$6:$B$201,"")</f>
        <v/>
      </c>
      <c r="AM27" s="79">
        <f>_xlfn.XLOOKUP(AL27,'PEW7'!$B$6:$B$201,'PEW7'!$A$6:$A$201,0)</f>
        <v>0</v>
      </c>
      <c r="AN27" s="10" t="str">
        <f>_xlfn.XLOOKUP($B27,'PEW8'!$C$6:$C$201,'PEW8'!$B$6:$B$201,"")</f>
        <v/>
      </c>
      <c r="AO27" s="79">
        <f>_xlfn.XLOOKUP(AN27,'PEW8'!$B$6:$B$201,'PEW8'!$A$6:$A$201,0)</f>
        <v>0</v>
      </c>
      <c r="AP27" s="10" t="str">
        <f>_xlfn.XLOOKUP($B27,'PEW9'!$C$6:$C$201,'PEW9'!$B$6:$B$201,"")</f>
        <v/>
      </c>
      <c r="AQ27" s="79">
        <f>_xlfn.XLOOKUP(AP27,'PEW9'!$B$6:$B$201,'PEW9'!$A$6:$A$201,0)</f>
        <v>0</v>
      </c>
      <c r="AR27" s="10" t="str">
        <f>_xlfn.XLOOKUP($B27,'PEW10'!$C$6:$C$201,'PEW10'!$B$6:$B$201,"")</f>
        <v/>
      </c>
      <c r="AS27" s="79">
        <f>_xlfn.XLOOKUP(AR27,'PEW10'!$B$6:$B$201,'PEW10'!$A$6:$A$201,0)</f>
        <v>0</v>
      </c>
      <c r="AT27" s="10" t="str">
        <f>_xlfn.XLOOKUP($B27,'PEW11'!$C$6:$C$201,'PEW11'!$B$6:$B$201,"")</f>
        <v/>
      </c>
      <c r="AU27" s="79">
        <f>_xlfn.XLOOKUP(AT27,'PEW11'!$B$6:$B$201,'PEW11'!$A$6:$A$201,0)</f>
        <v>0</v>
      </c>
      <c r="AV27" s="10" t="str">
        <f>_xlfn.XLOOKUP($B27,'PEW12'!$C$6:$C$201,'PEW12'!$B$6:$B$201,"")</f>
        <v/>
      </c>
      <c r="AW27" s="79">
        <f>_xlfn.XLOOKUP(AV27,'PEW12'!$B$6:$B$201,'PEW12'!$A$6:$A$201,0)</f>
        <v>0</v>
      </c>
      <c r="AX27" s="10" t="str" cm="1">
        <f t="array" ref="AX27">_xlfn.XLOOKUP($B27,IMEW!C$6:C$201,IMEW!$B$6:B$201,"")</f>
        <v/>
      </c>
      <c r="AY27" s="80">
        <f>_xlfn.XLOOKUP(AX27,IMEW!$B$6:$B$201,IMEW!$A$6:$A$201,0)</f>
        <v>0</v>
      </c>
      <c r="BA27" s="81">
        <f t="shared" si="1"/>
        <v>0</v>
      </c>
      <c r="BB27" s="81">
        <f t="shared" si="2"/>
        <v>0</v>
      </c>
      <c r="BC27" s="81">
        <f t="shared" si="3"/>
        <v>0</v>
      </c>
      <c r="BD27" s="81">
        <f t="shared" si="4"/>
        <v>0</v>
      </c>
      <c r="BE27" s="81">
        <f t="shared" si="5"/>
        <v>0</v>
      </c>
      <c r="BF27" s="81">
        <f t="shared" si="6"/>
        <v>0</v>
      </c>
      <c r="BG27" s="81">
        <f t="shared" si="7"/>
        <v>0</v>
      </c>
    </row>
    <row r="28" spans="1:59" ht="14.3" x14ac:dyDescent="0.25">
      <c r="A28" s="8">
        <f t="shared" si="0"/>
        <v>23</v>
      </c>
      <c r="B28" s="9"/>
      <c r="C28" s="11"/>
      <c r="D28" s="78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2" t="str">
        <f>_xlfn.XLOOKUP($B28,'GP1'!$C$6:$C$55,'GP1'!$B$6:$B$55,"")</f>
        <v/>
      </c>
      <c r="F28" s="204">
        <f>_xlfn.XLOOKUP(E28,'GP1'!$B$6:$B$55,'GP1'!$A$6:$A$55,0)</f>
        <v>0</v>
      </c>
      <c r="G28" s="12" t="str">
        <f>_xlfn.XLOOKUP($B28,'GP2'!$C$6:$C$15,'GP2'!$B$6:$B$15,"")</f>
        <v/>
      </c>
      <c r="H28" s="204">
        <f>_xlfn.XLOOKUP(G28,'GP2'!$B$6:$B$15,'GP2'!$A$6:$A$15,0)</f>
        <v>0</v>
      </c>
      <c r="I28" s="12" t="str">
        <f>_xlfn.XLOOKUP($B28,'GP3'!$C$6:$C$15,'GP3'!$B$6:$B$15,"")</f>
        <v/>
      </c>
      <c r="J28" s="204">
        <f>_xlfn.XLOOKUP(I28,'GP3'!$B$6:$B$15,'GP3'!$A$6:$A$15,0)</f>
        <v>0</v>
      </c>
      <c r="K28" s="12" t="str">
        <f>_xlfn.XLOOKUP($B28,'GP4'!$C$6:$C$15,'GP4'!$B$6:$B$15,"")</f>
        <v/>
      </c>
      <c r="L28" s="204">
        <f>_xlfn.XLOOKUP(K28,'GP4'!$B$6:$B$15,'GP4'!$A$6:$A$15,0)</f>
        <v>0</v>
      </c>
      <c r="M28" s="12" t="str">
        <f>_xlfn.XLOOKUP($B28,'GP5'!$C$6:$C$15,'GP5'!$B$6:$B$15,"")</f>
        <v/>
      </c>
      <c r="N28" s="206">
        <f>_xlfn.XLOOKUP(M28,'GP5'!$B$6:$B$15,'GP5'!$A$6:$A$15,0)</f>
        <v>0</v>
      </c>
      <c r="O28" s="12" t="str">
        <f>_xlfn.XLOOKUP($B28,'GP6'!$C$6:$C$15,'GP6'!$B$6:$B$15,"")</f>
        <v/>
      </c>
      <c r="P28" s="206">
        <f>_xlfn.XLOOKUP(O28,'GP6'!$B$6:$B$15,'GP6'!$A$6:$A$15,0)</f>
        <v>0</v>
      </c>
      <c r="Q28" s="12" t="str">
        <f>_xlfn.XLOOKUP($B28,'GP7'!$C$6:$C$15,'GP7'!$B$6:$B$15,"")</f>
        <v/>
      </c>
      <c r="R28" s="206">
        <f>_xlfn.XLOOKUP(Q28,'GP7'!$B$6:$B$15,'GP7'!$A$6:$A$15,0)</f>
        <v>0</v>
      </c>
      <c r="S28" s="12" t="str">
        <f>_xlfn.XLOOKUP($B28,'GP8'!$C$6:$C$15,'GP8'!$B$6:$B$15,"")</f>
        <v/>
      </c>
      <c r="T28" s="206">
        <f>_xlfn.XLOOKUP(S28,'GP8'!$B$6:$B$15,'GP8'!$A$6:$A$15,0)</f>
        <v>0</v>
      </c>
      <c r="U28" s="12" t="str">
        <f>_xlfn.XLOOKUP(B28,MPW!C$6:C$15,MPW!B$6:B$15,"")</f>
        <v/>
      </c>
      <c r="V28" s="206">
        <f>_xlfn.XLOOKUP(U28,MPW!B$6:B$15,MPW!A$6:A$15,0)</f>
        <v>0</v>
      </c>
      <c r="X28" s="10" t="str">
        <f>_xlfn.XLOOKUP($B28,'PEW1'!$C$6:$C$201,'PEW1'!$B$6:$B$201,"")</f>
        <v/>
      </c>
      <c r="Y28" s="79">
        <f>_xlfn.XLOOKUP(X28,'PEW1'!$B$6:$B$201,'PEW1'!$A$6:$A$201,0)</f>
        <v>0</v>
      </c>
      <c r="Z28" s="10" t="str">
        <f>_xlfn.XLOOKUP($B28,'PEW2'!$C$6:$C$201,'PEW2'!$B$6:$B$201,"")</f>
        <v/>
      </c>
      <c r="AA28" s="79">
        <f>_xlfn.XLOOKUP(Z28,'PEW2'!$B$6:$B$201,'PEW2'!$A$6:$A$201,0)</f>
        <v>0</v>
      </c>
      <c r="AB28" s="10" t="str">
        <f>_xlfn.XLOOKUP($B28,'PEW3'!$C$6:$C$201,'PEW3'!$B$6:$B$201,"")</f>
        <v/>
      </c>
      <c r="AC28" s="79">
        <f>_xlfn.XLOOKUP(AB28,'PEW3'!$B$6:$B$201,'PEW3'!$A$6:$A$201,0)</f>
        <v>0</v>
      </c>
      <c r="AD28" s="10" t="str">
        <f>_xlfn.XLOOKUP($B28,VFC!$C$6:$C$201,VFC!$B$6:$B$201,"")</f>
        <v/>
      </c>
      <c r="AE28" s="79">
        <f>_xlfn.XLOOKUP(AD28,VFC!$B$6:$B$201,VFC!$A$6:$A$201,0)</f>
        <v>0</v>
      </c>
      <c r="AF28" s="10" t="str">
        <f>_xlfn.XLOOKUP($B28,'PEW4'!$C$6:$C$201,'PEW4'!$B$6:$B$201,"")</f>
        <v/>
      </c>
      <c r="AG28" s="79">
        <f>_xlfn.XLOOKUP(AF28,'PEW4'!$B$6:$B$201,'PEW4'!$A$6:$A$201,0)</f>
        <v>0</v>
      </c>
      <c r="AH28" s="10" t="str">
        <f>_xlfn.XLOOKUP($B28,'PEW5'!$C$6:$C$201,'PEW5'!$B$6:$B$201,"")</f>
        <v/>
      </c>
      <c r="AI28" s="79">
        <f>_xlfn.XLOOKUP(AH28,'PEW5'!$B$6:$B$201,'PEW5'!$A$6:$A$201,0)</f>
        <v>0</v>
      </c>
      <c r="AJ28" s="10" t="str">
        <f>_xlfn.XLOOKUP($B28,'PEW6'!$C$6:$C$201,'PEW6'!$B$6:$B$201,"")</f>
        <v/>
      </c>
      <c r="AK28" s="79">
        <f>_xlfn.XLOOKUP(AJ28,'PEW6'!$B$6:$B$201,'PEW6'!$A$6:$A$201,0)</f>
        <v>0</v>
      </c>
      <c r="AL28" s="10" t="str">
        <f>_xlfn.XLOOKUP($B28,'PEW7'!$C$6:$C$201,'PEW7'!$B$6:$B$201,"")</f>
        <v/>
      </c>
      <c r="AM28" s="79">
        <f>_xlfn.XLOOKUP(AL28,'PEW7'!$B$6:$B$201,'PEW7'!$A$6:$A$201,0)</f>
        <v>0</v>
      </c>
      <c r="AN28" s="10" t="str">
        <f>_xlfn.XLOOKUP($B28,'PEW8'!$C$6:$C$201,'PEW8'!$B$6:$B$201,"")</f>
        <v/>
      </c>
      <c r="AO28" s="79">
        <f>_xlfn.XLOOKUP(AN28,'PEW8'!$B$6:$B$201,'PEW8'!$A$6:$A$201,0)</f>
        <v>0</v>
      </c>
      <c r="AP28" s="10" t="str">
        <f>_xlfn.XLOOKUP($B28,'PEW9'!$C$6:$C$201,'PEW9'!$B$6:$B$201,"")</f>
        <v/>
      </c>
      <c r="AQ28" s="79">
        <f>_xlfn.XLOOKUP(AP28,'PEW9'!$B$6:$B$201,'PEW9'!$A$6:$A$201,0)</f>
        <v>0</v>
      </c>
      <c r="AR28" s="10" t="str">
        <f>_xlfn.XLOOKUP($B28,'PEW10'!$C$6:$C$201,'PEW10'!$B$6:$B$201,"")</f>
        <v/>
      </c>
      <c r="AS28" s="79">
        <f>_xlfn.XLOOKUP(AR28,'PEW10'!$B$6:$B$201,'PEW10'!$A$6:$A$201,0)</f>
        <v>0</v>
      </c>
      <c r="AT28" s="10" t="str">
        <f>_xlfn.XLOOKUP($B28,'PEW11'!$C$6:$C$201,'PEW11'!$B$6:$B$201,"")</f>
        <v/>
      </c>
      <c r="AU28" s="79">
        <f>_xlfn.XLOOKUP(AT28,'PEW11'!$B$6:$B$201,'PEW11'!$A$6:$A$201,0)</f>
        <v>0</v>
      </c>
      <c r="AV28" s="10" t="str">
        <f>_xlfn.XLOOKUP($B28,'PEW12'!$C$6:$C$201,'PEW12'!$B$6:$B$201,"")</f>
        <v/>
      </c>
      <c r="AW28" s="79">
        <f>_xlfn.XLOOKUP(AV28,'PEW12'!$B$6:$B$201,'PEW12'!$A$6:$A$201,0)</f>
        <v>0</v>
      </c>
      <c r="AX28" s="10" t="str" cm="1">
        <f t="array" ref="AX28">_xlfn.XLOOKUP($B28,IMEW!C$6:C$201,IMEW!$B$6:B$201,"")</f>
        <v/>
      </c>
      <c r="AY28" s="80">
        <f>_xlfn.XLOOKUP(AX28,IMEW!$B$6:$B$201,IMEW!$A$6:$A$201,0)</f>
        <v>0</v>
      </c>
      <c r="BA28" s="81">
        <f t="shared" si="1"/>
        <v>0</v>
      </c>
      <c r="BB28" s="81">
        <f t="shared" si="2"/>
        <v>0</v>
      </c>
      <c r="BC28" s="81">
        <f t="shared" si="3"/>
        <v>0</v>
      </c>
      <c r="BD28" s="81">
        <f t="shared" si="4"/>
        <v>0</v>
      </c>
      <c r="BE28" s="81">
        <f t="shared" si="5"/>
        <v>0</v>
      </c>
      <c r="BF28" s="81">
        <f t="shared" si="6"/>
        <v>0</v>
      </c>
      <c r="BG28" s="81">
        <f t="shared" si="7"/>
        <v>0</v>
      </c>
    </row>
    <row r="29" spans="1:59" ht="14.3" x14ac:dyDescent="0.25">
      <c r="A29" s="8">
        <f t="shared" si="0"/>
        <v>24</v>
      </c>
      <c r="B29" s="9"/>
      <c r="C29" s="11"/>
      <c r="D29" s="78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2" t="str">
        <f>_xlfn.XLOOKUP($B29,'GP1'!$C$6:$C$55,'GP1'!$B$6:$B$55,"")</f>
        <v/>
      </c>
      <c r="F29" s="204">
        <f>_xlfn.XLOOKUP(E29,'GP1'!$B$6:$B$55,'GP1'!$A$6:$A$55,0)</f>
        <v>0</v>
      </c>
      <c r="G29" s="12" t="str">
        <f>_xlfn.XLOOKUP($B29,'GP2'!$C$6:$C$15,'GP2'!$B$6:$B$15,"")</f>
        <v/>
      </c>
      <c r="H29" s="204">
        <f>_xlfn.XLOOKUP(G29,'GP2'!$B$6:$B$15,'GP2'!$A$6:$A$15,0)</f>
        <v>0</v>
      </c>
      <c r="I29" s="12" t="str">
        <f>_xlfn.XLOOKUP($B29,'GP3'!$C$6:$C$15,'GP3'!$B$6:$B$15,"")</f>
        <v/>
      </c>
      <c r="J29" s="204">
        <f>_xlfn.XLOOKUP(I29,'GP3'!$B$6:$B$15,'GP3'!$A$6:$A$15,0)</f>
        <v>0</v>
      </c>
      <c r="K29" s="12" t="str">
        <f>_xlfn.XLOOKUP($B29,'GP4'!$C$6:$C$15,'GP4'!$B$6:$B$15,"")</f>
        <v/>
      </c>
      <c r="L29" s="204">
        <f>_xlfn.XLOOKUP(K29,'GP4'!$B$6:$B$15,'GP4'!$A$6:$A$15,0)</f>
        <v>0</v>
      </c>
      <c r="M29" s="12" t="str">
        <f>_xlfn.XLOOKUP($B29,'GP5'!$C$6:$C$15,'GP5'!$B$6:$B$15,"")</f>
        <v/>
      </c>
      <c r="N29" s="206">
        <f>_xlfn.XLOOKUP(M29,'GP5'!$B$6:$B$15,'GP5'!$A$6:$A$15,0)</f>
        <v>0</v>
      </c>
      <c r="O29" s="12" t="str">
        <f>_xlfn.XLOOKUP($B29,'GP6'!$C$6:$C$15,'GP6'!$B$6:$B$15,"")</f>
        <v/>
      </c>
      <c r="P29" s="206">
        <f>_xlfn.XLOOKUP(O29,'GP6'!$B$6:$B$15,'GP6'!$A$6:$A$15,0)</f>
        <v>0</v>
      </c>
      <c r="Q29" s="12" t="str">
        <f>_xlfn.XLOOKUP($B29,'GP7'!$C$6:$C$15,'GP7'!$B$6:$B$15,"")</f>
        <v/>
      </c>
      <c r="R29" s="206">
        <f>_xlfn.XLOOKUP(Q29,'GP7'!$B$6:$B$15,'GP7'!$A$6:$A$15,0)</f>
        <v>0</v>
      </c>
      <c r="S29" s="12" t="str">
        <f>_xlfn.XLOOKUP($B29,'GP8'!$C$6:$C$15,'GP8'!$B$6:$B$15,"")</f>
        <v/>
      </c>
      <c r="T29" s="206">
        <f>_xlfn.XLOOKUP(S29,'GP8'!$B$6:$B$15,'GP8'!$A$6:$A$15,0)</f>
        <v>0</v>
      </c>
      <c r="U29" s="12" t="str">
        <f>_xlfn.XLOOKUP(B29,MPW!C$6:C$15,MPW!B$6:B$15,"")</f>
        <v/>
      </c>
      <c r="V29" s="206">
        <f>_xlfn.XLOOKUP(U29,MPW!B$6:B$15,MPW!A$6:A$15,0)</f>
        <v>0</v>
      </c>
      <c r="X29" s="10" t="str">
        <f>_xlfn.XLOOKUP($B29,'PEW1'!$C$6:$C$201,'PEW1'!$B$6:$B$201,"")</f>
        <v/>
      </c>
      <c r="Y29" s="79">
        <f>_xlfn.XLOOKUP(X29,'PEW1'!$B$6:$B$201,'PEW1'!$A$6:$A$201,0)</f>
        <v>0</v>
      </c>
      <c r="Z29" s="10" t="str">
        <f>_xlfn.XLOOKUP($B29,'PEW2'!$C$6:$C$201,'PEW2'!$B$6:$B$201,"")</f>
        <v/>
      </c>
      <c r="AA29" s="79">
        <f>_xlfn.XLOOKUP(Z29,'PEW2'!$B$6:$B$201,'PEW2'!$A$6:$A$201,0)</f>
        <v>0</v>
      </c>
      <c r="AB29" s="10" t="str">
        <f>_xlfn.XLOOKUP($B29,'PEW3'!$C$6:$C$201,'PEW3'!$B$6:$B$201,"")</f>
        <v/>
      </c>
      <c r="AC29" s="79">
        <f>_xlfn.XLOOKUP(AB29,'PEW3'!$B$6:$B$201,'PEW3'!$A$6:$A$201,0)</f>
        <v>0</v>
      </c>
      <c r="AD29" s="10" t="str">
        <f>_xlfn.XLOOKUP($B29,VFC!$C$6:$C$201,VFC!$B$6:$B$201,"")</f>
        <v/>
      </c>
      <c r="AE29" s="79">
        <f>_xlfn.XLOOKUP(AD29,VFC!$B$6:$B$201,VFC!$A$6:$A$201,0)</f>
        <v>0</v>
      </c>
      <c r="AF29" s="10" t="str">
        <f>_xlfn.XLOOKUP($B29,'PEW4'!$C$6:$C$201,'PEW4'!$B$6:$B$201,"")</f>
        <v/>
      </c>
      <c r="AG29" s="79">
        <f>_xlfn.XLOOKUP(AF29,'PEW4'!$B$6:$B$201,'PEW4'!$A$6:$A$201,0)</f>
        <v>0</v>
      </c>
      <c r="AH29" s="10" t="str">
        <f>_xlfn.XLOOKUP($B29,'PEW5'!$C$6:$C$201,'PEW5'!$B$6:$B$201,"")</f>
        <v/>
      </c>
      <c r="AI29" s="79">
        <f>_xlfn.XLOOKUP(AH29,'PEW5'!$B$6:$B$201,'PEW5'!$A$6:$A$201,0)</f>
        <v>0</v>
      </c>
      <c r="AJ29" s="10" t="str">
        <f>_xlfn.XLOOKUP($B29,'PEW6'!$C$6:$C$201,'PEW6'!$B$6:$B$201,"")</f>
        <v/>
      </c>
      <c r="AK29" s="79">
        <f>_xlfn.XLOOKUP(AJ29,'PEW6'!$B$6:$B$201,'PEW6'!$A$6:$A$201,0)</f>
        <v>0</v>
      </c>
      <c r="AL29" s="10" t="str">
        <f>_xlfn.XLOOKUP($B29,'PEW7'!$C$6:$C$201,'PEW7'!$B$6:$B$201,"")</f>
        <v/>
      </c>
      <c r="AM29" s="79">
        <f>_xlfn.XLOOKUP(AL29,'PEW7'!$B$6:$B$201,'PEW7'!$A$6:$A$201,0)</f>
        <v>0</v>
      </c>
      <c r="AN29" s="10" t="str">
        <f>_xlfn.XLOOKUP($B29,'PEW8'!$C$6:$C$201,'PEW8'!$B$6:$B$201,"")</f>
        <v/>
      </c>
      <c r="AO29" s="79">
        <f>_xlfn.XLOOKUP(AN29,'PEW8'!$B$6:$B$201,'PEW8'!$A$6:$A$201,0)</f>
        <v>0</v>
      </c>
      <c r="AP29" s="10" t="str">
        <f>_xlfn.XLOOKUP($B29,'PEW9'!$C$6:$C$201,'PEW9'!$B$6:$B$201,"")</f>
        <v/>
      </c>
      <c r="AQ29" s="79">
        <f>_xlfn.XLOOKUP(AP29,'PEW9'!$B$6:$B$201,'PEW9'!$A$6:$A$201,0)</f>
        <v>0</v>
      </c>
      <c r="AR29" s="10" t="str">
        <f>_xlfn.XLOOKUP($B29,'PEW10'!$C$6:$C$201,'PEW10'!$B$6:$B$201,"")</f>
        <v/>
      </c>
      <c r="AS29" s="79">
        <f>_xlfn.XLOOKUP(AR29,'PEW10'!$B$6:$B$201,'PEW10'!$A$6:$A$201,0)</f>
        <v>0</v>
      </c>
      <c r="AT29" s="10" t="str">
        <f>_xlfn.XLOOKUP($B29,'PEW11'!$C$6:$C$201,'PEW11'!$B$6:$B$201,"")</f>
        <v/>
      </c>
      <c r="AU29" s="79">
        <f>_xlfn.XLOOKUP(AT29,'PEW11'!$B$6:$B$201,'PEW11'!$A$6:$A$201,0)</f>
        <v>0</v>
      </c>
      <c r="AV29" s="10" t="str">
        <f>_xlfn.XLOOKUP($B29,'PEW12'!$C$6:$C$201,'PEW12'!$B$6:$B$201,"")</f>
        <v/>
      </c>
      <c r="AW29" s="79">
        <f>_xlfn.XLOOKUP(AV29,'PEW12'!$B$6:$B$201,'PEW12'!$A$6:$A$201,0)</f>
        <v>0</v>
      </c>
      <c r="AX29" s="10" t="str" cm="1">
        <f t="array" ref="AX29">_xlfn.XLOOKUP($B29,IMEW!C$6:C$201,IMEW!$B$6:B$201,"")</f>
        <v/>
      </c>
      <c r="AY29" s="80">
        <f>_xlfn.XLOOKUP(AX29,IMEW!$B$6:$B$201,IMEW!$A$6:$A$201,0)</f>
        <v>0</v>
      </c>
      <c r="BA29" s="81">
        <f t="shared" si="1"/>
        <v>0</v>
      </c>
      <c r="BB29" s="81">
        <f t="shared" si="2"/>
        <v>0</v>
      </c>
      <c r="BC29" s="81">
        <f t="shared" si="3"/>
        <v>0</v>
      </c>
      <c r="BD29" s="81">
        <f t="shared" si="4"/>
        <v>0</v>
      </c>
      <c r="BE29" s="81">
        <f t="shared" si="5"/>
        <v>0</v>
      </c>
      <c r="BF29" s="81">
        <f t="shared" si="6"/>
        <v>0</v>
      </c>
      <c r="BG29" s="81">
        <f t="shared" si="7"/>
        <v>0</v>
      </c>
    </row>
    <row r="30" spans="1:59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59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5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169" spans="3:3" x14ac:dyDescent="0.2">
      <c r="C169" t="s">
        <v>42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O4:P4"/>
    <mergeCell ref="Q4:R4"/>
    <mergeCell ref="S4:T4"/>
    <mergeCell ref="U4:V4"/>
    <mergeCell ref="AN4:AO4"/>
    <mergeCell ref="AT4:AU4"/>
    <mergeCell ref="AV4:AW4"/>
    <mergeCell ref="X4:Y4"/>
    <mergeCell ref="Z4:AA4"/>
    <mergeCell ref="AP4:AQ4"/>
    <mergeCell ref="AR4:AS4"/>
    <mergeCell ref="AB4:AC4"/>
    <mergeCell ref="AF4:AG4"/>
    <mergeCell ref="X1:BA3"/>
    <mergeCell ref="AD4:AE4"/>
    <mergeCell ref="A4:A5"/>
    <mergeCell ref="B4:B5"/>
    <mergeCell ref="C4:C5"/>
    <mergeCell ref="D4:D5"/>
    <mergeCell ref="E4:F4"/>
    <mergeCell ref="D1:V2"/>
    <mergeCell ref="G4:H4"/>
    <mergeCell ref="I4:J4"/>
    <mergeCell ref="K4:L4"/>
    <mergeCell ref="AH4:AI4"/>
    <mergeCell ref="AJ4:AK4"/>
    <mergeCell ref="AL4:AM4"/>
    <mergeCell ref="AX4:AY4"/>
    <mergeCell ref="M4:N4"/>
  </mergeCells>
  <conditionalFormatting sqref="A6:A29">
    <cfRule type="cellIs" dxfId="23" priority="14" operator="equal">
      <formula>3</formula>
    </cfRule>
    <cfRule type="cellIs" dxfId="22" priority="15" operator="equal">
      <formula>2</formula>
    </cfRule>
    <cfRule type="cellIs" dxfId="21" priority="16" operator="equal">
      <formula>1</formula>
    </cfRule>
  </conditionalFormatting>
  <conditionalFormatting sqref="D6:V29 X6:AY29">
    <cfRule type="cellIs" dxfId="20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741-C414-444D-B9BC-F92DC1526D42}">
  <sheetPr>
    <tabColor rgb="FF92D050"/>
  </sheetPr>
  <dimension ref="A1:AL374"/>
  <sheetViews>
    <sheetView workbookViewId="0">
      <selection activeCell="J20" sqref="J20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170" t="s">
        <v>86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173">
        <f>3*H2^(1/3)</f>
        <v>0</v>
      </c>
      <c r="L2" s="168"/>
      <c r="M2" s="168"/>
    </row>
    <row r="3" spans="1:36" x14ac:dyDescent="0.25">
      <c r="A3" s="164"/>
      <c r="B3" s="174" t="s">
        <v>28</v>
      </c>
      <c r="C3" s="70">
        <v>44934</v>
      </c>
      <c r="D3" s="70"/>
      <c r="E3" s="26"/>
      <c r="F3" s="26"/>
      <c r="G3" s="26"/>
      <c r="H3" s="168"/>
      <c r="I3" s="168"/>
      <c r="J3" s="175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75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8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 t="s">
        <v>42</v>
      </c>
      <c r="D6" s="35"/>
      <c r="E6" s="35"/>
      <c r="F6" s="35" t="s">
        <v>41</v>
      </c>
      <c r="G6" s="28"/>
      <c r="H6" s="179">
        <v>1</v>
      </c>
      <c r="I6" s="180" t="str">
        <f t="shared" ref="I6:I69" si="0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1">J6*$J$2</f>
        <v>#NUM!</v>
      </c>
      <c r="L6" s="181">
        <f>3*K2</f>
        <v>0</v>
      </c>
      <c r="M6" s="181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 t="s">
        <v>42</v>
      </c>
      <c r="D7" s="41"/>
      <c r="E7" s="41"/>
      <c r="F7" s="41" t="s">
        <v>41</v>
      </c>
      <c r="G7" s="28"/>
      <c r="H7" s="182">
        <v>2</v>
      </c>
      <c r="I7" s="183" t="str">
        <f t="shared" si="0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1"/>
        <v>#NUM!</v>
      </c>
      <c r="L7" s="184">
        <f>2*K2</f>
        <v>0</v>
      </c>
      <c r="M7" s="184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 t="s">
        <v>42</v>
      </c>
      <c r="D8" s="35"/>
      <c r="E8" s="35"/>
      <c r="F8" s="35" t="s">
        <v>41</v>
      </c>
      <c r="G8" s="28"/>
      <c r="H8" s="179">
        <v>3</v>
      </c>
      <c r="I8" s="180" t="str">
        <f t="shared" si="0"/>
        <v/>
      </c>
      <c r="J8" s="179" t="e">
        <f t="shared" si="5"/>
        <v>#NUM!</v>
      </c>
      <c r="K8" s="179" t="e">
        <f t="shared" si="1"/>
        <v>#NUM!</v>
      </c>
      <c r="L8" s="181">
        <f>K2</f>
        <v>0</v>
      </c>
      <c r="M8" s="181">
        <f t="shared" si="2"/>
        <v>0</v>
      </c>
    </row>
    <row r="9" spans="1:36" s="169" customFormat="1" ht="14.45" customHeight="1" x14ac:dyDescent="0.25">
      <c r="A9" s="100">
        <f t="shared" si="3"/>
        <v>0</v>
      </c>
      <c r="B9" s="40" t="str">
        <f>IF(H9&gt;$H$2,"",3)</f>
        <v/>
      </c>
      <c r="C9" s="41" t="s">
        <v>42</v>
      </c>
      <c r="D9" s="41"/>
      <c r="E9" s="41"/>
      <c r="F9" s="41"/>
      <c r="G9" s="28"/>
      <c r="H9" s="182">
        <v>3</v>
      </c>
      <c r="I9" s="183" t="str">
        <f t="shared" si="0"/>
        <v/>
      </c>
      <c r="J9" s="182" t="e">
        <f t="shared" si="5"/>
        <v>#NUM!</v>
      </c>
      <c r="K9" s="182" t="e">
        <f t="shared" si="1"/>
        <v>#NUM!</v>
      </c>
      <c r="L9" s="184">
        <f>K2</f>
        <v>0</v>
      </c>
      <c r="M9" s="184">
        <f t="shared" si="2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 t="s">
        <v>42</v>
      </c>
      <c r="D10" s="35"/>
      <c r="E10" s="35"/>
      <c r="F10" s="35"/>
      <c r="G10" s="28"/>
      <c r="H10" s="179">
        <v>5</v>
      </c>
      <c r="I10" s="180" t="str">
        <f t="shared" si="0"/>
        <v/>
      </c>
      <c r="J10" s="179" t="e">
        <f t="shared" si="5"/>
        <v>#NUM!</v>
      </c>
      <c r="K10" s="179" t="e">
        <f t="shared" si="1"/>
        <v>#NUM!</v>
      </c>
      <c r="L10" s="179"/>
      <c r="M10" s="181">
        <f t="shared" si="2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 t="s">
        <v>42</v>
      </c>
      <c r="D11" s="41"/>
      <c r="E11" s="41"/>
      <c r="F11" s="41"/>
      <c r="G11" s="28"/>
      <c r="H11" s="182">
        <v>6</v>
      </c>
      <c r="I11" s="183" t="str">
        <f t="shared" si="0"/>
        <v/>
      </c>
      <c r="J11" s="182" t="e">
        <f t="shared" si="5"/>
        <v>#NUM!</v>
      </c>
      <c r="K11" s="182" t="e">
        <f t="shared" si="1"/>
        <v>#NUM!</v>
      </c>
      <c r="L11" s="182"/>
      <c r="M11" s="184">
        <f t="shared" si="2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 t="s">
        <v>42</v>
      </c>
      <c r="D12" s="35"/>
      <c r="E12" s="35"/>
      <c r="F12" s="35"/>
      <c r="G12" s="28"/>
      <c r="H12" s="179">
        <v>7</v>
      </c>
      <c r="I12" s="180" t="str">
        <f t="shared" si="0"/>
        <v/>
      </c>
      <c r="J12" s="179" t="e">
        <f t="shared" si="5"/>
        <v>#NUM!</v>
      </c>
      <c r="K12" s="179" t="e">
        <f t="shared" si="1"/>
        <v>#NUM!</v>
      </c>
      <c r="L12" s="179"/>
      <c r="M12" s="181">
        <f t="shared" si="2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 t="s">
        <v>42</v>
      </c>
      <c r="D13" s="41"/>
      <c r="E13" s="41"/>
      <c r="F13" s="41"/>
      <c r="G13" s="28"/>
      <c r="H13" s="182">
        <v>8</v>
      </c>
      <c r="I13" s="183" t="str">
        <f t="shared" si="0"/>
        <v/>
      </c>
      <c r="J13" s="182" t="e">
        <f t="shared" si="5"/>
        <v>#NUM!</v>
      </c>
      <c r="K13" s="182" t="e">
        <f t="shared" si="1"/>
        <v>#NUM!</v>
      </c>
      <c r="L13" s="182"/>
      <c r="M13" s="184">
        <f t="shared" si="2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 t="s">
        <v>42</v>
      </c>
      <c r="D14" s="35"/>
      <c r="E14" s="35"/>
      <c r="F14" s="35"/>
      <c r="G14" s="28"/>
      <c r="H14" s="179">
        <v>9</v>
      </c>
      <c r="I14" s="180" t="str">
        <f t="shared" si="0"/>
        <v/>
      </c>
      <c r="J14" s="179" t="e">
        <f t="shared" si="5"/>
        <v>#NUM!</v>
      </c>
      <c r="K14" s="179" t="e">
        <f t="shared" si="1"/>
        <v>#NUM!</v>
      </c>
      <c r="L14" s="179"/>
      <c r="M14" s="181">
        <f t="shared" si="2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 t="s">
        <v>42</v>
      </c>
      <c r="D15" s="41"/>
      <c r="E15" s="41"/>
      <c r="F15" s="41"/>
      <c r="G15" s="28"/>
      <c r="H15" s="182">
        <v>10</v>
      </c>
      <c r="I15" s="183" t="str">
        <f t="shared" si="0"/>
        <v/>
      </c>
      <c r="J15" s="182" t="e">
        <f t="shared" si="5"/>
        <v>#NUM!</v>
      </c>
      <c r="K15" s="182" t="e">
        <f t="shared" si="1"/>
        <v>#NUM!</v>
      </c>
      <c r="L15" s="182"/>
      <c r="M15" s="184">
        <f t="shared" si="2"/>
        <v>0</v>
      </c>
      <c r="X15" s="185"/>
      <c r="Z15" s="186"/>
      <c r="AA15" s="186"/>
    </row>
    <row r="16" spans="1:36" x14ac:dyDescent="0.25">
      <c r="A16" s="96">
        <f t="shared" si="3"/>
        <v>0</v>
      </c>
      <c r="B16" s="34" t="str">
        <f t="shared" si="4"/>
        <v/>
      </c>
      <c r="C16" s="35" t="s">
        <v>42</v>
      </c>
      <c r="D16" s="35"/>
      <c r="E16" s="35"/>
      <c r="F16" s="35"/>
      <c r="G16" s="28"/>
      <c r="H16" s="179">
        <v>11</v>
      </c>
      <c r="I16" s="180" t="str">
        <f t="shared" si="0"/>
        <v/>
      </c>
      <c r="J16" s="179" t="e">
        <f t="shared" si="5"/>
        <v>#NUM!</v>
      </c>
      <c r="K16" s="179" t="e">
        <f t="shared" si="1"/>
        <v>#NUM!</v>
      </c>
      <c r="L16" s="179"/>
      <c r="M16" s="181">
        <f t="shared" si="2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3"/>
        <v>0</v>
      </c>
      <c r="B17" s="40" t="str">
        <f t="shared" si="4"/>
        <v/>
      </c>
      <c r="C17" s="41" t="s">
        <v>42</v>
      </c>
      <c r="D17" s="41"/>
      <c r="E17" s="41"/>
      <c r="F17" s="41"/>
      <c r="G17" s="28"/>
      <c r="H17" s="182">
        <v>12</v>
      </c>
      <c r="I17" s="183" t="str">
        <f t="shared" si="0"/>
        <v/>
      </c>
      <c r="J17" s="182" t="e">
        <f t="shared" si="5"/>
        <v>#NUM!</v>
      </c>
      <c r="K17" s="182" t="e">
        <f t="shared" si="1"/>
        <v>#NUM!</v>
      </c>
      <c r="L17" s="182"/>
      <c r="M17" s="184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9">
        <v>13</v>
      </c>
      <c r="I18" s="180" t="str">
        <f t="shared" si="0"/>
        <v/>
      </c>
      <c r="J18" s="179" t="e">
        <f t="shared" si="5"/>
        <v>#NUM!</v>
      </c>
      <c r="K18" s="179" t="e">
        <f t="shared" si="1"/>
        <v>#NUM!</v>
      </c>
      <c r="L18" s="179"/>
      <c r="M18" s="181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82">
        <v>14</v>
      </c>
      <c r="I19" s="183" t="str">
        <f t="shared" si="0"/>
        <v/>
      </c>
      <c r="J19" s="182" t="e">
        <f t="shared" si="5"/>
        <v>#NUM!</v>
      </c>
      <c r="K19" s="182" t="e">
        <f t="shared" si="1"/>
        <v>#NUM!</v>
      </c>
      <c r="L19" s="182"/>
      <c r="M19" s="184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9">
        <v>15</v>
      </c>
      <c r="I20" s="180" t="str">
        <f t="shared" si="0"/>
        <v/>
      </c>
      <c r="J20" s="179" t="e">
        <f t="shared" si="5"/>
        <v>#NUM!</v>
      </c>
      <c r="K20" s="179" t="e">
        <f t="shared" si="1"/>
        <v>#NUM!</v>
      </c>
      <c r="L20" s="179"/>
      <c r="M20" s="181">
        <f t="shared" si="2"/>
        <v>0</v>
      </c>
      <c r="R20" s="192"/>
      <c r="S20" s="193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82">
        <v>16</v>
      </c>
      <c r="I21" s="183" t="str">
        <f t="shared" si="0"/>
        <v/>
      </c>
      <c r="J21" s="182" t="e">
        <f t="shared" si="5"/>
        <v>#NUM!</v>
      </c>
      <c r="K21" s="182" t="e">
        <f t="shared" si="1"/>
        <v>#NUM!</v>
      </c>
      <c r="L21" s="182"/>
      <c r="M21" s="184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9">
        <v>17</v>
      </c>
      <c r="I22" s="180" t="str">
        <f t="shared" si="0"/>
        <v/>
      </c>
      <c r="J22" s="179" t="e">
        <f t="shared" si="5"/>
        <v>#NUM!</v>
      </c>
      <c r="K22" s="179" t="e">
        <f t="shared" si="1"/>
        <v>#NUM!</v>
      </c>
      <c r="L22" s="179"/>
      <c r="M22" s="181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82">
        <v>18</v>
      </c>
      <c r="I23" s="183" t="str">
        <f t="shared" si="0"/>
        <v/>
      </c>
      <c r="J23" s="182" t="e">
        <f t="shared" si="5"/>
        <v>#NUM!</v>
      </c>
      <c r="K23" s="182" t="e">
        <f t="shared" si="1"/>
        <v>#NUM!</v>
      </c>
      <c r="L23" s="182"/>
      <c r="M23" s="184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9">
        <v>19</v>
      </c>
      <c r="I24" s="180" t="str">
        <f t="shared" si="0"/>
        <v/>
      </c>
      <c r="J24" s="179" t="e">
        <f t="shared" si="5"/>
        <v>#NUM!</v>
      </c>
      <c r="K24" s="179" t="e">
        <f t="shared" si="1"/>
        <v>#NUM!</v>
      </c>
      <c r="L24" s="179"/>
      <c r="M24" s="181">
        <f t="shared" si="2"/>
        <v>0</v>
      </c>
      <c r="R24" s="192"/>
      <c r="S24" s="193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82">
        <v>20</v>
      </c>
      <c r="I25" s="183" t="str">
        <f t="shared" si="0"/>
        <v/>
      </c>
      <c r="J25" s="182" t="e">
        <f t="shared" si="5"/>
        <v>#NUM!</v>
      </c>
      <c r="K25" s="182" t="e">
        <f t="shared" si="1"/>
        <v>#NUM!</v>
      </c>
      <c r="L25" s="182"/>
      <c r="M25" s="184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9">
        <v>21</v>
      </c>
      <c r="I26" s="180" t="str">
        <f t="shared" si="0"/>
        <v/>
      </c>
      <c r="J26" s="179" t="e">
        <f t="shared" si="5"/>
        <v>#NUM!</v>
      </c>
      <c r="K26" s="179" t="e">
        <f t="shared" si="1"/>
        <v>#NUM!</v>
      </c>
      <c r="L26" s="179"/>
      <c r="M26" s="181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82">
        <v>22</v>
      </c>
      <c r="I27" s="183" t="str">
        <f t="shared" si="0"/>
        <v/>
      </c>
      <c r="J27" s="182" t="e">
        <f t="shared" si="5"/>
        <v>#NUM!</v>
      </c>
      <c r="K27" s="182" t="e">
        <f t="shared" si="1"/>
        <v>#NUM!</v>
      </c>
      <c r="L27" s="182"/>
      <c r="M27" s="184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9">
        <v>23</v>
      </c>
      <c r="I28" s="180" t="str">
        <f t="shared" si="0"/>
        <v/>
      </c>
      <c r="J28" s="179" t="e">
        <f t="shared" si="5"/>
        <v>#NUM!</v>
      </c>
      <c r="K28" s="179" t="e">
        <f t="shared" si="1"/>
        <v>#NUM!</v>
      </c>
      <c r="L28" s="179"/>
      <c r="M28" s="181">
        <f t="shared" si="2"/>
        <v>0</v>
      </c>
      <c r="R28" s="192"/>
      <c r="S28" s="193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164"/>
      <c r="H29" s="182">
        <v>24</v>
      </c>
      <c r="I29" s="183" t="str">
        <f t="shared" si="0"/>
        <v/>
      </c>
      <c r="J29" s="182" t="e">
        <f t="shared" si="5"/>
        <v>#NUM!</v>
      </c>
      <c r="K29" s="182" t="e">
        <f t="shared" si="1"/>
        <v>#NUM!</v>
      </c>
      <c r="L29" s="182"/>
      <c r="M29" s="184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164"/>
      <c r="H30" s="179">
        <v>25</v>
      </c>
      <c r="I30" s="180" t="str">
        <f t="shared" si="0"/>
        <v/>
      </c>
      <c r="J30" s="179" t="e">
        <f t="shared" si="5"/>
        <v>#NUM!</v>
      </c>
      <c r="K30" s="179" t="e">
        <f t="shared" si="1"/>
        <v>#NUM!</v>
      </c>
      <c r="L30" s="179"/>
      <c r="M30" s="181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164"/>
      <c r="H31" s="182">
        <v>26</v>
      </c>
      <c r="I31" s="183" t="str">
        <f t="shared" si="0"/>
        <v/>
      </c>
      <c r="J31" s="182" t="e">
        <f t="shared" si="5"/>
        <v>#NUM!</v>
      </c>
      <c r="K31" s="182" t="e">
        <f t="shared" si="1"/>
        <v>#NUM!</v>
      </c>
      <c r="L31" s="182"/>
      <c r="M31" s="184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164"/>
      <c r="H32" s="179">
        <v>27</v>
      </c>
      <c r="I32" s="180" t="str">
        <f t="shared" si="0"/>
        <v/>
      </c>
      <c r="J32" s="179" t="e">
        <f t="shared" si="5"/>
        <v>#NUM!</v>
      </c>
      <c r="K32" s="179" t="e">
        <f t="shared" si="1"/>
        <v>#NUM!</v>
      </c>
      <c r="L32" s="179"/>
      <c r="M32" s="181">
        <f t="shared" si="2"/>
        <v>0</v>
      </c>
      <c r="R32" s="192"/>
      <c r="S32" s="193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164"/>
      <c r="H33" s="182">
        <v>28</v>
      </c>
      <c r="I33" s="183" t="str">
        <f t="shared" si="0"/>
        <v/>
      </c>
      <c r="J33" s="182" t="e">
        <f t="shared" si="5"/>
        <v>#NUM!</v>
      </c>
      <c r="K33" s="182" t="e">
        <f t="shared" si="1"/>
        <v>#NUM!</v>
      </c>
      <c r="L33" s="182"/>
      <c r="M33" s="184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164"/>
      <c r="H34" s="179">
        <v>29</v>
      </c>
      <c r="I34" s="180" t="str">
        <f t="shared" si="0"/>
        <v/>
      </c>
      <c r="J34" s="179" t="e">
        <f t="shared" si="5"/>
        <v>#NUM!</v>
      </c>
      <c r="K34" s="179" t="e">
        <f t="shared" si="1"/>
        <v>#NUM!</v>
      </c>
      <c r="L34" s="179"/>
      <c r="M34" s="181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164"/>
      <c r="H35" s="182">
        <v>30</v>
      </c>
      <c r="I35" s="183" t="str">
        <f t="shared" si="0"/>
        <v/>
      </c>
      <c r="J35" s="182" t="e">
        <f t="shared" si="5"/>
        <v>#NUM!</v>
      </c>
      <c r="K35" s="182" t="e">
        <f t="shared" si="1"/>
        <v>#NUM!</v>
      </c>
      <c r="L35" s="182"/>
      <c r="M35" s="184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164"/>
      <c r="H36" s="179">
        <v>31</v>
      </c>
      <c r="I36" s="180" t="str">
        <f t="shared" si="0"/>
        <v/>
      </c>
      <c r="J36" s="179" t="e">
        <f t="shared" si="5"/>
        <v>#NUM!</v>
      </c>
      <c r="K36" s="179" t="e">
        <f t="shared" si="1"/>
        <v>#NUM!</v>
      </c>
      <c r="L36" s="179"/>
      <c r="M36" s="181">
        <f t="shared" si="2"/>
        <v>0</v>
      </c>
      <c r="R36" s="192"/>
      <c r="S36" s="193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164"/>
      <c r="H37" s="182">
        <v>32</v>
      </c>
      <c r="I37" s="183" t="str">
        <f t="shared" si="0"/>
        <v/>
      </c>
      <c r="J37" s="182" t="e">
        <f t="shared" si="5"/>
        <v>#NUM!</v>
      </c>
      <c r="K37" s="182" t="e">
        <f t="shared" si="1"/>
        <v>#NUM!</v>
      </c>
      <c r="L37" s="182"/>
      <c r="M37" s="184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164"/>
      <c r="H38" s="179">
        <v>33</v>
      </c>
      <c r="I38" s="180" t="str">
        <f t="shared" si="0"/>
        <v/>
      </c>
      <c r="J38" s="179" t="e">
        <f t="shared" si="5"/>
        <v>#NUM!</v>
      </c>
      <c r="K38" s="179" t="e">
        <f t="shared" si="1"/>
        <v>#NUM!</v>
      </c>
      <c r="L38" s="179"/>
      <c r="M38" s="181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164"/>
      <c r="H39" s="182">
        <v>34</v>
      </c>
      <c r="I39" s="183" t="str">
        <f t="shared" si="0"/>
        <v/>
      </c>
      <c r="J39" s="182" t="e">
        <f t="shared" si="5"/>
        <v>#NUM!</v>
      </c>
      <c r="K39" s="182" t="e">
        <f t="shared" si="1"/>
        <v>#NUM!</v>
      </c>
      <c r="L39" s="182"/>
      <c r="M39" s="184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164"/>
      <c r="H40" s="179">
        <v>35</v>
      </c>
      <c r="I40" s="180" t="str">
        <f t="shared" si="0"/>
        <v/>
      </c>
      <c r="J40" s="179" t="e">
        <f t="shared" si="5"/>
        <v>#NUM!</v>
      </c>
      <c r="K40" s="179" t="e">
        <f t="shared" si="1"/>
        <v>#NUM!</v>
      </c>
      <c r="L40" s="179"/>
      <c r="M40" s="181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164"/>
      <c r="H41" s="182">
        <v>36</v>
      </c>
      <c r="I41" s="183" t="str">
        <f t="shared" si="0"/>
        <v/>
      </c>
      <c r="J41" s="182" t="e">
        <f t="shared" si="5"/>
        <v>#NUM!</v>
      </c>
      <c r="K41" s="182" t="e">
        <f t="shared" si="1"/>
        <v>#NUM!</v>
      </c>
      <c r="L41" s="182"/>
      <c r="M41" s="184">
        <f t="shared" si="2"/>
        <v>0</v>
      </c>
      <c r="S41" s="194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164"/>
      <c r="H42" s="179">
        <v>37</v>
      </c>
      <c r="I42" s="180" t="str">
        <f t="shared" si="0"/>
        <v/>
      </c>
      <c r="J42" s="179" t="e">
        <f t="shared" si="5"/>
        <v>#NUM!</v>
      </c>
      <c r="K42" s="179" t="e">
        <f t="shared" si="1"/>
        <v>#NUM!</v>
      </c>
      <c r="L42" s="179"/>
      <c r="M42" s="181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164"/>
      <c r="H43" s="182">
        <v>38</v>
      </c>
      <c r="I43" s="183" t="str">
        <f t="shared" si="0"/>
        <v/>
      </c>
      <c r="J43" s="182" t="e">
        <f t="shared" si="5"/>
        <v>#NUM!</v>
      </c>
      <c r="K43" s="182" t="e">
        <f t="shared" si="1"/>
        <v>#NUM!</v>
      </c>
      <c r="L43" s="182"/>
      <c r="M43" s="184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164"/>
      <c r="H44" s="179">
        <v>39</v>
      </c>
      <c r="I44" s="180" t="str">
        <f t="shared" si="0"/>
        <v/>
      </c>
      <c r="J44" s="179" t="e">
        <f t="shared" si="5"/>
        <v>#NUM!</v>
      </c>
      <c r="K44" s="179" t="e">
        <f t="shared" si="1"/>
        <v>#NUM!</v>
      </c>
      <c r="L44" s="179"/>
      <c r="M44" s="181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164"/>
      <c r="H45" s="182">
        <v>40</v>
      </c>
      <c r="I45" s="183" t="str">
        <f t="shared" si="0"/>
        <v/>
      </c>
      <c r="J45" s="182" t="e">
        <f t="shared" si="5"/>
        <v>#NUM!</v>
      </c>
      <c r="K45" s="182" t="e">
        <f t="shared" si="1"/>
        <v>#NUM!</v>
      </c>
      <c r="L45" s="182"/>
      <c r="M45" s="184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164"/>
      <c r="H46" s="179">
        <v>41</v>
      </c>
      <c r="I46" s="180" t="str">
        <f t="shared" si="0"/>
        <v/>
      </c>
      <c r="J46" s="179" t="e">
        <f t="shared" si="5"/>
        <v>#NUM!</v>
      </c>
      <c r="K46" s="179" t="e">
        <f t="shared" si="1"/>
        <v>#NUM!</v>
      </c>
      <c r="L46" s="179"/>
      <c r="M46" s="181">
        <f t="shared" si="2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164"/>
      <c r="H47" s="182">
        <v>42</v>
      </c>
      <c r="I47" s="183" t="str">
        <f t="shared" si="0"/>
        <v/>
      </c>
      <c r="J47" s="182" t="e">
        <f t="shared" si="5"/>
        <v>#NUM!</v>
      </c>
      <c r="K47" s="182" t="e">
        <f t="shared" si="1"/>
        <v>#NUM!</v>
      </c>
      <c r="L47" s="182"/>
      <c r="M47" s="184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164"/>
      <c r="H48" s="179">
        <v>43</v>
      </c>
      <c r="I48" s="180" t="str">
        <f t="shared" si="0"/>
        <v/>
      </c>
      <c r="J48" s="179" t="e">
        <f t="shared" si="5"/>
        <v>#NUM!</v>
      </c>
      <c r="K48" s="179" t="e">
        <f t="shared" si="1"/>
        <v>#NUM!</v>
      </c>
      <c r="L48" s="179"/>
      <c r="M48" s="181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164"/>
      <c r="H49" s="182">
        <v>44</v>
      </c>
      <c r="I49" s="183" t="str">
        <f t="shared" si="0"/>
        <v/>
      </c>
      <c r="J49" s="182" t="e">
        <f t="shared" si="5"/>
        <v>#NUM!</v>
      </c>
      <c r="K49" s="182" t="e">
        <f t="shared" si="1"/>
        <v>#NUM!</v>
      </c>
      <c r="L49" s="182"/>
      <c r="M49" s="184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164"/>
      <c r="H50" s="179">
        <v>45</v>
      </c>
      <c r="I50" s="180" t="str">
        <f t="shared" si="0"/>
        <v/>
      </c>
      <c r="J50" s="179" t="e">
        <f t="shared" si="5"/>
        <v>#NUM!</v>
      </c>
      <c r="K50" s="179" t="e">
        <f t="shared" si="1"/>
        <v>#NUM!</v>
      </c>
      <c r="L50" s="179"/>
      <c r="M50" s="181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164"/>
      <c r="H51" s="182">
        <v>46</v>
      </c>
      <c r="I51" s="183" t="str">
        <f t="shared" si="0"/>
        <v/>
      </c>
      <c r="J51" s="182" t="e">
        <f t="shared" si="5"/>
        <v>#NUM!</v>
      </c>
      <c r="K51" s="182" t="e">
        <f t="shared" si="1"/>
        <v>#NUM!</v>
      </c>
      <c r="L51" s="182"/>
      <c r="M51" s="184">
        <f t="shared" si="2"/>
        <v>0</v>
      </c>
    </row>
    <row r="52" spans="1:13" x14ac:dyDescent="0.25">
      <c r="A52" s="114"/>
      <c r="B52" s="34" t="str">
        <f t="shared" si="4"/>
        <v/>
      </c>
      <c r="C52" s="35"/>
      <c r="D52" s="35"/>
      <c r="E52" s="35"/>
      <c r="F52" s="35"/>
      <c r="G52" s="164"/>
      <c r="H52" s="179">
        <v>47</v>
      </c>
      <c r="I52" s="180" t="str">
        <f t="shared" si="0"/>
        <v/>
      </c>
      <c r="J52" s="179" t="e">
        <f t="shared" si="5"/>
        <v>#NUM!</v>
      </c>
      <c r="K52" s="179" t="e">
        <f t="shared" si="1"/>
        <v>#NUM!</v>
      </c>
      <c r="L52" s="179"/>
      <c r="M52" s="181">
        <f t="shared" si="2"/>
        <v>0</v>
      </c>
    </row>
    <row r="53" spans="1:13" x14ac:dyDescent="0.25">
      <c r="A53" s="115"/>
      <c r="B53" s="40" t="str">
        <f t="shared" si="4"/>
        <v/>
      </c>
      <c r="C53" s="41"/>
      <c r="D53" s="41"/>
      <c r="E53" s="41"/>
      <c r="F53" s="41"/>
      <c r="G53" s="164"/>
      <c r="H53" s="182">
        <v>48</v>
      </c>
      <c r="I53" s="183" t="str">
        <f t="shared" si="0"/>
        <v/>
      </c>
      <c r="J53" s="182" t="e">
        <f t="shared" si="5"/>
        <v>#NUM!</v>
      </c>
      <c r="K53" s="182" t="e">
        <f t="shared" si="1"/>
        <v>#NUM!</v>
      </c>
      <c r="L53" s="182"/>
      <c r="M53" s="184">
        <f t="shared" si="2"/>
        <v>0</v>
      </c>
    </row>
    <row r="54" spans="1:13" x14ac:dyDescent="0.25">
      <c r="A54" s="114"/>
      <c r="B54" s="34" t="str">
        <f t="shared" si="4"/>
        <v/>
      </c>
      <c r="C54" s="35"/>
      <c r="D54" s="35"/>
      <c r="E54" s="35"/>
      <c r="F54" s="35"/>
      <c r="G54" s="164"/>
      <c r="H54" s="179">
        <v>49</v>
      </c>
      <c r="I54" s="180" t="str">
        <f t="shared" si="0"/>
        <v/>
      </c>
      <c r="J54" s="179" t="e">
        <f t="shared" si="5"/>
        <v>#NUM!</v>
      </c>
      <c r="K54" s="179" t="e">
        <f t="shared" si="1"/>
        <v>#NUM!</v>
      </c>
      <c r="L54" s="179"/>
      <c r="M54" s="181">
        <f t="shared" si="2"/>
        <v>0</v>
      </c>
    </row>
    <row r="55" spans="1:13" x14ac:dyDescent="0.25">
      <c r="A55" s="115"/>
      <c r="B55" s="40" t="str">
        <f t="shared" si="4"/>
        <v/>
      </c>
      <c r="C55" s="41"/>
      <c r="D55" s="41"/>
      <c r="E55" s="41"/>
      <c r="F55" s="41"/>
      <c r="G55" s="164"/>
      <c r="H55" s="182">
        <v>50</v>
      </c>
      <c r="I55" s="183" t="str">
        <f t="shared" si="0"/>
        <v/>
      </c>
      <c r="J55" s="182" t="e">
        <f t="shared" si="5"/>
        <v>#NUM!</v>
      </c>
      <c r="K55" s="182" t="e">
        <f t="shared" si="1"/>
        <v>#NUM!</v>
      </c>
      <c r="L55" s="182"/>
      <c r="M55" s="184">
        <f t="shared" si="2"/>
        <v>0</v>
      </c>
    </row>
    <row r="56" spans="1:13" x14ac:dyDescent="0.25">
      <c r="A56" s="114"/>
      <c r="B56" s="34" t="str">
        <f t="shared" si="4"/>
        <v/>
      </c>
      <c r="C56" s="35"/>
      <c r="D56" s="35"/>
      <c r="E56" s="35"/>
      <c r="F56" s="35"/>
      <c r="G56" s="164"/>
      <c r="H56" s="179">
        <v>51</v>
      </c>
      <c r="I56" s="180" t="str">
        <f t="shared" si="0"/>
        <v/>
      </c>
      <c r="J56" s="179" t="e">
        <f t="shared" si="5"/>
        <v>#NUM!</v>
      </c>
      <c r="K56" s="179" t="e">
        <f t="shared" si="1"/>
        <v>#NUM!</v>
      </c>
      <c r="L56" s="179"/>
      <c r="M56" s="181">
        <f t="shared" si="2"/>
        <v>0</v>
      </c>
    </row>
    <row r="57" spans="1:13" x14ac:dyDescent="0.25">
      <c r="A57" s="115"/>
      <c r="B57" s="40" t="str">
        <f t="shared" si="4"/>
        <v/>
      </c>
      <c r="C57" s="41"/>
      <c r="D57" s="41"/>
      <c r="E57" s="41"/>
      <c r="F57" s="41"/>
      <c r="G57" s="164"/>
      <c r="H57" s="182">
        <v>52</v>
      </c>
      <c r="I57" s="183" t="str">
        <f t="shared" si="0"/>
        <v/>
      </c>
      <c r="J57" s="182" t="e">
        <f t="shared" si="5"/>
        <v>#NUM!</v>
      </c>
      <c r="K57" s="182" t="e">
        <f t="shared" si="1"/>
        <v>#NUM!</v>
      </c>
      <c r="L57" s="182"/>
      <c r="M57" s="184">
        <f t="shared" si="2"/>
        <v>0</v>
      </c>
    </row>
    <row r="58" spans="1:13" x14ac:dyDescent="0.25">
      <c r="A58" s="114"/>
      <c r="B58" s="34" t="str">
        <f t="shared" si="4"/>
        <v/>
      </c>
      <c r="C58" s="35"/>
      <c r="D58" s="35"/>
      <c r="E58" s="35"/>
      <c r="F58" s="35"/>
      <c r="G58" s="164"/>
      <c r="H58" s="179">
        <v>53</v>
      </c>
      <c r="I58" s="180" t="str">
        <f t="shared" si="0"/>
        <v/>
      </c>
      <c r="J58" s="179" t="e">
        <f t="shared" si="5"/>
        <v>#NUM!</v>
      </c>
      <c r="K58" s="179" t="e">
        <f t="shared" si="1"/>
        <v>#NUM!</v>
      </c>
      <c r="L58" s="179"/>
      <c r="M58" s="181">
        <f t="shared" si="2"/>
        <v>0</v>
      </c>
    </row>
    <row r="59" spans="1:13" x14ac:dyDescent="0.25">
      <c r="A59" s="115"/>
      <c r="B59" s="40" t="str">
        <f t="shared" si="4"/>
        <v/>
      </c>
      <c r="C59" s="41"/>
      <c r="D59" s="41"/>
      <c r="E59" s="41"/>
      <c r="F59" s="41"/>
      <c r="G59" s="164"/>
      <c r="H59" s="182">
        <v>54</v>
      </c>
      <c r="I59" s="183" t="str">
        <f t="shared" si="0"/>
        <v/>
      </c>
      <c r="J59" s="182" t="e">
        <f t="shared" si="5"/>
        <v>#NUM!</v>
      </c>
      <c r="K59" s="182" t="e">
        <f t="shared" si="1"/>
        <v>#NUM!</v>
      </c>
      <c r="L59" s="182"/>
      <c r="M59" s="184">
        <f t="shared" si="2"/>
        <v>0</v>
      </c>
    </row>
    <row r="60" spans="1:13" x14ac:dyDescent="0.25">
      <c r="A60" s="114"/>
      <c r="B60" s="34" t="str">
        <f t="shared" si="4"/>
        <v/>
      </c>
      <c r="C60" s="35"/>
      <c r="D60" s="35"/>
      <c r="E60" s="35"/>
      <c r="F60" s="35"/>
      <c r="G60" s="164"/>
      <c r="H60" s="179">
        <v>55</v>
      </c>
      <c r="I60" s="180" t="str">
        <f t="shared" si="0"/>
        <v/>
      </c>
      <c r="J60" s="179" t="e">
        <f t="shared" si="5"/>
        <v>#NUM!</v>
      </c>
      <c r="K60" s="179" t="e">
        <f t="shared" si="1"/>
        <v>#NUM!</v>
      </c>
      <c r="L60" s="179"/>
      <c r="M60" s="181">
        <f t="shared" si="2"/>
        <v>0</v>
      </c>
    </row>
    <row r="61" spans="1:13" x14ac:dyDescent="0.25">
      <c r="A61" s="115"/>
      <c r="B61" s="40" t="str">
        <f t="shared" si="4"/>
        <v/>
      </c>
      <c r="C61" s="41"/>
      <c r="D61" s="41"/>
      <c r="E61" s="41"/>
      <c r="F61" s="41"/>
      <c r="G61" s="164"/>
      <c r="H61" s="182">
        <v>56</v>
      </c>
      <c r="I61" s="183" t="str">
        <f t="shared" si="0"/>
        <v/>
      </c>
      <c r="J61" s="182" t="e">
        <f t="shared" si="5"/>
        <v>#NUM!</v>
      </c>
      <c r="K61" s="182" t="e">
        <f t="shared" si="1"/>
        <v>#NUM!</v>
      </c>
      <c r="L61" s="182"/>
      <c r="M61" s="184">
        <f t="shared" si="2"/>
        <v>0</v>
      </c>
    </row>
    <row r="62" spans="1:13" x14ac:dyDescent="0.25">
      <c r="A62" s="114"/>
      <c r="B62" s="34" t="str">
        <f t="shared" si="4"/>
        <v/>
      </c>
      <c r="C62" s="35"/>
      <c r="D62" s="35"/>
      <c r="E62" s="35"/>
      <c r="F62" s="35"/>
      <c r="G62" s="164"/>
      <c r="H62" s="179">
        <v>57</v>
      </c>
      <c r="I62" s="180" t="str">
        <f t="shared" si="0"/>
        <v/>
      </c>
      <c r="J62" s="179" t="e">
        <f t="shared" si="5"/>
        <v>#NUM!</v>
      </c>
      <c r="K62" s="179" t="e">
        <f t="shared" si="1"/>
        <v>#NUM!</v>
      </c>
      <c r="L62" s="179"/>
      <c r="M62" s="181">
        <f t="shared" si="2"/>
        <v>0</v>
      </c>
    </row>
    <row r="63" spans="1:13" x14ac:dyDescent="0.25">
      <c r="A63" s="115"/>
      <c r="B63" s="40" t="str">
        <f t="shared" si="4"/>
        <v/>
      </c>
      <c r="C63" s="41"/>
      <c r="D63" s="41"/>
      <c r="E63" s="41"/>
      <c r="F63" s="41"/>
      <c r="G63" s="164"/>
      <c r="H63" s="182">
        <v>58</v>
      </c>
      <c r="I63" s="183" t="str">
        <f t="shared" si="0"/>
        <v/>
      </c>
      <c r="J63" s="182" t="e">
        <f t="shared" si="5"/>
        <v>#NUM!</v>
      </c>
      <c r="K63" s="182" t="e">
        <f t="shared" si="1"/>
        <v>#NUM!</v>
      </c>
      <c r="L63" s="182"/>
      <c r="M63" s="184">
        <f t="shared" si="2"/>
        <v>0</v>
      </c>
    </row>
    <row r="64" spans="1:13" x14ac:dyDescent="0.25">
      <c r="A64" s="114"/>
      <c r="B64" s="34" t="str">
        <f t="shared" si="4"/>
        <v/>
      </c>
      <c r="C64" s="35"/>
      <c r="D64" s="35"/>
      <c r="E64" s="35"/>
      <c r="F64" s="35"/>
      <c r="G64" s="164"/>
      <c r="H64" s="179">
        <v>59</v>
      </c>
      <c r="I64" s="180" t="str">
        <f t="shared" si="0"/>
        <v/>
      </c>
      <c r="J64" s="179" t="e">
        <f t="shared" si="5"/>
        <v>#NUM!</v>
      </c>
      <c r="K64" s="179" t="e">
        <f t="shared" si="1"/>
        <v>#NUM!</v>
      </c>
      <c r="L64" s="179"/>
      <c r="M64" s="181">
        <f t="shared" si="2"/>
        <v>0</v>
      </c>
    </row>
    <row r="65" spans="1:13" x14ac:dyDescent="0.25">
      <c r="A65" s="115"/>
      <c r="B65" s="40" t="str">
        <f t="shared" si="4"/>
        <v/>
      </c>
      <c r="C65" s="41"/>
      <c r="D65" s="41"/>
      <c r="E65" s="41"/>
      <c r="F65" s="41"/>
      <c r="G65" s="164"/>
      <c r="H65" s="182">
        <v>60</v>
      </c>
      <c r="I65" s="183" t="str">
        <f t="shared" si="0"/>
        <v/>
      </c>
      <c r="J65" s="182" t="e">
        <f t="shared" si="5"/>
        <v>#NUM!</v>
      </c>
      <c r="K65" s="182" t="e">
        <f t="shared" si="1"/>
        <v>#NUM!</v>
      </c>
      <c r="L65" s="182"/>
      <c r="M65" s="184">
        <f t="shared" si="2"/>
        <v>0</v>
      </c>
    </row>
    <row r="66" spans="1:13" x14ac:dyDescent="0.25">
      <c r="A66" s="195"/>
      <c r="B66" s="34"/>
      <c r="G66" s="164"/>
      <c r="H66" s="179">
        <v>61</v>
      </c>
      <c r="I66" s="180" t="str">
        <f t="shared" si="0"/>
        <v/>
      </c>
      <c r="J66" s="179" t="e">
        <f t="shared" si="5"/>
        <v>#NUM!</v>
      </c>
      <c r="K66" s="179" t="e">
        <f t="shared" si="1"/>
        <v>#NUM!</v>
      </c>
      <c r="L66" s="179"/>
      <c r="M66" s="181">
        <f t="shared" si="2"/>
        <v>0</v>
      </c>
    </row>
    <row r="67" spans="1:13" x14ac:dyDescent="0.25">
      <c r="A67" s="195"/>
      <c r="B67" s="40"/>
      <c r="G67" s="164"/>
      <c r="H67" s="179">
        <v>62</v>
      </c>
      <c r="I67" s="180" t="str">
        <f t="shared" si="0"/>
        <v/>
      </c>
      <c r="J67" s="179" t="e">
        <f t="shared" si="5"/>
        <v>#NUM!</v>
      </c>
      <c r="K67" s="179" t="e">
        <f t="shared" si="1"/>
        <v>#NUM!</v>
      </c>
      <c r="L67" s="179"/>
      <c r="M67" s="181">
        <f t="shared" si="2"/>
        <v>0</v>
      </c>
    </row>
    <row r="68" spans="1:13" x14ac:dyDescent="0.25">
      <c r="A68" s="195"/>
      <c r="B68" s="34"/>
      <c r="G68" s="164"/>
      <c r="H68" s="179">
        <v>63</v>
      </c>
      <c r="I68" s="180" t="str">
        <f t="shared" si="0"/>
        <v/>
      </c>
      <c r="J68" s="179" t="e">
        <f t="shared" si="5"/>
        <v>#NUM!</v>
      </c>
      <c r="K68" s="179" t="e">
        <f t="shared" si="1"/>
        <v>#NUM!</v>
      </c>
      <c r="L68" s="179"/>
      <c r="M68" s="181">
        <f t="shared" si="2"/>
        <v>0</v>
      </c>
    </row>
    <row r="69" spans="1:13" x14ac:dyDescent="0.25">
      <c r="A69" s="195"/>
      <c r="B69" s="40"/>
      <c r="G69" s="164"/>
      <c r="H69" s="179">
        <v>64</v>
      </c>
      <c r="I69" s="180" t="str">
        <f t="shared" si="0"/>
        <v/>
      </c>
      <c r="J69" s="179" t="e">
        <f t="shared" si="5"/>
        <v>#NUM!</v>
      </c>
      <c r="K69" s="179" t="e">
        <f t="shared" si="1"/>
        <v>#NUM!</v>
      </c>
      <c r="L69" s="179"/>
      <c r="M69" s="181">
        <f t="shared" si="2"/>
        <v>0</v>
      </c>
    </row>
    <row r="70" spans="1:13" x14ac:dyDescent="0.25">
      <c r="A70" s="195"/>
      <c r="G70" s="164"/>
      <c r="H70" s="179">
        <v>65</v>
      </c>
      <c r="I70" s="180" t="str">
        <f t="shared" ref="I70:I133" si="6">IF(H70&lt;$H$2+1,($I$2-($I$2-1)*(LOG(H70)/LOG($H$2))),"")</f>
        <v/>
      </c>
      <c r="J70" s="179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95"/>
      <c r="G71" s="164"/>
      <c r="H71" s="179">
        <v>66</v>
      </c>
      <c r="I71" s="180" t="str">
        <f t="shared" si="6"/>
        <v/>
      </c>
      <c r="J71" s="179" t="e">
        <f t="shared" ref="J71:J134" si="9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95"/>
      <c r="G72" s="164"/>
      <c r="H72" s="179">
        <v>67</v>
      </c>
      <c r="I72" s="180" t="str">
        <f t="shared" si="6"/>
        <v/>
      </c>
      <c r="J72" s="179" t="e">
        <f t="shared" si="9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95"/>
      <c r="G73" s="164"/>
      <c r="H73" s="179">
        <v>68</v>
      </c>
      <c r="I73" s="180" t="str">
        <f t="shared" si="6"/>
        <v/>
      </c>
      <c r="J73" s="179" t="e">
        <f t="shared" si="9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95"/>
      <c r="G74" s="164"/>
      <c r="H74" s="179">
        <v>69</v>
      </c>
      <c r="I74" s="180" t="str">
        <f t="shared" si="6"/>
        <v/>
      </c>
      <c r="J74" s="179" t="e">
        <f t="shared" si="9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95"/>
      <c r="G75" s="164"/>
      <c r="H75" s="179">
        <v>70</v>
      </c>
      <c r="I75" s="180" t="str">
        <f t="shared" si="6"/>
        <v/>
      </c>
      <c r="J75" s="179" t="e">
        <f t="shared" si="9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95"/>
      <c r="G76" s="164"/>
      <c r="H76" s="179">
        <v>71</v>
      </c>
      <c r="I76" s="180" t="str">
        <f t="shared" si="6"/>
        <v/>
      </c>
      <c r="J76" s="179" t="e">
        <f t="shared" si="9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95"/>
      <c r="G77" s="164"/>
      <c r="H77" s="179">
        <v>72</v>
      </c>
      <c r="I77" s="180" t="str">
        <f t="shared" si="6"/>
        <v/>
      </c>
      <c r="J77" s="179" t="e">
        <f t="shared" si="9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95"/>
      <c r="G78" s="164"/>
      <c r="H78" s="179">
        <v>73</v>
      </c>
      <c r="I78" s="180" t="str">
        <f t="shared" si="6"/>
        <v/>
      </c>
      <c r="J78" s="179" t="e">
        <f t="shared" si="9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95"/>
      <c r="G79" s="164"/>
      <c r="H79" s="179">
        <v>74</v>
      </c>
      <c r="I79" s="180" t="str">
        <f t="shared" si="6"/>
        <v/>
      </c>
      <c r="J79" s="179" t="e">
        <f t="shared" si="9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195"/>
      <c r="G80" s="164"/>
      <c r="H80" s="179">
        <v>75</v>
      </c>
      <c r="I80" s="180" t="str">
        <f t="shared" si="6"/>
        <v/>
      </c>
      <c r="J80" s="179" t="e">
        <f t="shared" si="9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5"/>
      <c r="G81" s="164"/>
      <c r="H81" s="179">
        <v>76</v>
      </c>
      <c r="I81" s="180" t="str">
        <f t="shared" si="6"/>
        <v/>
      </c>
      <c r="J81" s="179" t="e">
        <f t="shared" si="9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5"/>
      <c r="G82" s="164"/>
      <c r="H82" s="179">
        <v>77</v>
      </c>
      <c r="I82" s="180" t="str">
        <f t="shared" si="6"/>
        <v/>
      </c>
      <c r="J82" s="179" t="e">
        <f t="shared" si="9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5"/>
      <c r="G83" s="164"/>
      <c r="H83" s="179">
        <v>78</v>
      </c>
      <c r="I83" s="180" t="str">
        <f t="shared" si="6"/>
        <v/>
      </c>
      <c r="J83" s="179" t="e">
        <f t="shared" si="9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5"/>
      <c r="G84" s="164"/>
      <c r="H84" s="179">
        <v>79</v>
      </c>
      <c r="I84" s="180" t="str">
        <f t="shared" si="6"/>
        <v/>
      </c>
      <c r="J84" s="179" t="e">
        <f t="shared" si="9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5"/>
      <c r="G85" s="164"/>
      <c r="H85" s="179">
        <v>80</v>
      </c>
      <c r="I85" s="180" t="str">
        <f t="shared" si="6"/>
        <v/>
      </c>
      <c r="J85" s="179" t="e">
        <f t="shared" si="9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5"/>
      <c r="G86" s="164"/>
      <c r="H86" s="179">
        <v>81</v>
      </c>
      <c r="I86" s="180" t="str">
        <f t="shared" si="6"/>
        <v/>
      </c>
      <c r="J86" s="179" t="e">
        <f t="shared" si="9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5"/>
      <c r="G87" s="164"/>
      <c r="H87" s="179">
        <v>82</v>
      </c>
      <c r="I87" s="180" t="str">
        <f t="shared" si="6"/>
        <v/>
      </c>
      <c r="J87" s="179" t="e">
        <f t="shared" si="9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5"/>
      <c r="G88" s="164"/>
      <c r="H88" s="179">
        <v>83</v>
      </c>
      <c r="I88" s="180" t="str">
        <f t="shared" si="6"/>
        <v/>
      </c>
      <c r="J88" s="179" t="e">
        <f t="shared" si="9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5"/>
      <c r="G89" s="164"/>
      <c r="H89" s="179">
        <v>84</v>
      </c>
      <c r="I89" s="180" t="str">
        <f t="shared" si="6"/>
        <v/>
      </c>
      <c r="J89" s="179" t="e">
        <f t="shared" si="9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5"/>
      <c r="G90" s="164"/>
      <c r="H90" s="179">
        <v>85</v>
      </c>
      <c r="I90" s="180" t="str">
        <f t="shared" si="6"/>
        <v/>
      </c>
      <c r="J90" s="179" t="e">
        <f t="shared" si="9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5"/>
      <c r="G91" s="164"/>
      <c r="H91" s="179">
        <v>86</v>
      </c>
      <c r="I91" s="180" t="str">
        <f t="shared" si="6"/>
        <v/>
      </c>
      <c r="J91" s="179" t="e">
        <f t="shared" si="9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5"/>
      <c r="G92" s="164"/>
      <c r="H92" s="179">
        <v>87</v>
      </c>
      <c r="I92" s="180" t="str">
        <f t="shared" si="6"/>
        <v/>
      </c>
      <c r="J92" s="179" t="e">
        <f t="shared" si="9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5"/>
      <c r="G93" s="164"/>
      <c r="H93" s="179">
        <v>88</v>
      </c>
      <c r="I93" s="180" t="str">
        <f t="shared" si="6"/>
        <v/>
      </c>
      <c r="J93" s="179" t="e">
        <f t="shared" si="9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5"/>
      <c r="G94" s="164"/>
      <c r="H94" s="179">
        <v>89</v>
      </c>
      <c r="I94" s="180" t="str">
        <f t="shared" si="6"/>
        <v/>
      </c>
      <c r="J94" s="179" t="e">
        <f t="shared" si="9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5"/>
      <c r="G95" s="164"/>
      <c r="H95" s="179">
        <v>90</v>
      </c>
      <c r="I95" s="180" t="str">
        <f t="shared" si="6"/>
        <v/>
      </c>
      <c r="J95" s="179" t="e">
        <f t="shared" si="9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5"/>
      <c r="G96" s="164"/>
      <c r="H96" s="179">
        <v>91</v>
      </c>
      <c r="I96" s="180" t="str">
        <f t="shared" si="6"/>
        <v/>
      </c>
      <c r="J96" s="179" t="e">
        <f t="shared" si="9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5"/>
      <c r="G97" s="164"/>
      <c r="H97" s="179">
        <v>92</v>
      </c>
      <c r="I97" s="180" t="str">
        <f t="shared" si="6"/>
        <v/>
      </c>
      <c r="J97" s="179" t="e">
        <f t="shared" si="9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5"/>
      <c r="G98" s="164"/>
      <c r="H98" s="179">
        <v>93</v>
      </c>
      <c r="I98" s="180" t="str">
        <f t="shared" si="6"/>
        <v/>
      </c>
      <c r="J98" s="179" t="e">
        <f t="shared" si="9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5"/>
      <c r="G99" s="164"/>
      <c r="H99" s="179">
        <v>94</v>
      </c>
      <c r="I99" s="180" t="str">
        <f t="shared" si="6"/>
        <v/>
      </c>
      <c r="J99" s="179" t="e">
        <f t="shared" si="9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5"/>
      <c r="G100" s="164"/>
      <c r="H100" s="179">
        <v>95</v>
      </c>
      <c r="I100" s="180" t="str">
        <f t="shared" si="6"/>
        <v/>
      </c>
      <c r="J100" s="179" t="e">
        <f t="shared" si="9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5"/>
      <c r="G101" s="164"/>
      <c r="H101" s="179">
        <v>96</v>
      </c>
      <c r="I101" s="180" t="str">
        <f t="shared" si="6"/>
        <v/>
      </c>
      <c r="J101" s="179" t="e">
        <f t="shared" si="9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5"/>
      <c r="G102" s="164"/>
      <c r="H102" s="179">
        <v>97</v>
      </c>
      <c r="I102" s="180" t="str">
        <f t="shared" si="6"/>
        <v/>
      </c>
      <c r="J102" s="179" t="e">
        <f t="shared" si="9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5"/>
      <c r="G103" s="164"/>
      <c r="H103" s="179">
        <v>98</v>
      </c>
      <c r="I103" s="180" t="str">
        <f t="shared" si="6"/>
        <v/>
      </c>
      <c r="J103" s="179" t="e">
        <f t="shared" si="9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5"/>
      <c r="G104" s="164"/>
      <c r="H104" s="179">
        <v>99</v>
      </c>
      <c r="I104" s="180" t="str">
        <f t="shared" si="6"/>
        <v/>
      </c>
      <c r="J104" s="179" t="e">
        <f t="shared" si="9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5"/>
      <c r="G105" s="164"/>
      <c r="H105" s="179">
        <v>100</v>
      </c>
      <c r="I105" s="180" t="str">
        <f t="shared" si="6"/>
        <v/>
      </c>
      <c r="J105" s="179" t="e">
        <f t="shared" si="9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5"/>
      <c r="G106" s="164"/>
      <c r="H106" s="179">
        <v>101</v>
      </c>
      <c r="I106" s="180" t="str">
        <f t="shared" si="6"/>
        <v/>
      </c>
      <c r="J106" s="179" t="e">
        <f t="shared" si="9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5"/>
      <c r="G107" s="164"/>
      <c r="H107" s="179">
        <v>102</v>
      </c>
      <c r="I107" s="180" t="str">
        <f t="shared" si="6"/>
        <v/>
      </c>
      <c r="J107" s="179" t="e">
        <f t="shared" si="9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5"/>
      <c r="G108" s="164"/>
      <c r="H108" s="179">
        <v>103</v>
      </c>
      <c r="I108" s="180" t="str">
        <f t="shared" si="6"/>
        <v/>
      </c>
      <c r="J108" s="179" t="e">
        <f t="shared" si="9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5"/>
      <c r="G109" s="164"/>
      <c r="H109" s="179">
        <v>104</v>
      </c>
      <c r="I109" s="180" t="str">
        <f t="shared" si="6"/>
        <v/>
      </c>
      <c r="J109" s="179" t="e">
        <f t="shared" si="9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5"/>
      <c r="G110" s="164"/>
      <c r="H110" s="179">
        <v>105</v>
      </c>
      <c r="I110" s="180" t="str">
        <f t="shared" si="6"/>
        <v/>
      </c>
      <c r="J110" s="179" t="e">
        <f t="shared" si="9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5"/>
      <c r="G111" s="164"/>
      <c r="H111" s="179">
        <v>106</v>
      </c>
      <c r="I111" s="180" t="str">
        <f t="shared" si="6"/>
        <v/>
      </c>
      <c r="J111" s="179" t="e">
        <f t="shared" si="9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5"/>
      <c r="G112" s="164"/>
      <c r="H112" s="179">
        <v>107</v>
      </c>
      <c r="I112" s="180" t="str">
        <f t="shared" si="6"/>
        <v/>
      </c>
      <c r="J112" s="179" t="e">
        <f t="shared" si="9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5"/>
      <c r="G113" s="164"/>
      <c r="H113" s="179">
        <v>108</v>
      </c>
      <c r="I113" s="180" t="str">
        <f t="shared" si="6"/>
        <v/>
      </c>
      <c r="J113" s="179" t="e">
        <f t="shared" si="9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5"/>
      <c r="G114" s="164"/>
      <c r="H114" s="179">
        <v>109</v>
      </c>
      <c r="I114" s="180" t="str">
        <f t="shared" si="6"/>
        <v/>
      </c>
      <c r="J114" s="179" t="e">
        <f t="shared" si="9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5"/>
      <c r="G115" s="164"/>
      <c r="H115" s="179">
        <v>110</v>
      </c>
      <c r="I115" s="180" t="str">
        <f t="shared" si="6"/>
        <v/>
      </c>
      <c r="J115" s="179" t="e">
        <f t="shared" si="9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5"/>
      <c r="G116" s="164"/>
      <c r="H116" s="179">
        <v>111</v>
      </c>
      <c r="I116" s="180" t="str">
        <f t="shared" si="6"/>
        <v/>
      </c>
      <c r="J116" s="179" t="e">
        <f t="shared" si="9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5"/>
      <c r="G117" s="164"/>
      <c r="H117" s="179">
        <v>112</v>
      </c>
      <c r="I117" s="180" t="str">
        <f t="shared" si="6"/>
        <v/>
      </c>
      <c r="J117" s="179" t="e">
        <f t="shared" si="9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5"/>
      <c r="G118" s="164"/>
      <c r="H118" s="179">
        <v>113</v>
      </c>
      <c r="I118" s="180" t="str">
        <f t="shared" si="6"/>
        <v/>
      </c>
      <c r="J118" s="179" t="e">
        <f t="shared" si="9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5"/>
      <c r="G119" s="164"/>
      <c r="H119" s="179">
        <v>114</v>
      </c>
      <c r="I119" s="180" t="str">
        <f t="shared" si="6"/>
        <v/>
      </c>
      <c r="J119" s="179" t="e">
        <f t="shared" si="9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5"/>
      <c r="G120" s="164"/>
      <c r="H120" s="179">
        <v>115</v>
      </c>
      <c r="I120" s="180" t="str">
        <f t="shared" si="6"/>
        <v/>
      </c>
      <c r="J120" s="179" t="e">
        <f t="shared" si="9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5"/>
      <c r="G121" s="164"/>
      <c r="H121" s="179">
        <v>116</v>
      </c>
      <c r="I121" s="180" t="str">
        <f t="shared" si="6"/>
        <v/>
      </c>
      <c r="J121" s="179" t="e">
        <f t="shared" si="9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5"/>
      <c r="G122" s="164"/>
      <c r="H122" s="179">
        <v>117</v>
      </c>
      <c r="I122" s="180" t="str">
        <f t="shared" si="6"/>
        <v/>
      </c>
      <c r="J122" s="179" t="e">
        <f t="shared" si="9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5"/>
      <c r="G123" s="164"/>
      <c r="H123" s="179">
        <v>118</v>
      </c>
      <c r="I123" s="180" t="str">
        <f t="shared" si="6"/>
        <v/>
      </c>
      <c r="J123" s="179" t="e">
        <f t="shared" si="9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5"/>
      <c r="G124" s="164"/>
      <c r="H124" s="179">
        <v>119</v>
      </c>
      <c r="I124" s="180" t="str">
        <f t="shared" si="6"/>
        <v/>
      </c>
      <c r="J124" s="179" t="e">
        <f t="shared" si="9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5"/>
      <c r="G125" s="164"/>
      <c r="H125" s="179">
        <v>120</v>
      </c>
      <c r="I125" s="180" t="str">
        <f t="shared" si="6"/>
        <v/>
      </c>
      <c r="J125" s="179" t="e">
        <f t="shared" si="9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5"/>
      <c r="G126" s="164"/>
      <c r="H126" s="179">
        <v>121</v>
      </c>
      <c r="I126" s="180" t="str">
        <f t="shared" si="6"/>
        <v/>
      </c>
      <c r="J126" s="179" t="e">
        <f t="shared" si="9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5"/>
      <c r="G127" s="164"/>
      <c r="H127" s="179">
        <v>122</v>
      </c>
      <c r="I127" s="180" t="str">
        <f t="shared" si="6"/>
        <v/>
      </c>
      <c r="J127" s="179" t="e">
        <f t="shared" si="9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5"/>
      <c r="G128" s="164"/>
      <c r="H128" s="179">
        <v>123</v>
      </c>
      <c r="I128" s="180" t="str">
        <f t="shared" si="6"/>
        <v/>
      </c>
      <c r="J128" s="179" t="e">
        <f t="shared" si="9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5"/>
      <c r="G129" s="164"/>
      <c r="H129" s="179">
        <v>124</v>
      </c>
      <c r="I129" s="180" t="str">
        <f t="shared" si="6"/>
        <v/>
      </c>
      <c r="J129" s="179" t="e">
        <f t="shared" si="9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5"/>
      <c r="G130" s="164"/>
      <c r="H130" s="179">
        <v>125</v>
      </c>
      <c r="I130" s="180" t="str">
        <f t="shared" si="6"/>
        <v/>
      </c>
      <c r="J130" s="179" t="e">
        <f t="shared" si="9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5"/>
      <c r="G131" s="164"/>
      <c r="H131" s="179">
        <v>126</v>
      </c>
      <c r="I131" s="180" t="str">
        <f t="shared" si="6"/>
        <v/>
      </c>
      <c r="J131" s="179" t="e">
        <f t="shared" si="9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5"/>
      <c r="G132" s="164"/>
      <c r="H132" s="179">
        <v>127</v>
      </c>
      <c r="I132" s="180" t="str">
        <f t="shared" si="6"/>
        <v/>
      </c>
      <c r="J132" s="179" t="e">
        <f t="shared" si="9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5"/>
      <c r="G133" s="164"/>
      <c r="H133" s="179">
        <v>128</v>
      </c>
      <c r="I133" s="180" t="str">
        <f t="shared" si="6"/>
        <v/>
      </c>
      <c r="J133" s="179" t="e">
        <f t="shared" si="9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5"/>
      <c r="G134" s="164"/>
      <c r="H134" s="179">
        <v>129</v>
      </c>
      <c r="I134" s="180" t="str">
        <f t="shared" ref="I134:I197" si="10">IF(H134&lt;$H$2+1,($I$2-($I$2-1)*(LOG(H134)/LOG($H$2))),"")</f>
        <v/>
      </c>
      <c r="J134" s="179" t="e">
        <f t="shared" si="9"/>
        <v>#NUM!</v>
      </c>
      <c r="K134" s="179" t="e">
        <f t="shared" ref="K134:K197" si="11">J134*$J$2</f>
        <v>#NUM!</v>
      </c>
      <c r="L134" s="179"/>
      <c r="M134" s="181">
        <f t="shared" ref="M134:M197" si="12">IF(I134&lt;&gt;"",K134+I134+L134,0)</f>
        <v>0</v>
      </c>
    </row>
    <row r="135" spans="1:13" x14ac:dyDescent="0.25">
      <c r="A135" s="195"/>
      <c r="G135" s="164"/>
      <c r="H135" s="179">
        <v>130</v>
      </c>
      <c r="I135" s="180" t="str">
        <f t="shared" si="10"/>
        <v/>
      </c>
      <c r="J135" s="179" t="e">
        <f t="shared" ref="J135:J198" si="13">INT(LOG($H$2,2))-ROUNDUP(LOG(H135,2),0)+IF(OR($H$2=1,$H$2=2,$H$2=4,$H$2=8,$H$2=16,$H$2=32,$H$2=64,$H$2=128,$H$2=256),0,1)</f>
        <v>#NUM!</v>
      </c>
      <c r="K135" s="179" t="e">
        <f t="shared" si="11"/>
        <v>#NUM!</v>
      </c>
      <c r="L135" s="179"/>
      <c r="M135" s="181">
        <f t="shared" si="12"/>
        <v>0</v>
      </c>
    </row>
    <row r="136" spans="1:13" x14ac:dyDescent="0.25">
      <c r="A136" s="195"/>
      <c r="G136" s="164"/>
      <c r="H136" s="179">
        <v>131</v>
      </c>
      <c r="I136" s="180" t="str">
        <f t="shared" si="10"/>
        <v/>
      </c>
      <c r="J136" s="179" t="e">
        <f t="shared" si="13"/>
        <v>#NUM!</v>
      </c>
      <c r="K136" s="179" t="e">
        <f t="shared" si="11"/>
        <v>#NUM!</v>
      </c>
      <c r="L136" s="179"/>
      <c r="M136" s="181">
        <f t="shared" si="12"/>
        <v>0</v>
      </c>
    </row>
    <row r="137" spans="1:13" x14ac:dyDescent="0.25">
      <c r="A137" s="195"/>
      <c r="G137" s="164"/>
      <c r="H137" s="179">
        <v>132</v>
      </c>
      <c r="I137" s="180" t="str">
        <f t="shared" si="10"/>
        <v/>
      </c>
      <c r="J137" s="179" t="e">
        <f t="shared" si="13"/>
        <v>#NUM!</v>
      </c>
      <c r="K137" s="179" t="e">
        <f t="shared" si="11"/>
        <v>#NUM!</v>
      </c>
      <c r="L137" s="179"/>
      <c r="M137" s="181">
        <f t="shared" si="12"/>
        <v>0</v>
      </c>
    </row>
    <row r="138" spans="1:13" x14ac:dyDescent="0.25">
      <c r="A138" s="195"/>
      <c r="G138" s="164"/>
      <c r="H138" s="179">
        <v>133</v>
      </c>
      <c r="I138" s="180" t="str">
        <f t="shared" si="10"/>
        <v/>
      </c>
      <c r="J138" s="179" t="e">
        <f t="shared" si="13"/>
        <v>#NUM!</v>
      </c>
      <c r="K138" s="179" t="e">
        <f t="shared" si="11"/>
        <v>#NUM!</v>
      </c>
      <c r="L138" s="179"/>
      <c r="M138" s="181">
        <f t="shared" si="12"/>
        <v>0</v>
      </c>
    </row>
    <row r="139" spans="1:13" x14ac:dyDescent="0.25">
      <c r="A139" s="195"/>
      <c r="G139" s="164"/>
      <c r="H139" s="179">
        <v>134</v>
      </c>
      <c r="I139" s="180" t="str">
        <f t="shared" si="10"/>
        <v/>
      </c>
      <c r="J139" s="179" t="e">
        <f t="shared" si="13"/>
        <v>#NUM!</v>
      </c>
      <c r="K139" s="179" t="e">
        <f t="shared" si="11"/>
        <v>#NUM!</v>
      </c>
      <c r="L139" s="179"/>
      <c r="M139" s="181">
        <f t="shared" si="12"/>
        <v>0</v>
      </c>
    </row>
    <row r="140" spans="1:13" x14ac:dyDescent="0.25">
      <c r="A140" s="195"/>
      <c r="G140" s="164"/>
      <c r="H140" s="179">
        <v>135</v>
      </c>
      <c r="I140" s="180" t="str">
        <f t="shared" si="10"/>
        <v/>
      </c>
      <c r="J140" s="179" t="e">
        <f t="shared" si="13"/>
        <v>#NUM!</v>
      </c>
      <c r="K140" s="179" t="e">
        <f t="shared" si="11"/>
        <v>#NUM!</v>
      </c>
      <c r="L140" s="179"/>
      <c r="M140" s="181">
        <f t="shared" si="12"/>
        <v>0</v>
      </c>
    </row>
    <row r="141" spans="1:13" x14ac:dyDescent="0.25">
      <c r="A141" s="195"/>
      <c r="G141" s="164"/>
      <c r="H141" s="179">
        <v>136</v>
      </c>
      <c r="I141" s="180" t="str">
        <f t="shared" si="10"/>
        <v/>
      </c>
      <c r="J141" s="179" t="e">
        <f t="shared" si="13"/>
        <v>#NUM!</v>
      </c>
      <c r="K141" s="179" t="e">
        <f t="shared" si="11"/>
        <v>#NUM!</v>
      </c>
      <c r="L141" s="179"/>
      <c r="M141" s="181">
        <f t="shared" si="12"/>
        <v>0</v>
      </c>
    </row>
    <row r="142" spans="1:13" x14ac:dyDescent="0.25">
      <c r="A142" s="195"/>
      <c r="G142" s="164"/>
      <c r="H142" s="179">
        <v>137</v>
      </c>
      <c r="I142" s="180" t="str">
        <f t="shared" si="10"/>
        <v/>
      </c>
      <c r="J142" s="179" t="e">
        <f t="shared" si="13"/>
        <v>#NUM!</v>
      </c>
      <c r="K142" s="179" t="e">
        <f t="shared" si="11"/>
        <v>#NUM!</v>
      </c>
      <c r="L142" s="179"/>
      <c r="M142" s="181">
        <f t="shared" si="12"/>
        <v>0</v>
      </c>
    </row>
    <row r="143" spans="1:13" x14ac:dyDescent="0.25">
      <c r="A143" s="195"/>
      <c r="G143" s="164"/>
      <c r="H143" s="179">
        <v>138</v>
      </c>
      <c r="I143" s="180" t="str">
        <f t="shared" si="10"/>
        <v/>
      </c>
      <c r="J143" s="179" t="e">
        <f t="shared" si="13"/>
        <v>#NUM!</v>
      </c>
      <c r="K143" s="179" t="e">
        <f t="shared" si="11"/>
        <v>#NUM!</v>
      </c>
      <c r="L143" s="179"/>
      <c r="M143" s="181">
        <f t="shared" si="12"/>
        <v>0</v>
      </c>
    </row>
    <row r="144" spans="1:13" x14ac:dyDescent="0.25">
      <c r="A144" s="195"/>
      <c r="G144" s="164"/>
      <c r="H144" s="179">
        <v>139</v>
      </c>
      <c r="I144" s="180" t="str">
        <f t="shared" si="10"/>
        <v/>
      </c>
      <c r="J144" s="179" t="e">
        <f t="shared" si="13"/>
        <v>#NUM!</v>
      </c>
      <c r="K144" s="179" t="e">
        <f t="shared" si="11"/>
        <v>#NUM!</v>
      </c>
      <c r="L144" s="179"/>
      <c r="M144" s="181">
        <f t="shared" si="12"/>
        <v>0</v>
      </c>
    </row>
    <row r="145" spans="1:13" x14ac:dyDescent="0.25">
      <c r="A145" s="195"/>
      <c r="G145" s="164"/>
      <c r="H145" s="179">
        <v>140</v>
      </c>
      <c r="I145" s="180" t="str">
        <f t="shared" si="10"/>
        <v/>
      </c>
      <c r="J145" s="179" t="e">
        <f t="shared" si="13"/>
        <v>#NUM!</v>
      </c>
      <c r="K145" s="179" t="e">
        <f t="shared" si="11"/>
        <v>#NUM!</v>
      </c>
      <c r="L145" s="179"/>
      <c r="M145" s="181">
        <f t="shared" si="12"/>
        <v>0</v>
      </c>
    </row>
    <row r="146" spans="1:13" x14ac:dyDescent="0.25">
      <c r="A146" s="195"/>
      <c r="G146" s="164"/>
      <c r="H146" s="179">
        <v>141</v>
      </c>
      <c r="I146" s="180" t="str">
        <f t="shared" si="10"/>
        <v/>
      </c>
      <c r="J146" s="179" t="e">
        <f t="shared" si="13"/>
        <v>#NUM!</v>
      </c>
      <c r="K146" s="179" t="e">
        <f t="shared" si="11"/>
        <v>#NUM!</v>
      </c>
      <c r="L146" s="179"/>
      <c r="M146" s="181">
        <f t="shared" si="12"/>
        <v>0</v>
      </c>
    </row>
    <row r="147" spans="1:13" x14ac:dyDescent="0.25">
      <c r="A147" s="195"/>
      <c r="G147" s="164"/>
      <c r="H147" s="179">
        <v>142</v>
      </c>
      <c r="I147" s="180" t="str">
        <f t="shared" si="10"/>
        <v/>
      </c>
      <c r="J147" s="179" t="e">
        <f t="shared" si="13"/>
        <v>#NUM!</v>
      </c>
      <c r="K147" s="179" t="e">
        <f t="shared" si="11"/>
        <v>#NUM!</v>
      </c>
      <c r="L147" s="179"/>
      <c r="M147" s="181">
        <f t="shared" si="12"/>
        <v>0</v>
      </c>
    </row>
    <row r="148" spans="1:13" x14ac:dyDescent="0.25">
      <c r="A148" s="195"/>
      <c r="G148" s="164"/>
      <c r="H148" s="179">
        <v>143</v>
      </c>
      <c r="I148" s="180" t="str">
        <f t="shared" si="10"/>
        <v/>
      </c>
      <c r="J148" s="179" t="e">
        <f t="shared" si="13"/>
        <v>#NUM!</v>
      </c>
      <c r="K148" s="179" t="e">
        <f t="shared" si="11"/>
        <v>#NUM!</v>
      </c>
      <c r="L148" s="179"/>
      <c r="M148" s="181">
        <f t="shared" si="12"/>
        <v>0</v>
      </c>
    </row>
    <row r="149" spans="1:13" x14ac:dyDescent="0.25">
      <c r="A149" s="195"/>
      <c r="G149" s="164"/>
      <c r="H149" s="179">
        <v>144</v>
      </c>
      <c r="I149" s="180" t="str">
        <f t="shared" si="10"/>
        <v/>
      </c>
      <c r="J149" s="179" t="e">
        <f t="shared" si="13"/>
        <v>#NUM!</v>
      </c>
      <c r="K149" s="179" t="e">
        <f t="shared" si="11"/>
        <v>#NUM!</v>
      </c>
      <c r="L149" s="179"/>
      <c r="M149" s="181">
        <f t="shared" si="12"/>
        <v>0</v>
      </c>
    </row>
    <row r="150" spans="1:13" x14ac:dyDescent="0.25">
      <c r="A150" s="195"/>
      <c r="G150" s="164"/>
      <c r="H150" s="179">
        <v>145</v>
      </c>
      <c r="I150" s="180" t="str">
        <f t="shared" si="10"/>
        <v/>
      </c>
      <c r="J150" s="179" t="e">
        <f t="shared" si="13"/>
        <v>#NUM!</v>
      </c>
      <c r="K150" s="179" t="e">
        <f t="shared" si="11"/>
        <v>#NUM!</v>
      </c>
      <c r="L150" s="179"/>
      <c r="M150" s="181">
        <f t="shared" si="12"/>
        <v>0</v>
      </c>
    </row>
    <row r="151" spans="1:13" x14ac:dyDescent="0.25">
      <c r="A151" s="195"/>
      <c r="G151" s="164"/>
      <c r="H151" s="179">
        <v>146</v>
      </c>
      <c r="I151" s="180" t="str">
        <f t="shared" si="10"/>
        <v/>
      </c>
      <c r="J151" s="179" t="e">
        <f t="shared" si="13"/>
        <v>#NUM!</v>
      </c>
      <c r="K151" s="179" t="e">
        <f t="shared" si="11"/>
        <v>#NUM!</v>
      </c>
      <c r="L151" s="179"/>
      <c r="M151" s="181">
        <f t="shared" si="12"/>
        <v>0</v>
      </c>
    </row>
    <row r="152" spans="1:13" x14ac:dyDescent="0.25">
      <c r="A152" s="195"/>
      <c r="G152" s="164"/>
      <c r="H152" s="179">
        <v>147</v>
      </c>
      <c r="I152" s="180" t="str">
        <f t="shared" si="10"/>
        <v/>
      </c>
      <c r="J152" s="179" t="e">
        <f t="shared" si="13"/>
        <v>#NUM!</v>
      </c>
      <c r="K152" s="179" t="e">
        <f t="shared" si="11"/>
        <v>#NUM!</v>
      </c>
      <c r="L152" s="179"/>
      <c r="M152" s="181">
        <f t="shared" si="12"/>
        <v>0</v>
      </c>
    </row>
    <row r="153" spans="1:13" x14ac:dyDescent="0.25">
      <c r="A153" s="195"/>
      <c r="G153" s="164"/>
      <c r="H153" s="179">
        <v>148</v>
      </c>
      <c r="I153" s="180" t="str">
        <f t="shared" si="10"/>
        <v/>
      </c>
      <c r="J153" s="179" t="e">
        <f t="shared" si="13"/>
        <v>#NUM!</v>
      </c>
      <c r="K153" s="179" t="e">
        <f t="shared" si="11"/>
        <v>#NUM!</v>
      </c>
      <c r="L153" s="179"/>
      <c r="M153" s="181">
        <f t="shared" si="12"/>
        <v>0</v>
      </c>
    </row>
    <row r="154" spans="1:13" x14ac:dyDescent="0.25">
      <c r="A154" s="195"/>
      <c r="G154" s="164"/>
      <c r="H154" s="179">
        <v>149</v>
      </c>
      <c r="I154" s="180" t="str">
        <f t="shared" si="10"/>
        <v/>
      </c>
      <c r="J154" s="179" t="e">
        <f t="shared" si="13"/>
        <v>#NUM!</v>
      </c>
      <c r="K154" s="179" t="e">
        <f t="shared" si="11"/>
        <v>#NUM!</v>
      </c>
      <c r="L154" s="179"/>
      <c r="M154" s="181">
        <f t="shared" si="12"/>
        <v>0</v>
      </c>
    </row>
    <row r="155" spans="1:13" x14ac:dyDescent="0.25">
      <c r="A155" s="197"/>
      <c r="G155" s="164"/>
      <c r="H155" s="179">
        <v>150</v>
      </c>
      <c r="I155" s="180" t="str">
        <f t="shared" si="10"/>
        <v/>
      </c>
      <c r="J155" s="179" t="e">
        <f t="shared" si="13"/>
        <v>#NUM!</v>
      </c>
      <c r="K155" s="179" t="e">
        <f t="shared" si="11"/>
        <v>#NUM!</v>
      </c>
      <c r="L155" s="179"/>
      <c r="M155" s="181">
        <f t="shared" si="12"/>
        <v>0</v>
      </c>
    </row>
    <row r="156" spans="1:13" x14ac:dyDescent="0.25">
      <c r="A156" s="197"/>
      <c r="G156" s="164"/>
      <c r="H156" s="179">
        <v>151</v>
      </c>
      <c r="I156" s="180" t="str">
        <f t="shared" si="10"/>
        <v/>
      </c>
      <c r="J156" s="179" t="e">
        <f t="shared" si="13"/>
        <v>#NUM!</v>
      </c>
      <c r="K156" s="179" t="e">
        <f t="shared" si="11"/>
        <v>#NUM!</v>
      </c>
      <c r="L156" s="179"/>
      <c r="M156" s="181">
        <f t="shared" si="12"/>
        <v>0</v>
      </c>
    </row>
    <row r="157" spans="1:13" x14ac:dyDescent="0.25">
      <c r="A157" s="197"/>
      <c r="G157" s="164"/>
      <c r="H157" s="179">
        <v>152</v>
      </c>
      <c r="I157" s="180" t="str">
        <f t="shared" si="10"/>
        <v/>
      </c>
      <c r="J157" s="179" t="e">
        <f t="shared" si="13"/>
        <v>#NUM!</v>
      </c>
      <c r="K157" s="179" t="e">
        <f t="shared" si="11"/>
        <v>#NUM!</v>
      </c>
      <c r="L157" s="179"/>
      <c r="M157" s="181">
        <f t="shared" si="12"/>
        <v>0</v>
      </c>
    </row>
    <row r="158" spans="1:13" x14ac:dyDescent="0.25">
      <c r="A158" s="197"/>
      <c r="G158" s="164"/>
      <c r="H158" s="179">
        <v>153</v>
      </c>
      <c r="I158" s="180" t="str">
        <f t="shared" si="10"/>
        <v/>
      </c>
      <c r="J158" s="179" t="e">
        <f t="shared" si="13"/>
        <v>#NUM!</v>
      </c>
      <c r="K158" s="179" t="e">
        <f t="shared" si="11"/>
        <v>#NUM!</v>
      </c>
      <c r="L158" s="179"/>
      <c r="M158" s="181">
        <f t="shared" si="12"/>
        <v>0</v>
      </c>
    </row>
    <row r="159" spans="1:13" x14ac:dyDescent="0.25">
      <c r="A159" s="197"/>
      <c r="G159" s="164"/>
      <c r="H159" s="179">
        <v>154</v>
      </c>
      <c r="I159" s="180" t="str">
        <f t="shared" si="10"/>
        <v/>
      </c>
      <c r="J159" s="179" t="e">
        <f t="shared" si="13"/>
        <v>#NUM!</v>
      </c>
      <c r="K159" s="179" t="e">
        <f t="shared" si="11"/>
        <v>#NUM!</v>
      </c>
      <c r="L159" s="179"/>
      <c r="M159" s="181">
        <f t="shared" si="12"/>
        <v>0</v>
      </c>
    </row>
    <row r="160" spans="1:13" x14ac:dyDescent="0.25">
      <c r="A160" s="197"/>
      <c r="G160" s="164"/>
      <c r="H160" s="179">
        <v>155</v>
      </c>
      <c r="I160" s="180" t="str">
        <f t="shared" si="10"/>
        <v/>
      </c>
      <c r="J160" s="179" t="e">
        <f t="shared" si="13"/>
        <v>#NUM!</v>
      </c>
      <c r="K160" s="179" t="e">
        <f t="shared" si="11"/>
        <v>#NUM!</v>
      </c>
      <c r="L160" s="179"/>
      <c r="M160" s="181">
        <f t="shared" si="12"/>
        <v>0</v>
      </c>
    </row>
    <row r="161" spans="1:13" x14ac:dyDescent="0.25">
      <c r="A161" s="197"/>
      <c r="G161" s="164"/>
      <c r="H161" s="179">
        <v>156</v>
      </c>
      <c r="I161" s="180" t="str">
        <f t="shared" si="10"/>
        <v/>
      </c>
      <c r="J161" s="179" t="e">
        <f t="shared" si="13"/>
        <v>#NUM!</v>
      </c>
      <c r="K161" s="179" t="e">
        <f t="shared" si="11"/>
        <v>#NUM!</v>
      </c>
      <c r="L161" s="179"/>
      <c r="M161" s="181">
        <f t="shared" si="12"/>
        <v>0</v>
      </c>
    </row>
    <row r="162" spans="1:13" x14ac:dyDescent="0.25">
      <c r="A162" s="197"/>
      <c r="G162" s="164"/>
      <c r="H162" s="179">
        <v>157</v>
      </c>
      <c r="I162" s="180" t="str">
        <f t="shared" si="10"/>
        <v/>
      </c>
      <c r="J162" s="179" t="e">
        <f t="shared" si="13"/>
        <v>#NUM!</v>
      </c>
      <c r="K162" s="179" t="e">
        <f t="shared" si="11"/>
        <v>#NUM!</v>
      </c>
      <c r="L162" s="179"/>
      <c r="M162" s="181">
        <f t="shared" si="12"/>
        <v>0</v>
      </c>
    </row>
    <row r="163" spans="1:13" x14ac:dyDescent="0.25">
      <c r="A163" s="197"/>
      <c r="G163" s="164"/>
      <c r="H163" s="179">
        <v>158</v>
      </c>
      <c r="I163" s="180" t="str">
        <f t="shared" si="10"/>
        <v/>
      </c>
      <c r="J163" s="179" t="e">
        <f t="shared" si="13"/>
        <v>#NUM!</v>
      </c>
      <c r="K163" s="179" t="e">
        <f t="shared" si="11"/>
        <v>#NUM!</v>
      </c>
      <c r="L163" s="179"/>
      <c r="M163" s="181">
        <f t="shared" si="12"/>
        <v>0</v>
      </c>
    </row>
    <row r="164" spans="1:13" x14ac:dyDescent="0.25">
      <c r="A164" s="197"/>
      <c r="G164" s="164"/>
      <c r="H164" s="179">
        <v>159</v>
      </c>
      <c r="I164" s="180" t="str">
        <f t="shared" si="10"/>
        <v/>
      </c>
      <c r="J164" s="179" t="e">
        <f t="shared" si="13"/>
        <v>#NUM!</v>
      </c>
      <c r="K164" s="179" t="e">
        <f t="shared" si="11"/>
        <v>#NUM!</v>
      </c>
      <c r="L164" s="179"/>
      <c r="M164" s="181">
        <f t="shared" si="12"/>
        <v>0</v>
      </c>
    </row>
    <row r="165" spans="1:13" x14ac:dyDescent="0.25">
      <c r="A165" s="197"/>
      <c r="G165" s="164"/>
      <c r="H165" s="179">
        <v>160</v>
      </c>
      <c r="I165" s="180" t="str">
        <f t="shared" si="10"/>
        <v/>
      </c>
      <c r="J165" s="179" t="e">
        <f t="shared" si="13"/>
        <v>#NUM!</v>
      </c>
      <c r="K165" s="179" t="e">
        <f t="shared" si="11"/>
        <v>#NUM!</v>
      </c>
      <c r="L165" s="179"/>
      <c r="M165" s="181">
        <f t="shared" si="12"/>
        <v>0</v>
      </c>
    </row>
    <row r="166" spans="1:13" x14ac:dyDescent="0.25">
      <c r="A166" s="197"/>
      <c r="G166" s="164"/>
      <c r="H166" s="179">
        <v>161</v>
      </c>
      <c r="I166" s="180" t="str">
        <f t="shared" si="10"/>
        <v/>
      </c>
      <c r="J166" s="179" t="e">
        <f t="shared" si="13"/>
        <v>#NUM!</v>
      </c>
      <c r="K166" s="179" t="e">
        <f t="shared" si="11"/>
        <v>#NUM!</v>
      </c>
      <c r="L166" s="179"/>
      <c r="M166" s="181">
        <f t="shared" si="12"/>
        <v>0</v>
      </c>
    </row>
    <row r="167" spans="1:13" x14ac:dyDescent="0.25">
      <c r="A167" s="197"/>
      <c r="G167" s="164"/>
      <c r="H167" s="179">
        <v>162</v>
      </c>
      <c r="I167" s="180" t="str">
        <f t="shared" si="10"/>
        <v/>
      </c>
      <c r="J167" s="179" t="e">
        <f t="shared" si="13"/>
        <v>#NUM!</v>
      </c>
      <c r="K167" s="179" t="e">
        <f t="shared" si="11"/>
        <v>#NUM!</v>
      </c>
      <c r="L167" s="179"/>
      <c r="M167" s="181">
        <f t="shared" si="12"/>
        <v>0</v>
      </c>
    </row>
    <row r="168" spans="1:13" x14ac:dyDescent="0.25">
      <c r="A168" s="197"/>
      <c r="G168" s="164"/>
      <c r="H168" s="179">
        <v>163</v>
      </c>
      <c r="I168" s="180" t="str">
        <f t="shared" si="10"/>
        <v/>
      </c>
      <c r="J168" s="179" t="e">
        <f t="shared" si="13"/>
        <v>#NUM!</v>
      </c>
      <c r="K168" s="179" t="e">
        <f t="shared" si="11"/>
        <v>#NUM!</v>
      </c>
      <c r="L168" s="179"/>
      <c r="M168" s="181">
        <f t="shared" si="12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0"/>
        <v/>
      </c>
      <c r="J169" s="179" t="e">
        <f t="shared" si="13"/>
        <v>#NUM!</v>
      </c>
      <c r="K169" s="179" t="e">
        <f t="shared" si="11"/>
        <v>#NUM!</v>
      </c>
      <c r="L169" s="179"/>
      <c r="M169" s="181">
        <f t="shared" si="12"/>
        <v>0</v>
      </c>
    </row>
    <row r="170" spans="1:13" x14ac:dyDescent="0.25">
      <c r="A170" s="197"/>
      <c r="G170" s="164"/>
      <c r="H170" s="179">
        <v>165</v>
      </c>
      <c r="I170" s="180" t="str">
        <f t="shared" si="10"/>
        <v/>
      </c>
      <c r="J170" s="179" t="e">
        <f t="shared" si="13"/>
        <v>#NUM!</v>
      </c>
      <c r="K170" s="179" t="e">
        <f t="shared" si="11"/>
        <v>#NUM!</v>
      </c>
      <c r="L170" s="179"/>
      <c r="M170" s="181">
        <f t="shared" si="12"/>
        <v>0</v>
      </c>
    </row>
    <row r="171" spans="1:13" x14ac:dyDescent="0.25">
      <c r="A171" s="197"/>
      <c r="G171" s="164"/>
      <c r="H171" s="179">
        <v>166</v>
      </c>
      <c r="I171" s="180" t="str">
        <f t="shared" si="10"/>
        <v/>
      </c>
      <c r="J171" s="179" t="e">
        <f t="shared" si="13"/>
        <v>#NUM!</v>
      </c>
      <c r="K171" s="179" t="e">
        <f t="shared" si="11"/>
        <v>#NUM!</v>
      </c>
      <c r="L171" s="179"/>
      <c r="M171" s="181">
        <f t="shared" si="12"/>
        <v>0</v>
      </c>
    </row>
    <row r="172" spans="1:13" x14ac:dyDescent="0.25">
      <c r="A172" s="197"/>
      <c r="G172" s="164"/>
      <c r="H172" s="179">
        <v>167</v>
      </c>
      <c r="I172" s="180" t="str">
        <f t="shared" si="10"/>
        <v/>
      </c>
      <c r="J172" s="179" t="e">
        <f t="shared" si="13"/>
        <v>#NUM!</v>
      </c>
      <c r="K172" s="179" t="e">
        <f t="shared" si="11"/>
        <v>#NUM!</v>
      </c>
      <c r="L172" s="179"/>
      <c r="M172" s="181">
        <f t="shared" si="12"/>
        <v>0</v>
      </c>
    </row>
    <row r="173" spans="1:13" x14ac:dyDescent="0.25">
      <c r="A173" s="197"/>
      <c r="G173" s="164"/>
      <c r="H173" s="179">
        <v>168</v>
      </c>
      <c r="I173" s="180" t="str">
        <f t="shared" si="10"/>
        <v/>
      </c>
      <c r="J173" s="179" t="e">
        <f t="shared" si="13"/>
        <v>#NUM!</v>
      </c>
      <c r="K173" s="179" t="e">
        <f t="shared" si="11"/>
        <v>#NUM!</v>
      </c>
      <c r="L173" s="179"/>
      <c r="M173" s="181">
        <f t="shared" si="12"/>
        <v>0</v>
      </c>
    </row>
    <row r="174" spans="1:13" x14ac:dyDescent="0.25">
      <c r="A174" s="197"/>
      <c r="G174" s="164"/>
      <c r="H174" s="179">
        <v>169</v>
      </c>
      <c r="I174" s="180" t="str">
        <f t="shared" si="10"/>
        <v/>
      </c>
      <c r="J174" s="179" t="e">
        <f t="shared" si="13"/>
        <v>#NUM!</v>
      </c>
      <c r="K174" s="179" t="e">
        <f t="shared" si="11"/>
        <v>#NUM!</v>
      </c>
      <c r="L174" s="179"/>
      <c r="M174" s="181">
        <f t="shared" si="12"/>
        <v>0</v>
      </c>
    </row>
    <row r="175" spans="1:13" x14ac:dyDescent="0.25">
      <c r="A175" s="197"/>
      <c r="G175" s="164"/>
      <c r="H175" s="179">
        <v>170</v>
      </c>
      <c r="I175" s="180" t="str">
        <f t="shared" si="10"/>
        <v/>
      </c>
      <c r="J175" s="179" t="e">
        <f t="shared" si="13"/>
        <v>#NUM!</v>
      </c>
      <c r="K175" s="179" t="e">
        <f t="shared" si="11"/>
        <v>#NUM!</v>
      </c>
      <c r="L175" s="179"/>
      <c r="M175" s="181">
        <f t="shared" si="12"/>
        <v>0</v>
      </c>
    </row>
    <row r="176" spans="1:13" x14ac:dyDescent="0.25">
      <c r="A176" s="197"/>
      <c r="G176" s="164"/>
      <c r="H176" s="179">
        <v>171</v>
      </c>
      <c r="I176" s="180" t="str">
        <f t="shared" si="10"/>
        <v/>
      </c>
      <c r="J176" s="179" t="e">
        <f t="shared" si="13"/>
        <v>#NUM!</v>
      </c>
      <c r="K176" s="179" t="e">
        <f t="shared" si="11"/>
        <v>#NUM!</v>
      </c>
      <c r="L176" s="179"/>
      <c r="M176" s="181">
        <f t="shared" si="12"/>
        <v>0</v>
      </c>
    </row>
    <row r="177" spans="1:13" x14ac:dyDescent="0.25">
      <c r="A177" s="197"/>
      <c r="G177" s="164"/>
      <c r="H177" s="179">
        <v>172</v>
      </c>
      <c r="I177" s="180" t="str">
        <f t="shared" si="10"/>
        <v/>
      </c>
      <c r="J177" s="179" t="e">
        <f t="shared" si="13"/>
        <v>#NUM!</v>
      </c>
      <c r="K177" s="179" t="e">
        <f t="shared" si="11"/>
        <v>#NUM!</v>
      </c>
      <c r="L177" s="179"/>
      <c r="M177" s="181">
        <f t="shared" si="12"/>
        <v>0</v>
      </c>
    </row>
    <row r="178" spans="1:13" x14ac:dyDescent="0.25">
      <c r="A178" s="197"/>
      <c r="G178" s="164"/>
      <c r="H178" s="179">
        <v>173</v>
      </c>
      <c r="I178" s="180" t="str">
        <f t="shared" si="10"/>
        <v/>
      </c>
      <c r="J178" s="179" t="e">
        <f t="shared" si="13"/>
        <v>#NUM!</v>
      </c>
      <c r="K178" s="179" t="e">
        <f t="shared" si="11"/>
        <v>#NUM!</v>
      </c>
      <c r="L178" s="179"/>
      <c r="M178" s="181">
        <f t="shared" si="12"/>
        <v>0</v>
      </c>
    </row>
    <row r="179" spans="1:13" x14ac:dyDescent="0.25">
      <c r="A179" s="197"/>
      <c r="G179" s="164"/>
      <c r="H179" s="179">
        <v>174</v>
      </c>
      <c r="I179" s="180" t="str">
        <f t="shared" si="10"/>
        <v/>
      </c>
      <c r="J179" s="179" t="e">
        <f t="shared" si="13"/>
        <v>#NUM!</v>
      </c>
      <c r="K179" s="179" t="e">
        <f t="shared" si="11"/>
        <v>#NUM!</v>
      </c>
      <c r="L179" s="179"/>
      <c r="M179" s="181">
        <f t="shared" si="12"/>
        <v>0</v>
      </c>
    </row>
    <row r="180" spans="1:13" x14ac:dyDescent="0.25">
      <c r="A180" s="197"/>
      <c r="G180" s="164"/>
      <c r="H180" s="179">
        <v>175</v>
      </c>
      <c r="I180" s="180" t="str">
        <f t="shared" si="10"/>
        <v/>
      </c>
      <c r="J180" s="179" t="e">
        <f t="shared" si="13"/>
        <v>#NUM!</v>
      </c>
      <c r="K180" s="179" t="e">
        <f t="shared" si="11"/>
        <v>#NUM!</v>
      </c>
      <c r="L180" s="179"/>
      <c r="M180" s="181">
        <f t="shared" si="12"/>
        <v>0</v>
      </c>
    </row>
    <row r="181" spans="1:13" x14ac:dyDescent="0.25">
      <c r="A181" s="197"/>
      <c r="G181" s="164"/>
      <c r="H181" s="179">
        <v>176</v>
      </c>
      <c r="I181" s="180" t="str">
        <f t="shared" si="10"/>
        <v/>
      </c>
      <c r="J181" s="179" t="e">
        <f t="shared" si="13"/>
        <v>#NUM!</v>
      </c>
      <c r="K181" s="179" t="e">
        <f t="shared" si="11"/>
        <v>#NUM!</v>
      </c>
      <c r="L181" s="179"/>
      <c r="M181" s="181">
        <f t="shared" si="12"/>
        <v>0</v>
      </c>
    </row>
    <row r="182" spans="1:13" x14ac:dyDescent="0.25">
      <c r="A182" s="197"/>
      <c r="G182" s="164"/>
      <c r="H182" s="179">
        <v>177</v>
      </c>
      <c r="I182" s="180" t="str">
        <f t="shared" si="10"/>
        <v/>
      </c>
      <c r="J182" s="179" t="e">
        <f t="shared" si="13"/>
        <v>#NUM!</v>
      </c>
      <c r="K182" s="179" t="e">
        <f t="shared" si="11"/>
        <v>#NUM!</v>
      </c>
      <c r="L182" s="179"/>
      <c r="M182" s="181">
        <f t="shared" si="12"/>
        <v>0</v>
      </c>
    </row>
    <row r="183" spans="1:13" x14ac:dyDescent="0.25">
      <c r="A183" s="197"/>
      <c r="G183" s="164"/>
      <c r="H183" s="179">
        <v>178</v>
      </c>
      <c r="I183" s="180" t="str">
        <f t="shared" si="10"/>
        <v/>
      </c>
      <c r="J183" s="179" t="e">
        <f t="shared" si="13"/>
        <v>#NUM!</v>
      </c>
      <c r="K183" s="179" t="e">
        <f t="shared" si="11"/>
        <v>#NUM!</v>
      </c>
      <c r="L183" s="179"/>
      <c r="M183" s="181">
        <f t="shared" si="12"/>
        <v>0</v>
      </c>
    </row>
    <row r="184" spans="1:13" x14ac:dyDescent="0.25">
      <c r="A184" s="197"/>
      <c r="G184" s="164"/>
      <c r="H184" s="179">
        <v>179</v>
      </c>
      <c r="I184" s="180" t="str">
        <f t="shared" si="10"/>
        <v/>
      </c>
      <c r="J184" s="179" t="e">
        <f t="shared" si="13"/>
        <v>#NUM!</v>
      </c>
      <c r="K184" s="179" t="e">
        <f t="shared" si="11"/>
        <v>#NUM!</v>
      </c>
      <c r="L184" s="179"/>
      <c r="M184" s="181">
        <f t="shared" si="12"/>
        <v>0</v>
      </c>
    </row>
    <row r="185" spans="1:13" x14ac:dyDescent="0.25">
      <c r="A185" s="197"/>
      <c r="G185" s="164"/>
      <c r="H185" s="179">
        <v>180</v>
      </c>
      <c r="I185" s="180" t="str">
        <f t="shared" si="10"/>
        <v/>
      </c>
      <c r="J185" s="179" t="e">
        <f t="shared" si="13"/>
        <v>#NUM!</v>
      </c>
      <c r="K185" s="179" t="e">
        <f t="shared" si="11"/>
        <v>#NUM!</v>
      </c>
      <c r="L185" s="179"/>
      <c r="M185" s="181">
        <f t="shared" si="12"/>
        <v>0</v>
      </c>
    </row>
    <row r="186" spans="1:13" x14ac:dyDescent="0.25">
      <c r="A186" s="197"/>
      <c r="G186" s="164"/>
      <c r="H186" s="179">
        <v>181</v>
      </c>
      <c r="I186" s="180" t="str">
        <f t="shared" si="10"/>
        <v/>
      </c>
      <c r="J186" s="179" t="e">
        <f t="shared" si="13"/>
        <v>#NUM!</v>
      </c>
      <c r="K186" s="179" t="e">
        <f t="shared" si="11"/>
        <v>#NUM!</v>
      </c>
      <c r="L186" s="179"/>
      <c r="M186" s="181">
        <f t="shared" si="12"/>
        <v>0</v>
      </c>
    </row>
    <row r="187" spans="1:13" x14ac:dyDescent="0.25">
      <c r="A187" s="197"/>
      <c r="G187" s="164"/>
      <c r="H187" s="179">
        <v>182</v>
      </c>
      <c r="I187" s="180" t="str">
        <f t="shared" si="10"/>
        <v/>
      </c>
      <c r="J187" s="179" t="e">
        <f t="shared" si="13"/>
        <v>#NUM!</v>
      </c>
      <c r="K187" s="179" t="e">
        <f t="shared" si="11"/>
        <v>#NUM!</v>
      </c>
      <c r="L187" s="179"/>
      <c r="M187" s="181">
        <f t="shared" si="12"/>
        <v>0</v>
      </c>
    </row>
    <row r="188" spans="1:13" x14ac:dyDescent="0.25">
      <c r="A188" s="197"/>
      <c r="G188" s="164"/>
      <c r="H188" s="179">
        <v>183</v>
      </c>
      <c r="I188" s="180" t="str">
        <f t="shared" si="10"/>
        <v/>
      </c>
      <c r="J188" s="179" t="e">
        <f t="shared" si="13"/>
        <v>#NUM!</v>
      </c>
      <c r="K188" s="179" t="e">
        <f t="shared" si="11"/>
        <v>#NUM!</v>
      </c>
      <c r="L188" s="179"/>
      <c r="M188" s="181">
        <f t="shared" si="12"/>
        <v>0</v>
      </c>
    </row>
    <row r="189" spans="1:13" x14ac:dyDescent="0.25">
      <c r="A189" s="197"/>
      <c r="G189" s="164"/>
      <c r="H189" s="179">
        <v>184</v>
      </c>
      <c r="I189" s="180" t="str">
        <f t="shared" si="10"/>
        <v/>
      </c>
      <c r="J189" s="179" t="e">
        <f t="shared" si="13"/>
        <v>#NUM!</v>
      </c>
      <c r="K189" s="179" t="e">
        <f t="shared" si="11"/>
        <v>#NUM!</v>
      </c>
      <c r="L189" s="179"/>
      <c r="M189" s="181">
        <f t="shared" si="12"/>
        <v>0</v>
      </c>
    </row>
    <row r="190" spans="1:13" x14ac:dyDescent="0.25">
      <c r="A190" s="197"/>
      <c r="G190" s="164"/>
      <c r="H190" s="179">
        <v>185</v>
      </c>
      <c r="I190" s="180" t="str">
        <f t="shared" si="10"/>
        <v/>
      </c>
      <c r="J190" s="179" t="e">
        <f t="shared" si="13"/>
        <v>#NUM!</v>
      </c>
      <c r="K190" s="179" t="e">
        <f t="shared" si="11"/>
        <v>#NUM!</v>
      </c>
      <c r="L190" s="179"/>
      <c r="M190" s="181">
        <f t="shared" si="12"/>
        <v>0</v>
      </c>
    </row>
    <row r="191" spans="1:13" x14ac:dyDescent="0.25">
      <c r="A191" s="197"/>
      <c r="G191" s="164"/>
      <c r="H191" s="179">
        <v>186</v>
      </c>
      <c r="I191" s="180" t="str">
        <f t="shared" si="10"/>
        <v/>
      </c>
      <c r="J191" s="179" t="e">
        <f t="shared" si="13"/>
        <v>#NUM!</v>
      </c>
      <c r="K191" s="179" t="e">
        <f t="shared" si="11"/>
        <v>#NUM!</v>
      </c>
      <c r="L191" s="179"/>
      <c r="M191" s="181">
        <f t="shared" si="12"/>
        <v>0</v>
      </c>
    </row>
    <row r="192" spans="1:13" x14ac:dyDescent="0.25">
      <c r="A192" s="197"/>
      <c r="G192" s="164"/>
      <c r="H192" s="179">
        <v>187</v>
      </c>
      <c r="I192" s="180" t="str">
        <f t="shared" si="10"/>
        <v/>
      </c>
      <c r="J192" s="179" t="e">
        <f t="shared" si="13"/>
        <v>#NUM!</v>
      </c>
      <c r="K192" s="179" t="e">
        <f t="shared" si="11"/>
        <v>#NUM!</v>
      </c>
      <c r="L192" s="179"/>
      <c r="M192" s="181">
        <f t="shared" si="12"/>
        <v>0</v>
      </c>
    </row>
    <row r="193" spans="1:13" x14ac:dyDescent="0.25">
      <c r="A193" s="197"/>
      <c r="G193" s="164"/>
      <c r="H193" s="179">
        <v>188</v>
      </c>
      <c r="I193" s="180" t="str">
        <f t="shared" si="10"/>
        <v/>
      </c>
      <c r="J193" s="179" t="e">
        <f t="shared" si="13"/>
        <v>#NUM!</v>
      </c>
      <c r="K193" s="179" t="e">
        <f t="shared" si="11"/>
        <v>#NUM!</v>
      </c>
      <c r="L193" s="179"/>
      <c r="M193" s="181">
        <f t="shared" si="12"/>
        <v>0</v>
      </c>
    </row>
    <row r="194" spans="1:13" x14ac:dyDescent="0.25">
      <c r="A194" s="197"/>
      <c r="G194" s="164"/>
      <c r="H194" s="179">
        <v>189</v>
      </c>
      <c r="I194" s="180" t="str">
        <f t="shared" si="10"/>
        <v/>
      </c>
      <c r="J194" s="179" t="e">
        <f t="shared" si="13"/>
        <v>#NUM!</v>
      </c>
      <c r="K194" s="179" t="e">
        <f t="shared" si="11"/>
        <v>#NUM!</v>
      </c>
      <c r="L194" s="179"/>
      <c r="M194" s="181">
        <f t="shared" si="12"/>
        <v>0</v>
      </c>
    </row>
    <row r="195" spans="1:13" x14ac:dyDescent="0.25">
      <c r="A195" s="197"/>
      <c r="G195" s="164"/>
      <c r="H195" s="179">
        <v>190</v>
      </c>
      <c r="I195" s="180" t="str">
        <f t="shared" si="10"/>
        <v/>
      </c>
      <c r="J195" s="179" t="e">
        <f t="shared" si="13"/>
        <v>#NUM!</v>
      </c>
      <c r="K195" s="179" t="e">
        <f t="shared" si="11"/>
        <v>#NUM!</v>
      </c>
      <c r="L195" s="179"/>
      <c r="M195" s="181">
        <f t="shared" si="12"/>
        <v>0</v>
      </c>
    </row>
    <row r="196" spans="1:13" x14ac:dyDescent="0.25">
      <c r="A196" s="197"/>
      <c r="G196" s="164"/>
      <c r="H196" s="179">
        <v>191</v>
      </c>
      <c r="I196" s="180" t="str">
        <f t="shared" si="10"/>
        <v/>
      </c>
      <c r="J196" s="179" t="e">
        <f t="shared" si="13"/>
        <v>#NUM!</v>
      </c>
      <c r="K196" s="179" t="e">
        <f t="shared" si="11"/>
        <v>#NUM!</v>
      </c>
      <c r="L196" s="179"/>
      <c r="M196" s="181">
        <f t="shared" si="12"/>
        <v>0</v>
      </c>
    </row>
    <row r="197" spans="1:13" x14ac:dyDescent="0.25">
      <c r="A197" s="197"/>
      <c r="G197" s="164"/>
      <c r="H197" s="179">
        <v>192</v>
      </c>
      <c r="I197" s="180" t="str">
        <f t="shared" si="10"/>
        <v/>
      </c>
      <c r="J197" s="179" t="e">
        <f t="shared" si="13"/>
        <v>#NUM!</v>
      </c>
      <c r="K197" s="179" t="e">
        <f t="shared" si="11"/>
        <v>#NUM!</v>
      </c>
      <c r="L197" s="179"/>
      <c r="M197" s="181">
        <f t="shared" si="12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4">IF(H198&lt;$H$2+1,($I$2-($I$2-1)*(LOG(H198)/LOG($H$2))),"")</f>
        <v/>
      </c>
      <c r="J198" s="179" t="e">
        <f t="shared" si="13"/>
        <v>#NUM!</v>
      </c>
      <c r="K198" s="179" t="e">
        <f t="shared" ref="K198:K261" si="15">J198*$J$2</f>
        <v>#NUM!</v>
      </c>
      <c r="L198" s="179"/>
      <c r="M198" s="181">
        <f t="shared" ref="M198:M261" si="16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4"/>
        <v/>
      </c>
      <c r="J199" s="179" t="e">
        <f t="shared" ref="J199:J262" si="17">INT(LOG($H$2,2))-ROUNDUP(LOG(H199,2),0)+IF(OR($H$2=1,$H$2=2,$H$2=4,$H$2=8,$H$2=16,$H$2=32,$H$2=64,$H$2=128,$H$2=256),0,1)</f>
        <v>#NUM!</v>
      </c>
      <c r="K199" s="179" t="e">
        <f t="shared" si="15"/>
        <v>#NUM!</v>
      </c>
      <c r="L199" s="179"/>
      <c r="M199" s="181">
        <f t="shared" si="16"/>
        <v>0</v>
      </c>
    </row>
    <row r="200" spans="1:13" x14ac:dyDescent="0.25">
      <c r="A200" s="197"/>
      <c r="G200" s="164"/>
      <c r="H200" s="179">
        <v>195</v>
      </c>
      <c r="I200" s="180" t="str">
        <f t="shared" si="14"/>
        <v/>
      </c>
      <c r="J200" s="179" t="e">
        <f t="shared" si="17"/>
        <v>#NUM!</v>
      </c>
      <c r="K200" s="179" t="e">
        <f t="shared" si="15"/>
        <v>#NUM!</v>
      </c>
      <c r="L200" s="179"/>
      <c r="M200" s="181">
        <f t="shared" si="16"/>
        <v>0</v>
      </c>
    </row>
    <row r="201" spans="1:13" x14ac:dyDescent="0.25">
      <c r="A201" s="197"/>
      <c r="G201" s="164"/>
      <c r="H201" s="179">
        <v>196</v>
      </c>
      <c r="I201" s="180" t="str">
        <f t="shared" si="14"/>
        <v/>
      </c>
      <c r="J201" s="179" t="e">
        <f t="shared" si="17"/>
        <v>#NUM!</v>
      </c>
      <c r="K201" s="179" t="e">
        <f t="shared" si="15"/>
        <v>#NUM!</v>
      </c>
      <c r="L201" s="179"/>
      <c r="M201" s="181">
        <f t="shared" si="16"/>
        <v>0</v>
      </c>
    </row>
    <row r="202" spans="1:13" x14ac:dyDescent="0.25">
      <c r="A202" s="197"/>
      <c r="G202" s="164"/>
      <c r="H202" s="179">
        <v>197</v>
      </c>
      <c r="I202" s="180" t="str">
        <f t="shared" si="14"/>
        <v/>
      </c>
      <c r="J202" s="179" t="e">
        <f t="shared" si="17"/>
        <v>#NUM!</v>
      </c>
      <c r="K202" s="179" t="e">
        <f t="shared" si="15"/>
        <v>#NUM!</v>
      </c>
      <c r="L202" s="179"/>
      <c r="M202" s="181">
        <f t="shared" si="16"/>
        <v>0</v>
      </c>
    </row>
    <row r="203" spans="1:13" x14ac:dyDescent="0.25">
      <c r="A203" s="197"/>
      <c r="G203" s="164"/>
      <c r="H203" s="179">
        <v>198</v>
      </c>
      <c r="I203" s="180" t="str">
        <f t="shared" si="14"/>
        <v/>
      </c>
      <c r="J203" s="179" t="e">
        <f t="shared" si="17"/>
        <v>#NUM!</v>
      </c>
      <c r="K203" s="179" t="e">
        <f t="shared" si="15"/>
        <v>#NUM!</v>
      </c>
      <c r="L203" s="179"/>
      <c r="M203" s="181">
        <f t="shared" si="16"/>
        <v>0</v>
      </c>
    </row>
    <row r="204" spans="1:13" x14ac:dyDescent="0.25">
      <c r="A204" s="197"/>
      <c r="G204" s="164"/>
      <c r="H204" s="179">
        <v>199</v>
      </c>
      <c r="I204" s="180" t="str">
        <f t="shared" si="14"/>
        <v/>
      </c>
      <c r="J204" s="179" t="e">
        <f t="shared" si="17"/>
        <v>#NUM!</v>
      </c>
      <c r="K204" s="179" t="e">
        <f t="shared" si="15"/>
        <v>#NUM!</v>
      </c>
      <c r="L204" s="179"/>
      <c r="M204" s="181">
        <f t="shared" si="16"/>
        <v>0</v>
      </c>
    </row>
    <row r="205" spans="1:13" x14ac:dyDescent="0.25">
      <c r="A205" s="197"/>
      <c r="G205" s="164"/>
      <c r="H205" s="179">
        <v>200</v>
      </c>
      <c r="I205" s="180" t="str">
        <f t="shared" si="14"/>
        <v/>
      </c>
      <c r="J205" s="179" t="e">
        <f t="shared" si="17"/>
        <v>#NUM!</v>
      </c>
      <c r="K205" s="179" t="e">
        <f t="shared" si="15"/>
        <v>#NUM!</v>
      </c>
      <c r="L205" s="179"/>
      <c r="M205" s="181">
        <f t="shared" si="16"/>
        <v>0</v>
      </c>
    </row>
    <row r="206" spans="1:13" x14ac:dyDescent="0.25">
      <c r="A206" s="197"/>
      <c r="G206" s="164"/>
      <c r="H206" s="179">
        <v>201</v>
      </c>
      <c r="I206" s="180" t="str">
        <f t="shared" si="14"/>
        <v/>
      </c>
      <c r="J206" s="179" t="e">
        <f t="shared" si="17"/>
        <v>#NUM!</v>
      </c>
      <c r="K206" s="179" t="e">
        <f t="shared" si="15"/>
        <v>#NUM!</v>
      </c>
      <c r="L206" s="179"/>
      <c r="M206" s="181">
        <f t="shared" si="16"/>
        <v>0</v>
      </c>
    </row>
    <row r="207" spans="1:13" x14ac:dyDescent="0.25">
      <c r="A207" s="197"/>
      <c r="G207" s="164"/>
      <c r="H207" s="179">
        <v>202</v>
      </c>
      <c r="I207" s="180" t="str">
        <f t="shared" si="14"/>
        <v/>
      </c>
      <c r="J207" s="179" t="e">
        <f t="shared" si="17"/>
        <v>#NUM!</v>
      </c>
      <c r="K207" s="179" t="e">
        <f t="shared" si="15"/>
        <v>#NUM!</v>
      </c>
      <c r="L207" s="179"/>
      <c r="M207" s="181">
        <f t="shared" si="16"/>
        <v>0</v>
      </c>
    </row>
    <row r="208" spans="1:13" x14ac:dyDescent="0.25">
      <c r="A208" s="197"/>
      <c r="G208" s="164"/>
      <c r="H208" s="179">
        <v>203</v>
      </c>
      <c r="I208" s="180" t="str">
        <f t="shared" si="14"/>
        <v/>
      </c>
      <c r="J208" s="179" t="e">
        <f t="shared" si="17"/>
        <v>#NUM!</v>
      </c>
      <c r="K208" s="179" t="e">
        <f t="shared" si="15"/>
        <v>#NUM!</v>
      </c>
      <c r="L208" s="179"/>
      <c r="M208" s="181">
        <f t="shared" si="16"/>
        <v>0</v>
      </c>
    </row>
    <row r="209" spans="1:13" x14ac:dyDescent="0.25">
      <c r="A209" s="197"/>
      <c r="G209" s="164"/>
      <c r="H209" s="179">
        <v>204</v>
      </c>
      <c r="I209" s="180" t="str">
        <f t="shared" si="14"/>
        <v/>
      </c>
      <c r="J209" s="179" t="e">
        <f t="shared" si="17"/>
        <v>#NUM!</v>
      </c>
      <c r="K209" s="179" t="e">
        <f t="shared" si="15"/>
        <v>#NUM!</v>
      </c>
      <c r="L209" s="179"/>
      <c r="M209" s="181">
        <f t="shared" si="16"/>
        <v>0</v>
      </c>
    </row>
    <row r="210" spans="1:13" x14ac:dyDescent="0.25">
      <c r="A210" s="197"/>
      <c r="G210" s="164"/>
      <c r="H210" s="179">
        <v>205</v>
      </c>
      <c r="I210" s="180" t="str">
        <f t="shared" si="14"/>
        <v/>
      </c>
      <c r="J210" s="179" t="e">
        <f t="shared" si="17"/>
        <v>#NUM!</v>
      </c>
      <c r="K210" s="179" t="e">
        <f t="shared" si="15"/>
        <v>#NUM!</v>
      </c>
      <c r="L210" s="179"/>
      <c r="M210" s="181">
        <f t="shared" si="16"/>
        <v>0</v>
      </c>
    </row>
    <row r="211" spans="1:13" x14ac:dyDescent="0.25">
      <c r="A211" s="197"/>
      <c r="G211" s="164"/>
      <c r="H211" s="179">
        <v>206</v>
      </c>
      <c r="I211" s="180" t="str">
        <f t="shared" si="14"/>
        <v/>
      </c>
      <c r="J211" s="179" t="e">
        <f t="shared" si="17"/>
        <v>#NUM!</v>
      </c>
      <c r="K211" s="179" t="e">
        <f t="shared" si="15"/>
        <v>#NUM!</v>
      </c>
      <c r="L211" s="179"/>
      <c r="M211" s="181">
        <f t="shared" si="16"/>
        <v>0</v>
      </c>
    </row>
    <row r="212" spans="1:13" x14ac:dyDescent="0.25">
      <c r="A212" s="197"/>
      <c r="G212" s="164"/>
      <c r="H212" s="179">
        <v>207</v>
      </c>
      <c r="I212" s="180" t="str">
        <f t="shared" si="14"/>
        <v/>
      </c>
      <c r="J212" s="179" t="e">
        <f t="shared" si="17"/>
        <v>#NUM!</v>
      </c>
      <c r="K212" s="179" t="e">
        <f t="shared" si="15"/>
        <v>#NUM!</v>
      </c>
      <c r="L212" s="179"/>
      <c r="M212" s="181">
        <f t="shared" si="16"/>
        <v>0</v>
      </c>
    </row>
    <row r="213" spans="1:13" x14ac:dyDescent="0.25">
      <c r="A213" s="197"/>
      <c r="G213" s="164"/>
      <c r="H213" s="179">
        <v>208</v>
      </c>
      <c r="I213" s="180" t="str">
        <f t="shared" si="14"/>
        <v/>
      </c>
      <c r="J213" s="179" t="e">
        <f t="shared" si="17"/>
        <v>#NUM!</v>
      </c>
      <c r="K213" s="179" t="e">
        <f t="shared" si="15"/>
        <v>#NUM!</v>
      </c>
      <c r="L213" s="179"/>
      <c r="M213" s="181">
        <f t="shared" si="16"/>
        <v>0</v>
      </c>
    </row>
    <row r="214" spans="1:13" x14ac:dyDescent="0.25">
      <c r="A214" s="197"/>
      <c r="G214" s="164"/>
      <c r="H214" s="179">
        <v>209</v>
      </c>
      <c r="I214" s="180" t="str">
        <f t="shared" si="14"/>
        <v/>
      </c>
      <c r="J214" s="179" t="e">
        <f t="shared" si="17"/>
        <v>#NUM!</v>
      </c>
      <c r="K214" s="179" t="e">
        <f t="shared" si="15"/>
        <v>#NUM!</v>
      </c>
      <c r="L214" s="179"/>
      <c r="M214" s="181">
        <f t="shared" si="16"/>
        <v>0</v>
      </c>
    </row>
    <row r="215" spans="1:13" x14ac:dyDescent="0.25">
      <c r="A215" s="197"/>
      <c r="G215" s="164"/>
      <c r="H215" s="179">
        <v>210</v>
      </c>
      <c r="I215" s="180" t="str">
        <f t="shared" si="14"/>
        <v/>
      </c>
      <c r="J215" s="179" t="e">
        <f t="shared" si="17"/>
        <v>#NUM!</v>
      </c>
      <c r="K215" s="179" t="e">
        <f t="shared" si="15"/>
        <v>#NUM!</v>
      </c>
      <c r="L215" s="179"/>
      <c r="M215" s="181">
        <f t="shared" si="16"/>
        <v>0</v>
      </c>
    </row>
    <row r="216" spans="1:13" x14ac:dyDescent="0.25">
      <c r="A216" s="197"/>
      <c r="G216" s="164"/>
      <c r="H216" s="179">
        <v>211</v>
      </c>
      <c r="I216" s="180" t="str">
        <f t="shared" si="14"/>
        <v/>
      </c>
      <c r="J216" s="179" t="e">
        <f t="shared" si="17"/>
        <v>#NUM!</v>
      </c>
      <c r="K216" s="179" t="e">
        <f t="shared" si="15"/>
        <v>#NUM!</v>
      </c>
      <c r="L216" s="179"/>
      <c r="M216" s="181">
        <f t="shared" si="16"/>
        <v>0</v>
      </c>
    </row>
    <row r="217" spans="1:13" x14ac:dyDescent="0.25">
      <c r="A217" s="197"/>
      <c r="G217" s="164"/>
      <c r="H217" s="179">
        <v>212</v>
      </c>
      <c r="I217" s="180" t="str">
        <f t="shared" si="14"/>
        <v/>
      </c>
      <c r="J217" s="179" t="e">
        <f t="shared" si="17"/>
        <v>#NUM!</v>
      </c>
      <c r="K217" s="179" t="e">
        <f t="shared" si="15"/>
        <v>#NUM!</v>
      </c>
      <c r="L217" s="179"/>
      <c r="M217" s="181">
        <f t="shared" si="16"/>
        <v>0</v>
      </c>
    </row>
    <row r="218" spans="1:13" x14ac:dyDescent="0.25">
      <c r="A218" s="197"/>
      <c r="G218" s="164"/>
      <c r="H218" s="179">
        <v>213</v>
      </c>
      <c r="I218" s="180" t="str">
        <f t="shared" si="14"/>
        <v/>
      </c>
      <c r="J218" s="179" t="e">
        <f t="shared" si="17"/>
        <v>#NUM!</v>
      </c>
      <c r="K218" s="179" t="e">
        <f t="shared" si="15"/>
        <v>#NUM!</v>
      </c>
      <c r="L218" s="179"/>
      <c r="M218" s="181">
        <f t="shared" si="16"/>
        <v>0</v>
      </c>
    </row>
    <row r="219" spans="1:13" x14ac:dyDescent="0.25">
      <c r="A219" s="197"/>
      <c r="G219" s="164"/>
      <c r="H219" s="179">
        <v>214</v>
      </c>
      <c r="I219" s="180" t="str">
        <f t="shared" si="14"/>
        <v/>
      </c>
      <c r="J219" s="179" t="e">
        <f t="shared" si="17"/>
        <v>#NUM!</v>
      </c>
      <c r="K219" s="179" t="e">
        <f t="shared" si="15"/>
        <v>#NUM!</v>
      </c>
      <c r="L219" s="179"/>
      <c r="M219" s="181">
        <f t="shared" si="16"/>
        <v>0</v>
      </c>
    </row>
    <row r="220" spans="1:13" x14ac:dyDescent="0.25">
      <c r="A220" s="197"/>
      <c r="G220" s="164"/>
      <c r="H220" s="179">
        <v>215</v>
      </c>
      <c r="I220" s="180" t="str">
        <f t="shared" si="14"/>
        <v/>
      </c>
      <c r="J220" s="179" t="e">
        <f t="shared" si="17"/>
        <v>#NUM!</v>
      </c>
      <c r="K220" s="179" t="e">
        <f t="shared" si="15"/>
        <v>#NUM!</v>
      </c>
      <c r="L220" s="179"/>
      <c r="M220" s="181">
        <f t="shared" si="16"/>
        <v>0</v>
      </c>
    </row>
    <row r="221" spans="1:13" x14ac:dyDescent="0.25">
      <c r="A221" s="197"/>
      <c r="G221" s="164"/>
      <c r="H221" s="179">
        <v>216</v>
      </c>
      <c r="I221" s="180" t="str">
        <f t="shared" si="14"/>
        <v/>
      </c>
      <c r="J221" s="179" t="e">
        <f t="shared" si="17"/>
        <v>#NUM!</v>
      </c>
      <c r="K221" s="179" t="e">
        <f t="shared" si="15"/>
        <v>#NUM!</v>
      </c>
      <c r="L221" s="179"/>
      <c r="M221" s="181">
        <f t="shared" si="16"/>
        <v>0</v>
      </c>
    </row>
    <row r="222" spans="1:13" x14ac:dyDescent="0.25">
      <c r="A222" s="197"/>
      <c r="G222" s="164"/>
      <c r="H222" s="179">
        <v>217</v>
      </c>
      <c r="I222" s="180" t="str">
        <f t="shared" si="14"/>
        <v/>
      </c>
      <c r="J222" s="179" t="e">
        <f t="shared" si="17"/>
        <v>#NUM!</v>
      </c>
      <c r="K222" s="179" t="e">
        <f t="shared" si="15"/>
        <v>#NUM!</v>
      </c>
      <c r="L222" s="179"/>
      <c r="M222" s="181">
        <f t="shared" si="16"/>
        <v>0</v>
      </c>
    </row>
    <row r="223" spans="1:13" x14ac:dyDescent="0.25">
      <c r="A223" s="197"/>
      <c r="G223" s="164"/>
      <c r="H223" s="179">
        <v>218</v>
      </c>
      <c r="I223" s="180" t="str">
        <f t="shared" si="14"/>
        <v/>
      </c>
      <c r="J223" s="179" t="e">
        <f t="shared" si="17"/>
        <v>#NUM!</v>
      </c>
      <c r="K223" s="179" t="e">
        <f t="shared" si="15"/>
        <v>#NUM!</v>
      </c>
      <c r="L223" s="179"/>
      <c r="M223" s="181">
        <f t="shared" si="16"/>
        <v>0</v>
      </c>
    </row>
    <row r="224" spans="1:13" x14ac:dyDescent="0.25">
      <c r="A224" s="197"/>
      <c r="G224" s="164"/>
      <c r="H224" s="179">
        <v>219</v>
      </c>
      <c r="I224" s="180" t="str">
        <f t="shared" si="14"/>
        <v/>
      </c>
      <c r="J224" s="179" t="e">
        <f t="shared" si="17"/>
        <v>#NUM!</v>
      </c>
      <c r="K224" s="179" t="e">
        <f t="shared" si="15"/>
        <v>#NUM!</v>
      </c>
      <c r="L224" s="179"/>
      <c r="M224" s="181">
        <f t="shared" si="16"/>
        <v>0</v>
      </c>
    </row>
    <row r="225" spans="1:13" x14ac:dyDescent="0.25">
      <c r="A225" s="197"/>
      <c r="G225" s="164"/>
      <c r="H225" s="179">
        <v>220</v>
      </c>
      <c r="I225" s="180" t="str">
        <f t="shared" si="14"/>
        <v/>
      </c>
      <c r="J225" s="179" t="e">
        <f t="shared" si="17"/>
        <v>#NUM!</v>
      </c>
      <c r="K225" s="179" t="e">
        <f t="shared" si="15"/>
        <v>#NUM!</v>
      </c>
      <c r="L225" s="179"/>
      <c r="M225" s="181">
        <f t="shared" si="16"/>
        <v>0</v>
      </c>
    </row>
    <row r="226" spans="1:13" x14ac:dyDescent="0.25">
      <c r="A226" s="197"/>
      <c r="G226" s="164"/>
      <c r="H226" s="179">
        <v>221</v>
      </c>
      <c r="I226" s="180" t="str">
        <f t="shared" si="14"/>
        <v/>
      </c>
      <c r="J226" s="179" t="e">
        <f t="shared" si="17"/>
        <v>#NUM!</v>
      </c>
      <c r="K226" s="179" t="e">
        <f t="shared" si="15"/>
        <v>#NUM!</v>
      </c>
      <c r="L226" s="179"/>
      <c r="M226" s="181">
        <f t="shared" si="16"/>
        <v>0</v>
      </c>
    </row>
    <row r="227" spans="1:13" x14ac:dyDescent="0.25">
      <c r="A227" s="197"/>
      <c r="G227" s="164"/>
      <c r="H227" s="179">
        <v>222</v>
      </c>
      <c r="I227" s="180" t="str">
        <f t="shared" si="14"/>
        <v/>
      </c>
      <c r="J227" s="179" t="e">
        <f t="shared" si="17"/>
        <v>#NUM!</v>
      </c>
      <c r="K227" s="179" t="e">
        <f t="shared" si="15"/>
        <v>#NUM!</v>
      </c>
      <c r="L227" s="179"/>
      <c r="M227" s="181">
        <f t="shared" si="16"/>
        <v>0</v>
      </c>
    </row>
    <row r="228" spans="1:13" x14ac:dyDescent="0.25">
      <c r="A228" s="197"/>
      <c r="G228" s="164"/>
      <c r="H228" s="179">
        <v>223</v>
      </c>
      <c r="I228" s="180" t="str">
        <f t="shared" si="14"/>
        <v/>
      </c>
      <c r="J228" s="179" t="e">
        <f t="shared" si="17"/>
        <v>#NUM!</v>
      </c>
      <c r="K228" s="179" t="e">
        <f t="shared" si="15"/>
        <v>#NUM!</v>
      </c>
      <c r="L228" s="179"/>
      <c r="M228" s="181">
        <f t="shared" si="16"/>
        <v>0</v>
      </c>
    </row>
    <row r="229" spans="1:13" x14ac:dyDescent="0.25">
      <c r="A229" s="197"/>
      <c r="G229" s="164"/>
      <c r="H229" s="179">
        <v>224</v>
      </c>
      <c r="I229" s="180" t="str">
        <f t="shared" si="14"/>
        <v/>
      </c>
      <c r="J229" s="179" t="e">
        <f t="shared" si="17"/>
        <v>#NUM!</v>
      </c>
      <c r="K229" s="179" t="e">
        <f t="shared" si="15"/>
        <v>#NUM!</v>
      </c>
      <c r="L229" s="179"/>
      <c r="M229" s="181">
        <f t="shared" si="16"/>
        <v>0</v>
      </c>
    </row>
    <row r="230" spans="1:13" x14ac:dyDescent="0.25">
      <c r="A230" s="197"/>
      <c r="G230" s="164"/>
      <c r="H230" s="179">
        <v>225</v>
      </c>
      <c r="I230" s="180" t="str">
        <f t="shared" si="14"/>
        <v/>
      </c>
      <c r="J230" s="179" t="e">
        <f t="shared" si="17"/>
        <v>#NUM!</v>
      </c>
      <c r="K230" s="179" t="e">
        <f t="shared" si="15"/>
        <v>#NUM!</v>
      </c>
      <c r="L230" s="179"/>
      <c r="M230" s="181">
        <f t="shared" si="16"/>
        <v>0</v>
      </c>
    </row>
    <row r="231" spans="1:13" x14ac:dyDescent="0.25">
      <c r="A231" s="197"/>
      <c r="G231" s="164"/>
      <c r="H231" s="179">
        <v>226</v>
      </c>
      <c r="I231" s="180" t="str">
        <f t="shared" si="14"/>
        <v/>
      </c>
      <c r="J231" s="179" t="e">
        <f t="shared" si="17"/>
        <v>#NUM!</v>
      </c>
      <c r="K231" s="179" t="e">
        <f t="shared" si="15"/>
        <v>#NUM!</v>
      </c>
      <c r="L231" s="179"/>
      <c r="M231" s="181">
        <f t="shared" si="16"/>
        <v>0</v>
      </c>
    </row>
    <row r="232" spans="1:13" x14ac:dyDescent="0.25">
      <c r="A232" s="197"/>
      <c r="G232" s="164"/>
      <c r="H232" s="179">
        <v>227</v>
      </c>
      <c r="I232" s="180" t="str">
        <f t="shared" si="14"/>
        <v/>
      </c>
      <c r="J232" s="179" t="e">
        <f t="shared" si="17"/>
        <v>#NUM!</v>
      </c>
      <c r="K232" s="179" t="e">
        <f t="shared" si="15"/>
        <v>#NUM!</v>
      </c>
      <c r="L232" s="179"/>
      <c r="M232" s="181">
        <f t="shared" si="16"/>
        <v>0</v>
      </c>
    </row>
    <row r="233" spans="1:13" x14ac:dyDescent="0.25">
      <c r="A233" s="197"/>
      <c r="G233" s="164"/>
      <c r="H233" s="179">
        <v>228</v>
      </c>
      <c r="I233" s="180" t="str">
        <f t="shared" si="14"/>
        <v/>
      </c>
      <c r="J233" s="179" t="e">
        <f t="shared" si="17"/>
        <v>#NUM!</v>
      </c>
      <c r="K233" s="179" t="e">
        <f t="shared" si="15"/>
        <v>#NUM!</v>
      </c>
      <c r="L233" s="179"/>
      <c r="M233" s="181">
        <f t="shared" si="16"/>
        <v>0</v>
      </c>
    </row>
    <row r="234" spans="1:13" x14ac:dyDescent="0.25">
      <c r="A234" s="197"/>
      <c r="G234" s="164"/>
      <c r="H234" s="179">
        <v>229</v>
      </c>
      <c r="I234" s="180" t="str">
        <f t="shared" si="14"/>
        <v/>
      </c>
      <c r="J234" s="179" t="e">
        <f t="shared" si="17"/>
        <v>#NUM!</v>
      </c>
      <c r="K234" s="179" t="e">
        <f t="shared" si="15"/>
        <v>#NUM!</v>
      </c>
      <c r="L234" s="179"/>
      <c r="M234" s="181">
        <f t="shared" si="16"/>
        <v>0</v>
      </c>
    </row>
    <row r="235" spans="1:13" x14ac:dyDescent="0.25">
      <c r="A235" s="197"/>
      <c r="G235" s="164"/>
      <c r="H235" s="179">
        <v>230</v>
      </c>
      <c r="I235" s="180" t="str">
        <f t="shared" si="14"/>
        <v/>
      </c>
      <c r="J235" s="179" t="e">
        <f t="shared" si="17"/>
        <v>#NUM!</v>
      </c>
      <c r="K235" s="179" t="e">
        <f t="shared" si="15"/>
        <v>#NUM!</v>
      </c>
      <c r="L235" s="179"/>
      <c r="M235" s="181">
        <f t="shared" si="16"/>
        <v>0</v>
      </c>
    </row>
    <row r="236" spans="1:13" x14ac:dyDescent="0.25">
      <c r="A236" s="197"/>
      <c r="G236" s="164"/>
      <c r="H236" s="179">
        <v>231</v>
      </c>
      <c r="I236" s="180" t="str">
        <f t="shared" si="14"/>
        <v/>
      </c>
      <c r="J236" s="179" t="e">
        <f t="shared" si="17"/>
        <v>#NUM!</v>
      </c>
      <c r="K236" s="179" t="e">
        <f t="shared" si="15"/>
        <v>#NUM!</v>
      </c>
      <c r="L236" s="179"/>
      <c r="M236" s="181">
        <f t="shared" si="16"/>
        <v>0</v>
      </c>
    </row>
    <row r="237" spans="1:13" x14ac:dyDescent="0.25">
      <c r="A237" s="197"/>
      <c r="G237" s="164"/>
      <c r="H237" s="179">
        <v>232</v>
      </c>
      <c r="I237" s="180" t="str">
        <f t="shared" si="14"/>
        <v/>
      </c>
      <c r="J237" s="179" t="e">
        <f t="shared" si="17"/>
        <v>#NUM!</v>
      </c>
      <c r="K237" s="179" t="e">
        <f t="shared" si="15"/>
        <v>#NUM!</v>
      </c>
      <c r="L237" s="179"/>
      <c r="M237" s="181">
        <f t="shared" si="16"/>
        <v>0</v>
      </c>
    </row>
    <row r="238" spans="1:13" x14ac:dyDescent="0.25">
      <c r="A238" s="197"/>
      <c r="G238" s="164"/>
      <c r="H238" s="179">
        <v>233</v>
      </c>
      <c r="I238" s="180" t="str">
        <f t="shared" si="14"/>
        <v/>
      </c>
      <c r="J238" s="179" t="e">
        <f t="shared" si="17"/>
        <v>#NUM!</v>
      </c>
      <c r="K238" s="179" t="e">
        <f t="shared" si="15"/>
        <v>#NUM!</v>
      </c>
      <c r="L238" s="179"/>
      <c r="M238" s="181">
        <f t="shared" si="16"/>
        <v>0</v>
      </c>
    </row>
    <row r="239" spans="1:13" x14ac:dyDescent="0.25">
      <c r="A239" s="197"/>
      <c r="G239" s="164"/>
      <c r="H239" s="179">
        <v>234</v>
      </c>
      <c r="I239" s="180" t="str">
        <f t="shared" si="14"/>
        <v/>
      </c>
      <c r="J239" s="179" t="e">
        <f t="shared" si="17"/>
        <v>#NUM!</v>
      </c>
      <c r="K239" s="179" t="e">
        <f t="shared" si="15"/>
        <v>#NUM!</v>
      </c>
      <c r="L239" s="179"/>
      <c r="M239" s="181">
        <f t="shared" si="16"/>
        <v>0</v>
      </c>
    </row>
    <row r="240" spans="1:13" x14ac:dyDescent="0.25">
      <c r="A240" s="197"/>
      <c r="G240" s="164"/>
      <c r="H240" s="179">
        <v>235</v>
      </c>
      <c r="I240" s="180" t="str">
        <f t="shared" si="14"/>
        <v/>
      </c>
      <c r="J240" s="179" t="e">
        <f t="shared" si="17"/>
        <v>#NUM!</v>
      </c>
      <c r="K240" s="179" t="e">
        <f t="shared" si="15"/>
        <v>#NUM!</v>
      </c>
      <c r="L240" s="179"/>
      <c r="M240" s="181">
        <f t="shared" si="16"/>
        <v>0</v>
      </c>
    </row>
    <row r="241" spans="1:13" x14ac:dyDescent="0.25">
      <c r="A241" s="197"/>
      <c r="G241" s="164"/>
      <c r="H241" s="179">
        <v>236</v>
      </c>
      <c r="I241" s="180" t="str">
        <f t="shared" si="14"/>
        <v/>
      </c>
      <c r="J241" s="179" t="e">
        <f t="shared" si="17"/>
        <v>#NUM!</v>
      </c>
      <c r="K241" s="179" t="e">
        <f t="shared" si="15"/>
        <v>#NUM!</v>
      </c>
      <c r="L241" s="179"/>
      <c r="M241" s="181">
        <f t="shared" si="16"/>
        <v>0</v>
      </c>
    </row>
    <row r="242" spans="1:13" x14ac:dyDescent="0.25">
      <c r="A242" s="197"/>
      <c r="G242" s="164"/>
      <c r="H242" s="179">
        <v>237</v>
      </c>
      <c r="I242" s="180" t="str">
        <f t="shared" si="14"/>
        <v/>
      </c>
      <c r="J242" s="179" t="e">
        <f t="shared" si="17"/>
        <v>#NUM!</v>
      </c>
      <c r="K242" s="179" t="e">
        <f t="shared" si="15"/>
        <v>#NUM!</v>
      </c>
      <c r="L242" s="179"/>
      <c r="M242" s="181">
        <f t="shared" si="16"/>
        <v>0</v>
      </c>
    </row>
    <row r="243" spans="1:13" x14ac:dyDescent="0.25">
      <c r="A243" s="197"/>
      <c r="G243" s="164"/>
      <c r="H243" s="179">
        <v>238</v>
      </c>
      <c r="I243" s="180" t="str">
        <f t="shared" si="14"/>
        <v/>
      </c>
      <c r="J243" s="179" t="e">
        <f t="shared" si="17"/>
        <v>#NUM!</v>
      </c>
      <c r="K243" s="179" t="e">
        <f t="shared" si="15"/>
        <v>#NUM!</v>
      </c>
      <c r="L243" s="179"/>
      <c r="M243" s="181">
        <f t="shared" si="16"/>
        <v>0</v>
      </c>
    </row>
    <row r="244" spans="1:13" x14ac:dyDescent="0.25">
      <c r="A244" s="197"/>
      <c r="G244" s="164"/>
      <c r="H244" s="179">
        <v>239</v>
      </c>
      <c r="I244" s="180" t="str">
        <f t="shared" si="14"/>
        <v/>
      </c>
      <c r="J244" s="179" t="e">
        <f t="shared" si="17"/>
        <v>#NUM!</v>
      </c>
      <c r="K244" s="179" t="e">
        <f t="shared" si="15"/>
        <v>#NUM!</v>
      </c>
      <c r="L244" s="179"/>
      <c r="M244" s="181">
        <f t="shared" si="16"/>
        <v>0</v>
      </c>
    </row>
    <row r="245" spans="1:13" x14ac:dyDescent="0.25">
      <c r="A245" s="197"/>
      <c r="G245" s="164"/>
      <c r="H245" s="179">
        <v>240</v>
      </c>
      <c r="I245" s="180" t="str">
        <f t="shared" si="14"/>
        <v/>
      </c>
      <c r="J245" s="179" t="e">
        <f t="shared" si="17"/>
        <v>#NUM!</v>
      </c>
      <c r="K245" s="179" t="e">
        <f t="shared" si="15"/>
        <v>#NUM!</v>
      </c>
      <c r="L245" s="179"/>
      <c r="M245" s="181">
        <f t="shared" si="16"/>
        <v>0</v>
      </c>
    </row>
    <row r="246" spans="1:13" x14ac:dyDescent="0.25">
      <c r="A246" s="197"/>
      <c r="G246" s="164"/>
      <c r="H246" s="179">
        <v>241</v>
      </c>
      <c r="I246" s="180" t="str">
        <f t="shared" si="14"/>
        <v/>
      </c>
      <c r="J246" s="179" t="e">
        <f t="shared" si="17"/>
        <v>#NUM!</v>
      </c>
      <c r="K246" s="179" t="e">
        <f t="shared" si="15"/>
        <v>#NUM!</v>
      </c>
      <c r="L246" s="179"/>
      <c r="M246" s="181">
        <f t="shared" si="16"/>
        <v>0</v>
      </c>
    </row>
    <row r="247" spans="1:13" x14ac:dyDescent="0.25">
      <c r="A247" s="197"/>
      <c r="G247" s="164"/>
      <c r="H247" s="179">
        <v>242</v>
      </c>
      <c r="I247" s="180" t="str">
        <f t="shared" si="14"/>
        <v/>
      </c>
      <c r="J247" s="179" t="e">
        <f t="shared" si="17"/>
        <v>#NUM!</v>
      </c>
      <c r="K247" s="179" t="e">
        <f t="shared" si="15"/>
        <v>#NUM!</v>
      </c>
      <c r="L247" s="179"/>
      <c r="M247" s="181">
        <f t="shared" si="16"/>
        <v>0</v>
      </c>
    </row>
    <row r="248" spans="1:13" x14ac:dyDescent="0.25">
      <c r="A248" s="197"/>
      <c r="G248" s="164"/>
      <c r="H248" s="179">
        <v>243</v>
      </c>
      <c r="I248" s="180" t="str">
        <f t="shared" si="14"/>
        <v/>
      </c>
      <c r="J248" s="179" t="e">
        <f t="shared" si="17"/>
        <v>#NUM!</v>
      </c>
      <c r="K248" s="179" t="e">
        <f t="shared" si="15"/>
        <v>#NUM!</v>
      </c>
      <c r="L248" s="179"/>
      <c r="M248" s="181">
        <f t="shared" si="16"/>
        <v>0</v>
      </c>
    </row>
    <row r="249" spans="1:13" x14ac:dyDescent="0.25">
      <c r="A249" s="197"/>
      <c r="G249" s="164"/>
      <c r="H249" s="179">
        <v>244</v>
      </c>
      <c r="I249" s="180" t="str">
        <f t="shared" si="14"/>
        <v/>
      </c>
      <c r="J249" s="179" t="e">
        <f t="shared" si="17"/>
        <v>#NUM!</v>
      </c>
      <c r="K249" s="179" t="e">
        <f t="shared" si="15"/>
        <v>#NUM!</v>
      </c>
      <c r="L249" s="179"/>
      <c r="M249" s="181">
        <f t="shared" si="16"/>
        <v>0</v>
      </c>
    </row>
    <row r="250" spans="1:13" x14ac:dyDescent="0.25">
      <c r="A250" s="197"/>
      <c r="G250" s="164"/>
      <c r="H250" s="179">
        <v>245</v>
      </c>
      <c r="I250" s="180" t="str">
        <f t="shared" si="14"/>
        <v/>
      </c>
      <c r="J250" s="179" t="e">
        <f t="shared" si="17"/>
        <v>#NUM!</v>
      </c>
      <c r="K250" s="179" t="e">
        <f t="shared" si="15"/>
        <v>#NUM!</v>
      </c>
      <c r="L250" s="179"/>
      <c r="M250" s="181">
        <f t="shared" si="16"/>
        <v>0</v>
      </c>
    </row>
    <row r="251" spans="1:13" x14ac:dyDescent="0.25">
      <c r="A251" s="197"/>
      <c r="G251" s="164"/>
      <c r="H251" s="179">
        <v>246</v>
      </c>
      <c r="I251" s="180" t="str">
        <f t="shared" si="14"/>
        <v/>
      </c>
      <c r="J251" s="179" t="e">
        <f t="shared" si="17"/>
        <v>#NUM!</v>
      </c>
      <c r="K251" s="179" t="e">
        <f t="shared" si="15"/>
        <v>#NUM!</v>
      </c>
      <c r="L251" s="179"/>
      <c r="M251" s="181">
        <f t="shared" si="16"/>
        <v>0</v>
      </c>
    </row>
    <row r="252" spans="1:13" x14ac:dyDescent="0.25">
      <c r="A252" s="197"/>
      <c r="G252" s="164"/>
      <c r="H252" s="179">
        <v>247</v>
      </c>
      <c r="I252" s="180" t="str">
        <f t="shared" si="14"/>
        <v/>
      </c>
      <c r="J252" s="179" t="e">
        <f t="shared" si="17"/>
        <v>#NUM!</v>
      </c>
      <c r="K252" s="179" t="e">
        <f t="shared" si="15"/>
        <v>#NUM!</v>
      </c>
      <c r="L252" s="179"/>
      <c r="M252" s="181">
        <f t="shared" si="16"/>
        <v>0</v>
      </c>
    </row>
    <row r="253" spans="1:13" x14ac:dyDescent="0.25">
      <c r="A253" s="197"/>
      <c r="G253" s="164"/>
      <c r="H253" s="179">
        <v>248</v>
      </c>
      <c r="I253" s="180" t="str">
        <f t="shared" si="14"/>
        <v/>
      </c>
      <c r="J253" s="179" t="e">
        <f t="shared" si="17"/>
        <v>#NUM!</v>
      </c>
      <c r="K253" s="179" t="e">
        <f t="shared" si="15"/>
        <v>#NUM!</v>
      </c>
      <c r="L253" s="179"/>
      <c r="M253" s="181">
        <f t="shared" si="16"/>
        <v>0</v>
      </c>
    </row>
    <row r="254" spans="1:13" x14ac:dyDescent="0.25">
      <c r="A254" s="197"/>
      <c r="G254" s="164"/>
      <c r="H254" s="179">
        <v>249</v>
      </c>
      <c r="I254" s="180" t="str">
        <f t="shared" si="14"/>
        <v/>
      </c>
      <c r="J254" s="179" t="e">
        <f t="shared" si="17"/>
        <v>#NUM!</v>
      </c>
      <c r="K254" s="179" t="e">
        <f t="shared" si="15"/>
        <v>#NUM!</v>
      </c>
      <c r="L254" s="179"/>
      <c r="M254" s="181">
        <f t="shared" si="16"/>
        <v>0</v>
      </c>
    </row>
    <row r="255" spans="1:13" x14ac:dyDescent="0.25">
      <c r="A255" s="197"/>
      <c r="G255" s="164"/>
      <c r="H255" s="179">
        <v>250</v>
      </c>
      <c r="I255" s="180" t="str">
        <f t="shared" si="14"/>
        <v/>
      </c>
      <c r="J255" s="179" t="e">
        <f t="shared" si="17"/>
        <v>#NUM!</v>
      </c>
      <c r="K255" s="179" t="e">
        <f t="shared" si="15"/>
        <v>#NUM!</v>
      </c>
      <c r="L255" s="179"/>
      <c r="M255" s="181">
        <f t="shared" si="16"/>
        <v>0</v>
      </c>
    </row>
    <row r="256" spans="1:13" x14ac:dyDescent="0.25">
      <c r="A256" s="197"/>
      <c r="G256" s="164"/>
      <c r="H256" s="179">
        <v>251</v>
      </c>
      <c r="I256" s="180" t="str">
        <f t="shared" si="14"/>
        <v/>
      </c>
      <c r="J256" s="179" t="e">
        <f t="shared" si="17"/>
        <v>#NUM!</v>
      </c>
      <c r="K256" s="179" t="e">
        <f t="shared" si="15"/>
        <v>#NUM!</v>
      </c>
      <c r="L256" s="179"/>
      <c r="M256" s="181">
        <f t="shared" si="16"/>
        <v>0</v>
      </c>
    </row>
    <row r="257" spans="1:13" x14ac:dyDescent="0.25">
      <c r="A257" s="197"/>
      <c r="G257" s="164"/>
      <c r="H257" s="179">
        <v>252</v>
      </c>
      <c r="I257" s="180" t="str">
        <f t="shared" si="14"/>
        <v/>
      </c>
      <c r="J257" s="179" t="e">
        <f t="shared" si="17"/>
        <v>#NUM!</v>
      </c>
      <c r="K257" s="179" t="e">
        <f t="shared" si="15"/>
        <v>#NUM!</v>
      </c>
      <c r="L257" s="179"/>
      <c r="M257" s="181">
        <f t="shared" si="16"/>
        <v>0</v>
      </c>
    </row>
    <row r="258" spans="1:13" x14ac:dyDescent="0.25">
      <c r="A258" s="197"/>
      <c r="G258" s="164"/>
      <c r="H258" s="179">
        <v>253</v>
      </c>
      <c r="I258" s="180" t="str">
        <f t="shared" si="14"/>
        <v/>
      </c>
      <c r="J258" s="179" t="e">
        <f t="shared" si="17"/>
        <v>#NUM!</v>
      </c>
      <c r="K258" s="179" t="e">
        <f t="shared" si="15"/>
        <v>#NUM!</v>
      </c>
      <c r="L258" s="179"/>
      <c r="M258" s="181">
        <f t="shared" si="16"/>
        <v>0</v>
      </c>
    </row>
    <row r="259" spans="1:13" x14ac:dyDescent="0.25">
      <c r="A259" s="197"/>
      <c r="G259" s="164"/>
      <c r="H259" s="179">
        <v>254</v>
      </c>
      <c r="I259" s="180" t="str">
        <f t="shared" si="14"/>
        <v/>
      </c>
      <c r="J259" s="179" t="e">
        <f t="shared" si="17"/>
        <v>#NUM!</v>
      </c>
      <c r="K259" s="179" t="e">
        <f t="shared" si="15"/>
        <v>#NUM!</v>
      </c>
      <c r="L259" s="179"/>
      <c r="M259" s="181">
        <f t="shared" si="16"/>
        <v>0</v>
      </c>
    </row>
    <row r="260" spans="1:13" x14ac:dyDescent="0.25">
      <c r="A260" s="197"/>
      <c r="G260" s="164"/>
      <c r="H260" s="179">
        <v>255</v>
      </c>
      <c r="I260" s="180" t="str">
        <f t="shared" si="14"/>
        <v/>
      </c>
      <c r="J260" s="179" t="e">
        <f t="shared" si="17"/>
        <v>#NUM!</v>
      </c>
      <c r="K260" s="179" t="e">
        <f t="shared" si="15"/>
        <v>#NUM!</v>
      </c>
      <c r="L260" s="179"/>
      <c r="M260" s="181">
        <f t="shared" si="16"/>
        <v>0</v>
      </c>
    </row>
    <row r="261" spans="1:13" x14ac:dyDescent="0.25">
      <c r="A261" s="197"/>
      <c r="G261" s="164"/>
      <c r="H261" s="179">
        <v>256</v>
      </c>
      <c r="I261" s="180" t="str">
        <f t="shared" si="14"/>
        <v/>
      </c>
      <c r="J261" s="179" t="e">
        <f t="shared" si="17"/>
        <v>#NUM!</v>
      </c>
      <c r="K261" s="179" t="e">
        <f t="shared" si="15"/>
        <v>#NUM!</v>
      </c>
      <c r="L261" s="179"/>
      <c r="M261" s="181">
        <f t="shared" si="16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8">IF(H262&lt;$H$2+1,($I$2-($I$2-1)*(LOG(H262)/LOG($H$2))),"")</f>
        <v/>
      </c>
      <c r="J262" s="179" t="e">
        <f t="shared" si="17"/>
        <v>#NUM!</v>
      </c>
      <c r="K262" s="179" t="e">
        <f t="shared" ref="K262:K305" si="19">J262*$J$2</f>
        <v>#NUM!</v>
      </c>
      <c r="L262" s="179"/>
      <c r="M262" s="181">
        <f t="shared" ref="M262:M305" si="20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8"/>
        <v/>
      </c>
      <c r="J263" s="179" t="e">
        <f t="shared" ref="J263:J326" si="21">INT(LOG($H$2,2))-ROUNDUP(LOG(H263,2),0)+IF(OR($H$2=1,$H$2=2,$H$2=4,$H$2=8,$H$2=16,$H$2=32,$H$2=64,$H$2=128,$H$2=256),0,1)</f>
        <v>#NUM!</v>
      </c>
      <c r="K263" s="179" t="e">
        <f t="shared" si="19"/>
        <v>#NUM!</v>
      </c>
      <c r="L263" s="179"/>
      <c r="M263" s="181">
        <f t="shared" si="20"/>
        <v>0</v>
      </c>
    </row>
    <row r="264" spans="1:13" x14ac:dyDescent="0.25">
      <c r="A264" s="197"/>
      <c r="G264" s="164"/>
      <c r="H264" s="179">
        <v>259</v>
      </c>
      <c r="I264" s="180" t="str">
        <f t="shared" si="18"/>
        <v/>
      </c>
      <c r="J264" s="179" t="e">
        <f t="shared" si="21"/>
        <v>#NUM!</v>
      </c>
      <c r="K264" s="179" t="e">
        <f t="shared" si="19"/>
        <v>#NUM!</v>
      </c>
      <c r="L264" s="179"/>
      <c r="M264" s="181">
        <f t="shared" si="20"/>
        <v>0</v>
      </c>
    </row>
    <row r="265" spans="1:13" x14ac:dyDescent="0.25">
      <c r="A265" s="197"/>
      <c r="G265" s="164"/>
      <c r="H265" s="179">
        <v>260</v>
      </c>
      <c r="I265" s="180" t="str">
        <f t="shared" si="18"/>
        <v/>
      </c>
      <c r="J265" s="179" t="e">
        <f t="shared" si="21"/>
        <v>#NUM!</v>
      </c>
      <c r="K265" s="179" t="e">
        <f t="shared" si="19"/>
        <v>#NUM!</v>
      </c>
      <c r="L265" s="179"/>
      <c r="M265" s="181">
        <f t="shared" si="20"/>
        <v>0</v>
      </c>
    </row>
    <row r="266" spans="1:13" x14ac:dyDescent="0.25">
      <c r="A266" s="197"/>
      <c r="G266" s="164"/>
      <c r="H266" s="179">
        <v>261</v>
      </c>
      <c r="I266" s="180" t="str">
        <f t="shared" si="18"/>
        <v/>
      </c>
      <c r="J266" s="179" t="e">
        <f t="shared" si="21"/>
        <v>#NUM!</v>
      </c>
      <c r="K266" s="179" t="e">
        <f t="shared" si="19"/>
        <v>#NUM!</v>
      </c>
      <c r="L266" s="179"/>
      <c r="M266" s="181">
        <f t="shared" si="20"/>
        <v>0</v>
      </c>
    </row>
    <row r="267" spans="1:13" x14ac:dyDescent="0.25">
      <c r="A267" s="197"/>
      <c r="G267" s="164"/>
      <c r="H267" s="179">
        <v>262</v>
      </c>
      <c r="I267" s="180" t="str">
        <f t="shared" si="18"/>
        <v/>
      </c>
      <c r="J267" s="179" t="e">
        <f t="shared" si="21"/>
        <v>#NUM!</v>
      </c>
      <c r="K267" s="179" t="e">
        <f t="shared" si="19"/>
        <v>#NUM!</v>
      </c>
      <c r="L267" s="179"/>
      <c r="M267" s="181">
        <f t="shared" si="20"/>
        <v>0</v>
      </c>
    </row>
    <row r="268" spans="1:13" x14ac:dyDescent="0.25">
      <c r="A268" s="197"/>
      <c r="G268" s="164"/>
      <c r="H268" s="179">
        <v>263</v>
      </c>
      <c r="I268" s="180" t="str">
        <f t="shared" si="18"/>
        <v/>
      </c>
      <c r="J268" s="179" t="e">
        <f t="shared" si="21"/>
        <v>#NUM!</v>
      </c>
      <c r="K268" s="179" t="e">
        <f t="shared" si="19"/>
        <v>#NUM!</v>
      </c>
      <c r="L268" s="179"/>
      <c r="M268" s="181">
        <f t="shared" si="20"/>
        <v>0</v>
      </c>
    </row>
    <row r="269" spans="1:13" x14ac:dyDescent="0.25">
      <c r="A269" s="197"/>
      <c r="G269" s="164"/>
      <c r="H269" s="179">
        <v>264</v>
      </c>
      <c r="I269" s="180" t="str">
        <f t="shared" si="18"/>
        <v/>
      </c>
      <c r="J269" s="179" t="e">
        <f t="shared" si="21"/>
        <v>#NUM!</v>
      </c>
      <c r="K269" s="179" t="e">
        <f t="shared" si="19"/>
        <v>#NUM!</v>
      </c>
      <c r="L269" s="179"/>
      <c r="M269" s="181">
        <f t="shared" si="20"/>
        <v>0</v>
      </c>
    </row>
    <row r="270" spans="1:13" x14ac:dyDescent="0.25">
      <c r="A270" s="197"/>
      <c r="G270" s="164"/>
      <c r="H270" s="179">
        <v>265</v>
      </c>
      <c r="I270" s="180" t="str">
        <f t="shared" si="18"/>
        <v/>
      </c>
      <c r="J270" s="179" t="e">
        <f t="shared" si="21"/>
        <v>#NUM!</v>
      </c>
      <c r="K270" s="179" t="e">
        <f t="shared" si="19"/>
        <v>#NUM!</v>
      </c>
      <c r="L270" s="179"/>
      <c r="M270" s="181">
        <f t="shared" si="20"/>
        <v>0</v>
      </c>
    </row>
    <row r="271" spans="1:13" x14ac:dyDescent="0.25">
      <c r="A271" s="197"/>
      <c r="G271" s="164"/>
      <c r="H271" s="179">
        <v>266</v>
      </c>
      <c r="I271" s="180" t="str">
        <f t="shared" si="18"/>
        <v/>
      </c>
      <c r="J271" s="179" t="e">
        <f t="shared" si="21"/>
        <v>#NUM!</v>
      </c>
      <c r="K271" s="179" t="e">
        <f t="shared" si="19"/>
        <v>#NUM!</v>
      </c>
      <c r="L271" s="179"/>
      <c r="M271" s="181">
        <f t="shared" si="20"/>
        <v>0</v>
      </c>
    </row>
    <row r="272" spans="1:13" x14ac:dyDescent="0.25">
      <c r="A272" s="197"/>
      <c r="G272" s="164"/>
      <c r="H272" s="179">
        <v>267</v>
      </c>
      <c r="I272" s="180" t="str">
        <f t="shared" si="18"/>
        <v/>
      </c>
      <c r="J272" s="179" t="e">
        <f t="shared" si="21"/>
        <v>#NUM!</v>
      </c>
      <c r="K272" s="179" t="e">
        <f t="shared" si="19"/>
        <v>#NUM!</v>
      </c>
      <c r="L272" s="179"/>
      <c r="M272" s="181">
        <f t="shared" si="20"/>
        <v>0</v>
      </c>
    </row>
    <row r="273" spans="1:13" x14ac:dyDescent="0.25">
      <c r="A273" s="197"/>
      <c r="G273" s="164"/>
      <c r="H273" s="179">
        <v>268</v>
      </c>
      <c r="I273" s="180" t="str">
        <f t="shared" si="18"/>
        <v/>
      </c>
      <c r="J273" s="179" t="e">
        <f t="shared" si="21"/>
        <v>#NUM!</v>
      </c>
      <c r="K273" s="179" t="e">
        <f t="shared" si="19"/>
        <v>#NUM!</v>
      </c>
      <c r="L273" s="179"/>
      <c r="M273" s="181">
        <f t="shared" si="20"/>
        <v>0</v>
      </c>
    </row>
    <row r="274" spans="1:13" x14ac:dyDescent="0.25">
      <c r="A274" s="197"/>
      <c r="G274" s="164"/>
      <c r="H274" s="179">
        <v>269</v>
      </c>
      <c r="I274" s="180" t="str">
        <f t="shared" si="18"/>
        <v/>
      </c>
      <c r="J274" s="179" t="e">
        <f t="shared" si="21"/>
        <v>#NUM!</v>
      </c>
      <c r="K274" s="179" t="e">
        <f t="shared" si="19"/>
        <v>#NUM!</v>
      </c>
      <c r="L274" s="179"/>
      <c r="M274" s="181">
        <f t="shared" si="20"/>
        <v>0</v>
      </c>
    </row>
    <row r="275" spans="1:13" x14ac:dyDescent="0.25">
      <c r="A275" s="197"/>
      <c r="G275" s="164"/>
      <c r="H275" s="179">
        <v>270</v>
      </c>
      <c r="I275" s="180" t="str">
        <f t="shared" si="18"/>
        <v/>
      </c>
      <c r="J275" s="179" t="e">
        <f t="shared" si="21"/>
        <v>#NUM!</v>
      </c>
      <c r="K275" s="179" t="e">
        <f t="shared" si="19"/>
        <v>#NUM!</v>
      </c>
      <c r="L275" s="179"/>
      <c r="M275" s="181">
        <f t="shared" si="20"/>
        <v>0</v>
      </c>
    </row>
    <row r="276" spans="1:13" x14ac:dyDescent="0.25">
      <c r="A276" s="197"/>
      <c r="G276" s="164"/>
      <c r="H276" s="179">
        <v>271</v>
      </c>
      <c r="I276" s="180" t="str">
        <f t="shared" si="18"/>
        <v/>
      </c>
      <c r="J276" s="179" t="e">
        <f t="shared" si="21"/>
        <v>#NUM!</v>
      </c>
      <c r="K276" s="179" t="e">
        <f t="shared" si="19"/>
        <v>#NUM!</v>
      </c>
      <c r="L276" s="179"/>
      <c r="M276" s="181">
        <f t="shared" si="20"/>
        <v>0</v>
      </c>
    </row>
    <row r="277" spans="1:13" x14ac:dyDescent="0.25">
      <c r="A277" s="197"/>
      <c r="G277" s="164"/>
      <c r="H277" s="179">
        <v>272</v>
      </c>
      <c r="I277" s="180" t="str">
        <f t="shared" si="18"/>
        <v/>
      </c>
      <c r="J277" s="179" t="e">
        <f t="shared" si="21"/>
        <v>#NUM!</v>
      </c>
      <c r="K277" s="179" t="e">
        <f t="shared" si="19"/>
        <v>#NUM!</v>
      </c>
      <c r="L277" s="179"/>
      <c r="M277" s="181">
        <f t="shared" si="20"/>
        <v>0</v>
      </c>
    </row>
    <row r="278" spans="1:13" x14ac:dyDescent="0.25">
      <c r="A278" s="197"/>
      <c r="G278" s="164"/>
      <c r="H278" s="179">
        <v>273</v>
      </c>
      <c r="I278" s="180" t="str">
        <f t="shared" si="18"/>
        <v/>
      </c>
      <c r="J278" s="179" t="e">
        <f t="shared" si="21"/>
        <v>#NUM!</v>
      </c>
      <c r="K278" s="179" t="e">
        <f t="shared" si="19"/>
        <v>#NUM!</v>
      </c>
      <c r="L278" s="179"/>
      <c r="M278" s="181">
        <f t="shared" si="20"/>
        <v>0</v>
      </c>
    </row>
    <row r="279" spans="1:13" x14ac:dyDescent="0.25">
      <c r="A279" s="197"/>
      <c r="G279" s="164"/>
      <c r="H279" s="179">
        <v>274</v>
      </c>
      <c r="I279" s="180" t="str">
        <f t="shared" si="18"/>
        <v/>
      </c>
      <c r="J279" s="179" t="e">
        <f t="shared" si="21"/>
        <v>#NUM!</v>
      </c>
      <c r="K279" s="179" t="e">
        <f t="shared" si="19"/>
        <v>#NUM!</v>
      </c>
      <c r="L279" s="179"/>
      <c r="M279" s="181">
        <f t="shared" si="20"/>
        <v>0</v>
      </c>
    </row>
    <row r="280" spans="1:13" x14ac:dyDescent="0.25">
      <c r="A280" s="197"/>
      <c r="G280" s="164"/>
      <c r="H280" s="179">
        <v>275</v>
      </c>
      <c r="I280" s="180" t="str">
        <f t="shared" si="18"/>
        <v/>
      </c>
      <c r="J280" s="179" t="e">
        <f t="shared" si="21"/>
        <v>#NUM!</v>
      </c>
      <c r="K280" s="179" t="e">
        <f t="shared" si="19"/>
        <v>#NUM!</v>
      </c>
      <c r="L280" s="179"/>
      <c r="M280" s="181">
        <f t="shared" si="20"/>
        <v>0</v>
      </c>
    </row>
    <row r="281" spans="1:13" x14ac:dyDescent="0.25">
      <c r="A281" s="197"/>
      <c r="G281" s="164"/>
      <c r="H281" s="179">
        <v>276</v>
      </c>
      <c r="I281" s="180" t="str">
        <f t="shared" si="18"/>
        <v/>
      </c>
      <c r="J281" s="179" t="e">
        <f t="shared" si="21"/>
        <v>#NUM!</v>
      </c>
      <c r="K281" s="179" t="e">
        <f t="shared" si="19"/>
        <v>#NUM!</v>
      </c>
      <c r="L281" s="179"/>
      <c r="M281" s="181">
        <f t="shared" si="20"/>
        <v>0</v>
      </c>
    </row>
    <row r="282" spans="1:13" x14ac:dyDescent="0.25">
      <c r="A282" s="197"/>
      <c r="G282" s="164"/>
      <c r="H282" s="179">
        <v>277</v>
      </c>
      <c r="I282" s="180" t="str">
        <f t="shared" si="18"/>
        <v/>
      </c>
      <c r="J282" s="179" t="e">
        <f t="shared" si="21"/>
        <v>#NUM!</v>
      </c>
      <c r="K282" s="179" t="e">
        <f t="shared" si="19"/>
        <v>#NUM!</v>
      </c>
      <c r="L282" s="179"/>
      <c r="M282" s="181">
        <f t="shared" si="20"/>
        <v>0</v>
      </c>
    </row>
    <row r="283" spans="1:13" x14ac:dyDescent="0.25">
      <c r="A283" s="197"/>
      <c r="G283" s="164"/>
      <c r="H283" s="179">
        <v>278</v>
      </c>
      <c r="I283" s="180" t="str">
        <f t="shared" si="18"/>
        <v/>
      </c>
      <c r="J283" s="179" t="e">
        <f t="shared" si="21"/>
        <v>#NUM!</v>
      </c>
      <c r="K283" s="179" t="e">
        <f t="shared" si="19"/>
        <v>#NUM!</v>
      </c>
      <c r="L283" s="179"/>
      <c r="M283" s="181">
        <f t="shared" si="20"/>
        <v>0</v>
      </c>
    </row>
    <row r="284" spans="1:13" x14ac:dyDescent="0.25">
      <c r="A284" s="197"/>
      <c r="G284" s="164"/>
      <c r="H284" s="179">
        <v>279</v>
      </c>
      <c r="I284" s="180" t="str">
        <f t="shared" si="18"/>
        <v/>
      </c>
      <c r="J284" s="179" t="e">
        <f t="shared" si="21"/>
        <v>#NUM!</v>
      </c>
      <c r="K284" s="179" t="e">
        <f t="shared" si="19"/>
        <v>#NUM!</v>
      </c>
      <c r="L284" s="179"/>
      <c r="M284" s="181">
        <f t="shared" si="20"/>
        <v>0</v>
      </c>
    </row>
    <row r="285" spans="1:13" x14ac:dyDescent="0.25">
      <c r="A285" s="197"/>
      <c r="G285" s="164"/>
      <c r="H285" s="179">
        <v>280</v>
      </c>
      <c r="I285" s="180" t="str">
        <f t="shared" si="18"/>
        <v/>
      </c>
      <c r="J285" s="179" t="e">
        <f t="shared" si="21"/>
        <v>#NUM!</v>
      </c>
      <c r="K285" s="179" t="e">
        <f t="shared" si="19"/>
        <v>#NUM!</v>
      </c>
      <c r="L285" s="179"/>
      <c r="M285" s="181">
        <f t="shared" si="20"/>
        <v>0</v>
      </c>
    </row>
    <row r="286" spans="1:13" x14ac:dyDescent="0.25">
      <c r="A286" s="197"/>
      <c r="G286" s="164"/>
      <c r="H286" s="179">
        <v>281</v>
      </c>
      <c r="I286" s="180" t="str">
        <f t="shared" si="18"/>
        <v/>
      </c>
      <c r="J286" s="179" t="e">
        <f t="shared" si="21"/>
        <v>#NUM!</v>
      </c>
      <c r="K286" s="179" t="e">
        <f t="shared" si="19"/>
        <v>#NUM!</v>
      </c>
      <c r="L286" s="179"/>
      <c r="M286" s="181">
        <f t="shared" si="20"/>
        <v>0</v>
      </c>
    </row>
    <row r="287" spans="1:13" x14ac:dyDescent="0.25">
      <c r="A287" s="197"/>
      <c r="G287" s="164"/>
      <c r="H287" s="179">
        <v>282</v>
      </c>
      <c r="I287" s="180" t="str">
        <f t="shared" si="18"/>
        <v/>
      </c>
      <c r="J287" s="179" t="e">
        <f t="shared" si="21"/>
        <v>#NUM!</v>
      </c>
      <c r="K287" s="179" t="e">
        <f t="shared" si="19"/>
        <v>#NUM!</v>
      </c>
      <c r="L287" s="179"/>
      <c r="M287" s="181">
        <f t="shared" si="20"/>
        <v>0</v>
      </c>
    </row>
    <row r="288" spans="1:13" x14ac:dyDescent="0.25">
      <c r="A288" s="197"/>
      <c r="G288" s="164"/>
      <c r="H288" s="179">
        <v>283</v>
      </c>
      <c r="I288" s="180" t="str">
        <f t="shared" si="18"/>
        <v/>
      </c>
      <c r="J288" s="179" t="e">
        <f t="shared" si="21"/>
        <v>#NUM!</v>
      </c>
      <c r="K288" s="179" t="e">
        <f t="shared" si="19"/>
        <v>#NUM!</v>
      </c>
      <c r="L288" s="179"/>
      <c r="M288" s="181">
        <f t="shared" si="20"/>
        <v>0</v>
      </c>
    </row>
    <row r="289" spans="1:13" x14ac:dyDescent="0.25">
      <c r="A289" s="197"/>
      <c r="G289" s="164"/>
      <c r="H289" s="179">
        <v>284</v>
      </c>
      <c r="I289" s="180" t="str">
        <f t="shared" si="18"/>
        <v/>
      </c>
      <c r="J289" s="179" t="e">
        <f t="shared" si="21"/>
        <v>#NUM!</v>
      </c>
      <c r="K289" s="179" t="e">
        <f t="shared" si="19"/>
        <v>#NUM!</v>
      </c>
      <c r="L289" s="179"/>
      <c r="M289" s="181">
        <f t="shared" si="20"/>
        <v>0</v>
      </c>
    </row>
    <row r="290" spans="1:13" x14ac:dyDescent="0.25">
      <c r="A290" s="197"/>
      <c r="G290" s="164"/>
      <c r="H290" s="179">
        <v>285</v>
      </c>
      <c r="I290" s="180" t="str">
        <f t="shared" si="18"/>
        <v/>
      </c>
      <c r="J290" s="179" t="e">
        <f t="shared" si="21"/>
        <v>#NUM!</v>
      </c>
      <c r="K290" s="179" t="e">
        <f t="shared" si="19"/>
        <v>#NUM!</v>
      </c>
      <c r="L290" s="179"/>
      <c r="M290" s="181">
        <f t="shared" si="20"/>
        <v>0</v>
      </c>
    </row>
    <row r="291" spans="1:13" x14ac:dyDescent="0.25">
      <c r="A291" s="197"/>
      <c r="G291" s="164"/>
      <c r="H291" s="179">
        <v>286</v>
      </c>
      <c r="I291" s="180" t="str">
        <f t="shared" si="18"/>
        <v/>
      </c>
      <c r="J291" s="179" t="e">
        <f t="shared" si="21"/>
        <v>#NUM!</v>
      </c>
      <c r="K291" s="179" t="e">
        <f t="shared" si="19"/>
        <v>#NUM!</v>
      </c>
      <c r="L291" s="179"/>
      <c r="M291" s="181">
        <f t="shared" si="20"/>
        <v>0</v>
      </c>
    </row>
    <row r="292" spans="1:13" x14ac:dyDescent="0.25">
      <c r="A292" s="197"/>
      <c r="G292" s="164"/>
      <c r="H292" s="179">
        <v>287</v>
      </c>
      <c r="I292" s="180" t="str">
        <f t="shared" si="18"/>
        <v/>
      </c>
      <c r="J292" s="179" t="e">
        <f t="shared" si="21"/>
        <v>#NUM!</v>
      </c>
      <c r="K292" s="179" t="e">
        <f t="shared" si="19"/>
        <v>#NUM!</v>
      </c>
      <c r="L292" s="179"/>
      <c r="M292" s="181">
        <f t="shared" si="20"/>
        <v>0</v>
      </c>
    </row>
    <row r="293" spans="1:13" x14ac:dyDescent="0.25">
      <c r="A293" s="197"/>
      <c r="G293" s="164"/>
      <c r="H293" s="179">
        <v>288</v>
      </c>
      <c r="I293" s="180" t="str">
        <f t="shared" si="18"/>
        <v/>
      </c>
      <c r="J293" s="179" t="e">
        <f t="shared" si="21"/>
        <v>#NUM!</v>
      </c>
      <c r="K293" s="179" t="e">
        <f t="shared" si="19"/>
        <v>#NUM!</v>
      </c>
      <c r="L293" s="179"/>
      <c r="M293" s="181">
        <f t="shared" si="20"/>
        <v>0</v>
      </c>
    </row>
    <row r="294" spans="1:13" x14ac:dyDescent="0.25">
      <c r="A294" s="197"/>
      <c r="G294" s="164"/>
      <c r="H294" s="179">
        <v>289</v>
      </c>
      <c r="I294" s="180" t="str">
        <f t="shared" si="18"/>
        <v/>
      </c>
      <c r="J294" s="179" t="e">
        <f t="shared" si="21"/>
        <v>#NUM!</v>
      </c>
      <c r="K294" s="179" t="e">
        <f t="shared" si="19"/>
        <v>#NUM!</v>
      </c>
      <c r="L294" s="179"/>
      <c r="M294" s="181">
        <f t="shared" si="20"/>
        <v>0</v>
      </c>
    </row>
    <row r="295" spans="1:13" x14ac:dyDescent="0.25">
      <c r="A295" s="197"/>
      <c r="G295" s="164"/>
      <c r="H295" s="179">
        <v>290</v>
      </c>
      <c r="I295" s="180" t="str">
        <f t="shared" si="18"/>
        <v/>
      </c>
      <c r="J295" s="179" t="e">
        <f t="shared" si="21"/>
        <v>#NUM!</v>
      </c>
      <c r="K295" s="179" t="e">
        <f t="shared" si="19"/>
        <v>#NUM!</v>
      </c>
      <c r="L295" s="179"/>
      <c r="M295" s="181">
        <f t="shared" si="20"/>
        <v>0</v>
      </c>
    </row>
    <row r="296" spans="1:13" x14ac:dyDescent="0.25">
      <c r="A296" s="197"/>
      <c r="G296" s="164"/>
      <c r="H296" s="179">
        <v>291</v>
      </c>
      <c r="I296" s="180" t="str">
        <f t="shared" si="18"/>
        <v/>
      </c>
      <c r="J296" s="179" t="e">
        <f t="shared" si="21"/>
        <v>#NUM!</v>
      </c>
      <c r="K296" s="179" t="e">
        <f t="shared" si="19"/>
        <v>#NUM!</v>
      </c>
      <c r="L296" s="179"/>
      <c r="M296" s="181">
        <f t="shared" si="20"/>
        <v>0</v>
      </c>
    </row>
    <row r="297" spans="1:13" x14ac:dyDescent="0.25">
      <c r="A297" s="197"/>
      <c r="G297" s="164"/>
      <c r="H297" s="179">
        <v>292</v>
      </c>
      <c r="I297" s="180" t="str">
        <f t="shared" si="18"/>
        <v/>
      </c>
      <c r="J297" s="179" t="e">
        <f t="shared" si="21"/>
        <v>#NUM!</v>
      </c>
      <c r="K297" s="179" t="e">
        <f t="shared" si="19"/>
        <v>#NUM!</v>
      </c>
      <c r="L297" s="179"/>
      <c r="M297" s="181">
        <f t="shared" si="20"/>
        <v>0</v>
      </c>
    </row>
    <row r="298" spans="1:13" x14ac:dyDescent="0.25">
      <c r="A298" s="197"/>
      <c r="G298" s="164"/>
      <c r="H298" s="179">
        <v>293</v>
      </c>
      <c r="I298" s="180" t="str">
        <f t="shared" si="18"/>
        <v/>
      </c>
      <c r="J298" s="179" t="e">
        <f t="shared" si="21"/>
        <v>#NUM!</v>
      </c>
      <c r="K298" s="179" t="e">
        <f t="shared" si="19"/>
        <v>#NUM!</v>
      </c>
      <c r="L298" s="179"/>
      <c r="M298" s="181">
        <f t="shared" si="20"/>
        <v>0</v>
      </c>
    </row>
    <row r="299" spans="1:13" x14ac:dyDescent="0.25">
      <c r="A299" s="197"/>
      <c r="G299" s="164"/>
      <c r="H299" s="179">
        <v>294</v>
      </c>
      <c r="I299" s="180" t="str">
        <f t="shared" si="18"/>
        <v/>
      </c>
      <c r="J299" s="179" t="e">
        <f t="shared" si="21"/>
        <v>#NUM!</v>
      </c>
      <c r="K299" s="179" t="e">
        <f t="shared" si="19"/>
        <v>#NUM!</v>
      </c>
      <c r="L299" s="179"/>
      <c r="M299" s="181">
        <f t="shared" si="20"/>
        <v>0</v>
      </c>
    </row>
    <row r="300" spans="1:13" x14ac:dyDescent="0.25">
      <c r="A300" s="197"/>
      <c r="G300" s="164"/>
      <c r="H300" s="179">
        <v>295</v>
      </c>
      <c r="I300" s="180" t="str">
        <f t="shared" si="18"/>
        <v/>
      </c>
      <c r="J300" s="179" t="e">
        <f t="shared" si="21"/>
        <v>#NUM!</v>
      </c>
      <c r="K300" s="179" t="e">
        <f t="shared" si="19"/>
        <v>#NUM!</v>
      </c>
      <c r="L300" s="179"/>
      <c r="M300" s="181">
        <f t="shared" si="20"/>
        <v>0</v>
      </c>
    </row>
    <row r="301" spans="1:13" x14ac:dyDescent="0.25">
      <c r="A301" s="197"/>
      <c r="G301" s="164"/>
      <c r="H301" s="179">
        <v>296</v>
      </c>
      <c r="I301" s="180" t="str">
        <f t="shared" si="18"/>
        <v/>
      </c>
      <c r="J301" s="179" t="e">
        <f t="shared" si="21"/>
        <v>#NUM!</v>
      </c>
      <c r="K301" s="179" t="e">
        <f t="shared" si="19"/>
        <v>#NUM!</v>
      </c>
      <c r="L301" s="179"/>
      <c r="M301" s="181">
        <f t="shared" si="20"/>
        <v>0</v>
      </c>
    </row>
    <row r="302" spans="1:13" x14ac:dyDescent="0.25">
      <c r="A302" s="197"/>
      <c r="G302" s="164"/>
      <c r="H302" s="179">
        <v>297</v>
      </c>
      <c r="I302" s="180" t="str">
        <f t="shared" si="18"/>
        <v/>
      </c>
      <c r="J302" s="179" t="e">
        <f t="shared" si="21"/>
        <v>#NUM!</v>
      </c>
      <c r="K302" s="179" t="e">
        <f t="shared" si="19"/>
        <v>#NUM!</v>
      </c>
      <c r="L302" s="179"/>
      <c r="M302" s="181">
        <f t="shared" si="20"/>
        <v>0</v>
      </c>
    </row>
    <row r="303" spans="1:13" x14ac:dyDescent="0.25">
      <c r="A303" s="197"/>
      <c r="G303" s="164"/>
      <c r="H303" s="179">
        <v>298</v>
      </c>
      <c r="I303" s="180" t="str">
        <f t="shared" si="18"/>
        <v/>
      </c>
      <c r="J303" s="179" t="e">
        <f t="shared" si="21"/>
        <v>#NUM!</v>
      </c>
      <c r="K303" s="179" t="e">
        <f t="shared" si="19"/>
        <v>#NUM!</v>
      </c>
      <c r="L303" s="179"/>
      <c r="M303" s="181">
        <f t="shared" si="20"/>
        <v>0</v>
      </c>
    </row>
    <row r="304" spans="1:13" x14ac:dyDescent="0.25">
      <c r="A304" s="197"/>
      <c r="G304" s="164"/>
      <c r="H304" s="179">
        <v>299</v>
      </c>
      <c r="I304" s="180" t="str">
        <f t="shared" si="18"/>
        <v/>
      </c>
      <c r="J304" s="179" t="e">
        <f t="shared" si="21"/>
        <v>#NUM!</v>
      </c>
      <c r="K304" s="179" t="e">
        <f t="shared" si="19"/>
        <v>#NUM!</v>
      </c>
      <c r="L304" s="179"/>
      <c r="M304" s="181">
        <f t="shared" si="20"/>
        <v>0</v>
      </c>
    </row>
    <row r="305" spans="1:16" x14ac:dyDescent="0.25">
      <c r="A305" s="197"/>
      <c r="G305" s="164"/>
      <c r="H305" s="179">
        <v>300</v>
      </c>
      <c r="I305" s="180" t="str">
        <f t="shared" si="18"/>
        <v/>
      </c>
      <c r="J305" s="179" t="e">
        <f t="shared" si="21"/>
        <v>#NUM!</v>
      </c>
      <c r="K305" s="179" t="e">
        <f t="shared" si="19"/>
        <v>#NUM!</v>
      </c>
      <c r="L305" s="179"/>
      <c r="M305" s="181">
        <f t="shared" si="20"/>
        <v>0</v>
      </c>
    </row>
    <row r="306" spans="1:16" x14ac:dyDescent="0.25">
      <c r="A306" s="198"/>
      <c r="J306" s="199" t="e">
        <f t="shared" si="21"/>
        <v>#NUM!</v>
      </c>
    </row>
    <row r="307" spans="1:16" x14ac:dyDescent="0.25">
      <c r="J307" s="199" t="e">
        <f t="shared" si="21"/>
        <v>#NUM!</v>
      </c>
    </row>
    <row r="308" spans="1:16" x14ac:dyDescent="0.25">
      <c r="J308" s="199" t="e">
        <f t="shared" si="21"/>
        <v>#NUM!</v>
      </c>
    </row>
    <row r="309" spans="1:16" x14ac:dyDescent="0.25">
      <c r="J309" s="199" t="e">
        <f t="shared" si="21"/>
        <v>#NUM!</v>
      </c>
    </row>
    <row r="310" spans="1:16" x14ac:dyDescent="0.25">
      <c r="J310" s="199" t="e">
        <f t="shared" si="21"/>
        <v>#NUM!</v>
      </c>
    </row>
    <row r="311" spans="1:16" x14ac:dyDescent="0.25">
      <c r="J311" s="199" t="e">
        <f t="shared" si="21"/>
        <v>#NUM!</v>
      </c>
    </row>
    <row r="312" spans="1:16" x14ac:dyDescent="0.25">
      <c r="J312" s="199" t="e">
        <f t="shared" si="21"/>
        <v>#NUM!</v>
      </c>
    </row>
    <row r="313" spans="1:16" x14ac:dyDescent="0.25">
      <c r="J313" s="199" t="e">
        <f t="shared" si="21"/>
        <v>#NUM!</v>
      </c>
    </row>
    <row r="314" spans="1:16" x14ac:dyDescent="0.25">
      <c r="J314" s="199" t="e">
        <f t="shared" si="21"/>
        <v>#NUM!</v>
      </c>
      <c r="L314" s="201"/>
      <c r="P314" s="190"/>
    </row>
    <row r="315" spans="1:16" x14ac:dyDescent="0.25">
      <c r="J315" s="199" t="e">
        <f t="shared" si="21"/>
        <v>#NUM!</v>
      </c>
      <c r="L315" s="201"/>
      <c r="P315" s="190"/>
    </row>
    <row r="316" spans="1:16" x14ac:dyDescent="0.25">
      <c r="J316" s="199" t="e">
        <f t="shared" si="21"/>
        <v>#NUM!</v>
      </c>
      <c r="L316" s="201"/>
      <c r="P316" s="190"/>
    </row>
    <row r="317" spans="1:16" x14ac:dyDescent="0.25">
      <c r="J317" s="199" t="e">
        <f t="shared" si="21"/>
        <v>#NUM!</v>
      </c>
      <c r="L317" s="201"/>
      <c r="P317" s="190"/>
    </row>
    <row r="318" spans="1:16" x14ac:dyDescent="0.25">
      <c r="J318" s="199" t="e">
        <f t="shared" si="21"/>
        <v>#NUM!</v>
      </c>
    </row>
    <row r="319" spans="1:16" x14ac:dyDescent="0.25">
      <c r="J319" s="199" t="e">
        <f t="shared" si="21"/>
        <v>#NUM!</v>
      </c>
    </row>
    <row r="320" spans="1:16" x14ac:dyDescent="0.25">
      <c r="J320" s="199" t="e">
        <f t="shared" si="21"/>
        <v>#NUM!</v>
      </c>
    </row>
    <row r="321" spans="10:10" x14ac:dyDescent="0.25">
      <c r="J321" s="199" t="e">
        <f t="shared" si="21"/>
        <v>#NUM!</v>
      </c>
    </row>
    <row r="322" spans="10:10" x14ac:dyDescent="0.25">
      <c r="J322" s="199" t="e">
        <f t="shared" si="21"/>
        <v>#NUM!</v>
      </c>
    </row>
    <row r="323" spans="10:10" x14ac:dyDescent="0.25">
      <c r="J323" s="199" t="e">
        <f t="shared" si="21"/>
        <v>#NUM!</v>
      </c>
    </row>
    <row r="324" spans="10:10" x14ac:dyDescent="0.25">
      <c r="J324" s="199" t="e">
        <f t="shared" si="21"/>
        <v>#NUM!</v>
      </c>
    </row>
    <row r="325" spans="10:10" x14ac:dyDescent="0.25">
      <c r="J325" s="199" t="e">
        <f t="shared" si="21"/>
        <v>#NUM!</v>
      </c>
    </row>
    <row r="326" spans="10:10" x14ac:dyDescent="0.25">
      <c r="J326" s="199" t="e">
        <f t="shared" si="21"/>
        <v>#NUM!</v>
      </c>
    </row>
    <row r="327" spans="10:10" x14ac:dyDescent="0.25">
      <c r="J327" s="19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9" t="e">
        <f t="shared" si="22"/>
        <v>#NUM!</v>
      </c>
    </row>
    <row r="329" spans="10:10" x14ac:dyDescent="0.25">
      <c r="J329" s="199" t="e">
        <f t="shared" si="22"/>
        <v>#NUM!</v>
      </c>
    </row>
    <row r="330" spans="10:10" x14ac:dyDescent="0.25">
      <c r="J330" s="199" t="e">
        <f t="shared" si="22"/>
        <v>#NUM!</v>
      </c>
    </row>
    <row r="331" spans="10:10" x14ac:dyDescent="0.25">
      <c r="J331" s="199" t="e">
        <f t="shared" si="22"/>
        <v>#NUM!</v>
      </c>
    </row>
    <row r="332" spans="10:10" x14ac:dyDescent="0.25">
      <c r="J332" s="199" t="e">
        <f t="shared" si="22"/>
        <v>#NUM!</v>
      </c>
    </row>
    <row r="333" spans="10:10" x14ac:dyDescent="0.25">
      <c r="J333" s="199" t="e">
        <f t="shared" si="22"/>
        <v>#NUM!</v>
      </c>
    </row>
    <row r="334" spans="10:10" x14ac:dyDescent="0.25">
      <c r="J334" s="199" t="e">
        <f t="shared" si="22"/>
        <v>#NUM!</v>
      </c>
    </row>
    <row r="335" spans="10:10" x14ac:dyDescent="0.25">
      <c r="J335" s="199" t="e">
        <f t="shared" si="22"/>
        <v>#NUM!</v>
      </c>
    </row>
    <row r="336" spans="10:10" x14ac:dyDescent="0.25">
      <c r="J336" s="199" t="e">
        <f t="shared" si="22"/>
        <v>#NUM!</v>
      </c>
    </row>
    <row r="337" spans="10:10" x14ac:dyDescent="0.25">
      <c r="J337" s="199" t="e">
        <f t="shared" si="22"/>
        <v>#NUM!</v>
      </c>
    </row>
    <row r="338" spans="10:10" x14ac:dyDescent="0.25">
      <c r="J338" s="199" t="e">
        <f t="shared" si="22"/>
        <v>#NUM!</v>
      </c>
    </row>
    <row r="339" spans="10:10" x14ac:dyDescent="0.25">
      <c r="J339" s="199" t="e">
        <f t="shared" si="22"/>
        <v>#NUM!</v>
      </c>
    </row>
    <row r="340" spans="10:10" x14ac:dyDescent="0.25">
      <c r="J340" s="199" t="e">
        <f t="shared" si="22"/>
        <v>#NUM!</v>
      </c>
    </row>
    <row r="341" spans="10:10" x14ac:dyDescent="0.25">
      <c r="J341" s="199" t="e">
        <f t="shared" si="22"/>
        <v>#NUM!</v>
      </c>
    </row>
    <row r="342" spans="10:10" x14ac:dyDescent="0.25">
      <c r="J342" s="199" t="e">
        <f t="shared" si="22"/>
        <v>#NUM!</v>
      </c>
    </row>
    <row r="343" spans="10:10" x14ac:dyDescent="0.25">
      <c r="J343" s="199" t="e">
        <f t="shared" si="22"/>
        <v>#NUM!</v>
      </c>
    </row>
    <row r="344" spans="10:10" x14ac:dyDescent="0.25">
      <c r="J344" s="199" t="e">
        <f t="shared" si="22"/>
        <v>#NUM!</v>
      </c>
    </row>
    <row r="345" spans="10:10" x14ac:dyDescent="0.25">
      <c r="J345" s="199" t="e">
        <f t="shared" si="22"/>
        <v>#NUM!</v>
      </c>
    </row>
    <row r="346" spans="10:10" x14ac:dyDescent="0.25">
      <c r="J346" s="199" t="e">
        <f t="shared" si="22"/>
        <v>#NUM!</v>
      </c>
    </row>
    <row r="347" spans="10:10" x14ac:dyDescent="0.25">
      <c r="J347" s="199" t="e">
        <f t="shared" si="22"/>
        <v>#NUM!</v>
      </c>
    </row>
    <row r="348" spans="10:10" x14ac:dyDescent="0.25">
      <c r="J348" s="199" t="e">
        <f t="shared" si="22"/>
        <v>#NUM!</v>
      </c>
    </row>
    <row r="349" spans="10:10" x14ac:dyDescent="0.25">
      <c r="J349" s="199" t="e">
        <f t="shared" si="22"/>
        <v>#NUM!</v>
      </c>
    </row>
    <row r="350" spans="10:10" x14ac:dyDescent="0.25">
      <c r="J350" s="199" t="e">
        <f t="shared" si="22"/>
        <v>#NUM!</v>
      </c>
    </row>
    <row r="351" spans="10:10" x14ac:dyDescent="0.25">
      <c r="J351" s="199" t="e">
        <f t="shared" si="22"/>
        <v>#NUM!</v>
      </c>
    </row>
    <row r="352" spans="10:10" x14ac:dyDescent="0.25">
      <c r="J352" s="199" t="e">
        <f t="shared" si="22"/>
        <v>#NUM!</v>
      </c>
    </row>
    <row r="353" spans="10:10" x14ac:dyDescent="0.25">
      <c r="J353" s="199" t="e">
        <f t="shared" si="22"/>
        <v>#NUM!</v>
      </c>
    </row>
    <row r="354" spans="10:10" x14ac:dyDescent="0.25">
      <c r="J354" s="199" t="e">
        <f t="shared" si="22"/>
        <v>#NUM!</v>
      </c>
    </row>
    <row r="355" spans="10:10" x14ac:dyDescent="0.25">
      <c r="J355" s="199" t="e">
        <f t="shared" si="22"/>
        <v>#NUM!</v>
      </c>
    </row>
    <row r="356" spans="10:10" x14ac:dyDescent="0.25">
      <c r="J356" s="199" t="e">
        <f t="shared" si="22"/>
        <v>#NUM!</v>
      </c>
    </row>
    <row r="357" spans="10:10" x14ac:dyDescent="0.25">
      <c r="J357" s="199" t="e">
        <f t="shared" si="22"/>
        <v>#NUM!</v>
      </c>
    </row>
    <row r="358" spans="10:10" x14ac:dyDescent="0.25">
      <c r="J358" s="199" t="e">
        <f t="shared" si="22"/>
        <v>#NUM!</v>
      </c>
    </row>
    <row r="359" spans="10:10" x14ac:dyDescent="0.25">
      <c r="J359" s="199" t="e">
        <f t="shared" si="22"/>
        <v>#NUM!</v>
      </c>
    </row>
    <row r="360" spans="10:10" x14ac:dyDescent="0.25">
      <c r="J360" s="199" t="e">
        <f t="shared" si="22"/>
        <v>#NUM!</v>
      </c>
    </row>
    <row r="361" spans="10:10" x14ac:dyDescent="0.25">
      <c r="J361" s="199" t="e">
        <f t="shared" si="22"/>
        <v>#NUM!</v>
      </c>
    </row>
    <row r="362" spans="10:10" x14ac:dyDescent="0.25">
      <c r="J362" s="199" t="e">
        <f t="shared" si="22"/>
        <v>#NUM!</v>
      </c>
    </row>
    <row r="363" spans="10:10" x14ac:dyDescent="0.25">
      <c r="J363" s="199" t="e">
        <f t="shared" si="22"/>
        <v>#NUM!</v>
      </c>
    </row>
    <row r="364" spans="10:10" x14ac:dyDescent="0.25">
      <c r="J364" s="199" t="e">
        <f t="shared" si="22"/>
        <v>#NUM!</v>
      </c>
    </row>
    <row r="365" spans="10:10" x14ac:dyDescent="0.25">
      <c r="J365" s="199" t="e">
        <f t="shared" si="22"/>
        <v>#NUM!</v>
      </c>
    </row>
    <row r="366" spans="10:10" x14ac:dyDescent="0.25">
      <c r="J366" s="199" t="e">
        <f t="shared" si="22"/>
        <v>#NUM!</v>
      </c>
    </row>
    <row r="367" spans="10:10" x14ac:dyDescent="0.25">
      <c r="J367" s="199" t="e">
        <f t="shared" si="22"/>
        <v>#NUM!</v>
      </c>
    </row>
    <row r="368" spans="10:10" x14ac:dyDescent="0.25">
      <c r="J368" s="199" t="e">
        <f t="shared" si="22"/>
        <v>#NUM!</v>
      </c>
    </row>
    <row r="369" spans="10:10" x14ac:dyDescent="0.25">
      <c r="J369" s="199" t="e">
        <f t="shared" si="22"/>
        <v>#NUM!</v>
      </c>
    </row>
    <row r="370" spans="10:10" x14ac:dyDescent="0.25">
      <c r="J370" s="199" t="e">
        <f t="shared" si="22"/>
        <v>#NUM!</v>
      </c>
    </row>
    <row r="371" spans="10:10" x14ac:dyDescent="0.25">
      <c r="J371" s="199" t="e">
        <f t="shared" si="22"/>
        <v>#NUM!</v>
      </c>
    </row>
    <row r="372" spans="10:10" x14ac:dyDescent="0.25">
      <c r="J372" s="199" t="e">
        <f t="shared" si="22"/>
        <v>#NUM!</v>
      </c>
    </row>
    <row r="373" spans="10:10" x14ac:dyDescent="0.25">
      <c r="J373" s="199" t="e">
        <f t="shared" si="22"/>
        <v>#NUM!</v>
      </c>
    </row>
    <row r="374" spans="10:10" x14ac:dyDescent="0.25">
      <c r="J374" s="199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hyperlinks>
    <hyperlink ref="C2" r:id="rId1" location="today" xr:uid="{E45927C1-4605-4B71-A6A8-B3BCA432479D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C98D-8E28-4B07-B815-F82FEBAD2FAF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22</v>
      </c>
      <c r="I1" s="84" t="s">
        <v>23</v>
      </c>
      <c r="J1" s="84" t="s">
        <v>24</v>
      </c>
      <c r="K1" s="85" t="s">
        <v>85</v>
      </c>
      <c r="L1" s="86"/>
      <c r="M1" s="86"/>
    </row>
    <row r="2" spans="1:36" x14ac:dyDescent="0.25">
      <c r="A2" s="82"/>
      <c r="B2" s="20" t="s">
        <v>26</v>
      </c>
      <c r="C2" s="70" t="s">
        <v>87</v>
      </c>
      <c r="D2" s="69"/>
      <c r="E2" s="21"/>
      <c r="F2" s="21"/>
      <c r="G2" s="21"/>
      <c r="H2" s="88">
        <v>0</v>
      </c>
      <c r="I2" s="89">
        <v>50</v>
      </c>
      <c r="J2" s="89">
        <v>10</v>
      </c>
      <c r="K2" s="90">
        <f>3*H2^(1/3)</f>
        <v>0</v>
      </c>
      <c r="L2" s="86"/>
      <c r="M2" s="86"/>
    </row>
    <row r="3" spans="1:36" x14ac:dyDescent="0.25">
      <c r="A3" s="82"/>
      <c r="B3" s="91" t="s">
        <v>28</v>
      </c>
      <c r="C3" s="70" t="s">
        <v>88</v>
      </c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93" t="s">
        <v>35</v>
      </c>
      <c r="I5" s="94" t="s">
        <v>36</v>
      </c>
      <c r="J5" s="95" t="s">
        <v>37</v>
      </c>
      <c r="K5" s="94" t="s">
        <v>38</v>
      </c>
      <c r="L5" s="94" t="s">
        <v>39</v>
      </c>
      <c r="M5" s="93" t="s">
        <v>40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/>
      <c r="D6" s="35"/>
      <c r="E6" s="35"/>
      <c r="F6" s="35" t="s">
        <v>41</v>
      </c>
      <c r="G6" s="28"/>
      <c r="H6" s="97">
        <v>1</v>
      </c>
      <c r="I6" s="98" t="str">
        <f t="shared" ref="I6:I69" si="0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7" t="e">
        <f t="shared" ref="K6:K69" si="1">J6*$J$2</f>
        <v>#NUM!</v>
      </c>
      <c r="L6" s="99">
        <f>3*K2</f>
        <v>0</v>
      </c>
      <c r="M6" s="99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41</v>
      </c>
      <c r="G7" s="28"/>
      <c r="H7" s="101">
        <v>2</v>
      </c>
      <c r="I7" s="102" t="str">
        <f t="shared" si="0"/>
        <v/>
      </c>
      <c r="J7" s="101" t="e">
        <f t="shared" ref="J7:J70" si="5">INT(LOG($H$2,2))-ROUNDUP(LOG(H7,2),0)+IF(OR($H$2=1,$H$2=2,$H$2=4,$H$2=8,$H$2=16,$H$2=32,$H$2=64,$H$2=128,$H$2=256),0,1)</f>
        <v>#NUM!</v>
      </c>
      <c r="K7" s="101" t="e">
        <f t="shared" si="1"/>
        <v>#NUM!</v>
      </c>
      <c r="L7" s="103">
        <f>2*K2</f>
        <v>0</v>
      </c>
      <c r="M7" s="103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/>
      <c r="D8" s="35"/>
      <c r="E8" s="35"/>
      <c r="F8" s="35" t="s">
        <v>41</v>
      </c>
      <c r="G8" s="28"/>
      <c r="H8" s="97">
        <v>3</v>
      </c>
      <c r="I8" s="98" t="str">
        <f t="shared" si="0"/>
        <v/>
      </c>
      <c r="J8" s="97" t="e">
        <f t="shared" si="5"/>
        <v>#NUM!</v>
      </c>
      <c r="K8" s="97" t="e">
        <f t="shared" si="1"/>
        <v>#NUM!</v>
      </c>
      <c r="L8" s="99">
        <f>K2</f>
        <v>0</v>
      </c>
      <c r="M8" s="99">
        <f t="shared" si="2"/>
        <v>0</v>
      </c>
    </row>
    <row r="9" spans="1:36" s="87" customFormat="1" ht="14.45" customHeight="1" x14ac:dyDescent="0.25">
      <c r="A9" s="100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01">
        <v>3</v>
      </c>
      <c r="I9" s="102" t="str">
        <f t="shared" si="0"/>
        <v/>
      </c>
      <c r="J9" s="101" t="e">
        <f t="shared" si="5"/>
        <v>#NUM!</v>
      </c>
      <c r="K9" s="101" t="e">
        <f t="shared" si="1"/>
        <v>#NUM!</v>
      </c>
      <c r="L9" s="103">
        <f>K2</f>
        <v>0</v>
      </c>
      <c r="M9" s="103">
        <f t="shared" si="2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42</v>
      </c>
      <c r="AI9" s="87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97">
        <v>5</v>
      </c>
      <c r="I10" s="98" t="str">
        <f t="shared" si="0"/>
        <v/>
      </c>
      <c r="J10" s="97" t="e">
        <f t="shared" si="5"/>
        <v>#NUM!</v>
      </c>
      <c r="K10" s="97" t="e">
        <f t="shared" si="1"/>
        <v>#NUM!</v>
      </c>
      <c r="L10" s="97"/>
      <c r="M10" s="99">
        <f t="shared" si="2"/>
        <v>0</v>
      </c>
      <c r="V10" s="104"/>
      <c r="Z10" s="105"/>
      <c r="AA10" s="105"/>
      <c r="AG10" s="106"/>
      <c r="AH10" s="87" t="s">
        <v>43</v>
      </c>
      <c r="AI10" s="87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01">
        <v>6</v>
      </c>
      <c r="I11" s="102" t="str">
        <f t="shared" si="0"/>
        <v/>
      </c>
      <c r="J11" s="101" t="e">
        <f t="shared" si="5"/>
        <v>#NUM!</v>
      </c>
      <c r="K11" s="101" t="e">
        <f t="shared" si="1"/>
        <v>#NUM!</v>
      </c>
      <c r="L11" s="101"/>
      <c r="M11" s="103">
        <f t="shared" si="2"/>
        <v>0</v>
      </c>
      <c r="V11" s="107"/>
      <c r="Z11" s="105"/>
      <c r="AA11" s="105"/>
      <c r="AG11" s="106"/>
      <c r="AH11" s="87" t="s">
        <v>44</v>
      </c>
      <c r="AI11" s="87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97">
        <v>7</v>
      </c>
      <c r="I12" s="98" t="str">
        <f t="shared" si="0"/>
        <v/>
      </c>
      <c r="J12" s="97" t="e">
        <f t="shared" si="5"/>
        <v>#NUM!</v>
      </c>
      <c r="K12" s="97" t="e">
        <f t="shared" si="1"/>
        <v>#NUM!</v>
      </c>
      <c r="L12" s="97"/>
      <c r="M12" s="99">
        <f t="shared" si="2"/>
        <v>0</v>
      </c>
      <c r="Z12" s="105"/>
      <c r="AA12" s="105"/>
      <c r="AG12" s="106"/>
      <c r="AH12" s="87" t="s">
        <v>45</v>
      </c>
      <c r="AI12" s="87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01">
        <v>8</v>
      </c>
      <c r="I13" s="102" t="str">
        <f t="shared" si="0"/>
        <v/>
      </c>
      <c r="J13" s="101" t="e">
        <f t="shared" si="5"/>
        <v>#NUM!</v>
      </c>
      <c r="K13" s="101" t="e">
        <f t="shared" si="1"/>
        <v>#NUM!</v>
      </c>
      <c r="L13" s="101"/>
      <c r="M13" s="103">
        <f t="shared" si="2"/>
        <v>0</v>
      </c>
      <c r="X13" s="104"/>
      <c r="AG13" s="106"/>
      <c r="AH13" s="87" t="s">
        <v>46</v>
      </c>
      <c r="AI13" s="87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97">
        <v>9</v>
      </c>
      <c r="I14" s="98" t="str">
        <f t="shared" si="0"/>
        <v/>
      </c>
      <c r="J14" s="97" t="e">
        <f t="shared" si="5"/>
        <v>#NUM!</v>
      </c>
      <c r="K14" s="97" t="e">
        <f t="shared" si="1"/>
        <v>#NUM!</v>
      </c>
      <c r="L14" s="97"/>
      <c r="M14" s="99">
        <f t="shared" si="2"/>
        <v>0</v>
      </c>
      <c r="X14" s="108"/>
      <c r="Z14" s="105"/>
      <c r="AA14" s="105"/>
      <c r="AG14" s="106"/>
      <c r="AH14" s="87" t="s">
        <v>47</v>
      </c>
      <c r="AI14" s="87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01">
        <v>10</v>
      </c>
      <c r="I15" s="102" t="str">
        <f t="shared" si="0"/>
        <v/>
      </c>
      <c r="J15" s="101" t="e">
        <f t="shared" si="5"/>
        <v>#NUM!</v>
      </c>
      <c r="K15" s="101" t="e">
        <f t="shared" si="1"/>
        <v>#NUM!</v>
      </c>
      <c r="L15" s="101"/>
      <c r="M15" s="103">
        <f t="shared" si="2"/>
        <v>0</v>
      </c>
      <c r="X15" s="104"/>
      <c r="Z15" s="105"/>
      <c r="AA15" s="105"/>
    </row>
    <row r="16" spans="1:36" x14ac:dyDescent="0.25">
      <c r="A16" s="96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97">
        <v>11</v>
      </c>
      <c r="I16" s="98" t="str">
        <f t="shared" si="0"/>
        <v/>
      </c>
      <c r="J16" s="97" t="e">
        <f t="shared" si="5"/>
        <v>#NUM!</v>
      </c>
      <c r="K16" s="97" t="e">
        <f t="shared" si="1"/>
        <v>#NUM!</v>
      </c>
      <c r="L16" s="97"/>
      <c r="M16" s="99">
        <f t="shared" si="2"/>
        <v>0</v>
      </c>
      <c r="R16" s="109"/>
      <c r="Z16" s="105"/>
      <c r="AA16" s="105"/>
      <c r="AH16" s="110" t="s">
        <v>48</v>
      </c>
      <c r="AI16" s="87">
        <f>AI11-AI12*AI13/AI14</f>
        <v>9.6393909380186855</v>
      </c>
      <c r="AJ16" s="87" t="s">
        <v>49</v>
      </c>
    </row>
    <row r="17" spans="1:19" x14ac:dyDescent="0.25">
      <c r="A17" s="100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01">
        <v>12</v>
      </c>
      <c r="I17" s="102" t="str">
        <f t="shared" si="0"/>
        <v/>
      </c>
      <c r="J17" s="101" t="e">
        <f t="shared" si="5"/>
        <v>#NUM!</v>
      </c>
      <c r="K17" s="101" t="e">
        <f t="shared" si="1"/>
        <v>#NUM!</v>
      </c>
      <c r="L17" s="101"/>
      <c r="M17" s="103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97">
        <v>13</v>
      </c>
      <c r="I18" s="98" t="str">
        <f t="shared" si="0"/>
        <v/>
      </c>
      <c r="J18" s="97" t="e">
        <f t="shared" si="5"/>
        <v>#NUM!</v>
      </c>
      <c r="K18" s="97" t="e">
        <f t="shared" si="1"/>
        <v>#NUM!</v>
      </c>
      <c r="L18" s="97"/>
      <c r="M18" s="99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01">
        <v>14</v>
      </c>
      <c r="I19" s="102" t="str">
        <f t="shared" si="0"/>
        <v/>
      </c>
      <c r="J19" s="101" t="e">
        <f t="shared" si="5"/>
        <v>#NUM!</v>
      </c>
      <c r="K19" s="101" t="e">
        <f t="shared" si="1"/>
        <v>#NUM!</v>
      </c>
      <c r="L19" s="101"/>
      <c r="M19" s="103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97">
        <v>15</v>
      </c>
      <c r="I20" s="98" t="str">
        <f t="shared" si="0"/>
        <v/>
      </c>
      <c r="J20" s="97" t="e">
        <f t="shared" si="5"/>
        <v>#NUM!</v>
      </c>
      <c r="K20" s="97" t="e">
        <f t="shared" si="1"/>
        <v>#NUM!</v>
      </c>
      <c r="L20" s="97"/>
      <c r="M20" s="99">
        <f t="shared" si="2"/>
        <v>0</v>
      </c>
      <c r="R20" s="111"/>
      <c r="S20" s="112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01">
        <v>16</v>
      </c>
      <c r="I21" s="102" t="str">
        <f t="shared" si="0"/>
        <v/>
      </c>
      <c r="J21" s="101" t="e">
        <f t="shared" si="5"/>
        <v>#NUM!</v>
      </c>
      <c r="K21" s="101" t="e">
        <f t="shared" si="1"/>
        <v>#NUM!</v>
      </c>
      <c r="L21" s="101"/>
      <c r="M21" s="103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97">
        <v>17</v>
      </c>
      <c r="I22" s="98" t="str">
        <f t="shared" si="0"/>
        <v/>
      </c>
      <c r="J22" s="97" t="e">
        <f t="shared" si="5"/>
        <v>#NUM!</v>
      </c>
      <c r="K22" s="97" t="e">
        <f t="shared" si="1"/>
        <v>#NUM!</v>
      </c>
      <c r="L22" s="97"/>
      <c r="M22" s="99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01">
        <v>18</v>
      </c>
      <c r="I23" s="102" t="str">
        <f t="shared" si="0"/>
        <v/>
      </c>
      <c r="J23" s="101" t="e">
        <f t="shared" si="5"/>
        <v>#NUM!</v>
      </c>
      <c r="K23" s="101" t="e">
        <f t="shared" si="1"/>
        <v>#NUM!</v>
      </c>
      <c r="L23" s="101"/>
      <c r="M23" s="103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97">
        <v>19</v>
      </c>
      <c r="I24" s="98" t="str">
        <f t="shared" si="0"/>
        <v/>
      </c>
      <c r="J24" s="97" t="e">
        <f t="shared" si="5"/>
        <v>#NUM!</v>
      </c>
      <c r="K24" s="97" t="e">
        <f t="shared" si="1"/>
        <v>#NUM!</v>
      </c>
      <c r="L24" s="97"/>
      <c r="M24" s="99">
        <f t="shared" si="2"/>
        <v>0</v>
      </c>
      <c r="R24" s="111"/>
      <c r="S24" s="112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01">
        <v>20</v>
      </c>
      <c r="I25" s="102" t="str">
        <f t="shared" si="0"/>
        <v/>
      </c>
      <c r="J25" s="101" t="e">
        <f t="shared" si="5"/>
        <v>#NUM!</v>
      </c>
      <c r="K25" s="101" t="e">
        <f t="shared" si="1"/>
        <v>#NUM!</v>
      </c>
      <c r="L25" s="101"/>
      <c r="M25" s="103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97">
        <v>21</v>
      </c>
      <c r="I26" s="98" t="str">
        <f t="shared" si="0"/>
        <v/>
      </c>
      <c r="J26" s="97" t="e">
        <f t="shared" si="5"/>
        <v>#NUM!</v>
      </c>
      <c r="K26" s="97" t="e">
        <f t="shared" si="1"/>
        <v>#NUM!</v>
      </c>
      <c r="L26" s="97"/>
      <c r="M26" s="99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01">
        <v>22</v>
      </c>
      <c r="I27" s="102" t="str">
        <f t="shared" si="0"/>
        <v/>
      </c>
      <c r="J27" s="101" t="e">
        <f t="shared" si="5"/>
        <v>#NUM!</v>
      </c>
      <c r="K27" s="101" t="e">
        <f t="shared" si="1"/>
        <v>#NUM!</v>
      </c>
      <c r="L27" s="101"/>
      <c r="M27" s="103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97">
        <v>23</v>
      </c>
      <c r="I28" s="98" t="str">
        <f t="shared" si="0"/>
        <v/>
      </c>
      <c r="J28" s="97" t="e">
        <f t="shared" si="5"/>
        <v>#NUM!</v>
      </c>
      <c r="K28" s="97" t="e">
        <f t="shared" si="1"/>
        <v>#NUM!</v>
      </c>
      <c r="L28" s="97"/>
      <c r="M28" s="99">
        <f t="shared" si="2"/>
        <v>0</v>
      </c>
      <c r="R28" s="111"/>
      <c r="S28" s="112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82"/>
      <c r="H29" s="101">
        <v>24</v>
      </c>
      <c r="I29" s="102" t="str">
        <f t="shared" si="0"/>
        <v/>
      </c>
      <c r="J29" s="101" t="e">
        <f t="shared" si="5"/>
        <v>#NUM!</v>
      </c>
      <c r="K29" s="101" t="e">
        <f t="shared" si="1"/>
        <v>#NUM!</v>
      </c>
      <c r="L29" s="101"/>
      <c r="M29" s="103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82"/>
      <c r="H30" s="97">
        <v>25</v>
      </c>
      <c r="I30" s="98" t="str">
        <f t="shared" si="0"/>
        <v/>
      </c>
      <c r="J30" s="97" t="e">
        <f t="shared" si="5"/>
        <v>#NUM!</v>
      </c>
      <c r="K30" s="97" t="e">
        <f t="shared" si="1"/>
        <v>#NUM!</v>
      </c>
      <c r="L30" s="97"/>
      <c r="M30" s="99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82"/>
      <c r="H31" s="101">
        <v>26</v>
      </c>
      <c r="I31" s="102" t="str">
        <f t="shared" si="0"/>
        <v/>
      </c>
      <c r="J31" s="101" t="e">
        <f t="shared" si="5"/>
        <v>#NUM!</v>
      </c>
      <c r="K31" s="101" t="e">
        <f t="shared" si="1"/>
        <v>#NUM!</v>
      </c>
      <c r="L31" s="101"/>
      <c r="M31" s="103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82"/>
      <c r="H32" s="97">
        <v>27</v>
      </c>
      <c r="I32" s="98" t="str">
        <f t="shared" si="0"/>
        <v/>
      </c>
      <c r="J32" s="97" t="e">
        <f t="shared" si="5"/>
        <v>#NUM!</v>
      </c>
      <c r="K32" s="97" t="e">
        <f t="shared" si="1"/>
        <v>#NUM!</v>
      </c>
      <c r="L32" s="97"/>
      <c r="M32" s="99">
        <f t="shared" si="2"/>
        <v>0</v>
      </c>
      <c r="R32" s="111"/>
      <c r="S32" s="112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82"/>
      <c r="H33" s="101">
        <v>28</v>
      </c>
      <c r="I33" s="102" t="str">
        <f t="shared" si="0"/>
        <v/>
      </c>
      <c r="J33" s="101" t="e">
        <f t="shared" si="5"/>
        <v>#NUM!</v>
      </c>
      <c r="K33" s="101" t="e">
        <f t="shared" si="1"/>
        <v>#NUM!</v>
      </c>
      <c r="L33" s="101"/>
      <c r="M33" s="103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82"/>
      <c r="H34" s="97">
        <v>29</v>
      </c>
      <c r="I34" s="98" t="str">
        <f t="shared" si="0"/>
        <v/>
      </c>
      <c r="J34" s="97" t="e">
        <f t="shared" si="5"/>
        <v>#NUM!</v>
      </c>
      <c r="K34" s="97" t="e">
        <f t="shared" si="1"/>
        <v>#NUM!</v>
      </c>
      <c r="L34" s="97"/>
      <c r="M34" s="99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82"/>
      <c r="H35" s="101">
        <v>30</v>
      </c>
      <c r="I35" s="102" t="str">
        <f t="shared" si="0"/>
        <v/>
      </c>
      <c r="J35" s="101" t="e">
        <f t="shared" si="5"/>
        <v>#NUM!</v>
      </c>
      <c r="K35" s="101" t="e">
        <f t="shared" si="1"/>
        <v>#NUM!</v>
      </c>
      <c r="L35" s="101"/>
      <c r="M35" s="103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82"/>
      <c r="H36" s="97">
        <v>31</v>
      </c>
      <c r="I36" s="98" t="str">
        <f t="shared" si="0"/>
        <v/>
      </c>
      <c r="J36" s="97" t="e">
        <f t="shared" si="5"/>
        <v>#NUM!</v>
      </c>
      <c r="K36" s="97" t="e">
        <f t="shared" si="1"/>
        <v>#NUM!</v>
      </c>
      <c r="L36" s="97"/>
      <c r="M36" s="99">
        <f t="shared" si="2"/>
        <v>0</v>
      </c>
      <c r="R36" s="111"/>
      <c r="S36" s="112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82"/>
      <c r="H37" s="101">
        <v>32</v>
      </c>
      <c r="I37" s="102" t="str">
        <f t="shared" si="0"/>
        <v/>
      </c>
      <c r="J37" s="101" t="e">
        <f t="shared" si="5"/>
        <v>#NUM!</v>
      </c>
      <c r="K37" s="101" t="e">
        <f t="shared" si="1"/>
        <v>#NUM!</v>
      </c>
      <c r="L37" s="101"/>
      <c r="M37" s="103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82"/>
      <c r="H38" s="97">
        <v>33</v>
      </c>
      <c r="I38" s="98" t="str">
        <f t="shared" si="0"/>
        <v/>
      </c>
      <c r="J38" s="97" t="e">
        <f t="shared" si="5"/>
        <v>#NUM!</v>
      </c>
      <c r="K38" s="97" t="e">
        <f t="shared" si="1"/>
        <v>#NUM!</v>
      </c>
      <c r="L38" s="97"/>
      <c r="M38" s="99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82"/>
      <c r="H39" s="101">
        <v>34</v>
      </c>
      <c r="I39" s="102" t="str">
        <f t="shared" si="0"/>
        <v/>
      </c>
      <c r="J39" s="101" t="e">
        <f t="shared" si="5"/>
        <v>#NUM!</v>
      </c>
      <c r="K39" s="101" t="e">
        <f t="shared" si="1"/>
        <v>#NUM!</v>
      </c>
      <c r="L39" s="101"/>
      <c r="M39" s="103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82"/>
      <c r="H40" s="97">
        <v>35</v>
      </c>
      <c r="I40" s="98" t="str">
        <f t="shared" si="0"/>
        <v/>
      </c>
      <c r="J40" s="97" t="e">
        <f t="shared" si="5"/>
        <v>#NUM!</v>
      </c>
      <c r="K40" s="97" t="e">
        <f t="shared" si="1"/>
        <v>#NUM!</v>
      </c>
      <c r="L40" s="97"/>
      <c r="M40" s="99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82"/>
      <c r="H41" s="101">
        <v>36</v>
      </c>
      <c r="I41" s="102" t="str">
        <f t="shared" si="0"/>
        <v/>
      </c>
      <c r="J41" s="101" t="e">
        <f t="shared" si="5"/>
        <v>#NUM!</v>
      </c>
      <c r="K41" s="101" t="e">
        <f t="shared" si="1"/>
        <v>#NUM!</v>
      </c>
      <c r="L41" s="101"/>
      <c r="M41" s="103">
        <f t="shared" si="2"/>
        <v>0</v>
      </c>
      <c r="S41" s="113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82"/>
      <c r="H42" s="97">
        <v>37</v>
      </c>
      <c r="I42" s="98" t="str">
        <f t="shared" si="0"/>
        <v/>
      </c>
      <c r="J42" s="97" t="e">
        <f t="shared" si="5"/>
        <v>#NUM!</v>
      </c>
      <c r="K42" s="97" t="e">
        <f t="shared" si="1"/>
        <v>#NUM!</v>
      </c>
      <c r="L42" s="97"/>
      <c r="M42" s="99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82"/>
      <c r="H43" s="101">
        <v>38</v>
      </c>
      <c r="I43" s="102" t="str">
        <f t="shared" si="0"/>
        <v/>
      </c>
      <c r="J43" s="101" t="e">
        <f t="shared" si="5"/>
        <v>#NUM!</v>
      </c>
      <c r="K43" s="101" t="e">
        <f t="shared" si="1"/>
        <v>#NUM!</v>
      </c>
      <c r="L43" s="101"/>
      <c r="M43" s="103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82"/>
      <c r="H44" s="97">
        <v>39</v>
      </c>
      <c r="I44" s="98" t="str">
        <f t="shared" si="0"/>
        <v/>
      </c>
      <c r="J44" s="97" t="e">
        <f t="shared" si="5"/>
        <v>#NUM!</v>
      </c>
      <c r="K44" s="97" t="e">
        <f t="shared" si="1"/>
        <v>#NUM!</v>
      </c>
      <c r="L44" s="97"/>
      <c r="M44" s="99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82"/>
      <c r="H45" s="101">
        <v>40</v>
      </c>
      <c r="I45" s="102" t="str">
        <f t="shared" si="0"/>
        <v/>
      </c>
      <c r="J45" s="101" t="e">
        <f t="shared" si="5"/>
        <v>#NUM!</v>
      </c>
      <c r="K45" s="101" t="e">
        <f t="shared" si="1"/>
        <v>#NUM!</v>
      </c>
      <c r="L45" s="101"/>
      <c r="M45" s="103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82"/>
      <c r="H46" s="97">
        <v>41</v>
      </c>
      <c r="I46" s="98" t="str">
        <f t="shared" si="0"/>
        <v/>
      </c>
      <c r="J46" s="97" t="e">
        <f t="shared" si="5"/>
        <v>#NUM!</v>
      </c>
      <c r="K46" s="97" t="e">
        <f t="shared" si="1"/>
        <v>#NUM!</v>
      </c>
      <c r="L46" s="97"/>
      <c r="M46" s="99">
        <f t="shared" si="2"/>
        <v>0</v>
      </c>
      <c r="R46" s="82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82"/>
      <c r="H47" s="101">
        <v>42</v>
      </c>
      <c r="I47" s="102" t="str">
        <f t="shared" si="0"/>
        <v/>
      </c>
      <c r="J47" s="101" t="e">
        <f t="shared" si="5"/>
        <v>#NUM!</v>
      </c>
      <c r="K47" s="101" t="e">
        <f t="shared" si="1"/>
        <v>#NUM!</v>
      </c>
      <c r="L47" s="101"/>
      <c r="M47" s="103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82"/>
      <c r="H48" s="97">
        <v>43</v>
      </c>
      <c r="I48" s="98" t="str">
        <f t="shared" si="0"/>
        <v/>
      </c>
      <c r="J48" s="97" t="e">
        <f t="shared" si="5"/>
        <v>#NUM!</v>
      </c>
      <c r="K48" s="97" t="e">
        <f t="shared" si="1"/>
        <v>#NUM!</v>
      </c>
      <c r="L48" s="97"/>
      <c r="M48" s="99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82"/>
      <c r="H49" s="101">
        <v>44</v>
      </c>
      <c r="I49" s="102" t="str">
        <f t="shared" si="0"/>
        <v/>
      </c>
      <c r="J49" s="101" t="e">
        <f t="shared" si="5"/>
        <v>#NUM!</v>
      </c>
      <c r="K49" s="101" t="e">
        <f t="shared" si="1"/>
        <v>#NUM!</v>
      </c>
      <c r="L49" s="101"/>
      <c r="M49" s="103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82"/>
      <c r="H50" s="97">
        <v>45</v>
      </c>
      <c r="I50" s="98" t="str">
        <f t="shared" si="0"/>
        <v/>
      </c>
      <c r="J50" s="97" t="e">
        <f t="shared" si="5"/>
        <v>#NUM!</v>
      </c>
      <c r="K50" s="97" t="e">
        <f t="shared" si="1"/>
        <v>#NUM!</v>
      </c>
      <c r="L50" s="97"/>
      <c r="M50" s="99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82"/>
      <c r="H51" s="101">
        <v>46</v>
      </c>
      <c r="I51" s="102" t="str">
        <f t="shared" si="0"/>
        <v/>
      </c>
      <c r="J51" s="101" t="e">
        <f t="shared" si="5"/>
        <v>#NUM!</v>
      </c>
      <c r="K51" s="101" t="e">
        <f t="shared" si="1"/>
        <v>#NUM!</v>
      </c>
      <c r="L51" s="101"/>
      <c r="M51" s="103">
        <f t="shared" si="2"/>
        <v>0</v>
      </c>
    </row>
    <row r="52" spans="1:13" x14ac:dyDescent="0.25">
      <c r="A52" s="96"/>
      <c r="B52" s="34" t="str">
        <f t="shared" si="4"/>
        <v/>
      </c>
      <c r="C52" s="35"/>
      <c r="D52" s="35"/>
      <c r="E52" s="35"/>
      <c r="F52" s="35"/>
      <c r="G52" s="82"/>
      <c r="H52" s="97">
        <v>47</v>
      </c>
      <c r="I52" s="98" t="str">
        <f t="shared" si="0"/>
        <v/>
      </c>
      <c r="J52" s="97" t="e">
        <f t="shared" si="5"/>
        <v>#NUM!</v>
      </c>
      <c r="K52" s="97" t="e">
        <f t="shared" si="1"/>
        <v>#NUM!</v>
      </c>
      <c r="L52" s="97"/>
      <c r="M52" s="99">
        <f t="shared" si="2"/>
        <v>0</v>
      </c>
    </row>
    <row r="53" spans="1:13" x14ac:dyDescent="0.25">
      <c r="A53" s="100"/>
      <c r="B53" s="40" t="str">
        <f t="shared" si="4"/>
        <v/>
      </c>
      <c r="C53" s="41"/>
      <c r="D53" s="41"/>
      <c r="E53" s="41"/>
      <c r="F53" s="41"/>
      <c r="G53" s="82"/>
      <c r="H53" s="101">
        <v>48</v>
      </c>
      <c r="I53" s="102" t="str">
        <f t="shared" si="0"/>
        <v/>
      </c>
      <c r="J53" s="101" t="e">
        <f t="shared" si="5"/>
        <v>#NUM!</v>
      </c>
      <c r="K53" s="101" t="e">
        <f t="shared" si="1"/>
        <v>#NUM!</v>
      </c>
      <c r="L53" s="101"/>
      <c r="M53" s="103">
        <f t="shared" si="2"/>
        <v>0</v>
      </c>
    </row>
    <row r="54" spans="1:13" x14ac:dyDescent="0.25">
      <c r="A54" s="96"/>
      <c r="B54" s="34" t="str">
        <f t="shared" si="4"/>
        <v/>
      </c>
      <c r="C54" s="35"/>
      <c r="D54" s="35"/>
      <c r="E54" s="35"/>
      <c r="F54" s="35"/>
      <c r="G54" s="82"/>
      <c r="H54" s="97">
        <v>49</v>
      </c>
      <c r="I54" s="98" t="str">
        <f t="shared" si="0"/>
        <v/>
      </c>
      <c r="J54" s="97" t="e">
        <f t="shared" si="5"/>
        <v>#NUM!</v>
      </c>
      <c r="K54" s="97" t="e">
        <f t="shared" si="1"/>
        <v>#NUM!</v>
      </c>
      <c r="L54" s="97"/>
      <c r="M54" s="99">
        <f t="shared" si="2"/>
        <v>0</v>
      </c>
    </row>
    <row r="55" spans="1:13" x14ac:dyDescent="0.25">
      <c r="A55" s="100"/>
      <c r="B55" s="40" t="str">
        <f t="shared" si="4"/>
        <v/>
      </c>
      <c r="C55" s="41"/>
      <c r="D55" s="41"/>
      <c r="E55" s="41"/>
      <c r="F55" s="41"/>
      <c r="G55" s="82"/>
      <c r="H55" s="101">
        <v>50</v>
      </c>
      <c r="I55" s="102" t="str">
        <f t="shared" si="0"/>
        <v/>
      </c>
      <c r="J55" s="101" t="e">
        <f t="shared" si="5"/>
        <v>#NUM!</v>
      </c>
      <c r="K55" s="101" t="e">
        <f t="shared" si="1"/>
        <v>#NUM!</v>
      </c>
      <c r="L55" s="101"/>
      <c r="M55" s="103">
        <f t="shared" si="2"/>
        <v>0</v>
      </c>
    </row>
    <row r="56" spans="1:13" x14ac:dyDescent="0.25">
      <c r="A56" s="96"/>
      <c r="B56" s="34" t="str">
        <f t="shared" si="4"/>
        <v/>
      </c>
      <c r="C56" s="35"/>
      <c r="D56" s="35"/>
      <c r="E56" s="35"/>
      <c r="F56" s="35"/>
      <c r="G56" s="82"/>
      <c r="H56" s="97">
        <v>51</v>
      </c>
      <c r="I56" s="98" t="str">
        <f t="shared" si="0"/>
        <v/>
      </c>
      <c r="J56" s="97" t="e">
        <f t="shared" si="5"/>
        <v>#NUM!</v>
      </c>
      <c r="K56" s="97" t="e">
        <f t="shared" si="1"/>
        <v>#NUM!</v>
      </c>
      <c r="L56" s="97"/>
      <c r="M56" s="99">
        <f t="shared" si="2"/>
        <v>0</v>
      </c>
    </row>
    <row r="57" spans="1:13" x14ac:dyDescent="0.25">
      <c r="A57" s="100"/>
      <c r="B57" s="40" t="str">
        <f t="shared" si="4"/>
        <v/>
      </c>
      <c r="C57" s="41"/>
      <c r="D57" s="41"/>
      <c r="E57" s="41"/>
      <c r="F57" s="41"/>
      <c r="G57" s="82"/>
      <c r="H57" s="101">
        <v>52</v>
      </c>
      <c r="I57" s="102" t="str">
        <f t="shared" si="0"/>
        <v/>
      </c>
      <c r="J57" s="101" t="e">
        <f t="shared" si="5"/>
        <v>#NUM!</v>
      </c>
      <c r="K57" s="101" t="e">
        <f t="shared" si="1"/>
        <v>#NUM!</v>
      </c>
      <c r="L57" s="101"/>
      <c r="M57" s="103">
        <f t="shared" si="2"/>
        <v>0</v>
      </c>
    </row>
    <row r="58" spans="1:13" x14ac:dyDescent="0.25">
      <c r="A58" s="96"/>
      <c r="B58" s="34" t="str">
        <f t="shared" si="4"/>
        <v/>
      </c>
      <c r="C58" s="35"/>
      <c r="D58" s="35"/>
      <c r="E58" s="35"/>
      <c r="F58" s="35"/>
      <c r="G58" s="82"/>
      <c r="H58" s="97">
        <v>53</v>
      </c>
      <c r="I58" s="98" t="str">
        <f t="shared" si="0"/>
        <v/>
      </c>
      <c r="J58" s="97" t="e">
        <f t="shared" si="5"/>
        <v>#NUM!</v>
      </c>
      <c r="K58" s="97" t="e">
        <f t="shared" si="1"/>
        <v>#NUM!</v>
      </c>
      <c r="L58" s="97"/>
      <c r="M58" s="99">
        <f t="shared" si="2"/>
        <v>0</v>
      </c>
    </row>
    <row r="59" spans="1:13" x14ac:dyDescent="0.25">
      <c r="A59" s="100"/>
      <c r="B59" s="40" t="str">
        <f t="shared" si="4"/>
        <v/>
      </c>
      <c r="C59" s="41"/>
      <c r="D59" s="41"/>
      <c r="E59" s="41"/>
      <c r="F59" s="41"/>
      <c r="G59" s="82"/>
      <c r="H59" s="101">
        <v>54</v>
      </c>
      <c r="I59" s="102" t="str">
        <f t="shared" si="0"/>
        <v/>
      </c>
      <c r="J59" s="101" t="e">
        <f t="shared" si="5"/>
        <v>#NUM!</v>
      </c>
      <c r="K59" s="101" t="e">
        <f t="shared" si="1"/>
        <v>#NUM!</v>
      </c>
      <c r="L59" s="101"/>
      <c r="M59" s="103">
        <f t="shared" si="2"/>
        <v>0</v>
      </c>
    </row>
    <row r="60" spans="1:13" x14ac:dyDescent="0.25">
      <c r="A60" s="96"/>
      <c r="B60" s="34" t="str">
        <f t="shared" si="4"/>
        <v/>
      </c>
      <c r="C60" s="35"/>
      <c r="D60" s="35"/>
      <c r="E60" s="35"/>
      <c r="F60" s="35"/>
      <c r="G60" s="82"/>
      <c r="H60" s="97">
        <v>55</v>
      </c>
      <c r="I60" s="98" t="str">
        <f t="shared" si="0"/>
        <v/>
      </c>
      <c r="J60" s="97" t="e">
        <f t="shared" si="5"/>
        <v>#NUM!</v>
      </c>
      <c r="K60" s="97" t="e">
        <f t="shared" si="1"/>
        <v>#NUM!</v>
      </c>
      <c r="L60" s="97"/>
      <c r="M60" s="99">
        <f t="shared" si="2"/>
        <v>0</v>
      </c>
    </row>
    <row r="61" spans="1:13" x14ac:dyDescent="0.25">
      <c r="A61" s="100"/>
      <c r="B61" s="40" t="str">
        <f t="shared" si="4"/>
        <v/>
      </c>
      <c r="C61" s="41"/>
      <c r="D61" s="41"/>
      <c r="E61" s="41"/>
      <c r="F61" s="41"/>
      <c r="G61" s="82"/>
      <c r="H61" s="101">
        <v>56</v>
      </c>
      <c r="I61" s="102" t="str">
        <f t="shared" si="0"/>
        <v/>
      </c>
      <c r="J61" s="101" t="e">
        <f t="shared" si="5"/>
        <v>#NUM!</v>
      </c>
      <c r="K61" s="101" t="e">
        <f t="shared" si="1"/>
        <v>#NUM!</v>
      </c>
      <c r="L61" s="101"/>
      <c r="M61" s="103">
        <f t="shared" si="2"/>
        <v>0</v>
      </c>
    </row>
    <row r="62" spans="1:13" x14ac:dyDescent="0.25">
      <c r="A62" s="96"/>
      <c r="B62" s="34" t="str">
        <f t="shared" si="4"/>
        <v/>
      </c>
      <c r="C62" s="35"/>
      <c r="D62" s="35"/>
      <c r="E62" s="35"/>
      <c r="F62" s="35"/>
      <c r="G62" s="82"/>
      <c r="H62" s="97">
        <v>57</v>
      </c>
      <c r="I62" s="98" t="str">
        <f t="shared" si="0"/>
        <v/>
      </c>
      <c r="J62" s="97" t="e">
        <f t="shared" si="5"/>
        <v>#NUM!</v>
      </c>
      <c r="K62" s="97" t="e">
        <f t="shared" si="1"/>
        <v>#NUM!</v>
      </c>
      <c r="L62" s="97"/>
      <c r="M62" s="99">
        <f t="shared" si="2"/>
        <v>0</v>
      </c>
    </row>
    <row r="63" spans="1:13" x14ac:dyDescent="0.25">
      <c r="A63" s="100"/>
      <c r="B63" s="40" t="str">
        <f t="shared" si="4"/>
        <v/>
      </c>
      <c r="C63" s="41"/>
      <c r="D63" s="41"/>
      <c r="E63" s="41"/>
      <c r="F63" s="41"/>
      <c r="G63" s="82"/>
      <c r="H63" s="101">
        <v>58</v>
      </c>
      <c r="I63" s="102" t="str">
        <f t="shared" si="0"/>
        <v/>
      </c>
      <c r="J63" s="101" t="e">
        <f t="shared" si="5"/>
        <v>#NUM!</v>
      </c>
      <c r="K63" s="101" t="e">
        <f t="shared" si="1"/>
        <v>#NUM!</v>
      </c>
      <c r="L63" s="101"/>
      <c r="M63" s="103">
        <f t="shared" si="2"/>
        <v>0</v>
      </c>
    </row>
    <row r="64" spans="1:13" x14ac:dyDescent="0.25">
      <c r="A64" s="96"/>
      <c r="B64" s="34" t="str">
        <f t="shared" si="4"/>
        <v/>
      </c>
      <c r="C64" s="35"/>
      <c r="D64" s="35"/>
      <c r="E64" s="35"/>
      <c r="F64" s="35"/>
      <c r="G64" s="82"/>
      <c r="H64" s="97">
        <v>59</v>
      </c>
      <c r="I64" s="98" t="str">
        <f t="shared" si="0"/>
        <v/>
      </c>
      <c r="J64" s="97" t="e">
        <f t="shared" si="5"/>
        <v>#NUM!</v>
      </c>
      <c r="K64" s="97" t="e">
        <f t="shared" si="1"/>
        <v>#NUM!</v>
      </c>
      <c r="L64" s="97"/>
      <c r="M64" s="99">
        <f t="shared" si="2"/>
        <v>0</v>
      </c>
    </row>
    <row r="65" spans="1:13" x14ac:dyDescent="0.25">
      <c r="A65" s="100"/>
      <c r="B65" s="40" t="str">
        <f t="shared" si="4"/>
        <v/>
      </c>
      <c r="C65" s="41"/>
      <c r="D65" s="41"/>
      <c r="E65" s="41"/>
      <c r="F65" s="41"/>
      <c r="G65" s="82"/>
      <c r="H65" s="101">
        <v>60</v>
      </c>
      <c r="I65" s="102" t="str">
        <f t="shared" si="0"/>
        <v/>
      </c>
      <c r="J65" s="101" t="e">
        <f t="shared" si="5"/>
        <v>#NUM!</v>
      </c>
      <c r="K65" s="101" t="e">
        <f t="shared" si="1"/>
        <v>#NUM!</v>
      </c>
      <c r="L65" s="101"/>
      <c r="M65" s="103">
        <f t="shared" si="2"/>
        <v>0</v>
      </c>
    </row>
    <row r="66" spans="1:13" x14ac:dyDescent="0.25">
      <c r="A66" s="116"/>
      <c r="B66" s="34"/>
      <c r="G66" s="82"/>
      <c r="H66" s="97">
        <v>61</v>
      </c>
      <c r="I66" s="98" t="str">
        <f t="shared" si="0"/>
        <v/>
      </c>
      <c r="J66" s="97" t="e">
        <f t="shared" si="5"/>
        <v>#NUM!</v>
      </c>
      <c r="K66" s="97" t="e">
        <f t="shared" si="1"/>
        <v>#NUM!</v>
      </c>
      <c r="L66" s="97"/>
      <c r="M66" s="99">
        <f t="shared" si="2"/>
        <v>0</v>
      </c>
    </row>
    <row r="67" spans="1:13" x14ac:dyDescent="0.25">
      <c r="A67" s="116"/>
      <c r="B67" s="40"/>
      <c r="G67" s="82"/>
      <c r="H67" s="97">
        <v>62</v>
      </c>
      <c r="I67" s="98" t="str">
        <f t="shared" si="0"/>
        <v/>
      </c>
      <c r="J67" s="97" t="e">
        <f t="shared" si="5"/>
        <v>#NUM!</v>
      </c>
      <c r="K67" s="97" t="e">
        <f t="shared" si="1"/>
        <v>#NUM!</v>
      </c>
      <c r="L67" s="97"/>
      <c r="M67" s="99">
        <f t="shared" si="2"/>
        <v>0</v>
      </c>
    </row>
    <row r="68" spans="1:13" x14ac:dyDescent="0.25">
      <c r="A68" s="116"/>
      <c r="B68" s="34"/>
      <c r="G68" s="82"/>
      <c r="H68" s="97">
        <v>63</v>
      </c>
      <c r="I68" s="98" t="str">
        <f t="shared" si="0"/>
        <v/>
      </c>
      <c r="J68" s="97" t="e">
        <f t="shared" si="5"/>
        <v>#NUM!</v>
      </c>
      <c r="K68" s="97" t="e">
        <f t="shared" si="1"/>
        <v>#NUM!</v>
      </c>
      <c r="L68" s="97"/>
      <c r="M68" s="99">
        <f t="shared" si="2"/>
        <v>0</v>
      </c>
    </row>
    <row r="69" spans="1:13" x14ac:dyDescent="0.25">
      <c r="A69" s="116"/>
      <c r="B69" s="40"/>
      <c r="G69" s="82"/>
      <c r="H69" s="97">
        <v>64</v>
      </c>
      <c r="I69" s="98" t="str">
        <f t="shared" si="0"/>
        <v/>
      </c>
      <c r="J69" s="97" t="e">
        <f t="shared" si="5"/>
        <v>#NUM!</v>
      </c>
      <c r="K69" s="97" t="e">
        <f t="shared" si="1"/>
        <v>#NUM!</v>
      </c>
      <c r="L69" s="97"/>
      <c r="M69" s="99">
        <f t="shared" si="2"/>
        <v>0</v>
      </c>
    </row>
    <row r="70" spans="1:13" x14ac:dyDescent="0.25">
      <c r="A70" s="116"/>
      <c r="G70" s="82"/>
      <c r="H70" s="97">
        <v>65</v>
      </c>
      <c r="I70" s="98" t="str">
        <f t="shared" ref="I70:I133" si="6">IF(H70&lt;$H$2+1,($I$2-($I$2-1)*(LOG(H70)/LOG($H$2))),"")</f>
        <v/>
      </c>
      <c r="J70" s="97" t="e">
        <f t="shared" si="5"/>
        <v>#NUM!</v>
      </c>
      <c r="K70" s="97" t="e">
        <f t="shared" ref="K70:K133" si="7">J70*$J$2</f>
        <v>#NUM!</v>
      </c>
      <c r="L70" s="97"/>
      <c r="M70" s="99">
        <f t="shared" ref="M70:M133" si="8">IF(I70&lt;&gt;"",K70+I70+L70,0)</f>
        <v>0</v>
      </c>
    </row>
    <row r="71" spans="1:13" x14ac:dyDescent="0.25">
      <c r="A71" s="116"/>
      <c r="G71" s="82"/>
      <c r="H71" s="97">
        <v>66</v>
      </c>
      <c r="I71" s="98" t="str">
        <f t="shared" si="6"/>
        <v/>
      </c>
      <c r="J71" s="97" t="e">
        <f t="shared" ref="J71:J134" si="9">INT(LOG($H$2,2))-ROUNDUP(LOG(H71,2),0)+IF(OR($H$2=1,$H$2=2,$H$2=4,$H$2=8,$H$2=16,$H$2=32,$H$2=64,$H$2=128,$H$2=256),0,1)</f>
        <v>#NUM!</v>
      </c>
      <c r="K71" s="97" t="e">
        <f t="shared" si="7"/>
        <v>#NUM!</v>
      </c>
      <c r="L71" s="97"/>
      <c r="M71" s="99">
        <f t="shared" si="8"/>
        <v>0</v>
      </c>
    </row>
    <row r="72" spans="1:13" x14ac:dyDescent="0.25">
      <c r="A72" s="116"/>
      <c r="G72" s="82"/>
      <c r="H72" s="97">
        <v>67</v>
      </c>
      <c r="I72" s="98" t="str">
        <f t="shared" si="6"/>
        <v/>
      </c>
      <c r="J72" s="97" t="e">
        <f t="shared" si="9"/>
        <v>#NUM!</v>
      </c>
      <c r="K72" s="97" t="e">
        <f t="shared" si="7"/>
        <v>#NUM!</v>
      </c>
      <c r="L72" s="97"/>
      <c r="M72" s="99">
        <f t="shared" si="8"/>
        <v>0</v>
      </c>
    </row>
    <row r="73" spans="1:13" x14ac:dyDescent="0.25">
      <c r="A73" s="116"/>
      <c r="G73" s="82"/>
      <c r="H73" s="97">
        <v>68</v>
      </c>
      <c r="I73" s="98" t="str">
        <f t="shared" si="6"/>
        <v/>
      </c>
      <c r="J73" s="97" t="e">
        <f t="shared" si="9"/>
        <v>#NUM!</v>
      </c>
      <c r="K73" s="97" t="e">
        <f t="shared" si="7"/>
        <v>#NUM!</v>
      </c>
      <c r="L73" s="97"/>
      <c r="M73" s="99">
        <f t="shared" si="8"/>
        <v>0</v>
      </c>
    </row>
    <row r="74" spans="1:13" x14ac:dyDescent="0.25">
      <c r="A74" s="116"/>
      <c r="G74" s="82"/>
      <c r="H74" s="97">
        <v>69</v>
      </c>
      <c r="I74" s="98" t="str">
        <f t="shared" si="6"/>
        <v/>
      </c>
      <c r="J74" s="97" t="e">
        <f t="shared" si="9"/>
        <v>#NUM!</v>
      </c>
      <c r="K74" s="97" t="e">
        <f t="shared" si="7"/>
        <v>#NUM!</v>
      </c>
      <c r="L74" s="97"/>
      <c r="M74" s="99">
        <f t="shared" si="8"/>
        <v>0</v>
      </c>
    </row>
    <row r="75" spans="1:13" x14ac:dyDescent="0.25">
      <c r="A75" s="116"/>
      <c r="G75" s="82"/>
      <c r="H75" s="97">
        <v>70</v>
      </c>
      <c r="I75" s="98" t="str">
        <f t="shared" si="6"/>
        <v/>
      </c>
      <c r="J75" s="97" t="e">
        <f t="shared" si="9"/>
        <v>#NUM!</v>
      </c>
      <c r="K75" s="97" t="e">
        <f t="shared" si="7"/>
        <v>#NUM!</v>
      </c>
      <c r="L75" s="97"/>
      <c r="M75" s="99">
        <f t="shared" si="8"/>
        <v>0</v>
      </c>
    </row>
    <row r="76" spans="1:13" x14ac:dyDescent="0.25">
      <c r="A76" s="116"/>
      <c r="G76" s="82"/>
      <c r="H76" s="97">
        <v>71</v>
      </c>
      <c r="I76" s="98" t="str">
        <f t="shared" si="6"/>
        <v/>
      </c>
      <c r="J76" s="97" t="e">
        <f t="shared" si="9"/>
        <v>#NUM!</v>
      </c>
      <c r="K76" s="97" t="e">
        <f t="shared" si="7"/>
        <v>#NUM!</v>
      </c>
      <c r="L76" s="97"/>
      <c r="M76" s="99">
        <f t="shared" si="8"/>
        <v>0</v>
      </c>
    </row>
    <row r="77" spans="1:13" x14ac:dyDescent="0.25">
      <c r="A77" s="116"/>
      <c r="G77" s="82"/>
      <c r="H77" s="97">
        <v>72</v>
      </c>
      <c r="I77" s="98" t="str">
        <f t="shared" si="6"/>
        <v/>
      </c>
      <c r="J77" s="97" t="e">
        <f t="shared" si="9"/>
        <v>#NUM!</v>
      </c>
      <c r="K77" s="97" t="e">
        <f t="shared" si="7"/>
        <v>#NUM!</v>
      </c>
      <c r="L77" s="97"/>
      <c r="M77" s="99">
        <f t="shared" si="8"/>
        <v>0</v>
      </c>
    </row>
    <row r="78" spans="1:13" x14ac:dyDescent="0.25">
      <c r="A78" s="116"/>
      <c r="G78" s="82"/>
      <c r="H78" s="97">
        <v>73</v>
      </c>
      <c r="I78" s="98" t="str">
        <f t="shared" si="6"/>
        <v/>
      </c>
      <c r="J78" s="97" t="e">
        <f t="shared" si="9"/>
        <v>#NUM!</v>
      </c>
      <c r="K78" s="97" t="e">
        <f t="shared" si="7"/>
        <v>#NUM!</v>
      </c>
      <c r="L78" s="97"/>
      <c r="M78" s="99">
        <f t="shared" si="8"/>
        <v>0</v>
      </c>
    </row>
    <row r="79" spans="1:13" x14ac:dyDescent="0.25">
      <c r="A79" s="116"/>
      <c r="G79" s="82"/>
      <c r="H79" s="97">
        <v>74</v>
      </c>
      <c r="I79" s="98" t="str">
        <f t="shared" si="6"/>
        <v/>
      </c>
      <c r="J79" s="97" t="e">
        <f t="shared" si="9"/>
        <v>#NUM!</v>
      </c>
      <c r="K79" s="97" t="e">
        <f t="shared" si="7"/>
        <v>#NUM!</v>
      </c>
      <c r="L79" s="97"/>
      <c r="M79" s="99">
        <f t="shared" si="8"/>
        <v>0</v>
      </c>
    </row>
    <row r="80" spans="1:13" x14ac:dyDescent="0.25">
      <c r="A80" s="116"/>
      <c r="G80" s="82"/>
      <c r="H80" s="97">
        <v>75</v>
      </c>
      <c r="I80" s="98" t="str">
        <f t="shared" si="6"/>
        <v/>
      </c>
      <c r="J80" s="97" t="e">
        <f t="shared" si="9"/>
        <v>#NUM!</v>
      </c>
      <c r="K80" s="97" t="e">
        <f t="shared" si="7"/>
        <v>#NUM!</v>
      </c>
      <c r="L80" s="97"/>
      <c r="M80" s="99">
        <f t="shared" si="8"/>
        <v>0</v>
      </c>
    </row>
    <row r="81" spans="1:13" x14ac:dyDescent="0.25">
      <c r="A81" s="116"/>
      <c r="G81" s="82"/>
      <c r="H81" s="97">
        <v>76</v>
      </c>
      <c r="I81" s="98" t="str">
        <f t="shared" si="6"/>
        <v/>
      </c>
      <c r="J81" s="97" t="e">
        <f t="shared" si="9"/>
        <v>#NUM!</v>
      </c>
      <c r="K81" s="97" t="e">
        <f t="shared" si="7"/>
        <v>#NUM!</v>
      </c>
      <c r="L81" s="97"/>
      <c r="M81" s="99">
        <f t="shared" si="8"/>
        <v>0</v>
      </c>
    </row>
    <row r="82" spans="1:13" x14ac:dyDescent="0.25">
      <c r="A82" s="116"/>
      <c r="G82" s="82"/>
      <c r="H82" s="97">
        <v>77</v>
      </c>
      <c r="I82" s="98" t="str">
        <f t="shared" si="6"/>
        <v/>
      </c>
      <c r="J82" s="97" t="e">
        <f t="shared" si="9"/>
        <v>#NUM!</v>
      </c>
      <c r="K82" s="97" t="e">
        <f t="shared" si="7"/>
        <v>#NUM!</v>
      </c>
      <c r="L82" s="97"/>
      <c r="M82" s="99">
        <f t="shared" si="8"/>
        <v>0</v>
      </c>
    </row>
    <row r="83" spans="1:13" x14ac:dyDescent="0.25">
      <c r="A83" s="116"/>
      <c r="G83" s="82"/>
      <c r="H83" s="97">
        <v>78</v>
      </c>
      <c r="I83" s="98" t="str">
        <f t="shared" si="6"/>
        <v/>
      </c>
      <c r="J83" s="97" t="e">
        <f t="shared" si="9"/>
        <v>#NUM!</v>
      </c>
      <c r="K83" s="97" t="e">
        <f t="shared" si="7"/>
        <v>#NUM!</v>
      </c>
      <c r="L83" s="97"/>
      <c r="M83" s="99">
        <f t="shared" si="8"/>
        <v>0</v>
      </c>
    </row>
    <row r="84" spans="1:13" x14ac:dyDescent="0.25">
      <c r="A84" s="116"/>
      <c r="G84" s="82"/>
      <c r="H84" s="97">
        <v>79</v>
      </c>
      <c r="I84" s="98" t="str">
        <f t="shared" si="6"/>
        <v/>
      </c>
      <c r="J84" s="97" t="e">
        <f t="shared" si="9"/>
        <v>#NUM!</v>
      </c>
      <c r="K84" s="97" t="e">
        <f t="shared" si="7"/>
        <v>#NUM!</v>
      </c>
      <c r="L84" s="97"/>
      <c r="M84" s="99">
        <f t="shared" si="8"/>
        <v>0</v>
      </c>
    </row>
    <row r="85" spans="1:13" x14ac:dyDescent="0.25">
      <c r="A85" s="116"/>
      <c r="G85" s="82"/>
      <c r="H85" s="97">
        <v>80</v>
      </c>
      <c r="I85" s="98" t="str">
        <f t="shared" si="6"/>
        <v/>
      </c>
      <c r="J85" s="97" t="e">
        <f t="shared" si="9"/>
        <v>#NUM!</v>
      </c>
      <c r="K85" s="97" t="e">
        <f t="shared" si="7"/>
        <v>#NUM!</v>
      </c>
      <c r="L85" s="97"/>
      <c r="M85" s="99">
        <f t="shared" si="8"/>
        <v>0</v>
      </c>
    </row>
    <row r="86" spans="1:13" x14ac:dyDescent="0.25">
      <c r="A86" s="116"/>
      <c r="G86" s="82"/>
      <c r="H86" s="97">
        <v>81</v>
      </c>
      <c r="I86" s="98" t="str">
        <f t="shared" si="6"/>
        <v/>
      </c>
      <c r="J86" s="97" t="e">
        <f t="shared" si="9"/>
        <v>#NUM!</v>
      </c>
      <c r="K86" s="97" t="e">
        <f t="shared" si="7"/>
        <v>#NUM!</v>
      </c>
      <c r="L86" s="97"/>
      <c r="M86" s="99">
        <f t="shared" si="8"/>
        <v>0</v>
      </c>
    </row>
    <row r="87" spans="1:13" x14ac:dyDescent="0.25">
      <c r="A87" s="116"/>
      <c r="G87" s="82"/>
      <c r="H87" s="97">
        <v>82</v>
      </c>
      <c r="I87" s="98" t="str">
        <f t="shared" si="6"/>
        <v/>
      </c>
      <c r="J87" s="97" t="e">
        <f t="shared" si="9"/>
        <v>#NUM!</v>
      </c>
      <c r="K87" s="97" t="e">
        <f t="shared" si="7"/>
        <v>#NUM!</v>
      </c>
      <c r="L87" s="97"/>
      <c r="M87" s="99">
        <f t="shared" si="8"/>
        <v>0</v>
      </c>
    </row>
    <row r="88" spans="1:13" x14ac:dyDescent="0.25">
      <c r="A88" s="116"/>
      <c r="G88" s="82"/>
      <c r="H88" s="97">
        <v>83</v>
      </c>
      <c r="I88" s="98" t="str">
        <f t="shared" si="6"/>
        <v/>
      </c>
      <c r="J88" s="97" t="e">
        <f t="shared" si="9"/>
        <v>#NUM!</v>
      </c>
      <c r="K88" s="97" t="e">
        <f t="shared" si="7"/>
        <v>#NUM!</v>
      </c>
      <c r="L88" s="97"/>
      <c r="M88" s="99">
        <f t="shared" si="8"/>
        <v>0</v>
      </c>
    </row>
    <row r="89" spans="1:13" x14ac:dyDescent="0.25">
      <c r="A89" s="116"/>
      <c r="G89" s="82"/>
      <c r="H89" s="97">
        <v>84</v>
      </c>
      <c r="I89" s="98" t="str">
        <f t="shared" si="6"/>
        <v/>
      </c>
      <c r="J89" s="97" t="e">
        <f t="shared" si="9"/>
        <v>#NUM!</v>
      </c>
      <c r="K89" s="97" t="e">
        <f t="shared" si="7"/>
        <v>#NUM!</v>
      </c>
      <c r="L89" s="97"/>
      <c r="M89" s="99">
        <f t="shared" si="8"/>
        <v>0</v>
      </c>
    </row>
    <row r="90" spans="1:13" x14ac:dyDescent="0.25">
      <c r="A90" s="116"/>
      <c r="G90" s="82"/>
      <c r="H90" s="97">
        <v>85</v>
      </c>
      <c r="I90" s="98" t="str">
        <f t="shared" si="6"/>
        <v/>
      </c>
      <c r="J90" s="97" t="e">
        <f t="shared" si="9"/>
        <v>#NUM!</v>
      </c>
      <c r="K90" s="97" t="e">
        <f t="shared" si="7"/>
        <v>#NUM!</v>
      </c>
      <c r="L90" s="97"/>
      <c r="M90" s="99">
        <f t="shared" si="8"/>
        <v>0</v>
      </c>
    </row>
    <row r="91" spans="1:13" x14ac:dyDescent="0.25">
      <c r="A91" s="116"/>
      <c r="G91" s="82"/>
      <c r="H91" s="97">
        <v>86</v>
      </c>
      <c r="I91" s="98" t="str">
        <f t="shared" si="6"/>
        <v/>
      </c>
      <c r="J91" s="97" t="e">
        <f t="shared" si="9"/>
        <v>#NUM!</v>
      </c>
      <c r="K91" s="97" t="e">
        <f t="shared" si="7"/>
        <v>#NUM!</v>
      </c>
      <c r="L91" s="97"/>
      <c r="M91" s="99">
        <f t="shared" si="8"/>
        <v>0</v>
      </c>
    </row>
    <row r="92" spans="1:13" x14ac:dyDescent="0.25">
      <c r="A92" s="116"/>
      <c r="G92" s="82"/>
      <c r="H92" s="97">
        <v>87</v>
      </c>
      <c r="I92" s="98" t="str">
        <f t="shared" si="6"/>
        <v/>
      </c>
      <c r="J92" s="97" t="e">
        <f t="shared" si="9"/>
        <v>#NUM!</v>
      </c>
      <c r="K92" s="97" t="e">
        <f t="shared" si="7"/>
        <v>#NUM!</v>
      </c>
      <c r="L92" s="97"/>
      <c r="M92" s="99">
        <f t="shared" si="8"/>
        <v>0</v>
      </c>
    </row>
    <row r="93" spans="1:13" x14ac:dyDescent="0.25">
      <c r="A93" s="116"/>
      <c r="G93" s="82"/>
      <c r="H93" s="97">
        <v>88</v>
      </c>
      <c r="I93" s="98" t="str">
        <f t="shared" si="6"/>
        <v/>
      </c>
      <c r="J93" s="97" t="e">
        <f t="shared" si="9"/>
        <v>#NUM!</v>
      </c>
      <c r="K93" s="97" t="e">
        <f t="shared" si="7"/>
        <v>#NUM!</v>
      </c>
      <c r="L93" s="97"/>
      <c r="M93" s="99">
        <f t="shared" si="8"/>
        <v>0</v>
      </c>
    </row>
    <row r="94" spans="1:13" x14ac:dyDescent="0.25">
      <c r="A94" s="116"/>
      <c r="G94" s="82"/>
      <c r="H94" s="97">
        <v>89</v>
      </c>
      <c r="I94" s="98" t="str">
        <f t="shared" si="6"/>
        <v/>
      </c>
      <c r="J94" s="97" t="e">
        <f t="shared" si="9"/>
        <v>#NUM!</v>
      </c>
      <c r="K94" s="97" t="e">
        <f t="shared" si="7"/>
        <v>#NUM!</v>
      </c>
      <c r="L94" s="97"/>
      <c r="M94" s="99">
        <f t="shared" si="8"/>
        <v>0</v>
      </c>
    </row>
    <row r="95" spans="1:13" x14ac:dyDescent="0.25">
      <c r="A95" s="116"/>
      <c r="G95" s="82"/>
      <c r="H95" s="97">
        <v>90</v>
      </c>
      <c r="I95" s="98" t="str">
        <f t="shared" si="6"/>
        <v/>
      </c>
      <c r="J95" s="97" t="e">
        <f t="shared" si="9"/>
        <v>#NUM!</v>
      </c>
      <c r="K95" s="97" t="e">
        <f t="shared" si="7"/>
        <v>#NUM!</v>
      </c>
      <c r="L95" s="97"/>
      <c r="M95" s="99">
        <f t="shared" si="8"/>
        <v>0</v>
      </c>
    </row>
    <row r="96" spans="1:13" x14ac:dyDescent="0.25">
      <c r="A96" s="116"/>
      <c r="G96" s="82"/>
      <c r="H96" s="97">
        <v>91</v>
      </c>
      <c r="I96" s="98" t="str">
        <f t="shared" si="6"/>
        <v/>
      </c>
      <c r="J96" s="97" t="e">
        <f t="shared" si="9"/>
        <v>#NUM!</v>
      </c>
      <c r="K96" s="97" t="e">
        <f t="shared" si="7"/>
        <v>#NUM!</v>
      </c>
      <c r="L96" s="97"/>
      <c r="M96" s="99">
        <f t="shared" si="8"/>
        <v>0</v>
      </c>
    </row>
    <row r="97" spans="1:13" x14ac:dyDescent="0.25">
      <c r="A97" s="116"/>
      <c r="G97" s="82"/>
      <c r="H97" s="97">
        <v>92</v>
      </c>
      <c r="I97" s="98" t="str">
        <f t="shared" si="6"/>
        <v/>
      </c>
      <c r="J97" s="97" t="e">
        <f t="shared" si="9"/>
        <v>#NUM!</v>
      </c>
      <c r="K97" s="97" t="e">
        <f t="shared" si="7"/>
        <v>#NUM!</v>
      </c>
      <c r="L97" s="97"/>
      <c r="M97" s="99">
        <f t="shared" si="8"/>
        <v>0</v>
      </c>
    </row>
    <row r="98" spans="1:13" x14ac:dyDescent="0.25">
      <c r="A98" s="116"/>
      <c r="G98" s="82"/>
      <c r="H98" s="97">
        <v>93</v>
      </c>
      <c r="I98" s="98" t="str">
        <f t="shared" si="6"/>
        <v/>
      </c>
      <c r="J98" s="97" t="e">
        <f t="shared" si="9"/>
        <v>#NUM!</v>
      </c>
      <c r="K98" s="97" t="e">
        <f t="shared" si="7"/>
        <v>#NUM!</v>
      </c>
      <c r="L98" s="97"/>
      <c r="M98" s="99">
        <f t="shared" si="8"/>
        <v>0</v>
      </c>
    </row>
    <row r="99" spans="1:13" x14ac:dyDescent="0.25">
      <c r="A99" s="116"/>
      <c r="G99" s="82"/>
      <c r="H99" s="97">
        <v>94</v>
      </c>
      <c r="I99" s="98" t="str">
        <f t="shared" si="6"/>
        <v/>
      </c>
      <c r="J99" s="97" t="e">
        <f t="shared" si="9"/>
        <v>#NUM!</v>
      </c>
      <c r="K99" s="97" t="e">
        <f t="shared" si="7"/>
        <v>#NUM!</v>
      </c>
      <c r="L99" s="97"/>
      <c r="M99" s="99">
        <f t="shared" si="8"/>
        <v>0</v>
      </c>
    </row>
    <row r="100" spans="1:13" x14ac:dyDescent="0.25">
      <c r="A100" s="116"/>
      <c r="G100" s="82"/>
      <c r="H100" s="97">
        <v>95</v>
      </c>
      <c r="I100" s="98" t="str">
        <f t="shared" si="6"/>
        <v/>
      </c>
      <c r="J100" s="97" t="e">
        <f t="shared" si="9"/>
        <v>#NUM!</v>
      </c>
      <c r="K100" s="97" t="e">
        <f t="shared" si="7"/>
        <v>#NUM!</v>
      </c>
      <c r="L100" s="97"/>
      <c r="M100" s="99">
        <f t="shared" si="8"/>
        <v>0</v>
      </c>
    </row>
    <row r="101" spans="1:13" x14ac:dyDescent="0.25">
      <c r="A101" s="118"/>
      <c r="G101" s="82"/>
      <c r="H101" s="97">
        <v>96</v>
      </c>
      <c r="I101" s="98" t="str">
        <f t="shared" si="6"/>
        <v/>
      </c>
      <c r="J101" s="97" t="e">
        <f t="shared" si="9"/>
        <v>#NUM!</v>
      </c>
      <c r="K101" s="97" t="e">
        <f t="shared" si="7"/>
        <v>#NUM!</v>
      </c>
      <c r="L101" s="97"/>
      <c r="M101" s="99">
        <f t="shared" si="8"/>
        <v>0</v>
      </c>
    </row>
    <row r="102" spans="1:13" x14ac:dyDescent="0.25">
      <c r="A102" s="118"/>
      <c r="G102" s="82"/>
      <c r="H102" s="97">
        <v>97</v>
      </c>
      <c r="I102" s="98" t="str">
        <f t="shared" si="6"/>
        <v/>
      </c>
      <c r="J102" s="97" t="e">
        <f t="shared" si="9"/>
        <v>#NUM!</v>
      </c>
      <c r="K102" s="97" t="e">
        <f t="shared" si="7"/>
        <v>#NUM!</v>
      </c>
      <c r="L102" s="97"/>
      <c r="M102" s="99">
        <f t="shared" si="8"/>
        <v>0</v>
      </c>
    </row>
    <row r="103" spans="1:13" x14ac:dyDescent="0.25">
      <c r="A103" s="118"/>
      <c r="G103" s="82"/>
      <c r="H103" s="97">
        <v>98</v>
      </c>
      <c r="I103" s="98" t="str">
        <f t="shared" si="6"/>
        <v/>
      </c>
      <c r="J103" s="97" t="e">
        <f t="shared" si="9"/>
        <v>#NUM!</v>
      </c>
      <c r="K103" s="97" t="e">
        <f t="shared" si="7"/>
        <v>#NUM!</v>
      </c>
      <c r="L103" s="97"/>
      <c r="M103" s="99">
        <f t="shared" si="8"/>
        <v>0</v>
      </c>
    </row>
    <row r="104" spans="1:13" x14ac:dyDescent="0.25">
      <c r="A104" s="118"/>
      <c r="G104" s="82"/>
      <c r="H104" s="97">
        <v>99</v>
      </c>
      <c r="I104" s="98" t="str">
        <f t="shared" si="6"/>
        <v/>
      </c>
      <c r="J104" s="97" t="e">
        <f t="shared" si="9"/>
        <v>#NUM!</v>
      </c>
      <c r="K104" s="97" t="e">
        <f t="shared" si="7"/>
        <v>#NUM!</v>
      </c>
      <c r="L104" s="97"/>
      <c r="M104" s="99">
        <f t="shared" si="8"/>
        <v>0</v>
      </c>
    </row>
    <row r="105" spans="1:13" x14ac:dyDescent="0.25">
      <c r="A105" s="118"/>
      <c r="G105" s="82"/>
      <c r="H105" s="97">
        <v>100</v>
      </c>
      <c r="I105" s="98" t="str">
        <f t="shared" si="6"/>
        <v/>
      </c>
      <c r="J105" s="97" t="e">
        <f t="shared" si="9"/>
        <v>#NUM!</v>
      </c>
      <c r="K105" s="97" t="e">
        <f t="shared" si="7"/>
        <v>#NUM!</v>
      </c>
      <c r="L105" s="97"/>
      <c r="M105" s="99">
        <f t="shared" si="8"/>
        <v>0</v>
      </c>
    </row>
    <row r="106" spans="1:13" x14ac:dyDescent="0.25">
      <c r="A106" s="118"/>
      <c r="G106" s="82"/>
      <c r="H106" s="97">
        <v>101</v>
      </c>
      <c r="I106" s="98" t="str">
        <f t="shared" si="6"/>
        <v/>
      </c>
      <c r="J106" s="97" t="e">
        <f t="shared" si="9"/>
        <v>#NUM!</v>
      </c>
      <c r="K106" s="97" t="e">
        <f t="shared" si="7"/>
        <v>#NUM!</v>
      </c>
      <c r="L106" s="97"/>
      <c r="M106" s="99">
        <f t="shared" si="8"/>
        <v>0</v>
      </c>
    </row>
    <row r="107" spans="1:13" x14ac:dyDescent="0.25">
      <c r="A107" s="118"/>
      <c r="G107" s="82"/>
      <c r="H107" s="97">
        <v>102</v>
      </c>
      <c r="I107" s="98" t="str">
        <f t="shared" si="6"/>
        <v/>
      </c>
      <c r="J107" s="97" t="e">
        <f t="shared" si="9"/>
        <v>#NUM!</v>
      </c>
      <c r="K107" s="97" t="e">
        <f t="shared" si="7"/>
        <v>#NUM!</v>
      </c>
      <c r="L107" s="97"/>
      <c r="M107" s="99">
        <f t="shared" si="8"/>
        <v>0</v>
      </c>
    </row>
    <row r="108" spans="1:13" x14ac:dyDescent="0.25">
      <c r="A108" s="118"/>
      <c r="G108" s="82"/>
      <c r="H108" s="97">
        <v>103</v>
      </c>
      <c r="I108" s="98" t="str">
        <f t="shared" si="6"/>
        <v/>
      </c>
      <c r="J108" s="97" t="e">
        <f t="shared" si="9"/>
        <v>#NUM!</v>
      </c>
      <c r="K108" s="97" t="e">
        <f t="shared" si="7"/>
        <v>#NUM!</v>
      </c>
      <c r="L108" s="97"/>
      <c r="M108" s="99">
        <f t="shared" si="8"/>
        <v>0</v>
      </c>
    </row>
    <row r="109" spans="1:13" x14ac:dyDescent="0.25">
      <c r="A109" s="118"/>
      <c r="G109" s="82"/>
      <c r="H109" s="97">
        <v>104</v>
      </c>
      <c r="I109" s="98" t="str">
        <f t="shared" si="6"/>
        <v/>
      </c>
      <c r="J109" s="97" t="e">
        <f t="shared" si="9"/>
        <v>#NUM!</v>
      </c>
      <c r="K109" s="97" t="e">
        <f t="shared" si="7"/>
        <v>#NUM!</v>
      </c>
      <c r="L109" s="97"/>
      <c r="M109" s="99">
        <f t="shared" si="8"/>
        <v>0</v>
      </c>
    </row>
    <row r="110" spans="1:13" x14ac:dyDescent="0.25">
      <c r="A110" s="118"/>
      <c r="G110" s="82"/>
      <c r="H110" s="97">
        <v>105</v>
      </c>
      <c r="I110" s="98" t="str">
        <f t="shared" si="6"/>
        <v/>
      </c>
      <c r="J110" s="97" t="e">
        <f t="shared" si="9"/>
        <v>#NUM!</v>
      </c>
      <c r="K110" s="97" t="e">
        <f t="shared" si="7"/>
        <v>#NUM!</v>
      </c>
      <c r="L110" s="97"/>
      <c r="M110" s="99">
        <f t="shared" si="8"/>
        <v>0</v>
      </c>
    </row>
    <row r="111" spans="1:13" x14ac:dyDescent="0.25">
      <c r="A111" s="118"/>
      <c r="G111" s="82"/>
      <c r="H111" s="97">
        <v>106</v>
      </c>
      <c r="I111" s="98" t="str">
        <f t="shared" si="6"/>
        <v/>
      </c>
      <c r="J111" s="97" t="e">
        <f t="shared" si="9"/>
        <v>#NUM!</v>
      </c>
      <c r="K111" s="97" t="e">
        <f t="shared" si="7"/>
        <v>#NUM!</v>
      </c>
      <c r="L111" s="97"/>
      <c r="M111" s="99">
        <f t="shared" si="8"/>
        <v>0</v>
      </c>
    </row>
    <row r="112" spans="1:13" x14ac:dyDescent="0.25">
      <c r="A112" s="118"/>
      <c r="G112" s="82"/>
      <c r="H112" s="97">
        <v>107</v>
      </c>
      <c r="I112" s="98" t="str">
        <f t="shared" si="6"/>
        <v/>
      </c>
      <c r="J112" s="97" t="e">
        <f t="shared" si="9"/>
        <v>#NUM!</v>
      </c>
      <c r="K112" s="97" t="e">
        <f t="shared" si="7"/>
        <v>#NUM!</v>
      </c>
      <c r="L112" s="97"/>
      <c r="M112" s="99">
        <f t="shared" si="8"/>
        <v>0</v>
      </c>
    </row>
    <row r="113" spans="1:13" x14ac:dyDescent="0.25">
      <c r="A113" s="118"/>
      <c r="G113" s="82"/>
      <c r="H113" s="97">
        <v>108</v>
      </c>
      <c r="I113" s="98" t="str">
        <f t="shared" si="6"/>
        <v/>
      </c>
      <c r="J113" s="97" t="e">
        <f t="shared" si="9"/>
        <v>#NUM!</v>
      </c>
      <c r="K113" s="97" t="e">
        <f t="shared" si="7"/>
        <v>#NUM!</v>
      </c>
      <c r="L113" s="97"/>
      <c r="M113" s="99">
        <f t="shared" si="8"/>
        <v>0</v>
      </c>
    </row>
    <row r="114" spans="1:13" x14ac:dyDescent="0.25">
      <c r="A114" s="118"/>
      <c r="G114" s="82"/>
      <c r="H114" s="97">
        <v>109</v>
      </c>
      <c r="I114" s="98" t="str">
        <f t="shared" si="6"/>
        <v/>
      </c>
      <c r="J114" s="97" t="e">
        <f t="shared" si="9"/>
        <v>#NUM!</v>
      </c>
      <c r="K114" s="97" t="e">
        <f t="shared" si="7"/>
        <v>#NUM!</v>
      </c>
      <c r="L114" s="97"/>
      <c r="M114" s="99">
        <f t="shared" si="8"/>
        <v>0</v>
      </c>
    </row>
    <row r="115" spans="1:13" x14ac:dyDescent="0.25">
      <c r="A115" s="118"/>
      <c r="G115" s="82"/>
      <c r="H115" s="97">
        <v>110</v>
      </c>
      <c r="I115" s="98" t="str">
        <f t="shared" si="6"/>
        <v/>
      </c>
      <c r="J115" s="97" t="e">
        <f t="shared" si="9"/>
        <v>#NUM!</v>
      </c>
      <c r="K115" s="97" t="e">
        <f t="shared" si="7"/>
        <v>#NUM!</v>
      </c>
      <c r="L115" s="97"/>
      <c r="M115" s="99">
        <f t="shared" si="8"/>
        <v>0</v>
      </c>
    </row>
    <row r="116" spans="1:13" x14ac:dyDescent="0.25">
      <c r="A116" s="118"/>
      <c r="G116" s="82"/>
      <c r="H116" s="97">
        <v>111</v>
      </c>
      <c r="I116" s="98" t="str">
        <f t="shared" si="6"/>
        <v/>
      </c>
      <c r="J116" s="97" t="e">
        <f t="shared" si="9"/>
        <v>#NUM!</v>
      </c>
      <c r="K116" s="97" t="e">
        <f t="shared" si="7"/>
        <v>#NUM!</v>
      </c>
      <c r="L116" s="97"/>
      <c r="M116" s="99">
        <f t="shared" si="8"/>
        <v>0</v>
      </c>
    </row>
    <row r="117" spans="1:13" x14ac:dyDescent="0.25">
      <c r="A117" s="118"/>
      <c r="G117" s="82"/>
      <c r="H117" s="97">
        <v>112</v>
      </c>
      <c r="I117" s="98" t="str">
        <f t="shared" si="6"/>
        <v/>
      </c>
      <c r="J117" s="97" t="e">
        <f t="shared" si="9"/>
        <v>#NUM!</v>
      </c>
      <c r="K117" s="97" t="e">
        <f t="shared" si="7"/>
        <v>#NUM!</v>
      </c>
      <c r="L117" s="97"/>
      <c r="M117" s="99">
        <f t="shared" si="8"/>
        <v>0</v>
      </c>
    </row>
    <row r="118" spans="1:13" x14ac:dyDescent="0.25">
      <c r="A118" s="118"/>
      <c r="G118" s="82"/>
      <c r="H118" s="97">
        <v>113</v>
      </c>
      <c r="I118" s="98" t="str">
        <f t="shared" si="6"/>
        <v/>
      </c>
      <c r="J118" s="97" t="e">
        <f t="shared" si="9"/>
        <v>#NUM!</v>
      </c>
      <c r="K118" s="97" t="e">
        <f t="shared" si="7"/>
        <v>#NUM!</v>
      </c>
      <c r="L118" s="97"/>
      <c r="M118" s="99">
        <f t="shared" si="8"/>
        <v>0</v>
      </c>
    </row>
    <row r="119" spans="1:13" x14ac:dyDescent="0.25">
      <c r="A119" s="118"/>
      <c r="G119" s="82"/>
      <c r="H119" s="97">
        <v>114</v>
      </c>
      <c r="I119" s="98" t="str">
        <f t="shared" si="6"/>
        <v/>
      </c>
      <c r="J119" s="97" t="e">
        <f t="shared" si="9"/>
        <v>#NUM!</v>
      </c>
      <c r="K119" s="97" t="e">
        <f t="shared" si="7"/>
        <v>#NUM!</v>
      </c>
      <c r="L119" s="97"/>
      <c r="M119" s="99">
        <f t="shared" si="8"/>
        <v>0</v>
      </c>
    </row>
    <row r="120" spans="1:13" x14ac:dyDescent="0.25">
      <c r="A120" s="118"/>
      <c r="G120" s="82"/>
      <c r="H120" s="97">
        <v>115</v>
      </c>
      <c r="I120" s="98" t="str">
        <f t="shared" si="6"/>
        <v/>
      </c>
      <c r="J120" s="97" t="e">
        <f t="shared" si="9"/>
        <v>#NUM!</v>
      </c>
      <c r="K120" s="97" t="e">
        <f t="shared" si="7"/>
        <v>#NUM!</v>
      </c>
      <c r="L120" s="97"/>
      <c r="M120" s="99">
        <f t="shared" si="8"/>
        <v>0</v>
      </c>
    </row>
    <row r="121" spans="1:13" x14ac:dyDescent="0.25">
      <c r="A121" s="118"/>
      <c r="G121" s="82"/>
      <c r="H121" s="97">
        <v>116</v>
      </c>
      <c r="I121" s="98" t="str">
        <f t="shared" si="6"/>
        <v/>
      </c>
      <c r="J121" s="97" t="e">
        <f t="shared" si="9"/>
        <v>#NUM!</v>
      </c>
      <c r="K121" s="97" t="e">
        <f t="shared" si="7"/>
        <v>#NUM!</v>
      </c>
      <c r="L121" s="97"/>
      <c r="M121" s="99">
        <f t="shared" si="8"/>
        <v>0</v>
      </c>
    </row>
    <row r="122" spans="1:13" x14ac:dyDescent="0.25">
      <c r="A122" s="118"/>
      <c r="G122" s="82"/>
      <c r="H122" s="97">
        <v>117</v>
      </c>
      <c r="I122" s="98" t="str">
        <f t="shared" si="6"/>
        <v/>
      </c>
      <c r="J122" s="97" t="e">
        <f t="shared" si="9"/>
        <v>#NUM!</v>
      </c>
      <c r="K122" s="97" t="e">
        <f t="shared" si="7"/>
        <v>#NUM!</v>
      </c>
      <c r="L122" s="97"/>
      <c r="M122" s="99">
        <f t="shared" si="8"/>
        <v>0</v>
      </c>
    </row>
    <row r="123" spans="1:13" x14ac:dyDescent="0.25">
      <c r="A123" s="118"/>
      <c r="G123" s="82"/>
      <c r="H123" s="97">
        <v>118</v>
      </c>
      <c r="I123" s="98" t="str">
        <f t="shared" si="6"/>
        <v/>
      </c>
      <c r="J123" s="97" t="e">
        <f t="shared" si="9"/>
        <v>#NUM!</v>
      </c>
      <c r="K123" s="97" t="e">
        <f t="shared" si="7"/>
        <v>#NUM!</v>
      </c>
      <c r="L123" s="97"/>
      <c r="M123" s="99">
        <f t="shared" si="8"/>
        <v>0</v>
      </c>
    </row>
    <row r="124" spans="1:13" x14ac:dyDescent="0.25">
      <c r="A124" s="118"/>
      <c r="G124" s="82"/>
      <c r="H124" s="97">
        <v>119</v>
      </c>
      <c r="I124" s="98" t="str">
        <f t="shared" si="6"/>
        <v/>
      </c>
      <c r="J124" s="97" t="e">
        <f t="shared" si="9"/>
        <v>#NUM!</v>
      </c>
      <c r="K124" s="97" t="e">
        <f t="shared" si="7"/>
        <v>#NUM!</v>
      </c>
      <c r="L124" s="97"/>
      <c r="M124" s="99">
        <f t="shared" si="8"/>
        <v>0</v>
      </c>
    </row>
    <row r="125" spans="1:13" x14ac:dyDescent="0.25">
      <c r="A125" s="118"/>
      <c r="G125" s="82"/>
      <c r="H125" s="97">
        <v>120</v>
      </c>
      <c r="I125" s="98" t="str">
        <f t="shared" si="6"/>
        <v/>
      </c>
      <c r="J125" s="97" t="e">
        <f t="shared" si="9"/>
        <v>#NUM!</v>
      </c>
      <c r="K125" s="97" t="e">
        <f t="shared" si="7"/>
        <v>#NUM!</v>
      </c>
      <c r="L125" s="97"/>
      <c r="M125" s="99">
        <f t="shared" si="8"/>
        <v>0</v>
      </c>
    </row>
    <row r="126" spans="1:13" x14ac:dyDescent="0.25">
      <c r="A126" s="118"/>
      <c r="G126" s="82"/>
      <c r="H126" s="97">
        <v>121</v>
      </c>
      <c r="I126" s="98" t="str">
        <f t="shared" si="6"/>
        <v/>
      </c>
      <c r="J126" s="97" t="e">
        <f t="shared" si="9"/>
        <v>#NUM!</v>
      </c>
      <c r="K126" s="97" t="e">
        <f t="shared" si="7"/>
        <v>#NUM!</v>
      </c>
      <c r="L126" s="97"/>
      <c r="M126" s="99">
        <f t="shared" si="8"/>
        <v>0</v>
      </c>
    </row>
    <row r="127" spans="1:13" x14ac:dyDescent="0.25">
      <c r="A127" s="118"/>
      <c r="G127" s="82"/>
      <c r="H127" s="97">
        <v>122</v>
      </c>
      <c r="I127" s="98" t="str">
        <f t="shared" si="6"/>
        <v/>
      </c>
      <c r="J127" s="97" t="e">
        <f t="shared" si="9"/>
        <v>#NUM!</v>
      </c>
      <c r="K127" s="97" t="e">
        <f t="shared" si="7"/>
        <v>#NUM!</v>
      </c>
      <c r="L127" s="97"/>
      <c r="M127" s="99">
        <f t="shared" si="8"/>
        <v>0</v>
      </c>
    </row>
    <row r="128" spans="1:13" x14ac:dyDescent="0.25">
      <c r="A128" s="118"/>
      <c r="G128" s="82"/>
      <c r="H128" s="97">
        <v>123</v>
      </c>
      <c r="I128" s="98" t="str">
        <f t="shared" si="6"/>
        <v/>
      </c>
      <c r="J128" s="97" t="e">
        <f t="shared" si="9"/>
        <v>#NUM!</v>
      </c>
      <c r="K128" s="97" t="e">
        <f t="shared" si="7"/>
        <v>#NUM!</v>
      </c>
      <c r="L128" s="97"/>
      <c r="M128" s="99">
        <f t="shared" si="8"/>
        <v>0</v>
      </c>
    </row>
    <row r="129" spans="1:13" x14ac:dyDescent="0.25">
      <c r="A129" s="118"/>
      <c r="G129" s="82"/>
      <c r="H129" s="97">
        <v>124</v>
      </c>
      <c r="I129" s="98" t="str">
        <f t="shared" si="6"/>
        <v/>
      </c>
      <c r="J129" s="97" t="e">
        <f t="shared" si="9"/>
        <v>#NUM!</v>
      </c>
      <c r="K129" s="97" t="e">
        <f t="shared" si="7"/>
        <v>#NUM!</v>
      </c>
      <c r="L129" s="97"/>
      <c r="M129" s="99">
        <f t="shared" si="8"/>
        <v>0</v>
      </c>
    </row>
    <row r="130" spans="1:13" x14ac:dyDescent="0.25">
      <c r="A130" s="118"/>
      <c r="G130" s="82"/>
      <c r="H130" s="97">
        <v>125</v>
      </c>
      <c r="I130" s="98" t="str">
        <f t="shared" si="6"/>
        <v/>
      </c>
      <c r="J130" s="97" t="e">
        <f t="shared" si="9"/>
        <v>#NUM!</v>
      </c>
      <c r="K130" s="97" t="e">
        <f t="shared" si="7"/>
        <v>#NUM!</v>
      </c>
      <c r="L130" s="97"/>
      <c r="M130" s="99">
        <f t="shared" si="8"/>
        <v>0</v>
      </c>
    </row>
    <row r="131" spans="1:13" x14ac:dyDescent="0.25">
      <c r="A131" s="118"/>
      <c r="G131" s="82"/>
      <c r="H131" s="97">
        <v>126</v>
      </c>
      <c r="I131" s="98" t="str">
        <f t="shared" si="6"/>
        <v/>
      </c>
      <c r="J131" s="97" t="e">
        <f t="shared" si="9"/>
        <v>#NUM!</v>
      </c>
      <c r="K131" s="97" t="e">
        <f t="shared" si="7"/>
        <v>#NUM!</v>
      </c>
      <c r="L131" s="97"/>
      <c r="M131" s="99">
        <f t="shared" si="8"/>
        <v>0</v>
      </c>
    </row>
    <row r="132" spans="1:13" x14ac:dyDescent="0.25">
      <c r="A132" s="118"/>
      <c r="G132" s="82"/>
      <c r="H132" s="97">
        <v>127</v>
      </c>
      <c r="I132" s="98" t="str">
        <f t="shared" si="6"/>
        <v/>
      </c>
      <c r="J132" s="97" t="e">
        <f t="shared" si="9"/>
        <v>#NUM!</v>
      </c>
      <c r="K132" s="97" t="e">
        <f t="shared" si="7"/>
        <v>#NUM!</v>
      </c>
      <c r="L132" s="97"/>
      <c r="M132" s="99">
        <f t="shared" si="8"/>
        <v>0</v>
      </c>
    </row>
    <row r="133" spans="1:13" x14ac:dyDescent="0.25">
      <c r="A133" s="118"/>
      <c r="G133" s="82"/>
      <c r="H133" s="97">
        <v>128</v>
      </c>
      <c r="I133" s="98" t="str">
        <f t="shared" si="6"/>
        <v/>
      </c>
      <c r="J133" s="97" t="e">
        <f t="shared" si="9"/>
        <v>#NUM!</v>
      </c>
      <c r="K133" s="97" t="e">
        <f t="shared" si="7"/>
        <v>#NUM!</v>
      </c>
      <c r="L133" s="97"/>
      <c r="M133" s="99">
        <f t="shared" si="8"/>
        <v>0</v>
      </c>
    </row>
    <row r="134" spans="1:13" x14ac:dyDescent="0.25">
      <c r="A134" s="118"/>
      <c r="G134" s="82"/>
      <c r="H134" s="97">
        <v>129</v>
      </c>
      <c r="I134" s="98" t="str">
        <f t="shared" ref="I134:I197" si="10">IF(H134&lt;$H$2+1,($I$2-($I$2-1)*(LOG(H134)/LOG($H$2))),"")</f>
        <v/>
      </c>
      <c r="J134" s="97" t="e">
        <f t="shared" si="9"/>
        <v>#NUM!</v>
      </c>
      <c r="K134" s="97" t="e">
        <f t="shared" ref="K134:K197" si="11">J134*$J$2</f>
        <v>#NUM!</v>
      </c>
      <c r="L134" s="97"/>
      <c r="M134" s="99">
        <f t="shared" ref="M134:M197" si="12">IF(I134&lt;&gt;"",K134+I134+L134,0)</f>
        <v>0</v>
      </c>
    </row>
    <row r="135" spans="1:13" x14ac:dyDescent="0.25">
      <c r="A135" s="118"/>
      <c r="G135" s="82"/>
      <c r="H135" s="97">
        <v>130</v>
      </c>
      <c r="I135" s="98" t="str">
        <f t="shared" si="10"/>
        <v/>
      </c>
      <c r="J135" s="97" t="e">
        <f t="shared" ref="J135:J198" si="13">INT(LOG($H$2,2))-ROUNDUP(LOG(H135,2),0)+IF(OR($H$2=1,$H$2=2,$H$2=4,$H$2=8,$H$2=16,$H$2=32,$H$2=64,$H$2=128,$H$2=256),0,1)</f>
        <v>#NUM!</v>
      </c>
      <c r="K135" s="97" t="e">
        <f t="shared" si="11"/>
        <v>#NUM!</v>
      </c>
      <c r="L135" s="97"/>
      <c r="M135" s="99">
        <f t="shared" si="12"/>
        <v>0</v>
      </c>
    </row>
    <row r="136" spans="1:13" x14ac:dyDescent="0.25">
      <c r="A136" s="118"/>
      <c r="G136" s="82"/>
      <c r="H136" s="97">
        <v>131</v>
      </c>
      <c r="I136" s="98" t="str">
        <f t="shared" si="10"/>
        <v/>
      </c>
      <c r="J136" s="97" t="e">
        <f t="shared" si="13"/>
        <v>#NUM!</v>
      </c>
      <c r="K136" s="97" t="e">
        <f t="shared" si="11"/>
        <v>#NUM!</v>
      </c>
      <c r="L136" s="97"/>
      <c r="M136" s="99">
        <f t="shared" si="12"/>
        <v>0</v>
      </c>
    </row>
    <row r="137" spans="1:13" x14ac:dyDescent="0.25">
      <c r="A137" s="118"/>
      <c r="G137" s="82"/>
      <c r="H137" s="97">
        <v>132</v>
      </c>
      <c r="I137" s="98" t="str">
        <f t="shared" si="10"/>
        <v/>
      </c>
      <c r="J137" s="97" t="e">
        <f t="shared" si="13"/>
        <v>#NUM!</v>
      </c>
      <c r="K137" s="97" t="e">
        <f t="shared" si="11"/>
        <v>#NUM!</v>
      </c>
      <c r="L137" s="97"/>
      <c r="M137" s="99">
        <f t="shared" si="12"/>
        <v>0</v>
      </c>
    </row>
    <row r="138" spans="1:13" x14ac:dyDescent="0.25">
      <c r="A138" s="118"/>
      <c r="G138" s="82"/>
      <c r="H138" s="97">
        <v>133</v>
      </c>
      <c r="I138" s="98" t="str">
        <f t="shared" si="10"/>
        <v/>
      </c>
      <c r="J138" s="97" t="e">
        <f t="shared" si="13"/>
        <v>#NUM!</v>
      </c>
      <c r="K138" s="97" t="e">
        <f t="shared" si="11"/>
        <v>#NUM!</v>
      </c>
      <c r="L138" s="97"/>
      <c r="M138" s="99">
        <f t="shared" si="12"/>
        <v>0</v>
      </c>
    </row>
    <row r="139" spans="1:13" x14ac:dyDescent="0.25">
      <c r="A139" s="118"/>
      <c r="G139" s="82"/>
      <c r="H139" s="97">
        <v>134</v>
      </c>
      <c r="I139" s="98" t="str">
        <f t="shared" si="10"/>
        <v/>
      </c>
      <c r="J139" s="97" t="e">
        <f t="shared" si="13"/>
        <v>#NUM!</v>
      </c>
      <c r="K139" s="97" t="e">
        <f t="shared" si="11"/>
        <v>#NUM!</v>
      </c>
      <c r="L139" s="97"/>
      <c r="M139" s="99">
        <f t="shared" si="12"/>
        <v>0</v>
      </c>
    </row>
    <row r="140" spans="1:13" x14ac:dyDescent="0.25">
      <c r="A140" s="118"/>
      <c r="G140" s="82"/>
      <c r="H140" s="97">
        <v>135</v>
      </c>
      <c r="I140" s="98" t="str">
        <f t="shared" si="10"/>
        <v/>
      </c>
      <c r="J140" s="97" t="e">
        <f t="shared" si="13"/>
        <v>#NUM!</v>
      </c>
      <c r="K140" s="97" t="e">
        <f t="shared" si="11"/>
        <v>#NUM!</v>
      </c>
      <c r="L140" s="97"/>
      <c r="M140" s="99">
        <f t="shared" si="12"/>
        <v>0</v>
      </c>
    </row>
    <row r="141" spans="1:13" x14ac:dyDescent="0.25">
      <c r="A141" s="118"/>
      <c r="G141" s="82"/>
      <c r="H141" s="97">
        <v>136</v>
      </c>
      <c r="I141" s="98" t="str">
        <f t="shared" si="10"/>
        <v/>
      </c>
      <c r="J141" s="97" t="e">
        <f t="shared" si="13"/>
        <v>#NUM!</v>
      </c>
      <c r="K141" s="97" t="e">
        <f t="shared" si="11"/>
        <v>#NUM!</v>
      </c>
      <c r="L141" s="97"/>
      <c r="M141" s="99">
        <f t="shared" si="12"/>
        <v>0</v>
      </c>
    </row>
    <row r="142" spans="1:13" x14ac:dyDescent="0.25">
      <c r="A142" s="118"/>
      <c r="G142" s="82"/>
      <c r="H142" s="97">
        <v>137</v>
      </c>
      <c r="I142" s="98" t="str">
        <f t="shared" si="10"/>
        <v/>
      </c>
      <c r="J142" s="97" t="e">
        <f t="shared" si="13"/>
        <v>#NUM!</v>
      </c>
      <c r="K142" s="97" t="e">
        <f t="shared" si="11"/>
        <v>#NUM!</v>
      </c>
      <c r="L142" s="97"/>
      <c r="M142" s="99">
        <f t="shared" si="12"/>
        <v>0</v>
      </c>
    </row>
    <row r="143" spans="1:13" x14ac:dyDescent="0.25">
      <c r="A143" s="118"/>
      <c r="G143" s="82"/>
      <c r="H143" s="97">
        <v>138</v>
      </c>
      <c r="I143" s="98" t="str">
        <f t="shared" si="10"/>
        <v/>
      </c>
      <c r="J143" s="97" t="e">
        <f t="shared" si="13"/>
        <v>#NUM!</v>
      </c>
      <c r="K143" s="97" t="e">
        <f t="shared" si="11"/>
        <v>#NUM!</v>
      </c>
      <c r="L143" s="97"/>
      <c r="M143" s="99">
        <f t="shared" si="12"/>
        <v>0</v>
      </c>
    </row>
    <row r="144" spans="1:13" x14ac:dyDescent="0.25">
      <c r="A144" s="118"/>
      <c r="G144" s="82"/>
      <c r="H144" s="97">
        <v>139</v>
      </c>
      <c r="I144" s="98" t="str">
        <f t="shared" si="10"/>
        <v/>
      </c>
      <c r="J144" s="97" t="e">
        <f t="shared" si="13"/>
        <v>#NUM!</v>
      </c>
      <c r="K144" s="97" t="e">
        <f t="shared" si="11"/>
        <v>#NUM!</v>
      </c>
      <c r="L144" s="97"/>
      <c r="M144" s="99">
        <f t="shared" si="12"/>
        <v>0</v>
      </c>
    </row>
    <row r="145" spans="1:13" x14ac:dyDescent="0.25">
      <c r="A145" s="118"/>
      <c r="G145" s="82"/>
      <c r="H145" s="97">
        <v>140</v>
      </c>
      <c r="I145" s="98" t="str">
        <f t="shared" si="10"/>
        <v/>
      </c>
      <c r="J145" s="97" t="e">
        <f t="shared" si="13"/>
        <v>#NUM!</v>
      </c>
      <c r="K145" s="97" t="e">
        <f t="shared" si="11"/>
        <v>#NUM!</v>
      </c>
      <c r="L145" s="97"/>
      <c r="M145" s="99">
        <f t="shared" si="12"/>
        <v>0</v>
      </c>
    </row>
    <row r="146" spans="1:13" x14ac:dyDescent="0.25">
      <c r="A146" s="118"/>
      <c r="G146" s="82"/>
      <c r="H146" s="97">
        <v>141</v>
      </c>
      <c r="I146" s="98" t="str">
        <f t="shared" si="10"/>
        <v/>
      </c>
      <c r="J146" s="97" t="e">
        <f t="shared" si="13"/>
        <v>#NUM!</v>
      </c>
      <c r="K146" s="97" t="e">
        <f t="shared" si="11"/>
        <v>#NUM!</v>
      </c>
      <c r="L146" s="97"/>
      <c r="M146" s="99">
        <f t="shared" si="12"/>
        <v>0</v>
      </c>
    </row>
    <row r="147" spans="1:13" x14ac:dyDescent="0.25">
      <c r="A147" s="118"/>
      <c r="G147" s="82"/>
      <c r="H147" s="97">
        <v>142</v>
      </c>
      <c r="I147" s="98" t="str">
        <f t="shared" si="10"/>
        <v/>
      </c>
      <c r="J147" s="97" t="e">
        <f t="shared" si="13"/>
        <v>#NUM!</v>
      </c>
      <c r="K147" s="97" t="e">
        <f t="shared" si="11"/>
        <v>#NUM!</v>
      </c>
      <c r="L147" s="97"/>
      <c r="M147" s="99">
        <f t="shared" si="12"/>
        <v>0</v>
      </c>
    </row>
    <row r="148" spans="1:13" x14ac:dyDescent="0.25">
      <c r="A148" s="118"/>
      <c r="G148" s="82"/>
      <c r="H148" s="97">
        <v>143</v>
      </c>
      <c r="I148" s="98" t="str">
        <f t="shared" si="10"/>
        <v/>
      </c>
      <c r="J148" s="97" t="e">
        <f t="shared" si="13"/>
        <v>#NUM!</v>
      </c>
      <c r="K148" s="97" t="e">
        <f t="shared" si="11"/>
        <v>#NUM!</v>
      </c>
      <c r="L148" s="97"/>
      <c r="M148" s="99">
        <f t="shared" si="12"/>
        <v>0</v>
      </c>
    </row>
    <row r="149" spans="1:13" x14ac:dyDescent="0.25">
      <c r="A149" s="118"/>
      <c r="G149" s="82"/>
      <c r="H149" s="97">
        <v>144</v>
      </c>
      <c r="I149" s="98" t="str">
        <f t="shared" si="10"/>
        <v/>
      </c>
      <c r="J149" s="97" t="e">
        <f t="shared" si="13"/>
        <v>#NUM!</v>
      </c>
      <c r="K149" s="97" t="e">
        <f t="shared" si="11"/>
        <v>#NUM!</v>
      </c>
      <c r="L149" s="97"/>
      <c r="M149" s="99">
        <f t="shared" si="12"/>
        <v>0</v>
      </c>
    </row>
    <row r="150" spans="1:13" x14ac:dyDescent="0.25">
      <c r="A150" s="118"/>
      <c r="G150" s="82"/>
      <c r="H150" s="97">
        <v>145</v>
      </c>
      <c r="I150" s="98" t="str">
        <f t="shared" si="10"/>
        <v/>
      </c>
      <c r="J150" s="97" t="e">
        <f t="shared" si="13"/>
        <v>#NUM!</v>
      </c>
      <c r="K150" s="97" t="e">
        <f t="shared" si="11"/>
        <v>#NUM!</v>
      </c>
      <c r="L150" s="97"/>
      <c r="M150" s="99">
        <f t="shared" si="12"/>
        <v>0</v>
      </c>
    </row>
    <row r="151" spans="1:13" x14ac:dyDescent="0.25">
      <c r="A151" s="118"/>
      <c r="G151" s="82"/>
      <c r="H151" s="97">
        <v>146</v>
      </c>
      <c r="I151" s="98" t="str">
        <f t="shared" si="10"/>
        <v/>
      </c>
      <c r="J151" s="97" t="e">
        <f t="shared" si="13"/>
        <v>#NUM!</v>
      </c>
      <c r="K151" s="97" t="e">
        <f t="shared" si="11"/>
        <v>#NUM!</v>
      </c>
      <c r="L151" s="97"/>
      <c r="M151" s="99">
        <f t="shared" si="12"/>
        <v>0</v>
      </c>
    </row>
    <row r="152" spans="1:13" x14ac:dyDescent="0.25">
      <c r="A152" s="118"/>
      <c r="G152" s="82"/>
      <c r="H152" s="97">
        <v>147</v>
      </c>
      <c r="I152" s="98" t="str">
        <f t="shared" si="10"/>
        <v/>
      </c>
      <c r="J152" s="97" t="e">
        <f t="shared" si="13"/>
        <v>#NUM!</v>
      </c>
      <c r="K152" s="97" t="e">
        <f t="shared" si="11"/>
        <v>#NUM!</v>
      </c>
      <c r="L152" s="97"/>
      <c r="M152" s="99">
        <f t="shared" si="12"/>
        <v>0</v>
      </c>
    </row>
    <row r="153" spans="1:13" x14ac:dyDescent="0.25">
      <c r="A153" s="118"/>
      <c r="G153" s="82"/>
      <c r="H153" s="97">
        <v>148</v>
      </c>
      <c r="I153" s="98" t="str">
        <f t="shared" si="10"/>
        <v/>
      </c>
      <c r="J153" s="97" t="e">
        <f t="shared" si="13"/>
        <v>#NUM!</v>
      </c>
      <c r="K153" s="97" t="e">
        <f t="shared" si="11"/>
        <v>#NUM!</v>
      </c>
      <c r="L153" s="97"/>
      <c r="M153" s="99">
        <f t="shared" si="12"/>
        <v>0</v>
      </c>
    </row>
    <row r="154" spans="1:13" x14ac:dyDescent="0.25">
      <c r="A154" s="118"/>
      <c r="G154" s="82"/>
      <c r="H154" s="97">
        <v>149</v>
      </c>
      <c r="I154" s="98" t="str">
        <f t="shared" si="10"/>
        <v/>
      </c>
      <c r="J154" s="97" t="e">
        <f t="shared" si="13"/>
        <v>#NUM!</v>
      </c>
      <c r="K154" s="97" t="e">
        <f t="shared" si="11"/>
        <v>#NUM!</v>
      </c>
      <c r="L154" s="97"/>
      <c r="M154" s="99">
        <f t="shared" si="12"/>
        <v>0</v>
      </c>
    </row>
    <row r="155" spans="1:13" x14ac:dyDescent="0.25">
      <c r="A155" s="118"/>
      <c r="G155" s="82"/>
      <c r="H155" s="97">
        <v>150</v>
      </c>
      <c r="I155" s="98" t="str">
        <f t="shared" si="10"/>
        <v/>
      </c>
      <c r="J155" s="97" t="e">
        <f t="shared" si="13"/>
        <v>#NUM!</v>
      </c>
      <c r="K155" s="97" t="e">
        <f t="shared" si="11"/>
        <v>#NUM!</v>
      </c>
      <c r="L155" s="97"/>
      <c r="M155" s="99">
        <f t="shared" si="12"/>
        <v>0</v>
      </c>
    </row>
    <row r="156" spans="1:13" x14ac:dyDescent="0.25">
      <c r="A156" s="118"/>
      <c r="G156" s="82"/>
      <c r="H156" s="97">
        <v>151</v>
      </c>
      <c r="I156" s="98" t="str">
        <f t="shared" si="10"/>
        <v/>
      </c>
      <c r="J156" s="97" t="e">
        <f t="shared" si="13"/>
        <v>#NUM!</v>
      </c>
      <c r="K156" s="97" t="e">
        <f t="shared" si="11"/>
        <v>#NUM!</v>
      </c>
      <c r="L156" s="97"/>
      <c r="M156" s="99">
        <f t="shared" si="12"/>
        <v>0</v>
      </c>
    </row>
    <row r="157" spans="1:13" x14ac:dyDescent="0.25">
      <c r="A157" s="118"/>
      <c r="G157" s="82"/>
      <c r="H157" s="97">
        <v>152</v>
      </c>
      <c r="I157" s="98" t="str">
        <f t="shared" si="10"/>
        <v/>
      </c>
      <c r="J157" s="97" t="e">
        <f t="shared" si="13"/>
        <v>#NUM!</v>
      </c>
      <c r="K157" s="97" t="e">
        <f t="shared" si="11"/>
        <v>#NUM!</v>
      </c>
      <c r="L157" s="97"/>
      <c r="M157" s="99">
        <f t="shared" si="12"/>
        <v>0</v>
      </c>
    </row>
    <row r="158" spans="1:13" x14ac:dyDescent="0.25">
      <c r="A158" s="118"/>
      <c r="G158" s="82"/>
      <c r="H158" s="97">
        <v>153</v>
      </c>
      <c r="I158" s="98" t="str">
        <f t="shared" si="10"/>
        <v/>
      </c>
      <c r="J158" s="97" t="e">
        <f t="shared" si="13"/>
        <v>#NUM!</v>
      </c>
      <c r="K158" s="97" t="e">
        <f t="shared" si="11"/>
        <v>#NUM!</v>
      </c>
      <c r="L158" s="97"/>
      <c r="M158" s="99">
        <f t="shared" si="12"/>
        <v>0</v>
      </c>
    </row>
    <row r="159" spans="1:13" x14ac:dyDescent="0.25">
      <c r="A159" s="118"/>
      <c r="G159" s="82"/>
      <c r="H159" s="97">
        <v>154</v>
      </c>
      <c r="I159" s="98" t="str">
        <f t="shared" si="10"/>
        <v/>
      </c>
      <c r="J159" s="97" t="e">
        <f t="shared" si="13"/>
        <v>#NUM!</v>
      </c>
      <c r="K159" s="97" t="e">
        <f t="shared" si="11"/>
        <v>#NUM!</v>
      </c>
      <c r="L159" s="97"/>
      <c r="M159" s="99">
        <f t="shared" si="12"/>
        <v>0</v>
      </c>
    </row>
    <row r="160" spans="1:13" x14ac:dyDescent="0.25">
      <c r="A160" s="118"/>
      <c r="G160" s="82"/>
      <c r="H160" s="97">
        <v>155</v>
      </c>
      <c r="I160" s="98" t="str">
        <f t="shared" si="10"/>
        <v/>
      </c>
      <c r="J160" s="97" t="e">
        <f t="shared" si="13"/>
        <v>#NUM!</v>
      </c>
      <c r="K160" s="97" t="e">
        <f t="shared" si="11"/>
        <v>#NUM!</v>
      </c>
      <c r="L160" s="97"/>
      <c r="M160" s="99">
        <f t="shared" si="12"/>
        <v>0</v>
      </c>
    </row>
    <row r="161" spans="1:13" x14ac:dyDescent="0.25">
      <c r="A161" s="118"/>
      <c r="G161" s="82"/>
      <c r="H161" s="97">
        <v>156</v>
      </c>
      <c r="I161" s="98" t="str">
        <f t="shared" si="10"/>
        <v/>
      </c>
      <c r="J161" s="97" t="e">
        <f t="shared" si="13"/>
        <v>#NUM!</v>
      </c>
      <c r="K161" s="97" t="e">
        <f t="shared" si="11"/>
        <v>#NUM!</v>
      </c>
      <c r="L161" s="97"/>
      <c r="M161" s="99">
        <f t="shared" si="12"/>
        <v>0</v>
      </c>
    </row>
    <row r="162" spans="1:13" x14ac:dyDescent="0.25">
      <c r="A162" s="118"/>
      <c r="G162" s="82"/>
      <c r="H162" s="97">
        <v>157</v>
      </c>
      <c r="I162" s="98" t="str">
        <f t="shared" si="10"/>
        <v/>
      </c>
      <c r="J162" s="97" t="e">
        <f t="shared" si="13"/>
        <v>#NUM!</v>
      </c>
      <c r="K162" s="97" t="e">
        <f t="shared" si="11"/>
        <v>#NUM!</v>
      </c>
      <c r="L162" s="97"/>
      <c r="M162" s="99">
        <f t="shared" si="12"/>
        <v>0</v>
      </c>
    </row>
    <row r="163" spans="1:13" x14ac:dyDescent="0.25">
      <c r="A163" s="118"/>
      <c r="G163" s="82"/>
      <c r="H163" s="97">
        <v>158</v>
      </c>
      <c r="I163" s="98" t="str">
        <f t="shared" si="10"/>
        <v/>
      </c>
      <c r="J163" s="97" t="e">
        <f t="shared" si="13"/>
        <v>#NUM!</v>
      </c>
      <c r="K163" s="97" t="e">
        <f t="shared" si="11"/>
        <v>#NUM!</v>
      </c>
      <c r="L163" s="97"/>
      <c r="M163" s="99">
        <f t="shared" si="12"/>
        <v>0</v>
      </c>
    </row>
    <row r="164" spans="1:13" x14ac:dyDescent="0.25">
      <c r="A164" s="118"/>
      <c r="G164" s="82"/>
      <c r="H164" s="97">
        <v>159</v>
      </c>
      <c r="I164" s="98" t="str">
        <f t="shared" si="10"/>
        <v/>
      </c>
      <c r="J164" s="97" t="e">
        <f t="shared" si="13"/>
        <v>#NUM!</v>
      </c>
      <c r="K164" s="97" t="e">
        <f t="shared" si="11"/>
        <v>#NUM!</v>
      </c>
      <c r="L164" s="97"/>
      <c r="M164" s="99">
        <f t="shared" si="12"/>
        <v>0</v>
      </c>
    </row>
    <row r="165" spans="1:13" x14ac:dyDescent="0.25">
      <c r="A165" s="118"/>
      <c r="G165" s="82"/>
      <c r="H165" s="97">
        <v>160</v>
      </c>
      <c r="I165" s="98" t="str">
        <f t="shared" si="10"/>
        <v/>
      </c>
      <c r="J165" s="97" t="e">
        <f t="shared" si="13"/>
        <v>#NUM!</v>
      </c>
      <c r="K165" s="97" t="e">
        <f t="shared" si="11"/>
        <v>#NUM!</v>
      </c>
      <c r="L165" s="97"/>
      <c r="M165" s="99">
        <f t="shared" si="12"/>
        <v>0</v>
      </c>
    </row>
    <row r="166" spans="1:13" x14ac:dyDescent="0.25">
      <c r="A166" s="118"/>
      <c r="G166" s="82"/>
      <c r="H166" s="97">
        <v>161</v>
      </c>
      <c r="I166" s="98" t="str">
        <f t="shared" si="10"/>
        <v/>
      </c>
      <c r="J166" s="97" t="e">
        <f t="shared" si="13"/>
        <v>#NUM!</v>
      </c>
      <c r="K166" s="97" t="e">
        <f t="shared" si="11"/>
        <v>#NUM!</v>
      </c>
      <c r="L166" s="97"/>
      <c r="M166" s="99">
        <f t="shared" si="12"/>
        <v>0</v>
      </c>
    </row>
    <row r="167" spans="1:13" x14ac:dyDescent="0.25">
      <c r="A167" s="118"/>
      <c r="G167" s="82"/>
      <c r="H167" s="97">
        <v>162</v>
      </c>
      <c r="I167" s="98" t="str">
        <f t="shared" si="10"/>
        <v/>
      </c>
      <c r="J167" s="97" t="e">
        <f t="shared" si="13"/>
        <v>#NUM!</v>
      </c>
      <c r="K167" s="97" t="e">
        <f t="shared" si="11"/>
        <v>#NUM!</v>
      </c>
      <c r="L167" s="97"/>
      <c r="M167" s="99">
        <f t="shared" si="12"/>
        <v>0</v>
      </c>
    </row>
    <row r="168" spans="1:13" x14ac:dyDescent="0.25">
      <c r="A168" s="118"/>
      <c r="G168" s="82"/>
      <c r="H168" s="97">
        <v>163</v>
      </c>
      <c r="I168" s="98" t="str">
        <f t="shared" si="10"/>
        <v/>
      </c>
      <c r="J168" s="97" t="e">
        <f t="shared" si="13"/>
        <v>#NUM!</v>
      </c>
      <c r="K168" s="97" t="e">
        <f t="shared" si="11"/>
        <v>#NUM!</v>
      </c>
      <c r="L168" s="97"/>
      <c r="M168" s="99">
        <f t="shared" si="12"/>
        <v>0</v>
      </c>
    </row>
    <row r="169" spans="1:13" x14ac:dyDescent="0.25">
      <c r="A169" s="118"/>
      <c r="C169" s="117" t="s">
        <v>42</v>
      </c>
      <c r="G169" s="82"/>
      <c r="H169" s="97">
        <v>164</v>
      </c>
      <c r="I169" s="98" t="str">
        <f t="shared" si="10"/>
        <v/>
      </c>
      <c r="J169" s="97" t="e">
        <f t="shared" si="13"/>
        <v>#NUM!</v>
      </c>
      <c r="K169" s="97" t="e">
        <f t="shared" si="11"/>
        <v>#NUM!</v>
      </c>
      <c r="L169" s="97"/>
      <c r="M169" s="99">
        <f t="shared" si="12"/>
        <v>0</v>
      </c>
    </row>
    <row r="170" spans="1:13" x14ac:dyDescent="0.25">
      <c r="A170" s="118"/>
      <c r="G170" s="82"/>
      <c r="H170" s="97">
        <v>165</v>
      </c>
      <c r="I170" s="98" t="str">
        <f t="shared" si="10"/>
        <v/>
      </c>
      <c r="J170" s="97" t="e">
        <f t="shared" si="13"/>
        <v>#NUM!</v>
      </c>
      <c r="K170" s="97" t="e">
        <f t="shared" si="11"/>
        <v>#NUM!</v>
      </c>
      <c r="L170" s="97"/>
      <c r="M170" s="99">
        <f t="shared" si="12"/>
        <v>0</v>
      </c>
    </row>
    <row r="171" spans="1:13" x14ac:dyDescent="0.25">
      <c r="A171" s="118"/>
      <c r="G171" s="82"/>
      <c r="H171" s="97">
        <v>166</v>
      </c>
      <c r="I171" s="98" t="str">
        <f t="shared" si="10"/>
        <v/>
      </c>
      <c r="J171" s="97" t="e">
        <f t="shared" si="13"/>
        <v>#NUM!</v>
      </c>
      <c r="K171" s="97" t="e">
        <f t="shared" si="11"/>
        <v>#NUM!</v>
      </c>
      <c r="L171" s="97"/>
      <c r="M171" s="99">
        <f t="shared" si="12"/>
        <v>0</v>
      </c>
    </row>
    <row r="172" spans="1:13" x14ac:dyDescent="0.25">
      <c r="A172" s="118"/>
      <c r="G172" s="82"/>
      <c r="H172" s="97">
        <v>167</v>
      </c>
      <c r="I172" s="98" t="str">
        <f t="shared" si="10"/>
        <v/>
      </c>
      <c r="J172" s="97" t="e">
        <f t="shared" si="13"/>
        <v>#NUM!</v>
      </c>
      <c r="K172" s="97" t="e">
        <f t="shared" si="11"/>
        <v>#NUM!</v>
      </c>
      <c r="L172" s="97"/>
      <c r="M172" s="99">
        <f t="shared" si="12"/>
        <v>0</v>
      </c>
    </row>
    <row r="173" spans="1:13" x14ac:dyDescent="0.25">
      <c r="A173" s="118"/>
      <c r="G173" s="82"/>
      <c r="H173" s="97">
        <v>168</v>
      </c>
      <c r="I173" s="98" t="str">
        <f t="shared" si="10"/>
        <v/>
      </c>
      <c r="J173" s="97" t="e">
        <f t="shared" si="13"/>
        <v>#NUM!</v>
      </c>
      <c r="K173" s="97" t="e">
        <f t="shared" si="11"/>
        <v>#NUM!</v>
      </c>
      <c r="L173" s="97"/>
      <c r="M173" s="99">
        <f t="shared" si="12"/>
        <v>0</v>
      </c>
    </row>
    <row r="174" spans="1:13" x14ac:dyDescent="0.25">
      <c r="A174" s="118"/>
      <c r="G174" s="82"/>
      <c r="H174" s="97">
        <v>169</v>
      </c>
      <c r="I174" s="98" t="str">
        <f t="shared" si="10"/>
        <v/>
      </c>
      <c r="J174" s="97" t="e">
        <f t="shared" si="13"/>
        <v>#NUM!</v>
      </c>
      <c r="K174" s="97" t="e">
        <f t="shared" si="11"/>
        <v>#NUM!</v>
      </c>
      <c r="L174" s="97"/>
      <c r="M174" s="99">
        <f t="shared" si="12"/>
        <v>0</v>
      </c>
    </row>
    <row r="175" spans="1:13" x14ac:dyDescent="0.25">
      <c r="A175" s="118"/>
      <c r="G175" s="82"/>
      <c r="H175" s="97">
        <v>170</v>
      </c>
      <c r="I175" s="98" t="str">
        <f t="shared" si="10"/>
        <v/>
      </c>
      <c r="J175" s="97" t="e">
        <f t="shared" si="13"/>
        <v>#NUM!</v>
      </c>
      <c r="K175" s="97" t="e">
        <f t="shared" si="11"/>
        <v>#NUM!</v>
      </c>
      <c r="L175" s="97"/>
      <c r="M175" s="99">
        <f t="shared" si="12"/>
        <v>0</v>
      </c>
    </row>
    <row r="176" spans="1:13" x14ac:dyDescent="0.25">
      <c r="A176" s="118"/>
      <c r="G176" s="82"/>
      <c r="H176" s="97">
        <v>171</v>
      </c>
      <c r="I176" s="98" t="str">
        <f t="shared" si="10"/>
        <v/>
      </c>
      <c r="J176" s="97" t="e">
        <f t="shared" si="13"/>
        <v>#NUM!</v>
      </c>
      <c r="K176" s="97" t="e">
        <f t="shared" si="11"/>
        <v>#NUM!</v>
      </c>
      <c r="L176" s="97"/>
      <c r="M176" s="99">
        <f t="shared" si="12"/>
        <v>0</v>
      </c>
    </row>
    <row r="177" spans="1:13" x14ac:dyDescent="0.25">
      <c r="A177" s="118"/>
      <c r="G177" s="82"/>
      <c r="H177" s="97">
        <v>172</v>
      </c>
      <c r="I177" s="98" t="str">
        <f t="shared" si="10"/>
        <v/>
      </c>
      <c r="J177" s="97" t="e">
        <f t="shared" si="13"/>
        <v>#NUM!</v>
      </c>
      <c r="K177" s="97" t="e">
        <f t="shared" si="11"/>
        <v>#NUM!</v>
      </c>
      <c r="L177" s="97"/>
      <c r="M177" s="99">
        <f t="shared" si="12"/>
        <v>0</v>
      </c>
    </row>
    <row r="178" spans="1:13" x14ac:dyDescent="0.25">
      <c r="A178" s="118"/>
      <c r="G178" s="82"/>
      <c r="H178" s="97">
        <v>173</v>
      </c>
      <c r="I178" s="98" t="str">
        <f t="shared" si="10"/>
        <v/>
      </c>
      <c r="J178" s="97" t="e">
        <f t="shared" si="13"/>
        <v>#NUM!</v>
      </c>
      <c r="K178" s="97" t="e">
        <f t="shared" si="11"/>
        <v>#NUM!</v>
      </c>
      <c r="L178" s="97"/>
      <c r="M178" s="99">
        <f t="shared" si="12"/>
        <v>0</v>
      </c>
    </row>
    <row r="179" spans="1:13" x14ac:dyDescent="0.25">
      <c r="A179" s="118"/>
      <c r="G179" s="82"/>
      <c r="H179" s="97">
        <v>174</v>
      </c>
      <c r="I179" s="98" t="str">
        <f t="shared" si="10"/>
        <v/>
      </c>
      <c r="J179" s="97" t="e">
        <f t="shared" si="13"/>
        <v>#NUM!</v>
      </c>
      <c r="K179" s="97" t="e">
        <f t="shared" si="11"/>
        <v>#NUM!</v>
      </c>
      <c r="L179" s="97"/>
      <c r="M179" s="99">
        <f t="shared" si="12"/>
        <v>0</v>
      </c>
    </row>
    <row r="180" spans="1:13" x14ac:dyDescent="0.25">
      <c r="A180" s="118"/>
      <c r="G180" s="82"/>
      <c r="H180" s="97">
        <v>175</v>
      </c>
      <c r="I180" s="98" t="str">
        <f t="shared" si="10"/>
        <v/>
      </c>
      <c r="J180" s="97" t="e">
        <f t="shared" si="13"/>
        <v>#NUM!</v>
      </c>
      <c r="K180" s="97" t="e">
        <f t="shared" si="11"/>
        <v>#NUM!</v>
      </c>
      <c r="L180" s="97"/>
      <c r="M180" s="99">
        <f t="shared" si="12"/>
        <v>0</v>
      </c>
    </row>
    <row r="181" spans="1:13" x14ac:dyDescent="0.25">
      <c r="A181" s="118"/>
      <c r="G181" s="82"/>
      <c r="H181" s="97">
        <v>176</v>
      </c>
      <c r="I181" s="98" t="str">
        <f t="shared" si="10"/>
        <v/>
      </c>
      <c r="J181" s="97" t="e">
        <f t="shared" si="13"/>
        <v>#NUM!</v>
      </c>
      <c r="K181" s="97" t="e">
        <f t="shared" si="11"/>
        <v>#NUM!</v>
      </c>
      <c r="L181" s="97"/>
      <c r="M181" s="99">
        <f t="shared" si="12"/>
        <v>0</v>
      </c>
    </row>
    <row r="182" spans="1:13" x14ac:dyDescent="0.25">
      <c r="A182" s="118"/>
      <c r="G182" s="82"/>
      <c r="H182" s="97">
        <v>177</v>
      </c>
      <c r="I182" s="98" t="str">
        <f t="shared" si="10"/>
        <v/>
      </c>
      <c r="J182" s="97" t="e">
        <f t="shared" si="13"/>
        <v>#NUM!</v>
      </c>
      <c r="K182" s="97" t="e">
        <f t="shared" si="11"/>
        <v>#NUM!</v>
      </c>
      <c r="L182" s="97"/>
      <c r="M182" s="99">
        <f t="shared" si="12"/>
        <v>0</v>
      </c>
    </row>
    <row r="183" spans="1:13" x14ac:dyDescent="0.25">
      <c r="A183" s="118"/>
      <c r="G183" s="82"/>
      <c r="H183" s="97">
        <v>178</v>
      </c>
      <c r="I183" s="98" t="str">
        <f t="shared" si="10"/>
        <v/>
      </c>
      <c r="J183" s="97" t="e">
        <f t="shared" si="13"/>
        <v>#NUM!</v>
      </c>
      <c r="K183" s="97" t="e">
        <f t="shared" si="11"/>
        <v>#NUM!</v>
      </c>
      <c r="L183" s="97"/>
      <c r="M183" s="99">
        <f t="shared" si="12"/>
        <v>0</v>
      </c>
    </row>
    <row r="184" spans="1:13" x14ac:dyDescent="0.25">
      <c r="A184" s="118"/>
      <c r="G184" s="82"/>
      <c r="H184" s="97">
        <v>179</v>
      </c>
      <c r="I184" s="98" t="str">
        <f t="shared" si="10"/>
        <v/>
      </c>
      <c r="J184" s="97" t="e">
        <f t="shared" si="13"/>
        <v>#NUM!</v>
      </c>
      <c r="K184" s="97" t="e">
        <f t="shared" si="11"/>
        <v>#NUM!</v>
      </c>
      <c r="L184" s="97"/>
      <c r="M184" s="99">
        <f t="shared" si="12"/>
        <v>0</v>
      </c>
    </row>
    <row r="185" spans="1:13" x14ac:dyDescent="0.25">
      <c r="A185" s="118"/>
      <c r="G185" s="82"/>
      <c r="H185" s="97">
        <v>180</v>
      </c>
      <c r="I185" s="98" t="str">
        <f t="shared" si="10"/>
        <v/>
      </c>
      <c r="J185" s="97" t="e">
        <f t="shared" si="13"/>
        <v>#NUM!</v>
      </c>
      <c r="K185" s="97" t="e">
        <f t="shared" si="11"/>
        <v>#NUM!</v>
      </c>
      <c r="L185" s="97"/>
      <c r="M185" s="99">
        <f t="shared" si="12"/>
        <v>0</v>
      </c>
    </row>
    <row r="186" spans="1:13" x14ac:dyDescent="0.25">
      <c r="A186" s="118"/>
      <c r="G186" s="82"/>
      <c r="H186" s="97">
        <v>181</v>
      </c>
      <c r="I186" s="98" t="str">
        <f t="shared" si="10"/>
        <v/>
      </c>
      <c r="J186" s="97" t="e">
        <f t="shared" si="13"/>
        <v>#NUM!</v>
      </c>
      <c r="K186" s="97" t="e">
        <f t="shared" si="11"/>
        <v>#NUM!</v>
      </c>
      <c r="L186" s="97"/>
      <c r="M186" s="99">
        <f t="shared" si="12"/>
        <v>0</v>
      </c>
    </row>
    <row r="187" spans="1:13" x14ac:dyDescent="0.25">
      <c r="A187" s="118"/>
      <c r="G187" s="82"/>
      <c r="H187" s="97">
        <v>182</v>
      </c>
      <c r="I187" s="98" t="str">
        <f t="shared" si="10"/>
        <v/>
      </c>
      <c r="J187" s="97" t="e">
        <f t="shared" si="13"/>
        <v>#NUM!</v>
      </c>
      <c r="K187" s="97" t="e">
        <f t="shared" si="11"/>
        <v>#NUM!</v>
      </c>
      <c r="L187" s="97"/>
      <c r="M187" s="99">
        <f t="shared" si="12"/>
        <v>0</v>
      </c>
    </row>
    <row r="188" spans="1:13" x14ac:dyDescent="0.25">
      <c r="A188" s="118"/>
      <c r="G188" s="82"/>
      <c r="H188" s="97">
        <v>183</v>
      </c>
      <c r="I188" s="98" t="str">
        <f t="shared" si="10"/>
        <v/>
      </c>
      <c r="J188" s="97" t="e">
        <f t="shared" si="13"/>
        <v>#NUM!</v>
      </c>
      <c r="K188" s="97" t="e">
        <f t="shared" si="11"/>
        <v>#NUM!</v>
      </c>
      <c r="L188" s="97"/>
      <c r="M188" s="99">
        <f t="shared" si="12"/>
        <v>0</v>
      </c>
    </row>
    <row r="189" spans="1:13" x14ac:dyDescent="0.25">
      <c r="A189" s="118"/>
      <c r="G189" s="82"/>
      <c r="H189" s="97">
        <v>184</v>
      </c>
      <c r="I189" s="98" t="str">
        <f t="shared" si="10"/>
        <v/>
      </c>
      <c r="J189" s="97" t="e">
        <f t="shared" si="13"/>
        <v>#NUM!</v>
      </c>
      <c r="K189" s="97" t="e">
        <f t="shared" si="11"/>
        <v>#NUM!</v>
      </c>
      <c r="L189" s="97"/>
      <c r="M189" s="99">
        <f t="shared" si="12"/>
        <v>0</v>
      </c>
    </row>
    <row r="190" spans="1:13" x14ac:dyDescent="0.25">
      <c r="A190" s="118"/>
      <c r="G190" s="82"/>
      <c r="H190" s="97">
        <v>185</v>
      </c>
      <c r="I190" s="98" t="str">
        <f t="shared" si="10"/>
        <v/>
      </c>
      <c r="J190" s="97" t="e">
        <f t="shared" si="13"/>
        <v>#NUM!</v>
      </c>
      <c r="K190" s="97" t="e">
        <f t="shared" si="11"/>
        <v>#NUM!</v>
      </c>
      <c r="L190" s="97"/>
      <c r="M190" s="99">
        <f t="shared" si="12"/>
        <v>0</v>
      </c>
    </row>
    <row r="191" spans="1:13" x14ac:dyDescent="0.25">
      <c r="A191" s="118"/>
      <c r="G191" s="82"/>
      <c r="H191" s="97">
        <v>186</v>
      </c>
      <c r="I191" s="98" t="str">
        <f t="shared" si="10"/>
        <v/>
      </c>
      <c r="J191" s="97" t="e">
        <f t="shared" si="13"/>
        <v>#NUM!</v>
      </c>
      <c r="K191" s="97" t="e">
        <f t="shared" si="11"/>
        <v>#NUM!</v>
      </c>
      <c r="L191" s="97"/>
      <c r="M191" s="99">
        <f t="shared" si="12"/>
        <v>0</v>
      </c>
    </row>
    <row r="192" spans="1:13" x14ac:dyDescent="0.25">
      <c r="A192" s="118"/>
      <c r="G192" s="82"/>
      <c r="H192" s="97">
        <v>187</v>
      </c>
      <c r="I192" s="98" t="str">
        <f t="shared" si="10"/>
        <v/>
      </c>
      <c r="J192" s="97" t="e">
        <f t="shared" si="13"/>
        <v>#NUM!</v>
      </c>
      <c r="K192" s="97" t="e">
        <f t="shared" si="11"/>
        <v>#NUM!</v>
      </c>
      <c r="L192" s="97"/>
      <c r="M192" s="99">
        <f t="shared" si="12"/>
        <v>0</v>
      </c>
    </row>
    <row r="193" spans="1:13" x14ac:dyDescent="0.25">
      <c r="A193" s="118"/>
      <c r="G193" s="82"/>
      <c r="H193" s="97">
        <v>188</v>
      </c>
      <c r="I193" s="98" t="str">
        <f t="shared" si="10"/>
        <v/>
      </c>
      <c r="J193" s="97" t="e">
        <f t="shared" si="13"/>
        <v>#NUM!</v>
      </c>
      <c r="K193" s="97" t="e">
        <f t="shared" si="11"/>
        <v>#NUM!</v>
      </c>
      <c r="L193" s="97"/>
      <c r="M193" s="99">
        <f t="shared" si="12"/>
        <v>0</v>
      </c>
    </row>
    <row r="194" spans="1:13" x14ac:dyDescent="0.25">
      <c r="A194" s="118"/>
      <c r="G194" s="82"/>
      <c r="H194" s="97">
        <v>189</v>
      </c>
      <c r="I194" s="98" t="str">
        <f t="shared" si="10"/>
        <v/>
      </c>
      <c r="J194" s="97" t="e">
        <f t="shared" si="13"/>
        <v>#NUM!</v>
      </c>
      <c r="K194" s="97" t="e">
        <f t="shared" si="11"/>
        <v>#NUM!</v>
      </c>
      <c r="L194" s="97"/>
      <c r="M194" s="99">
        <f t="shared" si="12"/>
        <v>0</v>
      </c>
    </row>
    <row r="195" spans="1:13" x14ac:dyDescent="0.25">
      <c r="A195" s="118"/>
      <c r="G195" s="82"/>
      <c r="H195" s="97">
        <v>190</v>
      </c>
      <c r="I195" s="98" t="str">
        <f t="shared" si="10"/>
        <v/>
      </c>
      <c r="J195" s="97" t="e">
        <f t="shared" si="13"/>
        <v>#NUM!</v>
      </c>
      <c r="K195" s="97" t="e">
        <f t="shared" si="11"/>
        <v>#NUM!</v>
      </c>
      <c r="L195" s="97"/>
      <c r="M195" s="99">
        <f t="shared" si="12"/>
        <v>0</v>
      </c>
    </row>
    <row r="196" spans="1:13" x14ac:dyDescent="0.25">
      <c r="A196" s="118"/>
      <c r="G196" s="82"/>
      <c r="H196" s="97">
        <v>191</v>
      </c>
      <c r="I196" s="98" t="str">
        <f t="shared" si="10"/>
        <v/>
      </c>
      <c r="J196" s="97" t="e">
        <f t="shared" si="13"/>
        <v>#NUM!</v>
      </c>
      <c r="K196" s="97" t="e">
        <f t="shared" si="11"/>
        <v>#NUM!</v>
      </c>
      <c r="L196" s="97"/>
      <c r="M196" s="99">
        <f t="shared" si="12"/>
        <v>0</v>
      </c>
    </row>
    <row r="197" spans="1:13" x14ac:dyDescent="0.25">
      <c r="A197" s="118"/>
      <c r="G197" s="82"/>
      <c r="H197" s="97">
        <v>192</v>
      </c>
      <c r="I197" s="98" t="str">
        <f t="shared" si="10"/>
        <v/>
      </c>
      <c r="J197" s="97" t="e">
        <f t="shared" si="13"/>
        <v>#NUM!</v>
      </c>
      <c r="K197" s="97" t="e">
        <f t="shared" si="11"/>
        <v>#NUM!</v>
      </c>
      <c r="L197" s="97"/>
      <c r="M197" s="99">
        <f t="shared" si="12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4">IF(H198&lt;$H$2+1,($I$2-($I$2-1)*(LOG(H198)/LOG($H$2))),"")</f>
        <v/>
      </c>
      <c r="J198" s="97" t="e">
        <f t="shared" si="13"/>
        <v>#NUM!</v>
      </c>
      <c r="K198" s="97" t="e">
        <f t="shared" ref="K198:K261" si="15">J198*$J$2</f>
        <v>#NUM!</v>
      </c>
      <c r="L198" s="97"/>
      <c r="M198" s="99">
        <f t="shared" ref="M198:M261" si="16">IF(I198&lt;&gt;"",K198+I198+L198,0)</f>
        <v>0</v>
      </c>
    </row>
    <row r="199" spans="1:13" x14ac:dyDescent="0.25">
      <c r="A199" s="118"/>
      <c r="G199" s="82"/>
      <c r="H199" s="97">
        <v>194</v>
      </c>
      <c r="I199" s="98" t="str">
        <f t="shared" si="14"/>
        <v/>
      </c>
      <c r="J199" s="97" t="e">
        <f t="shared" ref="J199:J262" si="17">INT(LOG($H$2,2))-ROUNDUP(LOG(H199,2),0)+IF(OR($H$2=1,$H$2=2,$H$2=4,$H$2=8,$H$2=16,$H$2=32,$H$2=64,$H$2=128,$H$2=256),0,1)</f>
        <v>#NUM!</v>
      </c>
      <c r="K199" s="97" t="e">
        <f t="shared" si="15"/>
        <v>#NUM!</v>
      </c>
      <c r="L199" s="97"/>
      <c r="M199" s="99">
        <f t="shared" si="16"/>
        <v>0</v>
      </c>
    </row>
    <row r="200" spans="1:13" x14ac:dyDescent="0.25">
      <c r="A200" s="118"/>
      <c r="G200" s="82"/>
      <c r="H200" s="97">
        <v>195</v>
      </c>
      <c r="I200" s="98" t="str">
        <f t="shared" si="14"/>
        <v/>
      </c>
      <c r="J200" s="97" t="e">
        <f t="shared" si="17"/>
        <v>#NUM!</v>
      </c>
      <c r="K200" s="97" t="e">
        <f t="shared" si="15"/>
        <v>#NUM!</v>
      </c>
      <c r="L200" s="97"/>
      <c r="M200" s="99">
        <f t="shared" si="16"/>
        <v>0</v>
      </c>
    </row>
    <row r="201" spans="1:13" x14ac:dyDescent="0.25">
      <c r="A201" s="118"/>
      <c r="G201" s="82"/>
      <c r="H201" s="97">
        <v>196</v>
      </c>
      <c r="I201" s="98" t="str">
        <f t="shared" si="14"/>
        <v/>
      </c>
      <c r="J201" s="97" t="e">
        <f t="shared" si="17"/>
        <v>#NUM!</v>
      </c>
      <c r="K201" s="97" t="e">
        <f t="shared" si="15"/>
        <v>#NUM!</v>
      </c>
      <c r="L201" s="97"/>
      <c r="M201" s="99">
        <f t="shared" si="16"/>
        <v>0</v>
      </c>
    </row>
    <row r="202" spans="1:13" x14ac:dyDescent="0.25">
      <c r="A202" s="118"/>
      <c r="G202" s="82"/>
      <c r="H202" s="97">
        <v>197</v>
      </c>
      <c r="I202" s="98" t="str">
        <f t="shared" si="14"/>
        <v/>
      </c>
      <c r="J202" s="97" t="e">
        <f t="shared" si="17"/>
        <v>#NUM!</v>
      </c>
      <c r="K202" s="97" t="e">
        <f t="shared" si="15"/>
        <v>#NUM!</v>
      </c>
      <c r="L202" s="97"/>
      <c r="M202" s="99">
        <f t="shared" si="16"/>
        <v>0</v>
      </c>
    </row>
    <row r="203" spans="1:13" x14ac:dyDescent="0.25">
      <c r="A203" s="118"/>
      <c r="G203" s="82"/>
      <c r="H203" s="97">
        <v>198</v>
      </c>
      <c r="I203" s="98" t="str">
        <f t="shared" si="14"/>
        <v/>
      </c>
      <c r="J203" s="97" t="e">
        <f t="shared" si="17"/>
        <v>#NUM!</v>
      </c>
      <c r="K203" s="97" t="e">
        <f t="shared" si="15"/>
        <v>#NUM!</v>
      </c>
      <c r="L203" s="97"/>
      <c r="M203" s="99">
        <f t="shared" si="16"/>
        <v>0</v>
      </c>
    </row>
    <row r="204" spans="1:13" x14ac:dyDescent="0.25">
      <c r="A204" s="118"/>
      <c r="G204" s="82"/>
      <c r="H204" s="97">
        <v>199</v>
      </c>
      <c r="I204" s="98" t="str">
        <f t="shared" si="14"/>
        <v/>
      </c>
      <c r="J204" s="97" t="e">
        <f t="shared" si="17"/>
        <v>#NUM!</v>
      </c>
      <c r="K204" s="97" t="e">
        <f t="shared" si="15"/>
        <v>#NUM!</v>
      </c>
      <c r="L204" s="97"/>
      <c r="M204" s="99">
        <f t="shared" si="16"/>
        <v>0</v>
      </c>
    </row>
    <row r="205" spans="1:13" x14ac:dyDescent="0.25">
      <c r="A205" s="118"/>
      <c r="G205" s="82"/>
      <c r="H205" s="97">
        <v>200</v>
      </c>
      <c r="I205" s="98" t="str">
        <f t="shared" si="14"/>
        <v/>
      </c>
      <c r="J205" s="97" t="e">
        <f t="shared" si="17"/>
        <v>#NUM!</v>
      </c>
      <c r="K205" s="97" t="e">
        <f t="shared" si="15"/>
        <v>#NUM!</v>
      </c>
      <c r="L205" s="97"/>
      <c r="M205" s="99">
        <f t="shared" si="16"/>
        <v>0</v>
      </c>
    </row>
    <row r="206" spans="1:13" x14ac:dyDescent="0.25">
      <c r="A206" s="118"/>
      <c r="G206" s="82"/>
      <c r="H206" s="97">
        <v>201</v>
      </c>
      <c r="I206" s="98" t="str">
        <f t="shared" si="14"/>
        <v/>
      </c>
      <c r="J206" s="97" t="e">
        <f t="shared" si="17"/>
        <v>#NUM!</v>
      </c>
      <c r="K206" s="97" t="e">
        <f t="shared" si="15"/>
        <v>#NUM!</v>
      </c>
      <c r="L206" s="97"/>
      <c r="M206" s="99">
        <f t="shared" si="16"/>
        <v>0</v>
      </c>
    </row>
    <row r="207" spans="1:13" x14ac:dyDescent="0.25">
      <c r="A207" s="118"/>
      <c r="G207" s="82"/>
      <c r="H207" s="97">
        <v>202</v>
      </c>
      <c r="I207" s="98" t="str">
        <f t="shared" si="14"/>
        <v/>
      </c>
      <c r="J207" s="97" t="e">
        <f t="shared" si="17"/>
        <v>#NUM!</v>
      </c>
      <c r="K207" s="97" t="e">
        <f t="shared" si="15"/>
        <v>#NUM!</v>
      </c>
      <c r="L207" s="97"/>
      <c r="M207" s="99">
        <f t="shared" si="16"/>
        <v>0</v>
      </c>
    </row>
    <row r="208" spans="1:13" x14ac:dyDescent="0.25">
      <c r="A208" s="118"/>
      <c r="G208" s="82"/>
      <c r="H208" s="97">
        <v>203</v>
      </c>
      <c r="I208" s="98" t="str">
        <f t="shared" si="14"/>
        <v/>
      </c>
      <c r="J208" s="97" t="e">
        <f t="shared" si="17"/>
        <v>#NUM!</v>
      </c>
      <c r="K208" s="97" t="e">
        <f t="shared" si="15"/>
        <v>#NUM!</v>
      </c>
      <c r="L208" s="97"/>
      <c r="M208" s="99">
        <f t="shared" si="16"/>
        <v>0</v>
      </c>
    </row>
    <row r="209" spans="1:13" x14ac:dyDescent="0.25">
      <c r="A209" s="118"/>
      <c r="G209" s="82"/>
      <c r="H209" s="97">
        <v>204</v>
      </c>
      <c r="I209" s="98" t="str">
        <f t="shared" si="14"/>
        <v/>
      </c>
      <c r="J209" s="97" t="e">
        <f t="shared" si="17"/>
        <v>#NUM!</v>
      </c>
      <c r="K209" s="97" t="e">
        <f t="shared" si="15"/>
        <v>#NUM!</v>
      </c>
      <c r="L209" s="97"/>
      <c r="M209" s="99">
        <f t="shared" si="16"/>
        <v>0</v>
      </c>
    </row>
    <row r="210" spans="1:13" x14ac:dyDescent="0.25">
      <c r="A210" s="118"/>
      <c r="G210" s="82"/>
      <c r="H210" s="97">
        <v>205</v>
      </c>
      <c r="I210" s="98" t="str">
        <f t="shared" si="14"/>
        <v/>
      </c>
      <c r="J210" s="97" t="e">
        <f t="shared" si="17"/>
        <v>#NUM!</v>
      </c>
      <c r="K210" s="97" t="e">
        <f t="shared" si="15"/>
        <v>#NUM!</v>
      </c>
      <c r="L210" s="97"/>
      <c r="M210" s="99">
        <f t="shared" si="16"/>
        <v>0</v>
      </c>
    </row>
    <row r="211" spans="1:13" x14ac:dyDescent="0.25">
      <c r="A211" s="118"/>
      <c r="G211" s="82"/>
      <c r="H211" s="97">
        <v>206</v>
      </c>
      <c r="I211" s="98" t="str">
        <f t="shared" si="14"/>
        <v/>
      </c>
      <c r="J211" s="97" t="e">
        <f t="shared" si="17"/>
        <v>#NUM!</v>
      </c>
      <c r="K211" s="97" t="e">
        <f t="shared" si="15"/>
        <v>#NUM!</v>
      </c>
      <c r="L211" s="97"/>
      <c r="M211" s="99">
        <f t="shared" si="16"/>
        <v>0</v>
      </c>
    </row>
    <row r="212" spans="1:13" x14ac:dyDescent="0.25">
      <c r="A212" s="118"/>
      <c r="G212" s="82"/>
      <c r="H212" s="97">
        <v>207</v>
      </c>
      <c r="I212" s="98" t="str">
        <f t="shared" si="14"/>
        <v/>
      </c>
      <c r="J212" s="97" t="e">
        <f t="shared" si="17"/>
        <v>#NUM!</v>
      </c>
      <c r="K212" s="97" t="e">
        <f t="shared" si="15"/>
        <v>#NUM!</v>
      </c>
      <c r="L212" s="97"/>
      <c r="M212" s="99">
        <f t="shared" si="16"/>
        <v>0</v>
      </c>
    </row>
    <row r="213" spans="1:13" x14ac:dyDescent="0.25">
      <c r="A213" s="118"/>
      <c r="G213" s="82"/>
      <c r="H213" s="97">
        <v>208</v>
      </c>
      <c r="I213" s="98" t="str">
        <f t="shared" si="14"/>
        <v/>
      </c>
      <c r="J213" s="97" t="e">
        <f t="shared" si="17"/>
        <v>#NUM!</v>
      </c>
      <c r="K213" s="97" t="e">
        <f t="shared" si="15"/>
        <v>#NUM!</v>
      </c>
      <c r="L213" s="97"/>
      <c r="M213" s="99">
        <f t="shared" si="16"/>
        <v>0</v>
      </c>
    </row>
    <row r="214" spans="1:13" x14ac:dyDescent="0.25">
      <c r="A214" s="118"/>
      <c r="G214" s="82"/>
      <c r="H214" s="97">
        <v>209</v>
      </c>
      <c r="I214" s="98" t="str">
        <f t="shared" si="14"/>
        <v/>
      </c>
      <c r="J214" s="97" t="e">
        <f t="shared" si="17"/>
        <v>#NUM!</v>
      </c>
      <c r="K214" s="97" t="e">
        <f t="shared" si="15"/>
        <v>#NUM!</v>
      </c>
      <c r="L214" s="97"/>
      <c r="M214" s="99">
        <f t="shared" si="16"/>
        <v>0</v>
      </c>
    </row>
    <row r="215" spans="1:13" x14ac:dyDescent="0.25">
      <c r="A215" s="118"/>
      <c r="G215" s="82"/>
      <c r="H215" s="97">
        <v>210</v>
      </c>
      <c r="I215" s="98" t="str">
        <f t="shared" si="14"/>
        <v/>
      </c>
      <c r="J215" s="97" t="e">
        <f t="shared" si="17"/>
        <v>#NUM!</v>
      </c>
      <c r="K215" s="97" t="e">
        <f t="shared" si="15"/>
        <v>#NUM!</v>
      </c>
      <c r="L215" s="97"/>
      <c r="M215" s="99">
        <f t="shared" si="16"/>
        <v>0</v>
      </c>
    </row>
    <row r="216" spans="1:13" x14ac:dyDescent="0.25">
      <c r="A216" s="118"/>
      <c r="G216" s="82"/>
      <c r="H216" s="97">
        <v>211</v>
      </c>
      <c r="I216" s="98" t="str">
        <f t="shared" si="14"/>
        <v/>
      </c>
      <c r="J216" s="97" t="e">
        <f t="shared" si="17"/>
        <v>#NUM!</v>
      </c>
      <c r="K216" s="97" t="e">
        <f t="shared" si="15"/>
        <v>#NUM!</v>
      </c>
      <c r="L216" s="97"/>
      <c r="M216" s="99">
        <f t="shared" si="16"/>
        <v>0</v>
      </c>
    </row>
    <row r="217" spans="1:13" x14ac:dyDescent="0.25">
      <c r="A217" s="118"/>
      <c r="G217" s="82"/>
      <c r="H217" s="97">
        <v>212</v>
      </c>
      <c r="I217" s="98" t="str">
        <f t="shared" si="14"/>
        <v/>
      </c>
      <c r="J217" s="97" t="e">
        <f t="shared" si="17"/>
        <v>#NUM!</v>
      </c>
      <c r="K217" s="97" t="e">
        <f t="shared" si="15"/>
        <v>#NUM!</v>
      </c>
      <c r="L217" s="97"/>
      <c r="M217" s="99">
        <f t="shared" si="16"/>
        <v>0</v>
      </c>
    </row>
    <row r="218" spans="1:13" x14ac:dyDescent="0.25">
      <c r="A218" s="118"/>
      <c r="G218" s="82"/>
      <c r="H218" s="97">
        <v>213</v>
      </c>
      <c r="I218" s="98" t="str">
        <f t="shared" si="14"/>
        <v/>
      </c>
      <c r="J218" s="97" t="e">
        <f t="shared" si="17"/>
        <v>#NUM!</v>
      </c>
      <c r="K218" s="97" t="e">
        <f t="shared" si="15"/>
        <v>#NUM!</v>
      </c>
      <c r="L218" s="97"/>
      <c r="M218" s="99">
        <f t="shared" si="16"/>
        <v>0</v>
      </c>
    </row>
    <row r="219" spans="1:13" x14ac:dyDescent="0.25">
      <c r="A219" s="118"/>
      <c r="G219" s="82"/>
      <c r="H219" s="97">
        <v>214</v>
      </c>
      <c r="I219" s="98" t="str">
        <f t="shared" si="14"/>
        <v/>
      </c>
      <c r="J219" s="97" t="e">
        <f t="shared" si="17"/>
        <v>#NUM!</v>
      </c>
      <c r="K219" s="97" t="e">
        <f t="shared" si="15"/>
        <v>#NUM!</v>
      </c>
      <c r="L219" s="97"/>
      <c r="M219" s="99">
        <f t="shared" si="16"/>
        <v>0</v>
      </c>
    </row>
    <row r="220" spans="1:13" x14ac:dyDescent="0.25">
      <c r="A220" s="118"/>
      <c r="G220" s="82"/>
      <c r="H220" s="97">
        <v>215</v>
      </c>
      <c r="I220" s="98" t="str">
        <f t="shared" si="14"/>
        <v/>
      </c>
      <c r="J220" s="97" t="e">
        <f t="shared" si="17"/>
        <v>#NUM!</v>
      </c>
      <c r="K220" s="97" t="e">
        <f t="shared" si="15"/>
        <v>#NUM!</v>
      </c>
      <c r="L220" s="97"/>
      <c r="M220" s="99">
        <f t="shared" si="16"/>
        <v>0</v>
      </c>
    </row>
    <row r="221" spans="1:13" x14ac:dyDescent="0.25">
      <c r="A221" s="118"/>
      <c r="G221" s="82"/>
      <c r="H221" s="97">
        <v>216</v>
      </c>
      <c r="I221" s="98" t="str">
        <f t="shared" si="14"/>
        <v/>
      </c>
      <c r="J221" s="97" t="e">
        <f t="shared" si="17"/>
        <v>#NUM!</v>
      </c>
      <c r="K221" s="97" t="e">
        <f t="shared" si="15"/>
        <v>#NUM!</v>
      </c>
      <c r="L221" s="97"/>
      <c r="M221" s="99">
        <f t="shared" si="16"/>
        <v>0</v>
      </c>
    </row>
    <row r="222" spans="1:13" x14ac:dyDescent="0.25">
      <c r="A222" s="118"/>
      <c r="G222" s="82"/>
      <c r="H222" s="97">
        <v>217</v>
      </c>
      <c r="I222" s="98" t="str">
        <f t="shared" si="14"/>
        <v/>
      </c>
      <c r="J222" s="97" t="e">
        <f t="shared" si="17"/>
        <v>#NUM!</v>
      </c>
      <c r="K222" s="97" t="e">
        <f t="shared" si="15"/>
        <v>#NUM!</v>
      </c>
      <c r="L222" s="97"/>
      <c r="M222" s="99">
        <f t="shared" si="16"/>
        <v>0</v>
      </c>
    </row>
    <row r="223" spans="1:13" x14ac:dyDescent="0.25">
      <c r="A223" s="118"/>
      <c r="G223" s="82"/>
      <c r="H223" s="97">
        <v>218</v>
      </c>
      <c r="I223" s="98" t="str">
        <f t="shared" si="14"/>
        <v/>
      </c>
      <c r="J223" s="97" t="e">
        <f t="shared" si="17"/>
        <v>#NUM!</v>
      </c>
      <c r="K223" s="97" t="e">
        <f t="shared" si="15"/>
        <v>#NUM!</v>
      </c>
      <c r="L223" s="97"/>
      <c r="M223" s="99">
        <f t="shared" si="16"/>
        <v>0</v>
      </c>
    </row>
    <row r="224" spans="1:13" x14ac:dyDescent="0.25">
      <c r="A224" s="118"/>
      <c r="G224" s="82"/>
      <c r="H224" s="97">
        <v>219</v>
      </c>
      <c r="I224" s="98" t="str">
        <f t="shared" si="14"/>
        <v/>
      </c>
      <c r="J224" s="97" t="e">
        <f t="shared" si="17"/>
        <v>#NUM!</v>
      </c>
      <c r="K224" s="97" t="e">
        <f t="shared" si="15"/>
        <v>#NUM!</v>
      </c>
      <c r="L224" s="97"/>
      <c r="M224" s="99">
        <f t="shared" si="16"/>
        <v>0</v>
      </c>
    </row>
    <row r="225" spans="1:13" x14ac:dyDescent="0.25">
      <c r="A225" s="118"/>
      <c r="G225" s="82"/>
      <c r="H225" s="97">
        <v>220</v>
      </c>
      <c r="I225" s="98" t="str">
        <f t="shared" si="14"/>
        <v/>
      </c>
      <c r="J225" s="97" t="e">
        <f t="shared" si="17"/>
        <v>#NUM!</v>
      </c>
      <c r="K225" s="97" t="e">
        <f t="shared" si="15"/>
        <v>#NUM!</v>
      </c>
      <c r="L225" s="97"/>
      <c r="M225" s="99">
        <f t="shared" si="16"/>
        <v>0</v>
      </c>
    </row>
    <row r="226" spans="1:13" x14ac:dyDescent="0.25">
      <c r="A226" s="118"/>
      <c r="G226" s="82"/>
      <c r="H226" s="97">
        <v>221</v>
      </c>
      <c r="I226" s="98" t="str">
        <f t="shared" si="14"/>
        <v/>
      </c>
      <c r="J226" s="97" t="e">
        <f t="shared" si="17"/>
        <v>#NUM!</v>
      </c>
      <c r="K226" s="97" t="e">
        <f t="shared" si="15"/>
        <v>#NUM!</v>
      </c>
      <c r="L226" s="97"/>
      <c r="M226" s="99">
        <f t="shared" si="16"/>
        <v>0</v>
      </c>
    </row>
    <row r="227" spans="1:13" x14ac:dyDescent="0.25">
      <c r="A227" s="118"/>
      <c r="G227" s="82"/>
      <c r="H227" s="97">
        <v>222</v>
      </c>
      <c r="I227" s="98" t="str">
        <f t="shared" si="14"/>
        <v/>
      </c>
      <c r="J227" s="97" t="e">
        <f t="shared" si="17"/>
        <v>#NUM!</v>
      </c>
      <c r="K227" s="97" t="e">
        <f t="shared" si="15"/>
        <v>#NUM!</v>
      </c>
      <c r="L227" s="97"/>
      <c r="M227" s="99">
        <f t="shared" si="16"/>
        <v>0</v>
      </c>
    </row>
    <row r="228" spans="1:13" x14ac:dyDescent="0.25">
      <c r="A228" s="118"/>
      <c r="G228" s="82"/>
      <c r="H228" s="97">
        <v>223</v>
      </c>
      <c r="I228" s="98" t="str">
        <f t="shared" si="14"/>
        <v/>
      </c>
      <c r="J228" s="97" t="e">
        <f t="shared" si="17"/>
        <v>#NUM!</v>
      </c>
      <c r="K228" s="97" t="e">
        <f t="shared" si="15"/>
        <v>#NUM!</v>
      </c>
      <c r="L228" s="97"/>
      <c r="M228" s="99">
        <f t="shared" si="16"/>
        <v>0</v>
      </c>
    </row>
    <row r="229" spans="1:13" x14ac:dyDescent="0.25">
      <c r="A229" s="118"/>
      <c r="G229" s="82"/>
      <c r="H229" s="97">
        <v>224</v>
      </c>
      <c r="I229" s="98" t="str">
        <f t="shared" si="14"/>
        <v/>
      </c>
      <c r="J229" s="97" t="e">
        <f t="shared" si="17"/>
        <v>#NUM!</v>
      </c>
      <c r="K229" s="97" t="e">
        <f t="shared" si="15"/>
        <v>#NUM!</v>
      </c>
      <c r="L229" s="97"/>
      <c r="M229" s="99">
        <f t="shared" si="16"/>
        <v>0</v>
      </c>
    </row>
    <row r="230" spans="1:13" x14ac:dyDescent="0.25">
      <c r="A230" s="118"/>
      <c r="G230" s="82"/>
      <c r="H230" s="97">
        <v>225</v>
      </c>
      <c r="I230" s="98" t="str">
        <f t="shared" si="14"/>
        <v/>
      </c>
      <c r="J230" s="97" t="e">
        <f t="shared" si="17"/>
        <v>#NUM!</v>
      </c>
      <c r="K230" s="97" t="e">
        <f t="shared" si="15"/>
        <v>#NUM!</v>
      </c>
      <c r="L230" s="97"/>
      <c r="M230" s="99">
        <f t="shared" si="16"/>
        <v>0</v>
      </c>
    </row>
    <row r="231" spans="1:13" x14ac:dyDescent="0.25">
      <c r="A231" s="118"/>
      <c r="G231" s="82"/>
      <c r="H231" s="97">
        <v>226</v>
      </c>
      <c r="I231" s="98" t="str">
        <f t="shared" si="14"/>
        <v/>
      </c>
      <c r="J231" s="97" t="e">
        <f t="shared" si="17"/>
        <v>#NUM!</v>
      </c>
      <c r="K231" s="97" t="e">
        <f t="shared" si="15"/>
        <v>#NUM!</v>
      </c>
      <c r="L231" s="97"/>
      <c r="M231" s="99">
        <f t="shared" si="16"/>
        <v>0</v>
      </c>
    </row>
    <row r="232" spans="1:13" x14ac:dyDescent="0.25">
      <c r="A232" s="118"/>
      <c r="G232" s="82"/>
      <c r="H232" s="97">
        <v>227</v>
      </c>
      <c r="I232" s="98" t="str">
        <f t="shared" si="14"/>
        <v/>
      </c>
      <c r="J232" s="97" t="e">
        <f t="shared" si="17"/>
        <v>#NUM!</v>
      </c>
      <c r="K232" s="97" t="e">
        <f t="shared" si="15"/>
        <v>#NUM!</v>
      </c>
      <c r="L232" s="97"/>
      <c r="M232" s="99">
        <f t="shared" si="16"/>
        <v>0</v>
      </c>
    </row>
    <row r="233" spans="1:13" x14ac:dyDescent="0.25">
      <c r="A233" s="118"/>
      <c r="G233" s="82"/>
      <c r="H233" s="97">
        <v>228</v>
      </c>
      <c r="I233" s="98" t="str">
        <f t="shared" si="14"/>
        <v/>
      </c>
      <c r="J233" s="97" t="e">
        <f t="shared" si="17"/>
        <v>#NUM!</v>
      </c>
      <c r="K233" s="97" t="e">
        <f t="shared" si="15"/>
        <v>#NUM!</v>
      </c>
      <c r="L233" s="97"/>
      <c r="M233" s="99">
        <f t="shared" si="16"/>
        <v>0</v>
      </c>
    </row>
    <row r="234" spans="1:13" x14ac:dyDescent="0.25">
      <c r="A234" s="118"/>
      <c r="G234" s="82"/>
      <c r="H234" s="97">
        <v>229</v>
      </c>
      <c r="I234" s="98" t="str">
        <f t="shared" si="14"/>
        <v/>
      </c>
      <c r="J234" s="97" t="e">
        <f t="shared" si="17"/>
        <v>#NUM!</v>
      </c>
      <c r="K234" s="97" t="e">
        <f t="shared" si="15"/>
        <v>#NUM!</v>
      </c>
      <c r="L234" s="97"/>
      <c r="M234" s="99">
        <f t="shared" si="16"/>
        <v>0</v>
      </c>
    </row>
    <row r="235" spans="1:13" x14ac:dyDescent="0.25">
      <c r="A235" s="118"/>
      <c r="G235" s="82"/>
      <c r="H235" s="97">
        <v>230</v>
      </c>
      <c r="I235" s="98" t="str">
        <f t="shared" si="14"/>
        <v/>
      </c>
      <c r="J235" s="97" t="e">
        <f t="shared" si="17"/>
        <v>#NUM!</v>
      </c>
      <c r="K235" s="97" t="e">
        <f t="shared" si="15"/>
        <v>#NUM!</v>
      </c>
      <c r="L235" s="97"/>
      <c r="M235" s="99">
        <f t="shared" si="16"/>
        <v>0</v>
      </c>
    </row>
    <row r="236" spans="1:13" x14ac:dyDescent="0.25">
      <c r="A236" s="118"/>
      <c r="G236" s="82"/>
      <c r="H236" s="97">
        <v>231</v>
      </c>
      <c r="I236" s="98" t="str">
        <f t="shared" si="14"/>
        <v/>
      </c>
      <c r="J236" s="97" t="e">
        <f t="shared" si="17"/>
        <v>#NUM!</v>
      </c>
      <c r="K236" s="97" t="e">
        <f t="shared" si="15"/>
        <v>#NUM!</v>
      </c>
      <c r="L236" s="97"/>
      <c r="M236" s="99">
        <f t="shared" si="16"/>
        <v>0</v>
      </c>
    </row>
    <row r="237" spans="1:13" x14ac:dyDescent="0.25">
      <c r="A237" s="118"/>
      <c r="G237" s="82"/>
      <c r="H237" s="97">
        <v>232</v>
      </c>
      <c r="I237" s="98" t="str">
        <f t="shared" si="14"/>
        <v/>
      </c>
      <c r="J237" s="97" t="e">
        <f t="shared" si="17"/>
        <v>#NUM!</v>
      </c>
      <c r="K237" s="97" t="e">
        <f t="shared" si="15"/>
        <v>#NUM!</v>
      </c>
      <c r="L237" s="97"/>
      <c r="M237" s="99">
        <f t="shared" si="16"/>
        <v>0</v>
      </c>
    </row>
    <row r="238" spans="1:13" x14ac:dyDescent="0.25">
      <c r="A238" s="118"/>
      <c r="G238" s="82"/>
      <c r="H238" s="97">
        <v>233</v>
      </c>
      <c r="I238" s="98" t="str">
        <f t="shared" si="14"/>
        <v/>
      </c>
      <c r="J238" s="97" t="e">
        <f t="shared" si="17"/>
        <v>#NUM!</v>
      </c>
      <c r="K238" s="97" t="e">
        <f t="shared" si="15"/>
        <v>#NUM!</v>
      </c>
      <c r="L238" s="97"/>
      <c r="M238" s="99">
        <f t="shared" si="16"/>
        <v>0</v>
      </c>
    </row>
    <row r="239" spans="1:13" x14ac:dyDescent="0.25">
      <c r="A239" s="118"/>
      <c r="G239" s="82"/>
      <c r="H239" s="97">
        <v>234</v>
      </c>
      <c r="I239" s="98" t="str">
        <f t="shared" si="14"/>
        <v/>
      </c>
      <c r="J239" s="97" t="e">
        <f t="shared" si="17"/>
        <v>#NUM!</v>
      </c>
      <c r="K239" s="97" t="e">
        <f t="shared" si="15"/>
        <v>#NUM!</v>
      </c>
      <c r="L239" s="97"/>
      <c r="M239" s="99">
        <f t="shared" si="16"/>
        <v>0</v>
      </c>
    </row>
    <row r="240" spans="1:13" x14ac:dyDescent="0.25">
      <c r="A240" s="118"/>
      <c r="G240" s="82"/>
      <c r="H240" s="97">
        <v>235</v>
      </c>
      <c r="I240" s="98" t="str">
        <f t="shared" si="14"/>
        <v/>
      </c>
      <c r="J240" s="97" t="e">
        <f t="shared" si="17"/>
        <v>#NUM!</v>
      </c>
      <c r="K240" s="97" t="e">
        <f t="shared" si="15"/>
        <v>#NUM!</v>
      </c>
      <c r="L240" s="97"/>
      <c r="M240" s="99">
        <f t="shared" si="16"/>
        <v>0</v>
      </c>
    </row>
    <row r="241" spans="1:13" x14ac:dyDescent="0.25">
      <c r="A241" s="118"/>
      <c r="G241" s="82"/>
      <c r="H241" s="97">
        <v>236</v>
      </c>
      <c r="I241" s="98" t="str">
        <f t="shared" si="14"/>
        <v/>
      </c>
      <c r="J241" s="97" t="e">
        <f t="shared" si="17"/>
        <v>#NUM!</v>
      </c>
      <c r="K241" s="97" t="e">
        <f t="shared" si="15"/>
        <v>#NUM!</v>
      </c>
      <c r="L241" s="97"/>
      <c r="M241" s="99">
        <f t="shared" si="16"/>
        <v>0</v>
      </c>
    </row>
    <row r="242" spans="1:13" x14ac:dyDescent="0.25">
      <c r="A242" s="118"/>
      <c r="G242" s="82"/>
      <c r="H242" s="97">
        <v>237</v>
      </c>
      <c r="I242" s="98" t="str">
        <f t="shared" si="14"/>
        <v/>
      </c>
      <c r="J242" s="97" t="e">
        <f t="shared" si="17"/>
        <v>#NUM!</v>
      </c>
      <c r="K242" s="97" t="e">
        <f t="shared" si="15"/>
        <v>#NUM!</v>
      </c>
      <c r="L242" s="97"/>
      <c r="M242" s="99">
        <f t="shared" si="16"/>
        <v>0</v>
      </c>
    </row>
    <row r="243" spans="1:13" x14ac:dyDescent="0.25">
      <c r="A243" s="118"/>
      <c r="G243" s="82"/>
      <c r="H243" s="97">
        <v>238</v>
      </c>
      <c r="I243" s="98" t="str">
        <f t="shared" si="14"/>
        <v/>
      </c>
      <c r="J243" s="97" t="e">
        <f t="shared" si="17"/>
        <v>#NUM!</v>
      </c>
      <c r="K243" s="97" t="e">
        <f t="shared" si="15"/>
        <v>#NUM!</v>
      </c>
      <c r="L243" s="97"/>
      <c r="M243" s="99">
        <f t="shared" si="16"/>
        <v>0</v>
      </c>
    </row>
    <row r="244" spans="1:13" x14ac:dyDescent="0.25">
      <c r="A244" s="118"/>
      <c r="G244" s="82"/>
      <c r="H244" s="97">
        <v>239</v>
      </c>
      <c r="I244" s="98" t="str">
        <f t="shared" si="14"/>
        <v/>
      </c>
      <c r="J244" s="97" t="e">
        <f t="shared" si="17"/>
        <v>#NUM!</v>
      </c>
      <c r="K244" s="97" t="e">
        <f t="shared" si="15"/>
        <v>#NUM!</v>
      </c>
      <c r="L244" s="97"/>
      <c r="M244" s="99">
        <f t="shared" si="16"/>
        <v>0</v>
      </c>
    </row>
    <row r="245" spans="1:13" x14ac:dyDescent="0.25">
      <c r="A245" s="118"/>
      <c r="G245" s="82"/>
      <c r="H245" s="97">
        <v>240</v>
      </c>
      <c r="I245" s="98" t="str">
        <f t="shared" si="14"/>
        <v/>
      </c>
      <c r="J245" s="97" t="e">
        <f t="shared" si="17"/>
        <v>#NUM!</v>
      </c>
      <c r="K245" s="97" t="e">
        <f t="shared" si="15"/>
        <v>#NUM!</v>
      </c>
      <c r="L245" s="97"/>
      <c r="M245" s="99">
        <f t="shared" si="16"/>
        <v>0</v>
      </c>
    </row>
    <row r="246" spans="1:13" x14ac:dyDescent="0.25">
      <c r="A246" s="118"/>
      <c r="G246" s="82"/>
      <c r="H246" s="97">
        <v>241</v>
      </c>
      <c r="I246" s="98" t="str">
        <f t="shared" si="14"/>
        <v/>
      </c>
      <c r="J246" s="97" t="e">
        <f t="shared" si="17"/>
        <v>#NUM!</v>
      </c>
      <c r="K246" s="97" t="e">
        <f t="shared" si="15"/>
        <v>#NUM!</v>
      </c>
      <c r="L246" s="97"/>
      <c r="M246" s="99">
        <f t="shared" si="16"/>
        <v>0</v>
      </c>
    </row>
    <row r="247" spans="1:13" x14ac:dyDescent="0.25">
      <c r="A247" s="118"/>
      <c r="G247" s="82"/>
      <c r="H247" s="97">
        <v>242</v>
      </c>
      <c r="I247" s="98" t="str">
        <f t="shared" si="14"/>
        <v/>
      </c>
      <c r="J247" s="97" t="e">
        <f t="shared" si="17"/>
        <v>#NUM!</v>
      </c>
      <c r="K247" s="97" t="e">
        <f t="shared" si="15"/>
        <v>#NUM!</v>
      </c>
      <c r="L247" s="97"/>
      <c r="M247" s="99">
        <f t="shared" si="16"/>
        <v>0</v>
      </c>
    </row>
    <row r="248" spans="1:13" x14ac:dyDescent="0.25">
      <c r="A248" s="118"/>
      <c r="G248" s="82"/>
      <c r="H248" s="97">
        <v>243</v>
      </c>
      <c r="I248" s="98" t="str">
        <f t="shared" si="14"/>
        <v/>
      </c>
      <c r="J248" s="97" t="e">
        <f t="shared" si="17"/>
        <v>#NUM!</v>
      </c>
      <c r="K248" s="97" t="e">
        <f t="shared" si="15"/>
        <v>#NUM!</v>
      </c>
      <c r="L248" s="97"/>
      <c r="M248" s="99">
        <f t="shared" si="16"/>
        <v>0</v>
      </c>
    </row>
    <row r="249" spans="1:13" x14ac:dyDescent="0.25">
      <c r="A249" s="118"/>
      <c r="G249" s="82"/>
      <c r="H249" s="97">
        <v>244</v>
      </c>
      <c r="I249" s="98" t="str">
        <f t="shared" si="14"/>
        <v/>
      </c>
      <c r="J249" s="97" t="e">
        <f t="shared" si="17"/>
        <v>#NUM!</v>
      </c>
      <c r="K249" s="97" t="e">
        <f t="shared" si="15"/>
        <v>#NUM!</v>
      </c>
      <c r="L249" s="97"/>
      <c r="M249" s="99">
        <f t="shared" si="16"/>
        <v>0</v>
      </c>
    </row>
    <row r="250" spans="1:13" x14ac:dyDescent="0.25">
      <c r="A250" s="118"/>
      <c r="G250" s="82"/>
      <c r="H250" s="97">
        <v>245</v>
      </c>
      <c r="I250" s="98" t="str">
        <f t="shared" si="14"/>
        <v/>
      </c>
      <c r="J250" s="97" t="e">
        <f t="shared" si="17"/>
        <v>#NUM!</v>
      </c>
      <c r="K250" s="97" t="e">
        <f t="shared" si="15"/>
        <v>#NUM!</v>
      </c>
      <c r="L250" s="97"/>
      <c r="M250" s="99">
        <f t="shared" si="16"/>
        <v>0</v>
      </c>
    </row>
    <row r="251" spans="1:13" x14ac:dyDescent="0.25">
      <c r="A251" s="118"/>
      <c r="G251" s="82"/>
      <c r="H251" s="97">
        <v>246</v>
      </c>
      <c r="I251" s="98" t="str">
        <f t="shared" si="14"/>
        <v/>
      </c>
      <c r="J251" s="97" t="e">
        <f t="shared" si="17"/>
        <v>#NUM!</v>
      </c>
      <c r="K251" s="97" t="e">
        <f t="shared" si="15"/>
        <v>#NUM!</v>
      </c>
      <c r="L251" s="97"/>
      <c r="M251" s="99">
        <f t="shared" si="16"/>
        <v>0</v>
      </c>
    </row>
    <row r="252" spans="1:13" x14ac:dyDescent="0.25">
      <c r="A252" s="118"/>
      <c r="G252" s="82"/>
      <c r="H252" s="97">
        <v>247</v>
      </c>
      <c r="I252" s="98" t="str">
        <f t="shared" si="14"/>
        <v/>
      </c>
      <c r="J252" s="97" t="e">
        <f t="shared" si="17"/>
        <v>#NUM!</v>
      </c>
      <c r="K252" s="97" t="e">
        <f t="shared" si="15"/>
        <v>#NUM!</v>
      </c>
      <c r="L252" s="97"/>
      <c r="M252" s="99">
        <f t="shared" si="16"/>
        <v>0</v>
      </c>
    </row>
    <row r="253" spans="1:13" x14ac:dyDescent="0.25">
      <c r="A253" s="118"/>
      <c r="G253" s="82"/>
      <c r="H253" s="97">
        <v>248</v>
      </c>
      <c r="I253" s="98" t="str">
        <f t="shared" si="14"/>
        <v/>
      </c>
      <c r="J253" s="97" t="e">
        <f t="shared" si="17"/>
        <v>#NUM!</v>
      </c>
      <c r="K253" s="97" t="e">
        <f t="shared" si="15"/>
        <v>#NUM!</v>
      </c>
      <c r="L253" s="97"/>
      <c r="M253" s="99">
        <f t="shared" si="16"/>
        <v>0</v>
      </c>
    </row>
    <row r="254" spans="1:13" x14ac:dyDescent="0.25">
      <c r="A254" s="118"/>
      <c r="G254" s="82"/>
      <c r="H254" s="97">
        <v>249</v>
      </c>
      <c r="I254" s="98" t="str">
        <f t="shared" si="14"/>
        <v/>
      </c>
      <c r="J254" s="97" t="e">
        <f t="shared" si="17"/>
        <v>#NUM!</v>
      </c>
      <c r="K254" s="97" t="e">
        <f t="shared" si="15"/>
        <v>#NUM!</v>
      </c>
      <c r="L254" s="97"/>
      <c r="M254" s="99">
        <f t="shared" si="16"/>
        <v>0</v>
      </c>
    </row>
    <row r="255" spans="1:13" x14ac:dyDescent="0.25">
      <c r="A255" s="118"/>
      <c r="G255" s="82"/>
      <c r="H255" s="97">
        <v>250</v>
      </c>
      <c r="I255" s="98" t="str">
        <f t="shared" si="14"/>
        <v/>
      </c>
      <c r="J255" s="97" t="e">
        <f t="shared" si="17"/>
        <v>#NUM!</v>
      </c>
      <c r="K255" s="97" t="e">
        <f t="shared" si="15"/>
        <v>#NUM!</v>
      </c>
      <c r="L255" s="97"/>
      <c r="M255" s="99">
        <f t="shared" si="16"/>
        <v>0</v>
      </c>
    </row>
    <row r="256" spans="1:13" x14ac:dyDescent="0.25">
      <c r="A256" s="118"/>
      <c r="G256" s="82"/>
      <c r="H256" s="97">
        <v>251</v>
      </c>
      <c r="I256" s="98" t="str">
        <f t="shared" si="14"/>
        <v/>
      </c>
      <c r="J256" s="97" t="e">
        <f t="shared" si="17"/>
        <v>#NUM!</v>
      </c>
      <c r="K256" s="97" t="e">
        <f t="shared" si="15"/>
        <v>#NUM!</v>
      </c>
      <c r="L256" s="97"/>
      <c r="M256" s="99">
        <f t="shared" si="16"/>
        <v>0</v>
      </c>
    </row>
    <row r="257" spans="1:13" x14ac:dyDescent="0.25">
      <c r="A257" s="118"/>
      <c r="G257" s="82"/>
      <c r="H257" s="97">
        <v>252</v>
      </c>
      <c r="I257" s="98" t="str">
        <f t="shared" si="14"/>
        <v/>
      </c>
      <c r="J257" s="97" t="e">
        <f t="shared" si="17"/>
        <v>#NUM!</v>
      </c>
      <c r="K257" s="97" t="e">
        <f t="shared" si="15"/>
        <v>#NUM!</v>
      </c>
      <c r="L257" s="97"/>
      <c r="M257" s="99">
        <f t="shared" si="16"/>
        <v>0</v>
      </c>
    </row>
    <row r="258" spans="1:13" x14ac:dyDescent="0.25">
      <c r="A258" s="118"/>
      <c r="G258" s="82"/>
      <c r="H258" s="97">
        <v>253</v>
      </c>
      <c r="I258" s="98" t="str">
        <f t="shared" si="14"/>
        <v/>
      </c>
      <c r="J258" s="97" t="e">
        <f t="shared" si="17"/>
        <v>#NUM!</v>
      </c>
      <c r="K258" s="97" t="e">
        <f t="shared" si="15"/>
        <v>#NUM!</v>
      </c>
      <c r="L258" s="97"/>
      <c r="M258" s="99">
        <f t="shared" si="16"/>
        <v>0</v>
      </c>
    </row>
    <row r="259" spans="1:13" x14ac:dyDescent="0.25">
      <c r="A259" s="118"/>
      <c r="G259" s="82"/>
      <c r="H259" s="97">
        <v>254</v>
      </c>
      <c r="I259" s="98" t="str">
        <f t="shared" si="14"/>
        <v/>
      </c>
      <c r="J259" s="97" t="e">
        <f t="shared" si="17"/>
        <v>#NUM!</v>
      </c>
      <c r="K259" s="97" t="e">
        <f t="shared" si="15"/>
        <v>#NUM!</v>
      </c>
      <c r="L259" s="97"/>
      <c r="M259" s="99">
        <f t="shared" si="16"/>
        <v>0</v>
      </c>
    </row>
    <row r="260" spans="1:13" x14ac:dyDescent="0.25">
      <c r="A260" s="118"/>
      <c r="G260" s="82"/>
      <c r="H260" s="97">
        <v>255</v>
      </c>
      <c r="I260" s="98" t="str">
        <f t="shared" si="14"/>
        <v/>
      </c>
      <c r="J260" s="97" t="e">
        <f t="shared" si="17"/>
        <v>#NUM!</v>
      </c>
      <c r="K260" s="97" t="e">
        <f t="shared" si="15"/>
        <v>#NUM!</v>
      </c>
      <c r="L260" s="97"/>
      <c r="M260" s="99">
        <f t="shared" si="16"/>
        <v>0</v>
      </c>
    </row>
    <row r="261" spans="1:13" x14ac:dyDescent="0.25">
      <c r="A261" s="118"/>
      <c r="G261" s="82"/>
      <c r="H261" s="97">
        <v>256</v>
      </c>
      <c r="I261" s="98" t="str">
        <f t="shared" si="14"/>
        <v/>
      </c>
      <c r="J261" s="97" t="e">
        <f t="shared" si="17"/>
        <v>#NUM!</v>
      </c>
      <c r="K261" s="97" t="e">
        <f t="shared" si="15"/>
        <v>#NUM!</v>
      </c>
      <c r="L261" s="97"/>
      <c r="M261" s="99">
        <f t="shared" si="16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18">IF(H262&lt;$H$2+1,($I$2-($I$2-1)*(LOG(H262)/LOG($H$2))),"")</f>
        <v/>
      </c>
      <c r="J262" s="97" t="e">
        <f t="shared" si="17"/>
        <v>#NUM!</v>
      </c>
      <c r="K262" s="97" t="e">
        <f t="shared" ref="K262:K305" si="19">J262*$J$2</f>
        <v>#NUM!</v>
      </c>
      <c r="L262" s="97"/>
      <c r="M262" s="99">
        <f t="shared" ref="M262:M305" si="20">IF(I262&lt;&gt;"",K262+I262+L262,0)</f>
        <v>0</v>
      </c>
    </row>
    <row r="263" spans="1:13" x14ac:dyDescent="0.25">
      <c r="A263" s="118"/>
      <c r="G263" s="82"/>
      <c r="H263" s="97">
        <v>258</v>
      </c>
      <c r="I263" s="98" t="str">
        <f t="shared" si="18"/>
        <v/>
      </c>
      <c r="J263" s="97" t="e">
        <f t="shared" ref="J263:J326" si="21">INT(LOG($H$2,2))-ROUNDUP(LOG(H263,2),0)+IF(OR($H$2=1,$H$2=2,$H$2=4,$H$2=8,$H$2=16,$H$2=32,$H$2=64,$H$2=128,$H$2=256),0,1)</f>
        <v>#NUM!</v>
      </c>
      <c r="K263" s="97" t="e">
        <f t="shared" si="19"/>
        <v>#NUM!</v>
      </c>
      <c r="L263" s="97"/>
      <c r="M263" s="99">
        <f t="shared" si="20"/>
        <v>0</v>
      </c>
    </row>
    <row r="264" spans="1:13" x14ac:dyDescent="0.25">
      <c r="A264" s="118"/>
      <c r="G264" s="82"/>
      <c r="H264" s="97">
        <v>259</v>
      </c>
      <c r="I264" s="98" t="str">
        <f t="shared" si="18"/>
        <v/>
      </c>
      <c r="J264" s="97" t="e">
        <f t="shared" si="21"/>
        <v>#NUM!</v>
      </c>
      <c r="K264" s="97" t="e">
        <f t="shared" si="19"/>
        <v>#NUM!</v>
      </c>
      <c r="L264" s="97"/>
      <c r="M264" s="99">
        <f t="shared" si="20"/>
        <v>0</v>
      </c>
    </row>
    <row r="265" spans="1:13" x14ac:dyDescent="0.25">
      <c r="A265" s="118"/>
      <c r="G265" s="82"/>
      <c r="H265" s="97">
        <v>260</v>
      </c>
      <c r="I265" s="98" t="str">
        <f t="shared" si="18"/>
        <v/>
      </c>
      <c r="J265" s="97" t="e">
        <f t="shared" si="21"/>
        <v>#NUM!</v>
      </c>
      <c r="K265" s="97" t="e">
        <f t="shared" si="19"/>
        <v>#NUM!</v>
      </c>
      <c r="L265" s="97"/>
      <c r="M265" s="99">
        <f t="shared" si="20"/>
        <v>0</v>
      </c>
    </row>
    <row r="266" spans="1:13" x14ac:dyDescent="0.25">
      <c r="A266" s="118"/>
      <c r="G266" s="82"/>
      <c r="H266" s="97">
        <v>261</v>
      </c>
      <c r="I266" s="98" t="str">
        <f t="shared" si="18"/>
        <v/>
      </c>
      <c r="J266" s="97" t="e">
        <f t="shared" si="21"/>
        <v>#NUM!</v>
      </c>
      <c r="K266" s="97" t="e">
        <f t="shared" si="19"/>
        <v>#NUM!</v>
      </c>
      <c r="L266" s="97"/>
      <c r="M266" s="99">
        <f t="shared" si="20"/>
        <v>0</v>
      </c>
    </row>
    <row r="267" spans="1:13" x14ac:dyDescent="0.25">
      <c r="A267" s="118"/>
      <c r="G267" s="82"/>
      <c r="H267" s="97">
        <v>262</v>
      </c>
      <c r="I267" s="98" t="str">
        <f t="shared" si="18"/>
        <v/>
      </c>
      <c r="J267" s="97" t="e">
        <f t="shared" si="21"/>
        <v>#NUM!</v>
      </c>
      <c r="K267" s="97" t="e">
        <f t="shared" si="19"/>
        <v>#NUM!</v>
      </c>
      <c r="L267" s="97"/>
      <c r="M267" s="99">
        <f t="shared" si="20"/>
        <v>0</v>
      </c>
    </row>
    <row r="268" spans="1:13" x14ac:dyDescent="0.25">
      <c r="A268" s="118"/>
      <c r="G268" s="82"/>
      <c r="H268" s="97">
        <v>263</v>
      </c>
      <c r="I268" s="98" t="str">
        <f t="shared" si="18"/>
        <v/>
      </c>
      <c r="J268" s="97" t="e">
        <f t="shared" si="21"/>
        <v>#NUM!</v>
      </c>
      <c r="K268" s="97" t="e">
        <f t="shared" si="19"/>
        <v>#NUM!</v>
      </c>
      <c r="L268" s="97"/>
      <c r="M268" s="99">
        <f t="shared" si="20"/>
        <v>0</v>
      </c>
    </row>
    <row r="269" spans="1:13" x14ac:dyDescent="0.25">
      <c r="A269" s="118"/>
      <c r="G269" s="82"/>
      <c r="H269" s="97">
        <v>264</v>
      </c>
      <c r="I269" s="98" t="str">
        <f t="shared" si="18"/>
        <v/>
      </c>
      <c r="J269" s="97" t="e">
        <f t="shared" si="21"/>
        <v>#NUM!</v>
      </c>
      <c r="K269" s="97" t="e">
        <f t="shared" si="19"/>
        <v>#NUM!</v>
      </c>
      <c r="L269" s="97"/>
      <c r="M269" s="99">
        <f t="shared" si="20"/>
        <v>0</v>
      </c>
    </row>
    <row r="270" spans="1:13" x14ac:dyDescent="0.25">
      <c r="A270" s="118"/>
      <c r="G270" s="82"/>
      <c r="H270" s="97">
        <v>265</v>
      </c>
      <c r="I270" s="98" t="str">
        <f t="shared" si="18"/>
        <v/>
      </c>
      <c r="J270" s="97" t="e">
        <f t="shared" si="21"/>
        <v>#NUM!</v>
      </c>
      <c r="K270" s="97" t="e">
        <f t="shared" si="19"/>
        <v>#NUM!</v>
      </c>
      <c r="L270" s="97"/>
      <c r="M270" s="99">
        <f t="shared" si="20"/>
        <v>0</v>
      </c>
    </row>
    <row r="271" spans="1:13" x14ac:dyDescent="0.25">
      <c r="A271" s="118"/>
      <c r="G271" s="82"/>
      <c r="H271" s="97">
        <v>266</v>
      </c>
      <c r="I271" s="98" t="str">
        <f t="shared" si="18"/>
        <v/>
      </c>
      <c r="J271" s="97" t="e">
        <f t="shared" si="21"/>
        <v>#NUM!</v>
      </c>
      <c r="K271" s="97" t="e">
        <f t="shared" si="19"/>
        <v>#NUM!</v>
      </c>
      <c r="L271" s="97"/>
      <c r="M271" s="99">
        <f t="shared" si="20"/>
        <v>0</v>
      </c>
    </row>
    <row r="272" spans="1:13" x14ac:dyDescent="0.25">
      <c r="A272" s="118"/>
      <c r="G272" s="82"/>
      <c r="H272" s="97">
        <v>267</v>
      </c>
      <c r="I272" s="98" t="str">
        <f t="shared" si="18"/>
        <v/>
      </c>
      <c r="J272" s="97" t="e">
        <f t="shared" si="21"/>
        <v>#NUM!</v>
      </c>
      <c r="K272" s="97" t="e">
        <f t="shared" si="19"/>
        <v>#NUM!</v>
      </c>
      <c r="L272" s="97"/>
      <c r="M272" s="99">
        <f t="shared" si="20"/>
        <v>0</v>
      </c>
    </row>
    <row r="273" spans="1:13" x14ac:dyDescent="0.25">
      <c r="A273" s="118"/>
      <c r="G273" s="82"/>
      <c r="H273" s="97">
        <v>268</v>
      </c>
      <c r="I273" s="98" t="str">
        <f t="shared" si="18"/>
        <v/>
      </c>
      <c r="J273" s="97" t="e">
        <f t="shared" si="21"/>
        <v>#NUM!</v>
      </c>
      <c r="K273" s="97" t="e">
        <f t="shared" si="19"/>
        <v>#NUM!</v>
      </c>
      <c r="L273" s="97"/>
      <c r="M273" s="99">
        <f t="shared" si="20"/>
        <v>0</v>
      </c>
    </row>
    <row r="274" spans="1:13" x14ac:dyDescent="0.25">
      <c r="A274" s="118"/>
      <c r="G274" s="82"/>
      <c r="H274" s="97">
        <v>269</v>
      </c>
      <c r="I274" s="98" t="str">
        <f t="shared" si="18"/>
        <v/>
      </c>
      <c r="J274" s="97" t="e">
        <f t="shared" si="21"/>
        <v>#NUM!</v>
      </c>
      <c r="K274" s="97" t="e">
        <f t="shared" si="19"/>
        <v>#NUM!</v>
      </c>
      <c r="L274" s="97"/>
      <c r="M274" s="99">
        <f t="shared" si="20"/>
        <v>0</v>
      </c>
    </row>
    <row r="275" spans="1:13" x14ac:dyDescent="0.25">
      <c r="A275" s="118"/>
      <c r="G275" s="82"/>
      <c r="H275" s="97">
        <v>270</v>
      </c>
      <c r="I275" s="98" t="str">
        <f t="shared" si="18"/>
        <v/>
      </c>
      <c r="J275" s="97" t="e">
        <f t="shared" si="21"/>
        <v>#NUM!</v>
      </c>
      <c r="K275" s="97" t="e">
        <f t="shared" si="19"/>
        <v>#NUM!</v>
      </c>
      <c r="L275" s="97"/>
      <c r="M275" s="99">
        <f t="shared" si="20"/>
        <v>0</v>
      </c>
    </row>
    <row r="276" spans="1:13" x14ac:dyDescent="0.25">
      <c r="A276" s="118"/>
      <c r="G276" s="82"/>
      <c r="H276" s="97">
        <v>271</v>
      </c>
      <c r="I276" s="98" t="str">
        <f t="shared" si="18"/>
        <v/>
      </c>
      <c r="J276" s="97" t="e">
        <f t="shared" si="21"/>
        <v>#NUM!</v>
      </c>
      <c r="K276" s="97" t="e">
        <f t="shared" si="19"/>
        <v>#NUM!</v>
      </c>
      <c r="L276" s="97"/>
      <c r="M276" s="99">
        <f t="shared" si="20"/>
        <v>0</v>
      </c>
    </row>
    <row r="277" spans="1:13" x14ac:dyDescent="0.25">
      <c r="A277" s="118"/>
      <c r="G277" s="82"/>
      <c r="H277" s="97">
        <v>272</v>
      </c>
      <c r="I277" s="98" t="str">
        <f t="shared" si="18"/>
        <v/>
      </c>
      <c r="J277" s="97" t="e">
        <f t="shared" si="21"/>
        <v>#NUM!</v>
      </c>
      <c r="K277" s="97" t="e">
        <f t="shared" si="19"/>
        <v>#NUM!</v>
      </c>
      <c r="L277" s="97"/>
      <c r="M277" s="99">
        <f t="shared" si="20"/>
        <v>0</v>
      </c>
    </row>
    <row r="278" spans="1:13" x14ac:dyDescent="0.25">
      <c r="A278" s="118"/>
      <c r="G278" s="82"/>
      <c r="H278" s="97">
        <v>273</v>
      </c>
      <c r="I278" s="98" t="str">
        <f t="shared" si="18"/>
        <v/>
      </c>
      <c r="J278" s="97" t="e">
        <f t="shared" si="21"/>
        <v>#NUM!</v>
      </c>
      <c r="K278" s="97" t="e">
        <f t="shared" si="19"/>
        <v>#NUM!</v>
      </c>
      <c r="L278" s="97"/>
      <c r="M278" s="99">
        <f t="shared" si="20"/>
        <v>0</v>
      </c>
    </row>
    <row r="279" spans="1:13" x14ac:dyDescent="0.25">
      <c r="A279" s="118"/>
      <c r="G279" s="82"/>
      <c r="H279" s="97">
        <v>274</v>
      </c>
      <c r="I279" s="98" t="str">
        <f t="shared" si="18"/>
        <v/>
      </c>
      <c r="J279" s="97" t="e">
        <f t="shared" si="21"/>
        <v>#NUM!</v>
      </c>
      <c r="K279" s="97" t="e">
        <f t="shared" si="19"/>
        <v>#NUM!</v>
      </c>
      <c r="L279" s="97"/>
      <c r="M279" s="99">
        <f t="shared" si="20"/>
        <v>0</v>
      </c>
    </row>
    <row r="280" spans="1:13" x14ac:dyDescent="0.25">
      <c r="A280" s="118"/>
      <c r="G280" s="82"/>
      <c r="H280" s="97">
        <v>275</v>
      </c>
      <c r="I280" s="98" t="str">
        <f t="shared" si="18"/>
        <v/>
      </c>
      <c r="J280" s="97" t="e">
        <f t="shared" si="21"/>
        <v>#NUM!</v>
      </c>
      <c r="K280" s="97" t="e">
        <f t="shared" si="19"/>
        <v>#NUM!</v>
      </c>
      <c r="L280" s="97"/>
      <c r="M280" s="99">
        <f t="shared" si="20"/>
        <v>0</v>
      </c>
    </row>
    <row r="281" spans="1:13" x14ac:dyDescent="0.25">
      <c r="A281" s="118"/>
      <c r="G281" s="82"/>
      <c r="H281" s="97">
        <v>276</v>
      </c>
      <c r="I281" s="98" t="str">
        <f t="shared" si="18"/>
        <v/>
      </c>
      <c r="J281" s="97" t="e">
        <f t="shared" si="21"/>
        <v>#NUM!</v>
      </c>
      <c r="K281" s="97" t="e">
        <f t="shared" si="19"/>
        <v>#NUM!</v>
      </c>
      <c r="L281" s="97"/>
      <c r="M281" s="99">
        <f t="shared" si="20"/>
        <v>0</v>
      </c>
    </row>
    <row r="282" spans="1:13" x14ac:dyDescent="0.25">
      <c r="A282" s="118"/>
      <c r="G282" s="82"/>
      <c r="H282" s="97">
        <v>277</v>
      </c>
      <c r="I282" s="98" t="str">
        <f t="shared" si="18"/>
        <v/>
      </c>
      <c r="J282" s="97" t="e">
        <f t="shared" si="21"/>
        <v>#NUM!</v>
      </c>
      <c r="K282" s="97" t="e">
        <f t="shared" si="19"/>
        <v>#NUM!</v>
      </c>
      <c r="L282" s="97"/>
      <c r="M282" s="99">
        <f t="shared" si="20"/>
        <v>0</v>
      </c>
    </row>
    <row r="283" spans="1:13" x14ac:dyDescent="0.25">
      <c r="A283" s="118"/>
      <c r="G283" s="82"/>
      <c r="H283" s="97">
        <v>278</v>
      </c>
      <c r="I283" s="98" t="str">
        <f t="shared" si="18"/>
        <v/>
      </c>
      <c r="J283" s="97" t="e">
        <f t="shared" si="21"/>
        <v>#NUM!</v>
      </c>
      <c r="K283" s="97" t="e">
        <f t="shared" si="19"/>
        <v>#NUM!</v>
      </c>
      <c r="L283" s="97"/>
      <c r="M283" s="99">
        <f t="shared" si="20"/>
        <v>0</v>
      </c>
    </row>
    <row r="284" spans="1:13" x14ac:dyDescent="0.25">
      <c r="A284" s="118"/>
      <c r="G284" s="82"/>
      <c r="H284" s="97">
        <v>279</v>
      </c>
      <c r="I284" s="98" t="str">
        <f t="shared" si="18"/>
        <v/>
      </c>
      <c r="J284" s="97" t="e">
        <f t="shared" si="21"/>
        <v>#NUM!</v>
      </c>
      <c r="K284" s="97" t="e">
        <f t="shared" si="19"/>
        <v>#NUM!</v>
      </c>
      <c r="L284" s="97"/>
      <c r="M284" s="99">
        <f t="shared" si="20"/>
        <v>0</v>
      </c>
    </row>
    <row r="285" spans="1:13" x14ac:dyDescent="0.25">
      <c r="A285" s="118"/>
      <c r="G285" s="82"/>
      <c r="H285" s="97">
        <v>280</v>
      </c>
      <c r="I285" s="98" t="str">
        <f t="shared" si="18"/>
        <v/>
      </c>
      <c r="J285" s="97" t="e">
        <f t="shared" si="21"/>
        <v>#NUM!</v>
      </c>
      <c r="K285" s="97" t="e">
        <f t="shared" si="19"/>
        <v>#NUM!</v>
      </c>
      <c r="L285" s="97"/>
      <c r="M285" s="99">
        <f t="shared" si="20"/>
        <v>0</v>
      </c>
    </row>
    <row r="286" spans="1:13" x14ac:dyDescent="0.25">
      <c r="A286" s="118"/>
      <c r="G286" s="82"/>
      <c r="H286" s="97">
        <v>281</v>
      </c>
      <c r="I286" s="98" t="str">
        <f t="shared" si="18"/>
        <v/>
      </c>
      <c r="J286" s="97" t="e">
        <f t="shared" si="21"/>
        <v>#NUM!</v>
      </c>
      <c r="K286" s="97" t="e">
        <f t="shared" si="19"/>
        <v>#NUM!</v>
      </c>
      <c r="L286" s="97"/>
      <c r="M286" s="99">
        <f t="shared" si="20"/>
        <v>0</v>
      </c>
    </row>
    <row r="287" spans="1:13" x14ac:dyDescent="0.25">
      <c r="A287" s="118"/>
      <c r="G287" s="82"/>
      <c r="H287" s="97">
        <v>282</v>
      </c>
      <c r="I287" s="98" t="str">
        <f t="shared" si="18"/>
        <v/>
      </c>
      <c r="J287" s="97" t="e">
        <f t="shared" si="21"/>
        <v>#NUM!</v>
      </c>
      <c r="K287" s="97" t="e">
        <f t="shared" si="19"/>
        <v>#NUM!</v>
      </c>
      <c r="L287" s="97"/>
      <c r="M287" s="99">
        <f t="shared" si="20"/>
        <v>0</v>
      </c>
    </row>
    <row r="288" spans="1:13" x14ac:dyDescent="0.25">
      <c r="A288" s="118"/>
      <c r="G288" s="82"/>
      <c r="H288" s="97">
        <v>283</v>
      </c>
      <c r="I288" s="98" t="str">
        <f t="shared" si="18"/>
        <v/>
      </c>
      <c r="J288" s="97" t="e">
        <f t="shared" si="21"/>
        <v>#NUM!</v>
      </c>
      <c r="K288" s="97" t="e">
        <f t="shared" si="19"/>
        <v>#NUM!</v>
      </c>
      <c r="L288" s="97"/>
      <c r="M288" s="99">
        <f t="shared" si="20"/>
        <v>0</v>
      </c>
    </row>
    <row r="289" spans="1:13" x14ac:dyDescent="0.25">
      <c r="A289" s="118"/>
      <c r="G289" s="82"/>
      <c r="H289" s="97">
        <v>284</v>
      </c>
      <c r="I289" s="98" t="str">
        <f t="shared" si="18"/>
        <v/>
      </c>
      <c r="J289" s="97" t="e">
        <f t="shared" si="21"/>
        <v>#NUM!</v>
      </c>
      <c r="K289" s="97" t="e">
        <f t="shared" si="19"/>
        <v>#NUM!</v>
      </c>
      <c r="L289" s="97"/>
      <c r="M289" s="99">
        <f t="shared" si="20"/>
        <v>0</v>
      </c>
    </row>
    <row r="290" spans="1:13" x14ac:dyDescent="0.25">
      <c r="A290" s="118"/>
      <c r="G290" s="82"/>
      <c r="H290" s="97">
        <v>285</v>
      </c>
      <c r="I290" s="98" t="str">
        <f t="shared" si="18"/>
        <v/>
      </c>
      <c r="J290" s="97" t="e">
        <f t="shared" si="21"/>
        <v>#NUM!</v>
      </c>
      <c r="K290" s="97" t="e">
        <f t="shared" si="19"/>
        <v>#NUM!</v>
      </c>
      <c r="L290" s="97"/>
      <c r="M290" s="99">
        <f t="shared" si="20"/>
        <v>0</v>
      </c>
    </row>
    <row r="291" spans="1:13" x14ac:dyDescent="0.25">
      <c r="A291" s="118"/>
      <c r="G291" s="82"/>
      <c r="H291" s="97">
        <v>286</v>
      </c>
      <c r="I291" s="98" t="str">
        <f t="shared" si="18"/>
        <v/>
      </c>
      <c r="J291" s="97" t="e">
        <f t="shared" si="21"/>
        <v>#NUM!</v>
      </c>
      <c r="K291" s="97" t="e">
        <f t="shared" si="19"/>
        <v>#NUM!</v>
      </c>
      <c r="L291" s="97"/>
      <c r="M291" s="99">
        <f t="shared" si="20"/>
        <v>0</v>
      </c>
    </row>
    <row r="292" spans="1:13" x14ac:dyDescent="0.25">
      <c r="A292" s="118"/>
      <c r="G292" s="82"/>
      <c r="H292" s="97">
        <v>287</v>
      </c>
      <c r="I292" s="98" t="str">
        <f t="shared" si="18"/>
        <v/>
      </c>
      <c r="J292" s="97" t="e">
        <f t="shared" si="21"/>
        <v>#NUM!</v>
      </c>
      <c r="K292" s="97" t="e">
        <f t="shared" si="19"/>
        <v>#NUM!</v>
      </c>
      <c r="L292" s="97"/>
      <c r="M292" s="99">
        <f t="shared" si="20"/>
        <v>0</v>
      </c>
    </row>
    <row r="293" spans="1:13" x14ac:dyDescent="0.25">
      <c r="A293" s="118"/>
      <c r="G293" s="82"/>
      <c r="H293" s="97">
        <v>288</v>
      </c>
      <c r="I293" s="98" t="str">
        <f t="shared" si="18"/>
        <v/>
      </c>
      <c r="J293" s="97" t="e">
        <f t="shared" si="21"/>
        <v>#NUM!</v>
      </c>
      <c r="K293" s="97" t="e">
        <f t="shared" si="19"/>
        <v>#NUM!</v>
      </c>
      <c r="L293" s="97"/>
      <c r="M293" s="99">
        <f t="shared" si="20"/>
        <v>0</v>
      </c>
    </row>
    <row r="294" spans="1:13" x14ac:dyDescent="0.25">
      <c r="A294" s="118"/>
      <c r="G294" s="82"/>
      <c r="H294" s="97">
        <v>289</v>
      </c>
      <c r="I294" s="98" t="str">
        <f t="shared" si="18"/>
        <v/>
      </c>
      <c r="J294" s="97" t="e">
        <f t="shared" si="21"/>
        <v>#NUM!</v>
      </c>
      <c r="K294" s="97" t="e">
        <f t="shared" si="19"/>
        <v>#NUM!</v>
      </c>
      <c r="L294" s="97"/>
      <c r="M294" s="99">
        <f t="shared" si="20"/>
        <v>0</v>
      </c>
    </row>
    <row r="295" spans="1:13" x14ac:dyDescent="0.25">
      <c r="A295" s="118"/>
      <c r="G295" s="82"/>
      <c r="H295" s="97">
        <v>290</v>
      </c>
      <c r="I295" s="98" t="str">
        <f t="shared" si="18"/>
        <v/>
      </c>
      <c r="J295" s="97" t="e">
        <f t="shared" si="21"/>
        <v>#NUM!</v>
      </c>
      <c r="K295" s="97" t="e">
        <f t="shared" si="19"/>
        <v>#NUM!</v>
      </c>
      <c r="L295" s="97"/>
      <c r="M295" s="99">
        <f t="shared" si="20"/>
        <v>0</v>
      </c>
    </row>
    <row r="296" spans="1:13" x14ac:dyDescent="0.25">
      <c r="A296" s="118"/>
      <c r="G296" s="82"/>
      <c r="H296" s="97">
        <v>291</v>
      </c>
      <c r="I296" s="98" t="str">
        <f t="shared" si="18"/>
        <v/>
      </c>
      <c r="J296" s="97" t="e">
        <f t="shared" si="21"/>
        <v>#NUM!</v>
      </c>
      <c r="K296" s="97" t="e">
        <f t="shared" si="19"/>
        <v>#NUM!</v>
      </c>
      <c r="L296" s="97"/>
      <c r="M296" s="99">
        <f t="shared" si="20"/>
        <v>0</v>
      </c>
    </row>
    <row r="297" spans="1:13" x14ac:dyDescent="0.25">
      <c r="A297" s="118"/>
      <c r="G297" s="82"/>
      <c r="H297" s="97">
        <v>292</v>
      </c>
      <c r="I297" s="98" t="str">
        <f t="shared" si="18"/>
        <v/>
      </c>
      <c r="J297" s="97" t="e">
        <f t="shared" si="21"/>
        <v>#NUM!</v>
      </c>
      <c r="K297" s="97" t="e">
        <f t="shared" si="19"/>
        <v>#NUM!</v>
      </c>
      <c r="L297" s="97"/>
      <c r="M297" s="99">
        <f t="shared" si="20"/>
        <v>0</v>
      </c>
    </row>
    <row r="298" spans="1:13" x14ac:dyDescent="0.25">
      <c r="A298" s="118"/>
      <c r="G298" s="82"/>
      <c r="H298" s="97">
        <v>293</v>
      </c>
      <c r="I298" s="98" t="str">
        <f t="shared" si="18"/>
        <v/>
      </c>
      <c r="J298" s="97" t="e">
        <f t="shared" si="21"/>
        <v>#NUM!</v>
      </c>
      <c r="K298" s="97" t="e">
        <f t="shared" si="19"/>
        <v>#NUM!</v>
      </c>
      <c r="L298" s="97"/>
      <c r="M298" s="99">
        <f t="shared" si="20"/>
        <v>0</v>
      </c>
    </row>
    <row r="299" spans="1:13" x14ac:dyDescent="0.25">
      <c r="A299" s="118"/>
      <c r="G299" s="82"/>
      <c r="H299" s="97">
        <v>294</v>
      </c>
      <c r="I299" s="98" t="str">
        <f t="shared" si="18"/>
        <v/>
      </c>
      <c r="J299" s="97" t="e">
        <f t="shared" si="21"/>
        <v>#NUM!</v>
      </c>
      <c r="K299" s="97" t="e">
        <f t="shared" si="19"/>
        <v>#NUM!</v>
      </c>
      <c r="L299" s="97"/>
      <c r="M299" s="99">
        <f t="shared" si="20"/>
        <v>0</v>
      </c>
    </row>
    <row r="300" spans="1:13" x14ac:dyDescent="0.25">
      <c r="A300" s="118"/>
      <c r="G300" s="82"/>
      <c r="H300" s="97">
        <v>295</v>
      </c>
      <c r="I300" s="98" t="str">
        <f t="shared" si="18"/>
        <v/>
      </c>
      <c r="J300" s="97" t="e">
        <f t="shared" si="21"/>
        <v>#NUM!</v>
      </c>
      <c r="K300" s="97" t="e">
        <f t="shared" si="19"/>
        <v>#NUM!</v>
      </c>
      <c r="L300" s="97"/>
      <c r="M300" s="99">
        <f t="shared" si="20"/>
        <v>0</v>
      </c>
    </row>
    <row r="301" spans="1:13" x14ac:dyDescent="0.25">
      <c r="A301" s="118"/>
      <c r="G301" s="82"/>
      <c r="H301" s="97">
        <v>296</v>
      </c>
      <c r="I301" s="98" t="str">
        <f t="shared" si="18"/>
        <v/>
      </c>
      <c r="J301" s="97" t="e">
        <f t="shared" si="21"/>
        <v>#NUM!</v>
      </c>
      <c r="K301" s="97" t="e">
        <f t="shared" si="19"/>
        <v>#NUM!</v>
      </c>
      <c r="L301" s="97"/>
      <c r="M301" s="99">
        <f t="shared" si="20"/>
        <v>0</v>
      </c>
    </row>
    <row r="302" spans="1:13" x14ac:dyDescent="0.25">
      <c r="A302" s="118"/>
      <c r="G302" s="82"/>
      <c r="H302" s="97">
        <v>297</v>
      </c>
      <c r="I302" s="98" t="str">
        <f t="shared" si="18"/>
        <v/>
      </c>
      <c r="J302" s="97" t="e">
        <f t="shared" si="21"/>
        <v>#NUM!</v>
      </c>
      <c r="K302" s="97" t="e">
        <f t="shared" si="19"/>
        <v>#NUM!</v>
      </c>
      <c r="L302" s="97"/>
      <c r="M302" s="99">
        <f t="shared" si="20"/>
        <v>0</v>
      </c>
    </row>
    <row r="303" spans="1:13" x14ac:dyDescent="0.25">
      <c r="A303" s="118"/>
      <c r="G303" s="82"/>
      <c r="H303" s="97">
        <v>298</v>
      </c>
      <c r="I303" s="98" t="str">
        <f t="shared" si="18"/>
        <v/>
      </c>
      <c r="J303" s="97" t="e">
        <f t="shared" si="21"/>
        <v>#NUM!</v>
      </c>
      <c r="K303" s="97" t="e">
        <f t="shared" si="19"/>
        <v>#NUM!</v>
      </c>
      <c r="L303" s="97"/>
      <c r="M303" s="99">
        <f t="shared" si="20"/>
        <v>0</v>
      </c>
    </row>
    <row r="304" spans="1:13" x14ac:dyDescent="0.25">
      <c r="A304" s="118"/>
      <c r="G304" s="82"/>
      <c r="H304" s="97">
        <v>299</v>
      </c>
      <c r="I304" s="98" t="str">
        <f t="shared" si="18"/>
        <v/>
      </c>
      <c r="J304" s="97" t="e">
        <f t="shared" si="21"/>
        <v>#NUM!</v>
      </c>
      <c r="K304" s="97" t="e">
        <f t="shared" si="19"/>
        <v>#NUM!</v>
      </c>
      <c r="L304" s="97"/>
      <c r="M304" s="99">
        <f t="shared" si="20"/>
        <v>0</v>
      </c>
    </row>
    <row r="305" spans="1:16" x14ac:dyDescent="0.25">
      <c r="A305" s="118"/>
      <c r="G305" s="82"/>
      <c r="H305" s="97">
        <v>300</v>
      </c>
      <c r="I305" s="98" t="str">
        <f t="shared" si="18"/>
        <v/>
      </c>
      <c r="J305" s="97" t="e">
        <f t="shared" si="21"/>
        <v>#NUM!</v>
      </c>
      <c r="K305" s="97" t="e">
        <f t="shared" si="19"/>
        <v>#NUM!</v>
      </c>
      <c r="L305" s="97"/>
      <c r="M305" s="99">
        <f t="shared" si="20"/>
        <v>0</v>
      </c>
    </row>
    <row r="306" spans="1:16" x14ac:dyDescent="0.25">
      <c r="A306" s="119"/>
      <c r="J306" s="120" t="e">
        <f t="shared" si="21"/>
        <v>#NUM!</v>
      </c>
    </row>
    <row r="307" spans="1:16" x14ac:dyDescent="0.25">
      <c r="J307" s="120" t="e">
        <f t="shared" si="21"/>
        <v>#NUM!</v>
      </c>
    </row>
    <row r="308" spans="1:16" x14ac:dyDescent="0.25">
      <c r="J308" s="120" t="e">
        <f t="shared" si="21"/>
        <v>#NUM!</v>
      </c>
    </row>
    <row r="309" spans="1:16" x14ac:dyDescent="0.25">
      <c r="J309" s="120" t="e">
        <f t="shared" si="21"/>
        <v>#NUM!</v>
      </c>
    </row>
    <row r="310" spans="1:16" x14ac:dyDescent="0.25">
      <c r="J310" s="120" t="e">
        <f t="shared" si="21"/>
        <v>#NUM!</v>
      </c>
    </row>
    <row r="311" spans="1:16" x14ac:dyDescent="0.25">
      <c r="J311" s="120" t="e">
        <f t="shared" si="21"/>
        <v>#NUM!</v>
      </c>
    </row>
    <row r="312" spans="1:16" x14ac:dyDescent="0.25">
      <c r="J312" s="120" t="e">
        <f t="shared" si="21"/>
        <v>#NUM!</v>
      </c>
    </row>
    <row r="313" spans="1:16" x14ac:dyDescent="0.25">
      <c r="J313" s="120" t="e">
        <f t="shared" si="21"/>
        <v>#NUM!</v>
      </c>
    </row>
    <row r="314" spans="1:16" x14ac:dyDescent="0.25">
      <c r="J314" s="120" t="e">
        <f t="shared" si="21"/>
        <v>#NUM!</v>
      </c>
      <c r="L314" s="122"/>
      <c r="P314" s="109"/>
    </row>
    <row r="315" spans="1:16" x14ac:dyDescent="0.25">
      <c r="J315" s="120" t="e">
        <f t="shared" si="21"/>
        <v>#NUM!</v>
      </c>
      <c r="L315" s="122"/>
      <c r="P315" s="109"/>
    </row>
    <row r="316" spans="1:16" x14ac:dyDescent="0.25">
      <c r="J316" s="120" t="e">
        <f t="shared" si="21"/>
        <v>#NUM!</v>
      </c>
      <c r="L316" s="122"/>
      <c r="P316" s="109"/>
    </row>
    <row r="317" spans="1:16" x14ac:dyDescent="0.25">
      <c r="J317" s="120" t="e">
        <f t="shared" si="21"/>
        <v>#NUM!</v>
      </c>
      <c r="L317" s="122"/>
      <c r="P317" s="109"/>
    </row>
    <row r="318" spans="1:16" x14ac:dyDescent="0.25">
      <c r="J318" s="120" t="e">
        <f t="shared" si="21"/>
        <v>#NUM!</v>
      </c>
    </row>
    <row r="319" spans="1:16" x14ac:dyDescent="0.25">
      <c r="J319" s="120" t="e">
        <f t="shared" si="21"/>
        <v>#NUM!</v>
      </c>
    </row>
    <row r="320" spans="1:16" x14ac:dyDescent="0.25">
      <c r="J320" s="120" t="e">
        <f t="shared" si="21"/>
        <v>#NUM!</v>
      </c>
    </row>
    <row r="321" spans="10:10" x14ac:dyDescent="0.25">
      <c r="J321" s="120" t="e">
        <f t="shared" si="21"/>
        <v>#NUM!</v>
      </c>
    </row>
    <row r="322" spans="10:10" x14ac:dyDescent="0.25">
      <c r="J322" s="120" t="e">
        <f t="shared" si="21"/>
        <v>#NUM!</v>
      </c>
    </row>
    <row r="323" spans="10:10" x14ac:dyDescent="0.25">
      <c r="J323" s="120" t="e">
        <f t="shared" si="21"/>
        <v>#NUM!</v>
      </c>
    </row>
    <row r="324" spans="10:10" x14ac:dyDescent="0.25">
      <c r="J324" s="120" t="e">
        <f t="shared" si="21"/>
        <v>#NUM!</v>
      </c>
    </row>
    <row r="325" spans="10:10" x14ac:dyDescent="0.25">
      <c r="J325" s="120" t="e">
        <f t="shared" si="21"/>
        <v>#NUM!</v>
      </c>
    </row>
    <row r="326" spans="10:10" x14ac:dyDescent="0.25">
      <c r="J326" s="120" t="e">
        <f t="shared" si="21"/>
        <v>#NUM!</v>
      </c>
    </row>
    <row r="327" spans="10:10" x14ac:dyDescent="0.25">
      <c r="J327" s="12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0" t="e">
        <f t="shared" si="22"/>
        <v>#NUM!</v>
      </c>
    </row>
    <row r="329" spans="10:10" x14ac:dyDescent="0.25">
      <c r="J329" s="120" t="e">
        <f t="shared" si="22"/>
        <v>#NUM!</v>
      </c>
    </row>
    <row r="330" spans="10:10" x14ac:dyDescent="0.25">
      <c r="J330" s="120" t="e">
        <f t="shared" si="22"/>
        <v>#NUM!</v>
      </c>
    </row>
    <row r="331" spans="10:10" x14ac:dyDescent="0.25">
      <c r="J331" s="120" t="e">
        <f t="shared" si="22"/>
        <v>#NUM!</v>
      </c>
    </row>
    <row r="332" spans="10:10" x14ac:dyDescent="0.25">
      <c r="J332" s="120" t="e">
        <f t="shared" si="22"/>
        <v>#NUM!</v>
      </c>
    </row>
    <row r="333" spans="10:10" x14ac:dyDescent="0.25">
      <c r="J333" s="120" t="e">
        <f t="shared" si="22"/>
        <v>#NUM!</v>
      </c>
    </row>
    <row r="334" spans="10:10" x14ac:dyDescent="0.25">
      <c r="J334" s="120" t="e">
        <f t="shared" si="22"/>
        <v>#NUM!</v>
      </c>
    </row>
    <row r="335" spans="10:10" x14ac:dyDescent="0.25">
      <c r="J335" s="120" t="e">
        <f t="shared" si="22"/>
        <v>#NUM!</v>
      </c>
    </row>
    <row r="336" spans="10:10" x14ac:dyDescent="0.25">
      <c r="J336" s="120" t="e">
        <f t="shared" si="22"/>
        <v>#NUM!</v>
      </c>
    </row>
    <row r="337" spans="10:10" x14ac:dyDescent="0.25">
      <c r="J337" s="120" t="e">
        <f t="shared" si="22"/>
        <v>#NUM!</v>
      </c>
    </row>
    <row r="338" spans="10:10" x14ac:dyDescent="0.25">
      <c r="J338" s="120" t="e">
        <f t="shared" si="22"/>
        <v>#NUM!</v>
      </c>
    </row>
    <row r="339" spans="10:10" x14ac:dyDescent="0.25">
      <c r="J339" s="120" t="e">
        <f t="shared" si="22"/>
        <v>#NUM!</v>
      </c>
    </row>
    <row r="340" spans="10:10" x14ac:dyDescent="0.25">
      <c r="J340" s="120" t="e">
        <f t="shared" si="22"/>
        <v>#NUM!</v>
      </c>
    </row>
    <row r="341" spans="10:10" x14ac:dyDescent="0.25">
      <c r="J341" s="120" t="e">
        <f t="shared" si="22"/>
        <v>#NUM!</v>
      </c>
    </row>
    <row r="342" spans="10:10" x14ac:dyDescent="0.25">
      <c r="J342" s="120" t="e">
        <f t="shared" si="22"/>
        <v>#NUM!</v>
      </c>
    </row>
    <row r="343" spans="10:10" x14ac:dyDescent="0.25">
      <c r="J343" s="120" t="e">
        <f t="shared" si="22"/>
        <v>#NUM!</v>
      </c>
    </row>
    <row r="344" spans="10:10" x14ac:dyDescent="0.25">
      <c r="J344" s="120" t="e">
        <f t="shared" si="22"/>
        <v>#NUM!</v>
      </c>
    </row>
    <row r="345" spans="10:10" x14ac:dyDescent="0.25">
      <c r="J345" s="120" t="e">
        <f t="shared" si="22"/>
        <v>#NUM!</v>
      </c>
    </row>
    <row r="346" spans="10:10" x14ac:dyDescent="0.25">
      <c r="J346" s="120" t="e">
        <f t="shared" si="22"/>
        <v>#NUM!</v>
      </c>
    </row>
    <row r="347" spans="10:10" x14ac:dyDescent="0.25">
      <c r="J347" s="120" t="e">
        <f t="shared" si="22"/>
        <v>#NUM!</v>
      </c>
    </row>
    <row r="348" spans="10:10" x14ac:dyDescent="0.25">
      <c r="J348" s="120" t="e">
        <f t="shared" si="22"/>
        <v>#NUM!</v>
      </c>
    </row>
    <row r="349" spans="10:10" x14ac:dyDescent="0.25">
      <c r="J349" s="120" t="e">
        <f t="shared" si="22"/>
        <v>#NUM!</v>
      </c>
    </row>
    <row r="350" spans="10:10" x14ac:dyDescent="0.25">
      <c r="J350" s="120" t="e">
        <f t="shared" si="22"/>
        <v>#NUM!</v>
      </c>
    </row>
    <row r="351" spans="10:10" x14ac:dyDescent="0.25">
      <c r="J351" s="120" t="e">
        <f t="shared" si="22"/>
        <v>#NUM!</v>
      </c>
    </row>
    <row r="352" spans="10:10" x14ac:dyDescent="0.25">
      <c r="J352" s="120" t="e">
        <f t="shared" si="22"/>
        <v>#NUM!</v>
      </c>
    </row>
    <row r="353" spans="10:10" x14ac:dyDescent="0.25">
      <c r="J353" s="120" t="e">
        <f t="shared" si="22"/>
        <v>#NUM!</v>
      </c>
    </row>
    <row r="354" spans="10:10" x14ac:dyDescent="0.25">
      <c r="J354" s="120" t="e">
        <f t="shared" si="22"/>
        <v>#NUM!</v>
      </c>
    </row>
    <row r="355" spans="10:10" x14ac:dyDescent="0.25">
      <c r="J355" s="120" t="e">
        <f t="shared" si="22"/>
        <v>#NUM!</v>
      </c>
    </row>
    <row r="356" spans="10:10" x14ac:dyDescent="0.25">
      <c r="J356" s="120" t="e">
        <f t="shared" si="22"/>
        <v>#NUM!</v>
      </c>
    </row>
    <row r="357" spans="10:10" x14ac:dyDescent="0.25">
      <c r="J357" s="120" t="e">
        <f t="shared" si="22"/>
        <v>#NUM!</v>
      </c>
    </row>
    <row r="358" spans="10:10" x14ac:dyDescent="0.25">
      <c r="J358" s="120" t="e">
        <f t="shared" si="22"/>
        <v>#NUM!</v>
      </c>
    </row>
    <row r="359" spans="10:10" x14ac:dyDescent="0.25">
      <c r="J359" s="120" t="e">
        <f t="shared" si="22"/>
        <v>#NUM!</v>
      </c>
    </row>
    <row r="360" spans="10:10" x14ac:dyDescent="0.25">
      <c r="J360" s="120" t="e">
        <f t="shared" si="22"/>
        <v>#NUM!</v>
      </c>
    </row>
    <row r="361" spans="10:10" x14ac:dyDescent="0.25">
      <c r="J361" s="120" t="e">
        <f t="shared" si="22"/>
        <v>#NUM!</v>
      </c>
    </row>
    <row r="362" spans="10:10" x14ac:dyDescent="0.25">
      <c r="J362" s="120" t="e">
        <f t="shared" si="22"/>
        <v>#NUM!</v>
      </c>
    </row>
    <row r="363" spans="10:10" x14ac:dyDescent="0.25">
      <c r="J363" s="120" t="e">
        <f t="shared" si="22"/>
        <v>#NUM!</v>
      </c>
    </row>
    <row r="364" spans="10:10" x14ac:dyDescent="0.25">
      <c r="J364" s="120" t="e">
        <f t="shared" si="22"/>
        <v>#NUM!</v>
      </c>
    </row>
    <row r="365" spans="10:10" x14ac:dyDescent="0.25">
      <c r="J365" s="120" t="e">
        <f t="shared" si="22"/>
        <v>#NUM!</v>
      </c>
    </row>
    <row r="366" spans="10:10" x14ac:dyDescent="0.25">
      <c r="J366" s="120" t="e">
        <f t="shared" si="22"/>
        <v>#NUM!</v>
      </c>
    </row>
    <row r="367" spans="10:10" x14ac:dyDescent="0.25">
      <c r="J367" s="120" t="e">
        <f t="shared" si="22"/>
        <v>#NUM!</v>
      </c>
    </row>
    <row r="368" spans="10:10" x14ac:dyDescent="0.25">
      <c r="J368" s="120" t="e">
        <f t="shared" si="22"/>
        <v>#NUM!</v>
      </c>
    </row>
    <row r="369" spans="10:10" x14ac:dyDescent="0.25">
      <c r="J369" s="120" t="e">
        <f t="shared" si="22"/>
        <v>#NUM!</v>
      </c>
    </row>
    <row r="370" spans="10:10" x14ac:dyDescent="0.25">
      <c r="J370" s="120" t="e">
        <f t="shared" si="22"/>
        <v>#NUM!</v>
      </c>
    </row>
    <row r="371" spans="10:10" x14ac:dyDescent="0.25">
      <c r="J371" s="120" t="e">
        <f t="shared" si="22"/>
        <v>#NUM!</v>
      </c>
    </row>
    <row r="372" spans="10:10" x14ac:dyDescent="0.25">
      <c r="J372" s="120" t="e">
        <f t="shared" si="22"/>
        <v>#NUM!</v>
      </c>
    </row>
    <row r="373" spans="10:10" x14ac:dyDescent="0.25">
      <c r="J373" s="120" t="e">
        <f t="shared" si="22"/>
        <v>#NUM!</v>
      </c>
    </row>
    <row r="374" spans="10:10" x14ac:dyDescent="0.25">
      <c r="J374" s="120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4E6E-EE96-44B4-B888-F86E41C36C8F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43.7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22</v>
      </c>
      <c r="I1" s="84" t="s">
        <v>23</v>
      </c>
      <c r="J1" s="84" t="s">
        <v>24</v>
      </c>
      <c r="K1" s="85" t="s">
        <v>85</v>
      </c>
      <c r="L1" s="86"/>
      <c r="M1" s="86"/>
    </row>
    <row r="2" spans="1:36" x14ac:dyDescent="0.25">
      <c r="A2" s="82"/>
      <c r="B2" s="20" t="s">
        <v>26</v>
      </c>
      <c r="C2" s="70" t="s">
        <v>89</v>
      </c>
      <c r="D2" s="69"/>
      <c r="E2" s="21"/>
      <c r="F2" s="21"/>
      <c r="G2" s="21"/>
      <c r="H2" s="88">
        <v>0</v>
      </c>
      <c r="I2" s="89">
        <v>50</v>
      </c>
      <c r="J2" s="89">
        <v>10</v>
      </c>
      <c r="K2" s="123">
        <f>3*H2^(1/3)</f>
        <v>0</v>
      </c>
      <c r="L2" s="86"/>
      <c r="M2" s="86"/>
    </row>
    <row r="3" spans="1:36" x14ac:dyDescent="0.25">
      <c r="A3" s="82"/>
      <c r="B3" s="91" t="s">
        <v>28</v>
      </c>
      <c r="C3" s="70" t="s">
        <v>90</v>
      </c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93" t="s">
        <v>35</v>
      </c>
      <c r="I5" s="94" t="s">
        <v>36</v>
      </c>
      <c r="J5" s="95" t="s">
        <v>37</v>
      </c>
      <c r="K5" s="94" t="s">
        <v>38</v>
      </c>
      <c r="L5" s="94" t="s">
        <v>39</v>
      </c>
      <c r="M5" s="93" t="s">
        <v>40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7">
        <v>1</v>
      </c>
      <c r="I6" s="98" t="str">
        <f t="shared" ref="I6:I69" si="1">IF(H6&lt;$H$2+1,($I$2-($I$2-1)*(LOG(H6)/LOG($H$2))),"")</f>
        <v/>
      </c>
      <c r="J6" s="97">
        <v>4</v>
      </c>
      <c r="K6" s="97">
        <f t="shared" ref="K6:K69" si="2">J6*$J$2</f>
        <v>40</v>
      </c>
      <c r="L6" s="99">
        <f>3*K2</f>
        <v>0</v>
      </c>
      <c r="M6" s="99">
        <f t="shared" ref="M6:M69" si="3">IF(I6&lt;&gt;"",K6+I6+L6,0)</f>
        <v>0</v>
      </c>
    </row>
    <row r="7" spans="1:36" ht="14.45" customHeight="1" x14ac:dyDescent="0.25">
      <c r="A7" s="100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101">
        <v>2</v>
      </c>
      <c r="I7" s="102" t="str">
        <f t="shared" si="1"/>
        <v/>
      </c>
      <c r="J7" s="101">
        <v>3</v>
      </c>
      <c r="K7" s="101">
        <f t="shared" si="2"/>
        <v>30</v>
      </c>
      <c r="L7" s="103">
        <f>2*K2</f>
        <v>0</v>
      </c>
      <c r="M7" s="103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7">
        <v>3</v>
      </c>
      <c r="I8" s="98" t="str">
        <f t="shared" si="1"/>
        <v/>
      </c>
      <c r="J8" s="97">
        <v>2</v>
      </c>
      <c r="K8" s="97">
        <f t="shared" si="2"/>
        <v>20</v>
      </c>
      <c r="L8" s="99">
        <f>K2</f>
        <v>0</v>
      </c>
      <c r="M8" s="99">
        <f t="shared" si="3"/>
        <v>0</v>
      </c>
    </row>
    <row r="9" spans="1:36" s="87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1">
        <v>3</v>
      </c>
      <c r="I9" s="102" t="str">
        <f t="shared" si="1"/>
        <v/>
      </c>
      <c r="J9" s="101">
        <v>2</v>
      </c>
      <c r="K9" s="101">
        <f t="shared" si="2"/>
        <v>20</v>
      </c>
      <c r="L9" s="103">
        <f>K2</f>
        <v>0</v>
      </c>
      <c r="M9" s="103">
        <f t="shared" si="3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42</v>
      </c>
      <c r="AI9" s="87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7">
        <v>5</v>
      </c>
      <c r="I10" s="98" t="str">
        <f t="shared" si="1"/>
        <v/>
      </c>
      <c r="J10" s="97" t="e">
        <f t="shared" ref="J10:J73" si="5">INT(LOG($H$2,2))-ROUNDUP(LOG(H10,2),0)+IF(OR($H$2=1,$H$2=2,$H$2=4,$H$2=8,$H$2=16,$H$2=32,$H$2=64,$H$2=128,$H$2=256),0,1)</f>
        <v>#NUM!</v>
      </c>
      <c r="K10" s="97" t="e">
        <f t="shared" si="2"/>
        <v>#NUM!</v>
      </c>
      <c r="L10" s="97"/>
      <c r="M10" s="99">
        <f t="shared" si="3"/>
        <v>0</v>
      </c>
      <c r="V10" s="104"/>
      <c r="Z10" s="105"/>
      <c r="AA10" s="105"/>
      <c r="AG10" s="106"/>
      <c r="AH10" s="87" t="s">
        <v>43</v>
      </c>
      <c r="AI10" s="87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1">
        <v>6</v>
      </c>
      <c r="I11" s="102" t="str">
        <f t="shared" si="1"/>
        <v/>
      </c>
      <c r="J11" s="101" t="e">
        <f t="shared" si="5"/>
        <v>#NUM!</v>
      </c>
      <c r="K11" s="101" t="e">
        <f t="shared" si="2"/>
        <v>#NUM!</v>
      </c>
      <c r="L11" s="101"/>
      <c r="M11" s="103">
        <f t="shared" si="3"/>
        <v>0</v>
      </c>
      <c r="V11" s="107"/>
      <c r="Z11" s="105"/>
      <c r="AA11" s="105"/>
      <c r="AG11" s="106"/>
      <c r="AH11" s="87" t="s">
        <v>44</v>
      </c>
      <c r="AI11" s="87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7">
        <v>7</v>
      </c>
      <c r="I12" s="98" t="str">
        <f t="shared" si="1"/>
        <v/>
      </c>
      <c r="J12" s="97" t="e">
        <f t="shared" si="5"/>
        <v>#NUM!</v>
      </c>
      <c r="K12" s="97" t="e">
        <f t="shared" si="2"/>
        <v>#NUM!</v>
      </c>
      <c r="L12" s="97"/>
      <c r="M12" s="99">
        <f t="shared" si="3"/>
        <v>0</v>
      </c>
      <c r="Z12" s="105"/>
      <c r="AA12" s="105"/>
      <c r="AG12" s="106"/>
      <c r="AH12" s="87" t="s">
        <v>45</v>
      </c>
      <c r="AI12" s="87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1">
        <v>8</v>
      </c>
      <c r="I13" s="102" t="str">
        <f t="shared" si="1"/>
        <v/>
      </c>
      <c r="J13" s="101" t="e">
        <f t="shared" si="5"/>
        <v>#NUM!</v>
      </c>
      <c r="K13" s="101" t="e">
        <f t="shared" si="2"/>
        <v>#NUM!</v>
      </c>
      <c r="L13" s="101"/>
      <c r="M13" s="103">
        <f t="shared" si="3"/>
        <v>0</v>
      </c>
      <c r="X13" s="104"/>
      <c r="AG13" s="106"/>
      <c r="AH13" s="87" t="s">
        <v>46</v>
      </c>
      <c r="AI13" s="87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7">
        <v>9</v>
      </c>
      <c r="I14" s="98" t="str">
        <f t="shared" si="1"/>
        <v/>
      </c>
      <c r="J14" s="97" t="e">
        <f t="shared" si="5"/>
        <v>#NUM!</v>
      </c>
      <c r="K14" s="97" t="e">
        <f t="shared" si="2"/>
        <v>#NUM!</v>
      </c>
      <c r="L14" s="97"/>
      <c r="M14" s="99">
        <f t="shared" si="3"/>
        <v>0</v>
      </c>
      <c r="X14" s="108"/>
      <c r="Z14" s="105"/>
      <c r="AA14" s="105"/>
      <c r="AG14" s="106"/>
      <c r="AH14" s="87" t="s">
        <v>47</v>
      </c>
      <c r="AI14" s="87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1">
        <v>10</v>
      </c>
      <c r="I15" s="102" t="str">
        <f t="shared" si="1"/>
        <v/>
      </c>
      <c r="J15" s="101" t="e">
        <f t="shared" si="5"/>
        <v>#NUM!</v>
      </c>
      <c r="K15" s="101" t="e">
        <f t="shared" si="2"/>
        <v>#NUM!</v>
      </c>
      <c r="L15" s="101"/>
      <c r="M15" s="103">
        <f t="shared" si="3"/>
        <v>0</v>
      </c>
      <c r="X15" s="104"/>
      <c r="Z15" s="105"/>
      <c r="AA15" s="105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7">
        <v>11</v>
      </c>
      <c r="I16" s="98" t="str">
        <f t="shared" si="1"/>
        <v/>
      </c>
      <c r="J16" s="97" t="e">
        <f t="shared" si="5"/>
        <v>#NUM!</v>
      </c>
      <c r="K16" s="97" t="e">
        <f t="shared" si="2"/>
        <v>#NUM!</v>
      </c>
      <c r="L16" s="97"/>
      <c r="M16" s="99">
        <f t="shared" si="3"/>
        <v>0</v>
      </c>
      <c r="R16" s="109"/>
      <c r="Z16" s="105"/>
      <c r="AA16" s="105"/>
      <c r="AH16" s="110" t="s">
        <v>48</v>
      </c>
      <c r="AI16" s="87">
        <f>AI11-AI12*AI13/AI14</f>
        <v>9.6393909380186855</v>
      </c>
      <c r="AJ16" s="87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1">
        <v>12</v>
      </c>
      <c r="I17" s="102" t="str">
        <f t="shared" si="1"/>
        <v/>
      </c>
      <c r="J17" s="101" t="e">
        <f t="shared" si="5"/>
        <v>#NUM!</v>
      </c>
      <c r="K17" s="101" t="e">
        <f t="shared" si="2"/>
        <v>#NUM!</v>
      </c>
      <c r="L17" s="101"/>
      <c r="M17" s="103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124"/>
      <c r="D18" s="35"/>
      <c r="E18" s="35"/>
      <c r="F18" s="35"/>
      <c r="G18" s="28"/>
      <c r="H18" s="97">
        <v>13</v>
      </c>
      <c r="I18" s="98" t="str">
        <f t="shared" si="1"/>
        <v/>
      </c>
      <c r="J18" s="97" t="e">
        <f t="shared" si="5"/>
        <v>#NUM!</v>
      </c>
      <c r="K18" s="97" t="e">
        <f t="shared" si="2"/>
        <v>#NUM!</v>
      </c>
      <c r="L18" s="97"/>
      <c r="M18" s="9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1">
        <v>14</v>
      </c>
      <c r="I19" s="102" t="str">
        <f t="shared" si="1"/>
        <v/>
      </c>
      <c r="J19" s="101" t="e">
        <f t="shared" si="5"/>
        <v>#NUM!</v>
      </c>
      <c r="K19" s="101" t="e">
        <f t="shared" si="2"/>
        <v>#NUM!</v>
      </c>
      <c r="L19" s="101"/>
      <c r="M19" s="103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7">
        <v>15</v>
      </c>
      <c r="I20" s="98" t="str">
        <f t="shared" si="1"/>
        <v/>
      </c>
      <c r="J20" s="97" t="e">
        <f t="shared" si="5"/>
        <v>#NUM!</v>
      </c>
      <c r="K20" s="97" t="e">
        <f t="shared" si="2"/>
        <v>#NUM!</v>
      </c>
      <c r="L20" s="97"/>
      <c r="M20" s="99">
        <f t="shared" si="3"/>
        <v>0</v>
      </c>
      <c r="R20" s="111"/>
      <c r="S20" s="112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1">
        <v>16</v>
      </c>
      <c r="I21" s="102" t="str">
        <f t="shared" si="1"/>
        <v/>
      </c>
      <c r="J21" s="101" t="e">
        <f t="shared" si="5"/>
        <v>#NUM!</v>
      </c>
      <c r="K21" s="101" t="e">
        <f t="shared" si="2"/>
        <v>#NUM!</v>
      </c>
      <c r="L21" s="101"/>
      <c r="M21" s="103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7">
        <v>17</v>
      </c>
      <c r="I22" s="98" t="str">
        <f t="shared" si="1"/>
        <v/>
      </c>
      <c r="J22" s="97" t="e">
        <f t="shared" si="5"/>
        <v>#NUM!</v>
      </c>
      <c r="K22" s="97" t="e">
        <f t="shared" si="2"/>
        <v>#NUM!</v>
      </c>
      <c r="L22" s="97"/>
      <c r="M22" s="9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1">
        <v>18</v>
      </c>
      <c r="I23" s="102" t="str">
        <f t="shared" si="1"/>
        <v/>
      </c>
      <c r="J23" s="101" t="e">
        <f t="shared" si="5"/>
        <v>#NUM!</v>
      </c>
      <c r="K23" s="101" t="e">
        <f t="shared" si="2"/>
        <v>#NUM!</v>
      </c>
      <c r="L23" s="101"/>
      <c r="M23" s="103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7">
        <v>19</v>
      </c>
      <c r="I24" s="98" t="str">
        <f t="shared" si="1"/>
        <v/>
      </c>
      <c r="J24" s="97" t="e">
        <f t="shared" si="5"/>
        <v>#NUM!</v>
      </c>
      <c r="K24" s="97" t="e">
        <f t="shared" si="2"/>
        <v>#NUM!</v>
      </c>
      <c r="L24" s="97"/>
      <c r="M24" s="99">
        <f t="shared" si="3"/>
        <v>0</v>
      </c>
      <c r="R24" s="111"/>
      <c r="S24" s="112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1">
        <v>20</v>
      </c>
      <c r="I25" s="102" t="str">
        <f t="shared" si="1"/>
        <v/>
      </c>
      <c r="J25" s="101" t="e">
        <f t="shared" si="5"/>
        <v>#NUM!</v>
      </c>
      <c r="K25" s="101" t="e">
        <f t="shared" si="2"/>
        <v>#NUM!</v>
      </c>
      <c r="L25" s="101"/>
      <c r="M25" s="103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7">
        <v>21</v>
      </c>
      <c r="I26" s="98" t="str">
        <f t="shared" si="1"/>
        <v/>
      </c>
      <c r="J26" s="97" t="e">
        <f t="shared" si="5"/>
        <v>#NUM!</v>
      </c>
      <c r="K26" s="97" t="e">
        <f t="shared" si="2"/>
        <v>#NUM!</v>
      </c>
      <c r="L26" s="97"/>
      <c r="M26" s="9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1">
        <v>22</v>
      </c>
      <c r="I27" s="102" t="str">
        <f t="shared" si="1"/>
        <v/>
      </c>
      <c r="J27" s="101" t="e">
        <f t="shared" si="5"/>
        <v>#NUM!</v>
      </c>
      <c r="K27" s="101" t="e">
        <f t="shared" si="2"/>
        <v>#NUM!</v>
      </c>
      <c r="L27" s="101"/>
      <c r="M27" s="103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7">
        <v>23</v>
      </c>
      <c r="I28" s="98" t="str">
        <f t="shared" si="1"/>
        <v/>
      </c>
      <c r="J28" s="97" t="e">
        <f t="shared" si="5"/>
        <v>#NUM!</v>
      </c>
      <c r="K28" s="97" t="e">
        <f t="shared" si="2"/>
        <v>#NUM!</v>
      </c>
      <c r="L28" s="97"/>
      <c r="M28" s="99">
        <f t="shared" si="3"/>
        <v>0</v>
      </c>
      <c r="R28" s="111"/>
      <c r="S28" s="112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82"/>
      <c r="H29" s="101">
        <v>24</v>
      </c>
      <c r="I29" s="102" t="str">
        <f t="shared" si="1"/>
        <v/>
      </c>
      <c r="J29" s="101" t="e">
        <f t="shared" si="5"/>
        <v>#NUM!</v>
      </c>
      <c r="K29" s="101" t="e">
        <f t="shared" si="2"/>
        <v>#NUM!</v>
      </c>
      <c r="L29" s="101"/>
      <c r="M29" s="103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82"/>
      <c r="H30" s="97">
        <v>25</v>
      </c>
      <c r="I30" s="98" t="str">
        <f t="shared" si="1"/>
        <v/>
      </c>
      <c r="J30" s="97" t="e">
        <f t="shared" si="5"/>
        <v>#NUM!</v>
      </c>
      <c r="K30" s="97" t="e">
        <f t="shared" si="2"/>
        <v>#NUM!</v>
      </c>
      <c r="L30" s="97"/>
      <c r="M30" s="9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82"/>
      <c r="H31" s="101">
        <v>26</v>
      </c>
      <c r="I31" s="102" t="str">
        <f t="shared" si="1"/>
        <v/>
      </c>
      <c r="J31" s="101" t="e">
        <f t="shared" si="5"/>
        <v>#NUM!</v>
      </c>
      <c r="K31" s="101" t="e">
        <f t="shared" si="2"/>
        <v>#NUM!</v>
      </c>
      <c r="L31" s="101"/>
      <c r="M31" s="103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82"/>
      <c r="H32" s="97">
        <v>27</v>
      </c>
      <c r="I32" s="98" t="str">
        <f t="shared" si="1"/>
        <v/>
      </c>
      <c r="J32" s="97" t="e">
        <f t="shared" si="5"/>
        <v>#NUM!</v>
      </c>
      <c r="K32" s="97" t="e">
        <f t="shared" si="2"/>
        <v>#NUM!</v>
      </c>
      <c r="L32" s="97"/>
      <c r="M32" s="99">
        <f t="shared" si="3"/>
        <v>0</v>
      </c>
      <c r="R32" s="111"/>
      <c r="S32" s="112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82"/>
      <c r="H33" s="101">
        <v>28</v>
      </c>
      <c r="I33" s="102" t="str">
        <f t="shared" si="1"/>
        <v/>
      </c>
      <c r="J33" s="101" t="e">
        <f t="shared" si="5"/>
        <v>#NUM!</v>
      </c>
      <c r="K33" s="101" t="e">
        <f t="shared" si="2"/>
        <v>#NUM!</v>
      </c>
      <c r="L33" s="101"/>
      <c r="M33" s="103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82"/>
      <c r="H34" s="97">
        <v>29</v>
      </c>
      <c r="I34" s="98" t="str">
        <f t="shared" si="1"/>
        <v/>
      </c>
      <c r="J34" s="97" t="e">
        <f t="shared" si="5"/>
        <v>#NUM!</v>
      </c>
      <c r="K34" s="97" t="e">
        <f t="shared" si="2"/>
        <v>#NUM!</v>
      </c>
      <c r="L34" s="97"/>
      <c r="M34" s="99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82"/>
      <c r="H35" s="101">
        <v>30</v>
      </c>
      <c r="I35" s="102" t="str">
        <f t="shared" si="1"/>
        <v/>
      </c>
      <c r="J35" s="101" t="e">
        <f t="shared" si="5"/>
        <v>#NUM!</v>
      </c>
      <c r="K35" s="101" t="e">
        <f t="shared" si="2"/>
        <v>#NUM!</v>
      </c>
      <c r="L35" s="101"/>
      <c r="M35" s="103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82"/>
      <c r="H36" s="97">
        <v>31</v>
      </c>
      <c r="I36" s="98" t="str">
        <f t="shared" si="1"/>
        <v/>
      </c>
      <c r="J36" s="97" t="e">
        <f t="shared" si="5"/>
        <v>#NUM!</v>
      </c>
      <c r="K36" s="97" t="e">
        <f t="shared" si="2"/>
        <v>#NUM!</v>
      </c>
      <c r="L36" s="97"/>
      <c r="M36" s="99">
        <f t="shared" si="3"/>
        <v>0</v>
      </c>
      <c r="R36" s="111"/>
      <c r="S36" s="112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82"/>
      <c r="H37" s="101">
        <v>32</v>
      </c>
      <c r="I37" s="102" t="str">
        <f t="shared" si="1"/>
        <v/>
      </c>
      <c r="J37" s="101" t="e">
        <f t="shared" si="5"/>
        <v>#NUM!</v>
      </c>
      <c r="K37" s="101" t="e">
        <f t="shared" si="2"/>
        <v>#NUM!</v>
      </c>
      <c r="L37" s="101"/>
      <c r="M37" s="103">
        <f t="shared" si="3"/>
        <v>0</v>
      </c>
    </row>
    <row r="38" spans="1:21" x14ac:dyDescent="0.25">
      <c r="A38" s="96"/>
      <c r="B38" s="34" t="str">
        <f t="shared" si="0"/>
        <v/>
      </c>
      <c r="C38" s="35"/>
      <c r="D38" s="35"/>
      <c r="E38" s="35"/>
      <c r="F38" s="35"/>
      <c r="G38" s="82"/>
      <c r="H38" s="97">
        <v>33</v>
      </c>
      <c r="I38" s="98" t="str">
        <f t="shared" si="1"/>
        <v/>
      </c>
      <c r="J38" s="97" t="e">
        <f t="shared" si="5"/>
        <v>#NUM!</v>
      </c>
      <c r="K38" s="97" t="e">
        <f t="shared" si="2"/>
        <v>#NUM!</v>
      </c>
      <c r="L38" s="97"/>
      <c r="M38" s="99">
        <f t="shared" si="3"/>
        <v>0</v>
      </c>
    </row>
    <row r="39" spans="1:21" x14ac:dyDescent="0.25">
      <c r="A39" s="100"/>
      <c r="B39" s="40" t="str">
        <f t="shared" si="0"/>
        <v/>
      </c>
      <c r="C39" s="41"/>
      <c r="D39" s="41"/>
      <c r="E39" s="41"/>
      <c r="F39" s="41"/>
      <c r="G39" s="82"/>
      <c r="H39" s="101">
        <v>34</v>
      </c>
      <c r="I39" s="102" t="str">
        <f t="shared" si="1"/>
        <v/>
      </c>
      <c r="J39" s="101" t="e">
        <f t="shared" si="5"/>
        <v>#NUM!</v>
      </c>
      <c r="K39" s="101" t="e">
        <f t="shared" si="2"/>
        <v>#NUM!</v>
      </c>
      <c r="L39" s="101"/>
      <c r="M39" s="103">
        <f t="shared" si="3"/>
        <v>0</v>
      </c>
    </row>
    <row r="40" spans="1:21" x14ac:dyDescent="0.25">
      <c r="A40" s="96"/>
      <c r="B40" s="34" t="str">
        <f t="shared" si="0"/>
        <v/>
      </c>
      <c r="C40" s="35"/>
      <c r="D40" s="35"/>
      <c r="E40" s="35"/>
      <c r="F40" s="35"/>
      <c r="G40" s="82"/>
      <c r="H40" s="97">
        <v>35</v>
      </c>
      <c r="I40" s="98" t="str">
        <f t="shared" si="1"/>
        <v/>
      </c>
      <c r="J40" s="97" t="e">
        <f t="shared" si="5"/>
        <v>#NUM!</v>
      </c>
      <c r="K40" s="97" t="e">
        <f t="shared" si="2"/>
        <v>#NUM!</v>
      </c>
      <c r="L40" s="97"/>
      <c r="M40" s="99">
        <f t="shared" si="3"/>
        <v>0</v>
      </c>
    </row>
    <row r="41" spans="1:21" x14ac:dyDescent="0.25">
      <c r="A41" s="100"/>
      <c r="B41" s="40" t="str">
        <f t="shared" si="0"/>
        <v/>
      </c>
      <c r="C41" s="41"/>
      <c r="D41" s="41"/>
      <c r="E41" s="41"/>
      <c r="F41" s="41"/>
      <c r="G41" s="82"/>
      <c r="H41" s="101">
        <v>36</v>
      </c>
      <c r="I41" s="102" t="str">
        <f t="shared" si="1"/>
        <v/>
      </c>
      <c r="J41" s="101" t="e">
        <f t="shared" si="5"/>
        <v>#NUM!</v>
      </c>
      <c r="K41" s="101" t="e">
        <f t="shared" si="2"/>
        <v>#NUM!</v>
      </c>
      <c r="L41" s="101"/>
      <c r="M41" s="103">
        <f t="shared" si="3"/>
        <v>0</v>
      </c>
      <c r="S41" s="113"/>
    </row>
    <row r="42" spans="1:21" x14ac:dyDescent="0.25">
      <c r="A42" s="96"/>
      <c r="B42" s="34" t="str">
        <f t="shared" si="0"/>
        <v/>
      </c>
      <c r="C42" s="35"/>
      <c r="D42" s="35"/>
      <c r="E42" s="35"/>
      <c r="F42" s="35"/>
      <c r="G42" s="82"/>
      <c r="H42" s="97">
        <v>37</v>
      </c>
      <c r="I42" s="98" t="str">
        <f t="shared" si="1"/>
        <v/>
      </c>
      <c r="J42" s="97" t="e">
        <f t="shared" si="5"/>
        <v>#NUM!</v>
      </c>
      <c r="K42" s="97" t="e">
        <f t="shared" si="2"/>
        <v>#NUM!</v>
      </c>
      <c r="L42" s="97"/>
      <c r="M42" s="99">
        <f t="shared" si="3"/>
        <v>0</v>
      </c>
    </row>
    <row r="43" spans="1:21" x14ac:dyDescent="0.25">
      <c r="A43" s="100"/>
      <c r="B43" s="40" t="str">
        <f t="shared" si="0"/>
        <v/>
      </c>
      <c r="C43" s="41"/>
      <c r="D43" s="41"/>
      <c r="E43" s="41"/>
      <c r="F43" s="41"/>
      <c r="G43" s="82"/>
      <c r="H43" s="101">
        <v>38</v>
      </c>
      <c r="I43" s="102" t="str">
        <f t="shared" si="1"/>
        <v/>
      </c>
      <c r="J43" s="101" t="e">
        <f t="shared" si="5"/>
        <v>#NUM!</v>
      </c>
      <c r="K43" s="101" t="e">
        <f t="shared" si="2"/>
        <v>#NUM!</v>
      </c>
      <c r="L43" s="101"/>
      <c r="M43" s="103">
        <f t="shared" si="3"/>
        <v>0</v>
      </c>
    </row>
    <row r="44" spans="1:21" x14ac:dyDescent="0.25">
      <c r="A44" s="96"/>
      <c r="B44" s="34" t="str">
        <f t="shared" si="0"/>
        <v/>
      </c>
      <c r="C44" s="35"/>
      <c r="D44" s="35"/>
      <c r="E44" s="35"/>
      <c r="F44" s="35"/>
      <c r="G44" s="82"/>
      <c r="H44" s="97">
        <v>39</v>
      </c>
      <c r="I44" s="98" t="str">
        <f t="shared" si="1"/>
        <v/>
      </c>
      <c r="J44" s="97" t="e">
        <f t="shared" si="5"/>
        <v>#NUM!</v>
      </c>
      <c r="K44" s="97" t="e">
        <f t="shared" si="2"/>
        <v>#NUM!</v>
      </c>
      <c r="L44" s="97"/>
      <c r="M44" s="99">
        <f t="shared" si="3"/>
        <v>0</v>
      </c>
    </row>
    <row r="45" spans="1:21" x14ac:dyDescent="0.25">
      <c r="A45" s="100"/>
      <c r="B45" s="40" t="str">
        <f t="shared" si="0"/>
        <v/>
      </c>
      <c r="C45" s="41"/>
      <c r="D45" s="41"/>
      <c r="E45" s="41"/>
      <c r="F45" s="41"/>
      <c r="G45" s="82"/>
      <c r="H45" s="101">
        <v>40</v>
      </c>
      <c r="I45" s="102" t="str">
        <f t="shared" si="1"/>
        <v/>
      </c>
      <c r="J45" s="101" t="e">
        <f t="shared" si="5"/>
        <v>#NUM!</v>
      </c>
      <c r="K45" s="101" t="e">
        <f t="shared" si="2"/>
        <v>#NUM!</v>
      </c>
      <c r="L45" s="101"/>
      <c r="M45" s="103">
        <f t="shared" si="3"/>
        <v>0</v>
      </c>
    </row>
    <row r="46" spans="1:21" x14ac:dyDescent="0.25">
      <c r="A46" s="96"/>
      <c r="B46" s="34" t="str">
        <f t="shared" si="0"/>
        <v/>
      </c>
      <c r="C46" s="35"/>
      <c r="D46" s="35"/>
      <c r="E46" s="35"/>
      <c r="F46" s="35"/>
      <c r="G46" s="82"/>
      <c r="H46" s="97">
        <v>41</v>
      </c>
      <c r="I46" s="98" t="str">
        <f t="shared" si="1"/>
        <v/>
      </c>
      <c r="J46" s="97" t="e">
        <f t="shared" si="5"/>
        <v>#NUM!</v>
      </c>
      <c r="K46" s="97" t="e">
        <f t="shared" si="2"/>
        <v>#NUM!</v>
      </c>
      <c r="L46" s="97"/>
      <c r="M46" s="99">
        <f t="shared" si="3"/>
        <v>0</v>
      </c>
      <c r="R46" s="82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x14ac:dyDescent="0.25">
      <c r="A47" s="100"/>
      <c r="B47" s="40" t="str">
        <f t="shared" si="0"/>
        <v/>
      </c>
      <c r="C47" s="41"/>
      <c r="D47" s="41"/>
      <c r="E47" s="41"/>
      <c r="F47" s="41"/>
      <c r="G47" s="82"/>
      <c r="H47" s="101">
        <v>42</v>
      </c>
      <c r="I47" s="102" t="str">
        <f t="shared" si="1"/>
        <v/>
      </c>
      <c r="J47" s="101" t="e">
        <f t="shared" si="5"/>
        <v>#NUM!</v>
      </c>
      <c r="K47" s="101" t="e">
        <f t="shared" si="2"/>
        <v>#NUM!</v>
      </c>
      <c r="L47" s="101"/>
      <c r="M47" s="103">
        <f t="shared" si="3"/>
        <v>0</v>
      </c>
    </row>
    <row r="48" spans="1:21" x14ac:dyDescent="0.25">
      <c r="A48" s="96"/>
      <c r="B48" s="34" t="str">
        <f t="shared" si="0"/>
        <v/>
      </c>
      <c r="C48" s="35"/>
      <c r="D48" s="35"/>
      <c r="E48" s="35"/>
      <c r="F48" s="35"/>
      <c r="G48" s="82"/>
      <c r="H48" s="97">
        <v>43</v>
      </c>
      <c r="I48" s="98" t="str">
        <f t="shared" si="1"/>
        <v/>
      </c>
      <c r="J48" s="97" t="e">
        <f t="shared" si="5"/>
        <v>#NUM!</v>
      </c>
      <c r="K48" s="97" t="e">
        <f t="shared" si="2"/>
        <v>#NUM!</v>
      </c>
      <c r="L48" s="97"/>
      <c r="M48" s="99">
        <f t="shared" si="3"/>
        <v>0</v>
      </c>
    </row>
    <row r="49" spans="1:13" x14ac:dyDescent="0.25">
      <c r="A49" s="100"/>
      <c r="B49" s="40" t="str">
        <f t="shared" si="0"/>
        <v/>
      </c>
      <c r="C49" s="41"/>
      <c r="D49" s="41"/>
      <c r="E49" s="41"/>
      <c r="F49" s="41"/>
      <c r="G49" s="82"/>
      <c r="H49" s="101">
        <v>44</v>
      </c>
      <c r="I49" s="102" t="str">
        <f t="shared" si="1"/>
        <v/>
      </c>
      <c r="J49" s="101" t="e">
        <f t="shared" si="5"/>
        <v>#NUM!</v>
      </c>
      <c r="K49" s="101" t="e">
        <f t="shared" si="2"/>
        <v>#NUM!</v>
      </c>
      <c r="L49" s="101"/>
      <c r="M49" s="103">
        <f t="shared" si="3"/>
        <v>0</v>
      </c>
    </row>
    <row r="50" spans="1:13" x14ac:dyDescent="0.25">
      <c r="A50" s="96"/>
      <c r="B50" s="34" t="str">
        <f t="shared" si="0"/>
        <v/>
      </c>
      <c r="C50" s="35"/>
      <c r="D50" s="35"/>
      <c r="E50" s="35"/>
      <c r="F50" s="35"/>
      <c r="G50" s="82"/>
      <c r="H50" s="97">
        <v>45</v>
      </c>
      <c r="I50" s="98" t="str">
        <f t="shared" si="1"/>
        <v/>
      </c>
      <c r="J50" s="97" t="e">
        <f t="shared" si="5"/>
        <v>#NUM!</v>
      </c>
      <c r="K50" s="97" t="e">
        <f t="shared" si="2"/>
        <v>#NUM!</v>
      </c>
      <c r="L50" s="97"/>
      <c r="M50" s="99">
        <f t="shared" si="3"/>
        <v>0</v>
      </c>
    </row>
    <row r="51" spans="1:13" x14ac:dyDescent="0.25">
      <c r="A51" s="100"/>
      <c r="B51" s="40" t="str">
        <f t="shared" si="0"/>
        <v/>
      </c>
      <c r="C51" s="41"/>
      <c r="D51" s="41"/>
      <c r="E51" s="41"/>
      <c r="F51" s="41"/>
      <c r="G51" s="82"/>
      <c r="H51" s="101">
        <v>46</v>
      </c>
      <c r="I51" s="102" t="str">
        <f t="shared" si="1"/>
        <v/>
      </c>
      <c r="J51" s="101" t="e">
        <f t="shared" si="5"/>
        <v>#NUM!</v>
      </c>
      <c r="K51" s="101" t="e">
        <f t="shared" si="2"/>
        <v>#NUM!</v>
      </c>
      <c r="L51" s="101"/>
      <c r="M51" s="103">
        <f t="shared" si="3"/>
        <v>0</v>
      </c>
    </row>
    <row r="52" spans="1:13" x14ac:dyDescent="0.25">
      <c r="A52" s="96"/>
      <c r="B52" s="34" t="str">
        <f t="shared" si="0"/>
        <v/>
      </c>
      <c r="C52" s="35"/>
      <c r="D52" s="35"/>
      <c r="E52" s="35"/>
      <c r="F52" s="35"/>
      <c r="G52" s="82"/>
      <c r="H52" s="97">
        <v>47</v>
      </c>
      <c r="I52" s="98" t="str">
        <f t="shared" si="1"/>
        <v/>
      </c>
      <c r="J52" s="97" t="e">
        <f t="shared" si="5"/>
        <v>#NUM!</v>
      </c>
      <c r="K52" s="97" t="e">
        <f t="shared" si="2"/>
        <v>#NUM!</v>
      </c>
      <c r="L52" s="97"/>
      <c r="M52" s="99">
        <f t="shared" si="3"/>
        <v>0</v>
      </c>
    </row>
    <row r="53" spans="1:13" x14ac:dyDescent="0.25">
      <c r="A53" s="100"/>
      <c r="B53" s="40" t="str">
        <f t="shared" si="0"/>
        <v/>
      </c>
      <c r="C53" s="41"/>
      <c r="D53" s="41"/>
      <c r="E53" s="41"/>
      <c r="F53" s="41"/>
      <c r="G53" s="82"/>
      <c r="H53" s="101">
        <v>48</v>
      </c>
      <c r="I53" s="102" t="str">
        <f t="shared" si="1"/>
        <v/>
      </c>
      <c r="J53" s="101" t="e">
        <f t="shared" si="5"/>
        <v>#NUM!</v>
      </c>
      <c r="K53" s="101" t="e">
        <f t="shared" si="2"/>
        <v>#NUM!</v>
      </c>
      <c r="L53" s="101"/>
      <c r="M53" s="103">
        <f t="shared" si="3"/>
        <v>0</v>
      </c>
    </row>
    <row r="54" spans="1:13" x14ac:dyDescent="0.25">
      <c r="A54" s="96"/>
      <c r="B54" s="34" t="str">
        <f t="shared" si="0"/>
        <v/>
      </c>
      <c r="C54" s="35"/>
      <c r="D54" s="35"/>
      <c r="E54" s="35"/>
      <c r="F54" s="35"/>
      <c r="G54" s="82"/>
      <c r="H54" s="97">
        <v>49</v>
      </c>
      <c r="I54" s="98" t="str">
        <f t="shared" si="1"/>
        <v/>
      </c>
      <c r="J54" s="97" t="e">
        <f t="shared" si="5"/>
        <v>#NUM!</v>
      </c>
      <c r="K54" s="97" t="e">
        <f t="shared" si="2"/>
        <v>#NUM!</v>
      </c>
      <c r="L54" s="97"/>
      <c r="M54" s="99">
        <f t="shared" si="3"/>
        <v>0</v>
      </c>
    </row>
    <row r="55" spans="1:13" x14ac:dyDescent="0.25">
      <c r="A55" s="100"/>
      <c r="B55" s="40" t="str">
        <f t="shared" si="0"/>
        <v/>
      </c>
      <c r="C55" s="41"/>
      <c r="D55" s="41"/>
      <c r="E55" s="41"/>
      <c r="F55" s="41"/>
      <c r="G55" s="82"/>
      <c r="H55" s="101">
        <v>50</v>
      </c>
      <c r="I55" s="102" t="str">
        <f t="shared" si="1"/>
        <v/>
      </c>
      <c r="J55" s="101" t="e">
        <f t="shared" si="5"/>
        <v>#NUM!</v>
      </c>
      <c r="K55" s="101" t="e">
        <f t="shared" si="2"/>
        <v>#NUM!</v>
      </c>
      <c r="L55" s="101"/>
      <c r="M55" s="103">
        <f t="shared" si="3"/>
        <v>0</v>
      </c>
    </row>
    <row r="56" spans="1:13" x14ac:dyDescent="0.25">
      <c r="A56" s="96"/>
      <c r="B56" s="34" t="str">
        <f t="shared" si="0"/>
        <v/>
      </c>
      <c r="C56" s="35"/>
      <c r="D56" s="35"/>
      <c r="E56" s="35"/>
      <c r="F56" s="35"/>
      <c r="G56" s="82"/>
      <c r="H56" s="97">
        <v>51</v>
      </c>
      <c r="I56" s="98" t="str">
        <f t="shared" si="1"/>
        <v/>
      </c>
      <c r="J56" s="97" t="e">
        <f t="shared" si="5"/>
        <v>#NUM!</v>
      </c>
      <c r="K56" s="97" t="e">
        <f t="shared" si="2"/>
        <v>#NUM!</v>
      </c>
      <c r="L56" s="97"/>
      <c r="M56" s="99">
        <f t="shared" si="3"/>
        <v>0</v>
      </c>
    </row>
    <row r="57" spans="1:13" x14ac:dyDescent="0.25">
      <c r="A57" s="100"/>
      <c r="B57" s="40" t="str">
        <f t="shared" si="0"/>
        <v/>
      </c>
      <c r="C57" s="41"/>
      <c r="D57" s="41"/>
      <c r="E57" s="41"/>
      <c r="F57" s="41"/>
      <c r="G57" s="82"/>
      <c r="H57" s="101">
        <v>52</v>
      </c>
      <c r="I57" s="102" t="str">
        <f t="shared" si="1"/>
        <v/>
      </c>
      <c r="J57" s="101" t="e">
        <f t="shared" si="5"/>
        <v>#NUM!</v>
      </c>
      <c r="K57" s="101" t="e">
        <f t="shared" si="2"/>
        <v>#NUM!</v>
      </c>
      <c r="L57" s="101"/>
      <c r="M57" s="103">
        <f t="shared" si="3"/>
        <v>0</v>
      </c>
    </row>
    <row r="58" spans="1:13" x14ac:dyDescent="0.25">
      <c r="A58" s="96"/>
      <c r="B58" s="34" t="str">
        <f t="shared" si="0"/>
        <v/>
      </c>
      <c r="C58" s="35"/>
      <c r="D58" s="35"/>
      <c r="E58" s="35"/>
      <c r="F58" s="35"/>
      <c r="G58" s="82"/>
      <c r="H58" s="97">
        <v>53</v>
      </c>
      <c r="I58" s="98" t="str">
        <f t="shared" si="1"/>
        <v/>
      </c>
      <c r="J58" s="97" t="e">
        <f t="shared" si="5"/>
        <v>#NUM!</v>
      </c>
      <c r="K58" s="97" t="e">
        <f t="shared" si="2"/>
        <v>#NUM!</v>
      </c>
      <c r="L58" s="97"/>
      <c r="M58" s="99">
        <f t="shared" si="3"/>
        <v>0</v>
      </c>
    </row>
    <row r="59" spans="1:13" x14ac:dyDescent="0.25">
      <c r="A59" s="100"/>
      <c r="B59" s="40" t="str">
        <f t="shared" si="0"/>
        <v/>
      </c>
      <c r="C59" s="41"/>
      <c r="D59" s="41"/>
      <c r="E59" s="41"/>
      <c r="F59" s="41"/>
      <c r="G59" s="82"/>
      <c r="H59" s="101">
        <v>54</v>
      </c>
      <c r="I59" s="102" t="str">
        <f t="shared" si="1"/>
        <v/>
      </c>
      <c r="J59" s="101" t="e">
        <f t="shared" si="5"/>
        <v>#NUM!</v>
      </c>
      <c r="K59" s="101" t="e">
        <f t="shared" si="2"/>
        <v>#NUM!</v>
      </c>
      <c r="L59" s="101"/>
      <c r="M59" s="103">
        <f t="shared" si="3"/>
        <v>0</v>
      </c>
    </row>
    <row r="60" spans="1:13" x14ac:dyDescent="0.25">
      <c r="A60" s="96"/>
      <c r="B60" s="34" t="str">
        <f t="shared" si="0"/>
        <v/>
      </c>
      <c r="C60" s="35"/>
      <c r="D60" s="35"/>
      <c r="E60" s="35"/>
      <c r="F60" s="35"/>
      <c r="G60" s="82"/>
      <c r="H60" s="97">
        <v>55</v>
      </c>
      <c r="I60" s="98" t="str">
        <f t="shared" si="1"/>
        <v/>
      </c>
      <c r="J60" s="97" t="e">
        <f t="shared" si="5"/>
        <v>#NUM!</v>
      </c>
      <c r="K60" s="97" t="e">
        <f t="shared" si="2"/>
        <v>#NUM!</v>
      </c>
      <c r="L60" s="97"/>
      <c r="M60" s="99">
        <f t="shared" si="3"/>
        <v>0</v>
      </c>
    </row>
    <row r="61" spans="1:13" x14ac:dyDescent="0.25">
      <c r="A61" s="100"/>
      <c r="B61" s="40" t="str">
        <f t="shared" si="0"/>
        <v/>
      </c>
      <c r="C61" s="41"/>
      <c r="D61" s="41"/>
      <c r="E61" s="41"/>
      <c r="F61" s="41"/>
      <c r="G61" s="82"/>
      <c r="H61" s="101">
        <v>56</v>
      </c>
      <c r="I61" s="102" t="str">
        <f t="shared" si="1"/>
        <v/>
      </c>
      <c r="J61" s="101" t="e">
        <f t="shared" si="5"/>
        <v>#NUM!</v>
      </c>
      <c r="K61" s="101" t="e">
        <f t="shared" si="2"/>
        <v>#NUM!</v>
      </c>
      <c r="L61" s="101"/>
      <c r="M61" s="103">
        <f t="shared" si="3"/>
        <v>0</v>
      </c>
    </row>
    <row r="62" spans="1:13" x14ac:dyDescent="0.25">
      <c r="A62" s="96"/>
      <c r="B62" s="34" t="str">
        <f t="shared" si="0"/>
        <v/>
      </c>
      <c r="C62" s="35"/>
      <c r="D62" s="35"/>
      <c r="E62" s="35"/>
      <c r="F62" s="35"/>
      <c r="G62" s="82"/>
      <c r="H62" s="97">
        <v>57</v>
      </c>
      <c r="I62" s="98" t="str">
        <f t="shared" si="1"/>
        <v/>
      </c>
      <c r="J62" s="97" t="e">
        <f t="shared" si="5"/>
        <v>#NUM!</v>
      </c>
      <c r="K62" s="97" t="e">
        <f t="shared" si="2"/>
        <v>#NUM!</v>
      </c>
      <c r="L62" s="97"/>
      <c r="M62" s="99">
        <f t="shared" si="3"/>
        <v>0</v>
      </c>
    </row>
    <row r="63" spans="1:13" x14ac:dyDescent="0.25">
      <c r="A63" s="100"/>
      <c r="B63" s="40" t="str">
        <f t="shared" si="0"/>
        <v/>
      </c>
      <c r="C63" s="41"/>
      <c r="D63" s="41"/>
      <c r="E63" s="41"/>
      <c r="F63" s="41"/>
      <c r="G63" s="82"/>
      <c r="H63" s="101">
        <v>58</v>
      </c>
      <c r="I63" s="102" t="str">
        <f t="shared" si="1"/>
        <v/>
      </c>
      <c r="J63" s="101" t="e">
        <f t="shared" si="5"/>
        <v>#NUM!</v>
      </c>
      <c r="K63" s="101" t="e">
        <f t="shared" si="2"/>
        <v>#NUM!</v>
      </c>
      <c r="L63" s="101"/>
      <c r="M63" s="103">
        <f t="shared" si="3"/>
        <v>0</v>
      </c>
    </row>
    <row r="64" spans="1:13" x14ac:dyDescent="0.25">
      <c r="A64" s="96"/>
      <c r="B64" s="34" t="str">
        <f t="shared" si="0"/>
        <v/>
      </c>
      <c r="C64" s="35"/>
      <c r="D64" s="35"/>
      <c r="E64" s="35"/>
      <c r="F64" s="35"/>
      <c r="G64" s="82"/>
      <c r="H64" s="97">
        <v>59</v>
      </c>
      <c r="I64" s="98" t="str">
        <f t="shared" si="1"/>
        <v/>
      </c>
      <c r="J64" s="97" t="e">
        <f t="shared" si="5"/>
        <v>#NUM!</v>
      </c>
      <c r="K64" s="97" t="e">
        <f t="shared" si="2"/>
        <v>#NUM!</v>
      </c>
      <c r="L64" s="97"/>
      <c r="M64" s="99">
        <f t="shared" si="3"/>
        <v>0</v>
      </c>
    </row>
    <row r="65" spans="1:13" x14ac:dyDescent="0.25">
      <c r="A65" s="100"/>
      <c r="B65" s="40" t="str">
        <f t="shared" si="0"/>
        <v/>
      </c>
      <c r="C65" s="41"/>
      <c r="D65" s="41"/>
      <c r="E65" s="41"/>
      <c r="F65" s="41"/>
      <c r="G65" s="82"/>
      <c r="H65" s="101">
        <v>60</v>
      </c>
      <c r="I65" s="102" t="str">
        <f t="shared" si="1"/>
        <v/>
      </c>
      <c r="J65" s="101" t="e">
        <f t="shared" si="5"/>
        <v>#NUM!</v>
      </c>
      <c r="K65" s="101" t="e">
        <f t="shared" si="2"/>
        <v>#NUM!</v>
      </c>
      <c r="L65" s="101"/>
      <c r="M65" s="103">
        <f t="shared" si="3"/>
        <v>0</v>
      </c>
    </row>
    <row r="66" spans="1:13" x14ac:dyDescent="0.25">
      <c r="A66" s="96"/>
      <c r="B66" s="34"/>
      <c r="G66" s="82"/>
      <c r="H66" s="97">
        <v>61</v>
      </c>
      <c r="I66" s="98" t="str">
        <f t="shared" si="1"/>
        <v/>
      </c>
      <c r="J66" s="97" t="e">
        <f t="shared" si="5"/>
        <v>#NUM!</v>
      </c>
      <c r="K66" s="97" t="e">
        <f t="shared" si="2"/>
        <v>#NUM!</v>
      </c>
      <c r="L66" s="97"/>
      <c r="M66" s="99">
        <f t="shared" si="3"/>
        <v>0</v>
      </c>
    </row>
    <row r="67" spans="1:13" x14ac:dyDescent="0.25">
      <c r="A67" s="100"/>
      <c r="B67" s="40"/>
      <c r="G67" s="82"/>
      <c r="H67" s="97">
        <v>62</v>
      </c>
      <c r="I67" s="98" t="str">
        <f t="shared" si="1"/>
        <v/>
      </c>
      <c r="J67" s="97" t="e">
        <f t="shared" si="5"/>
        <v>#NUM!</v>
      </c>
      <c r="K67" s="97" t="e">
        <f t="shared" si="2"/>
        <v>#NUM!</v>
      </c>
      <c r="L67" s="97"/>
      <c r="M67" s="99">
        <f t="shared" si="3"/>
        <v>0</v>
      </c>
    </row>
    <row r="68" spans="1:13" x14ac:dyDescent="0.25">
      <c r="A68" s="118"/>
      <c r="B68" s="34"/>
      <c r="G68" s="82"/>
      <c r="H68" s="97">
        <v>63</v>
      </c>
      <c r="I68" s="98" t="str">
        <f t="shared" si="1"/>
        <v/>
      </c>
      <c r="J68" s="97" t="e">
        <f t="shared" si="5"/>
        <v>#NUM!</v>
      </c>
      <c r="K68" s="97" t="e">
        <f t="shared" si="2"/>
        <v>#NUM!</v>
      </c>
      <c r="L68" s="97"/>
      <c r="M68" s="99">
        <f t="shared" si="3"/>
        <v>0</v>
      </c>
    </row>
    <row r="69" spans="1:13" x14ac:dyDescent="0.25">
      <c r="A69" s="118"/>
      <c r="B69" s="40"/>
      <c r="G69" s="82"/>
      <c r="H69" s="97">
        <v>64</v>
      </c>
      <c r="I69" s="98" t="str">
        <f t="shared" si="1"/>
        <v/>
      </c>
      <c r="J69" s="97" t="e">
        <f t="shared" si="5"/>
        <v>#NUM!</v>
      </c>
      <c r="K69" s="97" t="e">
        <f t="shared" si="2"/>
        <v>#NUM!</v>
      </c>
      <c r="L69" s="97"/>
      <c r="M69" s="99">
        <f t="shared" si="3"/>
        <v>0</v>
      </c>
    </row>
    <row r="70" spans="1:13" x14ac:dyDescent="0.25">
      <c r="A70" s="118"/>
      <c r="G70" s="82"/>
      <c r="H70" s="97">
        <v>65</v>
      </c>
      <c r="I70" s="98" t="str">
        <f t="shared" ref="I70:I133" si="6">IF(H70&lt;$H$2+1,($I$2-($I$2-1)*(LOG(H70)/LOG($H$2))),"")</f>
        <v/>
      </c>
      <c r="J70" s="97" t="e">
        <f t="shared" si="5"/>
        <v>#NUM!</v>
      </c>
      <c r="K70" s="97" t="e">
        <f t="shared" ref="K70:K133" si="7">J70*$J$2</f>
        <v>#NUM!</v>
      </c>
      <c r="L70" s="97"/>
      <c r="M70" s="99">
        <f t="shared" ref="M70:M133" si="8">IF(I70&lt;&gt;"",K70+I70+L70,0)</f>
        <v>0</v>
      </c>
    </row>
    <row r="71" spans="1:13" x14ac:dyDescent="0.25">
      <c r="A71" s="118"/>
      <c r="G71" s="82"/>
      <c r="H71" s="97">
        <v>66</v>
      </c>
      <c r="I71" s="98" t="str">
        <f t="shared" si="6"/>
        <v/>
      </c>
      <c r="J71" s="97" t="e">
        <f t="shared" si="5"/>
        <v>#NUM!</v>
      </c>
      <c r="K71" s="97" t="e">
        <f t="shared" si="7"/>
        <v>#NUM!</v>
      </c>
      <c r="L71" s="97"/>
      <c r="M71" s="99">
        <f t="shared" si="8"/>
        <v>0</v>
      </c>
    </row>
    <row r="72" spans="1:13" x14ac:dyDescent="0.25">
      <c r="A72" s="118"/>
      <c r="G72" s="82"/>
      <c r="H72" s="97">
        <v>67</v>
      </c>
      <c r="I72" s="98" t="str">
        <f t="shared" si="6"/>
        <v/>
      </c>
      <c r="J72" s="97" t="e">
        <f t="shared" si="5"/>
        <v>#NUM!</v>
      </c>
      <c r="K72" s="97" t="e">
        <f t="shared" si="7"/>
        <v>#NUM!</v>
      </c>
      <c r="L72" s="97"/>
      <c r="M72" s="99">
        <f t="shared" si="8"/>
        <v>0</v>
      </c>
    </row>
    <row r="73" spans="1:13" x14ac:dyDescent="0.25">
      <c r="A73" s="118"/>
      <c r="G73" s="82"/>
      <c r="H73" s="97">
        <v>68</v>
      </c>
      <c r="I73" s="98" t="str">
        <f t="shared" si="6"/>
        <v/>
      </c>
      <c r="J73" s="97" t="e">
        <f t="shared" si="5"/>
        <v>#NUM!</v>
      </c>
      <c r="K73" s="97" t="e">
        <f t="shared" si="7"/>
        <v>#NUM!</v>
      </c>
      <c r="L73" s="97"/>
      <c r="M73" s="99">
        <f t="shared" si="8"/>
        <v>0</v>
      </c>
    </row>
    <row r="74" spans="1:13" x14ac:dyDescent="0.25">
      <c r="A74" s="118"/>
      <c r="G74" s="82"/>
      <c r="H74" s="97">
        <v>69</v>
      </c>
      <c r="I74" s="98" t="str">
        <f t="shared" si="6"/>
        <v/>
      </c>
      <c r="J74" s="97" t="e">
        <f t="shared" ref="J74:J137" si="9">INT(LOG($H$2,2))-ROUNDUP(LOG(H74,2),0)+IF(OR($H$2=1,$H$2=2,$H$2=4,$H$2=8,$H$2=16,$H$2=32,$H$2=64,$H$2=128,$H$2=256),0,1)</f>
        <v>#NUM!</v>
      </c>
      <c r="K74" s="97" t="e">
        <f t="shared" si="7"/>
        <v>#NUM!</v>
      </c>
      <c r="L74" s="97"/>
      <c r="M74" s="99">
        <f t="shared" si="8"/>
        <v>0</v>
      </c>
    </row>
    <row r="75" spans="1:13" x14ac:dyDescent="0.25">
      <c r="A75" s="118"/>
      <c r="G75" s="82"/>
      <c r="H75" s="97">
        <v>70</v>
      </c>
      <c r="I75" s="98" t="str">
        <f t="shared" si="6"/>
        <v/>
      </c>
      <c r="J75" s="97" t="e">
        <f t="shared" si="9"/>
        <v>#NUM!</v>
      </c>
      <c r="K75" s="97" t="e">
        <f t="shared" si="7"/>
        <v>#NUM!</v>
      </c>
      <c r="L75" s="97"/>
      <c r="M75" s="99">
        <f t="shared" si="8"/>
        <v>0</v>
      </c>
    </row>
    <row r="76" spans="1:13" x14ac:dyDescent="0.25">
      <c r="A76" s="118"/>
      <c r="G76" s="82"/>
      <c r="H76" s="97">
        <v>71</v>
      </c>
      <c r="I76" s="98" t="str">
        <f t="shared" si="6"/>
        <v/>
      </c>
      <c r="J76" s="97" t="e">
        <f t="shared" si="9"/>
        <v>#NUM!</v>
      </c>
      <c r="K76" s="97" t="e">
        <f t="shared" si="7"/>
        <v>#NUM!</v>
      </c>
      <c r="L76" s="97"/>
      <c r="M76" s="99">
        <f t="shared" si="8"/>
        <v>0</v>
      </c>
    </row>
    <row r="77" spans="1:13" x14ac:dyDescent="0.25">
      <c r="A77" s="118"/>
      <c r="G77" s="82"/>
      <c r="H77" s="97">
        <v>72</v>
      </c>
      <c r="I77" s="98" t="str">
        <f t="shared" si="6"/>
        <v/>
      </c>
      <c r="J77" s="97" t="e">
        <f t="shared" si="9"/>
        <v>#NUM!</v>
      </c>
      <c r="K77" s="97" t="e">
        <f t="shared" si="7"/>
        <v>#NUM!</v>
      </c>
      <c r="L77" s="97"/>
      <c r="M77" s="99">
        <f t="shared" si="8"/>
        <v>0</v>
      </c>
    </row>
    <row r="78" spans="1:13" x14ac:dyDescent="0.25">
      <c r="A78" s="118"/>
      <c r="G78" s="82"/>
      <c r="H78" s="97">
        <v>73</v>
      </c>
      <c r="I78" s="98" t="str">
        <f t="shared" si="6"/>
        <v/>
      </c>
      <c r="J78" s="97" t="e">
        <f t="shared" si="9"/>
        <v>#NUM!</v>
      </c>
      <c r="K78" s="97" t="e">
        <f t="shared" si="7"/>
        <v>#NUM!</v>
      </c>
      <c r="L78" s="97"/>
      <c r="M78" s="99">
        <f t="shared" si="8"/>
        <v>0</v>
      </c>
    </row>
    <row r="79" spans="1:13" x14ac:dyDescent="0.25">
      <c r="A79" s="118"/>
      <c r="G79" s="82"/>
      <c r="H79" s="97">
        <v>74</v>
      </c>
      <c r="I79" s="98" t="str">
        <f t="shared" si="6"/>
        <v/>
      </c>
      <c r="J79" s="97" t="e">
        <f t="shared" si="9"/>
        <v>#NUM!</v>
      </c>
      <c r="K79" s="97" t="e">
        <f t="shared" si="7"/>
        <v>#NUM!</v>
      </c>
      <c r="L79" s="97"/>
      <c r="M79" s="99">
        <f t="shared" si="8"/>
        <v>0</v>
      </c>
    </row>
    <row r="80" spans="1:13" x14ac:dyDescent="0.25">
      <c r="A80" s="118"/>
      <c r="G80" s="82"/>
      <c r="H80" s="97">
        <v>75</v>
      </c>
      <c r="I80" s="98" t="str">
        <f t="shared" si="6"/>
        <v/>
      </c>
      <c r="J80" s="97" t="e">
        <f t="shared" si="9"/>
        <v>#NUM!</v>
      </c>
      <c r="K80" s="97" t="e">
        <f t="shared" si="7"/>
        <v>#NUM!</v>
      </c>
      <c r="L80" s="97"/>
      <c r="M80" s="99">
        <f t="shared" si="8"/>
        <v>0</v>
      </c>
    </row>
    <row r="81" spans="1:13" x14ac:dyDescent="0.25">
      <c r="A81" s="118"/>
      <c r="G81" s="82"/>
      <c r="H81" s="97">
        <v>76</v>
      </c>
      <c r="I81" s="98" t="str">
        <f t="shared" si="6"/>
        <v/>
      </c>
      <c r="J81" s="97" t="e">
        <f t="shared" si="9"/>
        <v>#NUM!</v>
      </c>
      <c r="K81" s="97" t="e">
        <f t="shared" si="7"/>
        <v>#NUM!</v>
      </c>
      <c r="L81" s="97"/>
      <c r="M81" s="99">
        <f t="shared" si="8"/>
        <v>0</v>
      </c>
    </row>
    <row r="82" spans="1:13" x14ac:dyDescent="0.25">
      <c r="A82" s="118"/>
      <c r="G82" s="82"/>
      <c r="H82" s="97">
        <v>77</v>
      </c>
      <c r="I82" s="98" t="str">
        <f t="shared" si="6"/>
        <v/>
      </c>
      <c r="J82" s="97" t="e">
        <f t="shared" si="9"/>
        <v>#NUM!</v>
      </c>
      <c r="K82" s="97" t="e">
        <f t="shared" si="7"/>
        <v>#NUM!</v>
      </c>
      <c r="L82" s="97"/>
      <c r="M82" s="99">
        <f t="shared" si="8"/>
        <v>0</v>
      </c>
    </row>
    <row r="83" spans="1:13" x14ac:dyDescent="0.25">
      <c r="A83" s="118"/>
      <c r="G83" s="82"/>
      <c r="H83" s="97">
        <v>78</v>
      </c>
      <c r="I83" s="98" t="str">
        <f t="shared" si="6"/>
        <v/>
      </c>
      <c r="J83" s="97" t="e">
        <f t="shared" si="9"/>
        <v>#NUM!</v>
      </c>
      <c r="K83" s="97" t="e">
        <f t="shared" si="7"/>
        <v>#NUM!</v>
      </c>
      <c r="L83" s="97"/>
      <c r="M83" s="99">
        <f t="shared" si="8"/>
        <v>0</v>
      </c>
    </row>
    <row r="84" spans="1:13" x14ac:dyDescent="0.25">
      <c r="A84" s="118"/>
      <c r="G84" s="82"/>
      <c r="H84" s="97">
        <v>79</v>
      </c>
      <c r="I84" s="98" t="str">
        <f t="shared" si="6"/>
        <v/>
      </c>
      <c r="J84" s="97" t="e">
        <f t="shared" si="9"/>
        <v>#NUM!</v>
      </c>
      <c r="K84" s="97" t="e">
        <f t="shared" si="7"/>
        <v>#NUM!</v>
      </c>
      <c r="L84" s="97"/>
      <c r="M84" s="99">
        <f t="shared" si="8"/>
        <v>0</v>
      </c>
    </row>
    <row r="85" spans="1:13" x14ac:dyDescent="0.25">
      <c r="A85" s="118"/>
      <c r="G85" s="82"/>
      <c r="H85" s="97">
        <v>80</v>
      </c>
      <c r="I85" s="98" t="str">
        <f t="shared" si="6"/>
        <v/>
      </c>
      <c r="J85" s="97" t="e">
        <f t="shared" si="9"/>
        <v>#NUM!</v>
      </c>
      <c r="K85" s="97" t="e">
        <f t="shared" si="7"/>
        <v>#NUM!</v>
      </c>
      <c r="L85" s="97"/>
      <c r="M85" s="99">
        <f t="shared" si="8"/>
        <v>0</v>
      </c>
    </row>
    <row r="86" spans="1:13" x14ac:dyDescent="0.25">
      <c r="A86" s="118"/>
      <c r="G86" s="82"/>
      <c r="H86" s="97">
        <v>81</v>
      </c>
      <c r="I86" s="98" t="str">
        <f t="shared" si="6"/>
        <v/>
      </c>
      <c r="J86" s="97" t="e">
        <f t="shared" si="9"/>
        <v>#NUM!</v>
      </c>
      <c r="K86" s="97" t="e">
        <f t="shared" si="7"/>
        <v>#NUM!</v>
      </c>
      <c r="L86" s="97"/>
      <c r="M86" s="99">
        <f t="shared" si="8"/>
        <v>0</v>
      </c>
    </row>
    <row r="87" spans="1:13" x14ac:dyDescent="0.25">
      <c r="A87" s="118"/>
      <c r="G87" s="82"/>
      <c r="H87" s="97">
        <v>82</v>
      </c>
      <c r="I87" s="98" t="str">
        <f t="shared" si="6"/>
        <v/>
      </c>
      <c r="J87" s="97" t="e">
        <f t="shared" si="9"/>
        <v>#NUM!</v>
      </c>
      <c r="K87" s="97" t="e">
        <f t="shared" si="7"/>
        <v>#NUM!</v>
      </c>
      <c r="L87" s="97"/>
      <c r="M87" s="99">
        <f t="shared" si="8"/>
        <v>0</v>
      </c>
    </row>
    <row r="88" spans="1:13" x14ac:dyDescent="0.25">
      <c r="A88" s="118"/>
      <c r="G88" s="82"/>
      <c r="H88" s="97">
        <v>83</v>
      </c>
      <c r="I88" s="98" t="str">
        <f t="shared" si="6"/>
        <v/>
      </c>
      <c r="J88" s="97" t="e">
        <f t="shared" si="9"/>
        <v>#NUM!</v>
      </c>
      <c r="K88" s="97" t="e">
        <f t="shared" si="7"/>
        <v>#NUM!</v>
      </c>
      <c r="L88" s="97"/>
      <c r="M88" s="99">
        <f t="shared" si="8"/>
        <v>0</v>
      </c>
    </row>
    <row r="89" spans="1:13" x14ac:dyDescent="0.25">
      <c r="A89" s="118"/>
      <c r="G89" s="82"/>
      <c r="H89" s="97">
        <v>84</v>
      </c>
      <c r="I89" s="98" t="str">
        <f t="shared" si="6"/>
        <v/>
      </c>
      <c r="J89" s="97" t="e">
        <f t="shared" si="9"/>
        <v>#NUM!</v>
      </c>
      <c r="K89" s="97" t="e">
        <f t="shared" si="7"/>
        <v>#NUM!</v>
      </c>
      <c r="L89" s="97"/>
      <c r="M89" s="99">
        <f t="shared" si="8"/>
        <v>0</v>
      </c>
    </row>
    <row r="90" spans="1:13" x14ac:dyDescent="0.25">
      <c r="A90" s="118"/>
      <c r="G90" s="82"/>
      <c r="H90" s="97">
        <v>85</v>
      </c>
      <c r="I90" s="98" t="str">
        <f t="shared" si="6"/>
        <v/>
      </c>
      <c r="J90" s="97" t="e">
        <f t="shared" si="9"/>
        <v>#NUM!</v>
      </c>
      <c r="K90" s="97" t="e">
        <f t="shared" si="7"/>
        <v>#NUM!</v>
      </c>
      <c r="L90" s="97"/>
      <c r="M90" s="99">
        <f t="shared" si="8"/>
        <v>0</v>
      </c>
    </row>
    <row r="91" spans="1:13" x14ac:dyDescent="0.25">
      <c r="A91" s="118"/>
      <c r="G91" s="82"/>
      <c r="H91" s="97">
        <v>86</v>
      </c>
      <c r="I91" s="98" t="str">
        <f t="shared" si="6"/>
        <v/>
      </c>
      <c r="J91" s="97" t="e">
        <f t="shared" si="9"/>
        <v>#NUM!</v>
      </c>
      <c r="K91" s="97" t="e">
        <f t="shared" si="7"/>
        <v>#NUM!</v>
      </c>
      <c r="L91" s="97"/>
      <c r="M91" s="99">
        <f t="shared" si="8"/>
        <v>0</v>
      </c>
    </row>
    <row r="92" spans="1:13" x14ac:dyDescent="0.25">
      <c r="A92" s="118"/>
      <c r="G92" s="82"/>
      <c r="H92" s="97">
        <v>87</v>
      </c>
      <c r="I92" s="98" t="str">
        <f t="shared" si="6"/>
        <v/>
      </c>
      <c r="J92" s="97" t="e">
        <f t="shared" si="9"/>
        <v>#NUM!</v>
      </c>
      <c r="K92" s="97" t="e">
        <f t="shared" si="7"/>
        <v>#NUM!</v>
      </c>
      <c r="L92" s="97"/>
      <c r="M92" s="99">
        <f t="shared" si="8"/>
        <v>0</v>
      </c>
    </row>
    <row r="93" spans="1:13" x14ac:dyDescent="0.25">
      <c r="A93" s="118"/>
      <c r="G93" s="82"/>
      <c r="H93" s="97">
        <v>88</v>
      </c>
      <c r="I93" s="98" t="str">
        <f t="shared" si="6"/>
        <v/>
      </c>
      <c r="J93" s="97" t="e">
        <f t="shared" si="9"/>
        <v>#NUM!</v>
      </c>
      <c r="K93" s="97" t="e">
        <f t="shared" si="7"/>
        <v>#NUM!</v>
      </c>
      <c r="L93" s="97"/>
      <c r="M93" s="99">
        <f t="shared" si="8"/>
        <v>0</v>
      </c>
    </row>
    <row r="94" spans="1:13" x14ac:dyDescent="0.25">
      <c r="A94" s="118"/>
      <c r="G94" s="82"/>
      <c r="H94" s="97">
        <v>89</v>
      </c>
      <c r="I94" s="98" t="str">
        <f t="shared" si="6"/>
        <v/>
      </c>
      <c r="J94" s="97" t="e">
        <f t="shared" si="9"/>
        <v>#NUM!</v>
      </c>
      <c r="K94" s="97" t="e">
        <f t="shared" si="7"/>
        <v>#NUM!</v>
      </c>
      <c r="L94" s="97"/>
      <c r="M94" s="99">
        <f t="shared" si="8"/>
        <v>0</v>
      </c>
    </row>
    <row r="95" spans="1:13" x14ac:dyDescent="0.25">
      <c r="A95" s="118"/>
      <c r="G95" s="82"/>
      <c r="H95" s="97">
        <v>90</v>
      </c>
      <c r="I95" s="98" t="str">
        <f t="shared" si="6"/>
        <v/>
      </c>
      <c r="J95" s="97" t="e">
        <f t="shared" si="9"/>
        <v>#NUM!</v>
      </c>
      <c r="K95" s="97" t="e">
        <f t="shared" si="7"/>
        <v>#NUM!</v>
      </c>
      <c r="L95" s="97"/>
      <c r="M95" s="99">
        <f t="shared" si="8"/>
        <v>0</v>
      </c>
    </row>
    <row r="96" spans="1:13" x14ac:dyDescent="0.25">
      <c r="A96" s="118"/>
      <c r="G96" s="82"/>
      <c r="H96" s="97">
        <v>91</v>
      </c>
      <c r="I96" s="98" t="str">
        <f t="shared" si="6"/>
        <v/>
      </c>
      <c r="J96" s="97" t="e">
        <f t="shared" si="9"/>
        <v>#NUM!</v>
      </c>
      <c r="K96" s="97" t="e">
        <f t="shared" si="7"/>
        <v>#NUM!</v>
      </c>
      <c r="L96" s="97"/>
      <c r="M96" s="99">
        <f t="shared" si="8"/>
        <v>0</v>
      </c>
    </row>
    <row r="97" spans="1:13" x14ac:dyDescent="0.25">
      <c r="A97" s="118"/>
      <c r="G97" s="82"/>
      <c r="H97" s="97">
        <v>92</v>
      </c>
      <c r="I97" s="98" t="str">
        <f t="shared" si="6"/>
        <v/>
      </c>
      <c r="J97" s="97" t="e">
        <f t="shared" si="9"/>
        <v>#NUM!</v>
      </c>
      <c r="K97" s="97" t="e">
        <f t="shared" si="7"/>
        <v>#NUM!</v>
      </c>
      <c r="L97" s="97"/>
      <c r="M97" s="99">
        <f t="shared" si="8"/>
        <v>0</v>
      </c>
    </row>
    <row r="98" spans="1:13" x14ac:dyDescent="0.25">
      <c r="A98" s="118"/>
      <c r="G98" s="82"/>
      <c r="H98" s="97">
        <v>93</v>
      </c>
      <c r="I98" s="98" t="str">
        <f t="shared" si="6"/>
        <v/>
      </c>
      <c r="J98" s="97" t="e">
        <f t="shared" si="9"/>
        <v>#NUM!</v>
      </c>
      <c r="K98" s="97" t="e">
        <f t="shared" si="7"/>
        <v>#NUM!</v>
      </c>
      <c r="L98" s="97"/>
      <c r="M98" s="99">
        <f t="shared" si="8"/>
        <v>0</v>
      </c>
    </row>
    <row r="99" spans="1:13" x14ac:dyDescent="0.25">
      <c r="A99" s="118"/>
      <c r="G99" s="82"/>
      <c r="H99" s="97">
        <v>94</v>
      </c>
      <c r="I99" s="98" t="str">
        <f t="shared" si="6"/>
        <v/>
      </c>
      <c r="J99" s="97" t="e">
        <f t="shared" si="9"/>
        <v>#NUM!</v>
      </c>
      <c r="K99" s="97" t="e">
        <f t="shared" si="7"/>
        <v>#NUM!</v>
      </c>
      <c r="L99" s="97"/>
      <c r="M99" s="99">
        <f t="shared" si="8"/>
        <v>0</v>
      </c>
    </row>
    <row r="100" spans="1:13" x14ac:dyDescent="0.25">
      <c r="A100" s="118"/>
      <c r="G100" s="82"/>
      <c r="H100" s="97">
        <v>95</v>
      </c>
      <c r="I100" s="98" t="str">
        <f t="shared" si="6"/>
        <v/>
      </c>
      <c r="J100" s="97" t="e">
        <f t="shared" si="9"/>
        <v>#NUM!</v>
      </c>
      <c r="K100" s="97" t="e">
        <f t="shared" si="7"/>
        <v>#NUM!</v>
      </c>
      <c r="L100" s="97"/>
      <c r="M100" s="99">
        <f t="shared" si="8"/>
        <v>0</v>
      </c>
    </row>
    <row r="101" spans="1:13" x14ac:dyDescent="0.25">
      <c r="A101" s="118"/>
      <c r="G101" s="82"/>
      <c r="H101" s="97">
        <v>96</v>
      </c>
      <c r="I101" s="98" t="str">
        <f t="shared" si="6"/>
        <v/>
      </c>
      <c r="J101" s="97" t="e">
        <f t="shared" si="9"/>
        <v>#NUM!</v>
      </c>
      <c r="K101" s="97" t="e">
        <f t="shared" si="7"/>
        <v>#NUM!</v>
      </c>
      <c r="L101" s="97"/>
      <c r="M101" s="99">
        <f t="shared" si="8"/>
        <v>0</v>
      </c>
    </row>
    <row r="102" spans="1:13" x14ac:dyDescent="0.25">
      <c r="A102" s="118"/>
      <c r="G102" s="82"/>
      <c r="H102" s="97">
        <v>97</v>
      </c>
      <c r="I102" s="98" t="str">
        <f t="shared" si="6"/>
        <v/>
      </c>
      <c r="J102" s="97" t="e">
        <f t="shared" si="9"/>
        <v>#NUM!</v>
      </c>
      <c r="K102" s="97" t="e">
        <f t="shared" si="7"/>
        <v>#NUM!</v>
      </c>
      <c r="L102" s="97"/>
      <c r="M102" s="99">
        <f t="shared" si="8"/>
        <v>0</v>
      </c>
    </row>
    <row r="103" spans="1:13" x14ac:dyDescent="0.25">
      <c r="A103" s="118"/>
      <c r="G103" s="82"/>
      <c r="H103" s="97">
        <v>98</v>
      </c>
      <c r="I103" s="98" t="str">
        <f t="shared" si="6"/>
        <v/>
      </c>
      <c r="J103" s="97" t="e">
        <f t="shared" si="9"/>
        <v>#NUM!</v>
      </c>
      <c r="K103" s="97" t="e">
        <f t="shared" si="7"/>
        <v>#NUM!</v>
      </c>
      <c r="L103" s="97"/>
      <c r="M103" s="99">
        <f t="shared" si="8"/>
        <v>0</v>
      </c>
    </row>
    <row r="104" spans="1:13" x14ac:dyDescent="0.25">
      <c r="A104" s="118"/>
      <c r="G104" s="82"/>
      <c r="H104" s="97">
        <v>99</v>
      </c>
      <c r="I104" s="98" t="str">
        <f t="shared" si="6"/>
        <v/>
      </c>
      <c r="J104" s="97" t="e">
        <f t="shared" si="9"/>
        <v>#NUM!</v>
      </c>
      <c r="K104" s="97" t="e">
        <f t="shared" si="7"/>
        <v>#NUM!</v>
      </c>
      <c r="L104" s="97"/>
      <c r="M104" s="99">
        <f t="shared" si="8"/>
        <v>0</v>
      </c>
    </row>
    <row r="105" spans="1:13" x14ac:dyDescent="0.25">
      <c r="A105" s="118"/>
      <c r="G105" s="82"/>
      <c r="H105" s="97">
        <v>100</v>
      </c>
      <c r="I105" s="98" t="str">
        <f t="shared" si="6"/>
        <v/>
      </c>
      <c r="J105" s="97" t="e">
        <f t="shared" si="9"/>
        <v>#NUM!</v>
      </c>
      <c r="K105" s="97" t="e">
        <f t="shared" si="7"/>
        <v>#NUM!</v>
      </c>
      <c r="L105" s="97"/>
      <c r="M105" s="99">
        <f t="shared" si="8"/>
        <v>0</v>
      </c>
    </row>
    <row r="106" spans="1:13" x14ac:dyDescent="0.25">
      <c r="A106" s="118"/>
      <c r="G106" s="82"/>
      <c r="H106" s="97">
        <v>101</v>
      </c>
      <c r="I106" s="98" t="str">
        <f t="shared" si="6"/>
        <v/>
      </c>
      <c r="J106" s="97" t="e">
        <f t="shared" si="9"/>
        <v>#NUM!</v>
      </c>
      <c r="K106" s="97" t="e">
        <f t="shared" si="7"/>
        <v>#NUM!</v>
      </c>
      <c r="L106" s="97"/>
      <c r="M106" s="99">
        <f t="shared" si="8"/>
        <v>0</v>
      </c>
    </row>
    <row r="107" spans="1:13" x14ac:dyDescent="0.25">
      <c r="A107" s="118"/>
      <c r="G107" s="82"/>
      <c r="H107" s="97">
        <v>102</v>
      </c>
      <c r="I107" s="98" t="str">
        <f t="shared" si="6"/>
        <v/>
      </c>
      <c r="J107" s="97" t="e">
        <f t="shared" si="9"/>
        <v>#NUM!</v>
      </c>
      <c r="K107" s="97" t="e">
        <f t="shared" si="7"/>
        <v>#NUM!</v>
      </c>
      <c r="L107" s="97"/>
      <c r="M107" s="99">
        <f t="shared" si="8"/>
        <v>0</v>
      </c>
    </row>
    <row r="108" spans="1:13" x14ac:dyDescent="0.25">
      <c r="A108" s="118"/>
      <c r="G108" s="82"/>
      <c r="H108" s="97">
        <v>103</v>
      </c>
      <c r="I108" s="98" t="str">
        <f t="shared" si="6"/>
        <v/>
      </c>
      <c r="J108" s="97" t="e">
        <f t="shared" si="9"/>
        <v>#NUM!</v>
      </c>
      <c r="K108" s="97" t="e">
        <f t="shared" si="7"/>
        <v>#NUM!</v>
      </c>
      <c r="L108" s="97"/>
      <c r="M108" s="99">
        <f t="shared" si="8"/>
        <v>0</v>
      </c>
    </row>
    <row r="109" spans="1:13" x14ac:dyDescent="0.25">
      <c r="A109" s="118"/>
      <c r="G109" s="82"/>
      <c r="H109" s="97">
        <v>104</v>
      </c>
      <c r="I109" s="98" t="str">
        <f t="shared" si="6"/>
        <v/>
      </c>
      <c r="J109" s="97" t="e">
        <f t="shared" si="9"/>
        <v>#NUM!</v>
      </c>
      <c r="K109" s="97" t="e">
        <f t="shared" si="7"/>
        <v>#NUM!</v>
      </c>
      <c r="L109" s="97"/>
      <c r="M109" s="99">
        <f t="shared" si="8"/>
        <v>0</v>
      </c>
    </row>
    <row r="110" spans="1:13" x14ac:dyDescent="0.25">
      <c r="A110" s="118"/>
      <c r="G110" s="82"/>
      <c r="H110" s="97">
        <v>105</v>
      </c>
      <c r="I110" s="98" t="str">
        <f t="shared" si="6"/>
        <v/>
      </c>
      <c r="J110" s="97" t="e">
        <f t="shared" si="9"/>
        <v>#NUM!</v>
      </c>
      <c r="K110" s="97" t="e">
        <f t="shared" si="7"/>
        <v>#NUM!</v>
      </c>
      <c r="L110" s="97"/>
      <c r="M110" s="99">
        <f t="shared" si="8"/>
        <v>0</v>
      </c>
    </row>
    <row r="111" spans="1:13" x14ac:dyDescent="0.25">
      <c r="A111" s="118"/>
      <c r="G111" s="82"/>
      <c r="H111" s="97">
        <v>106</v>
      </c>
      <c r="I111" s="98" t="str">
        <f t="shared" si="6"/>
        <v/>
      </c>
      <c r="J111" s="97" t="e">
        <f t="shared" si="9"/>
        <v>#NUM!</v>
      </c>
      <c r="K111" s="97" t="e">
        <f t="shared" si="7"/>
        <v>#NUM!</v>
      </c>
      <c r="L111" s="97"/>
      <c r="M111" s="99">
        <f t="shared" si="8"/>
        <v>0</v>
      </c>
    </row>
    <row r="112" spans="1:13" x14ac:dyDescent="0.25">
      <c r="A112" s="118"/>
      <c r="G112" s="82"/>
      <c r="H112" s="97">
        <v>107</v>
      </c>
      <c r="I112" s="98" t="str">
        <f t="shared" si="6"/>
        <v/>
      </c>
      <c r="J112" s="97" t="e">
        <f t="shared" si="9"/>
        <v>#NUM!</v>
      </c>
      <c r="K112" s="97" t="e">
        <f t="shared" si="7"/>
        <v>#NUM!</v>
      </c>
      <c r="L112" s="97"/>
      <c r="M112" s="99">
        <f t="shared" si="8"/>
        <v>0</v>
      </c>
    </row>
    <row r="113" spans="1:13" x14ac:dyDescent="0.25">
      <c r="A113" s="118"/>
      <c r="G113" s="82"/>
      <c r="H113" s="97">
        <v>108</v>
      </c>
      <c r="I113" s="98" t="str">
        <f t="shared" si="6"/>
        <v/>
      </c>
      <c r="J113" s="97" t="e">
        <f t="shared" si="9"/>
        <v>#NUM!</v>
      </c>
      <c r="K113" s="97" t="e">
        <f t="shared" si="7"/>
        <v>#NUM!</v>
      </c>
      <c r="L113" s="97"/>
      <c r="M113" s="99">
        <f t="shared" si="8"/>
        <v>0</v>
      </c>
    </row>
    <row r="114" spans="1:13" x14ac:dyDescent="0.25">
      <c r="A114" s="118"/>
      <c r="G114" s="82"/>
      <c r="H114" s="97">
        <v>109</v>
      </c>
      <c r="I114" s="98" t="str">
        <f t="shared" si="6"/>
        <v/>
      </c>
      <c r="J114" s="97" t="e">
        <f t="shared" si="9"/>
        <v>#NUM!</v>
      </c>
      <c r="K114" s="97" t="e">
        <f t="shared" si="7"/>
        <v>#NUM!</v>
      </c>
      <c r="L114" s="97"/>
      <c r="M114" s="99">
        <f t="shared" si="8"/>
        <v>0</v>
      </c>
    </row>
    <row r="115" spans="1:13" x14ac:dyDescent="0.25">
      <c r="A115" s="118"/>
      <c r="G115" s="82"/>
      <c r="H115" s="97">
        <v>110</v>
      </c>
      <c r="I115" s="98" t="str">
        <f t="shared" si="6"/>
        <v/>
      </c>
      <c r="J115" s="97" t="e">
        <f t="shared" si="9"/>
        <v>#NUM!</v>
      </c>
      <c r="K115" s="97" t="e">
        <f t="shared" si="7"/>
        <v>#NUM!</v>
      </c>
      <c r="L115" s="97"/>
      <c r="M115" s="99">
        <f t="shared" si="8"/>
        <v>0</v>
      </c>
    </row>
    <row r="116" spans="1:13" x14ac:dyDescent="0.25">
      <c r="A116" s="118"/>
      <c r="G116" s="82"/>
      <c r="H116" s="97">
        <v>111</v>
      </c>
      <c r="I116" s="98" t="str">
        <f t="shared" si="6"/>
        <v/>
      </c>
      <c r="J116" s="97" t="e">
        <f t="shared" si="9"/>
        <v>#NUM!</v>
      </c>
      <c r="K116" s="97" t="e">
        <f t="shared" si="7"/>
        <v>#NUM!</v>
      </c>
      <c r="L116" s="97"/>
      <c r="M116" s="99">
        <f t="shared" si="8"/>
        <v>0</v>
      </c>
    </row>
    <row r="117" spans="1:13" x14ac:dyDescent="0.25">
      <c r="A117" s="118"/>
      <c r="G117" s="82"/>
      <c r="H117" s="97">
        <v>112</v>
      </c>
      <c r="I117" s="98" t="str">
        <f t="shared" si="6"/>
        <v/>
      </c>
      <c r="J117" s="97" t="e">
        <f t="shared" si="9"/>
        <v>#NUM!</v>
      </c>
      <c r="K117" s="97" t="e">
        <f t="shared" si="7"/>
        <v>#NUM!</v>
      </c>
      <c r="L117" s="97"/>
      <c r="M117" s="99">
        <f t="shared" si="8"/>
        <v>0</v>
      </c>
    </row>
    <row r="118" spans="1:13" x14ac:dyDescent="0.25">
      <c r="A118" s="118"/>
      <c r="G118" s="82"/>
      <c r="H118" s="97">
        <v>113</v>
      </c>
      <c r="I118" s="98" t="str">
        <f t="shared" si="6"/>
        <v/>
      </c>
      <c r="J118" s="97" t="e">
        <f t="shared" si="9"/>
        <v>#NUM!</v>
      </c>
      <c r="K118" s="97" t="e">
        <f t="shared" si="7"/>
        <v>#NUM!</v>
      </c>
      <c r="L118" s="97"/>
      <c r="M118" s="99">
        <f t="shared" si="8"/>
        <v>0</v>
      </c>
    </row>
    <row r="119" spans="1:13" x14ac:dyDescent="0.25">
      <c r="A119" s="118"/>
      <c r="G119" s="82"/>
      <c r="H119" s="97">
        <v>114</v>
      </c>
      <c r="I119" s="98" t="str">
        <f t="shared" si="6"/>
        <v/>
      </c>
      <c r="J119" s="97" t="e">
        <f t="shared" si="9"/>
        <v>#NUM!</v>
      </c>
      <c r="K119" s="97" t="e">
        <f t="shared" si="7"/>
        <v>#NUM!</v>
      </c>
      <c r="L119" s="97"/>
      <c r="M119" s="99">
        <f t="shared" si="8"/>
        <v>0</v>
      </c>
    </row>
    <row r="120" spans="1:13" x14ac:dyDescent="0.25">
      <c r="A120" s="118"/>
      <c r="G120" s="82"/>
      <c r="H120" s="97">
        <v>115</v>
      </c>
      <c r="I120" s="98" t="str">
        <f t="shared" si="6"/>
        <v/>
      </c>
      <c r="J120" s="97" t="e">
        <f t="shared" si="9"/>
        <v>#NUM!</v>
      </c>
      <c r="K120" s="97" t="e">
        <f t="shared" si="7"/>
        <v>#NUM!</v>
      </c>
      <c r="L120" s="97"/>
      <c r="M120" s="99">
        <f t="shared" si="8"/>
        <v>0</v>
      </c>
    </row>
    <row r="121" spans="1:13" x14ac:dyDescent="0.25">
      <c r="A121" s="118"/>
      <c r="G121" s="82"/>
      <c r="H121" s="97">
        <v>116</v>
      </c>
      <c r="I121" s="98" t="str">
        <f t="shared" si="6"/>
        <v/>
      </c>
      <c r="J121" s="97" t="e">
        <f t="shared" si="9"/>
        <v>#NUM!</v>
      </c>
      <c r="K121" s="97" t="e">
        <f t="shared" si="7"/>
        <v>#NUM!</v>
      </c>
      <c r="L121" s="97"/>
      <c r="M121" s="99">
        <f t="shared" si="8"/>
        <v>0</v>
      </c>
    </row>
    <row r="122" spans="1:13" x14ac:dyDescent="0.25">
      <c r="A122" s="118"/>
      <c r="G122" s="82"/>
      <c r="H122" s="97">
        <v>117</v>
      </c>
      <c r="I122" s="98" t="str">
        <f t="shared" si="6"/>
        <v/>
      </c>
      <c r="J122" s="97" t="e">
        <f t="shared" si="9"/>
        <v>#NUM!</v>
      </c>
      <c r="K122" s="97" t="e">
        <f t="shared" si="7"/>
        <v>#NUM!</v>
      </c>
      <c r="L122" s="97"/>
      <c r="M122" s="99">
        <f t="shared" si="8"/>
        <v>0</v>
      </c>
    </row>
    <row r="123" spans="1:13" x14ac:dyDescent="0.25">
      <c r="A123" s="118"/>
      <c r="G123" s="82"/>
      <c r="H123" s="97">
        <v>118</v>
      </c>
      <c r="I123" s="98" t="str">
        <f t="shared" si="6"/>
        <v/>
      </c>
      <c r="J123" s="97" t="e">
        <f t="shared" si="9"/>
        <v>#NUM!</v>
      </c>
      <c r="K123" s="97" t="e">
        <f t="shared" si="7"/>
        <v>#NUM!</v>
      </c>
      <c r="L123" s="97"/>
      <c r="M123" s="99">
        <f t="shared" si="8"/>
        <v>0</v>
      </c>
    </row>
    <row r="124" spans="1:13" x14ac:dyDescent="0.25">
      <c r="A124" s="118"/>
      <c r="G124" s="82"/>
      <c r="H124" s="97">
        <v>119</v>
      </c>
      <c r="I124" s="98" t="str">
        <f t="shared" si="6"/>
        <v/>
      </c>
      <c r="J124" s="97" t="e">
        <f t="shared" si="9"/>
        <v>#NUM!</v>
      </c>
      <c r="K124" s="97" t="e">
        <f t="shared" si="7"/>
        <v>#NUM!</v>
      </c>
      <c r="L124" s="97"/>
      <c r="M124" s="99">
        <f t="shared" si="8"/>
        <v>0</v>
      </c>
    </row>
    <row r="125" spans="1:13" x14ac:dyDescent="0.25">
      <c r="A125" s="118"/>
      <c r="G125" s="82"/>
      <c r="H125" s="97">
        <v>120</v>
      </c>
      <c r="I125" s="98" t="str">
        <f t="shared" si="6"/>
        <v/>
      </c>
      <c r="J125" s="97" t="e">
        <f t="shared" si="9"/>
        <v>#NUM!</v>
      </c>
      <c r="K125" s="97" t="e">
        <f t="shared" si="7"/>
        <v>#NUM!</v>
      </c>
      <c r="L125" s="97"/>
      <c r="M125" s="99">
        <f t="shared" si="8"/>
        <v>0</v>
      </c>
    </row>
    <row r="126" spans="1:13" x14ac:dyDescent="0.25">
      <c r="A126" s="118"/>
      <c r="G126" s="82"/>
      <c r="H126" s="97">
        <v>121</v>
      </c>
      <c r="I126" s="98" t="str">
        <f t="shared" si="6"/>
        <v/>
      </c>
      <c r="J126" s="97" t="e">
        <f t="shared" si="9"/>
        <v>#NUM!</v>
      </c>
      <c r="K126" s="97" t="e">
        <f t="shared" si="7"/>
        <v>#NUM!</v>
      </c>
      <c r="L126" s="97"/>
      <c r="M126" s="99">
        <f t="shared" si="8"/>
        <v>0</v>
      </c>
    </row>
    <row r="127" spans="1:13" x14ac:dyDescent="0.25">
      <c r="A127" s="118"/>
      <c r="G127" s="82"/>
      <c r="H127" s="97">
        <v>122</v>
      </c>
      <c r="I127" s="98" t="str">
        <f t="shared" si="6"/>
        <v/>
      </c>
      <c r="J127" s="97" t="e">
        <f t="shared" si="9"/>
        <v>#NUM!</v>
      </c>
      <c r="K127" s="97" t="e">
        <f t="shared" si="7"/>
        <v>#NUM!</v>
      </c>
      <c r="L127" s="97"/>
      <c r="M127" s="99">
        <f t="shared" si="8"/>
        <v>0</v>
      </c>
    </row>
    <row r="128" spans="1:13" x14ac:dyDescent="0.25">
      <c r="A128" s="118"/>
      <c r="G128" s="82"/>
      <c r="H128" s="97">
        <v>123</v>
      </c>
      <c r="I128" s="98" t="str">
        <f t="shared" si="6"/>
        <v/>
      </c>
      <c r="J128" s="97" t="e">
        <f t="shared" si="9"/>
        <v>#NUM!</v>
      </c>
      <c r="K128" s="97" t="e">
        <f t="shared" si="7"/>
        <v>#NUM!</v>
      </c>
      <c r="L128" s="97"/>
      <c r="M128" s="99">
        <f t="shared" si="8"/>
        <v>0</v>
      </c>
    </row>
    <row r="129" spans="1:13" x14ac:dyDescent="0.25">
      <c r="A129" s="118"/>
      <c r="G129" s="82"/>
      <c r="H129" s="97">
        <v>124</v>
      </c>
      <c r="I129" s="98" t="str">
        <f t="shared" si="6"/>
        <v/>
      </c>
      <c r="J129" s="97" t="e">
        <f t="shared" si="9"/>
        <v>#NUM!</v>
      </c>
      <c r="K129" s="97" t="e">
        <f t="shared" si="7"/>
        <v>#NUM!</v>
      </c>
      <c r="L129" s="97"/>
      <c r="M129" s="99">
        <f t="shared" si="8"/>
        <v>0</v>
      </c>
    </row>
    <row r="130" spans="1:13" x14ac:dyDescent="0.25">
      <c r="A130" s="118"/>
      <c r="G130" s="82"/>
      <c r="H130" s="97">
        <v>125</v>
      </c>
      <c r="I130" s="98" t="str">
        <f t="shared" si="6"/>
        <v/>
      </c>
      <c r="J130" s="97" t="e">
        <f t="shared" si="9"/>
        <v>#NUM!</v>
      </c>
      <c r="K130" s="97" t="e">
        <f t="shared" si="7"/>
        <v>#NUM!</v>
      </c>
      <c r="L130" s="97"/>
      <c r="M130" s="99">
        <f t="shared" si="8"/>
        <v>0</v>
      </c>
    </row>
    <row r="131" spans="1:13" x14ac:dyDescent="0.25">
      <c r="A131" s="118"/>
      <c r="G131" s="82"/>
      <c r="H131" s="97">
        <v>126</v>
      </c>
      <c r="I131" s="98" t="str">
        <f t="shared" si="6"/>
        <v/>
      </c>
      <c r="J131" s="97" t="e">
        <f t="shared" si="9"/>
        <v>#NUM!</v>
      </c>
      <c r="K131" s="97" t="e">
        <f t="shared" si="7"/>
        <v>#NUM!</v>
      </c>
      <c r="L131" s="97"/>
      <c r="M131" s="99">
        <f t="shared" si="8"/>
        <v>0</v>
      </c>
    </row>
    <row r="132" spans="1:13" x14ac:dyDescent="0.25">
      <c r="A132" s="118"/>
      <c r="G132" s="82"/>
      <c r="H132" s="97">
        <v>127</v>
      </c>
      <c r="I132" s="98" t="str">
        <f t="shared" si="6"/>
        <v/>
      </c>
      <c r="J132" s="97" t="e">
        <f t="shared" si="9"/>
        <v>#NUM!</v>
      </c>
      <c r="K132" s="97" t="e">
        <f t="shared" si="7"/>
        <v>#NUM!</v>
      </c>
      <c r="L132" s="97"/>
      <c r="M132" s="99">
        <f t="shared" si="8"/>
        <v>0</v>
      </c>
    </row>
    <row r="133" spans="1:13" x14ac:dyDescent="0.25">
      <c r="A133" s="118"/>
      <c r="G133" s="82"/>
      <c r="H133" s="97">
        <v>128</v>
      </c>
      <c r="I133" s="98" t="str">
        <f t="shared" si="6"/>
        <v/>
      </c>
      <c r="J133" s="97" t="e">
        <f t="shared" si="9"/>
        <v>#NUM!</v>
      </c>
      <c r="K133" s="97" t="e">
        <f t="shared" si="7"/>
        <v>#NUM!</v>
      </c>
      <c r="L133" s="97"/>
      <c r="M133" s="99">
        <f t="shared" si="8"/>
        <v>0</v>
      </c>
    </row>
    <row r="134" spans="1:13" x14ac:dyDescent="0.25">
      <c r="A134" s="118"/>
      <c r="G134" s="82"/>
      <c r="H134" s="97">
        <v>129</v>
      </c>
      <c r="I134" s="98" t="str">
        <f t="shared" ref="I134:I197" si="10">IF(H134&lt;$H$2+1,($I$2-($I$2-1)*(LOG(H134)/LOG($H$2))),"")</f>
        <v/>
      </c>
      <c r="J134" s="97" t="e">
        <f t="shared" si="9"/>
        <v>#NUM!</v>
      </c>
      <c r="K134" s="97" t="e">
        <f t="shared" ref="K134:K197" si="11">J134*$J$2</f>
        <v>#NUM!</v>
      </c>
      <c r="L134" s="97"/>
      <c r="M134" s="99">
        <f t="shared" ref="M134:M197" si="12">IF(I134&lt;&gt;"",K134+I134+L134,0)</f>
        <v>0</v>
      </c>
    </row>
    <row r="135" spans="1:13" x14ac:dyDescent="0.25">
      <c r="A135" s="118"/>
      <c r="G135" s="82"/>
      <c r="H135" s="97">
        <v>130</v>
      </c>
      <c r="I135" s="98" t="str">
        <f t="shared" si="10"/>
        <v/>
      </c>
      <c r="J135" s="97" t="e">
        <f t="shared" si="9"/>
        <v>#NUM!</v>
      </c>
      <c r="K135" s="97" t="e">
        <f t="shared" si="11"/>
        <v>#NUM!</v>
      </c>
      <c r="L135" s="97"/>
      <c r="M135" s="99">
        <f t="shared" si="12"/>
        <v>0</v>
      </c>
    </row>
    <row r="136" spans="1:13" x14ac:dyDescent="0.25">
      <c r="A136" s="118"/>
      <c r="G136" s="82"/>
      <c r="H136" s="97">
        <v>131</v>
      </c>
      <c r="I136" s="98" t="str">
        <f t="shared" si="10"/>
        <v/>
      </c>
      <c r="J136" s="97" t="e">
        <f t="shared" si="9"/>
        <v>#NUM!</v>
      </c>
      <c r="K136" s="97" t="e">
        <f t="shared" si="11"/>
        <v>#NUM!</v>
      </c>
      <c r="L136" s="97"/>
      <c r="M136" s="99">
        <f t="shared" si="12"/>
        <v>0</v>
      </c>
    </row>
    <row r="137" spans="1:13" x14ac:dyDescent="0.25">
      <c r="A137" s="118"/>
      <c r="G137" s="82"/>
      <c r="H137" s="97">
        <v>132</v>
      </c>
      <c r="I137" s="98" t="str">
        <f t="shared" si="10"/>
        <v/>
      </c>
      <c r="J137" s="97" t="e">
        <f t="shared" si="9"/>
        <v>#NUM!</v>
      </c>
      <c r="K137" s="97" t="e">
        <f t="shared" si="11"/>
        <v>#NUM!</v>
      </c>
      <c r="L137" s="97"/>
      <c r="M137" s="99">
        <f t="shared" si="12"/>
        <v>0</v>
      </c>
    </row>
    <row r="138" spans="1:13" x14ac:dyDescent="0.25">
      <c r="A138" s="118"/>
      <c r="G138" s="82"/>
      <c r="H138" s="97">
        <v>133</v>
      </c>
      <c r="I138" s="98" t="str">
        <f t="shared" si="10"/>
        <v/>
      </c>
      <c r="J138" s="97" t="e">
        <f t="shared" ref="J138:J201" si="13">INT(LOG($H$2,2))-ROUNDUP(LOG(H138,2),0)+IF(OR($H$2=1,$H$2=2,$H$2=4,$H$2=8,$H$2=16,$H$2=32,$H$2=64,$H$2=128,$H$2=256),0,1)</f>
        <v>#NUM!</v>
      </c>
      <c r="K138" s="97" t="e">
        <f t="shared" si="11"/>
        <v>#NUM!</v>
      </c>
      <c r="L138" s="97"/>
      <c r="M138" s="99">
        <f t="shared" si="12"/>
        <v>0</v>
      </c>
    </row>
    <row r="139" spans="1:13" x14ac:dyDescent="0.25">
      <c r="A139" s="118"/>
      <c r="G139" s="82"/>
      <c r="H139" s="97">
        <v>134</v>
      </c>
      <c r="I139" s="98" t="str">
        <f t="shared" si="10"/>
        <v/>
      </c>
      <c r="J139" s="97" t="e">
        <f t="shared" si="13"/>
        <v>#NUM!</v>
      </c>
      <c r="K139" s="97" t="e">
        <f t="shared" si="11"/>
        <v>#NUM!</v>
      </c>
      <c r="L139" s="97"/>
      <c r="M139" s="99">
        <f t="shared" si="12"/>
        <v>0</v>
      </c>
    </row>
    <row r="140" spans="1:13" x14ac:dyDescent="0.25">
      <c r="A140" s="118"/>
      <c r="G140" s="82"/>
      <c r="H140" s="97">
        <v>135</v>
      </c>
      <c r="I140" s="98" t="str">
        <f t="shared" si="10"/>
        <v/>
      </c>
      <c r="J140" s="97" t="e">
        <f t="shared" si="13"/>
        <v>#NUM!</v>
      </c>
      <c r="K140" s="97" t="e">
        <f t="shared" si="11"/>
        <v>#NUM!</v>
      </c>
      <c r="L140" s="97"/>
      <c r="M140" s="99">
        <f t="shared" si="12"/>
        <v>0</v>
      </c>
    </row>
    <row r="141" spans="1:13" x14ac:dyDescent="0.25">
      <c r="A141" s="118"/>
      <c r="G141" s="82"/>
      <c r="H141" s="97">
        <v>136</v>
      </c>
      <c r="I141" s="98" t="str">
        <f t="shared" si="10"/>
        <v/>
      </c>
      <c r="J141" s="97" t="e">
        <f t="shared" si="13"/>
        <v>#NUM!</v>
      </c>
      <c r="K141" s="97" t="e">
        <f t="shared" si="11"/>
        <v>#NUM!</v>
      </c>
      <c r="L141" s="97"/>
      <c r="M141" s="99">
        <f t="shared" si="12"/>
        <v>0</v>
      </c>
    </row>
    <row r="142" spans="1:13" x14ac:dyDescent="0.25">
      <c r="A142" s="118"/>
      <c r="G142" s="82"/>
      <c r="H142" s="97">
        <v>137</v>
      </c>
      <c r="I142" s="98" t="str">
        <f t="shared" si="10"/>
        <v/>
      </c>
      <c r="J142" s="97" t="e">
        <f t="shared" si="13"/>
        <v>#NUM!</v>
      </c>
      <c r="K142" s="97" t="e">
        <f t="shared" si="11"/>
        <v>#NUM!</v>
      </c>
      <c r="L142" s="97"/>
      <c r="M142" s="99">
        <f t="shared" si="12"/>
        <v>0</v>
      </c>
    </row>
    <row r="143" spans="1:13" x14ac:dyDescent="0.25">
      <c r="A143" s="118"/>
      <c r="G143" s="82"/>
      <c r="H143" s="97">
        <v>138</v>
      </c>
      <c r="I143" s="98" t="str">
        <f t="shared" si="10"/>
        <v/>
      </c>
      <c r="J143" s="97" t="e">
        <f t="shared" si="13"/>
        <v>#NUM!</v>
      </c>
      <c r="K143" s="97" t="e">
        <f t="shared" si="11"/>
        <v>#NUM!</v>
      </c>
      <c r="L143" s="97"/>
      <c r="M143" s="99">
        <f t="shared" si="12"/>
        <v>0</v>
      </c>
    </row>
    <row r="144" spans="1:13" x14ac:dyDescent="0.25">
      <c r="A144" s="118"/>
      <c r="G144" s="82"/>
      <c r="H144" s="97">
        <v>139</v>
      </c>
      <c r="I144" s="98" t="str">
        <f t="shared" si="10"/>
        <v/>
      </c>
      <c r="J144" s="97" t="e">
        <f t="shared" si="13"/>
        <v>#NUM!</v>
      </c>
      <c r="K144" s="97" t="e">
        <f t="shared" si="11"/>
        <v>#NUM!</v>
      </c>
      <c r="L144" s="97"/>
      <c r="M144" s="99">
        <f t="shared" si="12"/>
        <v>0</v>
      </c>
    </row>
    <row r="145" spans="1:13" x14ac:dyDescent="0.25">
      <c r="A145" s="118"/>
      <c r="G145" s="82"/>
      <c r="H145" s="97">
        <v>140</v>
      </c>
      <c r="I145" s="98" t="str">
        <f t="shared" si="10"/>
        <v/>
      </c>
      <c r="J145" s="97" t="e">
        <f t="shared" si="13"/>
        <v>#NUM!</v>
      </c>
      <c r="K145" s="97" t="e">
        <f t="shared" si="11"/>
        <v>#NUM!</v>
      </c>
      <c r="L145" s="97"/>
      <c r="M145" s="99">
        <f t="shared" si="12"/>
        <v>0</v>
      </c>
    </row>
    <row r="146" spans="1:13" x14ac:dyDescent="0.25">
      <c r="A146" s="118"/>
      <c r="G146" s="82"/>
      <c r="H146" s="97">
        <v>141</v>
      </c>
      <c r="I146" s="98" t="str">
        <f t="shared" si="10"/>
        <v/>
      </c>
      <c r="J146" s="97" t="e">
        <f t="shared" si="13"/>
        <v>#NUM!</v>
      </c>
      <c r="K146" s="97" t="e">
        <f t="shared" si="11"/>
        <v>#NUM!</v>
      </c>
      <c r="L146" s="97"/>
      <c r="M146" s="99">
        <f t="shared" si="12"/>
        <v>0</v>
      </c>
    </row>
    <row r="147" spans="1:13" x14ac:dyDescent="0.25">
      <c r="A147" s="118"/>
      <c r="G147" s="82"/>
      <c r="H147" s="97">
        <v>142</v>
      </c>
      <c r="I147" s="98" t="str">
        <f t="shared" si="10"/>
        <v/>
      </c>
      <c r="J147" s="97" t="e">
        <f t="shared" si="13"/>
        <v>#NUM!</v>
      </c>
      <c r="K147" s="97" t="e">
        <f t="shared" si="11"/>
        <v>#NUM!</v>
      </c>
      <c r="L147" s="97"/>
      <c r="M147" s="99">
        <f t="shared" si="12"/>
        <v>0</v>
      </c>
    </row>
    <row r="148" spans="1:13" x14ac:dyDescent="0.25">
      <c r="A148" s="118"/>
      <c r="G148" s="82"/>
      <c r="H148" s="97">
        <v>143</v>
      </c>
      <c r="I148" s="98" t="str">
        <f t="shared" si="10"/>
        <v/>
      </c>
      <c r="J148" s="97" t="e">
        <f t="shared" si="13"/>
        <v>#NUM!</v>
      </c>
      <c r="K148" s="97" t="e">
        <f t="shared" si="11"/>
        <v>#NUM!</v>
      </c>
      <c r="L148" s="97"/>
      <c r="M148" s="99">
        <f t="shared" si="12"/>
        <v>0</v>
      </c>
    </row>
    <row r="149" spans="1:13" x14ac:dyDescent="0.25">
      <c r="A149" s="118"/>
      <c r="G149" s="82"/>
      <c r="H149" s="97">
        <v>144</v>
      </c>
      <c r="I149" s="98" t="str">
        <f t="shared" si="10"/>
        <v/>
      </c>
      <c r="J149" s="97" t="e">
        <f t="shared" si="13"/>
        <v>#NUM!</v>
      </c>
      <c r="K149" s="97" t="e">
        <f t="shared" si="11"/>
        <v>#NUM!</v>
      </c>
      <c r="L149" s="97"/>
      <c r="M149" s="99">
        <f t="shared" si="12"/>
        <v>0</v>
      </c>
    </row>
    <row r="150" spans="1:13" x14ac:dyDescent="0.25">
      <c r="A150" s="118"/>
      <c r="G150" s="82"/>
      <c r="H150" s="97">
        <v>145</v>
      </c>
      <c r="I150" s="98" t="str">
        <f t="shared" si="10"/>
        <v/>
      </c>
      <c r="J150" s="97" t="e">
        <f t="shared" si="13"/>
        <v>#NUM!</v>
      </c>
      <c r="K150" s="97" t="e">
        <f t="shared" si="11"/>
        <v>#NUM!</v>
      </c>
      <c r="L150" s="97"/>
      <c r="M150" s="99">
        <f t="shared" si="12"/>
        <v>0</v>
      </c>
    </row>
    <row r="151" spans="1:13" x14ac:dyDescent="0.25">
      <c r="A151" s="118"/>
      <c r="G151" s="82"/>
      <c r="H151" s="97">
        <v>146</v>
      </c>
      <c r="I151" s="98" t="str">
        <f t="shared" si="10"/>
        <v/>
      </c>
      <c r="J151" s="97" t="e">
        <f t="shared" si="13"/>
        <v>#NUM!</v>
      </c>
      <c r="K151" s="97" t="e">
        <f t="shared" si="11"/>
        <v>#NUM!</v>
      </c>
      <c r="L151" s="97"/>
      <c r="M151" s="99">
        <f t="shared" si="12"/>
        <v>0</v>
      </c>
    </row>
    <row r="152" spans="1:13" x14ac:dyDescent="0.25">
      <c r="A152" s="118"/>
      <c r="G152" s="82"/>
      <c r="H152" s="97">
        <v>147</v>
      </c>
      <c r="I152" s="98" t="str">
        <f t="shared" si="10"/>
        <v/>
      </c>
      <c r="J152" s="97" t="e">
        <f t="shared" si="13"/>
        <v>#NUM!</v>
      </c>
      <c r="K152" s="97" t="e">
        <f t="shared" si="11"/>
        <v>#NUM!</v>
      </c>
      <c r="L152" s="97"/>
      <c r="M152" s="99">
        <f t="shared" si="12"/>
        <v>0</v>
      </c>
    </row>
    <row r="153" spans="1:13" x14ac:dyDescent="0.25">
      <c r="A153" s="118"/>
      <c r="G153" s="82"/>
      <c r="H153" s="97">
        <v>148</v>
      </c>
      <c r="I153" s="98" t="str">
        <f t="shared" si="10"/>
        <v/>
      </c>
      <c r="J153" s="97" t="e">
        <f t="shared" si="13"/>
        <v>#NUM!</v>
      </c>
      <c r="K153" s="97" t="e">
        <f t="shared" si="11"/>
        <v>#NUM!</v>
      </c>
      <c r="L153" s="97"/>
      <c r="M153" s="99">
        <f t="shared" si="12"/>
        <v>0</v>
      </c>
    </row>
    <row r="154" spans="1:13" x14ac:dyDescent="0.25">
      <c r="A154" s="118"/>
      <c r="G154" s="82"/>
      <c r="H154" s="97">
        <v>149</v>
      </c>
      <c r="I154" s="98" t="str">
        <f t="shared" si="10"/>
        <v/>
      </c>
      <c r="J154" s="97" t="e">
        <f t="shared" si="13"/>
        <v>#NUM!</v>
      </c>
      <c r="K154" s="97" t="e">
        <f t="shared" si="11"/>
        <v>#NUM!</v>
      </c>
      <c r="L154" s="97"/>
      <c r="M154" s="99">
        <f t="shared" si="12"/>
        <v>0</v>
      </c>
    </row>
    <row r="155" spans="1:13" x14ac:dyDescent="0.25">
      <c r="A155" s="118"/>
      <c r="G155" s="82"/>
      <c r="H155" s="97">
        <v>150</v>
      </c>
      <c r="I155" s="98" t="str">
        <f t="shared" si="10"/>
        <v/>
      </c>
      <c r="J155" s="97" t="e">
        <f t="shared" si="13"/>
        <v>#NUM!</v>
      </c>
      <c r="K155" s="97" t="e">
        <f t="shared" si="11"/>
        <v>#NUM!</v>
      </c>
      <c r="L155" s="97"/>
      <c r="M155" s="99">
        <f t="shared" si="12"/>
        <v>0</v>
      </c>
    </row>
    <row r="156" spans="1:13" x14ac:dyDescent="0.25">
      <c r="A156" s="118"/>
      <c r="G156" s="82"/>
      <c r="H156" s="97">
        <v>151</v>
      </c>
      <c r="I156" s="98" t="str">
        <f t="shared" si="10"/>
        <v/>
      </c>
      <c r="J156" s="97" t="e">
        <f t="shared" si="13"/>
        <v>#NUM!</v>
      </c>
      <c r="K156" s="97" t="e">
        <f t="shared" si="11"/>
        <v>#NUM!</v>
      </c>
      <c r="L156" s="97"/>
      <c r="M156" s="99">
        <f t="shared" si="12"/>
        <v>0</v>
      </c>
    </row>
    <row r="157" spans="1:13" x14ac:dyDescent="0.25">
      <c r="A157" s="118"/>
      <c r="G157" s="82"/>
      <c r="H157" s="97">
        <v>152</v>
      </c>
      <c r="I157" s="98" t="str">
        <f t="shared" si="10"/>
        <v/>
      </c>
      <c r="J157" s="97" t="e">
        <f t="shared" si="13"/>
        <v>#NUM!</v>
      </c>
      <c r="K157" s="97" t="e">
        <f t="shared" si="11"/>
        <v>#NUM!</v>
      </c>
      <c r="L157" s="97"/>
      <c r="M157" s="99">
        <f t="shared" si="12"/>
        <v>0</v>
      </c>
    </row>
    <row r="158" spans="1:13" x14ac:dyDescent="0.25">
      <c r="A158" s="118"/>
      <c r="G158" s="82"/>
      <c r="H158" s="97">
        <v>153</v>
      </c>
      <c r="I158" s="98" t="str">
        <f t="shared" si="10"/>
        <v/>
      </c>
      <c r="J158" s="97" t="e">
        <f t="shared" si="13"/>
        <v>#NUM!</v>
      </c>
      <c r="K158" s="97" t="e">
        <f t="shared" si="11"/>
        <v>#NUM!</v>
      </c>
      <c r="L158" s="97"/>
      <c r="M158" s="99">
        <f t="shared" si="12"/>
        <v>0</v>
      </c>
    </row>
    <row r="159" spans="1:13" x14ac:dyDescent="0.25">
      <c r="A159" s="118"/>
      <c r="G159" s="82"/>
      <c r="H159" s="97">
        <v>154</v>
      </c>
      <c r="I159" s="98" t="str">
        <f t="shared" si="10"/>
        <v/>
      </c>
      <c r="J159" s="97" t="e">
        <f t="shared" si="13"/>
        <v>#NUM!</v>
      </c>
      <c r="K159" s="97" t="e">
        <f t="shared" si="11"/>
        <v>#NUM!</v>
      </c>
      <c r="L159" s="97"/>
      <c r="M159" s="99">
        <f t="shared" si="12"/>
        <v>0</v>
      </c>
    </row>
    <row r="160" spans="1:13" x14ac:dyDescent="0.25">
      <c r="A160" s="118"/>
      <c r="G160" s="82"/>
      <c r="H160" s="97">
        <v>155</v>
      </c>
      <c r="I160" s="98" t="str">
        <f t="shared" si="10"/>
        <v/>
      </c>
      <c r="J160" s="97" t="e">
        <f t="shared" si="13"/>
        <v>#NUM!</v>
      </c>
      <c r="K160" s="97" t="e">
        <f t="shared" si="11"/>
        <v>#NUM!</v>
      </c>
      <c r="L160" s="97"/>
      <c r="M160" s="99">
        <f t="shared" si="12"/>
        <v>0</v>
      </c>
    </row>
    <row r="161" spans="1:13" x14ac:dyDescent="0.25">
      <c r="A161" s="118"/>
      <c r="G161" s="82"/>
      <c r="H161" s="97">
        <v>156</v>
      </c>
      <c r="I161" s="98" t="str">
        <f t="shared" si="10"/>
        <v/>
      </c>
      <c r="J161" s="97" t="e">
        <f t="shared" si="13"/>
        <v>#NUM!</v>
      </c>
      <c r="K161" s="97" t="e">
        <f t="shared" si="11"/>
        <v>#NUM!</v>
      </c>
      <c r="L161" s="97"/>
      <c r="M161" s="99">
        <f t="shared" si="12"/>
        <v>0</v>
      </c>
    </row>
    <row r="162" spans="1:13" x14ac:dyDescent="0.25">
      <c r="A162" s="118"/>
      <c r="G162" s="82"/>
      <c r="H162" s="97">
        <v>157</v>
      </c>
      <c r="I162" s="98" t="str">
        <f t="shared" si="10"/>
        <v/>
      </c>
      <c r="J162" s="97" t="e">
        <f t="shared" si="13"/>
        <v>#NUM!</v>
      </c>
      <c r="K162" s="97" t="e">
        <f t="shared" si="11"/>
        <v>#NUM!</v>
      </c>
      <c r="L162" s="97"/>
      <c r="M162" s="99">
        <f t="shared" si="12"/>
        <v>0</v>
      </c>
    </row>
    <row r="163" spans="1:13" x14ac:dyDescent="0.25">
      <c r="A163" s="118"/>
      <c r="G163" s="82"/>
      <c r="H163" s="97">
        <v>158</v>
      </c>
      <c r="I163" s="98" t="str">
        <f t="shared" si="10"/>
        <v/>
      </c>
      <c r="J163" s="97" t="e">
        <f t="shared" si="13"/>
        <v>#NUM!</v>
      </c>
      <c r="K163" s="97" t="e">
        <f t="shared" si="11"/>
        <v>#NUM!</v>
      </c>
      <c r="L163" s="97"/>
      <c r="M163" s="99">
        <f t="shared" si="12"/>
        <v>0</v>
      </c>
    </row>
    <row r="164" spans="1:13" x14ac:dyDescent="0.25">
      <c r="A164" s="118"/>
      <c r="G164" s="82"/>
      <c r="H164" s="97">
        <v>159</v>
      </c>
      <c r="I164" s="98" t="str">
        <f t="shared" si="10"/>
        <v/>
      </c>
      <c r="J164" s="97" t="e">
        <f t="shared" si="13"/>
        <v>#NUM!</v>
      </c>
      <c r="K164" s="97" t="e">
        <f t="shared" si="11"/>
        <v>#NUM!</v>
      </c>
      <c r="L164" s="97"/>
      <c r="M164" s="99">
        <f t="shared" si="12"/>
        <v>0</v>
      </c>
    </row>
    <row r="165" spans="1:13" x14ac:dyDescent="0.25">
      <c r="A165" s="118"/>
      <c r="G165" s="82"/>
      <c r="H165" s="97">
        <v>160</v>
      </c>
      <c r="I165" s="98" t="str">
        <f t="shared" si="10"/>
        <v/>
      </c>
      <c r="J165" s="97" t="e">
        <f t="shared" si="13"/>
        <v>#NUM!</v>
      </c>
      <c r="K165" s="97" t="e">
        <f t="shared" si="11"/>
        <v>#NUM!</v>
      </c>
      <c r="L165" s="97"/>
      <c r="M165" s="99">
        <f t="shared" si="12"/>
        <v>0</v>
      </c>
    </row>
    <row r="166" spans="1:13" x14ac:dyDescent="0.25">
      <c r="A166" s="118"/>
      <c r="G166" s="82"/>
      <c r="H166" s="97">
        <v>161</v>
      </c>
      <c r="I166" s="98" t="str">
        <f t="shared" si="10"/>
        <v/>
      </c>
      <c r="J166" s="97" t="e">
        <f t="shared" si="13"/>
        <v>#NUM!</v>
      </c>
      <c r="K166" s="97" t="e">
        <f t="shared" si="11"/>
        <v>#NUM!</v>
      </c>
      <c r="L166" s="97"/>
      <c r="M166" s="99">
        <f t="shared" si="12"/>
        <v>0</v>
      </c>
    </row>
    <row r="167" spans="1:13" x14ac:dyDescent="0.25">
      <c r="A167" s="118"/>
      <c r="G167" s="82"/>
      <c r="H167" s="97">
        <v>162</v>
      </c>
      <c r="I167" s="98" t="str">
        <f t="shared" si="10"/>
        <v/>
      </c>
      <c r="J167" s="97" t="e">
        <f t="shared" si="13"/>
        <v>#NUM!</v>
      </c>
      <c r="K167" s="97" t="e">
        <f t="shared" si="11"/>
        <v>#NUM!</v>
      </c>
      <c r="L167" s="97"/>
      <c r="M167" s="99">
        <f t="shared" si="12"/>
        <v>0</v>
      </c>
    </row>
    <row r="168" spans="1:13" x14ac:dyDescent="0.25">
      <c r="A168" s="118"/>
      <c r="G168" s="82"/>
      <c r="H168" s="97">
        <v>163</v>
      </c>
      <c r="I168" s="98" t="str">
        <f t="shared" si="10"/>
        <v/>
      </c>
      <c r="J168" s="97" t="e">
        <f t="shared" si="13"/>
        <v>#NUM!</v>
      </c>
      <c r="K168" s="97" t="e">
        <f t="shared" si="11"/>
        <v>#NUM!</v>
      </c>
      <c r="L168" s="97"/>
      <c r="M168" s="99">
        <f t="shared" si="12"/>
        <v>0</v>
      </c>
    </row>
    <row r="169" spans="1:13" x14ac:dyDescent="0.25">
      <c r="A169" s="118"/>
      <c r="C169" s="117" t="s">
        <v>42</v>
      </c>
      <c r="G169" s="82"/>
      <c r="H169" s="97">
        <v>164</v>
      </c>
      <c r="I169" s="98" t="str">
        <f t="shared" si="10"/>
        <v/>
      </c>
      <c r="J169" s="97" t="e">
        <f t="shared" si="13"/>
        <v>#NUM!</v>
      </c>
      <c r="K169" s="97" t="e">
        <f t="shared" si="11"/>
        <v>#NUM!</v>
      </c>
      <c r="L169" s="97"/>
      <c r="M169" s="99">
        <f t="shared" si="12"/>
        <v>0</v>
      </c>
    </row>
    <row r="170" spans="1:13" x14ac:dyDescent="0.25">
      <c r="A170" s="118"/>
      <c r="G170" s="82"/>
      <c r="H170" s="97">
        <v>165</v>
      </c>
      <c r="I170" s="98" t="str">
        <f t="shared" si="10"/>
        <v/>
      </c>
      <c r="J170" s="97" t="e">
        <f t="shared" si="13"/>
        <v>#NUM!</v>
      </c>
      <c r="K170" s="97" t="e">
        <f t="shared" si="11"/>
        <v>#NUM!</v>
      </c>
      <c r="L170" s="97"/>
      <c r="M170" s="99">
        <f t="shared" si="12"/>
        <v>0</v>
      </c>
    </row>
    <row r="171" spans="1:13" x14ac:dyDescent="0.25">
      <c r="A171" s="118"/>
      <c r="G171" s="82"/>
      <c r="H171" s="97">
        <v>166</v>
      </c>
      <c r="I171" s="98" t="str">
        <f t="shared" si="10"/>
        <v/>
      </c>
      <c r="J171" s="97" t="e">
        <f t="shared" si="13"/>
        <v>#NUM!</v>
      </c>
      <c r="K171" s="97" t="e">
        <f t="shared" si="11"/>
        <v>#NUM!</v>
      </c>
      <c r="L171" s="97"/>
      <c r="M171" s="99">
        <f t="shared" si="12"/>
        <v>0</v>
      </c>
    </row>
    <row r="172" spans="1:13" x14ac:dyDescent="0.25">
      <c r="A172" s="118"/>
      <c r="G172" s="82"/>
      <c r="H172" s="97">
        <v>167</v>
      </c>
      <c r="I172" s="98" t="str">
        <f t="shared" si="10"/>
        <v/>
      </c>
      <c r="J172" s="97" t="e">
        <f t="shared" si="13"/>
        <v>#NUM!</v>
      </c>
      <c r="K172" s="97" t="e">
        <f t="shared" si="11"/>
        <v>#NUM!</v>
      </c>
      <c r="L172" s="97"/>
      <c r="M172" s="99">
        <f t="shared" si="12"/>
        <v>0</v>
      </c>
    </row>
    <row r="173" spans="1:13" x14ac:dyDescent="0.25">
      <c r="A173" s="118"/>
      <c r="G173" s="82"/>
      <c r="H173" s="97">
        <v>168</v>
      </c>
      <c r="I173" s="98" t="str">
        <f t="shared" si="10"/>
        <v/>
      </c>
      <c r="J173" s="97" t="e">
        <f t="shared" si="13"/>
        <v>#NUM!</v>
      </c>
      <c r="K173" s="97" t="e">
        <f t="shared" si="11"/>
        <v>#NUM!</v>
      </c>
      <c r="L173" s="97"/>
      <c r="M173" s="99">
        <f t="shared" si="12"/>
        <v>0</v>
      </c>
    </row>
    <row r="174" spans="1:13" x14ac:dyDescent="0.25">
      <c r="A174" s="118"/>
      <c r="G174" s="82"/>
      <c r="H174" s="97">
        <v>169</v>
      </c>
      <c r="I174" s="98" t="str">
        <f t="shared" si="10"/>
        <v/>
      </c>
      <c r="J174" s="97" t="e">
        <f t="shared" si="13"/>
        <v>#NUM!</v>
      </c>
      <c r="K174" s="97" t="e">
        <f t="shared" si="11"/>
        <v>#NUM!</v>
      </c>
      <c r="L174" s="97"/>
      <c r="M174" s="99">
        <f t="shared" si="12"/>
        <v>0</v>
      </c>
    </row>
    <row r="175" spans="1:13" x14ac:dyDescent="0.25">
      <c r="A175" s="118"/>
      <c r="G175" s="82"/>
      <c r="H175" s="97">
        <v>170</v>
      </c>
      <c r="I175" s="98" t="str">
        <f t="shared" si="10"/>
        <v/>
      </c>
      <c r="J175" s="97" t="e">
        <f t="shared" si="13"/>
        <v>#NUM!</v>
      </c>
      <c r="K175" s="97" t="e">
        <f t="shared" si="11"/>
        <v>#NUM!</v>
      </c>
      <c r="L175" s="97"/>
      <c r="M175" s="99">
        <f t="shared" si="12"/>
        <v>0</v>
      </c>
    </row>
    <row r="176" spans="1:13" x14ac:dyDescent="0.25">
      <c r="A176" s="118"/>
      <c r="G176" s="82"/>
      <c r="H176" s="97">
        <v>171</v>
      </c>
      <c r="I176" s="98" t="str">
        <f t="shared" si="10"/>
        <v/>
      </c>
      <c r="J176" s="97" t="e">
        <f t="shared" si="13"/>
        <v>#NUM!</v>
      </c>
      <c r="K176" s="97" t="e">
        <f t="shared" si="11"/>
        <v>#NUM!</v>
      </c>
      <c r="L176" s="97"/>
      <c r="M176" s="99">
        <f t="shared" si="12"/>
        <v>0</v>
      </c>
    </row>
    <row r="177" spans="1:13" x14ac:dyDescent="0.25">
      <c r="A177" s="118"/>
      <c r="G177" s="82"/>
      <c r="H177" s="97">
        <v>172</v>
      </c>
      <c r="I177" s="98" t="str">
        <f t="shared" si="10"/>
        <v/>
      </c>
      <c r="J177" s="97" t="e">
        <f t="shared" si="13"/>
        <v>#NUM!</v>
      </c>
      <c r="K177" s="97" t="e">
        <f t="shared" si="11"/>
        <v>#NUM!</v>
      </c>
      <c r="L177" s="97"/>
      <c r="M177" s="99">
        <f t="shared" si="12"/>
        <v>0</v>
      </c>
    </row>
    <row r="178" spans="1:13" x14ac:dyDescent="0.25">
      <c r="A178" s="118"/>
      <c r="G178" s="82"/>
      <c r="H178" s="97">
        <v>173</v>
      </c>
      <c r="I178" s="98" t="str">
        <f t="shared" si="10"/>
        <v/>
      </c>
      <c r="J178" s="97" t="e">
        <f t="shared" si="13"/>
        <v>#NUM!</v>
      </c>
      <c r="K178" s="97" t="e">
        <f t="shared" si="11"/>
        <v>#NUM!</v>
      </c>
      <c r="L178" s="97"/>
      <c r="M178" s="99">
        <f t="shared" si="12"/>
        <v>0</v>
      </c>
    </row>
    <row r="179" spans="1:13" x14ac:dyDescent="0.25">
      <c r="A179" s="118"/>
      <c r="G179" s="82"/>
      <c r="H179" s="97">
        <v>174</v>
      </c>
      <c r="I179" s="98" t="str">
        <f t="shared" si="10"/>
        <v/>
      </c>
      <c r="J179" s="97" t="e">
        <f t="shared" si="13"/>
        <v>#NUM!</v>
      </c>
      <c r="K179" s="97" t="e">
        <f t="shared" si="11"/>
        <v>#NUM!</v>
      </c>
      <c r="L179" s="97"/>
      <c r="M179" s="99">
        <f t="shared" si="12"/>
        <v>0</v>
      </c>
    </row>
    <row r="180" spans="1:13" x14ac:dyDescent="0.25">
      <c r="A180" s="118"/>
      <c r="G180" s="82"/>
      <c r="H180" s="97">
        <v>175</v>
      </c>
      <c r="I180" s="98" t="str">
        <f t="shared" si="10"/>
        <v/>
      </c>
      <c r="J180" s="97" t="e">
        <f t="shared" si="13"/>
        <v>#NUM!</v>
      </c>
      <c r="K180" s="97" t="e">
        <f t="shared" si="11"/>
        <v>#NUM!</v>
      </c>
      <c r="L180" s="97"/>
      <c r="M180" s="99">
        <f t="shared" si="12"/>
        <v>0</v>
      </c>
    </row>
    <row r="181" spans="1:13" x14ac:dyDescent="0.25">
      <c r="A181" s="118"/>
      <c r="G181" s="82"/>
      <c r="H181" s="97">
        <v>176</v>
      </c>
      <c r="I181" s="98" t="str">
        <f t="shared" si="10"/>
        <v/>
      </c>
      <c r="J181" s="97" t="e">
        <f t="shared" si="13"/>
        <v>#NUM!</v>
      </c>
      <c r="K181" s="97" t="e">
        <f t="shared" si="11"/>
        <v>#NUM!</v>
      </c>
      <c r="L181" s="97"/>
      <c r="M181" s="99">
        <f t="shared" si="12"/>
        <v>0</v>
      </c>
    </row>
    <row r="182" spans="1:13" x14ac:dyDescent="0.25">
      <c r="A182" s="118"/>
      <c r="G182" s="82"/>
      <c r="H182" s="97">
        <v>177</v>
      </c>
      <c r="I182" s="98" t="str">
        <f t="shared" si="10"/>
        <v/>
      </c>
      <c r="J182" s="97" t="e">
        <f t="shared" si="13"/>
        <v>#NUM!</v>
      </c>
      <c r="K182" s="97" t="e">
        <f t="shared" si="11"/>
        <v>#NUM!</v>
      </c>
      <c r="L182" s="97"/>
      <c r="M182" s="99">
        <f t="shared" si="12"/>
        <v>0</v>
      </c>
    </row>
    <row r="183" spans="1:13" x14ac:dyDescent="0.25">
      <c r="A183" s="118"/>
      <c r="G183" s="82"/>
      <c r="H183" s="97">
        <v>178</v>
      </c>
      <c r="I183" s="98" t="str">
        <f t="shared" si="10"/>
        <v/>
      </c>
      <c r="J183" s="97" t="e">
        <f t="shared" si="13"/>
        <v>#NUM!</v>
      </c>
      <c r="K183" s="97" t="e">
        <f t="shared" si="11"/>
        <v>#NUM!</v>
      </c>
      <c r="L183" s="97"/>
      <c r="M183" s="99">
        <f t="shared" si="12"/>
        <v>0</v>
      </c>
    </row>
    <row r="184" spans="1:13" x14ac:dyDescent="0.25">
      <c r="A184" s="118"/>
      <c r="G184" s="82"/>
      <c r="H184" s="97">
        <v>179</v>
      </c>
      <c r="I184" s="98" t="str">
        <f t="shared" si="10"/>
        <v/>
      </c>
      <c r="J184" s="97" t="e">
        <f t="shared" si="13"/>
        <v>#NUM!</v>
      </c>
      <c r="K184" s="97" t="e">
        <f t="shared" si="11"/>
        <v>#NUM!</v>
      </c>
      <c r="L184" s="97"/>
      <c r="M184" s="99">
        <f t="shared" si="12"/>
        <v>0</v>
      </c>
    </row>
    <row r="185" spans="1:13" x14ac:dyDescent="0.25">
      <c r="A185" s="118"/>
      <c r="G185" s="82"/>
      <c r="H185" s="97">
        <v>180</v>
      </c>
      <c r="I185" s="98" t="str">
        <f t="shared" si="10"/>
        <v/>
      </c>
      <c r="J185" s="97" t="e">
        <f t="shared" si="13"/>
        <v>#NUM!</v>
      </c>
      <c r="K185" s="97" t="e">
        <f t="shared" si="11"/>
        <v>#NUM!</v>
      </c>
      <c r="L185" s="97"/>
      <c r="M185" s="99">
        <f t="shared" si="12"/>
        <v>0</v>
      </c>
    </row>
    <row r="186" spans="1:13" x14ac:dyDescent="0.25">
      <c r="A186" s="118"/>
      <c r="G186" s="82"/>
      <c r="H186" s="97">
        <v>181</v>
      </c>
      <c r="I186" s="98" t="str">
        <f t="shared" si="10"/>
        <v/>
      </c>
      <c r="J186" s="97" t="e">
        <f t="shared" si="13"/>
        <v>#NUM!</v>
      </c>
      <c r="K186" s="97" t="e">
        <f t="shared" si="11"/>
        <v>#NUM!</v>
      </c>
      <c r="L186" s="97"/>
      <c r="M186" s="99">
        <f t="shared" si="12"/>
        <v>0</v>
      </c>
    </row>
    <row r="187" spans="1:13" x14ac:dyDescent="0.25">
      <c r="A187" s="118"/>
      <c r="G187" s="82"/>
      <c r="H187" s="97">
        <v>182</v>
      </c>
      <c r="I187" s="98" t="str">
        <f t="shared" si="10"/>
        <v/>
      </c>
      <c r="J187" s="97" t="e">
        <f t="shared" si="13"/>
        <v>#NUM!</v>
      </c>
      <c r="K187" s="97" t="e">
        <f t="shared" si="11"/>
        <v>#NUM!</v>
      </c>
      <c r="L187" s="97"/>
      <c r="M187" s="99">
        <f t="shared" si="12"/>
        <v>0</v>
      </c>
    </row>
    <row r="188" spans="1:13" x14ac:dyDescent="0.25">
      <c r="A188" s="118"/>
      <c r="G188" s="82"/>
      <c r="H188" s="97">
        <v>183</v>
      </c>
      <c r="I188" s="98" t="str">
        <f t="shared" si="10"/>
        <v/>
      </c>
      <c r="J188" s="97" t="e">
        <f t="shared" si="13"/>
        <v>#NUM!</v>
      </c>
      <c r="K188" s="97" t="e">
        <f t="shared" si="11"/>
        <v>#NUM!</v>
      </c>
      <c r="L188" s="97"/>
      <c r="M188" s="99">
        <f t="shared" si="12"/>
        <v>0</v>
      </c>
    </row>
    <row r="189" spans="1:13" x14ac:dyDescent="0.25">
      <c r="A189" s="118"/>
      <c r="G189" s="82"/>
      <c r="H189" s="97">
        <v>184</v>
      </c>
      <c r="I189" s="98" t="str">
        <f t="shared" si="10"/>
        <v/>
      </c>
      <c r="J189" s="97" t="e">
        <f t="shared" si="13"/>
        <v>#NUM!</v>
      </c>
      <c r="K189" s="97" t="e">
        <f t="shared" si="11"/>
        <v>#NUM!</v>
      </c>
      <c r="L189" s="97"/>
      <c r="M189" s="99">
        <f t="shared" si="12"/>
        <v>0</v>
      </c>
    </row>
    <row r="190" spans="1:13" x14ac:dyDescent="0.25">
      <c r="A190" s="118"/>
      <c r="G190" s="82"/>
      <c r="H190" s="97">
        <v>185</v>
      </c>
      <c r="I190" s="98" t="str">
        <f t="shared" si="10"/>
        <v/>
      </c>
      <c r="J190" s="97" t="e">
        <f t="shared" si="13"/>
        <v>#NUM!</v>
      </c>
      <c r="K190" s="97" t="e">
        <f t="shared" si="11"/>
        <v>#NUM!</v>
      </c>
      <c r="L190" s="97"/>
      <c r="M190" s="99">
        <f t="shared" si="12"/>
        <v>0</v>
      </c>
    </row>
    <row r="191" spans="1:13" x14ac:dyDescent="0.25">
      <c r="A191" s="118"/>
      <c r="G191" s="82"/>
      <c r="H191" s="97">
        <v>186</v>
      </c>
      <c r="I191" s="98" t="str">
        <f t="shared" si="10"/>
        <v/>
      </c>
      <c r="J191" s="97" t="e">
        <f t="shared" si="13"/>
        <v>#NUM!</v>
      </c>
      <c r="K191" s="97" t="e">
        <f t="shared" si="11"/>
        <v>#NUM!</v>
      </c>
      <c r="L191" s="97"/>
      <c r="M191" s="99">
        <f t="shared" si="12"/>
        <v>0</v>
      </c>
    </row>
    <row r="192" spans="1:13" x14ac:dyDescent="0.25">
      <c r="A192" s="118"/>
      <c r="G192" s="82"/>
      <c r="H192" s="97">
        <v>187</v>
      </c>
      <c r="I192" s="98" t="str">
        <f t="shared" si="10"/>
        <v/>
      </c>
      <c r="J192" s="97" t="e">
        <f t="shared" si="13"/>
        <v>#NUM!</v>
      </c>
      <c r="K192" s="97" t="e">
        <f t="shared" si="11"/>
        <v>#NUM!</v>
      </c>
      <c r="L192" s="97"/>
      <c r="M192" s="99">
        <f t="shared" si="12"/>
        <v>0</v>
      </c>
    </row>
    <row r="193" spans="1:13" x14ac:dyDescent="0.25">
      <c r="A193" s="118"/>
      <c r="G193" s="82"/>
      <c r="H193" s="97">
        <v>188</v>
      </c>
      <c r="I193" s="98" t="str">
        <f t="shared" si="10"/>
        <v/>
      </c>
      <c r="J193" s="97" t="e">
        <f t="shared" si="13"/>
        <v>#NUM!</v>
      </c>
      <c r="K193" s="97" t="e">
        <f t="shared" si="11"/>
        <v>#NUM!</v>
      </c>
      <c r="L193" s="97"/>
      <c r="M193" s="99">
        <f t="shared" si="12"/>
        <v>0</v>
      </c>
    </row>
    <row r="194" spans="1:13" x14ac:dyDescent="0.25">
      <c r="A194" s="118"/>
      <c r="G194" s="82"/>
      <c r="H194" s="97">
        <v>189</v>
      </c>
      <c r="I194" s="98" t="str">
        <f t="shared" si="10"/>
        <v/>
      </c>
      <c r="J194" s="97" t="e">
        <f t="shared" si="13"/>
        <v>#NUM!</v>
      </c>
      <c r="K194" s="97" t="e">
        <f t="shared" si="11"/>
        <v>#NUM!</v>
      </c>
      <c r="L194" s="97"/>
      <c r="M194" s="99">
        <f t="shared" si="12"/>
        <v>0</v>
      </c>
    </row>
    <row r="195" spans="1:13" x14ac:dyDescent="0.25">
      <c r="A195" s="118"/>
      <c r="G195" s="82"/>
      <c r="H195" s="97">
        <v>190</v>
      </c>
      <c r="I195" s="98" t="str">
        <f t="shared" si="10"/>
        <v/>
      </c>
      <c r="J195" s="97" t="e">
        <f t="shared" si="13"/>
        <v>#NUM!</v>
      </c>
      <c r="K195" s="97" t="e">
        <f t="shared" si="11"/>
        <v>#NUM!</v>
      </c>
      <c r="L195" s="97"/>
      <c r="M195" s="99">
        <f t="shared" si="12"/>
        <v>0</v>
      </c>
    </row>
    <row r="196" spans="1:13" x14ac:dyDescent="0.25">
      <c r="A196" s="118"/>
      <c r="G196" s="82"/>
      <c r="H196" s="97">
        <v>191</v>
      </c>
      <c r="I196" s="98" t="str">
        <f t="shared" si="10"/>
        <v/>
      </c>
      <c r="J196" s="97" t="e">
        <f t="shared" si="13"/>
        <v>#NUM!</v>
      </c>
      <c r="K196" s="97" t="e">
        <f t="shared" si="11"/>
        <v>#NUM!</v>
      </c>
      <c r="L196" s="97"/>
      <c r="M196" s="99">
        <f t="shared" si="12"/>
        <v>0</v>
      </c>
    </row>
    <row r="197" spans="1:13" x14ac:dyDescent="0.25">
      <c r="A197" s="118"/>
      <c r="G197" s="82"/>
      <c r="H197" s="97">
        <v>192</v>
      </c>
      <c r="I197" s="98" t="str">
        <f t="shared" si="10"/>
        <v/>
      </c>
      <c r="J197" s="97" t="e">
        <f t="shared" si="13"/>
        <v>#NUM!</v>
      </c>
      <c r="K197" s="97" t="e">
        <f t="shared" si="11"/>
        <v>#NUM!</v>
      </c>
      <c r="L197" s="97"/>
      <c r="M197" s="99">
        <f t="shared" si="12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4">IF(H198&lt;$H$2+1,($I$2-($I$2-1)*(LOG(H198)/LOG($H$2))),"")</f>
        <v/>
      </c>
      <c r="J198" s="97" t="e">
        <f t="shared" si="13"/>
        <v>#NUM!</v>
      </c>
      <c r="K198" s="97" t="e">
        <f t="shared" ref="K198:K261" si="15">J198*$J$2</f>
        <v>#NUM!</v>
      </c>
      <c r="L198" s="97"/>
      <c r="M198" s="99">
        <f t="shared" ref="M198:M261" si="16">IF(I198&lt;&gt;"",K198+I198+L198,0)</f>
        <v>0</v>
      </c>
    </row>
    <row r="199" spans="1:13" x14ac:dyDescent="0.25">
      <c r="A199" s="118"/>
      <c r="G199" s="82"/>
      <c r="H199" s="97">
        <v>194</v>
      </c>
      <c r="I199" s="98" t="str">
        <f t="shared" si="14"/>
        <v/>
      </c>
      <c r="J199" s="97" t="e">
        <f t="shared" si="13"/>
        <v>#NUM!</v>
      </c>
      <c r="K199" s="97" t="e">
        <f t="shared" si="15"/>
        <v>#NUM!</v>
      </c>
      <c r="L199" s="97"/>
      <c r="M199" s="99">
        <f t="shared" si="16"/>
        <v>0</v>
      </c>
    </row>
    <row r="200" spans="1:13" x14ac:dyDescent="0.25">
      <c r="A200" s="118"/>
      <c r="G200" s="82"/>
      <c r="H200" s="97">
        <v>195</v>
      </c>
      <c r="I200" s="98" t="str">
        <f t="shared" si="14"/>
        <v/>
      </c>
      <c r="J200" s="97" t="e">
        <f t="shared" si="13"/>
        <v>#NUM!</v>
      </c>
      <c r="K200" s="97" t="e">
        <f t="shared" si="15"/>
        <v>#NUM!</v>
      </c>
      <c r="L200" s="97"/>
      <c r="M200" s="99">
        <f t="shared" si="16"/>
        <v>0</v>
      </c>
    </row>
    <row r="201" spans="1:13" x14ac:dyDescent="0.25">
      <c r="A201" s="118"/>
      <c r="G201" s="82"/>
      <c r="H201" s="97">
        <v>196</v>
      </c>
      <c r="I201" s="98" t="str">
        <f t="shared" si="14"/>
        <v/>
      </c>
      <c r="J201" s="97" t="e">
        <f t="shared" si="13"/>
        <v>#NUM!</v>
      </c>
      <c r="K201" s="97" t="e">
        <f t="shared" si="15"/>
        <v>#NUM!</v>
      </c>
      <c r="L201" s="97"/>
      <c r="M201" s="99">
        <f t="shared" si="16"/>
        <v>0</v>
      </c>
    </row>
    <row r="202" spans="1:13" x14ac:dyDescent="0.25">
      <c r="A202" s="118"/>
      <c r="G202" s="82"/>
      <c r="H202" s="97">
        <v>197</v>
      </c>
      <c r="I202" s="98" t="str">
        <f t="shared" si="14"/>
        <v/>
      </c>
      <c r="J202" s="97" t="e">
        <f t="shared" ref="J202:J265" si="17">INT(LOG($H$2,2))-ROUNDUP(LOG(H202,2),0)+IF(OR($H$2=1,$H$2=2,$H$2=4,$H$2=8,$H$2=16,$H$2=32,$H$2=64,$H$2=128,$H$2=256),0,1)</f>
        <v>#NUM!</v>
      </c>
      <c r="K202" s="97" t="e">
        <f t="shared" si="15"/>
        <v>#NUM!</v>
      </c>
      <c r="L202" s="97"/>
      <c r="M202" s="99">
        <f t="shared" si="16"/>
        <v>0</v>
      </c>
    </row>
    <row r="203" spans="1:13" x14ac:dyDescent="0.25">
      <c r="A203" s="118"/>
      <c r="G203" s="82"/>
      <c r="H203" s="97">
        <v>198</v>
      </c>
      <c r="I203" s="98" t="str">
        <f t="shared" si="14"/>
        <v/>
      </c>
      <c r="J203" s="97" t="e">
        <f t="shared" si="17"/>
        <v>#NUM!</v>
      </c>
      <c r="K203" s="97" t="e">
        <f t="shared" si="15"/>
        <v>#NUM!</v>
      </c>
      <c r="L203" s="97"/>
      <c r="M203" s="99">
        <f t="shared" si="16"/>
        <v>0</v>
      </c>
    </row>
    <row r="204" spans="1:13" x14ac:dyDescent="0.25">
      <c r="A204" s="118"/>
      <c r="G204" s="82"/>
      <c r="H204" s="97">
        <v>199</v>
      </c>
      <c r="I204" s="98" t="str">
        <f t="shared" si="14"/>
        <v/>
      </c>
      <c r="J204" s="97" t="e">
        <f t="shared" si="17"/>
        <v>#NUM!</v>
      </c>
      <c r="K204" s="97" t="e">
        <f t="shared" si="15"/>
        <v>#NUM!</v>
      </c>
      <c r="L204" s="97"/>
      <c r="M204" s="99">
        <f t="shared" si="16"/>
        <v>0</v>
      </c>
    </row>
    <row r="205" spans="1:13" x14ac:dyDescent="0.25">
      <c r="A205" s="118"/>
      <c r="G205" s="82"/>
      <c r="H205" s="97">
        <v>200</v>
      </c>
      <c r="I205" s="98" t="str">
        <f t="shared" si="14"/>
        <v/>
      </c>
      <c r="J205" s="97" t="e">
        <f t="shared" si="17"/>
        <v>#NUM!</v>
      </c>
      <c r="K205" s="97" t="e">
        <f t="shared" si="15"/>
        <v>#NUM!</v>
      </c>
      <c r="L205" s="97"/>
      <c r="M205" s="99">
        <f t="shared" si="16"/>
        <v>0</v>
      </c>
    </row>
    <row r="206" spans="1:13" x14ac:dyDescent="0.25">
      <c r="A206" s="118"/>
      <c r="G206" s="82"/>
      <c r="H206" s="97">
        <v>201</v>
      </c>
      <c r="I206" s="98" t="str">
        <f t="shared" si="14"/>
        <v/>
      </c>
      <c r="J206" s="97" t="e">
        <f t="shared" si="17"/>
        <v>#NUM!</v>
      </c>
      <c r="K206" s="97" t="e">
        <f t="shared" si="15"/>
        <v>#NUM!</v>
      </c>
      <c r="L206" s="97"/>
      <c r="M206" s="99">
        <f t="shared" si="16"/>
        <v>0</v>
      </c>
    </row>
    <row r="207" spans="1:13" x14ac:dyDescent="0.25">
      <c r="A207" s="118"/>
      <c r="G207" s="82"/>
      <c r="H207" s="97">
        <v>202</v>
      </c>
      <c r="I207" s="98" t="str">
        <f t="shared" si="14"/>
        <v/>
      </c>
      <c r="J207" s="97" t="e">
        <f t="shared" si="17"/>
        <v>#NUM!</v>
      </c>
      <c r="K207" s="97" t="e">
        <f t="shared" si="15"/>
        <v>#NUM!</v>
      </c>
      <c r="L207" s="97"/>
      <c r="M207" s="99">
        <f t="shared" si="16"/>
        <v>0</v>
      </c>
    </row>
    <row r="208" spans="1:13" x14ac:dyDescent="0.25">
      <c r="A208" s="118"/>
      <c r="G208" s="82"/>
      <c r="H208" s="97">
        <v>203</v>
      </c>
      <c r="I208" s="98" t="str">
        <f t="shared" si="14"/>
        <v/>
      </c>
      <c r="J208" s="97" t="e">
        <f t="shared" si="17"/>
        <v>#NUM!</v>
      </c>
      <c r="K208" s="97" t="e">
        <f t="shared" si="15"/>
        <v>#NUM!</v>
      </c>
      <c r="L208" s="97"/>
      <c r="M208" s="99">
        <f t="shared" si="16"/>
        <v>0</v>
      </c>
    </row>
    <row r="209" spans="1:13" x14ac:dyDescent="0.25">
      <c r="A209" s="118"/>
      <c r="G209" s="82"/>
      <c r="H209" s="97">
        <v>204</v>
      </c>
      <c r="I209" s="98" t="str">
        <f t="shared" si="14"/>
        <v/>
      </c>
      <c r="J209" s="97" t="e">
        <f t="shared" si="17"/>
        <v>#NUM!</v>
      </c>
      <c r="K209" s="97" t="e">
        <f t="shared" si="15"/>
        <v>#NUM!</v>
      </c>
      <c r="L209" s="97"/>
      <c r="M209" s="99">
        <f t="shared" si="16"/>
        <v>0</v>
      </c>
    </row>
    <row r="210" spans="1:13" x14ac:dyDescent="0.25">
      <c r="A210" s="118"/>
      <c r="G210" s="82"/>
      <c r="H210" s="97">
        <v>205</v>
      </c>
      <c r="I210" s="98" t="str">
        <f t="shared" si="14"/>
        <v/>
      </c>
      <c r="J210" s="97" t="e">
        <f t="shared" si="17"/>
        <v>#NUM!</v>
      </c>
      <c r="K210" s="97" t="e">
        <f t="shared" si="15"/>
        <v>#NUM!</v>
      </c>
      <c r="L210" s="97"/>
      <c r="M210" s="99">
        <f t="shared" si="16"/>
        <v>0</v>
      </c>
    </row>
    <row r="211" spans="1:13" x14ac:dyDescent="0.25">
      <c r="A211" s="118"/>
      <c r="G211" s="82"/>
      <c r="H211" s="97">
        <v>206</v>
      </c>
      <c r="I211" s="98" t="str">
        <f t="shared" si="14"/>
        <v/>
      </c>
      <c r="J211" s="97" t="e">
        <f t="shared" si="17"/>
        <v>#NUM!</v>
      </c>
      <c r="K211" s="97" t="e">
        <f t="shared" si="15"/>
        <v>#NUM!</v>
      </c>
      <c r="L211" s="97"/>
      <c r="M211" s="99">
        <f t="shared" si="16"/>
        <v>0</v>
      </c>
    </row>
    <row r="212" spans="1:13" x14ac:dyDescent="0.25">
      <c r="A212" s="118"/>
      <c r="G212" s="82"/>
      <c r="H212" s="97">
        <v>207</v>
      </c>
      <c r="I212" s="98" t="str">
        <f t="shared" si="14"/>
        <v/>
      </c>
      <c r="J212" s="97" t="e">
        <f t="shared" si="17"/>
        <v>#NUM!</v>
      </c>
      <c r="K212" s="97" t="e">
        <f t="shared" si="15"/>
        <v>#NUM!</v>
      </c>
      <c r="L212" s="97"/>
      <c r="M212" s="99">
        <f t="shared" si="16"/>
        <v>0</v>
      </c>
    </row>
    <row r="213" spans="1:13" x14ac:dyDescent="0.25">
      <c r="A213" s="118"/>
      <c r="G213" s="82"/>
      <c r="H213" s="97">
        <v>208</v>
      </c>
      <c r="I213" s="98" t="str">
        <f t="shared" si="14"/>
        <v/>
      </c>
      <c r="J213" s="97" t="e">
        <f t="shared" si="17"/>
        <v>#NUM!</v>
      </c>
      <c r="K213" s="97" t="e">
        <f t="shared" si="15"/>
        <v>#NUM!</v>
      </c>
      <c r="L213" s="97"/>
      <c r="M213" s="99">
        <f t="shared" si="16"/>
        <v>0</v>
      </c>
    </row>
    <row r="214" spans="1:13" x14ac:dyDescent="0.25">
      <c r="A214" s="118"/>
      <c r="G214" s="82"/>
      <c r="H214" s="97">
        <v>209</v>
      </c>
      <c r="I214" s="98" t="str">
        <f t="shared" si="14"/>
        <v/>
      </c>
      <c r="J214" s="97" t="e">
        <f t="shared" si="17"/>
        <v>#NUM!</v>
      </c>
      <c r="K214" s="97" t="e">
        <f t="shared" si="15"/>
        <v>#NUM!</v>
      </c>
      <c r="L214" s="97"/>
      <c r="M214" s="99">
        <f t="shared" si="16"/>
        <v>0</v>
      </c>
    </row>
    <row r="215" spans="1:13" x14ac:dyDescent="0.25">
      <c r="A215" s="118"/>
      <c r="G215" s="82"/>
      <c r="H215" s="97">
        <v>210</v>
      </c>
      <c r="I215" s="98" t="str">
        <f t="shared" si="14"/>
        <v/>
      </c>
      <c r="J215" s="97" t="e">
        <f t="shared" si="17"/>
        <v>#NUM!</v>
      </c>
      <c r="K215" s="97" t="e">
        <f t="shared" si="15"/>
        <v>#NUM!</v>
      </c>
      <c r="L215" s="97"/>
      <c r="M215" s="99">
        <f t="shared" si="16"/>
        <v>0</v>
      </c>
    </row>
    <row r="216" spans="1:13" x14ac:dyDescent="0.25">
      <c r="A216" s="118"/>
      <c r="G216" s="82"/>
      <c r="H216" s="97">
        <v>211</v>
      </c>
      <c r="I216" s="98" t="str">
        <f t="shared" si="14"/>
        <v/>
      </c>
      <c r="J216" s="97" t="e">
        <f t="shared" si="17"/>
        <v>#NUM!</v>
      </c>
      <c r="K216" s="97" t="e">
        <f t="shared" si="15"/>
        <v>#NUM!</v>
      </c>
      <c r="L216" s="97"/>
      <c r="M216" s="99">
        <f t="shared" si="16"/>
        <v>0</v>
      </c>
    </row>
    <row r="217" spans="1:13" x14ac:dyDescent="0.25">
      <c r="A217" s="118"/>
      <c r="G217" s="82"/>
      <c r="H217" s="97">
        <v>212</v>
      </c>
      <c r="I217" s="98" t="str">
        <f t="shared" si="14"/>
        <v/>
      </c>
      <c r="J217" s="97" t="e">
        <f t="shared" si="17"/>
        <v>#NUM!</v>
      </c>
      <c r="K217" s="97" t="e">
        <f t="shared" si="15"/>
        <v>#NUM!</v>
      </c>
      <c r="L217" s="97"/>
      <c r="M217" s="99">
        <f t="shared" si="16"/>
        <v>0</v>
      </c>
    </row>
    <row r="218" spans="1:13" x14ac:dyDescent="0.25">
      <c r="A218" s="118"/>
      <c r="G218" s="82"/>
      <c r="H218" s="97">
        <v>213</v>
      </c>
      <c r="I218" s="98" t="str">
        <f t="shared" si="14"/>
        <v/>
      </c>
      <c r="J218" s="97" t="e">
        <f t="shared" si="17"/>
        <v>#NUM!</v>
      </c>
      <c r="K218" s="97" t="e">
        <f t="shared" si="15"/>
        <v>#NUM!</v>
      </c>
      <c r="L218" s="97"/>
      <c r="M218" s="99">
        <f t="shared" si="16"/>
        <v>0</v>
      </c>
    </row>
    <row r="219" spans="1:13" x14ac:dyDescent="0.25">
      <c r="A219" s="118"/>
      <c r="G219" s="82"/>
      <c r="H219" s="97">
        <v>214</v>
      </c>
      <c r="I219" s="98" t="str">
        <f t="shared" si="14"/>
        <v/>
      </c>
      <c r="J219" s="97" t="e">
        <f t="shared" si="17"/>
        <v>#NUM!</v>
      </c>
      <c r="K219" s="97" t="e">
        <f t="shared" si="15"/>
        <v>#NUM!</v>
      </c>
      <c r="L219" s="97"/>
      <c r="M219" s="99">
        <f t="shared" si="16"/>
        <v>0</v>
      </c>
    </row>
    <row r="220" spans="1:13" x14ac:dyDescent="0.25">
      <c r="A220" s="118"/>
      <c r="G220" s="82"/>
      <c r="H220" s="97">
        <v>215</v>
      </c>
      <c r="I220" s="98" t="str">
        <f t="shared" si="14"/>
        <v/>
      </c>
      <c r="J220" s="97" t="e">
        <f t="shared" si="17"/>
        <v>#NUM!</v>
      </c>
      <c r="K220" s="97" t="e">
        <f t="shared" si="15"/>
        <v>#NUM!</v>
      </c>
      <c r="L220" s="97"/>
      <c r="M220" s="99">
        <f t="shared" si="16"/>
        <v>0</v>
      </c>
    </row>
    <row r="221" spans="1:13" x14ac:dyDescent="0.25">
      <c r="A221" s="118"/>
      <c r="G221" s="82"/>
      <c r="H221" s="97">
        <v>216</v>
      </c>
      <c r="I221" s="98" t="str">
        <f t="shared" si="14"/>
        <v/>
      </c>
      <c r="J221" s="97" t="e">
        <f t="shared" si="17"/>
        <v>#NUM!</v>
      </c>
      <c r="K221" s="97" t="e">
        <f t="shared" si="15"/>
        <v>#NUM!</v>
      </c>
      <c r="L221" s="97"/>
      <c r="M221" s="99">
        <f t="shared" si="16"/>
        <v>0</v>
      </c>
    </row>
    <row r="222" spans="1:13" x14ac:dyDescent="0.25">
      <c r="A222" s="118"/>
      <c r="G222" s="82"/>
      <c r="H222" s="97">
        <v>217</v>
      </c>
      <c r="I222" s="98" t="str">
        <f t="shared" si="14"/>
        <v/>
      </c>
      <c r="J222" s="97" t="e">
        <f t="shared" si="17"/>
        <v>#NUM!</v>
      </c>
      <c r="K222" s="97" t="e">
        <f t="shared" si="15"/>
        <v>#NUM!</v>
      </c>
      <c r="L222" s="97"/>
      <c r="M222" s="99">
        <f t="shared" si="16"/>
        <v>0</v>
      </c>
    </row>
    <row r="223" spans="1:13" x14ac:dyDescent="0.25">
      <c r="A223" s="118"/>
      <c r="G223" s="82"/>
      <c r="H223" s="97">
        <v>218</v>
      </c>
      <c r="I223" s="98" t="str">
        <f t="shared" si="14"/>
        <v/>
      </c>
      <c r="J223" s="97" t="e">
        <f t="shared" si="17"/>
        <v>#NUM!</v>
      </c>
      <c r="K223" s="97" t="e">
        <f t="shared" si="15"/>
        <v>#NUM!</v>
      </c>
      <c r="L223" s="97"/>
      <c r="M223" s="99">
        <f t="shared" si="16"/>
        <v>0</v>
      </c>
    </row>
    <row r="224" spans="1:13" x14ac:dyDescent="0.25">
      <c r="A224" s="118"/>
      <c r="G224" s="82"/>
      <c r="H224" s="97">
        <v>219</v>
      </c>
      <c r="I224" s="98" t="str">
        <f t="shared" si="14"/>
        <v/>
      </c>
      <c r="J224" s="97" t="e">
        <f t="shared" si="17"/>
        <v>#NUM!</v>
      </c>
      <c r="K224" s="97" t="e">
        <f t="shared" si="15"/>
        <v>#NUM!</v>
      </c>
      <c r="L224" s="97"/>
      <c r="M224" s="99">
        <f t="shared" si="16"/>
        <v>0</v>
      </c>
    </row>
    <row r="225" spans="1:13" x14ac:dyDescent="0.25">
      <c r="A225" s="118"/>
      <c r="G225" s="82"/>
      <c r="H225" s="97">
        <v>220</v>
      </c>
      <c r="I225" s="98" t="str">
        <f t="shared" si="14"/>
        <v/>
      </c>
      <c r="J225" s="97" t="e">
        <f t="shared" si="17"/>
        <v>#NUM!</v>
      </c>
      <c r="K225" s="97" t="e">
        <f t="shared" si="15"/>
        <v>#NUM!</v>
      </c>
      <c r="L225" s="97"/>
      <c r="M225" s="99">
        <f t="shared" si="16"/>
        <v>0</v>
      </c>
    </row>
    <row r="226" spans="1:13" x14ac:dyDescent="0.25">
      <c r="A226" s="118"/>
      <c r="G226" s="82"/>
      <c r="H226" s="97">
        <v>221</v>
      </c>
      <c r="I226" s="98" t="str">
        <f t="shared" si="14"/>
        <v/>
      </c>
      <c r="J226" s="97" t="e">
        <f t="shared" si="17"/>
        <v>#NUM!</v>
      </c>
      <c r="K226" s="97" t="e">
        <f t="shared" si="15"/>
        <v>#NUM!</v>
      </c>
      <c r="L226" s="97"/>
      <c r="M226" s="99">
        <f t="shared" si="16"/>
        <v>0</v>
      </c>
    </row>
    <row r="227" spans="1:13" x14ac:dyDescent="0.25">
      <c r="A227" s="118"/>
      <c r="G227" s="82"/>
      <c r="H227" s="97">
        <v>222</v>
      </c>
      <c r="I227" s="98" t="str">
        <f t="shared" si="14"/>
        <v/>
      </c>
      <c r="J227" s="97" t="e">
        <f t="shared" si="17"/>
        <v>#NUM!</v>
      </c>
      <c r="K227" s="97" t="e">
        <f t="shared" si="15"/>
        <v>#NUM!</v>
      </c>
      <c r="L227" s="97"/>
      <c r="M227" s="99">
        <f t="shared" si="16"/>
        <v>0</v>
      </c>
    </row>
    <row r="228" spans="1:13" x14ac:dyDescent="0.25">
      <c r="A228" s="118"/>
      <c r="G228" s="82"/>
      <c r="H228" s="97">
        <v>223</v>
      </c>
      <c r="I228" s="98" t="str">
        <f t="shared" si="14"/>
        <v/>
      </c>
      <c r="J228" s="97" t="e">
        <f t="shared" si="17"/>
        <v>#NUM!</v>
      </c>
      <c r="K228" s="97" t="e">
        <f t="shared" si="15"/>
        <v>#NUM!</v>
      </c>
      <c r="L228" s="97"/>
      <c r="M228" s="99">
        <f t="shared" si="16"/>
        <v>0</v>
      </c>
    </row>
    <row r="229" spans="1:13" x14ac:dyDescent="0.25">
      <c r="A229" s="118"/>
      <c r="G229" s="82"/>
      <c r="H229" s="97">
        <v>224</v>
      </c>
      <c r="I229" s="98" t="str">
        <f t="shared" si="14"/>
        <v/>
      </c>
      <c r="J229" s="97" t="e">
        <f t="shared" si="17"/>
        <v>#NUM!</v>
      </c>
      <c r="K229" s="97" t="e">
        <f t="shared" si="15"/>
        <v>#NUM!</v>
      </c>
      <c r="L229" s="97"/>
      <c r="M229" s="99">
        <f t="shared" si="16"/>
        <v>0</v>
      </c>
    </row>
    <row r="230" spans="1:13" x14ac:dyDescent="0.25">
      <c r="A230" s="118"/>
      <c r="G230" s="82"/>
      <c r="H230" s="97">
        <v>225</v>
      </c>
      <c r="I230" s="98" t="str">
        <f t="shared" si="14"/>
        <v/>
      </c>
      <c r="J230" s="97" t="e">
        <f t="shared" si="17"/>
        <v>#NUM!</v>
      </c>
      <c r="K230" s="97" t="e">
        <f t="shared" si="15"/>
        <v>#NUM!</v>
      </c>
      <c r="L230" s="97"/>
      <c r="M230" s="99">
        <f t="shared" si="16"/>
        <v>0</v>
      </c>
    </row>
    <row r="231" spans="1:13" x14ac:dyDescent="0.25">
      <c r="A231" s="118"/>
      <c r="G231" s="82"/>
      <c r="H231" s="97">
        <v>226</v>
      </c>
      <c r="I231" s="98" t="str">
        <f t="shared" si="14"/>
        <v/>
      </c>
      <c r="J231" s="97" t="e">
        <f t="shared" si="17"/>
        <v>#NUM!</v>
      </c>
      <c r="K231" s="97" t="e">
        <f t="shared" si="15"/>
        <v>#NUM!</v>
      </c>
      <c r="L231" s="97"/>
      <c r="M231" s="99">
        <f t="shared" si="16"/>
        <v>0</v>
      </c>
    </row>
    <row r="232" spans="1:13" x14ac:dyDescent="0.25">
      <c r="A232" s="118"/>
      <c r="G232" s="82"/>
      <c r="H232" s="97">
        <v>227</v>
      </c>
      <c r="I232" s="98" t="str">
        <f t="shared" si="14"/>
        <v/>
      </c>
      <c r="J232" s="97" t="e">
        <f t="shared" si="17"/>
        <v>#NUM!</v>
      </c>
      <c r="K232" s="97" t="e">
        <f t="shared" si="15"/>
        <v>#NUM!</v>
      </c>
      <c r="L232" s="97"/>
      <c r="M232" s="99">
        <f t="shared" si="16"/>
        <v>0</v>
      </c>
    </row>
    <row r="233" spans="1:13" x14ac:dyDescent="0.25">
      <c r="A233" s="118"/>
      <c r="G233" s="82"/>
      <c r="H233" s="97">
        <v>228</v>
      </c>
      <c r="I233" s="98" t="str">
        <f t="shared" si="14"/>
        <v/>
      </c>
      <c r="J233" s="97" t="e">
        <f t="shared" si="17"/>
        <v>#NUM!</v>
      </c>
      <c r="K233" s="97" t="e">
        <f t="shared" si="15"/>
        <v>#NUM!</v>
      </c>
      <c r="L233" s="97"/>
      <c r="M233" s="99">
        <f t="shared" si="16"/>
        <v>0</v>
      </c>
    </row>
    <row r="234" spans="1:13" x14ac:dyDescent="0.25">
      <c r="A234" s="118"/>
      <c r="G234" s="82"/>
      <c r="H234" s="97">
        <v>229</v>
      </c>
      <c r="I234" s="98" t="str">
        <f t="shared" si="14"/>
        <v/>
      </c>
      <c r="J234" s="97" t="e">
        <f t="shared" si="17"/>
        <v>#NUM!</v>
      </c>
      <c r="K234" s="97" t="e">
        <f t="shared" si="15"/>
        <v>#NUM!</v>
      </c>
      <c r="L234" s="97"/>
      <c r="M234" s="99">
        <f t="shared" si="16"/>
        <v>0</v>
      </c>
    </row>
    <row r="235" spans="1:13" x14ac:dyDescent="0.25">
      <c r="A235" s="118"/>
      <c r="G235" s="82"/>
      <c r="H235" s="97">
        <v>230</v>
      </c>
      <c r="I235" s="98" t="str">
        <f t="shared" si="14"/>
        <v/>
      </c>
      <c r="J235" s="97" t="e">
        <f t="shared" si="17"/>
        <v>#NUM!</v>
      </c>
      <c r="K235" s="97" t="e">
        <f t="shared" si="15"/>
        <v>#NUM!</v>
      </c>
      <c r="L235" s="97"/>
      <c r="M235" s="99">
        <f t="shared" si="16"/>
        <v>0</v>
      </c>
    </row>
    <row r="236" spans="1:13" x14ac:dyDescent="0.25">
      <c r="A236" s="118"/>
      <c r="G236" s="82"/>
      <c r="H236" s="97">
        <v>231</v>
      </c>
      <c r="I236" s="98" t="str">
        <f t="shared" si="14"/>
        <v/>
      </c>
      <c r="J236" s="97" t="e">
        <f t="shared" si="17"/>
        <v>#NUM!</v>
      </c>
      <c r="K236" s="97" t="e">
        <f t="shared" si="15"/>
        <v>#NUM!</v>
      </c>
      <c r="L236" s="97"/>
      <c r="M236" s="99">
        <f t="shared" si="16"/>
        <v>0</v>
      </c>
    </row>
    <row r="237" spans="1:13" x14ac:dyDescent="0.25">
      <c r="A237" s="118"/>
      <c r="G237" s="82"/>
      <c r="H237" s="97">
        <v>232</v>
      </c>
      <c r="I237" s="98" t="str">
        <f t="shared" si="14"/>
        <v/>
      </c>
      <c r="J237" s="97" t="e">
        <f t="shared" si="17"/>
        <v>#NUM!</v>
      </c>
      <c r="K237" s="97" t="e">
        <f t="shared" si="15"/>
        <v>#NUM!</v>
      </c>
      <c r="L237" s="97"/>
      <c r="M237" s="99">
        <f t="shared" si="16"/>
        <v>0</v>
      </c>
    </row>
    <row r="238" spans="1:13" x14ac:dyDescent="0.25">
      <c r="A238" s="118"/>
      <c r="G238" s="82"/>
      <c r="H238" s="97">
        <v>233</v>
      </c>
      <c r="I238" s="98" t="str">
        <f t="shared" si="14"/>
        <v/>
      </c>
      <c r="J238" s="97" t="e">
        <f t="shared" si="17"/>
        <v>#NUM!</v>
      </c>
      <c r="K238" s="97" t="e">
        <f t="shared" si="15"/>
        <v>#NUM!</v>
      </c>
      <c r="L238" s="97"/>
      <c r="M238" s="99">
        <f t="shared" si="16"/>
        <v>0</v>
      </c>
    </row>
    <row r="239" spans="1:13" x14ac:dyDescent="0.25">
      <c r="A239" s="118"/>
      <c r="G239" s="82"/>
      <c r="H239" s="97">
        <v>234</v>
      </c>
      <c r="I239" s="98" t="str">
        <f t="shared" si="14"/>
        <v/>
      </c>
      <c r="J239" s="97" t="e">
        <f t="shared" si="17"/>
        <v>#NUM!</v>
      </c>
      <c r="K239" s="97" t="e">
        <f t="shared" si="15"/>
        <v>#NUM!</v>
      </c>
      <c r="L239" s="97"/>
      <c r="M239" s="99">
        <f t="shared" si="16"/>
        <v>0</v>
      </c>
    </row>
    <row r="240" spans="1:13" x14ac:dyDescent="0.25">
      <c r="A240" s="118"/>
      <c r="G240" s="82"/>
      <c r="H240" s="97">
        <v>235</v>
      </c>
      <c r="I240" s="98" t="str">
        <f t="shared" si="14"/>
        <v/>
      </c>
      <c r="J240" s="97" t="e">
        <f t="shared" si="17"/>
        <v>#NUM!</v>
      </c>
      <c r="K240" s="97" t="e">
        <f t="shared" si="15"/>
        <v>#NUM!</v>
      </c>
      <c r="L240" s="97"/>
      <c r="M240" s="99">
        <f t="shared" si="16"/>
        <v>0</v>
      </c>
    </row>
    <row r="241" spans="1:13" x14ac:dyDescent="0.25">
      <c r="A241" s="118"/>
      <c r="G241" s="82"/>
      <c r="H241" s="97">
        <v>236</v>
      </c>
      <c r="I241" s="98" t="str">
        <f t="shared" si="14"/>
        <v/>
      </c>
      <c r="J241" s="97" t="e">
        <f t="shared" si="17"/>
        <v>#NUM!</v>
      </c>
      <c r="K241" s="97" t="e">
        <f t="shared" si="15"/>
        <v>#NUM!</v>
      </c>
      <c r="L241" s="97"/>
      <c r="M241" s="99">
        <f t="shared" si="16"/>
        <v>0</v>
      </c>
    </row>
    <row r="242" spans="1:13" x14ac:dyDescent="0.25">
      <c r="A242" s="118"/>
      <c r="G242" s="82"/>
      <c r="H242" s="97">
        <v>237</v>
      </c>
      <c r="I242" s="98" t="str">
        <f t="shared" si="14"/>
        <v/>
      </c>
      <c r="J242" s="97" t="e">
        <f t="shared" si="17"/>
        <v>#NUM!</v>
      </c>
      <c r="K242" s="97" t="e">
        <f t="shared" si="15"/>
        <v>#NUM!</v>
      </c>
      <c r="L242" s="97"/>
      <c r="M242" s="99">
        <f t="shared" si="16"/>
        <v>0</v>
      </c>
    </row>
    <row r="243" spans="1:13" x14ac:dyDescent="0.25">
      <c r="A243" s="118"/>
      <c r="G243" s="82"/>
      <c r="H243" s="97">
        <v>238</v>
      </c>
      <c r="I243" s="98" t="str">
        <f t="shared" si="14"/>
        <v/>
      </c>
      <c r="J243" s="97" t="e">
        <f t="shared" si="17"/>
        <v>#NUM!</v>
      </c>
      <c r="K243" s="97" t="e">
        <f t="shared" si="15"/>
        <v>#NUM!</v>
      </c>
      <c r="L243" s="97"/>
      <c r="M243" s="99">
        <f t="shared" si="16"/>
        <v>0</v>
      </c>
    </row>
    <row r="244" spans="1:13" x14ac:dyDescent="0.25">
      <c r="A244" s="118"/>
      <c r="G244" s="82"/>
      <c r="H244" s="97">
        <v>239</v>
      </c>
      <c r="I244" s="98" t="str">
        <f t="shared" si="14"/>
        <v/>
      </c>
      <c r="J244" s="97" t="e">
        <f t="shared" si="17"/>
        <v>#NUM!</v>
      </c>
      <c r="K244" s="97" t="e">
        <f t="shared" si="15"/>
        <v>#NUM!</v>
      </c>
      <c r="L244" s="97"/>
      <c r="M244" s="99">
        <f t="shared" si="16"/>
        <v>0</v>
      </c>
    </row>
    <row r="245" spans="1:13" x14ac:dyDescent="0.25">
      <c r="A245" s="118"/>
      <c r="G245" s="82"/>
      <c r="H245" s="97">
        <v>240</v>
      </c>
      <c r="I245" s="98" t="str">
        <f t="shared" si="14"/>
        <v/>
      </c>
      <c r="J245" s="97" t="e">
        <f t="shared" si="17"/>
        <v>#NUM!</v>
      </c>
      <c r="K245" s="97" t="e">
        <f t="shared" si="15"/>
        <v>#NUM!</v>
      </c>
      <c r="L245" s="97"/>
      <c r="M245" s="99">
        <f t="shared" si="16"/>
        <v>0</v>
      </c>
    </row>
    <row r="246" spans="1:13" x14ac:dyDescent="0.25">
      <c r="A246" s="118"/>
      <c r="G246" s="82"/>
      <c r="H246" s="97">
        <v>241</v>
      </c>
      <c r="I246" s="98" t="str">
        <f t="shared" si="14"/>
        <v/>
      </c>
      <c r="J246" s="97" t="e">
        <f t="shared" si="17"/>
        <v>#NUM!</v>
      </c>
      <c r="K246" s="97" t="e">
        <f t="shared" si="15"/>
        <v>#NUM!</v>
      </c>
      <c r="L246" s="97"/>
      <c r="M246" s="99">
        <f t="shared" si="16"/>
        <v>0</v>
      </c>
    </row>
    <row r="247" spans="1:13" x14ac:dyDescent="0.25">
      <c r="A247" s="118"/>
      <c r="G247" s="82"/>
      <c r="H247" s="97">
        <v>242</v>
      </c>
      <c r="I247" s="98" t="str">
        <f t="shared" si="14"/>
        <v/>
      </c>
      <c r="J247" s="97" t="e">
        <f t="shared" si="17"/>
        <v>#NUM!</v>
      </c>
      <c r="K247" s="97" t="e">
        <f t="shared" si="15"/>
        <v>#NUM!</v>
      </c>
      <c r="L247" s="97"/>
      <c r="M247" s="99">
        <f t="shared" si="16"/>
        <v>0</v>
      </c>
    </row>
    <row r="248" spans="1:13" x14ac:dyDescent="0.25">
      <c r="A248" s="118"/>
      <c r="G248" s="82"/>
      <c r="H248" s="97">
        <v>243</v>
      </c>
      <c r="I248" s="98" t="str">
        <f t="shared" si="14"/>
        <v/>
      </c>
      <c r="J248" s="97" t="e">
        <f t="shared" si="17"/>
        <v>#NUM!</v>
      </c>
      <c r="K248" s="97" t="e">
        <f t="shared" si="15"/>
        <v>#NUM!</v>
      </c>
      <c r="L248" s="97"/>
      <c r="M248" s="99">
        <f t="shared" si="16"/>
        <v>0</v>
      </c>
    </row>
    <row r="249" spans="1:13" x14ac:dyDescent="0.25">
      <c r="A249" s="118"/>
      <c r="G249" s="82"/>
      <c r="H249" s="97">
        <v>244</v>
      </c>
      <c r="I249" s="98" t="str">
        <f t="shared" si="14"/>
        <v/>
      </c>
      <c r="J249" s="97" t="e">
        <f t="shared" si="17"/>
        <v>#NUM!</v>
      </c>
      <c r="K249" s="97" t="e">
        <f t="shared" si="15"/>
        <v>#NUM!</v>
      </c>
      <c r="L249" s="97"/>
      <c r="M249" s="99">
        <f t="shared" si="16"/>
        <v>0</v>
      </c>
    </row>
    <row r="250" spans="1:13" x14ac:dyDescent="0.25">
      <c r="A250" s="118"/>
      <c r="G250" s="82"/>
      <c r="H250" s="97">
        <v>245</v>
      </c>
      <c r="I250" s="98" t="str">
        <f t="shared" si="14"/>
        <v/>
      </c>
      <c r="J250" s="97" t="e">
        <f t="shared" si="17"/>
        <v>#NUM!</v>
      </c>
      <c r="K250" s="97" t="e">
        <f t="shared" si="15"/>
        <v>#NUM!</v>
      </c>
      <c r="L250" s="97"/>
      <c r="M250" s="99">
        <f t="shared" si="16"/>
        <v>0</v>
      </c>
    </row>
    <row r="251" spans="1:13" x14ac:dyDescent="0.25">
      <c r="A251" s="118"/>
      <c r="G251" s="82"/>
      <c r="H251" s="97">
        <v>246</v>
      </c>
      <c r="I251" s="98" t="str">
        <f t="shared" si="14"/>
        <v/>
      </c>
      <c r="J251" s="97" t="e">
        <f t="shared" si="17"/>
        <v>#NUM!</v>
      </c>
      <c r="K251" s="97" t="e">
        <f t="shared" si="15"/>
        <v>#NUM!</v>
      </c>
      <c r="L251" s="97"/>
      <c r="M251" s="99">
        <f t="shared" si="16"/>
        <v>0</v>
      </c>
    </row>
    <row r="252" spans="1:13" x14ac:dyDescent="0.25">
      <c r="A252" s="118"/>
      <c r="G252" s="82"/>
      <c r="H252" s="97">
        <v>247</v>
      </c>
      <c r="I252" s="98" t="str">
        <f t="shared" si="14"/>
        <v/>
      </c>
      <c r="J252" s="97" t="e">
        <f t="shared" si="17"/>
        <v>#NUM!</v>
      </c>
      <c r="K252" s="97" t="e">
        <f t="shared" si="15"/>
        <v>#NUM!</v>
      </c>
      <c r="L252" s="97"/>
      <c r="M252" s="99">
        <f t="shared" si="16"/>
        <v>0</v>
      </c>
    </row>
    <row r="253" spans="1:13" x14ac:dyDescent="0.25">
      <c r="A253" s="118"/>
      <c r="G253" s="82"/>
      <c r="H253" s="97">
        <v>248</v>
      </c>
      <c r="I253" s="98" t="str">
        <f t="shared" si="14"/>
        <v/>
      </c>
      <c r="J253" s="97" t="e">
        <f t="shared" si="17"/>
        <v>#NUM!</v>
      </c>
      <c r="K253" s="97" t="e">
        <f t="shared" si="15"/>
        <v>#NUM!</v>
      </c>
      <c r="L253" s="97"/>
      <c r="M253" s="99">
        <f t="shared" si="16"/>
        <v>0</v>
      </c>
    </row>
    <row r="254" spans="1:13" x14ac:dyDescent="0.25">
      <c r="A254" s="118"/>
      <c r="G254" s="82"/>
      <c r="H254" s="97">
        <v>249</v>
      </c>
      <c r="I254" s="98" t="str">
        <f t="shared" si="14"/>
        <v/>
      </c>
      <c r="J254" s="97" t="e">
        <f t="shared" si="17"/>
        <v>#NUM!</v>
      </c>
      <c r="K254" s="97" t="e">
        <f t="shared" si="15"/>
        <v>#NUM!</v>
      </c>
      <c r="L254" s="97"/>
      <c r="M254" s="99">
        <f t="shared" si="16"/>
        <v>0</v>
      </c>
    </row>
    <row r="255" spans="1:13" x14ac:dyDescent="0.25">
      <c r="A255" s="118"/>
      <c r="G255" s="82"/>
      <c r="H255" s="97">
        <v>250</v>
      </c>
      <c r="I255" s="98" t="str">
        <f t="shared" si="14"/>
        <v/>
      </c>
      <c r="J255" s="97" t="e">
        <f t="shared" si="17"/>
        <v>#NUM!</v>
      </c>
      <c r="K255" s="97" t="e">
        <f t="shared" si="15"/>
        <v>#NUM!</v>
      </c>
      <c r="L255" s="97"/>
      <c r="M255" s="99">
        <f t="shared" si="16"/>
        <v>0</v>
      </c>
    </row>
    <row r="256" spans="1:13" x14ac:dyDescent="0.25">
      <c r="A256" s="118"/>
      <c r="G256" s="82"/>
      <c r="H256" s="97">
        <v>251</v>
      </c>
      <c r="I256" s="98" t="str">
        <f t="shared" si="14"/>
        <v/>
      </c>
      <c r="J256" s="97" t="e">
        <f t="shared" si="17"/>
        <v>#NUM!</v>
      </c>
      <c r="K256" s="97" t="e">
        <f t="shared" si="15"/>
        <v>#NUM!</v>
      </c>
      <c r="L256" s="97"/>
      <c r="M256" s="99">
        <f t="shared" si="16"/>
        <v>0</v>
      </c>
    </row>
    <row r="257" spans="1:13" x14ac:dyDescent="0.25">
      <c r="A257" s="118"/>
      <c r="G257" s="82"/>
      <c r="H257" s="97">
        <v>252</v>
      </c>
      <c r="I257" s="98" t="str">
        <f t="shared" si="14"/>
        <v/>
      </c>
      <c r="J257" s="97" t="e">
        <f t="shared" si="17"/>
        <v>#NUM!</v>
      </c>
      <c r="K257" s="97" t="e">
        <f t="shared" si="15"/>
        <v>#NUM!</v>
      </c>
      <c r="L257" s="97"/>
      <c r="M257" s="99">
        <f t="shared" si="16"/>
        <v>0</v>
      </c>
    </row>
    <row r="258" spans="1:13" x14ac:dyDescent="0.25">
      <c r="A258" s="118"/>
      <c r="G258" s="82"/>
      <c r="H258" s="97">
        <v>253</v>
      </c>
      <c r="I258" s="98" t="str">
        <f t="shared" si="14"/>
        <v/>
      </c>
      <c r="J258" s="97" t="e">
        <f t="shared" si="17"/>
        <v>#NUM!</v>
      </c>
      <c r="K258" s="97" t="e">
        <f t="shared" si="15"/>
        <v>#NUM!</v>
      </c>
      <c r="L258" s="97"/>
      <c r="M258" s="99">
        <f t="shared" si="16"/>
        <v>0</v>
      </c>
    </row>
    <row r="259" spans="1:13" x14ac:dyDescent="0.25">
      <c r="A259" s="118"/>
      <c r="G259" s="82"/>
      <c r="H259" s="97">
        <v>254</v>
      </c>
      <c r="I259" s="98" t="str">
        <f t="shared" si="14"/>
        <v/>
      </c>
      <c r="J259" s="97" t="e">
        <f t="shared" si="17"/>
        <v>#NUM!</v>
      </c>
      <c r="K259" s="97" t="e">
        <f t="shared" si="15"/>
        <v>#NUM!</v>
      </c>
      <c r="L259" s="97"/>
      <c r="M259" s="99">
        <f t="shared" si="16"/>
        <v>0</v>
      </c>
    </row>
    <row r="260" spans="1:13" x14ac:dyDescent="0.25">
      <c r="A260" s="118"/>
      <c r="G260" s="82"/>
      <c r="H260" s="97">
        <v>255</v>
      </c>
      <c r="I260" s="98" t="str">
        <f t="shared" si="14"/>
        <v/>
      </c>
      <c r="J260" s="97" t="e">
        <f t="shared" si="17"/>
        <v>#NUM!</v>
      </c>
      <c r="K260" s="97" t="e">
        <f t="shared" si="15"/>
        <v>#NUM!</v>
      </c>
      <c r="L260" s="97"/>
      <c r="M260" s="99">
        <f t="shared" si="16"/>
        <v>0</v>
      </c>
    </row>
    <row r="261" spans="1:13" x14ac:dyDescent="0.25">
      <c r="A261" s="118"/>
      <c r="G261" s="82"/>
      <c r="H261" s="97">
        <v>256</v>
      </c>
      <c r="I261" s="98" t="str">
        <f t="shared" si="14"/>
        <v/>
      </c>
      <c r="J261" s="97" t="e">
        <f t="shared" si="17"/>
        <v>#NUM!</v>
      </c>
      <c r="K261" s="97" t="e">
        <f t="shared" si="15"/>
        <v>#NUM!</v>
      </c>
      <c r="L261" s="97"/>
      <c r="M261" s="99">
        <f t="shared" si="16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18">IF(H262&lt;$H$2+1,($I$2-($I$2-1)*(LOG(H262)/LOG($H$2))),"")</f>
        <v/>
      </c>
      <c r="J262" s="97" t="e">
        <f t="shared" si="17"/>
        <v>#NUM!</v>
      </c>
      <c r="K262" s="97" t="e">
        <f t="shared" ref="K262:K305" si="19">J262*$J$2</f>
        <v>#NUM!</v>
      </c>
      <c r="L262" s="97"/>
      <c r="M262" s="99">
        <f t="shared" ref="M262:M305" si="20">IF(I262&lt;&gt;"",K262+I262+L262,0)</f>
        <v>0</v>
      </c>
    </row>
    <row r="263" spans="1:13" x14ac:dyDescent="0.25">
      <c r="A263" s="118"/>
      <c r="G263" s="82"/>
      <c r="H263" s="97">
        <v>258</v>
      </c>
      <c r="I263" s="98" t="str">
        <f t="shared" si="18"/>
        <v/>
      </c>
      <c r="J263" s="97" t="e">
        <f t="shared" si="17"/>
        <v>#NUM!</v>
      </c>
      <c r="K263" s="97" t="e">
        <f t="shared" si="19"/>
        <v>#NUM!</v>
      </c>
      <c r="L263" s="97"/>
      <c r="M263" s="99">
        <f t="shared" si="20"/>
        <v>0</v>
      </c>
    </row>
    <row r="264" spans="1:13" x14ac:dyDescent="0.25">
      <c r="A264" s="118"/>
      <c r="G264" s="82"/>
      <c r="H264" s="97">
        <v>259</v>
      </c>
      <c r="I264" s="98" t="str">
        <f t="shared" si="18"/>
        <v/>
      </c>
      <c r="J264" s="97" t="e">
        <f t="shared" si="17"/>
        <v>#NUM!</v>
      </c>
      <c r="K264" s="97" t="e">
        <f t="shared" si="19"/>
        <v>#NUM!</v>
      </c>
      <c r="L264" s="97"/>
      <c r="M264" s="99">
        <f t="shared" si="20"/>
        <v>0</v>
      </c>
    </row>
    <row r="265" spans="1:13" x14ac:dyDescent="0.25">
      <c r="A265" s="118"/>
      <c r="G265" s="82"/>
      <c r="H265" s="97">
        <v>260</v>
      </c>
      <c r="I265" s="98" t="str">
        <f t="shared" si="18"/>
        <v/>
      </c>
      <c r="J265" s="97" t="e">
        <f t="shared" si="17"/>
        <v>#NUM!</v>
      </c>
      <c r="K265" s="97" t="e">
        <f t="shared" si="19"/>
        <v>#NUM!</v>
      </c>
      <c r="L265" s="97"/>
      <c r="M265" s="99">
        <f t="shared" si="20"/>
        <v>0</v>
      </c>
    </row>
    <row r="266" spans="1:13" x14ac:dyDescent="0.25">
      <c r="A266" s="118"/>
      <c r="G266" s="82"/>
      <c r="H266" s="97">
        <v>261</v>
      </c>
      <c r="I266" s="98" t="str">
        <f t="shared" si="18"/>
        <v/>
      </c>
      <c r="J266" s="97" t="e">
        <f t="shared" ref="J266:J305" si="21">INT(LOG($H$2,2))-ROUNDUP(LOG(H266,2),0)+IF(OR($H$2=1,$H$2=2,$H$2=4,$H$2=8,$H$2=16,$H$2=32,$H$2=64,$H$2=128,$H$2=256),0,1)</f>
        <v>#NUM!</v>
      </c>
      <c r="K266" s="97" t="e">
        <f t="shared" si="19"/>
        <v>#NUM!</v>
      </c>
      <c r="L266" s="97"/>
      <c r="M266" s="99">
        <f t="shared" si="20"/>
        <v>0</v>
      </c>
    </row>
    <row r="267" spans="1:13" x14ac:dyDescent="0.25">
      <c r="A267" s="118"/>
      <c r="G267" s="82"/>
      <c r="H267" s="97">
        <v>262</v>
      </c>
      <c r="I267" s="98" t="str">
        <f t="shared" si="18"/>
        <v/>
      </c>
      <c r="J267" s="97" t="e">
        <f t="shared" si="21"/>
        <v>#NUM!</v>
      </c>
      <c r="K267" s="97" t="e">
        <f t="shared" si="19"/>
        <v>#NUM!</v>
      </c>
      <c r="L267" s="97"/>
      <c r="M267" s="99">
        <f t="shared" si="20"/>
        <v>0</v>
      </c>
    </row>
    <row r="268" spans="1:13" x14ac:dyDescent="0.25">
      <c r="A268" s="118"/>
      <c r="G268" s="82"/>
      <c r="H268" s="97">
        <v>263</v>
      </c>
      <c r="I268" s="98" t="str">
        <f t="shared" si="18"/>
        <v/>
      </c>
      <c r="J268" s="97" t="e">
        <f t="shared" si="21"/>
        <v>#NUM!</v>
      </c>
      <c r="K268" s="97" t="e">
        <f t="shared" si="19"/>
        <v>#NUM!</v>
      </c>
      <c r="L268" s="97"/>
      <c r="M268" s="99">
        <f t="shared" si="20"/>
        <v>0</v>
      </c>
    </row>
    <row r="269" spans="1:13" x14ac:dyDescent="0.25">
      <c r="A269" s="118"/>
      <c r="G269" s="82"/>
      <c r="H269" s="97">
        <v>264</v>
      </c>
      <c r="I269" s="98" t="str">
        <f t="shared" si="18"/>
        <v/>
      </c>
      <c r="J269" s="97" t="e">
        <f t="shared" si="21"/>
        <v>#NUM!</v>
      </c>
      <c r="K269" s="97" t="e">
        <f t="shared" si="19"/>
        <v>#NUM!</v>
      </c>
      <c r="L269" s="97"/>
      <c r="M269" s="99">
        <f t="shared" si="20"/>
        <v>0</v>
      </c>
    </row>
    <row r="270" spans="1:13" x14ac:dyDescent="0.25">
      <c r="A270" s="118"/>
      <c r="G270" s="82"/>
      <c r="H270" s="97">
        <v>265</v>
      </c>
      <c r="I270" s="98" t="str">
        <f t="shared" si="18"/>
        <v/>
      </c>
      <c r="J270" s="97" t="e">
        <f t="shared" si="21"/>
        <v>#NUM!</v>
      </c>
      <c r="K270" s="97" t="e">
        <f t="shared" si="19"/>
        <v>#NUM!</v>
      </c>
      <c r="L270" s="97"/>
      <c r="M270" s="99">
        <f t="shared" si="20"/>
        <v>0</v>
      </c>
    </row>
    <row r="271" spans="1:13" x14ac:dyDescent="0.25">
      <c r="A271" s="118"/>
      <c r="G271" s="82"/>
      <c r="H271" s="97">
        <v>266</v>
      </c>
      <c r="I271" s="98" t="str">
        <f t="shared" si="18"/>
        <v/>
      </c>
      <c r="J271" s="97" t="e">
        <f t="shared" si="21"/>
        <v>#NUM!</v>
      </c>
      <c r="K271" s="97" t="e">
        <f t="shared" si="19"/>
        <v>#NUM!</v>
      </c>
      <c r="L271" s="97"/>
      <c r="M271" s="99">
        <f t="shared" si="20"/>
        <v>0</v>
      </c>
    </row>
    <row r="272" spans="1:13" x14ac:dyDescent="0.25">
      <c r="A272" s="118"/>
      <c r="G272" s="82"/>
      <c r="H272" s="97">
        <v>267</v>
      </c>
      <c r="I272" s="98" t="str">
        <f t="shared" si="18"/>
        <v/>
      </c>
      <c r="J272" s="97" t="e">
        <f t="shared" si="21"/>
        <v>#NUM!</v>
      </c>
      <c r="K272" s="97" t="e">
        <f t="shared" si="19"/>
        <v>#NUM!</v>
      </c>
      <c r="L272" s="97"/>
      <c r="M272" s="99">
        <f t="shared" si="20"/>
        <v>0</v>
      </c>
    </row>
    <row r="273" spans="1:13" x14ac:dyDescent="0.25">
      <c r="A273" s="118"/>
      <c r="G273" s="82"/>
      <c r="H273" s="97">
        <v>268</v>
      </c>
      <c r="I273" s="98" t="str">
        <f t="shared" si="18"/>
        <v/>
      </c>
      <c r="J273" s="97" t="e">
        <f t="shared" si="21"/>
        <v>#NUM!</v>
      </c>
      <c r="K273" s="97" t="e">
        <f t="shared" si="19"/>
        <v>#NUM!</v>
      </c>
      <c r="L273" s="97"/>
      <c r="M273" s="99">
        <f t="shared" si="20"/>
        <v>0</v>
      </c>
    </row>
    <row r="274" spans="1:13" x14ac:dyDescent="0.25">
      <c r="A274" s="118"/>
      <c r="G274" s="82"/>
      <c r="H274" s="97">
        <v>269</v>
      </c>
      <c r="I274" s="98" t="str">
        <f t="shared" si="18"/>
        <v/>
      </c>
      <c r="J274" s="97" t="e">
        <f t="shared" si="21"/>
        <v>#NUM!</v>
      </c>
      <c r="K274" s="97" t="e">
        <f t="shared" si="19"/>
        <v>#NUM!</v>
      </c>
      <c r="L274" s="97"/>
      <c r="M274" s="99">
        <f t="shared" si="20"/>
        <v>0</v>
      </c>
    </row>
    <row r="275" spans="1:13" x14ac:dyDescent="0.25">
      <c r="A275" s="118"/>
      <c r="G275" s="82"/>
      <c r="H275" s="97">
        <v>270</v>
      </c>
      <c r="I275" s="98" t="str">
        <f t="shared" si="18"/>
        <v/>
      </c>
      <c r="J275" s="97" t="e">
        <f t="shared" si="21"/>
        <v>#NUM!</v>
      </c>
      <c r="K275" s="97" t="e">
        <f t="shared" si="19"/>
        <v>#NUM!</v>
      </c>
      <c r="L275" s="97"/>
      <c r="M275" s="99">
        <f t="shared" si="20"/>
        <v>0</v>
      </c>
    </row>
    <row r="276" spans="1:13" x14ac:dyDescent="0.25">
      <c r="A276" s="118"/>
      <c r="G276" s="82"/>
      <c r="H276" s="97">
        <v>271</v>
      </c>
      <c r="I276" s="98" t="str">
        <f t="shared" si="18"/>
        <v/>
      </c>
      <c r="J276" s="97" t="e">
        <f t="shared" si="21"/>
        <v>#NUM!</v>
      </c>
      <c r="K276" s="97" t="e">
        <f t="shared" si="19"/>
        <v>#NUM!</v>
      </c>
      <c r="L276" s="97"/>
      <c r="M276" s="99">
        <f t="shared" si="20"/>
        <v>0</v>
      </c>
    </row>
    <row r="277" spans="1:13" x14ac:dyDescent="0.25">
      <c r="A277" s="118"/>
      <c r="G277" s="82"/>
      <c r="H277" s="97">
        <v>272</v>
      </c>
      <c r="I277" s="98" t="str">
        <f t="shared" si="18"/>
        <v/>
      </c>
      <c r="J277" s="97" t="e">
        <f t="shared" si="21"/>
        <v>#NUM!</v>
      </c>
      <c r="K277" s="97" t="e">
        <f t="shared" si="19"/>
        <v>#NUM!</v>
      </c>
      <c r="L277" s="97"/>
      <c r="M277" s="99">
        <f t="shared" si="20"/>
        <v>0</v>
      </c>
    </row>
    <row r="278" spans="1:13" x14ac:dyDescent="0.25">
      <c r="A278" s="118"/>
      <c r="G278" s="82"/>
      <c r="H278" s="97">
        <v>273</v>
      </c>
      <c r="I278" s="98" t="str">
        <f t="shared" si="18"/>
        <v/>
      </c>
      <c r="J278" s="97" t="e">
        <f t="shared" si="21"/>
        <v>#NUM!</v>
      </c>
      <c r="K278" s="97" t="e">
        <f t="shared" si="19"/>
        <v>#NUM!</v>
      </c>
      <c r="L278" s="97"/>
      <c r="M278" s="99">
        <f t="shared" si="20"/>
        <v>0</v>
      </c>
    </row>
    <row r="279" spans="1:13" x14ac:dyDescent="0.25">
      <c r="A279" s="118"/>
      <c r="G279" s="82"/>
      <c r="H279" s="97">
        <v>274</v>
      </c>
      <c r="I279" s="98" t="str">
        <f t="shared" si="18"/>
        <v/>
      </c>
      <c r="J279" s="97" t="e">
        <f t="shared" si="21"/>
        <v>#NUM!</v>
      </c>
      <c r="K279" s="97" t="e">
        <f t="shared" si="19"/>
        <v>#NUM!</v>
      </c>
      <c r="L279" s="97"/>
      <c r="M279" s="99">
        <f t="shared" si="20"/>
        <v>0</v>
      </c>
    </row>
    <row r="280" spans="1:13" x14ac:dyDescent="0.25">
      <c r="A280" s="118"/>
      <c r="G280" s="82"/>
      <c r="H280" s="97">
        <v>275</v>
      </c>
      <c r="I280" s="98" t="str">
        <f t="shared" si="18"/>
        <v/>
      </c>
      <c r="J280" s="97" t="e">
        <f t="shared" si="21"/>
        <v>#NUM!</v>
      </c>
      <c r="K280" s="97" t="e">
        <f t="shared" si="19"/>
        <v>#NUM!</v>
      </c>
      <c r="L280" s="97"/>
      <c r="M280" s="99">
        <f t="shared" si="20"/>
        <v>0</v>
      </c>
    </row>
    <row r="281" spans="1:13" x14ac:dyDescent="0.25">
      <c r="A281" s="118"/>
      <c r="G281" s="82"/>
      <c r="H281" s="97">
        <v>276</v>
      </c>
      <c r="I281" s="98" t="str">
        <f t="shared" si="18"/>
        <v/>
      </c>
      <c r="J281" s="97" t="e">
        <f t="shared" si="21"/>
        <v>#NUM!</v>
      </c>
      <c r="K281" s="97" t="e">
        <f t="shared" si="19"/>
        <v>#NUM!</v>
      </c>
      <c r="L281" s="97"/>
      <c r="M281" s="99">
        <f t="shared" si="20"/>
        <v>0</v>
      </c>
    </row>
    <row r="282" spans="1:13" x14ac:dyDescent="0.25">
      <c r="A282" s="118"/>
      <c r="G282" s="82"/>
      <c r="H282" s="97">
        <v>277</v>
      </c>
      <c r="I282" s="98" t="str">
        <f t="shared" si="18"/>
        <v/>
      </c>
      <c r="J282" s="97" t="e">
        <f t="shared" si="21"/>
        <v>#NUM!</v>
      </c>
      <c r="K282" s="97" t="e">
        <f t="shared" si="19"/>
        <v>#NUM!</v>
      </c>
      <c r="L282" s="97"/>
      <c r="M282" s="99">
        <f t="shared" si="20"/>
        <v>0</v>
      </c>
    </row>
    <row r="283" spans="1:13" x14ac:dyDescent="0.25">
      <c r="A283" s="118"/>
      <c r="G283" s="82"/>
      <c r="H283" s="97">
        <v>278</v>
      </c>
      <c r="I283" s="98" t="str">
        <f t="shared" si="18"/>
        <v/>
      </c>
      <c r="J283" s="97" t="e">
        <f t="shared" si="21"/>
        <v>#NUM!</v>
      </c>
      <c r="K283" s="97" t="e">
        <f t="shared" si="19"/>
        <v>#NUM!</v>
      </c>
      <c r="L283" s="97"/>
      <c r="M283" s="99">
        <f t="shared" si="20"/>
        <v>0</v>
      </c>
    </row>
    <row r="284" spans="1:13" x14ac:dyDescent="0.25">
      <c r="A284" s="118"/>
      <c r="G284" s="82"/>
      <c r="H284" s="97">
        <v>279</v>
      </c>
      <c r="I284" s="98" t="str">
        <f t="shared" si="18"/>
        <v/>
      </c>
      <c r="J284" s="97" t="e">
        <f t="shared" si="21"/>
        <v>#NUM!</v>
      </c>
      <c r="K284" s="97" t="e">
        <f t="shared" si="19"/>
        <v>#NUM!</v>
      </c>
      <c r="L284" s="97"/>
      <c r="M284" s="99">
        <f t="shared" si="20"/>
        <v>0</v>
      </c>
    </row>
    <row r="285" spans="1:13" x14ac:dyDescent="0.25">
      <c r="A285" s="118"/>
      <c r="G285" s="82"/>
      <c r="H285" s="97">
        <v>280</v>
      </c>
      <c r="I285" s="98" t="str">
        <f t="shared" si="18"/>
        <v/>
      </c>
      <c r="J285" s="97" t="e">
        <f t="shared" si="21"/>
        <v>#NUM!</v>
      </c>
      <c r="K285" s="97" t="e">
        <f t="shared" si="19"/>
        <v>#NUM!</v>
      </c>
      <c r="L285" s="97"/>
      <c r="M285" s="99">
        <f t="shared" si="20"/>
        <v>0</v>
      </c>
    </row>
    <row r="286" spans="1:13" x14ac:dyDescent="0.25">
      <c r="A286" s="118"/>
      <c r="G286" s="82"/>
      <c r="H286" s="97">
        <v>281</v>
      </c>
      <c r="I286" s="98" t="str">
        <f t="shared" si="18"/>
        <v/>
      </c>
      <c r="J286" s="97" t="e">
        <f t="shared" si="21"/>
        <v>#NUM!</v>
      </c>
      <c r="K286" s="97" t="e">
        <f t="shared" si="19"/>
        <v>#NUM!</v>
      </c>
      <c r="L286" s="97"/>
      <c r="M286" s="99">
        <f t="shared" si="20"/>
        <v>0</v>
      </c>
    </row>
    <row r="287" spans="1:13" x14ac:dyDescent="0.25">
      <c r="A287" s="118"/>
      <c r="G287" s="82"/>
      <c r="H287" s="97">
        <v>282</v>
      </c>
      <c r="I287" s="98" t="str">
        <f t="shared" si="18"/>
        <v/>
      </c>
      <c r="J287" s="97" t="e">
        <f t="shared" si="21"/>
        <v>#NUM!</v>
      </c>
      <c r="K287" s="97" t="e">
        <f t="shared" si="19"/>
        <v>#NUM!</v>
      </c>
      <c r="L287" s="97"/>
      <c r="M287" s="99">
        <f t="shared" si="20"/>
        <v>0</v>
      </c>
    </row>
    <row r="288" spans="1:13" x14ac:dyDescent="0.25">
      <c r="A288" s="118"/>
      <c r="G288" s="82"/>
      <c r="H288" s="97">
        <v>283</v>
      </c>
      <c r="I288" s="98" t="str">
        <f t="shared" si="18"/>
        <v/>
      </c>
      <c r="J288" s="97" t="e">
        <f t="shared" si="21"/>
        <v>#NUM!</v>
      </c>
      <c r="K288" s="97" t="e">
        <f t="shared" si="19"/>
        <v>#NUM!</v>
      </c>
      <c r="L288" s="97"/>
      <c r="M288" s="99">
        <f t="shared" si="20"/>
        <v>0</v>
      </c>
    </row>
    <row r="289" spans="1:13" x14ac:dyDescent="0.25">
      <c r="A289" s="118"/>
      <c r="G289" s="82"/>
      <c r="H289" s="97">
        <v>284</v>
      </c>
      <c r="I289" s="98" t="str">
        <f t="shared" si="18"/>
        <v/>
      </c>
      <c r="J289" s="97" t="e">
        <f t="shared" si="21"/>
        <v>#NUM!</v>
      </c>
      <c r="K289" s="97" t="e">
        <f t="shared" si="19"/>
        <v>#NUM!</v>
      </c>
      <c r="L289" s="97"/>
      <c r="M289" s="99">
        <f t="shared" si="20"/>
        <v>0</v>
      </c>
    </row>
    <row r="290" spans="1:13" x14ac:dyDescent="0.25">
      <c r="A290" s="118"/>
      <c r="G290" s="82"/>
      <c r="H290" s="97">
        <v>285</v>
      </c>
      <c r="I290" s="98" t="str">
        <f t="shared" si="18"/>
        <v/>
      </c>
      <c r="J290" s="97" t="e">
        <f t="shared" si="21"/>
        <v>#NUM!</v>
      </c>
      <c r="K290" s="97" t="e">
        <f t="shared" si="19"/>
        <v>#NUM!</v>
      </c>
      <c r="L290" s="97"/>
      <c r="M290" s="99">
        <f t="shared" si="20"/>
        <v>0</v>
      </c>
    </row>
    <row r="291" spans="1:13" x14ac:dyDescent="0.25">
      <c r="A291" s="118"/>
      <c r="G291" s="82"/>
      <c r="H291" s="97">
        <v>286</v>
      </c>
      <c r="I291" s="98" t="str">
        <f t="shared" si="18"/>
        <v/>
      </c>
      <c r="J291" s="97" t="e">
        <f t="shared" si="21"/>
        <v>#NUM!</v>
      </c>
      <c r="K291" s="97" t="e">
        <f t="shared" si="19"/>
        <v>#NUM!</v>
      </c>
      <c r="L291" s="97"/>
      <c r="M291" s="99">
        <f t="shared" si="20"/>
        <v>0</v>
      </c>
    </row>
    <row r="292" spans="1:13" x14ac:dyDescent="0.25">
      <c r="A292" s="118"/>
      <c r="G292" s="82"/>
      <c r="H292" s="97">
        <v>287</v>
      </c>
      <c r="I292" s="98" t="str">
        <f t="shared" si="18"/>
        <v/>
      </c>
      <c r="J292" s="97" t="e">
        <f t="shared" si="21"/>
        <v>#NUM!</v>
      </c>
      <c r="K292" s="97" t="e">
        <f t="shared" si="19"/>
        <v>#NUM!</v>
      </c>
      <c r="L292" s="97"/>
      <c r="M292" s="99">
        <f t="shared" si="20"/>
        <v>0</v>
      </c>
    </row>
    <row r="293" spans="1:13" x14ac:dyDescent="0.25">
      <c r="A293" s="118"/>
      <c r="G293" s="82"/>
      <c r="H293" s="97">
        <v>288</v>
      </c>
      <c r="I293" s="98" t="str">
        <f t="shared" si="18"/>
        <v/>
      </c>
      <c r="J293" s="97" t="e">
        <f t="shared" si="21"/>
        <v>#NUM!</v>
      </c>
      <c r="K293" s="97" t="e">
        <f t="shared" si="19"/>
        <v>#NUM!</v>
      </c>
      <c r="L293" s="97"/>
      <c r="M293" s="99">
        <f t="shared" si="20"/>
        <v>0</v>
      </c>
    </row>
    <row r="294" spans="1:13" x14ac:dyDescent="0.25">
      <c r="A294" s="118"/>
      <c r="G294" s="82"/>
      <c r="H294" s="97">
        <v>289</v>
      </c>
      <c r="I294" s="98" t="str">
        <f t="shared" si="18"/>
        <v/>
      </c>
      <c r="J294" s="97" t="e">
        <f t="shared" si="21"/>
        <v>#NUM!</v>
      </c>
      <c r="K294" s="97" t="e">
        <f t="shared" si="19"/>
        <v>#NUM!</v>
      </c>
      <c r="L294" s="97"/>
      <c r="M294" s="99">
        <f t="shared" si="20"/>
        <v>0</v>
      </c>
    </row>
    <row r="295" spans="1:13" x14ac:dyDescent="0.25">
      <c r="A295" s="118"/>
      <c r="G295" s="82"/>
      <c r="H295" s="97">
        <v>290</v>
      </c>
      <c r="I295" s="98" t="str">
        <f t="shared" si="18"/>
        <v/>
      </c>
      <c r="J295" s="97" t="e">
        <f t="shared" si="21"/>
        <v>#NUM!</v>
      </c>
      <c r="K295" s="97" t="e">
        <f t="shared" si="19"/>
        <v>#NUM!</v>
      </c>
      <c r="L295" s="97"/>
      <c r="M295" s="99">
        <f t="shared" si="20"/>
        <v>0</v>
      </c>
    </row>
    <row r="296" spans="1:13" x14ac:dyDescent="0.25">
      <c r="A296" s="118"/>
      <c r="G296" s="82"/>
      <c r="H296" s="97">
        <v>291</v>
      </c>
      <c r="I296" s="98" t="str">
        <f t="shared" si="18"/>
        <v/>
      </c>
      <c r="J296" s="97" t="e">
        <f t="shared" si="21"/>
        <v>#NUM!</v>
      </c>
      <c r="K296" s="97" t="e">
        <f t="shared" si="19"/>
        <v>#NUM!</v>
      </c>
      <c r="L296" s="97"/>
      <c r="M296" s="99">
        <f t="shared" si="20"/>
        <v>0</v>
      </c>
    </row>
    <row r="297" spans="1:13" x14ac:dyDescent="0.25">
      <c r="A297" s="118"/>
      <c r="G297" s="82"/>
      <c r="H297" s="97">
        <v>292</v>
      </c>
      <c r="I297" s="98" t="str">
        <f t="shared" si="18"/>
        <v/>
      </c>
      <c r="J297" s="97" t="e">
        <f t="shared" si="21"/>
        <v>#NUM!</v>
      </c>
      <c r="K297" s="97" t="e">
        <f t="shared" si="19"/>
        <v>#NUM!</v>
      </c>
      <c r="L297" s="97"/>
      <c r="M297" s="99">
        <f t="shared" si="20"/>
        <v>0</v>
      </c>
    </row>
    <row r="298" spans="1:13" x14ac:dyDescent="0.25">
      <c r="A298" s="118"/>
      <c r="G298" s="82"/>
      <c r="H298" s="97">
        <v>293</v>
      </c>
      <c r="I298" s="98" t="str">
        <f t="shared" si="18"/>
        <v/>
      </c>
      <c r="J298" s="97" t="e">
        <f t="shared" si="21"/>
        <v>#NUM!</v>
      </c>
      <c r="K298" s="97" t="e">
        <f t="shared" si="19"/>
        <v>#NUM!</v>
      </c>
      <c r="L298" s="97"/>
      <c r="M298" s="99">
        <f t="shared" si="20"/>
        <v>0</v>
      </c>
    </row>
    <row r="299" spans="1:13" x14ac:dyDescent="0.25">
      <c r="A299" s="118"/>
      <c r="G299" s="82"/>
      <c r="H299" s="97">
        <v>294</v>
      </c>
      <c r="I299" s="98" t="str">
        <f t="shared" si="18"/>
        <v/>
      </c>
      <c r="J299" s="97" t="e">
        <f t="shared" si="21"/>
        <v>#NUM!</v>
      </c>
      <c r="K299" s="97" t="e">
        <f t="shared" si="19"/>
        <v>#NUM!</v>
      </c>
      <c r="L299" s="97"/>
      <c r="M299" s="99">
        <f t="shared" si="20"/>
        <v>0</v>
      </c>
    </row>
    <row r="300" spans="1:13" x14ac:dyDescent="0.25">
      <c r="A300" s="118"/>
      <c r="G300" s="82"/>
      <c r="H300" s="97">
        <v>295</v>
      </c>
      <c r="I300" s="98" t="str">
        <f t="shared" si="18"/>
        <v/>
      </c>
      <c r="J300" s="97" t="e">
        <f t="shared" si="21"/>
        <v>#NUM!</v>
      </c>
      <c r="K300" s="97" t="e">
        <f t="shared" si="19"/>
        <v>#NUM!</v>
      </c>
      <c r="L300" s="97"/>
      <c r="M300" s="99">
        <f t="shared" si="20"/>
        <v>0</v>
      </c>
    </row>
    <row r="301" spans="1:13" x14ac:dyDescent="0.25">
      <c r="A301" s="118"/>
      <c r="G301" s="82"/>
      <c r="H301" s="97">
        <v>296</v>
      </c>
      <c r="I301" s="98" t="str">
        <f t="shared" si="18"/>
        <v/>
      </c>
      <c r="J301" s="97" t="e">
        <f t="shared" si="21"/>
        <v>#NUM!</v>
      </c>
      <c r="K301" s="97" t="e">
        <f t="shared" si="19"/>
        <v>#NUM!</v>
      </c>
      <c r="L301" s="97"/>
      <c r="M301" s="99">
        <f t="shared" si="20"/>
        <v>0</v>
      </c>
    </row>
    <row r="302" spans="1:13" x14ac:dyDescent="0.25">
      <c r="A302" s="118"/>
      <c r="G302" s="82"/>
      <c r="H302" s="97">
        <v>297</v>
      </c>
      <c r="I302" s="98" t="str">
        <f t="shared" si="18"/>
        <v/>
      </c>
      <c r="J302" s="97" t="e">
        <f t="shared" si="21"/>
        <v>#NUM!</v>
      </c>
      <c r="K302" s="97" t="e">
        <f t="shared" si="19"/>
        <v>#NUM!</v>
      </c>
      <c r="L302" s="97"/>
      <c r="M302" s="99">
        <f t="shared" si="20"/>
        <v>0</v>
      </c>
    </row>
    <row r="303" spans="1:13" x14ac:dyDescent="0.25">
      <c r="A303" s="118"/>
      <c r="G303" s="82"/>
      <c r="H303" s="97">
        <v>298</v>
      </c>
      <c r="I303" s="98" t="str">
        <f t="shared" si="18"/>
        <v/>
      </c>
      <c r="J303" s="97" t="e">
        <f t="shared" si="21"/>
        <v>#NUM!</v>
      </c>
      <c r="K303" s="97" t="e">
        <f t="shared" si="19"/>
        <v>#NUM!</v>
      </c>
      <c r="L303" s="97"/>
      <c r="M303" s="99">
        <f t="shared" si="20"/>
        <v>0</v>
      </c>
    </row>
    <row r="304" spans="1:13" x14ac:dyDescent="0.25">
      <c r="A304" s="118"/>
      <c r="G304" s="82"/>
      <c r="H304" s="97">
        <v>299</v>
      </c>
      <c r="I304" s="98" t="str">
        <f t="shared" si="18"/>
        <v/>
      </c>
      <c r="J304" s="97" t="e">
        <f t="shared" si="21"/>
        <v>#NUM!</v>
      </c>
      <c r="K304" s="97" t="e">
        <f t="shared" si="19"/>
        <v>#NUM!</v>
      </c>
      <c r="L304" s="97"/>
      <c r="M304" s="99">
        <f t="shared" si="20"/>
        <v>0</v>
      </c>
    </row>
    <row r="305" spans="1:16" x14ac:dyDescent="0.25">
      <c r="A305" s="118"/>
      <c r="G305" s="82"/>
      <c r="H305" s="97">
        <v>300</v>
      </c>
      <c r="I305" s="98" t="str">
        <f t="shared" si="18"/>
        <v/>
      </c>
      <c r="J305" s="97" t="e">
        <f t="shared" si="21"/>
        <v>#NUM!</v>
      </c>
      <c r="K305" s="97" t="e">
        <f t="shared" si="19"/>
        <v>#NUM!</v>
      </c>
      <c r="L305" s="97"/>
      <c r="M305" s="99">
        <f t="shared" si="20"/>
        <v>0</v>
      </c>
    </row>
    <row r="306" spans="1:16" x14ac:dyDescent="0.25">
      <c r="A306" s="119"/>
    </row>
    <row r="314" spans="1:16" x14ac:dyDescent="0.25">
      <c r="L314" s="122"/>
      <c r="P314" s="109"/>
    </row>
    <row r="315" spans="1:16" x14ac:dyDescent="0.25">
      <c r="L315" s="122"/>
      <c r="P315" s="109"/>
    </row>
    <row r="316" spans="1:16" x14ac:dyDescent="0.25">
      <c r="L316" s="122"/>
      <c r="P316" s="109"/>
    </row>
    <row r="317" spans="1:16" x14ac:dyDescent="0.25">
      <c r="L317" s="122"/>
      <c r="P317" s="109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D43A2B17-3F4D-4402-9CFD-0F041992E7C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7767-0C2F-405E-A8A6-EEF4A3B4CC27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37" customWidth="1"/>
    <col min="2" max="2" width="8.25" style="237" customWidth="1"/>
    <col min="3" max="3" width="34.75" style="237" customWidth="1"/>
    <col min="4" max="4" width="11.25" style="237" customWidth="1"/>
    <col min="5" max="6" width="8.875" style="237"/>
    <col min="7" max="7" width="0.875" style="237" customWidth="1"/>
    <col min="8" max="8" width="8.875" style="240"/>
    <col min="9" max="9" width="11" style="240" customWidth="1"/>
    <col min="10" max="10" width="15.25" style="240" customWidth="1"/>
    <col min="11" max="11" width="8.75" style="240" customWidth="1"/>
    <col min="12" max="12" width="11" style="240" customWidth="1"/>
    <col min="13" max="13" width="12.25" style="241" customWidth="1"/>
    <col min="14" max="15" width="13.875" style="207" customWidth="1"/>
    <col min="16" max="18" width="8.875" style="207"/>
    <col min="19" max="20" width="8.875" style="212"/>
    <col min="21" max="21" width="12.125" style="212" customWidth="1"/>
    <col min="22" max="22" width="27.375" style="212" customWidth="1"/>
    <col min="23" max="38" width="8.875" style="212"/>
    <col min="39" max="16384" width="8.875" style="237"/>
  </cols>
  <sheetData>
    <row r="1" spans="1:36" x14ac:dyDescent="0.25">
      <c r="A1" s="207"/>
      <c r="B1" s="207"/>
      <c r="C1" s="207"/>
      <c r="D1" s="207"/>
      <c r="E1" s="207"/>
      <c r="F1" s="207"/>
      <c r="G1" s="207"/>
      <c r="H1" s="208" t="s">
        <v>22</v>
      </c>
      <c r="I1" s="209" t="s">
        <v>23</v>
      </c>
      <c r="J1" s="209" t="s">
        <v>24</v>
      </c>
      <c r="K1" s="210" t="s">
        <v>85</v>
      </c>
      <c r="L1" s="211"/>
      <c r="M1" s="211"/>
    </row>
    <row r="2" spans="1:36" x14ac:dyDescent="0.25">
      <c r="A2" s="207"/>
      <c r="B2" s="20" t="s">
        <v>26</v>
      </c>
      <c r="C2" s="170" t="s">
        <v>91</v>
      </c>
      <c r="D2" s="69"/>
      <c r="E2" s="21"/>
      <c r="F2" s="21"/>
      <c r="G2" s="21"/>
      <c r="H2" s="213">
        <v>0</v>
      </c>
      <c r="I2" s="214">
        <v>50</v>
      </c>
      <c r="J2" s="214">
        <v>10</v>
      </c>
      <c r="K2" s="215">
        <f>3*H2^(1/3)</f>
        <v>0</v>
      </c>
      <c r="L2" s="211"/>
      <c r="M2" s="211"/>
    </row>
    <row r="3" spans="1:36" x14ac:dyDescent="0.25">
      <c r="A3" s="207"/>
      <c r="B3" s="216" t="s">
        <v>28</v>
      </c>
      <c r="C3" s="70">
        <v>45114</v>
      </c>
      <c r="D3" s="70"/>
      <c r="E3" s="26"/>
      <c r="F3" s="26"/>
      <c r="G3" s="26"/>
      <c r="H3" s="211"/>
      <c r="I3" s="211"/>
      <c r="J3" s="217"/>
      <c r="K3" s="211"/>
      <c r="L3" s="211"/>
      <c r="M3" s="21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11"/>
      <c r="I4" s="211"/>
      <c r="J4" s="217"/>
      <c r="K4" s="211"/>
      <c r="L4" s="211"/>
      <c r="M4" s="211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218" t="s">
        <v>35</v>
      </c>
      <c r="I5" s="219" t="s">
        <v>36</v>
      </c>
      <c r="J5" s="220" t="s">
        <v>37</v>
      </c>
      <c r="K5" s="219" t="s">
        <v>38</v>
      </c>
      <c r="L5" s="219" t="s">
        <v>39</v>
      </c>
      <c r="M5" s="218" t="s">
        <v>40</v>
      </c>
    </row>
    <row r="6" spans="1:36" ht="14.45" customHeight="1" x14ac:dyDescent="0.25">
      <c r="A6" s="96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21">
        <v>1</v>
      </c>
      <c r="I6" s="222" t="str">
        <f t="shared" ref="I6:I69" si="1">IF(H6&lt;$H$2+1,($I$2-($I$2-1)*(LOG(H6)/LOG($H$2))),"")</f>
        <v/>
      </c>
      <c r="J6" s="221" t="e">
        <f>INT(LOG($H$2,2))-ROUNDUP(LOG(H6,2),0)+IF(OR($H$2=1,$H$2=2,$H$2=4,$H$2=8,$H$2=16,$H$2=32,$H$2=64,$H$2=128,$H$2=256),0,1)</f>
        <v>#NUM!</v>
      </c>
      <c r="K6" s="221" t="e">
        <f t="shared" ref="K6:K69" si="2">J6*$J$2</f>
        <v>#NUM!</v>
      </c>
      <c r="L6" s="223">
        <f>3*K2</f>
        <v>0</v>
      </c>
      <c r="M6" s="223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24">
        <v>2</v>
      </c>
      <c r="I7" s="225" t="str">
        <f t="shared" si="1"/>
        <v/>
      </c>
      <c r="J7" s="224" t="e">
        <f t="shared" ref="J7:J70" si="5">INT(LOG($H$2,2))-ROUNDUP(LOG(H7,2),0)+IF(OR($H$2=1,$H$2=2,$H$2=4,$H$2=8,$H$2=16,$H$2=32,$H$2=64,$H$2=128,$H$2=256),0,1)</f>
        <v>#NUM!</v>
      </c>
      <c r="K7" s="224" t="e">
        <f t="shared" si="2"/>
        <v>#NUM!</v>
      </c>
      <c r="L7" s="226">
        <f>2*K2</f>
        <v>0</v>
      </c>
      <c r="M7" s="226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21">
        <v>3</v>
      </c>
      <c r="I8" s="222" t="str">
        <f t="shared" si="1"/>
        <v/>
      </c>
      <c r="J8" s="221" t="e">
        <f t="shared" si="5"/>
        <v>#NUM!</v>
      </c>
      <c r="K8" s="221" t="e">
        <f t="shared" si="2"/>
        <v>#NUM!</v>
      </c>
      <c r="L8" s="223">
        <f>K2</f>
        <v>0</v>
      </c>
      <c r="M8" s="223">
        <f t="shared" si="3"/>
        <v>0</v>
      </c>
    </row>
    <row r="9" spans="1:36" s="212" customFormat="1" ht="14.45" customHeight="1" x14ac:dyDescent="0.25">
      <c r="A9" s="100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224">
        <v>3</v>
      </c>
      <c r="I9" s="225" t="str">
        <f t="shared" si="1"/>
        <v/>
      </c>
      <c r="J9" s="224" t="e">
        <f t="shared" si="5"/>
        <v>#NUM!</v>
      </c>
      <c r="K9" s="224" t="e">
        <f t="shared" si="2"/>
        <v>#NUM!</v>
      </c>
      <c r="L9" s="226">
        <f>K2</f>
        <v>0</v>
      </c>
      <c r="M9" s="226">
        <f t="shared" si="3"/>
        <v>0</v>
      </c>
      <c r="N9" s="207"/>
      <c r="O9" s="207"/>
      <c r="P9" s="207"/>
      <c r="Q9" s="207"/>
      <c r="R9" s="207"/>
      <c r="V9" s="227"/>
      <c r="Z9" s="228"/>
      <c r="AA9" s="228"/>
      <c r="AG9" s="229"/>
      <c r="AH9" s="212" t="s">
        <v>42</v>
      </c>
      <c r="AI9" s="212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21">
        <v>5</v>
      </c>
      <c r="I10" s="222" t="str">
        <f t="shared" si="1"/>
        <v/>
      </c>
      <c r="J10" s="221" t="e">
        <f t="shared" si="5"/>
        <v>#NUM!</v>
      </c>
      <c r="K10" s="221" t="e">
        <f t="shared" si="2"/>
        <v>#NUM!</v>
      </c>
      <c r="L10" s="221"/>
      <c r="M10" s="223">
        <f t="shared" si="3"/>
        <v>0</v>
      </c>
      <c r="V10" s="227"/>
      <c r="Z10" s="228"/>
      <c r="AA10" s="228"/>
      <c r="AG10" s="229"/>
      <c r="AH10" s="212" t="s">
        <v>43</v>
      </c>
      <c r="AI10" s="212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24">
        <v>6</v>
      </c>
      <c r="I11" s="225" t="str">
        <f t="shared" si="1"/>
        <v/>
      </c>
      <c r="J11" s="224" t="e">
        <f t="shared" si="5"/>
        <v>#NUM!</v>
      </c>
      <c r="K11" s="224" t="e">
        <f t="shared" si="2"/>
        <v>#NUM!</v>
      </c>
      <c r="L11" s="224"/>
      <c r="M11" s="226">
        <f t="shared" si="3"/>
        <v>0</v>
      </c>
      <c r="V11" s="230"/>
      <c r="Z11" s="228"/>
      <c r="AA11" s="228"/>
      <c r="AG11" s="229"/>
      <c r="AH11" s="212" t="s">
        <v>44</v>
      </c>
      <c r="AI11" s="212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21">
        <v>7</v>
      </c>
      <c r="I12" s="222" t="str">
        <f t="shared" si="1"/>
        <v/>
      </c>
      <c r="J12" s="221" t="e">
        <f t="shared" si="5"/>
        <v>#NUM!</v>
      </c>
      <c r="K12" s="221" t="e">
        <f t="shared" si="2"/>
        <v>#NUM!</v>
      </c>
      <c r="L12" s="221"/>
      <c r="M12" s="223">
        <f t="shared" si="3"/>
        <v>0</v>
      </c>
      <c r="Z12" s="228"/>
      <c r="AA12" s="228"/>
      <c r="AG12" s="229"/>
      <c r="AH12" s="212" t="s">
        <v>45</v>
      </c>
      <c r="AI12" s="212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24">
        <v>8</v>
      </c>
      <c r="I13" s="225" t="str">
        <f t="shared" si="1"/>
        <v/>
      </c>
      <c r="J13" s="224" t="e">
        <f t="shared" si="5"/>
        <v>#NUM!</v>
      </c>
      <c r="K13" s="224" t="e">
        <f t="shared" si="2"/>
        <v>#NUM!</v>
      </c>
      <c r="L13" s="224"/>
      <c r="M13" s="226">
        <f t="shared" si="3"/>
        <v>0</v>
      </c>
      <c r="X13" s="227"/>
      <c r="AG13" s="229"/>
      <c r="AH13" s="212" t="s">
        <v>46</v>
      </c>
      <c r="AI13" s="212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21">
        <v>9</v>
      </c>
      <c r="I14" s="222" t="str">
        <f t="shared" si="1"/>
        <v/>
      </c>
      <c r="J14" s="221" t="e">
        <f t="shared" si="5"/>
        <v>#NUM!</v>
      </c>
      <c r="K14" s="221" t="e">
        <f t="shared" si="2"/>
        <v>#NUM!</v>
      </c>
      <c r="L14" s="221"/>
      <c r="M14" s="223">
        <f t="shared" si="3"/>
        <v>0</v>
      </c>
      <c r="X14" s="231"/>
      <c r="Z14" s="228"/>
      <c r="AA14" s="228"/>
      <c r="AG14" s="229"/>
      <c r="AH14" s="212" t="s">
        <v>47</v>
      </c>
      <c r="AI14" s="212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24">
        <v>10</v>
      </c>
      <c r="I15" s="225" t="str">
        <f t="shared" si="1"/>
        <v/>
      </c>
      <c r="J15" s="224" t="e">
        <f t="shared" si="5"/>
        <v>#NUM!</v>
      </c>
      <c r="K15" s="224" t="e">
        <f t="shared" si="2"/>
        <v>#NUM!</v>
      </c>
      <c r="L15" s="224"/>
      <c r="M15" s="226">
        <f t="shared" si="3"/>
        <v>0</v>
      </c>
      <c r="X15" s="227"/>
      <c r="Z15" s="228"/>
      <c r="AA15" s="228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21">
        <v>11</v>
      </c>
      <c r="I16" s="222" t="str">
        <f t="shared" si="1"/>
        <v/>
      </c>
      <c r="J16" s="221" t="e">
        <f t="shared" si="5"/>
        <v>#NUM!</v>
      </c>
      <c r="K16" s="221" t="e">
        <f t="shared" si="2"/>
        <v>#NUM!</v>
      </c>
      <c r="L16" s="221"/>
      <c r="M16" s="223">
        <f t="shared" si="3"/>
        <v>0</v>
      </c>
      <c r="R16" s="232"/>
      <c r="Z16" s="228"/>
      <c r="AA16" s="228"/>
      <c r="AH16" s="233" t="s">
        <v>48</v>
      </c>
      <c r="AI16" s="212">
        <f>AI11-AI12*AI13/AI14</f>
        <v>9.6393909380186855</v>
      </c>
      <c r="AJ16" s="212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24">
        <v>12</v>
      </c>
      <c r="I17" s="225" t="str">
        <f t="shared" si="1"/>
        <v/>
      </c>
      <c r="J17" s="224" t="e">
        <f t="shared" si="5"/>
        <v>#NUM!</v>
      </c>
      <c r="K17" s="224" t="e">
        <f t="shared" si="2"/>
        <v>#NUM!</v>
      </c>
      <c r="L17" s="224"/>
      <c r="M17" s="226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21">
        <v>13</v>
      </c>
      <c r="I18" s="222" t="str">
        <f t="shared" si="1"/>
        <v/>
      </c>
      <c r="J18" s="221" t="e">
        <f t="shared" si="5"/>
        <v>#NUM!</v>
      </c>
      <c r="K18" s="221" t="e">
        <f t="shared" si="2"/>
        <v>#NUM!</v>
      </c>
      <c r="L18" s="221"/>
      <c r="M18" s="223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24">
        <v>14</v>
      </c>
      <c r="I19" s="225" t="str">
        <f t="shared" si="1"/>
        <v/>
      </c>
      <c r="J19" s="224" t="e">
        <f t="shared" si="5"/>
        <v>#NUM!</v>
      </c>
      <c r="K19" s="224" t="e">
        <f t="shared" si="2"/>
        <v>#NUM!</v>
      </c>
      <c r="L19" s="224"/>
      <c r="M19" s="226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21">
        <v>15</v>
      </c>
      <c r="I20" s="222" t="str">
        <f t="shared" si="1"/>
        <v/>
      </c>
      <c r="J20" s="221" t="e">
        <f t="shared" si="5"/>
        <v>#NUM!</v>
      </c>
      <c r="K20" s="221" t="e">
        <f t="shared" si="2"/>
        <v>#NUM!</v>
      </c>
      <c r="L20" s="221"/>
      <c r="M20" s="223">
        <f t="shared" si="3"/>
        <v>0</v>
      </c>
      <c r="R20" s="234"/>
      <c r="S20" s="235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24">
        <v>16</v>
      </c>
      <c r="I21" s="225" t="str">
        <f t="shared" si="1"/>
        <v/>
      </c>
      <c r="J21" s="224" t="e">
        <f t="shared" si="5"/>
        <v>#NUM!</v>
      </c>
      <c r="K21" s="224" t="e">
        <f t="shared" si="2"/>
        <v>#NUM!</v>
      </c>
      <c r="L21" s="224"/>
      <c r="M21" s="226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21">
        <v>17</v>
      </c>
      <c r="I22" s="222" t="str">
        <f t="shared" si="1"/>
        <v/>
      </c>
      <c r="J22" s="221" t="e">
        <f t="shared" si="5"/>
        <v>#NUM!</v>
      </c>
      <c r="K22" s="221" t="e">
        <f t="shared" si="2"/>
        <v>#NUM!</v>
      </c>
      <c r="L22" s="221"/>
      <c r="M22" s="223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24">
        <v>18</v>
      </c>
      <c r="I23" s="225" t="str">
        <f t="shared" si="1"/>
        <v/>
      </c>
      <c r="J23" s="224" t="e">
        <f t="shared" si="5"/>
        <v>#NUM!</v>
      </c>
      <c r="K23" s="224" t="e">
        <f t="shared" si="2"/>
        <v>#NUM!</v>
      </c>
      <c r="L23" s="224"/>
      <c r="M23" s="226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21">
        <v>19</v>
      </c>
      <c r="I24" s="222" t="str">
        <f t="shared" si="1"/>
        <v/>
      </c>
      <c r="J24" s="221" t="e">
        <f t="shared" si="5"/>
        <v>#NUM!</v>
      </c>
      <c r="K24" s="221" t="e">
        <f t="shared" si="2"/>
        <v>#NUM!</v>
      </c>
      <c r="L24" s="221"/>
      <c r="M24" s="223">
        <f t="shared" si="3"/>
        <v>0</v>
      </c>
      <c r="R24" s="234"/>
      <c r="S24" s="235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24">
        <v>20</v>
      </c>
      <c r="I25" s="225" t="str">
        <f t="shared" si="1"/>
        <v/>
      </c>
      <c r="J25" s="224" t="e">
        <f t="shared" si="5"/>
        <v>#NUM!</v>
      </c>
      <c r="K25" s="224" t="e">
        <f t="shared" si="2"/>
        <v>#NUM!</v>
      </c>
      <c r="L25" s="224"/>
      <c r="M25" s="226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21">
        <v>21</v>
      </c>
      <c r="I26" s="222" t="str">
        <f t="shared" si="1"/>
        <v/>
      </c>
      <c r="J26" s="221" t="e">
        <f t="shared" si="5"/>
        <v>#NUM!</v>
      </c>
      <c r="K26" s="221" t="e">
        <f t="shared" si="2"/>
        <v>#NUM!</v>
      </c>
      <c r="L26" s="221"/>
      <c r="M26" s="223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24">
        <v>22</v>
      </c>
      <c r="I27" s="225" t="str">
        <f t="shared" si="1"/>
        <v/>
      </c>
      <c r="J27" s="224" t="e">
        <f t="shared" si="5"/>
        <v>#NUM!</v>
      </c>
      <c r="K27" s="224" t="e">
        <f t="shared" si="2"/>
        <v>#NUM!</v>
      </c>
      <c r="L27" s="224"/>
      <c r="M27" s="226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21">
        <v>23</v>
      </c>
      <c r="I28" s="222" t="str">
        <f t="shared" si="1"/>
        <v/>
      </c>
      <c r="J28" s="221" t="e">
        <f t="shared" si="5"/>
        <v>#NUM!</v>
      </c>
      <c r="K28" s="221" t="e">
        <f t="shared" si="2"/>
        <v>#NUM!</v>
      </c>
      <c r="L28" s="221"/>
      <c r="M28" s="223">
        <f t="shared" si="3"/>
        <v>0</v>
      </c>
      <c r="R28" s="234"/>
      <c r="S28" s="235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207"/>
      <c r="H29" s="224">
        <v>24</v>
      </c>
      <c r="I29" s="225" t="str">
        <f t="shared" si="1"/>
        <v/>
      </c>
      <c r="J29" s="224" t="e">
        <f t="shared" si="5"/>
        <v>#NUM!</v>
      </c>
      <c r="K29" s="224" t="e">
        <f t="shared" si="2"/>
        <v>#NUM!</v>
      </c>
      <c r="L29" s="224"/>
      <c r="M29" s="226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207"/>
      <c r="H30" s="221">
        <v>25</v>
      </c>
      <c r="I30" s="222" t="str">
        <f t="shared" si="1"/>
        <v/>
      </c>
      <c r="J30" s="221" t="e">
        <f t="shared" si="5"/>
        <v>#NUM!</v>
      </c>
      <c r="K30" s="221" t="e">
        <f t="shared" si="2"/>
        <v>#NUM!</v>
      </c>
      <c r="L30" s="221"/>
      <c r="M30" s="223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207"/>
      <c r="H31" s="224">
        <v>26</v>
      </c>
      <c r="I31" s="225" t="str">
        <f t="shared" si="1"/>
        <v/>
      </c>
      <c r="J31" s="224" t="e">
        <f t="shared" si="5"/>
        <v>#NUM!</v>
      </c>
      <c r="K31" s="224" t="e">
        <f t="shared" si="2"/>
        <v>#NUM!</v>
      </c>
      <c r="L31" s="224"/>
      <c r="M31" s="226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207"/>
      <c r="H32" s="221">
        <v>27</v>
      </c>
      <c r="I32" s="222" t="str">
        <f t="shared" si="1"/>
        <v/>
      </c>
      <c r="J32" s="221" t="e">
        <f t="shared" si="5"/>
        <v>#NUM!</v>
      </c>
      <c r="K32" s="221" t="e">
        <f t="shared" si="2"/>
        <v>#NUM!</v>
      </c>
      <c r="L32" s="221"/>
      <c r="M32" s="223">
        <f t="shared" si="3"/>
        <v>0</v>
      </c>
      <c r="R32" s="234"/>
      <c r="S32" s="235"/>
    </row>
    <row r="33" spans="1:19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207"/>
      <c r="H33" s="224">
        <v>28</v>
      </c>
      <c r="I33" s="225" t="str">
        <f t="shared" si="1"/>
        <v/>
      </c>
      <c r="J33" s="224" t="e">
        <f t="shared" si="5"/>
        <v>#NUM!</v>
      </c>
      <c r="K33" s="224" t="e">
        <f t="shared" si="2"/>
        <v>#NUM!</v>
      </c>
      <c r="L33" s="224"/>
      <c r="M33" s="226">
        <f t="shared" si="3"/>
        <v>0</v>
      </c>
    </row>
    <row r="34" spans="1:19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207"/>
      <c r="H34" s="221">
        <v>29</v>
      </c>
      <c r="I34" s="222" t="str">
        <f t="shared" si="1"/>
        <v/>
      </c>
      <c r="J34" s="221" t="e">
        <f t="shared" si="5"/>
        <v>#NUM!</v>
      </c>
      <c r="K34" s="221" t="e">
        <f t="shared" si="2"/>
        <v>#NUM!</v>
      </c>
      <c r="L34" s="221"/>
      <c r="M34" s="223">
        <f t="shared" si="3"/>
        <v>0</v>
      </c>
    </row>
    <row r="35" spans="1:19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207"/>
      <c r="H35" s="224">
        <v>30</v>
      </c>
      <c r="I35" s="225" t="str">
        <f t="shared" si="1"/>
        <v/>
      </c>
      <c r="J35" s="224" t="e">
        <f t="shared" si="5"/>
        <v>#NUM!</v>
      </c>
      <c r="K35" s="224" t="e">
        <f t="shared" si="2"/>
        <v>#NUM!</v>
      </c>
      <c r="L35" s="224"/>
      <c r="M35" s="226">
        <f t="shared" si="3"/>
        <v>0</v>
      </c>
    </row>
    <row r="36" spans="1:19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207"/>
      <c r="H36" s="221">
        <v>31</v>
      </c>
      <c r="I36" s="222" t="str">
        <f t="shared" si="1"/>
        <v/>
      </c>
      <c r="J36" s="221" t="e">
        <f t="shared" si="5"/>
        <v>#NUM!</v>
      </c>
      <c r="K36" s="221" t="e">
        <f t="shared" si="2"/>
        <v>#NUM!</v>
      </c>
      <c r="L36" s="221"/>
      <c r="M36" s="223">
        <f t="shared" si="3"/>
        <v>0</v>
      </c>
      <c r="R36" s="234"/>
      <c r="S36" s="235"/>
    </row>
    <row r="37" spans="1:19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207"/>
      <c r="H37" s="224">
        <v>32</v>
      </c>
      <c r="I37" s="225" t="str">
        <f t="shared" si="1"/>
        <v/>
      </c>
      <c r="J37" s="224" t="e">
        <f t="shared" si="5"/>
        <v>#NUM!</v>
      </c>
      <c r="K37" s="224" t="e">
        <f t="shared" si="2"/>
        <v>#NUM!</v>
      </c>
      <c r="L37" s="224"/>
      <c r="M37" s="226">
        <f t="shared" si="3"/>
        <v>0</v>
      </c>
    </row>
    <row r="38" spans="1:19" x14ac:dyDescent="0.25">
      <c r="A38" s="96">
        <f t="shared" si="4"/>
        <v>0</v>
      </c>
      <c r="B38" s="34" t="str">
        <f t="shared" si="0"/>
        <v/>
      </c>
      <c r="C38" s="35"/>
      <c r="D38" s="35"/>
      <c r="E38" s="35"/>
      <c r="F38" s="35"/>
      <c r="G38" s="207"/>
      <c r="H38" s="221">
        <v>33</v>
      </c>
      <c r="I38" s="222" t="str">
        <f t="shared" si="1"/>
        <v/>
      </c>
      <c r="J38" s="221" t="e">
        <f t="shared" si="5"/>
        <v>#NUM!</v>
      </c>
      <c r="K38" s="221" t="e">
        <f t="shared" si="2"/>
        <v>#NUM!</v>
      </c>
      <c r="L38" s="221"/>
      <c r="M38" s="223">
        <f t="shared" si="3"/>
        <v>0</v>
      </c>
    </row>
    <row r="39" spans="1:19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207"/>
      <c r="H39" s="224">
        <v>34</v>
      </c>
      <c r="I39" s="225" t="str">
        <f t="shared" si="1"/>
        <v/>
      </c>
      <c r="J39" s="224" t="e">
        <f t="shared" si="5"/>
        <v>#NUM!</v>
      </c>
      <c r="K39" s="224" t="e">
        <f t="shared" si="2"/>
        <v>#NUM!</v>
      </c>
      <c r="L39" s="224"/>
      <c r="M39" s="226">
        <f t="shared" si="3"/>
        <v>0</v>
      </c>
    </row>
    <row r="40" spans="1:19" x14ac:dyDescent="0.25">
      <c r="A40" s="96">
        <f t="shared" si="4"/>
        <v>0</v>
      </c>
      <c r="B40" s="34" t="str">
        <f t="shared" si="0"/>
        <v/>
      </c>
      <c r="C40" s="35"/>
      <c r="D40" s="35"/>
      <c r="E40" s="35"/>
      <c r="F40" s="35"/>
      <c r="G40" s="207"/>
      <c r="H40" s="221">
        <v>35</v>
      </c>
      <c r="I40" s="222" t="str">
        <f t="shared" si="1"/>
        <v/>
      </c>
      <c r="J40" s="221" t="e">
        <f t="shared" si="5"/>
        <v>#NUM!</v>
      </c>
      <c r="K40" s="221" t="e">
        <f t="shared" si="2"/>
        <v>#NUM!</v>
      </c>
      <c r="L40" s="221"/>
      <c r="M40" s="223">
        <f t="shared" si="3"/>
        <v>0</v>
      </c>
    </row>
    <row r="41" spans="1:19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207"/>
      <c r="H41" s="224">
        <v>36</v>
      </c>
      <c r="I41" s="225" t="str">
        <f t="shared" si="1"/>
        <v/>
      </c>
      <c r="J41" s="224" t="e">
        <f t="shared" si="5"/>
        <v>#NUM!</v>
      </c>
      <c r="K41" s="224" t="e">
        <f t="shared" si="2"/>
        <v>#NUM!</v>
      </c>
      <c r="L41" s="224"/>
      <c r="M41" s="226">
        <f t="shared" si="3"/>
        <v>0</v>
      </c>
      <c r="S41" s="236"/>
    </row>
    <row r="42" spans="1:19" x14ac:dyDescent="0.25">
      <c r="A42" s="96">
        <f t="shared" si="4"/>
        <v>0</v>
      </c>
      <c r="B42" s="34" t="str">
        <f t="shared" si="0"/>
        <v/>
      </c>
      <c r="C42" s="35"/>
      <c r="D42" s="35"/>
      <c r="E42" s="35"/>
      <c r="F42" s="35"/>
      <c r="G42" s="207"/>
      <c r="H42" s="221">
        <v>37</v>
      </c>
      <c r="I42" s="222" t="str">
        <f t="shared" si="1"/>
        <v/>
      </c>
      <c r="J42" s="221" t="e">
        <f t="shared" si="5"/>
        <v>#NUM!</v>
      </c>
      <c r="K42" s="221" t="e">
        <f t="shared" si="2"/>
        <v>#NUM!</v>
      </c>
      <c r="L42" s="221"/>
      <c r="M42" s="223">
        <f t="shared" si="3"/>
        <v>0</v>
      </c>
    </row>
    <row r="43" spans="1:19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207"/>
      <c r="H43" s="224">
        <v>38</v>
      </c>
      <c r="I43" s="225" t="str">
        <f t="shared" si="1"/>
        <v/>
      </c>
      <c r="J43" s="224" t="e">
        <f t="shared" si="5"/>
        <v>#NUM!</v>
      </c>
      <c r="K43" s="224" t="e">
        <f t="shared" si="2"/>
        <v>#NUM!</v>
      </c>
      <c r="L43" s="224"/>
      <c r="M43" s="226">
        <f t="shared" si="3"/>
        <v>0</v>
      </c>
    </row>
    <row r="44" spans="1:19" x14ac:dyDescent="0.25">
      <c r="A44" s="96">
        <f t="shared" si="4"/>
        <v>0</v>
      </c>
      <c r="B44" s="34" t="str">
        <f t="shared" si="0"/>
        <v/>
      </c>
      <c r="C44" s="35"/>
      <c r="D44" s="35"/>
      <c r="E44" s="35"/>
      <c r="F44" s="35"/>
      <c r="G44" s="207"/>
      <c r="H44" s="221">
        <v>39</v>
      </c>
      <c r="I44" s="222" t="str">
        <f t="shared" si="1"/>
        <v/>
      </c>
      <c r="J44" s="221" t="e">
        <f t="shared" si="5"/>
        <v>#NUM!</v>
      </c>
      <c r="K44" s="221" t="e">
        <f t="shared" si="2"/>
        <v>#NUM!</v>
      </c>
      <c r="L44" s="221"/>
      <c r="M44" s="223">
        <f t="shared" si="3"/>
        <v>0</v>
      </c>
    </row>
    <row r="45" spans="1:19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207"/>
      <c r="H45" s="224">
        <v>40</v>
      </c>
      <c r="I45" s="225" t="str">
        <f t="shared" si="1"/>
        <v/>
      </c>
      <c r="J45" s="224" t="e">
        <f t="shared" si="5"/>
        <v>#NUM!</v>
      </c>
      <c r="K45" s="224" t="e">
        <f t="shared" si="2"/>
        <v>#NUM!</v>
      </c>
      <c r="L45" s="224"/>
      <c r="M45" s="226">
        <f t="shared" si="3"/>
        <v>0</v>
      </c>
    </row>
    <row r="46" spans="1:19" x14ac:dyDescent="0.25">
      <c r="A46" s="96">
        <f t="shared" si="4"/>
        <v>0</v>
      </c>
      <c r="B46" s="34" t="str">
        <f t="shared" si="0"/>
        <v/>
      </c>
      <c r="C46" s="35"/>
      <c r="D46" s="35"/>
      <c r="E46" s="35"/>
      <c r="F46" s="35"/>
      <c r="G46" s="207"/>
      <c r="H46" s="221">
        <v>41</v>
      </c>
      <c r="I46" s="222" t="str">
        <f t="shared" si="1"/>
        <v/>
      </c>
      <c r="J46" s="221" t="e">
        <f t="shared" si="5"/>
        <v>#NUM!</v>
      </c>
      <c r="K46" s="221" t="e">
        <f t="shared" si="2"/>
        <v>#NUM!</v>
      </c>
      <c r="L46" s="221"/>
      <c r="M46" s="223">
        <f t="shared" si="3"/>
        <v>0</v>
      </c>
    </row>
    <row r="47" spans="1:19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207"/>
      <c r="H47" s="224">
        <v>42</v>
      </c>
      <c r="I47" s="225" t="str">
        <f t="shared" si="1"/>
        <v/>
      </c>
      <c r="J47" s="224" t="e">
        <f t="shared" si="5"/>
        <v>#NUM!</v>
      </c>
      <c r="K47" s="224" t="e">
        <f t="shared" si="2"/>
        <v>#NUM!</v>
      </c>
      <c r="L47" s="224"/>
      <c r="M47" s="226">
        <f t="shared" si="3"/>
        <v>0</v>
      </c>
    </row>
    <row r="48" spans="1:19" x14ac:dyDescent="0.25">
      <c r="A48" s="96">
        <f t="shared" si="4"/>
        <v>0</v>
      </c>
      <c r="B48" s="34" t="str">
        <f t="shared" si="0"/>
        <v/>
      </c>
      <c r="C48" s="35"/>
      <c r="D48" s="35"/>
      <c r="E48" s="35"/>
      <c r="F48" s="35"/>
      <c r="G48" s="207"/>
      <c r="H48" s="221">
        <v>43</v>
      </c>
      <c r="I48" s="222" t="str">
        <f t="shared" si="1"/>
        <v/>
      </c>
      <c r="J48" s="221" t="e">
        <f t="shared" si="5"/>
        <v>#NUM!</v>
      </c>
      <c r="K48" s="221" t="e">
        <f t="shared" si="2"/>
        <v>#NUM!</v>
      </c>
      <c r="L48" s="221"/>
      <c r="M48" s="223">
        <f t="shared" si="3"/>
        <v>0</v>
      </c>
    </row>
    <row r="49" spans="1:38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207"/>
      <c r="H49" s="224">
        <v>44</v>
      </c>
      <c r="I49" s="225" t="str">
        <f t="shared" si="1"/>
        <v/>
      </c>
      <c r="J49" s="224" t="e">
        <f t="shared" si="5"/>
        <v>#NUM!</v>
      </c>
      <c r="K49" s="224" t="e">
        <f t="shared" si="2"/>
        <v>#NUM!</v>
      </c>
      <c r="L49" s="224"/>
      <c r="M49" s="226">
        <f t="shared" si="3"/>
        <v>0</v>
      </c>
    </row>
    <row r="50" spans="1:38" x14ac:dyDescent="0.25">
      <c r="A50" s="96">
        <f t="shared" si="4"/>
        <v>0</v>
      </c>
      <c r="B50" s="34" t="str">
        <f t="shared" si="0"/>
        <v/>
      </c>
      <c r="C50" s="35"/>
      <c r="D50" s="35"/>
      <c r="E50" s="35"/>
      <c r="F50" s="35"/>
      <c r="G50" s="207"/>
      <c r="H50" s="221">
        <v>45</v>
      </c>
      <c r="I50" s="222" t="str">
        <f t="shared" si="1"/>
        <v/>
      </c>
      <c r="J50" s="221" t="e">
        <f t="shared" si="5"/>
        <v>#NUM!</v>
      </c>
      <c r="K50" s="221" t="e">
        <f t="shared" si="2"/>
        <v>#NUM!</v>
      </c>
      <c r="L50" s="221"/>
      <c r="M50" s="223">
        <f t="shared" si="3"/>
        <v>0</v>
      </c>
    </row>
    <row r="51" spans="1:38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207"/>
      <c r="H51" s="224">
        <v>46</v>
      </c>
      <c r="I51" s="225" t="str">
        <f t="shared" si="1"/>
        <v/>
      </c>
      <c r="J51" s="224" t="e">
        <f t="shared" si="5"/>
        <v>#NUM!</v>
      </c>
      <c r="K51" s="224" t="e">
        <f t="shared" si="2"/>
        <v>#NUM!</v>
      </c>
      <c r="L51" s="224"/>
      <c r="M51" s="226">
        <f t="shared" si="3"/>
        <v>0</v>
      </c>
    </row>
    <row r="52" spans="1:38" x14ac:dyDescent="0.25">
      <c r="A52" s="96">
        <f t="shared" si="4"/>
        <v>0</v>
      </c>
      <c r="B52" s="34" t="str">
        <f t="shared" si="0"/>
        <v/>
      </c>
      <c r="C52" s="35"/>
      <c r="D52" s="35"/>
      <c r="E52" s="35"/>
      <c r="F52" s="35"/>
      <c r="G52" s="207"/>
      <c r="H52" s="221">
        <v>47</v>
      </c>
      <c r="I52" s="222" t="str">
        <f t="shared" si="1"/>
        <v/>
      </c>
      <c r="J52" s="221" t="e">
        <f t="shared" si="5"/>
        <v>#NUM!</v>
      </c>
      <c r="K52" s="221" t="e">
        <f t="shared" si="2"/>
        <v>#NUM!</v>
      </c>
      <c r="L52" s="221"/>
      <c r="M52" s="223">
        <f t="shared" si="3"/>
        <v>0</v>
      </c>
    </row>
    <row r="53" spans="1:38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207"/>
      <c r="H53" s="224">
        <v>48</v>
      </c>
      <c r="I53" s="225" t="str">
        <f t="shared" si="1"/>
        <v/>
      </c>
      <c r="J53" s="224" t="e">
        <f t="shared" si="5"/>
        <v>#NUM!</v>
      </c>
      <c r="K53" s="224" t="e">
        <f t="shared" si="2"/>
        <v>#NUM!</v>
      </c>
      <c r="L53" s="224"/>
      <c r="M53" s="226">
        <f t="shared" si="3"/>
        <v>0</v>
      </c>
    </row>
    <row r="54" spans="1:38" x14ac:dyDescent="0.25">
      <c r="A54" s="96">
        <f t="shared" si="4"/>
        <v>0</v>
      </c>
      <c r="B54" s="34" t="str">
        <f t="shared" si="0"/>
        <v/>
      </c>
      <c r="C54" s="35"/>
      <c r="D54" s="35"/>
      <c r="E54" s="35"/>
      <c r="F54" s="35"/>
      <c r="G54" s="207"/>
      <c r="H54" s="221">
        <v>49</v>
      </c>
      <c r="I54" s="222" t="str">
        <f t="shared" si="1"/>
        <v/>
      </c>
      <c r="J54" s="221" t="e">
        <f t="shared" si="5"/>
        <v>#NUM!</v>
      </c>
      <c r="K54" s="221" t="e">
        <f t="shared" si="2"/>
        <v>#NUM!</v>
      </c>
      <c r="L54" s="221"/>
      <c r="M54" s="223">
        <f t="shared" si="3"/>
        <v>0</v>
      </c>
    </row>
    <row r="55" spans="1:38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207"/>
      <c r="H55" s="224">
        <v>50</v>
      </c>
      <c r="I55" s="225" t="str">
        <f t="shared" si="1"/>
        <v/>
      </c>
      <c r="J55" s="224" t="e">
        <f t="shared" si="5"/>
        <v>#NUM!</v>
      </c>
      <c r="K55" s="224" t="e">
        <f t="shared" si="2"/>
        <v>#NUM!</v>
      </c>
      <c r="L55" s="224"/>
      <c r="M55" s="226">
        <f t="shared" si="3"/>
        <v>0</v>
      </c>
    </row>
    <row r="56" spans="1:38" x14ac:dyDescent="0.25">
      <c r="A56" s="96">
        <f t="shared" si="4"/>
        <v>0</v>
      </c>
      <c r="B56" s="34" t="str">
        <f t="shared" si="0"/>
        <v/>
      </c>
      <c r="C56" s="35"/>
      <c r="D56" s="35"/>
      <c r="E56" s="35"/>
      <c r="F56" s="35"/>
      <c r="G56" s="207"/>
      <c r="H56" s="221">
        <v>51</v>
      </c>
      <c r="I56" s="222" t="str">
        <f t="shared" si="1"/>
        <v/>
      </c>
      <c r="J56" s="221" t="e">
        <f t="shared" si="5"/>
        <v>#NUM!</v>
      </c>
      <c r="K56" s="221" t="e">
        <f t="shared" si="2"/>
        <v>#NUM!</v>
      </c>
      <c r="L56" s="221"/>
      <c r="M56" s="223">
        <f t="shared" si="3"/>
        <v>0</v>
      </c>
    </row>
    <row r="57" spans="1:38" s="207" customFormat="1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H57" s="224">
        <v>52</v>
      </c>
      <c r="I57" s="225" t="str">
        <f t="shared" si="1"/>
        <v/>
      </c>
      <c r="J57" s="224" t="e">
        <f t="shared" si="5"/>
        <v>#NUM!</v>
      </c>
      <c r="K57" s="224" t="e">
        <f t="shared" si="2"/>
        <v>#NUM!</v>
      </c>
      <c r="L57" s="224"/>
      <c r="M57" s="226">
        <f t="shared" si="3"/>
        <v>0</v>
      </c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</row>
    <row r="58" spans="1:38" s="207" customFormat="1" x14ac:dyDescent="0.25">
      <c r="A58" s="96">
        <f t="shared" si="4"/>
        <v>0</v>
      </c>
      <c r="B58" s="34" t="str">
        <f t="shared" si="0"/>
        <v/>
      </c>
      <c r="C58" s="35"/>
      <c r="D58" s="35"/>
      <c r="E58" s="35"/>
      <c r="F58" s="35"/>
      <c r="H58" s="221">
        <v>53</v>
      </c>
      <c r="I58" s="222" t="str">
        <f t="shared" si="1"/>
        <v/>
      </c>
      <c r="J58" s="221" t="e">
        <f t="shared" si="5"/>
        <v>#NUM!</v>
      </c>
      <c r="K58" s="221" t="e">
        <f t="shared" si="2"/>
        <v>#NUM!</v>
      </c>
      <c r="L58" s="221"/>
      <c r="M58" s="223">
        <f t="shared" si="3"/>
        <v>0</v>
      </c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</row>
    <row r="59" spans="1:38" s="207" customFormat="1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H59" s="224">
        <v>54</v>
      </c>
      <c r="I59" s="225" t="str">
        <f t="shared" si="1"/>
        <v/>
      </c>
      <c r="J59" s="224" t="e">
        <f t="shared" si="5"/>
        <v>#NUM!</v>
      </c>
      <c r="K59" s="224" t="e">
        <f t="shared" si="2"/>
        <v>#NUM!</v>
      </c>
      <c r="L59" s="224"/>
      <c r="M59" s="226">
        <f t="shared" si="3"/>
        <v>0</v>
      </c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</row>
    <row r="60" spans="1:38" s="207" customFormat="1" x14ac:dyDescent="0.25">
      <c r="A60" s="96">
        <f t="shared" si="4"/>
        <v>0</v>
      </c>
      <c r="B60" s="34" t="str">
        <f t="shared" si="0"/>
        <v/>
      </c>
      <c r="C60" s="35"/>
      <c r="D60" s="35"/>
      <c r="E60" s="35"/>
      <c r="F60" s="35"/>
      <c r="H60" s="221">
        <v>55</v>
      </c>
      <c r="I60" s="222" t="str">
        <f t="shared" si="1"/>
        <v/>
      </c>
      <c r="J60" s="221" t="e">
        <f t="shared" si="5"/>
        <v>#NUM!</v>
      </c>
      <c r="K60" s="221" t="e">
        <f t="shared" si="2"/>
        <v>#NUM!</v>
      </c>
      <c r="L60" s="221"/>
      <c r="M60" s="223">
        <f t="shared" si="3"/>
        <v>0</v>
      </c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</row>
    <row r="61" spans="1:38" s="207" customFormat="1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H61" s="224">
        <v>56</v>
      </c>
      <c r="I61" s="225" t="str">
        <f t="shared" si="1"/>
        <v/>
      </c>
      <c r="J61" s="224" t="e">
        <f t="shared" si="5"/>
        <v>#NUM!</v>
      </c>
      <c r="K61" s="224" t="e">
        <f t="shared" si="2"/>
        <v>#NUM!</v>
      </c>
      <c r="L61" s="224"/>
      <c r="M61" s="226">
        <f t="shared" si="3"/>
        <v>0</v>
      </c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</row>
    <row r="62" spans="1:38" s="207" customFormat="1" x14ac:dyDescent="0.25">
      <c r="A62" s="96">
        <f t="shared" si="4"/>
        <v>0</v>
      </c>
      <c r="B62" s="34" t="str">
        <f t="shared" si="0"/>
        <v/>
      </c>
      <c r="C62" s="35"/>
      <c r="D62" s="35"/>
      <c r="E62" s="35"/>
      <c r="F62" s="35"/>
      <c r="H62" s="221">
        <v>57</v>
      </c>
      <c r="I62" s="222" t="str">
        <f t="shared" si="1"/>
        <v/>
      </c>
      <c r="J62" s="221" t="e">
        <f t="shared" si="5"/>
        <v>#NUM!</v>
      </c>
      <c r="K62" s="221" t="e">
        <f t="shared" si="2"/>
        <v>#NUM!</v>
      </c>
      <c r="L62" s="221"/>
      <c r="M62" s="223">
        <f t="shared" si="3"/>
        <v>0</v>
      </c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</row>
    <row r="63" spans="1:38" s="207" customFormat="1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H63" s="224">
        <v>58</v>
      </c>
      <c r="I63" s="225" t="str">
        <f t="shared" si="1"/>
        <v/>
      </c>
      <c r="J63" s="224" t="e">
        <f t="shared" si="5"/>
        <v>#NUM!</v>
      </c>
      <c r="K63" s="224" t="e">
        <f t="shared" si="2"/>
        <v>#NUM!</v>
      </c>
      <c r="L63" s="224"/>
      <c r="M63" s="226">
        <f t="shared" si="3"/>
        <v>0</v>
      </c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</row>
    <row r="64" spans="1:38" s="207" customFormat="1" x14ac:dyDescent="0.25">
      <c r="A64" s="96">
        <f t="shared" si="4"/>
        <v>0</v>
      </c>
      <c r="B64" s="34" t="str">
        <f t="shared" si="0"/>
        <v/>
      </c>
      <c r="C64" s="35"/>
      <c r="D64" s="35"/>
      <c r="E64" s="35"/>
      <c r="F64" s="35"/>
      <c r="H64" s="221">
        <v>59</v>
      </c>
      <c r="I64" s="222" t="str">
        <f t="shared" si="1"/>
        <v/>
      </c>
      <c r="J64" s="221" t="e">
        <f t="shared" si="5"/>
        <v>#NUM!</v>
      </c>
      <c r="K64" s="221" t="e">
        <f t="shared" si="2"/>
        <v>#NUM!</v>
      </c>
      <c r="L64" s="221"/>
      <c r="M64" s="223">
        <f t="shared" si="3"/>
        <v>0</v>
      </c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</row>
    <row r="65" spans="1:38" s="207" customFormat="1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H65" s="224">
        <v>60</v>
      </c>
      <c r="I65" s="225" t="str">
        <f t="shared" si="1"/>
        <v/>
      </c>
      <c r="J65" s="224" t="e">
        <f t="shared" si="5"/>
        <v>#NUM!</v>
      </c>
      <c r="K65" s="224" t="e">
        <f t="shared" si="2"/>
        <v>#NUM!</v>
      </c>
      <c r="L65" s="224"/>
      <c r="M65" s="226">
        <f t="shared" si="3"/>
        <v>0</v>
      </c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</row>
    <row r="66" spans="1:38" s="207" customFormat="1" x14ac:dyDescent="0.25">
      <c r="A66" s="96">
        <f t="shared" si="4"/>
        <v>0</v>
      </c>
      <c r="B66" s="34" t="str">
        <f t="shared" si="0"/>
        <v/>
      </c>
      <c r="C66" s="35"/>
      <c r="D66" s="35"/>
      <c r="E66" s="35"/>
      <c r="F66" s="35"/>
      <c r="H66" s="221">
        <v>61</v>
      </c>
      <c r="I66" s="222" t="str">
        <f t="shared" si="1"/>
        <v/>
      </c>
      <c r="J66" s="221" t="e">
        <f t="shared" si="5"/>
        <v>#NUM!</v>
      </c>
      <c r="K66" s="221" t="e">
        <f t="shared" si="2"/>
        <v>#NUM!</v>
      </c>
      <c r="L66" s="221"/>
      <c r="M66" s="223">
        <f t="shared" si="3"/>
        <v>0</v>
      </c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</row>
    <row r="67" spans="1:38" s="207" customFormat="1" x14ac:dyDescent="0.25">
      <c r="A67" s="100">
        <f t="shared" si="4"/>
        <v>0</v>
      </c>
      <c r="B67" s="40" t="str">
        <f t="shared" si="0"/>
        <v/>
      </c>
      <c r="C67" s="41"/>
      <c r="D67" s="41"/>
      <c r="E67" s="41"/>
      <c r="F67" s="41"/>
      <c r="H67" s="224">
        <v>62</v>
      </c>
      <c r="I67" s="225" t="str">
        <f t="shared" si="1"/>
        <v/>
      </c>
      <c r="J67" s="224" t="e">
        <f t="shared" si="5"/>
        <v>#NUM!</v>
      </c>
      <c r="K67" s="224" t="e">
        <f t="shared" si="2"/>
        <v>#NUM!</v>
      </c>
      <c r="L67" s="224"/>
      <c r="M67" s="226">
        <f t="shared" si="3"/>
        <v>0</v>
      </c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</row>
    <row r="68" spans="1:38" s="207" customFormat="1" x14ac:dyDescent="0.25">
      <c r="A68" s="96">
        <f t="shared" si="4"/>
        <v>0</v>
      </c>
      <c r="B68" s="34" t="str">
        <f t="shared" si="0"/>
        <v/>
      </c>
      <c r="C68" s="35"/>
      <c r="D68" s="35"/>
      <c r="E68" s="35"/>
      <c r="F68" s="35"/>
      <c r="H68" s="221">
        <v>63</v>
      </c>
      <c r="I68" s="222" t="str">
        <f t="shared" si="1"/>
        <v/>
      </c>
      <c r="J68" s="221" t="e">
        <f t="shared" si="5"/>
        <v>#NUM!</v>
      </c>
      <c r="K68" s="221" t="e">
        <f t="shared" si="2"/>
        <v>#NUM!</v>
      </c>
      <c r="L68" s="221"/>
      <c r="M68" s="223">
        <f t="shared" si="3"/>
        <v>0</v>
      </c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</row>
    <row r="69" spans="1:38" s="207" customFormat="1" x14ac:dyDescent="0.25">
      <c r="A69" s="100">
        <f t="shared" si="4"/>
        <v>0</v>
      </c>
      <c r="B69" s="40" t="str">
        <f t="shared" si="0"/>
        <v/>
      </c>
      <c r="C69" s="41"/>
      <c r="D69" s="41"/>
      <c r="E69" s="41"/>
      <c r="F69" s="41"/>
      <c r="H69" s="224">
        <v>64</v>
      </c>
      <c r="I69" s="225" t="str">
        <f t="shared" si="1"/>
        <v/>
      </c>
      <c r="J69" s="224" t="e">
        <f t="shared" si="5"/>
        <v>#NUM!</v>
      </c>
      <c r="K69" s="224" t="e">
        <f t="shared" si="2"/>
        <v>#NUM!</v>
      </c>
      <c r="L69" s="224"/>
      <c r="M69" s="226">
        <f t="shared" si="3"/>
        <v>0</v>
      </c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</row>
    <row r="70" spans="1:38" s="207" customFormat="1" x14ac:dyDescent="0.25">
      <c r="A70" s="96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21">
        <v>65</v>
      </c>
      <c r="I70" s="222" t="str">
        <f t="shared" ref="I70:I133" si="7">IF(H70&lt;$H$2+1,($I$2-($I$2-1)*(LOG(H70)/LOG($H$2))),"")</f>
        <v/>
      </c>
      <c r="J70" s="221" t="e">
        <f t="shared" si="5"/>
        <v>#NUM!</v>
      </c>
      <c r="K70" s="221" t="e">
        <f t="shared" ref="K70:K133" si="8">J70*$J$2</f>
        <v>#NUM!</v>
      </c>
      <c r="L70" s="221"/>
      <c r="M70" s="223">
        <f t="shared" ref="M70:M133" si="9">IF(I70&lt;&gt;"",K70+I70+L70,0)</f>
        <v>0</v>
      </c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</row>
    <row r="71" spans="1:38" s="207" customFormat="1" x14ac:dyDescent="0.25">
      <c r="A71" s="100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24">
        <v>66</v>
      </c>
      <c r="I71" s="225" t="str">
        <f t="shared" si="7"/>
        <v/>
      </c>
      <c r="J71" s="224" t="e">
        <f t="shared" ref="J71:J134" si="11">INT(LOG($H$2,2))-ROUNDUP(LOG(H71,2),0)+IF(OR($H$2=1,$H$2=2,$H$2=4,$H$2=8,$H$2=16,$H$2=32,$H$2=64,$H$2=128,$H$2=256),0,1)</f>
        <v>#NUM!</v>
      </c>
      <c r="K71" s="224" t="e">
        <f t="shared" si="8"/>
        <v>#NUM!</v>
      </c>
      <c r="L71" s="224"/>
      <c r="M71" s="226">
        <f t="shared" si="9"/>
        <v>0</v>
      </c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</row>
    <row r="72" spans="1:38" s="207" customFormat="1" x14ac:dyDescent="0.25">
      <c r="A72" s="96">
        <f t="shared" si="10"/>
        <v>0</v>
      </c>
      <c r="B72" s="34" t="str">
        <f t="shared" si="6"/>
        <v/>
      </c>
      <c r="C72" s="35"/>
      <c r="D72" s="35"/>
      <c r="E72" s="35"/>
      <c r="F72" s="35"/>
      <c r="H72" s="221">
        <v>67</v>
      </c>
      <c r="I72" s="222" t="str">
        <f t="shared" si="7"/>
        <v/>
      </c>
      <c r="J72" s="221" t="e">
        <f t="shared" si="11"/>
        <v>#NUM!</v>
      </c>
      <c r="K72" s="221" t="e">
        <f t="shared" si="8"/>
        <v>#NUM!</v>
      </c>
      <c r="L72" s="221"/>
      <c r="M72" s="223">
        <f t="shared" si="9"/>
        <v>0</v>
      </c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</row>
    <row r="73" spans="1:38" s="207" customFormat="1" x14ac:dyDescent="0.25">
      <c r="A73" s="100">
        <f t="shared" si="10"/>
        <v>0</v>
      </c>
      <c r="B73" s="40" t="str">
        <f t="shared" si="6"/>
        <v/>
      </c>
      <c r="C73" s="41"/>
      <c r="D73" s="41"/>
      <c r="E73" s="41"/>
      <c r="F73" s="41"/>
      <c r="H73" s="224">
        <v>68</v>
      </c>
      <c r="I73" s="225" t="str">
        <f t="shared" si="7"/>
        <v/>
      </c>
      <c r="J73" s="224" t="e">
        <f t="shared" si="11"/>
        <v>#NUM!</v>
      </c>
      <c r="K73" s="224" t="e">
        <f t="shared" si="8"/>
        <v>#NUM!</v>
      </c>
      <c r="L73" s="224"/>
      <c r="M73" s="226">
        <f t="shared" si="9"/>
        <v>0</v>
      </c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</row>
    <row r="74" spans="1:38" s="207" customFormat="1" x14ac:dyDescent="0.25">
      <c r="A74" s="96">
        <f t="shared" si="10"/>
        <v>0</v>
      </c>
      <c r="B74" s="34" t="str">
        <f t="shared" si="6"/>
        <v/>
      </c>
      <c r="C74" s="35"/>
      <c r="D74" s="35"/>
      <c r="E74" s="35"/>
      <c r="F74" s="35"/>
      <c r="H74" s="221">
        <v>69</v>
      </c>
      <c r="I74" s="222" t="str">
        <f t="shared" si="7"/>
        <v/>
      </c>
      <c r="J74" s="221" t="e">
        <f t="shared" si="11"/>
        <v>#NUM!</v>
      </c>
      <c r="K74" s="221" t="e">
        <f t="shared" si="8"/>
        <v>#NUM!</v>
      </c>
      <c r="L74" s="221"/>
      <c r="M74" s="223">
        <f t="shared" si="9"/>
        <v>0</v>
      </c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</row>
    <row r="75" spans="1:38" s="207" customFormat="1" x14ac:dyDescent="0.25">
      <c r="A75" s="100">
        <f t="shared" si="10"/>
        <v>0</v>
      </c>
      <c r="B75" s="40" t="str">
        <f t="shared" si="6"/>
        <v/>
      </c>
      <c r="C75" s="41"/>
      <c r="D75" s="41"/>
      <c r="E75" s="41"/>
      <c r="F75" s="41"/>
      <c r="H75" s="224">
        <v>70</v>
      </c>
      <c r="I75" s="225" t="str">
        <f t="shared" si="7"/>
        <v/>
      </c>
      <c r="J75" s="224" t="e">
        <f t="shared" si="11"/>
        <v>#NUM!</v>
      </c>
      <c r="K75" s="224" t="e">
        <f t="shared" si="8"/>
        <v>#NUM!</v>
      </c>
      <c r="L75" s="224"/>
      <c r="M75" s="226">
        <f t="shared" si="9"/>
        <v>0</v>
      </c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</row>
    <row r="76" spans="1:38" s="207" customFormat="1" x14ac:dyDescent="0.25">
      <c r="A76" s="96">
        <f t="shared" si="10"/>
        <v>0</v>
      </c>
      <c r="B76" s="34" t="str">
        <f t="shared" si="6"/>
        <v/>
      </c>
      <c r="C76" s="35"/>
      <c r="D76" s="35"/>
      <c r="E76" s="35"/>
      <c r="F76" s="35"/>
      <c r="H76" s="221">
        <v>71</v>
      </c>
      <c r="I76" s="222" t="str">
        <f t="shared" si="7"/>
        <v/>
      </c>
      <c r="J76" s="221" t="e">
        <f t="shared" si="11"/>
        <v>#NUM!</v>
      </c>
      <c r="K76" s="221" t="e">
        <f t="shared" si="8"/>
        <v>#NUM!</v>
      </c>
      <c r="L76" s="221"/>
      <c r="M76" s="223">
        <f t="shared" si="9"/>
        <v>0</v>
      </c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</row>
    <row r="77" spans="1:38" s="207" customFormat="1" x14ac:dyDescent="0.25">
      <c r="A77" s="100">
        <f t="shared" si="10"/>
        <v>0</v>
      </c>
      <c r="B77" s="40" t="str">
        <f t="shared" si="6"/>
        <v/>
      </c>
      <c r="C77" s="41"/>
      <c r="D77" s="41"/>
      <c r="E77" s="41"/>
      <c r="F77" s="41"/>
      <c r="H77" s="224">
        <v>72</v>
      </c>
      <c r="I77" s="225" t="str">
        <f t="shared" si="7"/>
        <v/>
      </c>
      <c r="J77" s="224" t="e">
        <f t="shared" si="11"/>
        <v>#NUM!</v>
      </c>
      <c r="K77" s="224" t="e">
        <f t="shared" si="8"/>
        <v>#NUM!</v>
      </c>
      <c r="L77" s="224"/>
      <c r="M77" s="226">
        <f t="shared" si="9"/>
        <v>0</v>
      </c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</row>
    <row r="78" spans="1:38" s="207" customFormat="1" x14ac:dyDescent="0.25">
      <c r="A78" s="96">
        <f t="shared" si="10"/>
        <v>0</v>
      </c>
      <c r="B78" s="34" t="str">
        <f t="shared" si="6"/>
        <v/>
      </c>
      <c r="C78" s="35"/>
      <c r="D78" s="35"/>
      <c r="E78" s="35"/>
      <c r="F78" s="35"/>
      <c r="H78" s="221">
        <v>73</v>
      </c>
      <c r="I78" s="222" t="str">
        <f t="shared" si="7"/>
        <v/>
      </c>
      <c r="J78" s="221" t="e">
        <f t="shared" si="11"/>
        <v>#NUM!</v>
      </c>
      <c r="K78" s="221" t="e">
        <f t="shared" si="8"/>
        <v>#NUM!</v>
      </c>
      <c r="L78" s="221"/>
      <c r="M78" s="223">
        <f t="shared" si="9"/>
        <v>0</v>
      </c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</row>
    <row r="79" spans="1:38" s="207" customFormat="1" x14ac:dyDescent="0.25">
      <c r="A79" s="100">
        <f t="shared" si="10"/>
        <v>0</v>
      </c>
      <c r="B79" s="40" t="str">
        <f t="shared" si="6"/>
        <v/>
      </c>
      <c r="C79" s="41"/>
      <c r="D79" s="41"/>
      <c r="E79" s="41"/>
      <c r="F79" s="41"/>
      <c r="H79" s="224">
        <v>74</v>
      </c>
      <c r="I79" s="225" t="str">
        <f t="shared" si="7"/>
        <v/>
      </c>
      <c r="J79" s="224" t="e">
        <f t="shared" si="11"/>
        <v>#NUM!</v>
      </c>
      <c r="K79" s="224" t="e">
        <f t="shared" si="8"/>
        <v>#NUM!</v>
      </c>
      <c r="L79" s="224"/>
      <c r="M79" s="226">
        <f t="shared" si="9"/>
        <v>0</v>
      </c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</row>
    <row r="80" spans="1:38" s="207" customFormat="1" x14ac:dyDescent="0.25">
      <c r="A80" s="96">
        <f t="shared" si="10"/>
        <v>0</v>
      </c>
      <c r="B80" s="34" t="str">
        <f t="shared" si="6"/>
        <v/>
      </c>
      <c r="C80" s="35"/>
      <c r="D80" s="35"/>
      <c r="E80" s="35"/>
      <c r="F80" s="35"/>
      <c r="H80" s="221">
        <v>75</v>
      </c>
      <c r="I80" s="222" t="str">
        <f t="shared" si="7"/>
        <v/>
      </c>
      <c r="J80" s="221" t="e">
        <f t="shared" si="11"/>
        <v>#NUM!</v>
      </c>
      <c r="K80" s="221" t="e">
        <f t="shared" si="8"/>
        <v>#NUM!</v>
      </c>
      <c r="L80" s="221"/>
      <c r="M80" s="223">
        <f t="shared" si="9"/>
        <v>0</v>
      </c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</row>
    <row r="81" spans="1:38" s="207" customFormat="1" x14ac:dyDescent="0.25">
      <c r="A81" s="100">
        <f t="shared" si="10"/>
        <v>0</v>
      </c>
      <c r="B81" s="40" t="str">
        <f t="shared" si="6"/>
        <v/>
      </c>
      <c r="C81" s="41"/>
      <c r="D81" s="41"/>
      <c r="E81" s="41"/>
      <c r="F81" s="41"/>
      <c r="H81" s="224">
        <v>76</v>
      </c>
      <c r="I81" s="225" t="str">
        <f t="shared" si="7"/>
        <v/>
      </c>
      <c r="J81" s="224" t="e">
        <f t="shared" si="11"/>
        <v>#NUM!</v>
      </c>
      <c r="K81" s="224" t="e">
        <f t="shared" si="8"/>
        <v>#NUM!</v>
      </c>
      <c r="L81" s="224"/>
      <c r="M81" s="226">
        <f t="shared" si="9"/>
        <v>0</v>
      </c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</row>
    <row r="82" spans="1:38" s="207" customFormat="1" x14ac:dyDescent="0.25">
      <c r="A82" s="96">
        <f t="shared" si="10"/>
        <v>0</v>
      </c>
      <c r="B82" s="34" t="str">
        <f t="shared" si="6"/>
        <v/>
      </c>
      <c r="C82" s="35"/>
      <c r="D82" s="35"/>
      <c r="E82" s="35"/>
      <c r="F82" s="35"/>
      <c r="H82" s="221">
        <v>77</v>
      </c>
      <c r="I82" s="222" t="str">
        <f t="shared" si="7"/>
        <v/>
      </c>
      <c r="J82" s="221" t="e">
        <f t="shared" si="11"/>
        <v>#NUM!</v>
      </c>
      <c r="K82" s="221" t="e">
        <f t="shared" si="8"/>
        <v>#NUM!</v>
      </c>
      <c r="L82" s="221"/>
      <c r="M82" s="223">
        <f t="shared" si="9"/>
        <v>0</v>
      </c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</row>
    <row r="83" spans="1:38" s="207" customFormat="1" x14ac:dyDescent="0.25">
      <c r="A83" s="100">
        <f t="shared" si="10"/>
        <v>0</v>
      </c>
      <c r="B83" s="40" t="str">
        <f t="shared" si="6"/>
        <v/>
      </c>
      <c r="C83" s="41"/>
      <c r="D83" s="41"/>
      <c r="E83" s="41"/>
      <c r="F83" s="41"/>
      <c r="H83" s="224">
        <v>78</v>
      </c>
      <c r="I83" s="225" t="str">
        <f t="shared" si="7"/>
        <v/>
      </c>
      <c r="J83" s="224" t="e">
        <f t="shared" si="11"/>
        <v>#NUM!</v>
      </c>
      <c r="K83" s="224" t="e">
        <f t="shared" si="8"/>
        <v>#NUM!</v>
      </c>
      <c r="L83" s="224"/>
      <c r="M83" s="226">
        <f t="shared" si="9"/>
        <v>0</v>
      </c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</row>
    <row r="84" spans="1:38" s="207" customFormat="1" x14ac:dyDescent="0.25">
      <c r="A84" s="96">
        <f t="shared" si="10"/>
        <v>0</v>
      </c>
      <c r="B84" s="34" t="str">
        <f t="shared" si="6"/>
        <v/>
      </c>
      <c r="C84" s="35"/>
      <c r="D84" s="35"/>
      <c r="E84" s="35"/>
      <c r="F84" s="35"/>
      <c r="H84" s="221">
        <v>79</v>
      </c>
      <c r="I84" s="222" t="str">
        <f t="shared" si="7"/>
        <v/>
      </c>
      <c r="J84" s="221" t="e">
        <f t="shared" si="11"/>
        <v>#NUM!</v>
      </c>
      <c r="K84" s="221" t="e">
        <f t="shared" si="8"/>
        <v>#NUM!</v>
      </c>
      <c r="L84" s="221"/>
      <c r="M84" s="223">
        <f t="shared" si="9"/>
        <v>0</v>
      </c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</row>
    <row r="85" spans="1:38" s="207" customFormat="1" x14ac:dyDescent="0.25">
      <c r="A85" s="100">
        <f t="shared" si="10"/>
        <v>0</v>
      </c>
      <c r="B85" s="40" t="str">
        <f t="shared" si="6"/>
        <v/>
      </c>
      <c r="C85" s="41"/>
      <c r="D85" s="41"/>
      <c r="E85" s="41"/>
      <c r="F85" s="41"/>
      <c r="H85" s="224">
        <v>80</v>
      </c>
      <c r="I85" s="225" t="str">
        <f t="shared" si="7"/>
        <v/>
      </c>
      <c r="J85" s="224" t="e">
        <f t="shared" si="11"/>
        <v>#NUM!</v>
      </c>
      <c r="K85" s="224" t="e">
        <f t="shared" si="8"/>
        <v>#NUM!</v>
      </c>
      <c r="L85" s="224"/>
      <c r="M85" s="226">
        <f t="shared" si="9"/>
        <v>0</v>
      </c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</row>
    <row r="86" spans="1:38" s="207" customFormat="1" x14ac:dyDescent="0.25">
      <c r="A86" s="96">
        <f t="shared" si="10"/>
        <v>0</v>
      </c>
      <c r="B86" s="34" t="str">
        <f t="shared" si="6"/>
        <v/>
      </c>
      <c r="C86" s="35"/>
      <c r="D86" s="35"/>
      <c r="E86" s="35"/>
      <c r="F86" s="35"/>
      <c r="H86" s="221">
        <v>81</v>
      </c>
      <c r="I86" s="222" t="str">
        <f t="shared" si="7"/>
        <v/>
      </c>
      <c r="J86" s="221" t="e">
        <f t="shared" si="11"/>
        <v>#NUM!</v>
      </c>
      <c r="K86" s="221" t="e">
        <f t="shared" si="8"/>
        <v>#NUM!</v>
      </c>
      <c r="L86" s="221"/>
      <c r="M86" s="223">
        <f t="shared" si="9"/>
        <v>0</v>
      </c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</row>
    <row r="87" spans="1:38" s="207" customFormat="1" x14ac:dyDescent="0.25">
      <c r="A87" s="100">
        <f t="shared" si="10"/>
        <v>0</v>
      </c>
      <c r="B87" s="40" t="str">
        <f t="shared" si="6"/>
        <v/>
      </c>
      <c r="C87" s="41"/>
      <c r="D87" s="41"/>
      <c r="E87" s="41"/>
      <c r="F87" s="41"/>
      <c r="H87" s="224">
        <v>82</v>
      </c>
      <c r="I87" s="225" t="str">
        <f t="shared" si="7"/>
        <v/>
      </c>
      <c r="J87" s="224" t="e">
        <f t="shared" si="11"/>
        <v>#NUM!</v>
      </c>
      <c r="K87" s="224" t="e">
        <f t="shared" si="8"/>
        <v>#NUM!</v>
      </c>
      <c r="L87" s="224"/>
      <c r="M87" s="226">
        <f t="shared" si="9"/>
        <v>0</v>
      </c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</row>
    <row r="88" spans="1:38" s="207" customFormat="1" x14ac:dyDescent="0.25">
      <c r="A88" s="96">
        <f t="shared" si="10"/>
        <v>0</v>
      </c>
      <c r="B88" s="34" t="str">
        <f t="shared" si="6"/>
        <v/>
      </c>
      <c r="C88" s="35"/>
      <c r="D88" s="35"/>
      <c r="E88" s="35"/>
      <c r="F88" s="35"/>
      <c r="H88" s="221">
        <v>83</v>
      </c>
      <c r="I88" s="222" t="str">
        <f t="shared" si="7"/>
        <v/>
      </c>
      <c r="J88" s="221" t="e">
        <f t="shared" si="11"/>
        <v>#NUM!</v>
      </c>
      <c r="K88" s="221" t="e">
        <f t="shared" si="8"/>
        <v>#NUM!</v>
      </c>
      <c r="L88" s="221"/>
      <c r="M88" s="223">
        <f t="shared" si="9"/>
        <v>0</v>
      </c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</row>
    <row r="89" spans="1:38" s="207" customFormat="1" x14ac:dyDescent="0.25">
      <c r="A89" s="100">
        <f t="shared" si="10"/>
        <v>0</v>
      </c>
      <c r="B89" s="40" t="str">
        <f t="shared" si="6"/>
        <v/>
      </c>
      <c r="C89" s="41"/>
      <c r="D89" s="41"/>
      <c r="E89" s="41"/>
      <c r="F89" s="41"/>
      <c r="H89" s="224">
        <v>84</v>
      </c>
      <c r="I89" s="225" t="str">
        <f t="shared" si="7"/>
        <v/>
      </c>
      <c r="J89" s="224" t="e">
        <f t="shared" si="11"/>
        <v>#NUM!</v>
      </c>
      <c r="K89" s="224" t="e">
        <f t="shared" si="8"/>
        <v>#NUM!</v>
      </c>
      <c r="L89" s="224"/>
      <c r="M89" s="226">
        <f t="shared" si="9"/>
        <v>0</v>
      </c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</row>
    <row r="90" spans="1:38" s="207" customFormat="1" x14ac:dyDescent="0.25">
      <c r="A90" s="96">
        <f t="shared" si="10"/>
        <v>0</v>
      </c>
      <c r="B90" s="34" t="str">
        <f t="shared" si="6"/>
        <v/>
      </c>
      <c r="C90" s="35"/>
      <c r="D90" s="35"/>
      <c r="E90" s="35"/>
      <c r="F90" s="35"/>
      <c r="H90" s="221">
        <v>85</v>
      </c>
      <c r="I90" s="222" t="str">
        <f t="shared" si="7"/>
        <v/>
      </c>
      <c r="J90" s="221" t="e">
        <f t="shared" si="11"/>
        <v>#NUM!</v>
      </c>
      <c r="K90" s="221" t="e">
        <f t="shared" si="8"/>
        <v>#NUM!</v>
      </c>
      <c r="L90" s="221"/>
      <c r="M90" s="223">
        <f t="shared" si="9"/>
        <v>0</v>
      </c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</row>
    <row r="91" spans="1:38" s="207" customFormat="1" x14ac:dyDescent="0.25">
      <c r="A91" s="100">
        <f t="shared" si="10"/>
        <v>0</v>
      </c>
      <c r="B91" s="40" t="str">
        <f t="shared" si="6"/>
        <v/>
      </c>
      <c r="C91" s="41"/>
      <c r="D91" s="41"/>
      <c r="E91" s="41"/>
      <c r="F91" s="41"/>
      <c r="H91" s="224">
        <v>86</v>
      </c>
      <c r="I91" s="225" t="str">
        <f t="shared" si="7"/>
        <v/>
      </c>
      <c r="J91" s="224" t="e">
        <f t="shared" si="11"/>
        <v>#NUM!</v>
      </c>
      <c r="K91" s="224" t="e">
        <f t="shared" si="8"/>
        <v>#NUM!</v>
      </c>
      <c r="L91" s="224"/>
      <c r="M91" s="226">
        <f t="shared" si="9"/>
        <v>0</v>
      </c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</row>
    <row r="92" spans="1:38" s="207" customFormat="1" x14ac:dyDescent="0.25">
      <c r="A92" s="96">
        <f t="shared" si="10"/>
        <v>0</v>
      </c>
      <c r="B92" s="34" t="str">
        <f t="shared" si="6"/>
        <v/>
      </c>
      <c r="C92" s="35"/>
      <c r="D92" s="35"/>
      <c r="E92" s="35"/>
      <c r="F92" s="35"/>
      <c r="H92" s="221">
        <v>87</v>
      </c>
      <c r="I92" s="222" t="str">
        <f t="shared" si="7"/>
        <v/>
      </c>
      <c r="J92" s="221" t="e">
        <f t="shared" si="11"/>
        <v>#NUM!</v>
      </c>
      <c r="K92" s="221" t="e">
        <f t="shared" si="8"/>
        <v>#NUM!</v>
      </c>
      <c r="L92" s="221"/>
      <c r="M92" s="223">
        <f t="shared" si="9"/>
        <v>0</v>
      </c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</row>
    <row r="93" spans="1:38" s="207" customFormat="1" x14ac:dyDescent="0.25">
      <c r="A93" s="100">
        <f t="shared" si="10"/>
        <v>0</v>
      </c>
      <c r="B93" s="40" t="str">
        <f t="shared" si="6"/>
        <v/>
      </c>
      <c r="C93" s="41"/>
      <c r="D93" s="41"/>
      <c r="E93" s="41"/>
      <c r="F93" s="41"/>
      <c r="H93" s="224">
        <v>88</v>
      </c>
      <c r="I93" s="225" t="str">
        <f t="shared" si="7"/>
        <v/>
      </c>
      <c r="J93" s="224" t="e">
        <f t="shared" si="11"/>
        <v>#NUM!</v>
      </c>
      <c r="K93" s="224" t="e">
        <f t="shared" si="8"/>
        <v>#NUM!</v>
      </c>
      <c r="L93" s="224"/>
      <c r="M93" s="226">
        <f t="shared" si="9"/>
        <v>0</v>
      </c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</row>
    <row r="94" spans="1:38" s="207" customFormat="1" x14ac:dyDescent="0.25">
      <c r="A94" s="96">
        <f t="shared" si="10"/>
        <v>0</v>
      </c>
      <c r="B94" s="34" t="str">
        <f t="shared" si="6"/>
        <v/>
      </c>
      <c r="C94" s="35"/>
      <c r="D94" s="35"/>
      <c r="E94" s="35"/>
      <c r="F94" s="35"/>
      <c r="H94" s="221">
        <v>89</v>
      </c>
      <c r="I94" s="222" t="str">
        <f t="shared" si="7"/>
        <v/>
      </c>
      <c r="J94" s="221" t="e">
        <f t="shared" si="11"/>
        <v>#NUM!</v>
      </c>
      <c r="K94" s="221" t="e">
        <f t="shared" si="8"/>
        <v>#NUM!</v>
      </c>
      <c r="L94" s="221"/>
      <c r="M94" s="223">
        <f t="shared" si="9"/>
        <v>0</v>
      </c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</row>
    <row r="95" spans="1:38" s="207" customFormat="1" x14ac:dyDescent="0.25">
      <c r="A95" s="100">
        <f t="shared" si="10"/>
        <v>0</v>
      </c>
      <c r="B95" s="40" t="str">
        <f t="shared" si="6"/>
        <v/>
      </c>
      <c r="C95" s="41"/>
      <c r="D95" s="41"/>
      <c r="E95" s="41"/>
      <c r="F95" s="41"/>
      <c r="H95" s="224">
        <v>90</v>
      </c>
      <c r="I95" s="225" t="str">
        <f t="shared" si="7"/>
        <v/>
      </c>
      <c r="J95" s="224" t="e">
        <f t="shared" si="11"/>
        <v>#NUM!</v>
      </c>
      <c r="K95" s="224" t="e">
        <f t="shared" si="8"/>
        <v>#NUM!</v>
      </c>
      <c r="L95" s="224"/>
      <c r="M95" s="226">
        <f t="shared" si="9"/>
        <v>0</v>
      </c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</row>
    <row r="96" spans="1:38" s="207" customFormat="1" x14ac:dyDescent="0.25">
      <c r="A96" s="96">
        <f t="shared" si="10"/>
        <v>0</v>
      </c>
      <c r="B96" s="34" t="str">
        <f t="shared" si="6"/>
        <v/>
      </c>
      <c r="C96" s="35"/>
      <c r="D96" s="35"/>
      <c r="E96" s="35"/>
      <c r="F96" s="35"/>
      <c r="H96" s="221">
        <v>91</v>
      </c>
      <c r="I96" s="222" t="str">
        <f t="shared" si="7"/>
        <v/>
      </c>
      <c r="J96" s="221" t="e">
        <f t="shared" si="11"/>
        <v>#NUM!</v>
      </c>
      <c r="K96" s="221" t="e">
        <f t="shared" si="8"/>
        <v>#NUM!</v>
      </c>
      <c r="L96" s="221"/>
      <c r="M96" s="223">
        <f t="shared" si="9"/>
        <v>0</v>
      </c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</row>
    <row r="97" spans="1:38" s="207" customFormat="1" x14ac:dyDescent="0.25">
      <c r="A97" s="100">
        <f t="shared" si="10"/>
        <v>0</v>
      </c>
      <c r="B97" s="40" t="str">
        <f t="shared" si="6"/>
        <v/>
      </c>
      <c r="C97" s="41"/>
      <c r="D97" s="41"/>
      <c r="E97" s="41"/>
      <c r="F97" s="41"/>
      <c r="H97" s="224">
        <v>92</v>
      </c>
      <c r="I97" s="225" t="str">
        <f t="shared" si="7"/>
        <v/>
      </c>
      <c r="J97" s="224" t="e">
        <f t="shared" si="11"/>
        <v>#NUM!</v>
      </c>
      <c r="K97" s="224" t="e">
        <f t="shared" si="8"/>
        <v>#NUM!</v>
      </c>
      <c r="L97" s="224"/>
      <c r="M97" s="226">
        <f t="shared" si="9"/>
        <v>0</v>
      </c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</row>
    <row r="98" spans="1:38" s="207" customFormat="1" x14ac:dyDescent="0.25">
      <c r="A98" s="96">
        <f t="shared" si="10"/>
        <v>0</v>
      </c>
      <c r="B98" s="34" t="str">
        <f t="shared" si="6"/>
        <v/>
      </c>
      <c r="C98" s="35"/>
      <c r="D98" s="35"/>
      <c r="E98" s="35"/>
      <c r="F98" s="35"/>
      <c r="H98" s="221">
        <v>93</v>
      </c>
      <c r="I98" s="222" t="str">
        <f t="shared" si="7"/>
        <v/>
      </c>
      <c r="J98" s="221" t="e">
        <f t="shared" si="11"/>
        <v>#NUM!</v>
      </c>
      <c r="K98" s="221" t="e">
        <f t="shared" si="8"/>
        <v>#NUM!</v>
      </c>
      <c r="L98" s="221"/>
      <c r="M98" s="223">
        <f t="shared" si="9"/>
        <v>0</v>
      </c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</row>
    <row r="99" spans="1:38" s="207" customFormat="1" x14ac:dyDescent="0.25">
      <c r="A99" s="100">
        <f t="shared" si="10"/>
        <v>0</v>
      </c>
      <c r="B99" s="40" t="str">
        <f t="shared" si="6"/>
        <v/>
      </c>
      <c r="C99" s="41"/>
      <c r="D99" s="41"/>
      <c r="E99" s="41"/>
      <c r="F99" s="41"/>
      <c r="H99" s="224">
        <v>94</v>
      </c>
      <c r="I99" s="225" t="str">
        <f t="shared" si="7"/>
        <v/>
      </c>
      <c r="J99" s="224" t="e">
        <f t="shared" si="11"/>
        <v>#NUM!</v>
      </c>
      <c r="K99" s="224" t="e">
        <f t="shared" si="8"/>
        <v>#NUM!</v>
      </c>
      <c r="L99" s="224"/>
      <c r="M99" s="226">
        <f t="shared" si="9"/>
        <v>0</v>
      </c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</row>
    <row r="100" spans="1:38" s="207" customFormat="1" x14ac:dyDescent="0.25">
      <c r="A100" s="96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21">
        <v>95</v>
      </c>
      <c r="I100" s="222" t="str">
        <f t="shared" si="7"/>
        <v/>
      </c>
      <c r="J100" s="221" t="e">
        <f t="shared" si="11"/>
        <v>#NUM!</v>
      </c>
      <c r="K100" s="221" t="e">
        <f t="shared" si="8"/>
        <v>#NUM!</v>
      </c>
      <c r="L100" s="221"/>
      <c r="M100" s="223">
        <f t="shared" si="9"/>
        <v>0</v>
      </c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</row>
    <row r="101" spans="1:38" s="207" customFormat="1" x14ac:dyDescent="0.25">
      <c r="A101" s="100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24">
        <v>96</v>
      </c>
      <c r="I101" s="225" t="str">
        <f t="shared" si="7"/>
        <v/>
      </c>
      <c r="J101" s="224" t="e">
        <f t="shared" si="11"/>
        <v>#NUM!</v>
      </c>
      <c r="K101" s="224" t="e">
        <f t="shared" si="8"/>
        <v>#NUM!</v>
      </c>
      <c r="L101" s="224"/>
      <c r="M101" s="226">
        <f t="shared" si="9"/>
        <v>0</v>
      </c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</row>
    <row r="102" spans="1:38" s="207" customFormat="1" x14ac:dyDescent="0.25">
      <c r="A102" s="96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21">
        <v>97</v>
      </c>
      <c r="I102" s="222" t="str">
        <f t="shared" si="7"/>
        <v/>
      </c>
      <c r="J102" s="221" t="e">
        <f t="shared" si="11"/>
        <v>#NUM!</v>
      </c>
      <c r="K102" s="221" t="e">
        <f t="shared" si="8"/>
        <v>#NUM!</v>
      </c>
      <c r="L102" s="221"/>
      <c r="M102" s="223">
        <f t="shared" si="9"/>
        <v>0</v>
      </c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</row>
    <row r="103" spans="1:38" s="207" customFormat="1" x14ac:dyDescent="0.25">
      <c r="A103" s="100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24">
        <v>98</v>
      </c>
      <c r="I103" s="225" t="str">
        <f t="shared" si="7"/>
        <v/>
      </c>
      <c r="J103" s="224" t="e">
        <f t="shared" si="11"/>
        <v>#NUM!</v>
      </c>
      <c r="K103" s="224" t="e">
        <f t="shared" si="8"/>
        <v>#NUM!</v>
      </c>
      <c r="L103" s="224"/>
      <c r="M103" s="226">
        <f t="shared" si="9"/>
        <v>0</v>
      </c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</row>
    <row r="104" spans="1:38" s="207" customFormat="1" x14ac:dyDescent="0.25">
      <c r="A104" s="96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21">
        <v>99</v>
      </c>
      <c r="I104" s="222" t="str">
        <f t="shared" si="7"/>
        <v/>
      </c>
      <c r="J104" s="221" t="e">
        <f t="shared" si="11"/>
        <v>#NUM!</v>
      </c>
      <c r="K104" s="221" t="e">
        <f t="shared" si="8"/>
        <v>#NUM!</v>
      </c>
      <c r="L104" s="221"/>
      <c r="M104" s="223">
        <f t="shared" si="9"/>
        <v>0</v>
      </c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</row>
    <row r="105" spans="1:38" s="207" customFormat="1" x14ac:dyDescent="0.25">
      <c r="A105" s="100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24">
        <v>100</v>
      </c>
      <c r="I105" s="225" t="str">
        <f t="shared" si="7"/>
        <v/>
      </c>
      <c r="J105" s="224" t="e">
        <f t="shared" si="11"/>
        <v>#NUM!</v>
      </c>
      <c r="K105" s="224" t="e">
        <f t="shared" si="8"/>
        <v>#NUM!</v>
      </c>
      <c r="L105" s="224"/>
      <c r="M105" s="226">
        <f t="shared" si="9"/>
        <v>0</v>
      </c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</row>
    <row r="106" spans="1:38" s="207" customFormat="1" x14ac:dyDescent="0.25">
      <c r="A106" s="96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21">
        <v>101</v>
      </c>
      <c r="I106" s="222" t="str">
        <f t="shared" si="7"/>
        <v/>
      </c>
      <c r="J106" s="221" t="e">
        <f t="shared" si="11"/>
        <v>#NUM!</v>
      </c>
      <c r="K106" s="221" t="e">
        <f t="shared" si="8"/>
        <v>#NUM!</v>
      </c>
      <c r="L106" s="221"/>
      <c r="M106" s="223">
        <f t="shared" si="9"/>
        <v>0</v>
      </c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</row>
    <row r="107" spans="1:38" s="207" customFormat="1" x14ac:dyDescent="0.25">
      <c r="A107" s="100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24">
        <v>102</v>
      </c>
      <c r="I107" s="225" t="str">
        <f t="shared" si="7"/>
        <v/>
      </c>
      <c r="J107" s="224" t="e">
        <f t="shared" si="11"/>
        <v>#NUM!</v>
      </c>
      <c r="K107" s="224" t="e">
        <f t="shared" si="8"/>
        <v>#NUM!</v>
      </c>
      <c r="L107" s="224"/>
      <c r="M107" s="226">
        <f t="shared" si="9"/>
        <v>0</v>
      </c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</row>
    <row r="108" spans="1:38" s="207" customFormat="1" x14ac:dyDescent="0.25">
      <c r="A108" s="96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21">
        <v>103</v>
      </c>
      <c r="I108" s="222" t="str">
        <f t="shared" si="7"/>
        <v/>
      </c>
      <c r="J108" s="221" t="e">
        <f t="shared" si="11"/>
        <v>#NUM!</v>
      </c>
      <c r="K108" s="221" t="e">
        <f t="shared" si="8"/>
        <v>#NUM!</v>
      </c>
      <c r="L108" s="221"/>
      <c r="M108" s="223">
        <f t="shared" si="9"/>
        <v>0</v>
      </c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</row>
    <row r="109" spans="1:38" s="207" customFormat="1" x14ac:dyDescent="0.25">
      <c r="A109" s="100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24">
        <v>104</v>
      </c>
      <c r="I109" s="225" t="str">
        <f t="shared" si="7"/>
        <v/>
      </c>
      <c r="J109" s="224" t="e">
        <f t="shared" si="11"/>
        <v>#NUM!</v>
      </c>
      <c r="K109" s="224" t="e">
        <f t="shared" si="8"/>
        <v>#NUM!</v>
      </c>
      <c r="L109" s="224"/>
      <c r="M109" s="226">
        <f t="shared" si="9"/>
        <v>0</v>
      </c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</row>
    <row r="110" spans="1:38" s="207" customFormat="1" x14ac:dyDescent="0.25">
      <c r="A110" s="96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21">
        <v>105</v>
      </c>
      <c r="I110" s="222" t="str">
        <f t="shared" si="7"/>
        <v/>
      </c>
      <c r="J110" s="221" t="e">
        <f t="shared" si="11"/>
        <v>#NUM!</v>
      </c>
      <c r="K110" s="221" t="e">
        <f t="shared" si="8"/>
        <v>#NUM!</v>
      </c>
      <c r="L110" s="221"/>
      <c r="M110" s="223">
        <f t="shared" si="9"/>
        <v>0</v>
      </c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</row>
    <row r="111" spans="1:38" s="207" customFormat="1" x14ac:dyDescent="0.25">
      <c r="A111" s="100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24">
        <v>106</v>
      </c>
      <c r="I111" s="225" t="str">
        <f t="shared" si="7"/>
        <v/>
      </c>
      <c r="J111" s="224" t="e">
        <f t="shared" si="11"/>
        <v>#NUM!</v>
      </c>
      <c r="K111" s="224" t="e">
        <f t="shared" si="8"/>
        <v>#NUM!</v>
      </c>
      <c r="L111" s="224"/>
      <c r="M111" s="226">
        <f t="shared" si="9"/>
        <v>0</v>
      </c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</row>
    <row r="112" spans="1:38" s="207" customFormat="1" x14ac:dyDescent="0.25">
      <c r="A112" s="96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21">
        <v>107</v>
      </c>
      <c r="I112" s="222" t="str">
        <f t="shared" si="7"/>
        <v/>
      </c>
      <c r="J112" s="221" t="e">
        <f t="shared" si="11"/>
        <v>#NUM!</v>
      </c>
      <c r="K112" s="221" t="e">
        <f t="shared" si="8"/>
        <v>#NUM!</v>
      </c>
      <c r="L112" s="221"/>
      <c r="M112" s="223">
        <f t="shared" si="9"/>
        <v>0</v>
      </c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</row>
    <row r="113" spans="1:38" s="207" customFormat="1" x14ac:dyDescent="0.25">
      <c r="A113" s="100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24">
        <v>108</v>
      </c>
      <c r="I113" s="225" t="str">
        <f t="shared" si="7"/>
        <v/>
      </c>
      <c r="J113" s="224" t="e">
        <f t="shared" si="11"/>
        <v>#NUM!</v>
      </c>
      <c r="K113" s="224" t="e">
        <f t="shared" si="8"/>
        <v>#NUM!</v>
      </c>
      <c r="L113" s="224"/>
      <c r="M113" s="226">
        <f t="shared" si="9"/>
        <v>0</v>
      </c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</row>
    <row r="114" spans="1:38" s="207" customFormat="1" x14ac:dyDescent="0.25">
      <c r="A114" s="96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21">
        <v>109</v>
      </c>
      <c r="I114" s="222" t="str">
        <f t="shared" si="7"/>
        <v/>
      </c>
      <c r="J114" s="221" t="e">
        <f t="shared" si="11"/>
        <v>#NUM!</v>
      </c>
      <c r="K114" s="221" t="e">
        <f t="shared" si="8"/>
        <v>#NUM!</v>
      </c>
      <c r="L114" s="221"/>
      <c r="M114" s="223">
        <f t="shared" si="9"/>
        <v>0</v>
      </c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</row>
    <row r="115" spans="1:38" s="207" customFormat="1" x14ac:dyDescent="0.25">
      <c r="A115" s="100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24">
        <v>110</v>
      </c>
      <c r="I115" s="225" t="str">
        <f t="shared" si="7"/>
        <v/>
      </c>
      <c r="J115" s="224" t="e">
        <f t="shared" si="11"/>
        <v>#NUM!</v>
      </c>
      <c r="K115" s="224" t="e">
        <f t="shared" si="8"/>
        <v>#NUM!</v>
      </c>
      <c r="L115" s="224"/>
      <c r="M115" s="226">
        <f t="shared" si="9"/>
        <v>0</v>
      </c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</row>
    <row r="116" spans="1:38" s="207" customFormat="1" x14ac:dyDescent="0.25">
      <c r="A116" s="96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21">
        <v>111</v>
      </c>
      <c r="I116" s="222" t="str">
        <f t="shared" si="7"/>
        <v/>
      </c>
      <c r="J116" s="221" t="e">
        <f t="shared" si="11"/>
        <v>#NUM!</v>
      </c>
      <c r="K116" s="221" t="e">
        <f t="shared" si="8"/>
        <v>#NUM!</v>
      </c>
      <c r="L116" s="221"/>
      <c r="M116" s="223">
        <f t="shared" si="9"/>
        <v>0</v>
      </c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</row>
    <row r="117" spans="1:38" s="207" customFormat="1" x14ac:dyDescent="0.25">
      <c r="A117" s="100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24">
        <v>112</v>
      </c>
      <c r="I117" s="225" t="str">
        <f t="shared" si="7"/>
        <v/>
      </c>
      <c r="J117" s="224" t="e">
        <f t="shared" si="11"/>
        <v>#NUM!</v>
      </c>
      <c r="K117" s="224" t="e">
        <f t="shared" si="8"/>
        <v>#NUM!</v>
      </c>
      <c r="L117" s="224"/>
      <c r="M117" s="226">
        <f t="shared" si="9"/>
        <v>0</v>
      </c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</row>
    <row r="118" spans="1:38" s="207" customFormat="1" x14ac:dyDescent="0.25">
      <c r="A118" s="96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21">
        <v>113</v>
      </c>
      <c r="I118" s="222" t="str">
        <f t="shared" si="7"/>
        <v/>
      </c>
      <c r="J118" s="221" t="e">
        <f t="shared" si="11"/>
        <v>#NUM!</v>
      </c>
      <c r="K118" s="221" t="e">
        <f t="shared" si="8"/>
        <v>#NUM!</v>
      </c>
      <c r="L118" s="221"/>
      <c r="M118" s="223">
        <f t="shared" si="9"/>
        <v>0</v>
      </c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</row>
    <row r="119" spans="1:38" s="207" customFormat="1" x14ac:dyDescent="0.25">
      <c r="A119" s="100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24">
        <v>114</v>
      </c>
      <c r="I119" s="225" t="str">
        <f t="shared" si="7"/>
        <v/>
      </c>
      <c r="J119" s="224" t="e">
        <f t="shared" si="11"/>
        <v>#NUM!</v>
      </c>
      <c r="K119" s="224" t="e">
        <f t="shared" si="8"/>
        <v>#NUM!</v>
      </c>
      <c r="L119" s="224"/>
      <c r="M119" s="226">
        <f t="shared" si="9"/>
        <v>0</v>
      </c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</row>
    <row r="120" spans="1:38" s="207" customFormat="1" x14ac:dyDescent="0.25">
      <c r="A120" s="96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21">
        <v>115</v>
      </c>
      <c r="I120" s="222" t="str">
        <f t="shared" si="7"/>
        <v/>
      </c>
      <c r="J120" s="221" t="e">
        <f t="shared" si="11"/>
        <v>#NUM!</v>
      </c>
      <c r="K120" s="221" t="e">
        <f t="shared" si="8"/>
        <v>#NUM!</v>
      </c>
      <c r="L120" s="221"/>
      <c r="M120" s="223">
        <f t="shared" si="9"/>
        <v>0</v>
      </c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</row>
    <row r="121" spans="1:38" s="207" customFormat="1" x14ac:dyDescent="0.25">
      <c r="A121" s="100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24">
        <v>116</v>
      </c>
      <c r="I121" s="225" t="str">
        <f t="shared" si="7"/>
        <v/>
      </c>
      <c r="J121" s="224" t="e">
        <f t="shared" si="11"/>
        <v>#NUM!</v>
      </c>
      <c r="K121" s="224" t="e">
        <f t="shared" si="8"/>
        <v>#NUM!</v>
      </c>
      <c r="L121" s="224"/>
      <c r="M121" s="226">
        <f t="shared" si="9"/>
        <v>0</v>
      </c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</row>
    <row r="122" spans="1:38" s="207" customFormat="1" x14ac:dyDescent="0.25">
      <c r="A122" s="96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21">
        <v>117</v>
      </c>
      <c r="I122" s="222" t="str">
        <f t="shared" si="7"/>
        <v/>
      </c>
      <c r="J122" s="221" t="e">
        <f t="shared" si="11"/>
        <v>#NUM!</v>
      </c>
      <c r="K122" s="221" t="e">
        <f t="shared" si="8"/>
        <v>#NUM!</v>
      </c>
      <c r="L122" s="221"/>
      <c r="M122" s="223">
        <f t="shared" si="9"/>
        <v>0</v>
      </c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</row>
    <row r="123" spans="1:38" s="207" customFormat="1" x14ac:dyDescent="0.25">
      <c r="A123" s="100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24">
        <v>118</v>
      </c>
      <c r="I123" s="225" t="str">
        <f t="shared" si="7"/>
        <v/>
      </c>
      <c r="J123" s="224" t="e">
        <f t="shared" si="11"/>
        <v>#NUM!</v>
      </c>
      <c r="K123" s="224" t="e">
        <f t="shared" si="8"/>
        <v>#NUM!</v>
      </c>
      <c r="L123" s="224"/>
      <c r="M123" s="226">
        <f t="shared" si="9"/>
        <v>0</v>
      </c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</row>
    <row r="124" spans="1:38" s="207" customFormat="1" x14ac:dyDescent="0.25">
      <c r="A124" s="96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21">
        <v>119</v>
      </c>
      <c r="I124" s="222" t="str">
        <f t="shared" si="7"/>
        <v/>
      </c>
      <c r="J124" s="221" t="e">
        <f t="shared" si="11"/>
        <v>#NUM!</v>
      </c>
      <c r="K124" s="221" t="e">
        <f t="shared" si="8"/>
        <v>#NUM!</v>
      </c>
      <c r="L124" s="221"/>
      <c r="M124" s="223">
        <f t="shared" si="9"/>
        <v>0</v>
      </c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</row>
    <row r="125" spans="1:38" s="207" customFormat="1" x14ac:dyDescent="0.25">
      <c r="A125" s="100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24">
        <v>120</v>
      </c>
      <c r="I125" s="225" t="str">
        <f t="shared" si="7"/>
        <v/>
      </c>
      <c r="J125" s="224" t="e">
        <f t="shared" si="11"/>
        <v>#NUM!</v>
      </c>
      <c r="K125" s="224" t="e">
        <f t="shared" si="8"/>
        <v>#NUM!</v>
      </c>
      <c r="L125" s="224"/>
      <c r="M125" s="226">
        <f t="shared" si="9"/>
        <v>0</v>
      </c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</row>
    <row r="126" spans="1:38" s="207" customFormat="1" x14ac:dyDescent="0.25">
      <c r="A126" s="96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21">
        <v>121</v>
      </c>
      <c r="I126" s="222" t="str">
        <f t="shared" si="7"/>
        <v/>
      </c>
      <c r="J126" s="221" t="e">
        <f t="shared" si="11"/>
        <v>#NUM!</v>
      </c>
      <c r="K126" s="221" t="e">
        <f t="shared" si="8"/>
        <v>#NUM!</v>
      </c>
      <c r="L126" s="221"/>
      <c r="M126" s="223">
        <f t="shared" si="9"/>
        <v>0</v>
      </c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</row>
    <row r="127" spans="1:38" s="207" customFormat="1" x14ac:dyDescent="0.25">
      <c r="A127" s="100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24">
        <v>122</v>
      </c>
      <c r="I127" s="225" t="str">
        <f t="shared" si="7"/>
        <v/>
      </c>
      <c r="J127" s="224" t="e">
        <f t="shared" si="11"/>
        <v>#NUM!</v>
      </c>
      <c r="K127" s="224" t="e">
        <f t="shared" si="8"/>
        <v>#NUM!</v>
      </c>
      <c r="L127" s="224"/>
      <c r="M127" s="226">
        <f t="shared" si="9"/>
        <v>0</v>
      </c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</row>
    <row r="128" spans="1:38" s="207" customFormat="1" x14ac:dyDescent="0.25">
      <c r="A128" s="96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21">
        <v>123</v>
      </c>
      <c r="I128" s="222" t="str">
        <f t="shared" si="7"/>
        <v/>
      </c>
      <c r="J128" s="221" t="e">
        <f t="shared" si="11"/>
        <v>#NUM!</v>
      </c>
      <c r="K128" s="221" t="e">
        <f t="shared" si="8"/>
        <v>#NUM!</v>
      </c>
      <c r="L128" s="221"/>
      <c r="M128" s="223">
        <f t="shared" si="9"/>
        <v>0</v>
      </c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</row>
    <row r="129" spans="1:38" s="207" customFormat="1" x14ac:dyDescent="0.25">
      <c r="A129" s="100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24">
        <v>124</v>
      </c>
      <c r="I129" s="225" t="str">
        <f t="shared" si="7"/>
        <v/>
      </c>
      <c r="J129" s="224" t="e">
        <f t="shared" si="11"/>
        <v>#NUM!</v>
      </c>
      <c r="K129" s="224" t="e">
        <f t="shared" si="8"/>
        <v>#NUM!</v>
      </c>
      <c r="L129" s="224"/>
      <c r="M129" s="226">
        <f t="shared" si="9"/>
        <v>0</v>
      </c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</row>
    <row r="130" spans="1:38" s="207" customFormat="1" x14ac:dyDescent="0.25">
      <c r="A130" s="96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21">
        <v>125</v>
      </c>
      <c r="I130" s="222" t="str">
        <f t="shared" si="7"/>
        <v/>
      </c>
      <c r="J130" s="221" t="e">
        <f t="shared" si="11"/>
        <v>#NUM!</v>
      </c>
      <c r="K130" s="221" t="e">
        <f t="shared" si="8"/>
        <v>#NUM!</v>
      </c>
      <c r="L130" s="221"/>
      <c r="M130" s="223">
        <f t="shared" si="9"/>
        <v>0</v>
      </c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</row>
    <row r="131" spans="1:38" s="207" customFormat="1" x14ac:dyDescent="0.25">
      <c r="A131" s="100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24">
        <v>126</v>
      </c>
      <c r="I131" s="225" t="str">
        <f t="shared" si="7"/>
        <v/>
      </c>
      <c r="J131" s="224" t="e">
        <f t="shared" si="11"/>
        <v>#NUM!</v>
      </c>
      <c r="K131" s="224" t="e">
        <f t="shared" si="8"/>
        <v>#NUM!</v>
      </c>
      <c r="L131" s="224"/>
      <c r="M131" s="226">
        <f t="shared" si="9"/>
        <v>0</v>
      </c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</row>
    <row r="132" spans="1:38" s="207" customFormat="1" x14ac:dyDescent="0.25">
      <c r="A132" s="96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21">
        <v>127</v>
      </c>
      <c r="I132" s="222" t="str">
        <f t="shared" si="7"/>
        <v/>
      </c>
      <c r="J132" s="221" t="e">
        <f t="shared" si="11"/>
        <v>#NUM!</v>
      </c>
      <c r="K132" s="221" t="e">
        <f t="shared" si="8"/>
        <v>#NUM!</v>
      </c>
      <c r="L132" s="221"/>
      <c r="M132" s="223">
        <f t="shared" si="9"/>
        <v>0</v>
      </c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</row>
    <row r="133" spans="1:38" s="207" customFormat="1" x14ac:dyDescent="0.25">
      <c r="A133" s="100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24">
        <v>128</v>
      </c>
      <c r="I133" s="225" t="str">
        <f t="shared" si="7"/>
        <v/>
      </c>
      <c r="J133" s="224" t="e">
        <f t="shared" si="11"/>
        <v>#NUM!</v>
      </c>
      <c r="K133" s="224" t="e">
        <f t="shared" si="8"/>
        <v>#NUM!</v>
      </c>
      <c r="L133" s="224"/>
      <c r="M133" s="226">
        <f t="shared" si="9"/>
        <v>0</v>
      </c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</row>
    <row r="134" spans="1:38" s="207" customFormat="1" x14ac:dyDescent="0.25">
      <c r="A134" s="96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21">
        <v>129</v>
      </c>
      <c r="I134" s="222" t="str">
        <f t="shared" ref="I134:I197" si="13">IF(H134&lt;$H$2+1,($I$2-($I$2-1)*(LOG(H134)/LOG($H$2))),"")</f>
        <v/>
      </c>
      <c r="J134" s="221" t="e">
        <f t="shared" si="11"/>
        <v>#NUM!</v>
      </c>
      <c r="K134" s="221" t="e">
        <f t="shared" ref="K134:K197" si="14">J134*$J$2</f>
        <v>#NUM!</v>
      </c>
      <c r="L134" s="221"/>
      <c r="M134" s="223">
        <f t="shared" ref="M134:M197" si="15">IF(I134&lt;&gt;"",K134+I134+L134,0)</f>
        <v>0</v>
      </c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</row>
    <row r="135" spans="1:38" s="207" customFormat="1" x14ac:dyDescent="0.25">
      <c r="A135" s="100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24">
        <v>130</v>
      </c>
      <c r="I135" s="225" t="str">
        <f t="shared" si="13"/>
        <v/>
      </c>
      <c r="J135" s="224" t="e">
        <f t="shared" ref="J135:J198" si="17">INT(LOG($H$2,2))-ROUNDUP(LOG(H135,2),0)+IF(OR($H$2=1,$H$2=2,$H$2=4,$H$2=8,$H$2=16,$H$2=32,$H$2=64,$H$2=128,$H$2=256),0,1)</f>
        <v>#NUM!</v>
      </c>
      <c r="K135" s="224" t="e">
        <f t="shared" si="14"/>
        <v>#NUM!</v>
      </c>
      <c r="L135" s="224"/>
      <c r="M135" s="226">
        <f t="shared" si="15"/>
        <v>0</v>
      </c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</row>
    <row r="136" spans="1:38" s="207" customFormat="1" x14ac:dyDescent="0.25">
      <c r="A136" s="96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21">
        <v>131</v>
      </c>
      <c r="I136" s="222" t="str">
        <f t="shared" si="13"/>
        <v/>
      </c>
      <c r="J136" s="221" t="e">
        <f t="shared" si="17"/>
        <v>#NUM!</v>
      </c>
      <c r="K136" s="221" t="e">
        <f t="shared" si="14"/>
        <v>#NUM!</v>
      </c>
      <c r="L136" s="221"/>
      <c r="M136" s="223">
        <f t="shared" si="15"/>
        <v>0</v>
      </c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</row>
    <row r="137" spans="1:38" s="207" customFormat="1" x14ac:dyDescent="0.25">
      <c r="A137" s="100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24">
        <v>132</v>
      </c>
      <c r="I137" s="225" t="str">
        <f t="shared" si="13"/>
        <v/>
      </c>
      <c r="J137" s="224" t="e">
        <f t="shared" si="17"/>
        <v>#NUM!</v>
      </c>
      <c r="K137" s="224" t="e">
        <f t="shared" si="14"/>
        <v>#NUM!</v>
      </c>
      <c r="L137" s="224"/>
      <c r="M137" s="226">
        <f t="shared" si="15"/>
        <v>0</v>
      </c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</row>
    <row r="138" spans="1:38" s="207" customFormat="1" x14ac:dyDescent="0.25">
      <c r="A138" s="96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21">
        <v>133</v>
      </c>
      <c r="I138" s="222" t="str">
        <f t="shared" si="13"/>
        <v/>
      </c>
      <c r="J138" s="221" t="e">
        <f t="shared" si="17"/>
        <v>#NUM!</v>
      </c>
      <c r="K138" s="221" t="e">
        <f t="shared" si="14"/>
        <v>#NUM!</v>
      </c>
      <c r="L138" s="221"/>
      <c r="M138" s="223">
        <f t="shared" si="15"/>
        <v>0</v>
      </c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</row>
    <row r="139" spans="1:38" s="207" customFormat="1" x14ac:dyDescent="0.25">
      <c r="A139" s="100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24">
        <v>134</v>
      </c>
      <c r="I139" s="225" t="str">
        <f t="shared" si="13"/>
        <v/>
      </c>
      <c r="J139" s="224" t="e">
        <f t="shared" si="17"/>
        <v>#NUM!</v>
      </c>
      <c r="K139" s="224" t="e">
        <f t="shared" si="14"/>
        <v>#NUM!</v>
      </c>
      <c r="L139" s="224"/>
      <c r="M139" s="226">
        <f t="shared" si="15"/>
        <v>0</v>
      </c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</row>
    <row r="140" spans="1:38" s="207" customFormat="1" x14ac:dyDescent="0.25">
      <c r="A140" s="96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21">
        <v>135</v>
      </c>
      <c r="I140" s="222" t="str">
        <f t="shared" si="13"/>
        <v/>
      </c>
      <c r="J140" s="221" t="e">
        <f t="shared" si="17"/>
        <v>#NUM!</v>
      </c>
      <c r="K140" s="221" t="e">
        <f t="shared" si="14"/>
        <v>#NUM!</v>
      </c>
      <c r="L140" s="221"/>
      <c r="M140" s="223">
        <f t="shared" si="15"/>
        <v>0</v>
      </c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</row>
    <row r="141" spans="1:38" x14ac:dyDescent="0.25">
      <c r="A141" s="238"/>
      <c r="G141" s="207"/>
      <c r="H141" s="224">
        <v>136</v>
      </c>
      <c r="I141" s="222" t="str">
        <f t="shared" si="13"/>
        <v/>
      </c>
      <c r="J141" s="221" t="e">
        <f t="shared" si="17"/>
        <v>#NUM!</v>
      </c>
      <c r="K141" s="221" t="e">
        <f t="shared" si="14"/>
        <v>#NUM!</v>
      </c>
      <c r="L141" s="221"/>
      <c r="M141" s="223">
        <f t="shared" si="15"/>
        <v>0</v>
      </c>
    </row>
    <row r="142" spans="1:38" x14ac:dyDescent="0.25">
      <c r="A142" s="238"/>
      <c r="G142" s="207"/>
      <c r="H142" s="221">
        <v>137</v>
      </c>
      <c r="I142" s="222" t="str">
        <f t="shared" si="13"/>
        <v/>
      </c>
      <c r="J142" s="221" t="e">
        <f t="shared" si="17"/>
        <v>#NUM!</v>
      </c>
      <c r="K142" s="221" t="e">
        <f t="shared" si="14"/>
        <v>#NUM!</v>
      </c>
      <c r="L142" s="221"/>
      <c r="M142" s="223">
        <f t="shared" si="15"/>
        <v>0</v>
      </c>
    </row>
    <row r="143" spans="1:38" x14ac:dyDescent="0.25">
      <c r="A143" s="238"/>
      <c r="G143" s="207"/>
      <c r="H143" s="224">
        <v>138</v>
      </c>
      <c r="I143" s="222" t="str">
        <f t="shared" si="13"/>
        <v/>
      </c>
      <c r="J143" s="221" t="e">
        <f t="shared" si="17"/>
        <v>#NUM!</v>
      </c>
      <c r="K143" s="221" t="e">
        <f t="shared" si="14"/>
        <v>#NUM!</v>
      </c>
      <c r="L143" s="221"/>
      <c r="M143" s="223">
        <f t="shared" si="15"/>
        <v>0</v>
      </c>
    </row>
    <row r="144" spans="1:38" x14ac:dyDescent="0.25">
      <c r="A144" s="238"/>
      <c r="G144" s="207"/>
      <c r="H144" s="221">
        <v>139</v>
      </c>
      <c r="I144" s="222" t="str">
        <f t="shared" si="13"/>
        <v/>
      </c>
      <c r="J144" s="221" t="e">
        <f t="shared" si="17"/>
        <v>#NUM!</v>
      </c>
      <c r="K144" s="221" t="e">
        <f t="shared" si="14"/>
        <v>#NUM!</v>
      </c>
      <c r="L144" s="221"/>
      <c r="M144" s="223">
        <f t="shared" si="15"/>
        <v>0</v>
      </c>
    </row>
    <row r="145" spans="1:13" x14ac:dyDescent="0.25">
      <c r="A145" s="238"/>
      <c r="G145" s="207"/>
      <c r="H145" s="224">
        <v>140</v>
      </c>
      <c r="I145" s="222" t="str">
        <f t="shared" si="13"/>
        <v/>
      </c>
      <c r="J145" s="221" t="e">
        <f t="shared" si="17"/>
        <v>#NUM!</v>
      </c>
      <c r="K145" s="221" t="e">
        <f t="shared" si="14"/>
        <v>#NUM!</v>
      </c>
      <c r="L145" s="221"/>
      <c r="M145" s="223">
        <f t="shared" si="15"/>
        <v>0</v>
      </c>
    </row>
    <row r="146" spans="1:13" x14ac:dyDescent="0.25">
      <c r="A146" s="238"/>
      <c r="G146" s="207"/>
      <c r="H146" s="221">
        <v>141</v>
      </c>
      <c r="I146" s="222" t="str">
        <f t="shared" si="13"/>
        <v/>
      </c>
      <c r="J146" s="221" t="e">
        <f t="shared" si="17"/>
        <v>#NUM!</v>
      </c>
      <c r="K146" s="221" t="e">
        <f t="shared" si="14"/>
        <v>#NUM!</v>
      </c>
      <c r="L146" s="221"/>
      <c r="M146" s="223">
        <f t="shared" si="15"/>
        <v>0</v>
      </c>
    </row>
    <row r="147" spans="1:13" x14ac:dyDescent="0.25">
      <c r="A147" s="238"/>
      <c r="G147" s="207"/>
      <c r="H147" s="224">
        <v>142</v>
      </c>
      <c r="I147" s="222" t="str">
        <f t="shared" si="13"/>
        <v/>
      </c>
      <c r="J147" s="221" t="e">
        <f t="shared" si="17"/>
        <v>#NUM!</v>
      </c>
      <c r="K147" s="221" t="e">
        <f t="shared" si="14"/>
        <v>#NUM!</v>
      </c>
      <c r="L147" s="221"/>
      <c r="M147" s="223">
        <f t="shared" si="15"/>
        <v>0</v>
      </c>
    </row>
    <row r="148" spans="1:13" x14ac:dyDescent="0.25">
      <c r="A148" s="238"/>
      <c r="G148" s="207"/>
      <c r="H148" s="221">
        <v>143</v>
      </c>
      <c r="I148" s="222" t="str">
        <f t="shared" si="13"/>
        <v/>
      </c>
      <c r="J148" s="221" t="e">
        <f t="shared" si="17"/>
        <v>#NUM!</v>
      </c>
      <c r="K148" s="221" t="e">
        <f t="shared" si="14"/>
        <v>#NUM!</v>
      </c>
      <c r="L148" s="221"/>
      <c r="M148" s="223">
        <f t="shared" si="15"/>
        <v>0</v>
      </c>
    </row>
    <row r="149" spans="1:13" x14ac:dyDescent="0.25">
      <c r="A149" s="238"/>
      <c r="G149" s="207"/>
      <c r="H149" s="224">
        <v>144</v>
      </c>
      <c r="I149" s="222" t="str">
        <f t="shared" si="13"/>
        <v/>
      </c>
      <c r="J149" s="221" t="e">
        <f t="shared" si="17"/>
        <v>#NUM!</v>
      </c>
      <c r="K149" s="221" t="e">
        <f t="shared" si="14"/>
        <v>#NUM!</v>
      </c>
      <c r="L149" s="221"/>
      <c r="M149" s="223">
        <f t="shared" si="15"/>
        <v>0</v>
      </c>
    </row>
    <row r="150" spans="1:13" x14ac:dyDescent="0.25">
      <c r="A150" s="238"/>
      <c r="G150" s="207"/>
      <c r="H150" s="221">
        <v>145</v>
      </c>
      <c r="I150" s="222" t="str">
        <f t="shared" si="13"/>
        <v/>
      </c>
      <c r="J150" s="221" t="e">
        <f t="shared" si="17"/>
        <v>#NUM!</v>
      </c>
      <c r="K150" s="221" t="e">
        <f t="shared" si="14"/>
        <v>#NUM!</v>
      </c>
      <c r="L150" s="221"/>
      <c r="M150" s="223">
        <f t="shared" si="15"/>
        <v>0</v>
      </c>
    </row>
    <row r="151" spans="1:13" x14ac:dyDescent="0.25">
      <c r="A151" s="238"/>
      <c r="G151" s="207"/>
      <c r="H151" s="224">
        <v>146</v>
      </c>
      <c r="I151" s="222" t="str">
        <f t="shared" si="13"/>
        <v/>
      </c>
      <c r="J151" s="221" t="e">
        <f t="shared" si="17"/>
        <v>#NUM!</v>
      </c>
      <c r="K151" s="221" t="e">
        <f t="shared" si="14"/>
        <v>#NUM!</v>
      </c>
      <c r="L151" s="221"/>
      <c r="M151" s="223">
        <f t="shared" si="15"/>
        <v>0</v>
      </c>
    </row>
    <row r="152" spans="1:13" x14ac:dyDescent="0.25">
      <c r="A152" s="238"/>
      <c r="G152" s="207"/>
      <c r="H152" s="221">
        <v>147</v>
      </c>
      <c r="I152" s="222" t="str">
        <f t="shared" si="13"/>
        <v/>
      </c>
      <c r="J152" s="221" t="e">
        <f t="shared" si="17"/>
        <v>#NUM!</v>
      </c>
      <c r="K152" s="221" t="e">
        <f t="shared" si="14"/>
        <v>#NUM!</v>
      </c>
      <c r="L152" s="221"/>
      <c r="M152" s="223">
        <f t="shared" si="15"/>
        <v>0</v>
      </c>
    </row>
    <row r="153" spans="1:13" x14ac:dyDescent="0.25">
      <c r="A153" s="238"/>
      <c r="G153" s="207"/>
      <c r="H153" s="224">
        <v>148</v>
      </c>
      <c r="I153" s="222" t="str">
        <f t="shared" si="13"/>
        <v/>
      </c>
      <c r="J153" s="221" t="e">
        <f t="shared" si="17"/>
        <v>#NUM!</v>
      </c>
      <c r="K153" s="221" t="e">
        <f t="shared" si="14"/>
        <v>#NUM!</v>
      </c>
      <c r="L153" s="221"/>
      <c r="M153" s="223">
        <f t="shared" si="15"/>
        <v>0</v>
      </c>
    </row>
    <row r="154" spans="1:13" x14ac:dyDescent="0.25">
      <c r="A154" s="238"/>
      <c r="G154" s="207"/>
      <c r="H154" s="221">
        <v>149</v>
      </c>
      <c r="I154" s="222" t="str">
        <f t="shared" si="13"/>
        <v/>
      </c>
      <c r="J154" s="221" t="e">
        <f t="shared" si="17"/>
        <v>#NUM!</v>
      </c>
      <c r="K154" s="221" t="e">
        <f t="shared" si="14"/>
        <v>#NUM!</v>
      </c>
      <c r="L154" s="221"/>
      <c r="M154" s="223">
        <f t="shared" si="15"/>
        <v>0</v>
      </c>
    </row>
    <row r="155" spans="1:13" x14ac:dyDescent="0.25">
      <c r="A155" s="238"/>
      <c r="G155" s="207"/>
      <c r="H155" s="224">
        <v>150</v>
      </c>
      <c r="I155" s="222" t="str">
        <f t="shared" si="13"/>
        <v/>
      </c>
      <c r="J155" s="221" t="e">
        <f t="shared" si="17"/>
        <v>#NUM!</v>
      </c>
      <c r="K155" s="221" t="e">
        <f t="shared" si="14"/>
        <v>#NUM!</v>
      </c>
      <c r="L155" s="221"/>
      <c r="M155" s="223">
        <f t="shared" si="15"/>
        <v>0</v>
      </c>
    </row>
    <row r="156" spans="1:13" x14ac:dyDescent="0.25">
      <c r="A156" s="238"/>
      <c r="G156" s="207"/>
      <c r="H156" s="221">
        <v>151</v>
      </c>
      <c r="I156" s="222" t="str">
        <f t="shared" si="13"/>
        <v/>
      </c>
      <c r="J156" s="221" t="e">
        <f t="shared" si="17"/>
        <v>#NUM!</v>
      </c>
      <c r="K156" s="221" t="e">
        <f t="shared" si="14"/>
        <v>#NUM!</v>
      </c>
      <c r="L156" s="221"/>
      <c r="M156" s="223">
        <f t="shared" si="15"/>
        <v>0</v>
      </c>
    </row>
    <row r="157" spans="1:13" x14ac:dyDescent="0.25">
      <c r="A157" s="238"/>
      <c r="G157" s="207"/>
      <c r="H157" s="224">
        <v>152</v>
      </c>
      <c r="I157" s="222" t="str">
        <f t="shared" si="13"/>
        <v/>
      </c>
      <c r="J157" s="221" t="e">
        <f t="shared" si="17"/>
        <v>#NUM!</v>
      </c>
      <c r="K157" s="221" t="e">
        <f t="shared" si="14"/>
        <v>#NUM!</v>
      </c>
      <c r="L157" s="221"/>
      <c r="M157" s="223">
        <f t="shared" si="15"/>
        <v>0</v>
      </c>
    </row>
    <row r="158" spans="1:13" x14ac:dyDescent="0.25">
      <c r="A158" s="238"/>
      <c r="G158" s="207"/>
      <c r="H158" s="221">
        <v>153</v>
      </c>
      <c r="I158" s="222" t="str">
        <f t="shared" si="13"/>
        <v/>
      </c>
      <c r="J158" s="221" t="e">
        <f t="shared" si="17"/>
        <v>#NUM!</v>
      </c>
      <c r="K158" s="221" t="e">
        <f t="shared" si="14"/>
        <v>#NUM!</v>
      </c>
      <c r="L158" s="221"/>
      <c r="M158" s="223">
        <f t="shared" si="15"/>
        <v>0</v>
      </c>
    </row>
    <row r="159" spans="1:13" x14ac:dyDescent="0.25">
      <c r="A159" s="238"/>
      <c r="G159" s="207"/>
      <c r="H159" s="224">
        <v>154</v>
      </c>
      <c r="I159" s="222" t="str">
        <f t="shared" si="13"/>
        <v/>
      </c>
      <c r="J159" s="221" t="e">
        <f t="shared" si="17"/>
        <v>#NUM!</v>
      </c>
      <c r="K159" s="221" t="e">
        <f t="shared" si="14"/>
        <v>#NUM!</v>
      </c>
      <c r="L159" s="221"/>
      <c r="M159" s="223">
        <f t="shared" si="15"/>
        <v>0</v>
      </c>
    </row>
    <row r="160" spans="1:13" x14ac:dyDescent="0.25">
      <c r="A160" s="238"/>
      <c r="G160" s="207"/>
      <c r="H160" s="221">
        <v>155</v>
      </c>
      <c r="I160" s="222" t="str">
        <f t="shared" si="13"/>
        <v/>
      </c>
      <c r="J160" s="221" t="e">
        <f t="shared" si="17"/>
        <v>#NUM!</v>
      </c>
      <c r="K160" s="221" t="e">
        <f t="shared" si="14"/>
        <v>#NUM!</v>
      </c>
      <c r="L160" s="221"/>
      <c r="M160" s="223">
        <f t="shared" si="15"/>
        <v>0</v>
      </c>
    </row>
    <row r="161" spans="1:13" x14ac:dyDescent="0.25">
      <c r="A161" s="238"/>
      <c r="G161" s="207"/>
      <c r="H161" s="224">
        <v>156</v>
      </c>
      <c r="I161" s="222" t="str">
        <f t="shared" si="13"/>
        <v/>
      </c>
      <c r="J161" s="221" t="e">
        <f t="shared" si="17"/>
        <v>#NUM!</v>
      </c>
      <c r="K161" s="221" t="e">
        <f t="shared" si="14"/>
        <v>#NUM!</v>
      </c>
      <c r="L161" s="221"/>
      <c r="M161" s="223">
        <f t="shared" si="15"/>
        <v>0</v>
      </c>
    </row>
    <row r="162" spans="1:13" x14ac:dyDescent="0.25">
      <c r="A162" s="238"/>
      <c r="G162" s="207"/>
      <c r="H162" s="221">
        <v>157</v>
      </c>
      <c r="I162" s="222" t="str">
        <f t="shared" si="13"/>
        <v/>
      </c>
      <c r="J162" s="221" t="e">
        <f t="shared" si="17"/>
        <v>#NUM!</v>
      </c>
      <c r="K162" s="221" t="e">
        <f t="shared" si="14"/>
        <v>#NUM!</v>
      </c>
      <c r="L162" s="221"/>
      <c r="M162" s="223">
        <f t="shared" si="15"/>
        <v>0</v>
      </c>
    </row>
    <row r="163" spans="1:13" x14ac:dyDescent="0.25">
      <c r="A163" s="238"/>
      <c r="G163" s="207"/>
      <c r="H163" s="224">
        <v>158</v>
      </c>
      <c r="I163" s="222" t="str">
        <f t="shared" si="13"/>
        <v/>
      </c>
      <c r="J163" s="221" t="e">
        <f t="shared" si="17"/>
        <v>#NUM!</v>
      </c>
      <c r="K163" s="221" t="e">
        <f t="shared" si="14"/>
        <v>#NUM!</v>
      </c>
      <c r="L163" s="221"/>
      <c r="M163" s="223">
        <f t="shared" si="15"/>
        <v>0</v>
      </c>
    </row>
    <row r="164" spans="1:13" x14ac:dyDescent="0.25">
      <c r="A164" s="238"/>
      <c r="G164" s="207"/>
      <c r="H164" s="221">
        <v>159</v>
      </c>
      <c r="I164" s="222" t="str">
        <f t="shared" si="13"/>
        <v/>
      </c>
      <c r="J164" s="221" t="e">
        <f t="shared" si="17"/>
        <v>#NUM!</v>
      </c>
      <c r="K164" s="221" t="e">
        <f t="shared" si="14"/>
        <v>#NUM!</v>
      </c>
      <c r="L164" s="221"/>
      <c r="M164" s="223">
        <f t="shared" si="15"/>
        <v>0</v>
      </c>
    </row>
    <row r="165" spans="1:13" x14ac:dyDescent="0.25">
      <c r="A165" s="238"/>
      <c r="G165" s="207"/>
      <c r="H165" s="224">
        <v>160</v>
      </c>
      <c r="I165" s="222" t="str">
        <f t="shared" si="13"/>
        <v/>
      </c>
      <c r="J165" s="221" t="e">
        <f t="shared" si="17"/>
        <v>#NUM!</v>
      </c>
      <c r="K165" s="221" t="e">
        <f t="shared" si="14"/>
        <v>#NUM!</v>
      </c>
      <c r="L165" s="221"/>
      <c r="M165" s="223">
        <f t="shared" si="15"/>
        <v>0</v>
      </c>
    </row>
    <row r="166" spans="1:13" x14ac:dyDescent="0.25">
      <c r="A166" s="238"/>
      <c r="G166" s="207"/>
      <c r="H166" s="221">
        <v>161</v>
      </c>
      <c r="I166" s="222" t="str">
        <f t="shared" si="13"/>
        <v/>
      </c>
      <c r="J166" s="221" t="e">
        <f t="shared" si="17"/>
        <v>#NUM!</v>
      </c>
      <c r="K166" s="221" t="e">
        <f t="shared" si="14"/>
        <v>#NUM!</v>
      </c>
      <c r="L166" s="221"/>
      <c r="M166" s="223">
        <f t="shared" si="15"/>
        <v>0</v>
      </c>
    </row>
    <row r="167" spans="1:13" x14ac:dyDescent="0.25">
      <c r="A167" s="238"/>
      <c r="G167" s="207"/>
      <c r="H167" s="224">
        <v>162</v>
      </c>
      <c r="I167" s="222" t="str">
        <f t="shared" si="13"/>
        <v/>
      </c>
      <c r="J167" s="221" t="e">
        <f t="shared" si="17"/>
        <v>#NUM!</v>
      </c>
      <c r="K167" s="221" t="e">
        <f t="shared" si="14"/>
        <v>#NUM!</v>
      </c>
      <c r="L167" s="221"/>
      <c r="M167" s="223">
        <f t="shared" si="15"/>
        <v>0</v>
      </c>
    </row>
    <row r="168" spans="1:13" x14ac:dyDescent="0.25">
      <c r="A168" s="238"/>
      <c r="G168" s="207"/>
      <c r="H168" s="221">
        <v>163</v>
      </c>
      <c r="I168" s="222" t="str">
        <f t="shared" si="13"/>
        <v/>
      </c>
      <c r="J168" s="221" t="e">
        <f t="shared" si="17"/>
        <v>#NUM!</v>
      </c>
      <c r="K168" s="221" t="e">
        <f t="shared" si="14"/>
        <v>#NUM!</v>
      </c>
      <c r="L168" s="221"/>
      <c r="M168" s="223">
        <f t="shared" si="15"/>
        <v>0</v>
      </c>
    </row>
    <row r="169" spans="1:13" x14ac:dyDescent="0.25">
      <c r="A169" s="238"/>
      <c r="C169" s="237" t="s">
        <v>42</v>
      </c>
      <c r="G169" s="207"/>
      <c r="H169" s="224">
        <v>164</v>
      </c>
      <c r="I169" s="222" t="str">
        <f t="shared" si="13"/>
        <v/>
      </c>
      <c r="J169" s="221" t="e">
        <f t="shared" si="17"/>
        <v>#NUM!</v>
      </c>
      <c r="K169" s="221" t="e">
        <f t="shared" si="14"/>
        <v>#NUM!</v>
      </c>
      <c r="L169" s="221"/>
      <c r="M169" s="223">
        <f t="shared" si="15"/>
        <v>0</v>
      </c>
    </row>
    <row r="170" spans="1:13" x14ac:dyDescent="0.25">
      <c r="A170" s="238"/>
      <c r="G170" s="207"/>
      <c r="H170" s="221">
        <v>165</v>
      </c>
      <c r="I170" s="222" t="str">
        <f t="shared" si="13"/>
        <v/>
      </c>
      <c r="J170" s="221" t="e">
        <f t="shared" si="17"/>
        <v>#NUM!</v>
      </c>
      <c r="K170" s="221" t="e">
        <f t="shared" si="14"/>
        <v>#NUM!</v>
      </c>
      <c r="L170" s="221"/>
      <c r="M170" s="223">
        <f t="shared" si="15"/>
        <v>0</v>
      </c>
    </row>
    <row r="171" spans="1:13" x14ac:dyDescent="0.25">
      <c r="A171" s="238"/>
      <c r="G171" s="207"/>
      <c r="H171" s="224">
        <v>166</v>
      </c>
      <c r="I171" s="222" t="str">
        <f t="shared" si="13"/>
        <v/>
      </c>
      <c r="J171" s="221" t="e">
        <f t="shared" si="17"/>
        <v>#NUM!</v>
      </c>
      <c r="K171" s="221" t="e">
        <f t="shared" si="14"/>
        <v>#NUM!</v>
      </c>
      <c r="L171" s="221"/>
      <c r="M171" s="223">
        <f t="shared" si="15"/>
        <v>0</v>
      </c>
    </row>
    <row r="172" spans="1:13" x14ac:dyDescent="0.25">
      <c r="A172" s="238"/>
      <c r="G172" s="207"/>
      <c r="H172" s="221">
        <v>167</v>
      </c>
      <c r="I172" s="222" t="str">
        <f t="shared" si="13"/>
        <v/>
      </c>
      <c r="J172" s="221" t="e">
        <f t="shared" si="17"/>
        <v>#NUM!</v>
      </c>
      <c r="K172" s="221" t="e">
        <f t="shared" si="14"/>
        <v>#NUM!</v>
      </c>
      <c r="L172" s="221"/>
      <c r="M172" s="223">
        <f t="shared" si="15"/>
        <v>0</v>
      </c>
    </row>
    <row r="173" spans="1:13" x14ac:dyDescent="0.25">
      <c r="A173" s="238"/>
      <c r="G173" s="207"/>
      <c r="H173" s="224">
        <v>168</v>
      </c>
      <c r="I173" s="222" t="str">
        <f t="shared" si="13"/>
        <v/>
      </c>
      <c r="J173" s="221" t="e">
        <f t="shared" si="17"/>
        <v>#NUM!</v>
      </c>
      <c r="K173" s="221" t="e">
        <f t="shared" si="14"/>
        <v>#NUM!</v>
      </c>
      <c r="L173" s="221"/>
      <c r="M173" s="223">
        <f t="shared" si="15"/>
        <v>0</v>
      </c>
    </row>
    <row r="174" spans="1:13" x14ac:dyDescent="0.25">
      <c r="A174" s="238"/>
      <c r="G174" s="207"/>
      <c r="H174" s="221">
        <v>169</v>
      </c>
      <c r="I174" s="222" t="str">
        <f t="shared" si="13"/>
        <v/>
      </c>
      <c r="J174" s="221" t="e">
        <f t="shared" si="17"/>
        <v>#NUM!</v>
      </c>
      <c r="K174" s="221" t="e">
        <f t="shared" si="14"/>
        <v>#NUM!</v>
      </c>
      <c r="L174" s="221"/>
      <c r="M174" s="223">
        <f t="shared" si="15"/>
        <v>0</v>
      </c>
    </row>
    <row r="175" spans="1:13" x14ac:dyDescent="0.25">
      <c r="A175" s="238"/>
      <c r="G175" s="207"/>
      <c r="H175" s="224">
        <v>170</v>
      </c>
      <c r="I175" s="222" t="str">
        <f t="shared" si="13"/>
        <v/>
      </c>
      <c r="J175" s="221" t="e">
        <f t="shared" si="17"/>
        <v>#NUM!</v>
      </c>
      <c r="K175" s="221" t="e">
        <f t="shared" si="14"/>
        <v>#NUM!</v>
      </c>
      <c r="L175" s="221"/>
      <c r="M175" s="223">
        <f t="shared" si="15"/>
        <v>0</v>
      </c>
    </row>
    <row r="176" spans="1:13" x14ac:dyDescent="0.25">
      <c r="A176" s="238"/>
      <c r="G176" s="207"/>
      <c r="H176" s="221">
        <v>171</v>
      </c>
      <c r="I176" s="222" t="str">
        <f t="shared" si="13"/>
        <v/>
      </c>
      <c r="J176" s="221" t="e">
        <f t="shared" si="17"/>
        <v>#NUM!</v>
      </c>
      <c r="K176" s="221" t="e">
        <f t="shared" si="14"/>
        <v>#NUM!</v>
      </c>
      <c r="L176" s="221"/>
      <c r="M176" s="223">
        <f t="shared" si="15"/>
        <v>0</v>
      </c>
    </row>
    <row r="177" spans="1:13" x14ac:dyDescent="0.25">
      <c r="A177" s="238"/>
      <c r="G177" s="207"/>
      <c r="H177" s="224">
        <v>172</v>
      </c>
      <c r="I177" s="222" t="str">
        <f t="shared" si="13"/>
        <v/>
      </c>
      <c r="J177" s="221" t="e">
        <f t="shared" si="17"/>
        <v>#NUM!</v>
      </c>
      <c r="K177" s="221" t="e">
        <f t="shared" si="14"/>
        <v>#NUM!</v>
      </c>
      <c r="L177" s="221"/>
      <c r="M177" s="223">
        <f t="shared" si="15"/>
        <v>0</v>
      </c>
    </row>
    <row r="178" spans="1:13" x14ac:dyDescent="0.25">
      <c r="A178" s="238"/>
      <c r="G178" s="207"/>
      <c r="H178" s="221">
        <v>173</v>
      </c>
      <c r="I178" s="222" t="str">
        <f t="shared" si="13"/>
        <v/>
      </c>
      <c r="J178" s="221" t="e">
        <f t="shared" si="17"/>
        <v>#NUM!</v>
      </c>
      <c r="K178" s="221" t="e">
        <f t="shared" si="14"/>
        <v>#NUM!</v>
      </c>
      <c r="L178" s="221"/>
      <c r="M178" s="223">
        <f t="shared" si="15"/>
        <v>0</v>
      </c>
    </row>
    <row r="179" spans="1:13" x14ac:dyDescent="0.25">
      <c r="A179" s="238"/>
      <c r="G179" s="207"/>
      <c r="H179" s="224">
        <v>174</v>
      </c>
      <c r="I179" s="222" t="str">
        <f t="shared" si="13"/>
        <v/>
      </c>
      <c r="J179" s="221" t="e">
        <f t="shared" si="17"/>
        <v>#NUM!</v>
      </c>
      <c r="K179" s="221" t="e">
        <f t="shared" si="14"/>
        <v>#NUM!</v>
      </c>
      <c r="L179" s="221"/>
      <c r="M179" s="223">
        <f t="shared" si="15"/>
        <v>0</v>
      </c>
    </row>
    <row r="180" spans="1:13" x14ac:dyDescent="0.25">
      <c r="A180" s="238"/>
      <c r="G180" s="207"/>
      <c r="H180" s="221">
        <v>175</v>
      </c>
      <c r="I180" s="222" t="str">
        <f t="shared" si="13"/>
        <v/>
      </c>
      <c r="J180" s="221" t="e">
        <f t="shared" si="17"/>
        <v>#NUM!</v>
      </c>
      <c r="K180" s="221" t="e">
        <f t="shared" si="14"/>
        <v>#NUM!</v>
      </c>
      <c r="L180" s="221"/>
      <c r="M180" s="223">
        <f t="shared" si="15"/>
        <v>0</v>
      </c>
    </row>
    <row r="181" spans="1:13" x14ac:dyDescent="0.25">
      <c r="A181" s="238"/>
      <c r="G181" s="207"/>
      <c r="H181" s="224">
        <v>176</v>
      </c>
      <c r="I181" s="222" t="str">
        <f t="shared" si="13"/>
        <v/>
      </c>
      <c r="J181" s="221" t="e">
        <f t="shared" si="17"/>
        <v>#NUM!</v>
      </c>
      <c r="K181" s="221" t="e">
        <f t="shared" si="14"/>
        <v>#NUM!</v>
      </c>
      <c r="L181" s="221"/>
      <c r="M181" s="223">
        <f t="shared" si="15"/>
        <v>0</v>
      </c>
    </row>
    <row r="182" spans="1:13" x14ac:dyDescent="0.25">
      <c r="A182" s="238"/>
      <c r="G182" s="207"/>
      <c r="H182" s="221">
        <v>177</v>
      </c>
      <c r="I182" s="222" t="str">
        <f t="shared" si="13"/>
        <v/>
      </c>
      <c r="J182" s="221" t="e">
        <f t="shared" si="17"/>
        <v>#NUM!</v>
      </c>
      <c r="K182" s="221" t="e">
        <f t="shared" si="14"/>
        <v>#NUM!</v>
      </c>
      <c r="L182" s="221"/>
      <c r="M182" s="223">
        <f t="shared" si="15"/>
        <v>0</v>
      </c>
    </row>
    <row r="183" spans="1:13" x14ac:dyDescent="0.25">
      <c r="A183" s="238"/>
      <c r="G183" s="207"/>
      <c r="H183" s="224">
        <v>178</v>
      </c>
      <c r="I183" s="222" t="str">
        <f t="shared" si="13"/>
        <v/>
      </c>
      <c r="J183" s="221" t="e">
        <f t="shared" si="17"/>
        <v>#NUM!</v>
      </c>
      <c r="K183" s="221" t="e">
        <f t="shared" si="14"/>
        <v>#NUM!</v>
      </c>
      <c r="L183" s="221"/>
      <c r="M183" s="223">
        <f t="shared" si="15"/>
        <v>0</v>
      </c>
    </row>
    <row r="184" spans="1:13" x14ac:dyDescent="0.25">
      <c r="A184" s="238"/>
      <c r="G184" s="207"/>
      <c r="H184" s="221">
        <v>179</v>
      </c>
      <c r="I184" s="222" t="str">
        <f t="shared" si="13"/>
        <v/>
      </c>
      <c r="J184" s="221" t="e">
        <f t="shared" si="17"/>
        <v>#NUM!</v>
      </c>
      <c r="K184" s="221" t="e">
        <f t="shared" si="14"/>
        <v>#NUM!</v>
      </c>
      <c r="L184" s="221"/>
      <c r="M184" s="223">
        <f t="shared" si="15"/>
        <v>0</v>
      </c>
    </row>
    <row r="185" spans="1:13" x14ac:dyDescent="0.25">
      <c r="A185" s="238"/>
      <c r="G185" s="207"/>
      <c r="H185" s="224">
        <v>180</v>
      </c>
      <c r="I185" s="222" t="str">
        <f t="shared" si="13"/>
        <v/>
      </c>
      <c r="J185" s="221" t="e">
        <f t="shared" si="17"/>
        <v>#NUM!</v>
      </c>
      <c r="K185" s="221" t="e">
        <f t="shared" si="14"/>
        <v>#NUM!</v>
      </c>
      <c r="L185" s="221"/>
      <c r="M185" s="223">
        <f t="shared" si="15"/>
        <v>0</v>
      </c>
    </row>
    <row r="186" spans="1:13" x14ac:dyDescent="0.25">
      <c r="A186" s="238"/>
      <c r="G186" s="207"/>
      <c r="H186" s="221">
        <v>181</v>
      </c>
      <c r="I186" s="222" t="str">
        <f t="shared" si="13"/>
        <v/>
      </c>
      <c r="J186" s="221" t="e">
        <f t="shared" si="17"/>
        <v>#NUM!</v>
      </c>
      <c r="K186" s="221" t="e">
        <f t="shared" si="14"/>
        <v>#NUM!</v>
      </c>
      <c r="L186" s="221"/>
      <c r="M186" s="223">
        <f t="shared" si="15"/>
        <v>0</v>
      </c>
    </row>
    <row r="187" spans="1:13" x14ac:dyDescent="0.25">
      <c r="A187" s="238"/>
      <c r="G187" s="207"/>
      <c r="H187" s="224">
        <v>182</v>
      </c>
      <c r="I187" s="222" t="str">
        <f t="shared" si="13"/>
        <v/>
      </c>
      <c r="J187" s="221" t="e">
        <f t="shared" si="17"/>
        <v>#NUM!</v>
      </c>
      <c r="K187" s="221" t="e">
        <f t="shared" si="14"/>
        <v>#NUM!</v>
      </c>
      <c r="L187" s="221"/>
      <c r="M187" s="223">
        <f t="shared" si="15"/>
        <v>0</v>
      </c>
    </row>
    <row r="188" spans="1:13" x14ac:dyDescent="0.25">
      <c r="A188" s="238"/>
      <c r="G188" s="207"/>
      <c r="H188" s="221">
        <v>183</v>
      </c>
      <c r="I188" s="222" t="str">
        <f t="shared" si="13"/>
        <v/>
      </c>
      <c r="J188" s="221" t="e">
        <f t="shared" si="17"/>
        <v>#NUM!</v>
      </c>
      <c r="K188" s="221" t="e">
        <f t="shared" si="14"/>
        <v>#NUM!</v>
      </c>
      <c r="L188" s="221"/>
      <c r="M188" s="223">
        <f t="shared" si="15"/>
        <v>0</v>
      </c>
    </row>
    <row r="189" spans="1:13" x14ac:dyDescent="0.25">
      <c r="A189" s="238"/>
      <c r="G189" s="207"/>
      <c r="H189" s="224">
        <v>184</v>
      </c>
      <c r="I189" s="222" t="str">
        <f t="shared" si="13"/>
        <v/>
      </c>
      <c r="J189" s="221" t="e">
        <f t="shared" si="17"/>
        <v>#NUM!</v>
      </c>
      <c r="K189" s="221" t="e">
        <f t="shared" si="14"/>
        <v>#NUM!</v>
      </c>
      <c r="L189" s="221"/>
      <c r="M189" s="223">
        <f t="shared" si="15"/>
        <v>0</v>
      </c>
    </row>
    <row r="190" spans="1:13" x14ac:dyDescent="0.25">
      <c r="A190" s="238"/>
      <c r="G190" s="207"/>
      <c r="H190" s="221">
        <v>185</v>
      </c>
      <c r="I190" s="222" t="str">
        <f t="shared" si="13"/>
        <v/>
      </c>
      <c r="J190" s="221" t="e">
        <f t="shared" si="17"/>
        <v>#NUM!</v>
      </c>
      <c r="K190" s="221" t="e">
        <f t="shared" si="14"/>
        <v>#NUM!</v>
      </c>
      <c r="L190" s="221"/>
      <c r="M190" s="223">
        <f t="shared" si="15"/>
        <v>0</v>
      </c>
    </row>
    <row r="191" spans="1:13" x14ac:dyDescent="0.25">
      <c r="A191" s="238"/>
      <c r="G191" s="207"/>
      <c r="H191" s="224">
        <v>186</v>
      </c>
      <c r="I191" s="222" t="str">
        <f t="shared" si="13"/>
        <v/>
      </c>
      <c r="J191" s="221" t="e">
        <f t="shared" si="17"/>
        <v>#NUM!</v>
      </c>
      <c r="K191" s="221" t="e">
        <f t="shared" si="14"/>
        <v>#NUM!</v>
      </c>
      <c r="L191" s="221"/>
      <c r="M191" s="223">
        <f t="shared" si="15"/>
        <v>0</v>
      </c>
    </row>
    <row r="192" spans="1:13" x14ac:dyDescent="0.25">
      <c r="A192" s="238"/>
      <c r="G192" s="207"/>
      <c r="H192" s="221">
        <v>187</v>
      </c>
      <c r="I192" s="222" t="str">
        <f t="shared" si="13"/>
        <v/>
      </c>
      <c r="J192" s="221" t="e">
        <f t="shared" si="17"/>
        <v>#NUM!</v>
      </c>
      <c r="K192" s="221" t="e">
        <f t="shared" si="14"/>
        <v>#NUM!</v>
      </c>
      <c r="L192" s="221"/>
      <c r="M192" s="223">
        <f t="shared" si="15"/>
        <v>0</v>
      </c>
    </row>
    <row r="193" spans="1:13" x14ac:dyDescent="0.25">
      <c r="A193" s="238"/>
      <c r="G193" s="207"/>
      <c r="H193" s="224">
        <v>188</v>
      </c>
      <c r="I193" s="222" t="str">
        <f t="shared" si="13"/>
        <v/>
      </c>
      <c r="J193" s="221" t="e">
        <f t="shared" si="17"/>
        <v>#NUM!</v>
      </c>
      <c r="K193" s="221" t="e">
        <f t="shared" si="14"/>
        <v>#NUM!</v>
      </c>
      <c r="L193" s="221"/>
      <c r="M193" s="223">
        <f t="shared" si="15"/>
        <v>0</v>
      </c>
    </row>
    <row r="194" spans="1:13" x14ac:dyDescent="0.25">
      <c r="A194" s="238"/>
      <c r="G194" s="207"/>
      <c r="H194" s="221">
        <v>189</v>
      </c>
      <c r="I194" s="222" t="str">
        <f t="shared" si="13"/>
        <v/>
      </c>
      <c r="J194" s="221" t="e">
        <f t="shared" si="17"/>
        <v>#NUM!</v>
      </c>
      <c r="K194" s="221" t="e">
        <f t="shared" si="14"/>
        <v>#NUM!</v>
      </c>
      <c r="L194" s="221"/>
      <c r="M194" s="223">
        <f t="shared" si="15"/>
        <v>0</v>
      </c>
    </row>
    <row r="195" spans="1:13" x14ac:dyDescent="0.25">
      <c r="A195" s="238"/>
      <c r="G195" s="207"/>
      <c r="H195" s="224">
        <v>190</v>
      </c>
      <c r="I195" s="222" t="str">
        <f t="shared" si="13"/>
        <v/>
      </c>
      <c r="J195" s="221" t="e">
        <f t="shared" si="17"/>
        <v>#NUM!</v>
      </c>
      <c r="K195" s="221" t="e">
        <f t="shared" si="14"/>
        <v>#NUM!</v>
      </c>
      <c r="L195" s="221"/>
      <c r="M195" s="223">
        <f t="shared" si="15"/>
        <v>0</v>
      </c>
    </row>
    <row r="196" spans="1:13" x14ac:dyDescent="0.25">
      <c r="A196" s="238"/>
      <c r="G196" s="207"/>
      <c r="H196" s="221">
        <v>191</v>
      </c>
      <c r="I196" s="222" t="str">
        <f t="shared" si="13"/>
        <v/>
      </c>
      <c r="J196" s="221" t="e">
        <f t="shared" si="17"/>
        <v>#NUM!</v>
      </c>
      <c r="K196" s="221" t="e">
        <f t="shared" si="14"/>
        <v>#NUM!</v>
      </c>
      <c r="L196" s="221"/>
      <c r="M196" s="223">
        <f t="shared" si="15"/>
        <v>0</v>
      </c>
    </row>
    <row r="197" spans="1:13" x14ac:dyDescent="0.25">
      <c r="A197" s="238"/>
      <c r="G197" s="207"/>
      <c r="H197" s="224">
        <v>192</v>
      </c>
      <c r="I197" s="222" t="str">
        <f t="shared" si="13"/>
        <v/>
      </c>
      <c r="J197" s="221" t="e">
        <f t="shared" si="17"/>
        <v>#NUM!</v>
      </c>
      <c r="K197" s="221" t="e">
        <f t="shared" si="14"/>
        <v>#NUM!</v>
      </c>
      <c r="L197" s="221"/>
      <c r="M197" s="223">
        <f t="shared" si="15"/>
        <v>0</v>
      </c>
    </row>
    <row r="198" spans="1:13" x14ac:dyDescent="0.25">
      <c r="A198" s="238"/>
      <c r="G198" s="207"/>
      <c r="H198" s="221">
        <v>193</v>
      </c>
      <c r="I198" s="222" t="str">
        <f t="shared" ref="I198:I261" si="18">IF(H198&lt;$H$2+1,($I$2-($I$2-1)*(LOG(H198)/LOG($H$2))),"")</f>
        <v/>
      </c>
      <c r="J198" s="221" t="e">
        <f t="shared" si="17"/>
        <v>#NUM!</v>
      </c>
      <c r="K198" s="221" t="e">
        <f t="shared" ref="K198:K261" si="19">J198*$J$2</f>
        <v>#NUM!</v>
      </c>
      <c r="L198" s="221"/>
      <c r="M198" s="223">
        <f t="shared" ref="M198:M261" si="20">IF(I198&lt;&gt;"",K198+I198+L198,0)</f>
        <v>0</v>
      </c>
    </row>
    <row r="199" spans="1:13" x14ac:dyDescent="0.25">
      <c r="A199" s="238"/>
      <c r="G199" s="207"/>
      <c r="H199" s="224">
        <v>194</v>
      </c>
      <c r="I199" s="222" t="str">
        <f t="shared" si="18"/>
        <v/>
      </c>
      <c r="J199" s="221" t="e">
        <f t="shared" ref="J199:J262" si="21">INT(LOG($H$2,2))-ROUNDUP(LOG(H199,2),0)+IF(OR($H$2=1,$H$2=2,$H$2=4,$H$2=8,$H$2=16,$H$2=32,$H$2=64,$H$2=128,$H$2=256),0,1)</f>
        <v>#NUM!</v>
      </c>
      <c r="K199" s="221" t="e">
        <f t="shared" si="19"/>
        <v>#NUM!</v>
      </c>
      <c r="L199" s="221"/>
      <c r="M199" s="223">
        <f t="shared" si="20"/>
        <v>0</v>
      </c>
    </row>
    <row r="200" spans="1:13" x14ac:dyDescent="0.25">
      <c r="A200" s="238"/>
      <c r="G200" s="207"/>
      <c r="H200" s="221">
        <v>195</v>
      </c>
      <c r="I200" s="222" t="str">
        <f t="shared" si="18"/>
        <v/>
      </c>
      <c r="J200" s="221" t="e">
        <f t="shared" si="21"/>
        <v>#NUM!</v>
      </c>
      <c r="K200" s="221" t="e">
        <f t="shared" si="19"/>
        <v>#NUM!</v>
      </c>
      <c r="L200" s="221"/>
      <c r="M200" s="223">
        <f t="shared" si="20"/>
        <v>0</v>
      </c>
    </row>
    <row r="201" spans="1:13" x14ac:dyDescent="0.25">
      <c r="A201" s="238"/>
      <c r="G201" s="207"/>
      <c r="H201" s="224">
        <v>196</v>
      </c>
      <c r="I201" s="222" t="str">
        <f t="shared" si="18"/>
        <v/>
      </c>
      <c r="J201" s="221" t="e">
        <f t="shared" si="21"/>
        <v>#NUM!</v>
      </c>
      <c r="K201" s="221" t="e">
        <f t="shared" si="19"/>
        <v>#NUM!</v>
      </c>
      <c r="L201" s="221"/>
      <c r="M201" s="223">
        <f t="shared" si="20"/>
        <v>0</v>
      </c>
    </row>
    <row r="202" spans="1:13" x14ac:dyDescent="0.25">
      <c r="A202" s="238"/>
      <c r="G202" s="207"/>
      <c r="H202" s="221">
        <v>197</v>
      </c>
      <c r="I202" s="222" t="str">
        <f t="shared" si="18"/>
        <v/>
      </c>
      <c r="J202" s="221" t="e">
        <f t="shared" si="21"/>
        <v>#NUM!</v>
      </c>
      <c r="K202" s="221" t="e">
        <f t="shared" si="19"/>
        <v>#NUM!</v>
      </c>
      <c r="L202" s="221"/>
      <c r="M202" s="223">
        <f t="shared" si="20"/>
        <v>0</v>
      </c>
    </row>
    <row r="203" spans="1:13" x14ac:dyDescent="0.25">
      <c r="A203" s="238"/>
      <c r="G203" s="207"/>
      <c r="H203" s="224">
        <v>198</v>
      </c>
      <c r="I203" s="222" t="str">
        <f t="shared" si="18"/>
        <v/>
      </c>
      <c r="J203" s="221" t="e">
        <f t="shared" si="21"/>
        <v>#NUM!</v>
      </c>
      <c r="K203" s="221" t="e">
        <f t="shared" si="19"/>
        <v>#NUM!</v>
      </c>
      <c r="L203" s="221"/>
      <c r="M203" s="223">
        <f t="shared" si="20"/>
        <v>0</v>
      </c>
    </row>
    <row r="204" spans="1:13" x14ac:dyDescent="0.25">
      <c r="A204" s="238"/>
      <c r="G204" s="207"/>
      <c r="H204" s="221">
        <v>199</v>
      </c>
      <c r="I204" s="222" t="str">
        <f t="shared" si="18"/>
        <v/>
      </c>
      <c r="J204" s="221" t="e">
        <f t="shared" si="21"/>
        <v>#NUM!</v>
      </c>
      <c r="K204" s="221" t="e">
        <f t="shared" si="19"/>
        <v>#NUM!</v>
      </c>
      <c r="L204" s="221"/>
      <c r="M204" s="223">
        <f t="shared" si="20"/>
        <v>0</v>
      </c>
    </row>
    <row r="205" spans="1:13" x14ac:dyDescent="0.25">
      <c r="A205" s="238"/>
      <c r="G205" s="207"/>
      <c r="H205" s="224">
        <v>200</v>
      </c>
      <c r="I205" s="222" t="str">
        <f t="shared" si="18"/>
        <v/>
      </c>
      <c r="J205" s="221" t="e">
        <f t="shared" si="21"/>
        <v>#NUM!</v>
      </c>
      <c r="K205" s="221" t="e">
        <f t="shared" si="19"/>
        <v>#NUM!</v>
      </c>
      <c r="L205" s="221"/>
      <c r="M205" s="223">
        <f t="shared" si="20"/>
        <v>0</v>
      </c>
    </row>
    <row r="206" spans="1:13" x14ac:dyDescent="0.25">
      <c r="A206" s="238"/>
      <c r="G206" s="207"/>
      <c r="H206" s="221">
        <v>201</v>
      </c>
      <c r="I206" s="222" t="str">
        <f t="shared" si="18"/>
        <v/>
      </c>
      <c r="J206" s="221" t="e">
        <f t="shared" si="21"/>
        <v>#NUM!</v>
      </c>
      <c r="K206" s="221" t="e">
        <f t="shared" si="19"/>
        <v>#NUM!</v>
      </c>
      <c r="L206" s="221"/>
      <c r="M206" s="223">
        <f t="shared" si="20"/>
        <v>0</v>
      </c>
    </row>
    <row r="207" spans="1:13" x14ac:dyDescent="0.25">
      <c r="A207" s="238"/>
      <c r="G207" s="207"/>
      <c r="H207" s="224">
        <v>202</v>
      </c>
      <c r="I207" s="222" t="str">
        <f t="shared" si="18"/>
        <v/>
      </c>
      <c r="J207" s="221" t="e">
        <f t="shared" si="21"/>
        <v>#NUM!</v>
      </c>
      <c r="K207" s="221" t="e">
        <f t="shared" si="19"/>
        <v>#NUM!</v>
      </c>
      <c r="L207" s="221"/>
      <c r="M207" s="223">
        <f t="shared" si="20"/>
        <v>0</v>
      </c>
    </row>
    <row r="208" spans="1:13" x14ac:dyDescent="0.25">
      <c r="A208" s="238"/>
      <c r="G208" s="207"/>
      <c r="H208" s="221">
        <v>203</v>
      </c>
      <c r="I208" s="222" t="str">
        <f t="shared" si="18"/>
        <v/>
      </c>
      <c r="J208" s="221" t="e">
        <f t="shared" si="21"/>
        <v>#NUM!</v>
      </c>
      <c r="K208" s="221" t="e">
        <f t="shared" si="19"/>
        <v>#NUM!</v>
      </c>
      <c r="L208" s="221"/>
      <c r="M208" s="223">
        <f t="shared" si="20"/>
        <v>0</v>
      </c>
    </row>
    <row r="209" spans="1:13" x14ac:dyDescent="0.25">
      <c r="A209" s="238"/>
      <c r="G209" s="207"/>
      <c r="H209" s="224">
        <v>204</v>
      </c>
      <c r="I209" s="222" t="str">
        <f t="shared" si="18"/>
        <v/>
      </c>
      <c r="J209" s="221" t="e">
        <f t="shared" si="21"/>
        <v>#NUM!</v>
      </c>
      <c r="K209" s="221" t="e">
        <f t="shared" si="19"/>
        <v>#NUM!</v>
      </c>
      <c r="L209" s="221"/>
      <c r="M209" s="223">
        <f t="shared" si="20"/>
        <v>0</v>
      </c>
    </row>
    <row r="210" spans="1:13" x14ac:dyDescent="0.25">
      <c r="A210" s="238"/>
      <c r="G210" s="207"/>
      <c r="H210" s="221">
        <v>205</v>
      </c>
      <c r="I210" s="222" t="str">
        <f t="shared" si="18"/>
        <v/>
      </c>
      <c r="J210" s="221" t="e">
        <f t="shared" si="21"/>
        <v>#NUM!</v>
      </c>
      <c r="K210" s="221" t="e">
        <f t="shared" si="19"/>
        <v>#NUM!</v>
      </c>
      <c r="L210" s="221"/>
      <c r="M210" s="223">
        <f t="shared" si="20"/>
        <v>0</v>
      </c>
    </row>
    <row r="211" spans="1:13" x14ac:dyDescent="0.25">
      <c r="A211" s="238"/>
      <c r="G211" s="207"/>
      <c r="H211" s="224">
        <v>206</v>
      </c>
      <c r="I211" s="222" t="str">
        <f t="shared" si="18"/>
        <v/>
      </c>
      <c r="J211" s="221" t="e">
        <f t="shared" si="21"/>
        <v>#NUM!</v>
      </c>
      <c r="K211" s="221" t="e">
        <f t="shared" si="19"/>
        <v>#NUM!</v>
      </c>
      <c r="L211" s="221"/>
      <c r="M211" s="223">
        <f t="shared" si="20"/>
        <v>0</v>
      </c>
    </row>
    <row r="212" spans="1:13" x14ac:dyDescent="0.25">
      <c r="A212" s="238"/>
      <c r="G212" s="207"/>
      <c r="H212" s="221">
        <v>207</v>
      </c>
      <c r="I212" s="222" t="str">
        <f t="shared" si="18"/>
        <v/>
      </c>
      <c r="J212" s="221" t="e">
        <f t="shared" si="21"/>
        <v>#NUM!</v>
      </c>
      <c r="K212" s="221" t="e">
        <f t="shared" si="19"/>
        <v>#NUM!</v>
      </c>
      <c r="L212" s="221"/>
      <c r="M212" s="223">
        <f t="shared" si="20"/>
        <v>0</v>
      </c>
    </row>
    <row r="213" spans="1:13" x14ac:dyDescent="0.25">
      <c r="A213" s="238"/>
      <c r="G213" s="207"/>
      <c r="H213" s="224">
        <v>208</v>
      </c>
      <c r="I213" s="222" t="str">
        <f t="shared" si="18"/>
        <v/>
      </c>
      <c r="J213" s="221" t="e">
        <f t="shared" si="21"/>
        <v>#NUM!</v>
      </c>
      <c r="K213" s="221" t="e">
        <f t="shared" si="19"/>
        <v>#NUM!</v>
      </c>
      <c r="L213" s="221"/>
      <c r="M213" s="223">
        <f t="shared" si="20"/>
        <v>0</v>
      </c>
    </row>
    <row r="214" spans="1:13" x14ac:dyDescent="0.25">
      <c r="A214" s="238"/>
      <c r="G214" s="207"/>
      <c r="H214" s="221">
        <v>209</v>
      </c>
      <c r="I214" s="222" t="str">
        <f t="shared" si="18"/>
        <v/>
      </c>
      <c r="J214" s="221" t="e">
        <f t="shared" si="21"/>
        <v>#NUM!</v>
      </c>
      <c r="K214" s="221" t="e">
        <f t="shared" si="19"/>
        <v>#NUM!</v>
      </c>
      <c r="L214" s="221"/>
      <c r="M214" s="223">
        <f t="shared" si="20"/>
        <v>0</v>
      </c>
    </row>
    <row r="215" spans="1:13" x14ac:dyDescent="0.25">
      <c r="A215" s="238"/>
      <c r="G215" s="207"/>
      <c r="H215" s="224">
        <v>210</v>
      </c>
      <c r="I215" s="222" t="str">
        <f t="shared" si="18"/>
        <v/>
      </c>
      <c r="J215" s="221" t="e">
        <f t="shared" si="21"/>
        <v>#NUM!</v>
      </c>
      <c r="K215" s="221" t="e">
        <f t="shared" si="19"/>
        <v>#NUM!</v>
      </c>
      <c r="L215" s="221"/>
      <c r="M215" s="223">
        <f t="shared" si="20"/>
        <v>0</v>
      </c>
    </row>
    <row r="216" spans="1:13" x14ac:dyDescent="0.25">
      <c r="A216" s="238"/>
      <c r="G216" s="207"/>
      <c r="H216" s="221">
        <v>211</v>
      </c>
      <c r="I216" s="222" t="str">
        <f t="shared" si="18"/>
        <v/>
      </c>
      <c r="J216" s="221" t="e">
        <f t="shared" si="21"/>
        <v>#NUM!</v>
      </c>
      <c r="K216" s="221" t="e">
        <f t="shared" si="19"/>
        <v>#NUM!</v>
      </c>
      <c r="L216" s="221"/>
      <c r="M216" s="223">
        <f t="shared" si="20"/>
        <v>0</v>
      </c>
    </row>
    <row r="217" spans="1:13" x14ac:dyDescent="0.25">
      <c r="A217" s="238"/>
      <c r="G217" s="207"/>
      <c r="H217" s="224">
        <v>212</v>
      </c>
      <c r="I217" s="222" t="str">
        <f t="shared" si="18"/>
        <v/>
      </c>
      <c r="J217" s="221" t="e">
        <f t="shared" si="21"/>
        <v>#NUM!</v>
      </c>
      <c r="K217" s="221" t="e">
        <f t="shared" si="19"/>
        <v>#NUM!</v>
      </c>
      <c r="L217" s="221"/>
      <c r="M217" s="223">
        <f t="shared" si="20"/>
        <v>0</v>
      </c>
    </row>
    <row r="218" spans="1:13" x14ac:dyDescent="0.25">
      <c r="A218" s="238"/>
      <c r="G218" s="207"/>
      <c r="H218" s="221">
        <v>213</v>
      </c>
      <c r="I218" s="222" t="str">
        <f t="shared" si="18"/>
        <v/>
      </c>
      <c r="J218" s="221" t="e">
        <f t="shared" si="21"/>
        <v>#NUM!</v>
      </c>
      <c r="K218" s="221" t="e">
        <f t="shared" si="19"/>
        <v>#NUM!</v>
      </c>
      <c r="L218" s="221"/>
      <c r="M218" s="223">
        <f t="shared" si="20"/>
        <v>0</v>
      </c>
    </row>
    <row r="219" spans="1:13" x14ac:dyDescent="0.25">
      <c r="A219" s="238"/>
      <c r="G219" s="207"/>
      <c r="H219" s="224">
        <v>214</v>
      </c>
      <c r="I219" s="222" t="str">
        <f t="shared" si="18"/>
        <v/>
      </c>
      <c r="J219" s="221" t="e">
        <f t="shared" si="21"/>
        <v>#NUM!</v>
      </c>
      <c r="K219" s="221" t="e">
        <f t="shared" si="19"/>
        <v>#NUM!</v>
      </c>
      <c r="L219" s="221"/>
      <c r="M219" s="223">
        <f t="shared" si="20"/>
        <v>0</v>
      </c>
    </row>
    <row r="220" spans="1:13" x14ac:dyDescent="0.25">
      <c r="A220" s="238"/>
      <c r="G220" s="207"/>
      <c r="H220" s="221">
        <v>215</v>
      </c>
      <c r="I220" s="222" t="str">
        <f t="shared" si="18"/>
        <v/>
      </c>
      <c r="J220" s="221" t="e">
        <f t="shared" si="21"/>
        <v>#NUM!</v>
      </c>
      <c r="K220" s="221" t="e">
        <f t="shared" si="19"/>
        <v>#NUM!</v>
      </c>
      <c r="L220" s="221"/>
      <c r="M220" s="223">
        <f t="shared" si="20"/>
        <v>0</v>
      </c>
    </row>
    <row r="221" spans="1:13" x14ac:dyDescent="0.25">
      <c r="A221" s="238"/>
      <c r="G221" s="207"/>
      <c r="H221" s="224">
        <v>216</v>
      </c>
      <c r="I221" s="222" t="str">
        <f t="shared" si="18"/>
        <v/>
      </c>
      <c r="J221" s="221" t="e">
        <f t="shared" si="21"/>
        <v>#NUM!</v>
      </c>
      <c r="K221" s="221" t="e">
        <f t="shared" si="19"/>
        <v>#NUM!</v>
      </c>
      <c r="L221" s="221"/>
      <c r="M221" s="223">
        <f t="shared" si="20"/>
        <v>0</v>
      </c>
    </row>
    <row r="222" spans="1:13" x14ac:dyDescent="0.25">
      <c r="A222" s="238"/>
      <c r="G222" s="207"/>
      <c r="H222" s="221">
        <v>217</v>
      </c>
      <c r="I222" s="222" t="str">
        <f t="shared" si="18"/>
        <v/>
      </c>
      <c r="J222" s="221" t="e">
        <f t="shared" si="21"/>
        <v>#NUM!</v>
      </c>
      <c r="K222" s="221" t="e">
        <f t="shared" si="19"/>
        <v>#NUM!</v>
      </c>
      <c r="L222" s="221"/>
      <c r="M222" s="223">
        <f t="shared" si="20"/>
        <v>0</v>
      </c>
    </row>
    <row r="223" spans="1:13" x14ac:dyDescent="0.25">
      <c r="A223" s="238"/>
      <c r="G223" s="207"/>
      <c r="H223" s="224">
        <v>218</v>
      </c>
      <c r="I223" s="222" t="str">
        <f t="shared" si="18"/>
        <v/>
      </c>
      <c r="J223" s="221" t="e">
        <f t="shared" si="21"/>
        <v>#NUM!</v>
      </c>
      <c r="K223" s="221" t="e">
        <f t="shared" si="19"/>
        <v>#NUM!</v>
      </c>
      <c r="L223" s="221"/>
      <c r="M223" s="223">
        <f t="shared" si="20"/>
        <v>0</v>
      </c>
    </row>
    <row r="224" spans="1:13" x14ac:dyDescent="0.25">
      <c r="A224" s="238"/>
      <c r="G224" s="207"/>
      <c r="H224" s="221">
        <v>219</v>
      </c>
      <c r="I224" s="222" t="str">
        <f t="shared" si="18"/>
        <v/>
      </c>
      <c r="J224" s="221" t="e">
        <f t="shared" si="21"/>
        <v>#NUM!</v>
      </c>
      <c r="K224" s="221" t="e">
        <f t="shared" si="19"/>
        <v>#NUM!</v>
      </c>
      <c r="L224" s="221"/>
      <c r="M224" s="223">
        <f t="shared" si="20"/>
        <v>0</v>
      </c>
    </row>
    <row r="225" spans="1:13" x14ac:dyDescent="0.25">
      <c r="A225" s="238"/>
      <c r="G225" s="207"/>
      <c r="H225" s="224">
        <v>220</v>
      </c>
      <c r="I225" s="222" t="str">
        <f t="shared" si="18"/>
        <v/>
      </c>
      <c r="J225" s="221" t="e">
        <f t="shared" si="21"/>
        <v>#NUM!</v>
      </c>
      <c r="K225" s="221" t="e">
        <f t="shared" si="19"/>
        <v>#NUM!</v>
      </c>
      <c r="L225" s="221"/>
      <c r="M225" s="223">
        <f t="shared" si="20"/>
        <v>0</v>
      </c>
    </row>
    <row r="226" spans="1:13" x14ac:dyDescent="0.25">
      <c r="A226" s="238"/>
      <c r="G226" s="207"/>
      <c r="H226" s="221">
        <v>221</v>
      </c>
      <c r="I226" s="222" t="str">
        <f t="shared" si="18"/>
        <v/>
      </c>
      <c r="J226" s="221" t="e">
        <f t="shared" si="21"/>
        <v>#NUM!</v>
      </c>
      <c r="K226" s="221" t="e">
        <f t="shared" si="19"/>
        <v>#NUM!</v>
      </c>
      <c r="L226" s="221"/>
      <c r="M226" s="223">
        <f t="shared" si="20"/>
        <v>0</v>
      </c>
    </row>
    <row r="227" spans="1:13" x14ac:dyDescent="0.25">
      <c r="A227" s="238"/>
      <c r="G227" s="207"/>
      <c r="H227" s="224">
        <v>222</v>
      </c>
      <c r="I227" s="222" t="str">
        <f t="shared" si="18"/>
        <v/>
      </c>
      <c r="J227" s="221" t="e">
        <f t="shared" si="21"/>
        <v>#NUM!</v>
      </c>
      <c r="K227" s="221" t="e">
        <f t="shared" si="19"/>
        <v>#NUM!</v>
      </c>
      <c r="L227" s="221"/>
      <c r="M227" s="223">
        <f t="shared" si="20"/>
        <v>0</v>
      </c>
    </row>
    <row r="228" spans="1:13" x14ac:dyDescent="0.25">
      <c r="A228" s="238"/>
      <c r="G228" s="207"/>
      <c r="H228" s="221">
        <v>223</v>
      </c>
      <c r="I228" s="222" t="str">
        <f t="shared" si="18"/>
        <v/>
      </c>
      <c r="J228" s="221" t="e">
        <f t="shared" si="21"/>
        <v>#NUM!</v>
      </c>
      <c r="K228" s="221" t="e">
        <f t="shared" si="19"/>
        <v>#NUM!</v>
      </c>
      <c r="L228" s="221"/>
      <c r="M228" s="223">
        <f t="shared" si="20"/>
        <v>0</v>
      </c>
    </row>
    <row r="229" spans="1:13" x14ac:dyDescent="0.25">
      <c r="A229" s="238"/>
      <c r="G229" s="207"/>
      <c r="H229" s="224">
        <v>224</v>
      </c>
      <c r="I229" s="222" t="str">
        <f t="shared" si="18"/>
        <v/>
      </c>
      <c r="J229" s="221" t="e">
        <f t="shared" si="21"/>
        <v>#NUM!</v>
      </c>
      <c r="K229" s="221" t="e">
        <f t="shared" si="19"/>
        <v>#NUM!</v>
      </c>
      <c r="L229" s="221"/>
      <c r="M229" s="223">
        <f t="shared" si="20"/>
        <v>0</v>
      </c>
    </row>
    <row r="230" spans="1:13" x14ac:dyDescent="0.25">
      <c r="A230" s="238"/>
      <c r="G230" s="207"/>
      <c r="H230" s="221">
        <v>225</v>
      </c>
      <c r="I230" s="222" t="str">
        <f t="shared" si="18"/>
        <v/>
      </c>
      <c r="J230" s="221" t="e">
        <f t="shared" si="21"/>
        <v>#NUM!</v>
      </c>
      <c r="K230" s="221" t="e">
        <f t="shared" si="19"/>
        <v>#NUM!</v>
      </c>
      <c r="L230" s="221"/>
      <c r="M230" s="223">
        <f t="shared" si="20"/>
        <v>0</v>
      </c>
    </row>
    <row r="231" spans="1:13" x14ac:dyDescent="0.25">
      <c r="A231" s="238"/>
      <c r="G231" s="207"/>
      <c r="H231" s="224">
        <v>226</v>
      </c>
      <c r="I231" s="222" t="str">
        <f t="shared" si="18"/>
        <v/>
      </c>
      <c r="J231" s="221" t="e">
        <f t="shared" si="21"/>
        <v>#NUM!</v>
      </c>
      <c r="K231" s="221" t="e">
        <f t="shared" si="19"/>
        <v>#NUM!</v>
      </c>
      <c r="L231" s="221"/>
      <c r="M231" s="223">
        <f t="shared" si="20"/>
        <v>0</v>
      </c>
    </row>
    <row r="232" spans="1:13" x14ac:dyDescent="0.25">
      <c r="A232" s="238"/>
      <c r="G232" s="207"/>
      <c r="H232" s="221">
        <v>227</v>
      </c>
      <c r="I232" s="222" t="str">
        <f t="shared" si="18"/>
        <v/>
      </c>
      <c r="J232" s="221" t="e">
        <f t="shared" si="21"/>
        <v>#NUM!</v>
      </c>
      <c r="K232" s="221" t="e">
        <f t="shared" si="19"/>
        <v>#NUM!</v>
      </c>
      <c r="L232" s="221"/>
      <c r="M232" s="223">
        <f t="shared" si="20"/>
        <v>0</v>
      </c>
    </row>
    <row r="233" spans="1:13" x14ac:dyDescent="0.25">
      <c r="A233" s="238"/>
      <c r="G233" s="207"/>
      <c r="H233" s="224">
        <v>228</v>
      </c>
      <c r="I233" s="222" t="str">
        <f t="shared" si="18"/>
        <v/>
      </c>
      <c r="J233" s="221" t="e">
        <f t="shared" si="21"/>
        <v>#NUM!</v>
      </c>
      <c r="K233" s="221" t="e">
        <f t="shared" si="19"/>
        <v>#NUM!</v>
      </c>
      <c r="L233" s="221"/>
      <c r="M233" s="223">
        <f t="shared" si="20"/>
        <v>0</v>
      </c>
    </row>
    <row r="234" spans="1:13" x14ac:dyDescent="0.25">
      <c r="A234" s="238"/>
      <c r="G234" s="207"/>
      <c r="H234" s="221">
        <v>229</v>
      </c>
      <c r="I234" s="222" t="str">
        <f t="shared" si="18"/>
        <v/>
      </c>
      <c r="J234" s="221" t="e">
        <f t="shared" si="21"/>
        <v>#NUM!</v>
      </c>
      <c r="K234" s="221" t="e">
        <f t="shared" si="19"/>
        <v>#NUM!</v>
      </c>
      <c r="L234" s="221"/>
      <c r="M234" s="223">
        <f t="shared" si="20"/>
        <v>0</v>
      </c>
    </row>
    <row r="235" spans="1:13" x14ac:dyDescent="0.25">
      <c r="A235" s="238"/>
      <c r="G235" s="207"/>
      <c r="H235" s="224">
        <v>230</v>
      </c>
      <c r="I235" s="222" t="str">
        <f t="shared" si="18"/>
        <v/>
      </c>
      <c r="J235" s="221" t="e">
        <f t="shared" si="21"/>
        <v>#NUM!</v>
      </c>
      <c r="K235" s="221" t="e">
        <f t="shared" si="19"/>
        <v>#NUM!</v>
      </c>
      <c r="L235" s="221"/>
      <c r="M235" s="223">
        <f t="shared" si="20"/>
        <v>0</v>
      </c>
    </row>
    <row r="236" spans="1:13" x14ac:dyDescent="0.25">
      <c r="A236" s="238"/>
      <c r="G236" s="207"/>
      <c r="H236" s="221">
        <v>231</v>
      </c>
      <c r="I236" s="222" t="str">
        <f t="shared" si="18"/>
        <v/>
      </c>
      <c r="J236" s="221" t="e">
        <f t="shared" si="21"/>
        <v>#NUM!</v>
      </c>
      <c r="K236" s="221" t="e">
        <f t="shared" si="19"/>
        <v>#NUM!</v>
      </c>
      <c r="L236" s="221"/>
      <c r="M236" s="223">
        <f t="shared" si="20"/>
        <v>0</v>
      </c>
    </row>
    <row r="237" spans="1:13" x14ac:dyDescent="0.25">
      <c r="A237" s="238"/>
      <c r="G237" s="207"/>
      <c r="H237" s="224">
        <v>232</v>
      </c>
      <c r="I237" s="222" t="str">
        <f t="shared" si="18"/>
        <v/>
      </c>
      <c r="J237" s="221" t="e">
        <f t="shared" si="21"/>
        <v>#NUM!</v>
      </c>
      <c r="K237" s="221" t="e">
        <f t="shared" si="19"/>
        <v>#NUM!</v>
      </c>
      <c r="L237" s="221"/>
      <c r="M237" s="223">
        <f t="shared" si="20"/>
        <v>0</v>
      </c>
    </row>
    <row r="238" spans="1:13" x14ac:dyDescent="0.25">
      <c r="A238" s="238"/>
      <c r="G238" s="207"/>
      <c r="H238" s="221">
        <v>233</v>
      </c>
      <c r="I238" s="222" t="str">
        <f t="shared" si="18"/>
        <v/>
      </c>
      <c r="J238" s="221" t="e">
        <f t="shared" si="21"/>
        <v>#NUM!</v>
      </c>
      <c r="K238" s="221" t="e">
        <f t="shared" si="19"/>
        <v>#NUM!</v>
      </c>
      <c r="L238" s="221"/>
      <c r="M238" s="223">
        <f t="shared" si="20"/>
        <v>0</v>
      </c>
    </row>
    <row r="239" spans="1:13" x14ac:dyDescent="0.25">
      <c r="A239" s="238"/>
      <c r="G239" s="207"/>
      <c r="H239" s="224">
        <v>234</v>
      </c>
      <c r="I239" s="222" t="str">
        <f t="shared" si="18"/>
        <v/>
      </c>
      <c r="J239" s="221" t="e">
        <f t="shared" si="21"/>
        <v>#NUM!</v>
      </c>
      <c r="K239" s="221" t="e">
        <f t="shared" si="19"/>
        <v>#NUM!</v>
      </c>
      <c r="L239" s="221"/>
      <c r="M239" s="223">
        <f t="shared" si="20"/>
        <v>0</v>
      </c>
    </row>
    <row r="240" spans="1:13" x14ac:dyDescent="0.25">
      <c r="A240" s="238"/>
      <c r="G240" s="207"/>
      <c r="H240" s="221">
        <v>235</v>
      </c>
      <c r="I240" s="222" t="str">
        <f t="shared" si="18"/>
        <v/>
      </c>
      <c r="J240" s="221" t="e">
        <f t="shared" si="21"/>
        <v>#NUM!</v>
      </c>
      <c r="K240" s="221" t="e">
        <f t="shared" si="19"/>
        <v>#NUM!</v>
      </c>
      <c r="L240" s="221"/>
      <c r="M240" s="223">
        <f t="shared" si="20"/>
        <v>0</v>
      </c>
    </row>
    <row r="241" spans="1:13" x14ac:dyDescent="0.25">
      <c r="A241" s="238"/>
      <c r="G241" s="207"/>
      <c r="H241" s="224">
        <v>236</v>
      </c>
      <c r="I241" s="222" t="str">
        <f t="shared" si="18"/>
        <v/>
      </c>
      <c r="J241" s="221" t="e">
        <f t="shared" si="21"/>
        <v>#NUM!</v>
      </c>
      <c r="K241" s="221" t="e">
        <f t="shared" si="19"/>
        <v>#NUM!</v>
      </c>
      <c r="L241" s="221"/>
      <c r="M241" s="223">
        <f t="shared" si="20"/>
        <v>0</v>
      </c>
    </row>
    <row r="242" spans="1:13" x14ac:dyDescent="0.25">
      <c r="A242" s="238"/>
      <c r="G242" s="207"/>
      <c r="H242" s="221">
        <v>237</v>
      </c>
      <c r="I242" s="222" t="str">
        <f t="shared" si="18"/>
        <v/>
      </c>
      <c r="J242" s="221" t="e">
        <f t="shared" si="21"/>
        <v>#NUM!</v>
      </c>
      <c r="K242" s="221" t="e">
        <f t="shared" si="19"/>
        <v>#NUM!</v>
      </c>
      <c r="L242" s="221"/>
      <c r="M242" s="223">
        <f t="shared" si="20"/>
        <v>0</v>
      </c>
    </row>
    <row r="243" spans="1:13" x14ac:dyDescent="0.25">
      <c r="A243" s="238"/>
      <c r="G243" s="207"/>
      <c r="H243" s="224">
        <v>238</v>
      </c>
      <c r="I243" s="222" t="str">
        <f t="shared" si="18"/>
        <v/>
      </c>
      <c r="J243" s="221" t="e">
        <f t="shared" si="21"/>
        <v>#NUM!</v>
      </c>
      <c r="K243" s="221" t="e">
        <f t="shared" si="19"/>
        <v>#NUM!</v>
      </c>
      <c r="L243" s="221"/>
      <c r="M243" s="223">
        <f t="shared" si="20"/>
        <v>0</v>
      </c>
    </row>
    <row r="244" spans="1:13" x14ac:dyDescent="0.25">
      <c r="A244" s="238"/>
      <c r="G244" s="207"/>
      <c r="H244" s="221">
        <v>239</v>
      </c>
      <c r="I244" s="222" t="str">
        <f t="shared" si="18"/>
        <v/>
      </c>
      <c r="J244" s="221" t="e">
        <f t="shared" si="21"/>
        <v>#NUM!</v>
      </c>
      <c r="K244" s="221" t="e">
        <f t="shared" si="19"/>
        <v>#NUM!</v>
      </c>
      <c r="L244" s="221"/>
      <c r="M244" s="223">
        <f t="shared" si="20"/>
        <v>0</v>
      </c>
    </row>
    <row r="245" spans="1:13" x14ac:dyDescent="0.25">
      <c r="A245" s="238"/>
      <c r="G245" s="207"/>
      <c r="H245" s="224">
        <v>240</v>
      </c>
      <c r="I245" s="222" t="str">
        <f t="shared" si="18"/>
        <v/>
      </c>
      <c r="J245" s="221" t="e">
        <f t="shared" si="21"/>
        <v>#NUM!</v>
      </c>
      <c r="K245" s="221" t="e">
        <f t="shared" si="19"/>
        <v>#NUM!</v>
      </c>
      <c r="L245" s="221"/>
      <c r="M245" s="223">
        <f t="shared" si="20"/>
        <v>0</v>
      </c>
    </row>
    <row r="246" spans="1:13" x14ac:dyDescent="0.25">
      <c r="A246" s="238"/>
      <c r="G246" s="207"/>
      <c r="H246" s="221">
        <v>241</v>
      </c>
      <c r="I246" s="222" t="str">
        <f t="shared" si="18"/>
        <v/>
      </c>
      <c r="J246" s="221" t="e">
        <f t="shared" si="21"/>
        <v>#NUM!</v>
      </c>
      <c r="K246" s="221" t="e">
        <f t="shared" si="19"/>
        <v>#NUM!</v>
      </c>
      <c r="L246" s="221"/>
      <c r="M246" s="223">
        <f t="shared" si="20"/>
        <v>0</v>
      </c>
    </row>
    <row r="247" spans="1:13" x14ac:dyDescent="0.25">
      <c r="A247" s="238"/>
      <c r="G247" s="207"/>
      <c r="H247" s="224">
        <v>242</v>
      </c>
      <c r="I247" s="222" t="str">
        <f t="shared" si="18"/>
        <v/>
      </c>
      <c r="J247" s="221" t="e">
        <f t="shared" si="21"/>
        <v>#NUM!</v>
      </c>
      <c r="K247" s="221" t="e">
        <f t="shared" si="19"/>
        <v>#NUM!</v>
      </c>
      <c r="L247" s="221"/>
      <c r="M247" s="223">
        <f t="shared" si="20"/>
        <v>0</v>
      </c>
    </row>
    <row r="248" spans="1:13" x14ac:dyDescent="0.25">
      <c r="A248" s="238"/>
      <c r="G248" s="207"/>
      <c r="H248" s="221">
        <v>243</v>
      </c>
      <c r="I248" s="222" t="str">
        <f t="shared" si="18"/>
        <v/>
      </c>
      <c r="J248" s="221" t="e">
        <f t="shared" si="21"/>
        <v>#NUM!</v>
      </c>
      <c r="K248" s="221" t="e">
        <f t="shared" si="19"/>
        <v>#NUM!</v>
      </c>
      <c r="L248" s="221"/>
      <c r="M248" s="223">
        <f t="shared" si="20"/>
        <v>0</v>
      </c>
    </row>
    <row r="249" spans="1:13" x14ac:dyDescent="0.25">
      <c r="A249" s="238"/>
      <c r="G249" s="207"/>
      <c r="H249" s="224">
        <v>244</v>
      </c>
      <c r="I249" s="222" t="str">
        <f t="shared" si="18"/>
        <v/>
      </c>
      <c r="J249" s="221" t="e">
        <f t="shared" si="21"/>
        <v>#NUM!</v>
      </c>
      <c r="K249" s="221" t="e">
        <f t="shared" si="19"/>
        <v>#NUM!</v>
      </c>
      <c r="L249" s="221"/>
      <c r="M249" s="223">
        <f t="shared" si="20"/>
        <v>0</v>
      </c>
    </row>
    <row r="250" spans="1:13" x14ac:dyDescent="0.25">
      <c r="A250" s="238"/>
      <c r="G250" s="207"/>
      <c r="H250" s="221">
        <v>245</v>
      </c>
      <c r="I250" s="222" t="str">
        <f t="shared" si="18"/>
        <v/>
      </c>
      <c r="J250" s="221" t="e">
        <f t="shared" si="21"/>
        <v>#NUM!</v>
      </c>
      <c r="K250" s="221" t="e">
        <f t="shared" si="19"/>
        <v>#NUM!</v>
      </c>
      <c r="L250" s="221"/>
      <c r="M250" s="223">
        <f t="shared" si="20"/>
        <v>0</v>
      </c>
    </row>
    <row r="251" spans="1:13" x14ac:dyDescent="0.25">
      <c r="A251" s="238"/>
      <c r="G251" s="207"/>
      <c r="H251" s="224">
        <v>246</v>
      </c>
      <c r="I251" s="222" t="str">
        <f t="shared" si="18"/>
        <v/>
      </c>
      <c r="J251" s="221" t="e">
        <f t="shared" si="21"/>
        <v>#NUM!</v>
      </c>
      <c r="K251" s="221" t="e">
        <f t="shared" si="19"/>
        <v>#NUM!</v>
      </c>
      <c r="L251" s="221"/>
      <c r="M251" s="223">
        <f t="shared" si="20"/>
        <v>0</v>
      </c>
    </row>
    <row r="252" spans="1:13" x14ac:dyDescent="0.25">
      <c r="A252" s="238"/>
      <c r="G252" s="207"/>
      <c r="H252" s="221">
        <v>247</v>
      </c>
      <c r="I252" s="222" t="str">
        <f t="shared" si="18"/>
        <v/>
      </c>
      <c r="J252" s="221" t="e">
        <f t="shared" si="21"/>
        <v>#NUM!</v>
      </c>
      <c r="K252" s="221" t="e">
        <f t="shared" si="19"/>
        <v>#NUM!</v>
      </c>
      <c r="L252" s="221"/>
      <c r="M252" s="223">
        <f t="shared" si="20"/>
        <v>0</v>
      </c>
    </row>
    <row r="253" spans="1:13" x14ac:dyDescent="0.25">
      <c r="A253" s="238"/>
      <c r="G253" s="207"/>
      <c r="H253" s="224">
        <v>248</v>
      </c>
      <c r="I253" s="222" t="str">
        <f t="shared" si="18"/>
        <v/>
      </c>
      <c r="J253" s="221" t="e">
        <f t="shared" si="21"/>
        <v>#NUM!</v>
      </c>
      <c r="K253" s="221" t="e">
        <f t="shared" si="19"/>
        <v>#NUM!</v>
      </c>
      <c r="L253" s="221"/>
      <c r="M253" s="223">
        <f t="shared" si="20"/>
        <v>0</v>
      </c>
    </row>
    <row r="254" spans="1:13" x14ac:dyDescent="0.25">
      <c r="A254" s="238"/>
      <c r="G254" s="207"/>
      <c r="H254" s="221">
        <v>249</v>
      </c>
      <c r="I254" s="222" t="str">
        <f t="shared" si="18"/>
        <v/>
      </c>
      <c r="J254" s="221" t="e">
        <f t="shared" si="21"/>
        <v>#NUM!</v>
      </c>
      <c r="K254" s="221" t="e">
        <f t="shared" si="19"/>
        <v>#NUM!</v>
      </c>
      <c r="L254" s="221"/>
      <c r="M254" s="223">
        <f t="shared" si="20"/>
        <v>0</v>
      </c>
    </row>
    <row r="255" spans="1:13" x14ac:dyDescent="0.25">
      <c r="A255" s="238"/>
      <c r="G255" s="207"/>
      <c r="H255" s="224">
        <v>250</v>
      </c>
      <c r="I255" s="222" t="str">
        <f t="shared" si="18"/>
        <v/>
      </c>
      <c r="J255" s="221" t="e">
        <f t="shared" si="21"/>
        <v>#NUM!</v>
      </c>
      <c r="K255" s="221" t="e">
        <f t="shared" si="19"/>
        <v>#NUM!</v>
      </c>
      <c r="L255" s="221"/>
      <c r="M255" s="223">
        <f t="shared" si="20"/>
        <v>0</v>
      </c>
    </row>
    <row r="256" spans="1:13" x14ac:dyDescent="0.25">
      <c r="A256" s="238"/>
      <c r="G256" s="207"/>
      <c r="H256" s="221">
        <v>251</v>
      </c>
      <c r="I256" s="222" t="str">
        <f t="shared" si="18"/>
        <v/>
      </c>
      <c r="J256" s="221" t="e">
        <f t="shared" si="21"/>
        <v>#NUM!</v>
      </c>
      <c r="K256" s="221" t="e">
        <f t="shared" si="19"/>
        <v>#NUM!</v>
      </c>
      <c r="L256" s="221"/>
      <c r="M256" s="223">
        <f t="shared" si="20"/>
        <v>0</v>
      </c>
    </row>
    <row r="257" spans="1:13" x14ac:dyDescent="0.25">
      <c r="A257" s="238"/>
      <c r="G257" s="207"/>
      <c r="H257" s="224">
        <v>252</v>
      </c>
      <c r="I257" s="222" t="str">
        <f t="shared" si="18"/>
        <v/>
      </c>
      <c r="J257" s="221" t="e">
        <f t="shared" si="21"/>
        <v>#NUM!</v>
      </c>
      <c r="K257" s="221" t="e">
        <f t="shared" si="19"/>
        <v>#NUM!</v>
      </c>
      <c r="L257" s="221"/>
      <c r="M257" s="223">
        <f t="shared" si="20"/>
        <v>0</v>
      </c>
    </row>
    <row r="258" spans="1:13" x14ac:dyDescent="0.25">
      <c r="A258" s="238"/>
      <c r="G258" s="207"/>
      <c r="H258" s="221">
        <v>253</v>
      </c>
      <c r="I258" s="222" t="str">
        <f t="shared" si="18"/>
        <v/>
      </c>
      <c r="J258" s="221" t="e">
        <f t="shared" si="21"/>
        <v>#NUM!</v>
      </c>
      <c r="K258" s="221" t="e">
        <f t="shared" si="19"/>
        <v>#NUM!</v>
      </c>
      <c r="L258" s="221"/>
      <c r="M258" s="223">
        <f t="shared" si="20"/>
        <v>0</v>
      </c>
    </row>
    <row r="259" spans="1:13" x14ac:dyDescent="0.25">
      <c r="A259" s="238"/>
      <c r="G259" s="207"/>
      <c r="H259" s="224">
        <v>254</v>
      </c>
      <c r="I259" s="222" t="str">
        <f t="shared" si="18"/>
        <v/>
      </c>
      <c r="J259" s="221" t="e">
        <f t="shared" si="21"/>
        <v>#NUM!</v>
      </c>
      <c r="K259" s="221" t="e">
        <f t="shared" si="19"/>
        <v>#NUM!</v>
      </c>
      <c r="L259" s="221"/>
      <c r="M259" s="223">
        <f t="shared" si="20"/>
        <v>0</v>
      </c>
    </row>
    <row r="260" spans="1:13" x14ac:dyDescent="0.25">
      <c r="A260" s="238"/>
      <c r="G260" s="207"/>
      <c r="H260" s="221">
        <v>255</v>
      </c>
      <c r="I260" s="222" t="str">
        <f t="shared" si="18"/>
        <v/>
      </c>
      <c r="J260" s="221" t="e">
        <f t="shared" si="21"/>
        <v>#NUM!</v>
      </c>
      <c r="K260" s="221" t="e">
        <f t="shared" si="19"/>
        <v>#NUM!</v>
      </c>
      <c r="L260" s="221"/>
      <c r="M260" s="223">
        <f t="shared" si="20"/>
        <v>0</v>
      </c>
    </row>
    <row r="261" spans="1:13" x14ac:dyDescent="0.25">
      <c r="A261" s="238"/>
      <c r="G261" s="207"/>
      <c r="H261" s="224">
        <v>256</v>
      </c>
      <c r="I261" s="222" t="str">
        <f t="shared" si="18"/>
        <v/>
      </c>
      <c r="J261" s="221" t="e">
        <f t="shared" si="21"/>
        <v>#NUM!</v>
      </c>
      <c r="K261" s="221" t="e">
        <f t="shared" si="19"/>
        <v>#NUM!</v>
      </c>
      <c r="L261" s="221"/>
      <c r="M261" s="223">
        <f t="shared" si="20"/>
        <v>0</v>
      </c>
    </row>
    <row r="262" spans="1:13" x14ac:dyDescent="0.25">
      <c r="A262" s="238"/>
      <c r="G262" s="207"/>
      <c r="H262" s="221">
        <v>257</v>
      </c>
      <c r="I262" s="222" t="str">
        <f t="shared" ref="I262:I305" si="22">IF(H262&lt;$H$2+1,($I$2-($I$2-1)*(LOG(H262)/LOG($H$2))),"")</f>
        <v/>
      </c>
      <c r="J262" s="221" t="e">
        <f t="shared" si="21"/>
        <v>#NUM!</v>
      </c>
      <c r="K262" s="221" t="e">
        <f t="shared" ref="K262:K305" si="23">J262*$J$2</f>
        <v>#NUM!</v>
      </c>
      <c r="L262" s="221"/>
      <c r="M262" s="223">
        <f t="shared" ref="M262:M305" si="24">IF(I262&lt;&gt;"",K262+I262+L262,0)</f>
        <v>0</v>
      </c>
    </row>
    <row r="263" spans="1:13" x14ac:dyDescent="0.25">
      <c r="A263" s="238"/>
      <c r="G263" s="207"/>
      <c r="H263" s="224">
        <v>258</v>
      </c>
      <c r="I263" s="222" t="str">
        <f t="shared" si="22"/>
        <v/>
      </c>
      <c r="J263" s="221" t="e">
        <f t="shared" ref="J263:J305" si="25">INT(LOG($H$2,2))-ROUNDUP(LOG(H263,2),0)+IF(OR($H$2=1,$H$2=2,$H$2=4,$H$2=8,$H$2=16,$H$2=32,$H$2=64,$H$2=128,$H$2=256),0,1)</f>
        <v>#NUM!</v>
      </c>
      <c r="K263" s="221" t="e">
        <f t="shared" si="23"/>
        <v>#NUM!</v>
      </c>
      <c r="L263" s="221"/>
      <c r="M263" s="223">
        <f t="shared" si="24"/>
        <v>0</v>
      </c>
    </row>
    <row r="264" spans="1:13" x14ac:dyDescent="0.25">
      <c r="A264" s="238"/>
      <c r="G264" s="207"/>
      <c r="H264" s="221">
        <v>259</v>
      </c>
      <c r="I264" s="222" t="str">
        <f t="shared" si="22"/>
        <v/>
      </c>
      <c r="J264" s="221" t="e">
        <f t="shared" si="25"/>
        <v>#NUM!</v>
      </c>
      <c r="K264" s="221" t="e">
        <f t="shared" si="23"/>
        <v>#NUM!</v>
      </c>
      <c r="L264" s="221"/>
      <c r="M264" s="223">
        <f t="shared" si="24"/>
        <v>0</v>
      </c>
    </row>
    <row r="265" spans="1:13" x14ac:dyDescent="0.25">
      <c r="A265" s="238"/>
      <c r="G265" s="207"/>
      <c r="H265" s="224">
        <v>260</v>
      </c>
      <c r="I265" s="222" t="str">
        <f t="shared" si="22"/>
        <v/>
      </c>
      <c r="J265" s="221" t="e">
        <f t="shared" si="25"/>
        <v>#NUM!</v>
      </c>
      <c r="K265" s="221" t="e">
        <f t="shared" si="23"/>
        <v>#NUM!</v>
      </c>
      <c r="L265" s="221"/>
      <c r="M265" s="223">
        <f t="shared" si="24"/>
        <v>0</v>
      </c>
    </row>
    <row r="266" spans="1:13" x14ac:dyDescent="0.25">
      <c r="A266" s="238"/>
      <c r="G266" s="207"/>
      <c r="H266" s="221">
        <v>261</v>
      </c>
      <c r="I266" s="222" t="str">
        <f t="shared" si="22"/>
        <v/>
      </c>
      <c r="J266" s="221" t="e">
        <f t="shared" si="25"/>
        <v>#NUM!</v>
      </c>
      <c r="K266" s="221" t="e">
        <f t="shared" si="23"/>
        <v>#NUM!</v>
      </c>
      <c r="L266" s="221"/>
      <c r="M266" s="223">
        <f t="shared" si="24"/>
        <v>0</v>
      </c>
    </row>
    <row r="267" spans="1:13" x14ac:dyDescent="0.25">
      <c r="A267" s="238"/>
      <c r="G267" s="207"/>
      <c r="H267" s="224">
        <v>262</v>
      </c>
      <c r="I267" s="222" t="str">
        <f t="shared" si="22"/>
        <v/>
      </c>
      <c r="J267" s="221" t="e">
        <f t="shared" si="25"/>
        <v>#NUM!</v>
      </c>
      <c r="K267" s="221" t="e">
        <f t="shared" si="23"/>
        <v>#NUM!</v>
      </c>
      <c r="L267" s="221"/>
      <c r="M267" s="223">
        <f t="shared" si="24"/>
        <v>0</v>
      </c>
    </row>
    <row r="268" spans="1:13" x14ac:dyDescent="0.25">
      <c r="A268" s="238"/>
      <c r="G268" s="207"/>
      <c r="H268" s="221">
        <v>263</v>
      </c>
      <c r="I268" s="222" t="str">
        <f t="shared" si="22"/>
        <v/>
      </c>
      <c r="J268" s="221" t="e">
        <f t="shared" si="25"/>
        <v>#NUM!</v>
      </c>
      <c r="K268" s="221" t="e">
        <f t="shared" si="23"/>
        <v>#NUM!</v>
      </c>
      <c r="L268" s="221"/>
      <c r="M268" s="223">
        <f t="shared" si="24"/>
        <v>0</v>
      </c>
    </row>
    <row r="269" spans="1:13" x14ac:dyDescent="0.25">
      <c r="A269" s="238"/>
      <c r="G269" s="207"/>
      <c r="H269" s="224">
        <v>264</v>
      </c>
      <c r="I269" s="222" t="str">
        <f t="shared" si="22"/>
        <v/>
      </c>
      <c r="J269" s="221" t="e">
        <f t="shared" si="25"/>
        <v>#NUM!</v>
      </c>
      <c r="K269" s="221" t="e">
        <f t="shared" si="23"/>
        <v>#NUM!</v>
      </c>
      <c r="L269" s="221"/>
      <c r="M269" s="223">
        <f t="shared" si="24"/>
        <v>0</v>
      </c>
    </row>
    <row r="270" spans="1:13" x14ac:dyDescent="0.25">
      <c r="A270" s="238"/>
      <c r="G270" s="207"/>
      <c r="H270" s="221">
        <v>265</v>
      </c>
      <c r="I270" s="222" t="str">
        <f t="shared" si="22"/>
        <v/>
      </c>
      <c r="J270" s="221" t="e">
        <f t="shared" si="25"/>
        <v>#NUM!</v>
      </c>
      <c r="K270" s="221" t="e">
        <f t="shared" si="23"/>
        <v>#NUM!</v>
      </c>
      <c r="L270" s="221"/>
      <c r="M270" s="223">
        <f t="shared" si="24"/>
        <v>0</v>
      </c>
    </row>
    <row r="271" spans="1:13" x14ac:dyDescent="0.25">
      <c r="A271" s="238"/>
      <c r="G271" s="207"/>
      <c r="H271" s="224">
        <v>266</v>
      </c>
      <c r="I271" s="222" t="str">
        <f t="shared" si="22"/>
        <v/>
      </c>
      <c r="J271" s="221" t="e">
        <f t="shared" si="25"/>
        <v>#NUM!</v>
      </c>
      <c r="K271" s="221" t="e">
        <f t="shared" si="23"/>
        <v>#NUM!</v>
      </c>
      <c r="L271" s="221"/>
      <c r="M271" s="223">
        <f t="shared" si="24"/>
        <v>0</v>
      </c>
    </row>
    <row r="272" spans="1:13" x14ac:dyDescent="0.25">
      <c r="A272" s="238"/>
      <c r="G272" s="207"/>
      <c r="H272" s="221">
        <v>267</v>
      </c>
      <c r="I272" s="222" t="str">
        <f t="shared" si="22"/>
        <v/>
      </c>
      <c r="J272" s="221" t="e">
        <f t="shared" si="25"/>
        <v>#NUM!</v>
      </c>
      <c r="K272" s="221" t="e">
        <f t="shared" si="23"/>
        <v>#NUM!</v>
      </c>
      <c r="L272" s="221"/>
      <c r="M272" s="223">
        <f t="shared" si="24"/>
        <v>0</v>
      </c>
    </row>
    <row r="273" spans="1:13" x14ac:dyDescent="0.25">
      <c r="A273" s="238"/>
      <c r="G273" s="207"/>
      <c r="H273" s="224">
        <v>268</v>
      </c>
      <c r="I273" s="222" t="str">
        <f t="shared" si="22"/>
        <v/>
      </c>
      <c r="J273" s="221" t="e">
        <f t="shared" si="25"/>
        <v>#NUM!</v>
      </c>
      <c r="K273" s="221" t="e">
        <f t="shared" si="23"/>
        <v>#NUM!</v>
      </c>
      <c r="L273" s="221"/>
      <c r="M273" s="223">
        <f t="shared" si="24"/>
        <v>0</v>
      </c>
    </row>
    <row r="274" spans="1:13" x14ac:dyDescent="0.25">
      <c r="A274" s="238"/>
      <c r="G274" s="207"/>
      <c r="H274" s="221">
        <v>269</v>
      </c>
      <c r="I274" s="222" t="str">
        <f t="shared" si="22"/>
        <v/>
      </c>
      <c r="J274" s="221" t="e">
        <f t="shared" si="25"/>
        <v>#NUM!</v>
      </c>
      <c r="K274" s="221" t="e">
        <f t="shared" si="23"/>
        <v>#NUM!</v>
      </c>
      <c r="L274" s="221"/>
      <c r="M274" s="223">
        <f t="shared" si="24"/>
        <v>0</v>
      </c>
    </row>
    <row r="275" spans="1:13" x14ac:dyDescent="0.25">
      <c r="A275" s="238"/>
      <c r="G275" s="207"/>
      <c r="H275" s="224">
        <v>270</v>
      </c>
      <c r="I275" s="222" t="str">
        <f t="shared" si="22"/>
        <v/>
      </c>
      <c r="J275" s="221" t="e">
        <f t="shared" si="25"/>
        <v>#NUM!</v>
      </c>
      <c r="K275" s="221" t="e">
        <f t="shared" si="23"/>
        <v>#NUM!</v>
      </c>
      <c r="L275" s="221"/>
      <c r="M275" s="223">
        <f t="shared" si="24"/>
        <v>0</v>
      </c>
    </row>
    <row r="276" spans="1:13" x14ac:dyDescent="0.25">
      <c r="A276" s="238"/>
      <c r="G276" s="207"/>
      <c r="H276" s="221">
        <v>271</v>
      </c>
      <c r="I276" s="222" t="str">
        <f t="shared" si="22"/>
        <v/>
      </c>
      <c r="J276" s="221" t="e">
        <f t="shared" si="25"/>
        <v>#NUM!</v>
      </c>
      <c r="K276" s="221" t="e">
        <f t="shared" si="23"/>
        <v>#NUM!</v>
      </c>
      <c r="L276" s="221"/>
      <c r="M276" s="223">
        <f t="shared" si="24"/>
        <v>0</v>
      </c>
    </row>
    <row r="277" spans="1:13" x14ac:dyDescent="0.25">
      <c r="A277" s="238"/>
      <c r="G277" s="207"/>
      <c r="H277" s="224">
        <v>272</v>
      </c>
      <c r="I277" s="222" t="str">
        <f t="shared" si="22"/>
        <v/>
      </c>
      <c r="J277" s="221" t="e">
        <f t="shared" si="25"/>
        <v>#NUM!</v>
      </c>
      <c r="K277" s="221" t="e">
        <f t="shared" si="23"/>
        <v>#NUM!</v>
      </c>
      <c r="L277" s="221"/>
      <c r="M277" s="223">
        <f t="shared" si="24"/>
        <v>0</v>
      </c>
    </row>
    <row r="278" spans="1:13" x14ac:dyDescent="0.25">
      <c r="A278" s="238"/>
      <c r="G278" s="207"/>
      <c r="H278" s="221">
        <v>273</v>
      </c>
      <c r="I278" s="222" t="str">
        <f t="shared" si="22"/>
        <v/>
      </c>
      <c r="J278" s="221" t="e">
        <f t="shared" si="25"/>
        <v>#NUM!</v>
      </c>
      <c r="K278" s="221" t="e">
        <f t="shared" si="23"/>
        <v>#NUM!</v>
      </c>
      <c r="L278" s="221"/>
      <c r="M278" s="223">
        <f t="shared" si="24"/>
        <v>0</v>
      </c>
    </row>
    <row r="279" spans="1:13" x14ac:dyDescent="0.25">
      <c r="A279" s="238"/>
      <c r="G279" s="207"/>
      <c r="H279" s="224">
        <v>274</v>
      </c>
      <c r="I279" s="222" t="str">
        <f t="shared" si="22"/>
        <v/>
      </c>
      <c r="J279" s="221" t="e">
        <f t="shared" si="25"/>
        <v>#NUM!</v>
      </c>
      <c r="K279" s="221" t="e">
        <f t="shared" si="23"/>
        <v>#NUM!</v>
      </c>
      <c r="L279" s="221"/>
      <c r="M279" s="223">
        <f t="shared" si="24"/>
        <v>0</v>
      </c>
    </row>
    <row r="280" spans="1:13" x14ac:dyDescent="0.25">
      <c r="A280" s="238"/>
      <c r="G280" s="207"/>
      <c r="H280" s="221">
        <v>275</v>
      </c>
      <c r="I280" s="222" t="str">
        <f t="shared" si="22"/>
        <v/>
      </c>
      <c r="J280" s="221" t="e">
        <f t="shared" si="25"/>
        <v>#NUM!</v>
      </c>
      <c r="K280" s="221" t="e">
        <f t="shared" si="23"/>
        <v>#NUM!</v>
      </c>
      <c r="L280" s="221"/>
      <c r="M280" s="223">
        <f t="shared" si="24"/>
        <v>0</v>
      </c>
    </row>
    <row r="281" spans="1:13" x14ac:dyDescent="0.25">
      <c r="A281" s="238"/>
      <c r="G281" s="207"/>
      <c r="H281" s="224">
        <v>276</v>
      </c>
      <c r="I281" s="222" t="str">
        <f t="shared" si="22"/>
        <v/>
      </c>
      <c r="J281" s="221" t="e">
        <f t="shared" si="25"/>
        <v>#NUM!</v>
      </c>
      <c r="K281" s="221" t="e">
        <f t="shared" si="23"/>
        <v>#NUM!</v>
      </c>
      <c r="L281" s="221"/>
      <c r="M281" s="223">
        <f t="shared" si="24"/>
        <v>0</v>
      </c>
    </row>
    <row r="282" spans="1:13" x14ac:dyDescent="0.25">
      <c r="A282" s="238"/>
      <c r="G282" s="207"/>
      <c r="H282" s="221">
        <v>277</v>
      </c>
      <c r="I282" s="222" t="str">
        <f t="shared" si="22"/>
        <v/>
      </c>
      <c r="J282" s="221" t="e">
        <f t="shared" si="25"/>
        <v>#NUM!</v>
      </c>
      <c r="K282" s="221" t="e">
        <f t="shared" si="23"/>
        <v>#NUM!</v>
      </c>
      <c r="L282" s="221"/>
      <c r="M282" s="223">
        <f t="shared" si="24"/>
        <v>0</v>
      </c>
    </row>
    <row r="283" spans="1:13" x14ac:dyDescent="0.25">
      <c r="A283" s="238"/>
      <c r="G283" s="207"/>
      <c r="H283" s="224">
        <v>278</v>
      </c>
      <c r="I283" s="222" t="str">
        <f t="shared" si="22"/>
        <v/>
      </c>
      <c r="J283" s="221" t="e">
        <f t="shared" si="25"/>
        <v>#NUM!</v>
      </c>
      <c r="K283" s="221" t="e">
        <f t="shared" si="23"/>
        <v>#NUM!</v>
      </c>
      <c r="L283" s="221"/>
      <c r="M283" s="223">
        <f t="shared" si="24"/>
        <v>0</v>
      </c>
    </row>
    <row r="284" spans="1:13" x14ac:dyDescent="0.25">
      <c r="A284" s="238"/>
      <c r="G284" s="207"/>
      <c r="H284" s="221">
        <v>279</v>
      </c>
      <c r="I284" s="222" t="str">
        <f t="shared" si="22"/>
        <v/>
      </c>
      <c r="J284" s="221" t="e">
        <f t="shared" si="25"/>
        <v>#NUM!</v>
      </c>
      <c r="K284" s="221" t="e">
        <f t="shared" si="23"/>
        <v>#NUM!</v>
      </c>
      <c r="L284" s="221"/>
      <c r="M284" s="223">
        <f t="shared" si="24"/>
        <v>0</v>
      </c>
    </row>
    <row r="285" spans="1:13" x14ac:dyDescent="0.25">
      <c r="A285" s="238"/>
      <c r="G285" s="207"/>
      <c r="H285" s="224">
        <v>280</v>
      </c>
      <c r="I285" s="222" t="str">
        <f t="shared" si="22"/>
        <v/>
      </c>
      <c r="J285" s="221" t="e">
        <f t="shared" si="25"/>
        <v>#NUM!</v>
      </c>
      <c r="K285" s="221" t="e">
        <f t="shared" si="23"/>
        <v>#NUM!</v>
      </c>
      <c r="L285" s="221"/>
      <c r="M285" s="223">
        <f t="shared" si="24"/>
        <v>0</v>
      </c>
    </row>
    <row r="286" spans="1:13" x14ac:dyDescent="0.25">
      <c r="A286" s="238"/>
      <c r="G286" s="207"/>
      <c r="H286" s="221">
        <v>281</v>
      </c>
      <c r="I286" s="222" t="str">
        <f t="shared" si="22"/>
        <v/>
      </c>
      <c r="J286" s="221" t="e">
        <f t="shared" si="25"/>
        <v>#NUM!</v>
      </c>
      <c r="K286" s="221" t="e">
        <f t="shared" si="23"/>
        <v>#NUM!</v>
      </c>
      <c r="L286" s="221"/>
      <c r="M286" s="223">
        <f t="shared" si="24"/>
        <v>0</v>
      </c>
    </row>
    <row r="287" spans="1:13" x14ac:dyDescent="0.25">
      <c r="A287" s="238"/>
      <c r="G287" s="207"/>
      <c r="H287" s="224">
        <v>282</v>
      </c>
      <c r="I287" s="222" t="str">
        <f t="shared" si="22"/>
        <v/>
      </c>
      <c r="J287" s="221" t="e">
        <f t="shared" si="25"/>
        <v>#NUM!</v>
      </c>
      <c r="K287" s="221" t="e">
        <f t="shared" si="23"/>
        <v>#NUM!</v>
      </c>
      <c r="L287" s="221"/>
      <c r="M287" s="223">
        <f t="shared" si="24"/>
        <v>0</v>
      </c>
    </row>
    <row r="288" spans="1:13" x14ac:dyDescent="0.25">
      <c r="A288" s="238"/>
      <c r="G288" s="207"/>
      <c r="H288" s="221">
        <v>283</v>
      </c>
      <c r="I288" s="222" t="str">
        <f t="shared" si="22"/>
        <v/>
      </c>
      <c r="J288" s="221" t="e">
        <f t="shared" si="25"/>
        <v>#NUM!</v>
      </c>
      <c r="K288" s="221" t="e">
        <f t="shared" si="23"/>
        <v>#NUM!</v>
      </c>
      <c r="L288" s="221"/>
      <c r="M288" s="223">
        <f t="shared" si="24"/>
        <v>0</v>
      </c>
    </row>
    <row r="289" spans="1:13" x14ac:dyDescent="0.25">
      <c r="A289" s="238"/>
      <c r="G289" s="207"/>
      <c r="H289" s="224">
        <v>284</v>
      </c>
      <c r="I289" s="222" t="str">
        <f t="shared" si="22"/>
        <v/>
      </c>
      <c r="J289" s="221" t="e">
        <f t="shared" si="25"/>
        <v>#NUM!</v>
      </c>
      <c r="K289" s="221" t="e">
        <f t="shared" si="23"/>
        <v>#NUM!</v>
      </c>
      <c r="L289" s="221"/>
      <c r="M289" s="223">
        <f t="shared" si="24"/>
        <v>0</v>
      </c>
    </row>
    <row r="290" spans="1:13" x14ac:dyDescent="0.25">
      <c r="A290" s="238"/>
      <c r="G290" s="207"/>
      <c r="H290" s="221">
        <v>285</v>
      </c>
      <c r="I290" s="222" t="str">
        <f t="shared" si="22"/>
        <v/>
      </c>
      <c r="J290" s="221" t="e">
        <f t="shared" si="25"/>
        <v>#NUM!</v>
      </c>
      <c r="K290" s="221" t="e">
        <f t="shared" si="23"/>
        <v>#NUM!</v>
      </c>
      <c r="L290" s="221"/>
      <c r="M290" s="223">
        <f t="shared" si="24"/>
        <v>0</v>
      </c>
    </row>
    <row r="291" spans="1:13" x14ac:dyDescent="0.25">
      <c r="A291" s="238"/>
      <c r="G291" s="207"/>
      <c r="H291" s="224">
        <v>286</v>
      </c>
      <c r="I291" s="222" t="str">
        <f t="shared" si="22"/>
        <v/>
      </c>
      <c r="J291" s="221" t="e">
        <f t="shared" si="25"/>
        <v>#NUM!</v>
      </c>
      <c r="K291" s="221" t="e">
        <f t="shared" si="23"/>
        <v>#NUM!</v>
      </c>
      <c r="L291" s="221"/>
      <c r="M291" s="223">
        <f t="shared" si="24"/>
        <v>0</v>
      </c>
    </row>
    <row r="292" spans="1:13" x14ac:dyDescent="0.25">
      <c r="A292" s="238"/>
      <c r="G292" s="207"/>
      <c r="H292" s="221">
        <v>287</v>
      </c>
      <c r="I292" s="222" t="str">
        <f t="shared" si="22"/>
        <v/>
      </c>
      <c r="J292" s="221" t="e">
        <f t="shared" si="25"/>
        <v>#NUM!</v>
      </c>
      <c r="K292" s="221" t="e">
        <f t="shared" si="23"/>
        <v>#NUM!</v>
      </c>
      <c r="L292" s="221"/>
      <c r="M292" s="223">
        <f t="shared" si="24"/>
        <v>0</v>
      </c>
    </row>
    <row r="293" spans="1:13" x14ac:dyDescent="0.25">
      <c r="A293" s="238"/>
      <c r="G293" s="207"/>
      <c r="H293" s="221">
        <v>288</v>
      </c>
      <c r="I293" s="222" t="str">
        <f t="shared" si="22"/>
        <v/>
      </c>
      <c r="J293" s="221" t="e">
        <f t="shared" si="25"/>
        <v>#NUM!</v>
      </c>
      <c r="K293" s="221" t="e">
        <f t="shared" si="23"/>
        <v>#NUM!</v>
      </c>
      <c r="L293" s="221"/>
      <c r="M293" s="223">
        <f t="shared" si="24"/>
        <v>0</v>
      </c>
    </row>
    <row r="294" spans="1:13" x14ac:dyDescent="0.25">
      <c r="A294" s="238"/>
      <c r="G294" s="207"/>
      <c r="H294" s="221">
        <v>289</v>
      </c>
      <c r="I294" s="222" t="str">
        <f t="shared" si="22"/>
        <v/>
      </c>
      <c r="J294" s="221" t="e">
        <f t="shared" si="25"/>
        <v>#NUM!</v>
      </c>
      <c r="K294" s="221" t="e">
        <f t="shared" si="23"/>
        <v>#NUM!</v>
      </c>
      <c r="L294" s="221"/>
      <c r="M294" s="223">
        <f t="shared" si="24"/>
        <v>0</v>
      </c>
    </row>
    <row r="295" spans="1:13" x14ac:dyDescent="0.25">
      <c r="A295" s="238"/>
      <c r="G295" s="207"/>
      <c r="H295" s="221">
        <v>290</v>
      </c>
      <c r="I295" s="222" t="str">
        <f t="shared" si="22"/>
        <v/>
      </c>
      <c r="J295" s="221" t="e">
        <f t="shared" si="25"/>
        <v>#NUM!</v>
      </c>
      <c r="K295" s="221" t="e">
        <f t="shared" si="23"/>
        <v>#NUM!</v>
      </c>
      <c r="L295" s="221"/>
      <c r="M295" s="223">
        <f t="shared" si="24"/>
        <v>0</v>
      </c>
    </row>
    <row r="296" spans="1:13" x14ac:dyDescent="0.25">
      <c r="A296" s="238"/>
      <c r="G296" s="207"/>
      <c r="H296" s="221">
        <v>291</v>
      </c>
      <c r="I296" s="222" t="str">
        <f t="shared" si="22"/>
        <v/>
      </c>
      <c r="J296" s="221" t="e">
        <f t="shared" si="25"/>
        <v>#NUM!</v>
      </c>
      <c r="K296" s="221" t="e">
        <f t="shared" si="23"/>
        <v>#NUM!</v>
      </c>
      <c r="L296" s="221"/>
      <c r="M296" s="223">
        <f t="shared" si="24"/>
        <v>0</v>
      </c>
    </row>
    <row r="297" spans="1:13" x14ac:dyDescent="0.25">
      <c r="A297" s="238"/>
      <c r="G297" s="207"/>
      <c r="H297" s="221">
        <v>292</v>
      </c>
      <c r="I297" s="222" t="str">
        <f t="shared" si="22"/>
        <v/>
      </c>
      <c r="J297" s="221" t="e">
        <f t="shared" si="25"/>
        <v>#NUM!</v>
      </c>
      <c r="K297" s="221" t="e">
        <f t="shared" si="23"/>
        <v>#NUM!</v>
      </c>
      <c r="L297" s="221"/>
      <c r="M297" s="223">
        <f t="shared" si="24"/>
        <v>0</v>
      </c>
    </row>
    <row r="298" spans="1:13" x14ac:dyDescent="0.25">
      <c r="A298" s="238"/>
      <c r="G298" s="207"/>
      <c r="H298" s="221">
        <v>293</v>
      </c>
      <c r="I298" s="222" t="str">
        <f t="shared" si="22"/>
        <v/>
      </c>
      <c r="J298" s="221" t="e">
        <f t="shared" si="25"/>
        <v>#NUM!</v>
      </c>
      <c r="K298" s="221" t="e">
        <f t="shared" si="23"/>
        <v>#NUM!</v>
      </c>
      <c r="L298" s="221"/>
      <c r="M298" s="223">
        <f t="shared" si="24"/>
        <v>0</v>
      </c>
    </row>
    <row r="299" spans="1:13" x14ac:dyDescent="0.25">
      <c r="A299" s="238"/>
      <c r="G299" s="207"/>
      <c r="H299" s="221">
        <v>294</v>
      </c>
      <c r="I299" s="222" t="str">
        <f t="shared" si="22"/>
        <v/>
      </c>
      <c r="J299" s="221" t="e">
        <f t="shared" si="25"/>
        <v>#NUM!</v>
      </c>
      <c r="K299" s="221" t="e">
        <f t="shared" si="23"/>
        <v>#NUM!</v>
      </c>
      <c r="L299" s="221"/>
      <c r="M299" s="223">
        <f t="shared" si="24"/>
        <v>0</v>
      </c>
    </row>
    <row r="300" spans="1:13" x14ac:dyDescent="0.25">
      <c r="A300" s="238"/>
      <c r="G300" s="207"/>
      <c r="H300" s="221">
        <v>295</v>
      </c>
      <c r="I300" s="222" t="str">
        <f t="shared" si="22"/>
        <v/>
      </c>
      <c r="J300" s="221" t="e">
        <f t="shared" si="25"/>
        <v>#NUM!</v>
      </c>
      <c r="K300" s="221" t="e">
        <f t="shared" si="23"/>
        <v>#NUM!</v>
      </c>
      <c r="L300" s="221"/>
      <c r="M300" s="223">
        <f t="shared" si="24"/>
        <v>0</v>
      </c>
    </row>
    <row r="301" spans="1:13" x14ac:dyDescent="0.25">
      <c r="A301" s="238"/>
      <c r="G301" s="207"/>
      <c r="H301" s="221">
        <v>296</v>
      </c>
      <c r="I301" s="222" t="str">
        <f t="shared" si="22"/>
        <v/>
      </c>
      <c r="J301" s="221" t="e">
        <f t="shared" si="25"/>
        <v>#NUM!</v>
      </c>
      <c r="K301" s="221" t="e">
        <f t="shared" si="23"/>
        <v>#NUM!</v>
      </c>
      <c r="L301" s="221"/>
      <c r="M301" s="223">
        <f t="shared" si="24"/>
        <v>0</v>
      </c>
    </row>
    <row r="302" spans="1:13" x14ac:dyDescent="0.25">
      <c r="A302" s="238"/>
      <c r="G302" s="207"/>
      <c r="H302" s="221">
        <v>297</v>
      </c>
      <c r="I302" s="222" t="str">
        <f t="shared" si="22"/>
        <v/>
      </c>
      <c r="J302" s="221" t="e">
        <f t="shared" si="25"/>
        <v>#NUM!</v>
      </c>
      <c r="K302" s="221" t="e">
        <f t="shared" si="23"/>
        <v>#NUM!</v>
      </c>
      <c r="L302" s="221"/>
      <c r="M302" s="223">
        <f t="shared" si="24"/>
        <v>0</v>
      </c>
    </row>
    <row r="303" spans="1:13" x14ac:dyDescent="0.25">
      <c r="A303" s="238"/>
      <c r="G303" s="207"/>
      <c r="H303" s="221">
        <v>298</v>
      </c>
      <c r="I303" s="222" t="str">
        <f t="shared" si="22"/>
        <v/>
      </c>
      <c r="J303" s="221" t="e">
        <f t="shared" si="25"/>
        <v>#NUM!</v>
      </c>
      <c r="K303" s="221" t="e">
        <f t="shared" si="23"/>
        <v>#NUM!</v>
      </c>
      <c r="L303" s="221"/>
      <c r="M303" s="223">
        <f t="shared" si="24"/>
        <v>0</v>
      </c>
    </row>
    <row r="304" spans="1:13" x14ac:dyDescent="0.25">
      <c r="A304" s="238"/>
      <c r="G304" s="207"/>
      <c r="H304" s="221">
        <v>299</v>
      </c>
      <c r="I304" s="222" t="str">
        <f t="shared" si="22"/>
        <v/>
      </c>
      <c r="J304" s="221" t="e">
        <f t="shared" si="25"/>
        <v>#NUM!</v>
      </c>
      <c r="K304" s="221" t="e">
        <f t="shared" si="23"/>
        <v>#NUM!</v>
      </c>
      <c r="L304" s="221"/>
      <c r="M304" s="223">
        <f t="shared" si="24"/>
        <v>0</v>
      </c>
    </row>
    <row r="305" spans="1:16" x14ac:dyDescent="0.25">
      <c r="A305" s="238"/>
      <c r="G305" s="207"/>
      <c r="H305" s="221">
        <v>300</v>
      </c>
      <c r="I305" s="222" t="str">
        <f t="shared" si="22"/>
        <v/>
      </c>
      <c r="J305" s="221" t="e">
        <f t="shared" si="25"/>
        <v>#NUM!</v>
      </c>
      <c r="K305" s="221" t="e">
        <f t="shared" si="23"/>
        <v>#NUM!</v>
      </c>
      <c r="L305" s="221"/>
      <c r="M305" s="223">
        <f t="shared" si="24"/>
        <v>0</v>
      </c>
    </row>
    <row r="306" spans="1:16" x14ac:dyDescent="0.25">
      <c r="A306" s="239"/>
    </row>
    <row r="314" spans="1:16" x14ac:dyDescent="0.25">
      <c r="L314" s="242"/>
      <c r="P314" s="232"/>
    </row>
    <row r="315" spans="1:16" x14ac:dyDescent="0.25">
      <c r="L315" s="242"/>
      <c r="P315" s="232"/>
    </row>
    <row r="316" spans="1:16" x14ac:dyDescent="0.25">
      <c r="L316" s="242"/>
      <c r="P316" s="232"/>
    </row>
    <row r="317" spans="1:16" x14ac:dyDescent="0.25">
      <c r="L317" s="242"/>
      <c r="P317" s="232"/>
    </row>
  </sheetData>
  <conditionalFormatting sqref="J6:K305">
    <cfRule type="cellIs" dxfId="16" priority="1" operator="lessThanOrEqual">
      <formula>0</formula>
    </cfRule>
  </conditionalFormatting>
  <hyperlinks>
    <hyperlink ref="C2" r:id="rId1" xr:uid="{AEEF50A6-DC2A-43CE-82E8-38B924F8C1D0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F2DA-9051-4B84-80EF-99346BF7E57C}">
  <sheetPr>
    <tabColor rgb="FF92D050"/>
  </sheetPr>
  <dimension ref="A1:AL317"/>
  <sheetViews>
    <sheetView workbookViewId="0">
      <selection activeCell="J25" sqref="J25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2.25" style="121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7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22</v>
      </c>
      <c r="I1" s="84" t="s">
        <v>23</v>
      </c>
      <c r="J1" s="84" t="s">
        <v>24</v>
      </c>
      <c r="K1" s="85" t="s">
        <v>85</v>
      </c>
      <c r="L1" s="86"/>
      <c r="M1" s="86"/>
    </row>
    <row r="2" spans="1:36" x14ac:dyDescent="0.25">
      <c r="A2" s="82"/>
      <c r="B2" s="20" t="s">
        <v>26</v>
      </c>
      <c r="C2" s="70" t="s">
        <v>92</v>
      </c>
      <c r="D2" s="69"/>
      <c r="E2" s="21"/>
      <c r="F2" s="21"/>
      <c r="G2" s="21"/>
      <c r="H2" s="88">
        <v>0</v>
      </c>
      <c r="I2" s="89">
        <v>50</v>
      </c>
      <c r="J2" s="89">
        <v>10</v>
      </c>
      <c r="K2" s="123">
        <f>3*H2^(1/3)</f>
        <v>0</v>
      </c>
      <c r="L2" s="86"/>
      <c r="M2" s="86"/>
    </row>
    <row r="3" spans="1:36" x14ac:dyDescent="0.25">
      <c r="A3" s="82"/>
      <c r="B3" s="91" t="s">
        <v>28</v>
      </c>
      <c r="C3" s="70"/>
      <c r="D3" s="70"/>
      <c r="E3" s="26"/>
      <c r="F3" s="26"/>
      <c r="G3" s="26"/>
      <c r="H3" s="86"/>
      <c r="I3" s="86"/>
      <c r="J3" s="92"/>
      <c r="K3" s="86"/>
      <c r="L3" s="86"/>
      <c r="M3" s="8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93" t="s">
        <v>35</v>
      </c>
      <c r="I5" s="94" t="s">
        <v>36</v>
      </c>
      <c r="J5" s="95" t="s">
        <v>37</v>
      </c>
      <c r="K5" s="94" t="s">
        <v>38</v>
      </c>
      <c r="L5" s="94" t="s">
        <v>39</v>
      </c>
      <c r="M5" s="93" t="s">
        <v>40</v>
      </c>
    </row>
    <row r="6" spans="1:36" ht="14.45" customHeight="1" x14ac:dyDescent="0.25">
      <c r="A6" s="96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97">
        <v>1</v>
      </c>
      <c r="I6" s="98" t="str">
        <f t="shared" ref="I6:I69" si="1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7" t="e">
        <f t="shared" ref="K6:K69" si="2">J6*$J$2</f>
        <v>#NUM!</v>
      </c>
      <c r="L6" s="99">
        <f>3*K2</f>
        <v>0</v>
      </c>
      <c r="M6" s="99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01">
        <v>2</v>
      </c>
      <c r="I7" s="102" t="str">
        <f t="shared" si="1"/>
        <v/>
      </c>
      <c r="J7" s="101" t="e">
        <f t="shared" ref="J7:J70" si="5">INT(LOG($H$2,2))-ROUNDUP(LOG(H7,2),0)+IF(OR($H$2=1,$H$2=2,$H$2=4,$H$2=8,$H$2=16,$H$2=32,$H$2=64,$H$2=128,$H$2=256),0,1)</f>
        <v>#NUM!</v>
      </c>
      <c r="K7" s="101" t="e">
        <f t="shared" si="2"/>
        <v>#NUM!</v>
      </c>
      <c r="L7" s="103">
        <f>2*K2</f>
        <v>0</v>
      </c>
      <c r="M7" s="103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7">
        <v>3</v>
      </c>
      <c r="I8" s="98" t="str">
        <f t="shared" si="1"/>
        <v/>
      </c>
      <c r="J8" s="97" t="e">
        <f t="shared" si="5"/>
        <v>#NUM!</v>
      </c>
      <c r="K8" s="97" t="e">
        <f t="shared" si="2"/>
        <v>#NUM!</v>
      </c>
      <c r="L8" s="99">
        <f>K2</f>
        <v>0</v>
      </c>
      <c r="M8" s="99">
        <f t="shared" si="3"/>
        <v>0</v>
      </c>
    </row>
    <row r="9" spans="1:36" s="87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1">
        <v>3</v>
      </c>
      <c r="I9" s="102" t="str">
        <f t="shared" si="1"/>
        <v/>
      </c>
      <c r="J9" s="101" t="e">
        <f t="shared" si="5"/>
        <v>#NUM!</v>
      </c>
      <c r="K9" s="101" t="e">
        <f t="shared" si="2"/>
        <v>#NUM!</v>
      </c>
      <c r="L9" s="103">
        <f>K2</f>
        <v>0</v>
      </c>
      <c r="M9" s="103">
        <f t="shared" si="3"/>
        <v>0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42</v>
      </c>
      <c r="AI9" s="87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7">
        <v>5</v>
      </c>
      <c r="I10" s="98" t="str">
        <f t="shared" si="1"/>
        <v/>
      </c>
      <c r="J10" s="97" t="e">
        <f t="shared" si="5"/>
        <v>#NUM!</v>
      </c>
      <c r="K10" s="97" t="e">
        <f t="shared" si="2"/>
        <v>#NUM!</v>
      </c>
      <c r="L10" s="97"/>
      <c r="M10" s="99">
        <f t="shared" si="3"/>
        <v>0</v>
      </c>
      <c r="V10" s="104"/>
      <c r="Z10" s="105"/>
      <c r="AA10" s="105"/>
      <c r="AG10" s="106"/>
      <c r="AH10" s="87" t="s">
        <v>43</v>
      </c>
      <c r="AI10" s="87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1">
        <v>6</v>
      </c>
      <c r="I11" s="102" t="str">
        <f t="shared" si="1"/>
        <v/>
      </c>
      <c r="J11" s="101" t="e">
        <f t="shared" si="5"/>
        <v>#NUM!</v>
      </c>
      <c r="K11" s="101" t="e">
        <f t="shared" si="2"/>
        <v>#NUM!</v>
      </c>
      <c r="L11" s="101"/>
      <c r="M11" s="103">
        <f t="shared" si="3"/>
        <v>0</v>
      </c>
      <c r="V11" s="107"/>
      <c r="Z11" s="105"/>
      <c r="AA11" s="105"/>
      <c r="AG11" s="106"/>
      <c r="AH11" s="87" t="s">
        <v>44</v>
      </c>
      <c r="AI11" s="87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7">
        <v>7</v>
      </c>
      <c r="I12" s="98" t="str">
        <f t="shared" si="1"/>
        <v/>
      </c>
      <c r="J12" s="97" t="e">
        <f t="shared" si="5"/>
        <v>#NUM!</v>
      </c>
      <c r="K12" s="97" t="e">
        <f t="shared" si="2"/>
        <v>#NUM!</v>
      </c>
      <c r="L12" s="97"/>
      <c r="M12" s="99">
        <f t="shared" si="3"/>
        <v>0</v>
      </c>
      <c r="Z12" s="105"/>
      <c r="AA12" s="105"/>
      <c r="AG12" s="106"/>
      <c r="AH12" s="87" t="s">
        <v>45</v>
      </c>
      <c r="AI12" s="87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1">
        <v>8</v>
      </c>
      <c r="I13" s="102" t="str">
        <f t="shared" si="1"/>
        <v/>
      </c>
      <c r="J13" s="101" t="e">
        <f t="shared" si="5"/>
        <v>#NUM!</v>
      </c>
      <c r="K13" s="101" t="e">
        <f t="shared" si="2"/>
        <v>#NUM!</v>
      </c>
      <c r="L13" s="101"/>
      <c r="M13" s="103">
        <f t="shared" si="3"/>
        <v>0</v>
      </c>
      <c r="X13" s="104"/>
      <c r="AG13" s="106"/>
      <c r="AH13" s="87" t="s">
        <v>46</v>
      </c>
      <c r="AI13" s="87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7">
        <v>9</v>
      </c>
      <c r="I14" s="98" t="str">
        <f t="shared" si="1"/>
        <v/>
      </c>
      <c r="J14" s="97" t="e">
        <f t="shared" si="5"/>
        <v>#NUM!</v>
      </c>
      <c r="K14" s="97" t="e">
        <f t="shared" si="2"/>
        <v>#NUM!</v>
      </c>
      <c r="L14" s="97"/>
      <c r="M14" s="99">
        <f t="shared" si="3"/>
        <v>0</v>
      </c>
      <c r="X14" s="108"/>
      <c r="Z14" s="105"/>
      <c r="AA14" s="105"/>
      <c r="AG14" s="106"/>
      <c r="AH14" s="87" t="s">
        <v>47</v>
      </c>
      <c r="AI14" s="87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1">
        <v>10</v>
      </c>
      <c r="I15" s="102" t="str">
        <f t="shared" si="1"/>
        <v/>
      </c>
      <c r="J15" s="101" t="e">
        <f t="shared" si="5"/>
        <v>#NUM!</v>
      </c>
      <c r="K15" s="101" t="e">
        <f t="shared" si="2"/>
        <v>#NUM!</v>
      </c>
      <c r="L15" s="101"/>
      <c r="M15" s="103">
        <f t="shared" si="3"/>
        <v>0</v>
      </c>
      <c r="X15" s="104"/>
      <c r="Z15" s="105"/>
      <c r="AA15" s="105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7">
        <v>11</v>
      </c>
      <c r="I16" s="98" t="str">
        <f t="shared" si="1"/>
        <v/>
      </c>
      <c r="J16" s="97" t="e">
        <f t="shared" si="5"/>
        <v>#NUM!</v>
      </c>
      <c r="K16" s="97" t="e">
        <f t="shared" si="2"/>
        <v>#NUM!</v>
      </c>
      <c r="L16" s="97"/>
      <c r="M16" s="99">
        <f t="shared" si="3"/>
        <v>0</v>
      </c>
      <c r="R16" s="109"/>
      <c r="Z16" s="105"/>
      <c r="AA16" s="105"/>
      <c r="AH16" s="110" t="s">
        <v>48</v>
      </c>
      <c r="AI16" s="87">
        <f>AI11-AI12*AI13/AI14</f>
        <v>9.6393909380186855</v>
      </c>
      <c r="AJ16" s="87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1">
        <v>12</v>
      </c>
      <c r="I17" s="102" t="str">
        <f t="shared" si="1"/>
        <v/>
      </c>
      <c r="J17" s="101" t="e">
        <f t="shared" si="5"/>
        <v>#NUM!</v>
      </c>
      <c r="K17" s="101" t="e">
        <f t="shared" si="2"/>
        <v>#NUM!</v>
      </c>
      <c r="L17" s="101"/>
      <c r="M17" s="103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7">
        <v>13</v>
      </c>
      <c r="I18" s="98" t="str">
        <f t="shared" si="1"/>
        <v/>
      </c>
      <c r="J18" s="97" t="e">
        <f t="shared" si="5"/>
        <v>#NUM!</v>
      </c>
      <c r="K18" s="97" t="e">
        <f t="shared" si="2"/>
        <v>#NUM!</v>
      </c>
      <c r="L18" s="97"/>
      <c r="M18" s="99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1">
        <v>14</v>
      </c>
      <c r="I19" s="102" t="str">
        <f t="shared" si="1"/>
        <v/>
      </c>
      <c r="J19" s="101" t="e">
        <f t="shared" si="5"/>
        <v>#NUM!</v>
      </c>
      <c r="K19" s="101" t="e">
        <f t="shared" si="2"/>
        <v>#NUM!</v>
      </c>
      <c r="L19" s="101"/>
      <c r="M19" s="103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7">
        <v>15</v>
      </c>
      <c r="I20" s="98" t="str">
        <f t="shared" si="1"/>
        <v/>
      </c>
      <c r="J20" s="97" t="e">
        <f t="shared" si="5"/>
        <v>#NUM!</v>
      </c>
      <c r="K20" s="97" t="e">
        <f t="shared" si="2"/>
        <v>#NUM!</v>
      </c>
      <c r="L20" s="97"/>
      <c r="M20" s="99">
        <f t="shared" si="3"/>
        <v>0</v>
      </c>
      <c r="R20" s="111"/>
      <c r="S20" s="112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1">
        <v>16</v>
      </c>
      <c r="I21" s="102" t="str">
        <f t="shared" si="1"/>
        <v/>
      </c>
      <c r="J21" s="101" t="e">
        <f t="shared" si="5"/>
        <v>#NUM!</v>
      </c>
      <c r="K21" s="101" t="e">
        <f t="shared" si="2"/>
        <v>#NUM!</v>
      </c>
      <c r="L21" s="101"/>
      <c r="M21" s="103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7">
        <v>17</v>
      </c>
      <c r="I22" s="98" t="str">
        <f t="shared" si="1"/>
        <v/>
      </c>
      <c r="J22" s="97" t="e">
        <f t="shared" si="5"/>
        <v>#NUM!</v>
      </c>
      <c r="K22" s="97" t="e">
        <f t="shared" si="2"/>
        <v>#NUM!</v>
      </c>
      <c r="L22" s="97"/>
      <c r="M22" s="99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1">
        <v>18</v>
      </c>
      <c r="I23" s="102" t="str">
        <f t="shared" si="1"/>
        <v/>
      </c>
      <c r="J23" s="101" t="e">
        <f t="shared" si="5"/>
        <v>#NUM!</v>
      </c>
      <c r="K23" s="101" t="e">
        <f t="shared" si="2"/>
        <v>#NUM!</v>
      </c>
      <c r="L23" s="101"/>
      <c r="M23" s="103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7">
        <v>19</v>
      </c>
      <c r="I24" s="98" t="str">
        <f t="shared" si="1"/>
        <v/>
      </c>
      <c r="J24" s="97" t="e">
        <f t="shared" si="5"/>
        <v>#NUM!</v>
      </c>
      <c r="K24" s="97" t="e">
        <f t="shared" si="2"/>
        <v>#NUM!</v>
      </c>
      <c r="L24" s="97"/>
      <c r="M24" s="99">
        <f t="shared" si="3"/>
        <v>0</v>
      </c>
      <c r="R24" s="111"/>
      <c r="S24" s="112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1">
        <v>20</v>
      </c>
      <c r="I25" s="102" t="str">
        <f t="shared" si="1"/>
        <v/>
      </c>
      <c r="J25" s="101" t="e">
        <f t="shared" si="5"/>
        <v>#NUM!</v>
      </c>
      <c r="K25" s="101" t="e">
        <f t="shared" si="2"/>
        <v>#NUM!</v>
      </c>
      <c r="L25" s="101"/>
      <c r="M25" s="103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7">
        <v>21</v>
      </c>
      <c r="I26" s="98" t="str">
        <f t="shared" si="1"/>
        <v/>
      </c>
      <c r="J26" s="97" t="e">
        <f t="shared" si="5"/>
        <v>#NUM!</v>
      </c>
      <c r="K26" s="97" t="e">
        <f t="shared" si="2"/>
        <v>#NUM!</v>
      </c>
      <c r="L26" s="97"/>
      <c r="M26" s="99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1">
        <v>22</v>
      </c>
      <c r="I27" s="102" t="str">
        <f t="shared" si="1"/>
        <v/>
      </c>
      <c r="J27" s="101" t="e">
        <f t="shared" si="5"/>
        <v>#NUM!</v>
      </c>
      <c r="K27" s="101" t="e">
        <f t="shared" si="2"/>
        <v>#NUM!</v>
      </c>
      <c r="L27" s="101"/>
      <c r="M27" s="103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7">
        <v>23</v>
      </c>
      <c r="I28" s="98" t="str">
        <f t="shared" si="1"/>
        <v/>
      </c>
      <c r="J28" s="97" t="e">
        <f t="shared" si="5"/>
        <v>#NUM!</v>
      </c>
      <c r="K28" s="97" t="e">
        <f t="shared" si="2"/>
        <v>#NUM!</v>
      </c>
      <c r="L28" s="97"/>
      <c r="M28" s="99">
        <f t="shared" si="3"/>
        <v>0</v>
      </c>
      <c r="R28" s="111"/>
      <c r="S28" s="112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82"/>
      <c r="H29" s="101">
        <v>24</v>
      </c>
      <c r="I29" s="102" t="str">
        <f t="shared" si="1"/>
        <v/>
      </c>
      <c r="J29" s="101" t="e">
        <f t="shared" si="5"/>
        <v>#NUM!</v>
      </c>
      <c r="K29" s="101" t="e">
        <f t="shared" si="2"/>
        <v>#NUM!</v>
      </c>
      <c r="L29" s="101"/>
      <c r="M29" s="103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82"/>
      <c r="H30" s="97">
        <v>25</v>
      </c>
      <c r="I30" s="98" t="str">
        <f t="shared" si="1"/>
        <v/>
      </c>
      <c r="J30" s="97" t="e">
        <f t="shared" si="5"/>
        <v>#NUM!</v>
      </c>
      <c r="K30" s="97" t="e">
        <f t="shared" si="2"/>
        <v>#NUM!</v>
      </c>
      <c r="L30" s="97"/>
      <c r="M30" s="99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82"/>
      <c r="H31" s="101">
        <v>26</v>
      </c>
      <c r="I31" s="102" t="str">
        <f t="shared" si="1"/>
        <v/>
      </c>
      <c r="J31" s="101" t="e">
        <f t="shared" si="5"/>
        <v>#NUM!</v>
      </c>
      <c r="K31" s="101" t="e">
        <f t="shared" si="2"/>
        <v>#NUM!</v>
      </c>
      <c r="L31" s="101"/>
      <c r="M31" s="103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82"/>
      <c r="H32" s="97">
        <v>27</v>
      </c>
      <c r="I32" s="98" t="str">
        <f t="shared" si="1"/>
        <v/>
      </c>
      <c r="J32" s="97" t="e">
        <f t="shared" si="5"/>
        <v>#NUM!</v>
      </c>
      <c r="K32" s="97" t="e">
        <f t="shared" si="2"/>
        <v>#NUM!</v>
      </c>
      <c r="L32" s="97"/>
      <c r="M32" s="99">
        <f t="shared" si="3"/>
        <v>0</v>
      </c>
      <c r="R32" s="111"/>
      <c r="S32" s="112"/>
    </row>
    <row r="33" spans="1:19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82"/>
      <c r="H33" s="101">
        <v>28</v>
      </c>
      <c r="I33" s="102" t="str">
        <f t="shared" si="1"/>
        <v/>
      </c>
      <c r="J33" s="101" t="e">
        <f t="shared" si="5"/>
        <v>#NUM!</v>
      </c>
      <c r="K33" s="101" t="e">
        <f t="shared" si="2"/>
        <v>#NUM!</v>
      </c>
      <c r="L33" s="101"/>
      <c r="M33" s="103">
        <f t="shared" si="3"/>
        <v>0</v>
      </c>
    </row>
    <row r="34" spans="1:19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82"/>
      <c r="H34" s="97">
        <v>29</v>
      </c>
      <c r="I34" s="98" t="str">
        <f t="shared" si="1"/>
        <v/>
      </c>
      <c r="J34" s="97" t="e">
        <f t="shared" si="5"/>
        <v>#NUM!</v>
      </c>
      <c r="K34" s="97" t="e">
        <f t="shared" si="2"/>
        <v>#NUM!</v>
      </c>
      <c r="L34" s="97"/>
      <c r="M34" s="99">
        <f t="shared" si="3"/>
        <v>0</v>
      </c>
    </row>
    <row r="35" spans="1:19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82"/>
      <c r="H35" s="101">
        <v>30</v>
      </c>
      <c r="I35" s="102" t="str">
        <f t="shared" si="1"/>
        <v/>
      </c>
      <c r="J35" s="101" t="e">
        <f t="shared" si="5"/>
        <v>#NUM!</v>
      </c>
      <c r="K35" s="101" t="e">
        <f t="shared" si="2"/>
        <v>#NUM!</v>
      </c>
      <c r="L35" s="101"/>
      <c r="M35" s="103">
        <f t="shared" si="3"/>
        <v>0</v>
      </c>
    </row>
    <row r="36" spans="1:19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82"/>
      <c r="H36" s="97">
        <v>31</v>
      </c>
      <c r="I36" s="98" t="str">
        <f t="shared" si="1"/>
        <v/>
      </c>
      <c r="J36" s="97" t="e">
        <f t="shared" si="5"/>
        <v>#NUM!</v>
      </c>
      <c r="K36" s="97" t="e">
        <f t="shared" si="2"/>
        <v>#NUM!</v>
      </c>
      <c r="L36" s="97"/>
      <c r="M36" s="99">
        <f t="shared" si="3"/>
        <v>0</v>
      </c>
      <c r="R36" s="111"/>
      <c r="S36" s="112"/>
    </row>
    <row r="37" spans="1:19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82"/>
      <c r="H37" s="101">
        <v>32</v>
      </c>
      <c r="I37" s="102" t="str">
        <f t="shared" si="1"/>
        <v/>
      </c>
      <c r="J37" s="101" t="e">
        <f t="shared" si="5"/>
        <v>#NUM!</v>
      </c>
      <c r="K37" s="101" t="e">
        <f t="shared" si="2"/>
        <v>#NUM!</v>
      </c>
      <c r="L37" s="101"/>
      <c r="M37" s="103">
        <f t="shared" si="3"/>
        <v>0</v>
      </c>
    </row>
    <row r="38" spans="1:19" x14ac:dyDescent="0.25">
      <c r="A38" s="96">
        <f t="shared" si="4"/>
        <v>0</v>
      </c>
      <c r="B38" s="34" t="str">
        <f t="shared" si="0"/>
        <v/>
      </c>
      <c r="C38" s="35"/>
      <c r="D38" s="35"/>
      <c r="E38" s="35"/>
      <c r="F38" s="35"/>
      <c r="G38" s="82"/>
      <c r="H38" s="97">
        <v>33</v>
      </c>
      <c r="I38" s="98" t="str">
        <f t="shared" si="1"/>
        <v/>
      </c>
      <c r="J38" s="97" t="e">
        <f t="shared" si="5"/>
        <v>#NUM!</v>
      </c>
      <c r="K38" s="97" t="e">
        <f t="shared" si="2"/>
        <v>#NUM!</v>
      </c>
      <c r="L38" s="97"/>
      <c r="M38" s="99">
        <f t="shared" si="3"/>
        <v>0</v>
      </c>
    </row>
    <row r="39" spans="1:19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82"/>
      <c r="H39" s="101">
        <v>34</v>
      </c>
      <c r="I39" s="102" t="str">
        <f t="shared" si="1"/>
        <v/>
      </c>
      <c r="J39" s="101" t="e">
        <f t="shared" si="5"/>
        <v>#NUM!</v>
      </c>
      <c r="K39" s="101" t="e">
        <f t="shared" si="2"/>
        <v>#NUM!</v>
      </c>
      <c r="L39" s="101"/>
      <c r="M39" s="103">
        <f t="shared" si="3"/>
        <v>0</v>
      </c>
    </row>
    <row r="40" spans="1:19" x14ac:dyDescent="0.25">
      <c r="A40" s="96">
        <f t="shared" si="4"/>
        <v>0</v>
      </c>
      <c r="B40" s="34" t="str">
        <f t="shared" si="0"/>
        <v/>
      </c>
      <c r="C40" s="35"/>
      <c r="D40" s="35"/>
      <c r="E40" s="35"/>
      <c r="F40" s="35"/>
      <c r="G40" s="82"/>
      <c r="H40" s="97">
        <v>35</v>
      </c>
      <c r="I40" s="98" t="str">
        <f t="shared" si="1"/>
        <v/>
      </c>
      <c r="J40" s="97" t="e">
        <f t="shared" si="5"/>
        <v>#NUM!</v>
      </c>
      <c r="K40" s="97" t="e">
        <f t="shared" si="2"/>
        <v>#NUM!</v>
      </c>
      <c r="L40" s="97"/>
      <c r="M40" s="99">
        <f t="shared" si="3"/>
        <v>0</v>
      </c>
    </row>
    <row r="41" spans="1:19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82"/>
      <c r="H41" s="101">
        <v>36</v>
      </c>
      <c r="I41" s="102" t="str">
        <f t="shared" si="1"/>
        <v/>
      </c>
      <c r="J41" s="101" t="e">
        <f t="shared" si="5"/>
        <v>#NUM!</v>
      </c>
      <c r="K41" s="101" t="e">
        <f t="shared" si="2"/>
        <v>#NUM!</v>
      </c>
      <c r="L41" s="101"/>
      <c r="M41" s="103">
        <f t="shared" si="3"/>
        <v>0</v>
      </c>
      <c r="S41" s="113"/>
    </row>
    <row r="42" spans="1:19" x14ac:dyDescent="0.25">
      <c r="A42" s="96">
        <f t="shared" si="4"/>
        <v>0</v>
      </c>
      <c r="B42" s="34" t="str">
        <f t="shared" si="0"/>
        <v/>
      </c>
      <c r="C42" s="35"/>
      <c r="D42" s="35"/>
      <c r="E42" s="35"/>
      <c r="F42" s="35"/>
      <c r="G42" s="82"/>
      <c r="H42" s="97">
        <v>37</v>
      </c>
      <c r="I42" s="98" t="str">
        <f t="shared" si="1"/>
        <v/>
      </c>
      <c r="J42" s="97" t="e">
        <f t="shared" si="5"/>
        <v>#NUM!</v>
      </c>
      <c r="K42" s="97" t="e">
        <f t="shared" si="2"/>
        <v>#NUM!</v>
      </c>
      <c r="L42" s="97"/>
      <c r="M42" s="99">
        <f t="shared" si="3"/>
        <v>0</v>
      </c>
    </row>
    <row r="43" spans="1:19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82"/>
      <c r="H43" s="101">
        <v>38</v>
      </c>
      <c r="I43" s="102" t="str">
        <f t="shared" si="1"/>
        <v/>
      </c>
      <c r="J43" s="101" t="e">
        <f t="shared" si="5"/>
        <v>#NUM!</v>
      </c>
      <c r="K43" s="101" t="e">
        <f t="shared" si="2"/>
        <v>#NUM!</v>
      </c>
      <c r="L43" s="101"/>
      <c r="M43" s="103">
        <f t="shared" si="3"/>
        <v>0</v>
      </c>
    </row>
    <row r="44" spans="1:19" x14ac:dyDescent="0.25">
      <c r="A44" s="96">
        <f t="shared" si="4"/>
        <v>0</v>
      </c>
      <c r="B44" s="34" t="str">
        <f t="shared" si="0"/>
        <v/>
      </c>
      <c r="C44" s="35"/>
      <c r="D44" s="35"/>
      <c r="E44" s="35"/>
      <c r="F44" s="35"/>
      <c r="G44" s="82"/>
      <c r="H44" s="97">
        <v>39</v>
      </c>
      <c r="I44" s="98" t="str">
        <f t="shared" si="1"/>
        <v/>
      </c>
      <c r="J44" s="97" t="e">
        <f t="shared" si="5"/>
        <v>#NUM!</v>
      </c>
      <c r="K44" s="97" t="e">
        <f t="shared" si="2"/>
        <v>#NUM!</v>
      </c>
      <c r="L44" s="97"/>
      <c r="M44" s="99">
        <f t="shared" si="3"/>
        <v>0</v>
      </c>
    </row>
    <row r="45" spans="1:19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82"/>
      <c r="H45" s="101">
        <v>40</v>
      </c>
      <c r="I45" s="102" t="str">
        <f t="shared" si="1"/>
        <v/>
      </c>
      <c r="J45" s="101" t="e">
        <f t="shared" si="5"/>
        <v>#NUM!</v>
      </c>
      <c r="K45" s="101" t="e">
        <f t="shared" si="2"/>
        <v>#NUM!</v>
      </c>
      <c r="L45" s="101"/>
      <c r="M45" s="103">
        <f t="shared" si="3"/>
        <v>0</v>
      </c>
    </row>
    <row r="46" spans="1:19" x14ac:dyDescent="0.25">
      <c r="A46" s="96">
        <f t="shared" si="4"/>
        <v>0</v>
      </c>
      <c r="B46" s="34" t="str">
        <f t="shared" si="0"/>
        <v/>
      </c>
      <c r="C46" s="35"/>
      <c r="D46" s="35"/>
      <c r="E46" s="35"/>
      <c r="F46" s="35"/>
      <c r="G46" s="82"/>
      <c r="H46" s="97">
        <v>41</v>
      </c>
      <c r="I46" s="98" t="str">
        <f t="shared" si="1"/>
        <v/>
      </c>
      <c r="J46" s="97" t="e">
        <f t="shared" si="5"/>
        <v>#NUM!</v>
      </c>
      <c r="K46" s="97" t="e">
        <f t="shared" si="2"/>
        <v>#NUM!</v>
      </c>
      <c r="L46" s="97"/>
      <c r="M46" s="99">
        <f t="shared" si="3"/>
        <v>0</v>
      </c>
    </row>
    <row r="47" spans="1:19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82"/>
      <c r="H47" s="101">
        <v>42</v>
      </c>
      <c r="I47" s="102" t="str">
        <f t="shared" si="1"/>
        <v/>
      </c>
      <c r="J47" s="101" t="e">
        <f t="shared" si="5"/>
        <v>#NUM!</v>
      </c>
      <c r="K47" s="101" t="e">
        <f t="shared" si="2"/>
        <v>#NUM!</v>
      </c>
      <c r="L47" s="101"/>
      <c r="M47" s="103">
        <f t="shared" si="3"/>
        <v>0</v>
      </c>
    </row>
    <row r="48" spans="1:19" x14ac:dyDescent="0.25">
      <c r="A48" s="96">
        <f t="shared" si="4"/>
        <v>0</v>
      </c>
      <c r="B48" s="34" t="str">
        <f t="shared" si="0"/>
        <v/>
      </c>
      <c r="C48" s="35"/>
      <c r="D48" s="35"/>
      <c r="E48" s="35"/>
      <c r="F48" s="35"/>
      <c r="G48" s="82"/>
      <c r="H48" s="97">
        <v>43</v>
      </c>
      <c r="I48" s="98" t="str">
        <f t="shared" si="1"/>
        <v/>
      </c>
      <c r="J48" s="97" t="e">
        <f t="shared" si="5"/>
        <v>#NUM!</v>
      </c>
      <c r="K48" s="97" t="e">
        <f t="shared" si="2"/>
        <v>#NUM!</v>
      </c>
      <c r="L48" s="97"/>
      <c r="M48" s="99">
        <f t="shared" si="3"/>
        <v>0</v>
      </c>
    </row>
    <row r="49" spans="1:38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82"/>
      <c r="H49" s="101">
        <v>44</v>
      </c>
      <c r="I49" s="102" t="str">
        <f t="shared" si="1"/>
        <v/>
      </c>
      <c r="J49" s="101" t="e">
        <f t="shared" si="5"/>
        <v>#NUM!</v>
      </c>
      <c r="K49" s="101" t="e">
        <f t="shared" si="2"/>
        <v>#NUM!</v>
      </c>
      <c r="L49" s="101"/>
      <c r="M49" s="103">
        <f t="shared" si="3"/>
        <v>0</v>
      </c>
    </row>
    <row r="50" spans="1:38" x14ac:dyDescent="0.25">
      <c r="A50" s="96">
        <f t="shared" si="4"/>
        <v>0</v>
      </c>
      <c r="B50" s="34" t="str">
        <f t="shared" si="0"/>
        <v/>
      </c>
      <c r="C50" s="35"/>
      <c r="D50" s="35"/>
      <c r="E50" s="35"/>
      <c r="F50" s="35"/>
      <c r="G50" s="82"/>
      <c r="H50" s="97">
        <v>45</v>
      </c>
      <c r="I50" s="98" t="str">
        <f t="shared" si="1"/>
        <v/>
      </c>
      <c r="J50" s="97" t="e">
        <f t="shared" si="5"/>
        <v>#NUM!</v>
      </c>
      <c r="K50" s="97" t="e">
        <f t="shared" si="2"/>
        <v>#NUM!</v>
      </c>
      <c r="L50" s="97"/>
      <c r="M50" s="99">
        <f t="shared" si="3"/>
        <v>0</v>
      </c>
    </row>
    <row r="51" spans="1:38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82"/>
      <c r="H51" s="101">
        <v>46</v>
      </c>
      <c r="I51" s="102" t="str">
        <f t="shared" si="1"/>
        <v/>
      </c>
      <c r="J51" s="101" t="e">
        <f t="shared" si="5"/>
        <v>#NUM!</v>
      </c>
      <c r="K51" s="101" t="e">
        <f t="shared" si="2"/>
        <v>#NUM!</v>
      </c>
      <c r="L51" s="101"/>
      <c r="M51" s="103">
        <f t="shared" si="3"/>
        <v>0</v>
      </c>
    </row>
    <row r="52" spans="1:38" x14ac:dyDescent="0.25">
      <c r="A52" s="96">
        <f t="shared" si="4"/>
        <v>0</v>
      </c>
      <c r="B52" s="34" t="str">
        <f t="shared" si="0"/>
        <v/>
      </c>
      <c r="C52" s="35"/>
      <c r="D52" s="35"/>
      <c r="E52" s="35"/>
      <c r="F52" s="35"/>
      <c r="G52" s="82"/>
      <c r="H52" s="97">
        <v>47</v>
      </c>
      <c r="I52" s="98" t="str">
        <f t="shared" si="1"/>
        <v/>
      </c>
      <c r="J52" s="97" t="e">
        <f t="shared" si="5"/>
        <v>#NUM!</v>
      </c>
      <c r="K52" s="97" t="e">
        <f t="shared" si="2"/>
        <v>#NUM!</v>
      </c>
      <c r="L52" s="97"/>
      <c r="M52" s="99">
        <f t="shared" si="3"/>
        <v>0</v>
      </c>
    </row>
    <row r="53" spans="1:38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82"/>
      <c r="H53" s="101">
        <v>48</v>
      </c>
      <c r="I53" s="102" t="str">
        <f t="shared" si="1"/>
        <v/>
      </c>
      <c r="J53" s="101" t="e">
        <f t="shared" si="5"/>
        <v>#NUM!</v>
      </c>
      <c r="K53" s="101" t="e">
        <f t="shared" si="2"/>
        <v>#NUM!</v>
      </c>
      <c r="L53" s="101"/>
      <c r="M53" s="103">
        <f t="shared" si="3"/>
        <v>0</v>
      </c>
    </row>
    <row r="54" spans="1:38" x14ac:dyDescent="0.25">
      <c r="A54" s="96">
        <f t="shared" si="4"/>
        <v>0</v>
      </c>
      <c r="B54" s="34" t="str">
        <f t="shared" si="0"/>
        <v/>
      </c>
      <c r="C54" s="35"/>
      <c r="D54" s="35"/>
      <c r="E54" s="35"/>
      <c r="F54" s="35"/>
      <c r="G54" s="82"/>
      <c r="H54" s="97">
        <v>49</v>
      </c>
      <c r="I54" s="98" t="str">
        <f t="shared" si="1"/>
        <v/>
      </c>
      <c r="J54" s="97" t="e">
        <f t="shared" si="5"/>
        <v>#NUM!</v>
      </c>
      <c r="K54" s="97" t="e">
        <f t="shared" si="2"/>
        <v>#NUM!</v>
      </c>
      <c r="L54" s="97"/>
      <c r="M54" s="99">
        <f t="shared" si="3"/>
        <v>0</v>
      </c>
    </row>
    <row r="55" spans="1:38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82"/>
      <c r="H55" s="101">
        <v>50</v>
      </c>
      <c r="I55" s="102" t="str">
        <f t="shared" si="1"/>
        <v/>
      </c>
      <c r="J55" s="101" t="e">
        <f t="shared" si="5"/>
        <v>#NUM!</v>
      </c>
      <c r="K55" s="101" t="e">
        <f t="shared" si="2"/>
        <v>#NUM!</v>
      </c>
      <c r="L55" s="101"/>
      <c r="M55" s="103">
        <f t="shared" si="3"/>
        <v>0</v>
      </c>
    </row>
    <row r="56" spans="1:38" x14ac:dyDescent="0.25">
      <c r="A56" s="96">
        <f t="shared" si="4"/>
        <v>0</v>
      </c>
      <c r="B56" s="34" t="str">
        <f t="shared" si="0"/>
        <v/>
      </c>
      <c r="C56" s="35"/>
      <c r="D56" s="35"/>
      <c r="E56" s="35"/>
      <c r="F56" s="35"/>
      <c r="G56" s="82"/>
      <c r="H56" s="97">
        <v>51</v>
      </c>
      <c r="I56" s="98" t="str">
        <f t="shared" si="1"/>
        <v/>
      </c>
      <c r="J56" s="97" t="e">
        <f t="shared" si="5"/>
        <v>#NUM!</v>
      </c>
      <c r="K56" s="97" t="e">
        <f t="shared" si="2"/>
        <v>#NUM!</v>
      </c>
      <c r="L56" s="97"/>
      <c r="M56" s="99">
        <f t="shared" si="3"/>
        <v>0</v>
      </c>
    </row>
    <row r="57" spans="1:38" s="82" customFormat="1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H57" s="101">
        <v>52</v>
      </c>
      <c r="I57" s="102" t="str">
        <f t="shared" si="1"/>
        <v/>
      </c>
      <c r="J57" s="101" t="e">
        <f t="shared" si="5"/>
        <v>#NUM!</v>
      </c>
      <c r="K57" s="101" t="e">
        <f t="shared" si="2"/>
        <v>#NUM!</v>
      </c>
      <c r="L57" s="101"/>
      <c r="M57" s="103">
        <f t="shared" si="3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2" customFormat="1" x14ac:dyDescent="0.25">
      <c r="A58" s="96">
        <f t="shared" si="4"/>
        <v>0</v>
      </c>
      <c r="B58" s="34" t="str">
        <f t="shared" si="0"/>
        <v/>
      </c>
      <c r="C58" s="35"/>
      <c r="D58" s="35"/>
      <c r="E58" s="35"/>
      <c r="F58" s="35"/>
      <c r="H58" s="97">
        <v>53</v>
      </c>
      <c r="I58" s="98" t="str">
        <f t="shared" si="1"/>
        <v/>
      </c>
      <c r="J58" s="97" t="e">
        <f t="shared" si="5"/>
        <v>#NUM!</v>
      </c>
      <c r="K58" s="97" t="e">
        <f t="shared" si="2"/>
        <v>#NUM!</v>
      </c>
      <c r="L58" s="97"/>
      <c r="M58" s="99">
        <f t="shared" si="3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2" customFormat="1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H59" s="101">
        <v>54</v>
      </c>
      <c r="I59" s="102" t="str">
        <f t="shared" si="1"/>
        <v/>
      </c>
      <c r="J59" s="101" t="e">
        <f t="shared" si="5"/>
        <v>#NUM!</v>
      </c>
      <c r="K59" s="101" t="e">
        <f t="shared" si="2"/>
        <v>#NUM!</v>
      </c>
      <c r="L59" s="101"/>
      <c r="M59" s="103">
        <f t="shared" si="3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2" customFormat="1" x14ac:dyDescent="0.25">
      <c r="A60" s="96">
        <f t="shared" si="4"/>
        <v>0</v>
      </c>
      <c r="B60" s="34" t="str">
        <f t="shared" si="0"/>
        <v/>
      </c>
      <c r="C60" s="35"/>
      <c r="D60" s="35"/>
      <c r="E60" s="35"/>
      <c r="F60" s="35"/>
      <c r="H60" s="97">
        <v>55</v>
      </c>
      <c r="I60" s="98" t="str">
        <f t="shared" si="1"/>
        <v/>
      </c>
      <c r="J60" s="97" t="e">
        <f t="shared" si="5"/>
        <v>#NUM!</v>
      </c>
      <c r="K60" s="97" t="e">
        <f t="shared" si="2"/>
        <v>#NUM!</v>
      </c>
      <c r="L60" s="97"/>
      <c r="M60" s="99">
        <f t="shared" si="3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2" customFormat="1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H61" s="101">
        <v>56</v>
      </c>
      <c r="I61" s="102" t="str">
        <f t="shared" si="1"/>
        <v/>
      </c>
      <c r="J61" s="101" t="e">
        <f t="shared" si="5"/>
        <v>#NUM!</v>
      </c>
      <c r="K61" s="101" t="e">
        <f t="shared" si="2"/>
        <v>#NUM!</v>
      </c>
      <c r="L61" s="101"/>
      <c r="M61" s="103">
        <f t="shared" si="3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2" customFormat="1" x14ac:dyDescent="0.25">
      <c r="A62" s="96">
        <f t="shared" si="4"/>
        <v>0</v>
      </c>
      <c r="B62" s="34" t="str">
        <f t="shared" si="0"/>
        <v/>
      </c>
      <c r="C62" s="35"/>
      <c r="D62" s="35"/>
      <c r="E62" s="35"/>
      <c r="F62" s="35"/>
      <c r="H62" s="97">
        <v>57</v>
      </c>
      <c r="I62" s="98" t="str">
        <f t="shared" si="1"/>
        <v/>
      </c>
      <c r="J62" s="97" t="e">
        <f t="shared" si="5"/>
        <v>#NUM!</v>
      </c>
      <c r="K62" s="97" t="e">
        <f t="shared" si="2"/>
        <v>#NUM!</v>
      </c>
      <c r="L62" s="97"/>
      <c r="M62" s="99">
        <f t="shared" si="3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2" customFormat="1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H63" s="101">
        <v>58</v>
      </c>
      <c r="I63" s="102" t="str">
        <f t="shared" si="1"/>
        <v/>
      </c>
      <c r="J63" s="101" t="e">
        <f t="shared" si="5"/>
        <v>#NUM!</v>
      </c>
      <c r="K63" s="101" t="e">
        <f t="shared" si="2"/>
        <v>#NUM!</v>
      </c>
      <c r="L63" s="101"/>
      <c r="M63" s="103">
        <f t="shared" si="3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2" customFormat="1" x14ac:dyDescent="0.25">
      <c r="A64" s="96">
        <f t="shared" si="4"/>
        <v>0</v>
      </c>
      <c r="B64" s="34" t="str">
        <f t="shared" si="0"/>
        <v/>
      </c>
      <c r="C64" s="35"/>
      <c r="D64" s="35"/>
      <c r="E64" s="35"/>
      <c r="F64" s="35"/>
      <c r="H64" s="97">
        <v>59</v>
      </c>
      <c r="I64" s="98" t="str">
        <f t="shared" si="1"/>
        <v/>
      </c>
      <c r="J64" s="97" t="e">
        <f t="shared" si="5"/>
        <v>#NUM!</v>
      </c>
      <c r="K64" s="97" t="e">
        <f t="shared" si="2"/>
        <v>#NUM!</v>
      </c>
      <c r="L64" s="97"/>
      <c r="M64" s="99">
        <f t="shared" si="3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2" customFormat="1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H65" s="101">
        <v>60</v>
      </c>
      <c r="I65" s="102" t="str">
        <f t="shared" si="1"/>
        <v/>
      </c>
      <c r="J65" s="101" t="e">
        <f t="shared" si="5"/>
        <v>#NUM!</v>
      </c>
      <c r="K65" s="101" t="e">
        <f t="shared" si="2"/>
        <v>#NUM!</v>
      </c>
      <c r="L65" s="101"/>
      <c r="M65" s="103">
        <f t="shared" si="3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2" customFormat="1" x14ac:dyDescent="0.25">
      <c r="A66" s="96">
        <f t="shared" si="4"/>
        <v>0</v>
      </c>
      <c r="B66" s="34" t="str">
        <f t="shared" si="0"/>
        <v/>
      </c>
      <c r="C66" s="35"/>
      <c r="D66" s="35"/>
      <c r="E66" s="35"/>
      <c r="F66" s="35"/>
      <c r="H66" s="97">
        <v>61</v>
      </c>
      <c r="I66" s="98" t="str">
        <f t="shared" si="1"/>
        <v/>
      </c>
      <c r="J66" s="97" t="e">
        <f t="shared" si="5"/>
        <v>#NUM!</v>
      </c>
      <c r="K66" s="97" t="e">
        <f t="shared" si="2"/>
        <v>#NUM!</v>
      </c>
      <c r="L66" s="97"/>
      <c r="M66" s="99">
        <f t="shared" si="3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2" customFormat="1" x14ac:dyDescent="0.25">
      <c r="A67" s="100">
        <f t="shared" si="4"/>
        <v>0</v>
      </c>
      <c r="B67" s="40" t="str">
        <f t="shared" si="0"/>
        <v/>
      </c>
      <c r="C67" s="41"/>
      <c r="D67" s="41"/>
      <c r="E67" s="41"/>
      <c r="F67" s="41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2" customFormat="1" x14ac:dyDescent="0.25">
      <c r="A68" s="96">
        <f t="shared" si="4"/>
        <v>0</v>
      </c>
      <c r="B68" s="34" t="str">
        <f t="shared" si="0"/>
        <v/>
      </c>
      <c r="C68" s="35"/>
      <c r="D68" s="35"/>
      <c r="E68" s="35"/>
      <c r="F68" s="35"/>
      <c r="H68" s="97">
        <v>63</v>
      </c>
      <c r="I68" s="98" t="str">
        <f t="shared" si="1"/>
        <v/>
      </c>
      <c r="J68" s="97" t="e">
        <f t="shared" si="5"/>
        <v>#NUM!</v>
      </c>
      <c r="K68" s="97" t="e">
        <f t="shared" si="2"/>
        <v>#NUM!</v>
      </c>
      <c r="L68" s="97"/>
      <c r="M68" s="99">
        <f t="shared" si="3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2" customFormat="1" x14ac:dyDescent="0.25">
      <c r="A69" s="100">
        <f t="shared" si="4"/>
        <v>0</v>
      </c>
      <c r="B69" s="40" t="str">
        <f t="shared" si="0"/>
        <v/>
      </c>
      <c r="C69" s="41"/>
      <c r="D69" s="41"/>
      <c r="E69" s="41"/>
      <c r="F69" s="41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2" customFormat="1" x14ac:dyDescent="0.25">
      <c r="A70" s="96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97">
        <v>65</v>
      </c>
      <c r="I70" s="98" t="str">
        <f t="shared" ref="I70:I133" si="7">IF(H70&lt;$H$2+1,($I$2-($I$2-1)*(LOG(H70)/LOG($H$2))),"")</f>
        <v/>
      </c>
      <c r="J70" s="97" t="e">
        <f t="shared" si="5"/>
        <v>#NUM!</v>
      </c>
      <c r="K70" s="97" t="e">
        <f t="shared" ref="K70:K133" si="8">J70*$J$2</f>
        <v>#NUM!</v>
      </c>
      <c r="L70" s="97"/>
      <c r="M70" s="99">
        <f t="shared" ref="M70:M133" si="9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2" customFormat="1" x14ac:dyDescent="0.25">
      <c r="A71" s="100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01">
        <v>66</v>
      </c>
      <c r="I71" s="102" t="str">
        <f t="shared" si="7"/>
        <v/>
      </c>
      <c r="J71" s="101" t="e">
        <f t="shared" ref="J71:J134" si="11">INT(LOG($H$2,2))-ROUNDUP(LOG(H71,2),0)+IF(OR($H$2=1,$H$2=2,$H$2=4,$H$2=8,$H$2=16,$H$2=32,$H$2=64,$H$2=128,$H$2=256),0,1)</f>
        <v>#NUM!</v>
      </c>
      <c r="K71" s="101" t="e">
        <f t="shared" si="8"/>
        <v>#NUM!</v>
      </c>
      <c r="L71" s="101"/>
      <c r="M71" s="103">
        <f t="shared" si="9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2" customFormat="1" x14ac:dyDescent="0.25">
      <c r="A72" s="96">
        <f t="shared" si="10"/>
        <v>0</v>
      </c>
      <c r="B72" s="34" t="str">
        <f t="shared" si="6"/>
        <v/>
      </c>
      <c r="C72" s="35"/>
      <c r="D72" s="35"/>
      <c r="E72" s="35"/>
      <c r="F72" s="35"/>
      <c r="H72" s="97">
        <v>67</v>
      </c>
      <c r="I72" s="98" t="str">
        <f t="shared" si="7"/>
        <v/>
      </c>
      <c r="J72" s="97" t="e">
        <f t="shared" si="11"/>
        <v>#NUM!</v>
      </c>
      <c r="K72" s="97" t="e">
        <f t="shared" si="8"/>
        <v>#NUM!</v>
      </c>
      <c r="L72" s="97"/>
      <c r="M72" s="99">
        <f t="shared" si="9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2" customFormat="1" x14ac:dyDescent="0.25">
      <c r="A73" s="100">
        <f t="shared" si="10"/>
        <v>0</v>
      </c>
      <c r="B73" s="40" t="str">
        <f t="shared" si="6"/>
        <v/>
      </c>
      <c r="C73" s="41"/>
      <c r="D73" s="41"/>
      <c r="E73" s="41"/>
      <c r="F73" s="41"/>
      <c r="H73" s="101">
        <v>68</v>
      </c>
      <c r="I73" s="102" t="str">
        <f t="shared" si="7"/>
        <v/>
      </c>
      <c r="J73" s="101" t="e">
        <f t="shared" si="11"/>
        <v>#NUM!</v>
      </c>
      <c r="K73" s="101" t="e">
        <f t="shared" si="8"/>
        <v>#NUM!</v>
      </c>
      <c r="L73" s="101"/>
      <c r="M73" s="103">
        <f t="shared" si="9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2" customFormat="1" x14ac:dyDescent="0.25">
      <c r="A74" s="96">
        <f t="shared" si="10"/>
        <v>0</v>
      </c>
      <c r="B74" s="34" t="str">
        <f t="shared" si="6"/>
        <v/>
      </c>
      <c r="C74" s="35"/>
      <c r="D74" s="35"/>
      <c r="E74" s="35"/>
      <c r="F74" s="35"/>
      <c r="H74" s="97">
        <v>69</v>
      </c>
      <c r="I74" s="98" t="str">
        <f t="shared" si="7"/>
        <v/>
      </c>
      <c r="J74" s="97" t="e">
        <f t="shared" si="11"/>
        <v>#NUM!</v>
      </c>
      <c r="K74" s="97" t="e">
        <f t="shared" si="8"/>
        <v>#NUM!</v>
      </c>
      <c r="L74" s="97"/>
      <c r="M74" s="99">
        <f t="shared" si="9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2" customFormat="1" x14ac:dyDescent="0.25">
      <c r="A75" s="100">
        <f t="shared" si="10"/>
        <v>0</v>
      </c>
      <c r="B75" s="40" t="str">
        <f t="shared" si="6"/>
        <v/>
      </c>
      <c r="C75" s="41"/>
      <c r="D75" s="41"/>
      <c r="E75" s="41"/>
      <c r="F75" s="41"/>
      <c r="H75" s="101">
        <v>70</v>
      </c>
      <c r="I75" s="102" t="str">
        <f t="shared" si="7"/>
        <v/>
      </c>
      <c r="J75" s="101" t="e">
        <f t="shared" si="11"/>
        <v>#NUM!</v>
      </c>
      <c r="K75" s="101" t="e">
        <f t="shared" si="8"/>
        <v>#NUM!</v>
      </c>
      <c r="L75" s="101"/>
      <c r="M75" s="103">
        <f t="shared" si="9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2" customFormat="1" x14ac:dyDescent="0.25">
      <c r="A76" s="96">
        <f t="shared" si="10"/>
        <v>0</v>
      </c>
      <c r="B76" s="34" t="str">
        <f t="shared" si="6"/>
        <v/>
      </c>
      <c r="C76" s="35"/>
      <c r="D76" s="35"/>
      <c r="E76" s="35"/>
      <c r="F76" s="35"/>
      <c r="H76" s="97">
        <v>71</v>
      </c>
      <c r="I76" s="98" t="str">
        <f t="shared" si="7"/>
        <v/>
      </c>
      <c r="J76" s="97" t="e">
        <f t="shared" si="11"/>
        <v>#NUM!</v>
      </c>
      <c r="K76" s="97" t="e">
        <f t="shared" si="8"/>
        <v>#NUM!</v>
      </c>
      <c r="L76" s="97"/>
      <c r="M76" s="99">
        <f t="shared" si="9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2" customFormat="1" x14ac:dyDescent="0.25">
      <c r="A77" s="100">
        <f t="shared" si="10"/>
        <v>0</v>
      </c>
      <c r="B77" s="40" t="str">
        <f t="shared" si="6"/>
        <v/>
      </c>
      <c r="C77" s="41"/>
      <c r="D77" s="41"/>
      <c r="E77" s="41"/>
      <c r="F77" s="41"/>
      <c r="H77" s="101">
        <v>72</v>
      </c>
      <c r="I77" s="102" t="str">
        <f t="shared" si="7"/>
        <v/>
      </c>
      <c r="J77" s="101" t="e">
        <f t="shared" si="11"/>
        <v>#NUM!</v>
      </c>
      <c r="K77" s="101" t="e">
        <f t="shared" si="8"/>
        <v>#NUM!</v>
      </c>
      <c r="L77" s="101"/>
      <c r="M77" s="103">
        <f t="shared" si="9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2" customFormat="1" x14ac:dyDescent="0.25">
      <c r="A78" s="96">
        <f t="shared" si="10"/>
        <v>0</v>
      </c>
      <c r="B78" s="34" t="str">
        <f t="shared" si="6"/>
        <v/>
      </c>
      <c r="C78" s="35"/>
      <c r="D78" s="35"/>
      <c r="E78" s="35"/>
      <c r="F78" s="35"/>
      <c r="H78" s="97">
        <v>73</v>
      </c>
      <c r="I78" s="98" t="str">
        <f t="shared" si="7"/>
        <v/>
      </c>
      <c r="J78" s="97" t="e">
        <f t="shared" si="11"/>
        <v>#NUM!</v>
      </c>
      <c r="K78" s="97" t="e">
        <f t="shared" si="8"/>
        <v>#NUM!</v>
      </c>
      <c r="L78" s="97"/>
      <c r="M78" s="99">
        <f t="shared" si="9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2" customFormat="1" x14ac:dyDescent="0.25">
      <c r="A79" s="100">
        <f t="shared" si="10"/>
        <v>0</v>
      </c>
      <c r="B79" s="40" t="str">
        <f t="shared" si="6"/>
        <v/>
      </c>
      <c r="C79" s="41"/>
      <c r="D79" s="41"/>
      <c r="E79" s="41"/>
      <c r="F79" s="41"/>
      <c r="H79" s="101">
        <v>74</v>
      </c>
      <c r="I79" s="102" t="str">
        <f t="shared" si="7"/>
        <v/>
      </c>
      <c r="J79" s="101" t="e">
        <f t="shared" si="11"/>
        <v>#NUM!</v>
      </c>
      <c r="K79" s="101" t="e">
        <f t="shared" si="8"/>
        <v>#NUM!</v>
      </c>
      <c r="L79" s="101"/>
      <c r="M79" s="103">
        <f t="shared" si="9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2" customFormat="1" x14ac:dyDescent="0.25">
      <c r="A80" s="96">
        <f t="shared" si="10"/>
        <v>0</v>
      </c>
      <c r="B80" s="34" t="str">
        <f t="shared" si="6"/>
        <v/>
      </c>
      <c r="C80" s="35"/>
      <c r="D80" s="35"/>
      <c r="E80" s="35"/>
      <c r="F80" s="35"/>
      <c r="H80" s="97">
        <v>75</v>
      </c>
      <c r="I80" s="98" t="str">
        <f t="shared" si="7"/>
        <v/>
      </c>
      <c r="J80" s="97" t="e">
        <f t="shared" si="11"/>
        <v>#NUM!</v>
      </c>
      <c r="K80" s="97" t="e">
        <f t="shared" si="8"/>
        <v>#NUM!</v>
      </c>
      <c r="L80" s="97"/>
      <c r="M80" s="99">
        <f t="shared" si="9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2" customFormat="1" x14ac:dyDescent="0.25">
      <c r="A81" s="100">
        <f t="shared" si="10"/>
        <v>0</v>
      </c>
      <c r="B81" s="40" t="str">
        <f t="shared" si="6"/>
        <v/>
      </c>
      <c r="C81" s="41"/>
      <c r="D81" s="41"/>
      <c r="E81" s="41"/>
      <c r="F81" s="41"/>
      <c r="H81" s="101">
        <v>76</v>
      </c>
      <c r="I81" s="102" t="str">
        <f t="shared" si="7"/>
        <v/>
      </c>
      <c r="J81" s="101" t="e">
        <f t="shared" si="11"/>
        <v>#NUM!</v>
      </c>
      <c r="K81" s="101" t="e">
        <f t="shared" si="8"/>
        <v>#NUM!</v>
      </c>
      <c r="L81" s="101"/>
      <c r="M81" s="103">
        <f t="shared" si="9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2" customFormat="1" x14ac:dyDescent="0.25">
      <c r="A82" s="96">
        <f t="shared" si="10"/>
        <v>0</v>
      </c>
      <c r="B82" s="34" t="str">
        <f t="shared" si="6"/>
        <v/>
      </c>
      <c r="C82" s="35"/>
      <c r="D82" s="35"/>
      <c r="E82" s="35"/>
      <c r="F82" s="35"/>
      <c r="H82" s="97">
        <v>77</v>
      </c>
      <c r="I82" s="98" t="str">
        <f t="shared" si="7"/>
        <v/>
      </c>
      <c r="J82" s="97" t="e">
        <f t="shared" si="11"/>
        <v>#NUM!</v>
      </c>
      <c r="K82" s="97" t="e">
        <f t="shared" si="8"/>
        <v>#NUM!</v>
      </c>
      <c r="L82" s="97"/>
      <c r="M82" s="99">
        <f t="shared" si="9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2" customFormat="1" x14ac:dyDescent="0.25">
      <c r="A83" s="100">
        <f t="shared" si="10"/>
        <v>0</v>
      </c>
      <c r="B83" s="40" t="str">
        <f t="shared" si="6"/>
        <v/>
      </c>
      <c r="C83" s="41"/>
      <c r="D83" s="41"/>
      <c r="E83" s="41"/>
      <c r="F83" s="41"/>
      <c r="H83" s="101">
        <v>78</v>
      </c>
      <c r="I83" s="102" t="str">
        <f t="shared" si="7"/>
        <v/>
      </c>
      <c r="J83" s="101" t="e">
        <f t="shared" si="11"/>
        <v>#NUM!</v>
      </c>
      <c r="K83" s="101" t="e">
        <f t="shared" si="8"/>
        <v>#NUM!</v>
      </c>
      <c r="L83" s="101"/>
      <c r="M83" s="103">
        <f t="shared" si="9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2" customFormat="1" x14ac:dyDescent="0.25">
      <c r="A84" s="96">
        <f t="shared" si="10"/>
        <v>0</v>
      </c>
      <c r="B84" s="34" t="str">
        <f t="shared" si="6"/>
        <v/>
      </c>
      <c r="C84" s="35"/>
      <c r="D84" s="35"/>
      <c r="E84" s="35"/>
      <c r="F84" s="35"/>
      <c r="H84" s="97">
        <v>79</v>
      </c>
      <c r="I84" s="98" t="str">
        <f t="shared" si="7"/>
        <v/>
      </c>
      <c r="J84" s="97" t="e">
        <f t="shared" si="11"/>
        <v>#NUM!</v>
      </c>
      <c r="K84" s="97" t="e">
        <f t="shared" si="8"/>
        <v>#NUM!</v>
      </c>
      <c r="L84" s="97"/>
      <c r="M84" s="99">
        <f t="shared" si="9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2" customFormat="1" x14ac:dyDescent="0.25">
      <c r="A85" s="100">
        <f t="shared" si="10"/>
        <v>0</v>
      </c>
      <c r="B85" s="40" t="str">
        <f t="shared" si="6"/>
        <v/>
      </c>
      <c r="C85" s="41"/>
      <c r="D85" s="41"/>
      <c r="E85" s="41"/>
      <c r="F85" s="41"/>
      <c r="H85" s="101">
        <v>80</v>
      </c>
      <c r="I85" s="102" t="str">
        <f t="shared" si="7"/>
        <v/>
      </c>
      <c r="J85" s="101" t="e">
        <f t="shared" si="11"/>
        <v>#NUM!</v>
      </c>
      <c r="K85" s="101" t="e">
        <f t="shared" si="8"/>
        <v>#NUM!</v>
      </c>
      <c r="L85" s="101"/>
      <c r="M85" s="103">
        <f t="shared" si="9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2" customFormat="1" x14ac:dyDescent="0.25">
      <c r="A86" s="96">
        <f t="shared" si="10"/>
        <v>0</v>
      </c>
      <c r="B86" s="34" t="str">
        <f t="shared" si="6"/>
        <v/>
      </c>
      <c r="C86" s="35"/>
      <c r="D86" s="35"/>
      <c r="E86" s="35"/>
      <c r="F86" s="35"/>
      <c r="H86" s="97">
        <v>81</v>
      </c>
      <c r="I86" s="98" t="str">
        <f t="shared" si="7"/>
        <v/>
      </c>
      <c r="J86" s="97" t="e">
        <f t="shared" si="11"/>
        <v>#NUM!</v>
      </c>
      <c r="K86" s="97" t="e">
        <f t="shared" si="8"/>
        <v>#NUM!</v>
      </c>
      <c r="L86" s="97"/>
      <c r="M86" s="99">
        <f t="shared" si="9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2" customFormat="1" x14ac:dyDescent="0.25">
      <c r="A87" s="100">
        <f t="shared" si="10"/>
        <v>0</v>
      </c>
      <c r="B87" s="40" t="str">
        <f t="shared" si="6"/>
        <v/>
      </c>
      <c r="C87" s="41"/>
      <c r="D87" s="41"/>
      <c r="E87" s="41"/>
      <c r="F87" s="41"/>
      <c r="H87" s="101">
        <v>82</v>
      </c>
      <c r="I87" s="102" t="str">
        <f t="shared" si="7"/>
        <v/>
      </c>
      <c r="J87" s="101" t="e">
        <f t="shared" si="11"/>
        <v>#NUM!</v>
      </c>
      <c r="K87" s="101" t="e">
        <f t="shared" si="8"/>
        <v>#NUM!</v>
      </c>
      <c r="L87" s="101"/>
      <c r="M87" s="103">
        <f t="shared" si="9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2" customFormat="1" x14ac:dyDescent="0.25">
      <c r="A88" s="96">
        <f t="shared" si="10"/>
        <v>0</v>
      </c>
      <c r="B88" s="34" t="str">
        <f t="shared" si="6"/>
        <v/>
      </c>
      <c r="C88" s="35"/>
      <c r="D88" s="35"/>
      <c r="E88" s="35"/>
      <c r="F88" s="35"/>
      <c r="H88" s="97">
        <v>83</v>
      </c>
      <c r="I88" s="98" t="str">
        <f t="shared" si="7"/>
        <v/>
      </c>
      <c r="J88" s="97" t="e">
        <f t="shared" si="11"/>
        <v>#NUM!</v>
      </c>
      <c r="K88" s="97" t="e">
        <f t="shared" si="8"/>
        <v>#NUM!</v>
      </c>
      <c r="L88" s="97"/>
      <c r="M88" s="99">
        <f t="shared" si="9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2" customFormat="1" x14ac:dyDescent="0.25">
      <c r="A89" s="100">
        <f t="shared" si="10"/>
        <v>0</v>
      </c>
      <c r="B89" s="40" t="str">
        <f t="shared" si="6"/>
        <v/>
      </c>
      <c r="C89" s="41"/>
      <c r="D89" s="41"/>
      <c r="E89" s="41"/>
      <c r="F89" s="41"/>
      <c r="H89" s="101">
        <v>84</v>
      </c>
      <c r="I89" s="102" t="str">
        <f t="shared" si="7"/>
        <v/>
      </c>
      <c r="J89" s="101" t="e">
        <f t="shared" si="11"/>
        <v>#NUM!</v>
      </c>
      <c r="K89" s="101" t="e">
        <f t="shared" si="8"/>
        <v>#NUM!</v>
      </c>
      <c r="L89" s="101"/>
      <c r="M89" s="103">
        <f t="shared" si="9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2" customFormat="1" x14ac:dyDescent="0.25">
      <c r="A90" s="96">
        <f t="shared" si="10"/>
        <v>0</v>
      </c>
      <c r="B90" s="34" t="str">
        <f t="shared" si="6"/>
        <v/>
      </c>
      <c r="C90" s="35"/>
      <c r="D90" s="35"/>
      <c r="E90" s="35"/>
      <c r="F90" s="35"/>
      <c r="H90" s="97">
        <v>85</v>
      </c>
      <c r="I90" s="98" t="str">
        <f t="shared" si="7"/>
        <v/>
      </c>
      <c r="J90" s="97" t="e">
        <f t="shared" si="11"/>
        <v>#NUM!</v>
      </c>
      <c r="K90" s="97" t="e">
        <f t="shared" si="8"/>
        <v>#NUM!</v>
      </c>
      <c r="L90" s="97"/>
      <c r="M90" s="99">
        <f t="shared" si="9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2" customFormat="1" x14ac:dyDescent="0.25">
      <c r="A91" s="100">
        <f t="shared" si="10"/>
        <v>0</v>
      </c>
      <c r="B91" s="40" t="str">
        <f t="shared" si="6"/>
        <v/>
      </c>
      <c r="C91" s="41"/>
      <c r="D91" s="41"/>
      <c r="E91" s="41"/>
      <c r="F91" s="41"/>
      <c r="H91" s="101">
        <v>86</v>
      </c>
      <c r="I91" s="102" t="str">
        <f t="shared" si="7"/>
        <v/>
      </c>
      <c r="J91" s="101" t="e">
        <f t="shared" si="11"/>
        <v>#NUM!</v>
      </c>
      <c r="K91" s="101" t="e">
        <f t="shared" si="8"/>
        <v>#NUM!</v>
      </c>
      <c r="L91" s="101"/>
      <c r="M91" s="103">
        <f t="shared" si="9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2" customFormat="1" x14ac:dyDescent="0.25">
      <c r="A92" s="96">
        <f t="shared" si="10"/>
        <v>0</v>
      </c>
      <c r="B92" s="34" t="str">
        <f t="shared" si="6"/>
        <v/>
      </c>
      <c r="C92" s="35"/>
      <c r="D92" s="35"/>
      <c r="E92" s="35"/>
      <c r="F92" s="35"/>
      <c r="H92" s="97">
        <v>87</v>
      </c>
      <c r="I92" s="98" t="str">
        <f t="shared" si="7"/>
        <v/>
      </c>
      <c r="J92" s="97" t="e">
        <f t="shared" si="11"/>
        <v>#NUM!</v>
      </c>
      <c r="K92" s="97" t="e">
        <f t="shared" si="8"/>
        <v>#NUM!</v>
      </c>
      <c r="L92" s="97"/>
      <c r="M92" s="99">
        <f t="shared" si="9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2" customFormat="1" x14ac:dyDescent="0.25">
      <c r="A93" s="100">
        <f t="shared" si="10"/>
        <v>0</v>
      </c>
      <c r="B93" s="40" t="str">
        <f t="shared" si="6"/>
        <v/>
      </c>
      <c r="C93" s="41"/>
      <c r="D93" s="41"/>
      <c r="E93" s="41"/>
      <c r="F93" s="41"/>
      <c r="H93" s="101">
        <v>88</v>
      </c>
      <c r="I93" s="102" t="str">
        <f t="shared" si="7"/>
        <v/>
      </c>
      <c r="J93" s="101" t="e">
        <f t="shared" si="11"/>
        <v>#NUM!</v>
      </c>
      <c r="K93" s="101" t="e">
        <f t="shared" si="8"/>
        <v>#NUM!</v>
      </c>
      <c r="L93" s="101"/>
      <c r="M93" s="103">
        <f t="shared" si="9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2" customFormat="1" x14ac:dyDescent="0.25">
      <c r="A94" s="96">
        <f t="shared" si="10"/>
        <v>0</v>
      </c>
      <c r="B94" s="34" t="str">
        <f t="shared" si="6"/>
        <v/>
      </c>
      <c r="C94" s="35"/>
      <c r="D94" s="35"/>
      <c r="E94" s="35"/>
      <c r="F94" s="35"/>
      <c r="H94" s="97">
        <v>89</v>
      </c>
      <c r="I94" s="98" t="str">
        <f t="shared" si="7"/>
        <v/>
      </c>
      <c r="J94" s="97" t="e">
        <f t="shared" si="11"/>
        <v>#NUM!</v>
      </c>
      <c r="K94" s="97" t="e">
        <f t="shared" si="8"/>
        <v>#NUM!</v>
      </c>
      <c r="L94" s="97"/>
      <c r="M94" s="99">
        <f t="shared" si="9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2" customFormat="1" x14ac:dyDescent="0.25">
      <c r="A95" s="100">
        <f t="shared" si="10"/>
        <v>0</v>
      </c>
      <c r="B95" s="40" t="str">
        <f t="shared" si="6"/>
        <v/>
      </c>
      <c r="C95" s="41"/>
      <c r="D95" s="41"/>
      <c r="E95" s="41"/>
      <c r="F95" s="41"/>
      <c r="H95" s="101">
        <v>90</v>
      </c>
      <c r="I95" s="102" t="str">
        <f t="shared" si="7"/>
        <v/>
      </c>
      <c r="J95" s="101" t="e">
        <f t="shared" si="11"/>
        <v>#NUM!</v>
      </c>
      <c r="K95" s="101" t="e">
        <f t="shared" si="8"/>
        <v>#NUM!</v>
      </c>
      <c r="L95" s="101"/>
      <c r="M95" s="103">
        <f t="shared" si="9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2" customFormat="1" x14ac:dyDescent="0.25">
      <c r="A96" s="96">
        <f t="shared" si="10"/>
        <v>0</v>
      </c>
      <c r="B96" s="34" t="str">
        <f t="shared" si="6"/>
        <v/>
      </c>
      <c r="C96" s="35"/>
      <c r="D96" s="35"/>
      <c r="E96" s="35"/>
      <c r="F96" s="35"/>
      <c r="H96" s="97">
        <v>91</v>
      </c>
      <c r="I96" s="98" t="str">
        <f t="shared" si="7"/>
        <v/>
      </c>
      <c r="J96" s="97" t="e">
        <f t="shared" si="11"/>
        <v>#NUM!</v>
      </c>
      <c r="K96" s="97" t="e">
        <f t="shared" si="8"/>
        <v>#NUM!</v>
      </c>
      <c r="L96" s="97"/>
      <c r="M96" s="99">
        <f t="shared" si="9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2" customFormat="1" x14ac:dyDescent="0.25">
      <c r="A97" s="100">
        <f t="shared" si="10"/>
        <v>0</v>
      </c>
      <c r="B97" s="40" t="str">
        <f t="shared" si="6"/>
        <v/>
      </c>
      <c r="C97" s="41"/>
      <c r="D97" s="41"/>
      <c r="E97" s="41"/>
      <c r="F97" s="41"/>
      <c r="H97" s="101">
        <v>92</v>
      </c>
      <c r="I97" s="102" t="str">
        <f t="shared" si="7"/>
        <v/>
      </c>
      <c r="J97" s="101" t="e">
        <f t="shared" si="11"/>
        <v>#NUM!</v>
      </c>
      <c r="K97" s="101" t="e">
        <f t="shared" si="8"/>
        <v>#NUM!</v>
      </c>
      <c r="L97" s="101"/>
      <c r="M97" s="103">
        <f t="shared" si="9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2" customFormat="1" x14ac:dyDescent="0.25">
      <c r="A98" s="96">
        <f t="shared" si="10"/>
        <v>0</v>
      </c>
      <c r="B98" s="34" t="str">
        <f t="shared" si="6"/>
        <v/>
      </c>
      <c r="C98" s="35"/>
      <c r="D98" s="35"/>
      <c r="E98" s="35"/>
      <c r="F98" s="35"/>
      <c r="H98" s="97">
        <v>93</v>
      </c>
      <c r="I98" s="98" t="str">
        <f t="shared" si="7"/>
        <v/>
      </c>
      <c r="J98" s="97" t="e">
        <f t="shared" si="11"/>
        <v>#NUM!</v>
      </c>
      <c r="K98" s="97" t="e">
        <f t="shared" si="8"/>
        <v>#NUM!</v>
      </c>
      <c r="L98" s="97"/>
      <c r="M98" s="99">
        <f t="shared" si="9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2" customFormat="1" x14ac:dyDescent="0.25">
      <c r="A99" s="100">
        <f t="shared" si="10"/>
        <v>0</v>
      </c>
      <c r="B99" s="40" t="str">
        <f t="shared" si="6"/>
        <v/>
      </c>
      <c r="C99" s="41"/>
      <c r="D99" s="41"/>
      <c r="E99" s="41"/>
      <c r="F99" s="41"/>
      <c r="H99" s="101">
        <v>94</v>
      </c>
      <c r="I99" s="102" t="str">
        <f t="shared" si="7"/>
        <v/>
      </c>
      <c r="J99" s="101" t="e">
        <f t="shared" si="11"/>
        <v>#NUM!</v>
      </c>
      <c r="K99" s="101" t="e">
        <f t="shared" si="8"/>
        <v>#NUM!</v>
      </c>
      <c r="L99" s="101"/>
      <c r="M99" s="103">
        <f t="shared" si="9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2" customFormat="1" x14ac:dyDescent="0.25">
      <c r="A100" s="96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97">
        <v>95</v>
      </c>
      <c r="I100" s="98" t="str">
        <f t="shared" si="7"/>
        <v/>
      </c>
      <c r="J100" s="97" t="e">
        <f t="shared" si="11"/>
        <v>#NUM!</v>
      </c>
      <c r="K100" s="97" t="e">
        <f t="shared" si="8"/>
        <v>#NUM!</v>
      </c>
      <c r="L100" s="97"/>
      <c r="M100" s="99">
        <f t="shared" si="9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2" customFormat="1" x14ac:dyDescent="0.25">
      <c r="A101" s="100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01">
        <v>96</v>
      </c>
      <c r="I101" s="102" t="str">
        <f t="shared" si="7"/>
        <v/>
      </c>
      <c r="J101" s="101" t="e">
        <f t="shared" si="11"/>
        <v>#NUM!</v>
      </c>
      <c r="K101" s="101" t="e">
        <f t="shared" si="8"/>
        <v>#NUM!</v>
      </c>
      <c r="L101" s="101"/>
      <c r="M101" s="103">
        <f t="shared" si="9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2" customFormat="1" x14ac:dyDescent="0.25">
      <c r="A102" s="96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97">
        <v>97</v>
      </c>
      <c r="I102" s="98" t="str">
        <f t="shared" si="7"/>
        <v/>
      </c>
      <c r="J102" s="97" t="e">
        <f t="shared" si="11"/>
        <v>#NUM!</v>
      </c>
      <c r="K102" s="97" t="e">
        <f t="shared" si="8"/>
        <v>#NUM!</v>
      </c>
      <c r="L102" s="97"/>
      <c r="M102" s="99">
        <f t="shared" si="9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2" customFormat="1" x14ac:dyDescent="0.25">
      <c r="A103" s="100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01">
        <v>98</v>
      </c>
      <c r="I103" s="102" t="str">
        <f t="shared" si="7"/>
        <v/>
      </c>
      <c r="J103" s="101" t="e">
        <f t="shared" si="11"/>
        <v>#NUM!</v>
      </c>
      <c r="K103" s="101" t="e">
        <f t="shared" si="8"/>
        <v>#NUM!</v>
      </c>
      <c r="L103" s="101"/>
      <c r="M103" s="103">
        <f t="shared" si="9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2" customFormat="1" x14ac:dyDescent="0.25">
      <c r="A104" s="96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97">
        <v>99</v>
      </c>
      <c r="I104" s="98" t="str">
        <f t="shared" si="7"/>
        <v/>
      </c>
      <c r="J104" s="97" t="e">
        <f t="shared" si="11"/>
        <v>#NUM!</v>
      </c>
      <c r="K104" s="97" t="e">
        <f t="shared" si="8"/>
        <v>#NUM!</v>
      </c>
      <c r="L104" s="97"/>
      <c r="M104" s="99">
        <f t="shared" si="9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2" customFormat="1" x14ac:dyDescent="0.25">
      <c r="A105" s="100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01">
        <v>100</v>
      </c>
      <c r="I105" s="102" t="str">
        <f t="shared" si="7"/>
        <v/>
      </c>
      <c r="J105" s="101" t="e">
        <f t="shared" si="11"/>
        <v>#NUM!</v>
      </c>
      <c r="K105" s="101" t="e">
        <f t="shared" si="8"/>
        <v>#NUM!</v>
      </c>
      <c r="L105" s="101"/>
      <c r="M105" s="103">
        <f t="shared" si="9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2" customFormat="1" x14ac:dyDescent="0.25">
      <c r="A106" s="96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97">
        <v>101</v>
      </c>
      <c r="I106" s="98" t="str">
        <f t="shared" si="7"/>
        <v/>
      </c>
      <c r="J106" s="97" t="e">
        <f t="shared" si="11"/>
        <v>#NUM!</v>
      </c>
      <c r="K106" s="97" t="e">
        <f t="shared" si="8"/>
        <v>#NUM!</v>
      </c>
      <c r="L106" s="97"/>
      <c r="M106" s="99">
        <f t="shared" si="9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2" customFormat="1" x14ac:dyDescent="0.25">
      <c r="A107" s="100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01">
        <v>102</v>
      </c>
      <c r="I107" s="102" t="str">
        <f t="shared" si="7"/>
        <v/>
      </c>
      <c r="J107" s="101" t="e">
        <f t="shared" si="11"/>
        <v>#NUM!</v>
      </c>
      <c r="K107" s="101" t="e">
        <f t="shared" si="8"/>
        <v>#NUM!</v>
      </c>
      <c r="L107" s="101"/>
      <c r="M107" s="103">
        <f t="shared" si="9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2" customFormat="1" x14ac:dyDescent="0.25">
      <c r="A108" s="96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97">
        <v>103</v>
      </c>
      <c r="I108" s="98" t="str">
        <f t="shared" si="7"/>
        <v/>
      </c>
      <c r="J108" s="97" t="e">
        <f t="shared" si="11"/>
        <v>#NUM!</v>
      </c>
      <c r="K108" s="97" t="e">
        <f t="shared" si="8"/>
        <v>#NUM!</v>
      </c>
      <c r="L108" s="97"/>
      <c r="M108" s="99">
        <f t="shared" si="9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2" customFormat="1" x14ac:dyDescent="0.25">
      <c r="A109" s="100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01">
        <v>104</v>
      </c>
      <c r="I109" s="102" t="str">
        <f t="shared" si="7"/>
        <v/>
      </c>
      <c r="J109" s="101" t="e">
        <f t="shared" si="11"/>
        <v>#NUM!</v>
      </c>
      <c r="K109" s="101" t="e">
        <f t="shared" si="8"/>
        <v>#NUM!</v>
      </c>
      <c r="L109" s="101"/>
      <c r="M109" s="103">
        <f t="shared" si="9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2" customFormat="1" x14ac:dyDescent="0.25">
      <c r="A110" s="96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97">
        <v>105</v>
      </c>
      <c r="I110" s="98" t="str">
        <f t="shared" si="7"/>
        <v/>
      </c>
      <c r="J110" s="97" t="e">
        <f t="shared" si="11"/>
        <v>#NUM!</v>
      </c>
      <c r="K110" s="97" t="e">
        <f t="shared" si="8"/>
        <v>#NUM!</v>
      </c>
      <c r="L110" s="97"/>
      <c r="M110" s="99">
        <f t="shared" si="9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2" customFormat="1" x14ac:dyDescent="0.25">
      <c r="A111" s="100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01">
        <v>106</v>
      </c>
      <c r="I111" s="102" t="str">
        <f t="shared" si="7"/>
        <v/>
      </c>
      <c r="J111" s="101" t="e">
        <f t="shared" si="11"/>
        <v>#NUM!</v>
      </c>
      <c r="K111" s="101" t="e">
        <f t="shared" si="8"/>
        <v>#NUM!</v>
      </c>
      <c r="L111" s="101"/>
      <c r="M111" s="103">
        <f t="shared" si="9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2" customFormat="1" x14ac:dyDescent="0.25">
      <c r="A112" s="96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97">
        <v>107</v>
      </c>
      <c r="I112" s="98" t="str">
        <f t="shared" si="7"/>
        <v/>
      </c>
      <c r="J112" s="97" t="e">
        <f t="shared" si="11"/>
        <v>#NUM!</v>
      </c>
      <c r="K112" s="97" t="e">
        <f t="shared" si="8"/>
        <v>#NUM!</v>
      </c>
      <c r="L112" s="97"/>
      <c r="M112" s="99">
        <f t="shared" si="9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2" customFormat="1" x14ac:dyDescent="0.25">
      <c r="A113" s="100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01">
        <v>108</v>
      </c>
      <c r="I113" s="102" t="str">
        <f t="shared" si="7"/>
        <v/>
      </c>
      <c r="J113" s="101" t="e">
        <f t="shared" si="11"/>
        <v>#NUM!</v>
      </c>
      <c r="K113" s="101" t="e">
        <f t="shared" si="8"/>
        <v>#NUM!</v>
      </c>
      <c r="L113" s="101"/>
      <c r="M113" s="103">
        <f t="shared" si="9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2" customFormat="1" x14ac:dyDescent="0.25">
      <c r="A114" s="96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97">
        <v>109</v>
      </c>
      <c r="I114" s="98" t="str">
        <f t="shared" si="7"/>
        <v/>
      </c>
      <c r="J114" s="97" t="e">
        <f t="shared" si="11"/>
        <v>#NUM!</v>
      </c>
      <c r="K114" s="97" t="e">
        <f t="shared" si="8"/>
        <v>#NUM!</v>
      </c>
      <c r="L114" s="97"/>
      <c r="M114" s="99">
        <f t="shared" si="9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2" customFormat="1" x14ac:dyDescent="0.25">
      <c r="A115" s="100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01">
        <v>110</v>
      </c>
      <c r="I115" s="102" t="str">
        <f t="shared" si="7"/>
        <v/>
      </c>
      <c r="J115" s="101" t="e">
        <f t="shared" si="11"/>
        <v>#NUM!</v>
      </c>
      <c r="K115" s="101" t="e">
        <f t="shared" si="8"/>
        <v>#NUM!</v>
      </c>
      <c r="L115" s="101"/>
      <c r="M115" s="103">
        <f t="shared" si="9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2" customFormat="1" x14ac:dyDescent="0.25">
      <c r="A116" s="96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97">
        <v>111</v>
      </c>
      <c r="I116" s="98" t="str">
        <f t="shared" si="7"/>
        <v/>
      </c>
      <c r="J116" s="97" t="e">
        <f t="shared" si="11"/>
        <v>#NUM!</v>
      </c>
      <c r="K116" s="97" t="e">
        <f t="shared" si="8"/>
        <v>#NUM!</v>
      </c>
      <c r="L116" s="97"/>
      <c r="M116" s="99">
        <f t="shared" si="9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2" customFormat="1" x14ac:dyDescent="0.25">
      <c r="A117" s="100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01">
        <v>112</v>
      </c>
      <c r="I117" s="102" t="str">
        <f t="shared" si="7"/>
        <v/>
      </c>
      <c r="J117" s="101" t="e">
        <f t="shared" si="11"/>
        <v>#NUM!</v>
      </c>
      <c r="K117" s="101" t="e">
        <f t="shared" si="8"/>
        <v>#NUM!</v>
      </c>
      <c r="L117" s="101"/>
      <c r="M117" s="103">
        <f t="shared" si="9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2" customFormat="1" x14ac:dyDescent="0.25">
      <c r="A118" s="96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97">
        <v>113</v>
      </c>
      <c r="I118" s="98" t="str">
        <f t="shared" si="7"/>
        <v/>
      </c>
      <c r="J118" s="97" t="e">
        <f t="shared" si="11"/>
        <v>#NUM!</v>
      </c>
      <c r="K118" s="97" t="e">
        <f t="shared" si="8"/>
        <v>#NUM!</v>
      </c>
      <c r="L118" s="97"/>
      <c r="M118" s="99">
        <f t="shared" si="9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2" customFormat="1" x14ac:dyDescent="0.25">
      <c r="A119" s="100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01">
        <v>114</v>
      </c>
      <c r="I119" s="102" t="str">
        <f t="shared" si="7"/>
        <v/>
      </c>
      <c r="J119" s="101" t="e">
        <f t="shared" si="11"/>
        <v>#NUM!</v>
      </c>
      <c r="K119" s="101" t="e">
        <f t="shared" si="8"/>
        <v>#NUM!</v>
      </c>
      <c r="L119" s="101"/>
      <c r="M119" s="103">
        <f t="shared" si="9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2" customFormat="1" x14ac:dyDescent="0.25">
      <c r="A120" s="96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97">
        <v>115</v>
      </c>
      <c r="I120" s="98" t="str">
        <f t="shared" si="7"/>
        <v/>
      </c>
      <c r="J120" s="97" t="e">
        <f t="shared" si="11"/>
        <v>#NUM!</v>
      </c>
      <c r="K120" s="97" t="e">
        <f t="shared" si="8"/>
        <v>#NUM!</v>
      </c>
      <c r="L120" s="97"/>
      <c r="M120" s="99">
        <f t="shared" si="9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2" customFormat="1" x14ac:dyDescent="0.25">
      <c r="A121" s="100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01">
        <v>116</v>
      </c>
      <c r="I121" s="102" t="str">
        <f t="shared" si="7"/>
        <v/>
      </c>
      <c r="J121" s="101" t="e">
        <f t="shared" si="11"/>
        <v>#NUM!</v>
      </c>
      <c r="K121" s="101" t="e">
        <f t="shared" si="8"/>
        <v>#NUM!</v>
      </c>
      <c r="L121" s="101"/>
      <c r="M121" s="103">
        <f t="shared" si="9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2" customFormat="1" x14ac:dyDescent="0.25">
      <c r="A122" s="96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97">
        <v>117</v>
      </c>
      <c r="I122" s="98" t="str">
        <f t="shared" si="7"/>
        <v/>
      </c>
      <c r="J122" s="97" t="e">
        <f t="shared" si="11"/>
        <v>#NUM!</v>
      </c>
      <c r="K122" s="97" t="e">
        <f t="shared" si="8"/>
        <v>#NUM!</v>
      </c>
      <c r="L122" s="97"/>
      <c r="M122" s="99">
        <f t="shared" si="9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2" customFormat="1" x14ac:dyDescent="0.25">
      <c r="A123" s="100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01">
        <v>118</v>
      </c>
      <c r="I123" s="102" t="str">
        <f t="shared" si="7"/>
        <v/>
      </c>
      <c r="J123" s="101" t="e">
        <f t="shared" si="11"/>
        <v>#NUM!</v>
      </c>
      <c r="K123" s="101" t="e">
        <f t="shared" si="8"/>
        <v>#NUM!</v>
      </c>
      <c r="L123" s="101"/>
      <c r="M123" s="103">
        <f t="shared" si="9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2" customFormat="1" x14ac:dyDescent="0.25">
      <c r="A124" s="96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97">
        <v>119</v>
      </c>
      <c r="I124" s="98" t="str">
        <f t="shared" si="7"/>
        <v/>
      </c>
      <c r="J124" s="97" t="e">
        <f t="shared" si="11"/>
        <v>#NUM!</v>
      </c>
      <c r="K124" s="97" t="e">
        <f t="shared" si="8"/>
        <v>#NUM!</v>
      </c>
      <c r="L124" s="97"/>
      <c r="M124" s="99">
        <f t="shared" si="9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2" customFormat="1" x14ac:dyDescent="0.25">
      <c r="A125" s="100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01">
        <v>120</v>
      </c>
      <c r="I125" s="102" t="str">
        <f t="shared" si="7"/>
        <v/>
      </c>
      <c r="J125" s="101" t="e">
        <f t="shared" si="11"/>
        <v>#NUM!</v>
      </c>
      <c r="K125" s="101" t="e">
        <f t="shared" si="8"/>
        <v>#NUM!</v>
      </c>
      <c r="L125" s="101"/>
      <c r="M125" s="103">
        <f t="shared" si="9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2" customFormat="1" x14ac:dyDescent="0.25">
      <c r="A126" s="96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97">
        <v>121</v>
      </c>
      <c r="I126" s="98" t="str">
        <f t="shared" si="7"/>
        <v/>
      </c>
      <c r="J126" s="97" t="e">
        <f t="shared" si="11"/>
        <v>#NUM!</v>
      </c>
      <c r="K126" s="97" t="e">
        <f t="shared" si="8"/>
        <v>#NUM!</v>
      </c>
      <c r="L126" s="97"/>
      <c r="M126" s="99">
        <f t="shared" si="9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2" customFormat="1" x14ac:dyDescent="0.25">
      <c r="A127" s="100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01">
        <v>122</v>
      </c>
      <c r="I127" s="102" t="str">
        <f t="shared" si="7"/>
        <v/>
      </c>
      <c r="J127" s="101" t="e">
        <f t="shared" si="11"/>
        <v>#NUM!</v>
      </c>
      <c r="K127" s="101" t="e">
        <f t="shared" si="8"/>
        <v>#NUM!</v>
      </c>
      <c r="L127" s="101"/>
      <c r="M127" s="103">
        <f t="shared" si="9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2" customFormat="1" x14ac:dyDescent="0.25">
      <c r="A128" s="96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97">
        <v>123</v>
      </c>
      <c r="I128" s="98" t="str">
        <f t="shared" si="7"/>
        <v/>
      </c>
      <c r="J128" s="97" t="e">
        <f t="shared" si="11"/>
        <v>#NUM!</v>
      </c>
      <c r="K128" s="97" t="e">
        <f t="shared" si="8"/>
        <v>#NUM!</v>
      </c>
      <c r="L128" s="97"/>
      <c r="M128" s="99">
        <f t="shared" si="9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2" customFormat="1" x14ac:dyDescent="0.25">
      <c r="A129" s="100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01">
        <v>124</v>
      </c>
      <c r="I129" s="102" t="str">
        <f t="shared" si="7"/>
        <v/>
      </c>
      <c r="J129" s="101" t="e">
        <f t="shared" si="11"/>
        <v>#NUM!</v>
      </c>
      <c r="K129" s="101" t="e">
        <f t="shared" si="8"/>
        <v>#NUM!</v>
      </c>
      <c r="L129" s="101"/>
      <c r="M129" s="103">
        <f t="shared" si="9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2" customFormat="1" x14ac:dyDescent="0.25">
      <c r="A130" s="96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97">
        <v>125</v>
      </c>
      <c r="I130" s="98" t="str">
        <f t="shared" si="7"/>
        <v/>
      </c>
      <c r="J130" s="97" t="e">
        <f t="shared" si="11"/>
        <v>#NUM!</v>
      </c>
      <c r="K130" s="97" t="e">
        <f t="shared" si="8"/>
        <v>#NUM!</v>
      </c>
      <c r="L130" s="97"/>
      <c r="M130" s="99">
        <f t="shared" si="9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2" customFormat="1" x14ac:dyDescent="0.25">
      <c r="A131" s="100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01">
        <v>126</v>
      </c>
      <c r="I131" s="102" t="str">
        <f t="shared" si="7"/>
        <v/>
      </c>
      <c r="J131" s="101" t="e">
        <f t="shared" si="11"/>
        <v>#NUM!</v>
      </c>
      <c r="K131" s="101" t="e">
        <f t="shared" si="8"/>
        <v>#NUM!</v>
      </c>
      <c r="L131" s="101"/>
      <c r="M131" s="103">
        <f t="shared" si="9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2" customFormat="1" x14ac:dyDescent="0.25">
      <c r="A132" s="96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97">
        <v>127</v>
      </c>
      <c r="I132" s="98" t="str">
        <f t="shared" si="7"/>
        <v/>
      </c>
      <c r="J132" s="97" t="e">
        <f t="shared" si="11"/>
        <v>#NUM!</v>
      </c>
      <c r="K132" s="97" t="e">
        <f t="shared" si="8"/>
        <v>#NUM!</v>
      </c>
      <c r="L132" s="97"/>
      <c r="M132" s="99">
        <f t="shared" si="9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2" customFormat="1" x14ac:dyDescent="0.25">
      <c r="A133" s="100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01">
        <v>128</v>
      </c>
      <c r="I133" s="102" t="str">
        <f t="shared" si="7"/>
        <v/>
      </c>
      <c r="J133" s="101" t="e">
        <f t="shared" si="11"/>
        <v>#NUM!</v>
      </c>
      <c r="K133" s="101" t="e">
        <f t="shared" si="8"/>
        <v>#NUM!</v>
      </c>
      <c r="L133" s="101"/>
      <c r="M133" s="103">
        <f t="shared" si="9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2" customFormat="1" x14ac:dyDescent="0.25">
      <c r="A134" s="96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97">
        <v>129</v>
      </c>
      <c r="I134" s="98" t="str">
        <f t="shared" ref="I134:I197" si="13">IF(H134&lt;$H$2+1,($I$2-($I$2-1)*(LOG(H134)/LOG($H$2))),"")</f>
        <v/>
      </c>
      <c r="J134" s="97" t="e">
        <f t="shared" si="11"/>
        <v>#NUM!</v>
      </c>
      <c r="K134" s="97" t="e">
        <f t="shared" ref="K134:K197" si="14">J134*$J$2</f>
        <v>#NUM!</v>
      </c>
      <c r="L134" s="97"/>
      <c r="M134" s="99">
        <f t="shared" ref="M134:M197" si="15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2" customFormat="1" x14ac:dyDescent="0.25">
      <c r="A135" s="100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01">
        <v>130</v>
      </c>
      <c r="I135" s="102" t="str">
        <f t="shared" si="13"/>
        <v/>
      </c>
      <c r="J135" s="101" t="e">
        <f t="shared" ref="J135:J198" si="17">INT(LOG($H$2,2))-ROUNDUP(LOG(H135,2),0)+IF(OR($H$2=1,$H$2=2,$H$2=4,$H$2=8,$H$2=16,$H$2=32,$H$2=64,$H$2=128,$H$2=256),0,1)</f>
        <v>#NUM!</v>
      </c>
      <c r="K135" s="101" t="e">
        <f t="shared" si="14"/>
        <v>#NUM!</v>
      </c>
      <c r="L135" s="101"/>
      <c r="M135" s="103">
        <f t="shared" si="15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2" customFormat="1" x14ac:dyDescent="0.25">
      <c r="A136" s="96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97">
        <v>131</v>
      </c>
      <c r="I136" s="98" t="str">
        <f t="shared" si="13"/>
        <v/>
      </c>
      <c r="J136" s="97" t="e">
        <f t="shared" si="17"/>
        <v>#NUM!</v>
      </c>
      <c r="K136" s="97" t="e">
        <f t="shared" si="14"/>
        <v>#NUM!</v>
      </c>
      <c r="L136" s="97"/>
      <c r="M136" s="99">
        <f t="shared" si="15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2" customFormat="1" x14ac:dyDescent="0.25">
      <c r="A137" s="100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01">
        <v>132</v>
      </c>
      <c r="I137" s="102" t="str">
        <f t="shared" si="13"/>
        <v/>
      </c>
      <c r="J137" s="101" t="e">
        <f t="shared" si="17"/>
        <v>#NUM!</v>
      </c>
      <c r="K137" s="101" t="e">
        <f t="shared" si="14"/>
        <v>#NUM!</v>
      </c>
      <c r="L137" s="101"/>
      <c r="M137" s="103">
        <f t="shared" si="15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2" customFormat="1" x14ac:dyDescent="0.25">
      <c r="A138" s="96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97">
        <v>133</v>
      </c>
      <c r="I138" s="98" t="str">
        <f t="shared" si="13"/>
        <v/>
      </c>
      <c r="J138" s="97" t="e">
        <f t="shared" si="17"/>
        <v>#NUM!</v>
      </c>
      <c r="K138" s="97" t="e">
        <f t="shared" si="14"/>
        <v>#NUM!</v>
      </c>
      <c r="L138" s="97"/>
      <c r="M138" s="99">
        <f t="shared" si="15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2" customFormat="1" x14ac:dyDescent="0.25">
      <c r="A139" s="100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01">
        <v>134</v>
      </c>
      <c r="I139" s="102" t="str">
        <f t="shared" si="13"/>
        <v/>
      </c>
      <c r="J139" s="101" t="e">
        <f t="shared" si="17"/>
        <v>#NUM!</v>
      </c>
      <c r="K139" s="101" t="e">
        <f t="shared" si="14"/>
        <v>#NUM!</v>
      </c>
      <c r="L139" s="101"/>
      <c r="M139" s="103">
        <f t="shared" si="15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2" customFormat="1" x14ac:dyDescent="0.25">
      <c r="A140" s="96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97">
        <v>135</v>
      </c>
      <c r="I140" s="98" t="str">
        <f t="shared" si="13"/>
        <v/>
      </c>
      <c r="J140" s="97" t="e">
        <f t="shared" si="17"/>
        <v>#NUM!</v>
      </c>
      <c r="K140" s="97" t="e">
        <f t="shared" si="14"/>
        <v>#NUM!</v>
      </c>
      <c r="L140" s="97"/>
      <c r="M140" s="99">
        <f t="shared" si="15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x14ac:dyDescent="0.25">
      <c r="A141" s="118"/>
      <c r="G141" s="82"/>
      <c r="H141" s="101">
        <v>136</v>
      </c>
      <c r="I141" s="98" t="str">
        <f t="shared" si="13"/>
        <v/>
      </c>
      <c r="J141" s="97" t="e">
        <f t="shared" si="17"/>
        <v>#NUM!</v>
      </c>
      <c r="K141" s="97" t="e">
        <f t="shared" si="14"/>
        <v>#NUM!</v>
      </c>
      <c r="L141" s="97"/>
      <c r="M141" s="99">
        <f t="shared" si="15"/>
        <v>0</v>
      </c>
    </row>
    <row r="142" spans="1:38" x14ac:dyDescent="0.25">
      <c r="A142" s="118"/>
      <c r="G142" s="82"/>
      <c r="H142" s="97">
        <v>137</v>
      </c>
      <c r="I142" s="98" t="str">
        <f t="shared" si="13"/>
        <v/>
      </c>
      <c r="J142" s="97" t="e">
        <f t="shared" si="17"/>
        <v>#NUM!</v>
      </c>
      <c r="K142" s="97" t="e">
        <f t="shared" si="14"/>
        <v>#NUM!</v>
      </c>
      <c r="L142" s="97"/>
      <c r="M142" s="99">
        <f t="shared" si="15"/>
        <v>0</v>
      </c>
    </row>
    <row r="143" spans="1:38" x14ac:dyDescent="0.25">
      <c r="A143" s="118"/>
      <c r="G143" s="82"/>
      <c r="H143" s="101">
        <v>138</v>
      </c>
      <c r="I143" s="98" t="str">
        <f t="shared" si="13"/>
        <v/>
      </c>
      <c r="J143" s="97" t="e">
        <f t="shared" si="17"/>
        <v>#NUM!</v>
      </c>
      <c r="K143" s="97" t="e">
        <f t="shared" si="14"/>
        <v>#NUM!</v>
      </c>
      <c r="L143" s="97"/>
      <c r="M143" s="99">
        <f t="shared" si="15"/>
        <v>0</v>
      </c>
    </row>
    <row r="144" spans="1:38" x14ac:dyDescent="0.25">
      <c r="A144" s="118"/>
      <c r="G144" s="82"/>
      <c r="H144" s="97">
        <v>139</v>
      </c>
      <c r="I144" s="98" t="str">
        <f t="shared" si="13"/>
        <v/>
      </c>
      <c r="J144" s="97" t="e">
        <f t="shared" si="17"/>
        <v>#NUM!</v>
      </c>
      <c r="K144" s="97" t="e">
        <f t="shared" si="14"/>
        <v>#NUM!</v>
      </c>
      <c r="L144" s="97"/>
      <c r="M144" s="99">
        <f t="shared" si="15"/>
        <v>0</v>
      </c>
    </row>
    <row r="145" spans="1:13" x14ac:dyDescent="0.25">
      <c r="A145" s="118"/>
      <c r="G145" s="82"/>
      <c r="H145" s="101">
        <v>140</v>
      </c>
      <c r="I145" s="98" t="str">
        <f t="shared" si="13"/>
        <v/>
      </c>
      <c r="J145" s="97" t="e">
        <f t="shared" si="17"/>
        <v>#NUM!</v>
      </c>
      <c r="K145" s="97" t="e">
        <f t="shared" si="14"/>
        <v>#NUM!</v>
      </c>
      <c r="L145" s="97"/>
      <c r="M145" s="99">
        <f t="shared" si="15"/>
        <v>0</v>
      </c>
    </row>
    <row r="146" spans="1:13" x14ac:dyDescent="0.25">
      <c r="A146" s="118"/>
      <c r="G146" s="82"/>
      <c r="H146" s="97">
        <v>141</v>
      </c>
      <c r="I146" s="98" t="str">
        <f t="shared" si="13"/>
        <v/>
      </c>
      <c r="J146" s="97" t="e">
        <f t="shared" si="17"/>
        <v>#NUM!</v>
      </c>
      <c r="K146" s="97" t="e">
        <f t="shared" si="14"/>
        <v>#NUM!</v>
      </c>
      <c r="L146" s="97"/>
      <c r="M146" s="99">
        <f t="shared" si="15"/>
        <v>0</v>
      </c>
    </row>
    <row r="147" spans="1:13" x14ac:dyDescent="0.25">
      <c r="A147" s="118"/>
      <c r="G147" s="82"/>
      <c r="H147" s="101">
        <v>142</v>
      </c>
      <c r="I147" s="98" t="str">
        <f t="shared" si="13"/>
        <v/>
      </c>
      <c r="J147" s="97" t="e">
        <f t="shared" si="17"/>
        <v>#NUM!</v>
      </c>
      <c r="K147" s="97" t="e">
        <f t="shared" si="14"/>
        <v>#NUM!</v>
      </c>
      <c r="L147" s="97"/>
      <c r="M147" s="99">
        <f t="shared" si="15"/>
        <v>0</v>
      </c>
    </row>
    <row r="148" spans="1:13" x14ac:dyDescent="0.25">
      <c r="A148" s="118"/>
      <c r="G148" s="82"/>
      <c r="H148" s="97">
        <v>143</v>
      </c>
      <c r="I148" s="98" t="str">
        <f t="shared" si="13"/>
        <v/>
      </c>
      <c r="J148" s="97" t="e">
        <f t="shared" si="17"/>
        <v>#NUM!</v>
      </c>
      <c r="K148" s="97" t="e">
        <f t="shared" si="14"/>
        <v>#NUM!</v>
      </c>
      <c r="L148" s="97"/>
      <c r="M148" s="99">
        <f t="shared" si="15"/>
        <v>0</v>
      </c>
    </row>
    <row r="149" spans="1:13" x14ac:dyDescent="0.25">
      <c r="A149" s="118"/>
      <c r="G149" s="82"/>
      <c r="H149" s="101">
        <v>144</v>
      </c>
      <c r="I149" s="98" t="str">
        <f t="shared" si="13"/>
        <v/>
      </c>
      <c r="J149" s="97" t="e">
        <f t="shared" si="17"/>
        <v>#NUM!</v>
      </c>
      <c r="K149" s="97" t="e">
        <f t="shared" si="14"/>
        <v>#NUM!</v>
      </c>
      <c r="L149" s="97"/>
      <c r="M149" s="99">
        <f t="shared" si="15"/>
        <v>0</v>
      </c>
    </row>
    <row r="150" spans="1:13" x14ac:dyDescent="0.25">
      <c r="A150" s="118"/>
      <c r="G150" s="82"/>
      <c r="H150" s="97">
        <v>145</v>
      </c>
      <c r="I150" s="98" t="str">
        <f t="shared" si="13"/>
        <v/>
      </c>
      <c r="J150" s="97" t="e">
        <f t="shared" si="17"/>
        <v>#NUM!</v>
      </c>
      <c r="K150" s="97" t="e">
        <f t="shared" si="14"/>
        <v>#NUM!</v>
      </c>
      <c r="L150" s="97"/>
      <c r="M150" s="99">
        <f t="shared" si="15"/>
        <v>0</v>
      </c>
    </row>
    <row r="151" spans="1:13" x14ac:dyDescent="0.25">
      <c r="A151" s="118"/>
      <c r="G151" s="82"/>
      <c r="H151" s="101">
        <v>146</v>
      </c>
      <c r="I151" s="98" t="str">
        <f t="shared" si="13"/>
        <v/>
      </c>
      <c r="J151" s="97" t="e">
        <f t="shared" si="17"/>
        <v>#NUM!</v>
      </c>
      <c r="K151" s="97" t="e">
        <f t="shared" si="14"/>
        <v>#NUM!</v>
      </c>
      <c r="L151" s="97"/>
      <c r="M151" s="99">
        <f t="shared" si="15"/>
        <v>0</v>
      </c>
    </row>
    <row r="152" spans="1:13" x14ac:dyDescent="0.25">
      <c r="A152" s="118"/>
      <c r="G152" s="82"/>
      <c r="H152" s="97">
        <v>147</v>
      </c>
      <c r="I152" s="98" t="str">
        <f t="shared" si="13"/>
        <v/>
      </c>
      <c r="J152" s="97" t="e">
        <f t="shared" si="17"/>
        <v>#NUM!</v>
      </c>
      <c r="K152" s="97" t="e">
        <f t="shared" si="14"/>
        <v>#NUM!</v>
      </c>
      <c r="L152" s="97"/>
      <c r="M152" s="99">
        <f t="shared" si="15"/>
        <v>0</v>
      </c>
    </row>
    <row r="153" spans="1:13" x14ac:dyDescent="0.25">
      <c r="A153" s="118"/>
      <c r="G153" s="82"/>
      <c r="H153" s="101">
        <v>148</v>
      </c>
      <c r="I153" s="98" t="str">
        <f t="shared" si="13"/>
        <v/>
      </c>
      <c r="J153" s="97" t="e">
        <f t="shared" si="17"/>
        <v>#NUM!</v>
      </c>
      <c r="K153" s="97" t="e">
        <f t="shared" si="14"/>
        <v>#NUM!</v>
      </c>
      <c r="L153" s="97"/>
      <c r="M153" s="99">
        <f t="shared" si="15"/>
        <v>0</v>
      </c>
    </row>
    <row r="154" spans="1:13" x14ac:dyDescent="0.25">
      <c r="A154" s="118"/>
      <c r="G154" s="82"/>
      <c r="H154" s="97">
        <v>149</v>
      </c>
      <c r="I154" s="98" t="str">
        <f t="shared" si="13"/>
        <v/>
      </c>
      <c r="J154" s="97" t="e">
        <f t="shared" si="17"/>
        <v>#NUM!</v>
      </c>
      <c r="K154" s="97" t="e">
        <f t="shared" si="14"/>
        <v>#NUM!</v>
      </c>
      <c r="L154" s="97"/>
      <c r="M154" s="99">
        <f t="shared" si="15"/>
        <v>0</v>
      </c>
    </row>
    <row r="155" spans="1:13" x14ac:dyDescent="0.25">
      <c r="A155" s="118"/>
      <c r="G155" s="82"/>
      <c r="H155" s="101">
        <v>150</v>
      </c>
      <c r="I155" s="98" t="str">
        <f t="shared" si="13"/>
        <v/>
      </c>
      <c r="J155" s="97" t="e">
        <f t="shared" si="17"/>
        <v>#NUM!</v>
      </c>
      <c r="K155" s="97" t="e">
        <f t="shared" si="14"/>
        <v>#NUM!</v>
      </c>
      <c r="L155" s="97"/>
      <c r="M155" s="99">
        <f t="shared" si="15"/>
        <v>0</v>
      </c>
    </row>
    <row r="156" spans="1:13" x14ac:dyDescent="0.25">
      <c r="A156" s="118"/>
      <c r="G156" s="82"/>
      <c r="H156" s="97">
        <v>151</v>
      </c>
      <c r="I156" s="98" t="str">
        <f t="shared" si="13"/>
        <v/>
      </c>
      <c r="J156" s="97" t="e">
        <f t="shared" si="17"/>
        <v>#NUM!</v>
      </c>
      <c r="K156" s="97" t="e">
        <f t="shared" si="14"/>
        <v>#NUM!</v>
      </c>
      <c r="L156" s="97"/>
      <c r="M156" s="99">
        <f t="shared" si="15"/>
        <v>0</v>
      </c>
    </row>
    <row r="157" spans="1:13" x14ac:dyDescent="0.25">
      <c r="A157" s="118"/>
      <c r="G157" s="82"/>
      <c r="H157" s="101">
        <v>152</v>
      </c>
      <c r="I157" s="98" t="str">
        <f t="shared" si="13"/>
        <v/>
      </c>
      <c r="J157" s="97" t="e">
        <f t="shared" si="17"/>
        <v>#NUM!</v>
      </c>
      <c r="K157" s="97" t="e">
        <f t="shared" si="14"/>
        <v>#NUM!</v>
      </c>
      <c r="L157" s="97"/>
      <c r="M157" s="99">
        <f t="shared" si="15"/>
        <v>0</v>
      </c>
    </row>
    <row r="158" spans="1:13" x14ac:dyDescent="0.25">
      <c r="A158" s="118"/>
      <c r="G158" s="82"/>
      <c r="H158" s="97">
        <v>153</v>
      </c>
      <c r="I158" s="98" t="str">
        <f t="shared" si="13"/>
        <v/>
      </c>
      <c r="J158" s="97" t="e">
        <f t="shared" si="17"/>
        <v>#NUM!</v>
      </c>
      <c r="K158" s="97" t="e">
        <f t="shared" si="14"/>
        <v>#NUM!</v>
      </c>
      <c r="L158" s="97"/>
      <c r="M158" s="99">
        <f t="shared" si="15"/>
        <v>0</v>
      </c>
    </row>
    <row r="159" spans="1:13" x14ac:dyDescent="0.25">
      <c r="A159" s="118"/>
      <c r="G159" s="82"/>
      <c r="H159" s="101">
        <v>154</v>
      </c>
      <c r="I159" s="98" t="str">
        <f t="shared" si="13"/>
        <v/>
      </c>
      <c r="J159" s="97" t="e">
        <f t="shared" si="17"/>
        <v>#NUM!</v>
      </c>
      <c r="K159" s="97" t="e">
        <f t="shared" si="14"/>
        <v>#NUM!</v>
      </c>
      <c r="L159" s="97"/>
      <c r="M159" s="99">
        <f t="shared" si="15"/>
        <v>0</v>
      </c>
    </row>
    <row r="160" spans="1:13" x14ac:dyDescent="0.25">
      <c r="A160" s="118"/>
      <c r="G160" s="82"/>
      <c r="H160" s="97">
        <v>155</v>
      </c>
      <c r="I160" s="98" t="str">
        <f t="shared" si="13"/>
        <v/>
      </c>
      <c r="J160" s="97" t="e">
        <f t="shared" si="17"/>
        <v>#NUM!</v>
      </c>
      <c r="K160" s="97" t="e">
        <f t="shared" si="14"/>
        <v>#NUM!</v>
      </c>
      <c r="L160" s="97"/>
      <c r="M160" s="99">
        <f t="shared" si="15"/>
        <v>0</v>
      </c>
    </row>
    <row r="161" spans="1:13" x14ac:dyDescent="0.25">
      <c r="A161" s="118"/>
      <c r="G161" s="82"/>
      <c r="H161" s="101">
        <v>156</v>
      </c>
      <c r="I161" s="98" t="str">
        <f t="shared" si="13"/>
        <v/>
      </c>
      <c r="J161" s="97" t="e">
        <f t="shared" si="17"/>
        <v>#NUM!</v>
      </c>
      <c r="K161" s="97" t="e">
        <f t="shared" si="14"/>
        <v>#NUM!</v>
      </c>
      <c r="L161" s="97"/>
      <c r="M161" s="99">
        <f t="shared" si="15"/>
        <v>0</v>
      </c>
    </row>
    <row r="162" spans="1:13" x14ac:dyDescent="0.25">
      <c r="A162" s="118"/>
      <c r="G162" s="82"/>
      <c r="H162" s="97">
        <v>157</v>
      </c>
      <c r="I162" s="98" t="str">
        <f t="shared" si="13"/>
        <v/>
      </c>
      <c r="J162" s="97" t="e">
        <f t="shared" si="17"/>
        <v>#NUM!</v>
      </c>
      <c r="K162" s="97" t="e">
        <f t="shared" si="14"/>
        <v>#NUM!</v>
      </c>
      <c r="L162" s="97"/>
      <c r="M162" s="99">
        <f t="shared" si="15"/>
        <v>0</v>
      </c>
    </row>
    <row r="163" spans="1:13" x14ac:dyDescent="0.25">
      <c r="A163" s="118"/>
      <c r="G163" s="82"/>
      <c r="H163" s="101">
        <v>158</v>
      </c>
      <c r="I163" s="98" t="str">
        <f t="shared" si="13"/>
        <v/>
      </c>
      <c r="J163" s="97" t="e">
        <f t="shared" si="17"/>
        <v>#NUM!</v>
      </c>
      <c r="K163" s="97" t="e">
        <f t="shared" si="14"/>
        <v>#NUM!</v>
      </c>
      <c r="L163" s="97"/>
      <c r="M163" s="99">
        <f t="shared" si="15"/>
        <v>0</v>
      </c>
    </row>
    <row r="164" spans="1:13" x14ac:dyDescent="0.25">
      <c r="A164" s="118"/>
      <c r="G164" s="82"/>
      <c r="H164" s="97">
        <v>159</v>
      </c>
      <c r="I164" s="98" t="str">
        <f t="shared" si="13"/>
        <v/>
      </c>
      <c r="J164" s="97" t="e">
        <f t="shared" si="17"/>
        <v>#NUM!</v>
      </c>
      <c r="K164" s="97" t="e">
        <f t="shared" si="14"/>
        <v>#NUM!</v>
      </c>
      <c r="L164" s="97"/>
      <c r="M164" s="99">
        <f t="shared" si="15"/>
        <v>0</v>
      </c>
    </row>
    <row r="165" spans="1:13" x14ac:dyDescent="0.25">
      <c r="A165" s="118"/>
      <c r="G165" s="82"/>
      <c r="H165" s="101">
        <v>160</v>
      </c>
      <c r="I165" s="98" t="str">
        <f t="shared" si="13"/>
        <v/>
      </c>
      <c r="J165" s="97" t="e">
        <f t="shared" si="17"/>
        <v>#NUM!</v>
      </c>
      <c r="K165" s="97" t="e">
        <f t="shared" si="14"/>
        <v>#NUM!</v>
      </c>
      <c r="L165" s="97"/>
      <c r="M165" s="99">
        <f t="shared" si="15"/>
        <v>0</v>
      </c>
    </row>
    <row r="166" spans="1:13" x14ac:dyDescent="0.25">
      <c r="A166" s="118"/>
      <c r="G166" s="82"/>
      <c r="H166" s="97">
        <v>161</v>
      </c>
      <c r="I166" s="98" t="str">
        <f t="shared" si="13"/>
        <v/>
      </c>
      <c r="J166" s="97" t="e">
        <f t="shared" si="17"/>
        <v>#NUM!</v>
      </c>
      <c r="K166" s="97" t="e">
        <f t="shared" si="14"/>
        <v>#NUM!</v>
      </c>
      <c r="L166" s="97"/>
      <c r="M166" s="99">
        <f t="shared" si="15"/>
        <v>0</v>
      </c>
    </row>
    <row r="167" spans="1:13" x14ac:dyDescent="0.25">
      <c r="A167" s="118"/>
      <c r="G167" s="82"/>
      <c r="H167" s="101">
        <v>162</v>
      </c>
      <c r="I167" s="98" t="str">
        <f t="shared" si="13"/>
        <v/>
      </c>
      <c r="J167" s="97" t="e">
        <f t="shared" si="17"/>
        <v>#NUM!</v>
      </c>
      <c r="K167" s="97" t="e">
        <f t="shared" si="14"/>
        <v>#NUM!</v>
      </c>
      <c r="L167" s="97"/>
      <c r="M167" s="99">
        <f t="shared" si="15"/>
        <v>0</v>
      </c>
    </row>
    <row r="168" spans="1:13" x14ac:dyDescent="0.25">
      <c r="A168" s="118"/>
      <c r="G168" s="82"/>
      <c r="H168" s="97">
        <v>163</v>
      </c>
      <c r="I168" s="98" t="str">
        <f t="shared" si="13"/>
        <v/>
      </c>
      <c r="J168" s="97" t="e">
        <f t="shared" si="17"/>
        <v>#NUM!</v>
      </c>
      <c r="K168" s="97" t="e">
        <f t="shared" si="14"/>
        <v>#NUM!</v>
      </c>
      <c r="L168" s="97"/>
      <c r="M168" s="99">
        <f t="shared" si="15"/>
        <v>0</v>
      </c>
    </row>
    <row r="169" spans="1:13" x14ac:dyDescent="0.25">
      <c r="A169" s="118"/>
      <c r="C169" s="117" t="s">
        <v>42</v>
      </c>
      <c r="G169" s="82"/>
      <c r="H169" s="101">
        <v>164</v>
      </c>
      <c r="I169" s="98" t="str">
        <f t="shared" si="13"/>
        <v/>
      </c>
      <c r="J169" s="97" t="e">
        <f t="shared" si="17"/>
        <v>#NUM!</v>
      </c>
      <c r="K169" s="97" t="e">
        <f t="shared" si="14"/>
        <v>#NUM!</v>
      </c>
      <c r="L169" s="97"/>
      <c r="M169" s="99">
        <f t="shared" si="15"/>
        <v>0</v>
      </c>
    </row>
    <row r="170" spans="1:13" x14ac:dyDescent="0.25">
      <c r="A170" s="118"/>
      <c r="G170" s="82"/>
      <c r="H170" s="97">
        <v>165</v>
      </c>
      <c r="I170" s="98" t="str">
        <f t="shared" si="13"/>
        <v/>
      </c>
      <c r="J170" s="97" t="e">
        <f t="shared" si="17"/>
        <v>#NUM!</v>
      </c>
      <c r="K170" s="97" t="e">
        <f t="shared" si="14"/>
        <v>#NUM!</v>
      </c>
      <c r="L170" s="97"/>
      <c r="M170" s="99">
        <f t="shared" si="15"/>
        <v>0</v>
      </c>
    </row>
    <row r="171" spans="1:13" x14ac:dyDescent="0.25">
      <c r="A171" s="118"/>
      <c r="G171" s="82"/>
      <c r="H171" s="101">
        <v>166</v>
      </c>
      <c r="I171" s="98" t="str">
        <f t="shared" si="13"/>
        <v/>
      </c>
      <c r="J171" s="97" t="e">
        <f t="shared" si="17"/>
        <v>#NUM!</v>
      </c>
      <c r="K171" s="97" t="e">
        <f t="shared" si="14"/>
        <v>#NUM!</v>
      </c>
      <c r="L171" s="97"/>
      <c r="M171" s="99">
        <f t="shared" si="15"/>
        <v>0</v>
      </c>
    </row>
    <row r="172" spans="1:13" x14ac:dyDescent="0.25">
      <c r="A172" s="118"/>
      <c r="G172" s="82"/>
      <c r="H172" s="97">
        <v>167</v>
      </c>
      <c r="I172" s="98" t="str">
        <f t="shared" si="13"/>
        <v/>
      </c>
      <c r="J172" s="97" t="e">
        <f t="shared" si="17"/>
        <v>#NUM!</v>
      </c>
      <c r="K172" s="97" t="e">
        <f t="shared" si="14"/>
        <v>#NUM!</v>
      </c>
      <c r="L172" s="97"/>
      <c r="M172" s="99">
        <f t="shared" si="15"/>
        <v>0</v>
      </c>
    </row>
    <row r="173" spans="1:13" x14ac:dyDescent="0.25">
      <c r="A173" s="118"/>
      <c r="G173" s="82"/>
      <c r="H173" s="101">
        <v>168</v>
      </c>
      <c r="I173" s="98" t="str">
        <f t="shared" si="13"/>
        <v/>
      </c>
      <c r="J173" s="97" t="e">
        <f t="shared" si="17"/>
        <v>#NUM!</v>
      </c>
      <c r="K173" s="97" t="e">
        <f t="shared" si="14"/>
        <v>#NUM!</v>
      </c>
      <c r="L173" s="97"/>
      <c r="M173" s="99">
        <f t="shared" si="15"/>
        <v>0</v>
      </c>
    </row>
    <row r="174" spans="1:13" x14ac:dyDescent="0.25">
      <c r="A174" s="118"/>
      <c r="G174" s="82"/>
      <c r="H174" s="97">
        <v>169</v>
      </c>
      <c r="I174" s="98" t="str">
        <f t="shared" si="13"/>
        <v/>
      </c>
      <c r="J174" s="97" t="e">
        <f t="shared" si="17"/>
        <v>#NUM!</v>
      </c>
      <c r="K174" s="97" t="e">
        <f t="shared" si="14"/>
        <v>#NUM!</v>
      </c>
      <c r="L174" s="97"/>
      <c r="M174" s="99">
        <f t="shared" si="15"/>
        <v>0</v>
      </c>
    </row>
    <row r="175" spans="1:13" x14ac:dyDescent="0.25">
      <c r="A175" s="118"/>
      <c r="G175" s="82"/>
      <c r="H175" s="101">
        <v>170</v>
      </c>
      <c r="I175" s="98" t="str">
        <f t="shared" si="13"/>
        <v/>
      </c>
      <c r="J175" s="97" t="e">
        <f t="shared" si="17"/>
        <v>#NUM!</v>
      </c>
      <c r="K175" s="97" t="e">
        <f t="shared" si="14"/>
        <v>#NUM!</v>
      </c>
      <c r="L175" s="97"/>
      <c r="M175" s="99">
        <f t="shared" si="15"/>
        <v>0</v>
      </c>
    </row>
    <row r="176" spans="1:13" x14ac:dyDescent="0.25">
      <c r="A176" s="118"/>
      <c r="G176" s="82"/>
      <c r="H176" s="97">
        <v>171</v>
      </c>
      <c r="I176" s="98" t="str">
        <f t="shared" si="13"/>
        <v/>
      </c>
      <c r="J176" s="97" t="e">
        <f t="shared" si="17"/>
        <v>#NUM!</v>
      </c>
      <c r="K176" s="97" t="e">
        <f t="shared" si="14"/>
        <v>#NUM!</v>
      </c>
      <c r="L176" s="97"/>
      <c r="M176" s="99">
        <f t="shared" si="15"/>
        <v>0</v>
      </c>
    </row>
    <row r="177" spans="1:13" x14ac:dyDescent="0.25">
      <c r="A177" s="118"/>
      <c r="G177" s="82"/>
      <c r="H177" s="101">
        <v>172</v>
      </c>
      <c r="I177" s="98" t="str">
        <f t="shared" si="13"/>
        <v/>
      </c>
      <c r="J177" s="97" t="e">
        <f t="shared" si="17"/>
        <v>#NUM!</v>
      </c>
      <c r="K177" s="97" t="e">
        <f t="shared" si="14"/>
        <v>#NUM!</v>
      </c>
      <c r="L177" s="97"/>
      <c r="M177" s="99">
        <f t="shared" si="15"/>
        <v>0</v>
      </c>
    </row>
    <row r="178" spans="1:13" x14ac:dyDescent="0.25">
      <c r="A178" s="118"/>
      <c r="G178" s="82"/>
      <c r="H178" s="97">
        <v>173</v>
      </c>
      <c r="I178" s="98" t="str">
        <f t="shared" si="13"/>
        <v/>
      </c>
      <c r="J178" s="97" t="e">
        <f t="shared" si="17"/>
        <v>#NUM!</v>
      </c>
      <c r="K178" s="97" t="e">
        <f t="shared" si="14"/>
        <v>#NUM!</v>
      </c>
      <c r="L178" s="97"/>
      <c r="M178" s="99">
        <f t="shared" si="15"/>
        <v>0</v>
      </c>
    </row>
    <row r="179" spans="1:13" x14ac:dyDescent="0.25">
      <c r="A179" s="118"/>
      <c r="G179" s="82"/>
      <c r="H179" s="101">
        <v>174</v>
      </c>
      <c r="I179" s="98" t="str">
        <f t="shared" si="13"/>
        <v/>
      </c>
      <c r="J179" s="97" t="e">
        <f t="shared" si="17"/>
        <v>#NUM!</v>
      </c>
      <c r="K179" s="97" t="e">
        <f t="shared" si="14"/>
        <v>#NUM!</v>
      </c>
      <c r="L179" s="97"/>
      <c r="M179" s="99">
        <f t="shared" si="15"/>
        <v>0</v>
      </c>
    </row>
    <row r="180" spans="1:13" x14ac:dyDescent="0.25">
      <c r="A180" s="118"/>
      <c r="G180" s="82"/>
      <c r="H180" s="97">
        <v>175</v>
      </c>
      <c r="I180" s="98" t="str">
        <f t="shared" si="13"/>
        <v/>
      </c>
      <c r="J180" s="97" t="e">
        <f t="shared" si="17"/>
        <v>#NUM!</v>
      </c>
      <c r="K180" s="97" t="e">
        <f t="shared" si="14"/>
        <v>#NUM!</v>
      </c>
      <c r="L180" s="97"/>
      <c r="M180" s="99">
        <f t="shared" si="15"/>
        <v>0</v>
      </c>
    </row>
    <row r="181" spans="1:13" x14ac:dyDescent="0.25">
      <c r="A181" s="118"/>
      <c r="G181" s="82"/>
      <c r="H181" s="101">
        <v>176</v>
      </c>
      <c r="I181" s="98" t="str">
        <f t="shared" si="13"/>
        <v/>
      </c>
      <c r="J181" s="97" t="e">
        <f t="shared" si="17"/>
        <v>#NUM!</v>
      </c>
      <c r="K181" s="97" t="e">
        <f t="shared" si="14"/>
        <v>#NUM!</v>
      </c>
      <c r="L181" s="97"/>
      <c r="M181" s="99">
        <f t="shared" si="15"/>
        <v>0</v>
      </c>
    </row>
    <row r="182" spans="1:13" x14ac:dyDescent="0.25">
      <c r="A182" s="118"/>
      <c r="G182" s="82"/>
      <c r="H182" s="97">
        <v>177</v>
      </c>
      <c r="I182" s="98" t="str">
        <f t="shared" si="13"/>
        <v/>
      </c>
      <c r="J182" s="97" t="e">
        <f t="shared" si="17"/>
        <v>#NUM!</v>
      </c>
      <c r="K182" s="97" t="e">
        <f t="shared" si="14"/>
        <v>#NUM!</v>
      </c>
      <c r="L182" s="97"/>
      <c r="M182" s="99">
        <f t="shared" si="15"/>
        <v>0</v>
      </c>
    </row>
    <row r="183" spans="1:13" x14ac:dyDescent="0.25">
      <c r="A183" s="118"/>
      <c r="G183" s="82"/>
      <c r="H183" s="101">
        <v>178</v>
      </c>
      <c r="I183" s="98" t="str">
        <f t="shared" si="13"/>
        <v/>
      </c>
      <c r="J183" s="97" t="e">
        <f t="shared" si="17"/>
        <v>#NUM!</v>
      </c>
      <c r="K183" s="97" t="e">
        <f t="shared" si="14"/>
        <v>#NUM!</v>
      </c>
      <c r="L183" s="97"/>
      <c r="M183" s="99">
        <f t="shared" si="15"/>
        <v>0</v>
      </c>
    </row>
    <row r="184" spans="1:13" x14ac:dyDescent="0.25">
      <c r="A184" s="118"/>
      <c r="G184" s="82"/>
      <c r="H184" s="97">
        <v>179</v>
      </c>
      <c r="I184" s="98" t="str">
        <f t="shared" si="13"/>
        <v/>
      </c>
      <c r="J184" s="97" t="e">
        <f t="shared" si="17"/>
        <v>#NUM!</v>
      </c>
      <c r="K184" s="97" t="e">
        <f t="shared" si="14"/>
        <v>#NUM!</v>
      </c>
      <c r="L184" s="97"/>
      <c r="M184" s="99">
        <f t="shared" si="15"/>
        <v>0</v>
      </c>
    </row>
    <row r="185" spans="1:13" x14ac:dyDescent="0.25">
      <c r="A185" s="118"/>
      <c r="G185" s="82"/>
      <c r="H185" s="101">
        <v>180</v>
      </c>
      <c r="I185" s="98" t="str">
        <f t="shared" si="13"/>
        <v/>
      </c>
      <c r="J185" s="97" t="e">
        <f t="shared" si="17"/>
        <v>#NUM!</v>
      </c>
      <c r="K185" s="97" t="e">
        <f t="shared" si="14"/>
        <v>#NUM!</v>
      </c>
      <c r="L185" s="97"/>
      <c r="M185" s="99">
        <f t="shared" si="15"/>
        <v>0</v>
      </c>
    </row>
    <row r="186" spans="1:13" x14ac:dyDescent="0.25">
      <c r="A186" s="118"/>
      <c r="G186" s="82"/>
      <c r="H186" s="97">
        <v>181</v>
      </c>
      <c r="I186" s="98" t="str">
        <f t="shared" si="13"/>
        <v/>
      </c>
      <c r="J186" s="97" t="e">
        <f t="shared" si="17"/>
        <v>#NUM!</v>
      </c>
      <c r="K186" s="97" t="e">
        <f t="shared" si="14"/>
        <v>#NUM!</v>
      </c>
      <c r="L186" s="97"/>
      <c r="M186" s="99">
        <f t="shared" si="15"/>
        <v>0</v>
      </c>
    </row>
    <row r="187" spans="1:13" x14ac:dyDescent="0.25">
      <c r="A187" s="118"/>
      <c r="G187" s="82"/>
      <c r="H187" s="101">
        <v>182</v>
      </c>
      <c r="I187" s="98" t="str">
        <f t="shared" si="13"/>
        <v/>
      </c>
      <c r="J187" s="97" t="e">
        <f t="shared" si="17"/>
        <v>#NUM!</v>
      </c>
      <c r="K187" s="97" t="e">
        <f t="shared" si="14"/>
        <v>#NUM!</v>
      </c>
      <c r="L187" s="97"/>
      <c r="M187" s="99">
        <f t="shared" si="15"/>
        <v>0</v>
      </c>
    </row>
    <row r="188" spans="1:13" x14ac:dyDescent="0.25">
      <c r="A188" s="118"/>
      <c r="G188" s="82"/>
      <c r="H188" s="97">
        <v>183</v>
      </c>
      <c r="I188" s="98" t="str">
        <f t="shared" si="13"/>
        <v/>
      </c>
      <c r="J188" s="97" t="e">
        <f t="shared" si="17"/>
        <v>#NUM!</v>
      </c>
      <c r="K188" s="97" t="e">
        <f t="shared" si="14"/>
        <v>#NUM!</v>
      </c>
      <c r="L188" s="97"/>
      <c r="M188" s="99">
        <f t="shared" si="15"/>
        <v>0</v>
      </c>
    </row>
    <row r="189" spans="1:13" x14ac:dyDescent="0.25">
      <c r="A189" s="118"/>
      <c r="G189" s="82"/>
      <c r="H189" s="101">
        <v>184</v>
      </c>
      <c r="I189" s="98" t="str">
        <f t="shared" si="13"/>
        <v/>
      </c>
      <c r="J189" s="97" t="e">
        <f t="shared" si="17"/>
        <v>#NUM!</v>
      </c>
      <c r="K189" s="97" t="e">
        <f t="shared" si="14"/>
        <v>#NUM!</v>
      </c>
      <c r="L189" s="97"/>
      <c r="M189" s="99">
        <f t="shared" si="15"/>
        <v>0</v>
      </c>
    </row>
    <row r="190" spans="1:13" x14ac:dyDescent="0.25">
      <c r="A190" s="118"/>
      <c r="G190" s="82"/>
      <c r="H190" s="97">
        <v>185</v>
      </c>
      <c r="I190" s="98" t="str">
        <f t="shared" si="13"/>
        <v/>
      </c>
      <c r="J190" s="97" t="e">
        <f t="shared" si="17"/>
        <v>#NUM!</v>
      </c>
      <c r="K190" s="97" t="e">
        <f t="shared" si="14"/>
        <v>#NUM!</v>
      </c>
      <c r="L190" s="97"/>
      <c r="M190" s="99">
        <f t="shared" si="15"/>
        <v>0</v>
      </c>
    </row>
    <row r="191" spans="1:13" x14ac:dyDescent="0.25">
      <c r="A191" s="118"/>
      <c r="G191" s="82"/>
      <c r="H191" s="101">
        <v>186</v>
      </c>
      <c r="I191" s="98" t="str">
        <f t="shared" si="13"/>
        <v/>
      </c>
      <c r="J191" s="97" t="e">
        <f t="shared" si="17"/>
        <v>#NUM!</v>
      </c>
      <c r="K191" s="97" t="e">
        <f t="shared" si="14"/>
        <v>#NUM!</v>
      </c>
      <c r="L191" s="97"/>
      <c r="M191" s="99">
        <f t="shared" si="15"/>
        <v>0</v>
      </c>
    </row>
    <row r="192" spans="1:13" x14ac:dyDescent="0.25">
      <c r="A192" s="118"/>
      <c r="G192" s="82"/>
      <c r="H192" s="97">
        <v>187</v>
      </c>
      <c r="I192" s="98" t="str">
        <f t="shared" si="13"/>
        <v/>
      </c>
      <c r="J192" s="97" t="e">
        <f t="shared" si="17"/>
        <v>#NUM!</v>
      </c>
      <c r="K192" s="97" t="e">
        <f t="shared" si="14"/>
        <v>#NUM!</v>
      </c>
      <c r="L192" s="97"/>
      <c r="M192" s="99">
        <f t="shared" si="15"/>
        <v>0</v>
      </c>
    </row>
    <row r="193" spans="1:13" x14ac:dyDescent="0.25">
      <c r="A193" s="118"/>
      <c r="G193" s="82"/>
      <c r="H193" s="101">
        <v>188</v>
      </c>
      <c r="I193" s="98" t="str">
        <f t="shared" si="13"/>
        <v/>
      </c>
      <c r="J193" s="97" t="e">
        <f t="shared" si="17"/>
        <v>#NUM!</v>
      </c>
      <c r="K193" s="97" t="e">
        <f t="shared" si="14"/>
        <v>#NUM!</v>
      </c>
      <c r="L193" s="97"/>
      <c r="M193" s="99">
        <f t="shared" si="15"/>
        <v>0</v>
      </c>
    </row>
    <row r="194" spans="1:13" x14ac:dyDescent="0.25">
      <c r="A194" s="118"/>
      <c r="G194" s="82"/>
      <c r="H194" s="97">
        <v>189</v>
      </c>
      <c r="I194" s="98" t="str">
        <f t="shared" si="13"/>
        <v/>
      </c>
      <c r="J194" s="97" t="e">
        <f t="shared" si="17"/>
        <v>#NUM!</v>
      </c>
      <c r="K194" s="97" t="e">
        <f t="shared" si="14"/>
        <v>#NUM!</v>
      </c>
      <c r="L194" s="97"/>
      <c r="M194" s="99">
        <f t="shared" si="15"/>
        <v>0</v>
      </c>
    </row>
    <row r="195" spans="1:13" x14ac:dyDescent="0.25">
      <c r="A195" s="118"/>
      <c r="G195" s="82"/>
      <c r="H195" s="101">
        <v>190</v>
      </c>
      <c r="I195" s="98" t="str">
        <f t="shared" si="13"/>
        <v/>
      </c>
      <c r="J195" s="97" t="e">
        <f t="shared" si="17"/>
        <v>#NUM!</v>
      </c>
      <c r="K195" s="97" t="e">
        <f t="shared" si="14"/>
        <v>#NUM!</v>
      </c>
      <c r="L195" s="97"/>
      <c r="M195" s="99">
        <f t="shared" si="15"/>
        <v>0</v>
      </c>
    </row>
    <row r="196" spans="1:13" x14ac:dyDescent="0.25">
      <c r="A196" s="118"/>
      <c r="G196" s="82"/>
      <c r="H196" s="97">
        <v>191</v>
      </c>
      <c r="I196" s="98" t="str">
        <f t="shared" si="13"/>
        <v/>
      </c>
      <c r="J196" s="97" t="e">
        <f t="shared" si="17"/>
        <v>#NUM!</v>
      </c>
      <c r="K196" s="97" t="e">
        <f t="shared" si="14"/>
        <v>#NUM!</v>
      </c>
      <c r="L196" s="97"/>
      <c r="M196" s="99">
        <f t="shared" si="15"/>
        <v>0</v>
      </c>
    </row>
    <row r="197" spans="1:13" x14ac:dyDescent="0.25">
      <c r="A197" s="118"/>
      <c r="G197" s="82"/>
      <c r="H197" s="101">
        <v>192</v>
      </c>
      <c r="I197" s="98" t="str">
        <f t="shared" si="13"/>
        <v/>
      </c>
      <c r="J197" s="97" t="e">
        <f t="shared" si="17"/>
        <v>#NUM!</v>
      </c>
      <c r="K197" s="97" t="e">
        <f t="shared" si="14"/>
        <v>#NUM!</v>
      </c>
      <c r="L197" s="97"/>
      <c r="M197" s="99">
        <f t="shared" si="15"/>
        <v>0</v>
      </c>
    </row>
    <row r="198" spans="1:13" x14ac:dyDescent="0.25">
      <c r="A198" s="118"/>
      <c r="G198" s="82"/>
      <c r="H198" s="97">
        <v>193</v>
      </c>
      <c r="I198" s="98" t="str">
        <f t="shared" ref="I198:I261" si="18">IF(H198&lt;$H$2+1,($I$2-($I$2-1)*(LOG(H198)/LOG($H$2))),"")</f>
        <v/>
      </c>
      <c r="J198" s="97" t="e">
        <f t="shared" si="17"/>
        <v>#NUM!</v>
      </c>
      <c r="K198" s="97" t="e">
        <f t="shared" ref="K198:K261" si="19">J198*$J$2</f>
        <v>#NUM!</v>
      </c>
      <c r="L198" s="97"/>
      <c r="M198" s="99">
        <f t="shared" ref="M198:M261" si="20">IF(I198&lt;&gt;"",K198+I198+L198,0)</f>
        <v>0</v>
      </c>
    </row>
    <row r="199" spans="1:13" x14ac:dyDescent="0.25">
      <c r="A199" s="118"/>
      <c r="G199" s="82"/>
      <c r="H199" s="101">
        <v>194</v>
      </c>
      <c r="I199" s="98" t="str">
        <f t="shared" si="18"/>
        <v/>
      </c>
      <c r="J199" s="97" t="e">
        <f t="shared" ref="J199:J262" si="21">INT(LOG($H$2,2))-ROUNDUP(LOG(H199,2),0)+IF(OR($H$2=1,$H$2=2,$H$2=4,$H$2=8,$H$2=16,$H$2=32,$H$2=64,$H$2=128,$H$2=256),0,1)</f>
        <v>#NUM!</v>
      </c>
      <c r="K199" s="97" t="e">
        <f t="shared" si="19"/>
        <v>#NUM!</v>
      </c>
      <c r="L199" s="97"/>
      <c r="M199" s="99">
        <f t="shared" si="20"/>
        <v>0</v>
      </c>
    </row>
    <row r="200" spans="1:13" x14ac:dyDescent="0.25">
      <c r="A200" s="118"/>
      <c r="G200" s="82"/>
      <c r="H200" s="97">
        <v>195</v>
      </c>
      <c r="I200" s="98" t="str">
        <f t="shared" si="18"/>
        <v/>
      </c>
      <c r="J200" s="97" t="e">
        <f t="shared" si="21"/>
        <v>#NUM!</v>
      </c>
      <c r="K200" s="97" t="e">
        <f t="shared" si="19"/>
        <v>#NUM!</v>
      </c>
      <c r="L200" s="97"/>
      <c r="M200" s="99">
        <f t="shared" si="20"/>
        <v>0</v>
      </c>
    </row>
    <row r="201" spans="1:13" x14ac:dyDescent="0.25">
      <c r="A201" s="118"/>
      <c r="G201" s="82"/>
      <c r="H201" s="101">
        <v>196</v>
      </c>
      <c r="I201" s="98" t="str">
        <f t="shared" si="18"/>
        <v/>
      </c>
      <c r="J201" s="97" t="e">
        <f t="shared" si="21"/>
        <v>#NUM!</v>
      </c>
      <c r="K201" s="97" t="e">
        <f t="shared" si="19"/>
        <v>#NUM!</v>
      </c>
      <c r="L201" s="97"/>
      <c r="M201" s="99">
        <f t="shared" si="20"/>
        <v>0</v>
      </c>
    </row>
    <row r="202" spans="1:13" x14ac:dyDescent="0.25">
      <c r="A202" s="118"/>
      <c r="G202" s="82"/>
      <c r="H202" s="97">
        <v>197</v>
      </c>
      <c r="I202" s="98" t="str">
        <f t="shared" si="18"/>
        <v/>
      </c>
      <c r="J202" s="97" t="e">
        <f t="shared" si="21"/>
        <v>#NUM!</v>
      </c>
      <c r="K202" s="97" t="e">
        <f t="shared" si="19"/>
        <v>#NUM!</v>
      </c>
      <c r="L202" s="97"/>
      <c r="M202" s="99">
        <f t="shared" si="20"/>
        <v>0</v>
      </c>
    </row>
    <row r="203" spans="1:13" x14ac:dyDescent="0.25">
      <c r="A203" s="118"/>
      <c r="G203" s="82"/>
      <c r="H203" s="101">
        <v>198</v>
      </c>
      <c r="I203" s="98" t="str">
        <f t="shared" si="18"/>
        <v/>
      </c>
      <c r="J203" s="97" t="e">
        <f t="shared" si="21"/>
        <v>#NUM!</v>
      </c>
      <c r="K203" s="97" t="e">
        <f t="shared" si="19"/>
        <v>#NUM!</v>
      </c>
      <c r="L203" s="97"/>
      <c r="M203" s="99">
        <f t="shared" si="20"/>
        <v>0</v>
      </c>
    </row>
    <row r="204" spans="1:13" x14ac:dyDescent="0.25">
      <c r="A204" s="118"/>
      <c r="G204" s="82"/>
      <c r="H204" s="97">
        <v>199</v>
      </c>
      <c r="I204" s="98" t="str">
        <f t="shared" si="18"/>
        <v/>
      </c>
      <c r="J204" s="97" t="e">
        <f t="shared" si="21"/>
        <v>#NUM!</v>
      </c>
      <c r="K204" s="97" t="e">
        <f t="shared" si="19"/>
        <v>#NUM!</v>
      </c>
      <c r="L204" s="97"/>
      <c r="M204" s="99">
        <f t="shared" si="20"/>
        <v>0</v>
      </c>
    </row>
    <row r="205" spans="1:13" x14ac:dyDescent="0.25">
      <c r="A205" s="118"/>
      <c r="G205" s="82"/>
      <c r="H205" s="101">
        <v>200</v>
      </c>
      <c r="I205" s="98" t="str">
        <f t="shared" si="18"/>
        <v/>
      </c>
      <c r="J205" s="97" t="e">
        <f t="shared" si="21"/>
        <v>#NUM!</v>
      </c>
      <c r="K205" s="97" t="e">
        <f t="shared" si="19"/>
        <v>#NUM!</v>
      </c>
      <c r="L205" s="97"/>
      <c r="M205" s="99">
        <f t="shared" si="20"/>
        <v>0</v>
      </c>
    </row>
    <row r="206" spans="1:13" x14ac:dyDescent="0.25">
      <c r="A206" s="118"/>
      <c r="G206" s="82"/>
      <c r="H206" s="97">
        <v>201</v>
      </c>
      <c r="I206" s="98" t="str">
        <f t="shared" si="18"/>
        <v/>
      </c>
      <c r="J206" s="97" t="e">
        <f t="shared" si="21"/>
        <v>#NUM!</v>
      </c>
      <c r="K206" s="97" t="e">
        <f t="shared" si="19"/>
        <v>#NUM!</v>
      </c>
      <c r="L206" s="97"/>
      <c r="M206" s="99">
        <f t="shared" si="20"/>
        <v>0</v>
      </c>
    </row>
    <row r="207" spans="1:13" x14ac:dyDescent="0.25">
      <c r="A207" s="118"/>
      <c r="G207" s="82"/>
      <c r="H207" s="101">
        <v>202</v>
      </c>
      <c r="I207" s="98" t="str">
        <f t="shared" si="18"/>
        <v/>
      </c>
      <c r="J207" s="97" t="e">
        <f t="shared" si="21"/>
        <v>#NUM!</v>
      </c>
      <c r="K207" s="97" t="e">
        <f t="shared" si="19"/>
        <v>#NUM!</v>
      </c>
      <c r="L207" s="97"/>
      <c r="M207" s="99">
        <f t="shared" si="20"/>
        <v>0</v>
      </c>
    </row>
    <row r="208" spans="1:13" x14ac:dyDescent="0.25">
      <c r="A208" s="118"/>
      <c r="G208" s="82"/>
      <c r="H208" s="97">
        <v>203</v>
      </c>
      <c r="I208" s="98" t="str">
        <f t="shared" si="18"/>
        <v/>
      </c>
      <c r="J208" s="97" t="e">
        <f t="shared" si="21"/>
        <v>#NUM!</v>
      </c>
      <c r="K208" s="97" t="e">
        <f t="shared" si="19"/>
        <v>#NUM!</v>
      </c>
      <c r="L208" s="97"/>
      <c r="M208" s="99">
        <f t="shared" si="20"/>
        <v>0</v>
      </c>
    </row>
    <row r="209" spans="1:13" x14ac:dyDescent="0.25">
      <c r="A209" s="118"/>
      <c r="G209" s="82"/>
      <c r="H209" s="101">
        <v>204</v>
      </c>
      <c r="I209" s="98" t="str">
        <f t="shared" si="18"/>
        <v/>
      </c>
      <c r="J209" s="97" t="e">
        <f t="shared" si="21"/>
        <v>#NUM!</v>
      </c>
      <c r="K209" s="97" t="e">
        <f t="shared" si="19"/>
        <v>#NUM!</v>
      </c>
      <c r="L209" s="97"/>
      <c r="M209" s="99">
        <f t="shared" si="20"/>
        <v>0</v>
      </c>
    </row>
    <row r="210" spans="1:13" x14ac:dyDescent="0.25">
      <c r="A210" s="118"/>
      <c r="G210" s="82"/>
      <c r="H210" s="97">
        <v>205</v>
      </c>
      <c r="I210" s="98" t="str">
        <f t="shared" si="18"/>
        <v/>
      </c>
      <c r="J210" s="97" t="e">
        <f t="shared" si="21"/>
        <v>#NUM!</v>
      </c>
      <c r="K210" s="97" t="e">
        <f t="shared" si="19"/>
        <v>#NUM!</v>
      </c>
      <c r="L210" s="97"/>
      <c r="M210" s="99">
        <f t="shared" si="20"/>
        <v>0</v>
      </c>
    </row>
    <row r="211" spans="1:13" x14ac:dyDescent="0.25">
      <c r="A211" s="118"/>
      <c r="G211" s="82"/>
      <c r="H211" s="101">
        <v>206</v>
      </c>
      <c r="I211" s="98" t="str">
        <f t="shared" si="18"/>
        <v/>
      </c>
      <c r="J211" s="97" t="e">
        <f t="shared" si="21"/>
        <v>#NUM!</v>
      </c>
      <c r="K211" s="97" t="e">
        <f t="shared" si="19"/>
        <v>#NUM!</v>
      </c>
      <c r="L211" s="97"/>
      <c r="M211" s="99">
        <f t="shared" si="20"/>
        <v>0</v>
      </c>
    </row>
    <row r="212" spans="1:13" x14ac:dyDescent="0.25">
      <c r="A212" s="118"/>
      <c r="G212" s="82"/>
      <c r="H212" s="97">
        <v>207</v>
      </c>
      <c r="I212" s="98" t="str">
        <f t="shared" si="18"/>
        <v/>
      </c>
      <c r="J212" s="97" t="e">
        <f t="shared" si="21"/>
        <v>#NUM!</v>
      </c>
      <c r="K212" s="97" t="e">
        <f t="shared" si="19"/>
        <v>#NUM!</v>
      </c>
      <c r="L212" s="97"/>
      <c r="M212" s="99">
        <f t="shared" si="20"/>
        <v>0</v>
      </c>
    </row>
    <row r="213" spans="1:13" x14ac:dyDescent="0.25">
      <c r="A213" s="118"/>
      <c r="G213" s="82"/>
      <c r="H213" s="101">
        <v>208</v>
      </c>
      <c r="I213" s="98" t="str">
        <f t="shared" si="18"/>
        <v/>
      </c>
      <c r="J213" s="97" t="e">
        <f t="shared" si="21"/>
        <v>#NUM!</v>
      </c>
      <c r="K213" s="97" t="e">
        <f t="shared" si="19"/>
        <v>#NUM!</v>
      </c>
      <c r="L213" s="97"/>
      <c r="M213" s="99">
        <f t="shared" si="20"/>
        <v>0</v>
      </c>
    </row>
    <row r="214" spans="1:13" x14ac:dyDescent="0.25">
      <c r="A214" s="118"/>
      <c r="G214" s="82"/>
      <c r="H214" s="97">
        <v>209</v>
      </c>
      <c r="I214" s="98" t="str">
        <f t="shared" si="18"/>
        <v/>
      </c>
      <c r="J214" s="97" t="e">
        <f t="shared" si="21"/>
        <v>#NUM!</v>
      </c>
      <c r="K214" s="97" t="e">
        <f t="shared" si="19"/>
        <v>#NUM!</v>
      </c>
      <c r="L214" s="97"/>
      <c r="M214" s="99">
        <f t="shared" si="20"/>
        <v>0</v>
      </c>
    </row>
    <row r="215" spans="1:13" x14ac:dyDescent="0.25">
      <c r="A215" s="118"/>
      <c r="G215" s="82"/>
      <c r="H215" s="101">
        <v>210</v>
      </c>
      <c r="I215" s="98" t="str">
        <f t="shared" si="18"/>
        <v/>
      </c>
      <c r="J215" s="97" t="e">
        <f t="shared" si="21"/>
        <v>#NUM!</v>
      </c>
      <c r="K215" s="97" t="e">
        <f t="shared" si="19"/>
        <v>#NUM!</v>
      </c>
      <c r="L215" s="97"/>
      <c r="M215" s="99">
        <f t="shared" si="20"/>
        <v>0</v>
      </c>
    </row>
    <row r="216" spans="1:13" x14ac:dyDescent="0.25">
      <c r="A216" s="118"/>
      <c r="G216" s="82"/>
      <c r="H216" s="97">
        <v>211</v>
      </c>
      <c r="I216" s="98" t="str">
        <f t="shared" si="18"/>
        <v/>
      </c>
      <c r="J216" s="97" t="e">
        <f t="shared" si="21"/>
        <v>#NUM!</v>
      </c>
      <c r="K216" s="97" t="e">
        <f t="shared" si="19"/>
        <v>#NUM!</v>
      </c>
      <c r="L216" s="97"/>
      <c r="M216" s="99">
        <f t="shared" si="20"/>
        <v>0</v>
      </c>
    </row>
    <row r="217" spans="1:13" x14ac:dyDescent="0.25">
      <c r="A217" s="118"/>
      <c r="G217" s="82"/>
      <c r="H217" s="101">
        <v>212</v>
      </c>
      <c r="I217" s="98" t="str">
        <f t="shared" si="18"/>
        <v/>
      </c>
      <c r="J217" s="97" t="e">
        <f t="shared" si="21"/>
        <v>#NUM!</v>
      </c>
      <c r="K217" s="97" t="e">
        <f t="shared" si="19"/>
        <v>#NUM!</v>
      </c>
      <c r="L217" s="97"/>
      <c r="M217" s="99">
        <f t="shared" si="20"/>
        <v>0</v>
      </c>
    </row>
    <row r="218" spans="1:13" x14ac:dyDescent="0.25">
      <c r="A218" s="118"/>
      <c r="G218" s="82"/>
      <c r="H218" s="97">
        <v>213</v>
      </c>
      <c r="I218" s="98" t="str">
        <f t="shared" si="18"/>
        <v/>
      </c>
      <c r="J218" s="97" t="e">
        <f t="shared" si="21"/>
        <v>#NUM!</v>
      </c>
      <c r="K218" s="97" t="e">
        <f t="shared" si="19"/>
        <v>#NUM!</v>
      </c>
      <c r="L218" s="97"/>
      <c r="M218" s="99">
        <f t="shared" si="20"/>
        <v>0</v>
      </c>
    </row>
    <row r="219" spans="1:13" x14ac:dyDescent="0.25">
      <c r="A219" s="118"/>
      <c r="G219" s="82"/>
      <c r="H219" s="101">
        <v>214</v>
      </c>
      <c r="I219" s="98" t="str">
        <f t="shared" si="18"/>
        <v/>
      </c>
      <c r="J219" s="97" t="e">
        <f t="shared" si="21"/>
        <v>#NUM!</v>
      </c>
      <c r="K219" s="97" t="e">
        <f t="shared" si="19"/>
        <v>#NUM!</v>
      </c>
      <c r="L219" s="97"/>
      <c r="M219" s="99">
        <f t="shared" si="20"/>
        <v>0</v>
      </c>
    </row>
    <row r="220" spans="1:13" x14ac:dyDescent="0.25">
      <c r="A220" s="118"/>
      <c r="G220" s="82"/>
      <c r="H220" s="97">
        <v>215</v>
      </c>
      <c r="I220" s="98" t="str">
        <f t="shared" si="18"/>
        <v/>
      </c>
      <c r="J220" s="97" t="e">
        <f t="shared" si="21"/>
        <v>#NUM!</v>
      </c>
      <c r="K220" s="97" t="e">
        <f t="shared" si="19"/>
        <v>#NUM!</v>
      </c>
      <c r="L220" s="97"/>
      <c r="M220" s="99">
        <f t="shared" si="20"/>
        <v>0</v>
      </c>
    </row>
    <row r="221" spans="1:13" x14ac:dyDescent="0.25">
      <c r="A221" s="118"/>
      <c r="G221" s="82"/>
      <c r="H221" s="101">
        <v>216</v>
      </c>
      <c r="I221" s="98" t="str">
        <f t="shared" si="18"/>
        <v/>
      </c>
      <c r="J221" s="97" t="e">
        <f t="shared" si="21"/>
        <v>#NUM!</v>
      </c>
      <c r="K221" s="97" t="e">
        <f t="shared" si="19"/>
        <v>#NUM!</v>
      </c>
      <c r="L221" s="97"/>
      <c r="M221" s="99">
        <f t="shared" si="20"/>
        <v>0</v>
      </c>
    </row>
    <row r="222" spans="1:13" x14ac:dyDescent="0.25">
      <c r="A222" s="118"/>
      <c r="G222" s="82"/>
      <c r="H222" s="97">
        <v>217</v>
      </c>
      <c r="I222" s="98" t="str">
        <f t="shared" si="18"/>
        <v/>
      </c>
      <c r="J222" s="97" t="e">
        <f t="shared" si="21"/>
        <v>#NUM!</v>
      </c>
      <c r="K222" s="97" t="e">
        <f t="shared" si="19"/>
        <v>#NUM!</v>
      </c>
      <c r="L222" s="97"/>
      <c r="M222" s="99">
        <f t="shared" si="20"/>
        <v>0</v>
      </c>
    </row>
    <row r="223" spans="1:13" x14ac:dyDescent="0.25">
      <c r="A223" s="118"/>
      <c r="G223" s="82"/>
      <c r="H223" s="101">
        <v>218</v>
      </c>
      <c r="I223" s="98" t="str">
        <f t="shared" si="18"/>
        <v/>
      </c>
      <c r="J223" s="97" t="e">
        <f t="shared" si="21"/>
        <v>#NUM!</v>
      </c>
      <c r="K223" s="97" t="e">
        <f t="shared" si="19"/>
        <v>#NUM!</v>
      </c>
      <c r="L223" s="97"/>
      <c r="M223" s="99">
        <f t="shared" si="20"/>
        <v>0</v>
      </c>
    </row>
    <row r="224" spans="1:13" x14ac:dyDescent="0.25">
      <c r="A224" s="118"/>
      <c r="G224" s="82"/>
      <c r="H224" s="97">
        <v>219</v>
      </c>
      <c r="I224" s="98" t="str">
        <f t="shared" si="18"/>
        <v/>
      </c>
      <c r="J224" s="97" t="e">
        <f t="shared" si="21"/>
        <v>#NUM!</v>
      </c>
      <c r="K224" s="97" t="e">
        <f t="shared" si="19"/>
        <v>#NUM!</v>
      </c>
      <c r="L224" s="97"/>
      <c r="M224" s="99">
        <f t="shared" si="20"/>
        <v>0</v>
      </c>
    </row>
    <row r="225" spans="1:13" x14ac:dyDescent="0.25">
      <c r="A225" s="118"/>
      <c r="G225" s="82"/>
      <c r="H225" s="101">
        <v>220</v>
      </c>
      <c r="I225" s="98" t="str">
        <f t="shared" si="18"/>
        <v/>
      </c>
      <c r="J225" s="97" t="e">
        <f t="shared" si="21"/>
        <v>#NUM!</v>
      </c>
      <c r="K225" s="97" t="e">
        <f t="shared" si="19"/>
        <v>#NUM!</v>
      </c>
      <c r="L225" s="97"/>
      <c r="M225" s="99">
        <f t="shared" si="20"/>
        <v>0</v>
      </c>
    </row>
    <row r="226" spans="1:13" x14ac:dyDescent="0.25">
      <c r="A226" s="118"/>
      <c r="G226" s="82"/>
      <c r="H226" s="97">
        <v>221</v>
      </c>
      <c r="I226" s="98" t="str">
        <f t="shared" si="18"/>
        <v/>
      </c>
      <c r="J226" s="97" t="e">
        <f t="shared" si="21"/>
        <v>#NUM!</v>
      </c>
      <c r="K226" s="97" t="e">
        <f t="shared" si="19"/>
        <v>#NUM!</v>
      </c>
      <c r="L226" s="97"/>
      <c r="M226" s="99">
        <f t="shared" si="20"/>
        <v>0</v>
      </c>
    </row>
    <row r="227" spans="1:13" x14ac:dyDescent="0.25">
      <c r="A227" s="118"/>
      <c r="G227" s="82"/>
      <c r="H227" s="101">
        <v>222</v>
      </c>
      <c r="I227" s="98" t="str">
        <f t="shared" si="18"/>
        <v/>
      </c>
      <c r="J227" s="97" t="e">
        <f t="shared" si="21"/>
        <v>#NUM!</v>
      </c>
      <c r="K227" s="97" t="e">
        <f t="shared" si="19"/>
        <v>#NUM!</v>
      </c>
      <c r="L227" s="97"/>
      <c r="M227" s="99">
        <f t="shared" si="20"/>
        <v>0</v>
      </c>
    </row>
    <row r="228" spans="1:13" x14ac:dyDescent="0.25">
      <c r="A228" s="118"/>
      <c r="G228" s="82"/>
      <c r="H228" s="97">
        <v>223</v>
      </c>
      <c r="I228" s="98" t="str">
        <f t="shared" si="18"/>
        <v/>
      </c>
      <c r="J228" s="97" t="e">
        <f t="shared" si="21"/>
        <v>#NUM!</v>
      </c>
      <c r="K228" s="97" t="e">
        <f t="shared" si="19"/>
        <v>#NUM!</v>
      </c>
      <c r="L228" s="97"/>
      <c r="M228" s="99">
        <f t="shared" si="20"/>
        <v>0</v>
      </c>
    </row>
    <row r="229" spans="1:13" x14ac:dyDescent="0.25">
      <c r="A229" s="118"/>
      <c r="G229" s="82"/>
      <c r="H229" s="101">
        <v>224</v>
      </c>
      <c r="I229" s="98" t="str">
        <f t="shared" si="18"/>
        <v/>
      </c>
      <c r="J229" s="97" t="e">
        <f t="shared" si="21"/>
        <v>#NUM!</v>
      </c>
      <c r="K229" s="97" t="e">
        <f t="shared" si="19"/>
        <v>#NUM!</v>
      </c>
      <c r="L229" s="97"/>
      <c r="M229" s="99">
        <f t="shared" si="20"/>
        <v>0</v>
      </c>
    </row>
    <row r="230" spans="1:13" x14ac:dyDescent="0.25">
      <c r="A230" s="118"/>
      <c r="G230" s="82"/>
      <c r="H230" s="97">
        <v>225</v>
      </c>
      <c r="I230" s="98" t="str">
        <f t="shared" si="18"/>
        <v/>
      </c>
      <c r="J230" s="97" t="e">
        <f t="shared" si="21"/>
        <v>#NUM!</v>
      </c>
      <c r="K230" s="97" t="e">
        <f t="shared" si="19"/>
        <v>#NUM!</v>
      </c>
      <c r="L230" s="97"/>
      <c r="M230" s="99">
        <f t="shared" si="20"/>
        <v>0</v>
      </c>
    </row>
    <row r="231" spans="1:13" x14ac:dyDescent="0.25">
      <c r="A231" s="118"/>
      <c r="G231" s="82"/>
      <c r="H231" s="101">
        <v>226</v>
      </c>
      <c r="I231" s="98" t="str">
        <f t="shared" si="18"/>
        <v/>
      </c>
      <c r="J231" s="97" t="e">
        <f t="shared" si="21"/>
        <v>#NUM!</v>
      </c>
      <c r="K231" s="97" t="e">
        <f t="shared" si="19"/>
        <v>#NUM!</v>
      </c>
      <c r="L231" s="97"/>
      <c r="M231" s="99">
        <f t="shared" si="20"/>
        <v>0</v>
      </c>
    </row>
    <row r="232" spans="1:13" x14ac:dyDescent="0.25">
      <c r="A232" s="118"/>
      <c r="G232" s="82"/>
      <c r="H232" s="97">
        <v>227</v>
      </c>
      <c r="I232" s="98" t="str">
        <f t="shared" si="18"/>
        <v/>
      </c>
      <c r="J232" s="97" t="e">
        <f t="shared" si="21"/>
        <v>#NUM!</v>
      </c>
      <c r="K232" s="97" t="e">
        <f t="shared" si="19"/>
        <v>#NUM!</v>
      </c>
      <c r="L232" s="97"/>
      <c r="M232" s="99">
        <f t="shared" si="20"/>
        <v>0</v>
      </c>
    </row>
    <row r="233" spans="1:13" x14ac:dyDescent="0.25">
      <c r="A233" s="118"/>
      <c r="G233" s="82"/>
      <c r="H233" s="101">
        <v>228</v>
      </c>
      <c r="I233" s="98" t="str">
        <f t="shared" si="18"/>
        <v/>
      </c>
      <c r="J233" s="97" t="e">
        <f t="shared" si="21"/>
        <v>#NUM!</v>
      </c>
      <c r="K233" s="97" t="e">
        <f t="shared" si="19"/>
        <v>#NUM!</v>
      </c>
      <c r="L233" s="97"/>
      <c r="M233" s="99">
        <f t="shared" si="20"/>
        <v>0</v>
      </c>
    </row>
    <row r="234" spans="1:13" x14ac:dyDescent="0.25">
      <c r="A234" s="118"/>
      <c r="G234" s="82"/>
      <c r="H234" s="97">
        <v>229</v>
      </c>
      <c r="I234" s="98" t="str">
        <f t="shared" si="18"/>
        <v/>
      </c>
      <c r="J234" s="97" t="e">
        <f t="shared" si="21"/>
        <v>#NUM!</v>
      </c>
      <c r="K234" s="97" t="e">
        <f t="shared" si="19"/>
        <v>#NUM!</v>
      </c>
      <c r="L234" s="97"/>
      <c r="M234" s="99">
        <f t="shared" si="20"/>
        <v>0</v>
      </c>
    </row>
    <row r="235" spans="1:13" x14ac:dyDescent="0.25">
      <c r="A235" s="118"/>
      <c r="G235" s="82"/>
      <c r="H235" s="101">
        <v>230</v>
      </c>
      <c r="I235" s="98" t="str">
        <f t="shared" si="18"/>
        <v/>
      </c>
      <c r="J235" s="97" t="e">
        <f t="shared" si="21"/>
        <v>#NUM!</v>
      </c>
      <c r="K235" s="97" t="e">
        <f t="shared" si="19"/>
        <v>#NUM!</v>
      </c>
      <c r="L235" s="97"/>
      <c r="M235" s="99">
        <f t="shared" si="20"/>
        <v>0</v>
      </c>
    </row>
    <row r="236" spans="1:13" x14ac:dyDescent="0.25">
      <c r="A236" s="118"/>
      <c r="G236" s="82"/>
      <c r="H236" s="97">
        <v>231</v>
      </c>
      <c r="I236" s="98" t="str">
        <f t="shared" si="18"/>
        <v/>
      </c>
      <c r="J236" s="97" t="e">
        <f t="shared" si="21"/>
        <v>#NUM!</v>
      </c>
      <c r="K236" s="97" t="e">
        <f t="shared" si="19"/>
        <v>#NUM!</v>
      </c>
      <c r="L236" s="97"/>
      <c r="M236" s="99">
        <f t="shared" si="20"/>
        <v>0</v>
      </c>
    </row>
    <row r="237" spans="1:13" x14ac:dyDescent="0.25">
      <c r="A237" s="118"/>
      <c r="G237" s="82"/>
      <c r="H237" s="101">
        <v>232</v>
      </c>
      <c r="I237" s="98" t="str">
        <f t="shared" si="18"/>
        <v/>
      </c>
      <c r="J237" s="97" t="e">
        <f t="shared" si="21"/>
        <v>#NUM!</v>
      </c>
      <c r="K237" s="97" t="e">
        <f t="shared" si="19"/>
        <v>#NUM!</v>
      </c>
      <c r="L237" s="97"/>
      <c r="M237" s="99">
        <f t="shared" si="20"/>
        <v>0</v>
      </c>
    </row>
    <row r="238" spans="1:13" x14ac:dyDescent="0.25">
      <c r="A238" s="118"/>
      <c r="G238" s="82"/>
      <c r="H238" s="97">
        <v>233</v>
      </c>
      <c r="I238" s="98" t="str">
        <f t="shared" si="18"/>
        <v/>
      </c>
      <c r="J238" s="97" t="e">
        <f t="shared" si="21"/>
        <v>#NUM!</v>
      </c>
      <c r="K238" s="97" t="e">
        <f t="shared" si="19"/>
        <v>#NUM!</v>
      </c>
      <c r="L238" s="97"/>
      <c r="M238" s="99">
        <f t="shared" si="20"/>
        <v>0</v>
      </c>
    </row>
    <row r="239" spans="1:13" x14ac:dyDescent="0.25">
      <c r="A239" s="118"/>
      <c r="G239" s="82"/>
      <c r="H239" s="101">
        <v>234</v>
      </c>
      <c r="I239" s="98" t="str">
        <f t="shared" si="18"/>
        <v/>
      </c>
      <c r="J239" s="97" t="e">
        <f t="shared" si="21"/>
        <v>#NUM!</v>
      </c>
      <c r="K239" s="97" t="e">
        <f t="shared" si="19"/>
        <v>#NUM!</v>
      </c>
      <c r="L239" s="97"/>
      <c r="M239" s="99">
        <f t="shared" si="20"/>
        <v>0</v>
      </c>
    </row>
    <row r="240" spans="1:13" x14ac:dyDescent="0.25">
      <c r="A240" s="118"/>
      <c r="G240" s="82"/>
      <c r="H240" s="97">
        <v>235</v>
      </c>
      <c r="I240" s="98" t="str">
        <f t="shared" si="18"/>
        <v/>
      </c>
      <c r="J240" s="97" t="e">
        <f t="shared" si="21"/>
        <v>#NUM!</v>
      </c>
      <c r="K240" s="97" t="e">
        <f t="shared" si="19"/>
        <v>#NUM!</v>
      </c>
      <c r="L240" s="97"/>
      <c r="M240" s="99">
        <f t="shared" si="20"/>
        <v>0</v>
      </c>
    </row>
    <row r="241" spans="1:13" x14ac:dyDescent="0.25">
      <c r="A241" s="118"/>
      <c r="G241" s="82"/>
      <c r="H241" s="101">
        <v>236</v>
      </c>
      <c r="I241" s="98" t="str">
        <f t="shared" si="18"/>
        <v/>
      </c>
      <c r="J241" s="97" t="e">
        <f t="shared" si="21"/>
        <v>#NUM!</v>
      </c>
      <c r="K241" s="97" t="e">
        <f t="shared" si="19"/>
        <v>#NUM!</v>
      </c>
      <c r="L241" s="97"/>
      <c r="M241" s="99">
        <f t="shared" si="20"/>
        <v>0</v>
      </c>
    </row>
    <row r="242" spans="1:13" x14ac:dyDescent="0.25">
      <c r="A242" s="118"/>
      <c r="G242" s="82"/>
      <c r="H242" s="97">
        <v>237</v>
      </c>
      <c r="I242" s="98" t="str">
        <f t="shared" si="18"/>
        <v/>
      </c>
      <c r="J242" s="97" t="e">
        <f t="shared" si="21"/>
        <v>#NUM!</v>
      </c>
      <c r="K242" s="97" t="e">
        <f t="shared" si="19"/>
        <v>#NUM!</v>
      </c>
      <c r="L242" s="97"/>
      <c r="M242" s="99">
        <f t="shared" si="20"/>
        <v>0</v>
      </c>
    </row>
    <row r="243" spans="1:13" x14ac:dyDescent="0.25">
      <c r="A243" s="118"/>
      <c r="G243" s="82"/>
      <c r="H243" s="101">
        <v>238</v>
      </c>
      <c r="I243" s="98" t="str">
        <f t="shared" si="18"/>
        <v/>
      </c>
      <c r="J243" s="97" t="e">
        <f t="shared" si="21"/>
        <v>#NUM!</v>
      </c>
      <c r="K243" s="97" t="e">
        <f t="shared" si="19"/>
        <v>#NUM!</v>
      </c>
      <c r="L243" s="97"/>
      <c r="M243" s="99">
        <f t="shared" si="20"/>
        <v>0</v>
      </c>
    </row>
    <row r="244" spans="1:13" x14ac:dyDescent="0.25">
      <c r="A244" s="118"/>
      <c r="G244" s="82"/>
      <c r="H244" s="97">
        <v>239</v>
      </c>
      <c r="I244" s="98" t="str">
        <f t="shared" si="18"/>
        <v/>
      </c>
      <c r="J244" s="97" t="e">
        <f t="shared" si="21"/>
        <v>#NUM!</v>
      </c>
      <c r="K244" s="97" t="e">
        <f t="shared" si="19"/>
        <v>#NUM!</v>
      </c>
      <c r="L244" s="97"/>
      <c r="M244" s="99">
        <f t="shared" si="20"/>
        <v>0</v>
      </c>
    </row>
    <row r="245" spans="1:13" x14ac:dyDescent="0.25">
      <c r="A245" s="118"/>
      <c r="G245" s="82"/>
      <c r="H245" s="101">
        <v>240</v>
      </c>
      <c r="I245" s="98" t="str">
        <f t="shared" si="18"/>
        <v/>
      </c>
      <c r="J245" s="97" t="e">
        <f t="shared" si="21"/>
        <v>#NUM!</v>
      </c>
      <c r="K245" s="97" t="e">
        <f t="shared" si="19"/>
        <v>#NUM!</v>
      </c>
      <c r="L245" s="97"/>
      <c r="M245" s="99">
        <f t="shared" si="20"/>
        <v>0</v>
      </c>
    </row>
    <row r="246" spans="1:13" x14ac:dyDescent="0.25">
      <c r="A246" s="118"/>
      <c r="G246" s="82"/>
      <c r="H246" s="97">
        <v>241</v>
      </c>
      <c r="I246" s="98" t="str">
        <f t="shared" si="18"/>
        <v/>
      </c>
      <c r="J246" s="97" t="e">
        <f t="shared" si="21"/>
        <v>#NUM!</v>
      </c>
      <c r="K246" s="97" t="e">
        <f t="shared" si="19"/>
        <v>#NUM!</v>
      </c>
      <c r="L246" s="97"/>
      <c r="M246" s="99">
        <f t="shared" si="20"/>
        <v>0</v>
      </c>
    </row>
    <row r="247" spans="1:13" x14ac:dyDescent="0.25">
      <c r="A247" s="118"/>
      <c r="G247" s="82"/>
      <c r="H247" s="101">
        <v>242</v>
      </c>
      <c r="I247" s="98" t="str">
        <f t="shared" si="18"/>
        <v/>
      </c>
      <c r="J247" s="97" t="e">
        <f t="shared" si="21"/>
        <v>#NUM!</v>
      </c>
      <c r="K247" s="97" t="e">
        <f t="shared" si="19"/>
        <v>#NUM!</v>
      </c>
      <c r="L247" s="97"/>
      <c r="M247" s="99">
        <f t="shared" si="20"/>
        <v>0</v>
      </c>
    </row>
    <row r="248" spans="1:13" x14ac:dyDescent="0.25">
      <c r="A248" s="118"/>
      <c r="G248" s="82"/>
      <c r="H248" s="97">
        <v>243</v>
      </c>
      <c r="I248" s="98" t="str">
        <f t="shared" si="18"/>
        <v/>
      </c>
      <c r="J248" s="97" t="e">
        <f t="shared" si="21"/>
        <v>#NUM!</v>
      </c>
      <c r="K248" s="97" t="e">
        <f t="shared" si="19"/>
        <v>#NUM!</v>
      </c>
      <c r="L248" s="97"/>
      <c r="M248" s="99">
        <f t="shared" si="20"/>
        <v>0</v>
      </c>
    </row>
    <row r="249" spans="1:13" x14ac:dyDescent="0.25">
      <c r="A249" s="118"/>
      <c r="G249" s="82"/>
      <c r="H249" s="101">
        <v>244</v>
      </c>
      <c r="I249" s="98" t="str">
        <f t="shared" si="18"/>
        <v/>
      </c>
      <c r="J249" s="97" t="e">
        <f t="shared" si="21"/>
        <v>#NUM!</v>
      </c>
      <c r="K249" s="97" t="e">
        <f t="shared" si="19"/>
        <v>#NUM!</v>
      </c>
      <c r="L249" s="97"/>
      <c r="M249" s="99">
        <f t="shared" si="20"/>
        <v>0</v>
      </c>
    </row>
    <row r="250" spans="1:13" x14ac:dyDescent="0.25">
      <c r="A250" s="118"/>
      <c r="G250" s="82"/>
      <c r="H250" s="97">
        <v>245</v>
      </c>
      <c r="I250" s="98" t="str">
        <f t="shared" si="18"/>
        <v/>
      </c>
      <c r="J250" s="97" t="e">
        <f t="shared" si="21"/>
        <v>#NUM!</v>
      </c>
      <c r="K250" s="97" t="e">
        <f t="shared" si="19"/>
        <v>#NUM!</v>
      </c>
      <c r="L250" s="97"/>
      <c r="M250" s="99">
        <f t="shared" si="20"/>
        <v>0</v>
      </c>
    </row>
    <row r="251" spans="1:13" x14ac:dyDescent="0.25">
      <c r="A251" s="118"/>
      <c r="G251" s="82"/>
      <c r="H251" s="101">
        <v>246</v>
      </c>
      <c r="I251" s="98" t="str">
        <f t="shared" si="18"/>
        <v/>
      </c>
      <c r="J251" s="97" t="e">
        <f t="shared" si="21"/>
        <v>#NUM!</v>
      </c>
      <c r="K251" s="97" t="e">
        <f t="shared" si="19"/>
        <v>#NUM!</v>
      </c>
      <c r="L251" s="97"/>
      <c r="M251" s="99">
        <f t="shared" si="20"/>
        <v>0</v>
      </c>
    </row>
    <row r="252" spans="1:13" x14ac:dyDescent="0.25">
      <c r="A252" s="118"/>
      <c r="G252" s="82"/>
      <c r="H252" s="97">
        <v>247</v>
      </c>
      <c r="I252" s="98" t="str">
        <f t="shared" si="18"/>
        <v/>
      </c>
      <c r="J252" s="97" t="e">
        <f t="shared" si="21"/>
        <v>#NUM!</v>
      </c>
      <c r="K252" s="97" t="e">
        <f t="shared" si="19"/>
        <v>#NUM!</v>
      </c>
      <c r="L252" s="97"/>
      <c r="M252" s="99">
        <f t="shared" si="20"/>
        <v>0</v>
      </c>
    </row>
    <row r="253" spans="1:13" x14ac:dyDescent="0.25">
      <c r="A253" s="118"/>
      <c r="G253" s="82"/>
      <c r="H253" s="101">
        <v>248</v>
      </c>
      <c r="I253" s="98" t="str">
        <f t="shared" si="18"/>
        <v/>
      </c>
      <c r="J253" s="97" t="e">
        <f t="shared" si="21"/>
        <v>#NUM!</v>
      </c>
      <c r="K253" s="97" t="e">
        <f t="shared" si="19"/>
        <v>#NUM!</v>
      </c>
      <c r="L253" s="97"/>
      <c r="M253" s="99">
        <f t="shared" si="20"/>
        <v>0</v>
      </c>
    </row>
    <row r="254" spans="1:13" x14ac:dyDescent="0.25">
      <c r="A254" s="118"/>
      <c r="G254" s="82"/>
      <c r="H254" s="97">
        <v>249</v>
      </c>
      <c r="I254" s="98" t="str">
        <f t="shared" si="18"/>
        <v/>
      </c>
      <c r="J254" s="97" t="e">
        <f t="shared" si="21"/>
        <v>#NUM!</v>
      </c>
      <c r="K254" s="97" t="e">
        <f t="shared" si="19"/>
        <v>#NUM!</v>
      </c>
      <c r="L254" s="97"/>
      <c r="M254" s="99">
        <f t="shared" si="20"/>
        <v>0</v>
      </c>
    </row>
    <row r="255" spans="1:13" x14ac:dyDescent="0.25">
      <c r="A255" s="118"/>
      <c r="G255" s="82"/>
      <c r="H255" s="101">
        <v>250</v>
      </c>
      <c r="I255" s="98" t="str">
        <f t="shared" si="18"/>
        <v/>
      </c>
      <c r="J255" s="97" t="e">
        <f t="shared" si="21"/>
        <v>#NUM!</v>
      </c>
      <c r="K255" s="97" t="e">
        <f t="shared" si="19"/>
        <v>#NUM!</v>
      </c>
      <c r="L255" s="97"/>
      <c r="M255" s="99">
        <f t="shared" si="20"/>
        <v>0</v>
      </c>
    </row>
    <row r="256" spans="1:13" x14ac:dyDescent="0.25">
      <c r="A256" s="118"/>
      <c r="G256" s="82"/>
      <c r="H256" s="97">
        <v>251</v>
      </c>
      <c r="I256" s="98" t="str">
        <f t="shared" si="18"/>
        <v/>
      </c>
      <c r="J256" s="97" t="e">
        <f t="shared" si="21"/>
        <v>#NUM!</v>
      </c>
      <c r="K256" s="97" t="e">
        <f t="shared" si="19"/>
        <v>#NUM!</v>
      </c>
      <c r="L256" s="97"/>
      <c r="M256" s="99">
        <f t="shared" si="20"/>
        <v>0</v>
      </c>
    </row>
    <row r="257" spans="1:13" x14ac:dyDescent="0.25">
      <c r="A257" s="118"/>
      <c r="G257" s="82"/>
      <c r="H257" s="101">
        <v>252</v>
      </c>
      <c r="I257" s="98" t="str">
        <f t="shared" si="18"/>
        <v/>
      </c>
      <c r="J257" s="97" t="e">
        <f t="shared" si="21"/>
        <v>#NUM!</v>
      </c>
      <c r="K257" s="97" t="e">
        <f t="shared" si="19"/>
        <v>#NUM!</v>
      </c>
      <c r="L257" s="97"/>
      <c r="M257" s="99">
        <f t="shared" si="20"/>
        <v>0</v>
      </c>
    </row>
    <row r="258" spans="1:13" x14ac:dyDescent="0.25">
      <c r="A258" s="118"/>
      <c r="G258" s="82"/>
      <c r="H258" s="97">
        <v>253</v>
      </c>
      <c r="I258" s="98" t="str">
        <f t="shared" si="18"/>
        <v/>
      </c>
      <c r="J258" s="97" t="e">
        <f t="shared" si="21"/>
        <v>#NUM!</v>
      </c>
      <c r="K258" s="97" t="e">
        <f t="shared" si="19"/>
        <v>#NUM!</v>
      </c>
      <c r="L258" s="97"/>
      <c r="M258" s="99">
        <f t="shared" si="20"/>
        <v>0</v>
      </c>
    </row>
    <row r="259" spans="1:13" x14ac:dyDescent="0.25">
      <c r="A259" s="118"/>
      <c r="G259" s="82"/>
      <c r="H259" s="101">
        <v>254</v>
      </c>
      <c r="I259" s="98" t="str">
        <f t="shared" si="18"/>
        <v/>
      </c>
      <c r="J259" s="97" t="e">
        <f t="shared" si="21"/>
        <v>#NUM!</v>
      </c>
      <c r="K259" s="97" t="e">
        <f t="shared" si="19"/>
        <v>#NUM!</v>
      </c>
      <c r="L259" s="97"/>
      <c r="M259" s="99">
        <f t="shared" si="20"/>
        <v>0</v>
      </c>
    </row>
    <row r="260" spans="1:13" x14ac:dyDescent="0.25">
      <c r="A260" s="118"/>
      <c r="G260" s="82"/>
      <c r="H260" s="97">
        <v>255</v>
      </c>
      <c r="I260" s="98" t="str">
        <f t="shared" si="18"/>
        <v/>
      </c>
      <c r="J260" s="97" t="e">
        <f t="shared" si="21"/>
        <v>#NUM!</v>
      </c>
      <c r="K260" s="97" t="e">
        <f t="shared" si="19"/>
        <v>#NUM!</v>
      </c>
      <c r="L260" s="97"/>
      <c r="M260" s="99">
        <f t="shared" si="20"/>
        <v>0</v>
      </c>
    </row>
    <row r="261" spans="1:13" x14ac:dyDescent="0.25">
      <c r="A261" s="118"/>
      <c r="G261" s="82"/>
      <c r="H261" s="101">
        <v>256</v>
      </c>
      <c r="I261" s="98" t="str">
        <f t="shared" si="18"/>
        <v/>
      </c>
      <c r="J261" s="97" t="e">
        <f t="shared" si="21"/>
        <v>#NUM!</v>
      </c>
      <c r="K261" s="97" t="e">
        <f t="shared" si="19"/>
        <v>#NUM!</v>
      </c>
      <c r="L261" s="97"/>
      <c r="M261" s="99">
        <f t="shared" si="20"/>
        <v>0</v>
      </c>
    </row>
    <row r="262" spans="1:13" x14ac:dyDescent="0.25">
      <c r="A262" s="118"/>
      <c r="G262" s="82"/>
      <c r="H262" s="97">
        <v>257</v>
      </c>
      <c r="I262" s="98" t="str">
        <f t="shared" ref="I262:I305" si="22">IF(H262&lt;$H$2+1,($I$2-($I$2-1)*(LOG(H262)/LOG($H$2))),"")</f>
        <v/>
      </c>
      <c r="J262" s="97" t="e">
        <f t="shared" si="21"/>
        <v>#NUM!</v>
      </c>
      <c r="K262" s="97" t="e">
        <f t="shared" ref="K262:K305" si="23">J262*$J$2</f>
        <v>#NUM!</v>
      </c>
      <c r="L262" s="97"/>
      <c r="M262" s="99">
        <f t="shared" ref="M262:M305" si="24">IF(I262&lt;&gt;"",K262+I262+L262,0)</f>
        <v>0</v>
      </c>
    </row>
    <row r="263" spans="1:13" x14ac:dyDescent="0.25">
      <c r="A263" s="118"/>
      <c r="G263" s="82"/>
      <c r="H263" s="101">
        <v>258</v>
      </c>
      <c r="I263" s="98" t="str">
        <f t="shared" si="22"/>
        <v/>
      </c>
      <c r="J263" s="97" t="e">
        <f t="shared" ref="J263:J305" si="25">INT(LOG($H$2,2))-ROUNDUP(LOG(H263,2),0)+IF(OR($H$2=1,$H$2=2,$H$2=4,$H$2=8,$H$2=16,$H$2=32,$H$2=64,$H$2=128,$H$2=256),0,1)</f>
        <v>#NUM!</v>
      </c>
      <c r="K263" s="97" t="e">
        <f t="shared" si="23"/>
        <v>#NUM!</v>
      </c>
      <c r="L263" s="97"/>
      <c r="M263" s="99">
        <f t="shared" si="24"/>
        <v>0</v>
      </c>
    </row>
    <row r="264" spans="1:13" x14ac:dyDescent="0.25">
      <c r="A264" s="118"/>
      <c r="G264" s="82"/>
      <c r="H264" s="97">
        <v>259</v>
      </c>
      <c r="I264" s="98" t="str">
        <f t="shared" si="22"/>
        <v/>
      </c>
      <c r="J264" s="97" t="e">
        <f t="shared" si="25"/>
        <v>#NUM!</v>
      </c>
      <c r="K264" s="97" t="e">
        <f t="shared" si="23"/>
        <v>#NUM!</v>
      </c>
      <c r="L264" s="97"/>
      <c r="M264" s="99">
        <f t="shared" si="24"/>
        <v>0</v>
      </c>
    </row>
    <row r="265" spans="1:13" x14ac:dyDescent="0.25">
      <c r="A265" s="118"/>
      <c r="G265" s="82"/>
      <c r="H265" s="101">
        <v>260</v>
      </c>
      <c r="I265" s="98" t="str">
        <f t="shared" si="22"/>
        <v/>
      </c>
      <c r="J265" s="97" t="e">
        <f t="shared" si="25"/>
        <v>#NUM!</v>
      </c>
      <c r="K265" s="97" t="e">
        <f t="shared" si="23"/>
        <v>#NUM!</v>
      </c>
      <c r="L265" s="97"/>
      <c r="M265" s="99">
        <f t="shared" si="24"/>
        <v>0</v>
      </c>
    </row>
    <row r="266" spans="1:13" x14ac:dyDescent="0.25">
      <c r="A266" s="118"/>
      <c r="G266" s="82"/>
      <c r="H266" s="97">
        <v>261</v>
      </c>
      <c r="I266" s="98" t="str">
        <f t="shared" si="22"/>
        <v/>
      </c>
      <c r="J266" s="97" t="e">
        <f t="shared" si="25"/>
        <v>#NUM!</v>
      </c>
      <c r="K266" s="97" t="e">
        <f t="shared" si="23"/>
        <v>#NUM!</v>
      </c>
      <c r="L266" s="97"/>
      <c r="M266" s="99">
        <f t="shared" si="24"/>
        <v>0</v>
      </c>
    </row>
    <row r="267" spans="1:13" x14ac:dyDescent="0.25">
      <c r="A267" s="118"/>
      <c r="G267" s="82"/>
      <c r="H267" s="101">
        <v>262</v>
      </c>
      <c r="I267" s="98" t="str">
        <f t="shared" si="22"/>
        <v/>
      </c>
      <c r="J267" s="97" t="e">
        <f t="shared" si="25"/>
        <v>#NUM!</v>
      </c>
      <c r="K267" s="97" t="e">
        <f t="shared" si="23"/>
        <v>#NUM!</v>
      </c>
      <c r="L267" s="97"/>
      <c r="M267" s="99">
        <f t="shared" si="24"/>
        <v>0</v>
      </c>
    </row>
    <row r="268" spans="1:13" x14ac:dyDescent="0.25">
      <c r="A268" s="118"/>
      <c r="G268" s="82"/>
      <c r="H268" s="97">
        <v>263</v>
      </c>
      <c r="I268" s="98" t="str">
        <f t="shared" si="22"/>
        <v/>
      </c>
      <c r="J268" s="97" t="e">
        <f t="shared" si="25"/>
        <v>#NUM!</v>
      </c>
      <c r="K268" s="97" t="e">
        <f t="shared" si="23"/>
        <v>#NUM!</v>
      </c>
      <c r="L268" s="97"/>
      <c r="M268" s="99">
        <f t="shared" si="24"/>
        <v>0</v>
      </c>
    </row>
    <row r="269" spans="1:13" x14ac:dyDescent="0.25">
      <c r="A269" s="118"/>
      <c r="G269" s="82"/>
      <c r="H269" s="101">
        <v>264</v>
      </c>
      <c r="I269" s="98" t="str">
        <f t="shared" si="22"/>
        <v/>
      </c>
      <c r="J269" s="97" t="e">
        <f t="shared" si="25"/>
        <v>#NUM!</v>
      </c>
      <c r="K269" s="97" t="e">
        <f t="shared" si="23"/>
        <v>#NUM!</v>
      </c>
      <c r="L269" s="97"/>
      <c r="M269" s="99">
        <f t="shared" si="24"/>
        <v>0</v>
      </c>
    </row>
    <row r="270" spans="1:13" x14ac:dyDescent="0.25">
      <c r="A270" s="118"/>
      <c r="G270" s="82"/>
      <c r="H270" s="97">
        <v>265</v>
      </c>
      <c r="I270" s="98" t="str">
        <f t="shared" si="22"/>
        <v/>
      </c>
      <c r="J270" s="97" t="e">
        <f t="shared" si="25"/>
        <v>#NUM!</v>
      </c>
      <c r="K270" s="97" t="e">
        <f t="shared" si="23"/>
        <v>#NUM!</v>
      </c>
      <c r="L270" s="97"/>
      <c r="M270" s="99">
        <f t="shared" si="24"/>
        <v>0</v>
      </c>
    </row>
    <row r="271" spans="1:13" x14ac:dyDescent="0.25">
      <c r="A271" s="118"/>
      <c r="G271" s="82"/>
      <c r="H271" s="101">
        <v>266</v>
      </c>
      <c r="I271" s="98" t="str">
        <f t="shared" si="22"/>
        <v/>
      </c>
      <c r="J271" s="97" t="e">
        <f t="shared" si="25"/>
        <v>#NUM!</v>
      </c>
      <c r="K271" s="97" t="e">
        <f t="shared" si="23"/>
        <v>#NUM!</v>
      </c>
      <c r="L271" s="97"/>
      <c r="M271" s="99">
        <f t="shared" si="24"/>
        <v>0</v>
      </c>
    </row>
    <row r="272" spans="1:13" x14ac:dyDescent="0.25">
      <c r="A272" s="118"/>
      <c r="G272" s="82"/>
      <c r="H272" s="97">
        <v>267</v>
      </c>
      <c r="I272" s="98" t="str">
        <f t="shared" si="22"/>
        <v/>
      </c>
      <c r="J272" s="97" t="e">
        <f t="shared" si="25"/>
        <v>#NUM!</v>
      </c>
      <c r="K272" s="97" t="e">
        <f t="shared" si="23"/>
        <v>#NUM!</v>
      </c>
      <c r="L272" s="97"/>
      <c r="M272" s="99">
        <f t="shared" si="24"/>
        <v>0</v>
      </c>
    </row>
    <row r="273" spans="1:13" x14ac:dyDescent="0.25">
      <c r="A273" s="118"/>
      <c r="G273" s="82"/>
      <c r="H273" s="101">
        <v>268</v>
      </c>
      <c r="I273" s="98" t="str">
        <f t="shared" si="22"/>
        <v/>
      </c>
      <c r="J273" s="97" t="e">
        <f t="shared" si="25"/>
        <v>#NUM!</v>
      </c>
      <c r="K273" s="97" t="e">
        <f t="shared" si="23"/>
        <v>#NUM!</v>
      </c>
      <c r="L273" s="97"/>
      <c r="M273" s="99">
        <f t="shared" si="24"/>
        <v>0</v>
      </c>
    </row>
    <row r="274" spans="1:13" x14ac:dyDescent="0.25">
      <c r="A274" s="118"/>
      <c r="G274" s="82"/>
      <c r="H274" s="97">
        <v>269</v>
      </c>
      <c r="I274" s="98" t="str">
        <f t="shared" si="22"/>
        <v/>
      </c>
      <c r="J274" s="97" t="e">
        <f t="shared" si="25"/>
        <v>#NUM!</v>
      </c>
      <c r="K274" s="97" t="e">
        <f t="shared" si="23"/>
        <v>#NUM!</v>
      </c>
      <c r="L274" s="97"/>
      <c r="M274" s="99">
        <f t="shared" si="24"/>
        <v>0</v>
      </c>
    </row>
    <row r="275" spans="1:13" x14ac:dyDescent="0.25">
      <c r="A275" s="118"/>
      <c r="G275" s="82"/>
      <c r="H275" s="101">
        <v>270</v>
      </c>
      <c r="I275" s="98" t="str">
        <f t="shared" si="22"/>
        <v/>
      </c>
      <c r="J275" s="97" t="e">
        <f t="shared" si="25"/>
        <v>#NUM!</v>
      </c>
      <c r="K275" s="97" t="e">
        <f t="shared" si="23"/>
        <v>#NUM!</v>
      </c>
      <c r="L275" s="97"/>
      <c r="M275" s="99">
        <f t="shared" si="24"/>
        <v>0</v>
      </c>
    </row>
    <row r="276" spans="1:13" x14ac:dyDescent="0.25">
      <c r="A276" s="118"/>
      <c r="G276" s="82"/>
      <c r="H276" s="97">
        <v>271</v>
      </c>
      <c r="I276" s="98" t="str">
        <f t="shared" si="22"/>
        <v/>
      </c>
      <c r="J276" s="97" t="e">
        <f t="shared" si="25"/>
        <v>#NUM!</v>
      </c>
      <c r="K276" s="97" t="e">
        <f t="shared" si="23"/>
        <v>#NUM!</v>
      </c>
      <c r="L276" s="97"/>
      <c r="M276" s="99">
        <f t="shared" si="24"/>
        <v>0</v>
      </c>
    </row>
    <row r="277" spans="1:13" x14ac:dyDescent="0.25">
      <c r="A277" s="118"/>
      <c r="G277" s="82"/>
      <c r="H277" s="101">
        <v>272</v>
      </c>
      <c r="I277" s="98" t="str">
        <f t="shared" si="22"/>
        <v/>
      </c>
      <c r="J277" s="97" t="e">
        <f t="shared" si="25"/>
        <v>#NUM!</v>
      </c>
      <c r="K277" s="97" t="e">
        <f t="shared" si="23"/>
        <v>#NUM!</v>
      </c>
      <c r="L277" s="97"/>
      <c r="M277" s="99">
        <f t="shared" si="24"/>
        <v>0</v>
      </c>
    </row>
    <row r="278" spans="1:13" x14ac:dyDescent="0.25">
      <c r="A278" s="118"/>
      <c r="G278" s="82"/>
      <c r="H278" s="97">
        <v>273</v>
      </c>
      <c r="I278" s="98" t="str">
        <f t="shared" si="22"/>
        <v/>
      </c>
      <c r="J278" s="97" t="e">
        <f t="shared" si="25"/>
        <v>#NUM!</v>
      </c>
      <c r="K278" s="97" t="e">
        <f t="shared" si="23"/>
        <v>#NUM!</v>
      </c>
      <c r="L278" s="97"/>
      <c r="M278" s="99">
        <f t="shared" si="24"/>
        <v>0</v>
      </c>
    </row>
    <row r="279" spans="1:13" x14ac:dyDescent="0.25">
      <c r="A279" s="118"/>
      <c r="G279" s="82"/>
      <c r="H279" s="101">
        <v>274</v>
      </c>
      <c r="I279" s="98" t="str">
        <f t="shared" si="22"/>
        <v/>
      </c>
      <c r="J279" s="97" t="e">
        <f t="shared" si="25"/>
        <v>#NUM!</v>
      </c>
      <c r="K279" s="97" t="e">
        <f t="shared" si="23"/>
        <v>#NUM!</v>
      </c>
      <c r="L279" s="97"/>
      <c r="M279" s="99">
        <f t="shared" si="24"/>
        <v>0</v>
      </c>
    </row>
    <row r="280" spans="1:13" x14ac:dyDescent="0.25">
      <c r="A280" s="118"/>
      <c r="G280" s="82"/>
      <c r="H280" s="97">
        <v>275</v>
      </c>
      <c r="I280" s="98" t="str">
        <f t="shared" si="22"/>
        <v/>
      </c>
      <c r="J280" s="97" t="e">
        <f t="shared" si="25"/>
        <v>#NUM!</v>
      </c>
      <c r="K280" s="97" t="e">
        <f t="shared" si="23"/>
        <v>#NUM!</v>
      </c>
      <c r="L280" s="97"/>
      <c r="M280" s="99">
        <f t="shared" si="24"/>
        <v>0</v>
      </c>
    </row>
    <row r="281" spans="1:13" x14ac:dyDescent="0.25">
      <c r="A281" s="118"/>
      <c r="G281" s="82"/>
      <c r="H281" s="101">
        <v>276</v>
      </c>
      <c r="I281" s="98" t="str">
        <f t="shared" si="22"/>
        <v/>
      </c>
      <c r="J281" s="97" t="e">
        <f t="shared" si="25"/>
        <v>#NUM!</v>
      </c>
      <c r="K281" s="97" t="e">
        <f t="shared" si="23"/>
        <v>#NUM!</v>
      </c>
      <c r="L281" s="97"/>
      <c r="M281" s="99">
        <f t="shared" si="24"/>
        <v>0</v>
      </c>
    </row>
    <row r="282" spans="1:13" x14ac:dyDescent="0.25">
      <c r="A282" s="118"/>
      <c r="G282" s="82"/>
      <c r="H282" s="97">
        <v>277</v>
      </c>
      <c r="I282" s="98" t="str">
        <f t="shared" si="22"/>
        <v/>
      </c>
      <c r="J282" s="97" t="e">
        <f t="shared" si="25"/>
        <v>#NUM!</v>
      </c>
      <c r="K282" s="97" t="e">
        <f t="shared" si="23"/>
        <v>#NUM!</v>
      </c>
      <c r="L282" s="97"/>
      <c r="M282" s="99">
        <f t="shared" si="24"/>
        <v>0</v>
      </c>
    </row>
    <row r="283" spans="1:13" x14ac:dyDescent="0.25">
      <c r="A283" s="118"/>
      <c r="G283" s="82"/>
      <c r="H283" s="101">
        <v>278</v>
      </c>
      <c r="I283" s="98" t="str">
        <f t="shared" si="22"/>
        <v/>
      </c>
      <c r="J283" s="97" t="e">
        <f t="shared" si="25"/>
        <v>#NUM!</v>
      </c>
      <c r="K283" s="97" t="e">
        <f t="shared" si="23"/>
        <v>#NUM!</v>
      </c>
      <c r="L283" s="97"/>
      <c r="M283" s="99">
        <f t="shared" si="24"/>
        <v>0</v>
      </c>
    </row>
    <row r="284" spans="1:13" x14ac:dyDescent="0.25">
      <c r="A284" s="118"/>
      <c r="G284" s="82"/>
      <c r="H284" s="97">
        <v>279</v>
      </c>
      <c r="I284" s="98" t="str">
        <f t="shared" si="22"/>
        <v/>
      </c>
      <c r="J284" s="97" t="e">
        <f t="shared" si="25"/>
        <v>#NUM!</v>
      </c>
      <c r="K284" s="97" t="e">
        <f t="shared" si="23"/>
        <v>#NUM!</v>
      </c>
      <c r="L284" s="97"/>
      <c r="M284" s="99">
        <f t="shared" si="24"/>
        <v>0</v>
      </c>
    </row>
    <row r="285" spans="1:13" x14ac:dyDescent="0.25">
      <c r="A285" s="118"/>
      <c r="G285" s="82"/>
      <c r="H285" s="101">
        <v>280</v>
      </c>
      <c r="I285" s="98" t="str">
        <f t="shared" si="22"/>
        <v/>
      </c>
      <c r="J285" s="97" t="e">
        <f t="shared" si="25"/>
        <v>#NUM!</v>
      </c>
      <c r="K285" s="97" t="e">
        <f t="shared" si="23"/>
        <v>#NUM!</v>
      </c>
      <c r="L285" s="97"/>
      <c r="M285" s="99">
        <f t="shared" si="24"/>
        <v>0</v>
      </c>
    </row>
    <row r="286" spans="1:13" x14ac:dyDescent="0.25">
      <c r="A286" s="118"/>
      <c r="G286" s="82"/>
      <c r="H286" s="97">
        <v>281</v>
      </c>
      <c r="I286" s="98" t="str">
        <f t="shared" si="22"/>
        <v/>
      </c>
      <c r="J286" s="97" t="e">
        <f t="shared" si="25"/>
        <v>#NUM!</v>
      </c>
      <c r="K286" s="97" t="e">
        <f t="shared" si="23"/>
        <v>#NUM!</v>
      </c>
      <c r="L286" s="97"/>
      <c r="M286" s="99">
        <f t="shared" si="24"/>
        <v>0</v>
      </c>
    </row>
    <row r="287" spans="1:13" x14ac:dyDescent="0.25">
      <c r="A287" s="118"/>
      <c r="G287" s="82"/>
      <c r="H287" s="101">
        <v>282</v>
      </c>
      <c r="I287" s="98" t="str">
        <f t="shared" si="22"/>
        <v/>
      </c>
      <c r="J287" s="97" t="e">
        <f t="shared" si="25"/>
        <v>#NUM!</v>
      </c>
      <c r="K287" s="97" t="e">
        <f t="shared" si="23"/>
        <v>#NUM!</v>
      </c>
      <c r="L287" s="97"/>
      <c r="M287" s="99">
        <f t="shared" si="24"/>
        <v>0</v>
      </c>
    </row>
    <row r="288" spans="1:13" x14ac:dyDescent="0.25">
      <c r="A288" s="118"/>
      <c r="G288" s="82"/>
      <c r="H288" s="97">
        <v>283</v>
      </c>
      <c r="I288" s="98" t="str">
        <f t="shared" si="22"/>
        <v/>
      </c>
      <c r="J288" s="97" t="e">
        <f t="shared" si="25"/>
        <v>#NUM!</v>
      </c>
      <c r="K288" s="97" t="e">
        <f t="shared" si="23"/>
        <v>#NUM!</v>
      </c>
      <c r="L288" s="97"/>
      <c r="M288" s="99">
        <f t="shared" si="24"/>
        <v>0</v>
      </c>
    </row>
    <row r="289" spans="1:13" x14ac:dyDescent="0.25">
      <c r="A289" s="118"/>
      <c r="G289" s="82"/>
      <c r="H289" s="101">
        <v>284</v>
      </c>
      <c r="I289" s="98" t="str">
        <f t="shared" si="22"/>
        <v/>
      </c>
      <c r="J289" s="97" t="e">
        <f t="shared" si="25"/>
        <v>#NUM!</v>
      </c>
      <c r="K289" s="97" t="e">
        <f t="shared" si="23"/>
        <v>#NUM!</v>
      </c>
      <c r="L289" s="97"/>
      <c r="M289" s="99">
        <f t="shared" si="24"/>
        <v>0</v>
      </c>
    </row>
    <row r="290" spans="1:13" x14ac:dyDescent="0.25">
      <c r="A290" s="118"/>
      <c r="G290" s="82"/>
      <c r="H290" s="97">
        <v>285</v>
      </c>
      <c r="I290" s="98" t="str">
        <f t="shared" si="22"/>
        <v/>
      </c>
      <c r="J290" s="97" t="e">
        <f t="shared" si="25"/>
        <v>#NUM!</v>
      </c>
      <c r="K290" s="97" t="e">
        <f t="shared" si="23"/>
        <v>#NUM!</v>
      </c>
      <c r="L290" s="97"/>
      <c r="M290" s="99">
        <f t="shared" si="24"/>
        <v>0</v>
      </c>
    </row>
    <row r="291" spans="1:13" x14ac:dyDescent="0.25">
      <c r="A291" s="118"/>
      <c r="G291" s="82"/>
      <c r="H291" s="101">
        <v>286</v>
      </c>
      <c r="I291" s="98" t="str">
        <f t="shared" si="22"/>
        <v/>
      </c>
      <c r="J291" s="97" t="e">
        <f t="shared" si="25"/>
        <v>#NUM!</v>
      </c>
      <c r="K291" s="97" t="e">
        <f t="shared" si="23"/>
        <v>#NUM!</v>
      </c>
      <c r="L291" s="97"/>
      <c r="M291" s="99">
        <f t="shared" si="24"/>
        <v>0</v>
      </c>
    </row>
    <row r="292" spans="1:13" x14ac:dyDescent="0.25">
      <c r="A292" s="118"/>
      <c r="G292" s="82"/>
      <c r="H292" s="97">
        <v>287</v>
      </c>
      <c r="I292" s="98" t="str">
        <f t="shared" si="22"/>
        <v/>
      </c>
      <c r="J292" s="97" t="e">
        <f t="shared" si="25"/>
        <v>#NUM!</v>
      </c>
      <c r="K292" s="97" t="e">
        <f t="shared" si="23"/>
        <v>#NUM!</v>
      </c>
      <c r="L292" s="97"/>
      <c r="M292" s="99">
        <f t="shared" si="24"/>
        <v>0</v>
      </c>
    </row>
    <row r="293" spans="1:13" x14ac:dyDescent="0.25">
      <c r="A293" s="118"/>
      <c r="G293" s="82"/>
      <c r="H293" s="97">
        <v>288</v>
      </c>
      <c r="I293" s="98" t="str">
        <f t="shared" si="22"/>
        <v/>
      </c>
      <c r="J293" s="97" t="e">
        <f t="shared" si="25"/>
        <v>#NUM!</v>
      </c>
      <c r="K293" s="97" t="e">
        <f t="shared" si="23"/>
        <v>#NUM!</v>
      </c>
      <c r="L293" s="97"/>
      <c r="M293" s="99">
        <f t="shared" si="24"/>
        <v>0</v>
      </c>
    </row>
    <row r="294" spans="1:13" x14ac:dyDescent="0.25">
      <c r="A294" s="118"/>
      <c r="G294" s="82"/>
      <c r="H294" s="97">
        <v>289</v>
      </c>
      <c r="I294" s="98" t="str">
        <f t="shared" si="22"/>
        <v/>
      </c>
      <c r="J294" s="97" t="e">
        <f t="shared" si="25"/>
        <v>#NUM!</v>
      </c>
      <c r="K294" s="97" t="e">
        <f t="shared" si="23"/>
        <v>#NUM!</v>
      </c>
      <c r="L294" s="97"/>
      <c r="M294" s="99">
        <f t="shared" si="24"/>
        <v>0</v>
      </c>
    </row>
    <row r="295" spans="1:13" x14ac:dyDescent="0.25">
      <c r="A295" s="118"/>
      <c r="G295" s="82"/>
      <c r="H295" s="97">
        <v>290</v>
      </c>
      <c r="I295" s="98" t="str">
        <f t="shared" si="22"/>
        <v/>
      </c>
      <c r="J295" s="97" t="e">
        <f t="shared" si="25"/>
        <v>#NUM!</v>
      </c>
      <c r="K295" s="97" t="e">
        <f t="shared" si="23"/>
        <v>#NUM!</v>
      </c>
      <c r="L295" s="97"/>
      <c r="M295" s="99">
        <f t="shared" si="24"/>
        <v>0</v>
      </c>
    </row>
    <row r="296" spans="1:13" x14ac:dyDescent="0.25">
      <c r="A296" s="118"/>
      <c r="G296" s="82"/>
      <c r="H296" s="97">
        <v>291</v>
      </c>
      <c r="I296" s="98" t="str">
        <f t="shared" si="22"/>
        <v/>
      </c>
      <c r="J296" s="97" t="e">
        <f t="shared" si="25"/>
        <v>#NUM!</v>
      </c>
      <c r="K296" s="97" t="e">
        <f t="shared" si="23"/>
        <v>#NUM!</v>
      </c>
      <c r="L296" s="97"/>
      <c r="M296" s="99">
        <f t="shared" si="24"/>
        <v>0</v>
      </c>
    </row>
    <row r="297" spans="1:13" x14ac:dyDescent="0.25">
      <c r="A297" s="118"/>
      <c r="G297" s="82"/>
      <c r="H297" s="97">
        <v>292</v>
      </c>
      <c r="I297" s="98" t="str">
        <f t="shared" si="22"/>
        <v/>
      </c>
      <c r="J297" s="97" t="e">
        <f t="shared" si="25"/>
        <v>#NUM!</v>
      </c>
      <c r="K297" s="97" t="e">
        <f t="shared" si="23"/>
        <v>#NUM!</v>
      </c>
      <c r="L297" s="97"/>
      <c r="M297" s="99">
        <f t="shared" si="24"/>
        <v>0</v>
      </c>
    </row>
    <row r="298" spans="1:13" x14ac:dyDescent="0.25">
      <c r="A298" s="118"/>
      <c r="G298" s="82"/>
      <c r="H298" s="97">
        <v>293</v>
      </c>
      <c r="I298" s="98" t="str">
        <f t="shared" si="22"/>
        <v/>
      </c>
      <c r="J298" s="97" t="e">
        <f t="shared" si="25"/>
        <v>#NUM!</v>
      </c>
      <c r="K298" s="97" t="e">
        <f t="shared" si="23"/>
        <v>#NUM!</v>
      </c>
      <c r="L298" s="97"/>
      <c r="M298" s="99">
        <f t="shared" si="24"/>
        <v>0</v>
      </c>
    </row>
    <row r="299" spans="1:13" x14ac:dyDescent="0.25">
      <c r="A299" s="118"/>
      <c r="G299" s="82"/>
      <c r="H299" s="97">
        <v>294</v>
      </c>
      <c r="I299" s="98" t="str">
        <f t="shared" si="22"/>
        <v/>
      </c>
      <c r="J299" s="97" t="e">
        <f t="shared" si="25"/>
        <v>#NUM!</v>
      </c>
      <c r="K299" s="97" t="e">
        <f t="shared" si="23"/>
        <v>#NUM!</v>
      </c>
      <c r="L299" s="97"/>
      <c r="M299" s="99">
        <f t="shared" si="24"/>
        <v>0</v>
      </c>
    </row>
    <row r="300" spans="1:13" x14ac:dyDescent="0.25">
      <c r="A300" s="118"/>
      <c r="G300" s="82"/>
      <c r="H300" s="97">
        <v>295</v>
      </c>
      <c r="I300" s="98" t="str">
        <f t="shared" si="22"/>
        <v/>
      </c>
      <c r="J300" s="97" t="e">
        <f t="shared" si="25"/>
        <v>#NUM!</v>
      </c>
      <c r="K300" s="97" t="e">
        <f t="shared" si="23"/>
        <v>#NUM!</v>
      </c>
      <c r="L300" s="97"/>
      <c r="M300" s="99">
        <f t="shared" si="24"/>
        <v>0</v>
      </c>
    </row>
    <row r="301" spans="1:13" x14ac:dyDescent="0.25">
      <c r="A301" s="118"/>
      <c r="G301" s="82"/>
      <c r="H301" s="97">
        <v>296</v>
      </c>
      <c r="I301" s="98" t="str">
        <f t="shared" si="22"/>
        <v/>
      </c>
      <c r="J301" s="97" t="e">
        <f t="shared" si="25"/>
        <v>#NUM!</v>
      </c>
      <c r="K301" s="97" t="e">
        <f t="shared" si="23"/>
        <v>#NUM!</v>
      </c>
      <c r="L301" s="97"/>
      <c r="M301" s="99">
        <f t="shared" si="24"/>
        <v>0</v>
      </c>
    </row>
    <row r="302" spans="1:13" x14ac:dyDescent="0.25">
      <c r="A302" s="118"/>
      <c r="G302" s="82"/>
      <c r="H302" s="97">
        <v>297</v>
      </c>
      <c r="I302" s="98" t="str">
        <f t="shared" si="22"/>
        <v/>
      </c>
      <c r="J302" s="97" t="e">
        <f t="shared" si="25"/>
        <v>#NUM!</v>
      </c>
      <c r="K302" s="97" t="e">
        <f t="shared" si="23"/>
        <v>#NUM!</v>
      </c>
      <c r="L302" s="97"/>
      <c r="M302" s="99">
        <f t="shared" si="24"/>
        <v>0</v>
      </c>
    </row>
    <row r="303" spans="1:13" x14ac:dyDescent="0.25">
      <c r="A303" s="118"/>
      <c r="G303" s="82"/>
      <c r="H303" s="97">
        <v>298</v>
      </c>
      <c r="I303" s="98" t="str">
        <f t="shared" si="22"/>
        <v/>
      </c>
      <c r="J303" s="97" t="e">
        <f t="shared" si="25"/>
        <v>#NUM!</v>
      </c>
      <c r="K303" s="97" t="e">
        <f t="shared" si="23"/>
        <v>#NUM!</v>
      </c>
      <c r="L303" s="97"/>
      <c r="M303" s="99">
        <f t="shared" si="24"/>
        <v>0</v>
      </c>
    </row>
    <row r="304" spans="1:13" x14ac:dyDescent="0.25">
      <c r="A304" s="118"/>
      <c r="G304" s="82"/>
      <c r="H304" s="97">
        <v>299</v>
      </c>
      <c r="I304" s="98" t="str">
        <f t="shared" si="22"/>
        <v/>
      </c>
      <c r="J304" s="97" t="e">
        <f t="shared" si="25"/>
        <v>#NUM!</v>
      </c>
      <c r="K304" s="97" t="e">
        <f t="shared" si="23"/>
        <v>#NUM!</v>
      </c>
      <c r="L304" s="97"/>
      <c r="M304" s="99">
        <f t="shared" si="24"/>
        <v>0</v>
      </c>
    </row>
    <row r="305" spans="1:16" x14ac:dyDescent="0.25">
      <c r="A305" s="118"/>
      <c r="G305" s="82"/>
      <c r="H305" s="97">
        <v>300</v>
      </c>
      <c r="I305" s="98" t="str">
        <f t="shared" si="22"/>
        <v/>
      </c>
      <c r="J305" s="97" t="e">
        <f t="shared" si="25"/>
        <v>#NUM!</v>
      </c>
      <c r="K305" s="97" t="e">
        <f t="shared" si="23"/>
        <v>#NUM!</v>
      </c>
      <c r="L305" s="97"/>
      <c r="M305" s="99">
        <f t="shared" si="24"/>
        <v>0</v>
      </c>
    </row>
    <row r="306" spans="1:16" x14ac:dyDescent="0.25">
      <c r="A306" s="119"/>
    </row>
    <row r="314" spans="1:16" x14ac:dyDescent="0.25">
      <c r="L314" s="122"/>
      <c r="P314" s="109"/>
    </row>
    <row r="315" spans="1:16" x14ac:dyDescent="0.25">
      <c r="L315" s="122"/>
      <c r="P315" s="109"/>
    </row>
    <row r="316" spans="1:16" x14ac:dyDescent="0.25">
      <c r="L316" s="122"/>
      <c r="P316" s="109"/>
    </row>
    <row r="317" spans="1:16" x14ac:dyDescent="0.25">
      <c r="L317" s="122"/>
      <c r="P317" s="109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D639-65D4-4E47-B3D9-0A6E24CE0DF1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ht="14.45" customHeight="1" x14ac:dyDescent="0.25">
      <c r="A2" s="164"/>
      <c r="B2" s="20" t="s">
        <v>26</v>
      </c>
      <c r="C2" s="170" t="s">
        <v>93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202">
        <f>3*H2^(1/3)</f>
        <v>0</v>
      </c>
      <c r="L2" s="168"/>
      <c r="M2" s="168"/>
    </row>
    <row r="3" spans="1:36" ht="14.45" customHeight="1" x14ac:dyDescent="0.25">
      <c r="A3" s="164"/>
      <c r="B3" s="174" t="s">
        <v>28</v>
      </c>
      <c r="C3" s="70" t="s">
        <v>94</v>
      </c>
      <c r="D3" s="70"/>
      <c r="E3" s="26"/>
      <c r="F3" s="26"/>
      <c r="G3" s="26"/>
      <c r="H3" s="168"/>
      <c r="I3" s="168"/>
      <c r="J3" s="175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75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8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9">
        <v>1</v>
      </c>
      <c r="I6" s="180" t="str">
        <f t="shared" ref="I6:I69" si="1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0">
        <f t="shared" ref="A7:A60" si="4">M7</f>
        <v>0</v>
      </c>
      <c r="B7" s="40" t="str">
        <f t="shared" si="0"/>
        <v/>
      </c>
      <c r="C7" s="41"/>
      <c r="D7" s="41"/>
      <c r="E7" s="41"/>
      <c r="F7" s="41"/>
      <c r="G7" s="28"/>
      <c r="H7" s="182">
        <v>2</v>
      </c>
      <c r="I7" s="183" t="str">
        <f t="shared" si="1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9">
        <v>3</v>
      </c>
      <c r="I8" s="180" t="str">
        <f t="shared" si="1"/>
        <v/>
      </c>
      <c r="J8" s="179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69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9">
        <v>5</v>
      </c>
      <c r="I10" s="180" t="str">
        <f t="shared" si="1"/>
        <v/>
      </c>
      <c r="J10" s="179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2">
        <v>6</v>
      </c>
      <c r="I11" s="183" t="str">
        <f t="shared" si="1"/>
        <v/>
      </c>
      <c r="J11" s="182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9">
        <v>7</v>
      </c>
      <c r="I12" s="180" t="str">
        <f t="shared" si="1"/>
        <v/>
      </c>
      <c r="J12" s="179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2">
        <v>8</v>
      </c>
      <c r="I13" s="183" t="str">
        <f t="shared" si="1"/>
        <v/>
      </c>
      <c r="J13" s="182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9">
        <v>9</v>
      </c>
      <c r="I14" s="180" t="str">
        <f t="shared" si="1"/>
        <v/>
      </c>
      <c r="J14" s="179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2">
        <v>10</v>
      </c>
      <c r="I15" s="183" t="str">
        <f t="shared" si="1"/>
        <v/>
      </c>
      <c r="J15" s="182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9">
        <v>11</v>
      </c>
      <c r="I16" s="180" t="str">
        <f t="shared" si="1"/>
        <v/>
      </c>
      <c r="J16" s="179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2">
        <v>12</v>
      </c>
      <c r="I17" s="183" t="str">
        <f t="shared" si="1"/>
        <v/>
      </c>
      <c r="J17" s="182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9">
        <v>13</v>
      </c>
      <c r="I18" s="180" t="str">
        <f t="shared" si="1"/>
        <v/>
      </c>
      <c r="J18" s="179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2">
        <v>14</v>
      </c>
      <c r="I19" s="183" t="str">
        <f t="shared" si="1"/>
        <v/>
      </c>
      <c r="J19" s="182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9">
        <v>15</v>
      </c>
      <c r="I20" s="180" t="str">
        <f t="shared" si="1"/>
        <v/>
      </c>
      <c r="J20" s="179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2">
        <v>16</v>
      </c>
      <c r="I21" s="183" t="str">
        <f t="shared" si="1"/>
        <v/>
      </c>
      <c r="J21" s="182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9">
        <v>17</v>
      </c>
      <c r="I22" s="180" t="str">
        <f t="shared" si="1"/>
        <v/>
      </c>
      <c r="J22" s="179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2">
        <v>18</v>
      </c>
      <c r="I23" s="183" t="str">
        <f t="shared" si="1"/>
        <v/>
      </c>
      <c r="J23" s="182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9">
        <v>19</v>
      </c>
      <c r="I24" s="180" t="str">
        <f t="shared" si="1"/>
        <v/>
      </c>
      <c r="J24" s="179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2">
        <v>20</v>
      </c>
      <c r="I25" s="183" t="str">
        <f t="shared" si="1"/>
        <v/>
      </c>
      <c r="J25" s="182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9">
        <v>21</v>
      </c>
      <c r="I26" s="180" t="str">
        <f t="shared" si="1"/>
        <v/>
      </c>
      <c r="J26" s="179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2">
        <v>22</v>
      </c>
      <c r="I27" s="183" t="str">
        <f t="shared" si="1"/>
        <v/>
      </c>
      <c r="J27" s="182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9">
        <v>23</v>
      </c>
      <c r="I28" s="180" t="str">
        <f t="shared" si="1"/>
        <v/>
      </c>
      <c r="J28" s="179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82">
        <v>24</v>
      </c>
      <c r="I29" s="183" t="str">
        <f t="shared" si="1"/>
        <v/>
      </c>
      <c r="J29" s="182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9">
        <v>25</v>
      </c>
      <c r="I30" s="180" t="str">
        <f t="shared" si="1"/>
        <v/>
      </c>
      <c r="J30" s="179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82">
        <v>26</v>
      </c>
      <c r="I31" s="183" t="str">
        <f t="shared" si="1"/>
        <v/>
      </c>
      <c r="J31" s="182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9">
        <v>27</v>
      </c>
      <c r="I32" s="180" t="str">
        <f t="shared" si="1"/>
        <v/>
      </c>
      <c r="J32" s="179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82">
        <v>28</v>
      </c>
      <c r="I33" s="183" t="str">
        <f t="shared" si="1"/>
        <v/>
      </c>
      <c r="J33" s="182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9">
        <v>29</v>
      </c>
      <c r="I34" s="180" t="str">
        <f t="shared" si="1"/>
        <v/>
      </c>
      <c r="J34" s="179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82">
        <v>30</v>
      </c>
      <c r="I35" s="183" t="str">
        <f t="shared" si="1"/>
        <v/>
      </c>
      <c r="J35" s="182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9">
        <v>31</v>
      </c>
      <c r="I36" s="180" t="str">
        <f t="shared" si="1"/>
        <v/>
      </c>
      <c r="J36" s="179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82">
        <v>32</v>
      </c>
      <c r="I37" s="183" t="str">
        <f t="shared" si="1"/>
        <v/>
      </c>
      <c r="J37" s="182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9">
        <v>33</v>
      </c>
      <c r="I38" s="180" t="str">
        <f t="shared" si="1"/>
        <v/>
      </c>
      <c r="J38" s="179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82">
        <v>34</v>
      </c>
      <c r="I39" s="183" t="str">
        <f t="shared" si="1"/>
        <v/>
      </c>
      <c r="J39" s="182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9">
        <v>35</v>
      </c>
      <c r="I40" s="180" t="str">
        <f t="shared" si="1"/>
        <v/>
      </c>
      <c r="J40" s="179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82">
        <v>36</v>
      </c>
      <c r="I41" s="183" t="str">
        <f t="shared" si="1"/>
        <v/>
      </c>
      <c r="J41" s="182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9">
        <v>37</v>
      </c>
      <c r="I42" s="180" t="str">
        <f t="shared" si="1"/>
        <v/>
      </c>
      <c r="J42" s="179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82">
        <v>38</v>
      </c>
      <c r="I43" s="183" t="str">
        <f t="shared" si="1"/>
        <v/>
      </c>
      <c r="J43" s="182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9">
        <v>39</v>
      </c>
      <c r="I44" s="180" t="str">
        <f t="shared" si="1"/>
        <v/>
      </c>
      <c r="J44" s="179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82">
        <v>40</v>
      </c>
      <c r="I45" s="183" t="str">
        <f t="shared" si="1"/>
        <v/>
      </c>
      <c r="J45" s="182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9">
        <v>41</v>
      </c>
      <c r="I46" s="180" t="str">
        <f t="shared" si="1"/>
        <v/>
      </c>
      <c r="J46" s="179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82">
        <v>42</v>
      </c>
      <c r="I47" s="183" t="str">
        <f t="shared" si="1"/>
        <v/>
      </c>
      <c r="J47" s="182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9">
        <v>43</v>
      </c>
      <c r="I48" s="180" t="str">
        <f t="shared" si="1"/>
        <v/>
      </c>
      <c r="J48" s="179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82">
        <v>44</v>
      </c>
      <c r="I49" s="183" t="str">
        <f t="shared" si="1"/>
        <v/>
      </c>
      <c r="J49" s="182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9">
        <v>45</v>
      </c>
      <c r="I50" s="180" t="str">
        <f t="shared" si="1"/>
        <v/>
      </c>
      <c r="J50" s="179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82">
        <v>46</v>
      </c>
      <c r="I51" s="183" t="str">
        <f t="shared" si="1"/>
        <v/>
      </c>
      <c r="J51" s="182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9">
        <v>47</v>
      </c>
      <c r="I52" s="180" t="str">
        <f t="shared" si="1"/>
        <v/>
      </c>
      <c r="J52" s="179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82">
        <v>48</v>
      </c>
      <c r="I53" s="183" t="str">
        <f t="shared" si="1"/>
        <v/>
      </c>
      <c r="J53" s="182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9">
        <v>49</v>
      </c>
      <c r="I54" s="180" t="str">
        <f t="shared" si="1"/>
        <v/>
      </c>
      <c r="J54" s="179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82">
        <v>50</v>
      </c>
      <c r="I55" s="183" t="str">
        <f t="shared" si="1"/>
        <v/>
      </c>
      <c r="J55" s="182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9">
        <v>51</v>
      </c>
      <c r="I56" s="180" t="str">
        <f t="shared" si="1"/>
        <v/>
      </c>
      <c r="J56" s="179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164"/>
      <c r="H57" s="182">
        <v>52</v>
      </c>
      <c r="I57" s="183" t="str">
        <f t="shared" si="1"/>
        <v/>
      </c>
      <c r="J57" s="182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164"/>
      <c r="H58" s="179">
        <v>53</v>
      </c>
      <c r="I58" s="180" t="str">
        <f t="shared" si="1"/>
        <v/>
      </c>
      <c r="J58" s="179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164"/>
      <c r="H59" s="182">
        <v>54</v>
      </c>
      <c r="I59" s="183" t="str">
        <f t="shared" si="1"/>
        <v/>
      </c>
      <c r="J59" s="182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164"/>
      <c r="H60" s="179">
        <v>55</v>
      </c>
      <c r="I60" s="180" t="str">
        <f t="shared" si="1"/>
        <v/>
      </c>
      <c r="J60" s="179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</row>
    <row r="61" spans="1:13" x14ac:dyDescent="0.25">
      <c r="A61" s="100"/>
      <c r="B61" s="40" t="str">
        <f t="shared" si="0"/>
        <v/>
      </c>
      <c r="C61" s="41"/>
      <c r="D61" s="41"/>
      <c r="E61" s="41"/>
      <c r="F61" s="41"/>
      <c r="G61" s="164"/>
      <c r="H61" s="182">
        <v>56</v>
      </c>
      <c r="I61" s="183" t="str">
        <f t="shared" si="1"/>
        <v/>
      </c>
      <c r="J61" s="182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</row>
    <row r="62" spans="1:13" x14ac:dyDescent="0.25">
      <c r="A62" s="96"/>
      <c r="B62" s="34" t="str">
        <f t="shared" si="0"/>
        <v/>
      </c>
      <c r="C62" s="35"/>
      <c r="D62" s="35"/>
      <c r="E62" s="35"/>
      <c r="F62" s="35"/>
      <c r="G62" s="164"/>
      <c r="H62" s="179">
        <v>57</v>
      </c>
      <c r="I62" s="180" t="str">
        <f t="shared" si="1"/>
        <v/>
      </c>
      <c r="J62" s="179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</row>
    <row r="63" spans="1:13" x14ac:dyDescent="0.25">
      <c r="A63" s="100"/>
      <c r="B63" s="40" t="str">
        <f t="shared" si="0"/>
        <v/>
      </c>
      <c r="C63" s="41"/>
      <c r="D63" s="41"/>
      <c r="E63" s="41"/>
      <c r="F63" s="41"/>
      <c r="G63" s="164"/>
      <c r="H63" s="182">
        <v>58</v>
      </c>
      <c r="I63" s="183" t="str">
        <f t="shared" si="1"/>
        <v/>
      </c>
      <c r="J63" s="182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</row>
    <row r="64" spans="1:13" x14ac:dyDescent="0.25">
      <c r="A64" s="96"/>
      <c r="B64" s="34" t="str">
        <f t="shared" si="0"/>
        <v/>
      </c>
      <c r="C64" s="35"/>
      <c r="D64" s="35"/>
      <c r="E64" s="35"/>
      <c r="F64" s="35"/>
      <c r="G64" s="164"/>
      <c r="H64" s="179">
        <v>59</v>
      </c>
      <c r="I64" s="180" t="str">
        <f t="shared" si="1"/>
        <v/>
      </c>
      <c r="J64" s="179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</row>
    <row r="65" spans="1:13" x14ac:dyDescent="0.25">
      <c r="A65" s="100"/>
      <c r="B65" s="40" t="str">
        <f t="shared" si="0"/>
        <v/>
      </c>
      <c r="C65" s="41"/>
      <c r="D65" s="41"/>
      <c r="E65" s="41"/>
      <c r="F65" s="41"/>
      <c r="G65" s="164"/>
      <c r="H65" s="182">
        <v>60</v>
      </c>
      <c r="I65" s="183" t="str">
        <f t="shared" si="1"/>
        <v/>
      </c>
      <c r="J65" s="182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</row>
    <row r="66" spans="1:13" x14ac:dyDescent="0.25">
      <c r="A66" s="96"/>
      <c r="B66" s="34"/>
      <c r="G66" s="164"/>
      <c r="H66" s="179">
        <v>61</v>
      </c>
      <c r="I66" s="180" t="str">
        <f t="shared" si="1"/>
        <v/>
      </c>
      <c r="J66" s="179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</row>
    <row r="67" spans="1:13" x14ac:dyDescent="0.25">
      <c r="A67" s="100"/>
      <c r="B67" s="40"/>
      <c r="G67" s="164"/>
      <c r="H67" s="179">
        <v>62</v>
      </c>
      <c r="I67" s="180" t="str">
        <f t="shared" si="1"/>
        <v/>
      </c>
      <c r="J67" s="179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</row>
    <row r="68" spans="1:13" x14ac:dyDescent="0.25">
      <c r="A68" s="96"/>
      <c r="B68" s="34"/>
      <c r="G68" s="164"/>
      <c r="H68" s="179">
        <v>63</v>
      </c>
      <c r="I68" s="180" t="str">
        <f t="shared" si="1"/>
        <v/>
      </c>
      <c r="J68" s="179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</row>
    <row r="69" spans="1:13" x14ac:dyDescent="0.25">
      <c r="A69" s="100"/>
      <c r="B69" s="40"/>
      <c r="G69" s="164"/>
      <c r="H69" s="179">
        <v>64</v>
      </c>
      <c r="I69" s="180" t="str">
        <f t="shared" si="1"/>
        <v/>
      </c>
      <c r="J69" s="179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</row>
    <row r="70" spans="1:13" x14ac:dyDescent="0.25">
      <c r="A70" s="197"/>
      <c r="G70" s="164"/>
      <c r="H70" s="179">
        <v>65</v>
      </c>
      <c r="I70" s="180" t="str">
        <f t="shared" ref="I70:I133" si="6">IF(H70&lt;$H$2+1,($I$2-($I$2-1)*(LOG(H70)/LOG($H$2))),"")</f>
        <v/>
      </c>
      <c r="J70" s="179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97"/>
      <c r="G71" s="164"/>
      <c r="H71" s="179">
        <v>66</v>
      </c>
      <c r="I71" s="180" t="str">
        <f t="shared" si="6"/>
        <v/>
      </c>
      <c r="J71" s="179" t="e">
        <f t="shared" ref="J71:J134" si="9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97"/>
      <c r="G72" s="164"/>
      <c r="H72" s="179">
        <v>67</v>
      </c>
      <c r="I72" s="180" t="str">
        <f t="shared" si="6"/>
        <v/>
      </c>
      <c r="J72" s="179" t="e">
        <f t="shared" si="9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97"/>
      <c r="G73" s="164"/>
      <c r="H73" s="179">
        <v>68</v>
      </c>
      <c r="I73" s="180" t="str">
        <f t="shared" si="6"/>
        <v/>
      </c>
      <c r="J73" s="179" t="e">
        <f t="shared" si="9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97"/>
      <c r="G74" s="164"/>
      <c r="H74" s="179">
        <v>69</v>
      </c>
      <c r="I74" s="180" t="str">
        <f t="shared" si="6"/>
        <v/>
      </c>
      <c r="J74" s="179" t="e">
        <f t="shared" si="9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97"/>
      <c r="G75" s="164"/>
      <c r="H75" s="179">
        <v>70</v>
      </c>
      <c r="I75" s="180" t="str">
        <f t="shared" si="6"/>
        <v/>
      </c>
      <c r="J75" s="179" t="e">
        <f t="shared" si="9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97"/>
      <c r="G76" s="164"/>
      <c r="H76" s="179">
        <v>71</v>
      </c>
      <c r="I76" s="180" t="str">
        <f t="shared" si="6"/>
        <v/>
      </c>
      <c r="J76" s="179" t="e">
        <f t="shared" si="9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97"/>
      <c r="G77" s="164"/>
      <c r="H77" s="179">
        <v>72</v>
      </c>
      <c r="I77" s="180" t="str">
        <f t="shared" si="6"/>
        <v/>
      </c>
      <c r="J77" s="179" t="e">
        <f t="shared" si="9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97"/>
      <c r="G78" s="164"/>
      <c r="H78" s="179">
        <v>73</v>
      </c>
      <c r="I78" s="180" t="str">
        <f t="shared" si="6"/>
        <v/>
      </c>
      <c r="J78" s="179" t="e">
        <f t="shared" si="9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97"/>
      <c r="G79" s="164"/>
      <c r="H79" s="179">
        <v>74</v>
      </c>
      <c r="I79" s="180" t="str">
        <f t="shared" si="6"/>
        <v/>
      </c>
      <c r="J79" s="179" t="e">
        <f t="shared" si="9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197"/>
      <c r="G80" s="164"/>
      <c r="H80" s="179">
        <v>75</v>
      </c>
      <c r="I80" s="180" t="str">
        <f t="shared" si="6"/>
        <v/>
      </c>
      <c r="J80" s="179" t="e">
        <f t="shared" si="9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7"/>
      <c r="G81" s="164"/>
      <c r="H81" s="179">
        <v>76</v>
      </c>
      <c r="I81" s="180" t="str">
        <f t="shared" si="6"/>
        <v/>
      </c>
      <c r="J81" s="179" t="e">
        <f t="shared" si="9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7"/>
      <c r="G82" s="164"/>
      <c r="H82" s="179">
        <v>77</v>
      </c>
      <c r="I82" s="180" t="str">
        <f t="shared" si="6"/>
        <v/>
      </c>
      <c r="J82" s="179" t="e">
        <f t="shared" si="9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7"/>
      <c r="G83" s="164"/>
      <c r="H83" s="179">
        <v>78</v>
      </c>
      <c r="I83" s="180" t="str">
        <f t="shared" si="6"/>
        <v/>
      </c>
      <c r="J83" s="179" t="e">
        <f t="shared" si="9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7"/>
      <c r="G84" s="164"/>
      <c r="H84" s="179">
        <v>79</v>
      </c>
      <c r="I84" s="180" t="str">
        <f t="shared" si="6"/>
        <v/>
      </c>
      <c r="J84" s="179" t="e">
        <f t="shared" si="9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7"/>
      <c r="G85" s="164"/>
      <c r="H85" s="179">
        <v>80</v>
      </c>
      <c r="I85" s="180" t="str">
        <f t="shared" si="6"/>
        <v/>
      </c>
      <c r="J85" s="179" t="e">
        <f t="shared" si="9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7"/>
      <c r="G86" s="164"/>
      <c r="H86" s="179">
        <v>81</v>
      </c>
      <c r="I86" s="180" t="str">
        <f t="shared" si="6"/>
        <v/>
      </c>
      <c r="J86" s="179" t="e">
        <f t="shared" si="9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7"/>
      <c r="G87" s="164"/>
      <c r="H87" s="179">
        <v>82</v>
      </c>
      <c r="I87" s="180" t="str">
        <f t="shared" si="6"/>
        <v/>
      </c>
      <c r="J87" s="179" t="e">
        <f t="shared" si="9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7"/>
      <c r="G88" s="164"/>
      <c r="H88" s="179">
        <v>83</v>
      </c>
      <c r="I88" s="180" t="str">
        <f t="shared" si="6"/>
        <v/>
      </c>
      <c r="J88" s="179" t="e">
        <f t="shared" si="9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7"/>
      <c r="G89" s="164"/>
      <c r="H89" s="179">
        <v>84</v>
      </c>
      <c r="I89" s="180" t="str">
        <f t="shared" si="6"/>
        <v/>
      </c>
      <c r="J89" s="179" t="e">
        <f t="shared" si="9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7"/>
      <c r="G90" s="164"/>
      <c r="H90" s="179">
        <v>85</v>
      </c>
      <c r="I90" s="180" t="str">
        <f t="shared" si="6"/>
        <v/>
      </c>
      <c r="J90" s="179" t="e">
        <f t="shared" si="9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7"/>
      <c r="G91" s="164"/>
      <c r="H91" s="179">
        <v>86</v>
      </c>
      <c r="I91" s="180" t="str">
        <f t="shared" si="6"/>
        <v/>
      </c>
      <c r="J91" s="179" t="e">
        <f t="shared" si="9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7"/>
      <c r="G92" s="164"/>
      <c r="H92" s="179">
        <v>87</v>
      </c>
      <c r="I92" s="180" t="str">
        <f t="shared" si="6"/>
        <v/>
      </c>
      <c r="J92" s="179" t="e">
        <f t="shared" si="9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7"/>
      <c r="G93" s="164"/>
      <c r="H93" s="179">
        <v>88</v>
      </c>
      <c r="I93" s="180" t="str">
        <f t="shared" si="6"/>
        <v/>
      </c>
      <c r="J93" s="179" t="e">
        <f t="shared" si="9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7"/>
      <c r="G94" s="164"/>
      <c r="H94" s="179">
        <v>89</v>
      </c>
      <c r="I94" s="180" t="str">
        <f t="shared" si="6"/>
        <v/>
      </c>
      <c r="J94" s="179" t="e">
        <f t="shared" si="9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7"/>
      <c r="G95" s="164"/>
      <c r="H95" s="179">
        <v>90</v>
      </c>
      <c r="I95" s="180" t="str">
        <f t="shared" si="6"/>
        <v/>
      </c>
      <c r="J95" s="179" t="e">
        <f t="shared" si="9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7"/>
      <c r="G96" s="164"/>
      <c r="H96" s="179">
        <v>91</v>
      </c>
      <c r="I96" s="180" t="str">
        <f t="shared" si="6"/>
        <v/>
      </c>
      <c r="J96" s="179" t="e">
        <f t="shared" si="9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7"/>
      <c r="G97" s="164"/>
      <c r="H97" s="179">
        <v>92</v>
      </c>
      <c r="I97" s="180" t="str">
        <f t="shared" si="6"/>
        <v/>
      </c>
      <c r="J97" s="179" t="e">
        <f t="shared" si="9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7"/>
      <c r="G98" s="164"/>
      <c r="H98" s="179">
        <v>93</v>
      </c>
      <c r="I98" s="180" t="str">
        <f t="shared" si="6"/>
        <v/>
      </c>
      <c r="J98" s="179" t="e">
        <f t="shared" si="9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7"/>
      <c r="G99" s="164"/>
      <c r="H99" s="179">
        <v>94</v>
      </c>
      <c r="I99" s="180" t="str">
        <f t="shared" si="6"/>
        <v/>
      </c>
      <c r="J99" s="179" t="e">
        <f t="shared" si="9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7"/>
      <c r="G100" s="164"/>
      <c r="H100" s="179">
        <v>95</v>
      </c>
      <c r="I100" s="180" t="str">
        <f t="shared" si="6"/>
        <v/>
      </c>
      <c r="J100" s="179" t="e">
        <f t="shared" si="9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7"/>
      <c r="G101" s="164"/>
      <c r="H101" s="179">
        <v>96</v>
      </c>
      <c r="I101" s="180" t="str">
        <f t="shared" si="6"/>
        <v/>
      </c>
      <c r="J101" s="179" t="e">
        <f t="shared" si="9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7"/>
      <c r="G102" s="164"/>
      <c r="H102" s="179">
        <v>97</v>
      </c>
      <c r="I102" s="180" t="str">
        <f t="shared" si="6"/>
        <v/>
      </c>
      <c r="J102" s="179" t="e">
        <f t="shared" si="9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7"/>
      <c r="G103" s="164"/>
      <c r="H103" s="179">
        <v>98</v>
      </c>
      <c r="I103" s="180" t="str">
        <f t="shared" si="6"/>
        <v/>
      </c>
      <c r="J103" s="179" t="e">
        <f t="shared" si="9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7"/>
      <c r="G104" s="164"/>
      <c r="H104" s="179">
        <v>99</v>
      </c>
      <c r="I104" s="180" t="str">
        <f t="shared" si="6"/>
        <v/>
      </c>
      <c r="J104" s="179" t="e">
        <f t="shared" si="9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7"/>
      <c r="G105" s="164"/>
      <c r="H105" s="179">
        <v>100</v>
      </c>
      <c r="I105" s="180" t="str">
        <f t="shared" si="6"/>
        <v/>
      </c>
      <c r="J105" s="179" t="e">
        <f t="shared" si="9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7"/>
      <c r="G106" s="164"/>
      <c r="H106" s="179">
        <v>101</v>
      </c>
      <c r="I106" s="180" t="str">
        <f t="shared" si="6"/>
        <v/>
      </c>
      <c r="J106" s="179" t="e">
        <f t="shared" si="9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7"/>
      <c r="G107" s="164"/>
      <c r="H107" s="179">
        <v>102</v>
      </c>
      <c r="I107" s="180" t="str">
        <f t="shared" si="6"/>
        <v/>
      </c>
      <c r="J107" s="179" t="e">
        <f t="shared" si="9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7"/>
      <c r="G108" s="164"/>
      <c r="H108" s="179">
        <v>103</v>
      </c>
      <c r="I108" s="180" t="str">
        <f t="shared" si="6"/>
        <v/>
      </c>
      <c r="J108" s="179" t="e">
        <f t="shared" si="9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7"/>
      <c r="G109" s="164"/>
      <c r="H109" s="179">
        <v>104</v>
      </c>
      <c r="I109" s="180" t="str">
        <f t="shared" si="6"/>
        <v/>
      </c>
      <c r="J109" s="179" t="e">
        <f t="shared" si="9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7"/>
      <c r="G110" s="164"/>
      <c r="H110" s="179">
        <v>105</v>
      </c>
      <c r="I110" s="180" t="str">
        <f t="shared" si="6"/>
        <v/>
      </c>
      <c r="J110" s="179" t="e">
        <f t="shared" si="9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7"/>
      <c r="G111" s="164"/>
      <c r="H111" s="179">
        <v>106</v>
      </c>
      <c r="I111" s="180" t="str">
        <f t="shared" si="6"/>
        <v/>
      </c>
      <c r="J111" s="179" t="e">
        <f t="shared" si="9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7"/>
      <c r="G112" s="164"/>
      <c r="H112" s="179">
        <v>107</v>
      </c>
      <c r="I112" s="180" t="str">
        <f t="shared" si="6"/>
        <v/>
      </c>
      <c r="J112" s="179" t="e">
        <f t="shared" si="9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7"/>
      <c r="G113" s="164"/>
      <c r="H113" s="179">
        <v>108</v>
      </c>
      <c r="I113" s="180" t="str">
        <f t="shared" si="6"/>
        <v/>
      </c>
      <c r="J113" s="179" t="e">
        <f t="shared" si="9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7"/>
      <c r="G114" s="164"/>
      <c r="H114" s="179">
        <v>109</v>
      </c>
      <c r="I114" s="180" t="str">
        <f t="shared" si="6"/>
        <v/>
      </c>
      <c r="J114" s="179" t="e">
        <f t="shared" si="9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7"/>
      <c r="G115" s="164"/>
      <c r="H115" s="179">
        <v>110</v>
      </c>
      <c r="I115" s="180" t="str">
        <f t="shared" si="6"/>
        <v/>
      </c>
      <c r="J115" s="179" t="e">
        <f t="shared" si="9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7"/>
      <c r="G116" s="164"/>
      <c r="H116" s="179">
        <v>111</v>
      </c>
      <c r="I116" s="180" t="str">
        <f t="shared" si="6"/>
        <v/>
      </c>
      <c r="J116" s="179" t="e">
        <f t="shared" si="9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7"/>
      <c r="G117" s="164"/>
      <c r="H117" s="179">
        <v>112</v>
      </c>
      <c r="I117" s="180" t="str">
        <f t="shared" si="6"/>
        <v/>
      </c>
      <c r="J117" s="179" t="e">
        <f t="shared" si="9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7"/>
      <c r="G118" s="164"/>
      <c r="H118" s="179">
        <v>113</v>
      </c>
      <c r="I118" s="180" t="str">
        <f t="shared" si="6"/>
        <v/>
      </c>
      <c r="J118" s="179" t="e">
        <f t="shared" si="9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7"/>
      <c r="G119" s="164"/>
      <c r="H119" s="179">
        <v>114</v>
      </c>
      <c r="I119" s="180" t="str">
        <f t="shared" si="6"/>
        <v/>
      </c>
      <c r="J119" s="179" t="e">
        <f t="shared" si="9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7"/>
      <c r="G120" s="164"/>
      <c r="H120" s="179">
        <v>115</v>
      </c>
      <c r="I120" s="180" t="str">
        <f t="shared" si="6"/>
        <v/>
      </c>
      <c r="J120" s="179" t="e">
        <f t="shared" si="9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7"/>
      <c r="G121" s="164"/>
      <c r="H121" s="179">
        <v>116</v>
      </c>
      <c r="I121" s="180" t="str">
        <f t="shared" si="6"/>
        <v/>
      </c>
      <c r="J121" s="179" t="e">
        <f t="shared" si="9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7"/>
      <c r="G122" s="164"/>
      <c r="H122" s="179">
        <v>117</v>
      </c>
      <c r="I122" s="180" t="str">
        <f t="shared" si="6"/>
        <v/>
      </c>
      <c r="J122" s="179" t="e">
        <f t="shared" si="9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7"/>
      <c r="G123" s="164"/>
      <c r="H123" s="179">
        <v>118</v>
      </c>
      <c r="I123" s="180" t="str">
        <f t="shared" si="6"/>
        <v/>
      </c>
      <c r="J123" s="179" t="e">
        <f t="shared" si="9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7"/>
      <c r="G124" s="164"/>
      <c r="H124" s="179">
        <v>119</v>
      </c>
      <c r="I124" s="180" t="str">
        <f t="shared" si="6"/>
        <v/>
      </c>
      <c r="J124" s="179" t="e">
        <f t="shared" si="9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7"/>
      <c r="G125" s="164"/>
      <c r="H125" s="179">
        <v>120</v>
      </c>
      <c r="I125" s="180" t="str">
        <f t="shared" si="6"/>
        <v/>
      </c>
      <c r="J125" s="179" t="e">
        <f t="shared" si="9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7"/>
      <c r="G126" s="164"/>
      <c r="H126" s="179">
        <v>121</v>
      </c>
      <c r="I126" s="180" t="str">
        <f t="shared" si="6"/>
        <v/>
      </c>
      <c r="J126" s="179" t="e">
        <f t="shared" si="9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7"/>
      <c r="G127" s="164"/>
      <c r="H127" s="179">
        <v>122</v>
      </c>
      <c r="I127" s="180" t="str">
        <f t="shared" si="6"/>
        <v/>
      </c>
      <c r="J127" s="179" t="e">
        <f t="shared" si="9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7"/>
      <c r="G128" s="164"/>
      <c r="H128" s="179">
        <v>123</v>
      </c>
      <c r="I128" s="180" t="str">
        <f t="shared" si="6"/>
        <v/>
      </c>
      <c r="J128" s="179" t="e">
        <f t="shared" si="9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7"/>
      <c r="G129" s="164"/>
      <c r="H129" s="179">
        <v>124</v>
      </c>
      <c r="I129" s="180" t="str">
        <f t="shared" si="6"/>
        <v/>
      </c>
      <c r="J129" s="179" t="e">
        <f t="shared" si="9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7"/>
      <c r="G130" s="164"/>
      <c r="H130" s="179">
        <v>125</v>
      </c>
      <c r="I130" s="180" t="str">
        <f t="shared" si="6"/>
        <v/>
      </c>
      <c r="J130" s="179" t="e">
        <f t="shared" si="9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7"/>
      <c r="G131" s="164"/>
      <c r="H131" s="179">
        <v>126</v>
      </c>
      <c r="I131" s="180" t="str">
        <f t="shared" si="6"/>
        <v/>
      </c>
      <c r="J131" s="179" t="e">
        <f t="shared" si="9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7"/>
      <c r="G132" s="164"/>
      <c r="H132" s="179">
        <v>127</v>
      </c>
      <c r="I132" s="180" t="str">
        <f t="shared" si="6"/>
        <v/>
      </c>
      <c r="J132" s="179" t="e">
        <f t="shared" si="9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7"/>
      <c r="G133" s="164"/>
      <c r="H133" s="179">
        <v>128</v>
      </c>
      <c r="I133" s="180" t="str">
        <f t="shared" si="6"/>
        <v/>
      </c>
      <c r="J133" s="179" t="e">
        <f t="shared" si="9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7"/>
      <c r="G134" s="164"/>
      <c r="H134" s="179">
        <v>129</v>
      </c>
      <c r="I134" s="180" t="str">
        <f t="shared" ref="I134:I197" si="10">IF(H134&lt;$H$2+1,($I$2-($I$2-1)*(LOG(H134)/LOG($H$2))),"")</f>
        <v/>
      </c>
      <c r="J134" s="179" t="e">
        <f t="shared" si="9"/>
        <v>#NUM!</v>
      </c>
      <c r="K134" s="179" t="e">
        <f t="shared" ref="K134:K197" si="11">J134*$J$2</f>
        <v>#NUM!</v>
      </c>
      <c r="L134" s="179"/>
      <c r="M134" s="181">
        <f t="shared" ref="M134:M197" si="12">IF(I134&lt;&gt;"",K134+I134+L134,0)</f>
        <v>0</v>
      </c>
    </row>
    <row r="135" spans="1:13" x14ac:dyDescent="0.25">
      <c r="A135" s="197"/>
      <c r="G135" s="164"/>
      <c r="H135" s="179">
        <v>130</v>
      </c>
      <c r="I135" s="180" t="str">
        <f t="shared" si="10"/>
        <v/>
      </c>
      <c r="J135" s="179" t="e">
        <f t="shared" ref="J135:J198" si="13">INT(LOG($H$2,2))-ROUNDUP(LOG(H135,2),0)+IF(OR($H$2=1,$H$2=2,$H$2=4,$H$2=8,$H$2=16,$H$2=32,$H$2=64,$H$2=128,$H$2=256),0,1)</f>
        <v>#NUM!</v>
      </c>
      <c r="K135" s="179" t="e">
        <f t="shared" si="11"/>
        <v>#NUM!</v>
      </c>
      <c r="L135" s="179"/>
      <c r="M135" s="181">
        <f t="shared" si="12"/>
        <v>0</v>
      </c>
    </row>
    <row r="136" spans="1:13" x14ac:dyDescent="0.25">
      <c r="A136" s="197"/>
      <c r="G136" s="164"/>
      <c r="H136" s="179">
        <v>131</v>
      </c>
      <c r="I136" s="180" t="str">
        <f t="shared" si="10"/>
        <v/>
      </c>
      <c r="J136" s="179" t="e">
        <f t="shared" si="13"/>
        <v>#NUM!</v>
      </c>
      <c r="K136" s="179" t="e">
        <f t="shared" si="11"/>
        <v>#NUM!</v>
      </c>
      <c r="L136" s="179"/>
      <c r="M136" s="181">
        <f t="shared" si="12"/>
        <v>0</v>
      </c>
    </row>
    <row r="137" spans="1:13" x14ac:dyDescent="0.25">
      <c r="A137" s="197"/>
      <c r="G137" s="164"/>
      <c r="H137" s="179">
        <v>132</v>
      </c>
      <c r="I137" s="180" t="str">
        <f t="shared" si="10"/>
        <v/>
      </c>
      <c r="J137" s="179" t="e">
        <f t="shared" si="13"/>
        <v>#NUM!</v>
      </c>
      <c r="K137" s="179" t="e">
        <f t="shared" si="11"/>
        <v>#NUM!</v>
      </c>
      <c r="L137" s="179"/>
      <c r="M137" s="181">
        <f t="shared" si="12"/>
        <v>0</v>
      </c>
    </row>
    <row r="138" spans="1:13" x14ac:dyDescent="0.25">
      <c r="A138" s="197"/>
      <c r="G138" s="164"/>
      <c r="H138" s="179">
        <v>133</v>
      </c>
      <c r="I138" s="180" t="str">
        <f t="shared" si="10"/>
        <v/>
      </c>
      <c r="J138" s="179" t="e">
        <f t="shared" si="13"/>
        <v>#NUM!</v>
      </c>
      <c r="K138" s="179" t="e">
        <f t="shared" si="11"/>
        <v>#NUM!</v>
      </c>
      <c r="L138" s="179"/>
      <c r="M138" s="181">
        <f t="shared" si="12"/>
        <v>0</v>
      </c>
    </row>
    <row r="139" spans="1:13" x14ac:dyDescent="0.25">
      <c r="A139" s="197"/>
      <c r="G139" s="164"/>
      <c r="H139" s="179">
        <v>134</v>
      </c>
      <c r="I139" s="180" t="str">
        <f t="shared" si="10"/>
        <v/>
      </c>
      <c r="J139" s="179" t="e">
        <f t="shared" si="13"/>
        <v>#NUM!</v>
      </c>
      <c r="K139" s="179" t="e">
        <f t="shared" si="11"/>
        <v>#NUM!</v>
      </c>
      <c r="L139" s="179"/>
      <c r="M139" s="181">
        <f t="shared" si="12"/>
        <v>0</v>
      </c>
    </row>
    <row r="140" spans="1:13" x14ac:dyDescent="0.25">
      <c r="A140" s="197"/>
      <c r="G140" s="164"/>
      <c r="H140" s="179">
        <v>135</v>
      </c>
      <c r="I140" s="180" t="str">
        <f t="shared" si="10"/>
        <v/>
      </c>
      <c r="J140" s="179" t="e">
        <f t="shared" si="13"/>
        <v>#NUM!</v>
      </c>
      <c r="K140" s="179" t="e">
        <f t="shared" si="11"/>
        <v>#NUM!</v>
      </c>
      <c r="L140" s="179"/>
      <c r="M140" s="181">
        <f t="shared" si="12"/>
        <v>0</v>
      </c>
    </row>
    <row r="141" spans="1:13" x14ac:dyDescent="0.25">
      <c r="A141" s="197"/>
      <c r="G141" s="164"/>
      <c r="H141" s="179">
        <v>136</v>
      </c>
      <c r="I141" s="180" t="str">
        <f t="shared" si="10"/>
        <v/>
      </c>
      <c r="J141" s="179" t="e">
        <f t="shared" si="13"/>
        <v>#NUM!</v>
      </c>
      <c r="K141" s="179" t="e">
        <f t="shared" si="11"/>
        <v>#NUM!</v>
      </c>
      <c r="L141" s="179"/>
      <c r="M141" s="181">
        <f t="shared" si="12"/>
        <v>0</v>
      </c>
    </row>
    <row r="142" spans="1:13" x14ac:dyDescent="0.25">
      <c r="A142" s="197"/>
      <c r="G142" s="164"/>
      <c r="H142" s="179">
        <v>137</v>
      </c>
      <c r="I142" s="180" t="str">
        <f t="shared" si="10"/>
        <v/>
      </c>
      <c r="J142" s="179" t="e">
        <f t="shared" si="13"/>
        <v>#NUM!</v>
      </c>
      <c r="K142" s="179" t="e">
        <f t="shared" si="11"/>
        <v>#NUM!</v>
      </c>
      <c r="L142" s="179"/>
      <c r="M142" s="181">
        <f t="shared" si="12"/>
        <v>0</v>
      </c>
    </row>
    <row r="143" spans="1:13" x14ac:dyDescent="0.25">
      <c r="A143" s="197"/>
      <c r="G143" s="164"/>
      <c r="H143" s="179">
        <v>138</v>
      </c>
      <c r="I143" s="180" t="str">
        <f t="shared" si="10"/>
        <v/>
      </c>
      <c r="J143" s="179" t="e">
        <f t="shared" si="13"/>
        <v>#NUM!</v>
      </c>
      <c r="K143" s="179" t="e">
        <f t="shared" si="11"/>
        <v>#NUM!</v>
      </c>
      <c r="L143" s="179"/>
      <c r="M143" s="181">
        <f t="shared" si="12"/>
        <v>0</v>
      </c>
    </row>
    <row r="144" spans="1:13" x14ac:dyDescent="0.25">
      <c r="A144" s="197"/>
      <c r="G144" s="164"/>
      <c r="H144" s="179">
        <v>139</v>
      </c>
      <c r="I144" s="180" t="str">
        <f t="shared" si="10"/>
        <v/>
      </c>
      <c r="J144" s="179" t="e">
        <f t="shared" si="13"/>
        <v>#NUM!</v>
      </c>
      <c r="K144" s="179" t="e">
        <f t="shared" si="11"/>
        <v>#NUM!</v>
      </c>
      <c r="L144" s="179"/>
      <c r="M144" s="181">
        <f t="shared" si="12"/>
        <v>0</v>
      </c>
    </row>
    <row r="145" spans="1:13" x14ac:dyDescent="0.25">
      <c r="A145" s="197"/>
      <c r="G145" s="164"/>
      <c r="H145" s="179">
        <v>140</v>
      </c>
      <c r="I145" s="180" t="str">
        <f t="shared" si="10"/>
        <v/>
      </c>
      <c r="J145" s="179" t="e">
        <f t="shared" si="13"/>
        <v>#NUM!</v>
      </c>
      <c r="K145" s="179" t="e">
        <f t="shared" si="11"/>
        <v>#NUM!</v>
      </c>
      <c r="L145" s="179"/>
      <c r="M145" s="181">
        <f t="shared" si="12"/>
        <v>0</v>
      </c>
    </row>
    <row r="146" spans="1:13" x14ac:dyDescent="0.25">
      <c r="A146" s="197"/>
      <c r="G146" s="164"/>
      <c r="H146" s="179">
        <v>141</v>
      </c>
      <c r="I146" s="180" t="str">
        <f t="shared" si="10"/>
        <v/>
      </c>
      <c r="J146" s="179" t="e">
        <f t="shared" si="13"/>
        <v>#NUM!</v>
      </c>
      <c r="K146" s="179" t="e">
        <f t="shared" si="11"/>
        <v>#NUM!</v>
      </c>
      <c r="L146" s="179"/>
      <c r="M146" s="181">
        <f t="shared" si="12"/>
        <v>0</v>
      </c>
    </row>
    <row r="147" spans="1:13" x14ac:dyDescent="0.25">
      <c r="A147" s="197"/>
      <c r="G147" s="164"/>
      <c r="H147" s="179">
        <v>142</v>
      </c>
      <c r="I147" s="180" t="str">
        <f t="shared" si="10"/>
        <v/>
      </c>
      <c r="J147" s="179" t="e">
        <f t="shared" si="13"/>
        <v>#NUM!</v>
      </c>
      <c r="K147" s="179" t="e">
        <f t="shared" si="11"/>
        <v>#NUM!</v>
      </c>
      <c r="L147" s="179"/>
      <c r="M147" s="181">
        <f t="shared" si="12"/>
        <v>0</v>
      </c>
    </row>
    <row r="148" spans="1:13" x14ac:dyDescent="0.25">
      <c r="A148" s="197"/>
      <c r="G148" s="164"/>
      <c r="H148" s="179">
        <v>143</v>
      </c>
      <c r="I148" s="180" t="str">
        <f t="shared" si="10"/>
        <v/>
      </c>
      <c r="J148" s="179" t="e">
        <f t="shared" si="13"/>
        <v>#NUM!</v>
      </c>
      <c r="K148" s="179" t="e">
        <f t="shared" si="11"/>
        <v>#NUM!</v>
      </c>
      <c r="L148" s="179"/>
      <c r="M148" s="181">
        <f t="shared" si="12"/>
        <v>0</v>
      </c>
    </row>
    <row r="149" spans="1:13" x14ac:dyDescent="0.25">
      <c r="A149" s="197"/>
      <c r="G149" s="164"/>
      <c r="H149" s="179">
        <v>144</v>
      </c>
      <c r="I149" s="180" t="str">
        <f t="shared" si="10"/>
        <v/>
      </c>
      <c r="J149" s="179" t="e">
        <f t="shared" si="13"/>
        <v>#NUM!</v>
      </c>
      <c r="K149" s="179" t="e">
        <f t="shared" si="11"/>
        <v>#NUM!</v>
      </c>
      <c r="L149" s="179"/>
      <c r="M149" s="181">
        <f t="shared" si="12"/>
        <v>0</v>
      </c>
    </row>
    <row r="150" spans="1:13" x14ac:dyDescent="0.25">
      <c r="A150" s="197"/>
      <c r="G150" s="164"/>
      <c r="H150" s="179">
        <v>145</v>
      </c>
      <c r="I150" s="180" t="str">
        <f t="shared" si="10"/>
        <v/>
      </c>
      <c r="J150" s="179" t="e">
        <f t="shared" si="13"/>
        <v>#NUM!</v>
      </c>
      <c r="K150" s="179" t="e">
        <f t="shared" si="11"/>
        <v>#NUM!</v>
      </c>
      <c r="L150" s="179"/>
      <c r="M150" s="181">
        <f t="shared" si="12"/>
        <v>0</v>
      </c>
    </row>
    <row r="151" spans="1:13" x14ac:dyDescent="0.25">
      <c r="A151" s="197"/>
      <c r="G151" s="164"/>
      <c r="H151" s="179">
        <v>146</v>
      </c>
      <c r="I151" s="180" t="str">
        <f t="shared" si="10"/>
        <v/>
      </c>
      <c r="J151" s="179" t="e">
        <f t="shared" si="13"/>
        <v>#NUM!</v>
      </c>
      <c r="K151" s="179" t="e">
        <f t="shared" si="11"/>
        <v>#NUM!</v>
      </c>
      <c r="L151" s="179"/>
      <c r="M151" s="181">
        <f t="shared" si="12"/>
        <v>0</v>
      </c>
    </row>
    <row r="152" spans="1:13" x14ac:dyDescent="0.25">
      <c r="A152" s="197"/>
      <c r="G152" s="164"/>
      <c r="H152" s="179">
        <v>147</v>
      </c>
      <c r="I152" s="180" t="str">
        <f t="shared" si="10"/>
        <v/>
      </c>
      <c r="J152" s="179" t="e">
        <f t="shared" si="13"/>
        <v>#NUM!</v>
      </c>
      <c r="K152" s="179" t="e">
        <f t="shared" si="11"/>
        <v>#NUM!</v>
      </c>
      <c r="L152" s="179"/>
      <c r="M152" s="181">
        <f t="shared" si="12"/>
        <v>0</v>
      </c>
    </row>
    <row r="153" spans="1:13" x14ac:dyDescent="0.25">
      <c r="A153" s="197"/>
      <c r="G153" s="164"/>
      <c r="H153" s="179">
        <v>148</v>
      </c>
      <c r="I153" s="180" t="str">
        <f t="shared" si="10"/>
        <v/>
      </c>
      <c r="J153" s="179" t="e">
        <f t="shared" si="13"/>
        <v>#NUM!</v>
      </c>
      <c r="K153" s="179" t="e">
        <f t="shared" si="11"/>
        <v>#NUM!</v>
      </c>
      <c r="L153" s="179"/>
      <c r="M153" s="181">
        <f t="shared" si="12"/>
        <v>0</v>
      </c>
    </row>
    <row r="154" spans="1:13" x14ac:dyDescent="0.25">
      <c r="A154" s="197"/>
      <c r="G154" s="164"/>
      <c r="H154" s="179">
        <v>149</v>
      </c>
      <c r="I154" s="180" t="str">
        <f t="shared" si="10"/>
        <v/>
      </c>
      <c r="J154" s="179" t="e">
        <f t="shared" si="13"/>
        <v>#NUM!</v>
      </c>
      <c r="K154" s="179" t="e">
        <f t="shared" si="11"/>
        <v>#NUM!</v>
      </c>
      <c r="L154" s="179"/>
      <c r="M154" s="181">
        <f t="shared" si="12"/>
        <v>0</v>
      </c>
    </row>
    <row r="155" spans="1:13" x14ac:dyDescent="0.25">
      <c r="A155" s="197"/>
      <c r="G155" s="164"/>
      <c r="H155" s="179">
        <v>150</v>
      </c>
      <c r="I155" s="180" t="str">
        <f t="shared" si="10"/>
        <v/>
      </c>
      <c r="J155" s="179" t="e">
        <f t="shared" si="13"/>
        <v>#NUM!</v>
      </c>
      <c r="K155" s="179" t="e">
        <f t="shared" si="11"/>
        <v>#NUM!</v>
      </c>
      <c r="L155" s="179"/>
      <c r="M155" s="181">
        <f t="shared" si="12"/>
        <v>0</v>
      </c>
    </row>
    <row r="156" spans="1:13" x14ac:dyDescent="0.25">
      <c r="A156" s="197"/>
      <c r="G156" s="164"/>
      <c r="H156" s="179">
        <v>151</v>
      </c>
      <c r="I156" s="180" t="str">
        <f t="shared" si="10"/>
        <v/>
      </c>
      <c r="J156" s="179" t="e">
        <f t="shared" si="13"/>
        <v>#NUM!</v>
      </c>
      <c r="K156" s="179" t="e">
        <f t="shared" si="11"/>
        <v>#NUM!</v>
      </c>
      <c r="L156" s="179"/>
      <c r="M156" s="181">
        <f t="shared" si="12"/>
        <v>0</v>
      </c>
    </row>
    <row r="157" spans="1:13" x14ac:dyDescent="0.25">
      <c r="A157" s="197"/>
      <c r="G157" s="164"/>
      <c r="H157" s="179">
        <v>152</v>
      </c>
      <c r="I157" s="180" t="str">
        <f t="shared" si="10"/>
        <v/>
      </c>
      <c r="J157" s="179" t="e">
        <f t="shared" si="13"/>
        <v>#NUM!</v>
      </c>
      <c r="K157" s="179" t="e">
        <f t="shared" si="11"/>
        <v>#NUM!</v>
      </c>
      <c r="L157" s="179"/>
      <c r="M157" s="181">
        <f t="shared" si="12"/>
        <v>0</v>
      </c>
    </row>
    <row r="158" spans="1:13" x14ac:dyDescent="0.25">
      <c r="A158" s="197"/>
      <c r="G158" s="164"/>
      <c r="H158" s="179">
        <v>153</v>
      </c>
      <c r="I158" s="180" t="str">
        <f t="shared" si="10"/>
        <v/>
      </c>
      <c r="J158" s="179" t="e">
        <f t="shared" si="13"/>
        <v>#NUM!</v>
      </c>
      <c r="K158" s="179" t="e">
        <f t="shared" si="11"/>
        <v>#NUM!</v>
      </c>
      <c r="L158" s="179"/>
      <c r="M158" s="181">
        <f t="shared" si="12"/>
        <v>0</v>
      </c>
    </row>
    <row r="159" spans="1:13" x14ac:dyDescent="0.25">
      <c r="A159" s="197"/>
      <c r="G159" s="164"/>
      <c r="H159" s="179">
        <v>154</v>
      </c>
      <c r="I159" s="180" t="str">
        <f t="shared" si="10"/>
        <v/>
      </c>
      <c r="J159" s="179" t="e">
        <f t="shared" si="13"/>
        <v>#NUM!</v>
      </c>
      <c r="K159" s="179" t="e">
        <f t="shared" si="11"/>
        <v>#NUM!</v>
      </c>
      <c r="L159" s="179"/>
      <c r="M159" s="181">
        <f t="shared" si="12"/>
        <v>0</v>
      </c>
    </row>
    <row r="160" spans="1:13" x14ac:dyDescent="0.25">
      <c r="A160" s="197"/>
      <c r="G160" s="164"/>
      <c r="H160" s="179">
        <v>155</v>
      </c>
      <c r="I160" s="180" t="str">
        <f t="shared" si="10"/>
        <v/>
      </c>
      <c r="J160" s="179" t="e">
        <f t="shared" si="13"/>
        <v>#NUM!</v>
      </c>
      <c r="K160" s="179" t="e">
        <f t="shared" si="11"/>
        <v>#NUM!</v>
      </c>
      <c r="L160" s="179"/>
      <c r="M160" s="181">
        <f t="shared" si="12"/>
        <v>0</v>
      </c>
    </row>
    <row r="161" spans="1:13" x14ac:dyDescent="0.25">
      <c r="A161" s="197"/>
      <c r="G161" s="164"/>
      <c r="H161" s="179">
        <v>156</v>
      </c>
      <c r="I161" s="180" t="str">
        <f t="shared" si="10"/>
        <v/>
      </c>
      <c r="J161" s="179" t="e">
        <f t="shared" si="13"/>
        <v>#NUM!</v>
      </c>
      <c r="K161" s="179" t="e">
        <f t="shared" si="11"/>
        <v>#NUM!</v>
      </c>
      <c r="L161" s="179"/>
      <c r="M161" s="181">
        <f t="shared" si="12"/>
        <v>0</v>
      </c>
    </row>
    <row r="162" spans="1:13" x14ac:dyDescent="0.25">
      <c r="A162" s="197"/>
      <c r="G162" s="164"/>
      <c r="H162" s="179">
        <v>157</v>
      </c>
      <c r="I162" s="180" t="str">
        <f t="shared" si="10"/>
        <v/>
      </c>
      <c r="J162" s="179" t="e">
        <f t="shared" si="13"/>
        <v>#NUM!</v>
      </c>
      <c r="K162" s="179" t="e">
        <f t="shared" si="11"/>
        <v>#NUM!</v>
      </c>
      <c r="L162" s="179"/>
      <c r="M162" s="181">
        <f t="shared" si="12"/>
        <v>0</v>
      </c>
    </row>
    <row r="163" spans="1:13" x14ac:dyDescent="0.25">
      <c r="A163" s="197"/>
      <c r="G163" s="164"/>
      <c r="H163" s="179">
        <v>158</v>
      </c>
      <c r="I163" s="180" t="str">
        <f t="shared" si="10"/>
        <v/>
      </c>
      <c r="J163" s="179" t="e">
        <f t="shared" si="13"/>
        <v>#NUM!</v>
      </c>
      <c r="K163" s="179" t="e">
        <f t="shared" si="11"/>
        <v>#NUM!</v>
      </c>
      <c r="L163" s="179"/>
      <c r="M163" s="181">
        <f t="shared" si="12"/>
        <v>0</v>
      </c>
    </row>
    <row r="164" spans="1:13" x14ac:dyDescent="0.25">
      <c r="A164" s="197"/>
      <c r="G164" s="164"/>
      <c r="H164" s="179">
        <v>159</v>
      </c>
      <c r="I164" s="180" t="str">
        <f t="shared" si="10"/>
        <v/>
      </c>
      <c r="J164" s="179" t="e">
        <f t="shared" si="13"/>
        <v>#NUM!</v>
      </c>
      <c r="K164" s="179" t="e">
        <f t="shared" si="11"/>
        <v>#NUM!</v>
      </c>
      <c r="L164" s="179"/>
      <c r="M164" s="181">
        <f t="shared" si="12"/>
        <v>0</v>
      </c>
    </row>
    <row r="165" spans="1:13" x14ac:dyDescent="0.25">
      <c r="A165" s="197"/>
      <c r="G165" s="164"/>
      <c r="H165" s="179">
        <v>160</v>
      </c>
      <c r="I165" s="180" t="str">
        <f t="shared" si="10"/>
        <v/>
      </c>
      <c r="J165" s="179" t="e">
        <f t="shared" si="13"/>
        <v>#NUM!</v>
      </c>
      <c r="K165" s="179" t="e">
        <f t="shared" si="11"/>
        <v>#NUM!</v>
      </c>
      <c r="L165" s="179"/>
      <c r="M165" s="181">
        <f t="shared" si="12"/>
        <v>0</v>
      </c>
    </row>
    <row r="166" spans="1:13" x14ac:dyDescent="0.25">
      <c r="A166" s="197"/>
      <c r="G166" s="164"/>
      <c r="H166" s="179">
        <v>161</v>
      </c>
      <c r="I166" s="180" t="str">
        <f t="shared" si="10"/>
        <v/>
      </c>
      <c r="J166" s="179" t="e">
        <f t="shared" si="13"/>
        <v>#NUM!</v>
      </c>
      <c r="K166" s="179" t="e">
        <f t="shared" si="11"/>
        <v>#NUM!</v>
      </c>
      <c r="L166" s="179"/>
      <c r="M166" s="181">
        <f t="shared" si="12"/>
        <v>0</v>
      </c>
    </row>
    <row r="167" spans="1:13" x14ac:dyDescent="0.25">
      <c r="A167" s="197"/>
      <c r="G167" s="164"/>
      <c r="H167" s="179">
        <v>162</v>
      </c>
      <c r="I167" s="180" t="str">
        <f t="shared" si="10"/>
        <v/>
      </c>
      <c r="J167" s="179" t="e">
        <f t="shared" si="13"/>
        <v>#NUM!</v>
      </c>
      <c r="K167" s="179" t="e">
        <f t="shared" si="11"/>
        <v>#NUM!</v>
      </c>
      <c r="L167" s="179"/>
      <c r="M167" s="181">
        <f t="shared" si="12"/>
        <v>0</v>
      </c>
    </row>
    <row r="168" spans="1:13" x14ac:dyDescent="0.25">
      <c r="A168" s="197"/>
      <c r="G168" s="164"/>
      <c r="H168" s="179">
        <v>163</v>
      </c>
      <c r="I168" s="180" t="str">
        <f t="shared" si="10"/>
        <v/>
      </c>
      <c r="J168" s="179" t="e">
        <f t="shared" si="13"/>
        <v>#NUM!</v>
      </c>
      <c r="K168" s="179" t="e">
        <f t="shared" si="11"/>
        <v>#NUM!</v>
      </c>
      <c r="L168" s="179"/>
      <c r="M168" s="181">
        <f t="shared" si="12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0"/>
        <v/>
      </c>
      <c r="J169" s="179" t="e">
        <f t="shared" si="13"/>
        <v>#NUM!</v>
      </c>
      <c r="K169" s="179" t="e">
        <f t="shared" si="11"/>
        <v>#NUM!</v>
      </c>
      <c r="L169" s="179"/>
      <c r="M169" s="181">
        <f t="shared" si="12"/>
        <v>0</v>
      </c>
    </row>
    <row r="170" spans="1:13" x14ac:dyDescent="0.25">
      <c r="A170" s="197"/>
      <c r="G170" s="164"/>
      <c r="H170" s="179">
        <v>165</v>
      </c>
      <c r="I170" s="180" t="str">
        <f t="shared" si="10"/>
        <v/>
      </c>
      <c r="J170" s="179" t="e">
        <f t="shared" si="13"/>
        <v>#NUM!</v>
      </c>
      <c r="K170" s="179" t="e">
        <f t="shared" si="11"/>
        <v>#NUM!</v>
      </c>
      <c r="L170" s="179"/>
      <c r="M170" s="181">
        <f t="shared" si="12"/>
        <v>0</v>
      </c>
    </row>
    <row r="171" spans="1:13" x14ac:dyDescent="0.25">
      <c r="A171" s="197"/>
      <c r="G171" s="164"/>
      <c r="H171" s="179">
        <v>166</v>
      </c>
      <c r="I171" s="180" t="str">
        <f t="shared" si="10"/>
        <v/>
      </c>
      <c r="J171" s="179" t="e">
        <f t="shared" si="13"/>
        <v>#NUM!</v>
      </c>
      <c r="K171" s="179" t="e">
        <f t="shared" si="11"/>
        <v>#NUM!</v>
      </c>
      <c r="L171" s="179"/>
      <c r="M171" s="181">
        <f t="shared" si="12"/>
        <v>0</v>
      </c>
    </row>
    <row r="172" spans="1:13" x14ac:dyDescent="0.25">
      <c r="A172" s="197"/>
      <c r="G172" s="164"/>
      <c r="H172" s="179">
        <v>167</v>
      </c>
      <c r="I172" s="180" t="str">
        <f t="shared" si="10"/>
        <v/>
      </c>
      <c r="J172" s="179" t="e">
        <f t="shared" si="13"/>
        <v>#NUM!</v>
      </c>
      <c r="K172" s="179" t="e">
        <f t="shared" si="11"/>
        <v>#NUM!</v>
      </c>
      <c r="L172" s="179"/>
      <c r="M172" s="181">
        <f t="shared" si="12"/>
        <v>0</v>
      </c>
    </row>
    <row r="173" spans="1:13" x14ac:dyDescent="0.25">
      <c r="A173" s="197"/>
      <c r="G173" s="164"/>
      <c r="H173" s="179">
        <v>168</v>
      </c>
      <c r="I173" s="180" t="str">
        <f t="shared" si="10"/>
        <v/>
      </c>
      <c r="J173" s="179" t="e">
        <f t="shared" si="13"/>
        <v>#NUM!</v>
      </c>
      <c r="K173" s="179" t="e">
        <f t="shared" si="11"/>
        <v>#NUM!</v>
      </c>
      <c r="L173" s="179"/>
      <c r="M173" s="181">
        <f t="shared" si="12"/>
        <v>0</v>
      </c>
    </row>
    <row r="174" spans="1:13" x14ac:dyDescent="0.25">
      <c r="A174" s="197"/>
      <c r="G174" s="164"/>
      <c r="H174" s="179">
        <v>169</v>
      </c>
      <c r="I174" s="180" t="str">
        <f t="shared" si="10"/>
        <v/>
      </c>
      <c r="J174" s="179" t="e">
        <f t="shared" si="13"/>
        <v>#NUM!</v>
      </c>
      <c r="K174" s="179" t="e">
        <f t="shared" si="11"/>
        <v>#NUM!</v>
      </c>
      <c r="L174" s="179"/>
      <c r="M174" s="181">
        <f t="shared" si="12"/>
        <v>0</v>
      </c>
    </row>
    <row r="175" spans="1:13" x14ac:dyDescent="0.25">
      <c r="A175" s="197"/>
      <c r="G175" s="164"/>
      <c r="H175" s="179">
        <v>170</v>
      </c>
      <c r="I175" s="180" t="str">
        <f t="shared" si="10"/>
        <v/>
      </c>
      <c r="J175" s="179" t="e">
        <f t="shared" si="13"/>
        <v>#NUM!</v>
      </c>
      <c r="K175" s="179" t="e">
        <f t="shared" si="11"/>
        <v>#NUM!</v>
      </c>
      <c r="L175" s="179"/>
      <c r="M175" s="181">
        <f t="shared" si="12"/>
        <v>0</v>
      </c>
    </row>
    <row r="176" spans="1:13" x14ac:dyDescent="0.25">
      <c r="A176" s="197"/>
      <c r="G176" s="164"/>
      <c r="H176" s="179">
        <v>171</v>
      </c>
      <c r="I176" s="180" t="str">
        <f t="shared" si="10"/>
        <v/>
      </c>
      <c r="J176" s="179" t="e">
        <f t="shared" si="13"/>
        <v>#NUM!</v>
      </c>
      <c r="K176" s="179" t="e">
        <f t="shared" si="11"/>
        <v>#NUM!</v>
      </c>
      <c r="L176" s="179"/>
      <c r="M176" s="181">
        <f t="shared" si="12"/>
        <v>0</v>
      </c>
    </row>
    <row r="177" spans="1:13" x14ac:dyDescent="0.25">
      <c r="A177" s="197"/>
      <c r="G177" s="164"/>
      <c r="H177" s="179">
        <v>172</v>
      </c>
      <c r="I177" s="180" t="str">
        <f t="shared" si="10"/>
        <v/>
      </c>
      <c r="J177" s="179" t="e">
        <f t="shared" si="13"/>
        <v>#NUM!</v>
      </c>
      <c r="K177" s="179" t="e">
        <f t="shared" si="11"/>
        <v>#NUM!</v>
      </c>
      <c r="L177" s="179"/>
      <c r="M177" s="181">
        <f t="shared" si="12"/>
        <v>0</v>
      </c>
    </row>
    <row r="178" spans="1:13" x14ac:dyDescent="0.25">
      <c r="A178" s="197"/>
      <c r="G178" s="164"/>
      <c r="H178" s="179">
        <v>173</v>
      </c>
      <c r="I178" s="180" t="str">
        <f t="shared" si="10"/>
        <v/>
      </c>
      <c r="J178" s="179" t="e">
        <f t="shared" si="13"/>
        <v>#NUM!</v>
      </c>
      <c r="K178" s="179" t="e">
        <f t="shared" si="11"/>
        <v>#NUM!</v>
      </c>
      <c r="L178" s="179"/>
      <c r="M178" s="181">
        <f t="shared" si="12"/>
        <v>0</v>
      </c>
    </row>
    <row r="179" spans="1:13" x14ac:dyDescent="0.25">
      <c r="A179" s="197"/>
      <c r="G179" s="164"/>
      <c r="H179" s="179">
        <v>174</v>
      </c>
      <c r="I179" s="180" t="str">
        <f t="shared" si="10"/>
        <v/>
      </c>
      <c r="J179" s="179" t="e">
        <f t="shared" si="13"/>
        <v>#NUM!</v>
      </c>
      <c r="K179" s="179" t="e">
        <f t="shared" si="11"/>
        <v>#NUM!</v>
      </c>
      <c r="L179" s="179"/>
      <c r="M179" s="181">
        <f t="shared" si="12"/>
        <v>0</v>
      </c>
    </row>
    <row r="180" spans="1:13" x14ac:dyDescent="0.25">
      <c r="A180" s="197"/>
      <c r="G180" s="164"/>
      <c r="H180" s="179">
        <v>175</v>
      </c>
      <c r="I180" s="180" t="str">
        <f t="shared" si="10"/>
        <v/>
      </c>
      <c r="J180" s="179" t="e">
        <f t="shared" si="13"/>
        <v>#NUM!</v>
      </c>
      <c r="K180" s="179" t="e">
        <f t="shared" si="11"/>
        <v>#NUM!</v>
      </c>
      <c r="L180" s="179"/>
      <c r="M180" s="181">
        <f t="shared" si="12"/>
        <v>0</v>
      </c>
    </row>
    <row r="181" spans="1:13" x14ac:dyDescent="0.25">
      <c r="A181" s="197"/>
      <c r="G181" s="164"/>
      <c r="H181" s="179">
        <v>176</v>
      </c>
      <c r="I181" s="180" t="str">
        <f t="shared" si="10"/>
        <v/>
      </c>
      <c r="J181" s="179" t="e">
        <f t="shared" si="13"/>
        <v>#NUM!</v>
      </c>
      <c r="K181" s="179" t="e">
        <f t="shared" si="11"/>
        <v>#NUM!</v>
      </c>
      <c r="L181" s="179"/>
      <c r="M181" s="181">
        <f t="shared" si="12"/>
        <v>0</v>
      </c>
    </row>
    <row r="182" spans="1:13" x14ac:dyDescent="0.25">
      <c r="A182" s="197"/>
      <c r="G182" s="164"/>
      <c r="H182" s="179">
        <v>177</v>
      </c>
      <c r="I182" s="180" t="str">
        <f t="shared" si="10"/>
        <v/>
      </c>
      <c r="J182" s="179" t="e">
        <f t="shared" si="13"/>
        <v>#NUM!</v>
      </c>
      <c r="K182" s="179" t="e">
        <f t="shared" si="11"/>
        <v>#NUM!</v>
      </c>
      <c r="L182" s="179"/>
      <c r="M182" s="181">
        <f t="shared" si="12"/>
        <v>0</v>
      </c>
    </row>
    <row r="183" spans="1:13" x14ac:dyDescent="0.25">
      <c r="A183" s="197"/>
      <c r="G183" s="164"/>
      <c r="H183" s="179">
        <v>178</v>
      </c>
      <c r="I183" s="180" t="str">
        <f t="shared" si="10"/>
        <v/>
      </c>
      <c r="J183" s="179" t="e">
        <f t="shared" si="13"/>
        <v>#NUM!</v>
      </c>
      <c r="K183" s="179" t="e">
        <f t="shared" si="11"/>
        <v>#NUM!</v>
      </c>
      <c r="L183" s="179"/>
      <c r="M183" s="181">
        <f t="shared" si="12"/>
        <v>0</v>
      </c>
    </row>
    <row r="184" spans="1:13" x14ac:dyDescent="0.25">
      <c r="A184" s="197"/>
      <c r="G184" s="164"/>
      <c r="H184" s="179">
        <v>179</v>
      </c>
      <c r="I184" s="180" t="str">
        <f t="shared" si="10"/>
        <v/>
      </c>
      <c r="J184" s="179" t="e">
        <f t="shared" si="13"/>
        <v>#NUM!</v>
      </c>
      <c r="K184" s="179" t="e">
        <f t="shared" si="11"/>
        <v>#NUM!</v>
      </c>
      <c r="L184" s="179"/>
      <c r="M184" s="181">
        <f t="shared" si="12"/>
        <v>0</v>
      </c>
    </row>
    <row r="185" spans="1:13" x14ac:dyDescent="0.25">
      <c r="A185" s="197"/>
      <c r="G185" s="164"/>
      <c r="H185" s="179">
        <v>180</v>
      </c>
      <c r="I185" s="180" t="str">
        <f t="shared" si="10"/>
        <v/>
      </c>
      <c r="J185" s="179" t="e">
        <f t="shared" si="13"/>
        <v>#NUM!</v>
      </c>
      <c r="K185" s="179" t="e">
        <f t="shared" si="11"/>
        <v>#NUM!</v>
      </c>
      <c r="L185" s="179"/>
      <c r="M185" s="181">
        <f t="shared" si="12"/>
        <v>0</v>
      </c>
    </row>
    <row r="186" spans="1:13" x14ac:dyDescent="0.25">
      <c r="A186" s="197"/>
      <c r="G186" s="164"/>
      <c r="H186" s="179">
        <v>181</v>
      </c>
      <c r="I186" s="180" t="str">
        <f t="shared" si="10"/>
        <v/>
      </c>
      <c r="J186" s="179" t="e">
        <f t="shared" si="13"/>
        <v>#NUM!</v>
      </c>
      <c r="K186" s="179" t="e">
        <f t="shared" si="11"/>
        <v>#NUM!</v>
      </c>
      <c r="L186" s="179"/>
      <c r="M186" s="181">
        <f t="shared" si="12"/>
        <v>0</v>
      </c>
    </row>
    <row r="187" spans="1:13" x14ac:dyDescent="0.25">
      <c r="A187" s="197"/>
      <c r="G187" s="164"/>
      <c r="H187" s="179">
        <v>182</v>
      </c>
      <c r="I187" s="180" t="str">
        <f t="shared" si="10"/>
        <v/>
      </c>
      <c r="J187" s="179" t="e">
        <f t="shared" si="13"/>
        <v>#NUM!</v>
      </c>
      <c r="K187" s="179" t="e">
        <f t="shared" si="11"/>
        <v>#NUM!</v>
      </c>
      <c r="L187" s="179"/>
      <c r="M187" s="181">
        <f t="shared" si="12"/>
        <v>0</v>
      </c>
    </row>
    <row r="188" spans="1:13" x14ac:dyDescent="0.25">
      <c r="A188" s="197"/>
      <c r="G188" s="164"/>
      <c r="H188" s="179">
        <v>183</v>
      </c>
      <c r="I188" s="180" t="str">
        <f t="shared" si="10"/>
        <v/>
      </c>
      <c r="J188" s="179" t="e">
        <f t="shared" si="13"/>
        <v>#NUM!</v>
      </c>
      <c r="K188" s="179" t="e">
        <f t="shared" si="11"/>
        <v>#NUM!</v>
      </c>
      <c r="L188" s="179"/>
      <c r="M188" s="181">
        <f t="shared" si="12"/>
        <v>0</v>
      </c>
    </row>
    <row r="189" spans="1:13" x14ac:dyDescent="0.25">
      <c r="A189" s="197"/>
      <c r="G189" s="164"/>
      <c r="H189" s="179">
        <v>184</v>
      </c>
      <c r="I189" s="180" t="str">
        <f t="shared" si="10"/>
        <v/>
      </c>
      <c r="J189" s="179" t="e">
        <f t="shared" si="13"/>
        <v>#NUM!</v>
      </c>
      <c r="K189" s="179" t="e">
        <f t="shared" si="11"/>
        <v>#NUM!</v>
      </c>
      <c r="L189" s="179"/>
      <c r="M189" s="181">
        <f t="shared" si="12"/>
        <v>0</v>
      </c>
    </row>
    <row r="190" spans="1:13" x14ac:dyDescent="0.25">
      <c r="A190" s="197"/>
      <c r="G190" s="164"/>
      <c r="H190" s="179">
        <v>185</v>
      </c>
      <c r="I190" s="180" t="str">
        <f t="shared" si="10"/>
        <v/>
      </c>
      <c r="J190" s="179" t="e">
        <f t="shared" si="13"/>
        <v>#NUM!</v>
      </c>
      <c r="K190" s="179" t="e">
        <f t="shared" si="11"/>
        <v>#NUM!</v>
      </c>
      <c r="L190" s="179"/>
      <c r="M190" s="181">
        <f t="shared" si="12"/>
        <v>0</v>
      </c>
    </row>
    <row r="191" spans="1:13" x14ac:dyDescent="0.25">
      <c r="A191" s="197"/>
      <c r="G191" s="164"/>
      <c r="H191" s="179">
        <v>186</v>
      </c>
      <c r="I191" s="180" t="str">
        <f t="shared" si="10"/>
        <v/>
      </c>
      <c r="J191" s="179" t="e">
        <f t="shared" si="13"/>
        <v>#NUM!</v>
      </c>
      <c r="K191" s="179" t="e">
        <f t="shared" si="11"/>
        <v>#NUM!</v>
      </c>
      <c r="L191" s="179"/>
      <c r="M191" s="181">
        <f t="shared" si="12"/>
        <v>0</v>
      </c>
    </row>
    <row r="192" spans="1:13" x14ac:dyDescent="0.25">
      <c r="A192" s="197"/>
      <c r="G192" s="164"/>
      <c r="H192" s="179">
        <v>187</v>
      </c>
      <c r="I192" s="180" t="str">
        <f t="shared" si="10"/>
        <v/>
      </c>
      <c r="J192" s="179" t="e">
        <f t="shared" si="13"/>
        <v>#NUM!</v>
      </c>
      <c r="K192" s="179" t="e">
        <f t="shared" si="11"/>
        <v>#NUM!</v>
      </c>
      <c r="L192" s="179"/>
      <c r="M192" s="181">
        <f t="shared" si="12"/>
        <v>0</v>
      </c>
    </row>
    <row r="193" spans="1:13" x14ac:dyDescent="0.25">
      <c r="A193" s="197"/>
      <c r="G193" s="164"/>
      <c r="H193" s="179">
        <v>188</v>
      </c>
      <c r="I193" s="180" t="str">
        <f t="shared" si="10"/>
        <v/>
      </c>
      <c r="J193" s="179" t="e">
        <f t="shared" si="13"/>
        <v>#NUM!</v>
      </c>
      <c r="K193" s="179" t="e">
        <f t="shared" si="11"/>
        <v>#NUM!</v>
      </c>
      <c r="L193" s="179"/>
      <c r="M193" s="181">
        <f t="shared" si="12"/>
        <v>0</v>
      </c>
    </row>
    <row r="194" spans="1:13" x14ac:dyDescent="0.25">
      <c r="A194" s="197"/>
      <c r="G194" s="164"/>
      <c r="H194" s="179">
        <v>189</v>
      </c>
      <c r="I194" s="180" t="str">
        <f t="shared" si="10"/>
        <v/>
      </c>
      <c r="J194" s="179" t="e">
        <f t="shared" si="13"/>
        <v>#NUM!</v>
      </c>
      <c r="K194" s="179" t="e">
        <f t="shared" si="11"/>
        <v>#NUM!</v>
      </c>
      <c r="L194" s="179"/>
      <c r="M194" s="181">
        <f t="shared" si="12"/>
        <v>0</v>
      </c>
    </row>
    <row r="195" spans="1:13" x14ac:dyDescent="0.25">
      <c r="A195" s="197"/>
      <c r="G195" s="164"/>
      <c r="H195" s="179">
        <v>190</v>
      </c>
      <c r="I195" s="180" t="str">
        <f t="shared" si="10"/>
        <v/>
      </c>
      <c r="J195" s="179" t="e">
        <f t="shared" si="13"/>
        <v>#NUM!</v>
      </c>
      <c r="K195" s="179" t="e">
        <f t="shared" si="11"/>
        <v>#NUM!</v>
      </c>
      <c r="L195" s="179"/>
      <c r="M195" s="181">
        <f t="shared" si="12"/>
        <v>0</v>
      </c>
    </row>
    <row r="196" spans="1:13" x14ac:dyDescent="0.25">
      <c r="A196" s="197"/>
      <c r="G196" s="164"/>
      <c r="H196" s="179">
        <v>191</v>
      </c>
      <c r="I196" s="180" t="str">
        <f t="shared" si="10"/>
        <v/>
      </c>
      <c r="J196" s="179" t="e">
        <f t="shared" si="13"/>
        <v>#NUM!</v>
      </c>
      <c r="K196" s="179" t="e">
        <f t="shared" si="11"/>
        <v>#NUM!</v>
      </c>
      <c r="L196" s="179"/>
      <c r="M196" s="181">
        <f t="shared" si="12"/>
        <v>0</v>
      </c>
    </row>
    <row r="197" spans="1:13" x14ac:dyDescent="0.25">
      <c r="A197" s="197"/>
      <c r="G197" s="164"/>
      <c r="H197" s="179">
        <v>192</v>
      </c>
      <c r="I197" s="180" t="str">
        <f t="shared" si="10"/>
        <v/>
      </c>
      <c r="J197" s="179" t="e">
        <f t="shared" si="13"/>
        <v>#NUM!</v>
      </c>
      <c r="K197" s="179" t="e">
        <f t="shared" si="11"/>
        <v>#NUM!</v>
      </c>
      <c r="L197" s="179"/>
      <c r="M197" s="181">
        <f t="shared" si="12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4">IF(H198&lt;$H$2+1,($I$2-($I$2-1)*(LOG(H198)/LOG($H$2))),"")</f>
        <v/>
      </c>
      <c r="J198" s="179" t="e">
        <f t="shared" si="13"/>
        <v>#NUM!</v>
      </c>
      <c r="K198" s="179" t="e">
        <f t="shared" ref="K198:K261" si="15">J198*$J$2</f>
        <v>#NUM!</v>
      </c>
      <c r="L198" s="179"/>
      <c r="M198" s="181">
        <f t="shared" ref="M198:M261" si="16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4"/>
        <v/>
      </c>
      <c r="J199" s="179" t="e">
        <f t="shared" ref="J199:J262" si="17">INT(LOG($H$2,2))-ROUNDUP(LOG(H199,2),0)+IF(OR($H$2=1,$H$2=2,$H$2=4,$H$2=8,$H$2=16,$H$2=32,$H$2=64,$H$2=128,$H$2=256),0,1)</f>
        <v>#NUM!</v>
      </c>
      <c r="K199" s="179" t="e">
        <f t="shared" si="15"/>
        <v>#NUM!</v>
      </c>
      <c r="L199" s="179"/>
      <c r="M199" s="181">
        <f t="shared" si="16"/>
        <v>0</v>
      </c>
    </row>
    <row r="200" spans="1:13" x14ac:dyDescent="0.25">
      <c r="A200" s="197"/>
      <c r="G200" s="164"/>
      <c r="H200" s="179">
        <v>195</v>
      </c>
      <c r="I200" s="180" t="str">
        <f t="shared" si="14"/>
        <v/>
      </c>
      <c r="J200" s="179" t="e">
        <f t="shared" si="17"/>
        <v>#NUM!</v>
      </c>
      <c r="K200" s="179" t="e">
        <f t="shared" si="15"/>
        <v>#NUM!</v>
      </c>
      <c r="L200" s="179"/>
      <c r="M200" s="181">
        <f t="shared" si="16"/>
        <v>0</v>
      </c>
    </row>
    <row r="201" spans="1:13" x14ac:dyDescent="0.25">
      <c r="A201" s="197"/>
      <c r="G201" s="164"/>
      <c r="H201" s="179">
        <v>196</v>
      </c>
      <c r="I201" s="180" t="str">
        <f t="shared" si="14"/>
        <v/>
      </c>
      <c r="J201" s="179" t="e">
        <f t="shared" si="17"/>
        <v>#NUM!</v>
      </c>
      <c r="K201" s="179" t="e">
        <f t="shared" si="15"/>
        <v>#NUM!</v>
      </c>
      <c r="L201" s="179"/>
      <c r="M201" s="181">
        <f t="shared" si="16"/>
        <v>0</v>
      </c>
    </row>
    <row r="202" spans="1:13" x14ac:dyDescent="0.25">
      <c r="A202" s="197"/>
      <c r="G202" s="164"/>
      <c r="H202" s="179">
        <v>197</v>
      </c>
      <c r="I202" s="180" t="str">
        <f t="shared" si="14"/>
        <v/>
      </c>
      <c r="J202" s="179" t="e">
        <f t="shared" si="17"/>
        <v>#NUM!</v>
      </c>
      <c r="K202" s="179" t="e">
        <f t="shared" si="15"/>
        <v>#NUM!</v>
      </c>
      <c r="L202" s="179"/>
      <c r="M202" s="181">
        <f t="shared" si="16"/>
        <v>0</v>
      </c>
    </row>
    <row r="203" spans="1:13" x14ac:dyDescent="0.25">
      <c r="A203" s="197"/>
      <c r="G203" s="164"/>
      <c r="H203" s="179">
        <v>198</v>
      </c>
      <c r="I203" s="180" t="str">
        <f t="shared" si="14"/>
        <v/>
      </c>
      <c r="J203" s="179" t="e">
        <f t="shared" si="17"/>
        <v>#NUM!</v>
      </c>
      <c r="K203" s="179" t="e">
        <f t="shared" si="15"/>
        <v>#NUM!</v>
      </c>
      <c r="L203" s="179"/>
      <c r="M203" s="181">
        <f t="shared" si="16"/>
        <v>0</v>
      </c>
    </row>
    <row r="204" spans="1:13" x14ac:dyDescent="0.25">
      <c r="A204" s="197"/>
      <c r="G204" s="164"/>
      <c r="H204" s="179">
        <v>199</v>
      </c>
      <c r="I204" s="180" t="str">
        <f t="shared" si="14"/>
        <v/>
      </c>
      <c r="J204" s="179" t="e">
        <f t="shared" si="17"/>
        <v>#NUM!</v>
      </c>
      <c r="K204" s="179" t="e">
        <f t="shared" si="15"/>
        <v>#NUM!</v>
      </c>
      <c r="L204" s="179"/>
      <c r="M204" s="181">
        <f t="shared" si="16"/>
        <v>0</v>
      </c>
    </row>
    <row r="205" spans="1:13" x14ac:dyDescent="0.25">
      <c r="A205" s="197"/>
      <c r="G205" s="164"/>
      <c r="H205" s="179">
        <v>200</v>
      </c>
      <c r="I205" s="180" t="str">
        <f t="shared" si="14"/>
        <v/>
      </c>
      <c r="J205" s="179" t="e">
        <f t="shared" si="17"/>
        <v>#NUM!</v>
      </c>
      <c r="K205" s="179" t="e">
        <f t="shared" si="15"/>
        <v>#NUM!</v>
      </c>
      <c r="L205" s="179"/>
      <c r="M205" s="181">
        <f t="shared" si="16"/>
        <v>0</v>
      </c>
    </row>
    <row r="206" spans="1:13" x14ac:dyDescent="0.25">
      <c r="A206" s="197"/>
      <c r="G206" s="164"/>
      <c r="H206" s="179">
        <v>201</v>
      </c>
      <c r="I206" s="180" t="str">
        <f t="shared" si="14"/>
        <v/>
      </c>
      <c r="J206" s="179" t="e">
        <f t="shared" si="17"/>
        <v>#NUM!</v>
      </c>
      <c r="K206" s="179" t="e">
        <f t="shared" si="15"/>
        <v>#NUM!</v>
      </c>
      <c r="L206" s="179"/>
      <c r="M206" s="181">
        <f t="shared" si="16"/>
        <v>0</v>
      </c>
    </row>
    <row r="207" spans="1:13" x14ac:dyDescent="0.25">
      <c r="A207" s="197"/>
      <c r="G207" s="164"/>
      <c r="H207" s="179">
        <v>202</v>
      </c>
      <c r="I207" s="180" t="str">
        <f t="shared" si="14"/>
        <v/>
      </c>
      <c r="J207" s="179" t="e">
        <f t="shared" si="17"/>
        <v>#NUM!</v>
      </c>
      <c r="K207" s="179" t="e">
        <f t="shared" si="15"/>
        <v>#NUM!</v>
      </c>
      <c r="L207" s="179"/>
      <c r="M207" s="181">
        <f t="shared" si="16"/>
        <v>0</v>
      </c>
    </row>
    <row r="208" spans="1:13" x14ac:dyDescent="0.25">
      <c r="A208" s="197"/>
      <c r="G208" s="164"/>
      <c r="H208" s="179">
        <v>203</v>
      </c>
      <c r="I208" s="180" t="str">
        <f t="shared" si="14"/>
        <v/>
      </c>
      <c r="J208" s="179" t="e">
        <f t="shared" si="17"/>
        <v>#NUM!</v>
      </c>
      <c r="K208" s="179" t="e">
        <f t="shared" si="15"/>
        <v>#NUM!</v>
      </c>
      <c r="L208" s="179"/>
      <c r="M208" s="181">
        <f t="shared" si="16"/>
        <v>0</v>
      </c>
    </row>
    <row r="209" spans="1:13" x14ac:dyDescent="0.25">
      <c r="A209" s="197"/>
      <c r="G209" s="164"/>
      <c r="H209" s="179">
        <v>204</v>
      </c>
      <c r="I209" s="180" t="str">
        <f t="shared" si="14"/>
        <v/>
      </c>
      <c r="J209" s="179" t="e">
        <f t="shared" si="17"/>
        <v>#NUM!</v>
      </c>
      <c r="K209" s="179" t="e">
        <f t="shared" si="15"/>
        <v>#NUM!</v>
      </c>
      <c r="L209" s="179"/>
      <c r="M209" s="181">
        <f t="shared" si="16"/>
        <v>0</v>
      </c>
    </row>
    <row r="210" spans="1:13" x14ac:dyDescent="0.25">
      <c r="A210" s="197"/>
      <c r="G210" s="164"/>
      <c r="H210" s="179">
        <v>205</v>
      </c>
      <c r="I210" s="180" t="str">
        <f t="shared" si="14"/>
        <v/>
      </c>
      <c r="J210" s="179" t="e">
        <f t="shared" si="17"/>
        <v>#NUM!</v>
      </c>
      <c r="K210" s="179" t="e">
        <f t="shared" si="15"/>
        <v>#NUM!</v>
      </c>
      <c r="L210" s="179"/>
      <c r="M210" s="181">
        <f t="shared" si="16"/>
        <v>0</v>
      </c>
    </row>
    <row r="211" spans="1:13" x14ac:dyDescent="0.25">
      <c r="A211" s="197"/>
      <c r="G211" s="164"/>
      <c r="H211" s="179">
        <v>206</v>
      </c>
      <c r="I211" s="180" t="str">
        <f t="shared" si="14"/>
        <v/>
      </c>
      <c r="J211" s="179" t="e">
        <f t="shared" si="17"/>
        <v>#NUM!</v>
      </c>
      <c r="K211" s="179" t="e">
        <f t="shared" si="15"/>
        <v>#NUM!</v>
      </c>
      <c r="L211" s="179"/>
      <c r="M211" s="181">
        <f t="shared" si="16"/>
        <v>0</v>
      </c>
    </row>
    <row r="212" spans="1:13" x14ac:dyDescent="0.25">
      <c r="A212" s="197"/>
      <c r="G212" s="164"/>
      <c r="H212" s="179">
        <v>207</v>
      </c>
      <c r="I212" s="180" t="str">
        <f t="shared" si="14"/>
        <v/>
      </c>
      <c r="J212" s="179" t="e">
        <f t="shared" si="17"/>
        <v>#NUM!</v>
      </c>
      <c r="K212" s="179" t="e">
        <f t="shared" si="15"/>
        <v>#NUM!</v>
      </c>
      <c r="L212" s="179"/>
      <c r="M212" s="181">
        <f t="shared" si="16"/>
        <v>0</v>
      </c>
    </row>
    <row r="213" spans="1:13" x14ac:dyDescent="0.25">
      <c r="A213" s="197"/>
      <c r="G213" s="164"/>
      <c r="H213" s="179">
        <v>208</v>
      </c>
      <c r="I213" s="180" t="str">
        <f t="shared" si="14"/>
        <v/>
      </c>
      <c r="J213" s="179" t="e">
        <f t="shared" si="17"/>
        <v>#NUM!</v>
      </c>
      <c r="K213" s="179" t="e">
        <f t="shared" si="15"/>
        <v>#NUM!</v>
      </c>
      <c r="L213" s="179"/>
      <c r="M213" s="181">
        <f t="shared" si="16"/>
        <v>0</v>
      </c>
    </row>
    <row r="214" spans="1:13" x14ac:dyDescent="0.25">
      <c r="A214" s="197"/>
      <c r="G214" s="164"/>
      <c r="H214" s="179">
        <v>209</v>
      </c>
      <c r="I214" s="180" t="str">
        <f t="shared" si="14"/>
        <v/>
      </c>
      <c r="J214" s="179" t="e">
        <f t="shared" si="17"/>
        <v>#NUM!</v>
      </c>
      <c r="K214" s="179" t="e">
        <f t="shared" si="15"/>
        <v>#NUM!</v>
      </c>
      <c r="L214" s="179"/>
      <c r="M214" s="181">
        <f t="shared" si="16"/>
        <v>0</v>
      </c>
    </row>
    <row r="215" spans="1:13" x14ac:dyDescent="0.25">
      <c r="A215" s="197"/>
      <c r="G215" s="164"/>
      <c r="H215" s="179">
        <v>210</v>
      </c>
      <c r="I215" s="180" t="str">
        <f t="shared" si="14"/>
        <v/>
      </c>
      <c r="J215" s="179" t="e">
        <f t="shared" si="17"/>
        <v>#NUM!</v>
      </c>
      <c r="K215" s="179" t="e">
        <f t="shared" si="15"/>
        <v>#NUM!</v>
      </c>
      <c r="L215" s="179"/>
      <c r="M215" s="181">
        <f t="shared" si="16"/>
        <v>0</v>
      </c>
    </row>
    <row r="216" spans="1:13" x14ac:dyDescent="0.25">
      <c r="A216" s="197"/>
      <c r="G216" s="164"/>
      <c r="H216" s="179">
        <v>211</v>
      </c>
      <c r="I216" s="180" t="str">
        <f t="shared" si="14"/>
        <v/>
      </c>
      <c r="J216" s="179" t="e">
        <f t="shared" si="17"/>
        <v>#NUM!</v>
      </c>
      <c r="K216" s="179" t="e">
        <f t="shared" si="15"/>
        <v>#NUM!</v>
      </c>
      <c r="L216" s="179"/>
      <c r="M216" s="181">
        <f t="shared" si="16"/>
        <v>0</v>
      </c>
    </row>
    <row r="217" spans="1:13" x14ac:dyDescent="0.25">
      <c r="A217" s="197"/>
      <c r="G217" s="164"/>
      <c r="H217" s="179">
        <v>212</v>
      </c>
      <c r="I217" s="180" t="str">
        <f t="shared" si="14"/>
        <v/>
      </c>
      <c r="J217" s="179" t="e">
        <f t="shared" si="17"/>
        <v>#NUM!</v>
      </c>
      <c r="K217" s="179" t="e">
        <f t="shared" si="15"/>
        <v>#NUM!</v>
      </c>
      <c r="L217" s="179"/>
      <c r="M217" s="181">
        <f t="shared" si="16"/>
        <v>0</v>
      </c>
    </row>
    <row r="218" spans="1:13" x14ac:dyDescent="0.25">
      <c r="A218" s="197"/>
      <c r="G218" s="164"/>
      <c r="H218" s="179">
        <v>213</v>
      </c>
      <c r="I218" s="180" t="str">
        <f t="shared" si="14"/>
        <v/>
      </c>
      <c r="J218" s="179" t="e">
        <f t="shared" si="17"/>
        <v>#NUM!</v>
      </c>
      <c r="K218" s="179" t="e">
        <f t="shared" si="15"/>
        <v>#NUM!</v>
      </c>
      <c r="L218" s="179"/>
      <c r="M218" s="181">
        <f t="shared" si="16"/>
        <v>0</v>
      </c>
    </row>
    <row r="219" spans="1:13" x14ac:dyDescent="0.25">
      <c r="A219" s="197"/>
      <c r="G219" s="164"/>
      <c r="H219" s="179">
        <v>214</v>
      </c>
      <c r="I219" s="180" t="str">
        <f t="shared" si="14"/>
        <v/>
      </c>
      <c r="J219" s="179" t="e">
        <f t="shared" si="17"/>
        <v>#NUM!</v>
      </c>
      <c r="K219" s="179" t="e">
        <f t="shared" si="15"/>
        <v>#NUM!</v>
      </c>
      <c r="L219" s="179"/>
      <c r="M219" s="181">
        <f t="shared" si="16"/>
        <v>0</v>
      </c>
    </row>
    <row r="220" spans="1:13" x14ac:dyDescent="0.25">
      <c r="A220" s="197"/>
      <c r="G220" s="164"/>
      <c r="H220" s="179">
        <v>215</v>
      </c>
      <c r="I220" s="180" t="str">
        <f t="shared" si="14"/>
        <v/>
      </c>
      <c r="J220" s="179" t="e">
        <f t="shared" si="17"/>
        <v>#NUM!</v>
      </c>
      <c r="K220" s="179" t="e">
        <f t="shared" si="15"/>
        <v>#NUM!</v>
      </c>
      <c r="L220" s="179"/>
      <c r="M220" s="181">
        <f t="shared" si="16"/>
        <v>0</v>
      </c>
    </row>
    <row r="221" spans="1:13" x14ac:dyDescent="0.25">
      <c r="A221" s="197"/>
      <c r="G221" s="164"/>
      <c r="H221" s="179">
        <v>216</v>
      </c>
      <c r="I221" s="180" t="str">
        <f t="shared" si="14"/>
        <v/>
      </c>
      <c r="J221" s="179" t="e">
        <f t="shared" si="17"/>
        <v>#NUM!</v>
      </c>
      <c r="K221" s="179" t="e">
        <f t="shared" si="15"/>
        <v>#NUM!</v>
      </c>
      <c r="L221" s="179"/>
      <c r="M221" s="181">
        <f t="shared" si="16"/>
        <v>0</v>
      </c>
    </row>
    <row r="222" spans="1:13" x14ac:dyDescent="0.25">
      <c r="A222" s="197"/>
      <c r="G222" s="164"/>
      <c r="H222" s="179">
        <v>217</v>
      </c>
      <c r="I222" s="180" t="str">
        <f t="shared" si="14"/>
        <v/>
      </c>
      <c r="J222" s="179" t="e">
        <f t="shared" si="17"/>
        <v>#NUM!</v>
      </c>
      <c r="K222" s="179" t="e">
        <f t="shared" si="15"/>
        <v>#NUM!</v>
      </c>
      <c r="L222" s="179"/>
      <c r="M222" s="181">
        <f t="shared" si="16"/>
        <v>0</v>
      </c>
    </row>
    <row r="223" spans="1:13" x14ac:dyDescent="0.25">
      <c r="A223" s="197"/>
      <c r="G223" s="164"/>
      <c r="H223" s="179">
        <v>218</v>
      </c>
      <c r="I223" s="180" t="str">
        <f t="shared" si="14"/>
        <v/>
      </c>
      <c r="J223" s="179" t="e">
        <f t="shared" si="17"/>
        <v>#NUM!</v>
      </c>
      <c r="K223" s="179" t="e">
        <f t="shared" si="15"/>
        <v>#NUM!</v>
      </c>
      <c r="L223" s="179"/>
      <c r="M223" s="181">
        <f t="shared" si="16"/>
        <v>0</v>
      </c>
    </row>
    <row r="224" spans="1:13" x14ac:dyDescent="0.25">
      <c r="A224" s="197"/>
      <c r="G224" s="164"/>
      <c r="H224" s="179">
        <v>219</v>
      </c>
      <c r="I224" s="180" t="str">
        <f t="shared" si="14"/>
        <v/>
      </c>
      <c r="J224" s="179" t="e">
        <f t="shared" si="17"/>
        <v>#NUM!</v>
      </c>
      <c r="K224" s="179" t="e">
        <f t="shared" si="15"/>
        <v>#NUM!</v>
      </c>
      <c r="L224" s="179"/>
      <c r="M224" s="181">
        <f t="shared" si="16"/>
        <v>0</v>
      </c>
    </row>
    <row r="225" spans="1:13" x14ac:dyDescent="0.25">
      <c r="A225" s="197"/>
      <c r="G225" s="164"/>
      <c r="H225" s="179">
        <v>220</v>
      </c>
      <c r="I225" s="180" t="str">
        <f t="shared" si="14"/>
        <v/>
      </c>
      <c r="J225" s="179" t="e">
        <f t="shared" si="17"/>
        <v>#NUM!</v>
      </c>
      <c r="K225" s="179" t="e">
        <f t="shared" si="15"/>
        <v>#NUM!</v>
      </c>
      <c r="L225" s="179"/>
      <c r="M225" s="181">
        <f t="shared" si="16"/>
        <v>0</v>
      </c>
    </row>
    <row r="226" spans="1:13" x14ac:dyDescent="0.25">
      <c r="A226" s="197"/>
      <c r="G226" s="164"/>
      <c r="H226" s="179">
        <v>221</v>
      </c>
      <c r="I226" s="180" t="str">
        <f t="shared" si="14"/>
        <v/>
      </c>
      <c r="J226" s="179" t="e">
        <f t="shared" si="17"/>
        <v>#NUM!</v>
      </c>
      <c r="K226" s="179" t="e">
        <f t="shared" si="15"/>
        <v>#NUM!</v>
      </c>
      <c r="L226" s="179"/>
      <c r="M226" s="181">
        <f t="shared" si="16"/>
        <v>0</v>
      </c>
    </row>
    <row r="227" spans="1:13" x14ac:dyDescent="0.25">
      <c r="A227" s="197"/>
      <c r="G227" s="164"/>
      <c r="H227" s="179">
        <v>222</v>
      </c>
      <c r="I227" s="180" t="str">
        <f t="shared" si="14"/>
        <v/>
      </c>
      <c r="J227" s="179" t="e">
        <f t="shared" si="17"/>
        <v>#NUM!</v>
      </c>
      <c r="K227" s="179" t="e">
        <f t="shared" si="15"/>
        <v>#NUM!</v>
      </c>
      <c r="L227" s="179"/>
      <c r="M227" s="181">
        <f t="shared" si="16"/>
        <v>0</v>
      </c>
    </row>
    <row r="228" spans="1:13" x14ac:dyDescent="0.25">
      <c r="A228" s="197"/>
      <c r="G228" s="164"/>
      <c r="H228" s="179">
        <v>223</v>
      </c>
      <c r="I228" s="180" t="str">
        <f t="shared" si="14"/>
        <v/>
      </c>
      <c r="J228" s="179" t="e">
        <f t="shared" si="17"/>
        <v>#NUM!</v>
      </c>
      <c r="K228" s="179" t="e">
        <f t="shared" si="15"/>
        <v>#NUM!</v>
      </c>
      <c r="L228" s="179"/>
      <c r="M228" s="181">
        <f t="shared" si="16"/>
        <v>0</v>
      </c>
    </row>
    <row r="229" spans="1:13" x14ac:dyDescent="0.25">
      <c r="A229" s="197"/>
      <c r="G229" s="164"/>
      <c r="H229" s="179">
        <v>224</v>
      </c>
      <c r="I229" s="180" t="str">
        <f t="shared" si="14"/>
        <v/>
      </c>
      <c r="J229" s="179" t="e">
        <f t="shared" si="17"/>
        <v>#NUM!</v>
      </c>
      <c r="K229" s="179" t="e">
        <f t="shared" si="15"/>
        <v>#NUM!</v>
      </c>
      <c r="L229" s="179"/>
      <c r="M229" s="181">
        <f t="shared" si="16"/>
        <v>0</v>
      </c>
    </row>
    <row r="230" spans="1:13" x14ac:dyDescent="0.25">
      <c r="A230" s="197"/>
      <c r="G230" s="164"/>
      <c r="H230" s="179">
        <v>225</v>
      </c>
      <c r="I230" s="180" t="str">
        <f t="shared" si="14"/>
        <v/>
      </c>
      <c r="J230" s="179" t="e">
        <f t="shared" si="17"/>
        <v>#NUM!</v>
      </c>
      <c r="K230" s="179" t="e">
        <f t="shared" si="15"/>
        <v>#NUM!</v>
      </c>
      <c r="L230" s="179"/>
      <c r="M230" s="181">
        <f t="shared" si="16"/>
        <v>0</v>
      </c>
    </row>
    <row r="231" spans="1:13" x14ac:dyDescent="0.25">
      <c r="A231" s="197"/>
      <c r="G231" s="164"/>
      <c r="H231" s="179">
        <v>226</v>
      </c>
      <c r="I231" s="180" t="str">
        <f t="shared" si="14"/>
        <v/>
      </c>
      <c r="J231" s="179" t="e">
        <f t="shared" si="17"/>
        <v>#NUM!</v>
      </c>
      <c r="K231" s="179" t="e">
        <f t="shared" si="15"/>
        <v>#NUM!</v>
      </c>
      <c r="L231" s="179"/>
      <c r="M231" s="181">
        <f t="shared" si="16"/>
        <v>0</v>
      </c>
    </row>
    <row r="232" spans="1:13" x14ac:dyDescent="0.25">
      <c r="A232" s="197"/>
      <c r="G232" s="164"/>
      <c r="H232" s="179">
        <v>227</v>
      </c>
      <c r="I232" s="180" t="str">
        <f t="shared" si="14"/>
        <v/>
      </c>
      <c r="J232" s="179" t="e">
        <f t="shared" si="17"/>
        <v>#NUM!</v>
      </c>
      <c r="K232" s="179" t="e">
        <f t="shared" si="15"/>
        <v>#NUM!</v>
      </c>
      <c r="L232" s="179"/>
      <c r="M232" s="181">
        <f t="shared" si="16"/>
        <v>0</v>
      </c>
    </row>
    <row r="233" spans="1:13" x14ac:dyDescent="0.25">
      <c r="A233" s="197"/>
      <c r="G233" s="164"/>
      <c r="H233" s="179">
        <v>228</v>
      </c>
      <c r="I233" s="180" t="str">
        <f t="shared" si="14"/>
        <v/>
      </c>
      <c r="J233" s="179" t="e">
        <f t="shared" si="17"/>
        <v>#NUM!</v>
      </c>
      <c r="K233" s="179" t="e">
        <f t="shared" si="15"/>
        <v>#NUM!</v>
      </c>
      <c r="L233" s="179"/>
      <c r="M233" s="181">
        <f t="shared" si="16"/>
        <v>0</v>
      </c>
    </row>
    <row r="234" spans="1:13" x14ac:dyDescent="0.25">
      <c r="A234" s="197"/>
      <c r="G234" s="164"/>
      <c r="H234" s="179">
        <v>229</v>
      </c>
      <c r="I234" s="180" t="str">
        <f t="shared" si="14"/>
        <v/>
      </c>
      <c r="J234" s="179" t="e">
        <f t="shared" si="17"/>
        <v>#NUM!</v>
      </c>
      <c r="K234" s="179" t="e">
        <f t="shared" si="15"/>
        <v>#NUM!</v>
      </c>
      <c r="L234" s="179"/>
      <c r="M234" s="181">
        <f t="shared" si="16"/>
        <v>0</v>
      </c>
    </row>
    <row r="235" spans="1:13" x14ac:dyDescent="0.25">
      <c r="A235" s="197"/>
      <c r="G235" s="164"/>
      <c r="H235" s="179">
        <v>230</v>
      </c>
      <c r="I235" s="180" t="str">
        <f t="shared" si="14"/>
        <v/>
      </c>
      <c r="J235" s="179" t="e">
        <f t="shared" si="17"/>
        <v>#NUM!</v>
      </c>
      <c r="K235" s="179" t="e">
        <f t="shared" si="15"/>
        <v>#NUM!</v>
      </c>
      <c r="L235" s="179"/>
      <c r="M235" s="181">
        <f t="shared" si="16"/>
        <v>0</v>
      </c>
    </row>
    <row r="236" spans="1:13" x14ac:dyDescent="0.25">
      <c r="A236" s="197"/>
      <c r="G236" s="164"/>
      <c r="H236" s="179">
        <v>231</v>
      </c>
      <c r="I236" s="180" t="str">
        <f t="shared" si="14"/>
        <v/>
      </c>
      <c r="J236" s="179" t="e">
        <f t="shared" si="17"/>
        <v>#NUM!</v>
      </c>
      <c r="K236" s="179" t="e">
        <f t="shared" si="15"/>
        <v>#NUM!</v>
      </c>
      <c r="L236" s="179"/>
      <c r="M236" s="181">
        <f t="shared" si="16"/>
        <v>0</v>
      </c>
    </row>
    <row r="237" spans="1:13" x14ac:dyDescent="0.25">
      <c r="A237" s="197"/>
      <c r="G237" s="164"/>
      <c r="H237" s="179">
        <v>232</v>
      </c>
      <c r="I237" s="180" t="str">
        <f t="shared" si="14"/>
        <v/>
      </c>
      <c r="J237" s="179" t="e">
        <f t="shared" si="17"/>
        <v>#NUM!</v>
      </c>
      <c r="K237" s="179" t="e">
        <f t="shared" si="15"/>
        <v>#NUM!</v>
      </c>
      <c r="L237" s="179"/>
      <c r="M237" s="181">
        <f t="shared" si="16"/>
        <v>0</v>
      </c>
    </row>
    <row r="238" spans="1:13" x14ac:dyDescent="0.25">
      <c r="A238" s="197"/>
      <c r="G238" s="164"/>
      <c r="H238" s="179">
        <v>233</v>
      </c>
      <c r="I238" s="180" t="str">
        <f t="shared" si="14"/>
        <v/>
      </c>
      <c r="J238" s="179" t="e">
        <f t="shared" si="17"/>
        <v>#NUM!</v>
      </c>
      <c r="K238" s="179" t="e">
        <f t="shared" si="15"/>
        <v>#NUM!</v>
      </c>
      <c r="L238" s="179"/>
      <c r="M238" s="181">
        <f t="shared" si="16"/>
        <v>0</v>
      </c>
    </row>
    <row r="239" spans="1:13" x14ac:dyDescent="0.25">
      <c r="A239" s="197"/>
      <c r="G239" s="164"/>
      <c r="H239" s="179">
        <v>234</v>
      </c>
      <c r="I239" s="180" t="str">
        <f t="shared" si="14"/>
        <v/>
      </c>
      <c r="J239" s="179" t="e">
        <f t="shared" si="17"/>
        <v>#NUM!</v>
      </c>
      <c r="K239" s="179" t="e">
        <f t="shared" si="15"/>
        <v>#NUM!</v>
      </c>
      <c r="L239" s="179"/>
      <c r="M239" s="181">
        <f t="shared" si="16"/>
        <v>0</v>
      </c>
    </row>
    <row r="240" spans="1:13" x14ac:dyDescent="0.25">
      <c r="A240" s="197"/>
      <c r="G240" s="164"/>
      <c r="H240" s="179">
        <v>235</v>
      </c>
      <c r="I240" s="180" t="str">
        <f t="shared" si="14"/>
        <v/>
      </c>
      <c r="J240" s="179" t="e">
        <f t="shared" si="17"/>
        <v>#NUM!</v>
      </c>
      <c r="K240" s="179" t="e">
        <f t="shared" si="15"/>
        <v>#NUM!</v>
      </c>
      <c r="L240" s="179"/>
      <c r="M240" s="181">
        <f t="shared" si="16"/>
        <v>0</v>
      </c>
    </row>
    <row r="241" spans="1:13" x14ac:dyDescent="0.25">
      <c r="A241" s="197"/>
      <c r="G241" s="164"/>
      <c r="H241" s="179">
        <v>236</v>
      </c>
      <c r="I241" s="180" t="str">
        <f t="shared" si="14"/>
        <v/>
      </c>
      <c r="J241" s="179" t="e">
        <f t="shared" si="17"/>
        <v>#NUM!</v>
      </c>
      <c r="K241" s="179" t="e">
        <f t="shared" si="15"/>
        <v>#NUM!</v>
      </c>
      <c r="L241" s="179"/>
      <c r="M241" s="181">
        <f t="shared" si="16"/>
        <v>0</v>
      </c>
    </row>
    <row r="242" spans="1:13" x14ac:dyDescent="0.25">
      <c r="A242" s="197"/>
      <c r="G242" s="164"/>
      <c r="H242" s="179">
        <v>237</v>
      </c>
      <c r="I242" s="180" t="str">
        <f t="shared" si="14"/>
        <v/>
      </c>
      <c r="J242" s="179" t="e">
        <f t="shared" si="17"/>
        <v>#NUM!</v>
      </c>
      <c r="K242" s="179" t="e">
        <f t="shared" si="15"/>
        <v>#NUM!</v>
      </c>
      <c r="L242" s="179"/>
      <c r="M242" s="181">
        <f t="shared" si="16"/>
        <v>0</v>
      </c>
    </row>
    <row r="243" spans="1:13" x14ac:dyDescent="0.25">
      <c r="A243" s="197"/>
      <c r="G243" s="164"/>
      <c r="H243" s="179">
        <v>238</v>
      </c>
      <c r="I243" s="180" t="str">
        <f t="shared" si="14"/>
        <v/>
      </c>
      <c r="J243" s="179" t="e">
        <f t="shared" si="17"/>
        <v>#NUM!</v>
      </c>
      <c r="K243" s="179" t="e">
        <f t="shared" si="15"/>
        <v>#NUM!</v>
      </c>
      <c r="L243" s="179"/>
      <c r="M243" s="181">
        <f t="shared" si="16"/>
        <v>0</v>
      </c>
    </row>
    <row r="244" spans="1:13" x14ac:dyDescent="0.25">
      <c r="A244" s="197"/>
      <c r="G244" s="164"/>
      <c r="H244" s="179">
        <v>239</v>
      </c>
      <c r="I244" s="180" t="str">
        <f t="shared" si="14"/>
        <v/>
      </c>
      <c r="J244" s="179" t="e">
        <f t="shared" si="17"/>
        <v>#NUM!</v>
      </c>
      <c r="K244" s="179" t="e">
        <f t="shared" si="15"/>
        <v>#NUM!</v>
      </c>
      <c r="L244" s="179"/>
      <c r="M244" s="181">
        <f t="shared" si="16"/>
        <v>0</v>
      </c>
    </row>
    <row r="245" spans="1:13" x14ac:dyDescent="0.25">
      <c r="A245" s="197"/>
      <c r="G245" s="164"/>
      <c r="H245" s="179">
        <v>240</v>
      </c>
      <c r="I245" s="180" t="str">
        <f t="shared" si="14"/>
        <v/>
      </c>
      <c r="J245" s="179" t="e">
        <f t="shared" si="17"/>
        <v>#NUM!</v>
      </c>
      <c r="K245" s="179" t="e">
        <f t="shared" si="15"/>
        <v>#NUM!</v>
      </c>
      <c r="L245" s="179"/>
      <c r="M245" s="181">
        <f t="shared" si="16"/>
        <v>0</v>
      </c>
    </row>
    <row r="246" spans="1:13" x14ac:dyDescent="0.25">
      <c r="A246" s="197"/>
      <c r="G246" s="164"/>
      <c r="H246" s="179">
        <v>241</v>
      </c>
      <c r="I246" s="180" t="str">
        <f t="shared" si="14"/>
        <v/>
      </c>
      <c r="J246" s="179" t="e">
        <f t="shared" si="17"/>
        <v>#NUM!</v>
      </c>
      <c r="K246" s="179" t="e">
        <f t="shared" si="15"/>
        <v>#NUM!</v>
      </c>
      <c r="L246" s="179"/>
      <c r="M246" s="181">
        <f t="shared" si="16"/>
        <v>0</v>
      </c>
    </row>
    <row r="247" spans="1:13" x14ac:dyDescent="0.25">
      <c r="A247" s="197"/>
      <c r="G247" s="164"/>
      <c r="H247" s="179">
        <v>242</v>
      </c>
      <c r="I247" s="180" t="str">
        <f t="shared" si="14"/>
        <v/>
      </c>
      <c r="J247" s="179" t="e">
        <f t="shared" si="17"/>
        <v>#NUM!</v>
      </c>
      <c r="K247" s="179" t="e">
        <f t="shared" si="15"/>
        <v>#NUM!</v>
      </c>
      <c r="L247" s="179"/>
      <c r="M247" s="181">
        <f t="shared" si="16"/>
        <v>0</v>
      </c>
    </row>
    <row r="248" spans="1:13" x14ac:dyDescent="0.25">
      <c r="A248" s="197"/>
      <c r="G248" s="164"/>
      <c r="H248" s="179">
        <v>243</v>
      </c>
      <c r="I248" s="180" t="str">
        <f t="shared" si="14"/>
        <v/>
      </c>
      <c r="J248" s="179" t="e">
        <f t="shared" si="17"/>
        <v>#NUM!</v>
      </c>
      <c r="K248" s="179" t="e">
        <f t="shared" si="15"/>
        <v>#NUM!</v>
      </c>
      <c r="L248" s="179"/>
      <c r="M248" s="181">
        <f t="shared" si="16"/>
        <v>0</v>
      </c>
    </row>
    <row r="249" spans="1:13" x14ac:dyDescent="0.25">
      <c r="A249" s="197"/>
      <c r="G249" s="164"/>
      <c r="H249" s="179">
        <v>244</v>
      </c>
      <c r="I249" s="180" t="str">
        <f t="shared" si="14"/>
        <v/>
      </c>
      <c r="J249" s="179" t="e">
        <f t="shared" si="17"/>
        <v>#NUM!</v>
      </c>
      <c r="K249" s="179" t="e">
        <f t="shared" si="15"/>
        <v>#NUM!</v>
      </c>
      <c r="L249" s="179"/>
      <c r="M249" s="181">
        <f t="shared" si="16"/>
        <v>0</v>
      </c>
    </row>
    <row r="250" spans="1:13" x14ac:dyDescent="0.25">
      <c r="A250" s="197"/>
      <c r="G250" s="164"/>
      <c r="H250" s="179">
        <v>245</v>
      </c>
      <c r="I250" s="180" t="str">
        <f t="shared" si="14"/>
        <v/>
      </c>
      <c r="J250" s="179" t="e">
        <f t="shared" si="17"/>
        <v>#NUM!</v>
      </c>
      <c r="K250" s="179" t="e">
        <f t="shared" si="15"/>
        <v>#NUM!</v>
      </c>
      <c r="L250" s="179"/>
      <c r="M250" s="181">
        <f t="shared" si="16"/>
        <v>0</v>
      </c>
    </row>
    <row r="251" spans="1:13" x14ac:dyDescent="0.25">
      <c r="A251" s="197"/>
      <c r="G251" s="164"/>
      <c r="H251" s="179">
        <v>246</v>
      </c>
      <c r="I251" s="180" t="str">
        <f t="shared" si="14"/>
        <v/>
      </c>
      <c r="J251" s="179" t="e">
        <f t="shared" si="17"/>
        <v>#NUM!</v>
      </c>
      <c r="K251" s="179" t="e">
        <f t="shared" si="15"/>
        <v>#NUM!</v>
      </c>
      <c r="L251" s="179"/>
      <c r="M251" s="181">
        <f t="shared" si="16"/>
        <v>0</v>
      </c>
    </row>
    <row r="252" spans="1:13" x14ac:dyDescent="0.25">
      <c r="A252" s="197"/>
      <c r="G252" s="164"/>
      <c r="H252" s="179">
        <v>247</v>
      </c>
      <c r="I252" s="180" t="str">
        <f t="shared" si="14"/>
        <v/>
      </c>
      <c r="J252" s="179" t="e">
        <f t="shared" si="17"/>
        <v>#NUM!</v>
      </c>
      <c r="K252" s="179" t="e">
        <f t="shared" si="15"/>
        <v>#NUM!</v>
      </c>
      <c r="L252" s="179"/>
      <c r="M252" s="181">
        <f t="shared" si="16"/>
        <v>0</v>
      </c>
    </row>
    <row r="253" spans="1:13" x14ac:dyDescent="0.25">
      <c r="A253" s="197"/>
      <c r="G253" s="164"/>
      <c r="H253" s="179">
        <v>248</v>
      </c>
      <c r="I253" s="180" t="str">
        <f t="shared" si="14"/>
        <v/>
      </c>
      <c r="J253" s="179" t="e">
        <f t="shared" si="17"/>
        <v>#NUM!</v>
      </c>
      <c r="K253" s="179" t="e">
        <f t="shared" si="15"/>
        <v>#NUM!</v>
      </c>
      <c r="L253" s="179"/>
      <c r="M253" s="181">
        <f t="shared" si="16"/>
        <v>0</v>
      </c>
    </row>
    <row r="254" spans="1:13" x14ac:dyDescent="0.25">
      <c r="A254" s="197"/>
      <c r="G254" s="164"/>
      <c r="H254" s="179">
        <v>249</v>
      </c>
      <c r="I254" s="180" t="str">
        <f t="shared" si="14"/>
        <v/>
      </c>
      <c r="J254" s="179" t="e">
        <f t="shared" si="17"/>
        <v>#NUM!</v>
      </c>
      <c r="K254" s="179" t="e">
        <f t="shared" si="15"/>
        <v>#NUM!</v>
      </c>
      <c r="L254" s="179"/>
      <c r="M254" s="181">
        <f t="shared" si="16"/>
        <v>0</v>
      </c>
    </row>
    <row r="255" spans="1:13" x14ac:dyDescent="0.25">
      <c r="A255" s="197"/>
      <c r="G255" s="164"/>
      <c r="H255" s="179">
        <v>250</v>
      </c>
      <c r="I255" s="180" t="str">
        <f t="shared" si="14"/>
        <v/>
      </c>
      <c r="J255" s="179" t="e">
        <f t="shared" si="17"/>
        <v>#NUM!</v>
      </c>
      <c r="K255" s="179" t="e">
        <f t="shared" si="15"/>
        <v>#NUM!</v>
      </c>
      <c r="L255" s="179"/>
      <c r="M255" s="181">
        <f t="shared" si="16"/>
        <v>0</v>
      </c>
    </row>
    <row r="256" spans="1:13" x14ac:dyDescent="0.25">
      <c r="A256" s="197"/>
      <c r="G256" s="164"/>
      <c r="H256" s="179">
        <v>251</v>
      </c>
      <c r="I256" s="180" t="str">
        <f t="shared" si="14"/>
        <v/>
      </c>
      <c r="J256" s="179" t="e">
        <f t="shared" si="17"/>
        <v>#NUM!</v>
      </c>
      <c r="K256" s="179" t="e">
        <f t="shared" si="15"/>
        <v>#NUM!</v>
      </c>
      <c r="L256" s="179"/>
      <c r="M256" s="181">
        <f t="shared" si="16"/>
        <v>0</v>
      </c>
    </row>
    <row r="257" spans="1:13" x14ac:dyDescent="0.25">
      <c r="A257" s="197"/>
      <c r="G257" s="164"/>
      <c r="H257" s="179">
        <v>252</v>
      </c>
      <c r="I257" s="180" t="str">
        <f t="shared" si="14"/>
        <v/>
      </c>
      <c r="J257" s="179" t="e">
        <f t="shared" si="17"/>
        <v>#NUM!</v>
      </c>
      <c r="K257" s="179" t="e">
        <f t="shared" si="15"/>
        <v>#NUM!</v>
      </c>
      <c r="L257" s="179"/>
      <c r="M257" s="181">
        <f t="shared" si="16"/>
        <v>0</v>
      </c>
    </row>
    <row r="258" spans="1:13" x14ac:dyDescent="0.25">
      <c r="A258" s="197"/>
      <c r="G258" s="164"/>
      <c r="H258" s="179">
        <v>253</v>
      </c>
      <c r="I258" s="180" t="str">
        <f t="shared" si="14"/>
        <v/>
      </c>
      <c r="J258" s="179" t="e">
        <f t="shared" si="17"/>
        <v>#NUM!</v>
      </c>
      <c r="K258" s="179" t="e">
        <f t="shared" si="15"/>
        <v>#NUM!</v>
      </c>
      <c r="L258" s="179"/>
      <c r="M258" s="181">
        <f t="shared" si="16"/>
        <v>0</v>
      </c>
    </row>
    <row r="259" spans="1:13" x14ac:dyDescent="0.25">
      <c r="A259" s="197"/>
      <c r="G259" s="164"/>
      <c r="H259" s="179">
        <v>254</v>
      </c>
      <c r="I259" s="180" t="str">
        <f t="shared" si="14"/>
        <v/>
      </c>
      <c r="J259" s="179" t="e">
        <f t="shared" si="17"/>
        <v>#NUM!</v>
      </c>
      <c r="K259" s="179" t="e">
        <f t="shared" si="15"/>
        <v>#NUM!</v>
      </c>
      <c r="L259" s="179"/>
      <c r="M259" s="181">
        <f t="shared" si="16"/>
        <v>0</v>
      </c>
    </row>
    <row r="260" spans="1:13" x14ac:dyDescent="0.25">
      <c r="A260" s="197"/>
      <c r="G260" s="164"/>
      <c r="H260" s="179">
        <v>255</v>
      </c>
      <c r="I260" s="180" t="str">
        <f t="shared" si="14"/>
        <v/>
      </c>
      <c r="J260" s="179" t="e">
        <f t="shared" si="17"/>
        <v>#NUM!</v>
      </c>
      <c r="K260" s="179" t="e">
        <f t="shared" si="15"/>
        <v>#NUM!</v>
      </c>
      <c r="L260" s="179"/>
      <c r="M260" s="181">
        <f t="shared" si="16"/>
        <v>0</v>
      </c>
    </row>
    <row r="261" spans="1:13" x14ac:dyDescent="0.25">
      <c r="A261" s="197"/>
      <c r="G261" s="164"/>
      <c r="H261" s="179">
        <v>256</v>
      </c>
      <c r="I261" s="180" t="str">
        <f t="shared" si="14"/>
        <v/>
      </c>
      <c r="J261" s="179" t="e">
        <f t="shared" si="17"/>
        <v>#NUM!</v>
      </c>
      <c r="K261" s="179" t="e">
        <f t="shared" si="15"/>
        <v>#NUM!</v>
      </c>
      <c r="L261" s="179"/>
      <c r="M261" s="181">
        <f t="shared" si="16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8">IF(H262&lt;$H$2+1,($I$2-($I$2-1)*(LOG(H262)/LOG($H$2))),"")</f>
        <v/>
      </c>
      <c r="J262" s="179" t="e">
        <f t="shared" si="17"/>
        <v>#NUM!</v>
      </c>
      <c r="K262" s="179" t="e">
        <f t="shared" ref="K262:K305" si="19">J262*$J$2</f>
        <v>#NUM!</v>
      </c>
      <c r="L262" s="179"/>
      <c r="M262" s="181">
        <f t="shared" ref="M262:M305" si="20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8"/>
        <v/>
      </c>
      <c r="J263" s="179" t="e">
        <f t="shared" ref="J263:J305" si="21">INT(LOG($H$2,2))-ROUNDUP(LOG(H263,2),0)+IF(OR($H$2=1,$H$2=2,$H$2=4,$H$2=8,$H$2=16,$H$2=32,$H$2=64,$H$2=128,$H$2=256),0,1)</f>
        <v>#NUM!</v>
      </c>
      <c r="K263" s="179" t="e">
        <f t="shared" si="19"/>
        <v>#NUM!</v>
      </c>
      <c r="L263" s="179"/>
      <c r="M263" s="181">
        <f t="shared" si="20"/>
        <v>0</v>
      </c>
    </row>
    <row r="264" spans="1:13" x14ac:dyDescent="0.25">
      <c r="A264" s="197"/>
      <c r="G264" s="164"/>
      <c r="H264" s="179">
        <v>259</v>
      </c>
      <c r="I264" s="180" t="str">
        <f t="shared" si="18"/>
        <v/>
      </c>
      <c r="J264" s="179" t="e">
        <f t="shared" si="21"/>
        <v>#NUM!</v>
      </c>
      <c r="K264" s="179" t="e">
        <f t="shared" si="19"/>
        <v>#NUM!</v>
      </c>
      <c r="L264" s="179"/>
      <c r="M264" s="181">
        <f t="shared" si="20"/>
        <v>0</v>
      </c>
    </row>
    <row r="265" spans="1:13" x14ac:dyDescent="0.25">
      <c r="A265" s="197"/>
      <c r="G265" s="164"/>
      <c r="H265" s="179">
        <v>260</v>
      </c>
      <c r="I265" s="180" t="str">
        <f t="shared" si="18"/>
        <v/>
      </c>
      <c r="J265" s="179" t="e">
        <f t="shared" si="21"/>
        <v>#NUM!</v>
      </c>
      <c r="K265" s="179" t="e">
        <f t="shared" si="19"/>
        <v>#NUM!</v>
      </c>
      <c r="L265" s="179"/>
      <c r="M265" s="181">
        <f t="shared" si="20"/>
        <v>0</v>
      </c>
    </row>
    <row r="266" spans="1:13" x14ac:dyDescent="0.25">
      <c r="A266" s="197"/>
      <c r="G266" s="164"/>
      <c r="H266" s="179">
        <v>261</v>
      </c>
      <c r="I266" s="180" t="str">
        <f t="shared" si="18"/>
        <v/>
      </c>
      <c r="J266" s="179" t="e">
        <f t="shared" si="21"/>
        <v>#NUM!</v>
      </c>
      <c r="K266" s="179" t="e">
        <f t="shared" si="19"/>
        <v>#NUM!</v>
      </c>
      <c r="L266" s="179"/>
      <c r="M266" s="181">
        <f t="shared" si="20"/>
        <v>0</v>
      </c>
    </row>
    <row r="267" spans="1:13" x14ac:dyDescent="0.25">
      <c r="A267" s="197"/>
      <c r="G267" s="164"/>
      <c r="H267" s="179">
        <v>262</v>
      </c>
      <c r="I267" s="180" t="str">
        <f t="shared" si="18"/>
        <v/>
      </c>
      <c r="J267" s="179" t="e">
        <f t="shared" si="21"/>
        <v>#NUM!</v>
      </c>
      <c r="K267" s="179" t="e">
        <f t="shared" si="19"/>
        <v>#NUM!</v>
      </c>
      <c r="L267" s="179"/>
      <c r="M267" s="181">
        <f t="shared" si="20"/>
        <v>0</v>
      </c>
    </row>
    <row r="268" spans="1:13" x14ac:dyDescent="0.25">
      <c r="A268" s="197"/>
      <c r="G268" s="164"/>
      <c r="H268" s="179">
        <v>263</v>
      </c>
      <c r="I268" s="180" t="str">
        <f t="shared" si="18"/>
        <v/>
      </c>
      <c r="J268" s="179" t="e">
        <f t="shared" si="21"/>
        <v>#NUM!</v>
      </c>
      <c r="K268" s="179" t="e">
        <f t="shared" si="19"/>
        <v>#NUM!</v>
      </c>
      <c r="L268" s="179"/>
      <c r="M268" s="181">
        <f t="shared" si="20"/>
        <v>0</v>
      </c>
    </row>
    <row r="269" spans="1:13" x14ac:dyDescent="0.25">
      <c r="A269" s="197"/>
      <c r="G269" s="164"/>
      <c r="H269" s="179">
        <v>264</v>
      </c>
      <c r="I269" s="180" t="str">
        <f t="shared" si="18"/>
        <v/>
      </c>
      <c r="J269" s="179" t="e">
        <f t="shared" si="21"/>
        <v>#NUM!</v>
      </c>
      <c r="K269" s="179" t="e">
        <f t="shared" si="19"/>
        <v>#NUM!</v>
      </c>
      <c r="L269" s="179"/>
      <c r="M269" s="181">
        <f t="shared" si="20"/>
        <v>0</v>
      </c>
    </row>
    <row r="270" spans="1:13" x14ac:dyDescent="0.25">
      <c r="A270" s="197"/>
      <c r="G270" s="164"/>
      <c r="H270" s="179">
        <v>265</v>
      </c>
      <c r="I270" s="180" t="str">
        <f t="shared" si="18"/>
        <v/>
      </c>
      <c r="J270" s="179" t="e">
        <f t="shared" si="21"/>
        <v>#NUM!</v>
      </c>
      <c r="K270" s="179" t="e">
        <f t="shared" si="19"/>
        <v>#NUM!</v>
      </c>
      <c r="L270" s="179"/>
      <c r="M270" s="181">
        <f t="shared" si="20"/>
        <v>0</v>
      </c>
    </row>
    <row r="271" spans="1:13" x14ac:dyDescent="0.25">
      <c r="A271" s="197"/>
      <c r="G271" s="164"/>
      <c r="H271" s="179">
        <v>266</v>
      </c>
      <c r="I271" s="180" t="str">
        <f t="shared" si="18"/>
        <v/>
      </c>
      <c r="J271" s="179" t="e">
        <f t="shared" si="21"/>
        <v>#NUM!</v>
      </c>
      <c r="K271" s="179" t="e">
        <f t="shared" si="19"/>
        <v>#NUM!</v>
      </c>
      <c r="L271" s="179"/>
      <c r="M271" s="181">
        <f t="shared" si="20"/>
        <v>0</v>
      </c>
    </row>
    <row r="272" spans="1:13" x14ac:dyDescent="0.25">
      <c r="A272" s="197"/>
      <c r="G272" s="164"/>
      <c r="H272" s="179">
        <v>267</v>
      </c>
      <c r="I272" s="180" t="str">
        <f t="shared" si="18"/>
        <v/>
      </c>
      <c r="J272" s="179" t="e">
        <f t="shared" si="21"/>
        <v>#NUM!</v>
      </c>
      <c r="K272" s="179" t="e">
        <f t="shared" si="19"/>
        <v>#NUM!</v>
      </c>
      <c r="L272" s="179"/>
      <c r="M272" s="181">
        <f t="shared" si="20"/>
        <v>0</v>
      </c>
    </row>
    <row r="273" spans="1:13" x14ac:dyDescent="0.25">
      <c r="A273" s="197"/>
      <c r="G273" s="164"/>
      <c r="H273" s="179">
        <v>268</v>
      </c>
      <c r="I273" s="180" t="str">
        <f t="shared" si="18"/>
        <v/>
      </c>
      <c r="J273" s="179" t="e">
        <f t="shared" si="21"/>
        <v>#NUM!</v>
      </c>
      <c r="K273" s="179" t="e">
        <f t="shared" si="19"/>
        <v>#NUM!</v>
      </c>
      <c r="L273" s="179"/>
      <c r="M273" s="181">
        <f t="shared" si="20"/>
        <v>0</v>
      </c>
    </row>
    <row r="274" spans="1:13" x14ac:dyDescent="0.25">
      <c r="A274" s="197"/>
      <c r="G274" s="164"/>
      <c r="H274" s="179">
        <v>269</v>
      </c>
      <c r="I274" s="180" t="str">
        <f t="shared" si="18"/>
        <v/>
      </c>
      <c r="J274" s="179" t="e">
        <f t="shared" si="21"/>
        <v>#NUM!</v>
      </c>
      <c r="K274" s="179" t="e">
        <f t="shared" si="19"/>
        <v>#NUM!</v>
      </c>
      <c r="L274" s="179"/>
      <c r="M274" s="181">
        <f t="shared" si="20"/>
        <v>0</v>
      </c>
    </row>
    <row r="275" spans="1:13" x14ac:dyDescent="0.25">
      <c r="A275" s="197"/>
      <c r="G275" s="164"/>
      <c r="H275" s="179">
        <v>270</v>
      </c>
      <c r="I275" s="180" t="str">
        <f t="shared" si="18"/>
        <v/>
      </c>
      <c r="J275" s="179" t="e">
        <f t="shared" si="21"/>
        <v>#NUM!</v>
      </c>
      <c r="K275" s="179" t="e">
        <f t="shared" si="19"/>
        <v>#NUM!</v>
      </c>
      <c r="L275" s="179"/>
      <c r="M275" s="181">
        <f t="shared" si="20"/>
        <v>0</v>
      </c>
    </row>
    <row r="276" spans="1:13" x14ac:dyDescent="0.25">
      <c r="A276" s="197"/>
      <c r="G276" s="164"/>
      <c r="H276" s="179">
        <v>271</v>
      </c>
      <c r="I276" s="180" t="str">
        <f t="shared" si="18"/>
        <v/>
      </c>
      <c r="J276" s="179" t="e">
        <f t="shared" si="21"/>
        <v>#NUM!</v>
      </c>
      <c r="K276" s="179" t="e">
        <f t="shared" si="19"/>
        <v>#NUM!</v>
      </c>
      <c r="L276" s="179"/>
      <c r="M276" s="181">
        <f t="shared" si="20"/>
        <v>0</v>
      </c>
    </row>
    <row r="277" spans="1:13" x14ac:dyDescent="0.25">
      <c r="A277" s="197"/>
      <c r="G277" s="164"/>
      <c r="H277" s="179">
        <v>272</v>
      </c>
      <c r="I277" s="180" t="str">
        <f t="shared" si="18"/>
        <v/>
      </c>
      <c r="J277" s="179" t="e">
        <f t="shared" si="21"/>
        <v>#NUM!</v>
      </c>
      <c r="K277" s="179" t="e">
        <f t="shared" si="19"/>
        <v>#NUM!</v>
      </c>
      <c r="L277" s="179"/>
      <c r="M277" s="181">
        <f t="shared" si="20"/>
        <v>0</v>
      </c>
    </row>
    <row r="278" spans="1:13" x14ac:dyDescent="0.25">
      <c r="A278" s="197"/>
      <c r="G278" s="164"/>
      <c r="H278" s="179">
        <v>273</v>
      </c>
      <c r="I278" s="180" t="str">
        <f t="shared" si="18"/>
        <v/>
      </c>
      <c r="J278" s="179" t="e">
        <f t="shared" si="21"/>
        <v>#NUM!</v>
      </c>
      <c r="K278" s="179" t="e">
        <f t="shared" si="19"/>
        <v>#NUM!</v>
      </c>
      <c r="L278" s="179"/>
      <c r="M278" s="181">
        <f t="shared" si="20"/>
        <v>0</v>
      </c>
    </row>
    <row r="279" spans="1:13" x14ac:dyDescent="0.25">
      <c r="A279" s="197"/>
      <c r="G279" s="164"/>
      <c r="H279" s="179">
        <v>274</v>
      </c>
      <c r="I279" s="180" t="str">
        <f t="shared" si="18"/>
        <v/>
      </c>
      <c r="J279" s="179" t="e">
        <f t="shared" si="21"/>
        <v>#NUM!</v>
      </c>
      <c r="K279" s="179" t="e">
        <f t="shared" si="19"/>
        <v>#NUM!</v>
      </c>
      <c r="L279" s="179"/>
      <c r="M279" s="181">
        <f t="shared" si="20"/>
        <v>0</v>
      </c>
    </row>
    <row r="280" spans="1:13" x14ac:dyDescent="0.25">
      <c r="A280" s="197"/>
      <c r="G280" s="164"/>
      <c r="H280" s="179">
        <v>275</v>
      </c>
      <c r="I280" s="180" t="str">
        <f t="shared" si="18"/>
        <v/>
      </c>
      <c r="J280" s="179" t="e">
        <f t="shared" si="21"/>
        <v>#NUM!</v>
      </c>
      <c r="K280" s="179" t="e">
        <f t="shared" si="19"/>
        <v>#NUM!</v>
      </c>
      <c r="L280" s="179"/>
      <c r="M280" s="181">
        <f t="shared" si="20"/>
        <v>0</v>
      </c>
    </row>
    <row r="281" spans="1:13" x14ac:dyDescent="0.25">
      <c r="A281" s="197"/>
      <c r="G281" s="164"/>
      <c r="H281" s="179">
        <v>276</v>
      </c>
      <c r="I281" s="180" t="str">
        <f t="shared" si="18"/>
        <v/>
      </c>
      <c r="J281" s="179" t="e">
        <f t="shared" si="21"/>
        <v>#NUM!</v>
      </c>
      <c r="K281" s="179" t="e">
        <f t="shared" si="19"/>
        <v>#NUM!</v>
      </c>
      <c r="L281" s="179"/>
      <c r="M281" s="181">
        <f t="shared" si="20"/>
        <v>0</v>
      </c>
    </row>
    <row r="282" spans="1:13" x14ac:dyDescent="0.25">
      <c r="A282" s="197"/>
      <c r="G282" s="164"/>
      <c r="H282" s="179">
        <v>277</v>
      </c>
      <c r="I282" s="180" t="str">
        <f t="shared" si="18"/>
        <v/>
      </c>
      <c r="J282" s="179" t="e">
        <f t="shared" si="21"/>
        <v>#NUM!</v>
      </c>
      <c r="K282" s="179" t="e">
        <f t="shared" si="19"/>
        <v>#NUM!</v>
      </c>
      <c r="L282" s="179"/>
      <c r="M282" s="181">
        <f t="shared" si="20"/>
        <v>0</v>
      </c>
    </row>
    <row r="283" spans="1:13" x14ac:dyDescent="0.25">
      <c r="A283" s="197"/>
      <c r="G283" s="164"/>
      <c r="H283" s="179">
        <v>278</v>
      </c>
      <c r="I283" s="180" t="str">
        <f t="shared" si="18"/>
        <v/>
      </c>
      <c r="J283" s="179" t="e">
        <f t="shared" si="21"/>
        <v>#NUM!</v>
      </c>
      <c r="K283" s="179" t="e">
        <f t="shared" si="19"/>
        <v>#NUM!</v>
      </c>
      <c r="L283" s="179"/>
      <c r="M283" s="181">
        <f t="shared" si="20"/>
        <v>0</v>
      </c>
    </row>
    <row r="284" spans="1:13" x14ac:dyDescent="0.25">
      <c r="A284" s="197"/>
      <c r="G284" s="164"/>
      <c r="H284" s="179">
        <v>279</v>
      </c>
      <c r="I284" s="180" t="str">
        <f t="shared" si="18"/>
        <v/>
      </c>
      <c r="J284" s="179" t="e">
        <f t="shared" si="21"/>
        <v>#NUM!</v>
      </c>
      <c r="K284" s="179" t="e">
        <f t="shared" si="19"/>
        <v>#NUM!</v>
      </c>
      <c r="L284" s="179"/>
      <c r="M284" s="181">
        <f t="shared" si="20"/>
        <v>0</v>
      </c>
    </row>
    <row r="285" spans="1:13" x14ac:dyDescent="0.25">
      <c r="A285" s="197"/>
      <c r="G285" s="164"/>
      <c r="H285" s="179">
        <v>280</v>
      </c>
      <c r="I285" s="180" t="str">
        <f t="shared" si="18"/>
        <v/>
      </c>
      <c r="J285" s="179" t="e">
        <f t="shared" si="21"/>
        <v>#NUM!</v>
      </c>
      <c r="K285" s="179" t="e">
        <f t="shared" si="19"/>
        <v>#NUM!</v>
      </c>
      <c r="L285" s="179"/>
      <c r="M285" s="181">
        <f t="shared" si="20"/>
        <v>0</v>
      </c>
    </row>
    <row r="286" spans="1:13" x14ac:dyDescent="0.25">
      <c r="A286" s="197"/>
      <c r="G286" s="164"/>
      <c r="H286" s="179">
        <v>281</v>
      </c>
      <c r="I286" s="180" t="str">
        <f t="shared" si="18"/>
        <v/>
      </c>
      <c r="J286" s="179" t="e">
        <f t="shared" si="21"/>
        <v>#NUM!</v>
      </c>
      <c r="K286" s="179" t="e">
        <f t="shared" si="19"/>
        <v>#NUM!</v>
      </c>
      <c r="L286" s="179"/>
      <c r="M286" s="181">
        <f t="shared" si="20"/>
        <v>0</v>
      </c>
    </row>
    <row r="287" spans="1:13" x14ac:dyDescent="0.25">
      <c r="A287" s="197"/>
      <c r="G287" s="164"/>
      <c r="H287" s="179">
        <v>282</v>
      </c>
      <c r="I287" s="180" t="str">
        <f t="shared" si="18"/>
        <v/>
      </c>
      <c r="J287" s="179" t="e">
        <f t="shared" si="21"/>
        <v>#NUM!</v>
      </c>
      <c r="K287" s="179" t="e">
        <f t="shared" si="19"/>
        <v>#NUM!</v>
      </c>
      <c r="L287" s="179"/>
      <c r="M287" s="181">
        <f t="shared" si="20"/>
        <v>0</v>
      </c>
    </row>
    <row r="288" spans="1:13" x14ac:dyDescent="0.25">
      <c r="A288" s="197"/>
      <c r="G288" s="164"/>
      <c r="H288" s="179">
        <v>283</v>
      </c>
      <c r="I288" s="180" t="str">
        <f t="shared" si="18"/>
        <v/>
      </c>
      <c r="J288" s="179" t="e">
        <f t="shared" si="21"/>
        <v>#NUM!</v>
      </c>
      <c r="K288" s="179" t="e">
        <f t="shared" si="19"/>
        <v>#NUM!</v>
      </c>
      <c r="L288" s="179"/>
      <c r="M288" s="181">
        <f t="shared" si="20"/>
        <v>0</v>
      </c>
    </row>
    <row r="289" spans="1:13" x14ac:dyDescent="0.25">
      <c r="A289" s="197"/>
      <c r="G289" s="164"/>
      <c r="H289" s="179">
        <v>284</v>
      </c>
      <c r="I289" s="180" t="str">
        <f t="shared" si="18"/>
        <v/>
      </c>
      <c r="J289" s="179" t="e">
        <f t="shared" si="21"/>
        <v>#NUM!</v>
      </c>
      <c r="K289" s="179" t="e">
        <f t="shared" si="19"/>
        <v>#NUM!</v>
      </c>
      <c r="L289" s="179"/>
      <c r="M289" s="181">
        <f t="shared" si="20"/>
        <v>0</v>
      </c>
    </row>
    <row r="290" spans="1:13" x14ac:dyDescent="0.25">
      <c r="A290" s="197"/>
      <c r="G290" s="164"/>
      <c r="H290" s="179">
        <v>285</v>
      </c>
      <c r="I290" s="180" t="str">
        <f t="shared" si="18"/>
        <v/>
      </c>
      <c r="J290" s="179" t="e">
        <f t="shared" si="21"/>
        <v>#NUM!</v>
      </c>
      <c r="K290" s="179" t="e">
        <f t="shared" si="19"/>
        <v>#NUM!</v>
      </c>
      <c r="L290" s="179"/>
      <c r="M290" s="181">
        <f t="shared" si="20"/>
        <v>0</v>
      </c>
    </row>
    <row r="291" spans="1:13" x14ac:dyDescent="0.25">
      <c r="A291" s="197"/>
      <c r="G291" s="164"/>
      <c r="H291" s="179">
        <v>286</v>
      </c>
      <c r="I291" s="180" t="str">
        <f t="shared" si="18"/>
        <v/>
      </c>
      <c r="J291" s="179" t="e">
        <f t="shared" si="21"/>
        <v>#NUM!</v>
      </c>
      <c r="K291" s="179" t="e">
        <f t="shared" si="19"/>
        <v>#NUM!</v>
      </c>
      <c r="L291" s="179"/>
      <c r="M291" s="181">
        <f t="shared" si="20"/>
        <v>0</v>
      </c>
    </row>
    <row r="292" spans="1:13" x14ac:dyDescent="0.25">
      <c r="A292" s="197"/>
      <c r="G292" s="164"/>
      <c r="H292" s="179">
        <v>287</v>
      </c>
      <c r="I292" s="180" t="str">
        <f t="shared" si="18"/>
        <v/>
      </c>
      <c r="J292" s="179" t="e">
        <f t="shared" si="21"/>
        <v>#NUM!</v>
      </c>
      <c r="K292" s="179" t="e">
        <f t="shared" si="19"/>
        <v>#NUM!</v>
      </c>
      <c r="L292" s="179"/>
      <c r="M292" s="181">
        <f t="shared" si="20"/>
        <v>0</v>
      </c>
    </row>
    <row r="293" spans="1:13" x14ac:dyDescent="0.25">
      <c r="A293" s="197"/>
      <c r="G293" s="164"/>
      <c r="H293" s="179">
        <v>288</v>
      </c>
      <c r="I293" s="180" t="str">
        <f t="shared" si="18"/>
        <v/>
      </c>
      <c r="J293" s="179" t="e">
        <f t="shared" si="21"/>
        <v>#NUM!</v>
      </c>
      <c r="K293" s="179" t="e">
        <f t="shared" si="19"/>
        <v>#NUM!</v>
      </c>
      <c r="L293" s="179"/>
      <c r="M293" s="181">
        <f t="shared" si="20"/>
        <v>0</v>
      </c>
    </row>
    <row r="294" spans="1:13" x14ac:dyDescent="0.25">
      <c r="A294" s="197"/>
      <c r="G294" s="164"/>
      <c r="H294" s="179">
        <v>289</v>
      </c>
      <c r="I294" s="180" t="str">
        <f t="shared" si="18"/>
        <v/>
      </c>
      <c r="J294" s="179" t="e">
        <f t="shared" si="21"/>
        <v>#NUM!</v>
      </c>
      <c r="K294" s="179" t="e">
        <f t="shared" si="19"/>
        <v>#NUM!</v>
      </c>
      <c r="L294" s="179"/>
      <c r="M294" s="181">
        <f t="shared" si="20"/>
        <v>0</v>
      </c>
    </row>
    <row r="295" spans="1:13" x14ac:dyDescent="0.25">
      <c r="A295" s="197"/>
      <c r="G295" s="164"/>
      <c r="H295" s="179">
        <v>290</v>
      </c>
      <c r="I295" s="180" t="str">
        <f t="shared" si="18"/>
        <v/>
      </c>
      <c r="J295" s="179" t="e">
        <f t="shared" si="21"/>
        <v>#NUM!</v>
      </c>
      <c r="K295" s="179" t="e">
        <f t="shared" si="19"/>
        <v>#NUM!</v>
      </c>
      <c r="L295" s="179"/>
      <c r="M295" s="181">
        <f t="shared" si="20"/>
        <v>0</v>
      </c>
    </row>
    <row r="296" spans="1:13" x14ac:dyDescent="0.25">
      <c r="A296" s="197"/>
      <c r="G296" s="164"/>
      <c r="H296" s="179">
        <v>291</v>
      </c>
      <c r="I296" s="180" t="str">
        <f t="shared" si="18"/>
        <v/>
      </c>
      <c r="J296" s="179" t="e">
        <f t="shared" si="21"/>
        <v>#NUM!</v>
      </c>
      <c r="K296" s="179" t="e">
        <f t="shared" si="19"/>
        <v>#NUM!</v>
      </c>
      <c r="L296" s="179"/>
      <c r="M296" s="181">
        <f t="shared" si="20"/>
        <v>0</v>
      </c>
    </row>
    <row r="297" spans="1:13" x14ac:dyDescent="0.25">
      <c r="A297" s="197"/>
      <c r="G297" s="164"/>
      <c r="H297" s="179">
        <v>292</v>
      </c>
      <c r="I297" s="180" t="str">
        <f t="shared" si="18"/>
        <v/>
      </c>
      <c r="J297" s="179" t="e">
        <f t="shared" si="21"/>
        <v>#NUM!</v>
      </c>
      <c r="K297" s="179" t="e">
        <f t="shared" si="19"/>
        <v>#NUM!</v>
      </c>
      <c r="L297" s="179"/>
      <c r="M297" s="181">
        <f t="shared" si="20"/>
        <v>0</v>
      </c>
    </row>
    <row r="298" spans="1:13" x14ac:dyDescent="0.25">
      <c r="A298" s="197"/>
      <c r="G298" s="164"/>
      <c r="H298" s="179">
        <v>293</v>
      </c>
      <c r="I298" s="180" t="str">
        <f t="shared" si="18"/>
        <v/>
      </c>
      <c r="J298" s="179" t="e">
        <f t="shared" si="21"/>
        <v>#NUM!</v>
      </c>
      <c r="K298" s="179" t="e">
        <f t="shared" si="19"/>
        <v>#NUM!</v>
      </c>
      <c r="L298" s="179"/>
      <c r="M298" s="181">
        <f t="shared" si="20"/>
        <v>0</v>
      </c>
    </row>
    <row r="299" spans="1:13" x14ac:dyDescent="0.25">
      <c r="A299" s="197"/>
      <c r="G299" s="164"/>
      <c r="H299" s="179">
        <v>294</v>
      </c>
      <c r="I299" s="180" t="str">
        <f t="shared" si="18"/>
        <v/>
      </c>
      <c r="J299" s="179" t="e">
        <f t="shared" si="21"/>
        <v>#NUM!</v>
      </c>
      <c r="K299" s="179" t="e">
        <f t="shared" si="19"/>
        <v>#NUM!</v>
      </c>
      <c r="L299" s="179"/>
      <c r="M299" s="181">
        <f t="shared" si="20"/>
        <v>0</v>
      </c>
    </row>
    <row r="300" spans="1:13" x14ac:dyDescent="0.25">
      <c r="A300" s="197"/>
      <c r="G300" s="164"/>
      <c r="H300" s="179">
        <v>295</v>
      </c>
      <c r="I300" s="180" t="str">
        <f t="shared" si="18"/>
        <v/>
      </c>
      <c r="J300" s="179" t="e">
        <f t="shared" si="21"/>
        <v>#NUM!</v>
      </c>
      <c r="K300" s="179" t="e">
        <f t="shared" si="19"/>
        <v>#NUM!</v>
      </c>
      <c r="L300" s="179"/>
      <c r="M300" s="181">
        <f t="shared" si="20"/>
        <v>0</v>
      </c>
    </row>
    <row r="301" spans="1:13" x14ac:dyDescent="0.25">
      <c r="A301" s="197"/>
      <c r="G301" s="164"/>
      <c r="H301" s="179">
        <v>296</v>
      </c>
      <c r="I301" s="180" t="str">
        <f t="shared" si="18"/>
        <v/>
      </c>
      <c r="J301" s="179" t="e">
        <f t="shared" si="21"/>
        <v>#NUM!</v>
      </c>
      <c r="K301" s="179" t="e">
        <f t="shared" si="19"/>
        <v>#NUM!</v>
      </c>
      <c r="L301" s="179"/>
      <c r="M301" s="181">
        <f t="shared" si="20"/>
        <v>0</v>
      </c>
    </row>
    <row r="302" spans="1:13" x14ac:dyDescent="0.25">
      <c r="A302" s="197"/>
      <c r="G302" s="164"/>
      <c r="H302" s="179">
        <v>297</v>
      </c>
      <c r="I302" s="180" t="str">
        <f t="shared" si="18"/>
        <v/>
      </c>
      <c r="J302" s="179" t="e">
        <f t="shared" si="21"/>
        <v>#NUM!</v>
      </c>
      <c r="K302" s="179" t="e">
        <f t="shared" si="19"/>
        <v>#NUM!</v>
      </c>
      <c r="L302" s="179"/>
      <c r="M302" s="181">
        <f t="shared" si="20"/>
        <v>0</v>
      </c>
    </row>
    <row r="303" spans="1:13" x14ac:dyDescent="0.25">
      <c r="A303" s="197"/>
      <c r="G303" s="164"/>
      <c r="H303" s="179">
        <v>298</v>
      </c>
      <c r="I303" s="180" t="str">
        <f t="shared" si="18"/>
        <v/>
      </c>
      <c r="J303" s="179" t="e">
        <f t="shared" si="21"/>
        <v>#NUM!</v>
      </c>
      <c r="K303" s="179" t="e">
        <f t="shared" si="19"/>
        <v>#NUM!</v>
      </c>
      <c r="L303" s="179"/>
      <c r="M303" s="181">
        <f t="shared" si="20"/>
        <v>0</v>
      </c>
    </row>
    <row r="304" spans="1:13" x14ac:dyDescent="0.25">
      <c r="A304" s="197"/>
      <c r="G304" s="164"/>
      <c r="H304" s="179">
        <v>299</v>
      </c>
      <c r="I304" s="180" t="str">
        <f t="shared" si="18"/>
        <v/>
      </c>
      <c r="J304" s="179" t="e">
        <f t="shared" si="21"/>
        <v>#NUM!</v>
      </c>
      <c r="K304" s="179" t="e">
        <f t="shared" si="19"/>
        <v>#NUM!</v>
      </c>
      <c r="L304" s="179"/>
      <c r="M304" s="181">
        <f t="shared" si="20"/>
        <v>0</v>
      </c>
    </row>
    <row r="305" spans="1:16" x14ac:dyDescent="0.25">
      <c r="A305" s="197"/>
      <c r="G305" s="164"/>
      <c r="H305" s="179">
        <v>300</v>
      </c>
      <c r="I305" s="180" t="str">
        <f t="shared" si="18"/>
        <v/>
      </c>
      <c r="J305" s="179" t="e">
        <f t="shared" si="21"/>
        <v>#NUM!</v>
      </c>
      <c r="K305" s="179" t="e">
        <f t="shared" si="19"/>
        <v>#NUM!</v>
      </c>
      <c r="L305" s="179"/>
      <c r="M305" s="181">
        <f t="shared" si="20"/>
        <v>0</v>
      </c>
    </row>
    <row r="306" spans="1:16" x14ac:dyDescent="0.25">
      <c r="A306" s="198"/>
    </row>
    <row r="314" spans="1:16" x14ac:dyDescent="0.25">
      <c r="L314" s="201"/>
      <c r="P314" s="190"/>
    </row>
    <row r="315" spans="1:16" x14ac:dyDescent="0.25">
      <c r="L315" s="201"/>
      <c r="P315" s="190"/>
    </row>
    <row r="316" spans="1:16" x14ac:dyDescent="0.25">
      <c r="L316" s="201"/>
      <c r="P316" s="190"/>
    </row>
    <row r="317" spans="1:16" x14ac:dyDescent="0.25">
      <c r="L317" s="201"/>
      <c r="P317" s="190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D3127EB6-DE35-42FE-B3A7-2D60CAE7C6AD}">
      <formula1>#REF!</formula1>
    </dataValidation>
  </dataValidations>
  <hyperlinks>
    <hyperlink ref="C2" r:id="rId1" xr:uid="{8807DC99-3BC9-461B-B357-7142D4E5DE04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15EC-D28D-4461-AC01-2811516D15EE}">
  <sheetPr>
    <tabColor rgb="FF92D050"/>
  </sheetPr>
  <dimension ref="A1:AL317"/>
  <sheetViews>
    <sheetView workbookViewId="0">
      <selection activeCell="F13" sqref="F13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" style="199" customWidth="1"/>
    <col min="11" max="11" width="8.75" style="199" customWidth="1"/>
    <col min="12" max="12" width="11" style="199" customWidth="1"/>
    <col min="13" max="13" width="11.7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283" t="s">
        <v>95</v>
      </c>
      <c r="D2" s="283"/>
      <c r="E2" s="21"/>
      <c r="F2" s="21"/>
      <c r="G2" s="21"/>
      <c r="H2" s="171">
        <v>0</v>
      </c>
      <c r="I2" s="172">
        <v>50</v>
      </c>
      <c r="J2" s="172">
        <v>10</v>
      </c>
      <c r="K2" s="202">
        <f>3*H2^(1/3)</f>
        <v>0</v>
      </c>
      <c r="L2" s="168"/>
      <c r="M2" s="168"/>
    </row>
    <row r="3" spans="1:36" ht="14.45" customHeight="1" x14ac:dyDescent="0.25">
      <c r="A3" s="164"/>
      <c r="B3" s="174" t="s">
        <v>28</v>
      </c>
      <c r="C3" s="263" t="s">
        <v>96</v>
      </c>
      <c r="D3" s="263"/>
      <c r="E3" s="26"/>
      <c r="F3" s="26"/>
      <c r="G3" s="26"/>
      <c r="H3" s="168"/>
      <c r="I3" s="168"/>
      <c r="J3" s="168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68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7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 t="s">
        <v>42</v>
      </c>
      <c r="D6" s="35"/>
      <c r="E6" s="35"/>
      <c r="F6" s="35"/>
      <c r="G6" s="28"/>
      <c r="H6" s="179">
        <v>1</v>
      </c>
      <c r="I6" s="180" t="str">
        <f t="shared" ref="I6:I69" si="1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0">
        <f t="shared" ref="A7:A37" si="4">M7</f>
        <v>0</v>
      </c>
      <c r="B7" s="40" t="str">
        <f t="shared" si="0"/>
        <v/>
      </c>
      <c r="C7" s="41" t="s">
        <v>42</v>
      </c>
      <c r="D7" s="41"/>
      <c r="E7" s="41"/>
      <c r="F7" s="41"/>
      <c r="G7" s="28"/>
      <c r="H7" s="182">
        <v>2</v>
      </c>
      <c r="I7" s="183" t="str">
        <f t="shared" si="1"/>
        <v/>
      </c>
      <c r="J7" s="183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 t="s">
        <v>42</v>
      </c>
      <c r="D8" s="35"/>
      <c r="E8" s="35"/>
      <c r="F8" s="35"/>
      <c r="G8" s="28"/>
      <c r="H8" s="179">
        <v>3</v>
      </c>
      <c r="I8" s="180" t="str">
        <f t="shared" si="1"/>
        <v/>
      </c>
      <c r="J8" s="180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69" customFormat="1" ht="14.45" customHeight="1" x14ac:dyDescent="0.25">
      <c r="A9" s="100">
        <f t="shared" si="4"/>
        <v>0</v>
      </c>
      <c r="B9" s="40" t="str">
        <f>IF(H9&gt;$H$2,"",3)</f>
        <v/>
      </c>
      <c r="C9" s="41" t="s">
        <v>42</v>
      </c>
      <c r="D9" s="41"/>
      <c r="E9" s="41"/>
      <c r="F9" s="41"/>
      <c r="G9" s="28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 t="s">
        <v>42</v>
      </c>
      <c r="D10" s="35"/>
      <c r="E10" s="35"/>
      <c r="F10" s="35"/>
      <c r="G10" s="28"/>
      <c r="H10" s="179">
        <v>5</v>
      </c>
      <c r="I10" s="180" t="str">
        <f t="shared" si="1"/>
        <v/>
      </c>
      <c r="J10" s="180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 t="s">
        <v>42</v>
      </c>
      <c r="D11" s="41"/>
      <c r="E11" s="41"/>
      <c r="F11" s="41"/>
      <c r="G11" s="28"/>
      <c r="H11" s="182">
        <v>6</v>
      </c>
      <c r="I11" s="183" t="str">
        <f t="shared" si="1"/>
        <v/>
      </c>
      <c r="J11" s="183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 t="s">
        <v>42</v>
      </c>
      <c r="D12" s="35"/>
      <c r="E12" s="35"/>
      <c r="F12" s="35"/>
      <c r="G12" s="28"/>
      <c r="H12" s="179">
        <v>7</v>
      </c>
      <c r="I12" s="180" t="str">
        <f t="shared" si="1"/>
        <v/>
      </c>
      <c r="J12" s="180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 t="s">
        <v>42</v>
      </c>
      <c r="D13" s="41"/>
      <c r="E13" s="41"/>
      <c r="F13" s="41"/>
      <c r="G13" s="28"/>
      <c r="H13" s="182">
        <v>8</v>
      </c>
      <c r="I13" s="183" t="str">
        <f t="shared" si="1"/>
        <v/>
      </c>
      <c r="J13" s="183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 t="s">
        <v>42</v>
      </c>
      <c r="D14" s="35"/>
      <c r="E14" s="35"/>
      <c r="F14" s="35"/>
      <c r="G14" s="28"/>
      <c r="H14" s="179">
        <v>9</v>
      </c>
      <c r="I14" s="180" t="str">
        <f t="shared" si="1"/>
        <v/>
      </c>
      <c r="J14" s="180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 t="s">
        <v>42</v>
      </c>
      <c r="D15" s="41"/>
      <c r="E15" s="41"/>
      <c r="F15" s="41"/>
      <c r="G15" s="28"/>
      <c r="H15" s="182">
        <v>10</v>
      </c>
      <c r="I15" s="183" t="str">
        <f t="shared" si="1"/>
        <v/>
      </c>
      <c r="J15" s="183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6">
        <f t="shared" si="4"/>
        <v>0</v>
      </c>
      <c r="B16" s="34" t="str">
        <f t="shared" si="0"/>
        <v/>
      </c>
      <c r="C16" s="35" t="s">
        <v>42</v>
      </c>
      <c r="D16" s="35"/>
      <c r="E16" s="35"/>
      <c r="F16" s="35"/>
      <c r="G16" s="28"/>
      <c r="H16" s="179">
        <v>11</v>
      </c>
      <c r="I16" s="180" t="str">
        <f t="shared" si="1"/>
        <v/>
      </c>
      <c r="J16" s="180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 t="s">
        <v>42</v>
      </c>
      <c r="D17" s="41"/>
      <c r="E17" s="41"/>
      <c r="F17" s="41"/>
      <c r="G17" s="28"/>
      <c r="H17" s="182">
        <v>12</v>
      </c>
      <c r="I17" s="183" t="str">
        <f t="shared" si="1"/>
        <v/>
      </c>
      <c r="J17" s="183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 t="s">
        <v>42</v>
      </c>
      <c r="D18" s="35"/>
      <c r="E18" s="35"/>
      <c r="F18" s="35"/>
      <c r="G18" s="28"/>
      <c r="H18" s="179">
        <v>13</v>
      </c>
      <c r="I18" s="180" t="str">
        <f t="shared" si="1"/>
        <v/>
      </c>
      <c r="J18" s="180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2">
        <v>14</v>
      </c>
      <c r="I19" s="183" t="str">
        <f t="shared" si="1"/>
        <v/>
      </c>
      <c r="J19" s="183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9">
        <v>15</v>
      </c>
      <c r="I20" s="180" t="str">
        <f t="shared" si="1"/>
        <v/>
      </c>
      <c r="J20" s="180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2">
        <v>16</v>
      </c>
      <c r="I21" s="183" t="str">
        <f t="shared" si="1"/>
        <v/>
      </c>
      <c r="J21" s="183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9">
        <v>17</v>
      </c>
      <c r="I22" s="180" t="str">
        <f t="shared" si="1"/>
        <v/>
      </c>
      <c r="J22" s="180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2">
        <v>18</v>
      </c>
      <c r="I23" s="183" t="str">
        <f t="shared" si="1"/>
        <v/>
      </c>
      <c r="J23" s="183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9">
        <v>19</v>
      </c>
      <c r="I24" s="180" t="str">
        <f t="shared" si="1"/>
        <v/>
      </c>
      <c r="J24" s="180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2">
        <v>20</v>
      </c>
      <c r="I25" s="183" t="str">
        <f t="shared" si="1"/>
        <v/>
      </c>
      <c r="J25" s="183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9">
        <v>21</v>
      </c>
      <c r="I26" s="180" t="str">
        <f t="shared" si="1"/>
        <v/>
      </c>
      <c r="J26" s="180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2">
        <v>22</v>
      </c>
      <c r="I27" s="183" t="str">
        <f t="shared" si="1"/>
        <v/>
      </c>
      <c r="J27" s="183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9">
        <v>23</v>
      </c>
      <c r="I28" s="180" t="str">
        <f t="shared" si="1"/>
        <v/>
      </c>
      <c r="J28" s="180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82">
        <v>24</v>
      </c>
      <c r="I29" s="183" t="str">
        <f t="shared" si="1"/>
        <v/>
      </c>
      <c r="J29" s="183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9">
        <v>25</v>
      </c>
      <c r="I30" s="180" t="str">
        <f t="shared" si="1"/>
        <v/>
      </c>
      <c r="J30" s="180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82">
        <v>26</v>
      </c>
      <c r="I31" s="183" t="str">
        <f t="shared" si="1"/>
        <v/>
      </c>
      <c r="J31" s="183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9">
        <v>27</v>
      </c>
      <c r="I32" s="180" t="str">
        <f t="shared" si="1"/>
        <v/>
      </c>
      <c r="J32" s="180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82">
        <v>28</v>
      </c>
      <c r="I33" s="183" t="str">
        <f t="shared" si="1"/>
        <v/>
      </c>
      <c r="J33" s="183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9">
        <v>29</v>
      </c>
      <c r="I34" s="180" t="str">
        <f t="shared" si="1"/>
        <v/>
      </c>
      <c r="J34" s="180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82">
        <v>30</v>
      </c>
      <c r="I35" s="183" t="str">
        <f t="shared" si="1"/>
        <v/>
      </c>
      <c r="J35" s="183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9">
        <v>31</v>
      </c>
      <c r="I36" s="180" t="str">
        <f t="shared" si="1"/>
        <v/>
      </c>
      <c r="J36" s="180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82">
        <v>32</v>
      </c>
      <c r="I37" s="183" t="str">
        <f t="shared" si="1"/>
        <v/>
      </c>
      <c r="J37" s="183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21" x14ac:dyDescent="0.25">
      <c r="A38" s="96"/>
      <c r="B38" s="34" t="str">
        <f t="shared" si="0"/>
        <v/>
      </c>
      <c r="C38" s="35"/>
      <c r="D38" s="35"/>
      <c r="E38" s="35"/>
      <c r="F38" s="35"/>
      <c r="G38" s="164"/>
      <c r="H38" s="179">
        <v>33</v>
      </c>
      <c r="I38" s="180" t="str">
        <f t="shared" si="1"/>
        <v/>
      </c>
      <c r="J38" s="180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21" x14ac:dyDescent="0.25">
      <c r="A39" s="100"/>
      <c r="B39" s="40" t="str">
        <f t="shared" si="0"/>
        <v/>
      </c>
      <c r="C39" s="41"/>
      <c r="D39" s="41"/>
      <c r="E39" s="41"/>
      <c r="F39" s="41"/>
      <c r="G39" s="164"/>
      <c r="H39" s="182">
        <v>34</v>
      </c>
      <c r="I39" s="183" t="str">
        <f t="shared" si="1"/>
        <v/>
      </c>
      <c r="J39" s="183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21" x14ac:dyDescent="0.25">
      <c r="A40" s="96"/>
      <c r="B40" s="34" t="str">
        <f t="shared" si="0"/>
        <v/>
      </c>
      <c r="C40" s="35"/>
      <c r="D40" s="35"/>
      <c r="E40" s="35"/>
      <c r="F40" s="35"/>
      <c r="G40" s="164"/>
      <c r="H40" s="179">
        <v>35</v>
      </c>
      <c r="I40" s="180" t="str">
        <f t="shared" si="1"/>
        <v/>
      </c>
      <c r="J40" s="180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21" x14ac:dyDescent="0.25">
      <c r="A41" s="100"/>
      <c r="B41" s="40" t="str">
        <f t="shared" si="0"/>
        <v/>
      </c>
      <c r="C41" s="41"/>
      <c r="D41" s="41"/>
      <c r="E41" s="41"/>
      <c r="F41" s="41"/>
      <c r="G41" s="164"/>
      <c r="H41" s="182">
        <v>36</v>
      </c>
      <c r="I41" s="183" t="str">
        <f t="shared" si="1"/>
        <v/>
      </c>
      <c r="J41" s="183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21" x14ac:dyDescent="0.25">
      <c r="A42" s="96"/>
      <c r="B42" s="34" t="str">
        <f t="shared" si="0"/>
        <v/>
      </c>
      <c r="C42" s="35"/>
      <c r="D42" s="35"/>
      <c r="E42" s="35"/>
      <c r="F42" s="35"/>
      <c r="G42" s="164"/>
      <c r="H42" s="179">
        <v>37</v>
      </c>
      <c r="I42" s="180" t="str">
        <f t="shared" si="1"/>
        <v/>
      </c>
      <c r="J42" s="180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21" x14ac:dyDescent="0.25">
      <c r="A43" s="100"/>
      <c r="B43" s="40" t="str">
        <f t="shared" si="0"/>
        <v/>
      </c>
      <c r="C43" s="41"/>
      <c r="D43" s="41"/>
      <c r="E43" s="41"/>
      <c r="F43" s="41"/>
      <c r="G43" s="164"/>
      <c r="H43" s="182">
        <v>38</v>
      </c>
      <c r="I43" s="183" t="str">
        <f t="shared" si="1"/>
        <v/>
      </c>
      <c r="J43" s="183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21" x14ac:dyDescent="0.25">
      <c r="A44" s="96"/>
      <c r="B44" s="34" t="str">
        <f t="shared" si="0"/>
        <v/>
      </c>
      <c r="C44" s="35"/>
      <c r="D44" s="35"/>
      <c r="E44" s="35"/>
      <c r="F44" s="35"/>
      <c r="G44" s="164"/>
      <c r="H44" s="179">
        <v>39</v>
      </c>
      <c r="I44" s="180" t="str">
        <f t="shared" si="1"/>
        <v/>
      </c>
      <c r="J44" s="180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21" x14ac:dyDescent="0.25">
      <c r="A45" s="100"/>
      <c r="B45" s="40" t="str">
        <f t="shared" si="0"/>
        <v/>
      </c>
      <c r="C45" s="41"/>
      <c r="D45" s="41"/>
      <c r="E45" s="41"/>
      <c r="F45" s="41"/>
      <c r="G45" s="164"/>
      <c r="H45" s="182">
        <v>40</v>
      </c>
      <c r="I45" s="183" t="str">
        <f t="shared" si="1"/>
        <v/>
      </c>
      <c r="J45" s="183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21" x14ac:dyDescent="0.25">
      <c r="A46" s="96"/>
      <c r="B46" s="34" t="str">
        <f t="shared" si="0"/>
        <v/>
      </c>
      <c r="C46" s="35"/>
      <c r="D46" s="35"/>
      <c r="E46" s="35"/>
      <c r="F46" s="35"/>
      <c r="G46" s="164"/>
      <c r="H46" s="179">
        <v>41</v>
      </c>
      <c r="I46" s="180" t="str">
        <f t="shared" si="1"/>
        <v/>
      </c>
      <c r="J46" s="180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/>
      <c r="B47" s="40" t="str">
        <f t="shared" si="0"/>
        <v/>
      </c>
      <c r="C47" s="41"/>
      <c r="D47" s="41"/>
      <c r="E47" s="41"/>
      <c r="F47" s="41"/>
      <c r="G47" s="164"/>
      <c r="H47" s="182">
        <v>42</v>
      </c>
      <c r="I47" s="183" t="str">
        <f t="shared" si="1"/>
        <v/>
      </c>
      <c r="J47" s="183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21" x14ac:dyDescent="0.25">
      <c r="A48" s="96"/>
      <c r="B48" s="34" t="str">
        <f t="shared" si="0"/>
        <v/>
      </c>
      <c r="C48" s="35"/>
      <c r="D48" s="35"/>
      <c r="E48" s="35"/>
      <c r="F48" s="35"/>
      <c r="G48" s="164"/>
      <c r="H48" s="179">
        <v>43</v>
      </c>
      <c r="I48" s="180" t="str">
        <f t="shared" si="1"/>
        <v/>
      </c>
      <c r="J48" s="180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13" x14ac:dyDescent="0.25">
      <c r="A49" s="100"/>
      <c r="B49" s="40" t="str">
        <f t="shared" si="0"/>
        <v/>
      </c>
      <c r="C49" s="41"/>
      <c r="D49" s="41"/>
      <c r="E49" s="41"/>
      <c r="F49" s="41"/>
      <c r="G49" s="164"/>
      <c r="H49" s="182">
        <v>44</v>
      </c>
      <c r="I49" s="183" t="str">
        <f t="shared" si="1"/>
        <v/>
      </c>
      <c r="J49" s="183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13" x14ac:dyDescent="0.25">
      <c r="A50" s="96"/>
      <c r="B50" s="34" t="str">
        <f t="shared" si="0"/>
        <v/>
      </c>
      <c r="C50" s="35"/>
      <c r="D50" s="35"/>
      <c r="E50" s="35"/>
      <c r="F50" s="35"/>
      <c r="G50" s="164"/>
      <c r="H50" s="179">
        <v>45</v>
      </c>
      <c r="I50" s="180" t="str">
        <f t="shared" si="1"/>
        <v/>
      </c>
      <c r="J50" s="180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13" x14ac:dyDescent="0.25">
      <c r="A51" s="100"/>
      <c r="B51" s="40" t="str">
        <f t="shared" si="0"/>
        <v/>
      </c>
      <c r="C51" s="41"/>
      <c r="D51" s="41"/>
      <c r="E51" s="41"/>
      <c r="F51" s="41"/>
      <c r="G51" s="164"/>
      <c r="H51" s="182">
        <v>46</v>
      </c>
      <c r="I51" s="183" t="str">
        <f t="shared" si="1"/>
        <v/>
      </c>
      <c r="J51" s="183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13" x14ac:dyDescent="0.25">
      <c r="A52" s="96"/>
      <c r="B52" s="34" t="str">
        <f t="shared" si="0"/>
        <v/>
      </c>
      <c r="C52" s="35"/>
      <c r="D52" s="35"/>
      <c r="E52" s="35"/>
      <c r="F52" s="35"/>
      <c r="G52" s="164"/>
      <c r="H52" s="179">
        <v>47</v>
      </c>
      <c r="I52" s="180" t="str">
        <f t="shared" si="1"/>
        <v/>
      </c>
      <c r="J52" s="180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13" x14ac:dyDescent="0.25">
      <c r="A53" s="100"/>
      <c r="B53" s="40" t="str">
        <f t="shared" si="0"/>
        <v/>
      </c>
      <c r="C53" s="41"/>
      <c r="D53" s="41"/>
      <c r="E53" s="41"/>
      <c r="F53" s="41"/>
      <c r="G53" s="164"/>
      <c r="H53" s="182">
        <v>48</v>
      </c>
      <c r="I53" s="183" t="str">
        <f t="shared" si="1"/>
        <v/>
      </c>
      <c r="J53" s="183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13" x14ac:dyDescent="0.25">
      <c r="A54" s="96"/>
      <c r="B54" s="34" t="str">
        <f t="shared" si="0"/>
        <v/>
      </c>
      <c r="C54" s="35"/>
      <c r="D54" s="35"/>
      <c r="E54" s="35"/>
      <c r="F54" s="35"/>
      <c r="G54" s="164"/>
      <c r="H54" s="179">
        <v>49</v>
      </c>
      <c r="I54" s="180" t="str">
        <f t="shared" si="1"/>
        <v/>
      </c>
      <c r="J54" s="180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13" x14ac:dyDescent="0.25">
      <c r="A55" s="100"/>
      <c r="B55" s="40" t="str">
        <f t="shared" si="0"/>
        <v/>
      </c>
      <c r="C55" s="41"/>
      <c r="D55" s="41"/>
      <c r="E55" s="41"/>
      <c r="F55" s="41"/>
      <c r="G55" s="164"/>
      <c r="H55" s="182">
        <v>50</v>
      </c>
      <c r="I55" s="183" t="str">
        <f t="shared" si="1"/>
        <v/>
      </c>
      <c r="J55" s="183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13" x14ac:dyDescent="0.25">
      <c r="A56" s="96"/>
      <c r="B56" s="34" t="str">
        <f t="shared" si="0"/>
        <v/>
      </c>
      <c r="C56" s="35"/>
      <c r="D56" s="35"/>
      <c r="E56" s="35"/>
      <c r="F56" s="35"/>
      <c r="G56" s="164"/>
      <c r="H56" s="179">
        <v>51</v>
      </c>
      <c r="I56" s="180" t="str">
        <f t="shared" si="1"/>
        <v/>
      </c>
      <c r="J56" s="180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13" x14ac:dyDescent="0.25">
      <c r="A57" s="100"/>
      <c r="B57" s="40" t="str">
        <f t="shared" si="0"/>
        <v/>
      </c>
      <c r="C57" s="41"/>
      <c r="D57" s="41"/>
      <c r="E57" s="41"/>
      <c r="F57" s="41"/>
      <c r="G57" s="164"/>
      <c r="H57" s="182">
        <v>52</v>
      </c>
      <c r="I57" s="183" t="str">
        <f t="shared" si="1"/>
        <v/>
      </c>
      <c r="J57" s="183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</row>
    <row r="58" spans="1:13" x14ac:dyDescent="0.25">
      <c r="A58" s="96"/>
      <c r="B58" s="34" t="str">
        <f t="shared" si="0"/>
        <v/>
      </c>
      <c r="C58" s="35"/>
      <c r="D58" s="35"/>
      <c r="E58" s="35"/>
      <c r="F58" s="35"/>
      <c r="G58" s="164"/>
      <c r="H58" s="179">
        <v>53</v>
      </c>
      <c r="I58" s="180" t="str">
        <f t="shared" si="1"/>
        <v/>
      </c>
      <c r="J58" s="180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</row>
    <row r="59" spans="1:13" x14ac:dyDescent="0.25">
      <c r="A59" s="100"/>
      <c r="B59" s="40" t="str">
        <f t="shared" si="0"/>
        <v/>
      </c>
      <c r="C59" s="41"/>
      <c r="D59" s="41"/>
      <c r="E59" s="41"/>
      <c r="F59" s="41"/>
      <c r="G59" s="164"/>
      <c r="H59" s="182">
        <v>54</v>
      </c>
      <c r="I59" s="183" t="str">
        <f t="shared" si="1"/>
        <v/>
      </c>
      <c r="J59" s="183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</row>
    <row r="60" spans="1:13" x14ac:dyDescent="0.25">
      <c r="A60" s="96"/>
      <c r="B60" s="34" t="str">
        <f t="shared" si="0"/>
        <v/>
      </c>
      <c r="C60" s="35"/>
      <c r="D60" s="35"/>
      <c r="E60" s="35"/>
      <c r="F60" s="35"/>
      <c r="G60" s="164"/>
      <c r="H60" s="179">
        <v>55</v>
      </c>
      <c r="I60" s="180" t="str">
        <f t="shared" si="1"/>
        <v/>
      </c>
      <c r="J60" s="180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</row>
    <row r="61" spans="1:13" x14ac:dyDescent="0.25">
      <c r="A61" s="100"/>
      <c r="B61" s="40" t="str">
        <f t="shared" si="0"/>
        <v/>
      </c>
      <c r="C61" s="41"/>
      <c r="D61" s="41"/>
      <c r="E61" s="41"/>
      <c r="F61" s="41"/>
      <c r="G61" s="164"/>
      <c r="H61" s="182">
        <v>56</v>
      </c>
      <c r="I61" s="183" t="str">
        <f t="shared" si="1"/>
        <v/>
      </c>
      <c r="J61" s="183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</row>
    <row r="62" spans="1:13" x14ac:dyDescent="0.25">
      <c r="A62" s="96"/>
      <c r="B62" s="34" t="str">
        <f t="shared" si="0"/>
        <v/>
      </c>
      <c r="C62" s="35"/>
      <c r="D62" s="35"/>
      <c r="E62" s="35"/>
      <c r="F62" s="35"/>
      <c r="G62" s="164"/>
      <c r="H62" s="179">
        <v>57</v>
      </c>
      <c r="I62" s="180" t="str">
        <f t="shared" si="1"/>
        <v/>
      </c>
      <c r="J62" s="180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</row>
    <row r="63" spans="1:13" x14ac:dyDescent="0.25">
      <c r="A63" s="100"/>
      <c r="B63" s="40" t="str">
        <f t="shared" si="0"/>
        <v/>
      </c>
      <c r="C63" s="41"/>
      <c r="D63" s="41"/>
      <c r="E63" s="41"/>
      <c r="F63" s="41"/>
      <c r="G63" s="164"/>
      <c r="H63" s="182">
        <v>58</v>
      </c>
      <c r="I63" s="183" t="str">
        <f t="shared" si="1"/>
        <v/>
      </c>
      <c r="J63" s="183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</row>
    <row r="64" spans="1:13" x14ac:dyDescent="0.25">
      <c r="A64" s="96"/>
      <c r="B64" s="34" t="str">
        <f t="shared" si="0"/>
        <v/>
      </c>
      <c r="C64" s="35"/>
      <c r="D64" s="35"/>
      <c r="E64" s="35"/>
      <c r="F64" s="35"/>
      <c r="G64" s="164"/>
      <c r="H64" s="179">
        <v>59</v>
      </c>
      <c r="I64" s="180" t="str">
        <f t="shared" si="1"/>
        <v/>
      </c>
      <c r="J64" s="180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</row>
    <row r="65" spans="1:13" x14ac:dyDescent="0.25">
      <c r="A65" s="100"/>
      <c r="B65" s="40" t="str">
        <f t="shared" si="0"/>
        <v/>
      </c>
      <c r="C65" s="41"/>
      <c r="D65" s="41"/>
      <c r="E65" s="41"/>
      <c r="F65" s="41"/>
      <c r="G65" s="164"/>
      <c r="H65" s="182">
        <v>60</v>
      </c>
      <c r="I65" s="183" t="str">
        <f t="shared" si="1"/>
        <v/>
      </c>
      <c r="J65" s="183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</row>
    <row r="66" spans="1:13" x14ac:dyDescent="0.25">
      <c r="A66" s="197"/>
      <c r="B66" s="34"/>
      <c r="G66" s="164"/>
      <c r="H66" s="179">
        <v>61</v>
      </c>
      <c r="I66" s="180" t="str">
        <f t="shared" si="1"/>
        <v/>
      </c>
      <c r="J66" s="180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</row>
    <row r="67" spans="1:13" x14ac:dyDescent="0.25">
      <c r="A67" s="197"/>
      <c r="B67" s="40"/>
      <c r="G67" s="164"/>
      <c r="H67" s="179">
        <v>62</v>
      </c>
      <c r="I67" s="180" t="str">
        <f t="shared" si="1"/>
        <v/>
      </c>
      <c r="J67" s="180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</row>
    <row r="68" spans="1:13" x14ac:dyDescent="0.25">
      <c r="A68" s="197"/>
      <c r="B68" s="34"/>
      <c r="G68" s="164"/>
      <c r="H68" s="179">
        <v>63</v>
      </c>
      <c r="I68" s="180" t="str">
        <f t="shared" si="1"/>
        <v/>
      </c>
      <c r="J68" s="180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</row>
    <row r="69" spans="1:13" x14ac:dyDescent="0.25">
      <c r="A69" s="197"/>
      <c r="B69" s="40"/>
      <c r="G69" s="164"/>
      <c r="H69" s="179">
        <v>64</v>
      </c>
      <c r="I69" s="180" t="str">
        <f t="shared" si="1"/>
        <v/>
      </c>
      <c r="J69" s="180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</row>
    <row r="70" spans="1:13" x14ac:dyDescent="0.25">
      <c r="A70" s="197"/>
      <c r="G70" s="164"/>
      <c r="H70" s="179">
        <v>65</v>
      </c>
      <c r="I70" s="180" t="str">
        <f t="shared" ref="I70:I133" si="6">IF(H70&lt;$H$2+1,($I$2-($I$2-1)*(LOG(H70)/LOG($H$2))),"")</f>
        <v/>
      </c>
      <c r="J70" s="180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97"/>
      <c r="G71" s="164"/>
      <c r="H71" s="179">
        <v>66</v>
      </c>
      <c r="I71" s="180" t="str">
        <f t="shared" si="6"/>
        <v/>
      </c>
      <c r="J71" s="180" t="e">
        <f t="shared" ref="J71:J134" si="9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97"/>
      <c r="G72" s="164"/>
      <c r="H72" s="179">
        <v>67</v>
      </c>
      <c r="I72" s="180" t="str">
        <f t="shared" si="6"/>
        <v/>
      </c>
      <c r="J72" s="180" t="e">
        <f t="shared" si="9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97"/>
      <c r="G73" s="164"/>
      <c r="H73" s="179">
        <v>68</v>
      </c>
      <c r="I73" s="180" t="str">
        <f t="shared" si="6"/>
        <v/>
      </c>
      <c r="J73" s="180" t="e">
        <f t="shared" si="9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97"/>
      <c r="G74" s="164"/>
      <c r="H74" s="179">
        <v>69</v>
      </c>
      <c r="I74" s="180" t="str">
        <f t="shared" si="6"/>
        <v/>
      </c>
      <c r="J74" s="180" t="e">
        <f t="shared" si="9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97"/>
      <c r="G75" s="164"/>
      <c r="H75" s="179">
        <v>70</v>
      </c>
      <c r="I75" s="180" t="str">
        <f t="shared" si="6"/>
        <v/>
      </c>
      <c r="J75" s="180" t="e">
        <f t="shared" si="9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97"/>
      <c r="G76" s="164"/>
      <c r="H76" s="179">
        <v>71</v>
      </c>
      <c r="I76" s="180" t="str">
        <f t="shared" si="6"/>
        <v/>
      </c>
      <c r="J76" s="180" t="e">
        <f t="shared" si="9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97"/>
      <c r="G77" s="164"/>
      <c r="H77" s="179">
        <v>72</v>
      </c>
      <c r="I77" s="180" t="str">
        <f t="shared" si="6"/>
        <v/>
      </c>
      <c r="J77" s="180" t="e">
        <f t="shared" si="9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97"/>
      <c r="G78" s="164"/>
      <c r="H78" s="179">
        <v>73</v>
      </c>
      <c r="I78" s="180" t="str">
        <f t="shared" si="6"/>
        <v/>
      </c>
      <c r="J78" s="180" t="e">
        <f t="shared" si="9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97"/>
      <c r="G79" s="164"/>
      <c r="H79" s="179">
        <v>74</v>
      </c>
      <c r="I79" s="180" t="str">
        <f t="shared" si="6"/>
        <v/>
      </c>
      <c r="J79" s="180" t="e">
        <f t="shared" si="9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197"/>
      <c r="G80" s="164"/>
      <c r="H80" s="179">
        <v>75</v>
      </c>
      <c r="I80" s="180" t="str">
        <f t="shared" si="6"/>
        <v/>
      </c>
      <c r="J80" s="180" t="e">
        <f t="shared" si="9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7"/>
      <c r="G81" s="164"/>
      <c r="H81" s="179">
        <v>76</v>
      </c>
      <c r="I81" s="180" t="str">
        <f t="shared" si="6"/>
        <v/>
      </c>
      <c r="J81" s="180" t="e">
        <f t="shared" si="9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7"/>
      <c r="G82" s="164"/>
      <c r="H82" s="179">
        <v>77</v>
      </c>
      <c r="I82" s="180" t="str">
        <f t="shared" si="6"/>
        <v/>
      </c>
      <c r="J82" s="180" t="e">
        <f t="shared" si="9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7"/>
      <c r="G83" s="164"/>
      <c r="H83" s="179">
        <v>78</v>
      </c>
      <c r="I83" s="180" t="str">
        <f t="shared" si="6"/>
        <v/>
      </c>
      <c r="J83" s="180" t="e">
        <f t="shared" si="9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7"/>
      <c r="G84" s="164"/>
      <c r="H84" s="179">
        <v>79</v>
      </c>
      <c r="I84" s="180" t="str">
        <f t="shared" si="6"/>
        <v/>
      </c>
      <c r="J84" s="180" t="e">
        <f t="shared" si="9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7"/>
      <c r="G85" s="164"/>
      <c r="H85" s="179">
        <v>80</v>
      </c>
      <c r="I85" s="180" t="str">
        <f t="shared" si="6"/>
        <v/>
      </c>
      <c r="J85" s="180" t="e">
        <f t="shared" si="9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7"/>
      <c r="G86" s="164"/>
      <c r="H86" s="179">
        <v>81</v>
      </c>
      <c r="I86" s="180" t="str">
        <f t="shared" si="6"/>
        <v/>
      </c>
      <c r="J86" s="180" t="e">
        <f t="shared" si="9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7"/>
      <c r="G87" s="164"/>
      <c r="H87" s="179">
        <v>82</v>
      </c>
      <c r="I87" s="180" t="str">
        <f t="shared" si="6"/>
        <v/>
      </c>
      <c r="J87" s="180" t="e">
        <f t="shared" si="9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7"/>
      <c r="G88" s="164"/>
      <c r="H88" s="179">
        <v>83</v>
      </c>
      <c r="I88" s="180" t="str">
        <f t="shared" si="6"/>
        <v/>
      </c>
      <c r="J88" s="180" t="e">
        <f t="shared" si="9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7"/>
      <c r="G89" s="164"/>
      <c r="H89" s="179">
        <v>84</v>
      </c>
      <c r="I89" s="180" t="str">
        <f t="shared" si="6"/>
        <v/>
      </c>
      <c r="J89" s="180" t="e">
        <f t="shared" si="9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7"/>
      <c r="G90" s="164"/>
      <c r="H90" s="179">
        <v>85</v>
      </c>
      <c r="I90" s="180" t="str">
        <f t="shared" si="6"/>
        <v/>
      </c>
      <c r="J90" s="180" t="e">
        <f t="shared" si="9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7"/>
      <c r="G91" s="164"/>
      <c r="H91" s="179">
        <v>86</v>
      </c>
      <c r="I91" s="180" t="str">
        <f t="shared" si="6"/>
        <v/>
      </c>
      <c r="J91" s="180" t="e">
        <f t="shared" si="9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7"/>
      <c r="G92" s="164"/>
      <c r="H92" s="179">
        <v>87</v>
      </c>
      <c r="I92" s="180" t="str">
        <f t="shared" si="6"/>
        <v/>
      </c>
      <c r="J92" s="180" t="e">
        <f t="shared" si="9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7"/>
      <c r="G93" s="164"/>
      <c r="H93" s="179">
        <v>88</v>
      </c>
      <c r="I93" s="180" t="str">
        <f t="shared" si="6"/>
        <v/>
      </c>
      <c r="J93" s="180" t="e">
        <f t="shared" si="9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7"/>
      <c r="G94" s="164"/>
      <c r="H94" s="179">
        <v>89</v>
      </c>
      <c r="I94" s="180" t="str">
        <f t="shared" si="6"/>
        <v/>
      </c>
      <c r="J94" s="180" t="e">
        <f t="shared" si="9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7"/>
      <c r="G95" s="164"/>
      <c r="H95" s="179">
        <v>90</v>
      </c>
      <c r="I95" s="180" t="str">
        <f t="shared" si="6"/>
        <v/>
      </c>
      <c r="J95" s="180" t="e">
        <f t="shared" si="9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7"/>
      <c r="G96" s="164"/>
      <c r="H96" s="179">
        <v>91</v>
      </c>
      <c r="I96" s="180" t="str">
        <f t="shared" si="6"/>
        <v/>
      </c>
      <c r="J96" s="180" t="e">
        <f t="shared" si="9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7"/>
      <c r="G97" s="164"/>
      <c r="H97" s="179">
        <v>92</v>
      </c>
      <c r="I97" s="180" t="str">
        <f t="shared" si="6"/>
        <v/>
      </c>
      <c r="J97" s="180" t="e">
        <f t="shared" si="9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7"/>
      <c r="G98" s="164"/>
      <c r="H98" s="179">
        <v>93</v>
      </c>
      <c r="I98" s="180" t="str">
        <f t="shared" si="6"/>
        <v/>
      </c>
      <c r="J98" s="180" t="e">
        <f t="shared" si="9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7"/>
      <c r="G99" s="164"/>
      <c r="H99" s="179">
        <v>94</v>
      </c>
      <c r="I99" s="180" t="str">
        <f t="shared" si="6"/>
        <v/>
      </c>
      <c r="J99" s="180" t="e">
        <f t="shared" si="9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7"/>
      <c r="G100" s="164"/>
      <c r="H100" s="179">
        <v>95</v>
      </c>
      <c r="I100" s="180" t="str">
        <f t="shared" si="6"/>
        <v/>
      </c>
      <c r="J100" s="180" t="e">
        <f t="shared" si="9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7"/>
      <c r="G101" s="164"/>
      <c r="H101" s="179">
        <v>96</v>
      </c>
      <c r="I101" s="180" t="str">
        <f t="shared" si="6"/>
        <v/>
      </c>
      <c r="J101" s="180" t="e">
        <f t="shared" si="9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7"/>
      <c r="G102" s="164"/>
      <c r="H102" s="179">
        <v>97</v>
      </c>
      <c r="I102" s="180" t="str">
        <f t="shared" si="6"/>
        <v/>
      </c>
      <c r="J102" s="180" t="e">
        <f t="shared" si="9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7"/>
      <c r="G103" s="164"/>
      <c r="H103" s="179">
        <v>98</v>
      </c>
      <c r="I103" s="180" t="str">
        <f t="shared" si="6"/>
        <v/>
      </c>
      <c r="J103" s="180" t="e">
        <f t="shared" si="9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7"/>
      <c r="G104" s="164"/>
      <c r="H104" s="179">
        <v>99</v>
      </c>
      <c r="I104" s="180" t="str">
        <f t="shared" si="6"/>
        <v/>
      </c>
      <c r="J104" s="180" t="e">
        <f t="shared" si="9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7"/>
      <c r="G105" s="164"/>
      <c r="H105" s="179">
        <v>100</v>
      </c>
      <c r="I105" s="180" t="str">
        <f t="shared" si="6"/>
        <v/>
      </c>
      <c r="J105" s="180" t="e">
        <f t="shared" si="9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7"/>
      <c r="G106" s="164"/>
      <c r="H106" s="179">
        <v>101</v>
      </c>
      <c r="I106" s="180" t="str">
        <f t="shared" si="6"/>
        <v/>
      </c>
      <c r="J106" s="180" t="e">
        <f t="shared" si="9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7"/>
      <c r="G107" s="164"/>
      <c r="H107" s="179">
        <v>102</v>
      </c>
      <c r="I107" s="180" t="str">
        <f t="shared" si="6"/>
        <v/>
      </c>
      <c r="J107" s="180" t="e">
        <f t="shared" si="9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7"/>
      <c r="G108" s="164"/>
      <c r="H108" s="179">
        <v>103</v>
      </c>
      <c r="I108" s="180" t="str">
        <f t="shared" si="6"/>
        <v/>
      </c>
      <c r="J108" s="180" t="e">
        <f t="shared" si="9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7"/>
      <c r="G109" s="164"/>
      <c r="H109" s="179">
        <v>104</v>
      </c>
      <c r="I109" s="180" t="str">
        <f t="shared" si="6"/>
        <v/>
      </c>
      <c r="J109" s="180" t="e">
        <f t="shared" si="9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7"/>
      <c r="G110" s="164"/>
      <c r="H110" s="179">
        <v>105</v>
      </c>
      <c r="I110" s="180" t="str">
        <f t="shared" si="6"/>
        <v/>
      </c>
      <c r="J110" s="180" t="e">
        <f t="shared" si="9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7"/>
      <c r="G111" s="164"/>
      <c r="H111" s="179">
        <v>106</v>
      </c>
      <c r="I111" s="180" t="str">
        <f t="shared" si="6"/>
        <v/>
      </c>
      <c r="J111" s="180" t="e">
        <f t="shared" si="9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7"/>
      <c r="G112" s="164"/>
      <c r="H112" s="179">
        <v>107</v>
      </c>
      <c r="I112" s="180" t="str">
        <f t="shared" si="6"/>
        <v/>
      </c>
      <c r="J112" s="180" t="e">
        <f t="shared" si="9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7"/>
      <c r="G113" s="164"/>
      <c r="H113" s="179">
        <v>108</v>
      </c>
      <c r="I113" s="180" t="str">
        <f t="shared" si="6"/>
        <v/>
      </c>
      <c r="J113" s="180" t="e">
        <f t="shared" si="9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7"/>
      <c r="G114" s="164"/>
      <c r="H114" s="179">
        <v>109</v>
      </c>
      <c r="I114" s="180" t="str">
        <f t="shared" si="6"/>
        <v/>
      </c>
      <c r="J114" s="180" t="e">
        <f t="shared" si="9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7"/>
      <c r="G115" s="164"/>
      <c r="H115" s="179">
        <v>110</v>
      </c>
      <c r="I115" s="180" t="str">
        <f t="shared" si="6"/>
        <v/>
      </c>
      <c r="J115" s="180" t="e">
        <f t="shared" si="9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7"/>
      <c r="G116" s="164"/>
      <c r="H116" s="179">
        <v>111</v>
      </c>
      <c r="I116" s="180" t="str">
        <f t="shared" si="6"/>
        <v/>
      </c>
      <c r="J116" s="180" t="e">
        <f t="shared" si="9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7"/>
      <c r="G117" s="164"/>
      <c r="H117" s="179">
        <v>112</v>
      </c>
      <c r="I117" s="180" t="str">
        <f t="shared" si="6"/>
        <v/>
      </c>
      <c r="J117" s="180" t="e">
        <f t="shared" si="9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7"/>
      <c r="G118" s="164"/>
      <c r="H118" s="179">
        <v>113</v>
      </c>
      <c r="I118" s="180" t="str">
        <f t="shared" si="6"/>
        <v/>
      </c>
      <c r="J118" s="180" t="e">
        <f t="shared" si="9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7"/>
      <c r="G119" s="164"/>
      <c r="H119" s="179">
        <v>114</v>
      </c>
      <c r="I119" s="180" t="str">
        <f t="shared" si="6"/>
        <v/>
      </c>
      <c r="J119" s="180" t="e">
        <f t="shared" si="9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7"/>
      <c r="G120" s="164"/>
      <c r="H120" s="179">
        <v>115</v>
      </c>
      <c r="I120" s="180" t="str">
        <f t="shared" si="6"/>
        <v/>
      </c>
      <c r="J120" s="180" t="e">
        <f t="shared" si="9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7"/>
      <c r="G121" s="164"/>
      <c r="H121" s="179">
        <v>116</v>
      </c>
      <c r="I121" s="180" t="str">
        <f t="shared" si="6"/>
        <v/>
      </c>
      <c r="J121" s="180" t="e">
        <f t="shared" si="9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7"/>
      <c r="G122" s="164"/>
      <c r="H122" s="179">
        <v>117</v>
      </c>
      <c r="I122" s="180" t="str">
        <f t="shared" si="6"/>
        <v/>
      </c>
      <c r="J122" s="180" t="e">
        <f t="shared" si="9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7"/>
      <c r="G123" s="164"/>
      <c r="H123" s="179">
        <v>118</v>
      </c>
      <c r="I123" s="180" t="str">
        <f t="shared" si="6"/>
        <v/>
      </c>
      <c r="J123" s="180" t="e">
        <f t="shared" si="9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7"/>
      <c r="G124" s="164"/>
      <c r="H124" s="179">
        <v>119</v>
      </c>
      <c r="I124" s="180" t="str">
        <f t="shared" si="6"/>
        <v/>
      </c>
      <c r="J124" s="180" t="e">
        <f t="shared" si="9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7"/>
      <c r="G125" s="164"/>
      <c r="H125" s="179">
        <v>120</v>
      </c>
      <c r="I125" s="180" t="str">
        <f t="shared" si="6"/>
        <v/>
      </c>
      <c r="J125" s="180" t="e">
        <f t="shared" si="9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7"/>
      <c r="G126" s="164"/>
      <c r="H126" s="179">
        <v>121</v>
      </c>
      <c r="I126" s="180" t="str">
        <f t="shared" si="6"/>
        <v/>
      </c>
      <c r="J126" s="180" t="e">
        <f t="shared" si="9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7"/>
      <c r="G127" s="164"/>
      <c r="H127" s="179">
        <v>122</v>
      </c>
      <c r="I127" s="180" t="str">
        <f t="shared" si="6"/>
        <v/>
      </c>
      <c r="J127" s="180" t="e">
        <f t="shared" si="9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7"/>
      <c r="G128" s="164"/>
      <c r="H128" s="179">
        <v>123</v>
      </c>
      <c r="I128" s="180" t="str">
        <f t="shared" si="6"/>
        <v/>
      </c>
      <c r="J128" s="180" t="e">
        <f t="shared" si="9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7"/>
      <c r="G129" s="164"/>
      <c r="H129" s="179">
        <v>124</v>
      </c>
      <c r="I129" s="180" t="str">
        <f t="shared" si="6"/>
        <v/>
      </c>
      <c r="J129" s="180" t="e">
        <f t="shared" si="9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7"/>
      <c r="G130" s="164"/>
      <c r="H130" s="179">
        <v>125</v>
      </c>
      <c r="I130" s="180" t="str">
        <f t="shared" si="6"/>
        <v/>
      </c>
      <c r="J130" s="180" t="e">
        <f t="shared" si="9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7"/>
      <c r="G131" s="164"/>
      <c r="H131" s="179">
        <v>126</v>
      </c>
      <c r="I131" s="180" t="str">
        <f t="shared" si="6"/>
        <v/>
      </c>
      <c r="J131" s="180" t="e">
        <f t="shared" si="9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7"/>
      <c r="G132" s="164"/>
      <c r="H132" s="179">
        <v>127</v>
      </c>
      <c r="I132" s="180" t="str">
        <f t="shared" si="6"/>
        <v/>
      </c>
      <c r="J132" s="180" t="e">
        <f t="shared" si="9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7"/>
      <c r="G133" s="164"/>
      <c r="H133" s="179">
        <v>128</v>
      </c>
      <c r="I133" s="180" t="str">
        <f t="shared" si="6"/>
        <v/>
      </c>
      <c r="J133" s="180" t="e">
        <f t="shared" si="9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7"/>
      <c r="G134" s="164"/>
      <c r="H134" s="179">
        <v>129</v>
      </c>
      <c r="I134" s="180" t="str">
        <f t="shared" ref="I134:I197" si="10">IF(H134&lt;$H$2+1,($I$2-($I$2-1)*(LOG(H134)/LOG($H$2))),"")</f>
        <v/>
      </c>
      <c r="J134" s="180" t="e">
        <f t="shared" si="9"/>
        <v>#NUM!</v>
      </c>
      <c r="K134" s="179" t="e">
        <f t="shared" ref="K134:K197" si="11">J134*$J$2</f>
        <v>#NUM!</v>
      </c>
      <c r="L134" s="179"/>
      <c r="M134" s="181">
        <f t="shared" ref="M134:M197" si="12">IF(I134&lt;&gt;"",K134+I134+L134,0)</f>
        <v>0</v>
      </c>
    </row>
    <row r="135" spans="1:13" x14ac:dyDescent="0.25">
      <c r="A135" s="197"/>
      <c r="G135" s="164"/>
      <c r="H135" s="179">
        <v>130</v>
      </c>
      <c r="I135" s="180" t="str">
        <f t="shared" si="10"/>
        <v/>
      </c>
      <c r="J135" s="180" t="e">
        <f t="shared" ref="J135:J198" si="13">INT(LOG($H$2,2))-ROUNDUP(LOG(H135,2),0)+IF(OR($H$2=1,$H$2=2,$H$2=4,$H$2=8,$H$2=16,$H$2=32,$H$2=64,$H$2=128,$H$2=256),0,1)</f>
        <v>#NUM!</v>
      </c>
      <c r="K135" s="179" t="e">
        <f t="shared" si="11"/>
        <v>#NUM!</v>
      </c>
      <c r="L135" s="179"/>
      <c r="M135" s="181">
        <f t="shared" si="12"/>
        <v>0</v>
      </c>
    </row>
    <row r="136" spans="1:13" x14ac:dyDescent="0.25">
      <c r="A136" s="197"/>
      <c r="G136" s="164"/>
      <c r="H136" s="179">
        <v>131</v>
      </c>
      <c r="I136" s="180" t="str">
        <f t="shared" si="10"/>
        <v/>
      </c>
      <c r="J136" s="180" t="e">
        <f t="shared" si="13"/>
        <v>#NUM!</v>
      </c>
      <c r="K136" s="179" t="e">
        <f t="shared" si="11"/>
        <v>#NUM!</v>
      </c>
      <c r="L136" s="179"/>
      <c r="M136" s="181">
        <f t="shared" si="12"/>
        <v>0</v>
      </c>
    </row>
    <row r="137" spans="1:13" x14ac:dyDescent="0.25">
      <c r="A137" s="197"/>
      <c r="G137" s="164"/>
      <c r="H137" s="179">
        <v>132</v>
      </c>
      <c r="I137" s="180" t="str">
        <f t="shared" si="10"/>
        <v/>
      </c>
      <c r="J137" s="180" t="e">
        <f t="shared" si="13"/>
        <v>#NUM!</v>
      </c>
      <c r="K137" s="179" t="e">
        <f t="shared" si="11"/>
        <v>#NUM!</v>
      </c>
      <c r="L137" s="179"/>
      <c r="M137" s="181">
        <f t="shared" si="12"/>
        <v>0</v>
      </c>
    </row>
    <row r="138" spans="1:13" x14ac:dyDescent="0.25">
      <c r="A138" s="197"/>
      <c r="G138" s="164"/>
      <c r="H138" s="179">
        <v>133</v>
      </c>
      <c r="I138" s="180" t="str">
        <f t="shared" si="10"/>
        <v/>
      </c>
      <c r="J138" s="180" t="e">
        <f t="shared" si="13"/>
        <v>#NUM!</v>
      </c>
      <c r="K138" s="179" t="e">
        <f t="shared" si="11"/>
        <v>#NUM!</v>
      </c>
      <c r="L138" s="179"/>
      <c r="M138" s="181">
        <f t="shared" si="12"/>
        <v>0</v>
      </c>
    </row>
    <row r="139" spans="1:13" x14ac:dyDescent="0.25">
      <c r="A139" s="197"/>
      <c r="G139" s="164"/>
      <c r="H139" s="179">
        <v>134</v>
      </c>
      <c r="I139" s="180" t="str">
        <f t="shared" si="10"/>
        <v/>
      </c>
      <c r="J139" s="180" t="e">
        <f t="shared" si="13"/>
        <v>#NUM!</v>
      </c>
      <c r="K139" s="179" t="e">
        <f t="shared" si="11"/>
        <v>#NUM!</v>
      </c>
      <c r="L139" s="179"/>
      <c r="M139" s="181">
        <f t="shared" si="12"/>
        <v>0</v>
      </c>
    </row>
    <row r="140" spans="1:13" x14ac:dyDescent="0.25">
      <c r="A140" s="197"/>
      <c r="G140" s="164"/>
      <c r="H140" s="179">
        <v>135</v>
      </c>
      <c r="I140" s="180" t="str">
        <f t="shared" si="10"/>
        <v/>
      </c>
      <c r="J140" s="180" t="e">
        <f t="shared" si="13"/>
        <v>#NUM!</v>
      </c>
      <c r="K140" s="179" t="e">
        <f t="shared" si="11"/>
        <v>#NUM!</v>
      </c>
      <c r="L140" s="179"/>
      <c r="M140" s="181">
        <f t="shared" si="12"/>
        <v>0</v>
      </c>
    </row>
    <row r="141" spans="1:13" x14ac:dyDescent="0.25">
      <c r="A141" s="197"/>
      <c r="G141" s="164"/>
      <c r="H141" s="179">
        <v>136</v>
      </c>
      <c r="I141" s="180" t="str">
        <f t="shared" si="10"/>
        <v/>
      </c>
      <c r="J141" s="180" t="e">
        <f t="shared" si="13"/>
        <v>#NUM!</v>
      </c>
      <c r="K141" s="179" t="e">
        <f t="shared" si="11"/>
        <v>#NUM!</v>
      </c>
      <c r="L141" s="179"/>
      <c r="M141" s="181">
        <f t="shared" si="12"/>
        <v>0</v>
      </c>
    </row>
    <row r="142" spans="1:13" x14ac:dyDescent="0.25">
      <c r="A142" s="197"/>
      <c r="G142" s="164"/>
      <c r="H142" s="179">
        <v>137</v>
      </c>
      <c r="I142" s="180" t="str">
        <f t="shared" si="10"/>
        <v/>
      </c>
      <c r="J142" s="180" t="e">
        <f t="shared" si="13"/>
        <v>#NUM!</v>
      </c>
      <c r="K142" s="179" t="e">
        <f t="shared" si="11"/>
        <v>#NUM!</v>
      </c>
      <c r="L142" s="179"/>
      <c r="M142" s="181">
        <f t="shared" si="12"/>
        <v>0</v>
      </c>
    </row>
    <row r="143" spans="1:13" x14ac:dyDescent="0.25">
      <c r="A143" s="197"/>
      <c r="G143" s="164"/>
      <c r="H143" s="179">
        <v>138</v>
      </c>
      <c r="I143" s="180" t="str">
        <f t="shared" si="10"/>
        <v/>
      </c>
      <c r="J143" s="180" t="e">
        <f t="shared" si="13"/>
        <v>#NUM!</v>
      </c>
      <c r="K143" s="179" t="e">
        <f t="shared" si="11"/>
        <v>#NUM!</v>
      </c>
      <c r="L143" s="179"/>
      <c r="M143" s="181">
        <f t="shared" si="12"/>
        <v>0</v>
      </c>
    </row>
    <row r="144" spans="1:13" x14ac:dyDescent="0.25">
      <c r="A144" s="197"/>
      <c r="G144" s="164"/>
      <c r="H144" s="179">
        <v>139</v>
      </c>
      <c r="I144" s="180" t="str">
        <f t="shared" si="10"/>
        <v/>
      </c>
      <c r="J144" s="180" t="e">
        <f t="shared" si="13"/>
        <v>#NUM!</v>
      </c>
      <c r="K144" s="179" t="e">
        <f t="shared" si="11"/>
        <v>#NUM!</v>
      </c>
      <c r="L144" s="179"/>
      <c r="M144" s="181">
        <f t="shared" si="12"/>
        <v>0</v>
      </c>
    </row>
    <row r="145" spans="1:13" x14ac:dyDescent="0.25">
      <c r="A145" s="197"/>
      <c r="G145" s="164"/>
      <c r="H145" s="179">
        <v>140</v>
      </c>
      <c r="I145" s="180" t="str">
        <f t="shared" si="10"/>
        <v/>
      </c>
      <c r="J145" s="180" t="e">
        <f t="shared" si="13"/>
        <v>#NUM!</v>
      </c>
      <c r="K145" s="179" t="e">
        <f t="shared" si="11"/>
        <v>#NUM!</v>
      </c>
      <c r="L145" s="179"/>
      <c r="M145" s="181">
        <f t="shared" si="12"/>
        <v>0</v>
      </c>
    </row>
    <row r="146" spans="1:13" x14ac:dyDescent="0.25">
      <c r="A146" s="197"/>
      <c r="G146" s="164"/>
      <c r="H146" s="179">
        <v>141</v>
      </c>
      <c r="I146" s="180" t="str">
        <f t="shared" si="10"/>
        <v/>
      </c>
      <c r="J146" s="180" t="e">
        <f t="shared" si="13"/>
        <v>#NUM!</v>
      </c>
      <c r="K146" s="179" t="e">
        <f t="shared" si="11"/>
        <v>#NUM!</v>
      </c>
      <c r="L146" s="179"/>
      <c r="M146" s="181">
        <f t="shared" si="12"/>
        <v>0</v>
      </c>
    </row>
    <row r="147" spans="1:13" x14ac:dyDescent="0.25">
      <c r="A147" s="197"/>
      <c r="G147" s="164"/>
      <c r="H147" s="179">
        <v>142</v>
      </c>
      <c r="I147" s="180" t="str">
        <f t="shared" si="10"/>
        <v/>
      </c>
      <c r="J147" s="180" t="e">
        <f t="shared" si="13"/>
        <v>#NUM!</v>
      </c>
      <c r="K147" s="179" t="e">
        <f t="shared" si="11"/>
        <v>#NUM!</v>
      </c>
      <c r="L147" s="179"/>
      <c r="M147" s="181">
        <f t="shared" si="12"/>
        <v>0</v>
      </c>
    </row>
    <row r="148" spans="1:13" x14ac:dyDescent="0.25">
      <c r="A148" s="197"/>
      <c r="G148" s="164"/>
      <c r="H148" s="179">
        <v>143</v>
      </c>
      <c r="I148" s="180" t="str">
        <f t="shared" si="10"/>
        <v/>
      </c>
      <c r="J148" s="180" t="e">
        <f t="shared" si="13"/>
        <v>#NUM!</v>
      </c>
      <c r="K148" s="179" t="e">
        <f t="shared" si="11"/>
        <v>#NUM!</v>
      </c>
      <c r="L148" s="179"/>
      <c r="M148" s="181">
        <f t="shared" si="12"/>
        <v>0</v>
      </c>
    </row>
    <row r="149" spans="1:13" x14ac:dyDescent="0.25">
      <c r="A149" s="197"/>
      <c r="G149" s="164"/>
      <c r="H149" s="179">
        <v>144</v>
      </c>
      <c r="I149" s="180" t="str">
        <f t="shared" si="10"/>
        <v/>
      </c>
      <c r="J149" s="180" t="e">
        <f t="shared" si="13"/>
        <v>#NUM!</v>
      </c>
      <c r="K149" s="179" t="e">
        <f t="shared" si="11"/>
        <v>#NUM!</v>
      </c>
      <c r="L149" s="179"/>
      <c r="M149" s="181">
        <f t="shared" si="12"/>
        <v>0</v>
      </c>
    </row>
    <row r="150" spans="1:13" x14ac:dyDescent="0.25">
      <c r="A150" s="197"/>
      <c r="G150" s="164"/>
      <c r="H150" s="179">
        <v>145</v>
      </c>
      <c r="I150" s="180" t="str">
        <f t="shared" si="10"/>
        <v/>
      </c>
      <c r="J150" s="180" t="e">
        <f t="shared" si="13"/>
        <v>#NUM!</v>
      </c>
      <c r="K150" s="179" t="e">
        <f t="shared" si="11"/>
        <v>#NUM!</v>
      </c>
      <c r="L150" s="179"/>
      <c r="M150" s="181">
        <f t="shared" si="12"/>
        <v>0</v>
      </c>
    </row>
    <row r="151" spans="1:13" x14ac:dyDescent="0.25">
      <c r="A151" s="197"/>
      <c r="G151" s="164"/>
      <c r="H151" s="179">
        <v>146</v>
      </c>
      <c r="I151" s="180" t="str">
        <f t="shared" si="10"/>
        <v/>
      </c>
      <c r="J151" s="180" t="e">
        <f t="shared" si="13"/>
        <v>#NUM!</v>
      </c>
      <c r="K151" s="179" t="e">
        <f t="shared" si="11"/>
        <v>#NUM!</v>
      </c>
      <c r="L151" s="179"/>
      <c r="M151" s="181">
        <f t="shared" si="12"/>
        <v>0</v>
      </c>
    </row>
    <row r="152" spans="1:13" x14ac:dyDescent="0.25">
      <c r="A152" s="197"/>
      <c r="G152" s="164"/>
      <c r="H152" s="179">
        <v>147</v>
      </c>
      <c r="I152" s="180" t="str">
        <f t="shared" si="10"/>
        <v/>
      </c>
      <c r="J152" s="180" t="e">
        <f t="shared" si="13"/>
        <v>#NUM!</v>
      </c>
      <c r="K152" s="179" t="e">
        <f t="shared" si="11"/>
        <v>#NUM!</v>
      </c>
      <c r="L152" s="179"/>
      <c r="M152" s="181">
        <f t="shared" si="12"/>
        <v>0</v>
      </c>
    </row>
    <row r="153" spans="1:13" x14ac:dyDescent="0.25">
      <c r="A153" s="197"/>
      <c r="G153" s="164"/>
      <c r="H153" s="179">
        <v>148</v>
      </c>
      <c r="I153" s="180" t="str">
        <f t="shared" si="10"/>
        <v/>
      </c>
      <c r="J153" s="180" t="e">
        <f t="shared" si="13"/>
        <v>#NUM!</v>
      </c>
      <c r="K153" s="179" t="e">
        <f t="shared" si="11"/>
        <v>#NUM!</v>
      </c>
      <c r="L153" s="179"/>
      <c r="M153" s="181">
        <f t="shared" si="12"/>
        <v>0</v>
      </c>
    </row>
    <row r="154" spans="1:13" x14ac:dyDescent="0.25">
      <c r="A154" s="197"/>
      <c r="G154" s="164"/>
      <c r="H154" s="179">
        <v>149</v>
      </c>
      <c r="I154" s="180" t="str">
        <f t="shared" si="10"/>
        <v/>
      </c>
      <c r="J154" s="180" t="e">
        <f t="shared" si="13"/>
        <v>#NUM!</v>
      </c>
      <c r="K154" s="179" t="e">
        <f t="shared" si="11"/>
        <v>#NUM!</v>
      </c>
      <c r="L154" s="179"/>
      <c r="M154" s="181">
        <f t="shared" si="12"/>
        <v>0</v>
      </c>
    </row>
    <row r="155" spans="1:13" x14ac:dyDescent="0.25">
      <c r="A155" s="197"/>
      <c r="G155" s="164"/>
      <c r="H155" s="179">
        <v>150</v>
      </c>
      <c r="I155" s="180" t="str">
        <f t="shared" si="10"/>
        <v/>
      </c>
      <c r="J155" s="180" t="e">
        <f t="shared" si="13"/>
        <v>#NUM!</v>
      </c>
      <c r="K155" s="179" t="e">
        <f t="shared" si="11"/>
        <v>#NUM!</v>
      </c>
      <c r="L155" s="179"/>
      <c r="M155" s="181">
        <f t="shared" si="12"/>
        <v>0</v>
      </c>
    </row>
    <row r="156" spans="1:13" x14ac:dyDescent="0.25">
      <c r="A156" s="197"/>
      <c r="G156" s="164"/>
      <c r="H156" s="179">
        <v>151</v>
      </c>
      <c r="I156" s="180" t="str">
        <f t="shared" si="10"/>
        <v/>
      </c>
      <c r="J156" s="180" t="e">
        <f t="shared" si="13"/>
        <v>#NUM!</v>
      </c>
      <c r="K156" s="179" t="e">
        <f t="shared" si="11"/>
        <v>#NUM!</v>
      </c>
      <c r="L156" s="179"/>
      <c r="M156" s="181">
        <f t="shared" si="12"/>
        <v>0</v>
      </c>
    </row>
    <row r="157" spans="1:13" x14ac:dyDescent="0.25">
      <c r="A157" s="197"/>
      <c r="G157" s="164"/>
      <c r="H157" s="179">
        <v>152</v>
      </c>
      <c r="I157" s="180" t="str">
        <f t="shared" si="10"/>
        <v/>
      </c>
      <c r="J157" s="180" t="e">
        <f t="shared" si="13"/>
        <v>#NUM!</v>
      </c>
      <c r="K157" s="179" t="e">
        <f t="shared" si="11"/>
        <v>#NUM!</v>
      </c>
      <c r="L157" s="179"/>
      <c r="M157" s="181">
        <f t="shared" si="12"/>
        <v>0</v>
      </c>
    </row>
    <row r="158" spans="1:13" x14ac:dyDescent="0.25">
      <c r="A158" s="197"/>
      <c r="G158" s="164"/>
      <c r="H158" s="179">
        <v>153</v>
      </c>
      <c r="I158" s="180" t="str">
        <f t="shared" si="10"/>
        <v/>
      </c>
      <c r="J158" s="180" t="e">
        <f t="shared" si="13"/>
        <v>#NUM!</v>
      </c>
      <c r="K158" s="179" t="e">
        <f t="shared" si="11"/>
        <v>#NUM!</v>
      </c>
      <c r="L158" s="179"/>
      <c r="M158" s="181">
        <f t="shared" si="12"/>
        <v>0</v>
      </c>
    </row>
    <row r="159" spans="1:13" x14ac:dyDescent="0.25">
      <c r="A159" s="197"/>
      <c r="G159" s="164"/>
      <c r="H159" s="179">
        <v>154</v>
      </c>
      <c r="I159" s="180" t="str">
        <f t="shared" si="10"/>
        <v/>
      </c>
      <c r="J159" s="180" t="e">
        <f t="shared" si="13"/>
        <v>#NUM!</v>
      </c>
      <c r="K159" s="179" t="e">
        <f t="shared" si="11"/>
        <v>#NUM!</v>
      </c>
      <c r="L159" s="179"/>
      <c r="M159" s="181">
        <f t="shared" si="12"/>
        <v>0</v>
      </c>
    </row>
    <row r="160" spans="1:13" x14ac:dyDescent="0.25">
      <c r="A160" s="197"/>
      <c r="G160" s="164"/>
      <c r="H160" s="179">
        <v>155</v>
      </c>
      <c r="I160" s="180" t="str">
        <f t="shared" si="10"/>
        <v/>
      </c>
      <c r="J160" s="180" t="e">
        <f t="shared" si="13"/>
        <v>#NUM!</v>
      </c>
      <c r="K160" s="179" t="e">
        <f t="shared" si="11"/>
        <v>#NUM!</v>
      </c>
      <c r="L160" s="179"/>
      <c r="M160" s="181">
        <f t="shared" si="12"/>
        <v>0</v>
      </c>
    </row>
    <row r="161" spans="1:13" x14ac:dyDescent="0.25">
      <c r="A161" s="197"/>
      <c r="G161" s="164"/>
      <c r="H161" s="179">
        <v>156</v>
      </c>
      <c r="I161" s="180" t="str">
        <f t="shared" si="10"/>
        <v/>
      </c>
      <c r="J161" s="180" t="e">
        <f t="shared" si="13"/>
        <v>#NUM!</v>
      </c>
      <c r="K161" s="179" t="e">
        <f t="shared" si="11"/>
        <v>#NUM!</v>
      </c>
      <c r="L161" s="179"/>
      <c r="M161" s="181">
        <f t="shared" si="12"/>
        <v>0</v>
      </c>
    </row>
    <row r="162" spans="1:13" x14ac:dyDescent="0.25">
      <c r="A162" s="197"/>
      <c r="G162" s="164"/>
      <c r="H162" s="179">
        <v>157</v>
      </c>
      <c r="I162" s="180" t="str">
        <f t="shared" si="10"/>
        <v/>
      </c>
      <c r="J162" s="180" t="e">
        <f t="shared" si="13"/>
        <v>#NUM!</v>
      </c>
      <c r="K162" s="179" t="e">
        <f t="shared" si="11"/>
        <v>#NUM!</v>
      </c>
      <c r="L162" s="179"/>
      <c r="M162" s="181">
        <f t="shared" si="12"/>
        <v>0</v>
      </c>
    </row>
    <row r="163" spans="1:13" x14ac:dyDescent="0.25">
      <c r="A163" s="197"/>
      <c r="G163" s="164"/>
      <c r="H163" s="179">
        <v>158</v>
      </c>
      <c r="I163" s="180" t="str">
        <f t="shared" si="10"/>
        <v/>
      </c>
      <c r="J163" s="180" t="e">
        <f t="shared" si="13"/>
        <v>#NUM!</v>
      </c>
      <c r="K163" s="179" t="e">
        <f t="shared" si="11"/>
        <v>#NUM!</v>
      </c>
      <c r="L163" s="179"/>
      <c r="M163" s="181">
        <f t="shared" si="12"/>
        <v>0</v>
      </c>
    </row>
    <row r="164" spans="1:13" x14ac:dyDescent="0.25">
      <c r="A164" s="197"/>
      <c r="G164" s="164"/>
      <c r="H164" s="179">
        <v>159</v>
      </c>
      <c r="I164" s="180" t="str">
        <f t="shared" si="10"/>
        <v/>
      </c>
      <c r="J164" s="180" t="e">
        <f t="shared" si="13"/>
        <v>#NUM!</v>
      </c>
      <c r="K164" s="179" t="e">
        <f t="shared" si="11"/>
        <v>#NUM!</v>
      </c>
      <c r="L164" s="179"/>
      <c r="M164" s="181">
        <f t="shared" si="12"/>
        <v>0</v>
      </c>
    </row>
    <row r="165" spans="1:13" x14ac:dyDescent="0.25">
      <c r="A165" s="197"/>
      <c r="G165" s="164"/>
      <c r="H165" s="179">
        <v>160</v>
      </c>
      <c r="I165" s="180" t="str">
        <f t="shared" si="10"/>
        <v/>
      </c>
      <c r="J165" s="180" t="e">
        <f t="shared" si="13"/>
        <v>#NUM!</v>
      </c>
      <c r="K165" s="179" t="e">
        <f t="shared" si="11"/>
        <v>#NUM!</v>
      </c>
      <c r="L165" s="179"/>
      <c r="M165" s="181">
        <f t="shared" si="12"/>
        <v>0</v>
      </c>
    </row>
    <row r="166" spans="1:13" x14ac:dyDescent="0.25">
      <c r="A166" s="197"/>
      <c r="G166" s="164"/>
      <c r="H166" s="179">
        <v>161</v>
      </c>
      <c r="I166" s="180" t="str">
        <f t="shared" si="10"/>
        <v/>
      </c>
      <c r="J166" s="180" t="e">
        <f t="shared" si="13"/>
        <v>#NUM!</v>
      </c>
      <c r="K166" s="179" t="e">
        <f t="shared" si="11"/>
        <v>#NUM!</v>
      </c>
      <c r="L166" s="179"/>
      <c r="M166" s="181">
        <f t="shared" si="12"/>
        <v>0</v>
      </c>
    </row>
    <row r="167" spans="1:13" x14ac:dyDescent="0.25">
      <c r="A167" s="197"/>
      <c r="G167" s="164"/>
      <c r="H167" s="179">
        <v>162</v>
      </c>
      <c r="I167" s="180" t="str">
        <f t="shared" si="10"/>
        <v/>
      </c>
      <c r="J167" s="180" t="e">
        <f t="shared" si="13"/>
        <v>#NUM!</v>
      </c>
      <c r="K167" s="179" t="e">
        <f t="shared" si="11"/>
        <v>#NUM!</v>
      </c>
      <c r="L167" s="179"/>
      <c r="M167" s="181">
        <f t="shared" si="12"/>
        <v>0</v>
      </c>
    </row>
    <row r="168" spans="1:13" x14ac:dyDescent="0.25">
      <c r="A168" s="197"/>
      <c r="G168" s="164"/>
      <c r="H168" s="179">
        <v>163</v>
      </c>
      <c r="I168" s="180" t="str">
        <f t="shared" si="10"/>
        <v/>
      </c>
      <c r="J168" s="180" t="e">
        <f t="shared" si="13"/>
        <v>#NUM!</v>
      </c>
      <c r="K168" s="179" t="e">
        <f t="shared" si="11"/>
        <v>#NUM!</v>
      </c>
      <c r="L168" s="179"/>
      <c r="M168" s="181">
        <f t="shared" si="12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0"/>
        <v/>
      </c>
      <c r="J169" s="180" t="e">
        <f t="shared" si="13"/>
        <v>#NUM!</v>
      </c>
      <c r="K169" s="179" t="e">
        <f t="shared" si="11"/>
        <v>#NUM!</v>
      </c>
      <c r="L169" s="179"/>
      <c r="M169" s="181">
        <f t="shared" si="12"/>
        <v>0</v>
      </c>
    </row>
    <row r="170" spans="1:13" x14ac:dyDescent="0.25">
      <c r="A170" s="197"/>
      <c r="G170" s="164"/>
      <c r="H170" s="179">
        <v>165</v>
      </c>
      <c r="I170" s="180" t="str">
        <f t="shared" si="10"/>
        <v/>
      </c>
      <c r="J170" s="180" t="e">
        <f t="shared" si="13"/>
        <v>#NUM!</v>
      </c>
      <c r="K170" s="179" t="e">
        <f t="shared" si="11"/>
        <v>#NUM!</v>
      </c>
      <c r="L170" s="179"/>
      <c r="M170" s="181">
        <f t="shared" si="12"/>
        <v>0</v>
      </c>
    </row>
    <row r="171" spans="1:13" x14ac:dyDescent="0.25">
      <c r="A171" s="197"/>
      <c r="G171" s="164"/>
      <c r="H171" s="179">
        <v>166</v>
      </c>
      <c r="I171" s="180" t="str">
        <f t="shared" si="10"/>
        <v/>
      </c>
      <c r="J171" s="180" t="e">
        <f t="shared" si="13"/>
        <v>#NUM!</v>
      </c>
      <c r="K171" s="179" t="e">
        <f t="shared" si="11"/>
        <v>#NUM!</v>
      </c>
      <c r="L171" s="179"/>
      <c r="M171" s="181">
        <f t="shared" si="12"/>
        <v>0</v>
      </c>
    </row>
    <row r="172" spans="1:13" x14ac:dyDescent="0.25">
      <c r="A172" s="197"/>
      <c r="G172" s="164"/>
      <c r="H172" s="179">
        <v>167</v>
      </c>
      <c r="I172" s="180" t="str">
        <f t="shared" si="10"/>
        <v/>
      </c>
      <c r="J172" s="180" t="e">
        <f t="shared" si="13"/>
        <v>#NUM!</v>
      </c>
      <c r="K172" s="179" t="e">
        <f t="shared" si="11"/>
        <v>#NUM!</v>
      </c>
      <c r="L172" s="179"/>
      <c r="M172" s="181">
        <f t="shared" si="12"/>
        <v>0</v>
      </c>
    </row>
    <row r="173" spans="1:13" x14ac:dyDescent="0.25">
      <c r="A173" s="197"/>
      <c r="G173" s="164"/>
      <c r="H173" s="179">
        <v>168</v>
      </c>
      <c r="I173" s="180" t="str">
        <f t="shared" si="10"/>
        <v/>
      </c>
      <c r="J173" s="180" t="e">
        <f t="shared" si="13"/>
        <v>#NUM!</v>
      </c>
      <c r="K173" s="179" t="e">
        <f t="shared" si="11"/>
        <v>#NUM!</v>
      </c>
      <c r="L173" s="179"/>
      <c r="M173" s="181">
        <f t="shared" si="12"/>
        <v>0</v>
      </c>
    </row>
    <row r="174" spans="1:13" x14ac:dyDescent="0.25">
      <c r="A174" s="197"/>
      <c r="G174" s="164"/>
      <c r="H174" s="179">
        <v>169</v>
      </c>
      <c r="I174" s="180" t="str">
        <f t="shared" si="10"/>
        <v/>
      </c>
      <c r="J174" s="180" t="e">
        <f t="shared" si="13"/>
        <v>#NUM!</v>
      </c>
      <c r="K174" s="179" t="e">
        <f t="shared" si="11"/>
        <v>#NUM!</v>
      </c>
      <c r="L174" s="179"/>
      <c r="M174" s="181">
        <f t="shared" si="12"/>
        <v>0</v>
      </c>
    </row>
    <row r="175" spans="1:13" x14ac:dyDescent="0.25">
      <c r="A175" s="197"/>
      <c r="G175" s="164"/>
      <c r="H175" s="179">
        <v>170</v>
      </c>
      <c r="I175" s="180" t="str">
        <f t="shared" si="10"/>
        <v/>
      </c>
      <c r="J175" s="180" t="e">
        <f t="shared" si="13"/>
        <v>#NUM!</v>
      </c>
      <c r="K175" s="179" t="e">
        <f t="shared" si="11"/>
        <v>#NUM!</v>
      </c>
      <c r="L175" s="179"/>
      <c r="M175" s="181">
        <f t="shared" si="12"/>
        <v>0</v>
      </c>
    </row>
    <row r="176" spans="1:13" x14ac:dyDescent="0.25">
      <c r="A176" s="197"/>
      <c r="G176" s="164"/>
      <c r="H176" s="179">
        <v>171</v>
      </c>
      <c r="I176" s="180" t="str">
        <f t="shared" si="10"/>
        <v/>
      </c>
      <c r="J176" s="180" t="e">
        <f t="shared" si="13"/>
        <v>#NUM!</v>
      </c>
      <c r="K176" s="179" t="e">
        <f t="shared" si="11"/>
        <v>#NUM!</v>
      </c>
      <c r="L176" s="179"/>
      <c r="M176" s="181">
        <f t="shared" si="12"/>
        <v>0</v>
      </c>
    </row>
    <row r="177" spans="1:13" x14ac:dyDescent="0.25">
      <c r="A177" s="197"/>
      <c r="G177" s="164"/>
      <c r="H177" s="179">
        <v>172</v>
      </c>
      <c r="I177" s="180" t="str">
        <f t="shared" si="10"/>
        <v/>
      </c>
      <c r="J177" s="180" t="e">
        <f t="shared" si="13"/>
        <v>#NUM!</v>
      </c>
      <c r="K177" s="179" t="e">
        <f t="shared" si="11"/>
        <v>#NUM!</v>
      </c>
      <c r="L177" s="179"/>
      <c r="M177" s="181">
        <f t="shared" si="12"/>
        <v>0</v>
      </c>
    </row>
    <row r="178" spans="1:13" x14ac:dyDescent="0.25">
      <c r="A178" s="197"/>
      <c r="G178" s="164"/>
      <c r="H178" s="179">
        <v>173</v>
      </c>
      <c r="I178" s="180" t="str">
        <f t="shared" si="10"/>
        <v/>
      </c>
      <c r="J178" s="180" t="e">
        <f t="shared" si="13"/>
        <v>#NUM!</v>
      </c>
      <c r="K178" s="179" t="e">
        <f t="shared" si="11"/>
        <v>#NUM!</v>
      </c>
      <c r="L178" s="179"/>
      <c r="M178" s="181">
        <f t="shared" si="12"/>
        <v>0</v>
      </c>
    </row>
    <row r="179" spans="1:13" x14ac:dyDescent="0.25">
      <c r="A179" s="197"/>
      <c r="G179" s="164"/>
      <c r="H179" s="179">
        <v>174</v>
      </c>
      <c r="I179" s="180" t="str">
        <f t="shared" si="10"/>
        <v/>
      </c>
      <c r="J179" s="180" t="e">
        <f t="shared" si="13"/>
        <v>#NUM!</v>
      </c>
      <c r="K179" s="179" t="e">
        <f t="shared" si="11"/>
        <v>#NUM!</v>
      </c>
      <c r="L179" s="179"/>
      <c r="M179" s="181">
        <f t="shared" si="12"/>
        <v>0</v>
      </c>
    </row>
    <row r="180" spans="1:13" x14ac:dyDescent="0.25">
      <c r="A180" s="197"/>
      <c r="G180" s="164"/>
      <c r="H180" s="179">
        <v>175</v>
      </c>
      <c r="I180" s="180" t="str">
        <f t="shared" si="10"/>
        <v/>
      </c>
      <c r="J180" s="180" t="e">
        <f t="shared" si="13"/>
        <v>#NUM!</v>
      </c>
      <c r="K180" s="179" t="e">
        <f t="shared" si="11"/>
        <v>#NUM!</v>
      </c>
      <c r="L180" s="179"/>
      <c r="M180" s="181">
        <f t="shared" si="12"/>
        <v>0</v>
      </c>
    </row>
    <row r="181" spans="1:13" x14ac:dyDescent="0.25">
      <c r="A181" s="197"/>
      <c r="G181" s="164"/>
      <c r="H181" s="179">
        <v>176</v>
      </c>
      <c r="I181" s="180" t="str">
        <f t="shared" si="10"/>
        <v/>
      </c>
      <c r="J181" s="180" t="e">
        <f t="shared" si="13"/>
        <v>#NUM!</v>
      </c>
      <c r="K181" s="179" t="e">
        <f t="shared" si="11"/>
        <v>#NUM!</v>
      </c>
      <c r="L181" s="179"/>
      <c r="M181" s="181">
        <f t="shared" si="12"/>
        <v>0</v>
      </c>
    </row>
    <row r="182" spans="1:13" x14ac:dyDescent="0.25">
      <c r="A182" s="197"/>
      <c r="G182" s="164"/>
      <c r="H182" s="179">
        <v>177</v>
      </c>
      <c r="I182" s="180" t="str">
        <f t="shared" si="10"/>
        <v/>
      </c>
      <c r="J182" s="180" t="e">
        <f t="shared" si="13"/>
        <v>#NUM!</v>
      </c>
      <c r="K182" s="179" t="e">
        <f t="shared" si="11"/>
        <v>#NUM!</v>
      </c>
      <c r="L182" s="179"/>
      <c r="M182" s="181">
        <f t="shared" si="12"/>
        <v>0</v>
      </c>
    </row>
    <row r="183" spans="1:13" x14ac:dyDescent="0.25">
      <c r="A183" s="197"/>
      <c r="G183" s="164"/>
      <c r="H183" s="179">
        <v>178</v>
      </c>
      <c r="I183" s="180" t="str">
        <f t="shared" si="10"/>
        <v/>
      </c>
      <c r="J183" s="180" t="e">
        <f t="shared" si="13"/>
        <v>#NUM!</v>
      </c>
      <c r="K183" s="179" t="e">
        <f t="shared" si="11"/>
        <v>#NUM!</v>
      </c>
      <c r="L183" s="179"/>
      <c r="M183" s="181">
        <f t="shared" si="12"/>
        <v>0</v>
      </c>
    </row>
    <row r="184" spans="1:13" x14ac:dyDescent="0.25">
      <c r="A184" s="197"/>
      <c r="G184" s="164"/>
      <c r="H184" s="179">
        <v>179</v>
      </c>
      <c r="I184" s="180" t="str">
        <f t="shared" si="10"/>
        <v/>
      </c>
      <c r="J184" s="180" t="e">
        <f t="shared" si="13"/>
        <v>#NUM!</v>
      </c>
      <c r="K184" s="179" t="e">
        <f t="shared" si="11"/>
        <v>#NUM!</v>
      </c>
      <c r="L184" s="179"/>
      <c r="M184" s="181">
        <f t="shared" si="12"/>
        <v>0</v>
      </c>
    </row>
    <row r="185" spans="1:13" x14ac:dyDescent="0.25">
      <c r="A185" s="197"/>
      <c r="G185" s="164"/>
      <c r="H185" s="179">
        <v>180</v>
      </c>
      <c r="I185" s="180" t="str">
        <f t="shared" si="10"/>
        <v/>
      </c>
      <c r="J185" s="180" t="e">
        <f t="shared" si="13"/>
        <v>#NUM!</v>
      </c>
      <c r="K185" s="179" t="e">
        <f t="shared" si="11"/>
        <v>#NUM!</v>
      </c>
      <c r="L185" s="179"/>
      <c r="M185" s="181">
        <f t="shared" si="12"/>
        <v>0</v>
      </c>
    </row>
    <row r="186" spans="1:13" x14ac:dyDescent="0.25">
      <c r="A186" s="197"/>
      <c r="G186" s="164"/>
      <c r="H186" s="179">
        <v>181</v>
      </c>
      <c r="I186" s="180" t="str">
        <f t="shared" si="10"/>
        <v/>
      </c>
      <c r="J186" s="180" t="e">
        <f t="shared" si="13"/>
        <v>#NUM!</v>
      </c>
      <c r="K186" s="179" t="e">
        <f t="shared" si="11"/>
        <v>#NUM!</v>
      </c>
      <c r="L186" s="179"/>
      <c r="M186" s="181">
        <f t="shared" si="12"/>
        <v>0</v>
      </c>
    </row>
    <row r="187" spans="1:13" x14ac:dyDescent="0.25">
      <c r="A187" s="197"/>
      <c r="G187" s="164"/>
      <c r="H187" s="179">
        <v>182</v>
      </c>
      <c r="I187" s="180" t="str">
        <f t="shared" si="10"/>
        <v/>
      </c>
      <c r="J187" s="180" t="e">
        <f t="shared" si="13"/>
        <v>#NUM!</v>
      </c>
      <c r="K187" s="179" t="e">
        <f t="shared" si="11"/>
        <v>#NUM!</v>
      </c>
      <c r="L187" s="179"/>
      <c r="M187" s="181">
        <f t="shared" si="12"/>
        <v>0</v>
      </c>
    </row>
    <row r="188" spans="1:13" x14ac:dyDescent="0.25">
      <c r="A188" s="197"/>
      <c r="G188" s="164"/>
      <c r="H188" s="179">
        <v>183</v>
      </c>
      <c r="I188" s="180" t="str">
        <f t="shared" si="10"/>
        <v/>
      </c>
      <c r="J188" s="180" t="e">
        <f t="shared" si="13"/>
        <v>#NUM!</v>
      </c>
      <c r="K188" s="179" t="e">
        <f t="shared" si="11"/>
        <v>#NUM!</v>
      </c>
      <c r="L188" s="179"/>
      <c r="M188" s="181">
        <f t="shared" si="12"/>
        <v>0</v>
      </c>
    </row>
    <row r="189" spans="1:13" x14ac:dyDescent="0.25">
      <c r="A189" s="197"/>
      <c r="G189" s="164"/>
      <c r="H189" s="179">
        <v>184</v>
      </c>
      <c r="I189" s="180" t="str">
        <f t="shared" si="10"/>
        <v/>
      </c>
      <c r="J189" s="180" t="e">
        <f t="shared" si="13"/>
        <v>#NUM!</v>
      </c>
      <c r="K189" s="179" t="e">
        <f t="shared" si="11"/>
        <v>#NUM!</v>
      </c>
      <c r="L189" s="179"/>
      <c r="M189" s="181">
        <f t="shared" si="12"/>
        <v>0</v>
      </c>
    </row>
    <row r="190" spans="1:13" x14ac:dyDescent="0.25">
      <c r="A190" s="197"/>
      <c r="G190" s="164"/>
      <c r="H190" s="179">
        <v>185</v>
      </c>
      <c r="I190" s="180" t="str">
        <f t="shared" si="10"/>
        <v/>
      </c>
      <c r="J190" s="180" t="e">
        <f t="shared" si="13"/>
        <v>#NUM!</v>
      </c>
      <c r="K190" s="179" t="e">
        <f t="shared" si="11"/>
        <v>#NUM!</v>
      </c>
      <c r="L190" s="179"/>
      <c r="M190" s="181">
        <f t="shared" si="12"/>
        <v>0</v>
      </c>
    </row>
    <row r="191" spans="1:13" x14ac:dyDescent="0.25">
      <c r="A191" s="197"/>
      <c r="G191" s="164"/>
      <c r="H191" s="179">
        <v>186</v>
      </c>
      <c r="I191" s="180" t="str">
        <f t="shared" si="10"/>
        <v/>
      </c>
      <c r="J191" s="180" t="e">
        <f t="shared" si="13"/>
        <v>#NUM!</v>
      </c>
      <c r="K191" s="179" t="e">
        <f t="shared" si="11"/>
        <v>#NUM!</v>
      </c>
      <c r="L191" s="179"/>
      <c r="M191" s="181">
        <f t="shared" si="12"/>
        <v>0</v>
      </c>
    </row>
    <row r="192" spans="1:13" x14ac:dyDescent="0.25">
      <c r="A192" s="197"/>
      <c r="G192" s="164"/>
      <c r="H192" s="179">
        <v>187</v>
      </c>
      <c r="I192" s="180" t="str">
        <f t="shared" si="10"/>
        <v/>
      </c>
      <c r="J192" s="180" t="e">
        <f t="shared" si="13"/>
        <v>#NUM!</v>
      </c>
      <c r="K192" s="179" t="e">
        <f t="shared" si="11"/>
        <v>#NUM!</v>
      </c>
      <c r="L192" s="179"/>
      <c r="M192" s="181">
        <f t="shared" si="12"/>
        <v>0</v>
      </c>
    </row>
    <row r="193" spans="1:13" x14ac:dyDescent="0.25">
      <c r="A193" s="197"/>
      <c r="G193" s="164"/>
      <c r="H193" s="179">
        <v>188</v>
      </c>
      <c r="I193" s="180" t="str">
        <f t="shared" si="10"/>
        <v/>
      </c>
      <c r="J193" s="180" t="e">
        <f t="shared" si="13"/>
        <v>#NUM!</v>
      </c>
      <c r="K193" s="179" t="e">
        <f t="shared" si="11"/>
        <v>#NUM!</v>
      </c>
      <c r="L193" s="179"/>
      <c r="M193" s="181">
        <f t="shared" si="12"/>
        <v>0</v>
      </c>
    </row>
    <row r="194" spans="1:13" x14ac:dyDescent="0.25">
      <c r="A194" s="197"/>
      <c r="G194" s="164"/>
      <c r="H194" s="179">
        <v>189</v>
      </c>
      <c r="I194" s="180" t="str">
        <f t="shared" si="10"/>
        <v/>
      </c>
      <c r="J194" s="180" t="e">
        <f t="shared" si="13"/>
        <v>#NUM!</v>
      </c>
      <c r="K194" s="179" t="e">
        <f t="shared" si="11"/>
        <v>#NUM!</v>
      </c>
      <c r="L194" s="179"/>
      <c r="M194" s="181">
        <f t="shared" si="12"/>
        <v>0</v>
      </c>
    </row>
    <row r="195" spans="1:13" x14ac:dyDescent="0.25">
      <c r="A195" s="197"/>
      <c r="G195" s="164"/>
      <c r="H195" s="179">
        <v>190</v>
      </c>
      <c r="I195" s="180" t="str">
        <f t="shared" si="10"/>
        <v/>
      </c>
      <c r="J195" s="180" t="e">
        <f t="shared" si="13"/>
        <v>#NUM!</v>
      </c>
      <c r="K195" s="179" t="e">
        <f t="shared" si="11"/>
        <v>#NUM!</v>
      </c>
      <c r="L195" s="179"/>
      <c r="M195" s="181">
        <f t="shared" si="12"/>
        <v>0</v>
      </c>
    </row>
    <row r="196" spans="1:13" x14ac:dyDescent="0.25">
      <c r="A196" s="197"/>
      <c r="G196" s="164"/>
      <c r="H196" s="179">
        <v>191</v>
      </c>
      <c r="I196" s="180" t="str">
        <f t="shared" si="10"/>
        <v/>
      </c>
      <c r="J196" s="180" t="e">
        <f t="shared" si="13"/>
        <v>#NUM!</v>
      </c>
      <c r="K196" s="179" t="e">
        <f t="shared" si="11"/>
        <v>#NUM!</v>
      </c>
      <c r="L196" s="179"/>
      <c r="M196" s="181">
        <f t="shared" si="12"/>
        <v>0</v>
      </c>
    </row>
    <row r="197" spans="1:13" x14ac:dyDescent="0.25">
      <c r="A197" s="197"/>
      <c r="G197" s="164"/>
      <c r="H197" s="179">
        <v>192</v>
      </c>
      <c r="I197" s="180" t="str">
        <f t="shared" si="10"/>
        <v/>
      </c>
      <c r="J197" s="180" t="e">
        <f t="shared" si="13"/>
        <v>#NUM!</v>
      </c>
      <c r="K197" s="179" t="e">
        <f t="shared" si="11"/>
        <v>#NUM!</v>
      </c>
      <c r="L197" s="179"/>
      <c r="M197" s="181">
        <f t="shared" si="12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4">IF(H198&lt;$H$2+1,($I$2-($I$2-1)*(LOG(H198)/LOG($H$2))),"")</f>
        <v/>
      </c>
      <c r="J198" s="180" t="e">
        <f t="shared" si="13"/>
        <v>#NUM!</v>
      </c>
      <c r="K198" s="179" t="e">
        <f t="shared" ref="K198:K261" si="15">J198*$J$2</f>
        <v>#NUM!</v>
      </c>
      <c r="L198" s="179"/>
      <c r="M198" s="181">
        <f t="shared" ref="M198:M261" si="16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4"/>
        <v/>
      </c>
      <c r="J199" s="180" t="e">
        <f t="shared" ref="J199:J262" si="17">INT(LOG($H$2,2))-ROUNDUP(LOG(H199,2),0)+IF(OR($H$2=1,$H$2=2,$H$2=4,$H$2=8,$H$2=16,$H$2=32,$H$2=64,$H$2=128,$H$2=256),0,1)</f>
        <v>#NUM!</v>
      </c>
      <c r="K199" s="179" t="e">
        <f t="shared" si="15"/>
        <v>#NUM!</v>
      </c>
      <c r="L199" s="179"/>
      <c r="M199" s="181">
        <f t="shared" si="16"/>
        <v>0</v>
      </c>
    </row>
    <row r="200" spans="1:13" x14ac:dyDescent="0.25">
      <c r="A200" s="197"/>
      <c r="G200" s="164"/>
      <c r="H200" s="179">
        <v>195</v>
      </c>
      <c r="I200" s="180" t="str">
        <f t="shared" si="14"/>
        <v/>
      </c>
      <c r="J200" s="180" t="e">
        <f t="shared" si="17"/>
        <v>#NUM!</v>
      </c>
      <c r="K200" s="179" t="e">
        <f t="shared" si="15"/>
        <v>#NUM!</v>
      </c>
      <c r="L200" s="179"/>
      <c r="M200" s="181">
        <f t="shared" si="16"/>
        <v>0</v>
      </c>
    </row>
    <row r="201" spans="1:13" x14ac:dyDescent="0.25">
      <c r="A201" s="197"/>
      <c r="G201" s="164"/>
      <c r="H201" s="179">
        <v>196</v>
      </c>
      <c r="I201" s="180" t="str">
        <f t="shared" si="14"/>
        <v/>
      </c>
      <c r="J201" s="180" t="e">
        <f t="shared" si="17"/>
        <v>#NUM!</v>
      </c>
      <c r="K201" s="179" t="e">
        <f t="shared" si="15"/>
        <v>#NUM!</v>
      </c>
      <c r="L201" s="179"/>
      <c r="M201" s="181">
        <f t="shared" si="16"/>
        <v>0</v>
      </c>
    </row>
    <row r="202" spans="1:13" x14ac:dyDescent="0.25">
      <c r="A202" s="197"/>
      <c r="G202" s="164"/>
      <c r="H202" s="179">
        <v>197</v>
      </c>
      <c r="I202" s="180" t="str">
        <f t="shared" si="14"/>
        <v/>
      </c>
      <c r="J202" s="180" t="e">
        <f t="shared" si="17"/>
        <v>#NUM!</v>
      </c>
      <c r="K202" s="179" t="e">
        <f t="shared" si="15"/>
        <v>#NUM!</v>
      </c>
      <c r="L202" s="179"/>
      <c r="M202" s="181">
        <f t="shared" si="16"/>
        <v>0</v>
      </c>
    </row>
    <row r="203" spans="1:13" x14ac:dyDescent="0.25">
      <c r="A203" s="197"/>
      <c r="G203" s="164"/>
      <c r="H203" s="179">
        <v>198</v>
      </c>
      <c r="I203" s="180" t="str">
        <f t="shared" si="14"/>
        <v/>
      </c>
      <c r="J203" s="180" t="e">
        <f t="shared" si="17"/>
        <v>#NUM!</v>
      </c>
      <c r="K203" s="179" t="e">
        <f t="shared" si="15"/>
        <v>#NUM!</v>
      </c>
      <c r="L203" s="179"/>
      <c r="M203" s="181">
        <f t="shared" si="16"/>
        <v>0</v>
      </c>
    </row>
    <row r="204" spans="1:13" x14ac:dyDescent="0.25">
      <c r="A204" s="197"/>
      <c r="G204" s="164"/>
      <c r="H204" s="179">
        <v>199</v>
      </c>
      <c r="I204" s="180" t="str">
        <f t="shared" si="14"/>
        <v/>
      </c>
      <c r="J204" s="180" t="e">
        <f t="shared" si="17"/>
        <v>#NUM!</v>
      </c>
      <c r="K204" s="179" t="e">
        <f t="shared" si="15"/>
        <v>#NUM!</v>
      </c>
      <c r="L204" s="179"/>
      <c r="M204" s="181">
        <f t="shared" si="16"/>
        <v>0</v>
      </c>
    </row>
    <row r="205" spans="1:13" x14ac:dyDescent="0.25">
      <c r="A205" s="197"/>
      <c r="G205" s="164"/>
      <c r="H205" s="179">
        <v>200</v>
      </c>
      <c r="I205" s="180" t="str">
        <f t="shared" si="14"/>
        <v/>
      </c>
      <c r="J205" s="180" t="e">
        <f t="shared" si="17"/>
        <v>#NUM!</v>
      </c>
      <c r="K205" s="179" t="e">
        <f t="shared" si="15"/>
        <v>#NUM!</v>
      </c>
      <c r="L205" s="179"/>
      <c r="M205" s="181">
        <f t="shared" si="16"/>
        <v>0</v>
      </c>
    </row>
    <row r="206" spans="1:13" x14ac:dyDescent="0.25">
      <c r="A206" s="197"/>
      <c r="G206" s="164"/>
      <c r="H206" s="179">
        <v>201</v>
      </c>
      <c r="I206" s="180" t="str">
        <f t="shared" si="14"/>
        <v/>
      </c>
      <c r="J206" s="180" t="e">
        <f t="shared" si="17"/>
        <v>#NUM!</v>
      </c>
      <c r="K206" s="179" t="e">
        <f t="shared" si="15"/>
        <v>#NUM!</v>
      </c>
      <c r="L206" s="179"/>
      <c r="M206" s="181">
        <f t="shared" si="16"/>
        <v>0</v>
      </c>
    </row>
    <row r="207" spans="1:13" x14ac:dyDescent="0.25">
      <c r="A207" s="197"/>
      <c r="G207" s="164"/>
      <c r="H207" s="179">
        <v>202</v>
      </c>
      <c r="I207" s="180" t="str">
        <f t="shared" si="14"/>
        <v/>
      </c>
      <c r="J207" s="180" t="e">
        <f t="shared" si="17"/>
        <v>#NUM!</v>
      </c>
      <c r="K207" s="179" t="e">
        <f t="shared" si="15"/>
        <v>#NUM!</v>
      </c>
      <c r="L207" s="179"/>
      <c r="M207" s="181">
        <f t="shared" si="16"/>
        <v>0</v>
      </c>
    </row>
    <row r="208" spans="1:13" x14ac:dyDescent="0.25">
      <c r="A208" s="197"/>
      <c r="G208" s="164"/>
      <c r="H208" s="179">
        <v>203</v>
      </c>
      <c r="I208" s="180" t="str">
        <f t="shared" si="14"/>
        <v/>
      </c>
      <c r="J208" s="180" t="e">
        <f t="shared" si="17"/>
        <v>#NUM!</v>
      </c>
      <c r="K208" s="179" t="e">
        <f t="shared" si="15"/>
        <v>#NUM!</v>
      </c>
      <c r="L208" s="179"/>
      <c r="M208" s="181">
        <f t="shared" si="16"/>
        <v>0</v>
      </c>
    </row>
    <row r="209" spans="1:13" x14ac:dyDescent="0.25">
      <c r="A209" s="197"/>
      <c r="G209" s="164"/>
      <c r="H209" s="179">
        <v>204</v>
      </c>
      <c r="I209" s="180" t="str">
        <f t="shared" si="14"/>
        <v/>
      </c>
      <c r="J209" s="180" t="e">
        <f t="shared" si="17"/>
        <v>#NUM!</v>
      </c>
      <c r="K209" s="179" t="e">
        <f t="shared" si="15"/>
        <v>#NUM!</v>
      </c>
      <c r="L209" s="179"/>
      <c r="M209" s="181">
        <f t="shared" si="16"/>
        <v>0</v>
      </c>
    </row>
    <row r="210" spans="1:13" x14ac:dyDescent="0.25">
      <c r="A210" s="197"/>
      <c r="G210" s="164"/>
      <c r="H210" s="179">
        <v>205</v>
      </c>
      <c r="I210" s="180" t="str">
        <f t="shared" si="14"/>
        <v/>
      </c>
      <c r="J210" s="180" t="e">
        <f t="shared" si="17"/>
        <v>#NUM!</v>
      </c>
      <c r="K210" s="179" t="e">
        <f t="shared" si="15"/>
        <v>#NUM!</v>
      </c>
      <c r="L210" s="179"/>
      <c r="M210" s="181">
        <f t="shared" si="16"/>
        <v>0</v>
      </c>
    </row>
    <row r="211" spans="1:13" x14ac:dyDescent="0.25">
      <c r="A211" s="197"/>
      <c r="G211" s="164"/>
      <c r="H211" s="179">
        <v>206</v>
      </c>
      <c r="I211" s="180" t="str">
        <f t="shared" si="14"/>
        <v/>
      </c>
      <c r="J211" s="180" t="e">
        <f t="shared" si="17"/>
        <v>#NUM!</v>
      </c>
      <c r="K211" s="179" t="e">
        <f t="shared" si="15"/>
        <v>#NUM!</v>
      </c>
      <c r="L211" s="179"/>
      <c r="M211" s="181">
        <f t="shared" si="16"/>
        <v>0</v>
      </c>
    </row>
    <row r="212" spans="1:13" x14ac:dyDescent="0.25">
      <c r="A212" s="197"/>
      <c r="G212" s="164"/>
      <c r="H212" s="179">
        <v>207</v>
      </c>
      <c r="I212" s="180" t="str">
        <f t="shared" si="14"/>
        <v/>
      </c>
      <c r="J212" s="180" t="e">
        <f t="shared" si="17"/>
        <v>#NUM!</v>
      </c>
      <c r="K212" s="179" t="e">
        <f t="shared" si="15"/>
        <v>#NUM!</v>
      </c>
      <c r="L212" s="179"/>
      <c r="M212" s="181">
        <f t="shared" si="16"/>
        <v>0</v>
      </c>
    </row>
    <row r="213" spans="1:13" x14ac:dyDescent="0.25">
      <c r="A213" s="197"/>
      <c r="G213" s="164"/>
      <c r="H213" s="179">
        <v>208</v>
      </c>
      <c r="I213" s="180" t="str">
        <f t="shared" si="14"/>
        <v/>
      </c>
      <c r="J213" s="180" t="e">
        <f t="shared" si="17"/>
        <v>#NUM!</v>
      </c>
      <c r="K213" s="179" t="e">
        <f t="shared" si="15"/>
        <v>#NUM!</v>
      </c>
      <c r="L213" s="179"/>
      <c r="M213" s="181">
        <f t="shared" si="16"/>
        <v>0</v>
      </c>
    </row>
    <row r="214" spans="1:13" x14ac:dyDescent="0.25">
      <c r="A214" s="197"/>
      <c r="G214" s="164"/>
      <c r="H214" s="179">
        <v>209</v>
      </c>
      <c r="I214" s="180" t="str">
        <f t="shared" si="14"/>
        <v/>
      </c>
      <c r="J214" s="180" t="e">
        <f t="shared" si="17"/>
        <v>#NUM!</v>
      </c>
      <c r="K214" s="179" t="e">
        <f t="shared" si="15"/>
        <v>#NUM!</v>
      </c>
      <c r="L214" s="179"/>
      <c r="M214" s="181">
        <f t="shared" si="16"/>
        <v>0</v>
      </c>
    </row>
    <row r="215" spans="1:13" x14ac:dyDescent="0.25">
      <c r="A215" s="197"/>
      <c r="G215" s="164"/>
      <c r="H215" s="179">
        <v>210</v>
      </c>
      <c r="I215" s="180" t="str">
        <f t="shared" si="14"/>
        <v/>
      </c>
      <c r="J215" s="180" t="e">
        <f t="shared" si="17"/>
        <v>#NUM!</v>
      </c>
      <c r="K215" s="179" t="e">
        <f t="shared" si="15"/>
        <v>#NUM!</v>
      </c>
      <c r="L215" s="179"/>
      <c r="M215" s="181">
        <f t="shared" si="16"/>
        <v>0</v>
      </c>
    </row>
    <row r="216" spans="1:13" x14ac:dyDescent="0.25">
      <c r="A216" s="197"/>
      <c r="G216" s="164"/>
      <c r="H216" s="179">
        <v>211</v>
      </c>
      <c r="I216" s="180" t="str">
        <f t="shared" si="14"/>
        <v/>
      </c>
      <c r="J216" s="180" t="e">
        <f t="shared" si="17"/>
        <v>#NUM!</v>
      </c>
      <c r="K216" s="179" t="e">
        <f t="shared" si="15"/>
        <v>#NUM!</v>
      </c>
      <c r="L216" s="179"/>
      <c r="M216" s="181">
        <f t="shared" si="16"/>
        <v>0</v>
      </c>
    </row>
    <row r="217" spans="1:13" x14ac:dyDescent="0.25">
      <c r="A217" s="197"/>
      <c r="G217" s="164"/>
      <c r="H217" s="179">
        <v>212</v>
      </c>
      <c r="I217" s="180" t="str">
        <f t="shared" si="14"/>
        <v/>
      </c>
      <c r="J217" s="180" t="e">
        <f t="shared" si="17"/>
        <v>#NUM!</v>
      </c>
      <c r="K217" s="179" t="e">
        <f t="shared" si="15"/>
        <v>#NUM!</v>
      </c>
      <c r="L217" s="179"/>
      <c r="M217" s="181">
        <f t="shared" si="16"/>
        <v>0</v>
      </c>
    </row>
    <row r="218" spans="1:13" x14ac:dyDescent="0.25">
      <c r="A218" s="197"/>
      <c r="G218" s="164"/>
      <c r="H218" s="179">
        <v>213</v>
      </c>
      <c r="I218" s="180" t="str">
        <f t="shared" si="14"/>
        <v/>
      </c>
      <c r="J218" s="180" t="e">
        <f t="shared" si="17"/>
        <v>#NUM!</v>
      </c>
      <c r="K218" s="179" t="e">
        <f t="shared" si="15"/>
        <v>#NUM!</v>
      </c>
      <c r="L218" s="179"/>
      <c r="M218" s="181">
        <f t="shared" si="16"/>
        <v>0</v>
      </c>
    </row>
    <row r="219" spans="1:13" x14ac:dyDescent="0.25">
      <c r="A219" s="197"/>
      <c r="G219" s="164"/>
      <c r="H219" s="179">
        <v>214</v>
      </c>
      <c r="I219" s="180" t="str">
        <f t="shared" si="14"/>
        <v/>
      </c>
      <c r="J219" s="180" t="e">
        <f t="shared" si="17"/>
        <v>#NUM!</v>
      </c>
      <c r="K219" s="179" t="e">
        <f t="shared" si="15"/>
        <v>#NUM!</v>
      </c>
      <c r="L219" s="179"/>
      <c r="M219" s="181">
        <f t="shared" si="16"/>
        <v>0</v>
      </c>
    </row>
    <row r="220" spans="1:13" x14ac:dyDescent="0.25">
      <c r="A220" s="197"/>
      <c r="G220" s="164"/>
      <c r="H220" s="179">
        <v>215</v>
      </c>
      <c r="I220" s="180" t="str">
        <f t="shared" si="14"/>
        <v/>
      </c>
      <c r="J220" s="180" t="e">
        <f t="shared" si="17"/>
        <v>#NUM!</v>
      </c>
      <c r="K220" s="179" t="e">
        <f t="shared" si="15"/>
        <v>#NUM!</v>
      </c>
      <c r="L220" s="179"/>
      <c r="M220" s="181">
        <f t="shared" si="16"/>
        <v>0</v>
      </c>
    </row>
    <row r="221" spans="1:13" x14ac:dyDescent="0.25">
      <c r="A221" s="197"/>
      <c r="G221" s="164"/>
      <c r="H221" s="179">
        <v>216</v>
      </c>
      <c r="I221" s="180" t="str">
        <f t="shared" si="14"/>
        <v/>
      </c>
      <c r="J221" s="180" t="e">
        <f t="shared" si="17"/>
        <v>#NUM!</v>
      </c>
      <c r="K221" s="179" t="e">
        <f t="shared" si="15"/>
        <v>#NUM!</v>
      </c>
      <c r="L221" s="179"/>
      <c r="M221" s="181">
        <f t="shared" si="16"/>
        <v>0</v>
      </c>
    </row>
    <row r="222" spans="1:13" x14ac:dyDescent="0.25">
      <c r="A222" s="197"/>
      <c r="G222" s="164"/>
      <c r="H222" s="179">
        <v>217</v>
      </c>
      <c r="I222" s="180" t="str">
        <f t="shared" si="14"/>
        <v/>
      </c>
      <c r="J222" s="180" t="e">
        <f t="shared" si="17"/>
        <v>#NUM!</v>
      </c>
      <c r="K222" s="179" t="e">
        <f t="shared" si="15"/>
        <v>#NUM!</v>
      </c>
      <c r="L222" s="179"/>
      <c r="M222" s="181">
        <f t="shared" si="16"/>
        <v>0</v>
      </c>
    </row>
    <row r="223" spans="1:13" x14ac:dyDescent="0.25">
      <c r="A223" s="197"/>
      <c r="G223" s="164"/>
      <c r="H223" s="179">
        <v>218</v>
      </c>
      <c r="I223" s="180" t="str">
        <f t="shared" si="14"/>
        <v/>
      </c>
      <c r="J223" s="180" t="e">
        <f t="shared" si="17"/>
        <v>#NUM!</v>
      </c>
      <c r="K223" s="179" t="e">
        <f t="shared" si="15"/>
        <v>#NUM!</v>
      </c>
      <c r="L223" s="179"/>
      <c r="M223" s="181">
        <f t="shared" si="16"/>
        <v>0</v>
      </c>
    </row>
    <row r="224" spans="1:13" x14ac:dyDescent="0.25">
      <c r="A224" s="197"/>
      <c r="G224" s="164"/>
      <c r="H224" s="179">
        <v>219</v>
      </c>
      <c r="I224" s="180" t="str">
        <f t="shared" si="14"/>
        <v/>
      </c>
      <c r="J224" s="180" t="e">
        <f t="shared" si="17"/>
        <v>#NUM!</v>
      </c>
      <c r="K224" s="179" t="e">
        <f t="shared" si="15"/>
        <v>#NUM!</v>
      </c>
      <c r="L224" s="179"/>
      <c r="M224" s="181">
        <f t="shared" si="16"/>
        <v>0</v>
      </c>
    </row>
    <row r="225" spans="1:13" x14ac:dyDescent="0.25">
      <c r="A225" s="197"/>
      <c r="G225" s="164"/>
      <c r="H225" s="179">
        <v>220</v>
      </c>
      <c r="I225" s="180" t="str">
        <f t="shared" si="14"/>
        <v/>
      </c>
      <c r="J225" s="180" t="e">
        <f t="shared" si="17"/>
        <v>#NUM!</v>
      </c>
      <c r="K225" s="179" t="e">
        <f t="shared" si="15"/>
        <v>#NUM!</v>
      </c>
      <c r="L225" s="179"/>
      <c r="M225" s="181">
        <f t="shared" si="16"/>
        <v>0</v>
      </c>
    </row>
    <row r="226" spans="1:13" x14ac:dyDescent="0.25">
      <c r="A226" s="197"/>
      <c r="G226" s="164"/>
      <c r="H226" s="179">
        <v>221</v>
      </c>
      <c r="I226" s="180" t="str">
        <f t="shared" si="14"/>
        <v/>
      </c>
      <c r="J226" s="180" t="e">
        <f t="shared" si="17"/>
        <v>#NUM!</v>
      </c>
      <c r="K226" s="179" t="e">
        <f t="shared" si="15"/>
        <v>#NUM!</v>
      </c>
      <c r="L226" s="179"/>
      <c r="M226" s="181">
        <f t="shared" si="16"/>
        <v>0</v>
      </c>
    </row>
    <row r="227" spans="1:13" x14ac:dyDescent="0.25">
      <c r="A227" s="197"/>
      <c r="G227" s="164"/>
      <c r="H227" s="179">
        <v>222</v>
      </c>
      <c r="I227" s="180" t="str">
        <f t="shared" si="14"/>
        <v/>
      </c>
      <c r="J227" s="180" t="e">
        <f t="shared" si="17"/>
        <v>#NUM!</v>
      </c>
      <c r="K227" s="179" t="e">
        <f t="shared" si="15"/>
        <v>#NUM!</v>
      </c>
      <c r="L227" s="179"/>
      <c r="M227" s="181">
        <f t="shared" si="16"/>
        <v>0</v>
      </c>
    </row>
    <row r="228" spans="1:13" x14ac:dyDescent="0.25">
      <c r="A228" s="197"/>
      <c r="G228" s="164"/>
      <c r="H228" s="179">
        <v>223</v>
      </c>
      <c r="I228" s="180" t="str">
        <f t="shared" si="14"/>
        <v/>
      </c>
      <c r="J228" s="180" t="e">
        <f t="shared" si="17"/>
        <v>#NUM!</v>
      </c>
      <c r="K228" s="179" t="e">
        <f t="shared" si="15"/>
        <v>#NUM!</v>
      </c>
      <c r="L228" s="179"/>
      <c r="M228" s="181">
        <f t="shared" si="16"/>
        <v>0</v>
      </c>
    </row>
    <row r="229" spans="1:13" x14ac:dyDescent="0.25">
      <c r="A229" s="197"/>
      <c r="G229" s="164"/>
      <c r="H229" s="179">
        <v>224</v>
      </c>
      <c r="I229" s="180" t="str">
        <f t="shared" si="14"/>
        <v/>
      </c>
      <c r="J229" s="180" t="e">
        <f t="shared" si="17"/>
        <v>#NUM!</v>
      </c>
      <c r="K229" s="179" t="e">
        <f t="shared" si="15"/>
        <v>#NUM!</v>
      </c>
      <c r="L229" s="179"/>
      <c r="M229" s="181">
        <f t="shared" si="16"/>
        <v>0</v>
      </c>
    </row>
    <row r="230" spans="1:13" x14ac:dyDescent="0.25">
      <c r="A230" s="197"/>
      <c r="G230" s="164"/>
      <c r="H230" s="179">
        <v>225</v>
      </c>
      <c r="I230" s="180" t="str">
        <f t="shared" si="14"/>
        <v/>
      </c>
      <c r="J230" s="180" t="e">
        <f t="shared" si="17"/>
        <v>#NUM!</v>
      </c>
      <c r="K230" s="179" t="e">
        <f t="shared" si="15"/>
        <v>#NUM!</v>
      </c>
      <c r="L230" s="179"/>
      <c r="M230" s="181">
        <f t="shared" si="16"/>
        <v>0</v>
      </c>
    </row>
    <row r="231" spans="1:13" x14ac:dyDescent="0.25">
      <c r="A231" s="197"/>
      <c r="G231" s="164"/>
      <c r="H231" s="179">
        <v>226</v>
      </c>
      <c r="I231" s="180" t="str">
        <f t="shared" si="14"/>
        <v/>
      </c>
      <c r="J231" s="180" t="e">
        <f t="shared" si="17"/>
        <v>#NUM!</v>
      </c>
      <c r="K231" s="179" t="e">
        <f t="shared" si="15"/>
        <v>#NUM!</v>
      </c>
      <c r="L231" s="179"/>
      <c r="M231" s="181">
        <f t="shared" si="16"/>
        <v>0</v>
      </c>
    </row>
    <row r="232" spans="1:13" x14ac:dyDescent="0.25">
      <c r="A232" s="197"/>
      <c r="G232" s="164"/>
      <c r="H232" s="179">
        <v>227</v>
      </c>
      <c r="I232" s="180" t="str">
        <f t="shared" si="14"/>
        <v/>
      </c>
      <c r="J232" s="180" t="e">
        <f t="shared" si="17"/>
        <v>#NUM!</v>
      </c>
      <c r="K232" s="179" t="e">
        <f t="shared" si="15"/>
        <v>#NUM!</v>
      </c>
      <c r="L232" s="179"/>
      <c r="M232" s="181">
        <f t="shared" si="16"/>
        <v>0</v>
      </c>
    </row>
    <row r="233" spans="1:13" x14ac:dyDescent="0.25">
      <c r="A233" s="197"/>
      <c r="G233" s="164"/>
      <c r="H233" s="179">
        <v>228</v>
      </c>
      <c r="I233" s="180" t="str">
        <f t="shared" si="14"/>
        <v/>
      </c>
      <c r="J233" s="180" t="e">
        <f t="shared" si="17"/>
        <v>#NUM!</v>
      </c>
      <c r="K233" s="179" t="e">
        <f t="shared" si="15"/>
        <v>#NUM!</v>
      </c>
      <c r="L233" s="179"/>
      <c r="M233" s="181">
        <f t="shared" si="16"/>
        <v>0</v>
      </c>
    </row>
    <row r="234" spans="1:13" x14ac:dyDescent="0.25">
      <c r="A234" s="197"/>
      <c r="G234" s="164"/>
      <c r="H234" s="179">
        <v>229</v>
      </c>
      <c r="I234" s="180" t="str">
        <f t="shared" si="14"/>
        <v/>
      </c>
      <c r="J234" s="180" t="e">
        <f t="shared" si="17"/>
        <v>#NUM!</v>
      </c>
      <c r="K234" s="179" t="e">
        <f t="shared" si="15"/>
        <v>#NUM!</v>
      </c>
      <c r="L234" s="179"/>
      <c r="M234" s="181">
        <f t="shared" si="16"/>
        <v>0</v>
      </c>
    </row>
    <row r="235" spans="1:13" x14ac:dyDescent="0.25">
      <c r="A235" s="197"/>
      <c r="G235" s="164"/>
      <c r="H235" s="179">
        <v>230</v>
      </c>
      <c r="I235" s="180" t="str">
        <f t="shared" si="14"/>
        <v/>
      </c>
      <c r="J235" s="180" t="e">
        <f t="shared" si="17"/>
        <v>#NUM!</v>
      </c>
      <c r="K235" s="179" t="e">
        <f t="shared" si="15"/>
        <v>#NUM!</v>
      </c>
      <c r="L235" s="179"/>
      <c r="M235" s="181">
        <f t="shared" si="16"/>
        <v>0</v>
      </c>
    </row>
    <row r="236" spans="1:13" x14ac:dyDescent="0.25">
      <c r="A236" s="197"/>
      <c r="G236" s="164"/>
      <c r="H236" s="179">
        <v>231</v>
      </c>
      <c r="I236" s="180" t="str">
        <f t="shared" si="14"/>
        <v/>
      </c>
      <c r="J236" s="180" t="e">
        <f t="shared" si="17"/>
        <v>#NUM!</v>
      </c>
      <c r="K236" s="179" t="e">
        <f t="shared" si="15"/>
        <v>#NUM!</v>
      </c>
      <c r="L236" s="179"/>
      <c r="M236" s="181">
        <f t="shared" si="16"/>
        <v>0</v>
      </c>
    </row>
    <row r="237" spans="1:13" x14ac:dyDescent="0.25">
      <c r="A237" s="197"/>
      <c r="G237" s="164"/>
      <c r="H237" s="179">
        <v>232</v>
      </c>
      <c r="I237" s="180" t="str">
        <f t="shared" si="14"/>
        <v/>
      </c>
      <c r="J237" s="180" t="e">
        <f t="shared" si="17"/>
        <v>#NUM!</v>
      </c>
      <c r="K237" s="179" t="e">
        <f t="shared" si="15"/>
        <v>#NUM!</v>
      </c>
      <c r="L237" s="179"/>
      <c r="M237" s="181">
        <f t="shared" si="16"/>
        <v>0</v>
      </c>
    </row>
    <row r="238" spans="1:13" x14ac:dyDescent="0.25">
      <c r="A238" s="197"/>
      <c r="G238" s="164"/>
      <c r="H238" s="179">
        <v>233</v>
      </c>
      <c r="I238" s="180" t="str">
        <f t="shared" si="14"/>
        <v/>
      </c>
      <c r="J238" s="180" t="e">
        <f t="shared" si="17"/>
        <v>#NUM!</v>
      </c>
      <c r="K238" s="179" t="e">
        <f t="shared" si="15"/>
        <v>#NUM!</v>
      </c>
      <c r="L238" s="179"/>
      <c r="M238" s="181">
        <f t="shared" si="16"/>
        <v>0</v>
      </c>
    </row>
    <row r="239" spans="1:13" x14ac:dyDescent="0.25">
      <c r="A239" s="197"/>
      <c r="G239" s="164"/>
      <c r="H239" s="179">
        <v>234</v>
      </c>
      <c r="I239" s="180" t="str">
        <f t="shared" si="14"/>
        <v/>
      </c>
      <c r="J239" s="180" t="e">
        <f t="shared" si="17"/>
        <v>#NUM!</v>
      </c>
      <c r="K239" s="179" t="e">
        <f t="shared" si="15"/>
        <v>#NUM!</v>
      </c>
      <c r="L239" s="179"/>
      <c r="M239" s="181">
        <f t="shared" si="16"/>
        <v>0</v>
      </c>
    </row>
    <row r="240" spans="1:13" x14ac:dyDescent="0.25">
      <c r="A240" s="197"/>
      <c r="G240" s="164"/>
      <c r="H240" s="179">
        <v>235</v>
      </c>
      <c r="I240" s="180" t="str">
        <f t="shared" si="14"/>
        <v/>
      </c>
      <c r="J240" s="180" t="e">
        <f t="shared" si="17"/>
        <v>#NUM!</v>
      </c>
      <c r="K240" s="179" t="e">
        <f t="shared" si="15"/>
        <v>#NUM!</v>
      </c>
      <c r="L240" s="179"/>
      <c r="M240" s="181">
        <f t="shared" si="16"/>
        <v>0</v>
      </c>
    </row>
    <row r="241" spans="1:13" x14ac:dyDescent="0.25">
      <c r="A241" s="197"/>
      <c r="G241" s="164"/>
      <c r="H241" s="179">
        <v>236</v>
      </c>
      <c r="I241" s="180" t="str">
        <f t="shared" si="14"/>
        <v/>
      </c>
      <c r="J241" s="180" t="e">
        <f t="shared" si="17"/>
        <v>#NUM!</v>
      </c>
      <c r="K241" s="179" t="e">
        <f t="shared" si="15"/>
        <v>#NUM!</v>
      </c>
      <c r="L241" s="179"/>
      <c r="M241" s="181">
        <f t="shared" si="16"/>
        <v>0</v>
      </c>
    </row>
    <row r="242" spans="1:13" x14ac:dyDescent="0.25">
      <c r="A242" s="197"/>
      <c r="G242" s="164"/>
      <c r="H242" s="179">
        <v>237</v>
      </c>
      <c r="I242" s="180" t="str">
        <f t="shared" si="14"/>
        <v/>
      </c>
      <c r="J242" s="180" t="e">
        <f t="shared" si="17"/>
        <v>#NUM!</v>
      </c>
      <c r="K242" s="179" t="e">
        <f t="shared" si="15"/>
        <v>#NUM!</v>
      </c>
      <c r="L242" s="179"/>
      <c r="M242" s="181">
        <f t="shared" si="16"/>
        <v>0</v>
      </c>
    </row>
    <row r="243" spans="1:13" x14ac:dyDescent="0.25">
      <c r="A243" s="197"/>
      <c r="G243" s="164"/>
      <c r="H243" s="179">
        <v>238</v>
      </c>
      <c r="I243" s="180" t="str">
        <f t="shared" si="14"/>
        <v/>
      </c>
      <c r="J243" s="180" t="e">
        <f t="shared" si="17"/>
        <v>#NUM!</v>
      </c>
      <c r="K243" s="179" t="e">
        <f t="shared" si="15"/>
        <v>#NUM!</v>
      </c>
      <c r="L243" s="179"/>
      <c r="M243" s="181">
        <f t="shared" si="16"/>
        <v>0</v>
      </c>
    </row>
    <row r="244" spans="1:13" x14ac:dyDescent="0.25">
      <c r="A244" s="197"/>
      <c r="G244" s="164"/>
      <c r="H244" s="179">
        <v>239</v>
      </c>
      <c r="I244" s="180" t="str">
        <f t="shared" si="14"/>
        <v/>
      </c>
      <c r="J244" s="180" t="e">
        <f t="shared" si="17"/>
        <v>#NUM!</v>
      </c>
      <c r="K244" s="179" t="e">
        <f t="shared" si="15"/>
        <v>#NUM!</v>
      </c>
      <c r="L244" s="179"/>
      <c r="M244" s="181">
        <f t="shared" si="16"/>
        <v>0</v>
      </c>
    </row>
    <row r="245" spans="1:13" x14ac:dyDescent="0.25">
      <c r="A245" s="197"/>
      <c r="G245" s="164"/>
      <c r="H245" s="179">
        <v>240</v>
      </c>
      <c r="I245" s="180" t="str">
        <f t="shared" si="14"/>
        <v/>
      </c>
      <c r="J245" s="180" t="e">
        <f t="shared" si="17"/>
        <v>#NUM!</v>
      </c>
      <c r="K245" s="179" t="e">
        <f t="shared" si="15"/>
        <v>#NUM!</v>
      </c>
      <c r="L245" s="179"/>
      <c r="M245" s="181">
        <f t="shared" si="16"/>
        <v>0</v>
      </c>
    </row>
    <row r="246" spans="1:13" x14ac:dyDescent="0.25">
      <c r="A246" s="197"/>
      <c r="G246" s="164"/>
      <c r="H246" s="179">
        <v>241</v>
      </c>
      <c r="I246" s="180" t="str">
        <f t="shared" si="14"/>
        <v/>
      </c>
      <c r="J246" s="180" t="e">
        <f t="shared" si="17"/>
        <v>#NUM!</v>
      </c>
      <c r="K246" s="179" t="e">
        <f t="shared" si="15"/>
        <v>#NUM!</v>
      </c>
      <c r="L246" s="179"/>
      <c r="M246" s="181">
        <f t="shared" si="16"/>
        <v>0</v>
      </c>
    </row>
    <row r="247" spans="1:13" x14ac:dyDescent="0.25">
      <c r="A247" s="197"/>
      <c r="G247" s="164"/>
      <c r="H247" s="179">
        <v>242</v>
      </c>
      <c r="I247" s="180" t="str">
        <f t="shared" si="14"/>
        <v/>
      </c>
      <c r="J247" s="180" t="e">
        <f t="shared" si="17"/>
        <v>#NUM!</v>
      </c>
      <c r="K247" s="179" t="e">
        <f t="shared" si="15"/>
        <v>#NUM!</v>
      </c>
      <c r="L247" s="179"/>
      <c r="M247" s="181">
        <f t="shared" si="16"/>
        <v>0</v>
      </c>
    </row>
    <row r="248" spans="1:13" x14ac:dyDescent="0.25">
      <c r="A248" s="197"/>
      <c r="G248" s="164"/>
      <c r="H248" s="179">
        <v>243</v>
      </c>
      <c r="I248" s="180" t="str">
        <f t="shared" si="14"/>
        <v/>
      </c>
      <c r="J248" s="180" t="e">
        <f t="shared" si="17"/>
        <v>#NUM!</v>
      </c>
      <c r="K248" s="179" t="e">
        <f t="shared" si="15"/>
        <v>#NUM!</v>
      </c>
      <c r="L248" s="179"/>
      <c r="M248" s="181">
        <f t="shared" si="16"/>
        <v>0</v>
      </c>
    </row>
    <row r="249" spans="1:13" x14ac:dyDescent="0.25">
      <c r="A249" s="197"/>
      <c r="G249" s="164"/>
      <c r="H249" s="179">
        <v>244</v>
      </c>
      <c r="I249" s="180" t="str">
        <f t="shared" si="14"/>
        <v/>
      </c>
      <c r="J249" s="180" t="e">
        <f t="shared" si="17"/>
        <v>#NUM!</v>
      </c>
      <c r="K249" s="179" t="e">
        <f t="shared" si="15"/>
        <v>#NUM!</v>
      </c>
      <c r="L249" s="179"/>
      <c r="M249" s="181">
        <f t="shared" si="16"/>
        <v>0</v>
      </c>
    </row>
    <row r="250" spans="1:13" x14ac:dyDescent="0.25">
      <c r="A250" s="197"/>
      <c r="G250" s="164"/>
      <c r="H250" s="179">
        <v>245</v>
      </c>
      <c r="I250" s="180" t="str">
        <f t="shared" si="14"/>
        <v/>
      </c>
      <c r="J250" s="180" t="e">
        <f t="shared" si="17"/>
        <v>#NUM!</v>
      </c>
      <c r="K250" s="179" t="e">
        <f t="shared" si="15"/>
        <v>#NUM!</v>
      </c>
      <c r="L250" s="179"/>
      <c r="M250" s="181">
        <f t="shared" si="16"/>
        <v>0</v>
      </c>
    </row>
    <row r="251" spans="1:13" x14ac:dyDescent="0.25">
      <c r="A251" s="197"/>
      <c r="G251" s="164"/>
      <c r="H251" s="179">
        <v>246</v>
      </c>
      <c r="I251" s="180" t="str">
        <f t="shared" si="14"/>
        <v/>
      </c>
      <c r="J251" s="180" t="e">
        <f t="shared" si="17"/>
        <v>#NUM!</v>
      </c>
      <c r="K251" s="179" t="e">
        <f t="shared" si="15"/>
        <v>#NUM!</v>
      </c>
      <c r="L251" s="179"/>
      <c r="M251" s="181">
        <f t="shared" si="16"/>
        <v>0</v>
      </c>
    </row>
    <row r="252" spans="1:13" x14ac:dyDescent="0.25">
      <c r="A252" s="197"/>
      <c r="G252" s="164"/>
      <c r="H252" s="179">
        <v>247</v>
      </c>
      <c r="I252" s="180" t="str">
        <f t="shared" si="14"/>
        <v/>
      </c>
      <c r="J252" s="180" t="e">
        <f t="shared" si="17"/>
        <v>#NUM!</v>
      </c>
      <c r="K252" s="179" t="e">
        <f t="shared" si="15"/>
        <v>#NUM!</v>
      </c>
      <c r="L252" s="179"/>
      <c r="M252" s="181">
        <f t="shared" si="16"/>
        <v>0</v>
      </c>
    </row>
    <row r="253" spans="1:13" x14ac:dyDescent="0.25">
      <c r="A253" s="197"/>
      <c r="G253" s="164"/>
      <c r="H253" s="179">
        <v>248</v>
      </c>
      <c r="I253" s="180" t="str">
        <f t="shared" si="14"/>
        <v/>
      </c>
      <c r="J253" s="180" t="e">
        <f t="shared" si="17"/>
        <v>#NUM!</v>
      </c>
      <c r="K253" s="179" t="e">
        <f t="shared" si="15"/>
        <v>#NUM!</v>
      </c>
      <c r="L253" s="179"/>
      <c r="M253" s="181">
        <f t="shared" si="16"/>
        <v>0</v>
      </c>
    </row>
    <row r="254" spans="1:13" x14ac:dyDescent="0.25">
      <c r="A254" s="197"/>
      <c r="G254" s="164"/>
      <c r="H254" s="179">
        <v>249</v>
      </c>
      <c r="I254" s="180" t="str">
        <f t="shared" si="14"/>
        <v/>
      </c>
      <c r="J254" s="180" t="e">
        <f t="shared" si="17"/>
        <v>#NUM!</v>
      </c>
      <c r="K254" s="179" t="e">
        <f t="shared" si="15"/>
        <v>#NUM!</v>
      </c>
      <c r="L254" s="179"/>
      <c r="M254" s="181">
        <f t="shared" si="16"/>
        <v>0</v>
      </c>
    </row>
    <row r="255" spans="1:13" x14ac:dyDescent="0.25">
      <c r="A255" s="197"/>
      <c r="G255" s="164"/>
      <c r="H255" s="179">
        <v>250</v>
      </c>
      <c r="I255" s="180" t="str">
        <f t="shared" si="14"/>
        <v/>
      </c>
      <c r="J255" s="180" t="e">
        <f t="shared" si="17"/>
        <v>#NUM!</v>
      </c>
      <c r="K255" s="179" t="e">
        <f t="shared" si="15"/>
        <v>#NUM!</v>
      </c>
      <c r="L255" s="179"/>
      <c r="M255" s="181">
        <f t="shared" si="16"/>
        <v>0</v>
      </c>
    </row>
    <row r="256" spans="1:13" x14ac:dyDescent="0.25">
      <c r="A256" s="197"/>
      <c r="G256" s="164"/>
      <c r="H256" s="179">
        <v>251</v>
      </c>
      <c r="I256" s="180" t="str">
        <f t="shared" si="14"/>
        <v/>
      </c>
      <c r="J256" s="180" t="e">
        <f t="shared" si="17"/>
        <v>#NUM!</v>
      </c>
      <c r="K256" s="179" t="e">
        <f t="shared" si="15"/>
        <v>#NUM!</v>
      </c>
      <c r="L256" s="179"/>
      <c r="M256" s="181">
        <f t="shared" si="16"/>
        <v>0</v>
      </c>
    </row>
    <row r="257" spans="1:13" x14ac:dyDescent="0.25">
      <c r="A257" s="197"/>
      <c r="G257" s="164"/>
      <c r="H257" s="179">
        <v>252</v>
      </c>
      <c r="I257" s="180" t="str">
        <f t="shared" si="14"/>
        <v/>
      </c>
      <c r="J257" s="180" t="e">
        <f t="shared" si="17"/>
        <v>#NUM!</v>
      </c>
      <c r="K257" s="179" t="e">
        <f t="shared" si="15"/>
        <v>#NUM!</v>
      </c>
      <c r="L257" s="179"/>
      <c r="M257" s="181">
        <f t="shared" si="16"/>
        <v>0</v>
      </c>
    </row>
    <row r="258" spans="1:13" x14ac:dyDescent="0.25">
      <c r="A258" s="197"/>
      <c r="G258" s="164"/>
      <c r="H258" s="179">
        <v>253</v>
      </c>
      <c r="I258" s="180" t="str">
        <f t="shared" si="14"/>
        <v/>
      </c>
      <c r="J258" s="180" t="e">
        <f t="shared" si="17"/>
        <v>#NUM!</v>
      </c>
      <c r="K258" s="179" t="e">
        <f t="shared" si="15"/>
        <v>#NUM!</v>
      </c>
      <c r="L258" s="179"/>
      <c r="M258" s="181">
        <f t="shared" si="16"/>
        <v>0</v>
      </c>
    </row>
    <row r="259" spans="1:13" x14ac:dyDescent="0.25">
      <c r="A259" s="197"/>
      <c r="G259" s="164"/>
      <c r="H259" s="179">
        <v>254</v>
      </c>
      <c r="I259" s="180" t="str">
        <f t="shared" si="14"/>
        <v/>
      </c>
      <c r="J259" s="180" t="e">
        <f t="shared" si="17"/>
        <v>#NUM!</v>
      </c>
      <c r="K259" s="179" t="e">
        <f t="shared" si="15"/>
        <v>#NUM!</v>
      </c>
      <c r="L259" s="179"/>
      <c r="M259" s="181">
        <f t="shared" si="16"/>
        <v>0</v>
      </c>
    </row>
    <row r="260" spans="1:13" x14ac:dyDescent="0.25">
      <c r="A260" s="197"/>
      <c r="G260" s="164"/>
      <c r="H260" s="179">
        <v>255</v>
      </c>
      <c r="I260" s="180" t="str">
        <f t="shared" si="14"/>
        <v/>
      </c>
      <c r="J260" s="180" t="e">
        <f t="shared" si="17"/>
        <v>#NUM!</v>
      </c>
      <c r="K260" s="179" t="e">
        <f t="shared" si="15"/>
        <v>#NUM!</v>
      </c>
      <c r="L260" s="179"/>
      <c r="M260" s="181">
        <f t="shared" si="16"/>
        <v>0</v>
      </c>
    </row>
    <row r="261" spans="1:13" x14ac:dyDescent="0.25">
      <c r="A261" s="197"/>
      <c r="G261" s="164"/>
      <c r="H261" s="179">
        <v>256</v>
      </c>
      <c r="I261" s="180" t="str">
        <f t="shared" si="14"/>
        <v/>
      </c>
      <c r="J261" s="180" t="e">
        <f t="shared" si="17"/>
        <v>#NUM!</v>
      </c>
      <c r="K261" s="179" t="e">
        <f t="shared" si="15"/>
        <v>#NUM!</v>
      </c>
      <c r="L261" s="179"/>
      <c r="M261" s="181">
        <f t="shared" si="16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8">IF(H262&lt;$H$2+1,($I$2-($I$2-1)*(LOG(H262)/LOG($H$2))),"")</f>
        <v/>
      </c>
      <c r="J262" s="180" t="e">
        <f t="shared" si="17"/>
        <v>#NUM!</v>
      </c>
      <c r="K262" s="179" t="e">
        <f t="shared" ref="K262:K305" si="19">J262*$J$2</f>
        <v>#NUM!</v>
      </c>
      <c r="L262" s="179"/>
      <c r="M262" s="181">
        <f t="shared" ref="M262:M305" si="20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8"/>
        <v/>
      </c>
      <c r="J263" s="180" t="e">
        <f t="shared" ref="J263:J305" si="21">INT(LOG($H$2,2))-ROUNDUP(LOG(H263,2),0)+IF(OR($H$2=1,$H$2=2,$H$2=4,$H$2=8,$H$2=16,$H$2=32,$H$2=64,$H$2=128,$H$2=256),0,1)</f>
        <v>#NUM!</v>
      </c>
      <c r="K263" s="179" t="e">
        <f t="shared" si="19"/>
        <v>#NUM!</v>
      </c>
      <c r="L263" s="179"/>
      <c r="M263" s="181">
        <f t="shared" si="20"/>
        <v>0</v>
      </c>
    </row>
    <row r="264" spans="1:13" x14ac:dyDescent="0.25">
      <c r="A264" s="197"/>
      <c r="G264" s="164"/>
      <c r="H264" s="179">
        <v>259</v>
      </c>
      <c r="I264" s="180" t="str">
        <f t="shared" si="18"/>
        <v/>
      </c>
      <c r="J264" s="180" t="e">
        <f t="shared" si="21"/>
        <v>#NUM!</v>
      </c>
      <c r="K264" s="179" t="e">
        <f t="shared" si="19"/>
        <v>#NUM!</v>
      </c>
      <c r="L264" s="179"/>
      <c r="M264" s="181">
        <f t="shared" si="20"/>
        <v>0</v>
      </c>
    </row>
    <row r="265" spans="1:13" x14ac:dyDescent="0.25">
      <c r="A265" s="197"/>
      <c r="G265" s="164"/>
      <c r="H265" s="179">
        <v>260</v>
      </c>
      <c r="I265" s="180" t="str">
        <f t="shared" si="18"/>
        <v/>
      </c>
      <c r="J265" s="180" t="e">
        <f t="shared" si="21"/>
        <v>#NUM!</v>
      </c>
      <c r="K265" s="179" t="e">
        <f t="shared" si="19"/>
        <v>#NUM!</v>
      </c>
      <c r="L265" s="179"/>
      <c r="M265" s="181">
        <f t="shared" si="20"/>
        <v>0</v>
      </c>
    </row>
    <row r="266" spans="1:13" x14ac:dyDescent="0.25">
      <c r="A266" s="197"/>
      <c r="G266" s="164"/>
      <c r="H266" s="179">
        <v>261</v>
      </c>
      <c r="I266" s="180" t="str">
        <f t="shared" si="18"/>
        <v/>
      </c>
      <c r="J266" s="180" t="e">
        <f t="shared" si="21"/>
        <v>#NUM!</v>
      </c>
      <c r="K266" s="179" t="e">
        <f t="shared" si="19"/>
        <v>#NUM!</v>
      </c>
      <c r="L266" s="179"/>
      <c r="M266" s="181">
        <f t="shared" si="20"/>
        <v>0</v>
      </c>
    </row>
    <row r="267" spans="1:13" x14ac:dyDescent="0.25">
      <c r="A267" s="197"/>
      <c r="G267" s="164"/>
      <c r="H267" s="179">
        <v>262</v>
      </c>
      <c r="I267" s="180" t="str">
        <f t="shared" si="18"/>
        <v/>
      </c>
      <c r="J267" s="180" t="e">
        <f t="shared" si="21"/>
        <v>#NUM!</v>
      </c>
      <c r="K267" s="179" t="e">
        <f t="shared" si="19"/>
        <v>#NUM!</v>
      </c>
      <c r="L267" s="179"/>
      <c r="M267" s="181">
        <f t="shared" si="20"/>
        <v>0</v>
      </c>
    </row>
    <row r="268" spans="1:13" x14ac:dyDescent="0.25">
      <c r="A268" s="197"/>
      <c r="G268" s="164"/>
      <c r="H268" s="179">
        <v>263</v>
      </c>
      <c r="I268" s="180" t="str">
        <f t="shared" si="18"/>
        <v/>
      </c>
      <c r="J268" s="180" t="e">
        <f t="shared" si="21"/>
        <v>#NUM!</v>
      </c>
      <c r="K268" s="179" t="e">
        <f t="shared" si="19"/>
        <v>#NUM!</v>
      </c>
      <c r="L268" s="179"/>
      <c r="M268" s="181">
        <f t="shared" si="20"/>
        <v>0</v>
      </c>
    </row>
    <row r="269" spans="1:13" x14ac:dyDescent="0.25">
      <c r="A269" s="197"/>
      <c r="G269" s="164"/>
      <c r="H269" s="179">
        <v>264</v>
      </c>
      <c r="I269" s="180" t="str">
        <f t="shared" si="18"/>
        <v/>
      </c>
      <c r="J269" s="180" t="e">
        <f t="shared" si="21"/>
        <v>#NUM!</v>
      </c>
      <c r="K269" s="179" t="e">
        <f t="shared" si="19"/>
        <v>#NUM!</v>
      </c>
      <c r="L269" s="179"/>
      <c r="M269" s="181">
        <f t="shared" si="20"/>
        <v>0</v>
      </c>
    </row>
    <row r="270" spans="1:13" x14ac:dyDescent="0.25">
      <c r="A270" s="197"/>
      <c r="G270" s="164"/>
      <c r="H270" s="179">
        <v>265</v>
      </c>
      <c r="I270" s="180" t="str">
        <f t="shared" si="18"/>
        <v/>
      </c>
      <c r="J270" s="180" t="e">
        <f t="shared" si="21"/>
        <v>#NUM!</v>
      </c>
      <c r="K270" s="179" t="e">
        <f t="shared" si="19"/>
        <v>#NUM!</v>
      </c>
      <c r="L270" s="179"/>
      <c r="M270" s="181">
        <f t="shared" si="20"/>
        <v>0</v>
      </c>
    </row>
    <row r="271" spans="1:13" x14ac:dyDescent="0.25">
      <c r="A271" s="197"/>
      <c r="G271" s="164"/>
      <c r="H271" s="179">
        <v>266</v>
      </c>
      <c r="I271" s="180" t="str">
        <f t="shared" si="18"/>
        <v/>
      </c>
      <c r="J271" s="180" t="e">
        <f t="shared" si="21"/>
        <v>#NUM!</v>
      </c>
      <c r="K271" s="179" t="e">
        <f t="shared" si="19"/>
        <v>#NUM!</v>
      </c>
      <c r="L271" s="179"/>
      <c r="M271" s="181">
        <f t="shared" si="20"/>
        <v>0</v>
      </c>
    </row>
    <row r="272" spans="1:13" x14ac:dyDescent="0.25">
      <c r="A272" s="197"/>
      <c r="G272" s="164"/>
      <c r="H272" s="179">
        <v>267</v>
      </c>
      <c r="I272" s="180" t="str">
        <f t="shared" si="18"/>
        <v/>
      </c>
      <c r="J272" s="180" t="e">
        <f t="shared" si="21"/>
        <v>#NUM!</v>
      </c>
      <c r="K272" s="179" t="e">
        <f t="shared" si="19"/>
        <v>#NUM!</v>
      </c>
      <c r="L272" s="179"/>
      <c r="M272" s="181">
        <f t="shared" si="20"/>
        <v>0</v>
      </c>
    </row>
    <row r="273" spans="1:13" x14ac:dyDescent="0.25">
      <c r="A273" s="197"/>
      <c r="G273" s="164"/>
      <c r="H273" s="179">
        <v>268</v>
      </c>
      <c r="I273" s="180" t="str">
        <f t="shared" si="18"/>
        <v/>
      </c>
      <c r="J273" s="180" t="e">
        <f t="shared" si="21"/>
        <v>#NUM!</v>
      </c>
      <c r="K273" s="179" t="e">
        <f t="shared" si="19"/>
        <v>#NUM!</v>
      </c>
      <c r="L273" s="179"/>
      <c r="M273" s="181">
        <f t="shared" si="20"/>
        <v>0</v>
      </c>
    </row>
    <row r="274" spans="1:13" x14ac:dyDescent="0.25">
      <c r="A274" s="197"/>
      <c r="G274" s="164"/>
      <c r="H274" s="179">
        <v>269</v>
      </c>
      <c r="I274" s="180" t="str">
        <f t="shared" si="18"/>
        <v/>
      </c>
      <c r="J274" s="180" t="e">
        <f t="shared" si="21"/>
        <v>#NUM!</v>
      </c>
      <c r="K274" s="179" t="e">
        <f t="shared" si="19"/>
        <v>#NUM!</v>
      </c>
      <c r="L274" s="179"/>
      <c r="M274" s="181">
        <f t="shared" si="20"/>
        <v>0</v>
      </c>
    </row>
    <row r="275" spans="1:13" x14ac:dyDescent="0.25">
      <c r="A275" s="197"/>
      <c r="G275" s="164"/>
      <c r="H275" s="179">
        <v>270</v>
      </c>
      <c r="I275" s="180" t="str">
        <f t="shared" si="18"/>
        <v/>
      </c>
      <c r="J275" s="180" t="e">
        <f t="shared" si="21"/>
        <v>#NUM!</v>
      </c>
      <c r="K275" s="179" t="e">
        <f t="shared" si="19"/>
        <v>#NUM!</v>
      </c>
      <c r="L275" s="179"/>
      <c r="M275" s="181">
        <f t="shared" si="20"/>
        <v>0</v>
      </c>
    </row>
    <row r="276" spans="1:13" x14ac:dyDescent="0.25">
      <c r="A276" s="197"/>
      <c r="G276" s="164"/>
      <c r="H276" s="179">
        <v>271</v>
      </c>
      <c r="I276" s="180" t="str">
        <f t="shared" si="18"/>
        <v/>
      </c>
      <c r="J276" s="180" t="e">
        <f t="shared" si="21"/>
        <v>#NUM!</v>
      </c>
      <c r="K276" s="179" t="e">
        <f t="shared" si="19"/>
        <v>#NUM!</v>
      </c>
      <c r="L276" s="179"/>
      <c r="M276" s="181">
        <f t="shared" si="20"/>
        <v>0</v>
      </c>
    </row>
    <row r="277" spans="1:13" x14ac:dyDescent="0.25">
      <c r="A277" s="197"/>
      <c r="G277" s="164"/>
      <c r="H277" s="179">
        <v>272</v>
      </c>
      <c r="I277" s="180" t="str">
        <f t="shared" si="18"/>
        <v/>
      </c>
      <c r="J277" s="180" t="e">
        <f t="shared" si="21"/>
        <v>#NUM!</v>
      </c>
      <c r="K277" s="179" t="e">
        <f t="shared" si="19"/>
        <v>#NUM!</v>
      </c>
      <c r="L277" s="179"/>
      <c r="M277" s="181">
        <f t="shared" si="20"/>
        <v>0</v>
      </c>
    </row>
    <row r="278" spans="1:13" x14ac:dyDescent="0.25">
      <c r="A278" s="197"/>
      <c r="G278" s="164"/>
      <c r="H278" s="179">
        <v>273</v>
      </c>
      <c r="I278" s="180" t="str">
        <f t="shared" si="18"/>
        <v/>
      </c>
      <c r="J278" s="180" t="e">
        <f t="shared" si="21"/>
        <v>#NUM!</v>
      </c>
      <c r="K278" s="179" t="e">
        <f t="shared" si="19"/>
        <v>#NUM!</v>
      </c>
      <c r="L278" s="179"/>
      <c r="M278" s="181">
        <f t="shared" si="20"/>
        <v>0</v>
      </c>
    </row>
    <row r="279" spans="1:13" x14ac:dyDescent="0.25">
      <c r="A279" s="197"/>
      <c r="G279" s="164"/>
      <c r="H279" s="179">
        <v>274</v>
      </c>
      <c r="I279" s="180" t="str">
        <f t="shared" si="18"/>
        <v/>
      </c>
      <c r="J279" s="180" t="e">
        <f t="shared" si="21"/>
        <v>#NUM!</v>
      </c>
      <c r="K279" s="179" t="e">
        <f t="shared" si="19"/>
        <v>#NUM!</v>
      </c>
      <c r="L279" s="179"/>
      <c r="M279" s="181">
        <f t="shared" si="20"/>
        <v>0</v>
      </c>
    </row>
    <row r="280" spans="1:13" x14ac:dyDescent="0.25">
      <c r="A280" s="197"/>
      <c r="G280" s="164"/>
      <c r="H280" s="179">
        <v>275</v>
      </c>
      <c r="I280" s="180" t="str">
        <f t="shared" si="18"/>
        <v/>
      </c>
      <c r="J280" s="180" t="e">
        <f t="shared" si="21"/>
        <v>#NUM!</v>
      </c>
      <c r="K280" s="179" t="e">
        <f t="shared" si="19"/>
        <v>#NUM!</v>
      </c>
      <c r="L280" s="179"/>
      <c r="M280" s="181">
        <f t="shared" si="20"/>
        <v>0</v>
      </c>
    </row>
    <row r="281" spans="1:13" x14ac:dyDescent="0.25">
      <c r="A281" s="197"/>
      <c r="G281" s="164"/>
      <c r="H281" s="179">
        <v>276</v>
      </c>
      <c r="I281" s="180" t="str">
        <f t="shared" si="18"/>
        <v/>
      </c>
      <c r="J281" s="180" t="e">
        <f t="shared" si="21"/>
        <v>#NUM!</v>
      </c>
      <c r="K281" s="179" t="e">
        <f t="shared" si="19"/>
        <v>#NUM!</v>
      </c>
      <c r="L281" s="179"/>
      <c r="M281" s="181">
        <f t="shared" si="20"/>
        <v>0</v>
      </c>
    </row>
    <row r="282" spans="1:13" x14ac:dyDescent="0.25">
      <c r="A282" s="197"/>
      <c r="G282" s="164"/>
      <c r="H282" s="179">
        <v>277</v>
      </c>
      <c r="I282" s="180" t="str">
        <f t="shared" si="18"/>
        <v/>
      </c>
      <c r="J282" s="180" t="e">
        <f t="shared" si="21"/>
        <v>#NUM!</v>
      </c>
      <c r="K282" s="179" t="e">
        <f t="shared" si="19"/>
        <v>#NUM!</v>
      </c>
      <c r="L282" s="179"/>
      <c r="M282" s="181">
        <f t="shared" si="20"/>
        <v>0</v>
      </c>
    </row>
    <row r="283" spans="1:13" x14ac:dyDescent="0.25">
      <c r="A283" s="197"/>
      <c r="G283" s="164"/>
      <c r="H283" s="179">
        <v>278</v>
      </c>
      <c r="I283" s="180" t="str">
        <f t="shared" si="18"/>
        <v/>
      </c>
      <c r="J283" s="180" t="e">
        <f t="shared" si="21"/>
        <v>#NUM!</v>
      </c>
      <c r="K283" s="179" t="e">
        <f t="shared" si="19"/>
        <v>#NUM!</v>
      </c>
      <c r="L283" s="179"/>
      <c r="M283" s="181">
        <f t="shared" si="20"/>
        <v>0</v>
      </c>
    </row>
    <row r="284" spans="1:13" x14ac:dyDescent="0.25">
      <c r="A284" s="197"/>
      <c r="G284" s="164"/>
      <c r="H284" s="179">
        <v>279</v>
      </c>
      <c r="I284" s="180" t="str">
        <f t="shared" si="18"/>
        <v/>
      </c>
      <c r="J284" s="180" t="e">
        <f t="shared" si="21"/>
        <v>#NUM!</v>
      </c>
      <c r="K284" s="179" t="e">
        <f t="shared" si="19"/>
        <v>#NUM!</v>
      </c>
      <c r="L284" s="179"/>
      <c r="M284" s="181">
        <f t="shared" si="20"/>
        <v>0</v>
      </c>
    </row>
    <row r="285" spans="1:13" x14ac:dyDescent="0.25">
      <c r="A285" s="197"/>
      <c r="G285" s="164"/>
      <c r="H285" s="179">
        <v>280</v>
      </c>
      <c r="I285" s="180" t="str">
        <f t="shared" si="18"/>
        <v/>
      </c>
      <c r="J285" s="180" t="e">
        <f t="shared" si="21"/>
        <v>#NUM!</v>
      </c>
      <c r="K285" s="179" t="e">
        <f t="shared" si="19"/>
        <v>#NUM!</v>
      </c>
      <c r="L285" s="179"/>
      <c r="M285" s="181">
        <f t="shared" si="20"/>
        <v>0</v>
      </c>
    </row>
    <row r="286" spans="1:13" x14ac:dyDescent="0.25">
      <c r="A286" s="197"/>
      <c r="G286" s="164"/>
      <c r="H286" s="179">
        <v>281</v>
      </c>
      <c r="I286" s="180" t="str">
        <f t="shared" si="18"/>
        <v/>
      </c>
      <c r="J286" s="180" t="e">
        <f t="shared" si="21"/>
        <v>#NUM!</v>
      </c>
      <c r="K286" s="179" t="e">
        <f t="shared" si="19"/>
        <v>#NUM!</v>
      </c>
      <c r="L286" s="179"/>
      <c r="M286" s="181">
        <f t="shared" si="20"/>
        <v>0</v>
      </c>
    </row>
    <row r="287" spans="1:13" x14ac:dyDescent="0.25">
      <c r="A287" s="197"/>
      <c r="G287" s="164"/>
      <c r="H287" s="179">
        <v>282</v>
      </c>
      <c r="I287" s="180" t="str">
        <f t="shared" si="18"/>
        <v/>
      </c>
      <c r="J287" s="180" t="e">
        <f t="shared" si="21"/>
        <v>#NUM!</v>
      </c>
      <c r="K287" s="179" t="e">
        <f t="shared" si="19"/>
        <v>#NUM!</v>
      </c>
      <c r="L287" s="179"/>
      <c r="M287" s="181">
        <f t="shared" si="20"/>
        <v>0</v>
      </c>
    </row>
    <row r="288" spans="1:13" x14ac:dyDescent="0.25">
      <c r="A288" s="197"/>
      <c r="G288" s="164"/>
      <c r="H288" s="179">
        <v>283</v>
      </c>
      <c r="I288" s="180" t="str">
        <f t="shared" si="18"/>
        <v/>
      </c>
      <c r="J288" s="180" t="e">
        <f t="shared" si="21"/>
        <v>#NUM!</v>
      </c>
      <c r="K288" s="179" t="e">
        <f t="shared" si="19"/>
        <v>#NUM!</v>
      </c>
      <c r="L288" s="179"/>
      <c r="M288" s="181">
        <f t="shared" si="20"/>
        <v>0</v>
      </c>
    </row>
    <row r="289" spans="1:13" x14ac:dyDescent="0.25">
      <c r="A289" s="197"/>
      <c r="G289" s="164"/>
      <c r="H289" s="179">
        <v>284</v>
      </c>
      <c r="I289" s="180" t="str">
        <f t="shared" si="18"/>
        <v/>
      </c>
      <c r="J289" s="180" t="e">
        <f t="shared" si="21"/>
        <v>#NUM!</v>
      </c>
      <c r="K289" s="179" t="e">
        <f t="shared" si="19"/>
        <v>#NUM!</v>
      </c>
      <c r="L289" s="179"/>
      <c r="M289" s="181">
        <f t="shared" si="20"/>
        <v>0</v>
      </c>
    </row>
    <row r="290" spans="1:13" x14ac:dyDescent="0.25">
      <c r="A290" s="197"/>
      <c r="G290" s="164"/>
      <c r="H290" s="179">
        <v>285</v>
      </c>
      <c r="I290" s="180" t="str">
        <f t="shared" si="18"/>
        <v/>
      </c>
      <c r="J290" s="180" t="e">
        <f t="shared" si="21"/>
        <v>#NUM!</v>
      </c>
      <c r="K290" s="179" t="e">
        <f t="shared" si="19"/>
        <v>#NUM!</v>
      </c>
      <c r="L290" s="179"/>
      <c r="M290" s="181">
        <f t="shared" si="20"/>
        <v>0</v>
      </c>
    </row>
    <row r="291" spans="1:13" x14ac:dyDescent="0.25">
      <c r="A291" s="197"/>
      <c r="G291" s="164"/>
      <c r="H291" s="179">
        <v>286</v>
      </c>
      <c r="I291" s="180" t="str">
        <f t="shared" si="18"/>
        <v/>
      </c>
      <c r="J291" s="180" t="e">
        <f t="shared" si="21"/>
        <v>#NUM!</v>
      </c>
      <c r="K291" s="179" t="e">
        <f t="shared" si="19"/>
        <v>#NUM!</v>
      </c>
      <c r="L291" s="179"/>
      <c r="M291" s="181">
        <f t="shared" si="20"/>
        <v>0</v>
      </c>
    </row>
    <row r="292" spans="1:13" x14ac:dyDescent="0.25">
      <c r="A292" s="197"/>
      <c r="G292" s="164"/>
      <c r="H292" s="179">
        <v>287</v>
      </c>
      <c r="I292" s="180" t="str">
        <f t="shared" si="18"/>
        <v/>
      </c>
      <c r="J292" s="180" t="e">
        <f t="shared" si="21"/>
        <v>#NUM!</v>
      </c>
      <c r="K292" s="179" t="e">
        <f t="shared" si="19"/>
        <v>#NUM!</v>
      </c>
      <c r="L292" s="179"/>
      <c r="M292" s="181">
        <f t="shared" si="20"/>
        <v>0</v>
      </c>
    </row>
    <row r="293" spans="1:13" x14ac:dyDescent="0.25">
      <c r="A293" s="197"/>
      <c r="G293" s="164"/>
      <c r="H293" s="179">
        <v>288</v>
      </c>
      <c r="I293" s="180" t="str">
        <f t="shared" si="18"/>
        <v/>
      </c>
      <c r="J293" s="180" t="e">
        <f t="shared" si="21"/>
        <v>#NUM!</v>
      </c>
      <c r="K293" s="179" t="e">
        <f t="shared" si="19"/>
        <v>#NUM!</v>
      </c>
      <c r="L293" s="179"/>
      <c r="M293" s="181">
        <f t="shared" si="20"/>
        <v>0</v>
      </c>
    </row>
    <row r="294" spans="1:13" x14ac:dyDescent="0.25">
      <c r="A294" s="197"/>
      <c r="G294" s="164"/>
      <c r="H294" s="179">
        <v>289</v>
      </c>
      <c r="I294" s="180" t="str">
        <f t="shared" si="18"/>
        <v/>
      </c>
      <c r="J294" s="180" t="e">
        <f t="shared" si="21"/>
        <v>#NUM!</v>
      </c>
      <c r="K294" s="179" t="e">
        <f t="shared" si="19"/>
        <v>#NUM!</v>
      </c>
      <c r="L294" s="179"/>
      <c r="M294" s="181">
        <f t="shared" si="20"/>
        <v>0</v>
      </c>
    </row>
    <row r="295" spans="1:13" x14ac:dyDescent="0.25">
      <c r="A295" s="197"/>
      <c r="G295" s="164"/>
      <c r="H295" s="179">
        <v>290</v>
      </c>
      <c r="I295" s="180" t="str">
        <f t="shared" si="18"/>
        <v/>
      </c>
      <c r="J295" s="180" t="e">
        <f t="shared" si="21"/>
        <v>#NUM!</v>
      </c>
      <c r="K295" s="179" t="e">
        <f t="shared" si="19"/>
        <v>#NUM!</v>
      </c>
      <c r="L295" s="179"/>
      <c r="M295" s="181">
        <f t="shared" si="20"/>
        <v>0</v>
      </c>
    </row>
    <row r="296" spans="1:13" x14ac:dyDescent="0.25">
      <c r="A296" s="197"/>
      <c r="G296" s="164"/>
      <c r="H296" s="179">
        <v>291</v>
      </c>
      <c r="I296" s="180" t="str">
        <f t="shared" si="18"/>
        <v/>
      </c>
      <c r="J296" s="180" t="e">
        <f t="shared" si="21"/>
        <v>#NUM!</v>
      </c>
      <c r="K296" s="179" t="e">
        <f t="shared" si="19"/>
        <v>#NUM!</v>
      </c>
      <c r="L296" s="179"/>
      <c r="M296" s="181">
        <f t="shared" si="20"/>
        <v>0</v>
      </c>
    </row>
    <row r="297" spans="1:13" x14ac:dyDescent="0.25">
      <c r="A297" s="197"/>
      <c r="G297" s="164"/>
      <c r="H297" s="179">
        <v>292</v>
      </c>
      <c r="I297" s="180" t="str">
        <f t="shared" si="18"/>
        <v/>
      </c>
      <c r="J297" s="180" t="e">
        <f t="shared" si="21"/>
        <v>#NUM!</v>
      </c>
      <c r="K297" s="179" t="e">
        <f t="shared" si="19"/>
        <v>#NUM!</v>
      </c>
      <c r="L297" s="179"/>
      <c r="M297" s="181">
        <f t="shared" si="20"/>
        <v>0</v>
      </c>
    </row>
    <row r="298" spans="1:13" x14ac:dyDescent="0.25">
      <c r="A298" s="197"/>
      <c r="G298" s="164"/>
      <c r="H298" s="179">
        <v>293</v>
      </c>
      <c r="I298" s="180" t="str">
        <f t="shared" si="18"/>
        <v/>
      </c>
      <c r="J298" s="180" t="e">
        <f t="shared" si="21"/>
        <v>#NUM!</v>
      </c>
      <c r="K298" s="179" t="e">
        <f t="shared" si="19"/>
        <v>#NUM!</v>
      </c>
      <c r="L298" s="179"/>
      <c r="M298" s="181">
        <f t="shared" si="20"/>
        <v>0</v>
      </c>
    </row>
    <row r="299" spans="1:13" x14ac:dyDescent="0.25">
      <c r="A299" s="197"/>
      <c r="G299" s="164"/>
      <c r="H299" s="179">
        <v>294</v>
      </c>
      <c r="I299" s="180" t="str">
        <f t="shared" si="18"/>
        <v/>
      </c>
      <c r="J299" s="180" t="e">
        <f t="shared" si="21"/>
        <v>#NUM!</v>
      </c>
      <c r="K299" s="179" t="e">
        <f t="shared" si="19"/>
        <v>#NUM!</v>
      </c>
      <c r="L299" s="179"/>
      <c r="M299" s="181">
        <f t="shared" si="20"/>
        <v>0</v>
      </c>
    </row>
    <row r="300" spans="1:13" x14ac:dyDescent="0.25">
      <c r="A300" s="197"/>
      <c r="G300" s="164"/>
      <c r="H300" s="179">
        <v>295</v>
      </c>
      <c r="I300" s="180" t="str">
        <f t="shared" si="18"/>
        <v/>
      </c>
      <c r="J300" s="180" t="e">
        <f t="shared" si="21"/>
        <v>#NUM!</v>
      </c>
      <c r="K300" s="179" t="e">
        <f t="shared" si="19"/>
        <v>#NUM!</v>
      </c>
      <c r="L300" s="179"/>
      <c r="M300" s="181">
        <f t="shared" si="20"/>
        <v>0</v>
      </c>
    </row>
    <row r="301" spans="1:13" x14ac:dyDescent="0.25">
      <c r="A301" s="197"/>
      <c r="G301" s="164"/>
      <c r="H301" s="179">
        <v>296</v>
      </c>
      <c r="I301" s="180" t="str">
        <f t="shared" si="18"/>
        <v/>
      </c>
      <c r="J301" s="180" t="e">
        <f t="shared" si="21"/>
        <v>#NUM!</v>
      </c>
      <c r="K301" s="179" t="e">
        <f t="shared" si="19"/>
        <v>#NUM!</v>
      </c>
      <c r="L301" s="179"/>
      <c r="M301" s="181">
        <f t="shared" si="20"/>
        <v>0</v>
      </c>
    </row>
    <row r="302" spans="1:13" x14ac:dyDescent="0.25">
      <c r="A302" s="197"/>
      <c r="G302" s="164"/>
      <c r="H302" s="179">
        <v>297</v>
      </c>
      <c r="I302" s="180" t="str">
        <f t="shared" si="18"/>
        <v/>
      </c>
      <c r="J302" s="180" t="e">
        <f t="shared" si="21"/>
        <v>#NUM!</v>
      </c>
      <c r="K302" s="179" t="e">
        <f t="shared" si="19"/>
        <v>#NUM!</v>
      </c>
      <c r="L302" s="179"/>
      <c r="M302" s="181">
        <f t="shared" si="20"/>
        <v>0</v>
      </c>
    </row>
    <row r="303" spans="1:13" x14ac:dyDescent="0.25">
      <c r="A303" s="197"/>
      <c r="G303" s="164"/>
      <c r="H303" s="179">
        <v>298</v>
      </c>
      <c r="I303" s="180" t="str">
        <f t="shared" si="18"/>
        <v/>
      </c>
      <c r="J303" s="180" t="e">
        <f t="shared" si="21"/>
        <v>#NUM!</v>
      </c>
      <c r="K303" s="179" t="e">
        <f t="shared" si="19"/>
        <v>#NUM!</v>
      </c>
      <c r="L303" s="179"/>
      <c r="M303" s="181">
        <f t="shared" si="20"/>
        <v>0</v>
      </c>
    </row>
    <row r="304" spans="1:13" x14ac:dyDescent="0.25">
      <c r="A304" s="197"/>
      <c r="G304" s="164"/>
      <c r="H304" s="179">
        <v>299</v>
      </c>
      <c r="I304" s="180" t="str">
        <f t="shared" si="18"/>
        <v/>
      </c>
      <c r="J304" s="180" t="e">
        <f t="shared" si="21"/>
        <v>#NUM!</v>
      </c>
      <c r="K304" s="179" t="e">
        <f t="shared" si="19"/>
        <v>#NUM!</v>
      </c>
      <c r="L304" s="179"/>
      <c r="M304" s="181">
        <f t="shared" si="20"/>
        <v>0</v>
      </c>
    </row>
    <row r="305" spans="1:16" x14ac:dyDescent="0.25">
      <c r="A305" s="197"/>
      <c r="G305" s="164"/>
      <c r="H305" s="179">
        <v>300</v>
      </c>
      <c r="I305" s="180" t="str">
        <f t="shared" si="18"/>
        <v/>
      </c>
      <c r="J305" s="180" t="e">
        <f t="shared" si="21"/>
        <v>#NUM!</v>
      </c>
      <c r="K305" s="179" t="e">
        <f t="shared" si="19"/>
        <v>#NUM!</v>
      </c>
      <c r="L305" s="179"/>
      <c r="M305" s="181">
        <f t="shared" si="20"/>
        <v>0</v>
      </c>
    </row>
    <row r="306" spans="1:16" x14ac:dyDescent="0.25">
      <c r="A306" s="198"/>
    </row>
    <row r="314" spans="1:16" x14ac:dyDescent="0.25">
      <c r="L314" s="201"/>
      <c r="P314" s="190"/>
    </row>
    <row r="315" spans="1:16" x14ac:dyDescent="0.25">
      <c r="L315" s="201"/>
      <c r="P315" s="190"/>
    </row>
    <row r="316" spans="1:16" x14ac:dyDescent="0.25">
      <c r="L316" s="201"/>
      <c r="P316" s="190"/>
    </row>
    <row r="317" spans="1:16" x14ac:dyDescent="0.25">
      <c r="L317" s="201"/>
      <c r="P317" s="190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B443B64C-12D3-4ADE-8596-B0305009E591}">
      <formula1>#REF!</formula1>
    </dataValidation>
  </dataValidations>
  <hyperlinks>
    <hyperlink ref="C2:D2" r:id="rId1" display="Madrid" xr:uid="{9A696642-49BA-4240-8C42-8551DCB237B3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8EBD-B6F2-40CB-A806-E7C97A76FC4E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" style="199" customWidth="1"/>
    <col min="11" max="11" width="8.75" style="199" customWidth="1"/>
    <col min="12" max="12" width="11" style="199" customWidth="1"/>
    <col min="13" max="13" width="11.7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283" t="s">
        <v>97</v>
      </c>
      <c r="D2" s="283"/>
      <c r="E2" s="21"/>
      <c r="F2" s="21"/>
      <c r="G2" s="21"/>
      <c r="H2" s="171">
        <v>0</v>
      </c>
      <c r="I2" s="172">
        <v>50</v>
      </c>
      <c r="J2" s="172">
        <v>10</v>
      </c>
      <c r="K2" s="202">
        <f>3*H2^(1/3)</f>
        <v>0</v>
      </c>
      <c r="L2" s="168"/>
      <c r="M2" s="168"/>
    </row>
    <row r="3" spans="1:36" ht="14.45" customHeight="1" x14ac:dyDescent="0.25">
      <c r="A3" s="164"/>
      <c r="B3" s="174" t="s">
        <v>28</v>
      </c>
      <c r="C3" s="263" t="s">
        <v>98</v>
      </c>
      <c r="D3" s="263"/>
      <c r="E3" s="26"/>
      <c r="F3" s="26"/>
      <c r="G3" s="26"/>
      <c r="H3" s="168"/>
      <c r="I3" s="168"/>
      <c r="J3" s="168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68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7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9">
        <v>1</v>
      </c>
      <c r="I6" s="180" t="str">
        <f t="shared" ref="I6:I69" si="1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2">
        <v>2</v>
      </c>
      <c r="I7" s="183" t="str">
        <f t="shared" si="1"/>
        <v/>
      </c>
      <c r="J7" s="183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9">
        <v>3</v>
      </c>
      <c r="I8" s="180" t="str">
        <f t="shared" si="1"/>
        <v/>
      </c>
      <c r="J8" s="180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69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9">
        <v>5</v>
      </c>
      <c r="I10" s="180" t="str">
        <f t="shared" si="1"/>
        <v/>
      </c>
      <c r="J10" s="180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2">
        <v>6</v>
      </c>
      <c r="I11" s="183" t="str">
        <f t="shared" si="1"/>
        <v/>
      </c>
      <c r="J11" s="183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9">
        <v>7</v>
      </c>
      <c r="I12" s="180" t="str">
        <f t="shared" si="1"/>
        <v/>
      </c>
      <c r="J12" s="180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2">
        <v>8</v>
      </c>
      <c r="I13" s="183" t="str">
        <f t="shared" si="1"/>
        <v/>
      </c>
      <c r="J13" s="183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9">
        <v>9</v>
      </c>
      <c r="I14" s="180" t="str">
        <f t="shared" si="1"/>
        <v/>
      </c>
      <c r="J14" s="180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2">
        <v>10</v>
      </c>
      <c r="I15" s="183" t="str">
        <f t="shared" si="1"/>
        <v/>
      </c>
      <c r="J15" s="183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9">
        <v>11</v>
      </c>
      <c r="I16" s="180" t="str">
        <f t="shared" si="1"/>
        <v/>
      </c>
      <c r="J16" s="180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2">
        <v>12</v>
      </c>
      <c r="I17" s="183" t="str">
        <f t="shared" si="1"/>
        <v/>
      </c>
      <c r="J17" s="183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9">
        <v>13</v>
      </c>
      <c r="I18" s="180" t="str">
        <f t="shared" si="1"/>
        <v/>
      </c>
      <c r="J18" s="180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2">
        <v>14</v>
      </c>
      <c r="I19" s="183" t="str">
        <f t="shared" si="1"/>
        <v/>
      </c>
      <c r="J19" s="183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9">
        <v>15</v>
      </c>
      <c r="I20" s="180" t="str">
        <f t="shared" si="1"/>
        <v/>
      </c>
      <c r="J20" s="180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2">
        <v>16</v>
      </c>
      <c r="I21" s="183" t="str">
        <f t="shared" si="1"/>
        <v/>
      </c>
      <c r="J21" s="183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9">
        <v>17</v>
      </c>
      <c r="I22" s="180" t="str">
        <f t="shared" si="1"/>
        <v/>
      </c>
      <c r="J22" s="180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2">
        <v>18</v>
      </c>
      <c r="I23" s="183" t="str">
        <f t="shared" si="1"/>
        <v/>
      </c>
      <c r="J23" s="183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9">
        <v>19</v>
      </c>
      <c r="I24" s="180" t="str">
        <f t="shared" si="1"/>
        <v/>
      </c>
      <c r="J24" s="180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2">
        <v>20</v>
      </c>
      <c r="I25" s="183" t="str">
        <f t="shared" si="1"/>
        <v/>
      </c>
      <c r="J25" s="183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9">
        <v>21</v>
      </c>
      <c r="I26" s="180" t="str">
        <f t="shared" si="1"/>
        <v/>
      </c>
      <c r="J26" s="180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2">
        <v>22</v>
      </c>
      <c r="I27" s="183" t="str">
        <f t="shared" si="1"/>
        <v/>
      </c>
      <c r="J27" s="183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9">
        <v>23</v>
      </c>
      <c r="I28" s="180" t="str">
        <f t="shared" si="1"/>
        <v/>
      </c>
      <c r="J28" s="180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82">
        <v>24</v>
      </c>
      <c r="I29" s="183" t="str">
        <f t="shared" si="1"/>
        <v/>
      </c>
      <c r="J29" s="183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9">
        <v>25</v>
      </c>
      <c r="I30" s="180" t="str">
        <f t="shared" si="1"/>
        <v/>
      </c>
      <c r="J30" s="180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82">
        <v>26</v>
      </c>
      <c r="I31" s="183" t="str">
        <f t="shared" si="1"/>
        <v/>
      </c>
      <c r="J31" s="183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9">
        <v>27</v>
      </c>
      <c r="I32" s="180" t="str">
        <f t="shared" si="1"/>
        <v/>
      </c>
      <c r="J32" s="180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82">
        <v>28</v>
      </c>
      <c r="I33" s="183" t="str">
        <f t="shared" si="1"/>
        <v/>
      </c>
      <c r="J33" s="183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9">
        <v>29</v>
      </c>
      <c r="I34" s="180" t="str">
        <f t="shared" si="1"/>
        <v/>
      </c>
      <c r="J34" s="180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82">
        <v>30</v>
      </c>
      <c r="I35" s="183" t="str">
        <f t="shared" si="1"/>
        <v/>
      </c>
      <c r="J35" s="183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9">
        <v>31</v>
      </c>
      <c r="I36" s="180" t="str">
        <f t="shared" si="1"/>
        <v/>
      </c>
      <c r="J36" s="180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82">
        <v>32</v>
      </c>
      <c r="I37" s="183" t="str">
        <f t="shared" si="1"/>
        <v/>
      </c>
      <c r="J37" s="183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9">
        <v>33</v>
      </c>
      <c r="I38" s="180" t="str">
        <f t="shared" si="1"/>
        <v/>
      </c>
      <c r="J38" s="180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82">
        <v>34</v>
      </c>
      <c r="I39" s="183" t="str">
        <f t="shared" si="1"/>
        <v/>
      </c>
      <c r="J39" s="183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9">
        <v>35</v>
      </c>
      <c r="I40" s="180" t="str">
        <f t="shared" si="1"/>
        <v/>
      </c>
      <c r="J40" s="180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82">
        <v>36</v>
      </c>
      <c r="I41" s="183" t="str">
        <f t="shared" si="1"/>
        <v/>
      </c>
      <c r="J41" s="183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9">
        <v>37</v>
      </c>
      <c r="I42" s="180" t="str">
        <f t="shared" si="1"/>
        <v/>
      </c>
      <c r="J42" s="180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82">
        <v>38</v>
      </c>
      <c r="I43" s="183" t="str">
        <f t="shared" si="1"/>
        <v/>
      </c>
      <c r="J43" s="183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9">
        <v>39</v>
      </c>
      <c r="I44" s="180" t="str">
        <f t="shared" si="1"/>
        <v/>
      </c>
      <c r="J44" s="180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82">
        <v>40</v>
      </c>
      <c r="I45" s="183" t="str">
        <f t="shared" si="1"/>
        <v/>
      </c>
      <c r="J45" s="183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9">
        <v>41</v>
      </c>
      <c r="I46" s="180" t="str">
        <f t="shared" si="1"/>
        <v/>
      </c>
      <c r="J46" s="180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82">
        <v>42</v>
      </c>
      <c r="I47" s="183" t="str">
        <f t="shared" si="1"/>
        <v/>
      </c>
      <c r="J47" s="183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9">
        <v>43</v>
      </c>
      <c r="I48" s="180" t="str">
        <f t="shared" si="1"/>
        <v/>
      </c>
      <c r="J48" s="180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82">
        <v>44</v>
      </c>
      <c r="I49" s="183" t="str">
        <f t="shared" si="1"/>
        <v/>
      </c>
      <c r="J49" s="183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9">
        <v>45</v>
      </c>
      <c r="I50" s="180" t="str">
        <f t="shared" si="1"/>
        <v/>
      </c>
      <c r="J50" s="180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82">
        <v>46</v>
      </c>
      <c r="I51" s="183" t="str">
        <f t="shared" si="1"/>
        <v/>
      </c>
      <c r="J51" s="183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9">
        <v>47</v>
      </c>
      <c r="I52" s="180" t="str">
        <f t="shared" si="1"/>
        <v/>
      </c>
      <c r="J52" s="180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82">
        <v>48</v>
      </c>
      <c r="I53" s="183" t="str">
        <f t="shared" si="1"/>
        <v/>
      </c>
      <c r="J53" s="183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9">
        <v>49</v>
      </c>
      <c r="I54" s="180" t="str">
        <f t="shared" si="1"/>
        <v/>
      </c>
      <c r="J54" s="180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82">
        <v>50</v>
      </c>
      <c r="I55" s="183" t="str">
        <f t="shared" si="1"/>
        <v/>
      </c>
      <c r="J55" s="183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9">
        <v>51</v>
      </c>
      <c r="I56" s="180" t="str">
        <f t="shared" si="1"/>
        <v/>
      </c>
      <c r="J56" s="180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164"/>
      <c r="H57" s="182">
        <v>52</v>
      </c>
      <c r="I57" s="183" t="str">
        <f t="shared" si="1"/>
        <v/>
      </c>
      <c r="J57" s="183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164"/>
      <c r="H58" s="179">
        <v>53</v>
      </c>
      <c r="I58" s="180" t="str">
        <f t="shared" si="1"/>
        <v/>
      </c>
      <c r="J58" s="180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164"/>
      <c r="H59" s="182">
        <v>54</v>
      </c>
      <c r="I59" s="183" t="str">
        <f t="shared" si="1"/>
        <v/>
      </c>
      <c r="J59" s="183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164"/>
      <c r="H60" s="179">
        <v>55</v>
      </c>
      <c r="I60" s="180" t="str">
        <f t="shared" si="1"/>
        <v/>
      </c>
      <c r="J60" s="180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</row>
    <row r="61" spans="1:13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G61" s="164"/>
      <c r="H61" s="182">
        <v>56</v>
      </c>
      <c r="I61" s="183" t="str">
        <f t="shared" si="1"/>
        <v/>
      </c>
      <c r="J61" s="183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</row>
    <row r="62" spans="1:13" x14ac:dyDescent="0.25">
      <c r="A62" s="100">
        <f t="shared" si="4"/>
        <v>0</v>
      </c>
      <c r="B62" s="34" t="str">
        <f t="shared" si="0"/>
        <v/>
      </c>
      <c r="C62" s="35"/>
      <c r="D62" s="35"/>
      <c r="E62" s="35"/>
      <c r="F62" s="35"/>
      <c r="G62" s="164"/>
      <c r="H62" s="179">
        <v>57</v>
      </c>
      <c r="I62" s="180" t="str">
        <f t="shared" si="1"/>
        <v/>
      </c>
      <c r="J62" s="180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</row>
    <row r="63" spans="1:13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G63" s="164"/>
      <c r="H63" s="182">
        <v>58</v>
      </c>
      <c r="I63" s="183" t="str">
        <f t="shared" si="1"/>
        <v/>
      </c>
      <c r="J63" s="183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</row>
    <row r="64" spans="1:13" x14ac:dyDescent="0.25">
      <c r="A64" s="100">
        <f t="shared" si="4"/>
        <v>0</v>
      </c>
      <c r="B64" s="34" t="str">
        <f t="shared" si="0"/>
        <v/>
      </c>
      <c r="C64" s="35"/>
      <c r="D64" s="35"/>
      <c r="E64" s="35"/>
      <c r="F64" s="35"/>
      <c r="G64" s="164"/>
      <c r="H64" s="179">
        <v>59</v>
      </c>
      <c r="I64" s="180" t="str">
        <f t="shared" si="1"/>
        <v/>
      </c>
      <c r="J64" s="180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</row>
    <row r="65" spans="1:13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G65" s="164"/>
      <c r="H65" s="182">
        <v>60</v>
      </c>
      <c r="I65" s="183" t="str">
        <f t="shared" si="1"/>
        <v/>
      </c>
      <c r="J65" s="183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</row>
    <row r="66" spans="1:13" x14ac:dyDescent="0.25">
      <c r="A66" s="100">
        <f t="shared" si="4"/>
        <v>0</v>
      </c>
      <c r="B66" s="34"/>
      <c r="G66" s="164"/>
      <c r="H66" s="179">
        <v>61</v>
      </c>
      <c r="I66" s="180" t="str">
        <f t="shared" si="1"/>
        <v/>
      </c>
      <c r="J66" s="180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</row>
    <row r="67" spans="1:13" x14ac:dyDescent="0.25">
      <c r="A67" s="100">
        <f t="shared" si="4"/>
        <v>0</v>
      </c>
      <c r="B67" s="40"/>
      <c r="G67" s="164"/>
      <c r="H67" s="179">
        <v>62</v>
      </c>
      <c r="I67" s="180" t="str">
        <f t="shared" si="1"/>
        <v/>
      </c>
      <c r="J67" s="180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</row>
    <row r="68" spans="1:13" x14ac:dyDescent="0.25">
      <c r="A68" s="100">
        <f t="shared" si="4"/>
        <v>0</v>
      </c>
      <c r="B68" s="34"/>
      <c r="G68" s="164"/>
      <c r="H68" s="179">
        <v>63</v>
      </c>
      <c r="I68" s="180" t="str">
        <f t="shared" si="1"/>
        <v/>
      </c>
      <c r="J68" s="180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</row>
    <row r="69" spans="1:13" x14ac:dyDescent="0.25">
      <c r="A69" s="100">
        <f t="shared" si="4"/>
        <v>0</v>
      </c>
      <c r="B69" s="40"/>
      <c r="G69" s="164"/>
      <c r="H69" s="179">
        <v>64</v>
      </c>
      <c r="I69" s="180" t="str">
        <f t="shared" si="1"/>
        <v/>
      </c>
      <c r="J69" s="180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</row>
    <row r="70" spans="1:13" x14ac:dyDescent="0.25">
      <c r="A70" s="100">
        <f t="shared" si="4"/>
        <v>0</v>
      </c>
      <c r="G70" s="164"/>
      <c r="H70" s="179">
        <v>65</v>
      </c>
      <c r="I70" s="180" t="str">
        <f t="shared" ref="I70:I133" si="6">IF(H70&lt;$H$2+1,($I$2-($I$2-1)*(LOG(H70)/LOG($H$2))),"")</f>
        <v/>
      </c>
      <c r="J70" s="180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00">
        <f t="shared" ref="A71:A79" si="9">M71</f>
        <v>0</v>
      </c>
      <c r="G71" s="164"/>
      <c r="H71" s="179">
        <v>66</v>
      </c>
      <c r="I71" s="180" t="str">
        <f t="shared" si="6"/>
        <v/>
      </c>
      <c r="J71" s="180" t="e">
        <f t="shared" ref="J71:J134" si="10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00">
        <f t="shared" si="9"/>
        <v>0</v>
      </c>
      <c r="G72" s="164"/>
      <c r="H72" s="179">
        <v>67</v>
      </c>
      <c r="I72" s="180" t="str">
        <f t="shared" si="6"/>
        <v/>
      </c>
      <c r="J72" s="180" t="e">
        <f t="shared" si="10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00">
        <f t="shared" si="9"/>
        <v>0</v>
      </c>
      <c r="G73" s="164"/>
      <c r="H73" s="179">
        <v>68</v>
      </c>
      <c r="I73" s="180" t="str">
        <f t="shared" si="6"/>
        <v/>
      </c>
      <c r="J73" s="180" t="e">
        <f t="shared" si="10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00">
        <f t="shared" si="9"/>
        <v>0</v>
      </c>
      <c r="G74" s="164"/>
      <c r="H74" s="179">
        <v>69</v>
      </c>
      <c r="I74" s="180" t="str">
        <f t="shared" si="6"/>
        <v/>
      </c>
      <c r="J74" s="180" t="e">
        <f t="shared" si="10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00">
        <f t="shared" si="9"/>
        <v>0</v>
      </c>
      <c r="G75" s="164"/>
      <c r="H75" s="179">
        <v>70</v>
      </c>
      <c r="I75" s="180" t="str">
        <f t="shared" si="6"/>
        <v/>
      </c>
      <c r="J75" s="180" t="e">
        <f t="shared" si="10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00">
        <f t="shared" si="9"/>
        <v>0</v>
      </c>
      <c r="G76" s="164"/>
      <c r="H76" s="179">
        <v>71</v>
      </c>
      <c r="I76" s="180" t="str">
        <f t="shared" si="6"/>
        <v/>
      </c>
      <c r="J76" s="180" t="e">
        <f t="shared" si="10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00">
        <f t="shared" si="9"/>
        <v>0</v>
      </c>
      <c r="G77" s="164"/>
      <c r="H77" s="179">
        <v>72</v>
      </c>
      <c r="I77" s="180" t="str">
        <f t="shared" si="6"/>
        <v/>
      </c>
      <c r="J77" s="180" t="e">
        <f t="shared" si="10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00">
        <f t="shared" si="9"/>
        <v>0</v>
      </c>
      <c r="G78" s="164"/>
      <c r="H78" s="179">
        <v>73</v>
      </c>
      <c r="I78" s="180" t="str">
        <f t="shared" si="6"/>
        <v/>
      </c>
      <c r="J78" s="180" t="e">
        <f t="shared" si="10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00">
        <f t="shared" si="9"/>
        <v>0</v>
      </c>
      <c r="G79" s="164"/>
      <c r="H79" s="179">
        <v>74</v>
      </c>
      <c r="I79" s="180" t="str">
        <f t="shared" si="6"/>
        <v/>
      </c>
      <c r="J79" s="180" t="e">
        <f t="shared" si="10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96"/>
      <c r="G80" s="164"/>
      <c r="H80" s="179">
        <v>75</v>
      </c>
      <c r="I80" s="180" t="str">
        <f t="shared" si="6"/>
        <v/>
      </c>
      <c r="J80" s="180" t="e">
        <f t="shared" si="10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7"/>
      <c r="G81" s="164"/>
      <c r="H81" s="179">
        <v>76</v>
      </c>
      <c r="I81" s="180" t="str">
        <f t="shared" si="6"/>
        <v/>
      </c>
      <c r="J81" s="180" t="e">
        <f t="shared" si="10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7"/>
      <c r="G82" s="164"/>
      <c r="H82" s="179">
        <v>77</v>
      </c>
      <c r="I82" s="180" t="str">
        <f t="shared" si="6"/>
        <v/>
      </c>
      <c r="J82" s="180" t="e">
        <f t="shared" si="10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7"/>
      <c r="G83" s="164"/>
      <c r="H83" s="179">
        <v>78</v>
      </c>
      <c r="I83" s="180" t="str">
        <f t="shared" si="6"/>
        <v/>
      </c>
      <c r="J83" s="180" t="e">
        <f t="shared" si="10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7"/>
      <c r="G84" s="164"/>
      <c r="H84" s="179">
        <v>79</v>
      </c>
      <c r="I84" s="180" t="str">
        <f t="shared" si="6"/>
        <v/>
      </c>
      <c r="J84" s="180" t="e">
        <f t="shared" si="10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7"/>
      <c r="G85" s="164"/>
      <c r="H85" s="179">
        <v>80</v>
      </c>
      <c r="I85" s="180" t="str">
        <f t="shared" si="6"/>
        <v/>
      </c>
      <c r="J85" s="180" t="e">
        <f t="shared" si="10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7"/>
      <c r="G86" s="164"/>
      <c r="H86" s="179">
        <v>81</v>
      </c>
      <c r="I86" s="180" t="str">
        <f t="shared" si="6"/>
        <v/>
      </c>
      <c r="J86" s="180" t="e">
        <f t="shared" si="10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7"/>
      <c r="G87" s="164"/>
      <c r="H87" s="179">
        <v>82</v>
      </c>
      <c r="I87" s="180" t="str">
        <f t="shared" si="6"/>
        <v/>
      </c>
      <c r="J87" s="180" t="e">
        <f t="shared" si="10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7"/>
      <c r="G88" s="164"/>
      <c r="H88" s="179">
        <v>83</v>
      </c>
      <c r="I88" s="180" t="str">
        <f t="shared" si="6"/>
        <v/>
      </c>
      <c r="J88" s="180" t="e">
        <f t="shared" si="10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7"/>
      <c r="G89" s="164"/>
      <c r="H89" s="179">
        <v>84</v>
      </c>
      <c r="I89" s="180" t="str">
        <f t="shared" si="6"/>
        <v/>
      </c>
      <c r="J89" s="180" t="e">
        <f t="shared" si="10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7"/>
      <c r="G90" s="164"/>
      <c r="H90" s="179">
        <v>85</v>
      </c>
      <c r="I90" s="180" t="str">
        <f t="shared" si="6"/>
        <v/>
      </c>
      <c r="J90" s="180" t="e">
        <f t="shared" si="10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7"/>
      <c r="G91" s="164"/>
      <c r="H91" s="179">
        <v>86</v>
      </c>
      <c r="I91" s="180" t="str">
        <f t="shared" si="6"/>
        <v/>
      </c>
      <c r="J91" s="180" t="e">
        <f t="shared" si="10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7"/>
      <c r="G92" s="164"/>
      <c r="H92" s="179">
        <v>87</v>
      </c>
      <c r="I92" s="180" t="str">
        <f t="shared" si="6"/>
        <v/>
      </c>
      <c r="J92" s="180" t="e">
        <f t="shared" si="10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7"/>
      <c r="G93" s="164"/>
      <c r="H93" s="179">
        <v>88</v>
      </c>
      <c r="I93" s="180" t="str">
        <f t="shared" si="6"/>
        <v/>
      </c>
      <c r="J93" s="180" t="e">
        <f t="shared" si="10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7"/>
      <c r="G94" s="164"/>
      <c r="H94" s="179">
        <v>89</v>
      </c>
      <c r="I94" s="180" t="str">
        <f t="shared" si="6"/>
        <v/>
      </c>
      <c r="J94" s="180" t="e">
        <f t="shared" si="10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7"/>
      <c r="G95" s="164"/>
      <c r="H95" s="179">
        <v>90</v>
      </c>
      <c r="I95" s="180" t="str">
        <f t="shared" si="6"/>
        <v/>
      </c>
      <c r="J95" s="180" t="e">
        <f t="shared" si="10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7"/>
      <c r="G96" s="164"/>
      <c r="H96" s="179">
        <v>91</v>
      </c>
      <c r="I96" s="180" t="str">
        <f t="shared" si="6"/>
        <v/>
      </c>
      <c r="J96" s="180" t="e">
        <f t="shared" si="10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7"/>
      <c r="G97" s="164"/>
      <c r="H97" s="179">
        <v>92</v>
      </c>
      <c r="I97" s="180" t="str">
        <f t="shared" si="6"/>
        <v/>
      </c>
      <c r="J97" s="180" t="e">
        <f t="shared" si="10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7"/>
      <c r="G98" s="164"/>
      <c r="H98" s="179">
        <v>93</v>
      </c>
      <c r="I98" s="180" t="str">
        <f t="shared" si="6"/>
        <v/>
      </c>
      <c r="J98" s="180" t="e">
        <f t="shared" si="10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7"/>
      <c r="G99" s="164"/>
      <c r="H99" s="179">
        <v>94</v>
      </c>
      <c r="I99" s="180" t="str">
        <f t="shared" si="6"/>
        <v/>
      </c>
      <c r="J99" s="180" t="e">
        <f t="shared" si="10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7"/>
      <c r="G100" s="164"/>
      <c r="H100" s="179">
        <v>95</v>
      </c>
      <c r="I100" s="180" t="str">
        <f t="shared" si="6"/>
        <v/>
      </c>
      <c r="J100" s="180" t="e">
        <f t="shared" si="10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7"/>
      <c r="G101" s="164"/>
      <c r="H101" s="179">
        <v>96</v>
      </c>
      <c r="I101" s="180" t="str">
        <f t="shared" si="6"/>
        <v/>
      </c>
      <c r="J101" s="180" t="e">
        <f t="shared" si="10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7"/>
      <c r="G102" s="164"/>
      <c r="H102" s="179">
        <v>97</v>
      </c>
      <c r="I102" s="180" t="str">
        <f t="shared" si="6"/>
        <v/>
      </c>
      <c r="J102" s="180" t="e">
        <f t="shared" si="10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7"/>
      <c r="G103" s="164"/>
      <c r="H103" s="179">
        <v>98</v>
      </c>
      <c r="I103" s="180" t="str">
        <f t="shared" si="6"/>
        <v/>
      </c>
      <c r="J103" s="180" t="e">
        <f t="shared" si="10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7"/>
      <c r="G104" s="164"/>
      <c r="H104" s="179">
        <v>99</v>
      </c>
      <c r="I104" s="180" t="str">
        <f t="shared" si="6"/>
        <v/>
      </c>
      <c r="J104" s="180" t="e">
        <f t="shared" si="10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7"/>
      <c r="G105" s="164"/>
      <c r="H105" s="179">
        <v>100</v>
      </c>
      <c r="I105" s="180" t="str">
        <f t="shared" si="6"/>
        <v/>
      </c>
      <c r="J105" s="180" t="e">
        <f t="shared" si="10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7"/>
      <c r="G106" s="164"/>
      <c r="H106" s="179">
        <v>101</v>
      </c>
      <c r="I106" s="180" t="str">
        <f t="shared" si="6"/>
        <v/>
      </c>
      <c r="J106" s="180" t="e">
        <f t="shared" si="10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7"/>
      <c r="G107" s="164"/>
      <c r="H107" s="179">
        <v>102</v>
      </c>
      <c r="I107" s="180" t="str">
        <f t="shared" si="6"/>
        <v/>
      </c>
      <c r="J107" s="180" t="e">
        <f t="shared" si="10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7"/>
      <c r="G108" s="164"/>
      <c r="H108" s="179">
        <v>103</v>
      </c>
      <c r="I108" s="180" t="str">
        <f t="shared" si="6"/>
        <v/>
      </c>
      <c r="J108" s="180" t="e">
        <f t="shared" si="10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7"/>
      <c r="G109" s="164"/>
      <c r="H109" s="179">
        <v>104</v>
      </c>
      <c r="I109" s="180" t="str">
        <f t="shared" si="6"/>
        <v/>
      </c>
      <c r="J109" s="180" t="e">
        <f t="shared" si="10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7"/>
      <c r="G110" s="164"/>
      <c r="H110" s="179">
        <v>105</v>
      </c>
      <c r="I110" s="180" t="str">
        <f t="shared" si="6"/>
        <v/>
      </c>
      <c r="J110" s="180" t="e">
        <f t="shared" si="10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7"/>
      <c r="G111" s="164"/>
      <c r="H111" s="179">
        <v>106</v>
      </c>
      <c r="I111" s="180" t="str">
        <f t="shared" si="6"/>
        <v/>
      </c>
      <c r="J111" s="180" t="e">
        <f t="shared" si="10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7"/>
      <c r="G112" s="164"/>
      <c r="H112" s="179">
        <v>107</v>
      </c>
      <c r="I112" s="180" t="str">
        <f t="shared" si="6"/>
        <v/>
      </c>
      <c r="J112" s="180" t="e">
        <f t="shared" si="10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7"/>
      <c r="G113" s="164"/>
      <c r="H113" s="179">
        <v>108</v>
      </c>
      <c r="I113" s="180" t="str">
        <f t="shared" si="6"/>
        <v/>
      </c>
      <c r="J113" s="180" t="e">
        <f t="shared" si="10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7"/>
      <c r="G114" s="164"/>
      <c r="H114" s="179">
        <v>109</v>
      </c>
      <c r="I114" s="180" t="str">
        <f t="shared" si="6"/>
        <v/>
      </c>
      <c r="J114" s="180" t="e">
        <f t="shared" si="10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7"/>
      <c r="G115" s="164"/>
      <c r="H115" s="179">
        <v>110</v>
      </c>
      <c r="I115" s="180" t="str">
        <f t="shared" si="6"/>
        <v/>
      </c>
      <c r="J115" s="180" t="e">
        <f t="shared" si="10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7"/>
      <c r="G116" s="164"/>
      <c r="H116" s="179">
        <v>111</v>
      </c>
      <c r="I116" s="180" t="str">
        <f t="shared" si="6"/>
        <v/>
      </c>
      <c r="J116" s="180" t="e">
        <f t="shared" si="10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7"/>
      <c r="G117" s="164"/>
      <c r="H117" s="179">
        <v>112</v>
      </c>
      <c r="I117" s="180" t="str">
        <f t="shared" si="6"/>
        <v/>
      </c>
      <c r="J117" s="180" t="e">
        <f t="shared" si="10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7"/>
      <c r="G118" s="164"/>
      <c r="H118" s="179">
        <v>113</v>
      </c>
      <c r="I118" s="180" t="str">
        <f t="shared" si="6"/>
        <v/>
      </c>
      <c r="J118" s="180" t="e">
        <f t="shared" si="10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7"/>
      <c r="G119" s="164"/>
      <c r="H119" s="179">
        <v>114</v>
      </c>
      <c r="I119" s="180" t="str">
        <f t="shared" si="6"/>
        <v/>
      </c>
      <c r="J119" s="180" t="e">
        <f t="shared" si="10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7"/>
      <c r="G120" s="164"/>
      <c r="H120" s="179">
        <v>115</v>
      </c>
      <c r="I120" s="180" t="str">
        <f t="shared" si="6"/>
        <v/>
      </c>
      <c r="J120" s="180" t="e">
        <f t="shared" si="10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7"/>
      <c r="G121" s="164"/>
      <c r="H121" s="179">
        <v>116</v>
      </c>
      <c r="I121" s="180" t="str">
        <f t="shared" si="6"/>
        <v/>
      </c>
      <c r="J121" s="180" t="e">
        <f t="shared" si="10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7"/>
      <c r="G122" s="164"/>
      <c r="H122" s="179">
        <v>117</v>
      </c>
      <c r="I122" s="180" t="str">
        <f t="shared" si="6"/>
        <v/>
      </c>
      <c r="J122" s="180" t="e">
        <f t="shared" si="10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7"/>
      <c r="G123" s="164"/>
      <c r="H123" s="179">
        <v>118</v>
      </c>
      <c r="I123" s="180" t="str">
        <f t="shared" si="6"/>
        <v/>
      </c>
      <c r="J123" s="180" t="e">
        <f t="shared" si="10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7"/>
      <c r="G124" s="164"/>
      <c r="H124" s="179">
        <v>119</v>
      </c>
      <c r="I124" s="180" t="str">
        <f t="shared" si="6"/>
        <v/>
      </c>
      <c r="J124" s="180" t="e">
        <f t="shared" si="10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7"/>
      <c r="G125" s="164"/>
      <c r="H125" s="179">
        <v>120</v>
      </c>
      <c r="I125" s="180" t="str">
        <f t="shared" si="6"/>
        <v/>
      </c>
      <c r="J125" s="180" t="e">
        <f t="shared" si="10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7"/>
      <c r="G126" s="164"/>
      <c r="H126" s="179">
        <v>121</v>
      </c>
      <c r="I126" s="180" t="str">
        <f t="shared" si="6"/>
        <v/>
      </c>
      <c r="J126" s="180" t="e">
        <f t="shared" si="10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7"/>
      <c r="G127" s="164"/>
      <c r="H127" s="179">
        <v>122</v>
      </c>
      <c r="I127" s="180" t="str">
        <f t="shared" si="6"/>
        <v/>
      </c>
      <c r="J127" s="180" t="e">
        <f t="shared" si="10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7"/>
      <c r="G128" s="164"/>
      <c r="H128" s="179">
        <v>123</v>
      </c>
      <c r="I128" s="180" t="str">
        <f t="shared" si="6"/>
        <v/>
      </c>
      <c r="J128" s="180" t="e">
        <f t="shared" si="10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7"/>
      <c r="G129" s="164"/>
      <c r="H129" s="179">
        <v>124</v>
      </c>
      <c r="I129" s="180" t="str">
        <f t="shared" si="6"/>
        <v/>
      </c>
      <c r="J129" s="180" t="e">
        <f t="shared" si="10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7"/>
      <c r="G130" s="164"/>
      <c r="H130" s="179">
        <v>125</v>
      </c>
      <c r="I130" s="180" t="str">
        <f t="shared" si="6"/>
        <v/>
      </c>
      <c r="J130" s="180" t="e">
        <f t="shared" si="10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7"/>
      <c r="G131" s="164"/>
      <c r="H131" s="179">
        <v>126</v>
      </c>
      <c r="I131" s="180" t="str">
        <f t="shared" si="6"/>
        <v/>
      </c>
      <c r="J131" s="180" t="e">
        <f t="shared" si="10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7"/>
      <c r="G132" s="164"/>
      <c r="H132" s="179">
        <v>127</v>
      </c>
      <c r="I132" s="180" t="str">
        <f t="shared" si="6"/>
        <v/>
      </c>
      <c r="J132" s="180" t="e">
        <f t="shared" si="10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7"/>
      <c r="G133" s="164"/>
      <c r="H133" s="179">
        <v>128</v>
      </c>
      <c r="I133" s="180" t="str">
        <f t="shared" si="6"/>
        <v/>
      </c>
      <c r="J133" s="180" t="e">
        <f t="shared" si="10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7"/>
      <c r="G134" s="164"/>
      <c r="H134" s="179">
        <v>129</v>
      </c>
      <c r="I134" s="180" t="str">
        <f t="shared" ref="I134:I197" si="11">IF(H134&lt;$H$2+1,($I$2-($I$2-1)*(LOG(H134)/LOG($H$2))),"")</f>
        <v/>
      </c>
      <c r="J134" s="180" t="e">
        <f t="shared" si="10"/>
        <v>#NUM!</v>
      </c>
      <c r="K134" s="179" t="e">
        <f t="shared" ref="K134:K197" si="12">J134*$J$2</f>
        <v>#NUM!</v>
      </c>
      <c r="L134" s="179"/>
      <c r="M134" s="181">
        <f t="shared" ref="M134:M197" si="13">IF(I134&lt;&gt;"",K134+I134+L134,0)</f>
        <v>0</v>
      </c>
    </row>
    <row r="135" spans="1:13" x14ac:dyDescent="0.25">
      <c r="A135" s="197"/>
      <c r="G135" s="164"/>
      <c r="H135" s="179">
        <v>130</v>
      </c>
      <c r="I135" s="180" t="str">
        <f t="shared" si="11"/>
        <v/>
      </c>
      <c r="J135" s="180" t="e">
        <f t="shared" ref="J135:J198" si="14">INT(LOG($H$2,2))-ROUNDUP(LOG(H135,2),0)+IF(OR($H$2=1,$H$2=2,$H$2=4,$H$2=8,$H$2=16,$H$2=32,$H$2=64,$H$2=128,$H$2=256),0,1)</f>
        <v>#NUM!</v>
      </c>
      <c r="K135" s="179" t="e">
        <f t="shared" si="12"/>
        <v>#NUM!</v>
      </c>
      <c r="L135" s="179"/>
      <c r="M135" s="181">
        <f t="shared" si="13"/>
        <v>0</v>
      </c>
    </row>
    <row r="136" spans="1:13" x14ac:dyDescent="0.25">
      <c r="A136" s="197"/>
      <c r="G136" s="164"/>
      <c r="H136" s="179">
        <v>131</v>
      </c>
      <c r="I136" s="180" t="str">
        <f t="shared" si="11"/>
        <v/>
      </c>
      <c r="J136" s="180" t="e">
        <f t="shared" si="14"/>
        <v>#NUM!</v>
      </c>
      <c r="K136" s="179" t="e">
        <f t="shared" si="12"/>
        <v>#NUM!</v>
      </c>
      <c r="L136" s="179"/>
      <c r="M136" s="181">
        <f t="shared" si="13"/>
        <v>0</v>
      </c>
    </row>
    <row r="137" spans="1:13" x14ac:dyDescent="0.25">
      <c r="A137" s="197"/>
      <c r="G137" s="164"/>
      <c r="H137" s="179">
        <v>132</v>
      </c>
      <c r="I137" s="180" t="str">
        <f t="shared" si="11"/>
        <v/>
      </c>
      <c r="J137" s="180" t="e">
        <f t="shared" si="14"/>
        <v>#NUM!</v>
      </c>
      <c r="K137" s="179" t="e">
        <f t="shared" si="12"/>
        <v>#NUM!</v>
      </c>
      <c r="L137" s="179"/>
      <c r="M137" s="181">
        <f t="shared" si="13"/>
        <v>0</v>
      </c>
    </row>
    <row r="138" spans="1:13" x14ac:dyDescent="0.25">
      <c r="A138" s="197"/>
      <c r="G138" s="164"/>
      <c r="H138" s="179">
        <v>133</v>
      </c>
      <c r="I138" s="180" t="str">
        <f t="shared" si="11"/>
        <v/>
      </c>
      <c r="J138" s="180" t="e">
        <f t="shared" si="14"/>
        <v>#NUM!</v>
      </c>
      <c r="K138" s="179" t="e">
        <f t="shared" si="12"/>
        <v>#NUM!</v>
      </c>
      <c r="L138" s="179"/>
      <c r="M138" s="181">
        <f t="shared" si="13"/>
        <v>0</v>
      </c>
    </row>
    <row r="139" spans="1:13" x14ac:dyDescent="0.25">
      <c r="A139" s="197"/>
      <c r="G139" s="164"/>
      <c r="H139" s="179">
        <v>134</v>
      </c>
      <c r="I139" s="180" t="str">
        <f t="shared" si="11"/>
        <v/>
      </c>
      <c r="J139" s="180" t="e">
        <f t="shared" si="14"/>
        <v>#NUM!</v>
      </c>
      <c r="K139" s="179" t="e">
        <f t="shared" si="12"/>
        <v>#NUM!</v>
      </c>
      <c r="L139" s="179"/>
      <c r="M139" s="181">
        <f t="shared" si="13"/>
        <v>0</v>
      </c>
    </row>
    <row r="140" spans="1:13" x14ac:dyDescent="0.25">
      <c r="A140" s="197"/>
      <c r="G140" s="164"/>
      <c r="H140" s="179">
        <v>135</v>
      </c>
      <c r="I140" s="180" t="str">
        <f t="shared" si="11"/>
        <v/>
      </c>
      <c r="J140" s="180" t="e">
        <f t="shared" si="14"/>
        <v>#NUM!</v>
      </c>
      <c r="K140" s="179" t="e">
        <f t="shared" si="12"/>
        <v>#NUM!</v>
      </c>
      <c r="L140" s="179"/>
      <c r="M140" s="181">
        <f t="shared" si="13"/>
        <v>0</v>
      </c>
    </row>
    <row r="141" spans="1:13" x14ac:dyDescent="0.25">
      <c r="A141" s="197"/>
      <c r="G141" s="164"/>
      <c r="H141" s="179">
        <v>136</v>
      </c>
      <c r="I141" s="180" t="str">
        <f t="shared" si="11"/>
        <v/>
      </c>
      <c r="J141" s="180" t="e">
        <f t="shared" si="14"/>
        <v>#NUM!</v>
      </c>
      <c r="K141" s="179" t="e">
        <f t="shared" si="12"/>
        <v>#NUM!</v>
      </c>
      <c r="L141" s="179"/>
      <c r="M141" s="181">
        <f t="shared" si="13"/>
        <v>0</v>
      </c>
    </row>
    <row r="142" spans="1:13" x14ac:dyDescent="0.25">
      <c r="A142" s="197"/>
      <c r="G142" s="164"/>
      <c r="H142" s="179">
        <v>137</v>
      </c>
      <c r="I142" s="180" t="str">
        <f t="shared" si="11"/>
        <v/>
      </c>
      <c r="J142" s="180" t="e">
        <f t="shared" si="14"/>
        <v>#NUM!</v>
      </c>
      <c r="K142" s="179" t="e">
        <f t="shared" si="12"/>
        <v>#NUM!</v>
      </c>
      <c r="L142" s="179"/>
      <c r="M142" s="181">
        <f t="shared" si="13"/>
        <v>0</v>
      </c>
    </row>
    <row r="143" spans="1:13" x14ac:dyDescent="0.25">
      <c r="A143" s="197"/>
      <c r="G143" s="164"/>
      <c r="H143" s="179">
        <v>138</v>
      </c>
      <c r="I143" s="180" t="str">
        <f t="shared" si="11"/>
        <v/>
      </c>
      <c r="J143" s="180" t="e">
        <f t="shared" si="14"/>
        <v>#NUM!</v>
      </c>
      <c r="K143" s="179" t="e">
        <f t="shared" si="12"/>
        <v>#NUM!</v>
      </c>
      <c r="L143" s="179"/>
      <c r="M143" s="181">
        <f t="shared" si="13"/>
        <v>0</v>
      </c>
    </row>
    <row r="144" spans="1:13" x14ac:dyDescent="0.25">
      <c r="A144" s="197"/>
      <c r="G144" s="164"/>
      <c r="H144" s="179">
        <v>139</v>
      </c>
      <c r="I144" s="180" t="str">
        <f t="shared" si="11"/>
        <v/>
      </c>
      <c r="J144" s="180" t="e">
        <f t="shared" si="14"/>
        <v>#NUM!</v>
      </c>
      <c r="K144" s="179" t="e">
        <f t="shared" si="12"/>
        <v>#NUM!</v>
      </c>
      <c r="L144" s="179"/>
      <c r="M144" s="181">
        <f t="shared" si="13"/>
        <v>0</v>
      </c>
    </row>
    <row r="145" spans="1:13" x14ac:dyDescent="0.25">
      <c r="A145" s="197"/>
      <c r="G145" s="164"/>
      <c r="H145" s="179">
        <v>140</v>
      </c>
      <c r="I145" s="180" t="str">
        <f t="shared" si="11"/>
        <v/>
      </c>
      <c r="J145" s="180" t="e">
        <f t="shared" si="14"/>
        <v>#NUM!</v>
      </c>
      <c r="K145" s="179" t="e">
        <f t="shared" si="12"/>
        <v>#NUM!</v>
      </c>
      <c r="L145" s="179"/>
      <c r="M145" s="181">
        <f t="shared" si="13"/>
        <v>0</v>
      </c>
    </row>
    <row r="146" spans="1:13" x14ac:dyDescent="0.25">
      <c r="A146" s="197"/>
      <c r="G146" s="164"/>
      <c r="H146" s="179">
        <v>141</v>
      </c>
      <c r="I146" s="180" t="str">
        <f t="shared" si="11"/>
        <v/>
      </c>
      <c r="J146" s="180" t="e">
        <f t="shared" si="14"/>
        <v>#NUM!</v>
      </c>
      <c r="K146" s="179" t="e">
        <f t="shared" si="12"/>
        <v>#NUM!</v>
      </c>
      <c r="L146" s="179"/>
      <c r="M146" s="181">
        <f t="shared" si="13"/>
        <v>0</v>
      </c>
    </row>
    <row r="147" spans="1:13" x14ac:dyDescent="0.25">
      <c r="A147" s="197"/>
      <c r="G147" s="164"/>
      <c r="H147" s="179">
        <v>142</v>
      </c>
      <c r="I147" s="180" t="str">
        <f t="shared" si="11"/>
        <v/>
      </c>
      <c r="J147" s="180" t="e">
        <f t="shared" si="14"/>
        <v>#NUM!</v>
      </c>
      <c r="K147" s="179" t="e">
        <f t="shared" si="12"/>
        <v>#NUM!</v>
      </c>
      <c r="L147" s="179"/>
      <c r="M147" s="181">
        <f t="shared" si="13"/>
        <v>0</v>
      </c>
    </row>
    <row r="148" spans="1:13" x14ac:dyDescent="0.25">
      <c r="A148" s="197"/>
      <c r="G148" s="164"/>
      <c r="H148" s="179">
        <v>143</v>
      </c>
      <c r="I148" s="180" t="str">
        <f t="shared" si="11"/>
        <v/>
      </c>
      <c r="J148" s="180" t="e">
        <f t="shared" si="14"/>
        <v>#NUM!</v>
      </c>
      <c r="K148" s="179" t="e">
        <f t="shared" si="12"/>
        <v>#NUM!</v>
      </c>
      <c r="L148" s="179"/>
      <c r="M148" s="181">
        <f t="shared" si="13"/>
        <v>0</v>
      </c>
    </row>
    <row r="149" spans="1:13" x14ac:dyDescent="0.25">
      <c r="A149" s="197"/>
      <c r="G149" s="164"/>
      <c r="H149" s="179">
        <v>144</v>
      </c>
      <c r="I149" s="180" t="str">
        <f t="shared" si="11"/>
        <v/>
      </c>
      <c r="J149" s="180" t="e">
        <f t="shared" si="14"/>
        <v>#NUM!</v>
      </c>
      <c r="K149" s="179" t="e">
        <f t="shared" si="12"/>
        <v>#NUM!</v>
      </c>
      <c r="L149" s="179"/>
      <c r="M149" s="181">
        <f t="shared" si="13"/>
        <v>0</v>
      </c>
    </row>
    <row r="150" spans="1:13" x14ac:dyDescent="0.25">
      <c r="A150" s="197"/>
      <c r="G150" s="164"/>
      <c r="H150" s="179">
        <v>145</v>
      </c>
      <c r="I150" s="180" t="str">
        <f t="shared" si="11"/>
        <v/>
      </c>
      <c r="J150" s="180" t="e">
        <f t="shared" si="14"/>
        <v>#NUM!</v>
      </c>
      <c r="K150" s="179" t="e">
        <f t="shared" si="12"/>
        <v>#NUM!</v>
      </c>
      <c r="L150" s="179"/>
      <c r="M150" s="181">
        <f t="shared" si="13"/>
        <v>0</v>
      </c>
    </row>
    <row r="151" spans="1:13" x14ac:dyDescent="0.25">
      <c r="A151" s="197"/>
      <c r="G151" s="164"/>
      <c r="H151" s="179">
        <v>146</v>
      </c>
      <c r="I151" s="180" t="str">
        <f t="shared" si="11"/>
        <v/>
      </c>
      <c r="J151" s="180" t="e">
        <f t="shared" si="14"/>
        <v>#NUM!</v>
      </c>
      <c r="K151" s="179" t="e">
        <f t="shared" si="12"/>
        <v>#NUM!</v>
      </c>
      <c r="L151" s="179"/>
      <c r="M151" s="181">
        <f t="shared" si="13"/>
        <v>0</v>
      </c>
    </row>
    <row r="152" spans="1:13" x14ac:dyDescent="0.25">
      <c r="A152" s="197"/>
      <c r="G152" s="164"/>
      <c r="H152" s="179">
        <v>147</v>
      </c>
      <c r="I152" s="180" t="str">
        <f t="shared" si="11"/>
        <v/>
      </c>
      <c r="J152" s="180" t="e">
        <f t="shared" si="14"/>
        <v>#NUM!</v>
      </c>
      <c r="K152" s="179" t="e">
        <f t="shared" si="12"/>
        <v>#NUM!</v>
      </c>
      <c r="L152" s="179"/>
      <c r="M152" s="181">
        <f t="shared" si="13"/>
        <v>0</v>
      </c>
    </row>
    <row r="153" spans="1:13" x14ac:dyDescent="0.25">
      <c r="A153" s="197"/>
      <c r="G153" s="164"/>
      <c r="H153" s="179">
        <v>148</v>
      </c>
      <c r="I153" s="180" t="str">
        <f t="shared" si="11"/>
        <v/>
      </c>
      <c r="J153" s="180" t="e">
        <f t="shared" si="14"/>
        <v>#NUM!</v>
      </c>
      <c r="K153" s="179" t="e">
        <f t="shared" si="12"/>
        <v>#NUM!</v>
      </c>
      <c r="L153" s="179"/>
      <c r="M153" s="181">
        <f t="shared" si="13"/>
        <v>0</v>
      </c>
    </row>
    <row r="154" spans="1:13" x14ac:dyDescent="0.25">
      <c r="A154" s="197"/>
      <c r="G154" s="164"/>
      <c r="H154" s="179">
        <v>149</v>
      </c>
      <c r="I154" s="180" t="str">
        <f t="shared" si="11"/>
        <v/>
      </c>
      <c r="J154" s="180" t="e">
        <f t="shared" si="14"/>
        <v>#NUM!</v>
      </c>
      <c r="K154" s="179" t="e">
        <f t="shared" si="12"/>
        <v>#NUM!</v>
      </c>
      <c r="L154" s="179"/>
      <c r="M154" s="181">
        <f t="shared" si="13"/>
        <v>0</v>
      </c>
    </row>
    <row r="155" spans="1:13" x14ac:dyDescent="0.25">
      <c r="A155" s="197"/>
      <c r="G155" s="164"/>
      <c r="H155" s="179">
        <v>150</v>
      </c>
      <c r="I155" s="180" t="str">
        <f t="shared" si="11"/>
        <v/>
      </c>
      <c r="J155" s="180" t="e">
        <f t="shared" si="14"/>
        <v>#NUM!</v>
      </c>
      <c r="K155" s="179" t="e">
        <f t="shared" si="12"/>
        <v>#NUM!</v>
      </c>
      <c r="L155" s="179"/>
      <c r="M155" s="181">
        <f t="shared" si="13"/>
        <v>0</v>
      </c>
    </row>
    <row r="156" spans="1:13" x14ac:dyDescent="0.25">
      <c r="A156" s="197"/>
      <c r="G156" s="164"/>
      <c r="H156" s="179">
        <v>151</v>
      </c>
      <c r="I156" s="180" t="str">
        <f t="shared" si="11"/>
        <v/>
      </c>
      <c r="J156" s="180" t="e">
        <f t="shared" si="14"/>
        <v>#NUM!</v>
      </c>
      <c r="K156" s="179" t="e">
        <f t="shared" si="12"/>
        <v>#NUM!</v>
      </c>
      <c r="L156" s="179"/>
      <c r="M156" s="181">
        <f t="shared" si="13"/>
        <v>0</v>
      </c>
    </row>
    <row r="157" spans="1:13" x14ac:dyDescent="0.25">
      <c r="A157" s="197"/>
      <c r="G157" s="164"/>
      <c r="H157" s="179">
        <v>152</v>
      </c>
      <c r="I157" s="180" t="str">
        <f t="shared" si="11"/>
        <v/>
      </c>
      <c r="J157" s="180" t="e">
        <f t="shared" si="14"/>
        <v>#NUM!</v>
      </c>
      <c r="K157" s="179" t="e">
        <f t="shared" si="12"/>
        <v>#NUM!</v>
      </c>
      <c r="L157" s="179"/>
      <c r="M157" s="181">
        <f t="shared" si="13"/>
        <v>0</v>
      </c>
    </row>
    <row r="158" spans="1:13" x14ac:dyDescent="0.25">
      <c r="A158" s="197"/>
      <c r="G158" s="164"/>
      <c r="H158" s="179">
        <v>153</v>
      </c>
      <c r="I158" s="180" t="str">
        <f t="shared" si="11"/>
        <v/>
      </c>
      <c r="J158" s="180" t="e">
        <f t="shared" si="14"/>
        <v>#NUM!</v>
      </c>
      <c r="K158" s="179" t="e">
        <f t="shared" si="12"/>
        <v>#NUM!</v>
      </c>
      <c r="L158" s="179"/>
      <c r="M158" s="181">
        <f t="shared" si="13"/>
        <v>0</v>
      </c>
    </row>
    <row r="159" spans="1:13" x14ac:dyDescent="0.25">
      <c r="A159" s="197"/>
      <c r="G159" s="164"/>
      <c r="H159" s="179">
        <v>154</v>
      </c>
      <c r="I159" s="180" t="str">
        <f t="shared" si="11"/>
        <v/>
      </c>
      <c r="J159" s="180" t="e">
        <f t="shared" si="14"/>
        <v>#NUM!</v>
      </c>
      <c r="K159" s="179" t="e">
        <f t="shared" si="12"/>
        <v>#NUM!</v>
      </c>
      <c r="L159" s="179"/>
      <c r="M159" s="181">
        <f t="shared" si="13"/>
        <v>0</v>
      </c>
    </row>
    <row r="160" spans="1:13" x14ac:dyDescent="0.25">
      <c r="A160" s="197"/>
      <c r="G160" s="164"/>
      <c r="H160" s="179">
        <v>155</v>
      </c>
      <c r="I160" s="180" t="str">
        <f t="shared" si="11"/>
        <v/>
      </c>
      <c r="J160" s="180" t="e">
        <f t="shared" si="14"/>
        <v>#NUM!</v>
      </c>
      <c r="K160" s="179" t="e">
        <f t="shared" si="12"/>
        <v>#NUM!</v>
      </c>
      <c r="L160" s="179"/>
      <c r="M160" s="181">
        <f t="shared" si="13"/>
        <v>0</v>
      </c>
    </row>
    <row r="161" spans="1:13" x14ac:dyDescent="0.25">
      <c r="A161" s="197"/>
      <c r="G161" s="164"/>
      <c r="H161" s="179">
        <v>156</v>
      </c>
      <c r="I161" s="180" t="str">
        <f t="shared" si="11"/>
        <v/>
      </c>
      <c r="J161" s="180" t="e">
        <f t="shared" si="14"/>
        <v>#NUM!</v>
      </c>
      <c r="K161" s="179" t="e">
        <f t="shared" si="12"/>
        <v>#NUM!</v>
      </c>
      <c r="L161" s="179"/>
      <c r="M161" s="181">
        <f t="shared" si="13"/>
        <v>0</v>
      </c>
    </row>
    <row r="162" spans="1:13" x14ac:dyDescent="0.25">
      <c r="A162" s="197"/>
      <c r="G162" s="164"/>
      <c r="H162" s="179">
        <v>157</v>
      </c>
      <c r="I162" s="180" t="str">
        <f t="shared" si="11"/>
        <v/>
      </c>
      <c r="J162" s="180" t="e">
        <f t="shared" si="14"/>
        <v>#NUM!</v>
      </c>
      <c r="K162" s="179" t="e">
        <f t="shared" si="12"/>
        <v>#NUM!</v>
      </c>
      <c r="L162" s="179"/>
      <c r="M162" s="181">
        <f t="shared" si="13"/>
        <v>0</v>
      </c>
    </row>
    <row r="163" spans="1:13" x14ac:dyDescent="0.25">
      <c r="A163" s="197"/>
      <c r="G163" s="164"/>
      <c r="H163" s="179">
        <v>158</v>
      </c>
      <c r="I163" s="180" t="str">
        <f t="shared" si="11"/>
        <v/>
      </c>
      <c r="J163" s="180" t="e">
        <f t="shared" si="14"/>
        <v>#NUM!</v>
      </c>
      <c r="K163" s="179" t="e">
        <f t="shared" si="12"/>
        <v>#NUM!</v>
      </c>
      <c r="L163" s="179"/>
      <c r="M163" s="181">
        <f t="shared" si="13"/>
        <v>0</v>
      </c>
    </row>
    <row r="164" spans="1:13" x14ac:dyDescent="0.25">
      <c r="A164" s="197"/>
      <c r="G164" s="164"/>
      <c r="H164" s="179">
        <v>159</v>
      </c>
      <c r="I164" s="180" t="str">
        <f t="shared" si="11"/>
        <v/>
      </c>
      <c r="J164" s="180" t="e">
        <f t="shared" si="14"/>
        <v>#NUM!</v>
      </c>
      <c r="K164" s="179" t="e">
        <f t="shared" si="12"/>
        <v>#NUM!</v>
      </c>
      <c r="L164" s="179"/>
      <c r="M164" s="181">
        <f t="shared" si="13"/>
        <v>0</v>
      </c>
    </row>
    <row r="165" spans="1:13" x14ac:dyDescent="0.25">
      <c r="A165" s="197"/>
      <c r="G165" s="164"/>
      <c r="H165" s="179">
        <v>160</v>
      </c>
      <c r="I165" s="180" t="str">
        <f t="shared" si="11"/>
        <v/>
      </c>
      <c r="J165" s="180" t="e">
        <f t="shared" si="14"/>
        <v>#NUM!</v>
      </c>
      <c r="K165" s="179" t="e">
        <f t="shared" si="12"/>
        <v>#NUM!</v>
      </c>
      <c r="L165" s="179"/>
      <c r="M165" s="181">
        <f t="shared" si="13"/>
        <v>0</v>
      </c>
    </row>
    <row r="166" spans="1:13" x14ac:dyDescent="0.25">
      <c r="A166" s="197"/>
      <c r="G166" s="164"/>
      <c r="H166" s="179">
        <v>161</v>
      </c>
      <c r="I166" s="180" t="str">
        <f t="shared" si="11"/>
        <v/>
      </c>
      <c r="J166" s="180" t="e">
        <f t="shared" si="14"/>
        <v>#NUM!</v>
      </c>
      <c r="K166" s="179" t="e">
        <f t="shared" si="12"/>
        <v>#NUM!</v>
      </c>
      <c r="L166" s="179"/>
      <c r="M166" s="181">
        <f t="shared" si="13"/>
        <v>0</v>
      </c>
    </row>
    <row r="167" spans="1:13" x14ac:dyDescent="0.25">
      <c r="A167" s="197"/>
      <c r="G167" s="164"/>
      <c r="H167" s="179">
        <v>162</v>
      </c>
      <c r="I167" s="180" t="str">
        <f t="shared" si="11"/>
        <v/>
      </c>
      <c r="J167" s="180" t="e">
        <f t="shared" si="14"/>
        <v>#NUM!</v>
      </c>
      <c r="K167" s="179" t="e">
        <f t="shared" si="12"/>
        <v>#NUM!</v>
      </c>
      <c r="L167" s="179"/>
      <c r="M167" s="181">
        <f t="shared" si="13"/>
        <v>0</v>
      </c>
    </row>
    <row r="168" spans="1:13" x14ac:dyDescent="0.25">
      <c r="A168" s="197"/>
      <c r="G168" s="164"/>
      <c r="H168" s="179">
        <v>163</v>
      </c>
      <c r="I168" s="180" t="str">
        <f t="shared" si="11"/>
        <v/>
      </c>
      <c r="J168" s="180" t="e">
        <f t="shared" si="14"/>
        <v>#NUM!</v>
      </c>
      <c r="K168" s="179" t="e">
        <f t="shared" si="12"/>
        <v>#NUM!</v>
      </c>
      <c r="L168" s="179"/>
      <c r="M168" s="181">
        <f t="shared" si="13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1"/>
        <v/>
      </c>
      <c r="J169" s="180" t="e">
        <f t="shared" si="14"/>
        <v>#NUM!</v>
      </c>
      <c r="K169" s="179" t="e">
        <f t="shared" si="12"/>
        <v>#NUM!</v>
      </c>
      <c r="L169" s="179"/>
      <c r="M169" s="181">
        <f t="shared" si="13"/>
        <v>0</v>
      </c>
    </row>
    <row r="170" spans="1:13" x14ac:dyDescent="0.25">
      <c r="A170" s="197"/>
      <c r="G170" s="164"/>
      <c r="H170" s="179">
        <v>165</v>
      </c>
      <c r="I170" s="180" t="str">
        <f t="shared" si="11"/>
        <v/>
      </c>
      <c r="J170" s="180" t="e">
        <f t="shared" si="14"/>
        <v>#NUM!</v>
      </c>
      <c r="K170" s="179" t="e">
        <f t="shared" si="12"/>
        <v>#NUM!</v>
      </c>
      <c r="L170" s="179"/>
      <c r="M170" s="181">
        <f t="shared" si="13"/>
        <v>0</v>
      </c>
    </row>
    <row r="171" spans="1:13" x14ac:dyDescent="0.25">
      <c r="A171" s="197"/>
      <c r="G171" s="164"/>
      <c r="H171" s="179">
        <v>166</v>
      </c>
      <c r="I171" s="180" t="str">
        <f t="shared" si="11"/>
        <v/>
      </c>
      <c r="J171" s="180" t="e">
        <f t="shared" si="14"/>
        <v>#NUM!</v>
      </c>
      <c r="K171" s="179" t="e">
        <f t="shared" si="12"/>
        <v>#NUM!</v>
      </c>
      <c r="L171" s="179"/>
      <c r="M171" s="181">
        <f t="shared" si="13"/>
        <v>0</v>
      </c>
    </row>
    <row r="172" spans="1:13" x14ac:dyDescent="0.25">
      <c r="A172" s="197"/>
      <c r="G172" s="164"/>
      <c r="H172" s="179">
        <v>167</v>
      </c>
      <c r="I172" s="180" t="str">
        <f t="shared" si="11"/>
        <v/>
      </c>
      <c r="J172" s="180" t="e">
        <f t="shared" si="14"/>
        <v>#NUM!</v>
      </c>
      <c r="K172" s="179" t="e">
        <f t="shared" si="12"/>
        <v>#NUM!</v>
      </c>
      <c r="L172" s="179"/>
      <c r="M172" s="181">
        <f t="shared" si="13"/>
        <v>0</v>
      </c>
    </row>
    <row r="173" spans="1:13" x14ac:dyDescent="0.25">
      <c r="A173" s="197"/>
      <c r="G173" s="164"/>
      <c r="H173" s="179">
        <v>168</v>
      </c>
      <c r="I173" s="180" t="str">
        <f t="shared" si="11"/>
        <v/>
      </c>
      <c r="J173" s="180" t="e">
        <f t="shared" si="14"/>
        <v>#NUM!</v>
      </c>
      <c r="K173" s="179" t="e">
        <f t="shared" si="12"/>
        <v>#NUM!</v>
      </c>
      <c r="L173" s="179"/>
      <c r="M173" s="181">
        <f t="shared" si="13"/>
        <v>0</v>
      </c>
    </row>
    <row r="174" spans="1:13" x14ac:dyDescent="0.25">
      <c r="A174" s="197"/>
      <c r="G174" s="164"/>
      <c r="H174" s="179">
        <v>169</v>
      </c>
      <c r="I174" s="180" t="str">
        <f t="shared" si="11"/>
        <v/>
      </c>
      <c r="J174" s="180" t="e">
        <f t="shared" si="14"/>
        <v>#NUM!</v>
      </c>
      <c r="K174" s="179" t="e">
        <f t="shared" si="12"/>
        <v>#NUM!</v>
      </c>
      <c r="L174" s="179"/>
      <c r="M174" s="181">
        <f t="shared" si="13"/>
        <v>0</v>
      </c>
    </row>
    <row r="175" spans="1:13" x14ac:dyDescent="0.25">
      <c r="A175" s="197"/>
      <c r="G175" s="164"/>
      <c r="H175" s="179">
        <v>170</v>
      </c>
      <c r="I175" s="180" t="str">
        <f t="shared" si="11"/>
        <v/>
      </c>
      <c r="J175" s="180" t="e">
        <f t="shared" si="14"/>
        <v>#NUM!</v>
      </c>
      <c r="K175" s="179" t="e">
        <f t="shared" si="12"/>
        <v>#NUM!</v>
      </c>
      <c r="L175" s="179"/>
      <c r="M175" s="181">
        <f t="shared" si="13"/>
        <v>0</v>
      </c>
    </row>
    <row r="176" spans="1:13" x14ac:dyDescent="0.25">
      <c r="A176" s="197"/>
      <c r="G176" s="164"/>
      <c r="H176" s="179">
        <v>171</v>
      </c>
      <c r="I176" s="180" t="str">
        <f t="shared" si="11"/>
        <v/>
      </c>
      <c r="J176" s="180" t="e">
        <f t="shared" si="14"/>
        <v>#NUM!</v>
      </c>
      <c r="K176" s="179" t="e">
        <f t="shared" si="12"/>
        <v>#NUM!</v>
      </c>
      <c r="L176" s="179"/>
      <c r="M176" s="181">
        <f t="shared" si="13"/>
        <v>0</v>
      </c>
    </row>
    <row r="177" spans="1:13" x14ac:dyDescent="0.25">
      <c r="A177" s="197"/>
      <c r="G177" s="164"/>
      <c r="H177" s="179">
        <v>172</v>
      </c>
      <c r="I177" s="180" t="str">
        <f t="shared" si="11"/>
        <v/>
      </c>
      <c r="J177" s="180" t="e">
        <f t="shared" si="14"/>
        <v>#NUM!</v>
      </c>
      <c r="K177" s="179" t="e">
        <f t="shared" si="12"/>
        <v>#NUM!</v>
      </c>
      <c r="L177" s="179"/>
      <c r="M177" s="181">
        <f t="shared" si="13"/>
        <v>0</v>
      </c>
    </row>
    <row r="178" spans="1:13" x14ac:dyDescent="0.25">
      <c r="A178" s="197"/>
      <c r="G178" s="164"/>
      <c r="H178" s="179">
        <v>173</v>
      </c>
      <c r="I178" s="180" t="str">
        <f t="shared" si="11"/>
        <v/>
      </c>
      <c r="J178" s="180" t="e">
        <f t="shared" si="14"/>
        <v>#NUM!</v>
      </c>
      <c r="K178" s="179" t="e">
        <f t="shared" si="12"/>
        <v>#NUM!</v>
      </c>
      <c r="L178" s="179"/>
      <c r="M178" s="181">
        <f t="shared" si="13"/>
        <v>0</v>
      </c>
    </row>
    <row r="179" spans="1:13" x14ac:dyDescent="0.25">
      <c r="A179" s="197"/>
      <c r="G179" s="164"/>
      <c r="H179" s="179">
        <v>174</v>
      </c>
      <c r="I179" s="180" t="str">
        <f t="shared" si="11"/>
        <v/>
      </c>
      <c r="J179" s="180" t="e">
        <f t="shared" si="14"/>
        <v>#NUM!</v>
      </c>
      <c r="K179" s="179" t="e">
        <f t="shared" si="12"/>
        <v>#NUM!</v>
      </c>
      <c r="L179" s="179"/>
      <c r="M179" s="181">
        <f t="shared" si="13"/>
        <v>0</v>
      </c>
    </row>
    <row r="180" spans="1:13" x14ac:dyDescent="0.25">
      <c r="A180" s="197"/>
      <c r="G180" s="164"/>
      <c r="H180" s="179">
        <v>175</v>
      </c>
      <c r="I180" s="180" t="str">
        <f t="shared" si="11"/>
        <v/>
      </c>
      <c r="J180" s="180" t="e">
        <f t="shared" si="14"/>
        <v>#NUM!</v>
      </c>
      <c r="K180" s="179" t="e">
        <f t="shared" si="12"/>
        <v>#NUM!</v>
      </c>
      <c r="L180" s="179"/>
      <c r="M180" s="181">
        <f t="shared" si="13"/>
        <v>0</v>
      </c>
    </row>
    <row r="181" spans="1:13" x14ac:dyDescent="0.25">
      <c r="A181" s="197"/>
      <c r="G181" s="164"/>
      <c r="H181" s="179">
        <v>176</v>
      </c>
      <c r="I181" s="180" t="str">
        <f t="shared" si="11"/>
        <v/>
      </c>
      <c r="J181" s="180" t="e">
        <f t="shared" si="14"/>
        <v>#NUM!</v>
      </c>
      <c r="K181" s="179" t="e">
        <f t="shared" si="12"/>
        <v>#NUM!</v>
      </c>
      <c r="L181" s="179"/>
      <c r="M181" s="181">
        <f t="shared" si="13"/>
        <v>0</v>
      </c>
    </row>
    <row r="182" spans="1:13" x14ac:dyDescent="0.25">
      <c r="A182" s="197"/>
      <c r="G182" s="164"/>
      <c r="H182" s="179">
        <v>177</v>
      </c>
      <c r="I182" s="180" t="str">
        <f t="shared" si="11"/>
        <v/>
      </c>
      <c r="J182" s="180" t="e">
        <f t="shared" si="14"/>
        <v>#NUM!</v>
      </c>
      <c r="K182" s="179" t="e">
        <f t="shared" si="12"/>
        <v>#NUM!</v>
      </c>
      <c r="L182" s="179"/>
      <c r="M182" s="181">
        <f t="shared" si="13"/>
        <v>0</v>
      </c>
    </row>
    <row r="183" spans="1:13" x14ac:dyDescent="0.25">
      <c r="A183" s="197"/>
      <c r="G183" s="164"/>
      <c r="H183" s="179">
        <v>178</v>
      </c>
      <c r="I183" s="180" t="str">
        <f t="shared" si="11"/>
        <v/>
      </c>
      <c r="J183" s="180" t="e">
        <f t="shared" si="14"/>
        <v>#NUM!</v>
      </c>
      <c r="K183" s="179" t="e">
        <f t="shared" si="12"/>
        <v>#NUM!</v>
      </c>
      <c r="L183" s="179"/>
      <c r="M183" s="181">
        <f t="shared" si="13"/>
        <v>0</v>
      </c>
    </row>
    <row r="184" spans="1:13" x14ac:dyDescent="0.25">
      <c r="A184" s="197"/>
      <c r="G184" s="164"/>
      <c r="H184" s="179">
        <v>179</v>
      </c>
      <c r="I184" s="180" t="str">
        <f t="shared" si="11"/>
        <v/>
      </c>
      <c r="J184" s="180" t="e">
        <f t="shared" si="14"/>
        <v>#NUM!</v>
      </c>
      <c r="K184" s="179" t="e">
        <f t="shared" si="12"/>
        <v>#NUM!</v>
      </c>
      <c r="L184" s="179"/>
      <c r="M184" s="181">
        <f t="shared" si="13"/>
        <v>0</v>
      </c>
    </row>
    <row r="185" spans="1:13" x14ac:dyDescent="0.25">
      <c r="A185" s="197"/>
      <c r="G185" s="164"/>
      <c r="H185" s="179">
        <v>180</v>
      </c>
      <c r="I185" s="180" t="str">
        <f t="shared" si="11"/>
        <v/>
      </c>
      <c r="J185" s="180" t="e">
        <f t="shared" si="14"/>
        <v>#NUM!</v>
      </c>
      <c r="K185" s="179" t="e">
        <f t="shared" si="12"/>
        <v>#NUM!</v>
      </c>
      <c r="L185" s="179"/>
      <c r="M185" s="181">
        <f t="shared" si="13"/>
        <v>0</v>
      </c>
    </row>
    <row r="186" spans="1:13" x14ac:dyDescent="0.25">
      <c r="A186" s="197"/>
      <c r="G186" s="164"/>
      <c r="H186" s="179">
        <v>181</v>
      </c>
      <c r="I186" s="180" t="str">
        <f t="shared" si="11"/>
        <v/>
      </c>
      <c r="J186" s="180" t="e">
        <f t="shared" si="14"/>
        <v>#NUM!</v>
      </c>
      <c r="K186" s="179" t="e">
        <f t="shared" si="12"/>
        <v>#NUM!</v>
      </c>
      <c r="L186" s="179"/>
      <c r="M186" s="181">
        <f t="shared" si="13"/>
        <v>0</v>
      </c>
    </row>
    <row r="187" spans="1:13" x14ac:dyDescent="0.25">
      <c r="A187" s="197"/>
      <c r="G187" s="164"/>
      <c r="H187" s="179">
        <v>182</v>
      </c>
      <c r="I187" s="180" t="str">
        <f t="shared" si="11"/>
        <v/>
      </c>
      <c r="J187" s="180" t="e">
        <f t="shared" si="14"/>
        <v>#NUM!</v>
      </c>
      <c r="K187" s="179" t="e">
        <f t="shared" si="12"/>
        <v>#NUM!</v>
      </c>
      <c r="L187" s="179"/>
      <c r="M187" s="181">
        <f t="shared" si="13"/>
        <v>0</v>
      </c>
    </row>
    <row r="188" spans="1:13" x14ac:dyDescent="0.25">
      <c r="A188" s="197"/>
      <c r="G188" s="164"/>
      <c r="H188" s="179">
        <v>183</v>
      </c>
      <c r="I188" s="180" t="str">
        <f t="shared" si="11"/>
        <v/>
      </c>
      <c r="J188" s="180" t="e">
        <f t="shared" si="14"/>
        <v>#NUM!</v>
      </c>
      <c r="K188" s="179" t="e">
        <f t="shared" si="12"/>
        <v>#NUM!</v>
      </c>
      <c r="L188" s="179"/>
      <c r="M188" s="181">
        <f t="shared" si="13"/>
        <v>0</v>
      </c>
    </row>
    <row r="189" spans="1:13" x14ac:dyDescent="0.25">
      <c r="A189" s="197"/>
      <c r="G189" s="164"/>
      <c r="H189" s="179">
        <v>184</v>
      </c>
      <c r="I189" s="180" t="str">
        <f t="shared" si="11"/>
        <v/>
      </c>
      <c r="J189" s="180" t="e">
        <f t="shared" si="14"/>
        <v>#NUM!</v>
      </c>
      <c r="K189" s="179" t="e">
        <f t="shared" si="12"/>
        <v>#NUM!</v>
      </c>
      <c r="L189" s="179"/>
      <c r="M189" s="181">
        <f t="shared" si="13"/>
        <v>0</v>
      </c>
    </row>
    <row r="190" spans="1:13" x14ac:dyDescent="0.25">
      <c r="A190" s="197"/>
      <c r="G190" s="164"/>
      <c r="H190" s="179">
        <v>185</v>
      </c>
      <c r="I190" s="180" t="str">
        <f t="shared" si="11"/>
        <v/>
      </c>
      <c r="J190" s="180" t="e">
        <f t="shared" si="14"/>
        <v>#NUM!</v>
      </c>
      <c r="K190" s="179" t="e">
        <f t="shared" si="12"/>
        <v>#NUM!</v>
      </c>
      <c r="L190" s="179"/>
      <c r="M190" s="181">
        <f t="shared" si="13"/>
        <v>0</v>
      </c>
    </row>
    <row r="191" spans="1:13" x14ac:dyDescent="0.25">
      <c r="A191" s="197"/>
      <c r="G191" s="164"/>
      <c r="H191" s="179">
        <v>186</v>
      </c>
      <c r="I191" s="180" t="str">
        <f t="shared" si="11"/>
        <v/>
      </c>
      <c r="J191" s="180" t="e">
        <f t="shared" si="14"/>
        <v>#NUM!</v>
      </c>
      <c r="K191" s="179" t="e">
        <f t="shared" si="12"/>
        <v>#NUM!</v>
      </c>
      <c r="L191" s="179"/>
      <c r="M191" s="181">
        <f t="shared" si="13"/>
        <v>0</v>
      </c>
    </row>
    <row r="192" spans="1:13" x14ac:dyDescent="0.25">
      <c r="A192" s="197"/>
      <c r="G192" s="164"/>
      <c r="H192" s="179">
        <v>187</v>
      </c>
      <c r="I192" s="180" t="str">
        <f t="shared" si="11"/>
        <v/>
      </c>
      <c r="J192" s="180" t="e">
        <f t="shared" si="14"/>
        <v>#NUM!</v>
      </c>
      <c r="K192" s="179" t="e">
        <f t="shared" si="12"/>
        <v>#NUM!</v>
      </c>
      <c r="L192" s="179"/>
      <c r="M192" s="181">
        <f t="shared" si="13"/>
        <v>0</v>
      </c>
    </row>
    <row r="193" spans="1:13" x14ac:dyDescent="0.25">
      <c r="A193" s="197"/>
      <c r="G193" s="164"/>
      <c r="H193" s="179">
        <v>188</v>
      </c>
      <c r="I193" s="180" t="str">
        <f t="shared" si="11"/>
        <v/>
      </c>
      <c r="J193" s="180" t="e">
        <f t="shared" si="14"/>
        <v>#NUM!</v>
      </c>
      <c r="K193" s="179" t="e">
        <f t="shared" si="12"/>
        <v>#NUM!</v>
      </c>
      <c r="L193" s="179"/>
      <c r="M193" s="181">
        <f t="shared" si="13"/>
        <v>0</v>
      </c>
    </row>
    <row r="194" spans="1:13" x14ac:dyDescent="0.25">
      <c r="A194" s="197"/>
      <c r="G194" s="164"/>
      <c r="H194" s="179">
        <v>189</v>
      </c>
      <c r="I194" s="180" t="str">
        <f t="shared" si="11"/>
        <v/>
      </c>
      <c r="J194" s="180" t="e">
        <f t="shared" si="14"/>
        <v>#NUM!</v>
      </c>
      <c r="K194" s="179" t="e">
        <f t="shared" si="12"/>
        <v>#NUM!</v>
      </c>
      <c r="L194" s="179"/>
      <c r="M194" s="181">
        <f t="shared" si="13"/>
        <v>0</v>
      </c>
    </row>
    <row r="195" spans="1:13" x14ac:dyDescent="0.25">
      <c r="A195" s="197"/>
      <c r="G195" s="164"/>
      <c r="H195" s="179">
        <v>190</v>
      </c>
      <c r="I195" s="180" t="str">
        <f t="shared" si="11"/>
        <v/>
      </c>
      <c r="J195" s="180" t="e">
        <f t="shared" si="14"/>
        <v>#NUM!</v>
      </c>
      <c r="K195" s="179" t="e">
        <f t="shared" si="12"/>
        <v>#NUM!</v>
      </c>
      <c r="L195" s="179"/>
      <c r="M195" s="181">
        <f t="shared" si="13"/>
        <v>0</v>
      </c>
    </row>
    <row r="196" spans="1:13" x14ac:dyDescent="0.25">
      <c r="A196" s="197"/>
      <c r="G196" s="164"/>
      <c r="H196" s="179">
        <v>191</v>
      </c>
      <c r="I196" s="180" t="str">
        <f t="shared" si="11"/>
        <v/>
      </c>
      <c r="J196" s="180" t="e">
        <f t="shared" si="14"/>
        <v>#NUM!</v>
      </c>
      <c r="K196" s="179" t="e">
        <f t="shared" si="12"/>
        <v>#NUM!</v>
      </c>
      <c r="L196" s="179"/>
      <c r="M196" s="181">
        <f t="shared" si="13"/>
        <v>0</v>
      </c>
    </row>
    <row r="197" spans="1:13" x14ac:dyDescent="0.25">
      <c r="A197" s="197"/>
      <c r="G197" s="164"/>
      <c r="H197" s="179">
        <v>192</v>
      </c>
      <c r="I197" s="180" t="str">
        <f t="shared" si="11"/>
        <v/>
      </c>
      <c r="J197" s="180" t="e">
        <f t="shared" si="14"/>
        <v>#NUM!</v>
      </c>
      <c r="K197" s="179" t="e">
        <f t="shared" si="12"/>
        <v>#NUM!</v>
      </c>
      <c r="L197" s="179"/>
      <c r="M197" s="181">
        <f t="shared" si="13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5">IF(H198&lt;$H$2+1,($I$2-($I$2-1)*(LOG(H198)/LOG($H$2))),"")</f>
        <v/>
      </c>
      <c r="J198" s="180" t="e">
        <f t="shared" si="14"/>
        <v>#NUM!</v>
      </c>
      <c r="K198" s="179" t="e">
        <f t="shared" ref="K198:K261" si="16">J198*$J$2</f>
        <v>#NUM!</v>
      </c>
      <c r="L198" s="179"/>
      <c r="M198" s="181">
        <f t="shared" ref="M198:M261" si="17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5"/>
        <v/>
      </c>
      <c r="J199" s="180" t="e">
        <f t="shared" ref="J199:J262" si="18">INT(LOG($H$2,2))-ROUNDUP(LOG(H199,2),0)+IF(OR($H$2=1,$H$2=2,$H$2=4,$H$2=8,$H$2=16,$H$2=32,$H$2=64,$H$2=128,$H$2=256),0,1)</f>
        <v>#NUM!</v>
      </c>
      <c r="K199" s="179" t="e">
        <f t="shared" si="16"/>
        <v>#NUM!</v>
      </c>
      <c r="L199" s="179"/>
      <c r="M199" s="181">
        <f t="shared" si="17"/>
        <v>0</v>
      </c>
    </row>
    <row r="200" spans="1:13" x14ac:dyDescent="0.25">
      <c r="A200" s="197"/>
      <c r="G200" s="164"/>
      <c r="H200" s="179">
        <v>195</v>
      </c>
      <c r="I200" s="180" t="str">
        <f t="shared" si="15"/>
        <v/>
      </c>
      <c r="J200" s="180" t="e">
        <f t="shared" si="18"/>
        <v>#NUM!</v>
      </c>
      <c r="K200" s="179" t="e">
        <f t="shared" si="16"/>
        <v>#NUM!</v>
      </c>
      <c r="L200" s="179"/>
      <c r="M200" s="181">
        <f t="shared" si="17"/>
        <v>0</v>
      </c>
    </row>
    <row r="201" spans="1:13" x14ac:dyDescent="0.25">
      <c r="A201" s="197"/>
      <c r="G201" s="164"/>
      <c r="H201" s="179">
        <v>196</v>
      </c>
      <c r="I201" s="180" t="str">
        <f t="shared" si="15"/>
        <v/>
      </c>
      <c r="J201" s="180" t="e">
        <f t="shared" si="18"/>
        <v>#NUM!</v>
      </c>
      <c r="K201" s="179" t="e">
        <f t="shared" si="16"/>
        <v>#NUM!</v>
      </c>
      <c r="L201" s="179"/>
      <c r="M201" s="181">
        <f t="shared" si="17"/>
        <v>0</v>
      </c>
    </row>
    <row r="202" spans="1:13" x14ac:dyDescent="0.25">
      <c r="A202" s="197"/>
      <c r="G202" s="164"/>
      <c r="H202" s="179">
        <v>197</v>
      </c>
      <c r="I202" s="180" t="str">
        <f t="shared" si="15"/>
        <v/>
      </c>
      <c r="J202" s="180" t="e">
        <f t="shared" si="18"/>
        <v>#NUM!</v>
      </c>
      <c r="K202" s="179" t="e">
        <f t="shared" si="16"/>
        <v>#NUM!</v>
      </c>
      <c r="L202" s="179"/>
      <c r="M202" s="181">
        <f t="shared" si="17"/>
        <v>0</v>
      </c>
    </row>
    <row r="203" spans="1:13" x14ac:dyDescent="0.25">
      <c r="A203" s="197"/>
      <c r="G203" s="164"/>
      <c r="H203" s="179">
        <v>198</v>
      </c>
      <c r="I203" s="180" t="str">
        <f t="shared" si="15"/>
        <v/>
      </c>
      <c r="J203" s="180" t="e">
        <f t="shared" si="18"/>
        <v>#NUM!</v>
      </c>
      <c r="K203" s="179" t="e">
        <f t="shared" si="16"/>
        <v>#NUM!</v>
      </c>
      <c r="L203" s="179"/>
      <c r="M203" s="181">
        <f t="shared" si="17"/>
        <v>0</v>
      </c>
    </row>
    <row r="204" spans="1:13" x14ac:dyDescent="0.25">
      <c r="A204" s="197"/>
      <c r="G204" s="164"/>
      <c r="H204" s="179">
        <v>199</v>
      </c>
      <c r="I204" s="180" t="str">
        <f t="shared" si="15"/>
        <v/>
      </c>
      <c r="J204" s="180" t="e">
        <f t="shared" si="18"/>
        <v>#NUM!</v>
      </c>
      <c r="K204" s="179" t="e">
        <f t="shared" si="16"/>
        <v>#NUM!</v>
      </c>
      <c r="L204" s="179"/>
      <c r="M204" s="181">
        <f t="shared" si="17"/>
        <v>0</v>
      </c>
    </row>
    <row r="205" spans="1:13" x14ac:dyDescent="0.25">
      <c r="A205" s="197"/>
      <c r="G205" s="164"/>
      <c r="H205" s="179">
        <v>200</v>
      </c>
      <c r="I205" s="180" t="str">
        <f t="shared" si="15"/>
        <v/>
      </c>
      <c r="J205" s="180" t="e">
        <f t="shared" si="18"/>
        <v>#NUM!</v>
      </c>
      <c r="K205" s="179" t="e">
        <f t="shared" si="16"/>
        <v>#NUM!</v>
      </c>
      <c r="L205" s="179"/>
      <c r="M205" s="181">
        <f t="shared" si="17"/>
        <v>0</v>
      </c>
    </row>
    <row r="206" spans="1:13" x14ac:dyDescent="0.25">
      <c r="A206" s="197"/>
      <c r="G206" s="164"/>
      <c r="H206" s="179">
        <v>201</v>
      </c>
      <c r="I206" s="180" t="str">
        <f t="shared" si="15"/>
        <v/>
      </c>
      <c r="J206" s="180" t="e">
        <f t="shared" si="18"/>
        <v>#NUM!</v>
      </c>
      <c r="K206" s="179" t="e">
        <f t="shared" si="16"/>
        <v>#NUM!</v>
      </c>
      <c r="L206" s="179"/>
      <c r="M206" s="181">
        <f t="shared" si="17"/>
        <v>0</v>
      </c>
    </row>
    <row r="207" spans="1:13" x14ac:dyDescent="0.25">
      <c r="A207" s="197"/>
      <c r="G207" s="164"/>
      <c r="H207" s="179">
        <v>202</v>
      </c>
      <c r="I207" s="180" t="str">
        <f t="shared" si="15"/>
        <v/>
      </c>
      <c r="J207" s="180" t="e">
        <f t="shared" si="18"/>
        <v>#NUM!</v>
      </c>
      <c r="K207" s="179" t="e">
        <f t="shared" si="16"/>
        <v>#NUM!</v>
      </c>
      <c r="L207" s="179"/>
      <c r="M207" s="181">
        <f t="shared" si="17"/>
        <v>0</v>
      </c>
    </row>
    <row r="208" spans="1:13" x14ac:dyDescent="0.25">
      <c r="A208" s="197"/>
      <c r="G208" s="164"/>
      <c r="H208" s="179">
        <v>203</v>
      </c>
      <c r="I208" s="180" t="str">
        <f t="shared" si="15"/>
        <v/>
      </c>
      <c r="J208" s="180" t="e">
        <f t="shared" si="18"/>
        <v>#NUM!</v>
      </c>
      <c r="K208" s="179" t="e">
        <f t="shared" si="16"/>
        <v>#NUM!</v>
      </c>
      <c r="L208" s="179"/>
      <c r="M208" s="181">
        <f t="shared" si="17"/>
        <v>0</v>
      </c>
    </row>
    <row r="209" spans="1:13" x14ac:dyDescent="0.25">
      <c r="A209" s="197"/>
      <c r="G209" s="164"/>
      <c r="H209" s="179">
        <v>204</v>
      </c>
      <c r="I209" s="180" t="str">
        <f t="shared" si="15"/>
        <v/>
      </c>
      <c r="J209" s="180" t="e">
        <f t="shared" si="18"/>
        <v>#NUM!</v>
      </c>
      <c r="K209" s="179" t="e">
        <f t="shared" si="16"/>
        <v>#NUM!</v>
      </c>
      <c r="L209" s="179"/>
      <c r="M209" s="181">
        <f t="shared" si="17"/>
        <v>0</v>
      </c>
    </row>
    <row r="210" spans="1:13" x14ac:dyDescent="0.25">
      <c r="A210" s="197"/>
      <c r="G210" s="164"/>
      <c r="H210" s="179">
        <v>205</v>
      </c>
      <c r="I210" s="180" t="str">
        <f t="shared" si="15"/>
        <v/>
      </c>
      <c r="J210" s="180" t="e">
        <f t="shared" si="18"/>
        <v>#NUM!</v>
      </c>
      <c r="K210" s="179" t="e">
        <f t="shared" si="16"/>
        <v>#NUM!</v>
      </c>
      <c r="L210" s="179"/>
      <c r="M210" s="181">
        <f t="shared" si="17"/>
        <v>0</v>
      </c>
    </row>
    <row r="211" spans="1:13" x14ac:dyDescent="0.25">
      <c r="A211" s="197"/>
      <c r="G211" s="164"/>
      <c r="H211" s="179">
        <v>206</v>
      </c>
      <c r="I211" s="180" t="str">
        <f t="shared" si="15"/>
        <v/>
      </c>
      <c r="J211" s="180" t="e">
        <f t="shared" si="18"/>
        <v>#NUM!</v>
      </c>
      <c r="K211" s="179" t="e">
        <f t="shared" si="16"/>
        <v>#NUM!</v>
      </c>
      <c r="L211" s="179"/>
      <c r="M211" s="181">
        <f t="shared" si="17"/>
        <v>0</v>
      </c>
    </row>
    <row r="212" spans="1:13" x14ac:dyDescent="0.25">
      <c r="A212" s="197"/>
      <c r="G212" s="164"/>
      <c r="H212" s="179">
        <v>207</v>
      </c>
      <c r="I212" s="180" t="str">
        <f t="shared" si="15"/>
        <v/>
      </c>
      <c r="J212" s="180" t="e">
        <f t="shared" si="18"/>
        <v>#NUM!</v>
      </c>
      <c r="K212" s="179" t="e">
        <f t="shared" si="16"/>
        <v>#NUM!</v>
      </c>
      <c r="L212" s="179"/>
      <c r="M212" s="181">
        <f t="shared" si="17"/>
        <v>0</v>
      </c>
    </row>
    <row r="213" spans="1:13" x14ac:dyDescent="0.25">
      <c r="A213" s="197"/>
      <c r="G213" s="164"/>
      <c r="H213" s="179">
        <v>208</v>
      </c>
      <c r="I213" s="180" t="str">
        <f t="shared" si="15"/>
        <v/>
      </c>
      <c r="J213" s="180" t="e">
        <f t="shared" si="18"/>
        <v>#NUM!</v>
      </c>
      <c r="K213" s="179" t="e">
        <f t="shared" si="16"/>
        <v>#NUM!</v>
      </c>
      <c r="L213" s="179"/>
      <c r="M213" s="181">
        <f t="shared" si="17"/>
        <v>0</v>
      </c>
    </row>
    <row r="214" spans="1:13" x14ac:dyDescent="0.25">
      <c r="A214" s="197"/>
      <c r="G214" s="164"/>
      <c r="H214" s="179">
        <v>209</v>
      </c>
      <c r="I214" s="180" t="str">
        <f t="shared" si="15"/>
        <v/>
      </c>
      <c r="J214" s="180" t="e">
        <f t="shared" si="18"/>
        <v>#NUM!</v>
      </c>
      <c r="K214" s="179" t="e">
        <f t="shared" si="16"/>
        <v>#NUM!</v>
      </c>
      <c r="L214" s="179"/>
      <c r="M214" s="181">
        <f t="shared" si="17"/>
        <v>0</v>
      </c>
    </row>
    <row r="215" spans="1:13" x14ac:dyDescent="0.25">
      <c r="A215" s="197"/>
      <c r="G215" s="164"/>
      <c r="H215" s="179">
        <v>210</v>
      </c>
      <c r="I215" s="180" t="str">
        <f t="shared" si="15"/>
        <v/>
      </c>
      <c r="J215" s="180" t="e">
        <f t="shared" si="18"/>
        <v>#NUM!</v>
      </c>
      <c r="K215" s="179" t="e">
        <f t="shared" si="16"/>
        <v>#NUM!</v>
      </c>
      <c r="L215" s="179"/>
      <c r="M215" s="181">
        <f t="shared" si="17"/>
        <v>0</v>
      </c>
    </row>
    <row r="216" spans="1:13" x14ac:dyDescent="0.25">
      <c r="A216" s="197"/>
      <c r="G216" s="164"/>
      <c r="H216" s="179">
        <v>211</v>
      </c>
      <c r="I216" s="180" t="str">
        <f t="shared" si="15"/>
        <v/>
      </c>
      <c r="J216" s="180" t="e">
        <f t="shared" si="18"/>
        <v>#NUM!</v>
      </c>
      <c r="K216" s="179" t="e">
        <f t="shared" si="16"/>
        <v>#NUM!</v>
      </c>
      <c r="L216" s="179"/>
      <c r="M216" s="181">
        <f t="shared" si="17"/>
        <v>0</v>
      </c>
    </row>
    <row r="217" spans="1:13" x14ac:dyDescent="0.25">
      <c r="A217" s="197"/>
      <c r="G217" s="164"/>
      <c r="H217" s="179">
        <v>212</v>
      </c>
      <c r="I217" s="180" t="str">
        <f t="shared" si="15"/>
        <v/>
      </c>
      <c r="J217" s="180" t="e">
        <f t="shared" si="18"/>
        <v>#NUM!</v>
      </c>
      <c r="K217" s="179" t="e">
        <f t="shared" si="16"/>
        <v>#NUM!</v>
      </c>
      <c r="L217" s="179"/>
      <c r="M217" s="181">
        <f t="shared" si="17"/>
        <v>0</v>
      </c>
    </row>
    <row r="218" spans="1:13" x14ac:dyDescent="0.25">
      <c r="A218" s="197"/>
      <c r="G218" s="164"/>
      <c r="H218" s="179">
        <v>213</v>
      </c>
      <c r="I218" s="180" t="str">
        <f t="shared" si="15"/>
        <v/>
      </c>
      <c r="J218" s="180" t="e">
        <f t="shared" si="18"/>
        <v>#NUM!</v>
      </c>
      <c r="K218" s="179" t="e">
        <f t="shared" si="16"/>
        <v>#NUM!</v>
      </c>
      <c r="L218" s="179"/>
      <c r="M218" s="181">
        <f t="shared" si="17"/>
        <v>0</v>
      </c>
    </row>
    <row r="219" spans="1:13" x14ac:dyDescent="0.25">
      <c r="A219" s="197"/>
      <c r="G219" s="164"/>
      <c r="H219" s="179">
        <v>214</v>
      </c>
      <c r="I219" s="180" t="str">
        <f t="shared" si="15"/>
        <v/>
      </c>
      <c r="J219" s="180" t="e">
        <f t="shared" si="18"/>
        <v>#NUM!</v>
      </c>
      <c r="K219" s="179" t="e">
        <f t="shared" si="16"/>
        <v>#NUM!</v>
      </c>
      <c r="L219" s="179"/>
      <c r="M219" s="181">
        <f t="shared" si="17"/>
        <v>0</v>
      </c>
    </row>
    <row r="220" spans="1:13" x14ac:dyDescent="0.25">
      <c r="A220" s="197"/>
      <c r="G220" s="164"/>
      <c r="H220" s="179">
        <v>215</v>
      </c>
      <c r="I220" s="180" t="str">
        <f t="shared" si="15"/>
        <v/>
      </c>
      <c r="J220" s="180" t="e">
        <f t="shared" si="18"/>
        <v>#NUM!</v>
      </c>
      <c r="K220" s="179" t="e">
        <f t="shared" si="16"/>
        <v>#NUM!</v>
      </c>
      <c r="L220" s="179"/>
      <c r="M220" s="181">
        <f t="shared" si="17"/>
        <v>0</v>
      </c>
    </row>
    <row r="221" spans="1:13" x14ac:dyDescent="0.25">
      <c r="A221" s="197"/>
      <c r="G221" s="164"/>
      <c r="H221" s="179">
        <v>216</v>
      </c>
      <c r="I221" s="180" t="str">
        <f t="shared" si="15"/>
        <v/>
      </c>
      <c r="J221" s="180" t="e">
        <f t="shared" si="18"/>
        <v>#NUM!</v>
      </c>
      <c r="K221" s="179" t="e">
        <f t="shared" si="16"/>
        <v>#NUM!</v>
      </c>
      <c r="L221" s="179"/>
      <c r="M221" s="181">
        <f t="shared" si="17"/>
        <v>0</v>
      </c>
    </row>
    <row r="222" spans="1:13" x14ac:dyDescent="0.25">
      <c r="A222" s="197"/>
      <c r="G222" s="164"/>
      <c r="H222" s="179">
        <v>217</v>
      </c>
      <c r="I222" s="180" t="str">
        <f t="shared" si="15"/>
        <v/>
      </c>
      <c r="J222" s="180" t="e">
        <f t="shared" si="18"/>
        <v>#NUM!</v>
      </c>
      <c r="K222" s="179" t="e">
        <f t="shared" si="16"/>
        <v>#NUM!</v>
      </c>
      <c r="L222" s="179"/>
      <c r="M222" s="181">
        <f t="shared" si="17"/>
        <v>0</v>
      </c>
    </row>
    <row r="223" spans="1:13" x14ac:dyDescent="0.25">
      <c r="A223" s="197"/>
      <c r="G223" s="164"/>
      <c r="H223" s="179">
        <v>218</v>
      </c>
      <c r="I223" s="180" t="str">
        <f t="shared" si="15"/>
        <v/>
      </c>
      <c r="J223" s="180" t="e">
        <f t="shared" si="18"/>
        <v>#NUM!</v>
      </c>
      <c r="K223" s="179" t="e">
        <f t="shared" si="16"/>
        <v>#NUM!</v>
      </c>
      <c r="L223" s="179"/>
      <c r="M223" s="181">
        <f t="shared" si="17"/>
        <v>0</v>
      </c>
    </row>
    <row r="224" spans="1:13" x14ac:dyDescent="0.25">
      <c r="A224" s="197"/>
      <c r="G224" s="164"/>
      <c r="H224" s="179">
        <v>219</v>
      </c>
      <c r="I224" s="180" t="str">
        <f t="shared" si="15"/>
        <v/>
      </c>
      <c r="J224" s="180" t="e">
        <f t="shared" si="18"/>
        <v>#NUM!</v>
      </c>
      <c r="K224" s="179" t="e">
        <f t="shared" si="16"/>
        <v>#NUM!</v>
      </c>
      <c r="L224" s="179"/>
      <c r="M224" s="181">
        <f t="shared" si="17"/>
        <v>0</v>
      </c>
    </row>
    <row r="225" spans="1:13" x14ac:dyDescent="0.25">
      <c r="A225" s="197"/>
      <c r="G225" s="164"/>
      <c r="H225" s="179">
        <v>220</v>
      </c>
      <c r="I225" s="180" t="str">
        <f t="shared" si="15"/>
        <v/>
      </c>
      <c r="J225" s="180" t="e">
        <f t="shared" si="18"/>
        <v>#NUM!</v>
      </c>
      <c r="K225" s="179" t="e">
        <f t="shared" si="16"/>
        <v>#NUM!</v>
      </c>
      <c r="L225" s="179"/>
      <c r="M225" s="181">
        <f t="shared" si="17"/>
        <v>0</v>
      </c>
    </row>
    <row r="226" spans="1:13" x14ac:dyDescent="0.25">
      <c r="A226" s="197"/>
      <c r="G226" s="164"/>
      <c r="H226" s="179">
        <v>221</v>
      </c>
      <c r="I226" s="180" t="str">
        <f t="shared" si="15"/>
        <v/>
      </c>
      <c r="J226" s="180" t="e">
        <f t="shared" si="18"/>
        <v>#NUM!</v>
      </c>
      <c r="K226" s="179" t="e">
        <f t="shared" si="16"/>
        <v>#NUM!</v>
      </c>
      <c r="L226" s="179"/>
      <c r="M226" s="181">
        <f t="shared" si="17"/>
        <v>0</v>
      </c>
    </row>
    <row r="227" spans="1:13" x14ac:dyDescent="0.25">
      <c r="A227" s="197"/>
      <c r="G227" s="164"/>
      <c r="H227" s="179">
        <v>222</v>
      </c>
      <c r="I227" s="180" t="str">
        <f t="shared" si="15"/>
        <v/>
      </c>
      <c r="J227" s="180" t="e">
        <f t="shared" si="18"/>
        <v>#NUM!</v>
      </c>
      <c r="K227" s="179" t="e">
        <f t="shared" si="16"/>
        <v>#NUM!</v>
      </c>
      <c r="L227" s="179"/>
      <c r="M227" s="181">
        <f t="shared" si="17"/>
        <v>0</v>
      </c>
    </row>
    <row r="228" spans="1:13" x14ac:dyDescent="0.25">
      <c r="A228" s="197"/>
      <c r="G228" s="164"/>
      <c r="H228" s="179">
        <v>223</v>
      </c>
      <c r="I228" s="180" t="str">
        <f t="shared" si="15"/>
        <v/>
      </c>
      <c r="J228" s="180" t="e">
        <f t="shared" si="18"/>
        <v>#NUM!</v>
      </c>
      <c r="K228" s="179" t="e">
        <f t="shared" si="16"/>
        <v>#NUM!</v>
      </c>
      <c r="L228" s="179"/>
      <c r="M228" s="181">
        <f t="shared" si="17"/>
        <v>0</v>
      </c>
    </row>
    <row r="229" spans="1:13" x14ac:dyDescent="0.25">
      <c r="A229" s="197"/>
      <c r="G229" s="164"/>
      <c r="H229" s="179">
        <v>224</v>
      </c>
      <c r="I229" s="180" t="str">
        <f t="shared" si="15"/>
        <v/>
      </c>
      <c r="J229" s="180" t="e">
        <f t="shared" si="18"/>
        <v>#NUM!</v>
      </c>
      <c r="K229" s="179" t="e">
        <f t="shared" si="16"/>
        <v>#NUM!</v>
      </c>
      <c r="L229" s="179"/>
      <c r="M229" s="181">
        <f t="shared" si="17"/>
        <v>0</v>
      </c>
    </row>
    <row r="230" spans="1:13" x14ac:dyDescent="0.25">
      <c r="A230" s="197"/>
      <c r="G230" s="164"/>
      <c r="H230" s="179">
        <v>225</v>
      </c>
      <c r="I230" s="180" t="str">
        <f t="shared" si="15"/>
        <v/>
      </c>
      <c r="J230" s="180" t="e">
        <f t="shared" si="18"/>
        <v>#NUM!</v>
      </c>
      <c r="K230" s="179" t="e">
        <f t="shared" si="16"/>
        <v>#NUM!</v>
      </c>
      <c r="L230" s="179"/>
      <c r="M230" s="181">
        <f t="shared" si="17"/>
        <v>0</v>
      </c>
    </row>
    <row r="231" spans="1:13" x14ac:dyDescent="0.25">
      <c r="A231" s="197"/>
      <c r="G231" s="164"/>
      <c r="H231" s="179">
        <v>226</v>
      </c>
      <c r="I231" s="180" t="str">
        <f t="shared" si="15"/>
        <v/>
      </c>
      <c r="J231" s="180" t="e">
        <f t="shared" si="18"/>
        <v>#NUM!</v>
      </c>
      <c r="K231" s="179" t="e">
        <f t="shared" si="16"/>
        <v>#NUM!</v>
      </c>
      <c r="L231" s="179"/>
      <c r="M231" s="181">
        <f t="shared" si="17"/>
        <v>0</v>
      </c>
    </row>
    <row r="232" spans="1:13" x14ac:dyDescent="0.25">
      <c r="A232" s="197"/>
      <c r="G232" s="164"/>
      <c r="H232" s="179">
        <v>227</v>
      </c>
      <c r="I232" s="180" t="str">
        <f t="shared" si="15"/>
        <v/>
      </c>
      <c r="J232" s="180" t="e">
        <f t="shared" si="18"/>
        <v>#NUM!</v>
      </c>
      <c r="K232" s="179" t="e">
        <f t="shared" si="16"/>
        <v>#NUM!</v>
      </c>
      <c r="L232" s="179"/>
      <c r="M232" s="181">
        <f t="shared" si="17"/>
        <v>0</v>
      </c>
    </row>
    <row r="233" spans="1:13" x14ac:dyDescent="0.25">
      <c r="A233" s="197"/>
      <c r="G233" s="164"/>
      <c r="H233" s="179">
        <v>228</v>
      </c>
      <c r="I233" s="180" t="str">
        <f t="shared" si="15"/>
        <v/>
      </c>
      <c r="J233" s="180" t="e">
        <f t="shared" si="18"/>
        <v>#NUM!</v>
      </c>
      <c r="K233" s="179" t="e">
        <f t="shared" si="16"/>
        <v>#NUM!</v>
      </c>
      <c r="L233" s="179"/>
      <c r="M233" s="181">
        <f t="shared" si="17"/>
        <v>0</v>
      </c>
    </row>
    <row r="234" spans="1:13" x14ac:dyDescent="0.25">
      <c r="A234" s="197"/>
      <c r="G234" s="164"/>
      <c r="H234" s="179">
        <v>229</v>
      </c>
      <c r="I234" s="180" t="str">
        <f t="shared" si="15"/>
        <v/>
      </c>
      <c r="J234" s="180" t="e">
        <f t="shared" si="18"/>
        <v>#NUM!</v>
      </c>
      <c r="K234" s="179" t="e">
        <f t="shared" si="16"/>
        <v>#NUM!</v>
      </c>
      <c r="L234" s="179"/>
      <c r="M234" s="181">
        <f t="shared" si="17"/>
        <v>0</v>
      </c>
    </row>
    <row r="235" spans="1:13" x14ac:dyDescent="0.25">
      <c r="A235" s="197"/>
      <c r="G235" s="164"/>
      <c r="H235" s="179">
        <v>230</v>
      </c>
      <c r="I235" s="180" t="str">
        <f t="shared" si="15"/>
        <v/>
      </c>
      <c r="J235" s="180" t="e">
        <f t="shared" si="18"/>
        <v>#NUM!</v>
      </c>
      <c r="K235" s="179" t="e">
        <f t="shared" si="16"/>
        <v>#NUM!</v>
      </c>
      <c r="L235" s="179"/>
      <c r="M235" s="181">
        <f t="shared" si="17"/>
        <v>0</v>
      </c>
    </row>
    <row r="236" spans="1:13" x14ac:dyDescent="0.25">
      <c r="A236" s="197"/>
      <c r="G236" s="164"/>
      <c r="H236" s="179">
        <v>231</v>
      </c>
      <c r="I236" s="180" t="str">
        <f t="shared" si="15"/>
        <v/>
      </c>
      <c r="J236" s="180" t="e">
        <f t="shared" si="18"/>
        <v>#NUM!</v>
      </c>
      <c r="K236" s="179" t="e">
        <f t="shared" si="16"/>
        <v>#NUM!</v>
      </c>
      <c r="L236" s="179"/>
      <c r="M236" s="181">
        <f t="shared" si="17"/>
        <v>0</v>
      </c>
    </row>
    <row r="237" spans="1:13" x14ac:dyDescent="0.25">
      <c r="A237" s="197"/>
      <c r="G237" s="164"/>
      <c r="H237" s="179">
        <v>232</v>
      </c>
      <c r="I237" s="180" t="str">
        <f t="shared" si="15"/>
        <v/>
      </c>
      <c r="J237" s="180" t="e">
        <f t="shared" si="18"/>
        <v>#NUM!</v>
      </c>
      <c r="K237" s="179" t="e">
        <f t="shared" si="16"/>
        <v>#NUM!</v>
      </c>
      <c r="L237" s="179"/>
      <c r="M237" s="181">
        <f t="shared" si="17"/>
        <v>0</v>
      </c>
    </row>
    <row r="238" spans="1:13" x14ac:dyDescent="0.25">
      <c r="A238" s="197"/>
      <c r="G238" s="164"/>
      <c r="H238" s="179">
        <v>233</v>
      </c>
      <c r="I238" s="180" t="str">
        <f t="shared" si="15"/>
        <v/>
      </c>
      <c r="J238" s="180" t="e">
        <f t="shared" si="18"/>
        <v>#NUM!</v>
      </c>
      <c r="K238" s="179" t="e">
        <f t="shared" si="16"/>
        <v>#NUM!</v>
      </c>
      <c r="L238" s="179"/>
      <c r="M238" s="181">
        <f t="shared" si="17"/>
        <v>0</v>
      </c>
    </row>
    <row r="239" spans="1:13" x14ac:dyDescent="0.25">
      <c r="A239" s="197"/>
      <c r="G239" s="164"/>
      <c r="H239" s="179">
        <v>234</v>
      </c>
      <c r="I239" s="180" t="str">
        <f t="shared" si="15"/>
        <v/>
      </c>
      <c r="J239" s="180" t="e">
        <f t="shared" si="18"/>
        <v>#NUM!</v>
      </c>
      <c r="K239" s="179" t="e">
        <f t="shared" si="16"/>
        <v>#NUM!</v>
      </c>
      <c r="L239" s="179"/>
      <c r="M239" s="181">
        <f t="shared" si="17"/>
        <v>0</v>
      </c>
    </row>
    <row r="240" spans="1:13" x14ac:dyDescent="0.25">
      <c r="A240" s="197"/>
      <c r="G240" s="164"/>
      <c r="H240" s="179">
        <v>235</v>
      </c>
      <c r="I240" s="180" t="str">
        <f t="shared" si="15"/>
        <v/>
      </c>
      <c r="J240" s="180" t="e">
        <f t="shared" si="18"/>
        <v>#NUM!</v>
      </c>
      <c r="K240" s="179" t="e">
        <f t="shared" si="16"/>
        <v>#NUM!</v>
      </c>
      <c r="L240" s="179"/>
      <c r="M240" s="181">
        <f t="shared" si="17"/>
        <v>0</v>
      </c>
    </row>
    <row r="241" spans="1:13" x14ac:dyDescent="0.25">
      <c r="A241" s="197"/>
      <c r="G241" s="164"/>
      <c r="H241" s="179">
        <v>236</v>
      </c>
      <c r="I241" s="180" t="str">
        <f t="shared" si="15"/>
        <v/>
      </c>
      <c r="J241" s="180" t="e">
        <f t="shared" si="18"/>
        <v>#NUM!</v>
      </c>
      <c r="K241" s="179" t="e">
        <f t="shared" si="16"/>
        <v>#NUM!</v>
      </c>
      <c r="L241" s="179"/>
      <c r="M241" s="181">
        <f t="shared" si="17"/>
        <v>0</v>
      </c>
    </row>
    <row r="242" spans="1:13" x14ac:dyDescent="0.25">
      <c r="A242" s="197"/>
      <c r="G242" s="164"/>
      <c r="H242" s="179">
        <v>237</v>
      </c>
      <c r="I242" s="180" t="str">
        <f t="shared" si="15"/>
        <v/>
      </c>
      <c r="J242" s="180" t="e">
        <f t="shared" si="18"/>
        <v>#NUM!</v>
      </c>
      <c r="K242" s="179" t="e">
        <f t="shared" si="16"/>
        <v>#NUM!</v>
      </c>
      <c r="L242" s="179"/>
      <c r="M242" s="181">
        <f t="shared" si="17"/>
        <v>0</v>
      </c>
    </row>
    <row r="243" spans="1:13" x14ac:dyDescent="0.25">
      <c r="A243" s="197"/>
      <c r="G243" s="164"/>
      <c r="H243" s="179">
        <v>238</v>
      </c>
      <c r="I243" s="180" t="str">
        <f t="shared" si="15"/>
        <v/>
      </c>
      <c r="J243" s="180" t="e">
        <f t="shared" si="18"/>
        <v>#NUM!</v>
      </c>
      <c r="K243" s="179" t="e">
        <f t="shared" si="16"/>
        <v>#NUM!</v>
      </c>
      <c r="L243" s="179"/>
      <c r="M243" s="181">
        <f t="shared" si="17"/>
        <v>0</v>
      </c>
    </row>
    <row r="244" spans="1:13" x14ac:dyDescent="0.25">
      <c r="A244" s="197"/>
      <c r="G244" s="164"/>
      <c r="H244" s="179">
        <v>239</v>
      </c>
      <c r="I244" s="180" t="str">
        <f t="shared" si="15"/>
        <v/>
      </c>
      <c r="J244" s="180" t="e">
        <f t="shared" si="18"/>
        <v>#NUM!</v>
      </c>
      <c r="K244" s="179" t="e">
        <f t="shared" si="16"/>
        <v>#NUM!</v>
      </c>
      <c r="L244" s="179"/>
      <c r="M244" s="181">
        <f t="shared" si="17"/>
        <v>0</v>
      </c>
    </row>
    <row r="245" spans="1:13" x14ac:dyDescent="0.25">
      <c r="A245" s="197"/>
      <c r="G245" s="164"/>
      <c r="H245" s="179">
        <v>240</v>
      </c>
      <c r="I245" s="180" t="str">
        <f t="shared" si="15"/>
        <v/>
      </c>
      <c r="J245" s="180" t="e">
        <f t="shared" si="18"/>
        <v>#NUM!</v>
      </c>
      <c r="K245" s="179" t="e">
        <f t="shared" si="16"/>
        <v>#NUM!</v>
      </c>
      <c r="L245" s="179"/>
      <c r="M245" s="181">
        <f t="shared" si="17"/>
        <v>0</v>
      </c>
    </row>
    <row r="246" spans="1:13" x14ac:dyDescent="0.25">
      <c r="A246" s="197"/>
      <c r="G246" s="164"/>
      <c r="H246" s="179">
        <v>241</v>
      </c>
      <c r="I246" s="180" t="str">
        <f t="shared" si="15"/>
        <v/>
      </c>
      <c r="J246" s="180" t="e">
        <f t="shared" si="18"/>
        <v>#NUM!</v>
      </c>
      <c r="K246" s="179" t="e">
        <f t="shared" si="16"/>
        <v>#NUM!</v>
      </c>
      <c r="L246" s="179"/>
      <c r="M246" s="181">
        <f t="shared" si="17"/>
        <v>0</v>
      </c>
    </row>
    <row r="247" spans="1:13" x14ac:dyDescent="0.25">
      <c r="A247" s="197"/>
      <c r="G247" s="164"/>
      <c r="H247" s="179">
        <v>242</v>
      </c>
      <c r="I247" s="180" t="str">
        <f t="shared" si="15"/>
        <v/>
      </c>
      <c r="J247" s="180" t="e">
        <f t="shared" si="18"/>
        <v>#NUM!</v>
      </c>
      <c r="K247" s="179" t="e">
        <f t="shared" si="16"/>
        <v>#NUM!</v>
      </c>
      <c r="L247" s="179"/>
      <c r="M247" s="181">
        <f t="shared" si="17"/>
        <v>0</v>
      </c>
    </row>
    <row r="248" spans="1:13" x14ac:dyDescent="0.25">
      <c r="A248" s="197"/>
      <c r="G248" s="164"/>
      <c r="H248" s="179">
        <v>243</v>
      </c>
      <c r="I248" s="180" t="str">
        <f t="shared" si="15"/>
        <v/>
      </c>
      <c r="J248" s="180" t="e">
        <f t="shared" si="18"/>
        <v>#NUM!</v>
      </c>
      <c r="K248" s="179" t="e">
        <f t="shared" si="16"/>
        <v>#NUM!</v>
      </c>
      <c r="L248" s="179"/>
      <c r="M248" s="181">
        <f t="shared" si="17"/>
        <v>0</v>
      </c>
    </row>
    <row r="249" spans="1:13" x14ac:dyDescent="0.25">
      <c r="A249" s="197"/>
      <c r="G249" s="164"/>
      <c r="H249" s="179">
        <v>244</v>
      </c>
      <c r="I249" s="180" t="str">
        <f t="shared" si="15"/>
        <v/>
      </c>
      <c r="J249" s="180" t="e">
        <f t="shared" si="18"/>
        <v>#NUM!</v>
      </c>
      <c r="K249" s="179" t="e">
        <f t="shared" si="16"/>
        <v>#NUM!</v>
      </c>
      <c r="L249" s="179"/>
      <c r="M249" s="181">
        <f t="shared" si="17"/>
        <v>0</v>
      </c>
    </row>
    <row r="250" spans="1:13" x14ac:dyDescent="0.25">
      <c r="A250" s="197"/>
      <c r="G250" s="164"/>
      <c r="H250" s="179">
        <v>245</v>
      </c>
      <c r="I250" s="180" t="str">
        <f t="shared" si="15"/>
        <v/>
      </c>
      <c r="J250" s="180" t="e">
        <f t="shared" si="18"/>
        <v>#NUM!</v>
      </c>
      <c r="K250" s="179" t="e">
        <f t="shared" si="16"/>
        <v>#NUM!</v>
      </c>
      <c r="L250" s="179"/>
      <c r="M250" s="181">
        <f t="shared" si="17"/>
        <v>0</v>
      </c>
    </row>
    <row r="251" spans="1:13" x14ac:dyDescent="0.25">
      <c r="A251" s="197"/>
      <c r="G251" s="164"/>
      <c r="H251" s="179">
        <v>246</v>
      </c>
      <c r="I251" s="180" t="str">
        <f t="shared" si="15"/>
        <v/>
      </c>
      <c r="J251" s="180" t="e">
        <f t="shared" si="18"/>
        <v>#NUM!</v>
      </c>
      <c r="K251" s="179" t="e">
        <f t="shared" si="16"/>
        <v>#NUM!</v>
      </c>
      <c r="L251" s="179"/>
      <c r="M251" s="181">
        <f t="shared" si="17"/>
        <v>0</v>
      </c>
    </row>
    <row r="252" spans="1:13" x14ac:dyDescent="0.25">
      <c r="A252" s="197"/>
      <c r="G252" s="164"/>
      <c r="H252" s="179">
        <v>247</v>
      </c>
      <c r="I252" s="180" t="str">
        <f t="shared" si="15"/>
        <v/>
      </c>
      <c r="J252" s="180" t="e">
        <f t="shared" si="18"/>
        <v>#NUM!</v>
      </c>
      <c r="K252" s="179" t="e">
        <f t="shared" si="16"/>
        <v>#NUM!</v>
      </c>
      <c r="L252" s="179"/>
      <c r="M252" s="181">
        <f t="shared" si="17"/>
        <v>0</v>
      </c>
    </row>
    <row r="253" spans="1:13" x14ac:dyDescent="0.25">
      <c r="A253" s="197"/>
      <c r="G253" s="164"/>
      <c r="H253" s="179">
        <v>248</v>
      </c>
      <c r="I253" s="180" t="str">
        <f t="shared" si="15"/>
        <v/>
      </c>
      <c r="J253" s="180" t="e">
        <f t="shared" si="18"/>
        <v>#NUM!</v>
      </c>
      <c r="K253" s="179" t="e">
        <f t="shared" si="16"/>
        <v>#NUM!</v>
      </c>
      <c r="L253" s="179"/>
      <c r="M253" s="181">
        <f t="shared" si="17"/>
        <v>0</v>
      </c>
    </row>
    <row r="254" spans="1:13" x14ac:dyDescent="0.25">
      <c r="A254" s="197"/>
      <c r="G254" s="164"/>
      <c r="H254" s="179">
        <v>249</v>
      </c>
      <c r="I254" s="180" t="str">
        <f t="shared" si="15"/>
        <v/>
      </c>
      <c r="J254" s="180" t="e">
        <f t="shared" si="18"/>
        <v>#NUM!</v>
      </c>
      <c r="K254" s="179" t="e">
        <f t="shared" si="16"/>
        <v>#NUM!</v>
      </c>
      <c r="L254" s="179"/>
      <c r="M254" s="181">
        <f t="shared" si="17"/>
        <v>0</v>
      </c>
    </row>
    <row r="255" spans="1:13" x14ac:dyDescent="0.25">
      <c r="A255" s="197"/>
      <c r="G255" s="164"/>
      <c r="H255" s="179">
        <v>250</v>
      </c>
      <c r="I255" s="180" t="str">
        <f t="shared" si="15"/>
        <v/>
      </c>
      <c r="J255" s="180" t="e">
        <f t="shared" si="18"/>
        <v>#NUM!</v>
      </c>
      <c r="K255" s="179" t="e">
        <f t="shared" si="16"/>
        <v>#NUM!</v>
      </c>
      <c r="L255" s="179"/>
      <c r="M255" s="181">
        <f t="shared" si="17"/>
        <v>0</v>
      </c>
    </row>
    <row r="256" spans="1:13" x14ac:dyDescent="0.25">
      <c r="A256" s="197"/>
      <c r="G256" s="164"/>
      <c r="H256" s="179">
        <v>251</v>
      </c>
      <c r="I256" s="180" t="str">
        <f t="shared" si="15"/>
        <v/>
      </c>
      <c r="J256" s="180" t="e">
        <f t="shared" si="18"/>
        <v>#NUM!</v>
      </c>
      <c r="K256" s="179" t="e">
        <f t="shared" si="16"/>
        <v>#NUM!</v>
      </c>
      <c r="L256" s="179"/>
      <c r="M256" s="181">
        <f t="shared" si="17"/>
        <v>0</v>
      </c>
    </row>
    <row r="257" spans="1:13" x14ac:dyDescent="0.25">
      <c r="A257" s="197"/>
      <c r="G257" s="164"/>
      <c r="H257" s="179">
        <v>252</v>
      </c>
      <c r="I257" s="180" t="str">
        <f t="shared" si="15"/>
        <v/>
      </c>
      <c r="J257" s="180" t="e">
        <f t="shared" si="18"/>
        <v>#NUM!</v>
      </c>
      <c r="K257" s="179" t="e">
        <f t="shared" si="16"/>
        <v>#NUM!</v>
      </c>
      <c r="L257" s="179"/>
      <c r="M257" s="181">
        <f t="shared" si="17"/>
        <v>0</v>
      </c>
    </row>
    <row r="258" spans="1:13" x14ac:dyDescent="0.25">
      <c r="A258" s="197"/>
      <c r="G258" s="164"/>
      <c r="H258" s="179">
        <v>253</v>
      </c>
      <c r="I258" s="180" t="str">
        <f t="shared" si="15"/>
        <v/>
      </c>
      <c r="J258" s="180" t="e">
        <f t="shared" si="18"/>
        <v>#NUM!</v>
      </c>
      <c r="K258" s="179" t="e">
        <f t="shared" si="16"/>
        <v>#NUM!</v>
      </c>
      <c r="L258" s="179"/>
      <c r="M258" s="181">
        <f t="shared" si="17"/>
        <v>0</v>
      </c>
    </row>
    <row r="259" spans="1:13" x14ac:dyDescent="0.25">
      <c r="A259" s="197"/>
      <c r="G259" s="164"/>
      <c r="H259" s="179">
        <v>254</v>
      </c>
      <c r="I259" s="180" t="str">
        <f t="shared" si="15"/>
        <v/>
      </c>
      <c r="J259" s="180" t="e">
        <f t="shared" si="18"/>
        <v>#NUM!</v>
      </c>
      <c r="K259" s="179" t="e">
        <f t="shared" si="16"/>
        <v>#NUM!</v>
      </c>
      <c r="L259" s="179"/>
      <c r="M259" s="181">
        <f t="shared" si="17"/>
        <v>0</v>
      </c>
    </row>
    <row r="260" spans="1:13" x14ac:dyDescent="0.25">
      <c r="A260" s="197"/>
      <c r="G260" s="164"/>
      <c r="H260" s="179">
        <v>255</v>
      </c>
      <c r="I260" s="180" t="str">
        <f t="shared" si="15"/>
        <v/>
      </c>
      <c r="J260" s="180" t="e">
        <f t="shared" si="18"/>
        <v>#NUM!</v>
      </c>
      <c r="K260" s="179" t="e">
        <f t="shared" si="16"/>
        <v>#NUM!</v>
      </c>
      <c r="L260" s="179"/>
      <c r="M260" s="181">
        <f t="shared" si="17"/>
        <v>0</v>
      </c>
    </row>
    <row r="261" spans="1:13" x14ac:dyDescent="0.25">
      <c r="A261" s="197"/>
      <c r="G261" s="164"/>
      <c r="H261" s="179">
        <v>256</v>
      </c>
      <c r="I261" s="180" t="str">
        <f t="shared" si="15"/>
        <v/>
      </c>
      <c r="J261" s="180" t="e">
        <f t="shared" si="18"/>
        <v>#NUM!</v>
      </c>
      <c r="K261" s="179" t="e">
        <f t="shared" si="16"/>
        <v>#NUM!</v>
      </c>
      <c r="L261" s="179"/>
      <c r="M261" s="181">
        <f t="shared" si="17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9">IF(H262&lt;$H$2+1,($I$2-($I$2-1)*(LOG(H262)/LOG($H$2))),"")</f>
        <v/>
      </c>
      <c r="J262" s="180" t="e">
        <f t="shared" si="18"/>
        <v>#NUM!</v>
      </c>
      <c r="K262" s="179" t="e">
        <f t="shared" ref="K262:K305" si="20">J262*$J$2</f>
        <v>#NUM!</v>
      </c>
      <c r="L262" s="179"/>
      <c r="M262" s="181">
        <f t="shared" ref="M262:M305" si="21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9"/>
        <v/>
      </c>
      <c r="J263" s="180" t="e">
        <f t="shared" ref="J263:J305" si="22">INT(LOG($H$2,2))-ROUNDUP(LOG(H263,2),0)+IF(OR($H$2=1,$H$2=2,$H$2=4,$H$2=8,$H$2=16,$H$2=32,$H$2=64,$H$2=128,$H$2=256),0,1)</f>
        <v>#NUM!</v>
      </c>
      <c r="K263" s="179" t="e">
        <f t="shared" si="20"/>
        <v>#NUM!</v>
      </c>
      <c r="L263" s="179"/>
      <c r="M263" s="181">
        <f t="shared" si="21"/>
        <v>0</v>
      </c>
    </row>
    <row r="264" spans="1:13" x14ac:dyDescent="0.25">
      <c r="A264" s="197"/>
      <c r="G264" s="164"/>
      <c r="H264" s="179">
        <v>259</v>
      </c>
      <c r="I264" s="180" t="str">
        <f t="shared" si="19"/>
        <v/>
      </c>
      <c r="J264" s="180" t="e">
        <f t="shared" si="22"/>
        <v>#NUM!</v>
      </c>
      <c r="K264" s="179" t="e">
        <f t="shared" si="20"/>
        <v>#NUM!</v>
      </c>
      <c r="L264" s="179"/>
      <c r="M264" s="181">
        <f t="shared" si="21"/>
        <v>0</v>
      </c>
    </row>
    <row r="265" spans="1:13" x14ac:dyDescent="0.25">
      <c r="A265" s="197"/>
      <c r="G265" s="164"/>
      <c r="H265" s="179">
        <v>260</v>
      </c>
      <c r="I265" s="180" t="str">
        <f t="shared" si="19"/>
        <v/>
      </c>
      <c r="J265" s="180" t="e">
        <f t="shared" si="22"/>
        <v>#NUM!</v>
      </c>
      <c r="K265" s="179" t="e">
        <f t="shared" si="20"/>
        <v>#NUM!</v>
      </c>
      <c r="L265" s="179"/>
      <c r="M265" s="181">
        <f t="shared" si="21"/>
        <v>0</v>
      </c>
    </row>
    <row r="266" spans="1:13" x14ac:dyDescent="0.25">
      <c r="A266" s="197"/>
      <c r="G266" s="164"/>
      <c r="H266" s="179">
        <v>261</v>
      </c>
      <c r="I266" s="180" t="str">
        <f t="shared" si="19"/>
        <v/>
      </c>
      <c r="J266" s="180" t="e">
        <f t="shared" si="22"/>
        <v>#NUM!</v>
      </c>
      <c r="K266" s="179" t="e">
        <f t="shared" si="20"/>
        <v>#NUM!</v>
      </c>
      <c r="L266" s="179"/>
      <c r="M266" s="181">
        <f t="shared" si="21"/>
        <v>0</v>
      </c>
    </row>
    <row r="267" spans="1:13" x14ac:dyDescent="0.25">
      <c r="A267" s="197"/>
      <c r="G267" s="164"/>
      <c r="H267" s="179">
        <v>262</v>
      </c>
      <c r="I267" s="180" t="str">
        <f t="shared" si="19"/>
        <v/>
      </c>
      <c r="J267" s="180" t="e">
        <f t="shared" si="22"/>
        <v>#NUM!</v>
      </c>
      <c r="K267" s="179" t="e">
        <f t="shared" si="20"/>
        <v>#NUM!</v>
      </c>
      <c r="L267" s="179"/>
      <c r="M267" s="181">
        <f t="shared" si="21"/>
        <v>0</v>
      </c>
    </row>
    <row r="268" spans="1:13" x14ac:dyDescent="0.25">
      <c r="A268" s="197"/>
      <c r="G268" s="164"/>
      <c r="H268" s="179">
        <v>263</v>
      </c>
      <c r="I268" s="180" t="str">
        <f t="shared" si="19"/>
        <v/>
      </c>
      <c r="J268" s="180" t="e">
        <f t="shared" si="22"/>
        <v>#NUM!</v>
      </c>
      <c r="K268" s="179" t="e">
        <f t="shared" si="20"/>
        <v>#NUM!</v>
      </c>
      <c r="L268" s="179"/>
      <c r="M268" s="181">
        <f t="shared" si="21"/>
        <v>0</v>
      </c>
    </row>
    <row r="269" spans="1:13" x14ac:dyDescent="0.25">
      <c r="A269" s="197"/>
      <c r="G269" s="164"/>
      <c r="H269" s="179">
        <v>264</v>
      </c>
      <c r="I269" s="180" t="str">
        <f t="shared" si="19"/>
        <v/>
      </c>
      <c r="J269" s="180" t="e">
        <f t="shared" si="22"/>
        <v>#NUM!</v>
      </c>
      <c r="K269" s="179" t="e">
        <f t="shared" si="20"/>
        <v>#NUM!</v>
      </c>
      <c r="L269" s="179"/>
      <c r="M269" s="181">
        <f t="shared" si="21"/>
        <v>0</v>
      </c>
    </row>
    <row r="270" spans="1:13" x14ac:dyDescent="0.25">
      <c r="A270" s="197"/>
      <c r="G270" s="164"/>
      <c r="H270" s="179">
        <v>265</v>
      </c>
      <c r="I270" s="180" t="str">
        <f t="shared" si="19"/>
        <v/>
      </c>
      <c r="J270" s="180" t="e">
        <f t="shared" si="22"/>
        <v>#NUM!</v>
      </c>
      <c r="K270" s="179" t="e">
        <f t="shared" si="20"/>
        <v>#NUM!</v>
      </c>
      <c r="L270" s="179"/>
      <c r="M270" s="181">
        <f t="shared" si="21"/>
        <v>0</v>
      </c>
    </row>
    <row r="271" spans="1:13" x14ac:dyDescent="0.25">
      <c r="A271" s="197"/>
      <c r="G271" s="164"/>
      <c r="H271" s="179">
        <v>266</v>
      </c>
      <c r="I271" s="180" t="str">
        <f t="shared" si="19"/>
        <v/>
      </c>
      <c r="J271" s="180" t="e">
        <f t="shared" si="22"/>
        <v>#NUM!</v>
      </c>
      <c r="K271" s="179" t="e">
        <f t="shared" si="20"/>
        <v>#NUM!</v>
      </c>
      <c r="L271" s="179"/>
      <c r="M271" s="181">
        <f t="shared" si="21"/>
        <v>0</v>
      </c>
    </row>
    <row r="272" spans="1:13" x14ac:dyDescent="0.25">
      <c r="A272" s="197"/>
      <c r="G272" s="164"/>
      <c r="H272" s="179">
        <v>267</v>
      </c>
      <c r="I272" s="180" t="str">
        <f t="shared" si="19"/>
        <v/>
      </c>
      <c r="J272" s="180" t="e">
        <f t="shared" si="22"/>
        <v>#NUM!</v>
      </c>
      <c r="K272" s="179" t="e">
        <f t="shared" si="20"/>
        <v>#NUM!</v>
      </c>
      <c r="L272" s="179"/>
      <c r="M272" s="181">
        <f t="shared" si="21"/>
        <v>0</v>
      </c>
    </row>
    <row r="273" spans="1:13" x14ac:dyDescent="0.25">
      <c r="A273" s="197"/>
      <c r="G273" s="164"/>
      <c r="H273" s="179">
        <v>268</v>
      </c>
      <c r="I273" s="180" t="str">
        <f t="shared" si="19"/>
        <v/>
      </c>
      <c r="J273" s="180" t="e">
        <f t="shared" si="22"/>
        <v>#NUM!</v>
      </c>
      <c r="K273" s="179" t="e">
        <f t="shared" si="20"/>
        <v>#NUM!</v>
      </c>
      <c r="L273" s="179"/>
      <c r="M273" s="181">
        <f t="shared" si="21"/>
        <v>0</v>
      </c>
    </row>
    <row r="274" spans="1:13" x14ac:dyDescent="0.25">
      <c r="A274" s="197"/>
      <c r="G274" s="164"/>
      <c r="H274" s="179">
        <v>269</v>
      </c>
      <c r="I274" s="180" t="str">
        <f t="shared" si="19"/>
        <v/>
      </c>
      <c r="J274" s="180" t="e">
        <f t="shared" si="22"/>
        <v>#NUM!</v>
      </c>
      <c r="K274" s="179" t="e">
        <f t="shared" si="20"/>
        <v>#NUM!</v>
      </c>
      <c r="L274" s="179"/>
      <c r="M274" s="181">
        <f t="shared" si="21"/>
        <v>0</v>
      </c>
    </row>
    <row r="275" spans="1:13" x14ac:dyDescent="0.25">
      <c r="A275" s="197"/>
      <c r="G275" s="164"/>
      <c r="H275" s="179">
        <v>270</v>
      </c>
      <c r="I275" s="180" t="str">
        <f t="shared" si="19"/>
        <v/>
      </c>
      <c r="J275" s="180" t="e">
        <f t="shared" si="22"/>
        <v>#NUM!</v>
      </c>
      <c r="K275" s="179" t="e">
        <f t="shared" si="20"/>
        <v>#NUM!</v>
      </c>
      <c r="L275" s="179"/>
      <c r="M275" s="181">
        <f t="shared" si="21"/>
        <v>0</v>
      </c>
    </row>
    <row r="276" spans="1:13" x14ac:dyDescent="0.25">
      <c r="A276" s="197"/>
      <c r="G276" s="164"/>
      <c r="H276" s="179">
        <v>271</v>
      </c>
      <c r="I276" s="180" t="str">
        <f t="shared" si="19"/>
        <v/>
      </c>
      <c r="J276" s="180" t="e">
        <f t="shared" si="22"/>
        <v>#NUM!</v>
      </c>
      <c r="K276" s="179" t="e">
        <f t="shared" si="20"/>
        <v>#NUM!</v>
      </c>
      <c r="L276" s="179"/>
      <c r="M276" s="181">
        <f t="shared" si="21"/>
        <v>0</v>
      </c>
    </row>
    <row r="277" spans="1:13" x14ac:dyDescent="0.25">
      <c r="A277" s="197"/>
      <c r="G277" s="164"/>
      <c r="H277" s="179">
        <v>272</v>
      </c>
      <c r="I277" s="180" t="str">
        <f t="shared" si="19"/>
        <v/>
      </c>
      <c r="J277" s="180" t="e">
        <f t="shared" si="22"/>
        <v>#NUM!</v>
      </c>
      <c r="K277" s="179" t="e">
        <f t="shared" si="20"/>
        <v>#NUM!</v>
      </c>
      <c r="L277" s="179"/>
      <c r="M277" s="181">
        <f t="shared" si="21"/>
        <v>0</v>
      </c>
    </row>
    <row r="278" spans="1:13" x14ac:dyDescent="0.25">
      <c r="A278" s="197"/>
      <c r="G278" s="164"/>
      <c r="H278" s="179">
        <v>273</v>
      </c>
      <c r="I278" s="180" t="str">
        <f t="shared" si="19"/>
        <v/>
      </c>
      <c r="J278" s="180" t="e">
        <f t="shared" si="22"/>
        <v>#NUM!</v>
      </c>
      <c r="K278" s="179" t="e">
        <f t="shared" si="20"/>
        <v>#NUM!</v>
      </c>
      <c r="L278" s="179"/>
      <c r="M278" s="181">
        <f t="shared" si="21"/>
        <v>0</v>
      </c>
    </row>
    <row r="279" spans="1:13" x14ac:dyDescent="0.25">
      <c r="A279" s="197"/>
      <c r="G279" s="164"/>
      <c r="H279" s="179">
        <v>274</v>
      </c>
      <c r="I279" s="180" t="str">
        <f t="shared" si="19"/>
        <v/>
      </c>
      <c r="J279" s="180" t="e">
        <f t="shared" si="22"/>
        <v>#NUM!</v>
      </c>
      <c r="K279" s="179" t="e">
        <f t="shared" si="20"/>
        <v>#NUM!</v>
      </c>
      <c r="L279" s="179"/>
      <c r="M279" s="181">
        <f t="shared" si="21"/>
        <v>0</v>
      </c>
    </row>
    <row r="280" spans="1:13" x14ac:dyDescent="0.25">
      <c r="A280" s="197"/>
      <c r="G280" s="164"/>
      <c r="H280" s="179">
        <v>275</v>
      </c>
      <c r="I280" s="180" t="str">
        <f t="shared" si="19"/>
        <v/>
      </c>
      <c r="J280" s="180" t="e">
        <f t="shared" si="22"/>
        <v>#NUM!</v>
      </c>
      <c r="K280" s="179" t="e">
        <f t="shared" si="20"/>
        <v>#NUM!</v>
      </c>
      <c r="L280" s="179"/>
      <c r="M280" s="181">
        <f t="shared" si="21"/>
        <v>0</v>
      </c>
    </row>
    <row r="281" spans="1:13" x14ac:dyDescent="0.25">
      <c r="A281" s="197"/>
      <c r="G281" s="164"/>
      <c r="H281" s="179">
        <v>276</v>
      </c>
      <c r="I281" s="180" t="str">
        <f t="shared" si="19"/>
        <v/>
      </c>
      <c r="J281" s="180" t="e">
        <f t="shared" si="22"/>
        <v>#NUM!</v>
      </c>
      <c r="K281" s="179" t="e">
        <f t="shared" si="20"/>
        <v>#NUM!</v>
      </c>
      <c r="L281" s="179"/>
      <c r="M281" s="181">
        <f t="shared" si="21"/>
        <v>0</v>
      </c>
    </row>
    <row r="282" spans="1:13" x14ac:dyDescent="0.25">
      <c r="A282" s="197"/>
      <c r="G282" s="164"/>
      <c r="H282" s="179">
        <v>277</v>
      </c>
      <c r="I282" s="180" t="str">
        <f t="shared" si="19"/>
        <v/>
      </c>
      <c r="J282" s="180" t="e">
        <f t="shared" si="22"/>
        <v>#NUM!</v>
      </c>
      <c r="K282" s="179" t="e">
        <f t="shared" si="20"/>
        <v>#NUM!</v>
      </c>
      <c r="L282" s="179"/>
      <c r="M282" s="181">
        <f t="shared" si="21"/>
        <v>0</v>
      </c>
    </row>
    <row r="283" spans="1:13" x14ac:dyDescent="0.25">
      <c r="A283" s="197"/>
      <c r="G283" s="164"/>
      <c r="H283" s="179">
        <v>278</v>
      </c>
      <c r="I283" s="180" t="str">
        <f t="shared" si="19"/>
        <v/>
      </c>
      <c r="J283" s="180" t="e">
        <f t="shared" si="22"/>
        <v>#NUM!</v>
      </c>
      <c r="K283" s="179" t="e">
        <f t="shared" si="20"/>
        <v>#NUM!</v>
      </c>
      <c r="L283" s="179"/>
      <c r="M283" s="181">
        <f t="shared" si="21"/>
        <v>0</v>
      </c>
    </row>
    <row r="284" spans="1:13" x14ac:dyDescent="0.25">
      <c r="A284" s="197"/>
      <c r="G284" s="164"/>
      <c r="H284" s="179">
        <v>279</v>
      </c>
      <c r="I284" s="180" t="str">
        <f t="shared" si="19"/>
        <v/>
      </c>
      <c r="J284" s="180" t="e">
        <f t="shared" si="22"/>
        <v>#NUM!</v>
      </c>
      <c r="K284" s="179" t="e">
        <f t="shared" si="20"/>
        <v>#NUM!</v>
      </c>
      <c r="L284" s="179"/>
      <c r="M284" s="181">
        <f t="shared" si="21"/>
        <v>0</v>
      </c>
    </row>
    <row r="285" spans="1:13" x14ac:dyDescent="0.25">
      <c r="A285" s="197"/>
      <c r="G285" s="164"/>
      <c r="H285" s="179">
        <v>280</v>
      </c>
      <c r="I285" s="180" t="str">
        <f t="shared" si="19"/>
        <v/>
      </c>
      <c r="J285" s="180" t="e">
        <f t="shared" si="22"/>
        <v>#NUM!</v>
      </c>
      <c r="K285" s="179" t="e">
        <f t="shared" si="20"/>
        <v>#NUM!</v>
      </c>
      <c r="L285" s="179"/>
      <c r="M285" s="181">
        <f t="shared" si="21"/>
        <v>0</v>
      </c>
    </row>
    <row r="286" spans="1:13" x14ac:dyDescent="0.25">
      <c r="A286" s="197"/>
      <c r="G286" s="164"/>
      <c r="H286" s="179">
        <v>281</v>
      </c>
      <c r="I286" s="180" t="str">
        <f t="shared" si="19"/>
        <v/>
      </c>
      <c r="J286" s="180" t="e">
        <f t="shared" si="22"/>
        <v>#NUM!</v>
      </c>
      <c r="K286" s="179" t="e">
        <f t="shared" si="20"/>
        <v>#NUM!</v>
      </c>
      <c r="L286" s="179"/>
      <c r="M286" s="181">
        <f t="shared" si="21"/>
        <v>0</v>
      </c>
    </row>
    <row r="287" spans="1:13" x14ac:dyDescent="0.25">
      <c r="A287" s="197"/>
      <c r="G287" s="164"/>
      <c r="H287" s="179">
        <v>282</v>
      </c>
      <c r="I287" s="180" t="str">
        <f t="shared" si="19"/>
        <v/>
      </c>
      <c r="J287" s="180" t="e">
        <f t="shared" si="22"/>
        <v>#NUM!</v>
      </c>
      <c r="K287" s="179" t="e">
        <f t="shared" si="20"/>
        <v>#NUM!</v>
      </c>
      <c r="L287" s="179"/>
      <c r="M287" s="181">
        <f t="shared" si="21"/>
        <v>0</v>
      </c>
    </row>
    <row r="288" spans="1:13" x14ac:dyDescent="0.25">
      <c r="A288" s="197"/>
      <c r="G288" s="164"/>
      <c r="H288" s="179">
        <v>283</v>
      </c>
      <c r="I288" s="180" t="str">
        <f t="shared" si="19"/>
        <v/>
      </c>
      <c r="J288" s="180" t="e">
        <f t="shared" si="22"/>
        <v>#NUM!</v>
      </c>
      <c r="K288" s="179" t="e">
        <f t="shared" si="20"/>
        <v>#NUM!</v>
      </c>
      <c r="L288" s="179"/>
      <c r="M288" s="181">
        <f t="shared" si="21"/>
        <v>0</v>
      </c>
    </row>
    <row r="289" spans="1:13" x14ac:dyDescent="0.25">
      <c r="A289" s="197"/>
      <c r="G289" s="164"/>
      <c r="H289" s="179">
        <v>284</v>
      </c>
      <c r="I289" s="180" t="str">
        <f t="shared" si="19"/>
        <v/>
      </c>
      <c r="J289" s="180" t="e">
        <f t="shared" si="22"/>
        <v>#NUM!</v>
      </c>
      <c r="K289" s="179" t="e">
        <f t="shared" si="20"/>
        <v>#NUM!</v>
      </c>
      <c r="L289" s="179"/>
      <c r="M289" s="181">
        <f t="shared" si="21"/>
        <v>0</v>
      </c>
    </row>
    <row r="290" spans="1:13" x14ac:dyDescent="0.25">
      <c r="A290" s="197"/>
      <c r="G290" s="164"/>
      <c r="H290" s="179">
        <v>285</v>
      </c>
      <c r="I290" s="180" t="str">
        <f t="shared" si="19"/>
        <v/>
      </c>
      <c r="J290" s="180" t="e">
        <f t="shared" si="22"/>
        <v>#NUM!</v>
      </c>
      <c r="K290" s="179" t="e">
        <f t="shared" si="20"/>
        <v>#NUM!</v>
      </c>
      <c r="L290" s="179"/>
      <c r="M290" s="181">
        <f t="shared" si="21"/>
        <v>0</v>
      </c>
    </row>
    <row r="291" spans="1:13" x14ac:dyDescent="0.25">
      <c r="A291" s="197"/>
      <c r="G291" s="164"/>
      <c r="H291" s="179">
        <v>286</v>
      </c>
      <c r="I291" s="180" t="str">
        <f t="shared" si="19"/>
        <v/>
      </c>
      <c r="J291" s="180" t="e">
        <f t="shared" si="22"/>
        <v>#NUM!</v>
      </c>
      <c r="K291" s="179" t="e">
        <f t="shared" si="20"/>
        <v>#NUM!</v>
      </c>
      <c r="L291" s="179"/>
      <c r="M291" s="181">
        <f t="shared" si="21"/>
        <v>0</v>
      </c>
    </row>
    <row r="292" spans="1:13" x14ac:dyDescent="0.25">
      <c r="A292" s="197"/>
      <c r="G292" s="164"/>
      <c r="H292" s="179">
        <v>287</v>
      </c>
      <c r="I292" s="180" t="str">
        <f t="shared" si="19"/>
        <v/>
      </c>
      <c r="J292" s="180" t="e">
        <f t="shared" si="22"/>
        <v>#NUM!</v>
      </c>
      <c r="K292" s="179" t="e">
        <f t="shared" si="20"/>
        <v>#NUM!</v>
      </c>
      <c r="L292" s="179"/>
      <c r="M292" s="181">
        <f t="shared" si="21"/>
        <v>0</v>
      </c>
    </row>
    <row r="293" spans="1:13" x14ac:dyDescent="0.25">
      <c r="A293" s="197"/>
      <c r="G293" s="164"/>
      <c r="H293" s="179">
        <v>288</v>
      </c>
      <c r="I293" s="180" t="str">
        <f t="shared" si="19"/>
        <v/>
      </c>
      <c r="J293" s="180" t="e">
        <f t="shared" si="22"/>
        <v>#NUM!</v>
      </c>
      <c r="K293" s="179" t="e">
        <f t="shared" si="20"/>
        <v>#NUM!</v>
      </c>
      <c r="L293" s="179"/>
      <c r="M293" s="181">
        <f t="shared" si="21"/>
        <v>0</v>
      </c>
    </row>
    <row r="294" spans="1:13" x14ac:dyDescent="0.25">
      <c r="A294" s="197"/>
      <c r="G294" s="164"/>
      <c r="H294" s="179">
        <v>289</v>
      </c>
      <c r="I294" s="180" t="str">
        <f t="shared" si="19"/>
        <v/>
      </c>
      <c r="J294" s="180" t="e">
        <f t="shared" si="22"/>
        <v>#NUM!</v>
      </c>
      <c r="K294" s="179" t="e">
        <f t="shared" si="20"/>
        <v>#NUM!</v>
      </c>
      <c r="L294" s="179"/>
      <c r="M294" s="181">
        <f t="shared" si="21"/>
        <v>0</v>
      </c>
    </row>
    <row r="295" spans="1:13" x14ac:dyDescent="0.25">
      <c r="A295" s="197"/>
      <c r="G295" s="164"/>
      <c r="H295" s="179">
        <v>290</v>
      </c>
      <c r="I295" s="180" t="str">
        <f t="shared" si="19"/>
        <v/>
      </c>
      <c r="J295" s="180" t="e">
        <f t="shared" si="22"/>
        <v>#NUM!</v>
      </c>
      <c r="K295" s="179" t="e">
        <f t="shared" si="20"/>
        <v>#NUM!</v>
      </c>
      <c r="L295" s="179"/>
      <c r="M295" s="181">
        <f t="shared" si="21"/>
        <v>0</v>
      </c>
    </row>
    <row r="296" spans="1:13" x14ac:dyDescent="0.25">
      <c r="A296" s="197"/>
      <c r="G296" s="164"/>
      <c r="H296" s="179">
        <v>291</v>
      </c>
      <c r="I296" s="180" t="str">
        <f t="shared" si="19"/>
        <v/>
      </c>
      <c r="J296" s="180" t="e">
        <f t="shared" si="22"/>
        <v>#NUM!</v>
      </c>
      <c r="K296" s="179" t="e">
        <f t="shared" si="20"/>
        <v>#NUM!</v>
      </c>
      <c r="L296" s="179"/>
      <c r="M296" s="181">
        <f t="shared" si="21"/>
        <v>0</v>
      </c>
    </row>
    <row r="297" spans="1:13" x14ac:dyDescent="0.25">
      <c r="A297" s="197"/>
      <c r="G297" s="164"/>
      <c r="H297" s="179">
        <v>292</v>
      </c>
      <c r="I297" s="180" t="str">
        <f t="shared" si="19"/>
        <v/>
      </c>
      <c r="J297" s="180" t="e">
        <f t="shared" si="22"/>
        <v>#NUM!</v>
      </c>
      <c r="K297" s="179" t="e">
        <f t="shared" si="20"/>
        <v>#NUM!</v>
      </c>
      <c r="L297" s="179"/>
      <c r="M297" s="181">
        <f t="shared" si="21"/>
        <v>0</v>
      </c>
    </row>
    <row r="298" spans="1:13" x14ac:dyDescent="0.25">
      <c r="A298" s="197"/>
      <c r="G298" s="164"/>
      <c r="H298" s="179">
        <v>293</v>
      </c>
      <c r="I298" s="180" t="str">
        <f t="shared" si="19"/>
        <v/>
      </c>
      <c r="J298" s="180" t="e">
        <f t="shared" si="22"/>
        <v>#NUM!</v>
      </c>
      <c r="K298" s="179" t="e">
        <f t="shared" si="20"/>
        <v>#NUM!</v>
      </c>
      <c r="L298" s="179"/>
      <c r="M298" s="181">
        <f t="shared" si="21"/>
        <v>0</v>
      </c>
    </row>
    <row r="299" spans="1:13" x14ac:dyDescent="0.25">
      <c r="A299" s="197"/>
      <c r="G299" s="164"/>
      <c r="H299" s="179">
        <v>294</v>
      </c>
      <c r="I299" s="180" t="str">
        <f t="shared" si="19"/>
        <v/>
      </c>
      <c r="J299" s="180" t="e">
        <f t="shared" si="22"/>
        <v>#NUM!</v>
      </c>
      <c r="K299" s="179" t="e">
        <f t="shared" si="20"/>
        <v>#NUM!</v>
      </c>
      <c r="L299" s="179"/>
      <c r="M299" s="181">
        <f t="shared" si="21"/>
        <v>0</v>
      </c>
    </row>
    <row r="300" spans="1:13" x14ac:dyDescent="0.25">
      <c r="A300" s="197"/>
      <c r="G300" s="164"/>
      <c r="H300" s="179">
        <v>295</v>
      </c>
      <c r="I300" s="180" t="str">
        <f t="shared" si="19"/>
        <v/>
      </c>
      <c r="J300" s="180" t="e">
        <f t="shared" si="22"/>
        <v>#NUM!</v>
      </c>
      <c r="K300" s="179" t="e">
        <f t="shared" si="20"/>
        <v>#NUM!</v>
      </c>
      <c r="L300" s="179"/>
      <c r="M300" s="181">
        <f t="shared" si="21"/>
        <v>0</v>
      </c>
    </row>
    <row r="301" spans="1:13" x14ac:dyDescent="0.25">
      <c r="A301" s="197"/>
      <c r="G301" s="164"/>
      <c r="H301" s="179">
        <v>296</v>
      </c>
      <c r="I301" s="180" t="str">
        <f t="shared" si="19"/>
        <v/>
      </c>
      <c r="J301" s="180" t="e">
        <f t="shared" si="22"/>
        <v>#NUM!</v>
      </c>
      <c r="K301" s="179" t="e">
        <f t="shared" si="20"/>
        <v>#NUM!</v>
      </c>
      <c r="L301" s="179"/>
      <c r="M301" s="181">
        <f t="shared" si="21"/>
        <v>0</v>
      </c>
    </row>
    <row r="302" spans="1:13" x14ac:dyDescent="0.25">
      <c r="A302" s="197"/>
      <c r="G302" s="164"/>
      <c r="H302" s="179">
        <v>297</v>
      </c>
      <c r="I302" s="180" t="str">
        <f t="shared" si="19"/>
        <v/>
      </c>
      <c r="J302" s="180" t="e">
        <f t="shared" si="22"/>
        <v>#NUM!</v>
      </c>
      <c r="K302" s="179" t="e">
        <f t="shared" si="20"/>
        <v>#NUM!</v>
      </c>
      <c r="L302" s="179"/>
      <c r="M302" s="181">
        <f t="shared" si="21"/>
        <v>0</v>
      </c>
    </row>
    <row r="303" spans="1:13" x14ac:dyDescent="0.25">
      <c r="A303" s="197"/>
      <c r="G303" s="164"/>
      <c r="H303" s="179">
        <v>298</v>
      </c>
      <c r="I303" s="180" t="str">
        <f t="shared" si="19"/>
        <v/>
      </c>
      <c r="J303" s="180" t="e">
        <f t="shared" si="22"/>
        <v>#NUM!</v>
      </c>
      <c r="K303" s="179" t="e">
        <f t="shared" si="20"/>
        <v>#NUM!</v>
      </c>
      <c r="L303" s="179"/>
      <c r="M303" s="181">
        <f t="shared" si="21"/>
        <v>0</v>
      </c>
    </row>
    <row r="304" spans="1:13" x14ac:dyDescent="0.25">
      <c r="A304" s="197"/>
      <c r="G304" s="164"/>
      <c r="H304" s="179">
        <v>299</v>
      </c>
      <c r="I304" s="180" t="str">
        <f t="shared" si="19"/>
        <v/>
      </c>
      <c r="J304" s="180" t="e">
        <f t="shared" si="22"/>
        <v>#NUM!</v>
      </c>
      <c r="K304" s="179" t="e">
        <f t="shared" si="20"/>
        <v>#NUM!</v>
      </c>
      <c r="L304" s="179"/>
      <c r="M304" s="181">
        <f t="shared" si="21"/>
        <v>0</v>
      </c>
    </row>
    <row r="305" spans="1:16" x14ac:dyDescent="0.25">
      <c r="A305" s="197"/>
      <c r="G305" s="164"/>
      <c r="H305" s="179">
        <v>300</v>
      </c>
      <c r="I305" s="180" t="str">
        <f t="shared" si="19"/>
        <v/>
      </c>
      <c r="J305" s="180" t="e">
        <f t="shared" si="22"/>
        <v>#NUM!</v>
      </c>
      <c r="K305" s="179" t="e">
        <f t="shared" si="20"/>
        <v>#NUM!</v>
      </c>
      <c r="L305" s="179"/>
      <c r="M305" s="181">
        <f t="shared" si="21"/>
        <v>0</v>
      </c>
    </row>
    <row r="306" spans="1:16" x14ac:dyDescent="0.25">
      <c r="A306" s="198"/>
    </row>
    <row r="314" spans="1:16" x14ac:dyDescent="0.25">
      <c r="L314" s="201"/>
      <c r="P314" s="190"/>
    </row>
    <row r="315" spans="1:16" x14ac:dyDescent="0.25">
      <c r="L315" s="201"/>
      <c r="P315" s="190"/>
    </row>
    <row r="316" spans="1:16" x14ac:dyDescent="0.25">
      <c r="L316" s="201"/>
      <c r="P316" s="190"/>
    </row>
    <row r="317" spans="1:16" x14ac:dyDescent="0.25">
      <c r="L317" s="201"/>
      <c r="P317" s="190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18D91BDA-84B5-48D3-9609-5D7EC11A6197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95E-C83C-4CC0-B3EF-510EE8E8300C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" style="199" customWidth="1"/>
    <col min="11" max="11" width="8.75" style="199" customWidth="1"/>
    <col min="12" max="12" width="11" style="199" customWidth="1"/>
    <col min="13" max="13" width="11.7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283" t="s">
        <v>89</v>
      </c>
      <c r="D2" s="283"/>
      <c r="E2" s="21"/>
      <c r="F2" s="21"/>
      <c r="G2" s="21"/>
      <c r="H2" s="171">
        <v>0</v>
      </c>
      <c r="I2" s="172">
        <v>50</v>
      </c>
      <c r="J2" s="172">
        <v>10</v>
      </c>
      <c r="K2" s="202">
        <f>3*H2^(1/3)</f>
        <v>0</v>
      </c>
      <c r="L2" s="168"/>
      <c r="M2" s="168"/>
    </row>
    <row r="3" spans="1:36" ht="14.45" customHeight="1" x14ac:dyDescent="0.25">
      <c r="A3" s="164"/>
      <c r="B3" s="174" t="s">
        <v>28</v>
      </c>
      <c r="C3" s="263" t="s">
        <v>99</v>
      </c>
      <c r="D3" s="263"/>
      <c r="E3" s="26"/>
      <c r="F3" s="26"/>
      <c r="G3" s="26"/>
      <c r="H3" s="168"/>
      <c r="I3" s="168"/>
      <c r="J3" s="168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68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7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9">
        <v>1</v>
      </c>
      <c r="I6" s="180" t="str">
        <f t="shared" ref="I6:I69" si="1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2">
        <v>2</v>
      </c>
      <c r="I7" s="183" t="str">
        <f t="shared" si="1"/>
        <v/>
      </c>
      <c r="J7" s="183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9">
        <v>3</v>
      </c>
      <c r="I8" s="180" t="str">
        <f t="shared" si="1"/>
        <v/>
      </c>
      <c r="J8" s="180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69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9">
        <v>5</v>
      </c>
      <c r="I10" s="180" t="str">
        <f t="shared" si="1"/>
        <v/>
      </c>
      <c r="J10" s="180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2">
        <v>6</v>
      </c>
      <c r="I11" s="183" t="str">
        <f t="shared" si="1"/>
        <v/>
      </c>
      <c r="J11" s="183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9">
        <v>7</v>
      </c>
      <c r="I12" s="180" t="str">
        <f t="shared" si="1"/>
        <v/>
      </c>
      <c r="J12" s="180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2">
        <v>8</v>
      </c>
      <c r="I13" s="183" t="str">
        <f t="shared" si="1"/>
        <v/>
      </c>
      <c r="J13" s="183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9">
        <v>9</v>
      </c>
      <c r="I14" s="180" t="str">
        <f t="shared" si="1"/>
        <v/>
      </c>
      <c r="J14" s="180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2">
        <v>10</v>
      </c>
      <c r="I15" s="183" t="str">
        <f t="shared" si="1"/>
        <v/>
      </c>
      <c r="J15" s="183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9">
        <v>11</v>
      </c>
      <c r="I16" s="180" t="str">
        <f t="shared" si="1"/>
        <v/>
      </c>
      <c r="J16" s="180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2">
        <v>12</v>
      </c>
      <c r="I17" s="183" t="str">
        <f t="shared" si="1"/>
        <v/>
      </c>
      <c r="J17" s="183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9">
        <v>13</v>
      </c>
      <c r="I18" s="180" t="str">
        <f t="shared" si="1"/>
        <v/>
      </c>
      <c r="J18" s="180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2">
        <v>14</v>
      </c>
      <c r="I19" s="183" t="str">
        <f t="shared" si="1"/>
        <v/>
      </c>
      <c r="J19" s="183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9">
        <v>15</v>
      </c>
      <c r="I20" s="180" t="str">
        <f t="shared" si="1"/>
        <v/>
      </c>
      <c r="J20" s="180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2">
        <v>16</v>
      </c>
      <c r="I21" s="183" t="str">
        <f t="shared" si="1"/>
        <v/>
      </c>
      <c r="J21" s="183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9">
        <v>17</v>
      </c>
      <c r="I22" s="180" t="str">
        <f t="shared" si="1"/>
        <v/>
      </c>
      <c r="J22" s="180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2">
        <v>18</v>
      </c>
      <c r="I23" s="183" t="str">
        <f t="shared" si="1"/>
        <v/>
      </c>
      <c r="J23" s="183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9">
        <v>19</v>
      </c>
      <c r="I24" s="180" t="str">
        <f t="shared" si="1"/>
        <v/>
      </c>
      <c r="J24" s="180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2">
        <v>20</v>
      </c>
      <c r="I25" s="183" t="str">
        <f t="shared" si="1"/>
        <v/>
      </c>
      <c r="J25" s="183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9">
        <v>21</v>
      </c>
      <c r="I26" s="180" t="str">
        <f t="shared" si="1"/>
        <v/>
      </c>
      <c r="J26" s="180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2">
        <v>22</v>
      </c>
      <c r="I27" s="183" t="str">
        <f t="shared" si="1"/>
        <v/>
      </c>
      <c r="J27" s="183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9">
        <v>23</v>
      </c>
      <c r="I28" s="180" t="str">
        <f t="shared" si="1"/>
        <v/>
      </c>
      <c r="J28" s="180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82">
        <v>24</v>
      </c>
      <c r="I29" s="183" t="str">
        <f t="shared" si="1"/>
        <v/>
      </c>
      <c r="J29" s="183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9">
        <v>25</v>
      </c>
      <c r="I30" s="180" t="str">
        <f t="shared" si="1"/>
        <v/>
      </c>
      <c r="J30" s="180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82">
        <v>26</v>
      </c>
      <c r="I31" s="183" t="str">
        <f t="shared" si="1"/>
        <v/>
      </c>
      <c r="J31" s="183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9">
        <v>27</v>
      </c>
      <c r="I32" s="180" t="str">
        <f t="shared" si="1"/>
        <v/>
      </c>
      <c r="J32" s="180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82">
        <v>28</v>
      </c>
      <c r="I33" s="183" t="str">
        <f t="shared" si="1"/>
        <v/>
      </c>
      <c r="J33" s="183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9">
        <v>29</v>
      </c>
      <c r="I34" s="180" t="str">
        <f t="shared" si="1"/>
        <v/>
      </c>
      <c r="J34" s="180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82">
        <v>30</v>
      </c>
      <c r="I35" s="183" t="str">
        <f t="shared" si="1"/>
        <v/>
      </c>
      <c r="J35" s="183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9">
        <v>31</v>
      </c>
      <c r="I36" s="180" t="str">
        <f t="shared" si="1"/>
        <v/>
      </c>
      <c r="J36" s="180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82">
        <v>32</v>
      </c>
      <c r="I37" s="183" t="str">
        <f t="shared" si="1"/>
        <v/>
      </c>
      <c r="J37" s="183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9">
        <v>33</v>
      </c>
      <c r="I38" s="180" t="str">
        <f t="shared" si="1"/>
        <v/>
      </c>
      <c r="J38" s="180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82">
        <v>34</v>
      </c>
      <c r="I39" s="183" t="str">
        <f t="shared" si="1"/>
        <v/>
      </c>
      <c r="J39" s="183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9">
        <v>35</v>
      </c>
      <c r="I40" s="180" t="str">
        <f t="shared" si="1"/>
        <v/>
      </c>
      <c r="J40" s="180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82">
        <v>36</v>
      </c>
      <c r="I41" s="183" t="str">
        <f t="shared" si="1"/>
        <v/>
      </c>
      <c r="J41" s="183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9">
        <v>37</v>
      </c>
      <c r="I42" s="180" t="str">
        <f t="shared" si="1"/>
        <v/>
      </c>
      <c r="J42" s="180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82">
        <v>38</v>
      </c>
      <c r="I43" s="183" t="str">
        <f t="shared" si="1"/>
        <v/>
      </c>
      <c r="J43" s="183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9">
        <v>39</v>
      </c>
      <c r="I44" s="180" t="str">
        <f t="shared" si="1"/>
        <v/>
      </c>
      <c r="J44" s="180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82">
        <v>40</v>
      </c>
      <c r="I45" s="183" t="str">
        <f t="shared" si="1"/>
        <v/>
      </c>
      <c r="J45" s="183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9">
        <v>41</v>
      </c>
      <c r="I46" s="180" t="str">
        <f t="shared" si="1"/>
        <v/>
      </c>
      <c r="J46" s="180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82">
        <v>42</v>
      </c>
      <c r="I47" s="183" t="str">
        <f t="shared" si="1"/>
        <v/>
      </c>
      <c r="J47" s="183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9">
        <v>43</v>
      </c>
      <c r="I48" s="180" t="str">
        <f t="shared" si="1"/>
        <v/>
      </c>
      <c r="J48" s="180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82">
        <v>44</v>
      </c>
      <c r="I49" s="183" t="str">
        <f t="shared" si="1"/>
        <v/>
      </c>
      <c r="J49" s="183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9">
        <v>45</v>
      </c>
      <c r="I50" s="180" t="str">
        <f t="shared" si="1"/>
        <v/>
      </c>
      <c r="J50" s="180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82">
        <v>46</v>
      </c>
      <c r="I51" s="183" t="str">
        <f t="shared" si="1"/>
        <v/>
      </c>
      <c r="J51" s="183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9">
        <v>47</v>
      </c>
      <c r="I52" s="180" t="str">
        <f t="shared" si="1"/>
        <v/>
      </c>
      <c r="J52" s="180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82">
        <v>48</v>
      </c>
      <c r="I53" s="183" t="str">
        <f t="shared" si="1"/>
        <v/>
      </c>
      <c r="J53" s="183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9">
        <v>49</v>
      </c>
      <c r="I54" s="180" t="str">
        <f t="shared" si="1"/>
        <v/>
      </c>
      <c r="J54" s="180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82">
        <v>50</v>
      </c>
      <c r="I55" s="183" t="str">
        <f t="shared" si="1"/>
        <v/>
      </c>
      <c r="J55" s="183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9">
        <v>51</v>
      </c>
      <c r="I56" s="180" t="str">
        <f t="shared" si="1"/>
        <v/>
      </c>
      <c r="J56" s="180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164"/>
      <c r="H57" s="182">
        <v>52</v>
      </c>
      <c r="I57" s="183" t="str">
        <f t="shared" si="1"/>
        <v/>
      </c>
      <c r="J57" s="183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164"/>
      <c r="H58" s="179">
        <v>53</v>
      </c>
      <c r="I58" s="180" t="str">
        <f t="shared" si="1"/>
        <v/>
      </c>
      <c r="J58" s="180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164"/>
      <c r="H59" s="182">
        <v>54</v>
      </c>
      <c r="I59" s="183" t="str">
        <f t="shared" si="1"/>
        <v/>
      </c>
      <c r="J59" s="183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164"/>
      <c r="H60" s="179">
        <v>55</v>
      </c>
      <c r="I60" s="180" t="str">
        <f t="shared" si="1"/>
        <v/>
      </c>
      <c r="J60" s="180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</row>
    <row r="61" spans="1:13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G61" s="164"/>
      <c r="H61" s="182">
        <v>56</v>
      </c>
      <c r="I61" s="183" t="str">
        <f t="shared" si="1"/>
        <v/>
      </c>
      <c r="J61" s="183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</row>
    <row r="62" spans="1:13" x14ac:dyDescent="0.25">
      <c r="A62" s="100">
        <f t="shared" si="4"/>
        <v>0</v>
      </c>
      <c r="B62" s="34" t="str">
        <f t="shared" si="0"/>
        <v/>
      </c>
      <c r="C62" s="35"/>
      <c r="D62" s="35"/>
      <c r="E62" s="35"/>
      <c r="F62" s="35"/>
      <c r="G62" s="164"/>
      <c r="H62" s="179">
        <v>57</v>
      </c>
      <c r="I62" s="180" t="str">
        <f t="shared" si="1"/>
        <v/>
      </c>
      <c r="J62" s="180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</row>
    <row r="63" spans="1:13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G63" s="164"/>
      <c r="H63" s="182">
        <v>58</v>
      </c>
      <c r="I63" s="183" t="str">
        <f t="shared" si="1"/>
        <v/>
      </c>
      <c r="J63" s="183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</row>
    <row r="64" spans="1:13" x14ac:dyDescent="0.25">
      <c r="A64" s="100">
        <f t="shared" si="4"/>
        <v>0</v>
      </c>
      <c r="B64" s="34" t="str">
        <f t="shared" si="0"/>
        <v/>
      </c>
      <c r="C64" s="35"/>
      <c r="D64" s="35"/>
      <c r="E64" s="35"/>
      <c r="F64" s="35"/>
      <c r="G64" s="164"/>
      <c r="H64" s="179">
        <v>59</v>
      </c>
      <c r="I64" s="180" t="str">
        <f t="shared" si="1"/>
        <v/>
      </c>
      <c r="J64" s="180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</row>
    <row r="65" spans="1:13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G65" s="164"/>
      <c r="H65" s="182">
        <v>60</v>
      </c>
      <c r="I65" s="183" t="str">
        <f t="shared" si="1"/>
        <v/>
      </c>
      <c r="J65" s="183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</row>
    <row r="66" spans="1:13" x14ac:dyDescent="0.25">
      <c r="A66" s="100">
        <f t="shared" si="4"/>
        <v>0</v>
      </c>
      <c r="B66" s="34"/>
      <c r="G66" s="164"/>
      <c r="H66" s="179">
        <v>61</v>
      </c>
      <c r="I66" s="180" t="str">
        <f t="shared" si="1"/>
        <v/>
      </c>
      <c r="J66" s="180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</row>
    <row r="67" spans="1:13" x14ac:dyDescent="0.25">
      <c r="A67" s="100">
        <f t="shared" si="4"/>
        <v>0</v>
      </c>
      <c r="B67" s="40"/>
      <c r="G67" s="164"/>
      <c r="H67" s="179">
        <v>62</v>
      </c>
      <c r="I67" s="180" t="str">
        <f t="shared" si="1"/>
        <v/>
      </c>
      <c r="J67" s="180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</row>
    <row r="68" spans="1:13" x14ac:dyDescent="0.25">
      <c r="A68" s="100">
        <f t="shared" si="4"/>
        <v>0</v>
      </c>
      <c r="B68" s="34"/>
      <c r="G68" s="164"/>
      <c r="H68" s="179">
        <v>63</v>
      </c>
      <c r="I68" s="180" t="str">
        <f t="shared" si="1"/>
        <v/>
      </c>
      <c r="J68" s="180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</row>
    <row r="69" spans="1:13" x14ac:dyDescent="0.25">
      <c r="A69" s="100">
        <f t="shared" si="4"/>
        <v>0</v>
      </c>
      <c r="B69" s="40"/>
      <c r="G69" s="164"/>
      <c r="H69" s="179">
        <v>64</v>
      </c>
      <c r="I69" s="180" t="str">
        <f t="shared" si="1"/>
        <v/>
      </c>
      <c r="J69" s="180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</row>
    <row r="70" spans="1:13" x14ac:dyDescent="0.25">
      <c r="A70" s="100">
        <f t="shared" si="4"/>
        <v>0</v>
      </c>
      <c r="G70" s="164"/>
      <c r="H70" s="179">
        <v>65</v>
      </c>
      <c r="I70" s="180" t="str">
        <f t="shared" ref="I70:I133" si="6">IF(H70&lt;$H$2+1,($I$2-($I$2-1)*(LOG(H70)/LOG($H$2))),"")</f>
        <v/>
      </c>
      <c r="J70" s="180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00">
        <f t="shared" ref="A71:A79" si="9">M71</f>
        <v>0</v>
      </c>
      <c r="G71" s="164"/>
      <c r="H71" s="179">
        <v>66</v>
      </c>
      <c r="I71" s="180" t="str">
        <f t="shared" si="6"/>
        <v/>
      </c>
      <c r="J71" s="180" t="e">
        <f t="shared" ref="J71:J134" si="10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00">
        <f t="shared" si="9"/>
        <v>0</v>
      </c>
      <c r="G72" s="164"/>
      <c r="H72" s="179">
        <v>67</v>
      </c>
      <c r="I72" s="180" t="str">
        <f t="shared" si="6"/>
        <v/>
      </c>
      <c r="J72" s="180" t="e">
        <f t="shared" si="10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00">
        <f t="shared" si="9"/>
        <v>0</v>
      </c>
      <c r="G73" s="164"/>
      <c r="H73" s="179">
        <v>68</v>
      </c>
      <c r="I73" s="180" t="str">
        <f t="shared" si="6"/>
        <v/>
      </c>
      <c r="J73" s="180" t="e">
        <f t="shared" si="10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00">
        <f t="shared" si="9"/>
        <v>0</v>
      </c>
      <c r="G74" s="164"/>
      <c r="H74" s="179">
        <v>69</v>
      </c>
      <c r="I74" s="180" t="str">
        <f t="shared" si="6"/>
        <v/>
      </c>
      <c r="J74" s="180" t="e">
        <f t="shared" si="10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00">
        <f t="shared" si="9"/>
        <v>0</v>
      </c>
      <c r="G75" s="164"/>
      <c r="H75" s="179">
        <v>70</v>
      </c>
      <c r="I75" s="180" t="str">
        <f t="shared" si="6"/>
        <v/>
      </c>
      <c r="J75" s="180" t="e">
        <f t="shared" si="10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00">
        <f t="shared" si="9"/>
        <v>0</v>
      </c>
      <c r="G76" s="164"/>
      <c r="H76" s="179">
        <v>71</v>
      </c>
      <c r="I76" s="180" t="str">
        <f t="shared" si="6"/>
        <v/>
      </c>
      <c r="J76" s="180" t="e">
        <f t="shared" si="10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00">
        <f t="shared" si="9"/>
        <v>0</v>
      </c>
      <c r="G77" s="164"/>
      <c r="H77" s="179">
        <v>72</v>
      </c>
      <c r="I77" s="180" t="str">
        <f t="shared" si="6"/>
        <v/>
      </c>
      <c r="J77" s="180" t="e">
        <f t="shared" si="10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00">
        <f t="shared" si="9"/>
        <v>0</v>
      </c>
      <c r="G78" s="164"/>
      <c r="H78" s="179">
        <v>73</v>
      </c>
      <c r="I78" s="180" t="str">
        <f t="shared" si="6"/>
        <v/>
      </c>
      <c r="J78" s="180" t="e">
        <f t="shared" si="10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00">
        <f t="shared" si="9"/>
        <v>0</v>
      </c>
      <c r="G79" s="164"/>
      <c r="H79" s="179">
        <v>74</v>
      </c>
      <c r="I79" s="180" t="str">
        <f t="shared" si="6"/>
        <v/>
      </c>
      <c r="J79" s="180" t="e">
        <f t="shared" si="10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96"/>
      <c r="G80" s="164"/>
      <c r="H80" s="179">
        <v>75</v>
      </c>
      <c r="I80" s="180" t="str">
        <f t="shared" si="6"/>
        <v/>
      </c>
      <c r="J80" s="180" t="e">
        <f t="shared" si="10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7"/>
      <c r="G81" s="164"/>
      <c r="H81" s="179">
        <v>76</v>
      </c>
      <c r="I81" s="180" t="str">
        <f t="shared" si="6"/>
        <v/>
      </c>
      <c r="J81" s="180" t="e">
        <f t="shared" si="10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7"/>
      <c r="G82" s="164"/>
      <c r="H82" s="179">
        <v>77</v>
      </c>
      <c r="I82" s="180" t="str">
        <f t="shared" si="6"/>
        <v/>
      </c>
      <c r="J82" s="180" t="e">
        <f t="shared" si="10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7"/>
      <c r="G83" s="164"/>
      <c r="H83" s="179">
        <v>78</v>
      </c>
      <c r="I83" s="180" t="str">
        <f t="shared" si="6"/>
        <v/>
      </c>
      <c r="J83" s="180" t="e">
        <f t="shared" si="10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7"/>
      <c r="G84" s="164"/>
      <c r="H84" s="179">
        <v>79</v>
      </c>
      <c r="I84" s="180" t="str">
        <f t="shared" si="6"/>
        <v/>
      </c>
      <c r="J84" s="180" t="e">
        <f t="shared" si="10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7"/>
      <c r="G85" s="164"/>
      <c r="H85" s="179">
        <v>80</v>
      </c>
      <c r="I85" s="180" t="str">
        <f t="shared" si="6"/>
        <v/>
      </c>
      <c r="J85" s="180" t="e">
        <f t="shared" si="10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7"/>
      <c r="G86" s="164"/>
      <c r="H86" s="179">
        <v>81</v>
      </c>
      <c r="I86" s="180" t="str">
        <f t="shared" si="6"/>
        <v/>
      </c>
      <c r="J86" s="180" t="e">
        <f t="shared" si="10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7"/>
      <c r="G87" s="164"/>
      <c r="H87" s="179">
        <v>82</v>
      </c>
      <c r="I87" s="180" t="str">
        <f t="shared" si="6"/>
        <v/>
      </c>
      <c r="J87" s="180" t="e">
        <f t="shared" si="10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7"/>
      <c r="G88" s="164"/>
      <c r="H88" s="179">
        <v>83</v>
      </c>
      <c r="I88" s="180" t="str">
        <f t="shared" si="6"/>
        <v/>
      </c>
      <c r="J88" s="180" t="e">
        <f t="shared" si="10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7"/>
      <c r="G89" s="164"/>
      <c r="H89" s="179">
        <v>84</v>
      </c>
      <c r="I89" s="180" t="str">
        <f t="shared" si="6"/>
        <v/>
      </c>
      <c r="J89" s="180" t="e">
        <f t="shared" si="10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7"/>
      <c r="G90" s="164"/>
      <c r="H90" s="179">
        <v>85</v>
      </c>
      <c r="I90" s="180" t="str">
        <f t="shared" si="6"/>
        <v/>
      </c>
      <c r="J90" s="180" t="e">
        <f t="shared" si="10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7"/>
      <c r="G91" s="164"/>
      <c r="H91" s="179">
        <v>86</v>
      </c>
      <c r="I91" s="180" t="str">
        <f t="shared" si="6"/>
        <v/>
      </c>
      <c r="J91" s="180" t="e">
        <f t="shared" si="10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7"/>
      <c r="G92" s="164"/>
      <c r="H92" s="179">
        <v>87</v>
      </c>
      <c r="I92" s="180" t="str">
        <f t="shared" si="6"/>
        <v/>
      </c>
      <c r="J92" s="180" t="e">
        <f t="shared" si="10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7"/>
      <c r="G93" s="164"/>
      <c r="H93" s="179">
        <v>88</v>
      </c>
      <c r="I93" s="180" t="str">
        <f t="shared" si="6"/>
        <v/>
      </c>
      <c r="J93" s="180" t="e">
        <f t="shared" si="10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7"/>
      <c r="G94" s="164"/>
      <c r="H94" s="179">
        <v>89</v>
      </c>
      <c r="I94" s="180" t="str">
        <f t="shared" si="6"/>
        <v/>
      </c>
      <c r="J94" s="180" t="e">
        <f t="shared" si="10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7"/>
      <c r="G95" s="164"/>
      <c r="H95" s="179">
        <v>90</v>
      </c>
      <c r="I95" s="180" t="str">
        <f t="shared" si="6"/>
        <v/>
      </c>
      <c r="J95" s="180" t="e">
        <f t="shared" si="10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7"/>
      <c r="G96" s="164"/>
      <c r="H96" s="179">
        <v>91</v>
      </c>
      <c r="I96" s="180" t="str">
        <f t="shared" si="6"/>
        <v/>
      </c>
      <c r="J96" s="180" t="e">
        <f t="shared" si="10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7"/>
      <c r="G97" s="164"/>
      <c r="H97" s="179">
        <v>92</v>
      </c>
      <c r="I97" s="180" t="str">
        <f t="shared" si="6"/>
        <v/>
      </c>
      <c r="J97" s="180" t="e">
        <f t="shared" si="10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7"/>
      <c r="G98" s="164"/>
      <c r="H98" s="179">
        <v>93</v>
      </c>
      <c r="I98" s="180" t="str">
        <f t="shared" si="6"/>
        <v/>
      </c>
      <c r="J98" s="180" t="e">
        <f t="shared" si="10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7"/>
      <c r="G99" s="164"/>
      <c r="H99" s="179">
        <v>94</v>
      </c>
      <c r="I99" s="180" t="str">
        <f t="shared" si="6"/>
        <v/>
      </c>
      <c r="J99" s="180" t="e">
        <f t="shared" si="10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7"/>
      <c r="G100" s="164"/>
      <c r="H100" s="179">
        <v>95</v>
      </c>
      <c r="I100" s="180" t="str">
        <f t="shared" si="6"/>
        <v/>
      </c>
      <c r="J100" s="180" t="e">
        <f t="shared" si="10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7"/>
      <c r="G101" s="164"/>
      <c r="H101" s="179">
        <v>96</v>
      </c>
      <c r="I101" s="180" t="str">
        <f t="shared" si="6"/>
        <v/>
      </c>
      <c r="J101" s="180" t="e">
        <f t="shared" si="10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7"/>
      <c r="G102" s="164"/>
      <c r="H102" s="179">
        <v>97</v>
      </c>
      <c r="I102" s="180" t="str">
        <f t="shared" si="6"/>
        <v/>
      </c>
      <c r="J102" s="180" t="e">
        <f t="shared" si="10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7"/>
      <c r="G103" s="164"/>
      <c r="H103" s="179">
        <v>98</v>
      </c>
      <c r="I103" s="180" t="str">
        <f t="shared" si="6"/>
        <v/>
      </c>
      <c r="J103" s="180" t="e">
        <f t="shared" si="10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7"/>
      <c r="G104" s="164"/>
      <c r="H104" s="179">
        <v>99</v>
      </c>
      <c r="I104" s="180" t="str">
        <f t="shared" si="6"/>
        <v/>
      </c>
      <c r="J104" s="180" t="e">
        <f t="shared" si="10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7"/>
      <c r="G105" s="164"/>
      <c r="H105" s="179">
        <v>100</v>
      </c>
      <c r="I105" s="180" t="str">
        <f t="shared" si="6"/>
        <v/>
      </c>
      <c r="J105" s="180" t="e">
        <f t="shared" si="10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7"/>
      <c r="G106" s="164"/>
      <c r="H106" s="179">
        <v>101</v>
      </c>
      <c r="I106" s="180" t="str">
        <f t="shared" si="6"/>
        <v/>
      </c>
      <c r="J106" s="180" t="e">
        <f t="shared" si="10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7"/>
      <c r="G107" s="164"/>
      <c r="H107" s="179">
        <v>102</v>
      </c>
      <c r="I107" s="180" t="str">
        <f t="shared" si="6"/>
        <v/>
      </c>
      <c r="J107" s="180" t="e">
        <f t="shared" si="10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7"/>
      <c r="G108" s="164"/>
      <c r="H108" s="179">
        <v>103</v>
      </c>
      <c r="I108" s="180" t="str">
        <f t="shared" si="6"/>
        <v/>
      </c>
      <c r="J108" s="180" t="e">
        <f t="shared" si="10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7"/>
      <c r="G109" s="164"/>
      <c r="H109" s="179">
        <v>104</v>
      </c>
      <c r="I109" s="180" t="str">
        <f t="shared" si="6"/>
        <v/>
      </c>
      <c r="J109" s="180" t="e">
        <f t="shared" si="10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7"/>
      <c r="G110" s="164"/>
      <c r="H110" s="179">
        <v>105</v>
      </c>
      <c r="I110" s="180" t="str">
        <f t="shared" si="6"/>
        <v/>
      </c>
      <c r="J110" s="180" t="e">
        <f t="shared" si="10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7"/>
      <c r="G111" s="164"/>
      <c r="H111" s="179">
        <v>106</v>
      </c>
      <c r="I111" s="180" t="str">
        <f t="shared" si="6"/>
        <v/>
      </c>
      <c r="J111" s="180" t="e">
        <f t="shared" si="10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7"/>
      <c r="G112" s="164"/>
      <c r="H112" s="179">
        <v>107</v>
      </c>
      <c r="I112" s="180" t="str">
        <f t="shared" si="6"/>
        <v/>
      </c>
      <c r="J112" s="180" t="e">
        <f t="shared" si="10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7"/>
      <c r="G113" s="164"/>
      <c r="H113" s="179">
        <v>108</v>
      </c>
      <c r="I113" s="180" t="str">
        <f t="shared" si="6"/>
        <v/>
      </c>
      <c r="J113" s="180" t="e">
        <f t="shared" si="10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7"/>
      <c r="G114" s="164"/>
      <c r="H114" s="179">
        <v>109</v>
      </c>
      <c r="I114" s="180" t="str">
        <f t="shared" si="6"/>
        <v/>
      </c>
      <c r="J114" s="180" t="e">
        <f t="shared" si="10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7"/>
      <c r="G115" s="164"/>
      <c r="H115" s="179">
        <v>110</v>
      </c>
      <c r="I115" s="180" t="str">
        <f t="shared" si="6"/>
        <v/>
      </c>
      <c r="J115" s="180" t="e">
        <f t="shared" si="10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7"/>
      <c r="G116" s="164"/>
      <c r="H116" s="179">
        <v>111</v>
      </c>
      <c r="I116" s="180" t="str">
        <f t="shared" si="6"/>
        <v/>
      </c>
      <c r="J116" s="180" t="e">
        <f t="shared" si="10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7"/>
      <c r="G117" s="164"/>
      <c r="H117" s="179">
        <v>112</v>
      </c>
      <c r="I117" s="180" t="str">
        <f t="shared" si="6"/>
        <v/>
      </c>
      <c r="J117" s="180" t="e">
        <f t="shared" si="10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7"/>
      <c r="G118" s="164"/>
      <c r="H118" s="179">
        <v>113</v>
      </c>
      <c r="I118" s="180" t="str">
        <f t="shared" si="6"/>
        <v/>
      </c>
      <c r="J118" s="180" t="e">
        <f t="shared" si="10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7"/>
      <c r="G119" s="164"/>
      <c r="H119" s="179">
        <v>114</v>
      </c>
      <c r="I119" s="180" t="str">
        <f t="shared" si="6"/>
        <v/>
      </c>
      <c r="J119" s="180" t="e">
        <f t="shared" si="10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7"/>
      <c r="G120" s="164"/>
      <c r="H120" s="179">
        <v>115</v>
      </c>
      <c r="I120" s="180" t="str">
        <f t="shared" si="6"/>
        <v/>
      </c>
      <c r="J120" s="180" t="e">
        <f t="shared" si="10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7"/>
      <c r="G121" s="164"/>
      <c r="H121" s="179">
        <v>116</v>
      </c>
      <c r="I121" s="180" t="str">
        <f t="shared" si="6"/>
        <v/>
      </c>
      <c r="J121" s="180" t="e">
        <f t="shared" si="10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7"/>
      <c r="G122" s="164"/>
      <c r="H122" s="179">
        <v>117</v>
      </c>
      <c r="I122" s="180" t="str">
        <f t="shared" si="6"/>
        <v/>
      </c>
      <c r="J122" s="180" t="e">
        <f t="shared" si="10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7"/>
      <c r="G123" s="164"/>
      <c r="H123" s="179">
        <v>118</v>
      </c>
      <c r="I123" s="180" t="str">
        <f t="shared" si="6"/>
        <v/>
      </c>
      <c r="J123" s="180" t="e">
        <f t="shared" si="10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7"/>
      <c r="G124" s="164"/>
      <c r="H124" s="179">
        <v>119</v>
      </c>
      <c r="I124" s="180" t="str">
        <f t="shared" si="6"/>
        <v/>
      </c>
      <c r="J124" s="180" t="e">
        <f t="shared" si="10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7"/>
      <c r="G125" s="164"/>
      <c r="H125" s="179">
        <v>120</v>
      </c>
      <c r="I125" s="180" t="str">
        <f t="shared" si="6"/>
        <v/>
      </c>
      <c r="J125" s="180" t="e">
        <f t="shared" si="10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7"/>
      <c r="G126" s="164"/>
      <c r="H126" s="179">
        <v>121</v>
      </c>
      <c r="I126" s="180" t="str">
        <f t="shared" si="6"/>
        <v/>
      </c>
      <c r="J126" s="180" t="e">
        <f t="shared" si="10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7"/>
      <c r="G127" s="164"/>
      <c r="H127" s="179">
        <v>122</v>
      </c>
      <c r="I127" s="180" t="str">
        <f t="shared" si="6"/>
        <v/>
      </c>
      <c r="J127" s="180" t="e">
        <f t="shared" si="10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7"/>
      <c r="G128" s="164"/>
      <c r="H128" s="179">
        <v>123</v>
      </c>
      <c r="I128" s="180" t="str">
        <f t="shared" si="6"/>
        <v/>
      </c>
      <c r="J128" s="180" t="e">
        <f t="shared" si="10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7"/>
      <c r="G129" s="164"/>
      <c r="H129" s="179">
        <v>124</v>
      </c>
      <c r="I129" s="180" t="str">
        <f t="shared" si="6"/>
        <v/>
      </c>
      <c r="J129" s="180" t="e">
        <f t="shared" si="10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7"/>
      <c r="G130" s="164"/>
      <c r="H130" s="179">
        <v>125</v>
      </c>
      <c r="I130" s="180" t="str">
        <f t="shared" si="6"/>
        <v/>
      </c>
      <c r="J130" s="180" t="e">
        <f t="shared" si="10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7"/>
      <c r="G131" s="164"/>
      <c r="H131" s="179">
        <v>126</v>
      </c>
      <c r="I131" s="180" t="str">
        <f t="shared" si="6"/>
        <v/>
      </c>
      <c r="J131" s="180" t="e">
        <f t="shared" si="10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7"/>
      <c r="G132" s="164"/>
      <c r="H132" s="179">
        <v>127</v>
      </c>
      <c r="I132" s="180" t="str">
        <f t="shared" si="6"/>
        <v/>
      </c>
      <c r="J132" s="180" t="e">
        <f t="shared" si="10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7"/>
      <c r="G133" s="164"/>
      <c r="H133" s="179">
        <v>128</v>
      </c>
      <c r="I133" s="180" t="str">
        <f t="shared" si="6"/>
        <v/>
      </c>
      <c r="J133" s="180" t="e">
        <f t="shared" si="10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7"/>
      <c r="G134" s="164"/>
      <c r="H134" s="179">
        <v>129</v>
      </c>
      <c r="I134" s="180" t="str">
        <f t="shared" ref="I134:I197" si="11">IF(H134&lt;$H$2+1,($I$2-($I$2-1)*(LOG(H134)/LOG($H$2))),"")</f>
        <v/>
      </c>
      <c r="J134" s="180" t="e">
        <f t="shared" si="10"/>
        <v>#NUM!</v>
      </c>
      <c r="K134" s="179" t="e">
        <f t="shared" ref="K134:K197" si="12">J134*$J$2</f>
        <v>#NUM!</v>
      </c>
      <c r="L134" s="179"/>
      <c r="M134" s="181">
        <f t="shared" ref="M134:M197" si="13">IF(I134&lt;&gt;"",K134+I134+L134,0)</f>
        <v>0</v>
      </c>
    </row>
    <row r="135" spans="1:13" x14ac:dyDescent="0.25">
      <c r="A135" s="197"/>
      <c r="G135" s="164"/>
      <c r="H135" s="179">
        <v>130</v>
      </c>
      <c r="I135" s="180" t="str">
        <f t="shared" si="11"/>
        <v/>
      </c>
      <c r="J135" s="180" t="e">
        <f t="shared" ref="J135:J198" si="14">INT(LOG($H$2,2))-ROUNDUP(LOG(H135,2),0)+IF(OR($H$2=1,$H$2=2,$H$2=4,$H$2=8,$H$2=16,$H$2=32,$H$2=64,$H$2=128,$H$2=256),0,1)</f>
        <v>#NUM!</v>
      </c>
      <c r="K135" s="179" t="e">
        <f t="shared" si="12"/>
        <v>#NUM!</v>
      </c>
      <c r="L135" s="179"/>
      <c r="M135" s="181">
        <f t="shared" si="13"/>
        <v>0</v>
      </c>
    </row>
    <row r="136" spans="1:13" x14ac:dyDescent="0.25">
      <c r="A136" s="197"/>
      <c r="G136" s="164"/>
      <c r="H136" s="179">
        <v>131</v>
      </c>
      <c r="I136" s="180" t="str">
        <f t="shared" si="11"/>
        <v/>
      </c>
      <c r="J136" s="180" t="e">
        <f t="shared" si="14"/>
        <v>#NUM!</v>
      </c>
      <c r="K136" s="179" t="e">
        <f t="shared" si="12"/>
        <v>#NUM!</v>
      </c>
      <c r="L136" s="179"/>
      <c r="M136" s="181">
        <f t="shared" si="13"/>
        <v>0</v>
      </c>
    </row>
    <row r="137" spans="1:13" x14ac:dyDescent="0.25">
      <c r="A137" s="197"/>
      <c r="G137" s="164"/>
      <c r="H137" s="179">
        <v>132</v>
      </c>
      <c r="I137" s="180" t="str">
        <f t="shared" si="11"/>
        <v/>
      </c>
      <c r="J137" s="180" t="e">
        <f t="shared" si="14"/>
        <v>#NUM!</v>
      </c>
      <c r="K137" s="179" t="e">
        <f t="shared" si="12"/>
        <v>#NUM!</v>
      </c>
      <c r="L137" s="179"/>
      <c r="M137" s="181">
        <f t="shared" si="13"/>
        <v>0</v>
      </c>
    </row>
    <row r="138" spans="1:13" x14ac:dyDescent="0.25">
      <c r="A138" s="197"/>
      <c r="G138" s="164"/>
      <c r="H138" s="179">
        <v>133</v>
      </c>
      <c r="I138" s="180" t="str">
        <f t="shared" si="11"/>
        <v/>
      </c>
      <c r="J138" s="180" t="e">
        <f t="shared" si="14"/>
        <v>#NUM!</v>
      </c>
      <c r="K138" s="179" t="e">
        <f t="shared" si="12"/>
        <v>#NUM!</v>
      </c>
      <c r="L138" s="179"/>
      <c r="M138" s="181">
        <f t="shared" si="13"/>
        <v>0</v>
      </c>
    </row>
    <row r="139" spans="1:13" x14ac:dyDescent="0.25">
      <c r="A139" s="197"/>
      <c r="G139" s="164"/>
      <c r="H139" s="179">
        <v>134</v>
      </c>
      <c r="I139" s="180" t="str">
        <f t="shared" si="11"/>
        <v/>
      </c>
      <c r="J139" s="180" t="e">
        <f t="shared" si="14"/>
        <v>#NUM!</v>
      </c>
      <c r="K139" s="179" t="e">
        <f t="shared" si="12"/>
        <v>#NUM!</v>
      </c>
      <c r="L139" s="179"/>
      <c r="M139" s="181">
        <f t="shared" si="13"/>
        <v>0</v>
      </c>
    </row>
    <row r="140" spans="1:13" x14ac:dyDescent="0.25">
      <c r="A140" s="197"/>
      <c r="G140" s="164"/>
      <c r="H140" s="179">
        <v>135</v>
      </c>
      <c r="I140" s="180" t="str">
        <f t="shared" si="11"/>
        <v/>
      </c>
      <c r="J140" s="180" t="e">
        <f t="shared" si="14"/>
        <v>#NUM!</v>
      </c>
      <c r="K140" s="179" t="e">
        <f t="shared" si="12"/>
        <v>#NUM!</v>
      </c>
      <c r="L140" s="179"/>
      <c r="M140" s="181">
        <f t="shared" si="13"/>
        <v>0</v>
      </c>
    </row>
    <row r="141" spans="1:13" x14ac:dyDescent="0.25">
      <c r="A141" s="197"/>
      <c r="G141" s="164"/>
      <c r="H141" s="179">
        <v>136</v>
      </c>
      <c r="I141" s="180" t="str">
        <f t="shared" si="11"/>
        <v/>
      </c>
      <c r="J141" s="180" t="e">
        <f t="shared" si="14"/>
        <v>#NUM!</v>
      </c>
      <c r="K141" s="179" t="e">
        <f t="shared" si="12"/>
        <v>#NUM!</v>
      </c>
      <c r="L141" s="179"/>
      <c r="M141" s="181">
        <f t="shared" si="13"/>
        <v>0</v>
      </c>
    </row>
    <row r="142" spans="1:13" x14ac:dyDescent="0.25">
      <c r="A142" s="197"/>
      <c r="G142" s="164"/>
      <c r="H142" s="179">
        <v>137</v>
      </c>
      <c r="I142" s="180" t="str">
        <f t="shared" si="11"/>
        <v/>
      </c>
      <c r="J142" s="180" t="e">
        <f t="shared" si="14"/>
        <v>#NUM!</v>
      </c>
      <c r="K142" s="179" t="e">
        <f t="shared" si="12"/>
        <v>#NUM!</v>
      </c>
      <c r="L142" s="179"/>
      <c r="M142" s="181">
        <f t="shared" si="13"/>
        <v>0</v>
      </c>
    </row>
    <row r="143" spans="1:13" x14ac:dyDescent="0.25">
      <c r="A143" s="197"/>
      <c r="G143" s="164"/>
      <c r="H143" s="179">
        <v>138</v>
      </c>
      <c r="I143" s="180" t="str">
        <f t="shared" si="11"/>
        <v/>
      </c>
      <c r="J143" s="180" t="e">
        <f t="shared" si="14"/>
        <v>#NUM!</v>
      </c>
      <c r="K143" s="179" t="e">
        <f t="shared" si="12"/>
        <v>#NUM!</v>
      </c>
      <c r="L143" s="179"/>
      <c r="M143" s="181">
        <f t="shared" si="13"/>
        <v>0</v>
      </c>
    </row>
    <row r="144" spans="1:13" x14ac:dyDescent="0.25">
      <c r="A144" s="197"/>
      <c r="G144" s="164"/>
      <c r="H144" s="179">
        <v>139</v>
      </c>
      <c r="I144" s="180" t="str">
        <f t="shared" si="11"/>
        <v/>
      </c>
      <c r="J144" s="180" t="e">
        <f t="shared" si="14"/>
        <v>#NUM!</v>
      </c>
      <c r="K144" s="179" t="e">
        <f t="shared" si="12"/>
        <v>#NUM!</v>
      </c>
      <c r="L144" s="179"/>
      <c r="M144" s="181">
        <f t="shared" si="13"/>
        <v>0</v>
      </c>
    </row>
    <row r="145" spans="1:13" x14ac:dyDescent="0.25">
      <c r="A145" s="197"/>
      <c r="G145" s="164"/>
      <c r="H145" s="179">
        <v>140</v>
      </c>
      <c r="I145" s="180" t="str">
        <f t="shared" si="11"/>
        <v/>
      </c>
      <c r="J145" s="180" t="e">
        <f t="shared" si="14"/>
        <v>#NUM!</v>
      </c>
      <c r="K145" s="179" t="e">
        <f t="shared" si="12"/>
        <v>#NUM!</v>
      </c>
      <c r="L145" s="179"/>
      <c r="M145" s="181">
        <f t="shared" si="13"/>
        <v>0</v>
      </c>
    </row>
    <row r="146" spans="1:13" x14ac:dyDescent="0.25">
      <c r="A146" s="197"/>
      <c r="G146" s="164"/>
      <c r="H146" s="179">
        <v>141</v>
      </c>
      <c r="I146" s="180" t="str">
        <f t="shared" si="11"/>
        <v/>
      </c>
      <c r="J146" s="180" t="e">
        <f t="shared" si="14"/>
        <v>#NUM!</v>
      </c>
      <c r="K146" s="179" t="e">
        <f t="shared" si="12"/>
        <v>#NUM!</v>
      </c>
      <c r="L146" s="179"/>
      <c r="M146" s="181">
        <f t="shared" si="13"/>
        <v>0</v>
      </c>
    </row>
    <row r="147" spans="1:13" x14ac:dyDescent="0.25">
      <c r="A147" s="197"/>
      <c r="G147" s="164"/>
      <c r="H147" s="179">
        <v>142</v>
      </c>
      <c r="I147" s="180" t="str">
        <f t="shared" si="11"/>
        <v/>
      </c>
      <c r="J147" s="180" t="e">
        <f t="shared" si="14"/>
        <v>#NUM!</v>
      </c>
      <c r="K147" s="179" t="e">
        <f t="shared" si="12"/>
        <v>#NUM!</v>
      </c>
      <c r="L147" s="179"/>
      <c r="M147" s="181">
        <f t="shared" si="13"/>
        <v>0</v>
      </c>
    </row>
    <row r="148" spans="1:13" x14ac:dyDescent="0.25">
      <c r="A148" s="197"/>
      <c r="G148" s="164"/>
      <c r="H148" s="179">
        <v>143</v>
      </c>
      <c r="I148" s="180" t="str">
        <f t="shared" si="11"/>
        <v/>
      </c>
      <c r="J148" s="180" t="e">
        <f t="shared" si="14"/>
        <v>#NUM!</v>
      </c>
      <c r="K148" s="179" t="e">
        <f t="shared" si="12"/>
        <v>#NUM!</v>
      </c>
      <c r="L148" s="179"/>
      <c r="M148" s="181">
        <f t="shared" si="13"/>
        <v>0</v>
      </c>
    </row>
    <row r="149" spans="1:13" x14ac:dyDescent="0.25">
      <c r="A149" s="197"/>
      <c r="G149" s="164"/>
      <c r="H149" s="179">
        <v>144</v>
      </c>
      <c r="I149" s="180" t="str">
        <f t="shared" si="11"/>
        <v/>
      </c>
      <c r="J149" s="180" t="e">
        <f t="shared" si="14"/>
        <v>#NUM!</v>
      </c>
      <c r="K149" s="179" t="e">
        <f t="shared" si="12"/>
        <v>#NUM!</v>
      </c>
      <c r="L149" s="179"/>
      <c r="M149" s="181">
        <f t="shared" si="13"/>
        <v>0</v>
      </c>
    </row>
    <row r="150" spans="1:13" x14ac:dyDescent="0.25">
      <c r="A150" s="197"/>
      <c r="G150" s="164"/>
      <c r="H150" s="179">
        <v>145</v>
      </c>
      <c r="I150" s="180" t="str">
        <f t="shared" si="11"/>
        <v/>
      </c>
      <c r="J150" s="180" t="e">
        <f t="shared" si="14"/>
        <v>#NUM!</v>
      </c>
      <c r="K150" s="179" t="e">
        <f t="shared" si="12"/>
        <v>#NUM!</v>
      </c>
      <c r="L150" s="179"/>
      <c r="M150" s="181">
        <f t="shared" si="13"/>
        <v>0</v>
      </c>
    </row>
    <row r="151" spans="1:13" x14ac:dyDescent="0.25">
      <c r="A151" s="197"/>
      <c r="G151" s="164"/>
      <c r="H151" s="179">
        <v>146</v>
      </c>
      <c r="I151" s="180" t="str">
        <f t="shared" si="11"/>
        <v/>
      </c>
      <c r="J151" s="180" t="e">
        <f t="shared" si="14"/>
        <v>#NUM!</v>
      </c>
      <c r="K151" s="179" t="e">
        <f t="shared" si="12"/>
        <v>#NUM!</v>
      </c>
      <c r="L151" s="179"/>
      <c r="M151" s="181">
        <f t="shared" si="13"/>
        <v>0</v>
      </c>
    </row>
    <row r="152" spans="1:13" x14ac:dyDescent="0.25">
      <c r="A152" s="197"/>
      <c r="G152" s="164"/>
      <c r="H152" s="179">
        <v>147</v>
      </c>
      <c r="I152" s="180" t="str">
        <f t="shared" si="11"/>
        <v/>
      </c>
      <c r="J152" s="180" t="e">
        <f t="shared" si="14"/>
        <v>#NUM!</v>
      </c>
      <c r="K152" s="179" t="e">
        <f t="shared" si="12"/>
        <v>#NUM!</v>
      </c>
      <c r="L152" s="179"/>
      <c r="M152" s="181">
        <f t="shared" si="13"/>
        <v>0</v>
      </c>
    </row>
    <row r="153" spans="1:13" x14ac:dyDescent="0.25">
      <c r="A153" s="197"/>
      <c r="G153" s="164"/>
      <c r="H153" s="179">
        <v>148</v>
      </c>
      <c r="I153" s="180" t="str">
        <f t="shared" si="11"/>
        <v/>
      </c>
      <c r="J153" s="180" t="e">
        <f t="shared" si="14"/>
        <v>#NUM!</v>
      </c>
      <c r="K153" s="179" t="e">
        <f t="shared" si="12"/>
        <v>#NUM!</v>
      </c>
      <c r="L153" s="179"/>
      <c r="M153" s="181">
        <f t="shared" si="13"/>
        <v>0</v>
      </c>
    </row>
    <row r="154" spans="1:13" x14ac:dyDescent="0.25">
      <c r="A154" s="197"/>
      <c r="G154" s="164"/>
      <c r="H154" s="179">
        <v>149</v>
      </c>
      <c r="I154" s="180" t="str">
        <f t="shared" si="11"/>
        <v/>
      </c>
      <c r="J154" s="180" t="e">
        <f t="shared" si="14"/>
        <v>#NUM!</v>
      </c>
      <c r="K154" s="179" t="e">
        <f t="shared" si="12"/>
        <v>#NUM!</v>
      </c>
      <c r="L154" s="179"/>
      <c r="M154" s="181">
        <f t="shared" si="13"/>
        <v>0</v>
      </c>
    </row>
    <row r="155" spans="1:13" x14ac:dyDescent="0.25">
      <c r="A155" s="197"/>
      <c r="G155" s="164"/>
      <c r="H155" s="179">
        <v>150</v>
      </c>
      <c r="I155" s="180" t="str">
        <f t="shared" si="11"/>
        <v/>
      </c>
      <c r="J155" s="180" t="e">
        <f t="shared" si="14"/>
        <v>#NUM!</v>
      </c>
      <c r="K155" s="179" t="e">
        <f t="shared" si="12"/>
        <v>#NUM!</v>
      </c>
      <c r="L155" s="179"/>
      <c r="M155" s="181">
        <f t="shared" si="13"/>
        <v>0</v>
      </c>
    </row>
    <row r="156" spans="1:13" x14ac:dyDescent="0.25">
      <c r="A156" s="197"/>
      <c r="G156" s="164"/>
      <c r="H156" s="179">
        <v>151</v>
      </c>
      <c r="I156" s="180" t="str">
        <f t="shared" si="11"/>
        <v/>
      </c>
      <c r="J156" s="180" t="e">
        <f t="shared" si="14"/>
        <v>#NUM!</v>
      </c>
      <c r="K156" s="179" t="e">
        <f t="shared" si="12"/>
        <v>#NUM!</v>
      </c>
      <c r="L156" s="179"/>
      <c r="M156" s="181">
        <f t="shared" si="13"/>
        <v>0</v>
      </c>
    </row>
    <row r="157" spans="1:13" x14ac:dyDescent="0.25">
      <c r="A157" s="197"/>
      <c r="G157" s="164"/>
      <c r="H157" s="179">
        <v>152</v>
      </c>
      <c r="I157" s="180" t="str">
        <f t="shared" si="11"/>
        <v/>
      </c>
      <c r="J157" s="180" t="e">
        <f t="shared" si="14"/>
        <v>#NUM!</v>
      </c>
      <c r="K157" s="179" t="e">
        <f t="shared" si="12"/>
        <v>#NUM!</v>
      </c>
      <c r="L157" s="179"/>
      <c r="M157" s="181">
        <f t="shared" si="13"/>
        <v>0</v>
      </c>
    </row>
    <row r="158" spans="1:13" x14ac:dyDescent="0.25">
      <c r="A158" s="197"/>
      <c r="G158" s="164"/>
      <c r="H158" s="179">
        <v>153</v>
      </c>
      <c r="I158" s="180" t="str">
        <f t="shared" si="11"/>
        <v/>
      </c>
      <c r="J158" s="180" t="e">
        <f t="shared" si="14"/>
        <v>#NUM!</v>
      </c>
      <c r="K158" s="179" t="e">
        <f t="shared" si="12"/>
        <v>#NUM!</v>
      </c>
      <c r="L158" s="179"/>
      <c r="M158" s="181">
        <f t="shared" si="13"/>
        <v>0</v>
      </c>
    </row>
    <row r="159" spans="1:13" x14ac:dyDescent="0.25">
      <c r="A159" s="197"/>
      <c r="G159" s="164"/>
      <c r="H159" s="179">
        <v>154</v>
      </c>
      <c r="I159" s="180" t="str">
        <f t="shared" si="11"/>
        <v/>
      </c>
      <c r="J159" s="180" t="e">
        <f t="shared" si="14"/>
        <v>#NUM!</v>
      </c>
      <c r="K159" s="179" t="e">
        <f t="shared" si="12"/>
        <v>#NUM!</v>
      </c>
      <c r="L159" s="179"/>
      <c r="M159" s="181">
        <f t="shared" si="13"/>
        <v>0</v>
      </c>
    </row>
    <row r="160" spans="1:13" x14ac:dyDescent="0.25">
      <c r="A160" s="197"/>
      <c r="G160" s="164"/>
      <c r="H160" s="179">
        <v>155</v>
      </c>
      <c r="I160" s="180" t="str">
        <f t="shared" si="11"/>
        <v/>
      </c>
      <c r="J160" s="180" t="e">
        <f t="shared" si="14"/>
        <v>#NUM!</v>
      </c>
      <c r="K160" s="179" t="e">
        <f t="shared" si="12"/>
        <v>#NUM!</v>
      </c>
      <c r="L160" s="179"/>
      <c r="M160" s="181">
        <f t="shared" si="13"/>
        <v>0</v>
      </c>
    </row>
    <row r="161" spans="1:13" x14ac:dyDescent="0.25">
      <c r="A161" s="197"/>
      <c r="G161" s="164"/>
      <c r="H161" s="179">
        <v>156</v>
      </c>
      <c r="I161" s="180" t="str">
        <f t="shared" si="11"/>
        <v/>
      </c>
      <c r="J161" s="180" t="e">
        <f t="shared" si="14"/>
        <v>#NUM!</v>
      </c>
      <c r="K161" s="179" t="e">
        <f t="shared" si="12"/>
        <v>#NUM!</v>
      </c>
      <c r="L161" s="179"/>
      <c r="M161" s="181">
        <f t="shared" si="13"/>
        <v>0</v>
      </c>
    </row>
    <row r="162" spans="1:13" x14ac:dyDescent="0.25">
      <c r="A162" s="197"/>
      <c r="G162" s="164"/>
      <c r="H162" s="179">
        <v>157</v>
      </c>
      <c r="I162" s="180" t="str">
        <f t="shared" si="11"/>
        <v/>
      </c>
      <c r="J162" s="180" t="e">
        <f t="shared" si="14"/>
        <v>#NUM!</v>
      </c>
      <c r="K162" s="179" t="e">
        <f t="shared" si="12"/>
        <v>#NUM!</v>
      </c>
      <c r="L162" s="179"/>
      <c r="M162" s="181">
        <f t="shared" si="13"/>
        <v>0</v>
      </c>
    </row>
    <row r="163" spans="1:13" x14ac:dyDescent="0.25">
      <c r="A163" s="197"/>
      <c r="G163" s="164"/>
      <c r="H163" s="179">
        <v>158</v>
      </c>
      <c r="I163" s="180" t="str">
        <f t="shared" si="11"/>
        <v/>
      </c>
      <c r="J163" s="180" t="e">
        <f t="shared" si="14"/>
        <v>#NUM!</v>
      </c>
      <c r="K163" s="179" t="e">
        <f t="shared" si="12"/>
        <v>#NUM!</v>
      </c>
      <c r="L163" s="179"/>
      <c r="M163" s="181">
        <f t="shared" si="13"/>
        <v>0</v>
      </c>
    </row>
    <row r="164" spans="1:13" x14ac:dyDescent="0.25">
      <c r="A164" s="197"/>
      <c r="G164" s="164"/>
      <c r="H164" s="179">
        <v>159</v>
      </c>
      <c r="I164" s="180" t="str">
        <f t="shared" si="11"/>
        <v/>
      </c>
      <c r="J164" s="180" t="e">
        <f t="shared" si="14"/>
        <v>#NUM!</v>
      </c>
      <c r="K164" s="179" t="e">
        <f t="shared" si="12"/>
        <v>#NUM!</v>
      </c>
      <c r="L164" s="179"/>
      <c r="M164" s="181">
        <f t="shared" si="13"/>
        <v>0</v>
      </c>
    </row>
    <row r="165" spans="1:13" x14ac:dyDescent="0.25">
      <c r="A165" s="197"/>
      <c r="G165" s="164"/>
      <c r="H165" s="179">
        <v>160</v>
      </c>
      <c r="I165" s="180" t="str">
        <f t="shared" si="11"/>
        <v/>
      </c>
      <c r="J165" s="180" t="e">
        <f t="shared" si="14"/>
        <v>#NUM!</v>
      </c>
      <c r="K165" s="179" t="e">
        <f t="shared" si="12"/>
        <v>#NUM!</v>
      </c>
      <c r="L165" s="179"/>
      <c r="M165" s="181">
        <f t="shared" si="13"/>
        <v>0</v>
      </c>
    </row>
    <row r="166" spans="1:13" x14ac:dyDescent="0.25">
      <c r="A166" s="197"/>
      <c r="G166" s="164"/>
      <c r="H166" s="179">
        <v>161</v>
      </c>
      <c r="I166" s="180" t="str">
        <f t="shared" si="11"/>
        <v/>
      </c>
      <c r="J166" s="180" t="e">
        <f t="shared" si="14"/>
        <v>#NUM!</v>
      </c>
      <c r="K166" s="179" t="e">
        <f t="shared" si="12"/>
        <v>#NUM!</v>
      </c>
      <c r="L166" s="179"/>
      <c r="M166" s="181">
        <f t="shared" si="13"/>
        <v>0</v>
      </c>
    </row>
    <row r="167" spans="1:13" x14ac:dyDescent="0.25">
      <c r="A167" s="197"/>
      <c r="G167" s="164"/>
      <c r="H167" s="179">
        <v>162</v>
      </c>
      <c r="I167" s="180" t="str">
        <f t="shared" si="11"/>
        <v/>
      </c>
      <c r="J167" s="180" t="e">
        <f t="shared" si="14"/>
        <v>#NUM!</v>
      </c>
      <c r="K167" s="179" t="e">
        <f t="shared" si="12"/>
        <v>#NUM!</v>
      </c>
      <c r="L167" s="179"/>
      <c r="M167" s="181">
        <f t="shared" si="13"/>
        <v>0</v>
      </c>
    </row>
    <row r="168" spans="1:13" x14ac:dyDescent="0.25">
      <c r="A168" s="197"/>
      <c r="G168" s="164"/>
      <c r="H168" s="179">
        <v>163</v>
      </c>
      <c r="I168" s="180" t="str">
        <f t="shared" si="11"/>
        <v/>
      </c>
      <c r="J168" s="180" t="e">
        <f t="shared" si="14"/>
        <v>#NUM!</v>
      </c>
      <c r="K168" s="179" t="e">
        <f t="shared" si="12"/>
        <v>#NUM!</v>
      </c>
      <c r="L168" s="179"/>
      <c r="M168" s="181">
        <f t="shared" si="13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1"/>
        <v/>
      </c>
      <c r="J169" s="180" t="e">
        <f t="shared" si="14"/>
        <v>#NUM!</v>
      </c>
      <c r="K169" s="179" t="e">
        <f t="shared" si="12"/>
        <v>#NUM!</v>
      </c>
      <c r="L169" s="179"/>
      <c r="M169" s="181">
        <f t="shared" si="13"/>
        <v>0</v>
      </c>
    </row>
    <row r="170" spans="1:13" x14ac:dyDescent="0.25">
      <c r="A170" s="197"/>
      <c r="G170" s="164"/>
      <c r="H170" s="179">
        <v>165</v>
      </c>
      <c r="I170" s="180" t="str">
        <f t="shared" si="11"/>
        <v/>
      </c>
      <c r="J170" s="180" t="e">
        <f t="shared" si="14"/>
        <v>#NUM!</v>
      </c>
      <c r="K170" s="179" t="e">
        <f t="shared" si="12"/>
        <v>#NUM!</v>
      </c>
      <c r="L170" s="179"/>
      <c r="M170" s="181">
        <f t="shared" si="13"/>
        <v>0</v>
      </c>
    </row>
    <row r="171" spans="1:13" x14ac:dyDescent="0.25">
      <c r="A171" s="197"/>
      <c r="G171" s="164"/>
      <c r="H171" s="179">
        <v>166</v>
      </c>
      <c r="I171" s="180" t="str">
        <f t="shared" si="11"/>
        <v/>
      </c>
      <c r="J171" s="180" t="e">
        <f t="shared" si="14"/>
        <v>#NUM!</v>
      </c>
      <c r="K171" s="179" t="e">
        <f t="shared" si="12"/>
        <v>#NUM!</v>
      </c>
      <c r="L171" s="179"/>
      <c r="M171" s="181">
        <f t="shared" si="13"/>
        <v>0</v>
      </c>
    </row>
    <row r="172" spans="1:13" x14ac:dyDescent="0.25">
      <c r="A172" s="197"/>
      <c r="G172" s="164"/>
      <c r="H172" s="179">
        <v>167</v>
      </c>
      <c r="I172" s="180" t="str">
        <f t="shared" si="11"/>
        <v/>
      </c>
      <c r="J172" s="180" t="e">
        <f t="shared" si="14"/>
        <v>#NUM!</v>
      </c>
      <c r="K172" s="179" t="e">
        <f t="shared" si="12"/>
        <v>#NUM!</v>
      </c>
      <c r="L172" s="179"/>
      <c r="M172" s="181">
        <f t="shared" si="13"/>
        <v>0</v>
      </c>
    </row>
    <row r="173" spans="1:13" x14ac:dyDescent="0.25">
      <c r="A173" s="197"/>
      <c r="G173" s="164"/>
      <c r="H173" s="179">
        <v>168</v>
      </c>
      <c r="I173" s="180" t="str">
        <f t="shared" si="11"/>
        <v/>
      </c>
      <c r="J173" s="180" t="e">
        <f t="shared" si="14"/>
        <v>#NUM!</v>
      </c>
      <c r="K173" s="179" t="e">
        <f t="shared" si="12"/>
        <v>#NUM!</v>
      </c>
      <c r="L173" s="179"/>
      <c r="M173" s="181">
        <f t="shared" si="13"/>
        <v>0</v>
      </c>
    </row>
    <row r="174" spans="1:13" x14ac:dyDescent="0.25">
      <c r="A174" s="197"/>
      <c r="G174" s="164"/>
      <c r="H174" s="179">
        <v>169</v>
      </c>
      <c r="I174" s="180" t="str">
        <f t="shared" si="11"/>
        <v/>
      </c>
      <c r="J174" s="180" t="e">
        <f t="shared" si="14"/>
        <v>#NUM!</v>
      </c>
      <c r="K174" s="179" t="e">
        <f t="shared" si="12"/>
        <v>#NUM!</v>
      </c>
      <c r="L174" s="179"/>
      <c r="M174" s="181">
        <f t="shared" si="13"/>
        <v>0</v>
      </c>
    </row>
    <row r="175" spans="1:13" x14ac:dyDescent="0.25">
      <c r="A175" s="197"/>
      <c r="G175" s="164"/>
      <c r="H175" s="179">
        <v>170</v>
      </c>
      <c r="I175" s="180" t="str">
        <f t="shared" si="11"/>
        <v/>
      </c>
      <c r="J175" s="180" t="e">
        <f t="shared" si="14"/>
        <v>#NUM!</v>
      </c>
      <c r="K175" s="179" t="e">
        <f t="shared" si="12"/>
        <v>#NUM!</v>
      </c>
      <c r="L175" s="179"/>
      <c r="M175" s="181">
        <f t="shared" si="13"/>
        <v>0</v>
      </c>
    </row>
    <row r="176" spans="1:13" x14ac:dyDescent="0.25">
      <c r="A176" s="197"/>
      <c r="G176" s="164"/>
      <c r="H176" s="179">
        <v>171</v>
      </c>
      <c r="I176" s="180" t="str">
        <f t="shared" si="11"/>
        <v/>
      </c>
      <c r="J176" s="180" t="e">
        <f t="shared" si="14"/>
        <v>#NUM!</v>
      </c>
      <c r="K176" s="179" t="e">
        <f t="shared" si="12"/>
        <v>#NUM!</v>
      </c>
      <c r="L176" s="179"/>
      <c r="M176" s="181">
        <f t="shared" si="13"/>
        <v>0</v>
      </c>
    </row>
    <row r="177" spans="1:13" x14ac:dyDescent="0.25">
      <c r="A177" s="197"/>
      <c r="G177" s="164"/>
      <c r="H177" s="179">
        <v>172</v>
      </c>
      <c r="I177" s="180" t="str">
        <f t="shared" si="11"/>
        <v/>
      </c>
      <c r="J177" s="180" t="e">
        <f t="shared" si="14"/>
        <v>#NUM!</v>
      </c>
      <c r="K177" s="179" t="e">
        <f t="shared" si="12"/>
        <v>#NUM!</v>
      </c>
      <c r="L177" s="179"/>
      <c r="M177" s="181">
        <f t="shared" si="13"/>
        <v>0</v>
      </c>
    </row>
    <row r="178" spans="1:13" x14ac:dyDescent="0.25">
      <c r="A178" s="197"/>
      <c r="G178" s="164"/>
      <c r="H178" s="179">
        <v>173</v>
      </c>
      <c r="I178" s="180" t="str">
        <f t="shared" si="11"/>
        <v/>
      </c>
      <c r="J178" s="180" t="e">
        <f t="shared" si="14"/>
        <v>#NUM!</v>
      </c>
      <c r="K178" s="179" t="e">
        <f t="shared" si="12"/>
        <v>#NUM!</v>
      </c>
      <c r="L178" s="179"/>
      <c r="M178" s="181">
        <f t="shared" si="13"/>
        <v>0</v>
      </c>
    </row>
    <row r="179" spans="1:13" x14ac:dyDescent="0.25">
      <c r="A179" s="197"/>
      <c r="G179" s="164"/>
      <c r="H179" s="179">
        <v>174</v>
      </c>
      <c r="I179" s="180" t="str">
        <f t="shared" si="11"/>
        <v/>
      </c>
      <c r="J179" s="180" t="e">
        <f t="shared" si="14"/>
        <v>#NUM!</v>
      </c>
      <c r="K179" s="179" t="e">
        <f t="shared" si="12"/>
        <v>#NUM!</v>
      </c>
      <c r="L179" s="179"/>
      <c r="M179" s="181">
        <f t="shared" si="13"/>
        <v>0</v>
      </c>
    </row>
    <row r="180" spans="1:13" x14ac:dyDescent="0.25">
      <c r="A180" s="197"/>
      <c r="G180" s="164"/>
      <c r="H180" s="179">
        <v>175</v>
      </c>
      <c r="I180" s="180" t="str">
        <f t="shared" si="11"/>
        <v/>
      </c>
      <c r="J180" s="180" t="e">
        <f t="shared" si="14"/>
        <v>#NUM!</v>
      </c>
      <c r="K180" s="179" t="e">
        <f t="shared" si="12"/>
        <v>#NUM!</v>
      </c>
      <c r="L180" s="179"/>
      <c r="M180" s="181">
        <f t="shared" si="13"/>
        <v>0</v>
      </c>
    </row>
    <row r="181" spans="1:13" x14ac:dyDescent="0.25">
      <c r="A181" s="197"/>
      <c r="G181" s="164"/>
      <c r="H181" s="179">
        <v>176</v>
      </c>
      <c r="I181" s="180" t="str">
        <f t="shared" si="11"/>
        <v/>
      </c>
      <c r="J181" s="180" t="e">
        <f t="shared" si="14"/>
        <v>#NUM!</v>
      </c>
      <c r="K181" s="179" t="e">
        <f t="shared" si="12"/>
        <v>#NUM!</v>
      </c>
      <c r="L181" s="179"/>
      <c r="M181" s="181">
        <f t="shared" si="13"/>
        <v>0</v>
      </c>
    </row>
    <row r="182" spans="1:13" x14ac:dyDescent="0.25">
      <c r="A182" s="197"/>
      <c r="G182" s="164"/>
      <c r="H182" s="179">
        <v>177</v>
      </c>
      <c r="I182" s="180" t="str">
        <f t="shared" si="11"/>
        <v/>
      </c>
      <c r="J182" s="180" t="e">
        <f t="shared" si="14"/>
        <v>#NUM!</v>
      </c>
      <c r="K182" s="179" t="e">
        <f t="shared" si="12"/>
        <v>#NUM!</v>
      </c>
      <c r="L182" s="179"/>
      <c r="M182" s="181">
        <f t="shared" si="13"/>
        <v>0</v>
      </c>
    </row>
    <row r="183" spans="1:13" x14ac:dyDescent="0.25">
      <c r="A183" s="197"/>
      <c r="G183" s="164"/>
      <c r="H183" s="179">
        <v>178</v>
      </c>
      <c r="I183" s="180" t="str">
        <f t="shared" si="11"/>
        <v/>
      </c>
      <c r="J183" s="180" t="e">
        <f t="shared" si="14"/>
        <v>#NUM!</v>
      </c>
      <c r="K183" s="179" t="e">
        <f t="shared" si="12"/>
        <v>#NUM!</v>
      </c>
      <c r="L183" s="179"/>
      <c r="M183" s="181">
        <f t="shared" si="13"/>
        <v>0</v>
      </c>
    </row>
    <row r="184" spans="1:13" x14ac:dyDescent="0.25">
      <c r="A184" s="197"/>
      <c r="G184" s="164"/>
      <c r="H184" s="179">
        <v>179</v>
      </c>
      <c r="I184" s="180" t="str">
        <f t="shared" si="11"/>
        <v/>
      </c>
      <c r="J184" s="180" t="e">
        <f t="shared" si="14"/>
        <v>#NUM!</v>
      </c>
      <c r="K184" s="179" t="e">
        <f t="shared" si="12"/>
        <v>#NUM!</v>
      </c>
      <c r="L184" s="179"/>
      <c r="M184" s="181">
        <f t="shared" si="13"/>
        <v>0</v>
      </c>
    </row>
    <row r="185" spans="1:13" x14ac:dyDescent="0.25">
      <c r="A185" s="197"/>
      <c r="G185" s="164"/>
      <c r="H185" s="179">
        <v>180</v>
      </c>
      <c r="I185" s="180" t="str">
        <f t="shared" si="11"/>
        <v/>
      </c>
      <c r="J185" s="180" t="e">
        <f t="shared" si="14"/>
        <v>#NUM!</v>
      </c>
      <c r="K185" s="179" t="e">
        <f t="shared" si="12"/>
        <v>#NUM!</v>
      </c>
      <c r="L185" s="179"/>
      <c r="M185" s="181">
        <f t="shared" si="13"/>
        <v>0</v>
      </c>
    </row>
    <row r="186" spans="1:13" x14ac:dyDescent="0.25">
      <c r="A186" s="197"/>
      <c r="G186" s="164"/>
      <c r="H186" s="179">
        <v>181</v>
      </c>
      <c r="I186" s="180" t="str">
        <f t="shared" si="11"/>
        <v/>
      </c>
      <c r="J186" s="180" t="e">
        <f t="shared" si="14"/>
        <v>#NUM!</v>
      </c>
      <c r="K186" s="179" t="e">
        <f t="shared" si="12"/>
        <v>#NUM!</v>
      </c>
      <c r="L186" s="179"/>
      <c r="M186" s="181">
        <f t="shared" si="13"/>
        <v>0</v>
      </c>
    </row>
    <row r="187" spans="1:13" x14ac:dyDescent="0.25">
      <c r="A187" s="197"/>
      <c r="G187" s="164"/>
      <c r="H187" s="179">
        <v>182</v>
      </c>
      <c r="I187" s="180" t="str">
        <f t="shared" si="11"/>
        <v/>
      </c>
      <c r="J187" s="180" t="e">
        <f t="shared" si="14"/>
        <v>#NUM!</v>
      </c>
      <c r="K187" s="179" t="e">
        <f t="shared" si="12"/>
        <v>#NUM!</v>
      </c>
      <c r="L187" s="179"/>
      <c r="M187" s="181">
        <f t="shared" si="13"/>
        <v>0</v>
      </c>
    </row>
    <row r="188" spans="1:13" x14ac:dyDescent="0.25">
      <c r="A188" s="197"/>
      <c r="G188" s="164"/>
      <c r="H188" s="179">
        <v>183</v>
      </c>
      <c r="I188" s="180" t="str">
        <f t="shared" si="11"/>
        <v/>
      </c>
      <c r="J188" s="180" t="e">
        <f t="shared" si="14"/>
        <v>#NUM!</v>
      </c>
      <c r="K188" s="179" t="e">
        <f t="shared" si="12"/>
        <v>#NUM!</v>
      </c>
      <c r="L188" s="179"/>
      <c r="M188" s="181">
        <f t="shared" si="13"/>
        <v>0</v>
      </c>
    </row>
    <row r="189" spans="1:13" x14ac:dyDescent="0.25">
      <c r="A189" s="197"/>
      <c r="G189" s="164"/>
      <c r="H189" s="179">
        <v>184</v>
      </c>
      <c r="I189" s="180" t="str">
        <f t="shared" si="11"/>
        <v/>
      </c>
      <c r="J189" s="180" t="e">
        <f t="shared" si="14"/>
        <v>#NUM!</v>
      </c>
      <c r="K189" s="179" t="e">
        <f t="shared" si="12"/>
        <v>#NUM!</v>
      </c>
      <c r="L189" s="179"/>
      <c r="M189" s="181">
        <f t="shared" si="13"/>
        <v>0</v>
      </c>
    </row>
    <row r="190" spans="1:13" x14ac:dyDescent="0.25">
      <c r="A190" s="197"/>
      <c r="G190" s="164"/>
      <c r="H190" s="179">
        <v>185</v>
      </c>
      <c r="I190" s="180" t="str">
        <f t="shared" si="11"/>
        <v/>
      </c>
      <c r="J190" s="180" t="e">
        <f t="shared" si="14"/>
        <v>#NUM!</v>
      </c>
      <c r="K190" s="179" t="e">
        <f t="shared" si="12"/>
        <v>#NUM!</v>
      </c>
      <c r="L190" s="179"/>
      <c r="M190" s="181">
        <f t="shared" si="13"/>
        <v>0</v>
      </c>
    </row>
    <row r="191" spans="1:13" x14ac:dyDescent="0.25">
      <c r="A191" s="197"/>
      <c r="G191" s="164"/>
      <c r="H191" s="179">
        <v>186</v>
      </c>
      <c r="I191" s="180" t="str">
        <f t="shared" si="11"/>
        <v/>
      </c>
      <c r="J191" s="180" t="e">
        <f t="shared" si="14"/>
        <v>#NUM!</v>
      </c>
      <c r="K191" s="179" t="e">
        <f t="shared" si="12"/>
        <v>#NUM!</v>
      </c>
      <c r="L191" s="179"/>
      <c r="M191" s="181">
        <f t="shared" si="13"/>
        <v>0</v>
      </c>
    </row>
    <row r="192" spans="1:13" x14ac:dyDescent="0.25">
      <c r="A192" s="197"/>
      <c r="G192" s="164"/>
      <c r="H192" s="179">
        <v>187</v>
      </c>
      <c r="I192" s="180" t="str">
        <f t="shared" si="11"/>
        <v/>
      </c>
      <c r="J192" s="180" t="e">
        <f t="shared" si="14"/>
        <v>#NUM!</v>
      </c>
      <c r="K192" s="179" t="e">
        <f t="shared" si="12"/>
        <v>#NUM!</v>
      </c>
      <c r="L192" s="179"/>
      <c r="M192" s="181">
        <f t="shared" si="13"/>
        <v>0</v>
      </c>
    </row>
    <row r="193" spans="1:13" x14ac:dyDescent="0.25">
      <c r="A193" s="197"/>
      <c r="G193" s="164"/>
      <c r="H193" s="179">
        <v>188</v>
      </c>
      <c r="I193" s="180" t="str">
        <f t="shared" si="11"/>
        <v/>
      </c>
      <c r="J193" s="180" t="e">
        <f t="shared" si="14"/>
        <v>#NUM!</v>
      </c>
      <c r="K193" s="179" t="e">
        <f t="shared" si="12"/>
        <v>#NUM!</v>
      </c>
      <c r="L193" s="179"/>
      <c r="M193" s="181">
        <f t="shared" si="13"/>
        <v>0</v>
      </c>
    </row>
    <row r="194" spans="1:13" x14ac:dyDescent="0.25">
      <c r="A194" s="197"/>
      <c r="G194" s="164"/>
      <c r="H194" s="179">
        <v>189</v>
      </c>
      <c r="I194" s="180" t="str">
        <f t="shared" si="11"/>
        <v/>
      </c>
      <c r="J194" s="180" t="e">
        <f t="shared" si="14"/>
        <v>#NUM!</v>
      </c>
      <c r="K194" s="179" t="e">
        <f t="shared" si="12"/>
        <v>#NUM!</v>
      </c>
      <c r="L194" s="179"/>
      <c r="M194" s="181">
        <f t="shared" si="13"/>
        <v>0</v>
      </c>
    </row>
    <row r="195" spans="1:13" x14ac:dyDescent="0.25">
      <c r="A195" s="197"/>
      <c r="G195" s="164"/>
      <c r="H195" s="179">
        <v>190</v>
      </c>
      <c r="I195" s="180" t="str">
        <f t="shared" si="11"/>
        <v/>
      </c>
      <c r="J195" s="180" t="e">
        <f t="shared" si="14"/>
        <v>#NUM!</v>
      </c>
      <c r="K195" s="179" t="e">
        <f t="shared" si="12"/>
        <v>#NUM!</v>
      </c>
      <c r="L195" s="179"/>
      <c r="M195" s="181">
        <f t="shared" si="13"/>
        <v>0</v>
      </c>
    </row>
    <row r="196" spans="1:13" x14ac:dyDescent="0.25">
      <c r="A196" s="197"/>
      <c r="G196" s="164"/>
      <c r="H196" s="179">
        <v>191</v>
      </c>
      <c r="I196" s="180" t="str">
        <f t="shared" si="11"/>
        <v/>
      </c>
      <c r="J196" s="180" t="e">
        <f t="shared" si="14"/>
        <v>#NUM!</v>
      </c>
      <c r="K196" s="179" t="e">
        <f t="shared" si="12"/>
        <v>#NUM!</v>
      </c>
      <c r="L196" s="179"/>
      <c r="M196" s="181">
        <f t="shared" si="13"/>
        <v>0</v>
      </c>
    </row>
    <row r="197" spans="1:13" x14ac:dyDescent="0.25">
      <c r="A197" s="197"/>
      <c r="G197" s="164"/>
      <c r="H197" s="179">
        <v>192</v>
      </c>
      <c r="I197" s="180" t="str">
        <f t="shared" si="11"/>
        <v/>
      </c>
      <c r="J197" s="180" t="e">
        <f t="shared" si="14"/>
        <v>#NUM!</v>
      </c>
      <c r="K197" s="179" t="e">
        <f t="shared" si="12"/>
        <v>#NUM!</v>
      </c>
      <c r="L197" s="179"/>
      <c r="M197" s="181">
        <f t="shared" si="13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5">IF(H198&lt;$H$2+1,($I$2-($I$2-1)*(LOG(H198)/LOG($H$2))),"")</f>
        <v/>
      </c>
      <c r="J198" s="180" t="e">
        <f t="shared" si="14"/>
        <v>#NUM!</v>
      </c>
      <c r="K198" s="179" t="e">
        <f t="shared" ref="K198:K261" si="16">J198*$J$2</f>
        <v>#NUM!</v>
      </c>
      <c r="L198" s="179"/>
      <c r="M198" s="181">
        <f t="shared" ref="M198:M261" si="17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5"/>
        <v/>
      </c>
      <c r="J199" s="180" t="e">
        <f t="shared" ref="J199:J262" si="18">INT(LOG($H$2,2))-ROUNDUP(LOG(H199,2),0)+IF(OR($H$2=1,$H$2=2,$H$2=4,$H$2=8,$H$2=16,$H$2=32,$H$2=64,$H$2=128,$H$2=256),0,1)</f>
        <v>#NUM!</v>
      </c>
      <c r="K199" s="179" t="e">
        <f t="shared" si="16"/>
        <v>#NUM!</v>
      </c>
      <c r="L199" s="179"/>
      <c r="M199" s="181">
        <f t="shared" si="17"/>
        <v>0</v>
      </c>
    </row>
    <row r="200" spans="1:13" x14ac:dyDescent="0.25">
      <c r="A200" s="197"/>
      <c r="G200" s="164"/>
      <c r="H200" s="179">
        <v>195</v>
      </c>
      <c r="I200" s="180" t="str">
        <f t="shared" si="15"/>
        <v/>
      </c>
      <c r="J200" s="180" t="e">
        <f t="shared" si="18"/>
        <v>#NUM!</v>
      </c>
      <c r="K200" s="179" t="e">
        <f t="shared" si="16"/>
        <v>#NUM!</v>
      </c>
      <c r="L200" s="179"/>
      <c r="M200" s="181">
        <f t="shared" si="17"/>
        <v>0</v>
      </c>
    </row>
    <row r="201" spans="1:13" x14ac:dyDescent="0.25">
      <c r="A201" s="197"/>
      <c r="G201" s="164"/>
      <c r="H201" s="179">
        <v>196</v>
      </c>
      <c r="I201" s="180" t="str">
        <f t="shared" si="15"/>
        <v/>
      </c>
      <c r="J201" s="180" t="e">
        <f t="shared" si="18"/>
        <v>#NUM!</v>
      </c>
      <c r="K201" s="179" t="e">
        <f t="shared" si="16"/>
        <v>#NUM!</v>
      </c>
      <c r="L201" s="179"/>
      <c r="M201" s="181">
        <f t="shared" si="17"/>
        <v>0</v>
      </c>
    </row>
    <row r="202" spans="1:13" x14ac:dyDescent="0.25">
      <c r="A202" s="197"/>
      <c r="G202" s="164"/>
      <c r="H202" s="179">
        <v>197</v>
      </c>
      <c r="I202" s="180" t="str">
        <f t="shared" si="15"/>
        <v/>
      </c>
      <c r="J202" s="180" t="e">
        <f t="shared" si="18"/>
        <v>#NUM!</v>
      </c>
      <c r="K202" s="179" t="e">
        <f t="shared" si="16"/>
        <v>#NUM!</v>
      </c>
      <c r="L202" s="179"/>
      <c r="M202" s="181">
        <f t="shared" si="17"/>
        <v>0</v>
      </c>
    </row>
    <row r="203" spans="1:13" x14ac:dyDescent="0.25">
      <c r="A203" s="197"/>
      <c r="G203" s="164"/>
      <c r="H203" s="179">
        <v>198</v>
      </c>
      <c r="I203" s="180" t="str">
        <f t="shared" si="15"/>
        <v/>
      </c>
      <c r="J203" s="180" t="e">
        <f t="shared" si="18"/>
        <v>#NUM!</v>
      </c>
      <c r="K203" s="179" t="e">
        <f t="shared" si="16"/>
        <v>#NUM!</v>
      </c>
      <c r="L203" s="179"/>
      <c r="M203" s="181">
        <f t="shared" si="17"/>
        <v>0</v>
      </c>
    </row>
    <row r="204" spans="1:13" x14ac:dyDescent="0.25">
      <c r="A204" s="197"/>
      <c r="G204" s="164"/>
      <c r="H204" s="179">
        <v>199</v>
      </c>
      <c r="I204" s="180" t="str">
        <f t="shared" si="15"/>
        <v/>
      </c>
      <c r="J204" s="180" t="e">
        <f t="shared" si="18"/>
        <v>#NUM!</v>
      </c>
      <c r="K204" s="179" t="e">
        <f t="shared" si="16"/>
        <v>#NUM!</v>
      </c>
      <c r="L204" s="179"/>
      <c r="M204" s="181">
        <f t="shared" si="17"/>
        <v>0</v>
      </c>
    </row>
    <row r="205" spans="1:13" x14ac:dyDescent="0.25">
      <c r="A205" s="197"/>
      <c r="G205" s="164"/>
      <c r="H205" s="179">
        <v>200</v>
      </c>
      <c r="I205" s="180" t="str">
        <f t="shared" si="15"/>
        <v/>
      </c>
      <c r="J205" s="180" t="e">
        <f t="shared" si="18"/>
        <v>#NUM!</v>
      </c>
      <c r="K205" s="179" t="e">
        <f t="shared" si="16"/>
        <v>#NUM!</v>
      </c>
      <c r="L205" s="179"/>
      <c r="M205" s="181">
        <f t="shared" si="17"/>
        <v>0</v>
      </c>
    </row>
    <row r="206" spans="1:13" x14ac:dyDescent="0.25">
      <c r="A206" s="197"/>
      <c r="G206" s="164"/>
      <c r="H206" s="179">
        <v>201</v>
      </c>
      <c r="I206" s="180" t="str">
        <f t="shared" si="15"/>
        <v/>
      </c>
      <c r="J206" s="180" t="e">
        <f t="shared" si="18"/>
        <v>#NUM!</v>
      </c>
      <c r="K206" s="179" t="e">
        <f t="shared" si="16"/>
        <v>#NUM!</v>
      </c>
      <c r="L206" s="179"/>
      <c r="M206" s="181">
        <f t="shared" si="17"/>
        <v>0</v>
      </c>
    </row>
    <row r="207" spans="1:13" x14ac:dyDescent="0.25">
      <c r="A207" s="197"/>
      <c r="G207" s="164"/>
      <c r="H207" s="179">
        <v>202</v>
      </c>
      <c r="I207" s="180" t="str">
        <f t="shared" si="15"/>
        <v/>
      </c>
      <c r="J207" s="180" t="e">
        <f t="shared" si="18"/>
        <v>#NUM!</v>
      </c>
      <c r="K207" s="179" t="e">
        <f t="shared" si="16"/>
        <v>#NUM!</v>
      </c>
      <c r="L207" s="179"/>
      <c r="M207" s="181">
        <f t="shared" si="17"/>
        <v>0</v>
      </c>
    </row>
    <row r="208" spans="1:13" x14ac:dyDescent="0.25">
      <c r="A208" s="197"/>
      <c r="G208" s="164"/>
      <c r="H208" s="179">
        <v>203</v>
      </c>
      <c r="I208" s="180" t="str">
        <f t="shared" si="15"/>
        <v/>
      </c>
      <c r="J208" s="180" t="e">
        <f t="shared" si="18"/>
        <v>#NUM!</v>
      </c>
      <c r="K208" s="179" t="e">
        <f t="shared" si="16"/>
        <v>#NUM!</v>
      </c>
      <c r="L208" s="179"/>
      <c r="M208" s="181">
        <f t="shared" si="17"/>
        <v>0</v>
      </c>
    </row>
    <row r="209" spans="1:13" x14ac:dyDescent="0.25">
      <c r="A209" s="197"/>
      <c r="G209" s="164"/>
      <c r="H209" s="179">
        <v>204</v>
      </c>
      <c r="I209" s="180" t="str">
        <f t="shared" si="15"/>
        <v/>
      </c>
      <c r="J209" s="180" t="e">
        <f t="shared" si="18"/>
        <v>#NUM!</v>
      </c>
      <c r="K209" s="179" t="e">
        <f t="shared" si="16"/>
        <v>#NUM!</v>
      </c>
      <c r="L209" s="179"/>
      <c r="M209" s="181">
        <f t="shared" si="17"/>
        <v>0</v>
      </c>
    </row>
    <row r="210" spans="1:13" x14ac:dyDescent="0.25">
      <c r="A210" s="197"/>
      <c r="G210" s="164"/>
      <c r="H210" s="179">
        <v>205</v>
      </c>
      <c r="I210" s="180" t="str">
        <f t="shared" si="15"/>
        <v/>
      </c>
      <c r="J210" s="180" t="e">
        <f t="shared" si="18"/>
        <v>#NUM!</v>
      </c>
      <c r="K210" s="179" t="e">
        <f t="shared" si="16"/>
        <v>#NUM!</v>
      </c>
      <c r="L210" s="179"/>
      <c r="M210" s="181">
        <f t="shared" si="17"/>
        <v>0</v>
      </c>
    </row>
    <row r="211" spans="1:13" x14ac:dyDescent="0.25">
      <c r="A211" s="197"/>
      <c r="G211" s="164"/>
      <c r="H211" s="179">
        <v>206</v>
      </c>
      <c r="I211" s="180" t="str">
        <f t="shared" si="15"/>
        <v/>
      </c>
      <c r="J211" s="180" t="e">
        <f t="shared" si="18"/>
        <v>#NUM!</v>
      </c>
      <c r="K211" s="179" t="e">
        <f t="shared" si="16"/>
        <v>#NUM!</v>
      </c>
      <c r="L211" s="179"/>
      <c r="M211" s="181">
        <f t="shared" si="17"/>
        <v>0</v>
      </c>
    </row>
    <row r="212" spans="1:13" x14ac:dyDescent="0.25">
      <c r="A212" s="197"/>
      <c r="G212" s="164"/>
      <c r="H212" s="179">
        <v>207</v>
      </c>
      <c r="I212" s="180" t="str">
        <f t="shared" si="15"/>
        <v/>
      </c>
      <c r="J212" s="180" t="e">
        <f t="shared" si="18"/>
        <v>#NUM!</v>
      </c>
      <c r="K212" s="179" t="e">
        <f t="shared" si="16"/>
        <v>#NUM!</v>
      </c>
      <c r="L212" s="179"/>
      <c r="M212" s="181">
        <f t="shared" si="17"/>
        <v>0</v>
      </c>
    </row>
    <row r="213" spans="1:13" x14ac:dyDescent="0.25">
      <c r="A213" s="197"/>
      <c r="G213" s="164"/>
      <c r="H213" s="179">
        <v>208</v>
      </c>
      <c r="I213" s="180" t="str">
        <f t="shared" si="15"/>
        <v/>
      </c>
      <c r="J213" s="180" t="e">
        <f t="shared" si="18"/>
        <v>#NUM!</v>
      </c>
      <c r="K213" s="179" t="e">
        <f t="shared" si="16"/>
        <v>#NUM!</v>
      </c>
      <c r="L213" s="179"/>
      <c r="M213" s="181">
        <f t="shared" si="17"/>
        <v>0</v>
      </c>
    </row>
    <row r="214" spans="1:13" x14ac:dyDescent="0.25">
      <c r="A214" s="197"/>
      <c r="G214" s="164"/>
      <c r="H214" s="179">
        <v>209</v>
      </c>
      <c r="I214" s="180" t="str">
        <f t="shared" si="15"/>
        <v/>
      </c>
      <c r="J214" s="180" t="e">
        <f t="shared" si="18"/>
        <v>#NUM!</v>
      </c>
      <c r="K214" s="179" t="e">
        <f t="shared" si="16"/>
        <v>#NUM!</v>
      </c>
      <c r="L214" s="179"/>
      <c r="M214" s="181">
        <f t="shared" si="17"/>
        <v>0</v>
      </c>
    </row>
    <row r="215" spans="1:13" x14ac:dyDescent="0.25">
      <c r="A215" s="197"/>
      <c r="G215" s="164"/>
      <c r="H215" s="179">
        <v>210</v>
      </c>
      <c r="I215" s="180" t="str">
        <f t="shared" si="15"/>
        <v/>
      </c>
      <c r="J215" s="180" t="e">
        <f t="shared" si="18"/>
        <v>#NUM!</v>
      </c>
      <c r="K215" s="179" t="e">
        <f t="shared" si="16"/>
        <v>#NUM!</v>
      </c>
      <c r="L215" s="179"/>
      <c r="M215" s="181">
        <f t="shared" si="17"/>
        <v>0</v>
      </c>
    </row>
    <row r="216" spans="1:13" x14ac:dyDescent="0.25">
      <c r="A216" s="197"/>
      <c r="G216" s="164"/>
      <c r="H216" s="179">
        <v>211</v>
      </c>
      <c r="I216" s="180" t="str">
        <f t="shared" si="15"/>
        <v/>
      </c>
      <c r="J216" s="180" t="e">
        <f t="shared" si="18"/>
        <v>#NUM!</v>
      </c>
      <c r="K216" s="179" t="e">
        <f t="shared" si="16"/>
        <v>#NUM!</v>
      </c>
      <c r="L216" s="179"/>
      <c r="M216" s="181">
        <f t="shared" si="17"/>
        <v>0</v>
      </c>
    </row>
    <row r="217" spans="1:13" x14ac:dyDescent="0.25">
      <c r="A217" s="197"/>
      <c r="G217" s="164"/>
      <c r="H217" s="179">
        <v>212</v>
      </c>
      <c r="I217" s="180" t="str">
        <f t="shared" si="15"/>
        <v/>
      </c>
      <c r="J217" s="180" t="e">
        <f t="shared" si="18"/>
        <v>#NUM!</v>
      </c>
      <c r="K217" s="179" t="e">
        <f t="shared" si="16"/>
        <v>#NUM!</v>
      </c>
      <c r="L217" s="179"/>
      <c r="M217" s="181">
        <f t="shared" si="17"/>
        <v>0</v>
      </c>
    </row>
    <row r="218" spans="1:13" x14ac:dyDescent="0.25">
      <c r="A218" s="197"/>
      <c r="G218" s="164"/>
      <c r="H218" s="179">
        <v>213</v>
      </c>
      <c r="I218" s="180" t="str">
        <f t="shared" si="15"/>
        <v/>
      </c>
      <c r="J218" s="180" t="e">
        <f t="shared" si="18"/>
        <v>#NUM!</v>
      </c>
      <c r="K218" s="179" t="e">
        <f t="shared" si="16"/>
        <v>#NUM!</v>
      </c>
      <c r="L218" s="179"/>
      <c r="M218" s="181">
        <f t="shared" si="17"/>
        <v>0</v>
      </c>
    </row>
    <row r="219" spans="1:13" x14ac:dyDescent="0.25">
      <c r="A219" s="197"/>
      <c r="G219" s="164"/>
      <c r="H219" s="179">
        <v>214</v>
      </c>
      <c r="I219" s="180" t="str">
        <f t="shared" si="15"/>
        <v/>
      </c>
      <c r="J219" s="180" t="e">
        <f t="shared" si="18"/>
        <v>#NUM!</v>
      </c>
      <c r="K219" s="179" t="e">
        <f t="shared" si="16"/>
        <v>#NUM!</v>
      </c>
      <c r="L219" s="179"/>
      <c r="M219" s="181">
        <f t="shared" si="17"/>
        <v>0</v>
      </c>
    </row>
    <row r="220" spans="1:13" x14ac:dyDescent="0.25">
      <c r="A220" s="197"/>
      <c r="G220" s="164"/>
      <c r="H220" s="179">
        <v>215</v>
      </c>
      <c r="I220" s="180" t="str">
        <f t="shared" si="15"/>
        <v/>
      </c>
      <c r="J220" s="180" t="e">
        <f t="shared" si="18"/>
        <v>#NUM!</v>
      </c>
      <c r="K220" s="179" t="e">
        <f t="shared" si="16"/>
        <v>#NUM!</v>
      </c>
      <c r="L220" s="179"/>
      <c r="M220" s="181">
        <f t="shared" si="17"/>
        <v>0</v>
      </c>
    </row>
    <row r="221" spans="1:13" x14ac:dyDescent="0.25">
      <c r="A221" s="197"/>
      <c r="G221" s="164"/>
      <c r="H221" s="179">
        <v>216</v>
      </c>
      <c r="I221" s="180" t="str">
        <f t="shared" si="15"/>
        <v/>
      </c>
      <c r="J221" s="180" t="e">
        <f t="shared" si="18"/>
        <v>#NUM!</v>
      </c>
      <c r="K221" s="179" t="e">
        <f t="shared" si="16"/>
        <v>#NUM!</v>
      </c>
      <c r="L221" s="179"/>
      <c r="M221" s="181">
        <f t="shared" si="17"/>
        <v>0</v>
      </c>
    </row>
    <row r="222" spans="1:13" x14ac:dyDescent="0.25">
      <c r="A222" s="197"/>
      <c r="G222" s="164"/>
      <c r="H222" s="179">
        <v>217</v>
      </c>
      <c r="I222" s="180" t="str">
        <f t="shared" si="15"/>
        <v/>
      </c>
      <c r="J222" s="180" t="e">
        <f t="shared" si="18"/>
        <v>#NUM!</v>
      </c>
      <c r="K222" s="179" t="e">
        <f t="shared" si="16"/>
        <v>#NUM!</v>
      </c>
      <c r="L222" s="179"/>
      <c r="M222" s="181">
        <f t="shared" si="17"/>
        <v>0</v>
      </c>
    </row>
    <row r="223" spans="1:13" x14ac:dyDescent="0.25">
      <c r="A223" s="197"/>
      <c r="G223" s="164"/>
      <c r="H223" s="179">
        <v>218</v>
      </c>
      <c r="I223" s="180" t="str">
        <f t="shared" si="15"/>
        <v/>
      </c>
      <c r="J223" s="180" t="e">
        <f t="shared" si="18"/>
        <v>#NUM!</v>
      </c>
      <c r="K223" s="179" t="e">
        <f t="shared" si="16"/>
        <v>#NUM!</v>
      </c>
      <c r="L223" s="179"/>
      <c r="M223" s="181">
        <f t="shared" si="17"/>
        <v>0</v>
      </c>
    </row>
    <row r="224" spans="1:13" x14ac:dyDescent="0.25">
      <c r="A224" s="197"/>
      <c r="G224" s="164"/>
      <c r="H224" s="179">
        <v>219</v>
      </c>
      <c r="I224" s="180" t="str">
        <f t="shared" si="15"/>
        <v/>
      </c>
      <c r="J224" s="180" t="e">
        <f t="shared" si="18"/>
        <v>#NUM!</v>
      </c>
      <c r="K224" s="179" t="e">
        <f t="shared" si="16"/>
        <v>#NUM!</v>
      </c>
      <c r="L224" s="179"/>
      <c r="M224" s="181">
        <f t="shared" si="17"/>
        <v>0</v>
      </c>
    </row>
    <row r="225" spans="1:13" x14ac:dyDescent="0.25">
      <c r="A225" s="197"/>
      <c r="G225" s="164"/>
      <c r="H225" s="179">
        <v>220</v>
      </c>
      <c r="I225" s="180" t="str">
        <f t="shared" si="15"/>
        <v/>
      </c>
      <c r="J225" s="180" t="e">
        <f t="shared" si="18"/>
        <v>#NUM!</v>
      </c>
      <c r="K225" s="179" t="e">
        <f t="shared" si="16"/>
        <v>#NUM!</v>
      </c>
      <c r="L225" s="179"/>
      <c r="M225" s="181">
        <f t="shared" si="17"/>
        <v>0</v>
      </c>
    </row>
    <row r="226" spans="1:13" x14ac:dyDescent="0.25">
      <c r="A226" s="197"/>
      <c r="G226" s="164"/>
      <c r="H226" s="179">
        <v>221</v>
      </c>
      <c r="I226" s="180" t="str">
        <f t="shared" si="15"/>
        <v/>
      </c>
      <c r="J226" s="180" t="e">
        <f t="shared" si="18"/>
        <v>#NUM!</v>
      </c>
      <c r="K226" s="179" t="e">
        <f t="shared" si="16"/>
        <v>#NUM!</v>
      </c>
      <c r="L226" s="179"/>
      <c r="M226" s="181">
        <f t="shared" si="17"/>
        <v>0</v>
      </c>
    </row>
    <row r="227" spans="1:13" x14ac:dyDescent="0.25">
      <c r="A227" s="197"/>
      <c r="G227" s="164"/>
      <c r="H227" s="179">
        <v>222</v>
      </c>
      <c r="I227" s="180" t="str">
        <f t="shared" si="15"/>
        <v/>
      </c>
      <c r="J227" s="180" t="e">
        <f t="shared" si="18"/>
        <v>#NUM!</v>
      </c>
      <c r="K227" s="179" t="e">
        <f t="shared" si="16"/>
        <v>#NUM!</v>
      </c>
      <c r="L227" s="179"/>
      <c r="M227" s="181">
        <f t="shared" si="17"/>
        <v>0</v>
      </c>
    </row>
    <row r="228" spans="1:13" x14ac:dyDescent="0.25">
      <c r="A228" s="197"/>
      <c r="G228" s="164"/>
      <c r="H228" s="179">
        <v>223</v>
      </c>
      <c r="I228" s="180" t="str">
        <f t="shared" si="15"/>
        <v/>
      </c>
      <c r="J228" s="180" t="e">
        <f t="shared" si="18"/>
        <v>#NUM!</v>
      </c>
      <c r="K228" s="179" t="e">
        <f t="shared" si="16"/>
        <v>#NUM!</v>
      </c>
      <c r="L228" s="179"/>
      <c r="M228" s="181">
        <f t="shared" si="17"/>
        <v>0</v>
      </c>
    </row>
    <row r="229" spans="1:13" x14ac:dyDescent="0.25">
      <c r="A229" s="197"/>
      <c r="G229" s="164"/>
      <c r="H229" s="179">
        <v>224</v>
      </c>
      <c r="I229" s="180" t="str">
        <f t="shared" si="15"/>
        <v/>
      </c>
      <c r="J229" s="180" t="e">
        <f t="shared" si="18"/>
        <v>#NUM!</v>
      </c>
      <c r="K229" s="179" t="e">
        <f t="shared" si="16"/>
        <v>#NUM!</v>
      </c>
      <c r="L229" s="179"/>
      <c r="M229" s="181">
        <f t="shared" si="17"/>
        <v>0</v>
      </c>
    </row>
    <row r="230" spans="1:13" x14ac:dyDescent="0.25">
      <c r="A230" s="197"/>
      <c r="G230" s="164"/>
      <c r="H230" s="179">
        <v>225</v>
      </c>
      <c r="I230" s="180" t="str">
        <f t="shared" si="15"/>
        <v/>
      </c>
      <c r="J230" s="180" t="e">
        <f t="shared" si="18"/>
        <v>#NUM!</v>
      </c>
      <c r="K230" s="179" t="e">
        <f t="shared" si="16"/>
        <v>#NUM!</v>
      </c>
      <c r="L230" s="179"/>
      <c r="M230" s="181">
        <f t="shared" si="17"/>
        <v>0</v>
      </c>
    </row>
    <row r="231" spans="1:13" x14ac:dyDescent="0.25">
      <c r="A231" s="197"/>
      <c r="G231" s="164"/>
      <c r="H231" s="179">
        <v>226</v>
      </c>
      <c r="I231" s="180" t="str">
        <f t="shared" si="15"/>
        <v/>
      </c>
      <c r="J231" s="180" t="e">
        <f t="shared" si="18"/>
        <v>#NUM!</v>
      </c>
      <c r="K231" s="179" t="e">
        <f t="shared" si="16"/>
        <v>#NUM!</v>
      </c>
      <c r="L231" s="179"/>
      <c r="M231" s="181">
        <f t="shared" si="17"/>
        <v>0</v>
      </c>
    </row>
    <row r="232" spans="1:13" x14ac:dyDescent="0.25">
      <c r="A232" s="197"/>
      <c r="G232" s="164"/>
      <c r="H232" s="179">
        <v>227</v>
      </c>
      <c r="I232" s="180" t="str">
        <f t="shared" si="15"/>
        <v/>
      </c>
      <c r="J232" s="180" t="e">
        <f t="shared" si="18"/>
        <v>#NUM!</v>
      </c>
      <c r="K232" s="179" t="e">
        <f t="shared" si="16"/>
        <v>#NUM!</v>
      </c>
      <c r="L232" s="179"/>
      <c r="M232" s="181">
        <f t="shared" si="17"/>
        <v>0</v>
      </c>
    </row>
    <row r="233" spans="1:13" x14ac:dyDescent="0.25">
      <c r="A233" s="197"/>
      <c r="G233" s="164"/>
      <c r="H233" s="179">
        <v>228</v>
      </c>
      <c r="I233" s="180" t="str">
        <f t="shared" si="15"/>
        <v/>
      </c>
      <c r="J233" s="180" t="e">
        <f t="shared" si="18"/>
        <v>#NUM!</v>
      </c>
      <c r="K233" s="179" t="e">
        <f t="shared" si="16"/>
        <v>#NUM!</v>
      </c>
      <c r="L233" s="179"/>
      <c r="M233" s="181">
        <f t="shared" si="17"/>
        <v>0</v>
      </c>
    </row>
    <row r="234" spans="1:13" x14ac:dyDescent="0.25">
      <c r="A234" s="197"/>
      <c r="G234" s="164"/>
      <c r="H234" s="179">
        <v>229</v>
      </c>
      <c r="I234" s="180" t="str">
        <f t="shared" si="15"/>
        <v/>
      </c>
      <c r="J234" s="180" t="e">
        <f t="shared" si="18"/>
        <v>#NUM!</v>
      </c>
      <c r="K234" s="179" t="e">
        <f t="shared" si="16"/>
        <v>#NUM!</v>
      </c>
      <c r="L234" s="179"/>
      <c r="M234" s="181">
        <f t="shared" si="17"/>
        <v>0</v>
      </c>
    </row>
    <row r="235" spans="1:13" x14ac:dyDescent="0.25">
      <c r="A235" s="197"/>
      <c r="G235" s="164"/>
      <c r="H235" s="179">
        <v>230</v>
      </c>
      <c r="I235" s="180" t="str">
        <f t="shared" si="15"/>
        <v/>
      </c>
      <c r="J235" s="180" t="e">
        <f t="shared" si="18"/>
        <v>#NUM!</v>
      </c>
      <c r="K235" s="179" t="e">
        <f t="shared" si="16"/>
        <v>#NUM!</v>
      </c>
      <c r="L235" s="179"/>
      <c r="M235" s="181">
        <f t="shared" si="17"/>
        <v>0</v>
      </c>
    </row>
    <row r="236" spans="1:13" x14ac:dyDescent="0.25">
      <c r="A236" s="197"/>
      <c r="G236" s="164"/>
      <c r="H236" s="179">
        <v>231</v>
      </c>
      <c r="I236" s="180" t="str">
        <f t="shared" si="15"/>
        <v/>
      </c>
      <c r="J236" s="180" t="e">
        <f t="shared" si="18"/>
        <v>#NUM!</v>
      </c>
      <c r="K236" s="179" t="e">
        <f t="shared" si="16"/>
        <v>#NUM!</v>
      </c>
      <c r="L236" s="179"/>
      <c r="M236" s="181">
        <f t="shared" si="17"/>
        <v>0</v>
      </c>
    </row>
    <row r="237" spans="1:13" x14ac:dyDescent="0.25">
      <c r="A237" s="197"/>
      <c r="G237" s="164"/>
      <c r="H237" s="179">
        <v>232</v>
      </c>
      <c r="I237" s="180" t="str">
        <f t="shared" si="15"/>
        <v/>
      </c>
      <c r="J237" s="180" t="e">
        <f t="shared" si="18"/>
        <v>#NUM!</v>
      </c>
      <c r="K237" s="179" t="e">
        <f t="shared" si="16"/>
        <v>#NUM!</v>
      </c>
      <c r="L237" s="179"/>
      <c r="M237" s="181">
        <f t="shared" si="17"/>
        <v>0</v>
      </c>
    </row>
    <row r="238" spans="1:13" x14ac:dyDescent="0.25">
      <c r="A238" s="197"/>
      <c r="G238" s="164"/>
      <c r="H238" s="179">
        <v>233</v>
      </c>
      <c r="I238" s="180" t="str">
        <f t="shared" si="15"/>
        <v/>
      </c>
      <c r="J238" s="180" t="e">
        <f t="shared" si="18"/>
        <v>#NUM!</v>
      </c>
      <c r="K238" s="179" t="e">
        <f t="shared" si="16"/>
        <v>#NUM!</v>
      </c>
      <c r="L238" s="179"/>
      <c r="M238" s="181">
        <f t="shared" si="17"/>
        <v>0</v>
      </c>
    </row>
    <row r="239" spans="1:13" x14ac:dyDescent="0.25">
      <c r="A239" s="197"/>
      <c r="G239" s="164"/>
      <c r="H239" s="179">
        <v>234</v>
      </c>
      <c r="I239" s="180" t="str">
        <f t="shared" si="15"/>
        <v/>
      </c>
      <c r="J239" s="180" t="e">
        <f t="shared" si="18"/>
        <v>#NUM!</v>
      </c>
      <c r="K239" s="179" t="e">
        <f t="shared" si="16"/>
        <v>#NUM!</v>
      </c>
      <c r="L239" s="179"/>
      <c r="M239" s="181">
        <f t="shared" si="17"/>
        <v>0</v>
      </c>
    </row>
    <row r="240" spans="1:13" x14ac:dyDescent="0.25">
      <c r="A240" s="197"/>
      <c r="G240" s="164"/>
      <c r="H240" s="179">
        <v>235</v>
      </c>
      <c r="I240" s="180" t="str">
        <f t="shared" si="15"/>
        <v/>
      </c>
      <c r="J240" s="180" t="e">
        <f t="shared" si="18"/>
        <v>#NUM!</v>
      </c>
      <c r="K240" s="179" t="e">
        <f t="shared" si="16"/>
        <v>#NUM!</v>
      </c>
      <c r="L240" s="179"/>
      <c r="M240" s="181">
        <f t="shared" si="17"/>
        <v>0</v>
      </c>
    </row>
    <row r="241" spans="1:13" x14ac:dyDescent="0.25">
      <c r="A241" s="197"/>
      <c r="G241" s="164"/>
      <c r="H241" s="179">
        <v>236</v>
      </c>
      <c r="I241" s="180" t="str">
        <f t="shared" si="15"/>
        <v/>
      </c>
      <c r="J241" s="180" t="e">
        <f t="shared" si="18"/>
        <v>#NUM!</v>
      </c>
      <c r="K241" s="179" t="e">
        <f t="shared" si="16"/>
        <v>#NUM!</v>
      </c>
      <c r="L241" s="179"/>
      <c r="M241" s="181">
        <f t="shared" si="17"/>
        <v>0</v>
      </c>
    </row>
    <row r="242" spans="1:13" x14ac:dyDescent="0.25">
      <c r="A242" s="197"/>
      <c r="G242" s="164"/>
      <c r="H242" s="179">
        <v>237</v>
      </c>
      <c r="I242" s="180" t="str">
        <f t="shared" si="15"/>
        <v/>
      </c>
      <c r="J242" s="180" t="e">
        <f t="shared" si="18"/>
        <v>#NUM!</v>
      </c>
      <c r="K242" s="179" t="e">
        <f t="shared" si="16"/>
        <v>#NUM!</v>
      </c>
      <c r="L242" s="179"/>
      <c r="M242" s="181">
        <f t="shared" si="17"/>
        <v>0</v>
      </c>
    </row>
    <row r="243" spans="1:13" x14ac:dyDescent="0.25">
      <c r="A243" s="197"/>
      <c r="G243" s="164"/>
      <c r="H243" s="179">
        <v>238</v>
      </c>
      <c r="I243" s="180" t="str">
        <f t="shared" si="15"/>
        <v/>
      </c>
      <c r="J243" s="180" t="e">
        <f t="shared" si="18"/>
        <v>#NUM!</v>
      </c>
      <c r="K243" s="179" t="e">
        <f t="shared" si="16"/>
        <v>#NUM!</v>
      </c>
      <c r="L243" s="179"/>
      <c r="M243" s="181">
        <f t="shared" si="17"/>
        <v>0</v>
      </c>
    </row>
    <row r="244" spans="1:13" x14ac:dyDescent="0.25">
      <c r="A244" s="197"/>
      <c r="G244" s="164"/>
      <c r="H244" s="179">
        <v>239</v>
      </c>
      <c r="I244" s="180" t="str">
        <f t="shared" si="15"/>
        <v/>
      </c>
      <c r="J244" s="180" t="e">
        <f t="shared" si="18"/>
        <v>#NUM!</v>
      </c>
      <c r="K244" s="179" t="e">
        <f t="shared" si="16"/>
        <v>#NUM!</v>
      </c>
      <c r="L244" s="179"/>
      <c r="M244" s="181">
        <f t="shared" si="17"/>
        <v>0</v>
      </c>
    </row>
    <row r="245" spans="1:13" x14ac:dyDescent="0.25">
      <c r="A245" s="197"/>
      <c r="G245" s="164"/>
      <c r="H245" s="179">
        <v>240</v>
      </c>
      <c r="I245" s="180" t="str">
        <f t="shared" si="15"/>
        <v/>
      </c>
      <c r="J245" s="180" t="e">
        <f t="shared" si="18"/>
        <v>#NUM!</v>
      </c>
      <c r="K245" s="179" t="e">
        <f t="shared" si="16"/>
        <v>#NUM!</v>
      </c>
      <c r="L245" s="179"/>
      <c r="M245" s="181">
        <f t="shared" si="17"/>
        <v>0</v>
      </c>
    </row>
    <row r="246" spans="1:13" x14ac:dyDescent="0.25">
      <c r="A246" s="197"/>
      <c r="G246" s="164"/>
      <c r="H246" s="179">
        <v>241</v>
      </c>
      <c r="I246" s="180" t="str">
        <f t="shared" si="15"/>
        <v/>
      </c>
      <c r="J246" s="180" t="e">
        <f t="shared" si="18"/>
        <v>#NUM!</v>
      </c>
      <c r="K246" s="179" t="e">
        <f t="shared" si="16"/>
        <v>#NUM!</v>
      </c>
      <c r="L246" s="179"/>
      <c r="M246" s="181">
        <f t="shared" si="17"/>
        <v>0</v>
      </c>
    </row>
    <row r="247" spans="1:13" x14ac:dyDescent="0.25">
      <c r="A247" s="197"/>
      <c r="G247" s="164"/>
      <c r="H247" s="179">
        <v>242</v>
      </c>
      <c r="I247" s="180" t="str">
        <f t="shared" si="15"/>
        <v/>
      </c>
      <c r="J247" s="180" t="e">
        <f t="shared" si="18"/>
        <v>#NUM!</v>
      </c>
      <c r="K247" s="179" t="e">
        <f t="shared" si="16"/>
        <v>#NUM!</v>
      </c>
      <c r="L247" s="179"/>
      <c r="M247" s="181">
        <f t="shared" si="17"/>
        <v>0</v>
      </c>
    </row>
    <row r="248" spans="1:13" x14ac:dyDescent="0.25">
      <c r="A248" s="197"/>
      <c r="G248" s="164"/>
      <c r="H248" s="179">
        <v>243</v>
      </c>
      <c r="I248" s="180" t="str">
        <f t="shared" si="15"/>
        <v/>
      </c>
      <c r="J248" s="180" t="e">
        <f t="shared" si="18"/>
        <v>#NUM!</v>
      </c>
      <c r="K248" s="179" t="e">
        <f t="shared" si="16"/>
        <v>#NUM!</v>
      </c>
      <c r="L248" s="179"/>
      <c r="M248" s="181">
        <f t="shared" si="17"/>
        <v>0</v>
      </c>
    </row>
    <row r="249" spans="1:13" x14ac:dyDescent="0.25">
      <c r="A249" s="197"/>
      <c r="G249" s="164"/>
      <c r="H249" s="179">
        <v>244</v>
      </c>
      <c r="I249" s="180" t="str">
        <f t="shared" si="15"/>
        <v/>
      </c>
      <c r="J249" s="180" t="e">
        <f t="shared" si="18"/>
        <v>#NUM!</v>
      </c>
      <c r="K249" s="179" t="e">
        <f t="shared" si="16"/>
        <v>#NUM!</v>
      </c>
      <c r="L249" s="179"/>
      <c r="M249" s="181">
        <f t="shared" si="17"/>
        <v>0</v>
      </c>
    </row>
    <row r="250" spans="1:13" x14ac:dyDescent="0.25">
      <c r="A250" s="197"/>
      <c r="G250" s="164"/>
      <c r="H250" s="179">
        <v>245</v>
      </c>
      <c r="I250" s="180" t="str">
        <f t="shared" si="15"/>
        <v/>
      </c>
      <c r="J250" s="180" t="e">
        <f t="shared" si="18"/>
        <v>#NUM!</v>
      </c>
      <c r="K250" s="179" t="e">
        <f t="shared" si="16"/>
        <v>#NUM!</v>
      </c>
      <c r="L250" s="179"/>
      <c r="M250" s="181">
        <f t="shared" si="17"/>
        <v>0</v>
      </c>
    </row>
    <row r="251" spans="1:13" x14ac:dyDescent="0.25">
      <c r="A251" s="197"/>
      <c r="G251" s="164"/>
      <c r="H251" s="179">
        <v>246</v>
      </c>
      <c r="I251" s="180" t="str">
        <f t="shared" si="15"/>
        <v/>
      </c>
      <c r="J251" s="180" t="e">
        <f t="shared" si="18"/>
        <v>#NUM!</v>
      </c>
      <c r="K251" s="179" t="e">
        <f t="shared" si="16"/>
        <v>#NUM!</v>
      </c>
      <c r="L251" s="179"/>
      <c r="M251" s="181">
        <f t="shared" si="17"/>
        <v>0</v>
      </c>
    </row>
    <row r="252" spans="1:13" x14ac:dyDescent="0.25">
      <c r="A252" s="197"/>
      <c r="G252" s="164"/>
      <c r="H252" s="179">
        <v>247</v>
      </c>
      <c r="I252" s="180" t="str">
        <f t="shared" si="15"/>
        <v/>
      </c>
      <c r="J252" s="180" t="e">
        <f t="shared" si="18"/>
        <v>#NUM!</v>
      </c>
      <c r="K252" s="179" t="e">
        <f t="shared" si="16"/>
        <v>#NUM!</v>
      </c>
      <c r="L252" s="179"/>
      <c r="M252" s="181">
        <f t="shared" si="17"/>
        <v>0</v>
      </c>
    </row>
    <row r="253" spans="1:13" x14ac:dyDescent="0.25">
      <c r="A253" s="197"/>
      <c r="G253" s="164"/>
      <c r="H253" s="179">
        <v>248</v>
      </c>
      <c r="I253" s="180" t="str">
        <f t="shared" si="15"/>
        <v/>
      </c>
      <c r="J253" s="180" t="e">
        <f t="shared" si="18"/>
        <v>#NUM!</v>
      </c>
      <c r="K253" s="179" t="e">
        <f t="shared" si="16"/>
        <v>#NUM!</v>
      </c>
      <c r="L253" s="179"/>
      <c r="M253" s="181">
        <f t="shared" si="17"/>
        <v>0</v>
      </c>
    </row>
    <row r="254" spans="1:13" x14ac:dyDescent="0.25">
      <c r="A254" s="197"/>
      <c r="G254" s="164"/>
      <c r="H254" s="179">
        <v>249</v>
      </c>
      <c r="I254" s="180" t="str">
        <f t="shared" si="15"/>
        <v/>
      </c>
      <c r="J254" s="180" t="e">
        <f t="shared" si="18"/>
        <v>#NUM!</v>
      </c>
      <c r="K254" s="179" t="e">
        <f t="shared" si="16"/>
        <v>#NUM!</v>
      </c>
      <c r="L254" s="179"/>
      <c r="M254" s="181">
        <f t="shared" si="17"/>
        <v>0</v>
      </c>
    </row>
    <row r="255" spans="1:13" x14ac:dyDescent="0.25">
      <c r="A255" s="197"/>
      <c r="G255" s="164"/>
      <c r="H255" s="179">
        <v>250</v>
      </c>
      <c r="I255" s="180" t="str">
        <f t="shared" si="15"/>
        <v/>
      </c>
      <c r="J255" s="180" t="e">
        <f t="shared" si="18"/>
        <v>#NUM!</v>
      </c>
      <c r="K255" s="179" t="e">
        <f t="shared" si="16"/>
        <v>#NUM!</v>
      </c>
      <c r="L255" s="179"/>
      <c r="M255" s="181">
        <f t="shared" si="17"/>
        <v>0</v>
      </c>
    </row>
    <row r="256" spans="1:13" x14ac:dyDescent="0.25">
      <c r="A256" s="197"/>
      <c r="G256" s="164"/>
      <c r="H256" s="179">
        <v>251</v>
      </c>
      <c r="I256" s="180" t="str">
        <f t="shared" si="15"/>
        <v/>
      </c>
      <c r="J256" s="180" t="e">
        <f t="shared" si="18"/>
        <v>#NUM!</v>
      </c>
      <c r="K256" s="179" t="e">
        <f t="shared" si="16"/>
        <v>#NUM!</v>
      </c>
      <c r="L256" s="179"/>
      <c r="M256" s="181">
        <f t="shared" si="17"/>
        <v>0</v>
      </c>
    </row>
    <row r="257" spans="1:13" x14ac:dyDescent="0.25">
      <c r="A257" s="197"/>
      <c r="G257" s="164"/>
      <c r="H257" s="179">
        <v>252</v>
      </c>
      <c r="I257" s="180" t="str">
        <f t="shared" si="15"/>
        <v/>
      </c>
      <c r="J257" s="180" t="e">
        <f t="shared" si="18"/>
        <v>#NUM!</v>
      </c>
      <c r="K257" s="179" t="e">
        <f t="shared" si="16"/>
        <v>#NUM!</v>
      </c>
      <c r="L257" s="179"/>
      <c r="M257" s="181">
        <f t="shared" si="17"/>
        <v>0</v>
      </c>
    </row>
    <row r="258" spans="1:13" x14ac:dyDescent="0.25">
      <c r="A258" s="197"/>
      <c r="G258" s="164"/>
      <c r="H258" s="179">
        <v>253</v>
      </c>
      <c r="I258" s="180" t="str">
        <f t="shared" si="15"/>
        <v/>
      </c>
      <c r="J258" s="180" t="e">
        <f t="shared" si="18"/>
        <v>#NUM!</v>
      </c>
      <c r="K258" s="179" t="e">
        <f t="shared" si="16"/>
        <v>#NUM!</v>
      </c>
      <c r="L258" s="179"/>
      <c r="M258" s="181">
        <f t="shared" si="17"/>
        <v>0</v>
      </c>
    </row>
    <row r="259" spans="1:13" x14ac:dyDescent="0.25">
      <c r="A259" s="197"/>
      <c r="G259" s="164"/>
      <c r="H259" s="179">
        <v>254</v>
      </c>
      <c r="I259" s="180" t="str">
        <f t="shared" si="15"/>
        <v/>
      </c>
      <c r="J259" s="180" t="e">
        <f t="shared" si="18"/>
        <v>#NUM!</v>
      </c>
      <c r="K259" s="179" t="e">
        <f t="shared" si="16"/>
        <v>#NUM!</v>
      </c>
      <c r="L259" s="179"/>
      <c r="M259" s="181">
        <f t="shared" si="17"/>
        <v>0</v>
      </c>
    </row>
    <row r="260" spans="1:13" x14ac:dyDescent="0.25">
      <c r="A260" s="197"/>
      <c r="G260" s="164"/>
      <c r="H260" s="179">
        <v>255</v>
      </c>
      <c r="I260" s="180" t="str">
        <f t="shared" si="15"/>
        <v/>
      </c>
      <c r="J260" s="180" t="e">
        <f t="shared" si="18"/>
        <v>#NUM!</v>
      </c>
      <c r="K260" s="179" t="e">
        <f t="shared" si="16"/>
        <v>#NUM!</v>
      </c>
      <c r="L260" s="179"/>
      <c r="M260" s="181">
        <f t="shared" si="17"/>
        <v>0</v>
      </c>
    </row>
    <row r="261" spans="1:13" x14ac:dyDescent="0.25">
      <c r="A261" s="197"/>
      <c r="G261" s="164"/>
      <c r="H261" s="179">
        <v>256</v>
      </c>
      <c r="I261" s="180" t="str">
        <f t="shared" si="15"/>
        <v/>
      </c>
      <c r="J261" s="180" t="e">
        <f t="shared" si="18"/>
        <v>#NUM!</v>
      </c>
      <c r="K261" s="179" t="e">
        <f t="shared" si="16"/>
        <v>#NUM!</v>
      </c>
      <c r="L261" s="179"/>
      <c r="M261" s="181">
        <f t="shared" si="17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9">IF(H262&lt;$H$2+1,($I$2-($I$2-1)*(LOG(H262)/LOG($H$2))),"")</f>
        <v/>
      </c>
      <c r="J262" s="180" t="e">
        <f t="shared" si="18"/>
        <v>#NUM!</v>
      </c>
      <c r="K262" s="179" t="e">
        <f t="shared" ref="K262:K305" si="20">J262*$J$2</f>
        <v>#NUM!</v>
      </c>
      <c r="L262" s="179"/>
      <c r="M262" s="181">
        <f t="shared" ref="M262:M305" si="21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9"/>
        <v/>
      </c>
      <c r="J263" s="180" t="e">
        <f t="shared" ref="J263:J305" si="22">INT(LOG($H$2,2))-ROUNDUP(LOG(H263,2),0)+IF(OR($H$2=1,$H$2=2,$H$2=4,$H$2=8,$H$2=16,$H$2=32,$H$2=64,$H$2=128,$H$2=256),0,1)</f>
        <v>#NUM!</v>
      </c>
      <c r="K263" s="179" t="e">
        <f t="shared" si="20"/>
        <v>#NUM!</v>
      </c>
      <c r="L263" s="179"/>
      <c r="M263" s="181">
        <f t="shared" si="21"/>
        <v>0</v>
      </c>
    </row>
    <row r="264" spans="1:13" x14ac:dyDescent="0.25">
      <c r="A264" s="197"/>
      <c r="G264" s="164"/>
      <c r="H264" s="179">
        <v>259</v>
      </c>
      <c r="I264" s="180" t="str">
        <f t="shared" si="19"/>
        <v/>
      </c>
      <c r="J264" s="180" t="e">
        <f t="shared" si="22"/>
        <v>#NUM!</v>
      </c>
      <c r="K264" s="179" t="e">
        <f t="shared" si="20"/>
        <v>#NUM!</v>
      </c>
      <c r="L264" s="179"/>
      <c r="M264" s="181">
        <f t="shared" si="21"/>
        <v>0</v>
      </c>
    </row>
    <row r="265" spans="1:13" x14ac:dyDescent="0.25">
      <c r="A265" s="197"/>
      <c r="G265" s="164"/>
      <c r="H265" s="179">
        <v>260</v>
      </c>
      <c r="I265" s="180" t="str">
        <f t="shared" si="19"/>
        <v/>
      </c>
      <c r="J265" s="180" t="e">
        <f t="shared" si="22"/>
        <v>#NUM!</v>
      </c>
      <c r="K265" s="179" t="e">
        <f t="shared" si="20"/>
        <v>#NUM!</v>
      </c>
      <c r="L265" s="179"/>
      <c r="M265" s="181">
        <f t="shared" si="21"/>
        <v>0</v>
      </c>
    </row>
    <row r="266" spans="1:13" x14ac:dyDescent="0.25">
      <c r="A266" s="197"/>
      <c r="G266" s="164"/>
      <c r="H266" s="179">
        <v>261</v>
      </c>
      <c r="I266" s="180" t="str">
        <f t="shared" si="19"/>
        <v/>
      </c>
      <c r="J266" s="180" t="e">
        <f t="shared" si="22"/>
        <v>#NUM!</v>
      </c>
      <c r="K266" s="179" t="e">
        <f t="shared" si="20"/>
        <v>#NUM!</v>
      </c>
      <c r="L266" s="179"/>
      <c r="M266" s="181">
        <f t="shared" si="21"/>
        <v>0</v>
      </c>
    </row>
    <row r="267" spans="1:13" x14ac:dyDescent="0.25">
      <c r="A267" s="197"/>
      <c r="G267" s="164"/>
      <c r="H267" s="179">
        <v>262</v>
      </c>
      <c r="I267" s="180" t="str">
        <f t="shared" si="19"/>
        <v/>
      </c>
      <c r="J267" s="180" t="e">
        <f t="shared" si="22"/>
        <v>#NUM!</v>
      </c>
      <c r="K267" s="179" t="e">
        <f t="shared" si="20"/>
        <v>#NUM!</v>
      </c>
      <c r="L267" s="179"/>
      <c r="M267" s="181">
        <f t="shared" si="21"/>
        <v>0</v>
      </c>
    </row>
    <row r="268" spans="1:13" x14ac:dyDescent="0.25">
      <c r="A268" s="197"/>
      <c r="G268" s="164"/>
      <c r="H268" s="179">
        <v>263</v>
      </c>
      <c r="I268" s="180" t="str">
        <f t="shared" si="19"/>
        <v/>
      </c>
      <c r="J268" s="180" t="e">
        <f t="shared" si="22"/>
        <v>#NUM!</v>
      </c>
      <c r="K268" s="179" t="e">
        <f t="shared" si="20"/>
        <v>#NUM!</v>
      </c>
      <c r="L268" s="179"/>
      <c r="M268" s="181">
        <f t="shared" si="21"/>
        <v>0</v>
      </c>
    </row>
    <row r="269" spans="1:13" x14ac:dyDescent="0.25">
      <c r="A269" s="197"/>
      <c r="G269" s="164"/>
      <c r="H269" s="179">
        <v>264</v>
      </c>
      <c r="I269" s="180" t="str">
        <f t="shared" si="19"/>
        <v/>
      </c>
      <c r="J269" s="180" t="e">
        <f t="shared" si="22"/>
        <v>#NUM!</v>
      </c>
      <c r="K269" s="179" t="e">
        <f t="shared" si="20"/>
        <v>#NUM!</v>
      </c>
      <c r="L269" s="179"/>
      <c r="M269" s="181">
        <f t="shared" si="21"/>
        <v>0</v>
      </c>
    </row>
    <row r="270" spans="1:13" x14ac:dyDescent="0.25">
      <c r="A270" s="197"/>
      <c r="G270" s="164"/>
      <c r="H270" s="179">
        <v>265</v>
      </c>
      <c r="I270" s="180" t="str">
        <f t="shared" si="19"/>
        <v/>
      </c>
      <c r="J270" s="180" t="e">
        <f t="shared" si="22"/>
        <v>#NUM!</v>
      </c>
      <c r="K270" s="179" t="e">
        <f t="shared" si="20"/>
        <v>#NUM!</v>
      </c>
      <c r="L270" s="179"/>
      <c r="M270" s="181">
        <f t="shared" si="21"/>
        <v>0</v>
      </c>
    </row>
    <row r="271" spans="1:13" x14ac:dyDescent="0.25">
      <c r="A271" s="197"/>
      <c r="G271" s="164"/>
      <c r="H271" s="179">
        <v>266</v>
      </c>
      <c r="I271" s="180" t="str">
        <f t="shared" si="19"/>
        <v/>
      </c>
      <c r="J271" s="180" t="e">
        <f t="shared" si="22"/>
        <v>#NUM!</v>
      </c>
      <c r="K271" s="179" t="e">
        <f t="shared" si="20"/>
        <v>#NUM!</v>
      </c>
      <c r="L271" s="179"/>
      <c r="M271" s="181">
        <f t="shared" si="21"/>
        <v>0</v>
      </c>
    </row>
    <row r="272" spans="1:13" x14ac:dyDescent="0.25">
      <c r="A272" s="197"/>
      <c r="G272" s="164"/>
      <c r="H272" s="179">
        <v>267</v>
      </c>
      <c r="I272" s="180" t="str">
        <f t="shared" si="19"/>
        <v/>
      </c>
      <c r="J272" s="180" t="e">
        <f t="shared" si="22"/>
        <v>#NUM!</v>
      </c>
      <c r="K272" s="179" t="e">
        <f t="shared" si="20"/>
        <v>#NUM!</v>
      </c>
      <c r="L272" s="179"/>
      <c r="M272" s="181">
        <f t="shared" si="21"/>
        <v>0</v>
      </c>
    </row>
    <row r="273" spans="1:13" x14ac:dyDescent="0.25">
      <c r="A273" s="197"/>
      <c r="G273" s="164"/>
      <c r="H273" s="179">
        <v>268</v>
      </c>
      <c r="I273" s="180" t="str">
        <f t="shared" si="19"/>
        <v/>
      </c>
      <c r="J273" s="180" t="e">
        <f t="shared" si="22"/>
        <v>#NUM!</v>
      </c>
      <c r="K273" s="179" t="e">
        <f t="shared" si="20"/>
        <v>#NUM!</v>
      </c>
      <c r="L273" s="179"/>
      <c r="M273" s="181">
        <f t="shared" si="21"/>
        <v>0</v>
      </c>
    </row>
    <row r="274" spans="1:13" x14ac:dyDescent="0.25">
      <c r="A274" s="197"/>
      <c r="G274" s="164"/>
      <c r="H274" s="179">
        <v>269</v>
      </c>
      <c r="I274" s="180" t="str">
        <f t="shared" si="19"/>
        <v/>
      </c>
      <c r="J274" s="180" t="e">
        <f t="shared" si="22"/>
        <v>#NUM!</v>
      </c>
      <c r="K274" s="179" t="e">
        <f t="shared" si="20"/>
        <v>#NUM!</v>
      </c>
      <c r="L274" s="179"/>
      <c r="M274" s="181">
        <f t="shared" si="21"/>
        <v>0</v>
      </c>
    </row>
    <row r="275" spans="1:13" x14ac:dyDescent="0.25">
      <c r="A275" s="197"/>
      <c r="G275" s="164"/>
      <c r="H275" s="179">
        <v>270</v>
      </c>
      <c r="I275" s="180" t="str">
        <f t="shared" si="19"/>
        <v/>
      </c>
      <c r="J275" s="180" t="e">
        <f t="shared" si="22"/>
        <v>#NUM!</v>
      </c>
      <c r="K275" s="179" t="e">
        <f t="shared" si="20"/>
        <v>#NUM!</v>
      </c>
      <c r="L275" s="179"/>
      <c r="M275" s="181">
        <f t="shared" si="21"/>
        <v>0</v>
      </c>
    </row>
    <row r="276" spans="1:13" x14ac:dyDescent="0.25">
      <c r="A276" s="197"/>
      <c r="G276" s="164"/>
      <c r="H276" s="179">
        <v>271</v>
      </c>
      <c r="I276" s="180" t="str">
        <f t="shared" si="19"/>
        <v/>
      </c>
      <c r="J276" s="180" t="e">
        <f t="shared" si="22"/>
        <v>#NUM!</v>
      </c>
      <c r="K276" s="179" t="e">
        <f t="shared" si="20"/>
        <v>#NUM!</v>
      </c>
      <c r="L276" s="179"/>
      <c r="M276" s="181">
        <f t="shared" si="21"/>
        <v>0</v>
      </c>
    </row>
    <row r="277" spans="1:13" x14ac:dyDescent="0.25">
      <c r="A277" s="197"/>
      <c r="G277" s="164"/>
      <c r="H277" s="179">
        <v>272</v>
      </c>
      <c r="I277" s="180" t="str">
        <f t="shared" si="19"/>
        <v/>
      </c>
      <c r="J277" s="180" t="e">
        <f t="shared" si="22"/>
        <v>#NUM!</v>
      </c>
      <c r="K277" s="179" t="e">
        <f t="shared" si="20"/>
        <v>#NUM!</v>
      </c>
      <c r="L277" s="179"/>
      <c r="M277" s="181">
        <f t="shared" si="21"/>
        <v>0</v>
      </c>
    </row>
    <row r="278" spans="1:13" x14ac:dyDescent="0.25">
      <c r="A278" s="197"/>
      <c r="G278" s="164"/>
      <c r="H278" s="179">
        <v>273</v>
      </c>
      <c r="I278" s="180" t="str">
        <f t="shared" si="19"/>
        <v/>
      </c>
      <c r="J278" s="180" t="e">
        <f t="shared" si="22"/>
        <v>#NUM!</v>
      </c>
      <c r="K278" s="179" t="e">
        <f t="shared" si="20"/>
        <v>#NUM!</v>
      </c>
      <c r="L278" s="179"/>
      <c r="M278" s="181">
        <f t="shared" si="21"/>
        <v>0</v>
      </c>
    </row>
    <row r="279" spans="1:13" x14ac:dyDescent="0.25">
      <c r="A279" s="197"/>
      <c r="G279" s="164"/>
      <c r="H279" s="179">
        <v>274</v>
      </c>
      <c r="I279" s="180" t="str">
        <f t="shared" si="19"/>
        <v/>
      </c>
      <c r="J279" s="180" t="e">
        <f t="shared" si="22"/>
        <v>#NUM!</v>
      </c>
      <c r="K279" s="179" t="e">
        <f t="shared" si="20"/>
        <v>#NUM!</v>
      </c>
      <c r="L279" s="179"/>
      <c r="M279" s="181">
        <f t="shared" si="21"/>
        <v>0</v>
      </c>
    </row>
    <row r="280" spans="1:13" x14ac:dyDescent="0.25">
      <c r="A280" s="197"/>
      <c r="G280" s="164"/>
      <c r="H280" s="179">
        <v>275</v>
      </c>
      <c r="I280" s="180" t="str">
        <f t="shared" si="19"/>
        <v/>
      </c>
      <c r="J280" s="180" t="e">
        <f t="shared" si="22"/>
        <v>#NUM!</v>
      </c>
      <c r="K280" s="179" t="e">
        <f t="shared" si="20"/>
        <v>#NUM!</v>
      </c>
      <c r="L280" s="179"/>
      <c r="M280" s="181">
        <f t="shared" si="21"/>
        <v>0</v>
      </c>
    </row>
    <row r="281" spans="1:13" x14ac:dyDescent="0.25">
      <c r="A281" s="197"/>
      <c r="G281" s="164"/>
      <c r="H281" s="179">
        <v>276</v>
      </c>
      <c r="I281" s="180" t="str">
        <f t="shared" si="19"/>
        <v/>
      </c>
      <c r="J281" s="180" t="e">
        <f t="shared" si="22"/>
        <v>#NUM!</v>
      </c>
      <c r="K281" s="179" t="e">
        <f t="shared" si="20"/>
        <v>#NUM!</v>
      </c>
      <c r="L281" s="179"/>
      <c r="M281" s="181">
        <f t="shared" si="21"/>
        <v>0</v>
      </c>
    </row>
    <row r="282" spans="1:13" x14ac:dyDescent="0.25">
      <c r="A282" s="197"/>
      <c r="G282" s="164"/>
      <c r="H282" s="179">
        <v>277</v>
      </c>
      <c r="I282" s="180" t="str">
        <f t="shared" si="19"/>
        <v/>
      </c>
      <c r="J282" s="180" t="e">
        <f t="shared" si="22"/>
        <v>#NUM!</v>
      </c>
      <c r="K282" s="179" t="e">
        <f t="shared" si="20"/>
        <v>#NUM!</v>
      </c>
      <c r="L282" s="179"/>
      <c r="M282" s="181">
        <f t="shared" si="21"/>
        <v>0</v>
      </c>
    </row>
    <row r="283" spans="1:13" x14ac:dyDescent="0.25">
      <c r="A283" s="197"/>
      <c r="G283" s="164"/>
      <c r="H283" s="179">
        <v>278</v>
      </c>
      <c r="I283" s="180" t="str">
        <f t="shared" si="19"/>
        <v/>
      </c>
      <c r="J283" s="180" t="e">
        <f t="shared" si="22"/>
        <v>#NUM!</v>
      </c>
      <c r="K283" s="179" t="e">
        <f t="shared" si="20"/>
        <v>#NUM!</v>
      </c>
      <c r="L283" s="179"/>
      <c r="M283" s="181">
        <f t="shared" si="21"/>
        <v>0</v>
      </c>
    </row>
    <row r="284" spans="1:13" x14ac:dyDescent="0.25">
      <c r="A284" s="197"/>
      <c r="G284" s="164"/>
      <c r="H284" s="179">
        <v>279</v>
      </c>
      <c r="I284" s="180" t="str">
        <f t="shared" si="19"/>
        <v/>
      </c>
      <c r="J284" s="180" t="e">
        <f t="shared" si="22"/>
        <v>#NUM!</v>
      </c>
      <c r="K284" s="179" t="e">
        <f t="shared" si="20"/>
        <v>#NUM!</v>
      </c>
      <c r="L284" s="179"/>
      <c r="M284" s="181">
        <f t="shared" si="21"/>
        <v>0</v>
      </c>
    </row>
    <row r="285" spans="1:13" x14ac:dyDescent="0.25">
      <c r="A285" s="197"/>
      <c r="G285" s="164"/>
      <c r="H285" s="179">
        <v>280</v>
      </c>
      <c r="I285" s="180" t="str">
        <f t="shared" si="19"/>
        <v/>
      </c>
      <c r="J285" s="180" t="e">
        <f t="shared" si="22"/>
        <v>#NUM!</v>
      </c>
      <c r="K285" s="179" t="e">
        <f t="shared" si="20"/>
        <v>#NUM!</v>
      </c>
      <c r="L285" s="179"/>
      <c r="M285" s="181">
        <f t="shared" si="21"/>
        <v>0</v>
      </c>
    </row>
    <row r="286" spans="1:13" x14ac:dyDescent="0.25">
      <c r="A286" s="197"/>
      <c r="G286" s="164"/>
      <c r="H286" s="179">
        <v>281</v>
      </c>
      <c r="I286" s="180" t="str">
        <f t="shared" si="19"/>
        <v/>
      </c>
      <c r="J286" s="180" t="e">
        <f t="shared" si="22"/>
        <v>#NUM!</v>
      </c>
      <c r="K286" s="179" t="e">
        <f t="shared" si="20"/>
        <v>#NUM!</v>
      </c>
      <c r="L286" s="179"/>
      <c r="M286" s="181">
        <f t="shared" si="21"/>
        <v>0</v>
      </c>
    </row>
    <row r="287" spans="1:13" x14ac:dyDescent="0.25">
      <c r="A287" s="197"/>
      <c r="G287" s="164"/>
      <c r="H287" s="179">
        <v>282</v>
      </c>
      <c r="I287" s="180" t="str">
        <f t="shared" si="19"/>
        <v/>
      </c>
      <c r="J287" s="180" t="e">
        <f t="shared" si="22"/>
        <v>#NUM!</v>
      </c>
      <c r="K287" s="179" t="e">
        <f t="shared" si="20"/>
        <v>#NUM!</v>
      </c>
      <c r="L287" s="179"/>
      <c r="M287" s="181">
        <f t="shared" si="21"/>
        <v>0</v>
      </c>
    </row>
    <row r="288" spans="1:13" x14ac:dyDescent="0.25">
      <c r="A288" s="197"/>
      <c r="G288" s="164"/>
      <c r="H288" s="179">
        <v>283</v>
      </c>
      <c r="I288" s="180" t="str">
        <f t="shared" si="19"/>
        <v/>
      </c>
      <c r="J288" s="180" t="e">
        <f t="shared" si="22"/>
        <v>#NUM!</v>
      </c>
      <c r="K288" s="179" t="e">
        <f t="shared" si="20"/>
        <v>#NUM!</v>
      </c>
      <c r="L288" s="179"/>
      <c r="M288" s="181">
        <f t="shared" si="21"/>
        <v>0</v>
      </c>
    </row>
    <row r="289" spans="1:13" x14ac:dyDescent="0.25">
      <c r="A289" s="197"/>
      <c r="G289" s="164"/>
      <c r="H289" s="179">
        <v>284</v>
      </c>
      <c r="I289" s="180" t="str">
        <f t="shared" si="19"/>
        <v/>
      </c>
      <c r="J289" s="180" t="e">
        <f t="shared" si="22"/>
        <v>#NUM!</v>
      </c>
      <c r="K289" s="179" t="e">
        <f t="shared" si="20"/>
        <v>#NUM!</v>
      </c>
      <c r="L289" s="179"/>
      <c r="M289" s="181">
        <f t="shared" si="21"/>
        <v>0</v>
      </c>
    </row>
    <row r="290" spans="1:13" x14ac:dyDescent="0.25">
      <c r="A290" s="197"/>
      <c r="G290" s="164"/>
      <c r="H290" s="179">
        <v>285</v>
      </c>
      <c r="I290" s="180" t="str">
        <f t="shared" si="19"/>
        <v/>
      </c>
      <c r="J290" s="180" t="e">
        <f t="shared" si="22"/>
        <v>#NUM!</v>
      </c>
      <c r="K290" s="179" t="e">
        <f t="shared" si="20"/>
        <v>#NUM!</v>
      </c>
      <c r="L290" s="179"/>
      <c r="M290" s="181">
        <f t="shared" si="21"/>
        <v>0</v>
      </c>
    </row>
    <row r="291" spans="1:13" x14ac:dyDescent="0.25">
      <c r="A291" s="197"/>
      <c r="G291" s="164"/>
      <c r="H291" s="179">
        <v>286</v>
      </c>
      <c r="I291" s="180" t="str">
        <f t="shared" si="19"/>
        <v/>
      </c>
      <c r="J291" s="180" t="e">
        <f t="shared" si="22"/>
        <v>#NUM!</v>
      </c>
      <c r="K291" s="179" t="e">
        <f t="shared" si="20"/>
        <v>#NUM!</v>
      </c>
      <c r="L291" s="179"/>
      <c r="M291" s="181">
        <f t="shared" si="21"/>
        <v>0</v>
      </c>
    </row>
    <row r="292" spans="1:13" x14ac:dyDescent="0.25">
      <c r="A292" s="197"/>
      <c r="G292" s="164"/>
      <c r="H292" s="179">
        <v>287</v>
      </c>
      <c r="I292" s="180" t="str">
        <f t="shared" si="19"/>
        <v/>
      </c>
      <c r="J292" s="180" t="e">
        <f t="shared" si="22"/>
        <v>#NUM!</v>
      </c>
      <c r="K292" s="179" t="e">
        <f t="shared" si="20"/>
        <v>#NUM!</v>
      </c>
      <c r="L292" s="179"/>
      <c r="M292" s="181">
        <f t="shared" si="21"/>
        <v>0</v>
      </c>
    </row>
    <row r="293" spans="1:13" x14ac:dyDescent="0.25">
      <c r="A293" s="197"/>
      <c r="G293" s="164"/>
      <c r="H293" s="179">
        <v>288</v>
      </c>
      <c r="I293" s="180" t="str">
        <f t="shared" si="19"/>
        <v/>
      </c>
      <c r="J293" s="180" t="e">
        <f t="shared" si="22"/>
        <v>#NUM!</v>
      </c>
      <c r="K293" s="179" t="e">
        <f t="shared" si="20"/>
        <v>#NUM!</v>
      </c>
      <c r="L293" s="179"/>
      <c r="M293" s="181">
        <f t="shared" si="21"/>
        <v>0</v>
      </c>
    </row>
    <row r="294" spans="1:13" x14ac:dyDescent="0.25">
      <c r="A294" s="197"/>
      <c r="G294" s="164"/>
      <c r="H294" s="179">
        <v>289</v>
      </c>
      <c r="I294" s="180" t="str">
        <f t="shared" si="19"/>
        <v/>
      </c>
      <c r="J294" s="180" t="e">
        <f t="shared" si="22"/>
        <v>#NUM!</v>
      </c>
      <c r="K294" s="179" t="e">
        <f t="shared" si="20"/>
        <v>#NUM!</v>
      </c>
      <c r="L294" s="179"/>
      <c r="M294" s="181">
        <f t="shared" si="21"/>
        <v>0</v>
      </c>
    </row>
    <row r="295" spans="1:13" x14ac:dyDescent="0.25">
      <c r="A295" s="197"/>
      <c r="G295" s="164"/>
      <c r="H295" s="179">
        <v>290</v>
      </c>
      <c r="I295" s="180" t="str">
        <f t="shared" si="19"/>
        <v/>
      </c>
      <c r="J295" s="180" t="e">
        <f t="shared" si="22"/>
        <v>#NUM!</v>
      </c>
      <c r="K295" s="179" t="e">
        <f t="shared" si="20"/>
        <v>#NUM!</v>
      </c>
      <c r="L295" s="179"/>
      <c r="M295" s="181">
        <f t="shared" si="21"/>
        <v>0</v>
      </c>
    </row>
    <row r="296" spans="1:13" x14ac:dyDescent="0.25">
      <c r="A296" s="197"/>
      <c r="G296" s="164"/>
      <c r="H296" s="179">
        <v>291</v>
      </c>
      <c r="I296" s="180" t="str">
        <f t="shared" si="19"/>
        <v/>
      </c>
      <c r="J296" s="180" t="e">
        <f t="shared" si="22"/>
        <v>#NUM!</v>
      </c>
      <c r="K296" s="179" t="e">
        <f t="shared" si="20"/>
        <v>#NUM!</v>
      </c>
      <c r="L296" s="179"/>
      <c r="M296" s="181">
        <f t="shared" si="21"/>
        <v>0</v>
      </c>
    </row>
    <row r="297" spans="1:13" x14ac:dyDescent="0.25">
      <c r="A297" s="197"/>
      <c r="G297" s="164"/>
      <c r="H297" s="179">
        <v>292</v>
      </c>
      <c r="I297" s="180" t="str">
        <f t="shared" si="19"/>
        <v/>
      </c>
      <c r="J297" s="180" t="e">
        <f t="shared" si="22"/>
        <v>#NUM!</v>
      </c>
      <c r="K297" s="179" t="e">
        <f t="shared" si="20"/>
        <v>#NUM!</v>
      </c>
      <c r="L297" s="179"/>
      <c r="M297" s="181">
        <f t="shared" si="21"/>
        <v>0</v>
      </c>
    </row>
    <row r="298" spans="1:13" x14ac:dyDescent="0.25">
      <c r="A298" s="197"/>
      <c r="G298" s="164"/>
      <c r="H298" s="179">
        <v>293</v>
      </c>
      <c r="I298" s="180" t="str">
        <f t="shared" si="19"/>
        <v/>
      </c>
      <c r="J298" s="180" t="e">
        <f t="shared" si="22"/>
        <v>#NUM!</v>
      </c>
      <c r="K298" s="179" t="e">
        <f t="shared" si="20"/>
        <v>#NUM!</v>
      </c>
      <c r="L298" s="179"/>
      <c r="M298" s="181">
        <f t="shared" si="21"/>
        <v>0</v>
      </c>
    </row>
    <row r="299" spans="1:13" x14ac:dyDescent="0.25">
      <c r="A299" s="197"/>
      <c r="G299" s="164"/>
      <c r="H299" s="179">
        <v>294</v>
      </c>
      <c r="I299" s="180" t="str">
        <f t="shared" si="19"/>
        <v/>
      </c>
      <c r="J299" s="180" t="e">
        <f t="shared" si="22"/>
        <v>#NUM!</v>
      </c>
      <c r="K299" s="179" t="e">
        <f t="shared" si="20"/>
        <v>#NUM!</v>
      </c>
      <c r="L299" s="179"/>
      <c r="M299" s="181">
        <f t="shared" si="21"/>
        <v>0</v>
      </c>
    </row>
    <row r="300" spans="1:13" x14ac:dyDescent="0.25">
      <c r="A300" s="197"/>
      <c r="G300" s="164"/>
      <c r="H300" s="179">
        <v>295</v>
      </c>
      <c r="I300" s="180" t="str">
        <f t="shared" si="19"/>
        <v/>
      </c>
      <c r="J300" s="180" t="e">
        <f t="shared" si="22"/>
        <v>#NUM!</v>
      </c>
      <c r="K300" s="179" t="e">
        <f t="shared" si="20"/>
        <v>#NUM!</v>
      </c>
      <c r="L300" s="179"/>
      <c r="M300" s="181">
        <f t="shared" si="21"/>
        <v>0</v>
      </c>
    </row>
    <row r="301" spans="1:13" x14ac:dyDescent="0.25">
      <c r="A301" s="197"/>
      <c r="G301" s="164"/>
      <c r="H301" s="179">
        <v>296</v>
      </c>
      <c r="I301" s="180" t="str">
        <f t="shared" si="19"/>
        <v/>
      </c>
      <c r="J301" s="180" t="e">
        <f t="shared" si="22"/>
        <v>#NUM!</v>
      </c>
      <c r="K301" s="179" t="e">
        <f t="shared" si="20"/>
        <v>#NUM!</v>
      </c>
      <c r="L301" s="179"/>
      <c r="M301" s="181">
        <f t="shared" si="21"/>
        <v>0</v>
      </c>
    </row>
    <row r="302" spans="1:13" x14ac:dyDescent="0.25">
      <c r="A302" s="197"/>
      <c r="G302" s="164"/>
      <c r="H302" s="179">
        <v>297</v>
      </c>
      <c r="I302" s="180" t="str">
        <f t="shared" si="19"/>
        <v/>
      </c>
      <c r="J302" s="180" t="e">
        <f t="shared" si="22"/>
        <v>#NUM!</v>
      </c>
      <c r="K302" s="179" t="e">
        <f t="shared" si="20"/>
        <v>#NUM!</v>
      </c>
      <c r="L302" s="179"/>
      <c r="M302" s="181">
        <f t="shared" si="21"/>
        <v>0</v>
      </c>
    </row>
    <row r="303" spans="1:13" x14ac:dyDescent="0.25">
      <c r="A303" s="197"/>
      <c r="G303" s="164"/>
      <c r="H303" s="179">
        <v>298</v>
      </c>
      <c r="I303" s="180" t="str">
        <f t="shared" si="19"/>
        <v/>
      </c>
      <c r="J303" s="180" t="e">
        <f t="shared" si="22"/>
        <v>#NUM!</v>
      </c>
      <c r="K303" s="179" t="e">
        <f t="shared" si="20"/>
        <v>#NUM!</v>
      </c>
      <c r="L303" s="179"/>
      <c r="M303" s="181">
        <f t="shared" si="21"/>
        <v>0</v>
      </c>
    </row>
    <row r="304" spans="1:13" x14ac:dyDescent="0.25">
      <c r="A304" s="197"/>
      <c r="G304" s="164"/>
      <c r="H304" s="179">
        <v>299</v>
      </c>
      <c r="I304" s="180" t="str">
        <f t="shared" si="19"/>
        <v/>
      </c>
      <c r="J304" s="180" t="e">
        <f t="shared" si="22"/>
        <v>#NUM!</v>
      </c>
      <c r="K304" s="179" t="e">
        <f t="shared" si="20"/>
        <v>#NUM!</v>
      </c>
      <c r="L304" s="179"/>
      <c r="M304" s="181">
        <f t="shared" si="21"/>
        <v>0</v>
      </c>
    </row>
    <row r="305" spans="1:16" x14ac:dyDescent="0.25">
      <c r="A305" s="197"/>
      <c r="G305" s="164"/>
      <c r="H305" s="179">
        <v>300</v>
      </c>
      <c r="I305" s="180" t="str">
        <f t="shared" si="19"/>
        <v/>
      </c>
      <c r="J305" s="180" t="e">
        <f t="shared" si="22"/>
        <v>#NUM!</v>
      </c>
      <c r="K305" s="179" t="e">
        <f t="shared" si="20"/>
        <v>#NUM!</v>
      </c>
      <c r="L305" s="179"/>
      <c r="M305" s="181">
        <f t="shared" si="21"/>
        <v>0</v>
      </c>
    </row>
    <row r="306" spans="1:16" x14ac:dyDescent="0.25">
      <c r="A306" s="198"/>
    </row>
    <row r="314" spans="1:16" x14ac:dyDescent="0.25">
      <c r="L314" s="201"/>
      <c r="P314" s="190"/>
    </row>
    <row r="315" spans="1:16" x14ac:dyDescent="0.25">
      <c r="L315" s="201"/>
      <c r="P315" s="190"/>
    </row>
    <row r="316" spans="1:16" x14ac:dyDescent="0.25">
      <c r="L316" s="201"/>
      <c r="P316" s="190"/>
    </row>
    <row r="317" spans="1:16" x14ac:dyDescent="0.25">
      <c r="L317" s="201"/>
      <c r="P317" s="190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AD151646-6E06-4C61-98A4-F6FFCEF51DD7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D1B2-6B17-41A6-B5A7-C504D9354D12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" style="199" customWidth="1"/>
    <col min="11" max="11" width="8.75" style="199" customWidth="1"/>
    <col min="12" max="12" width="11" style="199" customWidth="1"/>
    <col min="13" max="13" width="11.7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243" t="s">
        <v>86</v>
      </c>
      <c r="D2" s="170"/>
      <c r="E2" s="21"/>
      <c r="F2" s="21"/>
      <c r="G2" s="21"/>
      <c r="H2" s="171">
        <v>0</v>
      </c>
      <c r="I2" s="172">
        <v>50</v>
      </c>
      <c r="J2" s="172">
        <v>10</v>
      </c>
      <c r="K2" s="202">
        <f>3*H2^(1/3)</f>
        <v>0</v>
      </c>
      <c r="L2" s="168"/>
      <c r="M2" s="168"/>
    </row>
    <row r="3" spans="1:36" ht="14.45" customHeight="1" x14ac:dyDescent="0.25">
      <c r="A3" s="164"/>
      <c r="B3" s="174" t="s">
        <v>28</v>
      </c>
      <c r="C3" s="70" t="s">
        <v>100</v>
      </c>
      <c r="D3" s="70"/>
      <c r="E3" s="26"/>
      <c r="F3" s="26"/>
      <c r="G3" s="26"/>
      <c r="H3" s="168"/>
      <c r="I3" s="168"/>
      <c r="J3" s="168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68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7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9">
        <v>1</v>
      </c>
      <c r="I6" s="180" t="str">
        <f t="shared" ref="I6:I69" si="1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2">
        <v>2</v>
      </c>
      <c r="I7" s="183" t="str">
        <f t="shared" si="1"/>
        <v/>
      </c>
      <c r="J7" s="183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9">
        <v>3</v>
      </c>
      <c r="I8" s="180" t="str">
        <f t="shared" si="1"/>
        <v/>
      </c>
      <c r="J8" s="180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69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9">
        <v>5</v>
      </c>
      <c r="I10" s="180" t="str">
        <f t="shared" si="1"/>
        <v/>
      </c>
      <c r="J10" s="180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2">
        <v>6</v>
      </c>
      <c r="I11" s="183" t="str">
        <f t="shared" si="1"/>
        <v/>
      </c>
      <c r="J11" s="183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9">
        <v>7</v>
      </c>
      <c r="I12" s="180" t="str">
        <f t="shared" si="1"/>
        <v/>
      </c>
      <c r="J12" s="180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2">
        <v>8</v>
      </c>
      <c r="I13" s="183" t="str">
        <f t="shared" si="1"/>
        <v/>
      </c>
      <c r="J13" s="183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9">
        <v>9</v>
      </c>
      <c r="I14" s="180" t="str">
        <f t="shared" si="1"/>
        <v/>
      </c>
      <c r="J14" s="180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2">
        <v>10</v>
      </c>
      <c r="I15" s="183" t="str">
        <f t="shared" si="1"/>
        <v/>
      </c>
      <c r="J15" s="183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9">
        <v>11</v>
      </c>
      <c r="I16" s="180" t="str">
        <f t="shared" si="1"/>
        <v/>
      </c>
      <c r="J16" s="180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2">
        <v>12</v>
      </c>
      <c r="I17" s="183" t="str">
        <f t="shared" si="1"/>
        <v/>
      </c>
      <c r="J17" s="183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9">
        <v>13</v>
      </c>
      <c r="I18" s="180" t="str">
        <f t="shared" si="1"/>
        <v/>
      </c>
      <c r="J18" s="180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2">
        <v>14</v>
      </c>
      <c r="I19" s="183" t="str">
        <f t="shared" si="1"/>
        <v/>
      </c>
      <c r="J19" s="183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9">
        <v>15</v>
      </c>
      <c r="I20" s="180" t="str">
        <f t="shared" si="1"/>
        <v/>
      </c>
      <c r="J20" s="180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2">
        <v>16</v>
      </c>
      <c r="I21" s="183" t="str">
        <f t="shared" si="1"/>
        <v/>
      </c>
      <c r="J21" s="183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9">
        <v>17</v>
      </c>
      <c r="I22" s="180" t="str">
        <f t="shared" si="1"/>
        <v/>
      </c>
      <c r="J22" s="180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2">
        <v>18</v>
      </c>
      <c r="I23" s="183" t="str">
        <f t="shared" si="1"/>
        <v/>
      </c>
      <c r="J23" s="183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9">
        <v>19</v>
      </c>
      <c r="I24" s="180" t="str">
        <f t="shared" si="1"/>
        <v/>
      </c>
      <c r="J24" s="180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2">
        <v>20</v>
      </c>
      <c r="I25" s="183" t="str">
        <f t="shared" si="1"/>
        <v/>
      </c>
      <c r="J25" s="183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9">
        <v>21</v>
      </c>
      <c r="I26" s="180" t="str">
        <f t="shared" si="1"/>
        <v/>
      </c>
      <c r="J26" s="180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2">
        <v>22</v>
      </c>
      <c r="I27" s="183" t="str">
        <f t="shared" si="1"/>
        <v/>
      </c>
      <c r="J27" s="183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9">
        <v>23</v>
      </c>
      <c r="I28" s="180" t="str">
        <f t="shared" si="1"/>
        <v/>
      </c>
      <c r="J28" s="180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82">
        <v>24</v>
      </c>
      <c r="I29" s="183" t="str">
        <f t="shared" si="1"/>
        <v/>
      </c>
      <c r="J29" s="183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9">
        <v>25</v>
      </c>
      <c r="I30" s="180" t="str">
        <f t="shared" si="1"/>
        <v/>
      </c>
      <c r="J30" s="180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82">
        <v>26</v>
      </c>
      <c r="I31" s="183" t="str">
        <f t="shared" si="1"/>
        <v/>
      </c>
      <c r="J31" s="183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9">
        <v>27</v>
      </c>
      <c r="I32" s="180" t="str">
        <f t="shared" si="1"/>
        <v/>
      </c>
      <c r="J32" s="180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21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82">
        <v>28</v>
      </c>
      <c r="I33" s="183" t="str">
        <f t="shared" si="1"/>
        <v/>
      </c>
      <c r="J33" s="183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21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9">
        <v>29</v>
      </c>
      <c r="I34" s="180" t="str">
        <f t="shared" si="1"/>
        <v/>
      </c>
      <c r="J34" s="180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21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82">
        <v>30</v>
      </c>
      <c r="I35" s="183" t="str">
        <f t="shared" si="1"/>
        <v/>
      </c>
      <c r="J35" s="183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21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9">
        <v>31</v>
      </c>
      <c r="I36" s="180" t="str">
        <f t="shared" si="1"/>
        <v/>
      </c>
      <c r="J36" s="180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21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82">
        <v>32</v>
      </c>
      <c r="I37" s="183" t="str">
        <f t="shared" si="1"/>
        <v/>
      </c>
      <c r="J37" s="183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21" x14ac:dyDescent="0.25">
      <c r="A38" s="100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9">
        <v>33</v>
      </c>
      <c r="I38" s="180" t="str">
        <f t="shared" si="1"/>
        <v/>
      </c>
      <c r="J38" s="180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21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82">
        <v>34</v>
      </c>
      <c r="I39" s="183" t="str">
        <f t="shared" si="1"/>
        <v/>
      </c>
      <c r="J39" s="183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21" x14ac:dyDescent="0.25">
      <c r="A40" s="100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9">
        <v>35</v>
      </c>
      <c r="I40" s="180" t="str">
        <f t="shared" si="1"/>
        <v/>
      </c>
      <c r="J40" s="180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21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82">
        <v>36</v>
      </c>
      <c r="I41" s="183" t="str">
        <f t="shared" si="1"/>
        <v/>
      </c>
      <c r="J41" s="183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21" x14ac:dyDescent="0.25">
      <c r="A42" s="100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9">
        <v>37</v>
      </c>
      <c r="I42" s="180" t="str">
        <f t="shared" si="1"/>
        <v/>
      </c>
      <c r="J42" s="180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21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82">
        <v>38</v>
      </c>
      <c r="I43" s="183" t="str">
        <f t="shared" si="1"/>
        <v/>
      </c>
      <c r="J43" s="183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21" x14ac:dyDescent="0.25">
      <c r="A44" s="100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9">
        <v>39</v>
      </c>
      <c r="I44" s="180" t="str">
        <f t="shared" si="1"/>
        <v/>
      </c>
      <c r="J44" s="180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21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82">
        <v>40</v>
      </c>
      <c r="I45" s="183" t="str">
        <f t="shared" si="1"/>
        <v/>
      </c>
      <c r="J45" s="183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21" x14ac:dyDescent="0.25">
      <c r="A46" s="100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9">
        <v>41</v>
      </c>
      <c r="I46" s="180" t="str">
        <f t="shared" si="1"/>
        <v/>
      </c>
      <c r="J46" s="180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82">
        <v>42</v>
      </c>
      <c r="I47" s="183" t="str">
        <f t="shared" si="1"/>
        <v/>
      </c>
      <c r="J47" s="183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21" x14ac:dyDescent="0.25">
      <c r="A48" s="100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9">
        <v>43</v>
      </c>
      <c r="I48" s="180" t="str">
        <f t="shared" si="1"/>
        <v/>
      </c>
      <c r="J48" s="180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13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82">
        <v>44</v>
      </c>
      <c r="I49" s="183" t="str">
        <f t="shared" si="1"/>
        <v/>
      </c>
      <c r="J49" s="183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13" x14ac:dyDescent="0.25">
      <c r="A50" s="100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9">
        <v>45</v>
      </c>
      <c r="I50" s="180" t="str">
        <f t="shared" si="1"/>
        <v/>
      </c>
      <c r="J50" s="180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13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82">
        <v>46</v>
      </c>
      <c r="I51" s="183" t="str">
        <f t="shared" si="1"/>
        <v/>
      </c>
      <c r="J51" s="183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13" x14ac:dyDescent="0.25">
      <c r="A52" s="100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9">
        <v>47</v>
      </c>
      <c r="I52" s="180" t="str">
        <f t="shared" si="1"/>
        <v/>
      </c>
      <c r="J52" s="180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13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82">
        <v>48</v>
      </c>
      <c r="I53" s="183" t="str">
        <f t="shared" si="1"/>
        <v/>
      </c>
      <c r="J53" s="183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13" x14ac:dyDescent="0.25">
      <c r="A54" s="100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9">
        <v>49</v>
      </c>
      <c r="I54" s="180" t="str">
        <f t="shared" si="1"/>
        <v/>
      </c>
      <c r="J54" s="180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13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82">
        <v>50</v>
      </c>
      <c r="I55" s="183" t="str">
        <f t="shared" si="1"/>
        <v/>
      </c>
      <c r="J55" s="183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13" x14ac:dyDescent="0.25">
      <c r="A56" s="100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9">
        <v>51</v>
      </c>
      <c r="I56" s="180" t="str">
        <f t="shared" si="1"/>
        <v/>
      </c>
      <c r="J56" s="180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13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G57" s="164"/>
      <c r="H57" s="182">
        <v>52</v>
      </c>
      <c r="I57" s="183" t="str">
        <f t="shared" si="1"/>
        <v/>
      </c>
      <c r="J57" s="183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</row>
    <row r="58" spans="1:13" x14ac:dyDescent="0.25">
      <c r="A58" s="100">
        <f t="shared" si="4"/>
        <v>0</v>
      </c>
      <c r="B58" s="34" t="str">
        <f t="shared" si="0"/>
        <v/>
      </c>
      <c r="C58" s="35"/>
      <c r="D58" s="35"/>
      <c r="E58" s="35"/>
      <c r="F58" s="35"/>
      <c r="G58" s="164"/>
      <c r="H58" s="179">
        <v>53</v>
      </c>
      <c r="I58" s="180" t="str">
        <f t="shared" si="1"/>
        <v/>
      </c>
      <c r="J58" s="180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</row>
    <row r="59" spans="1:13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G59" s="164"/>
      <c r="H59" s="182">
        <v>54</v>
      </c>
      <c r="I59" s="183" t="str">
        <f t="shared" si="1"/>
        <v/>
      </c>
      <c r="J59" s="183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</row>
    <row r="60" spans="1:13" x14ac:dyDescent="0.25">
      <c r="A60" s="100">
        <f t="shared" si="4"/>
        <v>0</v>
      </c>
      <c r="B60" s="34" t="str">
        <f t="shared" si="0"/>
        <v/>
      </c>
      <c r="C60" s="35"/>
      <c r="D60" s="35"/>
      <c r="E60" s="35"/>
      <c r="F60" s="35"/>
      <c r="G60" s="164"/>
      <c r="H60" s="179">
        <v>55</v>
      </c>
      <c r="I60" s="180" t="str">
        <f t="shared" si="1"/>
        <v/>
      </c>
      <c r="J60" s="180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</row>
    <row r="61" spans="1:13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G61" s="164"/>
      <c r="H61" s="182">
        <v>56</v>
      </c>
      <c r="I61" s="183" t="str">
        <f t="shared" si="1"/>
        <v/>
      </c>
      <c r="J61" s="183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</row>
    <row r="62" spans="1:13" x14ac:dyDescent="0.25">
      <c r="A62" s="100">
        <f t="shared" si="4"/>
        <v>0</v>
      </c>
      <c r="B62" s="34" t="str">
        <f t="shared" si="0"/>
        <v/>
      </c>
      <c r="C62" s="35"/>
      <c r="D62" s="35"/>
      <c r="E62" s="35"/>
      <c r="F62" s="35"/>
      <c r="G62" s="164"/>
      <c r="H62" s="179">
        <v>57</v>
      </c>
      <c r="I62" s="180" t="str">
        <f t="shared" si="1"/>
        <v/>
      </c>
      <c r="J62" s="180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</row>
    <row r="63" spans="1:13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G63" s="164"/>
      <c r="H63" s="182">
        <v>58</v>
      </c>
      <c r="I63" s="183" t="str">
        <f t="shared" si="1"/>
        <v/>
      </c>
      <c r="J63" s="183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</row>
    <row r="64" spans="1:13" x14ac:dyDescent="0.25">
      <c r="A64" s="100">
        <f t="shared" si="4"/>
        <v>0</v>
      </c>
      <c r="B64" s="34" t="str">
        <f t="shared" si="0"/>
        <v/>
      </c>
      <c r="C64" s="35"/>
      <c r="D64" s="35"/>
      <c r="E64" s="35"/>
      <c r="F64" s="35"/>
      <c r="G64" s="164"/>
      <c r="H64" s="179">
        <v>59</v>
      </c>
      <c r="I64" s="180" t="str">
        <f t="shared" si="1"/>
        <v/>
      </c>
      <c r="J64" s="180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</row>
    <row r="65" spans="1:13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G65" s="164"/>
      <c r="H65" s="182">
        <v>60</v>
      </c>
      <c r="I65" s="183" t="str">
        <f t="shared" si="1"/>
        <v/>
      </c>
      <c r="J65" s="183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</row>
    <row r="66" spans="1:13" x14ac:dyDescent="0.25">
      <c r="A66" s="100">
        <f t="shared" si="4"/>
        <v>0</v>
      </c>
      <c r="B66" s="34"/>
      <c r="G66" s="164"/>
      <c r="H66" s="179">
        <v>61</v>
      </c>
      <c r="I66" s="180" t="str">
        <f t="shared" si="1"/>
        <v/>
      </c>
      <c r="J66" s="180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</row>
    <row r="67" spans="1:13" x14ac:dyDescent="0.25">
      <c r="A67" s="100">
        <f t="shared" si="4"/>
        <v>0</v>
      </c>
      <c r="B67" s="40"/>
      <c r="G67" s="164"/>
      <c r="H67" s="179">
        <v>62</v>
      </c>
      <c r="I67" s="180" t="str">
        <f t="shared" si="1"/>
        <v/>
      </c>
      <c r="J67" s="180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</row>
    <row r="68" spans="1:13" x14ac:dyDescent="0.25">
      <c r="A68" s="100">
        <f t="shared" si="4"/>
        <v>0</v>
      </c>
      <c r="B68" s="34"/>
      <c r="G68" s="164"/>
      <c r="H68" s="179">
        <v>63</v>
      </c>
      <c r="I68" s="180" t="str">
        <f t="shared" si="1"/>
        <v/>
      </c>
      <c r="J68" s="180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</row>
    <row r="69" spans="1:13" x14ac:dyDescent="0.25">
      <c r="A69" s="100">
        <f t="shared" si="4"/>
        <v>0</v>
      </c>
      <c r="B69" s="40"/>
      <c r="G69" s="164"/>
      <c r="H69" s="179">
        <v>64</v>
      </c>
      <c r="I69" s="180" t="str">
        <f t="shared" si="1"/>
        <v/>
      </c>
      <c r="J69" s="180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</row>
    <row r="70" spans="1:13" x14ac:dyDescent="0.25">
      <c r="A70" s="100">
        <f t="shared" si="4"/>
        <v>0</v>
      </c>
      <c r="G70" s="164"/>
      <c r="H70" s="179">
        <v>65</v>
      </c>
      <c r="I70" s="180" t="str">
        <f t="shared" ref="I70:I133" si="6">IF(H70&lt;$H$2+1,($I$2-($I$2-1)*(LOG(H70)/LOG($H$2))),"")</f>
        <v/>
      </c>
      <c r="J70" s="180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00">
        <f t="shared" ref="A71:A79" si="9">M71</f>
        <v>0</v>
      </c>
      <c r="G71" s="164"/>
      <c r="H71" s="179">
        <v>66</v>
      </c>
      <c r="I71" s="180" t="str">
        <f t="shared" si="6"/>
        <v/>
      </c>
      <c r="J71" s="180" t="e">
        <f t="shared" ref="J71:J134" si="10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00">
        <f t="shared" si="9"/>
        <v>0</v>
      </c>
      <c r="G72" s="164"/>
      <c r="H72" s="179">
        <v>67</v>
      </c>
      <c r="I72" s="180" t="str">
        <f t="shared" si="6"/>
        <v/>
      </c>
      <c r="J72" s="180" t="e">
        <f t="shared" si="10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00">
        <f t="shared" si="9"/>
        <v>0</v>
      </c>
      <c r="G73" s="164"/>
      <c r="H73" s="179">
        <v>68</v>
      </c>
      <c r="I73" s="180" t="str">
        <f t="shared" si="6"/>
        <v/>
      </c>
      <c r="J73" s="180" t="e">
        <f t="shared" si="10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00">
        <f t="shared" si="9"/>
        <v>0</v>
      </c>
      <c r="G74" s="164"/>
      <c r="H74" s="179">
        <v>69</v>
      </c>
      <c r="I74" s="180" t="str">
        <f t="shared" si="6"/>
        <v/>
      </c>
      <c r="J74" s="180" t="e">
        <f t="shared" si="10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00">
        <f t="shared" si="9"/>
        <v>0</v>
      </c>
      <c r="G75" s="164"/>
      <c r="H75" s="179">
        <v>70</v>
      </c>
      <c r="I75" s="180" t="str">
        <f t="shared" si="6"/>
        <v/>
      </c>
      <c r="J75" s="180" t="e">
        <f t="shared" si="10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00">
        <f t="shared" si="9"/>
        <v>0</v>
      </c>
      <c r="G76" s="164"/>
      <c r="H76" s="179">
        <v>71</v>
      </c>
      <c r="I76" s="180" t="str">
        <f t="shared" si="6"/>
        <v/>
      </c>
      <c r="J76" s="180" t="e">
        <f t="shared" si="10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00">
        <f t="shared" si="9"/>
        <v>0</v>
      </c>
      <c r="G77" s="164"/>
      <c r="H77" s="179">
        <v>72</v>
      </c>
      <c r="I77" s="180" t="str">
        <f t="shared" si="6"/>
        <v/>
      </c>
      <c r="J77" s="180" t="e">
        <f t="shared" si="10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00">
        <f t="shared" si="9"/>
        <v>0</v>
      </c>
      <c r="G78" s="164"/>
      <c r="H78" s="179">
        <v>73</v>
      </c>
      <c r="I78" s="180" t="str">
        <f t="shared" si="6"/>
        <v/>
      </c>
      <c r="J78" s="180" t="e">
        <f t="shared" si="10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00">
        <f t="shared" si="9"/>
        <v>0</v>
      </c>
      <c r="G79" s="164"/>
      <c r="H79" s="179">
        <v>74</v>
      </c>
      <c r="I79" s="180" t="str">
        <f t="shared" si="6"/>
        <v/>
      </c>
      <c r="J79" s="180" t="e">
        <f t="shared" si="10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96"/>
      <c r="G80" s="164"/>
      <c r="H80" s="179">
        <v>75</v>
      </c>
      <c r="I80" s="180" t="str">
        <f t="shared" si="6"/>
        <v/>
      </c>
      <c r="J80" s="180" t="e">
        <f t="shared" si="10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7"/>
      <c r="G81" s="164"/>
      <c r="H81" s="179">
        <v>76</v>
      </c>
      <c r="I81" s="180" t="str">
        <f t="shared" si="6"/>
        <v/>
      </c>
      <c r="J81" s="180" t="e">
        <f t="shared" si="10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7"/>
      <c r="G82" s="164"/>
      <c r="H82" s="179">
        <v>77</v>
      </c>
      <c r="I82" s="180" t="str">
        <f t="shared" si="6"/>
        <v/>
      </c>
      <c r="J82" s="180" t="e">
        <f t="shared" si="10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7"/>
      <c r="G83" s="164"/>
      <c r="H83" s="179">
        <v>78</v>
      </c>
      <c r="I83" s="180" t="str">
        <f t="shared" si="6"/>
        <v/>
      </c>
      <c r="J83" s="180" t="e">
        <f t="shared" si="10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7"/>
      <c r="G84" s="164"/>
      <c r="H84" s="179">
        <v>79</v>
      </c>
      <c r="I84" s="180" t="str">
        <f t="shared" si="6"/>
        <v/>
      </c>
      <c r="J84" s="180" t="e">
        <f t="shared" si="10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7"/>
      <c r="G85" s="164"/>
      <c r="H85" s="179">
        <v>80</v>
      </c>
      <c r="I85" s="180" t="str">
        <f t="shared" si="6"/>
        <v/>
      </c>
      <c r="J85" s="180" t="e">
        <f t="shared" si="10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7"/>
      <c r="G86" s="164"/>
      <c r="H86" s="179">
        <v>81</v>
      </c>
      <c r="I86" s="180" t="str">
        <f t="shared" si="6"/>
        <v/>
      </c>
      <c r="J86" s="180" t="e">
        <f t="shared" si="10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7"/>
      <c r="G87" s="164"/>
      <c r="H87" s="179">
        <v>82</v>
      </c>
      <c r="I87" s="180" t="str">
        <f t="shared" si="6"/>
        <v/>
      </c>
      <c r="J87" s="180" t="e">
        <f t="shared" si="10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7"/>
      <c r="G88" s="164"/>
      <c r="H88" s="179">
        <v>83</v>
      </c>
      <c r="I88" s="180" t="str">
        <f t="shared" si="6"/>
        <v/>
      </c>
      <c r="J88" s="180" t="e">
        <f t="shared" si="10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7"/>
      <c r="G89" s="164"/>
      <c r="H89" s="179">
        <v>84</v>
      </c>
      <c r="I89" s="180" t="str">
        <f t="shared" si="6"/>
        <v/>
      </c>
      <c r="J89" s="180" t="e">
        <f t="shared" si="10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7"/>
      <c r="G90" s="164"/>
      <c r="H90" s="179">
        <v>85</v>
      </c>
      <c r="I90" s="180" t="str">
        <f t="shared" si="6"/>
        <v/>
      </c>
      <c r="J90" s="180" t="e">
        <f t="shared" si="10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7"/>
      <c r="G91" s="164"/>
      <c r="H91" s="179">
        <v>86</v>
      </c>
      <c r="I91" s="180" t="str">
        <f t="shared" si="6"/>
        <v/>
      </c>
      <c r="J91" s="180" t="e">
        <f t="shared" si="10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7"/>
      <c r="G92" s="164"/>
      <c r="H92" s="179">
        <v>87</v>
      </c>
      <c r="I92" s="180" t="str">
        <f t="shared" si="6"/>
        <v/>
      </c>
      <c r="J92" s="180" t="e">
        <f t="shared" si="10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7"/>
      <c r="G93" s="164"/>
      <c r="H93" s="179">
        <v>88</v>
      </c>
      <c r="I93" s="180" t="str">
        <f t="shared" si="6"/>
        <v/>
      </c>
      <c r="J93" s="180" t="e">
        <f t="shared" si="10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7"/>
      <c r="G94" s="164"/>
      <c r="H94" s="179">
        <v>89</v>
      </c>
      <c r="I94" s="180" t="str">
        <f t="shared" si="6"/>
        <v/>
      </c>
      <c r="J94" s="180" t="e">
        <f t="shared" si="10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7"/>
      <c r="G95" s="164"/>
      <c r="H95" s="179">
        <v>90</v>
      </c>
      <c r="I95" s="180" t="str">
        <f t="shared" si="6"/>
        <v/>
      </c>
      <c r="J95" s="180" t="e">
        <f t="shared" si="10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7"/>
      <c r="G96" s="164"/>
      <c r="H96" s="179">
        <v>91</v>
      </c>
      <c r="I96" s="180" t="str">
        <f t="shared" si="6"/>
        <v/>
      </c>
      <c r="J96" s="180" t="e">
        <f t="shared" si="10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7"/>
      <c r="G97" s="164"/>
      <c r="H97" s="179">
        <v>92</v>
      </c>
      <c r="I97" s="180" t="str">
        <f t="shared" si="6"/>
        <v/>
      </c>
      <c r="J97" s="180" t="e">
        <f t="shared" si="10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7"/>
      <c r="G98" s="164"/>
      <c r="H98" s="179">
        <v>93</v>
      </c>
      <c r="I98" s="180" t="str">
        <f t="shared" si="6"/>
        <v/>
      </c>
      <c r="J98" s="180" t="e">
        <f t="shared" si="10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7"/>
      <c r="G99" s="164"/>
      <c r="H99" s="179">
        <v>94</v>
      </c>
      <c r="I99" s="180" t="str">
        <f t="shared" si="6"/>
        <v/>
      </c>
      <c r="J99" s="180" t="e">
        <f t="shared" si="10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7"/>
      <c r="G100" s="164"/>
      <c r="H100" s="179">
        <v>95</v>
      </c>
      <c r="I100" s="180" t="str">
        <f t="shared" si="6"/>
        <v/>
      </c>
      <c r="J100" s="180" t="e">
        <f t="shared" si="10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7"/>
      <c r="G101" s="164"/>
      <c r="H101" s="179">
        <v>96</v>
      </c>
      <c r="I101" s="180" t="str">
        <f t="shared" si="6"/>
        <v/>
      </c>
      <c r="J101" s="180" t="e">
        <f t="shared" si="10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7"/>
      <c r="G102" s="164"/>
      <c r="H102" s="179">
        <v>97</v>
      </c>
      <c r="I102" s="180" t="str">
        <f t="shared" si="6"/>
        <v/>
      </c>
      <c r="J102" s="180" t="e">
        <f t="shared" si="10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7"/>
      <c r="G103" s="164"/>
      <c r="H103" s="179">
        <v>98</v>
      </c>
      <c r="I103" s="180" t="str">
        <f t="shared" si="6"/>
        <v/>
      </c>
      <c r="J103" s="180" t="e">
        <f t="shared" si="10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7"/>
      <c r="G104" s="164"/>
      <c r="H104" s="179">
        <v>99</v>
      </c>
      <c r="I104" s="180" t="str">
        <f t="shared" si="6"/>
        <v/>
      </c>
      <c r="J104" s="180" t="e">
        <f t="shared" si="10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7"/>
      <c r="G105" s="164"/>
      <c r="H105" s="179">
        <v>100</v>
      </c>
      <c r="I105" s="180" t="str">
        <f t="shared" si="6"/>
        <v/>
      </c>
      <c r="J105" s="180" t="e">
        <f t="shared" si="10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7"/>
      <c r="G106" s="164"/>
      <c r="H106" s="179">
        <v>101</v>
      </c>
      <c r="I106" s="180" t="str">
        <f t="shared" si="6"/>
        <v/>
      </c>
      <c r="J106" s="180" t="e">
        <f t="shared" si="10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7"/>
      <c r="G107" s="164"/>
      <c r="H107" s="179">
        <v>102</v>
      </c>
      <c r="I107" s="180" t="str">
        <f t="shared" si="6"/>
        <v/>
      </c>
      <c r="J107" s="180" t="e">
        <f t="shared" si="10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7"/>
      <c r="G108" s="164"/>
      <c r="H108" s="179">
        <v>103</v>
      </c>
      <c r="I108" s="180" t="str">
        <f t="shared" si="6"/>
        <v/>
      </c>
      <c r="J108" s="180" t="e">
        <f t="shared" si="10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7"/>
      <c r="G109" s="164"/>
      <c r="H109" s="179">
        <v>104</v>
      </c>
      <c r="I109" s="180" t="str">
        <f t="shared" si="6"/>
        <v/>
      </c>
      <c r="J109" s="180" t="e">
        <f t="shared" si="10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7"/>
      <c r="G110" s="164"/>
      <c r="H110" s="179">
        <v>105</v>
      </c>
      <c r="I110" s="180" t="str">
        <f t="shared" si="6"/>
        <v/>
      </c>
      <c r="J110" s="180" t="e">
        <f t="shared" si="10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7"/>
      <c r="G111" s="164"/>
      <c r="H111" s="179">
        <v>106</v>
      </c>
      <c r="I111" s="180" t="str">
        <f t="shared" si="6"/>
        <v/>
      </c>
      <c r="J111" s="180" t="e">
        <f t="shared" si="10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7"/>
      <c r="G112" s="164"/>
      <c r="H112" s="179">
        <v>107</v>
      </c>
      <c r="I112" s="180" t="str">
        <f t="shared" si="6"/>
        <v/>
      </c>
      <c r="J112" s="180" t="e">
        <f t="shared" si="10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7"/>
      <c r="G113" s="164"/>
      <c r="H113" s="179">
        <v>108</v>
      </c>
      <c r="I113" s="180" t="str">
        <f t="shared" si="6"/>
        <v/>
      </c>
      <c r="J113" s="180" t="e">
        <f t="shared" si="10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7"/>
      <c r="G114" s="164"/>
      <c r="H114" s="179">
        <v>109</v>
      </c>
      <c r="I114" s="180" t="str">
        <f t="shared" si="6"/>
        <v/>
      </c>
      <c r="J114" s="180" t="e">
        <f t="shared" si="10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7"/>
      <c r="G115" s="164"/>
      <c r="H115" s="179">
        <v>110</v>
      </c>
      <c r="I115" s="180" t="str">
        <f t="shared" si="6"/>
        <v/>
      </c>
      <c r="J115" s="180" t="e">
        <f t="shared" si="10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7"/>
      <c r="G116" s="164"/>
      <c r="H116" s="179">
        <v>111</v>
      </c>
      <c r="I116" s="180" t="str">
        <f t="shared" si="6"/>
        <v/>
      </c>
      <c r="J116" s="180" t="e">
        <f t="shared" si="10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7"/>
      <c r="G117" s="164"/>
      <c r="H117" s="179">
        <v>112</v>
      </c>
      <c r="I117" s="180" t="str">
        <f t="shared" si="6"/>
        <v/>
      </c>
      <c r="J117" s="180" t="e">
        <f t="shared" si="10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7"/>
      <c r="G118" s="164"/>
      <c r="H118" s="179">
        <v>113</v>
      </c>
      <c r="I118" s="180" t="str">
        <f t="shared" si="6"/>
        <v/>
      </c>
      <c r="J118" s="180" t="e">
        <f t="shared" si="10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7"/>
      <c r="G119" s="164"/>
      <c r="H119" s="179">
        <v>114</v>
      </c>
      <c r="I119" s="180" t="str">
        <f t="shared" si="6"/>
        <v/>
      </c>
      <c r="J119" s="180" t="e">
        <f t="shared" si="10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7"/>
      <c r="G120" s="164"/>
      <c r="H120" s="179">
        <v>115</v>
      </c>
      <c r="I120" s="180" t="str">
        <f t="shared" si="6"/>
        <v/>
      </c>
      <c r="J120" s="180" t="e">
        <f t="shared" si="10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7"/>
      <c r="G121" s="164"/>
      <c r="H121" s="179">
        <v>116</v>
      </c>
      <c r="I121" s="180" t="str">
        <f t="shared" si="6"/>
        <v/>
      </c>
      <c r="J121" s="180" t="e">
        <f t="shared" si="10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7"/>
      <c r="G122" s="164"/>
      <c r="H122" s="179">
        <v>117</v>
      </c>
      <c r="I122" s="180" t="str">
        <f t="shared" si="6"/>
        <v/>
      </c>
      <c r="J122" s="180" t="e">
        <f t="shared" si="10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7"/>
      <c r="G123" s="164"/>
      <c r="H123" s="179">
        <v>118</v>
      </c>
      <c r="I123" s="180" t="str">
        <f t="shared" si="6"/>
        <v/>
      </c>
      <c r="J123" s="180" t="e">
        <f t="shared" si="10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7"/>
      <c r="G124" s="164"/>
      <c r="H124" s="179">
        <v>119</v>
      </c>
      <c r="I124" s="180" t="str">
        <f t="shared" si="6"/>
        <v/>
      </c>
      <c r="J124" s="180" t="e">
        <f t="shared" si="10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7"/>
      <c r="G125" s="164"/>
      <c r="H125" s="179">
        <v>120</v>
      </c>
      <c r="I125" s="180" t="str">
        <f t="shared" si="6"/>
        <v/>
      </c>
      <c r="J125" s="180" t="e">
        <f t="shared" si="10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7"/>
      <c r="G126" s="164"/>
      <c r="H126" s="179">
        <v>121</v>
      </c>
      <c r="I126" s="180" t="str">
        <f t="shared" si="6"/>
        <v/>
      </c>
      <c r="J126" s="180" t="e">
        <f t="shared" si="10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7"/>
      <c r="G127" s="164"/>
      <c r="H127" s="179">
        <v>122</v>
      </c>
      <c r="I127" s="180" t="str">
        <f t="shared" si="6"/>
        <v/>
      </c>
      <c r="J127" s="180" t="e">
        <f t="shared" si="10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7"/>
      <c r="G128" s="164"/>
      <c r="H128" s="179">
        <v>123</v>
      </c>
      <c r="I128" s="180" t="str">
        <f t="shared" si="6"/>
        <v/>
      </c>
      <c r="J128" s="180" t="e">
        <f t="shared" si="10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7"/>
      <c r="G129" s="164"/>
      <c r="H129" s="179">
        <v>124</v>
      </c>
      <c r="I129" s="180" t="str">
        <f t="shared" si="6"/>
        <v/>
      </c>
      <c r="J129" s="180" t="e">
        <f t="shared" si="10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7"/>
      <c r="G130" s="164"/>
      <c r="H130" s="179">
        <v>125</v>
      </c>
      <c r="I130" s="180" t="str">
        <f t="shared" si="6"/>
        <v/>
      </c>
      <c r="J130" s="180" t="e">
        <f t="shared" si="10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7"/>
      <c r="G131" s="164"/>
      <c r="H131" s="179">
        <v>126</v>
      </c>
      <c r="I131" s="180" t="str">
        <f t="shared" si="6"/>
        <v/>
      </c>
      <c r="J131" s="180" t="e">
        <f t="shared" si="10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7"/>
      <c r="G132" s="164"/>
      <c r="H132" s="179">
        <v>127</v>
      </c>
      <c r="I132" s="180" t="str">
        <f t="shared" si="6"/>
        <v/>
      </c>
      <c r="J132" s="180" t="e">
        <f t="shared" si="10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7"/>
      <c r="G133" s="164"/>
      <c r="H133" s="179">
        <v>128</v>
      </c>
      <c r="I133" s="180" t="str">
        <f t="shared" si="6"/>
        <v/>
      </c>
      <c r="J133" s="180" t="e">
        <f t="shared" si="10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7"/>
      <c r="G134" s="164"/>
      <c r="H134" s="179">
        <v>129</v>
      </c>
      <c r="I134" s="180" t="str">
        <f t="shared" ref="I134:I197" si="11">IF(H134&lt;$H$2+1,($I$2-($I$2-1)*(LOG(H134)/LOG($H$2))),"")</f>
        <v/>
      </c>
      <c r="J134" s="180" t="e">
        <f t="shared" si="10"/>
        <v>#NUM!</v>
      </c>
      <c r="K134" s="179" t="e">
        <f t="shared" ref="K134:K197" si="12">J134*$J$2</f>
        <v>#NUM!</v>
      </c>
      <c r="L134" s="179"/>
      <c r="M134" s="181">
        <f t="shared" ref="M134:M197" si="13">IF(I134&lt;&gt;"",K134+I134+L134,0)</f>
        <v>0</v>
      </c>
    </row>
    <row r="135" spans="1:13" x14ac:dyDescent="0.25">
      <c r="A135" s="197"/>
      <c r="G135" s="164"/>
      <c r="H135" s="179">
        <v>130</v>
      </c>
      <c r="I135" s="180" t="str">
        <f t="shared" si="11"/>
        <v/>
      </c>
      <c r="J135" s="180" t="e">
        <f t="shared" ref="J135:J198" si="14">INT(LOG($H$2,2))-ROUNDUP(LOG(H135,2),0)+IF(OR($H$2=1,$H$2=2,$H$2=4,$H$2=8,$H$2=16,$H$2=32,$H$2=64,$H$2=128,$H$2=256),0,1)</f>
        <v>#NUM!</v>
      </c>
      <c r="K135" s="179" t="e">
        <f t="shared" si="12"/>
        <v>#NUM!</v>
      </c>
      <c r="L135" s="179"/>
      <c r="M135" s="181">
        <f t="shared" si="13"/>
        <v>0</v>
      </c>
    </row>
    <row r="136" spans="1:13" x14ac:dyDescent="0.25">
      <c r="A136" s="197"/>
      <c r="G136" s="164"/>
      <c r="H136" s="179">
        <v>131</v>
      </c>
      <c r="I136" s="180" t="str">
        <f t="shared" si="11"/>
        <v/>
      </c>
      <c r="J136" s="180" t="e">
        <f t="shared" si="14"/>
        <v>#NUM!</v>
      </c>
      <c r="K136" s="179" t="e">
        <f t="shared" si="12"/>
        <v>#NUM!</v>
      </c>
      <c r="L136" s="179"/>
      <c r="M136" s="181">
        <f t="shared" si="13"/>
        <v>0</v>
      </c>
    </row>
    <row r="137" spans="1:13" x14ac:dyDescent="0.25">
      <c r="A137" s="197"/>
      <c r="G137" s="164"/>
      <c r="H137" s="179">
        <v>132</v>
      </c>
      <c r="I137" s="180" t="str">
        <f t="shared" si="11"/>
        <v/>
      </c>
      <c r="J137" s="180" t="e">
        <f t="shared" si="14"/>
        <v>#NUM!</v>
      </c>
      <c r="K137" s="179" t="e">
        <f t="shared" si="12"/>
        <v>#NUM!</v>
      </c>
      <c r="L137" s="179"/>
      <c r="M137" s="181">
        <f t="shared" si="13"/>
        <v>0</v>
      </c>
    </row>
    <row r="138" spans="1:13" x14ac:dyDescent="0.25">
      <c r="A138" s="197"/>
      <c r="G138" s="164"/>
      <c r="H138" s="179">
        <v>133</v>
      </c>
      <c r="I138" s="180" t="str">
        <f t="shared" si="11"/>
        <v/>
      </c>
      <c r="J138" s="180" t="e">
        <f t="shared" si="14"/>
        <v>#NUM!</v>
      </c>
      <c r="K138" s="179" t="e">
        <f t="shared" si="12"/>
        <v>#NUM!</v>
      </c>
      <c r="L138" s="179"/>
      <c r="M138" s="181">
        <f t="shared" si="13"/>
        <v>0</v>
      </c>
    </row>
    <row r="139" spans="1:13" x14ac:dyDescent="0.25">
      <c r="A139" s="197"/>
      <c r="G139" s="164"/>
      <c r="H139" s="179">
        <v>134</v>
      </c>
      <c r="I139" s="180" t="str">
        <f t="shared" si="11"/>
        <v/>
      </c>
      <c r="J139" s="180" t="e">
        <f t="shared" si="14"/>
        <v>#NUM!</v>
      </c>
      <c r="K139" s="179" t="e">
        <f t="shared" si="12"/>
        <v>#NUM!</v>
      </c>
      <c r="L139" s="179"/>
      <c r="M139" s="181">
        <f t="shared" si="13"/>
        <v>0</v>
      </c>
    </row>
    <row r="140" spans="1:13" x14ac:dyDescent="0.25">
      <c r="A140" s="197"/>
      <c r="G140" s="164"/>
      <c r="H140" s="179">
        <v>135</v>
      </c>
      <c r="I140" s="180" t="str">
        <f t="shared" si="11"/>
        <v/>
      </c>
      <c r="J140" s="180" t="e">
        <f t="shared" si="14"/>
        <v>#NUM!</v>
      </c>
      <c r="K140" s="179" t="e">
        <f t="shared" si="12"/>
        <v>#NUM!</v>
      </c>
      <c r="L140" s="179"/>
      <c r="M140" s="181">
        <f t="shared" si="13"/>
        <v>0</v>
      </c>
    </row>
    <row r="141" spans="1:13" x14ac:dyDescent="0.25">
      <c r="A141" s="197"/>
      <c r="G141" s="164"/>
      <c r="H141" s="179">
        <v>136</v>
      </c>
      <c r="I141" s="180" t="str">
        <f t="shared" si="11"/>
        <v/>
      </c>
      <c r="J141" s="180" t="e">
        <f t="shared" si="14"/>
        <v>#NUM!</v>
      </c>
      <c r="K141" s="179" t="e">
        <f t="shared" si="12"/>
        <v>#NUM!</v>
      </c>
      <c r="L141" s="179"/>
      <c r="M141" s="181">
        <f t="shared" si="13"/>
        <v>0</v>
      </c>
    </row>
    <row r="142" spans="1:13" x14ac:dyDescent="0.25">
      <c r="A142" s="197"/>
      <c r="G142" s="164"/>
      <c r="H142" s="179">
        <v>137</v>
      </c>
      <c r="I142" s="180" t="str">
        <f t="shared" si="11"/>
        <v/>
      </c>
      <c r="J142" s="180" t="e">
        <f t="shared" si="14"/>
        <v>#NUM!</v>
      </c>
      <c r="K142" s="179" t="e">
        <f t="shared" si="12"/>
        <v>#NUM!</v>
      </c>
      <c r="L142" s="179"/>
      <c r="M142" s="181">
        <f t="shared" si="13"/>
        <v>0</v>
      </c>
    </row>
    <row r="143" spans="1:13" x14ac:dyDescent="0.25">
      <c r="A143" s="197"/>
      <c r="G143" s="164"/>
      <c r="H143" s="179">
        <v>138</v>
      </c>
      <c r="I143" s="180" t="str">
        <f t="shared" si="11"/>
        <v/>
      </c>
      <c r="J143" s="180" t="e">
        <f t="shared" si="14"/>
        <v>#NUM!</v>
      </c>
      <c r="K143" s="179" t="e">
        <f t="shared" si="12"/>
        <v>#NUM!</v>
      </c>
      <c r="L143" s="179"/>
      <c r="M143" s="181">
        <f t="shared" si="13"/>
        <v>0</v>
      </c>
    </row>
    <row r="144" spans="1:13" x14ac:dyDescent="0.25">
      <c r="A144" s="197"/>
      <c r="G144" s="164"/>
      <c r="H144" s="179">
        <v>139</v>
      </c>
      <c r="I144" s="180" t="str">
        <f t="shared" si="11"/>
        <v/>
      </c>
      <c r="J144" s="180" t="e">
        <f t="shared" si="14"/>
        <v>#NUM!</v>
      </c>
      <c r="K144" s="179" t="e">
        <f t="shared" si="12"/>
        <v>#NUM!</v>
      </c>
      <c r="L144" s="179"/>
      <c r="M144" s="181">
        <f t="shared" si="13"/>
        <v>0</v>
      </c>
    </row>
    <row r="145" spans="1:13" x14ac:dyDescent="0.25">
      <c r="A145" s="197"/>
      <c r="G145" s="164"/>
      <c r="H145" s="179">
        <v>140</v>
      </c>
      <c r="I145" s="180" t="str">
        <f t="shared" si="11"/>
        <v/>
      </c>
      <c r="J145" s="180" t="e">
        <f t="shared" si="14"/>
        <v>#NUM!</v>
      </c>
      <c r="K145" s="179" t="e">
        <f t="shared" si="12"/>
        <v>#NUM!</v>
      </c>
      <c r="L145" s="179"/>
      <c r="M145" s="181">
        <f t="shared" si="13"/>
        <v>0</v>
      </c>
    </row>
    <row r="146" spans="1:13" x14ac:dyDescent="0.25">
      <c r="A146" s="197"/>
      <c r="G146" s="164"/>
      <c r="H146" s="179">
        <v>141</v>
      </c>
      <c r="I146" s="180" t="str">
        <f t="shared" si="11"/>
        <v/>
      </c>
      <c r="J146" s="180" t="e">
        <f t="shared" si="14"/>
        <v>#NUM!</v>
      </c>
      <c r="K146" s="179" t="e">
        <f t="shared" si="12"/>
        <v>#NUM!</v>
      </c>
      <c r="L146" s="179"/>
      <c r="M146" s="181">
        <f t="shared" si="13"/>
        <v>0</v>
      </c>
    </row>
    <row r="147" spans="1:13" x14ac:dyDescent="0.25">
      <c r="A147" s="197"/>
      <c r="G147" s="164"/>
      <c r="H147" s="179">
        <v>142</v>
      </c>
      <c r="I147" s="180" t="str">
        <f t="shared" si="11"/>
        <v/>
      </c>
      <c r="J147" s="180" t="e">
        <f t="shared" si="14"/>
        <v>#NUM!</v>
      </c>
      <c r="K147" s="179" t="e">
        <f t="shared" si="12"/>
        <v>#NUM!</v>
      </c>
      <c r="L147" s="179"/>
      <c r="M147" s="181">
        <f t="shared" si="13"/>
        <v>0</v>
      </c>
    </row>
    <row r="148" spans="1:13" x14ac:dyDescent="0.25">
      <c r="A148" s="197"/>
      <c r="G148" s="164"/>
      <c r="H148" s="179">
        <v>143</v>
      </c>
      <c r="I148" s="180" t="str">
        <f t="shared" si="11"/>
        <v/>
      </c>
      <c r="J148" s="180" t="e">
        <f t="shared" si="14"/>
        <v>#NUM!</v>
      </c>
      <c r="K148" s="179" t="e">
        <f t="shared" si="12"/>
        <v>#NUM!</v>
      </c>
      <c r="L148" s="179"/>
      <c r="M148" s="181">
        <f t="shared" si="13"/>
        <v>0</v>
      </c>
    </row>
    <row r="149" spans="1:13" x14ac:dyDescent="0.25">
      <c r="A149" s="197"/>
      <c r="G149" s="164"/>
      <c r="H149" s="179">
        <v>144</v>
      </c>
      <c r="I149" s="180" t="str">
        <f t="shared" si="11"/>
        <v/>
      </c>
      <c r="J149" s="180" t="e">
        <f t="shared" si="14"/>
        <v>#NUM!</v>
      </c>
      <c r="K149" s="179" t="e">
        <f t="shared" si="12"/>
        <v>#NUM!</v>
      </c>
      <c r="L149" s="179"/>
      <c r="M149" s="181">
        <f t="shared" si="13"/>
        <v>0</v>
      </c>
    </row>
    <row r="150" spans="1:13" x14ac:dyDescent="0.25">
      <c r="A150" s="197"/>
      <c r="G150" s="164"/>
      <c r="H150" s="179">
        <v>145</v>
      </c>
      <c r="I150" s="180" t="str">
        <f t="shared" si="11"/>
        <v/>
      </c>
      <c r="J150" s="180" t="e">
        <f t="shared" si="14"/>
        <v>#NUM!</v>
      </c>
      <c r="K150" s="179" t="e">
        <f t="shared" si="12"/>
        <v>#NUM!</v>
      </c>
      <c r="L150" s="179"/>
      <c r="M150" s="181">
        <f t="shared" si="13"/>
        <v>0</v>
      </c>
    </row>
    <row r="151" spans="1:13" x14ac:dyDescent="0.25">
      <c r="A151" s="197"/>
      <c r="G151" s="164"/>
      <c r="H151" s="179">
        <v>146</v>
      </c>
      <c r="I151" s="180" t="str">
        <f t="shared" si="11"/>
        <v/>
      </c>
      <c r="J151" s="180" t="e">
        <f t="shared" si="14"/>
        <v>#NUM!</v>
      </c>
      <c r="K151" s="179" t="e">
        <f t="shared" si="12"/>
        <v>#NUM!</v>
      </c>
      <c r="L151" s="179"/>
      <c r="M151" s="181">
        <f t="shared" si="13"/>
        <v>0</v>
      </c>
    </row>
    <row r="152" spans="1:13" x14ac:dyDescent="0.25">
      <c r="A152" s="197"/>
      <c r="G152" s="164"/>
      <c r="H152" s="179">
        <v>147</v>
      </c>
      <c r="I152" s="180" t="str">
        <f t="shared" si="11"/>
        <v/>
      </c>
      <c r="J152" s="180" t="e">
        <f t="shared" si="14"/>
        <v>#NUM!</v>
      </c>
      <c r="K152" s="179" t="e">
        <f t="shared" si="12"/>
        <v>#NUM!</v>
      </c>
      <c r="L152" s="179"/>
      <c r="M152" s="181">
        <f t="shared" si="13"/>
        <v>0</v>
      </c>
    </row>
    <row r="153" spans="1:13" x14ac:dyDescent="0.25">
      <c r="A153" s="197"/>
      <c r="G153" s="164"/>
      <c r="H153" s="179">
        <v>148</v>
      </c>
      <c r="I153" s="180" t="str">
        <f t="shared" si="11"/>
        <v/>
      </c>
      <c r="J153" s="180" t="e">
        <f t="shared" si="14"/>
        <v>#NUM!</v>
      </c>
      <c r="K153" s="179" t="e">
        <f t="shared" si="12"/>
        <v>#NUM!</v>
      </c>
      <c r="L153" s="179"/>
      <c r="M153" s="181">
        <f t="shared" si="13"/>
        <v>0</v>
      </c>
    </row>
    <row r="154" spans="1:13" x14ac:dyDescent="0.25">
      <c r="A154" s="197"/>
      <c r="G154" s="164"/>
      <c r="H154" s="179">
        <v>149</v>
      </c>
      <c r="I154" s="180" t="str">
        <f t="shared" si="11"/>
        <v/>
      </c>
      <c r="J154" s="180" t="e">
        <f t="shared" si="14"/>
        <v>#NUM!</v>
      </c>
      <c r="K154" s="179" t="e">
        <f t="shared" si="12"/>
        <v>#NUM!</v>
      </c>
      <c r="L154" s="179"/>
      <c r="M154" s="181">
        <f t="shared" si="13"/>
        <v>0</v>
      </c>
    </row>
    <row r="155" spans="1:13" x14ac:dyDescent="0.25">
      <c r="A155" s="197"/>
      <c r="G155" s="164"/>
      <c r="H155" s="179">
        <v>150</v>
      </c>
      <c r="I155" s="180" t="str">
        <f t="shared" si="11"/>
        <v/>
      </c>
      <c r="J155" s="180" t="e">
        <f t="shared" si="14"/>
        <v>#NUM!</v>
      </c>
      <c r="K155" s="179" t="e">
        <f t="shared" si="12"/>
        <v>#NUM!</v>
      </c>
      <c r="L155" s="179"/>
      <c r="M155" s="181">
        <f t="shared" si="13"/>
        <v>0</v>
      </c>
    </row>
    <row r="156" spans="1:13" x14ac:dyDescent="0.25">
      <c r="A156" s="197"/>
      <c r="G156" s="164"/>
      <c r="H156" s="179">
        <v>151</v>
      </c>
      <c r="I156" s="180" t="str">
        <f t="shared" si="11"/>
        <v/>
      </c>
      <c r="J156" s="180" t="e">
        <f t="shared" si="14"/>
        <v>#NUM!</v>
      </c>
      <c r="K156" s="179" t="e">
        <f t="shared" si="12"/>
        <v>#NUM!</v>
      </c>
      <c r="L156" s="179"/>
      <c r="M156" s="181">
        <f t="shared" si="13"/>
        <v>0</v>
      </c>
    </row>
    <row r="157" spans="1:13" x14ac:dyDescent="0.25">
      <c r="A157" s="197"/>
      <c r="G157" s="164"/>
      <c r="H157" s="179">
        <v>152</v>
      </c>
      <c r="I157" s="180" t="str">
        <f t="shared" si="11"/>
        <v/>
      </c>
      <c r="J157" s="180" t="e">
        <f t="shared" si="14"/>
        <v>#NUM!</v>
      </c>
      <c r="K157" s="179" t="e">
        <f t="shared" si="12"/>
        <v>#NUM!</v>
      </c>
      <c r="L157" s="179"/>
      <c r="M157" s="181">
        <f t="shared" si="13"/>
        <v>0</v>
      </c>
    </row>
    <row r="158" spans="1:13" x14ac:dyDescent="0.25">
      <c r="A158" s="197"/>
      <c r="G158" s="164"/>
      <c r="H158" s="179">
        <v>153</v>
      </c>
      <c r="I158" s="180" t="str">
        <f t="shared" si="11"/>
        <v/>
      </c>
      <c r="J158" s="180" t="e">
        <f t="shared" si="14"/>
        <v>#NUM!</v>
      </c>
      <c r="K158" s="179" t="e">
        <f t="shared" si="12"/>
        <v>#NUM!</v>
      </c>
      <c r="L158" s="179"/>
      <c r="M158" s="181">
        <f t="shared" si="13"/>
        <v>0</v>
      </c>
    </row>
    <row r="159" spans="1:13" x14ac:dyDescent="0.25">
      <c r="A159" s="197"/>
      <c r="G159" s="164"/>
      <c r="H159" s="179">
        <v>154</v>
      </c>
      <c r="I159" s="180" t="str">
        <f t="shared" si="11"/>
        <v/>
      </c>
      <c r="J159" s="180" t="e">
        <f t="shared" si="14"/>
        <v>#NUM!</v>
      </c>
      <c r="K159" s="179" t="e">
        <f t="shared" si="12"/>
        <v>#NUM!</v>
      </c>
      <c r="L159" s="179"/>
      <c r="M159" s="181">
        <f t="shared" si="13"/>
        <v>0</v>
      </c>
    </row>
    <row r="160" spans="1:13" x14ac:dyDescent="0.25">
      <c r="A160" s="197"/>
      <c r="G160" s="164"/>
      <c r="H160" s="179">
        <v>155</v>
      </c>
      <c r="I160" s="180" t="str">
        <f t="shared" si="11"/>
        <v/>
      </c>
      <c r="J160" s="180" t="e">
        <f t="shared" si="14"/>
        <v>#NUM!</v>
      </c>
      <c r="K160" s="179" t="e">
        <f t="shared" si="12"/>
        <v>#NUM!</v>
      </c>
      <c r="L160" s="179"/>
      <c r="M160" s="181">
        <f t="shared" si="13"/>
        <v>0</v>
      </c>
    </row>
    <row r="161" spans="1:13" x14ac:dyDescent="0.25">
      <c r="A161" s="197"/>
      <c r="G161" s="164"/>
      <c r="H161" s="179">
        <v>156</v>
      </c>
      <c r="I161" s="180" t="str">
        <f t="shared" si="11"/>
        <v/>
      </c>
      <c r="J161" s="180" t="e">
        <f t="shared" si="14"/>
        <v>#NUM!</v>
      </c>
      <c r="K161" s="179" t="e">
        <f t="shared" si="12"/>
        <v>#NUM!</v>
      </c>
      <c r="L161" s="179"/>
      <c r="M161" s="181">
        <f t="shared" si="13"/>
        <v>0</v>
      </c>
    </row>
    <row r="162" spans="1:13" x14ac:dyDescent="0.25">
      <c r="A162" s="197"/>
      <c r="G162" s="164"/>
      <c r="H162" s="179">
        <v>157</v>
      </c>
      <c r="I162" s="180" t="str">
        <f t="shared" si="11"/>
        <v/>
      </c>
      <c r="J162" s="180" t="e">
        <f t="shared" si="14"/>
        <v>#NUM!</v>
      </c>
      <c r="K162" s="179" t="e">
        <f t="shared" si="12"/>
        <v>#NUM!</v>
      </c>
      <c r="L162" s="179"/>
      <c r="M162" s="181">
        <f t="shared" si="13"/>
        <v>0</v>
      </c>
    </row>
    <row r="163" spans="1:13" x14ac:dyDescent="0.25">
      <c r="A163" s="197"/>
      <c r="G163" s="164"/>
      <c r="H163" s="179">
        <v>158</v>
      </c>
      <c r="I163" s="180" t="str">
        <f t="shared" si="11"/>
        <v/>
      </c>
      <c r="J163" s="180" t="e">
        <f t="shared" si="14"/>
        <v>#NUM!</v>
      </c>
      <c r="K163" s="179" t="e">
        <f t="shared" si="12"/>
        <v>#NUM!</v>
      </c>
      <c r="L163" s="179"/>
      <c r="M163" s="181">
        <f t="shared" si="13"/>
        <v>0</v>
      </c>
    </row>
    <row r="164" spans="1:13" x14ac:dyDescent="0.25">
      <c r="A164" s="197"/>
      <c r="G164" s="164"/>
      <c r="H164" s="179">
        <v>159</v>
      </c>
      <c r="I164" s="180" t="str">
        <f t="shared" si="11"/>
        <v/>
      </c>
      <c r="J164" s="180" t="e">
        <f t="shared" si="14"/>
        <v>#NUM!</v>
      </c>
      <c r="K164" s="179" t="e">
        <f t="shared" si="12"/>
        <v>#NUM!</v>
      </c>
      <c r="L164" s="179"/>
      <c r="M164" s="181">
        <f t="shared" si="13"/>
        <v>0</v>
      </c>
    </row>
    <row r="165" spans="1:13" x14ac:dyDescent="0.25">
      <c r="A165" s="197"/>
      <c r="G165" s="164"/>
      <c r="H165" s="179">
        <v>160</v>
      </c>
      <c r="I165" s="180" t="str">
        <f t="shared" si="11"/>
        <v/>
      </c>
      <c r="J165" s="180" t="e">
        <f t="shared" si="14"/>
        <v>#NUM!</v>
      </c>
      <c r="K165" s="179" t="e">
        <f t="shared" si="12"/>
        <v>#NUM!</v>
      </c>
      <c r="L165" s="179"/>
      <c r="M165" s="181">
        <f t="shared" si="13"/>
        <v>0</v>
      </c>
    </row>
    <row r="166" spans="1:13" x14ac:dyDescent="0.25">
      <c r="A166" s="197"/>
      <c r="G166" s="164"/>
      <c r="H166" s="179">
        <v>161</v>
      </c>
      <c r="I166" s="180" t="str">
        <f t="shared" si="11"/>
        <v/>
      </c>
      <c r="J166" s="180" t="e">
        <f t="shared" si="14"/>
        <v>#NUM!</v>
      </c>
      <c r="K166" s="179" t="e">
        <f t="shared" si="12"/>
        <v>#NUM!</v>
      </c>
      <c r="L166" s="179"/>
      <c r="M166" s="181">
        <f t="shared" si="13"/>
        <v>0</v>
      </c>
    </row>
    <row r="167" spans="1:13" x14ac:dyDescent="0.25">
      <c r="A167" s="197"/>
      <c r="G167" s="164"/>
      <c r="H167" s="179">
        <v>162</v>
      </c>
      <c r="I167" s="180" t="str">
        <f t="shared" si="11"/>
        <v/>
      </c>
      <c r="J167" s="180" t="e">
        <f t="shared" si="14"/>
        <v>#NUM!</v>
      </c>
      <c r="K167" s="179" t="e">
        <f t="shared" si="12"/>
        <v>#NUM!</v>
      </c>
      <c r="L167" s="179"/>
      <c r="M167" s="181">
        <f t="shared" si="13"/>
        <v>0</v>
      </c>
    </row>
    <row r="168" spans="1:13" x14ac:dyDescent="0.25">
      <c r="A168" s="197"/>
      <c r="G168" s="164"/>
      <c r="H168" s="179">
        <v>163</v>
      </c>
      <c r="I168" s="180" t="str">
        <f t="shared" si="11"/>
        <v/>
      </c>
      <c r="J168" s="180" t="e">
        <f t="shared" si="14"/>
        <v>#NUM!</v>
      </c>
      <c r="K168" s="179" t="e">
        <f t="shared" si="12"/>
        <v>#NUM!</v>
      </c>
      <c r="L168" s="179"/>
      <c r="M168" s="181">
        <f t="shared" si="13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1"/>
        <v/>
      </c>
      <c r="J169" s="180" t="e">
        <f t="shared" si="14"/>
        <v>#NUM!</v>
      </c>
      <c r="K169" s="179" t="e">
        <f t="shared" si="12"/>
        <v>#NUM!</v>
      </c>
      <c r="L169" s="179"/>
      <c r="M169" s="181">
        <f t="shared" si="13"/>
        <v>0</v>
      </c>
    </row>
    <row r="170" spans="1:13" x14ac:dyDescent="0.25">
      <c r="A170" s="197"/>
      <c r="G170" s="164"/>
      <c r="H170" s="179">
        <v>165</v>
      </c>
      <c r="I170" s="180" t="str">
        <f t="shared" si="11"/>
        <v/>
      </c>
      <c r="J170" s="180" t="e">
        <f t="shared" si="14"/>
        <v>#NUM!</v>
      </c>
      <c r="K170" s="179" t="e">
        <f t="shared" si="12"/>
        <v>#NUM!</v>
      </c>
      <c r="L170" s="179"/>
      <c r="M170" s="181">
        <f t="shared" si="13"/>
        <v>0</v>
      </c>
    </row>
    <row r="171" spans="1:13" x14ac:dyDescent="0.25">
      <c r="A171" s="197"/>
      <c r="G171" s="164"/>
      <c r="H171" s="179">
        <v>166</v>
      </c>
      <c r="I171" s="180" t="str">
        <f t="shared" si="11"/>
        <v/>
      </c>
      <c r="J171" s="180" t="e">
        <f t="shared" si="14"/>
        <v>#NUM!</v>
      </c>
      <c r="K171" s="179" t="e">
        <f t="shared" si="12"/>
        <v>#NUM!</v>
      </c>
      <c r="L171" s="179"/>
      <c r="M171" s="181">
        <f t="shared" si="13"/>
        <v>0</v>
      </c>
    </row>
    <row r="172" spans="1:13" x14ac:dyDescent="0.25">
      <c r="A172" s="197"/>
      <c r="G172" s="164"/>
      <c r="H172" s="179">
        <v>167</v>
      </c>
      <c r="I172" s="180" t="str">
        <f t="shared" si="11"/>
        <v/>
      </c>
      <c r="J172" s="180" t="e">
        <f t="shared" si="14"/>
        <v>#NUM!</v>
      </c>
      <c r="K172" s="179" t="e">
        <f t="shared" si="12"/>
        <v>#NUM!</v>
      </c>
      <c r="L172" s="179"/>
      <c r="M172" s="181">
        <f t="shared" si="13"/>
        <v>0</v>
      </c>
    </row>
    <row r="173" spans="1:13" x14ac:dyDescent="0.25">
      <c r="A173" s="197"/>
      <c r="G173" s="164"/>
      <c r="H173" s="179">
        <v>168</v>
      </c>
      <c r="I173" s="180" t="str">
        <f t="shared" si="11"/>
        <v/>
      </c>
      <c r="J173" s="180" t="e">
        <f t="shared" si="14"/>
        <v>#NUM!</v>
      </c>
      <c r="K173" s="179" t="e">
        <f t="shared" si="12"/>
        <v>#NUM!</v>
      </c>
      <c r="L173" s="179"/>
      <c r="M173" s="181">
        <f t="shared" si="13"/>
        <v>0</v>
      </c>
    </row>
    <row r="174" spans="1:13" x14ac:dyDescent="0.25">
      <c r="A174" s="197"/>
      <c r="G174" s="164"/>
      <c r="H174" s="179">
        <v>169</v>
      </c>
      <c r="I174" s="180" t="str">
        <f t="shared" si="11"/>
        <v/>
      </c>
      <c r="J174" s="180" t="e">
        <f t="shared" si="14"/>
        <v>#NUM!</v>
      </c>
      <c r="K174" s="179" t="e">
        <f t="shared" si="12"/>
        <v>#NUM!</v>
      </c>
      <c r="L174" s="179"/>
      <c r="M174" s="181">
        <f t="shared" si="13"/>
        <v>0</v>
      </c>
    </row>
    <row r="175" spans="1:13" x14ac:dyDescent="0.25">
      <c r="A175" s="197"/>
      <c r="G175" s="164"/>
      <c r="H175" s="179">
        <v>170</v>
      </c>
      <c r="I175" s="180" t="str">
        <f t="shared" si="11"/>
        <v/>
      </c>
      <c r="J175" s="180" t="e">
        <f t="shared" si="14"/>
        <v>#NUM!</v>
      </c>
      <c r="K175" s="179" t="e">
        <f t="shared" si="12"/>
        <v>#NUM!</v>
      </c>
      <c r="L175" s="179"/>
      <c r="M175" s="181">
        <f t="shared" si="13"/>
        <v>0</v>
      </c>
    </row>
    <row r="176" spans="1:13" x14ac:dyDescent="0.25">
      <c r="A176" s="197"/>
      <c r="G176" s="164"/>
      <c r="H176" s="179">
        <v>171</v>
      </c>
      <c r="I176" s="180" t="str">
        <f t="shared" si="11"/>
        <v/>
      </c>
      <c r="J176" s="180" t="e">
        <f t="shared" si="14"/>
        <v>#NUM!</v>
      </c>
      <c r="K176" s="179" t="e">
        <f t="shared" si="12"/>
        <v>#NUM!</v>
      </c>
      <c r="L176" s="179"/>
      <c r="M176" s="181">
        <f t="shared" si="13"/>
        <v>0</v>
      </c>
    </row>
    <row r="177" spans="1:13" x14ac:dyDescent="0.25">
      <c r="A177" s="197"/>
      <c r="G177" s="164"/>
      <c r="H177" s="179">
        <v>172</v>
      </c>
      <c r="I177" s="180" t="str">
        <f t="shared" si="11"/>
        <v/>
      </c>
      <c r="J177" s="180" t="e">
        <f t="shared" si="14"/>
        <v>#NUM!</v>
      </c>
      <c r="K177" s="179" t="e">
        <f t="shared" si="12"/>
        <v>#NUM!</v>
      </c>
      <c r="L177" s="179"/>
      <c r="M177" s="181">
        <f t="shared" si="13"/>
        <v>0</v>
      </c>
    </row>
    <row r="178" spans="1:13" x14ac:dyDescent="0.25">
      <c r="A178" s="197"/>
      <c r="G178" s="164"/>
      <c r="H178" s="179">
        <v>173</v>
      </c>
      <c r="I178" s="180" t="str">
        <f t="shared" si="11"/>
        <v/>
      </c>
      <c r="J178" s="180" t="e">
        <f t="shared" si="14"/>
        <v>#NUM!</v>
      </c>
      <c r="K178" s="179" t="e">
        <f t="shared" si="12"/>
        <v>#NUM!</v>
      </c>
      <c r="L178" s="179"/>
      <c r="M178" s="181">
        <f t="shared" si="13"/>
        <v>0</v>
      </c>
    </row>
    <row r="179" spans="1:13" x14ac:dyDescent="0.25">
      <c r="A179" s="197"/>
      <c r="G179" s="164"/>
      <c r="H179" s="179">
        <v>174</v>
      </c>
      <c r="I179" s="180" t="str">
        <f t="shared" si="11"/>
        <v/>
      </c>
      <c r="J179" s="180" t="e">
        <f t="shared" si="14"/>
        <v>#NUM!</v>
      </c>
      <c r="K179" s="179" t="e">
        <f t="shared" si="12"/>
        <v>#NUM!</v>
      </c>
      <c r="L179" s="179"/>
      <c r="M179" s="181">
        <f t="shared" si="13"/>
        <v>0</v>
      </c>
    </row>
    <row r="180" spans="1:13" x14ac:dyDescent="0.25">
      <c r="A180" s="197"/>
      <c r="G180" s="164"/>
      <c r="H180" s="179">
        <v>175</v>
      </c>
      <c r="I180" s="180" t="str">
        <f t="shared" si="11"/>
        <v/>
      </c>
      <c r="J180" s="180" t="e">
        <f t="shared" si="14"/>
        <v>#NUM!</v>
      </c>
      <c r="K180" s="179" t="e">
        <f t="shared" si="12"/>
        <v>#NUM!</v>
      </c>
      <c r="L180" s="179"/>
      <c r="M180" s="181">
        <f t="shared" si="13"/>
        <v>0</v>
      </c>
    </row>
    <row r="181" spans="1:13" x14ac:dyDescent="0.25">
      <c r="A181" s="197"/>
      <c r="G181" s="164"/>
      <c r="H181" s="179">
        <v>176</v>
      </c>
      <c r="I181" s="180" t="str">
        <f t="shared" si="11"/>
        <v/>
      </c>
      <c r="J181" s="180" t="e">
        <f t="shared" si="14"/>
        <v>#NUM!</v>
      </c>
      <c r="K181" s="179" t="e">
        <f t="shared" si="12"/>
        <v>#NUM!</v>
      </c>
      <c r="L181" s="179"/>
      <c r="M181" s="181">
        <f t="shared" si="13"/>
        <v>0</v>
      </c>
    </row>
    <row r="182" spans="1:13" x14ac:dyDescent="0.25">
      <c r="A182" s="197"/>
      <c r="G182" s="164"/>
      <c r="H182" s="179">
        <v>177</v>
      </c>
      <c r="I182" s="180" t="str">
        <f t="shared" si="11"/>
        <v/>
      </c>
      <c r="J182" s="180" t="e">
        <f t="shared" si="14"/>
        <v>#NUM!</v>
      </c>
      <c r="K182" s="179" t="e">
        <f t="shared" si="12"/>
        <v>#NUM!</v>
      </c>
      <c r="L182" s="179"/>
      <c r="M182" s="181">
        <f t="shared" si="13"/>
        <v>0</v>
      </c>
    </row>
    <row r="183" spans="1:13" x14ac:dyDescent="0.25">
      <c r="A183" s="197"/>
      <c r="G183" s="164"/>
      <c r="H183" s="179">
        <v>178</v>
      </c>
      <c r="I183" s="180" t="str">
        <f t="shared" si="11"/>
        <v/>
      </c>
      <c r="J183" s="180" t="e">
        <f t="shared" si="14"/>
        <v>#NUM!</v>
      </c>
      <c r="K183" s="179" t="e">
        <f t="shared" si="12"/>
        <v>#NUM!</v>
      </c>
      <c r="L183" s="179"/>
      <c r="M183" s="181">
        <f t="shared" si="13"/>
        <v>0</v>
      </c>
    </row>
    <row r="184" spans="1:13" x14ac:dyDescent="0.25">
      <c r="A184" s="197"/>
      <c r="G184" s="164"/>
      <c r="H184" s="179">
        <v>179</v>
      </c>
      <c r="I184" s="180" t="str">
        <f t="shared" si="11"/>
        <v/>
      </c>
      <c r="J184" s="180" t="e">
        <f t="shared" si="14"/>
        <v>#NUM!</v>
      </c>
      <c r="K184" s="179" t="e">
        <f t="shared" si="12"/>
        <v>#NUM!</v>
      </c>
      <c r="L184" s="179"/>
      <c r="M184" s="181">
        <f t="shared" si="13"/>
        <v>0</v>
      </c>
    </row>
    <row r="185" spans="1:13" x14ac:dyDescent="0.25">
      <c r="A185" s="197"/>
      <c r="G185" s="164"/>
      <c r="H185" s="179">
        <v>180</v>
      </c>
      <c r="I185" s="180" t="str">
        <f t="shared" si="11"/>
        <v/>
      </c>
      <c r="J185" s="180" t="e">
        <f t="shared" si="14"/>
        <v>#NUM!</v>
      </c>
      <c r="K185" s="179" t="e">
        <f t="shared" si="12"/>
        <v>#NUM!</v>
      </c>
      <c r="L185" s="179"/>
      <c r="M185" s="181">
        <f t="shared" si="13"/>
        <v>0</v>
      </c>
    </row>
    <row r="186" spans="1:13" x14ac:dyDescent="0.25">
      <c r="A186" s="197"/>
      <c r="G186" s="164"/>
      <c r="H186" s="179">
        <v>181</v>
      </c>
      <c r="I186" s="180" t="str">
        <f t="shared" si="11"/>
        <v/>
      </c>
      <c r="J186" s="180" t="e">
        <f t="shared" si="14"/>
        <v>#NUM!</v>
      </c>
      <c r="K186" s="179" t="e">
        <f t="shared" si="12"/>
        <v>#NUM!</v>
      </c>
      <c r="L186" s="179"/>
      <c r="M186" s="181">
        <f t="shared" si="13"/>
        <v>0</v>
      </c>
    </row>
    <row r="187" spans="1:13" x14ac:dyDescent="0.25">
      <c r="A187" s="197"/>
      <c r="G187" s="164"/>
      <c r="H187" s="179">
        <v>182</v>
      </c>
      <c r="I187" s="180" t="str">
        <f t="shared" si="11"/>
        <v/>
      </c>
      <c r="J187" s="180" t="e">
        <f t="shared" si="14"/>
        <v>#NUM!</v>
      </c>
      <c r="K187" s="179" t="e">
        <f t="shared" si="12"/>
        <v>#NUM!</v>
      </c>
      <c r="L187" s="179"/>
      <c r="M187" s="181">
        <f t="shared" si="13"/>
        <v>0</v>
      </c>
    </row>
    <row r="188" spans="1:13" x14ac:dyDescent="0.25">
      <c r="A188" s="197"/>
      <c r="G188" s="164"/>
      <c r="H188" s="179">
        <v>183</v>
      </c>
      <c r="I188" s="180" t="str">
        <f t="shared" si="11"/>
        <v/>
      </c>
      <c r="J188" s="180" t="e">
        <f t="shared" si="14"/>
        <v>#NUM!</v>
      </c>
      <c r="K188" s="179" t="e">
        <f t="shared" si="12"/>
        <v>#NUM!</v>
      </c>
      <c r="L188" s="179"/>
      <c r="M188" s="181">
        <f t="shared" si="13"/>
        <v>0</v>
      </c>
    </row>
    <row r="189" spans="1:13" x14ac:dyDescent="0.25">
      <c r="A189" s="197"/>
      <c r="G189" s="164"/>
      <c r="H189" s="179">
        <v>184</v>
      </c>
      <c r="I189" s="180" t="str">
        <f t="shared" si="11"/>
        <v/>
      </c>
      <c r="J189" s="180" t="e">
        <f t="shared" si="14"/>
        <v>#NUM!</v>
      </c>
      <c r="K189" s="179" t="e">
        <f t="shared" si="12"/>
        <v>#NUM!</v>
      </c>
      <c r="L189" s="179"/>
      <c r="M189" s="181">
        <f t="shared" si="13"/>
        <v>0</v>
      </c>
    </row>
    <row r="190" spans="1:13" x14ac:dyDescent="0.25">
      <c r="A190" s="197"/>
      <c r="G190" s="164"/>
      <c r="H190" s="179">
        <v>185</v>
      </c>
      <c r="I190" s="180" t="str">
        <f t="shared" si="11"/>
        <v/>
      </c>
      <c r="J190" s="180" t="e">
        <f t="shared" si="14"/>
        <v>#NUM!</v>
      </c>
      <c r="K190" s="179" t="e">
        <f t="shared" si="12"/>
        <v>#NUM!</v>
      </c>
      <c r="L190" s="179"/>
      <c r="M190" s="181">
        <f t="shared" si="13"/>
        <v>0</v>
      </c>
    </row>
    <row r="191" spans="1:13" x14ac:dyDescent="0.25">
      <c r="A191" s="197"/>
      <c r="G191" s="164"/>
      <c r="H191" s="179">
        <v>186</v>
      </c>
      <c r="I191" s="180" t="str">
        <f t="shared" si="11"/>
        <v/>
      </c>
      <c r="J191" s="180" t="e">
        <f t="shared" si="14"/>
        <v>#NUM!</v>
      </c>
      <c r="K191" s="179" t="e">
        <f t="shared" si="12"/>
        <v>#NUM!</v>
      </c>
      <c r="L191" s="179"/>
      <c r="M191" s="181">
        <f t="shared" si="13"/>
        <v>0</v>
      </c>
    </row>
    <row r="192" spans="1:13" x14ac:dyDescent="0.25">
      <c r="A192" s="197"/>
      <c r="G192" s="164"/>
      <c r="H192" s="179">
        <v>187</v>
      </c>
      <c r="I192" s="180" t="str">
        <f t="shared" si="11"/>
        <v/>
      </c>
      <c r="J192" s="180" t="e">
        <f t="shared" si="14"/>
        <v>#NUM!</v>
      </c>
      <c r="K192" s="179" t="e">
        <f t="shared" si="12"/>
        <v>#NUM!</v>
      </c>
      <c r="L192" s="179"/>
      <c r="M192" s="181">
        <f t="shared" si="13"/>
        <v>0</v>
      </c>
    </row>
    <row r="193" spans="1:13" x14ac:dyDescent="0.25">
      <c r="A193" s="197"/>
      <c r="G193" s="164"/>
      <c r="H193" s="179">
        <v>188</v>
      </c>
      <c r="I193" s="180" t="str">
        <f t="shared" si="11"/>
        <v/>
      </c>
      <c r="J193" s="180" t="e">
        <f t="shared" si="14"/>
        <v>#NUM!</v>
      </c>
      <c r="K193" s="179" t="e">
        <f t="shared" si="12"/>
        <v>#NUM!</v>
      </c>
      <c r="L193" s="179"/>
      <c r="M193" s="181">
        <f t="shared" si="13"/>
        <v>0</v>
      </c>
    </row>
    <row r="194" spans="1:13" x14ac:dyDescent="0.25">
      <c r="A194" s="197"/>
      <c r="G194" s="164"/>
      <c r="H194" s="179">
        <v>189</v>
      </c>
      <c r="I194" s="180" t="str">
        <f t="shared" si="11"/>
        <v/>
      </c>
      <c r="J194" s="180" t="e">
        <f t="shared" si="14"/>
        <v>#NUM!</v>
      </c>
      <c r="K194" s="179" t="e">
        <f t="shared" si="12"/>
        <v>#NUM!</v>
      </c>
      <c r="L194" s="179"/>
      <c r="M194" s="181">
        <f t="shared" si="13"/>
        <v>0</v>
      </c>
    </row>
    <row r="195" spans="1:13" x14ac:dyDescent="0.25">
      <c r="A195" s="197"/>
      <c r="G195" s="164"/>
      <c r="H195" s="179">
        <v>190</v>
      </c>
      <c r="I195" s="180" t="str">
        <f t="shared" si="11"/>
        <v/>
      </c>
      <c r="J195" s="180" t="e">
        <f t="shared" si="14"/>
        <v>#NUM!</v>
      </c>
      <c r="K195" s="179" t="e">
        <f t="shared" si="12"/>
        <v>#NUM!</v>
      </c>
      <c r="L195" s="179"/>
      <c r="M195" s="181">
        <f t="shared" si="13"/>
        <v>0</v>
      </c>
    </row>
    <row r="196" spans="1:13" x14ac:dyDescent="0.25">
      <c r="A196" s="197"/>
      <c r="G196" s="164"/>
      <c r="H196" s="179">
        <v>191</v>
      </c>
      <c r="I196" s="180" t="str">
        <f t="shared" si="11"/>
        <v/>
      </c>
      <c r="J196" s="180" t="e">
        <f t="shared" si="14"/>
        <v>#NUM!</v>
      </c>
      <c r="K196" s="179" t="e">
        <f t="shared" si="12"/>
        <v>#NUM!</v>
      </c>
      <c r="L196" s="179"/>
      <c r="M196" s="181">
        <f t="shared" si="13"/>
        <v>0</v>
      </c>
    </row>
    <row r="197" spans="1:13" x14ac:dyDescent="0.25">
      <c r="A197" s="197"/>
      <c r="G197" s="164"/>
      <c r="H197" s="179">
        <v>192</v>
      </c>
      <c r="I197" s="180" t="str">
        <f t="shared" si="11"/>
        <v/>
      </c>
      <c r="J197" s="180" t="e">
        <f t="shared" si="14"/>
        <v>#NUM!</v>
      </c>
      <c r="K197" s="179" t="e">
        <f t="shared" si="12"/>
        <v>#NUM!</v>
      </c>
      <c r="L197" s="179"/>
      <c r="M197" s="181">
        <f t="shared" si="13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5">IF(H198&lt;$H$2+1,($I$2-($I$2-1)*(LOG(H198)/LOG($H$2))),"")</f>
        <v/>
      </c>
      <c r="J198" s="180" t="e">
        <f t="shared" si="14"/>
        <v>#NUM!</v>
      </c>
      <c r="K198" s="179" t="e">
        <f t="shared" ref="K198:K261" si="16">J198*$J$2</f>
        <v>#NUM!</v>
      </c>
      <c r="L198" s="179"/>
      <c r="M198" s="181">
        <f t="shared" ref="M198:M261" si="17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5"/>
        <v/>
      </c>
      <c r="J199" s="180" t="e">
        <f t="shared" ref="J199:J262" si="18">INT(LOG($H$2,2))-ROUNDUP(LOG(H199,2),0)+IF(OR($H$2=1,$H$2=2,$H$2=4,$H$2=8,$H$2=16,$H$2=32,$H$2=64,$H$2=128,$H$2=256),0,1)</f>
        <v>#NUM!</v>
      </c>
      <c r="K199" s="179" t="e">
        <f t="shared" si="16"/>
        <v>#NUM!</v>
      </c>
      <c r="L199" s="179"/>
      <c r="M199" s="181">
        <f t="shared" si="17"/>
        <v>0</v>
      </c>
    </row>
    <row r="200" spans="1:13" x14ac:dyDescent="0.25">
      <c r="A200" s="197"/>
      <c r="G200" s="164"/>
      <c r="H200" s="179">
        <v>195</v>
      </c>
      <c r="I200" s="180" t="str">
        <f t="shared" si="15"/>
        <v/>
      </c>
      <c r="J200" s="180" t="e">
        <f t="shared" si="18"/>
        <v>#NUM!</v>
      </c>
      <c r="K200" s="179" t="e">
        <f t="shared" si="16"/>
        <v>#NUM!</v>
      </c>
      <c r="L200" s="179"/>
      <c r="M200" s="181">
        <f t="shared" si="17"/>
        <v>0</v>
      </c>
    </row>
    <row r="201" spans="1:13" x14ac:dyDescent="0.25">
      <c r="A201" s="197"/>
      <c r="G201" s="164"/>
      <c r="H201" s="179">
        <v>196</v>
      </c>
      <c r="I201" s="180" t="str">
        <f t="shared" si="15"/>
        <v/>
      </c>
      <c r="J201" s="180" t="e">
        <f t="shared" si="18"/>
        <v>#NUM!</v>
      </c>
      <c r="K201" s="179" t="e">
        <f t="shared" si="16"/>
        <v>#NUM!</v>
      </c>
      <c r="L201" s="179"/>
      <c r="M201" s="181">
        <f t="shared" si="17"/>
        <v>0</v>
      </c>
    </row>
    <row r="202" spans="1:13" x14ac:dyDescent="0.25">
      <c r="A202" s="197"/>
      <c r="G202" s="164"/>
      <c r="H202" s="179">
        <v>197</v>
      </c>
      <c r="I202" s="180" t="str">
        <f t="shared" si="15"/>
        <v/>
      </c>
      <c r="J202" s="180" t="e">
        <f t="shared" si="18"/>
        <v>#NUM!</v>
      </c>
      <c r="K202" s="179" t="e">
        <f t="shared" si="16"/>
        <v>#NUM!</v>
      </c>
      <c r="L202" s="179"/>
      <c r="M202" s="181">
        <f t="shared" si="17"/>
        <v>0</v>
      </c>
    </row>
    <row r="203" spans="1:13" x14ac:dyDescent="0.25">
      <c r="A203" s="197"/>
      <c r="G203" s="164"/>
      <c r="H203" s="179">
        <v>198</v>
      </c>
      <c r="I203" s="180" t="str">
        <f t="shared" si="15"/>
        <v/>
      </c>
      <c r="J203" s="180" t="e">
        <f t="shared" si="18"/>
        <v>#NUM!</v>
      </c>
      <c r="K203" s="179" t="e">
        <f t="shared" si="16"/>
        <v>#NUM!</v>
      </c>
      <c r="L203" s="179"/>
      <c r="M203" s="181">
        <f t="shared" si="17"/>
        <v>0</v>
      </c>
    </row>
    <row r="204" spans="1:13" x14ac:dyDescent="0.25">
      <c r="A204" s="197"/>
      <c r="G204" s="164"/>
      <c r="H204" s="179">
        <v>199</v>
      </c>
      <c r="I204" s="180" t="str">
        <f t="shared" si="15"/>
        <v/>
      </c>
      <c r="J204" s="180" t="e">
        <f t="shared" si="18"/>
        <v>#NUM!</v>
      </c>
      <c r="K204" s="179" t="e">
        <f t="shared" si="16"/>
        <v>#NUM!</v>
      </c>
      <c r="L204" s="179"/>
      <c r="M204" s="181">
        <f t="shared" si="17"/>
        <v>0</v>
      </c>
    </row>
    <row r="205" spans="1:13" x14ac:dyDescent="0.25">
      <c r="A205" s="197"/>
      <c r="G205" s="164"/>
      <c r="H205" s="179">
        <v>200</v>
      </c>
      <c r="I205" s="180" t="str">
        <f t="shared" si="15"/>
        <v/>
      </c>
      <c r="J205" s="180" t="e">
        <f t="shared" si="18"/>
        <v>#NUM!</v>
      </c>
      <c r="K205" s="179" t="e">
        <f t="shared" si="16"/>
        <v>#NUM!</v>
      </c>
      <c r="L205" s="179"/>
      <c r="M205" s="181">
        <f t="shared" si="17"/>
        <v>0</v>
      </c>
    </row>
    <row r="206" spans="1:13" x14ac:dyDescent="0.25">
      <c r="A206" s="197"/>
      <c r="G206" s="164"/>
      <c r="H206" s="179">
        <v>201</v>
      </c>
      <c r="I206" s="180" t="str">
        <f t="shared" si="15"/>
        <v/>
      </c>
      <c r="J206" s="180" t="e">
        <f t="shared" si="18"/>
        <v>#NUM!</v>
      </c>
      <c r="K206" s="179" t="e">
        <f t="shared" si="16"/>
        <v>#NUM!</v>
      </c>
      <c r="L206" s="179"/>
      <c r="M206" s="181">
        <f t="shared" si="17"/>
        <v>0</v>
      </c>
    </row>
    <row r="207" spans="1:13" x14ac:dyDescent="0.25">
      <c r="A207" s="197"/>
      <c r="G207" s="164"/>
      <c r="H207" s="179">
        <v>202</v>
      </c>
      <c r="I207" s="180" t="str">
        <f t="shared" si="15"/>
        <v/>
      </c>
      <c r="J207" s="180" t="e">
        <f t="shared" si="18"/>
        <v>#NUM!</v>
      </c>
      <c r="K207" s="179" t="e">
        <f t="shared" si="16"/>
        <v>#NUM!</v>
      </c>
      <c r="L207" s="179"/>
      <c r="M207" s="181">
        <f t="shared" si="17"/>
        <v>0</v>
      </c>
    </row>
    <row r="208" spans="1:13" x14ac:dyDescent="0.25">
      <c r="A208" s="197"/>
      <c r="G208" s="164"/>
      <c r="H208" s="179">
        <v>203</v>
      </c>
      <c r="I208" s="180" t="str">
        <f t="shared" si="15"/>
        <v/>
      </c>
      <c r="J208" s="180" t="e">
        <f t="shared" si="18"/>
        <v>#NUM!</v>
      </c>
      <c r="K208" s="179" t="e">
        <f t="shared" si="16"/>
        <v>#NUM!</v>
      </c>
      <c r="L208" s="179"/>
      <c r="M208" s="181">
        <f t="shared" si="17"/>
        <v>0</v>
      </c>
    </row>
    <row r="209" spans="1:13" x14ac:dyDescent="0.25">
      <c r="A209" s="197"/>
      <c r="G209" s="164"/>
      <c r="H209" s="179">
        <v>204</v>
      </c>
      <c r="I209" s="180" t="str">
        <f t="shared" si="15"/>
        <v/>
      </c>
      <c r="J209" s="180" t="e">
        <f t="shared" si="18"/>
        <v>#NUM!</v>
      </c>
      <c r="K209" s="179" t="e">
        <f t="shared" si="16"/>
        <v>#NUM!</v>
      </c>
      <c r="L209" s="179"/>
      <c r="M209" s="181">
        <f t="shared" si="17"/>
        <v>0</v>
      </c>
    </row>
    <row r="210" spans="1:13" x14ac:dyDescent="0.25">
      <c r="A210" s="197"/>
      <c r="G210" s="164"/>
      <c r="H210" s="179">
        <v>205</v>
      </c>
      <c r="I210" s="180" t="str">
        <f t="shared" si="15"/>
        <v/>
      </c>
      <c r="J210" s="180" t="e">
        <f t="shared" si="18"/>
        <v>#NUM!</v>
      </c>
      <c r="K210" s="179" t="e">
        <f t="shared" si="16"/>
        <v>#NUM!</v>
      </c>
      <c r="L210" s="179"/>
      <c r="M210" s="181">
        <f t="shared" si="17"/>
        <v>0</v>
      </c>
    </row>
    <row r="211" spans="1:13" x14ac:dyDescent="0.25">
      <c r="A211" s="197"/>
      <c r="G211" s="164"/>
      <c r="H211" s="179">
        <v>206</v>
      </c>
      <c r="I211" s="180" t="str">
        <f t="shared" si="15"/>
        <v/>
      </c>
      <c r="J211" s="180" t="e">
        <f t="shared" si="18"/>
        <v>#NUM!</v>
      </c>
      <c r="K211" s="179" t="e">
        <f t="shared" si="16"/>
        <v>#NUM!</v>
      </c>
      <c r="L211" s="179"/>
      <c r="M211" s="181">
        <f t="shared" si="17"/>
        <v>0</v>
      </c>
    </row>
    <row r="212" spans="1:13" x14ac:dyDescent="0.25">
      <c r="A212" s="197"/>
      <c r="G212" s="164"/>
      <c r="H212" s="179">
        <v>207</v>
      </c>
      <c r="I212" s="180" t="str">
        <f t="shared" si="15"/>
        <v/>
      </c>
      <c r="J212" s="180" t="e">
        <f t="shared" si="18"/>
        <v>#NUM!</v>
      </c>
      <c r="K212" s="179" t="e">
        <f t="shared" si="16"/>
        <v>#NUM!</v>
      </c>
      <c r="L212" s="179"/>
      <c r="M212" s="181">
        <f t="shared" si="17"/>
        <v>0</v>
      </c>
    </row>
    <row r="213" spans="1:13" x14ac:dyDescent="0.25">
      <c r="A213" s="197"/>
      <c r="G213" s="164"/>
      <c r="H213" s="179">
        <v>208</v>
      </c>
      <c r="I213" s="180" t="str">
        <f t="shared" si="15"/>
        <v/>
      </c>
      <c r="J213" s="180" t="e">
        <f t="shared" si="18"/>
        <v>#NUM!</v>
      </c>
      <c r="K213" s="179" t="e">
        <f t="shared" si="16"/>
        <v>#NUM!</v>
      </c>
      <c r="L213" s="179"/>
      <c r="M213" s="181">
        <f t="shared" si="17"/>
        <v>0</v>
      </c>
    </row>
    <row r="214" spans="1:13" x14ac:dyDescent="0.25">
      <c r="A214" s="197"/>
      <c r="G214" s="164"/>
      <c r="H214" s="179">
        <v>209</v>
      </c>
      <c r="I214" s="180" t="str">
        <f t="shared" si="15"/>
        <v/>
      </c>
      <c r="J214" s="180" t="e">
        <f t="shared" si="18"/>
        <v>#NUM!</v>
      </c>
      <c r="K214" s="179" t="e">
        <f t="shared" si="16"/>
        <v>#NUM!</v>
      </c>
      <c r="L214" s="179"/>
      <c r="M214" s="181">
        <f t="shared" si="17"/>
        <v>0</v>
      </c>
    </row>
    <row r="215" spans="1:13" x14ac:dyDescent="0.25">
      <c r="A215" s="197"/>
      <c r="G215" s="164"/>
      <c r="H215" s="179">
        <v>210</v>
      </c>
      <c r="I215" s="180" t="str">
        <f t="shared" si="15"/>
        <v/>
      </c>
      <c r="J215" s="180" t="e">
        <f t="shared" si="18"/>
        <v>#NUM!</v>
      </c>
      <c r="K215" s="179" t="e">
        <f t="shared" si="16"/>
        <v>#NUM!</v>
      </c>
      <c r="L215" s="179"/>
      <c r="M215" s="181">
        <f t="shared" si="17"/>
        <v>0</v>
      </c>
    </row>
    <row r="216" spans="1:13" x14ac:dyDescent="0.25">
      <c r="A216" s="197"/>
      <c r="G216" s="164"/>
      <c r="H216" s="179">
        <v>211</v>
      </c>
      <c r="I216" s="180" t="str">
        <f t="shared" si="15"/>
        <v/>
      </c>
      <c r="J216" s="180" t="e">
        <f t="shared" si="18"/>
        <v>#NUM!</v>
      </c>
      <c r="K216" s="179" t="e">
        <f t="shared" si="16"/>
        <v>#NUM!</v>
      </c>
      <c r="L216" s="179"/>
      <c r="M216" s="181">
        <f t="shared" si="17"/>
        <v>0</v>
      </c>
    </row>
    <row r="217" spans="1:13" x14ac:dyDescent="0.25">
      <c r="A217" s="197"/>
      <c r="G217" s="164"/>
      <c r="H217" s="179">
        <v>212</v>
      </c>
      <c r="I217" s="180" t="str">
        <f t="shared" si="15"/>
        <v/>
      </c>
      <c r="J217" s="180" t="e">
        <f t="shared" si="18"/>
        <v>#NUM!</v>
      </c>
      <c r="K217" s="179" t="e">
        <f t="shared" si="16"/>
        <v>#NUM!</v>
      </c>
      <c r="L217" s="179"/>
      <c r="M217" s="181">
        <f t="shared" si="17"/>
        <v>0</v>
      </c>
    </row>
    <row r="218" spans="1:13" x14ac:dyDescent="0.25">
      <c r="A218" s="197"/>
      <c r="G218" s="164"/>
      <c r="H218" s="179">
        <v>213</v>
      </c>
      <c r="I218" s="180" t="str">
        <f t="shared" si="15"/>
        <v/>
      </c>
      <c r="J218" s="180" t="e">
        <f t="shared" si="18"/>
        <v>#NUM!</v>
      </c>
      <c r="K218" s="179" t="e">
        <f t="shared" si="16"/>
        <v>#NUM!</v>
      </c>
      <c r="L218" s="179"/>
      <c r="M218" s="181">
        <f t="shared" si="17"/>
        <v>0</v>
      </c>
    </row>
    <row r="219" spans="1:13" x14ac:dyDescent="0.25">
      <c r="A219" s="197"/>
      <c r="G219" s="164"/>
      <c r="H219" s="179">
        <v>214</v>
      </c>
      <c r="I219" s="180" t="str">
        <f t="shared" si="15"/>
        <v/>
      </c>
      <c r="J219" s="180" t="e">
        <f t="shared" si="18"/>
        <v>#NUM!</v>
      </c>
      <c r="K219" s="179" t="e">
        <f t="shared" si="16"/>
        <v>#NUM!</v>
      </c>
      <c r="L219" s="179"/>
      <c r="M219" s="181">
        <f t="shared" si="17"/>
        <v>0</v>
      </c>
    </row>
    <row r="220" spans="1:13" x14ac:dyDescent="0.25">
      <c r="A220" s="197"/>
      <c r="G220" s="164"/>
      <c r="H220" s="179">
        <v>215</v>
      </c>
      <c r="I220" s="180" t="str">
        <f t="shared" si="15"/>
        <v/>
      </c>
      <c r="J220" s="180" t="e">
        <f t="shared" si="18"/>
        <v>#NUM!</v>
      </c>
      <c r="K220" s="179" t="e">
        <f t="shared" si="16"/>
        <v>#NUM!</v>
      </c>
      <c r="L220" s="179"/>
      <c r="M220" s="181">
        <f t="shared" si="17"/>
        <v>0</v>
      </c>
    </row>
    <row r="221" spans="1:13" x14ac:dyDescent="0.25">
      <c r="A221" s="197"/>
      <c r="G221" s="164"/>
      <c r="H221" s="179">
        <v>216</v>
      </c>
      <c r="I221" s="180" t="str">
        <f t="shared" si="15"/>
        <v/>
      </c>
      <c r="J221" s="180" t="e">
        <f t="shared" si="18"/>
        <v>#NUM!</v>
      </c>
      <c r="K221" s="179" t="e">
        <f t="shared" si="16"/>
        <v>#NUM!</v>
      </c>
      <c r="L221" s="179"/>
      <c r="M221" s="181">
        <f t="shared" si="17"/>
        <v>0</v>
      </c>
    </row>
    <row r="222" spans="1:13" x14ac:dyDescent="0.25">
      <c r="A222" s="197"/>
      <c r="G222" s="164"/>
      <c r="H222" s="179">
        <v>217</v>
      </c>
      <c r="I222" s="180" t="str">
        <f t="shared" si="15"/>
        <v/>
      </c>
      <c r="J222" s="180" t="e">
        <f t="shared" si="18"/>
        <v>#NUM!</v>
      </c>
      <c r="K222" s="179" t="e">
        <f t="shared" si="16"/>
        <v>#NUM!</v>
      </c>
      <c r="L222" s="179"/>
      <c r="M222" s="181">
        <f t="shared" si="17"/>
        <v>0</v>
      </c>
    </row>
    <row r="223" spans="1:13" x14ac:dyDescent="0.25">
      <c r="A223" s="197"/>
      <c r="G223" s="164"/>
      <c r="H223" s="179">
        <v>218</v>
      </c>
      <c r="I223" s="180" t="str">
        <f t="shared" si="15"/>
        <v/>
      </c>
      <c r="J223" s="180" t="e">
        <f t="shared" si="18"/>
        <v>#NUM!</v>
      </c>
      <c r="K223" s="179" t="e">
        <f t="shared" si="16"/>
        <v>#NUM!</v>
      </c>
      <c r="L223" s="179"/>
      <c r="M223" s="181">
        <f t="shared" si="17"/>
        <v>0</v>
      </c>
    </row>
    <row r="224" spans="1:13" x14ac:dyDescent="0.25">
      <c r="A224" s="197"/>
      <c r="G224" s="164"/>
      <c r="H224" s="179">
        <v>219</v>
      </c>
      <c r="I224" s="180" t="str">
        <f t="shared" si="15"/>
        <v/>
      </c>
      <c r="J224" s="180" t="e">
        <f t="shared" si="18"/>
        <v>#NUM!</v>
      </c>
      <c r="K224" s="179" t="e">
        <f t="shared" si="16"/>
        <v>#NUM!</v>
      </c>
      <c r="L224" s="179"/>
      <c r="M224" s="181">
        <f t="shared" si="17"/>
        <v>0</v>
      </c>
    </row>
    <row r="225" spans="1:13" x14ac:dyDescent="0.25">
      <c r="A225" s="197"/>
      <c r="G225" s="164"/>
      <c r="H225" s="179">
        <v>220</v>
      </c>
      <c r="I225" s="180" t="str">
        <f t="shared" si="15"/>
        <v/>
      </c>
      <c r="J225" s="180" t="e">
        <f t="shared" si="18"/>
        <v>#NUM!</v>
      </c>
      <c r="K225" s="179" t="e">
        <f t="shared" si="16"/>
        <v>#NUM!</v>
      </c>
      <c r="L225" s="179"/>
      <c r="M225" s="181">
        <f t="shared" si="17"/>
        <v>0</v>
      </c>
    </row>
    <row r="226" spans="1:13" x14ac:dyDescent="0.25">
      <c r="A226" s="197"/>
      <c r="G226" s="164"/>
      <c r="H226" s="179">
        <v>221</v>
      </c>
      <c r="I226" s="180" t="str">
        <f t="shared" si="15"/>
        <v/>
      </c>
      <c r="J226" s="180" t="e">
        <f t="shared" si="18"/>
        <v>#NUM!</v>
      </c>
      <c r="K226" s="179" t="e">
        <f t="shared" si="16"/>
        <v>#NUM!</v>
      </c>
      <c r="L226" s="179"/>
      <c r="M226" s="181">
        <f t="shared" si="17"/>
        <v>0</v>
      </c>
    </row>
    <row r="227" spans="1:13" x14ac:dyDescent="0.25">
      <c r="A227" s="197"/>
      <c r="G227" s="164"/>
      <c r="H227" s="179">
        <v>222</v>
      </c>
      <c r="I227" s="180" t="str">
        <f t="shared" si="15"/>
        <v/>
      </c>
      <c r="J227" s="180" t="e">
        <f t="shared" si="18"/>
        <v>#NUM!</v>
      </c>
      <c r="K227" s="179" t="e">
        <f t="shared" si="16"/>
        <v>#NUM!</v>
      </c>
      <c r="L227" s="179"/>
      <c r="M227" s="181">
        <f t="shared" si="17"/>
        <v>0</v>
      </c>
    </row>
    <row r="228" spans="1:13" x14ac:dyDescent="0.25">
      <c r="A228" s="197"/>
      <c r="G228" s="164"/>
      <c r="H228" s="179">
        <v>223</v>
      </c>
      <c r="I228" s="180" t="str">
        <f t="shared" si="15"/>
        <v/>
      </c>
      <c r="J228" s="180" t="e">
        <f t="shared" si="18"/>
        <v>#NUM!</v>
      </c>
      <c r="K228" s="179" t="e">
        <f t="shared" si="16"/>
        <v>#NUM!</v>
      </c>
      <c r="L228" s="179"/>
      <c r="M228" s="181">
        <f t="shared" si="17"/>
        <v>0</v>
      </c>
    </row>
    <row r="229" spans="1:13" x14ac:dyDescent="0.25">
      <c r="A229" s="197"/>
      <c r="G229" s="164"/>
      <c r="H229" s="179">
        <v>224</v>
      </c>
      <c r="I229" s="180" t="str">
        <f t="shared" si="15"/>
        <v/>
      </c>
      <c r="J229" s="180" t="e">
        <f t="shared" si="18"/>
        <v>#NUM!</v>
      </c>
      <c r="K229" s="179" t="e">
        <f t="shared" si="16"/>
        <v>#NUM!</v>
      </c>
      <c r="L229" s="179"/>
      <c r="M229" s="181">
        <f t="shared" si="17"/>
        <v>0</v>
      </c>
    </row>
    <row r="230" spans="1:13" x14ac:dyDescent="0.25">
      <c r="A230" s="197"/>
      <c r="G230" s="164"/>
      <c r="H230" s="179">
        <v>225</v>
      </c>
      <c r="I230" s="180" t="str">
        <f t="shared" si="15"/>
        <v/>
      </c>
      <c r="J230" s="180" t="e">
        <f t="shared" si="18"/>
        <v>#NUM!</v>
      </c>
      <c r="K230" s="179" t="e">
        <f t="shared" si="16"/>
        <v>#NUM!</v>
      </c>
      <c r="L230" s="179"/>
      <c r="M230" s="181">
        <f t="shared" si="17"/>
        <v>0</v>
      </c>
    </row>
    <row r="231" spans="1:13" x14ac:dyDescent="0.25">
      <c r="A231" s="197"/>
      <c r="G231" s="164"/>
      <c r="H231" s="179">
        <v>226</v>
      </c>
      <c r="I231" s="180" t="str">
        <f t="shared" si="15"/>
        <v/>
      </c>
      <c r="J231" s="180" t="e">
        <f t="shared" si="18"/>
        <v>#NUM!</v>
      </c>
      <c r="K231" s="179" t="e">
        <f t="shared" si="16"/>
        <v>#NUM!</v>
      </c>
      <c r="L231" s="179"/>
      <c r="M231" s="181">
        <f t="shared" si="17"/>
        <v>0</v>
      </c>
    </row>
    <row r="232" spans="1:13" x14ac:dyDescent="0.25">
      <c r="A232" s="197"/>
      <c r="G232" s="164"/>
      <c r="H232" s="179">
        <v>227</v>
      </c>
      <c r="I232" s="180" t="str">
        <f t="shared" si="15"/>
        <v/>
      </c>
      <c r="J232" s="180" t="e">
        <f t="shared" si="18"/>
        <v>#NUM!</v>
      </c>
      <c r="K232" s="179" t="e">
        <f t="shared" si="16"/>
        <v>#NUM!</v>
      </c>
      <c r="L232" s="179"/>
      <c r="M232" s="181">
        <f t="shared" si="17"/>
        <v>0</v>
      </c>
    </row>
    <row r="233" spans="1:13" x14ac:dyDescent="0.25">
      <c r="A233" s="197"/>
      <c r="G233" s="164"/>
      <c r="H233" s="179">
        <v>228</v>
      </c>
      <c r="I233" s="180" t="str">
        <f t="shared" si="15"/>
        <v/>
      </c>
      <c r="J233" s="180" t="e">
        <f t="shared" si="18"/>
        <v>#NUM!</v>
      </c>
      <c r="K233" s="179" t="e">
        <f t="shared" si="16"/>
        <v>#NUM!</v>
      </c>
      <c r="L233" s="179"/>
      <c r="M233" s="181">
        <f t="shared" si="17"/>
        <v>0</v>
      </c>
    </row>
    <row r="234" spans="1:13" x14ac:dyDescent="0.25">
      <c r="A234" s="197"/>
      <c r="G234" s="164"/>
      <c r="H234" s="179">
        <v>229</v>
      </c>
      <c r="I234" s="180" t="str">
        <f t="shared" si="15"/>
        <v/>
      </c>
      <c r="J234" s="180" t="e">
        <f t="shared" si="18"/>
        <v>#NUM!</v>
      </c>
      <c r="K234" s="179" t="e">
        <f t="shared" si="16"/>
        <v>#NUM!</v>
      </c>
      <c r="L234" s="179"/>
      <c r="M234" s="181">
        <f t="shared" si="17"/>
        <v>0</v>
      </c>
    </row>
    <row r="235" spans="1:13" x14ac:dyDescent="0.25">
      <c r="A235" s="197"/>
      <c r="G235" s="164"/>
      <c r="H235" s="179">
        <v>230</v>
      </c>
      <c r="I235" s="180" t="str">
        <f t="shared" si="15"/>
        <v/>
      </c>
      <c r="J235" s="180" t="e">
        <f t="shared" si="18"/>
        <v>#NUM!</v>
      </c>
      <c r="K235" s="179" t="e">
        <f t="shared" si="16"/>
        <v>#NUM!</v>
      </c>
      <c r="L235" s="179"/>
      <c r="M235" s="181">
        <f t="shared" si="17"/>
        <v>0</v>
      </c>
    </row>
    <row r="236" spans="1:13" x14ac:dyDescent="0.25">
      <c r="A236" s="197"/>
      <c r="G236" s="164"/>
      <c r="H236" s="179">
        <v>231</v>
      </c>
      <c r="I236" s="180" t="str">
        <f t="shared" si="15"/>
        <v/>
      </c>
      <c r="J236" s="180" t="e">
        <f t="shared" si="18"/>
        <v>#NUM!</v>
      </c>
      <c r="K236" s="179" t="e">
        <f t="shared" si="16"/>
        <v>#NUM!</v>
      </c>
      <c r="L236" s="179"/>
      <c r="M236" s="181">
        <f t="shared" si="17"/>
        <v>0</v>
      </c>
    </row>
    <row r="237" spans="1:13" x14ac:dyDescent="0.25">
      <c r="A237" s="197"/>
      <c r="G237" s="164"/>
      <c r="H237" s="179">
        <v>232</v>
      </c>
      <c r="I237" s="180" t="str">
        <f t="shared" si="15"/>
        <v/>
      </c>
      <c r="J237" s="180" t="e">
        <f t="shared" si="18"/>
        <v>#NUM!</v>
      </c>
      <c r="K237" s="179" t="e">
        <f t="shared" si="16"/>
        <v>#NUM!</v>
      </c>
      <c r="L237" s="179"/>
      <c r="M237" s="181">
        <f t="shared" si="17"/>
        <v>0</v>
      </c>
    </row>
    <row r="238" spans="1:13" x14ac:dyDescent="0.25">
      <c r="A238" s="197"/>
      <c r="G238" s="164"/>
      <c r="H238" s="179">
        <v>233</v>
      </c>
      <c r="I238" s="180" t="str">
        <f t="shared" si="15"/>
        <v/>
      </c>
      <c r="J238" s="180" t="e">
        <f t="shared" si="18"/>
        <v>#NUM!</v>
      </c>
      <c r="K238" s="179" t="e">
        <f t="shared" si="16"/>
        <v>#NUM!</v>
      </c>
      <c r="L238" s="179"/>
      <c r="M238" s="181">
        <f t="shared" si="17"/>
        <v>0</v>
      </c>
    </row>
    <row r="239" spans="1:13" x14ac:dyDescent="0.25">
      <c r="A239" s="197"/>
      <c r="G239" s="164"/>
      <c r="H239" s="179">
        <v>234</v>
      </c>
      <c r="I239" s="180" t="str">
        <f t="shared" si="15"/>
        <v/>
      </c>
      <c r="J239" s="180" t="e">
        <f t="shared" si="18"/>
        <v>#NUM!</v>
      </c>
      <c r="K239" s="179" t="e">
        <f t="shared" si="16"/>
        <v>#NUM!</v>
      </c>
      <c r="L239" s="179"/>
      <c r="M239" s="181">
        <f t="shared" si="17"/>
        <v>0</v>
      </c>
    </row>
    <row r="240" spans="1:13" x14ac:dyDescent="0.25">
      <c r="A240" s="197"/>
      <c r="G240" s="164"/>
      <c r="H240" s="179">
        <v>235</v>
      </c>
      <c r="I240" s="180" t="str">
        <f t="shared" si="15"/>
        <v/>
      </c>
      <c r="J240" s="180" t="e">
        <f t="shared" si="18"/>
        <v>#NUM!</v>
      </c>
      <c r="K240" s="179" t="e">
        <f t="shared" si="16"/>
        <v>#NUM!</v>
      </c>
      <c r="L240" s="179"/>
      <c r="M240" s="181">
        <f t="shared" si="17"/>
        <v>0</v>
      </c>
    </row>
    <row r="241" spans="1:13" x14ac:dyDescent="0.25">
      <c r="A241" s="197"/>
      <c r="G241" s="164"/>
      <c r="H241" s="179">
        <v>236</v>
      </c>
      <c r="I241" s="180" t="str">
        <f t="shared" si="15"/>
        <v/>
      </c>
      <c r="J241" s="180" t="e">
        <f t="shared" si="18"/>
        <v>#NUM!</v>
      </c>
      <c r="K241" s="179" t="e">
        <f t="shared" si="16"/>
        <v>#NUM!</v>
      </c>
      <c r="L241" s="179"/>
      <c r="M241" s="181">
        <f t="shared" si="17"/>
        <v>0</v>
      </c>
    </row>
    <row r="242" spans="1:13" x14ac:dyDescent="0.25">
      <c r="A242" s="197"/>
      <c r="G242" s="164"/>
      <c r="H242" s="179">
        <v>237</v>
      </c>
      <c r="I242" s="180" t="str">
        <f t="shared" si="15"/>
        <v/>
      </c>
      <c r="J242" s="180" t="e">
        <f t="shared" si="18"/>
        <v>#NUM!</v>
      </c>
      <c r="K242" s="179" t="e">
        <f t="shared" si="16"/>
        <v>#NUM!</v>
      </c>
      <c r="L242" s="179"/>
      <c r="M242" s="181">
        <f t="shared" si="17"/>
        <v>0</v>
      </c>
    </row>
    <row r="243" spans="1:13" x14ac:dyDescent="0.25">
      <c r="A243" s="197"/>
      <c r="G243" s="164"/>
      <c r="H243" s="179">
        <v>238</v>
      </c>
      <c r="I243" s="180" t="str">
        <f t="shared" si="15"/>
        <v/>
      </c>
      <c r="J243" s="180" t="e">
        <f t="shared" si="18"/>
        <v>#NUM!</v>
      </c>
      <c r="K243" s="179" t="e">
        <f t="shared" si="16"/>
        <v>#NUM!</v>
      </c>
      <c r="L243" s="179"/>
      <c r="M243" s="181">
        <f t="shared" si="17"/>
        <v>0</v>
      </c>
    </row>
    <row r="244" spans="1:13" x14ac:dyDescent="0.25">
      <c r="A244" s="197"/>
      <c r="G244" s="164"/>
      <c r="H244" s="179">
        <v>239</v>
      </c>
      <c r="I244" s="180" t="str">
        <f t="shared" si="15"/>
        <v/>
      </c>
      <c r="J244" s="180" t="e">
        <f t="shared" si="18"/>
        <v>#NUM!</v>
      </c>
      <c r="K244" s="179" t="e">
        <f t="shared" si="16"/>
        <v>#NUM!</v>
      </c>
      <c r="L244" s="179"/>
      <c r="M244" s="181">
        <f t="shared" si="17"/>
        <v>0</v>
      </c>
    </row>
    <row r="245" spans="1:13" x14ac:dyDescent="0.25">
      <c r="A245" s="197"/>
      <c r="G245" s="164"/>
      <c r="H245" s="179">
        <v>240</v>
      </c>
      <c r="I245" s="180" t="str">
        <f t="shared" si="15"/>
        <v/>
      </c>
      <c r="J245" s="180" t="e">
        <f t="shared" si="18"/>
        <v>#NUM!</v>
      </c>
      <c r="K245" s="179" t="e">
        <f t="shared" si="16"/>
        <v>#NUM!</v>
      </c>
      <c r="L245" s="179"/>
      <c r="M245" s="181">
        <f t="shared" si="17"/>
        <v>0</v>
      </c>
    </row>
    <row r="246" spans="1:13" x14ac:dyDescent="0.25">
      <c r="A246" s="197"/>
      <c r="G246" s="164"/>
      <c r="H246" s="179">
        <v>241</v>
      </c>
      <c r="I246" s="180" t="str">
        <f t="shared" si="15"/>
        <v/>
      </c>
      <c r="J246" s="180" t="e">
        <f t="shared" si="18"/>
        <v>#NUM!</v>
      </c>
      <c r="K246" s="179" t="e">
        <f t="shared" si="16"/>
        <v>#NUM!</v>
      </c>
      <c r="L246" s="179"/>
      <c r="M246" s="181">
        <f t="shared" si="17"/>
        <v>0</v>
      </c>
    </row>
    <row r="247" spans="1:13" x14ac:dyDescent="0.25">
      <c r="A247" s="197"/>
      <c r="G247" s="164"/>
      <c r="H247" s="179">
        <v>242</v>
      </c>
      <c r="I247" s="180" t="str">
        <f t="shared" si="15"/>
        <v/>
      </c>
      <c r="J247" s="180" t="e">
        <f t="shared" si="18"/>
        <v>#NUM!</v>
      </c>
      <c r="K247" s="179" t="e">
        <f t="shared" si="16"/>
        <v>#NUM!</v>
      </c>
      <c r="L247" s="179"/>
      <c r="M247" s="181">
        <f t="shared" si="17"/>
        <v>0</v>
      </c>
    </row>
    <row r="248" spans="1:13" x14ac:dyDescent="0.25">
      <c r="A248" s="197"/>
      <c r="G248" s="164"/>
      <c r="H248" s="179">
        <v>243</v>
      </c>
      <c r="I248" s="180" t="str">
        <f t="shared" si="15"/>
        <v/>
      </c>
      <c r="J248" s="180" t="e">
        <f t="shared" si="18"/>
        <v>#NUM!</v>
      </c>
      <c r="K248" s="179" t="e">
        <f t="shared" si="16"/>
        <v>#NUM!</v>
      </c>
      <c r="L248" s="179"/>
      <c r="M248" s="181">
        <f t="shared" si="17"/>
        <v>0</v>
      </c>
    </row>
    <row r="249" spans="1:13" x14ac:dyDescent="0.25">
      <c r="A249" s="197"/>
      <c r="G249" s="164"/>
      <c r="H249" s="179">
        <v>244</v>
      </c>
      <c r="I249" s="180" t="str">
        <f t="shared" si="15"/>
        <v/>
      </c>
      <c r="J249" s="180" t="e">
        <f t="shared" si="18"/>
        <v>#NUM!</v>
      </c>
      <c r="K249" s="179" t="e">
        <f t="shared" si="16"/>
        <v>#NUM!</v>
      </c>
      <c r="L249" s="179"/>
      <c r="M249" s="181">
        <f t="shared" si="17"/>
        <v>0</v>
      </c>
    </row>
    <row r="250" spans="1:13" x14ac:dyDescent="0.25">
      <c r="A250" s="197"/>
      <c r="G250" s="164"/>
      <c r="H250" s="179">
        <v>245</v>
      </c>
      <c r="I250" s="180" t="str">
        <f t="shared" si="15"/>
        <v/>
      </c>
      <c r="J250" s="180" t="e">
        <f t="shared" si="18"/>
        <v>#NUM!</v>
      </c>
      <c r="K250" s="179" t="e">
        <f t="shared" si="16"/>
        <v>#NUM!</v>
      </c>
      <c r="L250" s="179"/>
      <c r="M250" s="181">
        <f t="shared" si="17"/>
        <v>0</v>
      </c>
    </row>
    <row r="251" spans="1:13" x14ac:dyDescent="0.25">
      <c r="A251" s="197"/>
      <c r="G251" s="164"/>
      <c r="H251" s="179">
        <v>246</v>
      </c>
      <c r="I251" s="180" t="str">
        <f t="shared" si="15"/>
        <v/>
      </c>
      <c r="J251" s="180" t="e">
        <f t="shared" si="18"/>
        <v>#NUM!</v>
      </c>
      <c r="K251" s="179" t="e">
        <f t="shared" si="16"/>
        <v>#NUM!</v>
      </c>
      <c r="L251" s="179"/>
      <c r="M251" s="181">
        <f t="shared" si="17"/>
        <v>0</v>
      </c>
    </row>
    <row r="252" spans="1:13" x14ac:dyDescent="0.25">
      <c r="A252" s="197"/>
      <c r="G252" s="164"/>
      <c r="H252" s="179">
        <v>247</v>
      </c>
      <c r="I252" s="180" t="str">
        <f t="shared" si="15"/>
        <v/>
      </c>
      <c r="J252" s="180" t="e">
        <f t="shared" si="18"/>
        <v>#NUM!</v>
      </c>
      <c r="K252" s="179" t="e">
        <f t="shared" si="16"/>
        <v>#NUM!</v>
      </c>
      <c r="L252" s="179"/>
      <c r="M252" s="181">
        <f t="shared" si="17"/>
        <v>0</v>
      </c>
    </row>
    <row r="253" spans="1:13" x14ac:dyDescent="0.25">
      <c r="A253" s="197"/>
      <c r="G253" s="164"/>
      <c r="H253" s="179">
        <v>248</v>
      </c>
      <c r="I253" s="180" t="str">
        <f t="shared" si="15"/>
        <v/>
      </c>
      <c r="J253" s="180" t="e">
        <f t="shared" si="18"/>
        <v>#NUM!</v>
      </c>
      <c r="K253" s="179" t="e">
        <f t="shared" si="16"/>
        <v>#NUM!</v>
      </c>
      <c r="L253" s="179"/>
      <c r="M253" s="181">
        <f t="shared" si="17"/>
        <v>0</v>
      </c>
    </row>
    <row r="254" spans="1:13" x14ac:dyDescent="0.25">
      <c r="A254" s="197"/>
      <c r="G254" s="164"/>
      <c r="H254" s="179">
        <v>249</v>
      </c>
      <c r="I254" s="180" t="str">
        <f t="shared" si="15"/>
        <v/>
      </c>
      <c r="J254" s="180" t="e">
        <f t="shared" si="18"/>
        <v>#NUM!</v>
      </c>
      <c r="K254" s="179" t="e">
        <f t="shared" si="16"/>
        <v>#NUM!</v>
      </c>
      <c r="L254" s="179"/>
      <c r="M254" s="181">
        <f t="shared" si="17"/>
        <v>0</v>
      </c>
    </row>
    <row r="255" spans="1:13" x14ac:dyDescent="0.25">
      <c r="A255" s="197"/>
      <c r="G255" s="164"/>
      <c r="H255" s="179">
        <v>250</v>
      </c>
      <c r="I255" s="180" t="str">
        <f t="shared" si="15"/>
        <v/>
      </c>
      <c r="J255" s="180" t="e">
        <f t="shared" si="18"/>
        <v>#NUM!</v>
      </c>
      <c r="K255" s="179" t="e">
        <f t="shared" si="16"/>
        <v>#NUM!</v>
      </c>
      <c r="L255" s="179"/>
      <c r="M255" s="181">
        <f t="shared" si="17"/>
        <v>0</v>
      </c>
    </row>
    <row r="256" spans="1:13" x14ac:dyDescent="0.25">
      <c r="A256" s="197"/>
      <c r="G256" s="164"/>
      <c r="H256" s="179">
        <v>251</v>
      </c>
      <c r="I256" s="180" t="str">
        <f t="shared" si="15"/>
        <v/>
      </c>
      <c r="J256" s="180" t="e">
        <f t="shared" si="18"/>
        <v>#NUM!</v>
      </c>
      <c r="K256" s="179" t="e">
        <f t="shared" si="16"/>
        <v>#NUM!</v>
      </c>
      <c r="L256" s="179"/>
      <c r="M256" s="181">
        <f t="shared" si="17"/>
        <v>0</v>
      </c>
    </row>
    <row r="257" spans="1:13" x14ac:dyDescent="0.25">
      <c r="A257" s="197"/>
      <c r="G257" s="164"/>
      <c r="H257" s="179">
        <v>252</v>
      </c>
      <c r="I257" s="180" t="str">
        <f t="shared" si="15"/>
        <v/>
      </c>
      <c r="J257" s="180" t="e">
        <f t="shared" si="18"/>
        <v>#NUM!</v>
      </c>
      <c r="K257" s="179" t="e">
        <f t="shared" si="16"/>
        <v>#NUM!</v>
      </c>
      <c r="L257" s="179"/>
      <c r="M257" s="181">
        <f t="shared" si="17"/>
        <v>0</v>
      </c>
    </row>
    <row r="258" spans="1:13" x14ac:dyDescent="0.25">
      <c r="A258" s="197"/>
      <c r="G258" s="164"/>
      <c r="H258" s="179">
        <v>253</v>
      </c>
      <c r="I258" s="180" t="str">
        <f t="shared" si="15"/>
        <v/>
      </c>
      <c r="J258" s="180" t="e">
        <f t="shared" si="18"/>
        <v>#NUM!</v>
      </c>
      <c r="K258" s="179" t="e">
        <f t="shared" si="16"/>
        <v>#NUM!</v>
      </c>
      <c r="L258" s="179"/>
      <c r="M258" s="181">
        <f t="shared" si="17"/>
        <v>0</v>
      </c>
    </row>
    <row r="259" spans="1:13" x14ac:dyDescent="0.25">
      <c r="A259" s="197"/>
      <c r="G259" s="164"/>
      <c r="H259" s="179">
        <v>254</v>
      </c>
      <c r="I259" s="180" t="str">
        <f t="shared" si="15"/>
        <v/>
      </c>
      <c r="J259" s="180" t="e">
        <f t="shared" si="18"/>
        <v>#NUM!</v>
      </c>
      <c r="K259" s="179" t="e">
        <f t="shared" si="16"/>
        <v>#NUM!</v>
      </c>
      <c r="L259" s="179"/>
      <c r="M259" s="181">
        <f t="shared" si="17"/>
        <v>0</v>
      </c>
    </row>
    <row r="260" spans="1:13" x14ac:dyDescent="0.25">
      <c r="A260" s="197"/>
      <c r="G260" s="164"/>
      <c r="H260" s="179">
        <v>255</v>
      </c>
      <c r="I260" s="180" t="str">
        <f t="shared" si="15"/>
        <v/>
      </c>
      <c r="J260" s="180" t="e">
        <f t="shared" si="18"/>
        <v>#NUM!</v>
      </c>
      <c r="K260" s="179" t="e">
        <f t="shared" si="16"/>
        <v>#NUM!</v>
      </c>
      <c r="L260" s="179"/>
      <c r="M260" s="181">
        <f t="shared" si="17"/>
        <v>0</v>
      </c>
    </row>
    <row r="261" spans="1:13" x14ac:dyDescent="0.25">
      <c r="A261" s="197"/>
      <c r="G261" s="164"/>
      <c r="H261" s="179">
        <v>256</v>
      </c>
      <c r="I261" s="180" t="str">
        <f t="shared" si="15"/>
        <v/>
      </c>
      <c r="J261" s="180" t="e">
        <f t="shared" si="18"/>
        <v>#NUM!</v>
      </c>
      <c r="K261" s="179" t="e">
        <f t="shared" si="16"/>
        <v>#NUM!</v>
      </c>
      <c r="L261" s="179"/>
      <c r="M261" s="181">
        <f t="shared" si="17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9">IF(H262&lt;$H$2+1,($I$2-($I$2-1)*(LOG(H262)/LOG($H$2))),"")</f>
        <v/>
      </c>
      <c r="J262" s="180" t="e">
        <f t="shared" si="18"/>
        <v>#NUM!</v>
      </c>
      <c r="K262" s="179" t="e">
        <f t="shared" ref="K262:K305" si="20">J262*$J$2</f>
        <v>#NUM!</v>
      </c>
      <c r="L262" s="179"/>
      <c r="M262" s="181">
        <f t="shared" ref="M262:M305" si="21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9"/>
        <v/>
      </c>
      <c r="J263" s="180" t="e">
        <f t="shared" ref="J263:J305" si="22">INT(LOG($H$2,2))-ROUNDUP(LOG(H263,2),0)+IF(OR($H$2=1,$H$2=2,$H$2=4,$H$2=8,$H$2=16,$H$2=32,$H$2=64,$H$2=128,$H$2=256),0,1)</f>
        <v>#NUM!</v>
      </c>
      <c r="K263" s="179" t="e">
        <f t="shared" si="20"/>
        <v>#NUM!</v>
      </c>
      <c r="L263" s="179"/>
      <c r="M263" s="181">
        <f t="shared" si="21"/>
        <v>0</v>
      </c>
    </row>
    <row r="264" spans="1:13" x14ac:dyDescent="0.25">
      <c r="A264" s="197"/>
      <c r="G264" s="164"/>
      <c r="H264" s="179">
        <v>259</v>
      </c>
      <c r="I264" s="180" t="str">
        <f t="shared" si="19"/>
        <v/>
      </c>
      <c r="J264" s="180" t="e">
        <f t="shared" si="22"/>
        <v>#NUM!</v>
      </c>
      <c r="K264" s="179" t="e">
        <f t="shared" si="20"/>
        <v>#NUM!</v>
      </c>
      <c r="L264" s="179"/>
      <c r="M264" s="181">
        <f t="shared" si="21"/>
        <v>0</v>
      </c>
    </row>
    <row r="265" spans="1:13" x14ac:dyDescent="0.25">
      <c r="A265" s="197"/>
      <c r="G265" s="164"/>
      <c r="H265" s="179">
        <v>260</v>
      </c>
      <c r="I265" s="180" t="str">
        <f t="shared" si="19"/>
        <v/>
      </c>
      <c r="J265" s="180" t="e">
        <f t="shared" si="22"/>
        <v>#NUM!</v>
      </c>
      <c r="K265" s="179" t="e">
        <f t="shared" si="20"/>
        <v>#NUM!</v>
      </c>
      <c r="L265" s="179"/>
      <c r="M265" s="181">
        <f t="shared" si="21"/>
        <v>0</v>
      </c>
    </row>
    <row r="266" spans="1:13" x14ac:dyDescent="0.25">
      <c r="A266" s="197"/>
      <c r="G266" s="164"/>
      <c r="H266" s="179">
        <v>261</v>
      </c>
      <c r="I266" s="180" t="str">
        <f t="shared" si="19"/>
        <v/>
      </c>
      <c r="J266" s="180" t="e">
        <f t="shared" si="22"/>
        <v>#NUM!</v>
      </c>
      <c r="K266" s="179" t="e">
        <f t="shared" si="20"/>
        <v>#NUM!</v>
      </c>
      <c r="L266" s="179"/>
      <c r="M266" s="181">
        <f t="shared" si="21"/>
        <v>0</v>
      </c>
    </row>
    <row r="267" spans="1:13" x14ac:dyDescent="0.25">
      <c r="A267" s="197"/>
      <c r="G267" s="164"/>
      <c r="H267" s="179">
        <v>262</v>
      </c>
      <c r="I267" s="180" t="str">
        <f t="shared" si="19"/>
        <v/>
      </c>
      <c r="J267" s="180" t="e">
        <f t="shared" si="22"/>
        <v>#NUM!</v>
      </c>
      <c r="K267" s="179" t="e">
        <f t="shared" si="20"/>
        <v>#NUM!</v>
      </c>
      <c r="L267" s="179"/>
      <c r="M267" s="181">
        <f t="shared" si="21"/>
        <v>0</v>
      </c>
    </row>
    <row r="268" spans="1:13" x14ac:dyDescent="0.25">
      <c r="A268" s="197"/>
      <c r="G268" s="164"/>
      <c r="H268" s="179">
        <v>263</v>
      </c>
      <c r="I268" s="180" t="str">
        <f t="shared" si="19"/>
        <v/>
      </c>
      <c r="J268" s="180" t="e">
        <f t="shared" si="22"/>
        <v>#NUM!</v>
      </c>
      <c r="K268" s="179" t="e">
        <f t="shared" si="20"/>
        <v>#NUM!</v>
      </c>
      <c r="L268" s="179"/>
      <c r="M268" s="181">
        <f t="shared" si="21"/>
        <v>0</v>
      </c>
    </row>
    <row r="269" spans="1:13" x14ac:dyDescent="0.25">
      <c r="A269" s="197"/>
      <c r="G269" s="164"/>
      <c r="H269" s="179">
        <v>264</v>
      </c>
      <c r="I269" s="180" t="str">
        <f t="shared" si="19"/>
        <v/>
      </c>
      <c r="J269" s="180" t="e">
        <f t="shared" si="22"/>
        <v>#NUM!</v>
      </c>
      <c r="K269" s="179" t="e">
        <f t="shared" si="20"/>
        <v>#NUM!</v>
      </c>
      <c r="L269" s="179"/>
      <c r="M269" s="181">
        <f t="shared" si="21"/>
        <v>0</v>
      </c>
    </row>
    <row r="270" spans="1:13" x14ac:dyDescent="0.25">
      <c r="A270" s="197"/>
      <c r="G270" s="164"/>
      <c r="H270" s="179">
        <v>265</v>
      </c>
      <c r="I270" s="180" t="str">
        <f t="shared" si="19"/>
        <v/>
      </c>
      <c r="J270" s="180" t="e">
        <f t="shared" si="22"/>
        <v>#NUM!</v>
      </c>
      <c r="K270" s="179" t="e">
        <f t="shared" si="20"/>
        <v>#NUM!</v>
      </c>
      <c r="L270" s="179"/>
      <c r="M270" s="181">
        <f t="shared" si="21"/>
        <v>0</v>
      </c>
    </row>
    <row r="271" spans="1:13" x14ac:dyDescent="0.25">
      <c r="A271" s="197"/>
      <c r="G271" s="164"/>
      <c r="H271" s="179">
        <v>266</v>
      </c>
      <c r="I271" s="180" t="str">
        <f t="shared" si="19"/>
        <v/>
      </c>
      <c r="J271" s="180" t="e">
        <f t="shared" si="22"/>
        <v>#NUM!</v>
      </c>
      <c r="K271" s="179" t="e">
        <f t="shared" si="20"/>
        <v>#NUM!</v>
      </c>
      <c r="L271" s="179"/>
      <c r="M271" s="181">
        <f t="shared" si="21"/>
        <v>0</v>
      </c>
    </row>
    <row r="272" spans="1:13" x14ac:dyDescent="0.25">
      <c r="A272" s="197"/>
      <c r="G272" s="164"/>
      <c r="H272" s="179">
        <v>267</v>
      </c>
      <c r="I272" s="180" t="str">
        <f t="shared" si="19"/>
        <v/>
      </c>
      <c r="J272" s="180" t="e">
        <f t="shared" si="22"/>
        <v>#NUM!</v>
      </c>
      <c r="K272" s="179" t="e">
        <f t="shared" si="20"/>
        <v>#NUM!</v>
      </c>
      <c r="L272" s="179"/>
      <c r="M272" s="181">
        <f t="shared" si="21"/>
        <v>0</v>
      </c>
    </row>
    <row r="273" spans="1:13" x14ac:dyDescent="0.25">
      <c r="A273" s="197"/>
      <c r="G273" s="164"/>
      <c r="H273" s="179">
        <v>268</v>
      </c>
      <c r="I273" s="180" t="str">
        <f t="shared" si="19"/>
        <v/>
      </c>
      <c r="J273" s="180" t="e">
        <f t="shared" si="22"/>
        <v>#NUM!</v>
      </c>
      <c r="K273" s="179" t="e">
        <f t="shared" si="20"/>
        <v>#NUM!</v>
      </c>
      <c r="L273" s="179"/>
      <c r="M273" s="181">
        <f t="shared" si="21"/>
        <v>0</v>
      </c>
    </row>
    <row r="274" spans="1:13" x14ac:dyDescent="0.25">
      <c r="A274" s="197"/>
      <c r="G274" s="164"/>
      <c r="H274" s="179">
        <v>269</v>
      </c>
      <c r="I274" s="180" t="str">
        <f t="shared" si="19"/>
        <v/>
      </c>
      <c r="J274" s="180" t="e">
        <f t="shared" si="22"/>
        <v>#NUM!</v>
      </c>
      <c r="K274" s="179" t="e">
        <f t="shared" si="20"/>
        <v>#NUM!</v>
      </c>
      <c r="L274" s="179"/>
      <c r="M274" s="181">
        <f t="shared" si="21"/>
        <v>0</v>
      </c>
    </row>
    <row r="275" spans="1:13" x14ac:dyDescent="0.25">
      <c r="A275" s="197"/>
      <c r="G275" s="164"/>
      <c r="H275" s="179">
        <v>270</v>
      </c>
      <c r="I275" s="180" t="str">
        <f t="shared" si="19"/>
        <v/>
      </c>
      <c r="J275" s="180" t="e">
        <f t="shared" si="22"/>
        <v>#NUM!</v>
      </c>
      <c r="K275" s="179" t="e">
        <f t="shared" si="20"/>
        <v>#NUM!</v>
      </c>
      <c r="L275" s="179"/>
      <c r="M275" s="181">
        <f t="shared" si="21"/>
        <v>0</v>
      </c>
    </row>
    <row r="276" spans="1:13" x14ac:dyDescent="0.25">
      <c r="A276" s="197"/>
      <c r="G276" s="164"/>
      <c r="H276" s="179">
        <v>271</v>
      </c>
      <c r="I276" s="180" t="str">
        <f t="shared" si="19"/>
        <v/>
      </c>
      <c r="J276" s="180" t="e">
        <f t="shared" si="22"/>
        <v>#NUM!</v>
      </c>
      <c r="K276" s="179" t="e">
        <f t="shared" si="20"/>
        <v>#NUM!</v>
      </c>
      <c r="L276" s="179"/>
      <c r="M276" s="181">
        <f t="shared" si="21"/>
        <v>0</v>
      </c>
    </row>
    <row r="277" spans="1:13" x14ac:dyDescent="0.25">
      <c r="A277" s="197"/>
      <c r="G277" s="164"/>
      <c r="H277" s="179">
        <v>272</v>
      </c>
      <c r="I277" s="180" t="str">
        <f t="shared" si="19"/>
        <v/>
      </c>
      <c r="J277" s="180" t="e">
        <f t="shared" si="22"/>
        <v>#NUM!</v>
      </c>
      <c r="K277" s="179" t="e">
        <f t="shared" si="20"/>
        <v>#NUM!</v>
      </c>
      <c r="L277" s="179"/>
      <c r="M277" s="181">
        <f t="shared" si="21"/>
        <v>0</v>
      </c>
    </row>
    <row r="278" spans="1:13" x14ac:dyDescent="0.25">
      <c r="A278" s="197"/>
      <c r="G278" s="164"/>
      <c r="H278" s="179">
        <v>273</v>
      </c>
      <c r="I278" s="180" t="str">
        <f t="shared" si="19"/>
        <v/>
      </c>
      <c r="J278" s="180" t="e">
        <f t="shared" si="22"/>
        <v>#NUM!</v>
      </c>
      <c r="K278" s="179" t="e">
        <f t="shared" si="20"/>
        <v>#NUM!</v>
      </c>
      <c r="L278" s="179"/>
      <c r="M278" s="181">
        <f t="shared" si="21"/>
        <v>0</v>
      </c>
    </row>
    <row r="279" spans="1:13" x14ac:dyDescent="0.25">
      <c r="A279" s="197"/>
      <c r="G279" s="164"/>
      <c r="H279" s="179">
        <v>274</v>
      </c>
      <c r="I279" s="180" t="str">
        <f t="shared" si="19"/>
        <v/>
      </c>
      <c r="J279" s="180" t="e">
        <f t="shared" si="22"/>
        <v>#NUM!</v>
      </c>
      <c r="K279" s="179" t="e">
        <f t="shared" si="20"/>
        <v>#NUM!</v>
      </c>
      <c r="L279" s="179"/>
      <c r="M279" s="181">
        <f t="shared" si="21"/>
        <v>0</v>
      </c>
    </row>
    <row r="280" spans="1:13" x14ac:dyDescent="0.25">
      <c r="A280" s="197"/>
      <c r="G280" s="164"/>
      <c r="H280" s="179">
        <v>275</v>
      </c>
      <c r="I280" s="180" t="str">
        <f t="shared" si="19"/>
        <v/>
      </c>
      <c r="J280" s="180" t="e">
        <f t="shared" si="22"/>
        <v>#NUM!</v>
      </c>
      <c r="K280" s="179" t="e">
        <f t="shared" si="20"/>
        <v>#NUM!</v>
      </c>
      <c r="L280" s="179"/>
      <c r="M280" s="181">
        <f t="shared" si="21"/>
        <v>0</v>
      </c>
    </row>
    <row r="281" spans="1:13" x14ac:dyDescent="0.25">
      <c r="A281" s="197"/>
      <c r="G281" s="164"/>
      <c r="H281" s="179">
        <v>276</v>
      </c>
      <c r="I281" s="180" t="str">
        <f t="shared" si="19"/>
        <v/>
      </c>
      <c r="J281" s="180" t="e">
        <f t="shared" si="22"/>
        <v>#NUM!</v>
      </c>
      <c r="K281" s="179" t="e">
        <f t="shared" si="20"/>
        <v>#NUM!</v>
      </c>
      <c r="L281" s="179"/>
      <c r="M281" s="181">
        <f t="shared" si="21"/>
        <v>0</v>
      </c>
    </row>
    <row r="282" spans="1:13" x14ac:dyDescent="0.25">
      <c r="A282" s="197"/>
      <c r="G282" s="164"/>
      <c r="H282" s="179">
        <v>277</v>
      </c>
      <c r="I282" s="180" t="str">
        <f t="shared" si="19"/>
        <v/>
      </c>
      <c r="J282" s="180" t="e">
        <f t="shared" si="22"/>
        <v>#NUM!</v>
      </c>
      <c r="K282" s="179" t="e">
        <f t="shared" si="20"/>
        <v>#NUM!</v>
      </c>
      <c r="L282" s="179"/>
      <c r="M282" s="181">
        <f t="shared" si="21"/>
        <v>0</v>
      </c>
    </row>
    <row r="283" spans="1:13" x14ac:dyDescent="0.25">
      <c r="A283" s="197"/>
      <c r="G283" s="164"/>
      <c r="H283" s="179">
        <v>278</v>
      </c>
      <c r="I283" s="180" t="str">
        <f t="shared" si="19"/>
        <v/>
      </c>
      <c r="J283" s="180" t="e">
        <f t="shared" si="22"/>
        <v>#NUM!</v>
      </c>
      <c r="K283" s="179" t="e">
        <f t="shared" si="20"/>
        <v>#NUM!</v>
      </c>
      <c r="L283" s="179"/>
      <c r="M283" s="181">
        <f t="shared" si="21"/>
        <v>0</v>
      </c>
    </row>
    <row r="284" spans="1:13" x14ac:dyDescent="0.25">
      <c r="A284" s="197"/>
      <c r="G284" s="164"/>
      <c r="H284" s="179">
        <v>279</v>
      </c>
      <c r="I284" s="180" t="str">
        <f t="shared" si="19"/>
        <v/>
      </c>
      <c r="J284" s="180" t="e">
        <f t="shared" si="22"/>
        <v>#NUM!</v>
      </c>
      <c r="K284" s="179" t="e">
        <f t="shared" si="20"/>
        <v>#NUM!</v>
      </c>
      <c r="L284" s="179"/>
      <c r="M284" s="181">
        <f t="shared" si="21"/>
        <v>0</v>
      </c>
    </row>
    <row r="285" spans="1:13" x14ac:dyDescent="0.25">
      <c r="A285" s="197"/>
      <c r="G285" s="164"/>
      <c r="H285" s="179">
        <v>280</v>
      </c>
      <c r="I285" s="180" t="str">
        <f t="shared" si="19"/>
        <v/>
      </c>
      <c r="J285" s="180" t="e">
        <f t="shared" si="22"/>
        <v>#NUM!</v>
      </c>
      <c r="K285" s="179" t="e">
        <f t="shared" si="20"/>
        <v>#NUM!</v>
      </c>
      <c r="L285" s="179"/>
      <c r="M285" s="181">
        <f t="shared" si="21"/>
        <v>0</v>
      </c>
    </row>
    <row r="286" spans="1:13" x14ac:dyDescent="0.25">
      <c r="A286" s="197"/>
      <c r="G286" s="164"/>
      <c r="H286" s="179">
        <v>281</v>
      </c>
      <c r="I286" s="180" t="str">
        <f t="shared" si="19"/>
        <v/>
      </c>
      <c r="J286" s="180" t="e">
        <f t="shared" si="22"/>
        <v>#NUM!</v>
      </c>
      <c r="K286" s="179" t="e">
        <f t="shared" si="20"/>
        <v>#NUM!</v>
      </c>
      <c r="L286" s="179"/>
      <c r="M286" s="181">
        <f t="shared" si="21"/>
        <v>0</v>
      </c>
    </row>
    <row r="287" spans="1:13" x14ac:dyDescent="0.25">
      <c r="A287" s="197"/>
      <c r="G287" s="164"/>
      <c r="H287" s="179">
        <v>282</v>
      </c>
      <c r="I287" s="180" t="str">
        <f t="shared" si="19"/>
        <v/>
      </c>
      <c r="J287" s="180" t="e">
        <f t="shared" si="22"/>
        <v>#NUM!</v>
      </c>
      <c r="K287" s="179" t="e">
        <f t="shared" si="20"/>
        <v>#NUM!</v>
      </c>
      <c r="L287" s="179"/>
      <c r="M287" s="181">
        <f t="shared" si="21"/>
        <v>0</v>
      </c>
    </row>
    <row r="288" spans="1:13" x14ac:dyDescent="0.25">
      <c r="A288" s="197"/>
      <c r="G288" s="164"/>
      <c r="H288" s="179">
        <v>283</v>
      </c>
      <c r="I288" s="180" t="str">
        <f t="shared" si="19"/>
        <v/>
      </c>
      <c r="J288" s="180" t="e">
        <f t="shared" si="22"/>
        <v>#NUM!</v>
      </c>
      <c r="K288" s="179" t="e">
        <f t="shared" si="20"/>
        <v>#NUM!</v>
      </c>
      <c r="L288" s="179"/>
      <c r="M288" s="181">
        <f t="shared" si="21"/>
        <v>0</v>
      </c>
    </row>
    <row r="289" spans="1:13" x14ac:dyDescent="0.25">
      <c r="A289" s="197"/>
      <c r="G289" s="164"/>
      <c r="H289" s="179">
        <v>284</v>
      </c>
      <c r="I289" s="180" t="str">
        <f t="shared" si="19"/>
        <v/>
      </c>
      <c r="J289" s="180" t="e">
        <f t="shared" si="22"/>
        <v>#NUM!</v>
      </c>
      <c r="K289" s="179" t="e">
        <f t="shared" si="20"/>
        <v>#NUM!</v>
      </c>
      <c r="L289" s="179"/>
      <c r="M289" s="181">
        <f t="shared" si="21"/>
        <v>0</v>
      </c>
    </row>
    <row r="290" spans="1:13" x14ac:dyDescent="0.25">
      <c r="A290" s="197"/>
      <c r="G290" s="164"/>
      <c r="H290" s="179">
        <v>285</v>
      </c>
      <c r="I290" s="180" t="str">
        <f t="shared" si="19"/>
        <v/>
      </c>
      <c r="J290" s="180" t="e">
        <f t="shared" si="22"/>
        <v>#NUM!</v>
      </c>
      <c r="K290" s="179" t="e">
        <f t="shared" si="20"/>
        <v>#NUM!</v>
      </c>
      <c r="L290" s="179"/>
      <c r="M290" s="181">
        <f t="shared" si="21"/>
        <v>0</v>
      </c>
    </row>
    <row r="291" spans="1:13" x14ac:dyDescent="0.25">
      <c r="A291" s="197"/>
      <c r="G291" s="164"/>
      <c r="H291" s="179">
        <v>286</v>
      </c>
      <c r="I291" s="180" t="str">
        <f t="shared" si="19"/>
        <v/>
      </c>
      <c r="J291" s="180" t="e">
        <f t="shared" si="22"/>
        <v>#NUM!</v>
      </c>
      <c r="K291" s="179" t="e">
        <f t="shared" si="20"/>
        <v>#NUM!</v>
      </c>
      <c r="L291" s="179"/>
      <c r="M291" s="181">
        <f t="shared" si="21"/>
        <v>0</v>
      </c>
    </row>
    <row r="292" spans="1:13" x14ac:dyDescent="0.25">
      <c r="A292" s="197"/>
      <c r="G292" s="164"/>
      <c r="H292" s="179">
        <v>287</v>
      </c>
      <c r="I292" s="180" t="str">
        <f t="shared" si="19"/>
        <v/>
      </c>
      <c r="J292" s="180" t="e">
        <f t="shared" si="22"/>
        <v>#NUM!</v>
      </c>
      <c r="K292" s="179" t="e">
        <f t="shared" si="20"/>
        <v>#NUM!</v>
      </c>
      <c r="L292" s="179"/>
      <c r="M292" s="181">
        <f t="shared" si="21"/>
        <v>0</v>
      </c>
    </row>
    <row r="293" spans="1:13" x14ac:dyDescent="0.25">
      <c r="A293" s="197"/>
      <c r="G293" s="164"/>
      <c r="H293" s="179">
        <v>288</v>
      </c>
      <c r="I293" s="180" t="str">
        <f t="shared" si="19"/>
        <v/>
      </c>
      <c r="J293" s="180" t="e">
        <f t="shared" si="22"/>
        <v>#NUM!</v>
      </c>
      <c r="K293" s="179" t="e">
        <f t="shared" si="20"/>
        <v>#NUM!</v>
      </c>
      <c r="L293" s="179"/>
      <c r="M293" s="181">
        <f t="shared" si="21"/>
        <v>0</v>
      </c>
    </row>
    <row r="294" spans="1:13" x14ac:dyDescent="0.25">
      <c r="A294" s="197"/>
      <c r="G294" s="164"/>
      <c r="H294" s="179">
        <v>289</v>
      </c>
      <c r="I294" s="180" t="str">
        <f t="shared" si="19"/>
        <v/>
      </c>
      <c r="J294" s="180" t="e">
        <f t="shared" si="22"/>
        <v>#NUM!</v>
      </c>
      <c r="K294" s="179" t="e">
        <f t="shared" si="20"/>
        <v>#NUM!</v>
      </c>
      <c r="L294" s="179"/>
      <c r="M294" s="181">
        <f t="shared" si="21"/>
        <v>0</v>
      </c>
    </row>
    <row r="295" spans="1:13" x14ac:dyDescent="0.25">
      <c r="A295" s="197"/>
      <c r="G295" s="164"/>
      <c r="H295" s="179">
        <v>290</v>
      </c>
      <c r="I295" s="180" t="str">
        <f t="shared" si="19"/>
        <v/>
      </c>
      <c r="J295" s="180" t="e">
        <f t="shared" si="22"/>
        <v>#NUM!</v>
      </c>
      <c r="K295" s="179" t="e">
        <f t="shared" si="20"/>
        <v>#NUM!</v>
      </c>
      <c r="L295" s="179"/>
      <c r="M295" s="181">
        <f t="shared" si="21"/>
        <v>0</v>
      </c>
    </row>
    <row r="296" spans="1:13" x14ac:dyDescent="0.25">
      <c r="A296" s="197"/>
      <c r="G296" s="164"/>
      <c r="H296" s="179">
        <v>291</v>
      </c>
      <c r="I296" s="180" t="str">
        <f t="shared" si="19"/>
        <v/>
      </c>
      <c r="J296" s="180" t="e">
        <f t="shared" si="22"/>
        <v>#NUM!</v>
      </c>
      <c r="K296" s="179" t="e">
        <f t="shared" si="20"/>
        <v>#NUM!</v>
      </c>
      <c r="L296" s="179"/>
      <c r="M296" s="181">
        <f t="shared" si="21"/>
        <v>0</v>
      </c>
    </row>
    <row r="297" spans="1:13" x14ac:dyDescent="0.25">
      <c r="A297" s="197"/>
      <c r="G297" s="164"/>
      <c r="H297" s="179">
        <v>292</v>
      </c>
      <c r="I297" s="180" t="str">
        <f t="shared" si="19"/>
        <v/>
      </c>
      <c r="J297" s="180" t="e">
        <f t="shared" si="22"/>
        <v>#NUM!</v>
      </c>
      <c r="K297" s="179" t="e">
        <f t="shared" si="20"/>
        <v>#NUM!</v>
      </c>
      <c r="L297" s="179"/>
      <c r="M297" s="181">
        <f t="shared" si="21"/>
        <v>0</v>
      </c>
    </row>
    <row r="298" spans="1:13" x14ac:dyDescent="0.25">
      <c r="A298" s="197"/>
      <c r="G298" s="164"/>
      <c r="H298" s="179">
        <v>293</v>
      </c>
      <c r="I298" s="180" t="str">
        <f t="shared" si="19"/>
        <v/>
      </c>
      <c r="J298" s="180" t="e">
        <f t="shared" si="22"/>
        <v>#NUM!</v>
      </c>
      <c r="K298" s="179" t="e">
        <f t="shared" si="20"/>
        <v>#NUM!</v>
      </c>
      <c r="L298" s="179"/>
      <c r="M298" s="181">
        <f t="shared" si="21"/>
        <v>0</v>
      </c>
    </row>
    <row r="299" spans="1:13" x14ac:dyDescent="0.25">
      <c r="A299" s="197"/>
      <c r="G299" s="164"/>
      <c r="H299" s="179">
        <v>294</v>
      </c>
      <c r="I299" s="180" t="str">
        <f t="shared" si="19"/>
        <v/>
      </c>
      <c r="J299" s="180" t="e">
        <f t="shared" si="22"/>
        <v>#NUM!</v>
      </c>
      <c r="K299" s="179" t="e">
        <f t="shared" si="20"/>
        <v>#NUM!</v>
      </c>
      <c r="L299" s="179"/>
      <c r="M299" s="181">
        <f t="shared" si="21"/>
        <v>0</v>
      </c>
    </row>
    <row r="300" spans="1:13" x14ac:dyDescent="0.25">
      <c r="A300" s="197"/>
      <c r="G300" s="164"/>
      <c r="H300" s="179">
        <v>295</v>
      </c>
      <c r="I300" s="180" t="str">
        <f t="shared" si="19"/>
        <v/>
      </c>
      <c r="J300" s="180" t="e">
        <f t="shared" si="22"/>
        <v>#NUM!</v>
      </c>
      <c r="K300" s="179" t="e">
        <f t="shared" si="20"/>
        <v>#NUM!</v>
      </c>
      <c r="L300" s="179"/>
      <c r="M300" s="181">
        <f t="shared" si="21"/>
        <v>0</v>
      </c>
    </row>
    <row r="301" spans="1:13" x14ac:dyDescent="0.25">
      <c r="A301" s="197"/>
      <c r="G301" s="164"/>
      <c r="H301" s="179">
        <v>296</v>
      </c>
      <c r="I301" s="180" t="str">
        <f t="shared" si="19"/>
        <v/>
      </c>
      <c r="J301" s="180" t="e">
        <f t="shared" si="22"/>
        <v>#NUM!</v>
      </c>
      <c r="K301" s="179" t="e">
        <f t="shared" si="20"/>
        <v>#NUM!</v>
      </c>
      <c r="L301" s="179"/>
      <c r="M301" s="181">
        <f t="shared" si="21"/>
        <v>0</v>
      </c>
    </row>
    <row r="302" spans="1:13" x14ac:dyDescent="0.25">
      <c r="A302" s="197"/>
      <c r="G302" s="164"/>
      <c r="H302" s="179">
        <v>297</v>
      </c>
      <c r="I302" s="180" t="str">
        <f t="shared" si="19"/>
        <v/>
      </c>
      <c r="J302" s="180" t="e">
        <f t="shared" si="22"/>
        <v>#NUM!</v>
      </c>
      <c r="K302" s="179" t="e">
        <f t="shared" si="20"/>
        <v>#NUM!</v>
      </c>
      <c r="L302" s="179"/>
      <c r="M302" s="181">
        <f t="shared" si="21"/>
        <v>0</v>
      </c>
    </row>
    <row r="303" spans="1:13" x14ac:dyDescent="0.25">
      <c r="A303" s="197"/>
      <c r="G303" s="164"/>
      <c r="H303" s="179">
        <v>298</v>
      </c>
      <c r="I303" s="180" t="str">
        <f t="shared" si="19"/>
        <v/>
      </c>
      <c r="J303" s="180" t="e">
        <f t="shared" si="22"/>
        <v>#NUM!</v>
      </c>
      <c r="K303" s="179" t="e">
        <f t="shared" si="20"/>
        <v>#NUM!</v>
      </c>
      <c r="L303" s="179"/>
      <c r="M303" s="181">
        <f t="shared" si="21"/>
        <v>0</v>
      </c>
    </row>
    <row r="304" spans="1:13" x14ac:dyDescent="0.25">
      <c r="A304" s="197"/>
      <c r="G304" s="164"/>
      <c r="H304" s="179">
        <v>299</v>
      </c>
      <c r="I304" s="180" t="str">
        <f t="shared" si="19"/>
        <v/>
      </c>
      <c r="J304" s="180" t="e">
        <f t="shared" si="22"/>
        <v>#NUM!</v>
      </c>
      <c r="K304" s="179" t="e">
        <f t="shared" si="20"/>
        <v>#NUM!</v>
      </c>
      <c r="L304" s="179"/>
      <c r="M304" s="181">
        <f t="shared" si="21"/>
        <v>0</v>
      </c>
    </row>
    <row r="305" spans="1:16" x14ac:dyDescent="0.25">
      <c r="A305" s="197"/>
      <c r="G305" s="164"/>
      <c r="H305" s="179">
        <v>300</v>
      </c>
      <c r="I305" s="180" t="str">
        <f t="shared" si="19"/>
        <v/>
      </c>
      <c r="J305" s="180" t="e">
        <f t="shared" si="22"/>
        <v>#NUM!</v>
      </c>
      <c r="K305" s="179" t="e">
        <f t="shared" si="20"/>
        <v>#NUM!</v>
      </c>
      <c r="L305" s="179"/>
      <c r="M305" s="181">
        <f t="shared" si="21"/>
        <v>0</v>
      </c>
    </row>
    <row r="306" spans="1:16" x14ac:dyDescent="0.25">
      <c r="A306" s="198"/>
    </row>
    <row r="314" spans="1:16" x14ac:dyDescent="0.25">
      <c r="L314" s="201"/>
      <c r="P314" s="190"/>
    </row>
    <row r="315" spans="1:16" x14ac:dyDescent="0.25">
      <c r="L315" s="201"/>
      <c r="P315" s="190"/>
    </row>
    <row r="316" spans="1:16" x14ac:dyDescent="0.25">
      <c r="L316" s="201"/>
      <c r="P316" s="190"/>
    </row>
    <row r="317" spans="1:16" x14ac:dyDescent="0.25">
      <c r="L317" s="201"/>
      <c r="P317" s="190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650F13D5-5167-4FA1-9F6A-CF7067345D77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1B42-3F17-40AA-BA0E-1C556FEB117F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170" t="s">
        <v>87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173">
        <f>3*H2^(1/3)</f>
        <v>0</v>
      </c>
      <c r="L2" s="168"/>
      <c r="M2" s="168"/>
    </row>
    <row r="3" spans="1:36" x14ac:dyDescent="0.25">
      <c r="A3" s="164"/>
      <c r="B3" s="174" t="s">
        <v>28</v>
      </c>
      <c r="C3" s="70" t="s">
        <v>101</v>
      </c>
      <c r="D3" s="70"/>
      <c r="E3" s="26"/>
      <c r="F3" s="26"/>
      <c r="G3" s="26"/>
      <c r="H3" s="168"/>
      <c r="I3" s="168"/>
      <c r="J3" s="175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75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8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/>
      <c r="D6" s="35"/>
      <c r="E6" s="35"/>
      <c r="F6" s="35" t="s">
        <v>41</v>
      </c>
      <c r="G6" s="28"/>
      <c r="H6" s="179">
        <v>1</v>
      </c>
      <c r="I6" s="180" t="str">
        <f t="shared" ref="I6:I69" si="0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1">J6*$J$2</f>
        <v>#NUM!</v>
      </c>
      <c r="L6" s="181">
        <f>3*K2</f>
        <v>0</v>
      </c>
      <c r="M6" s="181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41</v>
      </c>
      <c r="G7" s="28"/>
      <c r="H7" s="182">
        <v>2</v>
      </c>
      <c r="I7" s="183" t="str">
        <f t="shared" si="0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1"/>
        <v>#NUM!</v>
      </c>
      <c r="L7" s="184">
        <f>2*K2</f>
        <v>0</v>
      </c>
      <c r="M7" s="184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/>
      <c r="D8" s="35"/>
      <c r="E8" s="35"/>
      <c r="F8" s="35" t="s">
        <v>41</v>
      </c>
      <c r="G8" s="28"/>
      <c r="H8" s="179">
        <v>3</v>
      </c>
      <c r="I8" s="180" t="str">
        <f t="shared" si="0"/>
        <v/>
      </c>
      <c r="J8" s="179" t="e">
        <f t="shared" si="5"/>
        <v>#NUM!</v>
      </c>
      <c r="K8" s="179" t="e">
        <f t="shared" si="1"/>
        <v>#NUM!</v>
      </c>
      <c r="L8" s="181">
        <f>K2</f>
        <v>0</v>
      </c>
      <c r="M8" s="181">
        <f t="shared" si="2"/>
        <v>0</v>
      </c>
    </row>
    <row r="9" spans="1:36" s="169" customFormat="1" ht="14.45" customHeight="1" x14ac:dyDescent="0.25">
      <c r="A9" s="100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82">
        <v>3</v>
      </c>
      <c r="I9" s="183" t="str">
        <f t="shared" si="0"/>
        <v/>
      </c>
      <c r="J9" s="182" t="e">
        <f t="shared" si="5"/>
        <v>#NUM!</v>
      </c>
      <c r="K9" s="182" t="e">
        <f t="shared" si="1"/>
        <v>#NUM!</v>
      </c>
      <c r="L9" s="184">
        <f>K2</f>
        <v>0</v>
      </c>
      <c r="M9" s="184">
        <f t="shared" si="2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79">
        <v>5</v>
      </c>
      <c r="I10" s="180" t="str">
        <f t="shared" si="0"/>
        <v/>
      </c>
      <c r="J10" s="179" t="e">
        <f t="shared" si="5"/>
        <v>#NUM!</v>
      </c>
      <c r="K10" s="179" t="e">
        <f t="shared" si="1"/>
        <v>#NUM!</v>
      </c>
      <c r="L10" s="179"/>
      <c r="M10" s="181">
        <f t="shared" si="2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82">
        <v>6</v>
      </c>
      <c r="I11" s="183" t="str">
        <f t="shared" si="0"/>
        <v/>
      </c>
      <c r="J11" s="182" t="e">
        <f t="shared" si="5"/>
        <v>#NUM!</v>
      </c>
      <c r="K11" s="182" t="e">
        <f t="shared" si="1"/>
        <v>#NUM!</v>
      </c>
      <c r="L11" s="182"/>
      <c r="M11" s="184">
        <f t="shared" si="2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79">
        <v>7</v>
      </c>
      <c r="I12" s="180" t="str">
        <f t="shared" si="0"/>
        <v/>
      </c>
      <c r="J12" s="179" t="e">
        <f t="shared" si="5"/>
        <v>#NUM!</v>
      </c>
      <c r="K12" s="179" t="e">
        <f t="shared" si="1"/>
        <v>#NUM!</v>
      </c>
      <c r="L12" s="179"/>
      <c r="M12" s="181">
        <f t="shared" si="2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82">
        <v>8</v>
      </c>
      <c r="I13" s="183" t="str">
        <f t="shared" si="0"/>
        <v/>
      </c>
      <c r="J13" s="182" t="e">
        <f t="shared" si="5"/>
        <v>#NUM!</v>
      </c>
      <c r="K13" s="182" t="e">
        <f t="shared" si="1"/>
        <v>#NUM!</v>
      </c>
      <c r="L13" s="182"/>
      <c r="M13" s="184">
        <f t="shared" si="2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79">
        <v>9</v>
      </c>
      <c r="I14" s="180" t="str">
        <f t="shared" si="0"/>
        <v/>
      </c>
      <c r="J14" s="179" t="e">
        <f t="shared" si="5"/>
        <v>#NUM!</v>
      </c>
      <c r="K14" s="179" t="e">
        <f t="shared" si="1"/>
        <v>#NUM!</v>
      </c>
      <c r="L14" s="179"/>
      <c r="M14" s="181">
        <f t="shared" si="2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82">
        <v>10</v>
      </c>
      <c r="I15" s="183" t="str">
        <f t="shared" si="0"/>
        <v/>
      </c>
      <c r="J15" s="182" t="e">
        <f t="shared" si="5"/>
        <v>#NUM!</v>
      </c>
      <c r="K15" s="182" t="e">
        <f t="shared" si="1"/>
        <v>#NUM!</v>
      </c>
      <c r="L15" s="182"/>
      <c r="M15" s="184">
        <f t="shared" si="2"/>
        <v>0</v>
      </c>
      <c r="X15" s="185"/>
      <c r="Z15" s="186"/>
      <c r="AA15" s="186"/>
    </row>
    <row r="16" spans="1:36" x14ac:dyDescent="0.25">
      <c r="A16" s="96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79">
        <v>11</v>
      </c>
      <c r="I16" s="180" t="str">
        <f t="shared" si="0"/>
        <v/>
      </c>
      <c r="J16" s="179" t="e">
        <f t="shared" si="5"/>
        <v>#NUM!</v>
      </c>
      <c r="K16" s="179" t="e">
        <f t="shared" si="1"/>
        <v>#NUM!</v>
      </c>
      <c r="L16" s="179"/>
      <c r="M16" s="181">
        <f t="shared" si="2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82">
        <v>12</v>
      </c>
      <c r="I17" s="183" t="str">
        <f t="shared" si="0"/>
        <v/>
      </c>
      <c r="J17" s="182" t="e">
        <f t="shared" si="5"/>
        <v>#NUM!</v>
      </c>
      <c r="K17" s="182" t="e">
        <f t="shared" si="1"/>
        <v>#NUM!</v>
      </c>
      <c r="L17" s="182"/>
      <c r="M17" s="184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9">
        <v>13</v>
      </c>
      <c r="I18" s="180" t="str">
        <f t="shared" si="0"/>
        <v/>
      </c>
      <c r="J18" s="179" t="e">
        <f t="shared" si="5"/>
        <v>#NUM!</v>
      </c>
      <c r="K18" s="179" t="e">
        <f t="shared" si="1"/>
        <v>#NUM!</v>
      </c>
      <c r="L18" s="179"/>
      <c r="M18" s="181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82">
        <v>14</v>
      </c>
      <c r="I19" s="183" t="str">
        <f t="shared" si="0"/>
        <v/>
      </c>
      <c r="J19" s="182" t="e">
        <f t="shared" si="5"/>
        <v>#NUM!</v>
      </c>
      <c r="K19" s="182" t="e">
        <f t="shared" si="1"/>
        <v>#NUM!</v>
      </c>
      <c r="L19" s="182"/>
      <c r="M19" s="184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9">
        <v>15</v>
      </c>
      <c r="I20" s="180" t="str">
        <f t="shared" si="0"/>
        <v/>
      </c>
      <c r="J20" s="179" t="e">
        <f t="shared" si="5"/>
        <v>#NUM!</v>
      </c>
      <c r="K20" s="179" t="e">
        <f t="shared" si="1"/>
        <v>#NUM!</v>
      </c>
      <c r="L20" s="179"/>
      <c r="M20" s="181">
        <f t="shared" si="2"/>
        <v>0</v>
      </c>
      <c r="R20" s="192"/>
      <c r="S20" s="193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82">
        <v>16</v>
      </c>
      <c r="I21" s="183" t="str">
        <f t="shared" si="0"/>
        <v/>
      </c>
      <c r="J21" s="182" t="e">
        <f t="shared" si="5"/>
        <v>#NUM!</v>
      </c>
      <c r="K21" s="182" t="e">
        <f t="shared" si="1"/>
        <v>#NUM!</v>
      </c>
      <c r="L21" s="182"/>
      <c r="M21" s="184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9">
        <v>17</v>
      </c>
      <c r="I22" s="180" t="str">
        <f t="shared" si="0"/>
        <v/>
      </c>
      <c r="J22" s="179" t="e">
        <f t="shared" si="5"/>
        <v>#NUM!</v>
      </c>
      <c r="K22" s="179" t="e">
        <f t="shared" si="1"/>
        <v>#NUM!</v>
      </c>
      <c r="L22" s="179"/>
      <c r="M22" s="181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82">
        <v>18</v>
      </c>
      <c r="I23" s="183" t="str">
        <f t="shared" si="0"/>
        <v/>
      </c>
      <c r="J23" s="182" t="e">
        <f t="shared" si="5"/>
        <v>#NUM!</v>
      </c>
      <c r="K23" s="182" t="e">
        <f t="shared" si="1"/>
        <v>#NUM!</v>
      </c>
      <c r="L23" s="182"/>
      <c r="M23" s="184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9">
        <v>19</v>
      </c>
      <c r="I24" s="180" t="str">
        <f t="shared" si="0"/>
        <v/>
      </c>
      <c r="J24" s="179" t="e">
        <f t="shared" si="5"/>
        <v>#NUM!</v>
      </c>
      <c r="K24" s="179" t="e">
        <f t="shared" si="1"/>
        <v>#NUM!</v>
      </c>
      <c r="L24" s="179"/>
      <c r="M24" s="181">
        <f t="shared" si="2"/>
        <v>0</v>
      </c>
      <c r="R24" s="192"/>
      <c r="S24" s="193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82">
        <v>20</v>
      </c>
      <c r="I25" s="183" t="str">
        <f t="shared" si="0"/>
        <v/>
      </c>
      <c r="J25" s="182" t="e">
        <f t="shared" si="5"/>
        <v>#NUM!</v>
      </c>
      <c r="K25" s="182" t="e">
        <f t="shared" si="1"/>
        <v>#NUM!</v>
      </c>
      <c r="L25" s="182"/>
      <c r="M25" s="184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9">
        <v>21</v>
      </c>
      <c r="I26" s="180" t="str">
        <f t="shared" si="0"/>
        <v/>
      </c>
      <c r="J26" s="179" t="e">
        <f t="shared" si="5"/>
        <v>#NUM!</v>
      </c>
      <c r="K26" s="179" t="e">
        <f t="shared" si="1"/>
        <v>#NUM!</v>
      </c>
      <c r="L26" s="179"/>
      <c r="M26" s="181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82">
        <v>22</v>
      </c>
      <c r="I27" s="183" t="str">
        <f t="shared" si="0"/>
        <v/>
      </c>
      <c r="J27" s="182" t="e">
        <f t="shared" si="5"/>
        <v>#NUM!</v>
      </c>
      <c r="K27" s="182" t="e">
        <f t="shared" si="1"/>
        <v>#NUM!</v>
      </c>
      <c r="L27" s="182"/>
      <c r="M27" s="184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9">
        <v>23</v>
      </c>
      <c r="I28" s="180" t="str">
        <f t="shared" si="0"/>
        <v/>
      </c>
      <c r="J28" s="179" t="e">
        <f t="shared" si="5"/>
        <v>#NUM!</v>
      </c>
      <c r="K28" s="179" t="e">
        <f t="shared" si="1"/>
        <v>#NUM!</v>
      </c>
      <c r="L28" s="179"/>
      <c r="M28" s="181">
        <f t="shared" si="2"/>
        <v>0</v>
      </c>
      <c r="R28" s="192"/>
      <c r="S28" s="193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164"/>
      <c r="H29" s="182">
        <v>24</v>
      </c>
      <c r="I29" s="183" t="str">
        <f t="shared" si="0"/>
        <v/>
      </c>
      <c r="J29" s="182" t="e">
        <f t="shared" si="5"/>
        <v>#NUM!</v>
      </c>
      <c r="K29" s="182" t="e">
        <f t="shared" si="1"/>
        <v>#NUM!</v>
      </c>
      <c r="L29" s="182"/>
      <c r="M29" s="184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164"/>
      <c r="H30" s="179">
        <v>25</v>
      </c>
      <c r="I30" s="180" t="str">
        <f t="shared" si="0"/>
        <v/>
      </c>
      <c r="J30" s="179" t="e">
        <f t="shared" si="5"/>
        <v>#NUM!</v>
      </c>
      <c r="K30" s="179" t="e">
        <f t="shared" si="1"/>
        <v>#NUM!</v>
      </c>
      <c r="L30" s="179"/>
      <c r="M30" s="181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164"/>
      <c r="H31" s="182">
        <v>26</v>
      </c>
      <c r="I31" s="183" t="str">
        <f t="shared" si="0"/>
        <v/>
      </c>
      <c r="J31" s="182" t="e">
        <f t="shared" si="5"/>
        <v>#NUM!</v>
      </c>
      <c r="K31" s="182" t="e">
        <f t="shared" si="1"/>
        <v>#NUM!</v>
      </c>
      <c r="L31" s="182"/>
      <c r="M31" s="184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164"/>
      <c r="H32" s="179">
        <v>27</v>
      </c>
      <c r="I32" s="180" t="str">
        <f t="shared" si="0"/>
        <v/>
      </c>
      <c r="J32" s="179" t="e">
        <f t="shared" si="5"/>
        <v>#NUM!</v>
      </c>
      <c r="K32" s="179" t="e">
        <f t="shared" si="1"/>
        <v>#NUM!</v>
      </c>
      <c r="L32" s="179"/>
      <c r="M32" s="181">
        <f t="shared" si="2"/>
        <v>0</v>
      </c>
      <c r="R32" s="192"/>
      <c r="S32" s="193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164"/>
      <c r="H33" s="182">
        <v>28</v>
      </c>
      <c r="I33" s="183" t="str">
        <f t="shared" si="0"/>
        <v/>
      </c>
      <c r="J33" s="182" t="e">
        <f t="shared" si="5"/>
        <v>#NUM!</v>
      </c>
      <c r="K33" s="182" t="e">
        <f t="shared" si="1"/>
        <v>#NUM!</v>
      </c>
      <c r="L33" s="182"/>
      <c r="M33" s="184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164"/>
      <c r="H34" s="179">
        <v>29</v>
      </c>
      <c r="I34" s="180" t="str">
        <f t="shared" si="0"/>
        <v/>
      </c>
      <c r="J34" s="179" t="e">
        <f t="shared" si="5"/>
        <v>#NUM!</v>
      </c>
      <c r="K34" s="179" t="e">
        <f t="shared" si="1"/>
        <v>#NUM!</v>
      </c>
      <c r="L34" s="179"/>
      <c r="M34" s="181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164"/>
      <c r="H35" s="182">
        <v>30</v>
      </c>
      <c r="I35" s="183" t="str">
        <f t="shared" si="0"/>
        <v/>
      </c>
      <c r="J35" s="182" t="e">
        <f t="shared" si="5"/>
        <v>#NUM!</v>
      </c>
      <c r="K35" s="182" t="e">
        <f t="shared" si="1"/>
        <v>#NUM!</v>
      </c>
      <c r="L35" s="182"/>
      <c r="M35" s="184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164"/>
      <c r="H36" s="179">
        <v>31</v>
      </c>
      <c r="I36" s="180" t="str">
        <f t="shared" si="0"/>
        <v/>
      </c>
      <c r="J36" s="179" t="e">
        <f t="shared" si="5"/>
        <v>#NUM!</v>
      </c>
      <c r="K36" s="179" t="e">
        <f t="shared" si="1"/>
        <v>#NUM!</v>
      </c>
      <c r="L36" s="179"/>
      <c r="M36" s="181">
        <f t="shared" si="2"/>
        <v>0</v>
      </c>
      <c r="R36" s="192"/>
      <c r="S36" s="193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164"/>
      <c r="H37" s="182">
        <v>32</v>
      </c>
      <c r="I37" s="183" t="str">
        <f t="shared" si="0"/>
        <v/>
      </c>
      <c r="J37" s="182" t="e">
        <f t="shared" si="5"/>
        <v>#NUM!</v>
      </c>
      <c r="K37" s="182" t="e">
        <f t="shared" si="1"/>
        <v>#NUM!</v>
      </c>
      <c r="L37" s="182"/>
      <c r="M37" s="184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164"/>
      <c r="H38" s="179">
        <v>33</v>
      </c>
      <c r="I38" s="180" t="str">
        <f t="shared" si="0"/>
        <v/>
      </c>
      <c r="J38" s="179" t="e">
        <f t="shared" si="5"/>
        <v>#NUM!</v>
      </c>
      <c r="K38" s="179" t="e">
        <f t="shared" si="1"/>
        <v>#NUM!</v>
      </c>
      <c r="L38" s="179"/>
      <c r="M38" s="181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164"/>
      <c r="H39" s="182">
        <v>34</v>
      </c>
      <c r="I39" s="183" t="str">
        <f t="shared" si="0"/>
        <v/>
      </c>
      <c r="J39" s="182" t="e">
        <f t="shared" si="5"/>
        <v>#NUM!</v>
      </c>
      <c r="K39" s="182" t="e">
        <f t="shared" si="1"/>
        <v>#NUM!</v>
      </c>
      <c r="L39" s="182"/>
      <c r="M39" s="184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164"/>
      <c r="H40" s="179">
        <v>35</v>
      </c>
      <c r="I40" s="180" t="str">
        <f t="shared" si="0"/>
        <v/>
      </c>
      <c r="J40" s="179" t="e">
        <f t="shared" si="5"/>
        <v>#NUM!</v>
      </c>
      <c r="K40" s="179" t="e">
        <f t="shared" si="1"/>
        <v>#NUM!</v>
      </c>
      <c r="L40" s="179"/>
      <c r="M40" s="181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164"/>
      <c r="H41" s="182">
        <v>36</v>
      </c>
      <c r="I41" s="183" t="str">
        <f t="shared" si="0"/>
        <v/>
      </c>
      <c r="J41" s="182" t="e">
        <f t="shared" si="5"/>
        <v>#NUM!</v>
      </c>
      <c r="K41" s="182" t="e">
        <f t="shared" si="1"/>
        <v>#NUM!</v>
      </c>
      <c r="L41" s="182"/>
      <c r="M41" s="184">
        <f t="shared" si="2"/>
        <v>0</v>
      </c>
      <c r="S41" s="194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164"/>
      <c r="H42" s="179">
        <v>37</v>
      </c>
      <c r="I42" s="180" t="str">
        <f t="shared" si="0"/>
        <v/>
      </c>
      <c r="J42" s="179" t="e">
        <f t="shared" si="5"/>
        <v>#NUM!</v>
      </c>
      <c r="K42" s="179" t="e">
        <f t="shared" si="1"/>
        <v>#NUM!</v>
      </c>
      <c r="L42" s="179"/>
      <c r="M42" s="181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164"/>
      <c r="H43" s="182">
        <v>38</v>
      </c>
      <c r="I43" s="183" t="str">
        <f t="shared" si="0"/>
        <v/>
      </c>
      <c r="J43" s="182" t="e">
        <f t="shared" si="5"/>
        <v>#NUM!</v>
      </c>
      <c r="K43" s="182" t="e">
        <f t="shared" si="1"/>
        <v>#NUM!</v>
      </c>
      <c r="L43" s="182"/>
      <c r="M43" s="184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164"/>
      <c r="H44" s="179">
        <v>39</v>
      </c>
      <c r="I44" s="180" t="str">
        <f t="shared" si="0"/>
        <v/>
      </c>
      <c r="J44" s="179" t="e">
        <f t="shared" si="5"/>
        <v>#NUM!</v>
      </c>
      <c r="K44" s="179" t="e">
        <f t="shared" si="1"/>
        <v>#NUM!</v>
      </c>
      <c r="L44" s="179"/>
      <c r="M44" s="181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164"/>
      <c r="H45" s="182">
        <v>40</v>
      </c>
      <c r="I45" s="183" t="str">
        <f t="shared" si="0"/>
        <v/>
      </c>
      <c r="J45" s="182" t="e">
        <f t="shared" si="5"/>
        <v>#NUM!</v>
      </c>
      <c r="K45" s="182" t="e">
        <f t="shared" si="1"/>
        <v>#NUM!</v>
      </c>
      <c r="L45" s="182"/>
      <c r="M45" s="184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164"/>
      <c r="H46" s="179">
        <v>41</v>
      </c>
      <c r="I46" s="180" t="str">
        <f t="shared" si="0"/>
        <v/>
      </c>
      <c r="J46" s="179" t="e">
        <f t="shared" si="5"/>
        <v>#NUM!</v>
      </c>
      <c r="K46" s="179" t="e">
        <f t="shared" si="1"/>
        <v>#NUM!</v>
      </c>
      <c r="L46" s="179"/>
      <c r="M46" s="181">
        <f t="shared" si="2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164"/>
      <c r="H47" s="182">
        <v>42</v>
      </c>
      <c r="I47" s="183" t="str">
        <f t="shared" si="0"/>
        <v/>
      </c>
      <c r="J47" s="182" t="e">
        <f t="shared" si="5"/>
        <v>#NUM!</v>
      </c>
      <c r="K47" s="182" t="e">
        <f t="shared" si="1"/>
        <v>#NUM!</v>
      </c>
      <c r="L47" s="182"/>
      <c r="M47" s="184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164"/>
      <c r="H48" s="179">
        <v>43</v>
      </c>
      <c r="I48" s="180" t="str">
        <f t="shared" si="0"/>
        <v/>
      </c>
      <c r="J48" s="179" t="e">
        <f t="shared" si="5"/>
        <v>#NUM!</v>
      </c>
      <c r="K48" s="179" t="e">
        <f t="shared" si="1"/>
        <v>#NUM!</v>
      </c>
      <c r="L48" s="179"/>
      <c r="M48" s="181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164"/>
      <c r="H49" s="182">
        <v>44</v>
      </c>
      <c r="I49" s="183" t="str">
        <f t="shared" si="0"/>
        <v/>
      </c>
      <c r="J49" s="182" t="e">
        <f t="shared" si="5"/>
        <v>#NUM!</v>
      </c>
      <c r="K49" s="182" t="e">
        <f t="shared" si="1"/>
        <v>#NUM!</v>
      </c>
      <c r="L49" s="182"/>
      <c r="M49" s="184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164"/>
      <c r="H50" s="179">
        <v>45</v>
      </c>
      <c r="I50" s="180" t="str">
        <f t="shared" si="0"/>
        <v/>
      </c>
      <c r="J50" s="179" t="e">
        <f t="shared" si="5"/>
        <v>#NUM!</v>
      </c>
      <c r="K50" s="179" t="e">
        <f t="shared" si="1"/>
        <v>#NUM!</v>
      </c>
      <c r="L50" s="179"/>
      <c r="M50" s="181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164"/>
      <c r="H51" s="182">
        <v>46</v>
      </c>
      <c r="I51" s="183" t="str">
        <f t="shared" si="0"/>
        <v/>
      </c>
      <c r="J51" s="182" t="e">
        <f t="shared" si="5"/>
        <v>#NUM!</v>
      </c>
      <c r="K51" s="182" t="e">
        <f t="shared" si="1"/>
        <v>#NUM!</v>
      </c>
      <c r="L51" s="182"/>
      <c r="M51" s="184">
        <f t="shared" si="2"/>
        <v>0</v>
      </c>
    </row>
    <row r="52" spans="1:13" x14ac:dyDescent="0.25">
      <c r="A52" s="96"/>
      <c r="B52" s="34" t="str">
        <f t="shared" si="4"/>
        <v/>
      </c>
      <c r="C52" s="35"/>
      <c r="D52" s="35"/>
      <c r="E52" s="35"/>
      <c r="F52" s="35"/>
      <c r="G52" s="164"/>
      <c r="H52" s="179">
        <v>47</v>
      </c>
      <c r="I52" s="180" t="str">
        <f t="shared" si="0"/>
        <v/>
      </c>
      <c r="J52" s="179" t="e">
        <f t="shared" si="5"/>
        <v>#NUM!</v>
      </c>
      <c r="K52" s="179" t="e">
        <f t="shared" si="1"/>
        <v>#NUM!</v>
      </c>
      <c r="L52" s="179"/>
      <c r="M52" s="181">
        <f t="shared" si="2"/>
        <v>0</v>
      </c>
    </row>
    <row r="53" spans="1:13" x14ac:dyDescent="0.25">
      <c r="A53" s="100"/>
      <c r="B53" s="40" t="str">
        <f t="shared" si="4"/>
        <v/>
      </c>
      <c r="C53" s="41"/>
      <c r="D53" s="41"/>
      <c r="E53" s="41"/>
      <c r="F53" s="41"/>
      <c r="G53" s="164"/>
      <c r="H53" s="182">
        <v>48</v>
      </c>
      <c r="I53" s="183" t="str">
        <f t="shared" si="0"/>
        <v/>
      </c>
      <c r="J53" s="182" t="e">
        <f t="shared" si="5"/>
        <v>#NUM!</v>
      </c>
      <c r="K53" s="182" t="e">
        <f t="shared" si="1"/>
        <v>#NUM!</v>
      </c>
      <c r="L53" s="182"/>
      <c r="M53" s="184">
        <f t="shared" si="2"/>
        <v>0</v>
      </c>
    </row>
    <row r="54" spans="1:13" x14ac:dyDescent="0.25">
      <c r="A54" s="96"/>
      <c r="B54" s="34" t="str">
        <f t="shared" si="4"/>
        <v/>
      </c>
      <c r="C54" s="35"/>
      <c r="D54" s="35"/>
      <c r="E54" s="35"/>
      <c r="F54" s="35"/>
      <c r="G54" s="164"/>
      <c r="H54" s="179">
        <v>49</v>
      </c>
      <c r="I54" s="180" t="str">
        <f t="shared" si="0"/>
        <v/>
      </c>
      <c r="J54" s="179" t="e">
        <f t="shared" si="5"/>
        <v>#NUM!</v>
      </c>
      <c r="K54" s="179" t="e">
        <f t="shared" si="1"/>
        <v>#NUM!</v>
      </c>
      <c r="L54" s="179"/>
      <c r="M54" s="181">
        <f t="shared" si="2"/>
        <v>0</v>
      </c>
    </row>
    <row r="55" spans="1:13" x14ac:dyDescent="0.25">
      <c r="A55" s="100"/>
      <c r="B55" s="40" t="str">
        <f t="shared" si="4"/>
        <v/>
      </c>
      <c r="C55" s="41"/>
      <c r="D55" s="41"/>
      <c r="E55" s="41"/>
      <c r="F55" s="41"/>
      <c r="G55" s="164"/>
      <c r="H55" s="182">
        <v>50</v>
      </c>
      <c r="I55" s="183" t="str">
        <f t="shared" si="0"/>
        <v/>
      </c>
      <c r="J55" s="182" t="e">
        <f t="shared" si="5"/>
        <v>#NUM!</v>
      </c>
      <c r="K55" s="182" t="e">
        <f t="shared" si="1"/>
        <v>#NUM!</v>
      </c>
      <c r="L55" s="182"/>
      <c r="M55" s="184">
        <f t="shared" si="2"/>
        <v>0</v>
      </c>
    </row>
    <row r="56" spans="1:13" x14ac:dyDescent="0.25">
      <c r="A56" s="96"/>
      <c r="B56" s="34" t="str">
        <f t="shared" si="4"/>
        <v/>
      </c>
      <c r="C56" s="35"/>
      <c r="D56" s="35"/>
      <c r="E56" s="35"/>
      <c r="F56" s="35"/>
      <c r="G56" s="164"/>
      <c r="H56" s="179">
        <v>51</v>
      </c>
      <c r="I56" s="180" t="str">
        <f t="shared" si="0"/>
        <v/>
      </c>
      <c r="J56" s="179" t="e">
        <f t="shared" si="5"/>
        <v>#NUM!</v>
      </c>
      <c r="K56" s="179" t="e">
        <f t="shared" si="1"/>
        <v>#NUM!</v>
      </c>
      <c r="L56" s="179"/>
      <c r="M56" s="181">
        <f t="shared" si="2"/>
        <v>0</v>
      </c>
    </row>
    <row r="57" spans="1:13" x14ac:dyDescent="0.25">
      <c r="A57" s="100"/>
      <c r="B57" s="40" t="str">
        <f t="shared" si="4"/>
        <v/>
      </c>
      <c r="C57" s="41"/>
      <c r="D57" s="41"/>
      <c r="E57" s="41"/>
      <c r="F57" s="41"/>
      <c r="G57" s="164"/>
      <c r="H57" s="182">
        <v>52</v>
      </c>
      <c r="I57" s="183" t="str">
        <f t="shared" si="0"/>
        <v/>
      </c>
      <c r="J57" s="182" t="e">
        <f t="shared" si="5"/>
        <v>#NUM!</v>
      </c>
      <c r="K57" s="182" t="e">
        <f t="shared" si="1"/>
        <v>#NUM!</v>
      </c>
      <c r="L57" s="182"/>
      <c r="M57" s="184">
        <f t="shared" si="2"/>
        <v>0</v>
      </c>
    </row>
    <row r="58" spans="1:13" x14ac:dyDescent="0.25">
      <c r="A58" s="96"/>
      <c r="B58" s="34" t="str">
        <f t="shared" si="4"/>
        <v/>
      </c>
      <c r="C58" s="35"/>
      <c r="D58" s="35"/>
      <c r="E58" s="35"/>
      <c r="F58" s="35"/>
      <c r="G58" s="164"/>
      <c r="H58" s="179">
        <v>53</v>
      </c>
      <c r="I58" s="180" t="str">
        <f t="shared" si="0"/>
        <v/>
      </c>
      <c r="J58" s="179" t="e">
        <f t="shared" si="5"/>
        <v>#NUM!</v>
      </c>
      <c r="K58" s="179" t="e">
        <f t="shared" si="1"/>
        <v>#NUM!</v>
      </c>
      <c r="L58" s="179"/>
      <c r="M58" s="181">
        <f t="shared" si="2"/>
        <v>0</v>
      </c>
    </row>
    <row r="59" spans="1:13" x14ac:dyDescent="0.25">
      <c r="A59" s="100"/>
      <c r="B59" s="40" t="str">
        <f t="shared" si="4"/>
        <v/>
      </c>
      <c r="C59" s="41"/>
      <c r="D59" s="41"/>
      <c r="E59" s="41"/>
      <c r="F59" s="41"/>
      <c r="G59" s="164"/>
      <c r="H59" s="182">
        <v>54</v>
      </c>
      <c r="I59" s="183" t="str">
        <f t="shared" si="0"/>
        <v/>
      </c>
      <c r="J59" s="182" t="e">
        <f t="shared" si="5"/>
        <v>#NUM!</v>
      </c>
      <c r="K59" s="182" t="e">
        <f t="shared" si="1"/>
        <v>#NUM!</v>
      </c>
      <c r="L59" s="182"/>
      <c r="M59" s="184">
        <f t="shared" si="2"/>
        <v>0</v>
      </c>
    </row>
    <row r="60" spans="1:13" x14ac:dyDescent="0.25">
      <c r="A60" s="96"/>
      <c r="B60" s="34" t="str">
        <f t="shared" si="4"/>
        <v/>
      </c>
      <c r="C60" s="35"/>
      <c r="D60" s="35"/>
      <c r="E60" s="35"/>
      <c r="F60" s="35"/>
      <c r="G60" s="164"/>
      <c r="H60" s="179">
        <v>55</v>
      </c>
      <c r="I60" s="180" t="str">
        <f t="shared" si="0"/>
        <v/>
      </c>
      <c r="J60" s="179" t="e">
        <f t="shared" si="5"/>
        <v>#NUM!</v>
      </c>
      <c r="K60" s="179" t="e">
        <f t="shared" si="1"/>
        <v>#NUM!</v>
      </c>
      <c r="L60" s="179"/>
      <c r="M60" s="181">
        <f t="shared" si="2"/>
        <v>0</v>
      </c>
    </row>
    <row r="61" spans="1:13" x14ac:dyDescent="0.25">
      <c r="A61" s="100"/>
      <c r="B61" s="40" t="str">
        <f t="shared" si="4"/>
        <v/>
      </c>
      <c r="C61" s="41"/>
      <c r="D61" s="41"/>
      <c r="E61" s="41"/>
      <c r="F61" s="41"/>
      <c r="G61" s="164"/>
      <c r="H61" s="182">
        <v>56</v>
      </c>
      <c r="I61" s="183" t="str">
        <f t="shared" si="0"/>
        <v/>
      </c>
      <c r="J61" s="182" t="e">
        <f t="shared" si="5"/>
        <v>#NUM!</v>
      </c>
      <c r="K61" s="182" t="e">
        <f t="shared" si="1"/>
        <v>#NUM!</v>
      </c>
      <c r="L61" s="182"/>
      <c r="M61" s="184">
        <f t="shared" si="2"/>
        <v>0</v>
      </c>
    </row>
    <row r="62" spans="1:13" x14ac:dyDescent="0.25">
      <c r="A62" s="96"/>
      <c r="B62" s="34" t="str">
        <f t="shared" si="4"/>
        <v/>
      </c>
      <c r="C62" s="35"/>
      <c r="D62" s="35"/>
      <c r="E62" s="35"/>
      <c r="F62" s="35"/>
      <c r="G62" s="164"/>
      <c r="H62" s="179">
        <v>57</v>
      </c>
      <c r="I62" s="180" t="str">
        <f t="shared" si="0"/>
        <v/>
      </c>
      <c r="J62" s="179" t="e">
        <f t="shared" si="5"/>
        <v>#NUM!</v>
      </c>
      <c r="K62" s="179" t="e">
        <f t="shared" si="1"/>
        <v>#NUM!</v>
      </c>
      <c r="L62" s="179"/>
      <c r="M62" s="181">
        <f t="shared" si="2"/>
        <v>0</v>
      </c>
    </row>
    <row r="63" spans="1:13" x14ac:dyDescent="0.25">
      <c r="A63" s="100"/>
      <c r="B63" s="40" t="str">
        <f t="shared" si="4"/>
        <v/>
      </c>
      <c r="C63" s="41"/>
      <c r="D63" s="41"/>
      <c r="E63" s="41"/>
      <c r="F63" s="41"/>
      <c r="G63" s="164"/>
      <c r="H63" s="182">
        <v>58</v>
      </c>
      <c r="I63" s="183" t="str">
        <f t="shared" si="0"/>
        <v/>
      </c>
      <c r="J63" s="182" t="e">
        <f t="shared" si="5"/>
        <v>#NUM!</v>
      </c>
      <c r="K63" s="182" t="e">
        <f t="shared" si="1"/>
        <v>#NUM!</v>
      </c>
      <c r="L63" s="182"/>
      <c r="M63" s="184">
        <f t="shared" si="2"/>
        <v>0</v>
      </c>
    </row>
    <row r="64" spans="1:13" x14ac:dyDescent="0.25">
      <c r="A64" s="96"/>
      <c r="B64" s="34" t="str">
        <f t="shared" si="4"/>
        <v/>
      </c>
      <c r="C64" s="35"/>
      <c r="D64" s="35"/>
      <c r="E64" s="35"/>
      <c r="F64" s="35"/>
      <c r="G64" s="164"/>
      <c r="H64" s="179">
        <v>59</v>
      </c>
      <c r="I64" s="180" t="str">
        <f t="shared" si="0"/>
        <v/>
      </c>
      <c r="J64" s="179" t="e">
        <f t="shared" si="5"/>
        <v>#NUM!</v>
      </c>
      <c r="K64" s="179" t="e">
        <f t="shared" si="1"/>
        <v>#NUM!</v>
      </c>
      <c r="L64" s="179"/>
      <c r="M64" s="181">
        <f t="shared" si="2"/>
        <v>0</v>
      </c>
    </row>
    <row r="65" spans="1:13" x14ac:dyDescent="0.25">
      <c r="A65" s="100"/>
      <c r="B65" s="40" t="str">
        <f t="shared" si="4"/>
        <v/>
      </c>
      <c r="C65" s="41"/>
      <c r="D65" s="41"/>
      <c r="E65" s="41"/>
      <c r="F65" s="41"/>
      <c r="G65" s="164"/>
      <c r="H65" s="182">
        <v>60</v>
      </c>
      <c r="I65" s="183" t="str">
        <f t="shared" si="0"/>
        <v/>
      </c>
      <c r="J65" s="182" t="e">
        <f t="shared" si="5"/>
        <v>#NUM!</v>
      </c>
      <c r="K65" s="182" t="e">
        <f t="shared" si="1"/>
        <v>#NUM!</v>
      </c>
      <c r="L65" s="182"/>
      <c r="M65" s="184">
        <f t="shared" si="2"/>
        <v>0</v>
      </c>
    </row>
    <row r="66" spans="1:13" x14ac:dyDescent="0.25">
      <c r="A66" s="195"/>
      <c r="B66" s="34"/>
      <c r="G66" s="164"/>
      <c r="H66" s="179">
        <v>61</v>
      </c>
      <c r="I66" s="180" t="str">
        <f t="shared" si="0"/>
        <v/>
      </c>
      <c r="J66" s="179" t="e">
        <f t="shared" si="5"/>
        <v>#NUM!</v>
      </c>
      <c r="K66" s="179" t="e">
        <f t="shared" si="1"/>
        <v>#NUM!</v>
      </c>
      <c r="L66" s="179"/>
      <c r="M66" s="181">
        <f t="shared" si="2"/>
        <v>0</v>
      </c>
    </row>
    <row r="67" spans="1:13" x14ac:dyDescent="0.25">
      <c r="A67" s="195"/>
      <c r="B67" s="40"/>
      <c r="G67" s="164"/>
      <c r="H67" s="179">
        <v>62</v>
      </c>
      <c r="I67" s="180" t="str">
        <f t="shared" si="0"/>
        <v/>
      </c>
      <c r="J67" s="179" t="e">
        <f t="shared" si="5"/>
        <v>#NUM!</v>
      </c>
      <c r="K67" s="179" t="e">
        <f t="shared" si="1"/>
        <v>#NUM!</v>
      </c>
      <c r="L67" s="179"/>
      <c r="M67" s="181">
        <f t="shared" si="2"/>
        <v>0</v>
      </c>
    </row>
    <row r="68" spans="1:13" x14ac:dyDescent="0.25">
      <c r="A68" s="195"/>
      <c r="B68" s="34"/>
      <c r="G68" s="164"/>
      <c r="H68" s="179">
        <v>63</v>
      </c>
      <c r="I68" s="180" t="str">
        <f t="shared" si="0"/>
        <v/>
      </c>
      <c r="J68" s="179" t="e">
        <f t="shared" si="5"/>
        <v>#NUM!</v>
      </c>
      <c r="K68" s="179" t="e">
        <f t="shared" si="1"/>
        <v>#NUM!</v>
      </c>
      <c r="L68" s="179"/>
      <c r="M68" s="181">
        <f t="shared" si="2"/>
        <v>0</v>
      </c>
    </row>
    <row r="69" spans="1:13" x14ac:dyDescent="0.25">
      <c r="A69" s="195"/>
      <c r="B69" s="40"/>
      <c r="G69" s="164"/>
      <c r="H69" s="179">
        <v>64</v>
      </c>
      <c r="I69" s="180" t="str">
        <f t="shared" si="0"/>
        <v/>
      </c>
      <c r="J69" s="179" t="e">
        <f t="shared" si="5"/>
        <v>#NUM!</v>
      </c>
      <c r="K69" s="179" t="e">
        <f t="shared" si="1"/>
        <v>#NUM!</v>
      </c>
      <c r="L69" s="179"/>
      <c r="M69" s="181">
        <f t="shared" si="2"/>
        <v>0</v>
      </c>
    </row>
    <row r="70" spans="1:13" x14ac:dyDescent="0.25">
      <c r="A70" s="195"/>
      <c r="G70" s="164"/>
      <c r="H70" s="179">
        <v>65</v>
      </c>
      <c r="I70" s="180" t="str">
        <f t="shared" ref="I70:I133" si="6">IF(H70&lt;$H$2+1,($I$2-($I$2-1)*(LOG(H70)/LOG($H$2))),"")</f>
        <v/>
      </c>
      <c r="J70" s="179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95"/>
      <c r="G71" s="164"/>
      <c r="H71" s="179">
        <v>66</v>
      </c>
      <c r="I71" s="180" t="str">
        <f t="shared" si="6"/>
        <v/>
      </c>
      <c r="J71" s="179" t="e">
        <f t="shared" ref="J71:J134" si="9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95"/>
      <c r="G72" s="164"/>
      <c r="H72" s="179">
        <v>67</v>
      </c>
      <c r="I72" s="180" t="str">
        <f t="shared" si="6"/>
        <v/>
      </c>
      <c r="J72" s="179" t="e">
        <f t="shared" si="9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95"/>
      <c r="G73" s="164"/>
      <c r="H73" s="179">
        <v>68</v>
      </c>
      <c r="I73" s="180" t="str">
        <f t="shared" si="6"/>
        <v/>
      </c>
      <c r="J73" s="179" t="e">
        <f t="shared" si="9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95"/>
      <c r="G74" s="164"/>
      <c r="H74" s="179">
        <v>69</v>
      </c>
      <c r="I74" s="180" t="str">
        <f t="shared" si="6"/>
        <v/>
      </c>
      <c r="J74" s="179" t="e">
        <f t="shared" si="9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95"/>
      <c r="G75" s="164"/>
      <c r="H75" s="179">
        <v>70</v>
      </c>
      <c r="I75" s="180" t="str">
        <f t="shared" si="6"/>
        <v/>
      </c>
      <c r="J75" s="179" t="e">
        <f t="shared" si="9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95"/>
      <c r="G76" s="164"/>
      <c r="H76" s="179">
        <v>71</v>
      </c>
      <c r="I76" s="180" t="str">
        <f t="shared" si="6"/>
        <v/>
      </c>
      <c r="J76" s="179" t="e">
        <f t="shared" si="9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95"/>
      <c r="G77" s="164"/>
      <c r="H77" s="179">
        <v>72</v>
      </c>
      <c r="I77" s="180" t="str">
        <f t="shared" si="6"/>
        <v/>
      </c>
      <c r="J77" s="179" t="e">
        <f t="shared" si="9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95"/>
      <c r="G78" s="164"/>
      <c r="H78" s="179">
        <v>73</v>
      </c>
      <c r="I78" s="180" t="str">
        <f t="shared" si="6"/>
        <v/>
      </c>
      <c r="J78" s="179" t="e">
        <f t="shared" si="9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95"/>
      <c r="G79" s="164"/>
      <c r="H79" s="179">
        <v>74</v>
      </c>
      <c r="I79" s="180" t="str">
        <f t="shared" si="6"/>
        <v/>
      </c>
      <c r="J79" s="179" t="e">
        <f t="shared" si="9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195"/>
      <c r="G80" s="164"/>
      <c r="H80" s="179">
        <v>75</v>
      </c>
      <c r="I80" s="180" t="str">
        <f t="shared" si="6"/>
        <v/>
      </c>
      <c r="J80" s="179" t="e">
        <f t="shared" si="9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5"/>
      <c r="G81" s="164"/>
      <c r="H81" s="179">
        <v>76</v>
      </c>
      <c r="I81" s="180" t="str">
        <f t="shared" si="6"/>
        <v/>
      </c>
      <c r="J81" s="179" t="e">
        <f t="shared" si="9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5"/>
      <c r="G82" s="164"/>
      <c r="H82" s="179">
        <v>77</v>
      </c>
      <c r="I82" s="180" t="str">
        <f t="shared" si="6"/>
        <v/>
      </c>
      <c r="J82" s="179" t="e">
        <f t="shared" si="9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5"/>
      <c r="G83" s="164"/>
      <c r="H83" s="179">
        <v>78</v>
      </c>
      <c r="I83" s="180" t="str">
        <f t="shared" si="6"/>
        <v/>
      </c>
      <c r="J83" s="179" t="e">
        <f t="shared" si="9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5"/>
      <c r="G84" s="164"/>
      <c r="H84" s="179">
        <v>79</v>
      </c>
      <c r="I84" s="180" t="str">
        <f t="shared" si="6"/>
        <v/>
      </c>
      <c r="J84" s="179" t="e">
        <f t="shared" si="9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5"/>
      <c r="G85" s="164"/>
      <c r="H85" s="179">
        <v>80</v>
      </c>
      <c r="I85" s="180" t="str">
        <f t="shared" si="6"/>
        <v/>
      </c>
      <c r="J85" s="179" t="e">
        <f t="shared" si="9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5"/>
      <c r="G86" s="164"/>
      <c r="H86" s="179">
        <v>81</v>
      </c>
      <c r="I86" s="180" t="str">
        <f t="shared" si="6"/>
        <v/>
      </c>
      <c r="J86" s="179" t="e">
        <f t="shared" si="9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5"/>
      <c r="G87" s="164"/>
      <c r="H87" s="179">
        <v>82</v>
      </c>
      <c r="I87" s="180" t="str">
        <f t="shared" si="6"/>
        <v/>
      </c>
      <c r="J87" s="179" t="e">
        <f t="shared" si="9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5"/>
      <c r="G88" s="164"/>
      <c r="H88" s="179">
        <v>83</v>
      </c>
      <c r="I88" s="180" t="str">
        <f t="shared" si="6"/>
        <v/>
      </c>
      <c r="J88" s="179" t="e">
        <f t="shared" si="9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5"/>
      <c r="G89" s="164"/>
      <c r="H89" s="179">
        <v>84</v>
      </c>
      <c r="I89" s="180" t="str">
        <f t="shared" si="6"/>
        <v/>
      </c>
      <c r="J89" s="179" t="e">
        <f t="shared" si="9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5"/>
      <c r="G90" s="164"/>
      <c r="H90" s="179">
        <v>85</v>
      </c>
      <c r="I90" s="180" t="str">
        <f t="shared" si="6"/>
        <v/>
      </c>
      <c r="J90" s="179" t="e">
        <f t="shared" si="9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5"/>
      <c r="G91" s="164"/>
      <c r="H91" s="179">
        <v>86</v>
      </c>
      <c r="I91" s="180" t="str">
        <f t="shared" si="6"/>
        <v/>
      </c>
      <c r="J91" s="179" t="e">
        <f t="shared" si="9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5"/>
      <c r="G92" s="164"/>
      <c r="H92" s="179">
        <v>87</v>
      </c>
      <c r="I92" s="180" t="str">
        <f t="shared" si="6"/>
        <v/>
      </c>
      <c r="J92" s="179" t="e">
        <f t="shared" si="9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5"/>
      <c r="G93" s="164"/>
      <c r="H93" s="179">
        <v>88</v>
      </c>
      <c r="I93" s="180" t="str">
        <f t="shared" si="6"/>
        <v/>
      </c>
      <c r="J93" s="179" t="e">
        <f t="shared" si="9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5"/>
      <c r="G94" s="164"/>
      <c r="H94" s="179">
        <v>89</v>
      </c>
      <c r="I94" s="180" t="str">
        <f t="shared" si="6"/>
        <v/>
      </c>
      <c r="J94" s="179" t="e">
        <f t="shared" si="9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5"/>
      <c r="G95" s="164"/>
      <c r="H95" s="179">
        <v>90</v>
      </c>
      <c r="I95" s="180" t="str">
        <f t="shared" si="6"/>
        <v/>
      </c>
      <c r="J95" s="179" t="e">
        <f t="shared" si="9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5"/>
      <c r="G96" s="164"/>
      <c r="H96" s="179">
        <v>91</v>
      </c>
      <c r="I96" s="180" t="str">
        <f t="shared" si="6"/>
        <v/>
      </c>
      <c r="J96" s="179" t="e">
        <f t="shared" si="9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5"/>
      <c r="G97" s="164"/>
      <c r="H97" s="179">
        <v>92</v>
      </c>
      <c r="I97" s="180" t="str">
        <f t="shared" si="6"/>
        <v/>
      </c>
      <c r="J97" s="179" t="e">
        <f t="shared" si="9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5"/>
      <c r="G98" s="164"/>
      <c r="H98" s="179">
        <v>93</v>
      </c>
      <c r="I98" s="180" t="str">
        <f t="shared" si="6"/>
        <v/>
      </c>
      <c r="J98" s="179" t="e">
        <f t="shared" si="9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5"/>
      <c r="G99" s="164"/>
      <c r="H99" s="179">
        <v>94</v>
      </c>
      <c r="I99" s="180" t="str">
        <f t="shared" si="6"/>
        <v/>
      </c>
      <c r="J99" s="179" t="e">
        <f t="shared" si="9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5"/>
      <c r="G100" s="164"/>
      <c r="H100" s="179">
        <v>95</v>
      </c>
      <c r="I100" s="180" t="str">
        <f t="shared" si="6"/>
        <v/>
      </c>
      <c r="J100" s="179" t="e">
        <f t="shared" si="9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7"/>
      <c r="G101" s="164"/>
      <c r="H101" s="179">
        <v>96</v>
      </c>
      <c r="I101" s="180" t="str">
        <f t="shared" si="6"/>
        <v/>
      </c>
      <c r="J101" s="179" t="e">
        <f t="shared" si="9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7"/>
      <c r="G102" s="164"/>
      <c r="H102" s="179">
        <v>97</v>
      </c>
      <c r="I102" s="180" t="str">
        <f t="shared" si="6"/>
        <v/>
      </c>
      <c r="J102" s="179" t="e">
        <f t="shared" si="9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7"/>
      <c r="G103" s="164"/>
      <c r="H103" s="179">
        <v>98</v>
      </c>
      <c r="I103" s="180" t="str">
        <f t="shared" si="6"/>
        <v/>
      </c>
      <c r="J103" s="179" t="e">
        <f t="shared" si="9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7"/>
      <c r="G104" s="164"/>
      <c r="H104" s="179">
        <v>99</v>
      </c>
      <c r="I104" s="180" t="str">
        <f t="shared" si="6"/>
        <v/>
      </c>
      <c r="J104" s="179" t="e">
        <f t="shared" si="9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7"/>
      <c r="G105" s="164"/>
      <c r="H105" s="179">
        <v>100</v>
      </c>
      <c r="I105" s="180" t="str">
        <f t="shared" si="6"/>
        <v/>
      </c>
      <c r="J105" s="179" t="e">
        <f t="shared" si="9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7"/>
      <c r="G106" s="164"/>
      <c r="H106" s="179">
        <v>101</v>
      </c>
      <c r="I106" s="180" t="str">
        <f t="shared" si="6"/>
        <v/>
      </c>
      <c r="J106" s="179" t="e">
        <f t="shared" si="9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7"/>
      <c r="G107" s="164"/>
      <c r="H107" s="179">
        <v>102</v>
      </c>
      <c r="I107" s="180" t="str">
        <f t="shared" si="6"/>
        <v/>
      </c>
      <c r="J107" s="179" t="e">
        <f t="shared" si="9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7"/>
      <c r="G108" s="164"/>
      <c r="H108" s="179">
        <v>103</v>
      </c>
      <c r="I108" s="180" t="str">
        <f t="shared" si="6"/>
        <v/>
      </c>
      <c r="J108" s="179" t="e">
        <f t="shared" si="9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7"/>
      <c r="G109" s="164"/>
      <c r="H109" s="179">
        <v>104</v>
      </c>
      <c r="I109" s="180" t="str">
        <f t="shared" si="6"/>
        <v/>
      </c>
      <c r="J109" s="179" t="e">
        <f t="shared" si="9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7"/>
      <c r="G110" s="164"/>
      <c r="H110" s="179">
        <v>105</v>
      </c>
      <c r="I110" s="180" t="str">
        <f t="shared" si="6"/>
        <v/>
      </c>
      <c r="J110" s="179" t="e">
        <f t="shared" si="9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7"/>
      <c r="G111" s="164"/>
      <c r="H111" s="179">
        <v>106</v>
      </c>
      <c r="I111" s="180" t="str">
        <f t="shared" si="6"/>
        <v/>
      </c>
      <c r="J111" s="179" t="e">
        <f t="shared" si="9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7"/>
      <c r="G112" s="164"/>
      <c r="H112" s="179">
        <v>107</v>
      </c>
      <c r="I112" s="180" t="str">
        <f t="shared" si="6"/>
        <v/>
      </c>
      <c r="J112" s="179" t="e">
        <f t="shared" si="9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7"/>
      <c r="G113" s="164"/>
      <c r="H113" s="179">
        <v>108</v>
      </c>
      <c r="I113" s="180" t="str">
        <f t="shared" si="6"/>
        <v/>
      </c>
      <c r="J113" s="179" t="e">
        <f t="shared" si="9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7"/>
      <c r="G114" s="164"/>
      <c r="H114" s="179">
        <v>109</v>
      </c>
      <c r="I114" s="180" t="str">
        <f t="shared" si="6"/>
        <v/>
      </c>
      <c r="J114" s="179" t="e">
        <f t="shared" si="9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7"/>
      <c r="G115" s="164"/>
      <c r="H115" s="179">
        <v>110</v>
      </c>
      <c r="I115" s="180" t="str">
        <f t="shared" si="6"/>
        <v/>
      </c>
      <c r="J115" s="179" t="e">
        <f t="shared" si="9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7"/>
      <c r="G116" s="164"/>
      <c r="H116" s="179">
        <v>111</v>
      </c>
      <c r="I116" s="180" t="str">
        <f t="shared" si="6"/>
        <v/>
      </c>
      <c r="J116" s="179" t="e">
        <f t="shared" si="9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7"/>
      <c r="G117" s="164"/>
      <c r="H117" s="179">
        <v>112</v>
      </c>
      <c r="I117" s="180" t="str">
        <f t="shared" si="6"/>
        <v/>
      </c>
      <c r="J117" s="179" t="e">
        <f t="shared" si="9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7"/>
      <c r="G118" s="164"/>
      <c r="H118" s="179">
        <v>113</v>
      </c>
      <c r="I118" s="180" t="str">
        <f t="shared" si="6"/>
        <v/>
      </c>
      <c r="J118" s="179" t="e">
        <f t="shared" si="9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7"/>
      <c r="G119" s="164"/>
      <c r="H119" s="179">
        <v>114</v>
      </c>
      <c r="I119" s="180" t="str">
        <f t="shared" si="6"/>
        <v/>
      </c>
      <c r="J119" s="179" t="e">
        <f t="shared" si="9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7"/>
      <c r="G120" s="164"/>
      <c r="H120" s="179">
        <v>115</v>
      </c>
      <c r="I120" s="180" t="str">
        <f t="shared" si="6"/>
        <v/>
      </c>
      <c r="J120" s="179" t="e">
        <f t="shared" si="9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7"/>
      <c r="G121" s="164"/>
      <c r="H121" s="179">
        <v>116</v>
      </c>
      <c r="I121" s="180" t="str">
        <f t="shared" si="6"/>
        <v/>
      </c>
      <c r="J121" s="179" t="e">
        <f t="shared" si="9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7"/>
      <c r="G122" s="164"/>
      <c r="H122" s="179">
        <v>117</v>
      </c>
      <c r="I122" s="180" t="str">
        <f t="shared" si="6"/>
        <v/>
      </c>
      <c r="J122" s="179" t="e">
        <f t="shared" si="9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7"/>
      <c r="G123" s="164"/>
      <c r="H123" s="179">
        <v>118</v>
      </c>
      <c r="I123" s="180" t="str">
        <f t="shared" si="6"/>
        <v/>
      </c>
      <c r="J123" s="179" t="e">
        <f t="shared" si="9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7"/>
      <c r="G124" s="164"/>
      <c r="H124" s="179">
        <v>119</v>
      </c>
      <c r="I124" s="180" t="str">
        <f t="shared" si="6"/>
        <v/>
      </c>
      <c r="J124" s="179" t="e">
        <f t="shared" si="9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7"/>
      <c r="G125" s="164"/>
      <c r="H125" s="179">
        <v>120</v>
      </c>
      <c r="I125" s="180" t="str">
        <f t="shared" si="6"/>
        <v/>
      </c>
      <c r="J125" s="179" t="e">
        <f t="shared" si="9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7"/>
      <c r="G126" s="164"/>
      <c r="H126" s="179">
        <v>121</v>
      </c>
      <c r="I126" s="180" t="str">
        <f t="shared" si="6"/>
        <v/>
      </c>
      <c r="J126" s="179" t="e">
        <f t="shared" si="9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7"/>
      <c r="G127" s="164"/>
      <c r="H127" s="179">
        <v>122</v>
      </c>
      <c r="I127" s="180" t="str">
        <f t="shared" si="6"/>
        <v/>
      </c>
      <c r="J127" s="179" t="e">
        <f t="shared" si="9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7"/>
      <c r="G128" s="164"/>
      <c r="H128" s="179">
        <v>123</v>
      </c>
      <c r="I128" s="180" t="str">
        <f t="shared" si="6"/>
        <v/>
      </c>
      <c r="J128" s="179" t="e">
        <f t="shared" si="9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7"/>
      <c r="G129" s="164"/>
      <c r="H129" s="179">
        <v>124</v>
      </c>
      <c r="I129" s="180" t="str">
        <f t="shared" si="6"/>
        <v/>
      </c>
      <c r="J129" s="179" t="e">
        <f t="shared" si="9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7"/>
      <c r="G130" s="164"/>
      <c r="H130" s="179">
        <v>125</v>
      </c>
      <c r="I130" s="180" t="str">
        <f t="shared" si="6"/>
        <v/>
      </c>
      <c r="J130" s="179" t="e">
        <f t="shared" si="9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7"/>
      <c r="G131" s="164"/>
      <c r="H131" s="179">
        <v>126</v>
      </c>
      <c r="I131" s="180" t="str">
        <f t="shared" si="6"/>
        <v/>
      </c>
      <c r="J131" s="179" t="e">
        <f t="shared" si="9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7"/>
      <c r="G132" s="164"/>
      <c r="H132" s="179">
        <v>127</v>
      </c>
      <c r="I132" s="180" t="str">
        <f t="shared" si="6"/>
        <v/>
      </c>
      <c r="J132" s="179" t="e">
        <f t="shared" si="9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7"/>
      <c r="G133" s="164"/>
      <c r="H133" s="179">
        <v>128</v>
      </c>
      <c r="I133" s="180" t="str">
        <f t="shared" si="6"/>
        <v/>
      </c>
      <c r="J133" s="179" t="e">
        <f t="shared" si="9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7"/>
      <c r="G134" s="164"/>
      <c r="H134" s="179">
        <v>129</v>
      </c>
      <c r="I134" s="180" t="str">
        <f t="shared" ref="I134:I197" si="10">IF(H134&lt;$H$2+1,($I$2-($I$2-1)*(LOG(H134)/LOG($H$2))),"")</f>
        <v/>
      </c>
      <c r="J134" s="179" t="e">
        <f t="shared" si="9"/>
        <v>#NUM!</v>
      </c>
      <c r="K134" s="179" t="e">
        <f t="shared" ref="K134:K197" si="11">J134*$J$2</f>
        <v>#NUM!</v>
      </c>
      <c r="L134" s="179"/>
      <c r="M134" s="181">
        <f t="shared" ref="M134:M197" si="12">IF(I134&lt;&gt;"",K134+I134+L134,0)</f>
        <v>0</v>
      </c>
    </row>
    <row r="135" spans="1:13" x14ac:dyDescent="0.25">
      <c r="A135" s="197"/>
      <c r="G135" s="164"/>
      <c r="H135" s="179">
        <v>130</v>
      </c>
      <c r="I135" s="180" t="str">
        <f t="shared" si="10"/>
        <v/>
      </c>
      <c r="J135" s="179" t="e">
        <f t="shared" ref="J135:J198" si="13">INT(LOG($H$2,2))-ROUNDUP(LOG(H135,2),0)+IF(OR($H$2=1,$H$2=2,$H$2=4,$H$2=8,$H$2=16,$H$2=32,$H$2=64,$H$2=128,$H$2=256),0,1)</f>
        <v>#NUM!</v>
      </c>
      <c r="K135" s="179" t="e">
        <f t="shared" si="11"/>
        <v>#NUM!</v>
      </c>
      <c r="L135" s="179"/>
      <c r="M135" s="181">
        <f t="shared" si="12"/>
        <v>0</v>
      </c>
    </row>
    <row r="136" spans="1:13" x14ac:dyDescent="0.25">
      <c r="A136" s="197"/>
      <c r="G136" s="164"/>
      <c r="H136" s="179">
        <v>131</v>
      </c>
      <c r="I136" s="180" t="str">
        <f t="shared" si="10"/>
        <v/>
      </c>
      <c r="J136" s="179" t="e">
        <f t="shared" si="13"/>
        <v>#NUM!</v>
      </c>
      <c r="K136" s="179" t="e">
        <f t="shared" si="11"/>
        <v>#NUM!</v>
      </c>
      <c r="L136" s="179"/>
      <c r="M136" s="181">
        <f t="shared" si="12"/>
        <v>0</v>
      </c>
    </row>
    <row r="137" spans="1:13" x14ac:dyDescent="0.25">
      <c r="A137" s="197"/>
      <c r="G137" s="164"/>
      <c r="H137" s="179">
        <v>132</v>
      </c>
      <c r="I137" s="180" t="str">
        <f t="shared" si="10"/>
        <v/>
      </c>
      <c r="J137" s="179" t="e">
        <f t="shared" si="13"/>
        <v>#NUM!</v>
      </c>
      <c r="K137" s="179" t="e">
        <f t="shared" si="11"/>
        <v>#NUM!</v>
      </c>
      <c r="L137" s="179"/>
      <c r="M137" s="181">
        <f t="shared" si="12"/>
        <v>0</v>
      </c>
    </row>
    <row r="138" spans="1:13" x14ac:dyDescent="0.25">
      <c r="A138" s="197"/>
      <c r="G138" s="164"/>
      <c r="H138" s="179">
        <v>133</v>
      </c>
      <c r="I138" s="180" t="str">
        <f t="shared" si="10"/>
        <v/>
      </c>
      <c r="J138" s="179" t="e">
        <f t="shared" si="13"/>
        <v>#NUM!</v>
      </c>
      <c r="K138" s="179" t="e">
        <f t="shared" si="11"/>
        <v>#NUM!</v>
      </c>
      <c r="L138" s="179"/>
      <c r="M138" s="181">
        <f t="shared" si="12"/>
        <v>0</v>
      </c>
    </row>
    <row r="139" spans="1:13" x14ac:dyDescent="0.25">
      <c r="A139" s="197"/>
      <c r="G139" s="164"/>
      <c r="H139" s="179">
        <v>134</v>
      </c>
      <c r="I139" s="180" t="str">
        <f t="shared" si="10"/>
        <v/>
      </c>
      <c r="J139" s="179" t="e">
        <f t="shared" si="13"/>
        <v>#NUM!</v>
      </c>
      <c r="K139" s="179" t="e">
        <f t="shared" si="11"/>
        <v>#NUM!</v>
      </c>
      <c r="L139" s="179"/>
      <c r="M139" s="181">
        <f t="shared" si="12"/>
        <v>0</v>
      </c>
    </row>
    <row r="140" spans="1:13" x14ac:dyDescent="0.25">
      <c r="A140" s="197"/>
      <c r="G140" s="164"/>
      <c r="H140" s="179">
        <v>135</v>
      </c>
      <c r="I140" s="180" t="str">
        <f t="shared" si="10"/>
        <v/>
      </c>
      <c r="J140" s="179" t="e">
        <f t="shared" si="13"/>
        <v>#NUM!</v>
      </c>
      <c r="K140" s="179" t="e">
        <f t="shared" si="11"/>
        <v>#NUM!</v>
      </c>
      <c r="L140" s="179"/>
      <c r="M140" s="181">
        <f t="shared" si="12"/>
        <v>0</v>
      </c>
    </row>
    <row r="141" spans="1:13" x14ac:dyDescent="0.25">
      <c r="A141" s="197"/>
      <c r="G141" s="164"/>
      <c r="H141" s="179">
        <v>136</v>
      </c>
      <c r="I141" s="180" t="str">
        <f t="shared" si="10"/>
        <v/>
      </c>
      <c r="J141" s="179" t="e">
        <f t="shared" si="13"/>
        <v>#NUM!</v>
      </c>
      <c r="K141" s="179" t="e">
        <f t="shared" si="11"/>
        <v>#NUM!</v>
      </c>
      <c r="L141" s="179"/>
      <c r="M141" s="181">
        <f t="shared" si="12"/>
        <v>0</v>
      </c>
    </row>
    <row r="142" spans="1:13" x14ac:dyDescent="0.25">
      <c r="A142" s="197"/>
      <c r="G142" s="164"/>
      <c r="H142" s="179">
        <v>137</v>
      </c>
      <c r="I142" s="180" t="str">
        <f t="shared" si="10"/>
        <v/>
      </c>
      <c r="J142" s="179" t="e">
        <f t="shared" si="13"/>
        <v>#NUM!</v>
      </c>
      <c r="K142" s="179" t="e">
        <f t="shared" si="11"/>
        <v>#NUM!</v>
      </c>
      <c r="L142" s="179"/>
      <c r="M142" s="181">
        <f t="shared" si="12"/>
        <v>0</v>
      </c>
    </row>
    <row r="143" spans="1:13" x14ac:dyDescent="0.25">
      <c r="A143" s="197"/>
      <c r="G143" s="164"/>
      <c r="H143" s="179">
        <v>138</v>
      </c>
      <c r="I143" s="180" t="str">
        <f t="shared" si="10"/>
        <v/>
      </c>
      <c r="J143" s="179" t="e">
        <f t="shared" si="13"/>
        <v>#NUM!</v>
      </c>
      <c r="K143" s="179" t="e">
        <f t="shared" si="11"/>
        <v>#NUM!</v>
      </c>
      <c r="L143" s="179"/>
      <c r="M143" s="181">
        <f t="shared" si="12"/>
        <v>0</v>
      </c>
    </row>
    <row r="144" spans="1:13" x14ac:dyDescent="0.25">
      <c r="A144" s="197"/>
      <c r="G144" s="164"/>
      <c r="H144" s="179">
        <v>139</v>
      </c>
      <c r="I144" s="180" t="str">
        <f t="shared" si="10"/>
        <v/>
      </c>
      <c r="J144" s="179" t="e">
        <f t="shared" si="13"/>
        <v>#NUM!</v>
      </c>
      <c r="K144" s="179" t="e">
        <f t="shared" si="11"/>
        <v>#NUM!</v>
      </c>
      <c r="L144" s="179"/>
      <c r="M144" s="181">
        <f t="shared" si="12"/>
        <v>0</v>
      </c>
    </row>
    <row r="145" spans="1:13" x14ac:dyDescent="0.25">
      <c r="A145" s="197"/>
      <c r="G145" s="164"/>
      <c r="H145" s="179">
        <v>140</v>
      </c>
      <c r="I145" s="180" t="str">
        <f t="shared" si="10"/>
        <v/>
      </c>
      <c r="J145" s="179" t="e">
        <f t="shared" si="13"/>
        <v>#NUM!</v>
      </c>
      <c r="K145" s="179" t="e">
        <f t="shared" si="11"/>
        <v>#NUM!</v>
      </c>
      <c r="L145" s="179"/>
      <c r="M145" s="181">
        <f t="shared" si="12"/>
        <v>0</v>
      </c>
    </row>
    <row r="146" spans="1:13" x14ac:dyDescent="0.25">
      <c r="A146" s="197"/>
      <c r="G146" s="164"/>
      <c r="H146" s="179">
        <v>141</v>
      </c>
      <c r="I146" s="180" t="str">
        <f t="shared" si="10"/>
        <v/>
      </c>
      <c r="J146" s="179" t="e">
        <f t="shared" si="13"/>
        <v>#NUM!</v>
      </c>
      <c r="K146" s="179" t="e">
        <f t="shared" si="11"/>
        <v>#NUM!</v>
      </c>
      <c r="L146" s="179"/>
      <c r="M146" s="181">
        <f t="shared" si="12"/>
        <v>0</v>
      </c>
    </row>
    <row r="147" spans="1:13" x14ac:dyDescent="0.25">
      <c r="A147" s="197"/>
      <c r="G147" s="164"/>
      <c r="H147" s="179">
        <v>142</v>
      </c>
      <c r="I147" s="180" t="str">
        <f t="shared" si="10"/>
        <v/>
      </c>
      <c r="J147" s="179" t="e">
        <f t="shared" si="13"/>
        <v>#NUM!</v>
      </c>
      <c r="K147" s="179" t="e">
        <f t="shared" si="11"/>
        <v>#NUM!</v>
      </c>
      <c r="L147" s="179"/>
      <c r="M147" s="181">
        <f t="shared" si="12"/>
        <v>0</v>
      </c>
    </row>
    <row r="148" spans="1:13" x14ac:dyDescent="0.25">
      <c r="A148" s="197"/>
      <c r="G148" s="164"/>
      <c r="H148" s="179">
        <v>143</v>
      </c>
      <c r="I148" s="180" t="str">
        <f t="shared" si="10"/>
        <v/>
      </c>
      <c r="J148" s="179" t="e">
        <f t="shared" si="13"/>
        <v>#NUM!</v>
      </c>
      <c r="K148" s="179" t="e">
        <f t="shared" si="11"/>
        <v>#NUM!</v>
      </c>
      <c r="L148" s="179"/>
      <c r="M148" s="181">
        <f t="shared" si="12"/>
        <v>0</v>
      </c>
    </row>
    <row r="149" spans="1:13" x14ac:dyDescent="0.25">
      <c r="A149" s="197"/>
      <c r="G149" s="164"/>
      <c r="H149" s="179">
        <v>144</v>
      </c>
      <c r="I149" s="180" t="str">
        <f t="shared" si="10"/>
        <v/>
      </c>
      <c r="J149" s="179" t="e">
        <f t="shared" si="13"/>
        <v>#NUM!</v>
      </c>
      <c r="K149" s="179" t="e">
        <f t="shared" si="11"/>
        <v>#NUM!</v>
      </c>
      <c r="L149" s="179"/>
      <c r="M149" s="181">
        <f t="shared" si="12"/>
        <v>0</v>
      </c>
    </row>
    <row r="150" spans="1:13" x14ac:dyDescent="0.25">
      <c r="A150" s="197"/>
      <c r="G150" s="164"/>
      <c r="H150" s="179">
        <v>145</v>
      </c>
      <c r="I150" s="180" t="str">
        <f t="shared" si="10"/>
        <v/>
      </c>
      <c r="J150" s="179" t="e">
        <f t="shared" si="13"/>
        <v>#NUM!</v>
      </c>
      <c r="K150" s="179" t="e">
        <f t="shared" si="11"/>
        <v>#NUM!</v>
      </c>
      <c r="L150" s="179"/>
      <c r="M150" s="181">
        <f t="shared" si="12"/>
        <v>0</v>
      </c>
    </row>
    <row r="151" spans="1:13" x14ac:dyDescent="0.25">
      <c r="A151" s="197"/>
      <c r="G151" s="164"/>
      <c r="H151" s="179">
        <v>146</v>
      </c>
      <c r="I151" s="180" t="str">
        <f t="shared" si="10"/>
        <v/>
      </c>
      <c r="J151" s="179" t="e">
        <f t="shared" si="13"/>
        <v>#NUM!</v>
      </c>
      <c r="K151" s="179" t="e">
        <f t="shared" si="11"/>
        <v>#NUM!</v>
      </c>
      <c r="L151" s="179"/>
      <c r="M151" s="181">
        <f t="shared" si="12"/>
        <v>0</v>
      </c>
    </row>
    <row r="152" spans="1:13" x14ac:dyDescent="0.25">
      <c r="A152" s="197"/>
      <c r="G152" s="164"/>
      <c r="H152" s="179">
        <v>147</v>
      </c>
      <c r="I152" s="180" t="str">
        <f t="shared" si="10"/>
        <v/>
      </c>
      <c r="J152" s="179" t="e">
        <f t="shared" si="13"/>
        <v>#NUM!</v>
      </c>
      <c r="K152" s="179" t="e">
        <f t="shared" si="11"/>
        <v>#NUM!</v>
      </c>
      <c r="L152" s="179"/>
      <c r="M152" s="181">
        <f t="shared" si="12"/>
        <v>0</v>
      </c>
    </row>
    <row r="153" spans="1:13" x14ac:dyDescent="0.25">
      <c r="A153" s="197"/>
      <c r="G153" s="164"/>
      <c r="H153" s="179">
        <v>148</v>
      </c>
      <c r="I153" s="180" t="str">
        <f t="shared" si="10"/>
        <v/>
      </c>
      <c r="J153" s="179" t="e">
        <f t="shared" si="13"/>
        <v>#NUM!</v>
      </c>
      <c r="K153" s="179" t="e">
        <f t="shared" si="11"/>
        <v>#NUM!</v>
      </c>
      <c r="L153" s="179"/>
      <c r="M153" s="181">
        <f t="shared" si="12"/>
        <v>0</v>
      </c>
    </row>
    <row r="154" spans="1:13" x14ac:dyDescent="0.25">
      <c r="A154" s="197"/>
      <c r="G154" s="164"/>
      <c r="H154" s="179">
        <v>149</v>
      </c>
      <c r="I154" s="180" t="str">
        <f t="shared" si="10"/>
        <v/>
      </c>
      <c r="J154" s="179" t="e">
        <f t="shared" si="13"/>
        <v>#NUM!</v>
      </c>
      <c r="K154" s="179" t="e">
        <f t="shared" si="11"/>
        <v>#NUM!</v>
      </c>
      <c r="L154" s="179"/>
      <c r="M154" s="181">
        <f t="shared" si="12"/>
        <v>0</v>
      </c>
    </row>
    <row r="155" spans="1:13" x14ac:dyDescent="0.25">
      <c r="A155" s="197"/>
      <c r="G155" s="164"/>
      <c r="H155" s="179">
        <v>150</v>
      </c>
      <c r="I155" s="180" t="str">
        <f t="shared" si="10"/>
        <v/>
      </c>
      <c r="J155" s="179" t="e">
        <f t="shared" si="13"/>
        <v>#NUM!</v>
      </c>
      <c r="K155" s="179" t="e">
        <f t="shared" si="11"/>
        <v>#NUM!</v>
      </c>
      <c r="L155" s="179"/>
      <c r="M155" s="181">
        <f t="shared" si="12"/>
        <v>0</v>
      </c>
    </row>
    <row r="156" spans="1:13" x14ac:dyDescent="0.25">
      <c r="A156" s="197"/>
      <c r="G156" s="164"/>
      <c r="H156" s="179">
        <v>151</v>
      </c>
      <c r="I156" s="180" t="str">
        <f t="shared" si="10"/>
        <v/>
      </c>
      <c r="J156" s="179" t="e">
        <f t="shared" si="13"/>
        <v>#NUM!</v>
      </c>
      <c r="K156" s="179" t="e">
        <f t="shared" si="11"/>
        <v>#NUM!</v>
      </c>
      <c r="L156" s="179"/>
      <c r="M156" s="181">
        <f t="shared" si="12"/>
        <v>0</v>
      </c>
    </row>
    <row r="157" spans="1:13" x14ac:dyDescent="0.25">
      <c r="A157" s="197"/>
      <c r="G157" s="164"/>
      <c r="H157" s="179">
        <v>152</v>
      </c>
      <c r="I157" s="180" t="str">
        <f t="shared" si="10"/>
        <v/>
      </c>
      <c r="J157" s="179" t="e">
        <f t="shared" si="13"/>
        <v>#NUM!</v>
      </c>
      <c r="K157" s="179" t="e">
        <f t="shared" si="11"/>
        <v>#NUM!</v>
      </c>
      <c r="L157" s="179"/>
      <c r="M157" s="181">
        <f t="shared" si="12"/>
        <v>0</v>
      </c>
    </row>
    <row r="158" spans="1:13" x14ac:dyDescent="0.25">
      <c r="A158" s="197"/>
      <c r="G158" s="164"/>
      <c r="H158" s="179">
        <v>153</v>
      </c>
      <c r="I158" s="180" t="str">
        <f t="shared" si="10"/>
        <v/>
      </c>
      <c r="J158" s="179" t="e">
        <f t="shared" si="13"/>
        <v>#NUM!</v>
      </c>
      <c r="K158" s="179" t="e">
        <f t="shared" si="11"/>
        <v>#NUM!</v>
      </c>
      <c r="L158" s="179"/>
      <c r="M158" s="181">
        <f t="shared" si="12"/>
        <v>0</v>
      </c>
    </row>
    <row r="159" spans="1:13" x14ac:dyDescent="0.25">
      <c r="A159" s="197"/>
      <c r="G159" s="164"/>
      <c r="H159" s="179">
        <v>154</v>
      </c>
      <c r="I159" s="180" t="str">
        <f t="shared" si="10"/>
        <v/>
      </c>
      <c r="J159" s="179" t="e">
        <f t="shared" si="13"/>
        <v>#NUM!</v>
      </c>
      <c r="K159" s="179" t="e">
        <f t="shared" si="11"/>
        <v>#NUM!</v>
      </c>
      <c r="L159" s="179"/>
      <c r="M159" s="181">
        <f t="shared" si="12"/>
        <v>0</v>
      </c>
    </row>
    <row r="160" spans="1:13" x14ac:dyDescent="0.25">
      <c r="A160" s="197"/>
      <c r="G160" s="164"/>
      <c r="H160" s="179">
        <v>155</v>
      </c>
      <c r="I160" s="180" t="str">
        <f t="shared" si="10"/>
        <v/>
      </c>
      <c r="J160" s="179" t="e">
        <f t="shared" si="13"/>
        <v>#NUM!</v>
      </c>
      <c r="K160" s="179" t="e">
        <f t="shared" si="11"/>
        <v>#NUM!</v>
      </c>
      <c r="L160" s="179"/>
      <c r="M160" s="181">
        <f t="shared" si="12"/>
        <v>0</v>
      </c>
    </row>
    <row r="161" spans="1:13" x14ac:dyDescent="0.25">
      <c r="A161" s="197"/>
      <c r="G161" s="164"/>
      <c r="H161" s="179">
        <v>156</v>
      </c>
      <c r="I161" s="180" t="str">
        <f t="shared" si="10"/>
        <v/>
      </c>
      <c r="J161" s="179" t="e">
        <f t="shared" si="13"/>
        <v>#NUM!</v>
      </c>
      <c r="K161" s="179" t="e">
        <f t="shared" si="11"/>
        <v>#NUM!</v>
      </c>
      <c r="L161" s="179"/>
      <c r="M161" s="181">
        <f t="shared" si="12"/>
        <v>0</v>
      </c>
    </row>
    <row r="162" spans="1:13" x14ac:dyDescent="0.25">
      <c r="A162" s="197"/>
      <c r="G162" s="164"/>
      <c r="H162" s="179">
        <v>157</v>
      </c>
      <c r="I162" s="180" t="str">
        <f t="shared" si="10"/>
        <v/>
      </c>
      <c r="J162" s="179" t="e">
        <f t="shared" si="13"/>
        <v>#NUM!</v>
      </c>
      <c r="K162" s="179" t="e">
        <f t="shared" si="11"/>
        <v>#NUM!</v>
      </c>
      <c r="L162" s="179"/>
      <c r="M162" s="181">
        <f t="shared" si="12"/>
        <v>0</v>
      </c>
    </row>
    <row r="163" spans="1:13" x14ac:dyDescent="0.25">
      <c r="A163" s="197"/>
      <c r="G163" s="164"/>
      <c r="H163" s="179">
        <v>158</v>
      </c>
      <c r="I163" s="180" t="str">
        <f t="shared" si="10"/>
        <v/>
      </c>
      <c r="J163" s="179" t="e">
        <f t="shared" si="13"/>
        <v>#NUM!</v>
      </c>
      <c r="K163" s="179" t="e">
        <f t="shared" si="11"/>
        <v>#NUM!</v>
      </c>
      <c r="L163" s="179"/>
      <c r="M163" s="181">
        <f t="shared" si="12"/>
        <v>0</v>
      </c>
    </row>
    <row r="164" spans="1:13" x14ac:dyDescent="0.25">
      <c r="A164" s="197"/>
      <c r="G164" s="164"/>
      <c r="H164" s="179">
        <v>159</v>
      </c>
      <c r="I164" s="180" t="str">
        <f t="shared" si="10"/>
        <v/>
      </c>
      <c r="J164" s="179" t="e">
        <f t="shared" si="13"/>
        <v>#NUM!</v>
      </c>
      <c r="K164" s="179" t="e">
        <f t="shared" si="11"/>
        <v>#NUM!</v>
      </c>
      <c r="L164" s="179"/>
      <c r="M164" s="181">
        <f t="shared" si="12"/>
        <v>0</v>
      </c>
    </row>
    <row r="165" spans="1:13" x14ac:dyDescent="0.25">
      <c r="A165" s="197"/>
      <c r="G165" s="164"/>
      <c r="H165" s="179">
        <v>160</v>
      </c>
      <c r="I165" s="180" t="str">
        <f t="shared" si="10"/>
        <v/>
      </c>
      <c r="J165" s="179" t="e">
        <f t="shared" si="13"/>
        <v>#NUM!</v>
      </c>
      <c r="K165" s="179" t="e">
        <f t="shared" si="11"/>
        <v>#NUM!</v>
      </c>
      <c r="L165" s="179"/>
      <c r="M165" s="181">
        <f t="shared" si="12"/>
        <v>0</v>
      </c>
    </row>
    <row r="166" spans="1:13" x14ac:dyDescent="0.25">
      <c r="A166" s="197"/>
      <c r="G166" s="164"/>
      <c r="H166" s="179">
        <v>161</v>
      </c>
      <c r="I166" s="180" t="str">
        <f t="shared" si="10"/>
        <v/>
      </c>
      <c r="J166" s="179" t="e">
        <f t="shared" si="13"/>
        <v>#NUM!</v>
      </c>
      <c r="K166" s="179" t="e">
        <f t="shared" si="11"/>
        <v>#NUM!</v>
      </c>
      <c r="L166" s="179"/>
      <c r="M166" s="181">
        <f t="shared" si="12"/>
        <v>0</v>
      </c>
    </row>
    <row r="167" spans="1:13" x14ac:dyDescent="0.25">
      <c r="A167" s="197"/>
      <c r="G167" s="164"/>
      <c r="H167" s="179">
        <v>162</v>
      </c>
      <c r="I167" s="180" t="str">
        <f t="shared" si="10"/>
        <v/>
      </c>
      <c r="J167" s="179" t="e">
        <f t="shared" si="13"/>
        <v>#NUM!</v>
      </c>
      <c r="K167" s="179" t="e">
        <f t="shared" si="11"/>
        <v>#NUM!</v>
      </c>
      <c r="L167" s="179"/>
      <c r="M167" s="181">
        <f t="shared" si="12"/>
        <v>0</v>
      </c>
    </row>
    <row r="168" spans="1:13" x14ac:dyDescent="0.25">
      <c r="A168" s="197"/>
      <c r="G168" s="164"/>
      <c r="H168" s="179">
        <v>163</v>
      </c>
      <c r="I168" s="180" t="str">
        <f t="shared" si="10"/>
        <v/>
      </c>
      <c r="J168" s="179" t="e">
        <f t="shared" si="13"/>
        <v>#NUM!</v>
      </c>
      <c r="K168" s="179" t="e">
        <f t="shared" si="11"/>
        <v>#NUM!</v>
      </c>
      <c r="L168" s="179"/>
      <c r="M168" s="181">
        <f t="shared" si="12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0"/>
        <v/>
      </c>
      <c r="J169" s="179" t="e">
        <f t="shared" si="13"/>
        <v>#NUM!</v>
      </c>
      <c r="K169" s="179" t="e">
        <f t="shared" si="11"/>
        <v>#NUM!</v>
      </c>
      <c r="L169" s="179"/>
      <c r="M169" s="181">
        <f t="shared" si="12"/>
        <v>0</v>
      </c>
    </row>
    <row r="170" spans="1:13" x14ac:dyDescent="0.25">
      <c r="A170" s="197"/>
      <c r="G170" s="164"/>
      <c r="H170" s="179">
        <v>165</v>
      </c>
      <c r="I170" s="180" t="str">
        <f t="shared" si="10"/>
        <v/>
      </c>
      <c r="J170" s="179" t="e">
        <f t="shared" si="13"/>
        <v>#NUM!</v>
      </c>
      <c r="K170" s="179" t="e">
        <f t="shared" si="11"/>
        <v>#NUM!</v>
      </c>
      <c r="L170" s="179"/>
      <c r="M170" s="181">
        <f t="shared" si="12"/>
        <v>0</v>
      </c>
    </row>
    <row r="171" spans="1:13" x14ac:dyDescent="0.25">
      <c r="A171" s="197"/>
      <c r="G171" s="164"/>
      <c r="H171" s="179">
        <v>166</v>
      </c>
      <c r="I171" s="180" t="str">
        <f t="shared" si="10"/>
        <v/>
      </c>
      <c r="J171" s="179" t="e">
        <f t="shared" si="13"/>
        <v>#NUM!</v>
      </c>
      <c r="K171" s="179" t="e">
        <f t="shared" si="11"/>
        <v>#NUM!</v>
      </c>
      <c r="L171" s="179"/>
      <c r="M171" s="181">
        <f t="shared" si="12"/>
        <v>0</v>
      </c>
    </row>
    <row r="172" spans="1:13" x14ac:dyDescent="0.25">
      <c r="A172" s="197"/>
      <c r="G172" s="164"/>
      <c r="H172" s="179">
        <v>167</v>
      </c>
      <c r="I172" s="180" t="str">
        <f t="shared" si="10"/>
        <v/>
      </c>
      <c r="J172" s="179" t="e">
        <f t="shared" si="13"/>
        <v>#NUM!</v>
      </c>
      <c r="K172" s="179" t="e">
        <f t="shared" si="11"/>
        <v>#NUM!</v>
      </c>
      <c r="L172" s="179"/>
      <c r="M172" s="181">
        <f t="shared" si="12"/>
        <v>0</v>
      </c>
    </row>
    <row r="173" spans="1:13" x14ac:dyDescent="0.25">
      <c r="A173" s="197"/>
      <c r="G173" s="164"/>
      <c r="H173" s="179">
        <v>168</v>
      </c>
      <c r="I173" s="180" t="str">
        <f t="shared" si="10"/>
        <v/>
      </c>
      <c r="J173" s="179" t="e">
        <f t="shared" si="13"/>
        <v>#NUM!</v>
      </c>
      <c r="K173" s="179" t="e">
        <f t="shared" si="11"/>
        <v>#NUM!</v>
      </c>
      <c r="L173" s="179"/>
      <c r="M173" s="181">
        <f t="shared" si="12"/>
        <v>0</v>
      </c>
    </row>
    <row r="174" spans="1:13" x14ac:dyDescent="0.25">
      <c r="A174" s="197"/>
      <c r="G174" s="164"/>
      <c r="H174" s="179">
        <v>169</v>
      </c>
      <c r="I174" s="180" t="str">
        <f t="shared" si="10"/>
        <v/>
      </c>
      <c r="J174" s="179" t="e">
        <f t="shared" si="13"/>
        <v>#NUM!</v>
      </c>
      <c r="K174" s="179" t="e">
        <f t="shared" si="11"/>
        <v>#NUM!</v>
      </c>
      <c r="L174" s="179"/>
      <c r="M174" s="181">
        <f t="shared" si="12"/>
        <v>0</v>
      </c>
    </row>
    <row r="175" spans="1:13" x14ac:dyDescent="0.25">
      <c r="A175" s="197"/>
      <c r="G175" s="164"/>
      <c r="H175" s="179">
        <v>170</v>
      </c>
      <c r="I175" s="180" t="str">
        <f t="shared" si="10"/>
        <v/>
      </c>
      <c r="J175" s="179" t="e">
        <f t="shared" si="13"/>
        <v>#NUM!</v>
      </c>
      <c r="K175" s="179" t="e">
        <f t="shared" si="11"/>
        <v>#NUM!</v>
      </c>
      <c r="L175" s="179"/>
      <c r="M175" s="181">
        <f t="shared" si="12"/>
        <v>0</v>
      </c>
    </row>
    <row r="176" spans="1:13" x14ac:dyDescent="0.25">
      <c r="A176" s="197"/>
      <c r="G176" s="164"/>
      <c r="H176" s="179">
        <v>171</v>
      </c>
      <c r="I176" s="180" t="str">
        <f t="shared" si="10"/>
        <v/>
      </c>
      <c r="J176" s="179" t="e">
        <f t="shared" si="13"/>
        <v>#NUM!</v>
      </c>
      <c r="K176" s="179" t="e">
        <f t="shared" si="11"/>
        <v>#NUM!</v>
      </c>
      <c r="L176" s="179"/>
      <c r="M176" s="181">
        <f t="shared" si="12"/>
        <v>0</v>
      </c>
    </row>
    <row r="177" spans="1:13" x14ac:dyDescent="0.25">
      <c r="A177" s="197"/>
      <c r="G177" s="164"/>
      <c r="H177" s="179">
        <v>172</v>
      </c>
      <c r="I177" s="180" t="str">
        <f t="shared" si="10"/>
        <v/>
      </c>
      <c r="J177" s="179" t="e">
        <f t="shared" si="13"/>
        <v>#NUM!</v>
      </c>
      <c r="K177" s="179" t="e">
        <f t="shared" si="11"/>
        <v>#NUM!</v>
      </c>
      <c r="L177" s="179"/>
      <c r="M177" s="181">
        <f t="shared" si="12"/>
        <v>0</v>
      </c>
    </row>
    <row r="178" spans="1:13" x14ac:dyDescent="0.25">
      <c r="A178" s="197"/>
      <c r="G178" s="164"/>
      <c r="H178" s="179">
        <v>173</v>
      </c>
      <c r="I178" s="180" t="str">
        <f t="shared" si="10"/>
        <v/>
      </c>
      <c r="J178" s="179" t="e">
        <f t="shared" si="13"/>
        <v>#NUM!</v>
      </c>
      <c r="K178" s="179" t="e">
        <f t="shared" si="11"/>
        <v>#NUM!</v>
      </c>
      <c r="L178" s="179"/>
      <c r="M178" s="181">
        <f t="shared" si="12"/>
        <v>0</v>
      </c>
    </row>
    <row r="179" spans="1:13" x14ac:dyDescent="0.25">
      <c r="A179" s="197"/>
      <c r="G179" s="164"/>
      <c r="H179" s="179">
        <v>174</v>
      </c>
      <c r="I179" s="180" t="str">
        <f t="shared" si="10"/>
        <v/>
      </c>
      <c r="J179" s="179" t="e">
        <f t="shared" si="13"/>
        <v>#NUM!</v>
      </c>
      <c r="K179" s="179" t="e">
        <f t="shared" si="11"/>
        <v>#NUM!</v>
      </c>
      <c r="L179" s="179"/>
      <c r="M179" s="181">
        <f t="shared" si="12"/>
        <v>0</v>
      </c>
    </row>
    <row r="180" spans="1:13" x14ac:dyDescent="0.25">
      <c r="A180" s="197"/>
      <c r="G180" s="164"/>
      <c r="H180" s="179">
        <v>175</v>
      </c>
      <c r="I180" s="180" t="str">
        <f t="shared" si="10"/>
        <v/>
      </c>
      <c r="J180" s="179" t="e">
        <f t="shared" si="13"/>
        <v>#NUM!</v>
      </c>
      <c r="K180" s="179" t="e">
        <f t="shared" si="11"/>
        <v>#NUM!</v>
      </c>
      <c r="L180" s="179"/>
      <c r="M180" s="181">
        <f t="shared" si="12"/>
        <v>0</v>
      </c>
    </row>
    <row r="181" spans="1:13" x14ac:dyDescent="0.25">
      <c r="A181" s="197"/>
      <c r="G181" s="164"/>
      <c r="H181" s="179">
        <v>176</v>
      </c>
      <c r="I181" s="180" t="str">
        <f t="shared" si="10"/>
        <v/>
      </c>
      <c r="J181" s="179" t="e">
        <f t="shared" si="13"/>
        <v>#NUM!</v>
      </c>
      <c r="K181" s="179" t="e">
        <f t="shared" si="11"/>
        <v>#NUM!</v>
      </c>
      <c r="L181" s="179"/>
      <c r="M181" s="181">
        <f t="shared" si="12"/>
        <v>0</v>
      </c>
    </row>
    <row r="182" spans="1:13" x14ac:dyDescent="0.25">
      <c r="A182" s="197"/>
      <c r="G182" s="164"/>
      <c r="H182" s="179">
        <v>177</v>
      </c>
      <c r="I182" s="180" t="str">
        <f t="shared" si="10"/>
        <v/>
      </c>
      <c r="J182" s="179" t="e">
        <f t="shared" si="13"/>
        <v>#NUM!</v>
      </c>
      <c r="K182" s="179" t="e">
        <f t="shared" si="11"/>
        <v>#NUM!</v>
      </c>
      <c r="L182" s="179"/>
      <c r="M182" s="181">
        <f t="shared" si="12"/>
        <v>0</v>
      </c>
    </row>
    <row r="183" spans="1:13" x14ac:dyDescent="0.25">
      <c r="A183" s="197"/>
      <c r="G183" s="164"/>
      <c r="H183" s="179">
        <v>178</v>
      </c>
      <c r="I183" s="180" t="str">
        <f t="shared" si="10"/>
        <v/>
      </c>
      <c r="J183" s="179" t="e">
        <f t="shared" si="13"/>
        <v>#NUM!</v>
      </c>
      <c r="K183" s="179" t="e">
        <f t="shared" si="11"/>
        <v>#NUM!</v>
      </c>
      <c r="L183" s="179"/>
      <c r="M183" s="181">
        <f t="shared" si="12"/>
        <v>0</v>
      </c>
    </row>
    <row r="184" spans="1:13" x14ac:dyDescent="0.25">
      <c r="A184" s="197"/>
      <c r="G184" s="164"/>
      <c r="H184" s="179">
        <v>179</v>
      </c>
      <c r="I184" s="180" t="str">
        <f t="shared" si="10"/>
        <v/>
      </c>
      <c r="J184" s="179" t="e">
        <f t="shared" si="13"/>
        <v>#NUM!</v>
      </c>
      <c r="K184" s="179" t="e">
        <f t="shared" si="11"/>
        <v>#NUM!</v>
      </c>
      <c r="L184" s="179"/>
      <c r="M184" s="181">
        <f t="shared" si="12"/>
        <v>0</v>
      </c>
    </row>
    <row r="185" spans="1:13" x14ac:dyDescent="0.25">
      <c r="A185" s="197"/>
      <c r="G185" s="164"/>
      <c r="H185" s="179">
        <v>180</v>
      </c>
      <c r="I185" s="180" t="str">
        <f t="shared" si="10"/>
        <v/>
      </c>
      <c r="J185" s="179" t="e">
        <f t="shared" si="13"/>
        <v>#NUM!</v>
      </c>
      <c r="K185" s="179" t="e">
        <f t="shared" si="11"/>
        <v>#NUM!</v>
      </c>
      <c r="L185" s="179"/>
      <c r="M185" s="181">
        <f t="shared" si="12"/>
        <v>0</v>
      </c>
    </row>
    <row r="186" spans="1:13" x14ac:dyDescent="0.25">
      <c r="A186" s="197"/>
      <c r="G186" s="164"/>
      <c r="H186" s="179">
        <v>181</v>
      </c>
      <c r="I186" s="180" t="str">
        <f t="shared" si="10"/>
        <v/>
      </c>
      <c r="J186" s="179" t="e">
        <f t="shared" si="13"/>
        <v>#NUM!</v>
      </c>
      <c r="K186" s="179" t="e">
        <f t="shared" si="11"/>
        <v>#NUM!</v>
      </c>
      <c r="L186" s="179"/>
      <c r="M186" s="181">
        <f t="shared" si="12"/>
        <v>0</v>
      </c>
    </row>
    <row r="187" spans="1:13" x14ac:dyDescent="0.25">
      <c r="A187" s="197"/>
      <c r="G187" s="164"/>
      <c r="H187" s="179">
        <v>182</v>
      </c>
      <c r="I187" s="180" t="str">
        <f t="shared" si="10"/>
        <v/>
      </c>
      <c r="J187" s="179" t="e">
        <f t="shared" si="13"/>
        <v>#NUM!</v>
      </c>
      <c r="K187" s="179" t="e">
        <f t="shared" si="11"/>
        <v>#NUM!</v>
      </c>
      <c r="L187" s="179"/>
      <c r="M187" s="181">
        <f t="shared" si="12"/>
        <v>0</v>
      </c>
    </row>
    <row r="188" spans="1:13" x14ac:dyDescent="0.25">
      <c r="A188" s="197"/>
      <c r="G188" s="164"/>
      <c r="H188" s="179">
        <v>183</v>
      </c>
      <c r="I188" s="180" t="str">
        <f t="shared" si="10"/>
        <v/>
      </c>
      <c r="J188" s="179" t="e">
        <f t="shared" si="13"/>
        <v>#NUM!</v>
      </c>
      <c r="K188" s="179" t="e">
        <f t="shared" si="11"/>
        <v>#NUM!</v>
      </c>
      <c r="L188" s="179"/>
      <c r="M188" s="181">
        <f t="shared" si="12"/>
        <v>0</v>
      </c>
    </row>
    <row r="189" spans="1:13" x14ac:dyDescent="0.25">
      <c r="A189" s="197"/>
      <c r="G189" s="164"/>
      <c r="H189" s="179">
        <v>184</v>
      </c>
      <c r="I189" s="180" t="str">
        <f t="shared" si="10"/>
        <v/>
      </c>
      <c r="J189" s="179" t="e">
        <f t="shared" si="13"/>
        <v>#NUM!</v>
      </c>
      <c r="K189" s="179" t="e">
        <f t="shared" si="11"/>
        <v>#NUM!</v>
      </c>
      <c r="L189" s="179"/>
      <c r="M189" s="181">
        <f t="shared" si="12"/>
        <v>0</v>
      </c>
    </row>
    <row r="190" spans="1:13" x14ac:dyDescent="0.25">
      <c r="A190" s="197"/>
      <c r="G190" s="164"/>
      <c r="H190" s="179">
        <v>185</v>
      </c>
      <c r="I190" s="180" t="str">
        <f t="shared" si="10"/>
        <v/>
      </c>
      <c r="J190" s="179" t="e">
        <f t="shared" si="13"/>
        <v>#NUM!</v>
      </c>
      <c r="K190" s="179" t="e">
        <f t="shared" si="11"/>
        <v>#NUM!</v>
      </c>
      <c r="L190" s="179"/>
      <c r="M190" s="181">
        <f t="shared" si="12"/>
        <v>0</v>
      </c>
    </row>
    <row r="191" spans="1:13" x14ac:dyDescent="0.25">
      <c r="A191" s="197"/>
      <c r="G191" s="164"/>
      <c r="H191" s="179">
        <v>186</v>
      </c>
      <c r="I191" s="180" t="str">
        <f t="shared" si="10"/>
        <v/>
      </c>
      <c r="J191" s="179" t="e">
        <f t="shared" si="13"/>
        <v>#NUM!</v>
      </c>
      <c r="K191" s="179" t="e">
        <f t="shared" si="11"/>
        <v>#NUM!</v>
      </c>
      <c r="L191" s="179"/>
      <c r="M191" s="181">
        <f t="shared" si="12"/>
        <v>0</v>
      </c>
    </row>
    <row r="192" spans="1:13" x14ac:dyDescent="0.25">
      <c r="A192" s="197"/>
      <c r="G192" s="164"/>
      <c r="H192" s="179">
        <v>187</v>
      </c>
      <c r="I192" s="180" t="str">
        <f t="shared" si="10"/>
        <v/>
      </c>
      <c r="J192" s="179" t="e">
        <f t="shared" si="13"/>
        <v>#NUM!</v>
      </c>
      <c r="K192" s="179" t="e">
        <f t="shared" si="11"/>
        <v>#NUM!</v>
      </c>
      <c r="L192" s="179"/>
      <c r="M192" s="181">
        <f t="shared" si="12"/>
        <v>0</v>
      </c>
    </row>
    <row r="193" spans="1:13" x14ac:dyDescent="0.25">
      <c r="A193" s="197"/>
      <c r="G193" s="164"/>
      <c r="H193" s="179">
        <v>188</v>
      </c>
      <c r="I193" s="180" t="str">
        <f t="shared" si="10"/>
        <v/>
      </c>
      <c r="J193" s="179" t="e">
        <f t="shared" si="13"/>
        <v>#NUM!</v>
      </c>
      <c r="K193" s="179" t="e">
        <f t="shared" si="11"/>
        <v>#NUM!</v>
      </c>
      <c r="L193" s="179"/>
      <c r="M193" s="181">
        <f t="shared" si="12"/>
        <v>0</v>
      </c>
    </row>
    <row r="194" spans="1:13" x14ac:dyDescent="0.25">
      <c r="A194" s="197"/>
      <c r="G194" s="164"/>
      <c r="H194" s="179">
        <v>189</v>
      </c>
      <c r="I194" s="180" t="str">
        <f t="shared" si="10"/>
        <v/>
      </c>
      <c r="J194" s="179" t="e">
        <f t="shared" si="13"/>
        <v>#NUM!</v>
      </c>
      <c r="K194" s="179" t="e">
        <f t="shared" si="11"/>
        <v>#NUM!</v>
      </c>
      <c r="L194" s="179"/>
      <c r="M194" s="181">
        <f t="shared" si="12"/>
        <v>0</v>
      </c>
    </row>
    <row r="195" spans="1:13" x14ac:dyDescent="0.25">
      <c r="A195" s="197"/>
      <c r="G195" s="164"/>
      <c r="H195" s="179">
        <v>190</v>
      </c>
      <c r="I195" s="180" t="str">
        <f t="shared" si="10"/>
        <v/>
      </c>
      <c r="J195" s="179" t="e">
        <f t="shared" si="13"/>
        <v>#NUM!</v>
      </c>
      <c r="K195" s="179" t="e">
        <f t="shared" si="11"/>
        <v>#NUM!</v>
      </c>
      <c r="L195" s="179"/>
      <c r="M195" s="181">
        <f t="shared" si="12"/>
        <v>0</v>
      </c>
    </row>
    <row r="196" spans="1:13" x14ac:dyDescent="0.25">
      <c r="A196" s="197"/>
      <c r="G196" s="164"/>
      <c r="H196" s="179">
        <v>191</v>
      </c>
      <c r="I196" s="180" t="str">
        <f t="shared" si="10"/>
        <v/>
      </c>
      <c r="J196" s="179" t="e">
        <f t="shared" si="13"/>
        <v>#NUM!</v>
      </c>
      <c r="K196" s="179" t="e">
        <f t="shared" si="11"/>
        <v>#NUM!</v>
      </c>
      <c r="L196" s="179"/>
      <c r="M196" s="181">
        <f t="shared" si="12"/>
        <v>0</v>
      </c>
    </row>
    <row r="197" spans="1:13" x14ac:dyDescent="0.25">
      <c r="A197" s="197"/>
      <c r="G197" s="164"/>
      <c r="H197" s="179">
        <v>192</v>
      </c>
      <c r="I197" s="180" t="str">
        <f t="shared" si="10"/>
        <v/>
      </c>
      <c r="J197" s="179" t="e">
        <f t="shared" si="13"/>
        <v>#NUM!</v>
      </c>
      <c r="K197" s="179" t="e">
        <f t="shared" si="11"/>
        <v>#NUM!</v>
      </c>
      <c r="L197" s="179"/>
      <c r="M197" s="181">
        <f t="shared" si="12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4">IF(H198&lt;$H$2+1,($I$2-($I$2-1)*(LOG(H198)/LOG($H$2))),"")</f>
        <v/>
      </c>
      <c r="J198" s="179" t="e">
        <f t="shared" si="13"/>
        <v>#NUM!</v>
      </c>
      <c r="K198" s="179" t="e">
        <f t="shared" ref="K198:K261" si="15">J198*$J$2</f>
        <v>#NUM!</v>
      </c>
      <c r="L198" s="179"/>
      <c r="M198" s="181">
        <f t="shared" ref="M198:M261" si="16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4"/>
        <v/>
      </c>
      <c r="J199" s="179" t="e">
        <f t="shared" ref="J199:J262" si="17">INT(LOG($H$2,2))-ROUNDUP(LOG(H199,2),0)+IF(OR($H$2=1,$H$2=2,$H$2=4,$H$2=8,$H$2=16,$H$2=32,$H$2=64,$H$2=128,$H$2=256),0,1)</f>
        <v>#NUM!</v>
      </c>
      <c r="K199" s="179" t="e">
        <f t="shared" si="15"/>
        <v>#NUM!</v>
      </c>
      <c r="L199" s="179"/>
      <c r="M199" s="181">
        <f t="shared" si="16"/>
        <v>0</v>
      </c>
    </row>
    <row r="200" spans="1:13" x14ac:dyDescent="0.25">
      <c r="A200" s="197"/>
      <c r="G200" s="164"/>
      <c r="H200" s="179">
        <v>195</v>
      </c>
      <c r="I200" s="180" t="str">
        <f t="shared" si="14"/>
        <v/>
      </c>
      <c r="J200" s="179" t="e">
        <f t="shared" si="17"/>
        <v>#NUM!</v>
      </c>
      <c r="K200" s="179" t="e">
        <f t="shared" si="15"/>
        <v>#NUM!</v>
      </c>
      <c r="L200" s="179"/>
      <c r="M200" s="181">
        <f t="shared" si="16"/>
        <v>0</v>
      </c>
    </row>
    <row r="201" spans="1:13" x14ac:dyDescent="0.25">
      <c r="A201" s="197"/>
      <c r="G201" s="164"/>
      <c r="H201" s="179">
        <v>196</v>
      </c>
      <c r="I201" s="180" t="str">
        <f t="shared" si="14"/>
        <v/>
      </c>
      <c r="J201" s="179" t="e">
        <f t="shared" si="17"/>
        <v>#NUM!</v>
      </c>
      <c r="K201" s="179" t="e">
        <f t="shared" si="15"/>
        <v>#NUM!</v>
      </c>
      <c r="L201" s="179"/>
      <c r="M201" s="181">
        <f t="shared" si="16"/>
        <v>0</v>
      </c>
    </row>
    <row r="202" spans="1:13" x14ac:dyDescent="0.25">
      <c r="A202" s="197"/>
      <c r="G202" s="164"/>
      <c r="H202" s="179">
        <v>197</v>
      </c>
      <c r="I202" s="180" t="str">
        <f t="shared" si="14"/>
        <v/>
      </c>
      <c r="J202" s="179" t="e">
        <f t="shared" si="17"/>
        <v>#NUM!</v>
      </c>
      <c r="K202" s="179" t="e">
        <f t="shared" si="15"/>
        <v>#NUM!</v>
      </c>
      <c r="L202" s="179"/>
      <c r="M202" s="181">
        <f t="shared" si="16"/>
        <v>0</v>
      </c>
    </row>
    <row r="203" spans="1:13" x14ac:dyDescent="0.25">
      <c r="A203" s="197"/>
      <c r="G203" s="164"/>
      <c r="H203" s="179">
        <v>198</v>
      </c>
      <c r="I203" s="180" t="str">
        <f t="shared" si="14"/>
        <v/>
      </c>
      <c r="J203" s="179" t="e">
        <f t="shared" si="17"/>
        <v>#NUM!</v>
      </c>
      <c r="K203" s="179" t="e">
        <f t="shared" si="15"/>
        <v>#NUM!</v>
      </c>
      <c r="L203" s="179"/>
      <c r="M203" s="181">
        <f t="shared" si="16"/>
        <v>0</v>
      </c>
    </row>
    <row r="204" spans="1:13" x14ac:dyDescent="0.25">
      <c r="A204" s="197"/>
      <c r="G204" s="164"/>
      <c r="H204" s="179">
        <v>199</v>
      </c>
      <c r="I204" s="180" t="str">
        <f t="shared" si="14"/>
        <v/>
      </c>
      <c r="J204" s="179" t="e">
        <f t="shared" si="17"/>
        <v>#NUM!</v>
      </c>
      <c r="K204" s="179" t="e">
        <f t="shared" si="15"/>
        <v>#NUM!</v>
      </c>
      <c r="L204" s="179"/>
      <c r="M204" s="181">
        <f t="shared" si="16"/>
        <v>0</v>
      </c>
    </row>
    <row r="205" spans="1:13" x14ac:dyDescent="0.25">
      <c r="A205" s="197"/>
      <c r="G205" s="164"/>
      <c r="H205" s="179">
        <v>200</v>
      </c>
      <c r="I205" s="180" t="str">
        <f t="shared" si="14"/>
        <v/>
      </c>
      <c r="J205" s="179" t="e">
        <f t="shared" si="17"/>
        <v>#NUM!</v>
      </c>
      <c r="K205" s="179" t="e">
        <f t="shared" si="15"/>
        <v>#NUM!</v>
      </c>
      <c r="L205" s="179"/>
      <c r="M205" s="181">
        <f t="shared" si="16"/>
        <v>0</v>
      </c>
    </row>
    <row r="206" spans="1:13" x14ac:dyDescent="0.25">
      <c r="A206" s="197"/>
      <c r="G206" s="164"/>
      <c r="H206" s="179">
        <v>201</v>
      </c>
      <c r="I206" s="180" t="str">
        <f t="shared" si="14"/>
        <v/>
      </c>
      <c r="J206" s="179" t="e">
        <f t="shared" si="17"/>
        <v>#NUM!</v>
      </c>
      <c r="K206" s="179" t="e">
        <f t="shared" si="15"/>
        <v>#NUM!</v>
      </c>
      <c r="L206" s="179"/>
      <c r="M206" s="181">
        <f t="shared" si="16"/>
        <v>0</v>
      </c>
    </row>
    <row r="207" spans="1:13" x14ac:dyDescent="0.25">
      <c r="A207" s="197"/>
      <c r="G207" s="164"/>
      <c r="H207" s="179">
        <v>202</v>
      </c>
      <c r="I207" s="180" t="str">
        <f t="shared" si="14"/>
        <v/>
      </c>
      <c r="J207" s="179" t="e">
        <f t="shared" si="17"/>
        <v>#NUM!</v>
      </c>
      <c r="K207" s="179" t="e">
        <f t="shared" si="15"/>
        <v>#NUM!</v>
      </c>
      <c r="L207" s="179"/>
      <c r="M207" s="181">
        <f t="shared" si="16"/>
        <v>0</v>
      </c>
    </row>
    <row r="208" spans="1:13" x14ac:dyDescent="0.25">
      <c r="A208" s="197"/>
      <c r="G208" s="164"/>
      <c r="H208" s="179">
        <v>203</v>
      </c>
      <c r="I208" s="180" t="str">
        <f t="shared" si="14"/>
        <v/>
      </c>
      <c r="J208" s="179" t="e">
        <f t="shared" si="17"/>
        <v>#NUM!</v>
      </c>
      <c r="K208" s="179" t="e">
        <f t="shared" si="15"/>
        <v>#NUM!</v>
      </c>
      <c r="L208" s="179"/>
      <c r="M208" s="181">
        <f t="shared" si="16"/>
        <v>0</v>
      </c>
    </row>
    <row r="209" spans="1:13" x14ac:dyDescent="0.25">
      <c r="A209" s="197"/>
      <c r="G209" s="164"/>
      <c r="H209" s="179">
        <v>204</v>
      </c>
      <c r="I209" s="180" t="str">
        <f t="shared" si="14"/>
        <v/>
      </c>
      <c r="J209" s="179" t="e">
        <f t="shared" si="17"/>
        <v>#NUM!</v>
      </c>
      <c r="K209" s="179" t="e">
        <f t="shared" si="15"/>
        <v>#NUM!</v>
      </c>
      <c r="L209" s="179"/>
      <c r="M209" s="181">
        <f t="shared" si="16"/>
        <v>0</v>
      </c>
    </row>
    <row r="210" spans="1:13" x14ac:dyDescent="0.25">
      <c r="A210" s="197"/>
      <c r="G210" s="164"/>
      <c r="H210" s="179">
        <v>205</v>
      </c>
      <c r="I210" s="180" t="str">
        <f t="shared" si="14"/>
        <v/>
      </c>
      <c r="J210" s="179" t="e">
        <f t="shared" si="17"/>
        <v>#NUM!</v>
      </c>
      <c r="K210" s="179" t="e">
        <f t="shared" si="15"/>
        <v>#NUM!</v>
      </c>
      <c r="L210" s="179"/>
      <c r="M210" s="181">
        <f t="shared" si="16"/>
        <v>0</v>
      </c>
    </row>
    <row r="211" spans="1:13" x14ac:dyDescent="0.25">
      <c r="A211" s="197"/>
      <c r="G211" s="164"/>
      <c r="H211" s="179">
        <v>206</v>
      </c>
      <c r="I211" s="180" t="str">
        <f t="shared" si="14"/>
        <v/>
      </c>
      <c r="J211" s="179" t="e">
        <f t="shared" si="17"/>
        <v>#NUM!</v>
      </c>
      <c r="K211" s="179" t="e">
        <f t="shared" si="15"/>
        <v>#NUM!</v>
      </c>
      <c r="L211" s="179"/>
      <c r="M211" s="181">
        <f t="shared" si="16"/>
        <v>0</v>
      </c>
    </row>
    <row r="212" spans="1:13" x14ac:dyDescent="0.25">
      <c r="A212" s="197"/>
      <c r="G212" s="164"/>
      <c r="H212" s="179">
        <v>207</v>
      </c>
      <c r="I212" s="180" t="str">
        <f t="shared" si="14"/>
        <v/>
      </c>
      <c r="J212" s="179" t="e">
        <f t="shared" si="17"/>
        <v>#NUM!</v>
      </c>
      <c r="K212" s="179" t="e">
        <f t="shared" si="15"/>
        <v>#NUM!</v>
      </c>
      <c r="L212" s="179"/>
      <c r="M212" s="181">
        <f t="shared" si="16"/>
        <v>0</v>
      </c>
    </row>
    <row r="213" spans="1:13" x14ac:dyDescent="0.25">
      <c r="A213" s="197"/>
      <c r="G213" s="164"/>
      <c r="H213" s="179">
        <v>208</v>
      </c>
      <c r="I213" s="180" t="str">
        <f t="shared" si="14"/>
        <v/>
      </c>
      <c r="J213" s="179" t="e">
        <f t="shared" si="17"/>
        <v>#NUM!</v>
      </c>
      <c r="K213" s="179" t="e">
        <f t="shared" si="15"/>
        <v>#NUM!</v>
      </c>
      <c r="L213" s="179"/>
      <c r="M213" s="181">
        <f t="shared" si="16"/>
        <v>0</v>
      </c>
    </row>
    <row r="214" spans="1:13" x14ac:dyDescent="0.25">
      <c r="A214" s="197"/>
      <c r="G214" s="164"/>
      <c r="H214" s="179">
        <v>209</v>
      </c>
      <c r="I214" s="180" t="str">
        <f t="shared" si="14"/>
        <v/>
      </c>
      <c r="J214" s="179" t="e">
        <f t="shared" si="17"/>
        <v>#NUM!</v>
      </c>
      <c r="K214" s="179" t="e">
        <f t="shared" si="15"/>
        <v>#NUM!</v>
      </c>
      <c r="L214" s="179"/>
      <c r="M214" s="181">
        <f t="shared" si="16"/>
        <v>0</v>
      </c>
    </row>
    <row r="215" spans="1:13" x14ac:dyDescent="0.25">
      <c r="A215" s="197"/>
      <c r="G215" s="164"/>
      <c r="H215" s="179">
        <v>210</v>
      </c>
      <c r="I215" s="180" t="str">
        <f t="shared" si="14"/>
        <v/>
      </c>
      <c r="J215" s="179" t="e">
        <f t="shared" si="17"/>
        <v>#NUM!</v>
      </c>
      <c r="K215" s="179" t="e">
        <f t="shared" si="15"/>
        <v>#NUM!</v>
      </c>
      <c r="L215" s="179"/>
      <c r="M215" s="181">
        <f t="shared" si="16"/>
        <v>0</v>
      </c>
    </row>
    <row r="216" spans="1:13" x14ac:dyDescent="0.25">
      <c r="A216" s="197"/>
      <c r="G216" s="164"/>
      <c r="H216" s="179">
        <v>211</v>
      </c>
      <c r="I216" s="180" t="str">
        <f t="shared" si="14"/>
        <v/>
      </c>
      <c r="J216" s="179" t="e">
        <f t="shared" si="17"/>
        <v>#NUM!</v>
      </c>
      <c r="K216" s="179" t="e">
        <f t="shared" si="15"/>
        <v>#NUM!</v>
      </c>
      <c r="L216" s="179"/>
      <c r="M216" s="181">
        <f t="shared" si="16"/>
        <v>0</v>
      </c>
    </row>
    <row r="217" spans="1:13" x14ac:dyDescent="0.25">
      <c r="A217" s="197"/>
      <c r="G217" s="164"/>
      <c r="H217" s="179">
        <v>212</v>
      </c>
      <c r="I217" s="180" t="str">
        <f t="shared" si="14"/>
        <v/>
      </c>
      <c r="J217" s="179" t="e">
        <f t="shared" si="17"/>
        <v>#NUM!</v>
      </c>
      <c r="K217" s="179" t="e">
        <f t="shared" si="15"/>
        <v>#NUM!</v>
      </c>
      <c r="L217" s="179"/>
      <c r="M217" s="181">
        <f t="shared" si="16"/>
        <v>0</v>
      </c>
    </row>
    <row r="218" spans="1:13" x14ac:dyDescent="0.25">
      <c r="A218" s="197"/>
      <c r="G218" s="164"/>
      <c r="H218" s="179">
        <v>213</v>
      </c>
      <c r="I218" s="180" t="str">
        <f t="shared" si="14"/>
        <v/>
      </c>
      <c r="J218" s="179" t="e">
        <f t="shared" si="17"/>
        <v>#NUM!</v>
      </c>
      <c r="K218" s="179" t="e">
        <f t="shared" si="15"/>
        <v>#NUM!</v>
      </c>
      <c r="L218" s="179"/>
      <c r="M218" s="181">
        <f t="shared" si="16"/>
        <v>0</v>
      </c>
    </row>
    <row r="219" spans="1:13" x14ac:dyDescent="0.25">
      <c r="A219" s="197"/>
      <c r="G219" s="164"/>
      <c r="H219" s="179">
        <v>214</v>
      </c>
      <c r="I219" s="180" t="str">
        <f t="shared" si="14"/>
        <v/>
      </c>
      <c r="J219" s="179" t="e">
        <f t="shared" si="17"/>
        <v>#NUM!</v>
      </c>
      <c r="K219" s="179" t="e">
        <f t="shared" si="15"/>
        <v>#NUM!</v>
      </c>
      <c r="L219" s="179"/>
      <c r="M219" s="181">
        <f t="shared" si="16"/>
        <v>0</v>
      </c>
    </row>
    <row r="220" spans="1:13" x14ac:dyDescent="0.25">
      <c r="A220" s="197"/>
      <c r="G220" s="164"/>
      <c r="H220" s="179">
        <v>215</v>
      </c>
      <c r="I220" s="180" t="str">
        <f t="shared" si="14"/>
        <v/>
      </c>
      <c r="J220" s="179" t="e">
        <f t="shared" si="17"/>
        <v>#NUM!</v>
      </c>
      <c r="K220" s="179" t="e">
        <f t="shared" si="15"/>
        <v>#NUM!</v>
      </c>
      <c r="L220" s="179"/>
      <c r="M220" s="181">
        <f t="shared" si="16"/>
        <v>0</v>
      </c>
    </row>
    <row r="221" spans="1:13" x14ac:dyDescent="0.25">
      <c r="A221" s="197"/>
      <c r="G221" s="164"/>
      <c r="H221" s="179">
        <v>216</v>
      </c>
      <c r="I221" s="180" t="str">
        <f t="shared" si="14"/>
        <v/>
      </c>
      <c r="J221" s="179" t="e">
        <f t="shared" si="17"/>
        <v>#NUM!</v>
      </c>
      <c r="K221" s="179" t="e">
        <f t="shared" si="15"/>
        <v>#NUM!</v>
      </c>
      <c r="L221" s="179"/>
      <c r="M221" s="181">
        <f t="shared" si="16"/>
        <v>0</v>
      </c>
    </row>
    <row r="222" spans="1:13" x14ac:dyDescent="0.25">
      <c r="A222" s="197"/>
      <c r="G222" s="164"/>
      <c r="H222" s="179">
        <v>217</v>
      </c>
      <c r="I222" s="180" t="str">
        <f t="shared" si="14"/>
        <v/>
      </c>
      <c r="J222" s="179" t="e">
        <f t="shared" si="17"/>
        <v>#NUM!</v>
      </c>
      <c r="K222" s="179" t="e">
        <f t="shared" si="15"/>
        <v>#NUM!</v>
      </c>
      <c r="L222" s="179"/>
      <c r="M222" s="181">
        <f t="shared" si="16"/>
        <v>0</v>
      </c>
    </row>
    <row r="223" spans="1:13" x14ac:dyDescent="0.25">
      <c r="A223" s="197"/>
      <c r="G223" s="164"/>
      <c r="H223" s="179">
        <v>218</v>
      </c>
      <c r="I223" s="180" t="str">
        <f t="shared" si="14"/>
        <v/>
      </c>
      <c r="J223" s="179" t="e">
        <f t="shared" si="17"/>
        <v>#NUM!</v>
      </c>
      <c r="K223" s="179" t="e">
        <f t="shared" si="15"/>
        <v>#NUM!</v>
      </c>
      <c r="L223" s="179"/>
      <c r="M223" s="181">
        <f t="shared" si="16"/>
        <v>0</v>
      </c>
    </row>
    <row r="224" spans="1:13" x14ac:dyDescent="0.25">
      <c r="A224" s="197"/>
      <c r="G224" s="164"/>
      <c r="H224" s="179">
        <v>219</v>
      </c>
      <c r="I224" s="180" t="str">
        <f t="shared" si="14"/>
        <v/>
      </c>
      <c r="J224" s="179" t="e">
        <f t="shared" si="17"/>
        <v>#NUM!</v>
      </c>
      <c r="K224" s="179" t="e">
        <f t="shared" si="15"/>
        <v>#NUM!</v>
      </c>
      <c r="L224" s="179"/>
      <c r="M224" s="181">
        <f t="shared" si="16"/>
        <v>0</v>
      </c>
    </row>
    <row r="225" spans="1:13" x14ac:dyDescent="0.25">
      <c r="A225" s="197"/>
      <c r="G225" s="164"/>
      <c r="H225" s="179">
        <v>220</v>
      </c>
      <c r="I225" s="180" t="str">
        <f t="shared" si="14"/>
        <v/>
      </c>
      <c r="J225" s="179" t="e">
        <f t="shared" si="17"/>
        <v>#NUM!</v>
      </c>
      <c r="K225" s="179" t="e">
        <f t="shared" si="15"/>
        <v>#NUM!</v>
      </c>
      <c r="L225" s="179"/>
      <c r="M225" s="181">
        <f t="shared" si="16"/>
        <v>0</v>
      </c>
    </row>
    <row r="226" spans="1:13" x14ac:dyDescent="0.25">
      <c r="A226" s="197"/>
      <c r="G226" s="164"/>
      <c r="H226" s="179">
        <v>221</v>
      </c>
      <c r="I226" s="180" t="str">
        <f t="shared" si="14"/>
        <v/>
      </c>
      <c r="J226" s="179" t="e">
        <f t="shared" si="17"/>
        <v>#NUM!</v>
      </c>
      <c r="K226" s="179" t="e">
        <f t="shared" si="15"/>
        <v>#NUM!</v>
      </c>
      <c r="L226" s="179"/>
      <c r="M226" s="181">
        <f t="shared" si="16"/>
        <v>0</v>
      </c>
    </row>
    <row r="227" spans="1:13" x14ac:dyDescent="0.25">
      <c r="A227" s="197"/>
      <c r="G227" s="164"/>
      <c r="H227" s="179">
        <v>222</v>
      </c>
      <c r="I227" s="180" t="str">
        <f t="shared" si="14"/>
        <v/>
      </c>
      <c r="J227" s="179" t="e">
        <f t="shared" si="17"/>
        <v>#NUM!</v>
      </c>
      <c r="K227" s="179" t="e">
        <f t="shared" si="15"/>
        <v>#NUM!</v>
      </c>
      <c r="L227" s="179"/>
      <c r="M227" s="181">
        <f t="shared" si="16"/>
        <v>0</v>
      </c>
    </row>
    <row r="228" spans="1:13" x14ac:dyDescent="0.25">
      <c r="A228" s="197"/>
      <c r="G228" s="164"/>
      <c r="H228" s="179">
        <v>223</v>
      </c>
      <c r="I228" s="180" t="str">
        <f t="shared" si="14"/>
        <v/>
      </c>
      <c r="J228" s="179" t="e">
        <f t="shared" si="17"/>
        <v>#NUM!</v>
      </c>
      <c r="K228" s="179" t="e">
        <f t="shared" si="15"/>
        <v>#NUM!</v>
      </c>
      <c r="L228" s="179"/>
      <c r="M228" s="181">
        <f t="shared" si="16"/>
        <v>0</v>
      </c>
    </row>
    <row r="229" spans="1:13" x14ac:dyDescent="0.25">
      <c r="A229" s="197"/>
      <c r="G229" s="164"/>
      <c r="H229" s="179">
        <v>224</v>
      </c>
      <c r="I229" s="180" t="str">
        <f t="shared" si="14"/>
        <v/>
      </c>
      <c r="J229" s="179" t="e">
        <f t="shared" si="17"/>
        <v>#NUM!</v>
      </c>
      <c r="K229" s="179" t="e">
        <f t="shared" si="15"/>
        <v>#NUM!</v>
      </c>
      <c r="L229" s="179"/>
      <c r="M229" s="181">
        <f t="shared" si="16"/>
        <v>0</v>
      </c>
    </row>
    <row r="230" spans="1:13" x14ac:dyDescent="0.25">
      <c r="A230" s="197"/>
      <c r="G230" s="164"/>
      <c r="H230" s="179">
        <v>225</v>
      </c>
      <c r="I230" s="180" t="str">
        <f t="shared" si="14"/>
        <v/>
      </c>
      <c r="J230" s="179" t="e">
        <f t="shared" si="17"/>
        <v>#NUM!</v>
      </c>
      <c r="K230" s="179" t="e">
        <f t="shared" si="15"/>
        <v>#NUM!</v>
      </c>
      <c r="L230" s="179"/>
      <c r="M230" s="181">
        <f t="shared" si="16"/>
        <v>0</v>
      </c>
    </row>
    <row r="231" spans="1:13" x14ac:dyDescent="0.25">
      <c r="A231" s="197"/>
      <c r="G231" s="164"/>
      <c r="H231" s="179">
        <v>226</v>
      </c>
      <c r="I231" s="180" t="str">
        <f t="shared" si="14"/>
        <v/>
      </c>
      <c r="J231" s="179" t="e">
        <f t="shared" si="17"/>
        <v>#NUM!</v>
      </c>
      <c r="K231" s="179" t="e">
        <f t="shared" si="15"/>
        <v>#NUM!</v>
      </c>
      <c r="L231" s="179"/>
      <c r="M231" s="181">
        <f t="shared" si="16"/>
        <v>0</v>
      </c>
    </row>
    <row r="232" spans="1:13" x14ac:dyDescent="0.25">
      <c r="A232" s="197"/>
      <c r="G232" s="164"/>
      <c r="H232" s="179">
        <v>227</v>
      </c>
      <c r="I232" s="180" t="str">
        <f t="shared" si="14"/>
        <v/>
      </c>
      <c r="J232" s="179" t="e">
        <f t="shared" si="17"/>
        <v>#NUM!</v>
      </c>
      <c r="K232" s="179" t="e">
        <f t="shared" si="15"/>
        <v>#NUM!</v>
      </c>
      <c r="L232" s="179"/>
      <c r="M232" s="181">
        <f t="shared" si="16"/>
        <v>0</v>
      </c>
    </row>
    <row r="233" spans="1:13" x14ac:dyDescent="0.25">
      <c r="A233" s="197"/>
      <c r="G233" s="164"/>
      <c r="H233" s="179">
        <v>228</v>
      </c>
      <c r="I233" s="180" t="str">
        <f t="shared" si="14"/>
        <v/>
      </c>
      <c r="J233" s="179" t="e">
        <f t="shared" si="17"/>
        <v>#NUM!</v>
      </c>
      <c r="K233" s="179" t="e">
        <f t="shared" si="15"/>
        <v>#NUM!</v>
      </c>
      <c r="L233" s="179"/>
      <c r="M233" s="181">
        <f t="shared" si="16"/>
        <v>0</v>
      </c>
    </row>
    <row r="234" spans="1:13" x14ac:dyDescent="0.25">
      <c r="A234" s="197"/>
      <c r="G234" s="164"/>
      <c r="H234" s="179">
        <v>229</v>
      </c>
      <c r="I234" s="180" t="str">
        <f t="shared" si="14"/>
        <v/>
      </c>
      <c r="J234" s="179" t="e">
        <f t="shared" si="17"/>
        <v>#NUM!</v>
      </c>
      <c r="K234" s="179" t="e">
        <f t="shared" si="15"/>
        <v>#NUM!</v>
      </c>
      <c r="L234" s="179"/>
      <c r="M234" s="181">
        <f t="shared" si="16"/>
        <v>0</v>
      </c>
    </row>
    <row r="235" spans="1:13" x14ac:dyDescent="0.25">
      <c r="A235" s="197"/>
      <c r="G235" s="164"/>
      <c r="H235" s="179">
        <v>230</v>
      </c>
      <c r="I235" s="180" t="str">
        <f t="shared" si="14"/>
        <v/>
      </c>
      <c r="J235" s="179" t="e">
        <f t="shared" si="17"/>
        <v>#NUM!</v>
      </c>
      <c r="K235" s="179" t="e">
        <f t="shared" si="15"/>
        <v>#NUM!</v>
      </c>
      <c r="L235" s="179"/>
      <c r="M235" s="181">
        <f t="shared" si="16"/>
        <v>0</v>
      </c>
    </row>
    <row r="236" spans="1:13" x14ac:dyDescent="0.25">
      <c r="A236" s="197"/>
      <c r="G236" s="164"/>
      <c r="H236" s="179">
        <v>231</v>
      </c>
      <c r="I236" s="180" t="str">
        <f t="shared" si="14"/>
        <v/>
      </c>
      <c r="J236" s="179" t="e">
        <f t="shared" si="17"/>
        <v>#NUM!</v>
      </c>
      <c r="K236" s="179" t="e">
        <f t="shared" si="15"/>
        <v>#NUM!</v>
      </c>
      <c r="L236" s="179"/>
      <c r="M236" s="181">
        <f t="shared" si="16"/>
        <v>0</v>
      </c>
    </row>
    <row r="237" spans="1:13" x14ac:dyDescent="0.25">
      <c r="A237" s="197"/>
      <c r="G237" s="164"/>
      <c r="H237" s="179">
        <v>232</v>
      </c>
      <c r="I237" s="180" t="str">
        <f t="shared" si="14"/>
        <v/>
      </c>
      <c r="J237" s="179" t="e">
        <f t="shared" si="17"/>
        <v>#NUM!</v>
      </c>
      <c r="K237" s="179" t="e">
        <f t="shared" si="15"/>
        <v>#NUM!</v>
      </c>
      <c r="L237" s="179"/>
      <c r="M237" s="181">
        <f t="shared" si="16"/>
        <v>0</v>
      </c>
    </row>
    <row r="238" spans="1:13" x14ac:dyDescent="0.25">
      <c r="A238" s="197"/>
      <c r="G238" s="164"/>
      <c r="H238" s="179">
        <v>233</v>
      </c>
      <c r="I238" s="180" t="str">
        <f t="shared" si="14"/>
        <v/>
      </c>
      <c r="J238" s="179" t="e">
        <f t="shared" si="17"/>
        <v>#NUM!</v>
      </c>
      <c r="K238" s="179" t="e">
        <f t="shared" si="15"/>
        <v>#NUM!</v>
      </c>
      <c r="L238" s="179"/>
      <c r="M238" s="181">
        <f t="shared" si="16"/>
        <v>0</v>
      </c>
    </row>
    <row r="239" spans="1:13" x14ac:dyDescent="0.25">
      <c r="A239" s="197"/>
      <c r="G239" s="164"/>
      <c r="H239" s="179">
        <v>234</v>
      </c>
      <c r="I239" s="180" t="str">
        <f t="shared" si="14"/>
        <v/>
      </c>
      <c r="J239" s="179" t="e">
        <f t="shared" si="17"/>
        <v>#NUM!</v>
      </c>
      <c r="K239" s="179" t="e">
        <f t="shared" si="15"/>
        <v>#NUM!</v>
      </c>
      <c r="L239" s="179"/>
      <c r="M239" s="181">
        <f t="shared" si="16"/>
        <v>0</v>
      </c>
    </row>
    <row r="240" spans="1:13" x14ac:dyDescent="0.25">
      <c r="A240" s="197"/>
      <c r="G240" s="164"/>
      <c r="H240" s="179">
        <v>235</v>
      </c>
      <c r="I240" s="180" t="str">
        <f t="shared" si="14"/>
        <v/>
      </c>
      <c r="J240" s="179" t="e">
        <f t="shared" si="17"/>
        <v>#NUM!</v>
      </c>
      <c r="K240" s="179" t="e">
        <f t="shared" si="15"/>
        <v>#NUM!</v>
      </c>
      <c r="L240" s="179"/>
      <c r="M240" s="181">
        <f t="shared" si="16"/>
        <v>0</v>
      </c>
    </row>
    <row r="241" spans="1:13" x14ac:dyDescent="0.25">
      <c r="A241" s="197"/>
      <c r="G241" s="164"/>
      <c r="H241" s="179">
        <v>236</v>
      </c>
      <c r="I241" s="180" t="str">
        <f t="shared" si="14"/>
        <v/>
      </c>
      <c r="J241" s="179" t="e">
        <f t="shared" si="17"/>
        <v>#NUM!</v>
      </c>
      <c r="K241" s="179" t="e">
        <f t="shared" si="15"/>
        <v>#NUM!</v>
      </c>
      <c r="L241" s="179"/>
      <c r="M241" s="181">
        <f t="shared" si="16"/>
        <v>0</v>
      </c>
    </row>
    <row r="242" spans="1:13" x14ac:dyDescent="0.25">
      <c r="A242" s="197"/>
      <c r="G242" s="164"/>
      <c r="H242" s="179">
        <v>237</v>
      </c>
      <c r="I242" s="180" t="str">
        <f t="shared" si="14"/>
        <v/>
      </c>
      <c r="J242" s="179" t="e">
        <f t="shared" si="17"/>
        <v>#NUM!</v>
      </c>
      <c r="K242" s="179" t="e">
        <f t="shared" si="15"/>
        <v>#NUM!</v>
      </c>
      <c r="L242" s="179"/>
      <c r="M242" s="181">
        <f t="shared" si="16"/>
        <v>0</v>
      </c>
    </row>
    <row r="243" spans="1:13" x14ac:dyDescent="0.25">
      <c r="A243" s="197"/>
      <c r="G243" s="164"/>
      <c r="H243" s="179">
        <v>238</v>
      </c>
      <c r="I243" s="180" t="str">
        <f t="shared" si="14"/>
        <v/>
      </c>
      <c r="J243" s="179" t="e">
        <f t="shared" si="17"/>
        <v>#NUM!</v>
      </c>
      <c r="K243" s="179" t="e">
        <f t="shared" si="15"/>
        <v>#NUM!</v>
      </c>
      <c r="L243" s="179"/>
      <c r="M243" s="181">
        <f t="shared" si="16"/>
        <v>0</v>
      </c>
    </row>
    <row r="244" spans="1:13" x14ac:dyDescent="0.25">
      <c r="A244" s="197"/>
      <c r="G244" s="164"/>
      <c r="H244" s="179">
        <v>239</v>
      </c>
      <c r="I244" s="180" t="str">
        <f t="shared" si="14"/>
        <v/>
      </c>
      <c r="J244" s="179" t="e">
        <f t="shared" si="17"/>
        <v>#NUM!</v>
      </c>
      <c r="K244" s="179" t="e">
        <f t="shared" si="15"/>
        <v>#NUM!</v>
      </c>
      <c r="L244" s="179"/>
      <c r="M244" s="181">
        <f t="shared" si="16"/>
        <v>0</v>
      </c>
    </row>
    <row r="245" spans="1:13" x14ac:dyDescent="0.25">
      <c r="A245" s="197"/>
      <c r="G245" s="164"/>
      <c r="H245" s="179">
        <v>240</v>
      </c>
      <c r="I245" s="180" t="str">
        <f t="shared" si="14"/>
        <v/>
      </c>
      <c r="J245" s="179" t="e">
        <f t="shared" si="17"/>
        <v>#NUM!</v>
      </c>
      <c r="K245" s="179" t="e">
        <f t="shared" si="15"/>
        <v>#NUM!</v>
      </c>
      <c r="L245" s="179"/>
      <c r="M245" s="181">
        <f t="shared" si="16"/>
        <v>0</v>
      </c>
    </row>
    <row r="246" spans="1:13" x14ac:dyDescent="0.25">
      <c r="A246" s="197"/>
      <c r="G246" s="164"/>
      <c r="H246" s="179">
        <v>241</v>
      </c>
      <c r="I246" s="180" t="str">
        <f t="shared" si="14"/>
        <v/>
      </c>
      <c r="J246" s="179" t="e">
        <f t="shared" si="17"/>
        <v>#NUM!</v>
      </c>
      <c r="K246" s="179" t="e">
        <f t="shared" si="15"/>
        <v>#NUM!</v>
      </c>
      <c r="L246" s="179"/>
      <c r="M246" s="181">
        <f t="shared" si="16"/>
        <v>0</v>
      </c>
    </row>
    <row r="247" spans="1:13" x14ac:dyDescent="0.25">
      <c r="A247" s="197"/>
      <c r="G247" s="164"/>
      <c r="H247" s="179">
        <v>242</v>
      </c>
      <c r="I247" s="180" t="str">
        <f t="shared" si="14"/>
        <v/>
      </c>
      <c r="J247" s="179" t="e">
        <f t="shared" si="17"/>
        <v>#NUM!</v>
      </c>
      <c r="K247" s="179" t="e">
        <f t="shared" si="15"/>
        <v>#NUM!</v>
      </c>
      <c r="L247" s="179"/>
      <c r="M247" s="181">
        <f t="shared" si="16"/>
        <v>0</v>
      </c>
    </row>
    <row r="248" spans="1:13" x14ac:dyDescent="0.25">
      <c r="A248" s="197"/>
      <c r="G248" s="164"/>
      <c r="H248" s="179">
        <v>243</v>
      </c>
      <c r="I248" s="180" t="str">
        <f t="shared" si="14"/>
        <v/>
      </c>
      <c r="J248" s="179" t="e">
        <f t="shared" si="17"/>
        <v>#NUM!</v>
      </c>
      <c r="K248" s="179" t="e">
        <f t="shared" si="15"/>
        <v>#NUM!</v>
      </c>
      <c r="L248" s="179"/>
      <c r="M248" s="181">
        <f t="shared" si="16"/>
        <v>0</v>
      </c>
    </row>
    <row r="249" spans="1:13" x14ac:dyDescent="0.25">
      <c r="A249" s="197"/>
      <c r="G249" s="164"/>
      <c r="H249" s="179">
        <v>244</v>
      </c>
      <c r="I249" s="180" t="str">
        <f t="shared" si="14"/>
        <v/>
      </c>
      <c r="J249" s="179" t="e">
        <f t="shared" si="17"/>
        <v>#NUM!</v>
      </c>
      <c r="K249" s="179" t="e">
        <f t="shared" si="15"/>
        <v>#NUM!</v>
      </c>
      <c r="L249" s="179"/>
      <c r="M249" s="181">
        <f t="shared" si="16"/>
        <v>0</v>
      </c>
    </row>
    <row r="250" spans="1:13" x14ac:dyDescent="0.25">
      <c r="A250" s="197"/>
      <c r="G250" s="164"/>
      <c r="H250" s="179">
        <v>245</v>
      </c>
      <c r="I250" s="180" t="str">
        <f t="shared" si="14"/>
        <v/>
      </c>
      <c r="J250" s="179" t="e">
        <f t="shared" si="17"/>
        <v>#NUM!</v>
      </c>
      <c r="K250" s="179" t="e">
        <f t="shared" si="15"/>
        <v>#NUM!</v>
      </c>
      <c r="L250" s="179"/>
      <c r="M250" s="181">
        <f t="shared" si="16"/>
        <v>0</v>
      </c>
    </row>
    <row r="251" spans="1:13" x14ac:dyDescent="0.25">
      <c r="A251" s="197"/>
      <c r="G251" s="164"/>
      <c r="H251" s="179">
        <v>246</v>
      </c>
      <c r="I251" s="180" t="str">
        <f t="shared" si="14"/>
        <v/>
      </c>
      <c r="J251" s="179" t="e">
        <f t="shared" si="17"/>
        <v>#NUM!</v>
      </c>
      <c r="K251" s="179" t="e">
        <f t="shared" si="15"/>
        <v>#NUM!</v>
      </c>
      <c r="L251" s="179"/>
      <c r="M251" s="181">
        <f t="shared" si="16"/>
        <v>0</v>
      </c>
    </row>
    <row r="252" spans="1:13" x14ac:dyDescent="0.25">
      <c r="A252" s="197"/>
      <c r="G252" s="164"/>
      <c r="H252" s="179">
        <v>247</v>
      </c>
      <c r="I252" s="180" t="str">
        <f t="shared" si="14"/>
        <v/>
      </c>
      <c r="J252" s="179" t="e">
        <f t="shared" si="17"/>
        <v>#NUM!</v>
      </c>
      <c r="K252" s="179" t="e">
        <f t="shared" si="15"/>
        <v>#NUM!</v>
      </c>
      <c r="L252" s="179"/>
      <c r="M252" s="181">
        <f t="shared" si="16"/>
        <v>0</v>
      </c>
    </row>
    <row r="253" spans="1:13" x14ac:dyDescent="0.25">
      <c r="A253" s="197"/>
      <c r="G253" s="164"/>
      <c r="H253" s="179">
        <v>248</v>
      </c>
      <c r="I253" s="180" t="str">
        <f t="shared" si="14"/>
        <v/>
      </c>
      <c r="J253" s="179" t="e">
        <f t="shared" si="17"/>
        <v>#NUM!</v>
      </c>
      <c r="K253" s="179" t="e">
        <f t="shared" si="15"/>
        <v>#NUM!</v>
      </c>
      <c r="L253" s="179"/>
      <c r="M253" s="181">
        <f t="shared" si="16"/>
        <v>0</v>
      </c>
    </row>
    <row r="254" spans="1:13" x14ac:dyDescent="0.25">
      <c r="A254" s="197"/>
      <c r="G254" s="164"/>
      <c r="H254" s="179">
        <v>249</v>
      </c>
      <c r="I254" s="180" t="str">
        <f t="shared" si="14"/>
        <v/>
      </c>
      <c r="J254" s="179" t="e">
        <f t="shared" si="17"/>
        <v>#NUM!</v>
      </c>
      <c r="K254" s="179" t="e">
        <f t="shared" si="15"/>
        <v>#NUM!</v>
      </c>
      <c r="L254" s="179"/>
      <c r="M254" s="181">
        <f t="shared" si="16"/>
        <v>0</v>
      </c>
    </row>
    <row r="255" spans="1:13" x14ac:dyDescent="0.25">
      <c r="A255" s="197"/>
      <c r="G255" s="164"/>
      <c r="H255" s="179">
        <v>250</v>
      </c>
      <c r="I255" s="180" t="str">
        <f t="shared" si="14"/>
        <v/>
      </c>
      <c r="J255" s="179" t="e">
        <f t="shared" si="17"/>
        <v>#NUM!</v>
      </c>
      <c r="K255" s="179" t="e">
        <f t="shared" si="15"/>
        <v>#NUM!</v>
      </c>
      <c r="L255" s="179"/>
      <c r="M255" s="181">
        <f t="shared" si="16"/>
        <v>0</v>
      </c>
    </row>
    <row r="256" spans="1:13" x14ac:dyDescent="0.25">
      <c r="A256" s="197"/>
      <c r="G256" s="164"/>
      <c r="H256" s="179">
        <v>251</v>
      </c>
      <c r="I256" s="180" t="str">
        <f t="shared" si="14"/>
        <v/>
      </c>
      <c r="J256" s="179" t="e">
        <f t="shared" si="17"/>
        <v>#NUM!</v>
      </c>
      <c r="K256" s="179" t="e">
        <f t="shared" si="15"/>
        <v>#NUM!</v>
      </c>
      <c r="L256" s="179"/>
      <c r="M256" s="181">
        <f t="shared" si="16"/>
        <v>0</v>
      </c>
    </row>
    <row r="257" spans="1:13" x14ac:dyDescent="0.25">
      <c r="A257" s="197"/>
      <c r="G257" s="164"/>
      <c r="H257" s="179">
        <v>252</v>
      </c>
      <c r="I257" s="180" t="str">
        <f t="shared" si="14"/>
        <v/>
      </c>
      <c r="J257" s="179" t="e">
        <f t="shared" si="17"/>
        <v>#NUM!</v>
      </c>
      <c r="K257" s="179" t="e">
        <f t="shared" si="15"/>
        <v>#NUM!</v>
      </c>
      <c r="L257" s="179"/>
      <c r="M257" s="181">
        <f t="shared" si="16"/>
        <v>0</v>
      </c>
    </row>
    <row r="258" spans="1:13" x14ac:dyDescent="0.25">
      <c r="A258" s="197"/>
      <c r="G258" s="164"/>
      <c r="H258" s="179">
        <v>253</v>
      </c>
      <c r="I258" s="180" t="str">
        <f t="shared" si="14"/>
        <v/>
      </c>
      <c r="J258" s="179" t="e">
        <f t="shared" si="17"/>
        <v>#NUM!</v>
      </c>
      <c r="K258" s="179" t="e">
        <f t="shared" si="15"/>
        <v>#NUM!</v>
      </c>
      <c r="L258" s="179"/>
      <c r="M258" s="181">
        <f t="shared" si="16"/>
        <v>0</v>
      </c>
    </row>
    <row r="259" spans="1:13" x14ac:dyDescent="0.25">
      <c r="A259" s="197"/>
      <c r="G259" s="164"/>
      <c r="H259" s="179">
        <v>254</v>
      </c>
      <c r="I259" s="180" t="str">
        <f t="shared" si="14"/>
        <v/>
      </c>
      <c r="J259" s="179" t="e">
        <f t="shared" si="17"/>
        <v>#NUM!</v>
      </c>
      <c r="K259" s="179" t="e">
        <f t="shared" si="15"/>
        <v>#NUM!</v>
      </c>
      <c r="L259" s="179"/>
      <c r="M259" s="181">
        <f t="shared" si="16"/>
        <v>0</v>
      </c>
    </row>
    <row r="260" spans="1:13" x14ac:dyDescent="0.25">
      <c r="A260" s="197"/>
      <c r="G260" s="164"/>
      <c r="H260" s="179">
        <v>255</v>
      </c>
      <c r="I260" s="180" t="str">
        <f t="shared" si="14"/>
        <v/>
      </c>
      <c r="J260" s="179" t="e">
        <f t="shared" si="17"/>
        <v>#NUM!</v>
      </c>
      <c r="K260" s="179" t="e">
        <f t="shared" si="15"/>
        <v>#NUM!</v>
      </c>
      <c r="L260" s="179"/>
      <c r="M260" s="181">
        <f t="shared" si="16"/>
        <v>0</v>
      </c>
    </row>
    <row r="261" spans="1:13" x14ac:dyDescent="0.25">
      <c r="A261" s="197"/>
      <c r="G261" s="164"/>
      <c r="H261" s="179">
        <v>256</v>
      </c>
      <c r="I261" s="180" t="str">
        <f t="shared" si="14"/>
        <v/>
      </c>
      <c r="J261" s="179" t="e">
        <f t="shared" si="17"/>
        <v>#NUM!</v>
      </c>
      <c r="K261" s="179" t="e">
        <f t="shared" si="15"/>
        <v>#NUM!</v>
      </c>
      <c r="L261" s="179"/>
      <c r="M261" s="181">
        <f t="shared" si="16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8">IF(H262&lt;$H$2+1,($I$2-($I$2-1)*(LOG(H262)/LOG($H$2))),"")</f>
        <v/>
      </c>
      <c r="J262" s="179" t="e">
        <f t="shared" si="17"/>
        <v>#NUM!</v>
      </c>
      <c r="K262" s="179" t="e">
        <f t="shared" ref="K262:K305" si="19">J262*$J$2</f>
        <v>#NUM!</v>
      </c>
      <c r="L262" s="179"/>
      <c r="M262" s="181">
        <f t="shared" ref="M262:M305" si="20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8"/>
        <v/>
      </c>
      <c r="J263" s="179" t="e">
        <f t="shared" ref="J263:J326" si="21">INT(LOG($H$2,2))-ROUNDUP(LOG(H263,2),0)+IF(OR($H$2=1,$H$2=2,$H$2=4,$H$2=8,$H$2=16,$H$2=32,$H$2=64,$H$2=128,$H$2=256),0,1)</f>
        <v>#NUM!</v>
      </c>
      <c r="K263" s="179" t="e">
        <f t="shared" si="19"/>
        <v>#NUM!</v>
      </c>
      <c r="L263" s="179"/>
      <c r="M263" s="181">
        <f t="shared" si="20"/>
        <v>0</v>
      </c>
    </row>
    <row r="264" spans="1:13" x14ac:dyDescent="0.25">
      <c r="A264" s="197"/>
      <c r="G264" s="164"/>
      <c r="H264" s="179">
        <v>259</v>
      </c>
      <c r="I264" s="180" t="str">
        <f t="shared" si="18"/>
        <v/>
      </c>
      <c r="J264" s="179" t="e">
        <f t="shared" si="21"/>
        <v>#NUM!</v>
      </c>
      <c r="K264" s="179" t="e">
        <f t="shared" si="19"/>
        <v>#NUM!</v>
      </c>
      <c r="L264" s="179"/>
      <c r="M264" s="181">
        <f t="shared" si="20"/>
        <v>0</v>
      </c>
    </row>
    <row r="265" spans="1:13" x14ac:dyDescent="0.25">
      <c r="A265" s="197"/>
      <c r="G265" s="164"/>
      <c r="H265" s="179">
        <v>260</v>
      </c>
      <c r="I265" s="180" t="str">
        <f t="shared" si="18"/>
        <v/>
      </c>
      <c r="J265" s="179" t="e">
        <f t="shared" si="21"/>
        <v>#NUM!</v>
      </c>
      <c r="K265" s="179" t="e">
        <f t="shared" si="19"/>
        <v>#NUM!</v>
      </c>
      <c r="L265" s="179"/>
      <c r="M265" s="181">
        <f t="shared" si="20"/>
        <v>0</v>
      </c>
    </row>
    <row r="266" spans="1:13" x14ac:dyDescent="0.25">
      <c r="A266" s="197"/>
      <c r="G266" s="164"/>
      <c r="H266" s="179">
        <v>261</v>
      </c>
      <c r="I266" s="180" t="str">
        <f t="shared" si="18"/>
        <v/>
      </c>
      <c r="J266" s="179" t="e">
        <f t="shared" si="21"/>
        <v>#NUM!</v>
      </c>
      <c r="K266" s="179" t="e">
        <f t="shared" si="19"/>
        <v>#NUM!</v>
      </c>
      <c r="L266" s="179"/>
      <c r="M266" s="181">
        <f t="shared" si="20"/>
        <v>0</v>
      </c>
    </row>
    <row r="267" spans="1:13" x14ac:dyDescent="0.25">
      <c r="A267" s="197"/>
      <c r="G267" s="164"/>
      <c r="H267" s="179">
        <v>262</v>
      </c>
      <c r="I267" s="180" t="str">
        <f t="shared" si="18"/>
        <v/>
      </c>
      <c r="J267" s="179" t="e">
        <f t="shared" si="21"/>
        <v>#NUM!</v>
      </c>
      <c r="K267" s="179" t="e">
        <f t="shared" si="19"/>
        <v>#NUM!</v>
      </c>
      <c r="L267" s="179"/>
      <c r="M267" s="181">
        <f t="shared" si="20"/>
        <v>0</v>
      </c>
    </row>
    <row r="268" spans="1:13" x14ac:dyDescent="0.25">
      <c r="A268" s="197"/>
      <c r="G268" s="164"/>
      <c r="H268" s="179">
        <v>263</v>
      </c>
      <c r="I268" s="180" t="str">
        <f t="shared" si="18"/>
        <v/>
      </c>
      <c r="J268" s="179" t="e">
        <f t="shared" si="21"/>
        <v>#NUM!</v>
      </c>
      <c r="K268" s="179" t="e">
        <f t="shared" si="19"/>
        <v>#NUM!</v>
      </c>
      <c r="L268" s="179"/>
      <c r="M268" s="181">
        <f t="shared" si="20"/>
        <v>0</v>
      </c>
    </row>
    <row r="269" spans="1:13" x14ac:dyDescent="0.25">
      <c r="A269" s="197"/>
      <c r="G269" s="164"/>
      <c r="H269" s="179">
        <v>264</v>
      </c>
      <c r="I269" s="180" t="str">
        <f t="shared" si="18"/>
        <v/>
      </c>
      <c r="J269" s="179" t="e">
        <f t="shared" si="21"/>
        <v>#NUM!</v>
      </c>
      <c r="K269" s="179" t="e">
        <f t="shared" si="19"/>
        <v>#NUM!</v>
      </c>
      <c r="L269" s="179"/>
      <c r="M269" s="181">
        <f t="shared" si="20"/>
        <v>0</v>
      </c>
    </row>
    <row r="270" spans="1:13" x14ac:dyDescent="0.25">
      <c r="A270" s="197"/>
      <c r="G270" s="164"/>
      <c r="H270" s="179">
        <v>265</v>
      </c>
      <c r="I270" s="180" t="str">
        <f t="shared" si="18"/>
        <v/>
      </c>
      <c r="J270" s="179" t="e">
        <f t="shared" si="21"/>
        <v>#NUM!</v>
      </c>
      <c r="K270" s="179" t="e">
        <f t="shared" si="19"/>
        <v>#NUM!</v>
      </c>
      <c r="L270" s="179"/>
      <c r="M270" s="181">
        <f t="shared" si="20"/>
        <v>0</v>
      </c>
    </row>
    <row r="271" spans="1:13" x14ac:dyDescent="0.25">
      <c r="A271" s="197"/>
      <c r="G271" s="164"/>
      <c r="H271" s="179">
        <v>266</v>
      </c>
      <c r="I271" s="180" t="str">
        <f t="shared" si="18"/>
        <v/>
      </c>
      <c r="J271" s="179" t="e">
        <f t="shared" si="21"/>
        <v>#NUM!</v>
      </c>
      <c r="K271" s="179" t="e">
        <f t="shared" si="19"/>
        <v>#NUM!</v>
      </c>
      <c r="L271" s="179"/>
      <c r="M271" s="181">
        <f t="shared" si="20"/>
        <v>0</v>
      </c>
    </row>
    <row r="272" spans="1:13" x14ac:dyDescent="0.25">
      <c r="A272" s="197"/>
      <c r="G272" s="164"/>
      <c r="H272" s="179">
        <v>267</v>
      </c>
      <c r="I272" s="180" t="str">
        <f t="shared" si="18"/>
        <v/>
      </c>
      <c r="J272" s="179" t="e">
        <f t="shared" si="21"/>
        <v>#NUM!</v>
      </c>
      <c r="K272" s="179" t="e">
        <f t="shared" si="19"/>
        <v>#NUM!</v>
      </c>
      <c r="L272" s="179"/>
      <c r="M272" s="181">
        <f t="shared" si="20"/>
        <v>0</v>
      </c>
    </row>
    <row r="273" spans="1:13" x14ac:dyDescent="0.25">
      <c r="A273" s="197"/>
      <c r="G273" s="164"/>
      <c r="H273" s="179">
        <v>268</v>
      </c>
      <c r="I273" s="180" t="str">
        <f t="shared" si="18"/>
        <v/>
      </c>
      <c r="J273" s="179" t="e">
        <f t="shared" si="21"/>
        <v>#NUM!</v>
      </c>
      <c r="K273" s="179" t="e">
        <f t="shared" si="19"/>
        <v>#NUM!</v>
      </c>
      <c r="L273" s="179"/>
      <c r="M273" s="181">
        <f t="shared" si="20"/>
        <v>0</v>
      </c>
    </row>
    <row r="274" spans="1:13" x14ac:dyDescent="0.25">
      <c r="A274" s="197"/>
      <c r="G274" s="164"/>
      <c r="H274" s="179">
        <v>269</v>
      </c>
      <c r="I274" s="180" t="str">
        <f t="shared" si="18"/>
        <v/>
      </c>
      <c r="J274" s="179" t="e">
        <f t="shared" si="21"/>
        <v>#NUM!</v>
      </c>
      <c r="K274" s="179" t="e">
        <f t="shared" si="19"/>
        <v>#NUM!</v>
      </c>
      <c r="L274" s="179"/>
      <c r="M274" s="181">
        <f t="shared" si="20"/>
        <v>0</v>
      </c>
    </row>
    <row r="275" spans="1:13" x14ac:dyDescent="0.25">
      <c r="A275" s="197"/>
      <c r="G275" s="164"/>
      <c r="H275" s="179">
        <v>270</v>
      </c>
      <c r="I275" s="180" t="str">
        <f t="shared" si="18"/>
        <v/>
      </c>
      <c r="J275" s="179" t="e">
        <f t="shared" si="21"/>
        <v>#NUM!</v>
      </c>
      <c r="K275" s="179" t="e">
        <f t="shared" si="19"/>
        <v>#NUM!</v>
      </c>
      <c r="L275" s="179"/>
      <c r="M275" s="181">
        <f t="shared" si="20"/>
        <v>0</v>
      </c>
    </row>
    <row r="276" spans="1:13" x14ac:dyDescent="0.25">
      <c r="A276" s="197"/>
      <c r="G276" s="164"/>
      <c r="H276" s="179">
        <v>271</v>
      </c>
      <c r="I276" s="180" t="str">
        <f t="shared" si="18"/>
        <v/>
      </c>
      <c r="J276" s="179" t="e">
        <f t="shared" si="21"/>
        <v>#NUM!</v>
      </c>
      <c r="K276" s="179" t="e">
        <f t="shared" si="19"/>
        <v>#NUM!</v>
      </c>
      <c r="L276" s="179"/>
      <c r="M276" s="181">
        <f t="shared" si="20"/>
        <v>0</v>
      </c>
    </row>
    <row r="277" spans="1:13" x14ac:dyDescent="0.25">
      <c r="A277" s="197"/>
      <c r="G277" s="164"/>
      <c r="H277" s="179">
        <v>272</v>
      </c>
      <c r="I277" s="180" t="str">
        <f t="shared" si="18"/>
        <v/>
      </c>
      <c r="J277" s="179" t="e">
        <f t="shared" si="21"/>
        <v>#NUM!</v>
      </c>
      <c r="K277" s="179" t="e">
        <f t="shared" si="19"/>
        <v>#NUM!</v>
      </c>
      <c r="L277" s="179"/>
      <c r="M277" s="181">
        <f t="shared" si="20"/>
        <v>0</v>
      </c>
    </row>
    <row r="278" spans="1:13" x14ac:dyDescent="0.25">
      <c r="A278" s="197"/>
      <c r="G278" s="164"/>
      <c r="H278" s="179">
        <v>273</v>
      </c>
      <c r="I278" s="180" t="str">
        <f t="shared" si="18"/>
        <v/>
      </c>
      <c r="J278" s="179" t="e">
        <f t="shared" si="21"/>
        <v>#NUM!</v>
      </c>
      <c r="K278" s="179" t="e">
        <f t="shared" si="19"/>
        <v>#NUM!</v>
      </c>
      <c r="L278" s="179"/>
      <c r="M278" s="181">
        <f t="shared" si="20"/>
        <v>0</v>
      </c>
    </row>
    <row r="279" spans="1:13" x14ac:dyDescent="0.25">
      <c r="A279" s="197"/>
      <c r="G279" s="164"/>
      <c r="H279" s="179">
        <v>274</v>
      </c>
      <c r="I279" s="180" t="str">
        <f t="shared" si="18"/>
        <v/>
      </c>
      <c r="J279" s="179" t="e">
        <f t="shared" si="21"/>
        <v>#NUM!</v>
      </c>
      <c r="K279" s="179" t="e">
        <f t="shared" si="19"/>
        <v>#NUM!</v>
      </c>
      <c r="L279" s="179"/>
      <c r="M279" s="181">
        <f t="shared" si="20"/>
        <v>0</v>
      </c>
    </row>
    <row r="280" spans="1:13" x14ac:dyDescent="0.25">
      <c r="A280" s="197"/>
      <c r="G280" s="164"/>
      <c r="H280" s="179">
        <v>275</v>
      </c>
      <c r="I280" s="180" t="str">
        <f t="shared" si="18"/>
        <v/>
      </c>
      <c r="J280" s="179" t="e">
        <f t="shared" si="21"/>
        <v>#NUM!</v>
      </c>
      <c r="K280" s="179" t="e">
        <f t="shared" si="19"/>
        <v>#NUM!</v>
      </c>
      <c r="L280" s="179"/>
      <c r="M280" s="181">
        <f t="shared" si="20"/>
        <v>0</v>
      </c>
    </row>
    <row r="281" spans="1:13" x14ac:dyDescent="0.25">
      <c r="A281" s="197"/>
      <c r="G281" s="164"/>
      <c r="H281" s="179">
        <v>276</v>
      </c>
      <c r="I281" s="180" t="str">
        <f t="shared" si="18"/>
        <v/>
      </c>
      <c r="J281" s="179" t="e">
        <f t="shared" si="21"/>
        <v>#NUM!</v>
      </c>
      <c r="K281" s="179" t="e">
        <f t="shared" si="19"/>
        <v>#NUM!</v>
      </c>
      <c r="L281" s="179"/>
      <c r="M281" s="181">
        <f t="shared" si="20"/>
        <v>0</v>
      </c>
    </row>
    <row r="282" spans="1:13" x14ac:dyDescent="0.25">
      <c r="A282" s="197"/>
      <c r="G282" s="164"/>
      <c r="H282" s="179">
        <v>277</v>
      </c>
      <c r="I282" s="180" t="str">
        <f t="shared" si="18"/>
        <v/>
      </c>
      <c r="J282" s="179" t="e">
        <f t="shared" si="21"/>
        <v>#NUM!</v>
      </c>
      <c r="K282" s="179" t="e">
        <f t="shared" si="19"/>
        <v>#NUM!</v>
      </c>
      <c r="L282" s="179"/>
      <c r="M282" s="181">
        <f t="shared" si="20"/>
        <v>0</v>
      </c>
    </row>
    <row r="283" spans="1:13" x14ac:dyDescent="0.25">
      <c r="A283" s="197"/>
      <c r="G283" s="164"/>
      <c r="H283" s="179">
        <v>278</v>
      </c>
      <c r="I283" s="180" t="str">
        <f t="shared" si="18"/>
        <v/>
      </c>
      <c r="J283" s="179" t="e">
        <f t="shared" si="21"/>
        <v>#NUM!</v>
      </c>
      <c r="K283" s="179" t="e">
        <f t="shared" si="19"/>
        <v>#NUM!</v>
      </c>
      <c r="L283" s="179"/>
      <c r="M283" s="181">
        <f t="shared" si="20"/>
        <v>0</v>
      </c>
    </row>
    <row r="284" spans="1:13" x14ac:dyDescent="0.25">
      <c r="A284" s="197"/>
      <c r="G284" s="164"/>
      <c r="H284" s="179">
        <v>279</v>
      </c>
      <c r="I284" s="180" t="str">
        <f t="shared" si="18"/>
        <v/>
      </c>
      <c r="J284" s="179" t="e">
        <f t="shared" si="21"/>
        <v>#NUM!</v>
      </c>
      <c r="K284" s="179" t="e">
        <f t="shared" si="19"/>
        <v>#NUM!</v>
      </c>
      <c r="L284" s="179"/>
      <c r="M284" s="181">
        <f t="shared" si="20"/>
        <v>0</v>
      </c>
    </row>
    <row r="285" spans="1:13" x14ac:dyDescent="0.25">
      <c r="A285" s="197"/>
      <c r="G285" s="164"/>
      <c r="H285" s="179">
        <v>280</v>
      </c>
      <c r="I285" s="180" t="str">
        <f t="shared" si="18"/>
        <v/>
      </c>
      <c r="J285" s="179" t="e">
        <f t="shared" si="21"/>
        <v>#NUM!</v>
      </c>
      <c r="K285" s="179" t="e">
        <f t="shared" si="19"/>
        <v>#NUM!</v>
      </c>
      <c r="L285" s="179"/>
      <c r="M285" s="181">
        <f t="shared" si="20"/>
        <v>0</v>
      </c>
    </row>
    <row r="286" spans="1:13" x14ac:dyDescent="0.25">
      <c r="A286" s="197"/>
      <c r="G286" s="164"/>
      <c r="H286" s="179">
        <v>281</v>
      </c>
      <c r="I286" s="180" t="str">
        <f t="shared" si="18"/>
        <v/>
      </c>
      <c r="J286" s="179" t="e">
        <f t="shared" si="21"/>
        <v>#NUM!</v>
      </c>
      <c r="K286" s="179" t="e">
        <f t="shared" si="19"/>
        <v>#NUM!</v>
      </c>
      <c r="L286" s="179"/>
      <c r="M286" s="181">
        <f t="shared" si="20"/>
        <v>0</v>
      </c>
    </row>
    <row r="287" spans="1:13" x14ac:dyDescent="0.25">
      <c r="A287" s="197"/>
      <c r="G287" s="164"/>
      <c r="H287" s="179">
        <v>282</v>
      </c>
      <c r="I287" s="180" t="str">
        <f t="shared" si="18"/>
        <v/>
      </c>
      <c r="J287" s="179" t="e">
        <f t="shared" si="21"/>
        <v>#NUM!</v>
      </c>
      <c r="K287" s="179" t="e">
        <f t="shared" si="19"/>
        <v>#NUM!</v>
      </c>
      <c r="L287" s="179"/>
      <c r="M287" s="181">
        <f t="shared" si="20"/>
        <v>0</v>
      </c>
    </row>
    <row r="288" spans="1:13" x14ac:dyDescent="0.25">
      <c r="A288" s="197"/>
      <c r="G288" s="164"/>
      <c r="H288" s="179">
        <v>283</v>
      </c>
      <c r="I288" s="180" t="str">
        <f t="shared" si="18"/>
        <v/>
      </c>
      <c r="J288" s="179" t="e">
        <f t="shared" si="21"/>
        <v>#NUM!</v>
      </c>
      <c r="K288" s="179" t="e">
        <f t="shared" si="19"/>
        <v>#NUM!</v>
      </c>
      <c r="L288" s="179"/>
      <c r="M288" s="181">
        <f t="shared" si="20"/>
        <v>0</v>
      </c>
    </row>
    <row r="289" spans="1:13" x14ac:dyDescent="0.25">
      <c r="A289" s="197"/>
      <c r="G289" s="164"/>
      <c r="H289" s="179">
        <v>284</v>
      </c>
      <c r="I289" s="180" t="str">
        <f t="shared" si="18"/>
        <v/>
      </c>
      <c r="J289" s="179" t="e">
        <f t="shared" si="21"/>
        <v>#NUM!</v>
      </c>
      <c r="K289" s="179" t="e">
        <f t="shared" si="19"/>
        <v>#NUM!</v>
      </c>
      <c r="L289" s="179"/>
      <c r="M289" s="181">
        <f t="shared" si="20"/>
        <v>0</v>
      </c>
    </row>
    <row r="290" spans="1:13" x14ac:dyDescent="0.25">
      <c r="A290" s="197"/>
      <c r="G290" s="164"/>
      <c r="H290" s="179">
        <v>285</v>
      </c>
      <c r="I290" s="180" t="str">
        <f t="shared" si="18"/>
        <v/>
      </c>
      <c r="J290" s="179" t="e">
        <f t="shared" si="21"/>
        <v>#NUM!</v>
      </c>
      <c r="K290" s="179" t="e">
        <f t="shared" si="19"/>
        <v>#NUM!</v>
      </c>
      <c r="L290" s="179"/>
      <c r="M290" s="181">
        <f t="shared" si="20"/>
        <v>0</v>
      </c>
    </row>
    <row r="291" spans="1:13" x14ac:dyDescent="0.25">
      <c r="A291" s="197"/>
      <c r="G291" s="164"/>
      <c r="H291" s="179">
        <v>286</v>
      </c>
      <c r="I291" s="180" t="str">
        <f t="shared" si="18"/>
        <v/>
      </c>
      <c r="J291" s="179" t="e">
        <f t="shared" si="21"/>
        <v>#NUM!</v>
      </c>
      <c r="K291" s="179" t="e">
        <f t="shared" si="19"/>
        <v>#NUM!</v>
      </c>
      <c r="L291" s="179"/>
      <c r="M291" s="181">
        <f t="shared" si="20"/>
        <v>0</v>
      </c>
    </row>
    <row r="292" spans="1:13" x14ac:dyDescent="0.25">
      <c r="A292" s="197"/>
      <c r="G292" s="164"/>
      <c r="H292" s="179">
        <v>287</v>
      </c>
      <c r="I292" s="180" t="str">
        <f t="shared" si="18"/>
        <v/>
      </c>
      <c r="J292" s="179" t="e">
        <f t="shared" si="21"/>
        <v>#NUM!</v>
      </c>
      <c r="K292" s="179" t="e">
        <f t="shared" si="19"/>
        <v>#NUM!</v>
      </c>
      <c r="L292" s="179"/>
      <c r="M292" s="181">
        <f t="shared" si="20"/>
        <v>0</v>
      </c>
    </row>
    <row r="293" spans="1:13" x14ac:dyDescent="0.25">
      <c r="A293" s="197"/>
      <c r="G293" s="164"/>
      <c r="H293" s="179">
        <v>288</v>
      </c>
      <c r="I293" s="180" t="str">
        <f t="shared" si="18"/>
        <v/>
      </c>
      <c r="J293" s="179" t="e">
        <f t="shared" si="21"/>
        <v>#NUM!</v>
      </c>
      <c r="K293" s="179" t="e">
        <f t="shared" si="19"/>
        <v>#NUM!</v>
      </c>
      <c r="L293" s="179"/>
      <c r="M293" s="181">
        <f t="shared" si="20"/>
        <v>0</v>
      </c>
    </row>
    <row r="294" spans="1:13" x14ac:dyDescent="0.25">
      <c r="A294" s="197"/>
      <c r="G294" s="164"/>
      <c r="H294" s="179">
        <v>289</v>
      </c>
      <c r="I294" s="180" t="str">
        <f t="shared" si="18"/>
        <v/>
      </c>
      <c r="J294" s="179" t="e">
        <f t="shared" si="21"/>
        <v>#NUM!</v>
      </c>
      <c r="K294" s="179" t="e">
        <f t="shared" si="19"/>
        <v>#NUM!</v>
      </c>
      <c r="L294" s="179"/>
      <c r="M294" s="181">
        <f t="shared" si="20"/>
        <v>0</v>
      </c>
    </row>
    <row r="295" spans="1:13" x14ac:dyDescent="0.25">
      <c r="A295" s="197"/>
      <c r="G295" s="164"/>
      <c r="H295" s="179">
        <v>290</v>
      </c>
      <c r="I295" s="180" t="str">
        <f t="shared" si="18"/>
        <v/>
      </c>
      <c r="J295" s="179" t="e">
        <f t="shared" si="21"/>
        <v>#NUM!</v>
      </c>
      <c r="K295" s="179" t="e">
        <f t="shared" si="19"/>
        <v>#NUM!</v>
      </c>
      <c r="L295" s="179"/>
      <c r="M295" s="181">
        <f t="shared" si="20"/>
        <v>0</v>
      </c>
    </row>
    <row r="296" spans="1:13" x14ac:dyDescent="0.25">
      <c r="A296" s="197"/>
      <c r="G296" s="164"/>
      <c r="H296" s="179">
        <v>291</v>
      </c>
      <c r="I296" s="180" t="str">
        <f t="shared" si="18"/>
        <v/>
      </c>
      <c r="J296" s="179" t="e">
        <f t="shared" si="21"/>
        <v>#NUM!</v>
      </c>
      <c r="K296" s="179" t="e">
        <f t="shared" si="19"/>
        <v>#NUM!</v>
      </c>
      <c r="L296" s="179"/>
      <c r="M296" s="181">
        <f t="shared" si="20"/>
        <v>0</v>
      </c>
    </row>
    <row r="297" spans="1:13" x14ac:dyDescent="0.25">
      <c r="A297" s="197"/>
      <c r="G297" s="164"/>
      <c r="H297" s="179">
        <v>292</v>
      </c>
      <c r="I297" s="180" t="str">
        <f t="shared" si="18"/>
        <v/>
      </c>
      <c r="J297" s="179" t="e">
        <f t="shared" si="21"/>
        <v>#NUM!</v>
      </c>
      <c r="K297" s="179" t="e">
        <f t="shared" si="19"/>
        <v>#NUM!</v>
      </c>
      <c r="L297" s="179"/>
      <c r="M297" s="181">
        <f t="shared" si="20"/>
        <v>0</v>
      </c>
    </row>
    <row r="298" spans="1:13" x14ac:dyDescent="0.25">
      <c r="A298" s="197"/>
      <c r="G298" s="164"/>
      <c r="H298" s="179">
        <v>293</v>
      </c>
      <c r="I298" s="180" t="str">
        <f t="shared" si="18"/>
        <v/>
      </c>
      <c r="J298" s="179" t="e">
        <f t="shared" si="21"/>
        <v>#NUM!</v>
      </c>
      <c r="K298" s="179" t="e">
        <f t="shared" si="19"/>
        <v>#NUM!</v>
      </c>
      <c r="L298" s="179"/>
      <c r="M298" s="181">
        <f t="shared" si="20"/>
        <v>0</v>
      </c>
    </row>
    <row r="299" spans="1:13" x14ac:dyDescent="0.25">
      <c r="A299" s="197"/>
      <c r="G299" s="164"/>
      <c r="H299" s="179">
        <v>294</v>
      </c>
      <c r="I299" s="180" t="str">
        <f t="shared" si="18"/>
        <v/>
      </c>
      <c r="J299" s="179" t="e">
        <f t="shared" si="21"/>
        <v>#NUM!</v>
      </c>
      <c r="K299" s="179" t="e">
        <f t="shared" si="19"/>
        <v>#NUM!</v>
      </c>
      <c r="L299" s="179"/>
      <c r="M299" s="181">
        <f t="shared" si="20"/>
        <v>0</v>
      </c>
    </row>
    <row r="300" spans="1:13" x14ac:dyDescent="0.25">
      <c r="A300" s="197"/>
      <c r="G300" s="164"/>
      <c r="H300" s="179">
        <v>295</v>
      </c>
      <c r="I300" s="180" t="str">
        <f t="shared" si="18"/>
        <v/>
      </c>
      <c r="J300" s="179" t="e">
        <f t="shared" si="21"/>
        <v>#NUM!</v>
      </c>
      <c r="K300" s="179" t="e">
        <f t="shared" si="19"/>
        <v>#NUM!</v>
      </c>
      <c r="L300" s="179"/>
      <c r="M300" s="181">
        <f t="shared" si="20"/>
        <v>0</v>
      </c>
    </row>
    <row r="301" spans="1:13" x14ac:dyDescent="0.25">
      <c r="A301" s="197"/>
      <c r="G301" s="164"/>
      <c r="H301" s="179">
        <v>296</v>
      </c>
      <c r="I301" s="180" t="str">
        <f t="shared" si="18"/>
        <v/>
      </c>
      <c r="J301" s="179" t="e">
        <f t="shared" si="21"/>
        <v>#NUM!</v>
      </c>
      <c r="K301" s="179" t="e">
        <f t="shared" si="19"/>
        <v>#NUM!</v>
      </c>
      <c r="L301" s="179"/>
      <c r="M301" s="181">
        <f t="shared" si="20"/>
        <v>0</v>
      </c>
    </row>
    <row r="302" spans="1:13" x14ac:dyDescent="0.25">
      <c r="A302" s="197"/>
      <c r="G302" s="164"/>
      <c r="H302" s="179">
        <v>297</v>
      </c>
      <c r="I302" s="180" t="str">
        <f t="shared" si="18"/>
        <v/>
      </c>
      <c r="J302" s="179" t="e">
        <f t="shared" si="21"/>
        <v>#NUM!</v>
      </c>
      <c r="K302" s="179" t="e">
        <f t="shared" si="19"/>
        <v>#NUM!</v>
      </c>
      <c r="L302" s="179"/>
      <c r="M302" s="181">
        <f t="shared" si="20"/>
        <v>0</v>
      </c>
    </row>
    <row r="303" spans="1:13" x14ac:dyDescent="0.25">
      <c r="A303" s="197"/>
      <c r="G303" s="164"/>
      <c r="H303" s="179">
        <v>298</v>
      </c>
      <c r="I303" s="180" t="str">
        <f t="shared" si="18"/>
        <v/>
      </c>
      <c r="J303" s="179" t="e">
        <f t="shared" si="21"/>
        <v>#NUM!</v>
      </c>
      <c r="K303" s="179" t="e">
        <f t="shared" si="19"/>
        <v>#NUM!</v>
      </c>
      <c r="L303" s="179"/>
      <c r="M303" s="181">
        <f t="shared" si="20"/>
        <v>0</v>
      </c>
    </row>
    <row r="304" spans="1:13" x14ac:dyDescent="0.25">
      <c r="A304" s="197"/>
      <c r="G304" s="164"/>
      <c r="H304" s="179">
        <v>299</v>
      </c>
      <c r="I304" s="180" t="str">
        <f t="shared" si="18"/>
        <v/>
      </c>
      <c r="J304" s="179" t="e">
        <f t="shared" si="21"/>
        <v>#NUM!</v>
      </c>
      <c r="K304" s="179" t="e">
        <f t="shared" si="19"/>
        <v>#NUM!</v>
      </c>
      <c r="L304" s="179"/>
      <c r="M304" s="181">
        <f t="shared" si="20"/>
        <v>0</v>
      </c>
    </row>
    <row r="305" spans="1:16" x14ac:dyDescent="0.25">
      <c r="A305" s="197"/>
      <c r="G305" s="164"/>
      <c r="H305" s="179">
        <v>300</v>
      </c>
      <c r="I305" s="180" t="str">
        <f t="shared" si="18"/>
        <v/>
      </c>
      <c r="J305" s="179" t="e">
        <f t="shared" si="21"/>
        <v>#NUM!</v>
      </c>
      <c r="K305" s="179" t="e">
        <f t="shared" si="19"/>
        <v>#NUM!</v>
      </c>
      <c r="L305" s="179"/>
      <c r="M305" s="181">
        <f t="shared" si="20"/>
        <v>0</v>
      </c>
    </row>
    <row r="306" spans="1:16" x14ac:dyDescent="0.25">
      <c r="A306" s="198"/>
      <c r="J306" s="199" t="e">
        <f t="shared" si="21"/>
        <v>#NUM!</v>
      </c>
    </row>
    <row r="307" spans="1:16" x14ac:dyDescent="0.25">
      <c r="J307" s="199" t="e">
        <f t="shared" si="21"/>
        <v>#NUM!</v>
      </c>
    </row>
    <row r="308" spans="1:16" x14ac:dyDescent="0.25">
      <c r="J308" s="199" t="e">
        <f t="shared" si="21"/>
        <v>#NUM!</v>
      </c>
    </row>
    <row r="309" spans="1:16" x14ac:dyDescent="0.25">
      <c r="J309" s="199" t="e">
        <f t="shared" si="21"/>
        <v>#NUM!</v>
      </c>
    </row>
    <row r="310" spans="1:16" x14ac:dyDescent="0.25">
      <c r="J310" s="199" t="e">
        <f t="shared" si="21"/>
        <v>#NUM!</v>
      </c>
    </row>
    <row r="311" spans="1:16" x14ac:dyDescent="0.25">
      <c r="J311" s="199" t="e">
        <f t="shared" si="21"/>
        <v>#NUM!</v>
      </c>
    </row>
    <row r="312" spans="1:16" x14ac:dyDescent="0.25">
      <c r="J312" s="199" t="e">
        <f t="shared" si="21"/>
        <v>#NUM!</v>
      </c>
    </row>
    <row r="313" spans="1:16" x14ac:dyDescent="0.25">
      <c r="J313" s="199" t="e">
        <f t="shared" si="21"/>
        <v>#NUM!</v>
      </c>
    </row>
    <row r="314" spans="1:16" x14ac:dyDescent="0.25">
      <c r="J314" s="199" t="e">
        <f t="shared" si="21"/>
        <v>#NUM!</v>
      </c>
      <c r="L314" s="201"/>
      <c r="P314" s="190"/>
    </row>
    <row r="315" spans="1:16" x14ac:dyDescent="0.25">
      <c r="J315" s="199" t="e">
        <f t="shared" si="21"/>
        <v>#NUM!</v>
      </c>
      <c r="L315" s="201"/>
      <c r="P315" s="190"/>
    </row>
    <row r="316" spans="1:16" x14ac:dyDescent="0.25">
      <c r="J316" s="199" t="e">
        <f t="shared" si="21"/>
        <v>#NUM!</v>
      </c>
      <c r="L316" s="201"/>
      <c r="P316" s="190"/>
    </row>
    <row r="317" spans="1:16" x14ac:dyDescent="0.25">
      <c r="J317" s="199" t="e">
        <f t="shared" si="21"/>
        <v>#NUM!</v>
      </c>
      <c r="L317" s="201"/>
      <c r="P317" s="190"/>
    </row>
    <row r="318" spans="1:16" x14ac:dyDescent="0.25">
      <c r="J318" s="199" t="e">
        <f t="shared" si="21"/>
        <v>#NUM!</v>
      </c>
    </row>
    <row r="319" spans="1:16" x14ac:dyDescent="0.25">
      <c r="J319" s="199" t="e">
        <f t="shared" si="21"/>
        <v>#NUM!</v>
      </c>
    </row>
    <row r="320" spans="1:16" x14ac:dyDescent="0.25">
      <c r="J320" s="199" t="e">
        <f t="shared" si="21"/>
        <v>#NUM!</v>
      </c>
    </row>
    <row r="321" spans="10:10" x14ac:dyDescent="0.25">
      <c r="J321" s="199" t="e">
        <f t="shared" si="21"/>
        <v>#NUM!</v>
      </c>
    </row>
    <row r="322" spans="10:10" x14ac:dyDescent="0.25">
      <c r="J322" s="199" t="e">
        <f t="shared" si="21"/>
        <v>#NUM!</v>
      </c>
    </row>
    <row r="323" spans="10:10" x14ac:dyDescent="0.25">
      <c r="J323" s="199" t="e">
        <f t="shared" si="21"/>
        <v>#NUM!</v>
      </c>
    </row>
    <row r="324" spans="10:10" x14ac:dyDescent="0.25">
      <c r="J324" s="199" t="e">
        <f t="shared" si="21"/>
        <v>#NUM!</v>
      </c>
    </row>
    <row r="325" spans="10:10" x14ac:dyDescent="0.25">
      <c r="J325" s="199" t="e">
        <f t="shared" si="21"/>
        <v>#NUM!</v>
      </c>
    </row>
    <row r="326" spans="10:10" x14ac:dyDescent="0.25">
      <c r="J326" s="199" t="e">
        <f t="shared" si="21"/>
        <v>#NUM!</v>
      </c>
    </row>
    <row r="327" spans="10:10" x14ac:dyDescent="0.25">
      <c r="J327" s="19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9" t="e">
        <f t="shared" si="22"/>
        <v>#NUM!</v>
      </c>
    </row>
    <row r="329" spans="10:10" x14ac:dyDescent="0.25">
      <c r="J329" s="199" t="e">
        <f t="shared" si="22"/>
        <v>#NUM!</v>
      </c>
    </row>
    <row r="330" spans="10:10" x14ac:dyDescent="0.25">
      <c r="J330" s="199" t="e">
        <f t="shared" si="22"/>
        <v>#NUM!</v>
      </c>
    </row>
    <row r="331" spans="10:10" x14ac:dyDescent="0.25">
      <c r="J331" s="199" t="e">
        <f t="shared" si="22"/>
        <v>#NUM!</v>
      </c>
    </row>
    <row r="332" spans="10:10" x14ac:dyDescent="0.25">
      <c r="J332" s="199" t="e">
        <f t="shared" si="22"/>
        <v>#NUM!</v>
      </c>
    </row>
    <row r="333" spans="10:10" x14ac:dyDescent="0.25">
      <c r="J333" s="199" t="e">
        <f t="shared" si="22"/>
        <v>#NUM!</v>
      </c>
    </row>
    <row r="334" spans="10:10" x14ac:dyDescent="0.25">
      <c r="J334" s="199" t="e">
        <f t="shared" si="22"/>
        <v>#NUM!</v>
      </c>
    </row>
    <row r="335" spans="10:10" x14ac:dyDescent="0.25">
      <c r="J335" s="199" t="e">
        <f t="shared" si="22"/>
        <v>#NUM!</v>
      </c>
    </row>
    <row r="336" spans="10:10" x14ac:dyDescent="0.25">
      <c r="J336" s="199" t="e">
        <f t="shared" si="22"/>
        <v>#NUM!</v>
      </c>
    </row>
    <row r="337" spans="10:10" x14ac:dyDescent="0.25">
      <c r="J337" s="199" t="e">
        <f t="shared" si="22"/>
        <v>#NUM!</v>
      </c>
    </row>
    <row r="338" spans="10:10" x14ac:dyDescent="0.25">
      <c r="J338" s="199" t="e">
        <f t="shared" si="22"/>
        <v>#NUM!</v>
      </c>
    </row>
    <row r="339" spans="10:10" x14ac:dyDescent="0.25">
      <c r="J339" s="199" t="e">
        <f t="shared" si="22"/>
        <v>#NUM!</v>
      </c>
    </row>
    <row r="340" spans="10:10" x14ac:dyDescent="0.25">
      <c r="J340" s="199" t="e">
        <f t="shared" si="22"/>
        <v>#NUM!</v>
      </c>
    </row>
    <row r="341" spans="10:10" x14ac:dyDescent="0.25">
      <c r="J341" s="199" t="e">
        <f t="shared" si="22"/>
        <v>#NUM!</v>
      </c>
    </row>
    <row r="342" spans="10:10" x14ac:dyDescent="0.25">
      <c r="J342" s="199" t="e">
        <f t="shared" si="22"/>
        <v>#NUM!</v>
      </c>
    </row>
    <row r="343" spans="10:10" x14ac:dyDescent="0.25">
      <c r="J343" s="199" t="e">
        <f t="shared" si="22"/>
        <v>#NUM!</v>
      </c>
    </row>
    <row r="344" spans="10:10" x14ac:dyDescent="0.25">
      <c r="J344" s="199" t="e">
        <f t="shared" si="22"/>
        <v>#NUM!</v>
      </c>
    </row>
    <row r="345" spans="10:10" x14ac:dyDescent="0.25">
      <c r="J345" s="199" t="e">
        <f t="shared" si="22"/>
        <v>#NUM!</v>
      </c>
    </row>
    <row r="346" spans="10:10" x14ac:dyDescent="0.25">
      <c r="J346" s="199" t="e">
        <f t="shared" si="22"/>
        <v>#NUM!</v>
      </c>
    </row>
    <row r="347" spans="10:10" x14ac:dyDescent="0.25">
      <c r="J347" s="199" t="e">
        <f t="shared" si="22"/>
        <v>#NUM!</v>
      </c>
    </row>
    <row r="348" spans="10:10" x14ac:dyDescent="0.25">
      <c r="J348" s="199" t="e">
        <f t="shared" si="22"/>
        <v>#NUM!</v>
      </c>
    </row>
    <row r="349" spans="10:10" x14ac:dyDescent="0.25">
      <c r="J349" s="199" t="e">
        <f t="shared" si="22"/>
        <v>#NUM!</v>
      </c>
    </row>
    <row r="350" spans="10:10" x14ac:dyDescent="0.25">
      <c r="J350" s="199" t="e">
        <f t="shared" si="22"/>
        <v>#NUM!</v>
      </c>
    </row>
    <row r="351" spans="10:10" x14ac:dyDescent="0.25">
      <c r="J351" s="199" t="e">
        <f t="shared" si="22"/>
        <v>#NUM!</v>
      </c>
    </row>
    <row r="352" spans="10:10" x14ac:dyDescent="0.25">
      <c r="J352" s="199" t="e">
        <f t="shared" si="22"/>
        <v>#NUM!</v>
      </c>
    </row>
    <row r="353" spans="10:10" x14ac:dyDescent="0.25">
      <c r="J353" s="199" t="e">
        <f t="shared" si="22"/>
        <v>#NUM!</v>
      </c>
    </row>
    <row r="354" spans="10:10" x14ac:dyDescent="0.25">
      <c r="J354" s="199" t="e">
        <f t="shared" si="22"/>
        <v>#NUM!</v>
      </c>
    </row>
    <row r="355" spans="10:10" x14ac:dyDescent="0.25">
      <c r="J355" s="199" t="e">
        <f t="shared" si="22"/>
        <v>#NUM!</v>
      </c>
    </row>
    <row r="356" spans="10:10" x14ac:dyDescent="0.25">
      <c r="J356" s="199" t="e">
        <f t="shared" si="22"/>
        <v>#NUM!</v>
      </c>
    </row>
    <row r="357" spans="10:10" x14ac:dyDescent="0.25">
      <c r="J357" s="199" t="e">
        <f t="shared" si="22"/>
        <v>#NUM!</v>
      </c>
    </row>
    <row r="358" spans="10:10" x14ac:dyDescent="0.25">
      <c r="J358" s="199" t="e">
        <f t="shared" si="22"/>
        <v>#NUM!</v>
      </c>
    </row>
    <row r="359" spans="10:10" x14ac:dyDescent="0.25">
      <c r="J359" s="199" t="e">
        <f t="shared" si="22"/>
        <v>#NUM!</v>
      </c>
    </row>
    <row r="360" spans="10:10" x14ac:dyDescent="0.25">
      <c r="J360" s="199" t="e">
        <f t="shared" si="22"/>
        <v>#NUM!</v>
      </c>
    </row>
    <row r="361" spans="10:10" x14ac:dyDescent="0.25">
      <c r="J361" s="199" t="e">
        <f t="shared" si="22"/>
        <v>#NUM!</v>
      </c>
    </row>
    <row r="362" spans="10:10" x14ac:dyDescent="0.25">
      <c r="J362" s="199" t="e">
        <f t="shared" si="22"/>
        <v>#NUM!</v>
      </c>
    </row>
    <row r="363" spans="10:10" x14ac:dyDescent="0.25">
      <c r="J363" s="199" t="e">
        <f t="shared" si="22"/>
        <v>#NUM!</v>
      </c>
    </row>
    <row r="364" spans="10:10" x14ac:dyDescent="0.25">
      <c r="J364" s="199" t="e">
        <f t="shared" si="22"/>
        <v>#NUM!</v>
      </c>
    </row>
    <row r="365" spans="10:10" x14ac:dyDescent="0.25">
      <c r="J365" s="199" t="e">
        <f t="shared" si="22"/>
        <v>#NUM!</v>
      </c>
    </row>
    <row r="366" spans="10:10" x14ac:dyDescent="0.25">
      <c r="J366" s="199" t="e">
        <f t="shared" si="22"/>
        <v>#NUM!</v>
      </c>
    </row>
    <row r="367" spans="10:10" x14ac:dyDescent="0.25">
      <c r="J367" s="199" t="e">
        <f t="shared" si="22"/>
        <v>#NUM!</v>
      </c>
    </row>
    <row r="368" spans="10:10" x14ac:dyDescent="0.25">
      <c r="J368" s="199" t="e">
        <f t="shared" si="22"/>
        <v>#NUM!</v>
      </c>
    </row>
    <row r="369" spans="10:10" x14ac:dyDescent="0.25">
      <c r="J369" s="199" t="e">
        <f t="shared" si="22"/>
        <v>#NUM!</v>
      </c>
    </row>
    <row r="370" spans="10:10" x14ac:dyDescent="0.25">
      <c r="J370" s="199" t="e">
        <f t="shared" si="22"/>
        <v>#NUM!</v>
      </c>
    </row>
    <row r="371" spans="10:10" x14ac:dyDescent="0.25">
      <c r="J371" s="199" t="e">
        <f t="shared" si="22"/>
        <v>#NUM!</v>
      </c>
    </row>
    <row r="372" spans="10:10" x14ac:dyDescent="0.25">
      <c r="J372" s="199" t="e">
        <f t="shared" si="22"/>
        <v>#NUM!</v>
      </c>
    </row>
    <row r="373" spans="10:10" x14ac:dyDescent="0.25">
      <c r="J373" s="199" t="e">
        <f t="shared" si="22"/>
        <v>#NUM!</v>
      </c>
    </row>
    <row r="374" spans="10:10" x14ac:dyDescent="0.25">
      <c r="J374" s="199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1A3B7041-E472-45AC-93D0-2C407E0B13A1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121E-DF40-4404-AA24-DD2B5C0CD3F8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170" t="s">
        <v>102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173">
        <f>3*H2^(1/3)</f>
        <v>0</v>
      </c>
      <c r="L2" s="168"/>
      <c r="M2" s="168"/>
    </row>
    <row r="3" spans="1:36" x14ac:dyDescent="0.25">
      <c r="A3" s="164"/>
      <c r="B3" s="174" t="s">
        <v>28</v>
      </c>
      <c r="C3" s="70" t="s">
        <v>103</v>
      </c>
      <c r="D3" s="70"/>
      <c r="E3" s="26"/>
      <c r="F3" s="26"/>
      <c r="G3" s="26"/>
      <c r="H3" s="168"/>
      <c r="I3" s="168"/>
      <c r="J3" s="175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75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8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>IF(H6&gt;$H$2,"",(ROW()-5))</f>
        <v/>
      </c>
      <c r="C6" s="35"/>
      <c r="D6" s="35"/>
      <c r="E6" s="35"/>
      <c r="F6" s="35" t="s">
        <v>41</v>
      </c>
      <c r="G6" s="28"/>
      <c r="H6" s="179">
        <v>1</v>
      </c>
      <c r="I6" s="180" t="str">
        <f t="shared" ref="I6:I69" si="0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1">J6*$J$2</f>
        <v>#NUM!</v>
      </c>
      <c r="L6" s="181">
        <f>3*K2</f>
        <v>0</v>
      </c>
      <c r="M6" s="181">
        <f t="shared" ref="M6:M69" si="2">IF(I6&lt;&gt;"",K6+I6+L6,0)</f>
        <v>0</v>
      </c>
    </row>
    <row r="7" spans="1:36" ht="14.45" customHeight="1" x14ac:dyDescent="0.25">
      <c r="A7" s="100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41</v>
      </c>
      <c r="G7" s="28"/>
      <c r="H7" s="182">
        <v>2</v>
      </c>
      <c r="I7" s="183" t="str">
        <f t="shared" si="0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1"/>
        <v>#NUM!</v>
      </c>
      <c r="L7" s="184">
        <f>2*K2</f>
        <v>0</v>
      </c>
      <c r="M7" s="184">
        <f t="shared" si="2"/>
        <v>0</v>
      </c>
    </row>
    <row r="8" spans="1:36" ht="14.45" customHeight="1" x14ac:dyDescent="0.25">
      <c r="A8" s="96">
        <f t="shared" si="3"/>
        <v>0</v>
      </c>
      <c r="B8" s="34" t="str">
        <f t="shared" si="4"/>
        <v/>
      </c>
      <c r="C8" s="35"/>
      <c r="D8" s="35"/>
      <c r="E8" s="35"/>
      <c r="F8" s="35" t="s">
        <v>41</v>
      </c>
      <c r="G8" s="28"/>
      <c r="H8" s="179">
        <v>3</v>
      </c>
      <c r="I8" s="180" t="str">
        <f t="shared" si="0"/>
        <v/>
      </c>
      <c r="J8" s="179" t="e">
        <f t="shared" si="5"/>
        <v>#NUM!</v>
      </c>
      <c r="K8" s="179" t="e">
        <f t="shared" si="1"/>
        <v>#NUM!</v>
      </c>
      <c r="L8" s="181">
        <f>K2</f>
        <v>0</v>
      </c>
      <c r="M8" s="181">
        <f t="shared" si="2"/>
        <v>0</v>
      </c>
    </row>
    <row r="9" spans="1:36" s="169" customFormat="1" ht="14.45" customHeight="1" x14ac:dyDescent="0.25">
      <c r="A9" s="100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82">
        <v>3</v>
      </c>
      <c r="I9" s="183" t="str">
        <f t="shared" si="0"/>
        <v/>
      </c>
      <c r="J9" s="182" t="e">
        <f t="shared" si="5"/>
        <v>#NUM!</v>
      </c>
      <c r="K9" s="182" t="e">
        <f t="shared" si="1"/>
        <v>#NUM!</v>
      </c>
      <c r="L9" s="184">
        <f>K2</f>
        <v>0</v>
      </c>
      <c r="M9" s="184">
        <f t="shared" si="2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79">
        <v>5</v>
      </c>
      <c r="I10" s="180" t="str">
        <f t="shared" si="0"/>
        <v/>
      </c>
      <c r="J10" s="179" t="e">
        <f t="shared" si="5"/>
        <v>#NUM!</v>
      </c>
      <c r="K10" s="179" t="e">
        <f t="shared" si="1"/>
        <v>#NUM!</v>
      </c>
      <c r="L10" s="179"/>
      <c r="M10" s="181">
        <f t="shared" si="2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82">
        <v>6</v>
      </c>
      <c r="I11" s="183" t="str">
        <f t="shared" si="0"/>
        <v/>
      </c>
      <c r="J11" s="182" t="e">
        <f t="shared" si="5"/>
        <v>#NUM!</v>
      </c>
      <c r="K11" s="182" t="e">
        <f t="shared" si="1"/>
        <v>#NUM!</v>
      </c>
      <c r="L11" s="182"/>
      <c r="M11" s="184">
        <f t="shared" si="2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79">
        <v>7</v>
      </c>
      <c r="I12" s="180" t="str">
        <f t="shared" si="0"/>
        <v/>
      </c>
      <c r="J12" s="179" t="e">
        <f t="shared" si="5"/>
        <v>#NUM!</v>
      </c>
      <c r="K12" s="179" t="e">
        <f t="shared" si="1"/>
        <v>#NUM!</v>
      </c>
      <c r="L12" s="179"/>
      <c r="M12" s="181">
        <f t="shared" si="2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82">
        <v>8</v>
      </c>
      <c r="I13" s="183" t="str">
        <f t="shared" si="0"/>
        <v/>
      </c>
      <c r="J13" s="182" t="e">
        <f t="shared" si="5"/>
        <v>#NUM!</v>
      </c>
      <c r="K13" s="182" t="e">
        <f t="shared" si="1"/>
        <v>#NUM!</v>
      </c>
      <c r="L13" s="182"/>
      <c r="M13" s="184">
        <f t="shared" si="2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79">
        <v>9</v>
      </c>
      <c r="I14" s="180" t="str">
        <f t="shared" si="0"/>
        <v/>
      </c>
      <c r="J14" s="179" t="e">
        <f t="shared" si="5"/>
        <v>#NUM!</v>
      </c>
      <c r="K14" s="179" t="e">
        <f t="shared" si="1"/>
        <v>#NUM!</v>
      </c>
      <c r="L14" s="179"/>
      <c r="M14" s="181">
        <f t="shared" si="2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82">
        <v>10</v>
      </c>
      <c r="I15" s="183" t="str">
        <f t="shared" si="0"/>
        <v/>
      </c>
      <c r="J15" s="182" t="e">
        <f t="shared" si="5"/>
        <v>#NUM!</v>
      </c>
      <c r="K15" s="182" t="e">
        <f t="shared" si="1"/>
        <v>#NUM!</v>
      </c>
      <c r="L15" s="182"/>
      <c r="M15" s="184">
        <f t="shared" si="2"/>
        <v>0</v>
      </c>
      <c r="X15" s="185"/>
      <c r="Z15" s="186"/>
      <c r="AA15" s="186"/>
    </row>
    <row r="16" spans="1:36" x14ac:dyDescent="0.25">
      <c r="A16" s="96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79">
        <v>11</v>
      </c>
      <c r="I16" s="180" t="str">
        <f t="shared" si="0"/>
        <v/>
      </c>
      <c r="J16" s="179" t="e">
        <f t="shared" si="5"/>
        <v>#NUM!</v>
      </c>
      <c r="K16" s="179" t="e">
        <f t="shared" si="1"/>
        <v>#NUM!</v>
      </c>
      <c r="L16" s="179"/>
      <c r="M16" s="181">
        <f t="shared" si="2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82">
        <v>12</v>
      </c>
      <c r="I17" s="183" t="str">
        <f t="shared" si="0"/>
        <v/>
      </c>
      <c r="J17" s="182" t="e">
        <f t="shared" si="5"/>
        <v>#NUM!</v>
      </c>
      <c r="K17" s="182" t="e">
        <f t="shared" si="1"/>
        <v>#NUM!</v>
      </c>
      <c r="L17" s="182"/>
      <c r="M17" s="184">
        <f t="shared" si="2"/>
        <v>0</v>
      </c>
    </row>
    <row r="18" spans="1:19" x14ac:dyDescent="0.25">
      <c r="A18" s="96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9">
        <v>13</v>
      </c>
      <c r="I18" s="180" t="str">
        <f t="shared" si="0"/>
        <v/>
      </c>
      <c r="J18" s="179" t="e">
        <f t="shared" si="5"/>
        <v>#NUM!</v>
      </c>
      <c r="K18" s="179" t="e">
        <f t="shared" si="1"/>
        <v>#NUM!</v>
      </c>
      <c r="L18" s="179"/>
      <c r="M18" s="181">
        <f t="shared" si="2"/>
        <v>0</v>
      </c>
    </row>
    <row r="19" spans="1:19" x14ac:dyDescent="0.25">
      <c r="A19" s="100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82">
        <v>14</v>
      </c>
      <c r="I19" s="183" t="str">
        <f t="shared" si="0"/>
        <v/>
      </c>
      <c r="J19" s="182" t="e">
        <f t="shared" si="5"/>
        <v>#NUM!</v>
      </c>
      <c r="K19" s="182" t="e">
        <f t="shared" si="1"/>
        <v>#NUM!</v>
      </c>
      <c r="L19" s="182"/>
      <c r="M19" s="184">
        <f t="shared" si="2"/>
        <v>0</v>
      </c>
    </row>
    <row r="20" spans="1:19" x14ac:dyDescent="0.25">
      <c r="A20" s="96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9">
        <v>15</v>
      </c>
      <c r="I20" s="180" t="str">
        <f t="shared" si="0"/>
        <v/>
      </c>
      <c r="J20" s="179" t="e">
        <f t="shared" si="5"/>
        <v>#NUM!</v>
      </c>
      <c r="K20" s="179" t="e">
        <f t="shared" si="1"/>
        <v>#NUM!</v>
      </c>
      <c r="L20" s="179"/>
      <c r="M20" s="181">
        <f t="shared" si="2"/>
        <v>0</v>
      </c>
      <c r="R20" s="192"/>
      <c r="S20" s="193"/>
    </row>
    <row r="21" spans="1:19" x14ac:dyDescent="0.25">
      <c r="A21" s="100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82">
        <v>16</v>
      </c>
      <c r="I21" s="183" t="str">
        <f t="shared" si="0"/>
        <v/>
      </c>
      <c r="J21" s="182" t="e">
        <f t="shared" si="5"/>
        <v>#NUM!</v>
      </c>
      <c r="K21" s="182" t="e">
        <f t="shared" si="1"/>
        <v>#NUM!</v>
      </c>
      <c r="L21" s="182"/>
      <c r="M21" s="184">
        <f t="shared" si="2"/>
        <v>0</v>
      </c>
    </row>
    <row r="22" spans="1:19" x14ac:dyDescent="0.25">
      <c r="A22" s="96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9">
        <v>17</v>
      </c>
      <c r="I22" s="180" t="str">
        <f t="shared" si="0"/>
        <v/>
      </c>
      <c r="J22" s="179" t="e">
        <f t="shared" si="5"/>
        <v>#NUM!</v>
      </c>
      <c r="K22" s="179" t="e">
        <f t="shared" si="1"/>
        <v>#NUM!</v>
      </c>
      <c r="L22" s="179"/>
      <c r="M22" s="181">
        <f t="shared" si="2"/>
        <v>0</v>
      </c>
    </row>
    <row r="23" spans="1:19" x14ac:dyDescent="0.25">
      <c r="A23" s="100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82">
        <v>18</v>
      </c>
      <c r="I23" s="183" t="str">
        <f t="shared" si="0"/>
        <v/>
      </c>
      <c r="J23" s="182" t="e">
        <f t="shared" si="5"/>
        <v>#NUM!</v>
      </c>
      <c r="K23" s="182" t="e">
        <f t="shared" si="1"/>
        <v>#NUM!</v>
      </c>
      <c r="L23" s="182"/>
      <c r="M23" s="184">
        <f t="shared" si="2"/>
        <v>0</v>
      </c>
    </row>
    <row r="24" spans="1:19" x14ac:dyDescent="0.25">
      <c r="A24" s="96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9">
        <v>19</v>
      </c>
      <c r="I24" s="180" t="str">
        <f t="shared" si="0"/>
        <v/>
      </c>
      <c r="J24" s="179" t="e">
        <f t="shared" si="5"/>
        <v>#NUM!</v>
      </c>
      <c r="K24" s="179" t="e">
        <f t="shared" si="1"/>
        <v>#NUM!</v>
      </c>
      <c r="L24" s="179"/>
      <c r="M24" s="181">
        <f t="shared" si="2"/>
        <v>0</v>
      </c>
      <c r="R24" s="192"/>
      <c r="S24" s="193"/>
    </row>
    <row r="25" spans="1:19" x14ac:dyDescent="0.25">
      <c r="A25" s="100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82">
        <v>20</v>
      </c>
      <c r="I25" s="183" t="str">
        <f t="shared" si="0"/>
        <v/>
      </c>
      <c r="J25" s="182" t="e">
        <f t="shared" si="5"/>
        <v>#NUM!</v>
      </c>
      <c r="K25" s="182" t="e">
        <f t="shared" si="1"/>
        <v>#NUM!</v>
      </c>
      <c r="L25" s="182"/>
      <c r="M25" s="184">
        <f t="shared" si="2"/>
        <v>0</v>
      </c>
    </row>
    <row r="26" spans="1:19" x14ac:dyDescent="0.25">
      <c r="A26" s="96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9">
        <v>21</v>
      </c>
      <c r="I26" s="180" t="str">
        <f t="shared" si="0"/>
        <v/>
      </c>
      <c r="J26" s="179" t="e">
        <f t="shared" si="5"/>
        <v>#NUM!</v>
      </c>
      <c r="K26" s="179" t="e">
        <f t="shared" si="1"/>
        <v>#NUM!</v>
      </c>
      <c r="L26" s="179"/>
      <c r="M26" s="181">
        <f t="shared" si="2"/>
        <v>0</v>
      </c>
    </row>
    <row r="27" spans="1:19" x14ac:dyDescent="0.25">
      <c r="A27" s="100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82">
        <v>22</v>
      </c>
      <c r="I27" s="183" t="str">
        <f t="shared" si="0"/>
        <v/>
      </c>
      <c r="J27" s="182" t="e">
        <f t="shared" si="5"/>
        <v>#NUM!</v>
      </c>
      <c r="K27" s="182" t="e">
        <f t="shared" si="1"/>
        <v>#NUM!</v>
      </c>
      <c r="L27" s="182"/>
      <c r="M27" s="184">
        <f t="shared" si="2"/>
        <v>0</v>
      </c>
    </row>
    <row r="28" spans="1:19" x14ac:dyDescent="0.25">
      <c r="A28" s="96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9">
        <v>23</v>
      </c>
      <c r="I28" s="180" t="str">
        <f t="shared" si="0"/>
        <v/>
      </c>
      <c r="J28" s="179" t="e">
        <f t="shared" si="5"/>
        <v>#NUM!</v>
      </c>
      <c r="K28" s="179" t="e">
        <f t="shared" si="1"/>
        <v>#NUM!</v>
      </c>
      <c r="L28" s="179"/>
      <c r="M28" s="181">
        <f t="shared" si="2"/>
        <v>0</v>
      </c>
      <c r="R28" s="192"/>
      <c r="S28" s="193"/>
    </row>
    <row r="29" spans="1:19" x14ac:dyDescent="0.25">
      <c r="A29" s="100">
        <f t="shared" si="3"/>
        <v>0</v>
      </c>
      <c r="B29" s="40" t="str">
        <f t="shared" si="4"/>
        <v/>
      </c>
      <c r="C29" s="41"/>
      <c r="D29" s="41"/>
      <c r="E29" s="41"/>
      <c r="F29" s="41"/>
      <c r="G29" s="164"/>
      <c r="H29" s="182">
        <v>24</v>
      </c>
      <c r="I29" s="183" t="str">
        <f t="shared" si="0"/>
        <v/>
      </c>
      <c r="J29" s="182" t="e">
        <f t="shared" si="5"/>
        <v>#NUM!</v>
      </c>
      <c r="K29" s="182" t="e">
        <f t="shared" si="1"/>
        <v>#NUM!</v>
      </c>
      <c r="L29" s="182"/>
      <c r="M29" s="184">
        <f t="shared" si="2"/>
        <v>0</v>
      </c>
    </row>
    <row r="30" spans="1:19" x14ac:dyDescent="0.25">
      <c r="A30" s="96">
        <f t="shared" si="3"/>
        <v>0</v>
      </c>
      <c r="B30" s="34" t="str">
        <f t="shared" si="4"/>
        <v/>
      </c>
      <c r="C30" s="35"/>
      <c r="D30" s="35"/>
      <c r="E30" s="35"/>
      <c r="F30" s="35"/>
      <c r="G30" s="164"/>
      <c r="H30" s="179">
        <v>25</v>
      </c>
      <c r="I30" s="180" t="str">
        <f t="shared" si="0"/>
        <v/>
      </c>
      <c r="J30" s="179" t="e">
        <f t="shared" si="5"/>
        <v>#NUM!</v>
      </c>
      <c r="K30" s="179" t="e">
        <f t="shared" si="1"/>
        <v>#NUM!</v>
      </c>
      <c r="L30" s="179"/>
      <c r="M30" s="181">
        <f t="shared" si="2"/>
        <v>0</v>
      </c>
    </row>
    <row r="31" spans="1:19" x14ac:dyDescent="0.25">
      <c r="A31" s="100">
        <f t="shared" si="3"/>
        <v>0</v>
      </c>
      <c r="B31" s="40" t="str">
        <f t="shared" si="4"/>
        <v/>
      </c>
      <c r="C31" s="41"/>
      <c r="D31" s="41"/>
      <c r="E31" s="41"/>
      <c r="F31" s="41"/>
      <c r="G31" s="164"/>
      <c r="H31" s="182">
        <v>26</v>
      </c>
      <c r="I31" s="183" t="str">
        <f t="shared" si="0"/>
        <v/>
      </c>
      <c r="J31" s="182" t="e">
        <f t="shared" si="5"/>
        <v>#NUM!</v>
      </c>
      <c r="K31" s="182" t="e">
        <f t="shared" si="1"/>
        <v>#NUM!</v>
      </c>
      <c r="L31" s="182"/>
      <c r="M31" s="184">
        <f t="shared" si="2"/>
        <v>0</v>
      </c>
    </row>
    <row r="32" spans="1:19" x14ac:dyDescent="0.25">
      <c r="A32" s="96">
        <f t="shared" si="3"/>
        <v>0</v>
      </c>
      <c r="B32" s="34" t="str">
        <f t="shared" si="4"/>
        <v/>
      </c>
      <c r="C32" s="35"/>
      <c r="D32" s="35"/>
      <c r="E32" s="35"/>
      <c r="F32" s="35"/>
      <c r="G32" s="164"/>
      <c r="H32" s="179">
        <v>27</v>
      </c>
      <c r="I32" s="180" t="str">
        <f t="shared" si="0"/>
        <v/>
      </c>
      <c r="J32" s="179" t="e">
        <f t="shared" si="5"/>
        <v>#NUM!</v>
      </c>
      <c r="K32" s="179" t="e">
        <f t="shared" si="1"/>
        <v>#NUM!</v>
      </c>
      <c r="L32" s="179"/>
      <c r="M32" s="181">
        <f t="shared" si="2"/>
        <v>0</v>
      </c>
      <c r="R32" s="192"/>
      <c r="S32" s="193"/>
    </row>
    <row r="33" spans="1:21" x14ac:dyDescent="0.25">
      <c r="A33" s="100">
        <f t="shared" si="3"/>
        <v>0</v>
      </c>
      <c r="B33" s="40" t="str">
        <f t="shared" si="4"/>
        <v/>
      </c>
      <c r="C33" s="41"/>
      <c r="D33" s="41"/>
      <c r="E33" s="41"/>
      <c r="F33" s="41"/>
      <c r="G33" s="164"/>
      <c r="H33" s="182">
        <v>28</v>
      </c>
      <c r="I33" s="183" t="str">
        <f t="shared" si="0"/>
        <v/>
      </c>
      <c r="J33" s="182" t="e">
        <f t="shared" si="5"/>
        <v>#NUM!</v>
      </c>
      <c r="K33" s="182" t="e">
        <f t="shared" si="1"/>
        <v>#NUM!</v>
      </c>
      <c r="L33" s="182"/>
      <c r="M33" s="184">
        <f t="shared" si="2"/>
        <v>0</v>
      </c>
    </row>
    <row r="34" spans="1:21" x14ac:dyDescent="0.25">
      <c r="A34" s="96">
        <f t="shared" si="3"/>
        <v>0</v>
      </c>
      <c r="B34" s="34" t="str">
        <f t="shared" si="4"/>
        <v/>
      </c>
      <c r="C34" s="35"/>
      <c r="D34" s="35"/>
      <c r="E34" s="35"/>
      <c r="F34" s="35"/>
      <c r="G34" s="164"/>
      <c r="H34" s="179">
        <v>29</v>
      </c>
      <c r="I34" s="180" t="str">
        <f t="shared" si="0"/>
        <v/>
      </c>
      <c r="J34" s="179" t="e">
        <f t="shared" si="5"/>
        <v>#NUM!</v>
      </c>
      <c r="K34" s="179" t="e">
        <f t="shared" si="1"/>
        <v>#NUM!</v>
      </c>
      <c r="L34" s="179"/>
      <c r="M34" s="181">
        <f t="shared" si="2"/>
        <v>0</v>
      </c>
    </row>
    <row r="35" spans="1:21" x14ac:dyDescent="0.25">
      <c r="A35" s="100">
        <f t="shared" si="3"/>
        <v>0</v>
      </c>
      <c r="B35" s="40" t="str">
        <f t="shared" si="4"/>
        <v/>
      </c>
      <c r="C35" s="41"/>
      <c r="D35" s="41"/>
      <c r="E35" s="41"/>
      <c r="F35" s="41"/>
      <c r="G35" s="164"/>
      <c r="H35" s="182">
        <v>30</v>
      </c>
      <c r="I35" s="183" t="str">
        <f t="shared" si="0"/>
        <v/>
      </c>
      <c r="J35" s="182" t="e">
        <f t="shared" si="5"/>
        <v>#NUM!</v>
      </c>
      <c r="K35" s="182" t="e">
        <f t="shared" si="1"/>
        <v>#NUM!</v>
      </c>
      <c r="L35" s="182"/>
      <c r="M35" s="184">
        <f t="shared" si="2"/>
        <v>0</v>
      </c>
    </row>
    <row r="36" spans="1:21" x14ac:dyDescent="0.25">
      <c r="A36" s="96">
        <f t="shared" si="3"/>
        <v>0</v>
      </c>
      <c r="B36" s="34" t="str">
        <f t="shared" si="4"/>
        <v/>
      </c>
      <c r="C36" s="35"/>
      <c r="D36" s="35"/>
      <c r="E36" s="35"/>
      <c r="F36" s="35"/>
      <c r="G36" s="164"/>
      <c r="H36" s="179">
        <v>31</v>
      </c>
      <c r="I36" s="180" t="str">
        <f t="shared" si="0"/>
        <v/>
      </c>
      <c r="J36" s="179" t="e">
        <f t="shared" si="5"/>
        <v>#NUM!</v>
      </c>
      <c r="K36" s="179" t="e">
        <f t="shared" si="1"/>
        <v>#NUM!</v>
      </c>
      <c r="L36" s="179"/>
      <c r="M36" s="181">
        <f t="shared" si="2"/>
        <v>0</v>
      </c>
      <c r="R36" s="192"/>
      <c r="S36" s="193"/>
    </row>
    <row r="37" spans="1:21" x14ac:dyDescent="0.25">
      <c r="A37" s="100">
        <f t="shared" si="3"/>
        <v>0</v>
      </c>
      <c r="B37" s="40" t="str">
        <f t="shared" si="4"/>
        <v/>
      </c>
      <c r="C37" s="41"/>
      <c r="D37" s="41"/>
      <c r="E37" s="41"/>
      <c r="F37" s="41"/>
      <c r="G37" s="164"/>
      <c r="H37" s="182">
        <v>32</v>
      </c>
      <c r="I37" s="183" t="str">
        <f t="shared" si="0"/>
        <v/>
      </c>
      <c r="J37" s="182" t="e">
        <f t="shared" si="5"/>
        <v>#NUM!</v>
      </c>
      <c r="K37" s="182" t="e">
        <f t="shared" si="1"/>
        <v>#NUM!</v>
      </c>
      <c r="L37" s="182"/>
      <c r="M37" s="184">
        <f t="shared" si="2"/>
        <v>0</v>
      </c>
    </row>
    <row r="38" spans="1:21" x14ac:dyDescent="0.25">
      <c r="A38" s="96"/>
      <c r="B38" s="34" t="str">
        <f t="shared" si="4"/>
        <v/>
      </c>
      <c r="C38" s="35"/>
      <c r="D38" s="35"/>
      <c r="E38" s="35"/>
      <c r="F38" s="35"/>
      <c r="G38" s="164"/>
      <c r="H38" s="179">
        <v>33</v>
      </c>
      <c r="I38" s="180" t="str">
        <f t="shared" si="0"/>
        <v/>
      </c>
      <c r="J38" s="179" t="e">
        <f t="shared" si="5"/>
        <v>#NUM!</v>
      </c>
      <c r="K38" s="179" t="e">
        <f t="shared" si="1"/>
        <v>#NUM!</v>
      </c>
      <c r="L38" s="179"/>
      <c r="M38" s="181">
        <f t="shared" si="2"/>
        <v>0</v>
      </c>
    </row>
    <row r="39" spans="1:21" x14ac:dyDescent="0.25">
      <c r="A39" s="100"/>
      <c r="B39" s="40" t="str">
        <f t="shared" si="4"/>
        <v/>
      </c>
      <c r="C39" s="41"/>
      <c r="D39" s="41"/>
      <c r="E39" s="41"/>
      <c r="F39" s="41"/>
      <c r="G39" s="164"/>
      <c r="H39" s="182">
        <v>34</v>
      </c>
      <c r="I39" s="183" t="str">
        <f t="shared" si="0"/>
        <v/>
      </c>
      <c r="J39" s="182" t="e">
        <f t="shared" si="5"/>
        <v>#NUM!</v>
      </c>
      <c r="K39" s="182" t="e">
        <f t="shared" si="1"/>
        <v>#NUM!</v>
      </c>
      <c r="L39" s="182"/>
      <c r="M39" s="184">
        <f t="shared" si="2"/>
        <v>0</v>
      </c>
    </row>
    <row r="40" spans="1:21" x14ac:dyDescent="0.25">
      <c r="A40" s="96"/>
      <c r="B40" s="34" t="str">
        <f t="shared" si="4"/>
        <v/>
      </c>
      <c r="C40" s="35"/>
      <c r="D40" s="35"/>
      <c r="E40" s="35"/>
      <c r="F40" s="35"/>
      <c r="G40" s="164"/>
      <c r="H40" s="179">
        <v>35</v>
      </c>
      <c r="I40" s="180" t="str">
        <f t="shared" si="0"/>
        <v/>
      </c>
      <c r="J40" s="179" t="e">
        <f t="shared" si="5"/>
        <v>#NUM!</v>
      </c>
      <c r="K40" s="179" t="e">
        <f t="shared" si="1"/>
        <v>#NUM!</v>
      </c>
      <c r="L40" s="179"/>
      <c r="M40" s="181">
        <f t="shared" si="2"/>
        <v>0</v>
      </c>
    </row>
    <row r="41" spans="1:21" x14ac:dyDescent="0.25">
      <c r="A41" s="100"/>
      <c r="B41" s="40" t="str">
        <f t="shared" si="4"/>
        <v/>
      </c>
      <c r="C41" s="41"/>
      <c r="D41" s="41"/>
      <c r="E41" s="41"/>
      <c r="F41" s="41"/>
      <c r="G41" s="164"/>
      <c r="H41" s="182">
        <v>36</v>
      </c>
      <c r="I41" s="183" t="str">
        <f t="shared" si="0"/>
        <v/>
      </c>
      <c r="J41" s="182" t="e">
        <f t="shared" si="5"/>
        <v>#NUM!</v>
      </c>
      <c r="K41" s="182" t="e">
        <f t="shared" si="1"/>
        <v>#NUM!</v>
      </c>
      <c r="L41" s="182"/>
      <c r="M41" s="184">
        <f t="shared" si="2"/>
        <v>0</v>
      </c>
      <c r="S41" s="194"/>
    </row>
    <row r="42" spans="1:21" x14ac:dyDescent="0.25">
      <c r="A42" s="96"/>
      <c r="B42" s="34" t="str">
        <f t="shared" si="4"/>
        <v/>
      </c>
      <c r="C42" s="35"/>
      <c r="D42" s="35"/>
      <c r="E42" s="35"/>
      <c r="F42" s="35"/>
      <c r="G42" s="164"/>
      <c r="H42" s="179">
        <v>37</v>
      </c>
      <c r="I42" s="180" t="str">
        <f t="shared" si="0"/>
        <v/>
      </c>
      <c r="J42" s="179" t="e">
        <f t="shared" si="5"/>
        <v>#NUM!</v>
      </c>
      <c r="K42" s="179" t="e">
        <f t="shared" si="1"/>
        <v>#NUM!</v>
      </c>
      <c r="L42" s="179"/>
      <c r="M42" s="181">
        <f t="shared" si="2"/>
        <v>0</v>
      </c>
    </row>
    <row r="43" spans="1:21" x14ac:dyDescent="0.25">
      <c r="A43" s="100"/>
      <c r="B43" s="40" t="str">
        <f t="shared" si="4"/>
        <v/>
      </c>
      <c r="C43" s="41"/>
      <c r="D43" s="41"/>
      <c r="E43" s="41"/>
      <c r="F43" s="41"/>
      <c r="G43" s="164"/>
      <c r="H43" s="182">
        <v>38</v>
      </c>
      <c r="I43" s="183" t="str">
        <f t="shared" si="0"/>
        <v/>
      </c>
      <c r="J43" s="182" t="e">
        <f t="shared" si="5"/>
        <v>#NUM!</v>
      </c>
      <c r="K43" s="182" t="e">
        <f t="shared" si="1"/>
        <v>#NUM!</v>
      </c>
      <c r="L43" s="182"/>
      <c r="M43" s="184">
        <f t="shared" si="2"/>
        <v>0</v>
      </c>
    </row>
    <row r="44" spans="1:21" x14ac:dyDescent="0.25">
      <c r="A44" s="96"/>
      <c r="B44" s="34" t="str">
        <f t="shared" si="4"/>
        <v/>
      </c>
      <c r="C44" s="35"/>
      <c r="D44" s="35"/>
      <c r="E44" s="35"/>
      <c r="F44" s="35"/>
      <c r="G44" s="164"/>
      <c r="H44" s="179">
        <v>39</v>
      </c>
      <c r="I44" s="180" t="str">
        <f t="shared" si="0"/>
        <v/>
      </c>
      <c r="J44" s="179" t="e">
        <f t="shared" si="5"/>
        <v>#NUM!</v>
      </c>
      <c r="K44" s="179" t="e">
        <f t="shared" si="1"/>
        <v>#NUM!</v>
      </c>
      <c r="L44" s="179"/>
      <c r="M44" s="181">
        <f t="shared" si="2"/>
        <v>0</v>
      </c>
    </row>
    <row r="45" spans="1:21" x14ac:dyDescent="0.25">
      <c r="A45" s="100"/>
      <c r="B45" s="40" t="str">
        <f t="shared" si="4"/>
        <v/>
      </c>
      <c r="C45" s="41"/>
      <c r="D45" s="41"/>
      <c r="E45" s="41"/>
      <c r="F45" s="41"/>
      <c r="G45" s="164"/>
      <c r="H45" s="182">
        <v>40</v>
      </c>
      <c r="I45" s="183" t="str">
        <f t="shared" si="0"/>
        <v/>
      </c>
      <c r="J45" s="182" t="e">
        <f t="shared" si="5"/>
        <v>#NUM!</v>
      </c>
      <c r="K45" s="182" t="e">
        <f t="shared" si="1"/>
        <v>#NUM!</v>
      </c>
      <c r="L45" s="182"/>
      <c r="M45" s="184">
        <f t="shared" si="2"/>
        <v>0</v>
      </c>
    </row>
    <row r="46" spans="1:21" x14ac:dyDescent="0.25">
      <c r="A46" s="96"/>
      <c r="B46" s="34" t="str">
        <f t="shared" si="4"/>
        <v/>
      </c>
      <c r="C46" s="35"/>
      <c r="D46" s="35"/>
      <c r="E46" s="35"/>
      <c r="F46" s="35"/>
      <c r="G46" s="164"/>
      <c r="H46" s="179">
        <v>41</v>
      </c>
      <c r="I46" s="180" t="str">
        <f t="shared" si="0"/>
        <v/>
      </c>
      <c r="J46" s="179" t="e">
        <f t="shared" si="5"/>
        <v>#NUM!</v>
      </c>
      <c r="K46" s="179" t="e">
        <f t="shared" si="1"/>
        <v>#NUM!</v>
      </c>
      <c r="L46" s="179"/>
      <c r="M46" s="181">
        <f t="shared" si="2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100"/>
      <c r="B47" s="40" t="str">
        <f t="shared" si="4"/>
        <v/>
      </c>
      <c r="C47" s="41"/>
      <c r="D47" s="41"/>
      <c r="E47" s="41"/>
      <c r="F47" s="41"/>
      <c r="G47" s="164"/>
      <c r="H47" s="182">
        <v>42</v>
      </c>
      <c r="I47" s="183" t="str">
        <f t="shared" si="0"/>
        <v/>
      </c>
      <c r="J47" s="182" t="e">
        <f t="shared" si="5"/>
        <v>#NUM!</v>
      </c>
      <c r="K47" s="182" t="e">
        <f t="shared" si="1"/>
        <v>#NUM!</v>
      </c>
      <c r="L47" s="182"/>
      <c r="M47" s="184">
        <f t="shared" si="2"/>
        <v>0</v>
      </c>
    </row>
    <row r="48" spans="1:21" x14ac:dyDescent="0.25">
      <c r="A48" s="96"/>
      <c r="B48" s="34" t="str">
        <f t="shared" si="4"/>
        <v/>
      </c>
      <c r="C48" s="35"/>
      <c r="D48" s="35"/>
      <c r="E48" s="35"/>
      <c r="F48" s="35"/>
      <c r="G48" s="164"/>
      <c r="H48" s="179">
        <v>43</v>
      </c>
      <c r="I48" s="180" t="str">
        <f t="shared" si="0"/>
        <v/>
      </c>
      <c r="J48" s="179" t="e">
        <f t="shared" si="5"/>
        <v>#NUM!</v>
      </c>
      <c r="K48" s="179" t="e">
        <f t="shared" si="1"/>
        <v>#NUM!</v>
      </c>
      <c r="L48" s="179"/>
      <c r="M48" s="181">
        <f t="shared" si="2"/>
        <v>0</v>
      </c>
    </row>
    <row r="49" spans="1:13" x14ac:dyDescent="0.25">
      <c r="A49" s="100"/>
      <c r="B49" s="40" t="str">
        <f t="shared" si="4"/>
        <v/>
      </c>
      <c r="C49" s="41"/>
      <c r="D49" s="41"/>
      <c r="E49" s="41"/>
      <c r="F49" s="41"/>
      <c r="G49" s="164"/>
      <c r="H49" s="182">
        <v>44</v>
      </c>
      <c r="I49" s="183" t="str">
        <f t="shared" si="0"/>
        <v/>
      </c>
      <c r="J49" s="182" t="e">
        <f t="shared" si="5"/>
        <v>#NUM!</v>
      </c>
      <c r="K49" s="182" t="e">
        <f t="shared" si="1"/>
        <v>#NUM!</v>
      </c>
      <c r="L49" s="182"/>
      <c r="M49" s="184">
        <f t="shared" si="2"/>
        <v>0</v>
      </c>
    </row>
    <row r="50" spans="1:13" x14ac:dyDescent="0.25">
      <c r="A50" s="96"/>
      <c r="B50" s="34" t="str">
        <f t="shared" si="4"/>
        <v/>
      </c>
      <c r="C50" s="35"/>
      <c r="D50" s="35"/>
      <c r="E50" s="35"/>
      <c r="F50" s="35"/>
      <c r="G50" s="164"/>
      <c r="H50" s="179">
        <v>45</v>
      </c>
      <c r="I50" s="180" t="str">
        <f t="shared" si="0"/>
        <v/>
      </c>
      <c r="J50" s="179" t="e">
        <f t="shared" si="5"/>
        <v>#NUM!</v>
      </c>
      <c r="K50" s="179" t="e">
        <f t="shared" si="1"/>
        <v>#NUM!</v>
      </c>
      <c r="L50" s="179"/>
      <c r="M50" s="181">
        <f t="shared" si="2"/>
        <v>0</v>
      </c>
    </row>
    <row r="51" spans="1:13" x14ac:dyDescent="0.25">
      <c r="A51" s="100"/>
      <c r="B51" s="40" t="str">
        <f t="shared" si="4"/>
        <v/>
      </c>
      <c r="C51" s="41"/>
      <c r="D51" s="41"/>
      <c r="E51" s="41"/>
      <c r="F51" s="41"/>
      <c r="G51" s="164"/>
      <c r="H51" s="182">
        <v>46</v>
      </c>
      <c r="I51" s="183" t="str">
        <f t="shared" si="0"/>
        <v/>
      </c>
      <c r="J51" s="182" t="e">
        <f t="shared" si="5"/>
        <v>#NUM!</v>
      </c>
      <c r="K51" s="182" t="e">
        <f t="shared" si="1"/>
        <v>#NUM!</v>
      </c>
      <c r="L51" s="182"/>
      <c r="M51" s="184">
        <f t="shared" si="2"/>
        <v>0</v>
      </c>
    </row>
    <row r="52" spans="1:13" x14ac:dyDescent="0.25">
      <c r="A52" s="96"/>
      <c r="B52" s="34" t="str">
        <f t="shared" si="4"/>
        <v/>
      </c>
      <c r="C52" s="35"/>
      <c r="D52" s="35"/>
      <c r="E52" s="35"/>
      <c r="F52" s="35"/>
      <c r="G52" s="164"/>
      <c r="H52" s="179">
        <v>47</v>
      </c>
      <c r="I52" s="180" t="str">
        <f t="shared" si="0"/>
        <v/>
      </c>
      <c r="J52" s="179" t="e">
        <f t="shared" si="5"/>
        <v>#NUM!</v>
      </c>
      <c r="K52" s="179" t="e">
        <f t="shared" si="1"/>
        <v>#NUM!</v>
      </c>
      <c r="L52" s="179"/>
      <c r="M52" s="181">
        <f t="shared" si="2"/>
        <v>0</v>
      </c>
    </row>
    <row r="53" spans="1:13" x14ac:dyDescent="0.25">
      <c r="A53" s="100"/>
      <c r="B53" s="40" t="str">
        <f t="shared" si="4"/>
        <v/>
      </c>
      <c r="C53" s="41"/>
      <c r="D53" s="41"/>
      <c r="E53" s="41"/>
      <c r="F53" s="41"/>
      <c r="G53" s="164"/>
      <c r="H53" s="182">
        <v>48</v>
      </c>
      <c r="I53" s="183" t="str">
        <f t="shared" si="0"/>
        <v/>
      </c>
      <c r="J53" s="182" t="e">
        <f t="shared" si="5"/>
        <v>#NUM!</v>
      </c>
      <c r="K53" s="182" t="e">
        <f t="shared" si="1"/>
        <v>#NUM!</v>
      </c>
      <c r="L53" s="182"/>
      <c r="M53" s="184">
        <f t="shared" si="2"/>
        <v>0</v>
      </c>
    </row>
    <row r="54" spans="1:13" x14ac:dyDescent="0.25">
      <c r="A54" s="96"/>
      <c r="B54" s="34" t="str">
        <f t="shared" si="4"/>
        <v/>
      </c>
      <c r="C54" s="35"/>
      <c r="D54" s="35"/>
      <c r="E54" s="35"/>
      <c r="F54" s="35"/>
      <c r="G54" s="164"/>
      <c r="H54" s="179">
        <v>49</v>
      </c>
      <c r="I54" s="180" t="str">
        <f t="shared" si="0"/>
        <v/>
      </c>
      <c r="J54" s="179" t="e">
        <f t="shared" si="5"/>
        <v>#NUM!</v>
      </c>
      <c r="K54" s="179" t="e">
        <f t="shared" si="1"/>
        <v>#NUM!</v>
      </c>
      <c r="L54" s="179"/>
      <c r="M54" s="181">
        <f t="shared" si="2"/>
        <v>0</v>
      </c>
    </row>
    <row r="55" spans="1:13" x14ac:dyDescent="0.25">
      <c r="A55" s="100"/>
      <c r="B55" s="40" t="str">
        <f t="shared" si="4"/>
        <v/>
      </c>
      <c r="C55" s="41"/>
      <c r="D55" s="41"/>
      <c r="E55" s="41"/>
      <c r="F55" s="41"/>
      <c r="G55" s="164"/>
      <c r="H55" s="182">
        <v>50</v>
      </c>
      <c r="I55" s="183" t="str">
        <f t="shared" si="0"/>
        <v/>
      </c>
      <c r="J55" s="182" t="e">
        <f t="shared" si="5"/>
        <v>#NUM!</v>
      </c>
      <c r="K55" s="182" t="e">
        <f t="shared" si="1"/>
        <v>#NUM!</v>
      </c>
      <c r="L55" s="182"/>
      <c r="M55" s="184">
        <f t="shared" si="2"/>
        <v>0</v>
      </c>
    </row>
    <row r="56" spans="1:13" x14ac:dyDescent="0.25">
      <c r="A56" s="96"/>
      <c r="B56" s="34" t="str">
        <f t="shared" si="4"/>
        <v/>
      </c>
      <c r="C56" s="35"/>
      <c r="D56" s="35"/>
      <c r="E56" s="35"/>
      <c r="F56" s="35"/>
      <c r="G56" s="164"/>
      <c r="H56" s="179">
        <v>51</v>
      </c>
      <c r="I56" s="180" t="str">
        <f t="shared" si="0"/>
        <v/>
      </c>
      <c r="J56" s="179" t="e">
        <f t="shared" si="5"/>
        <v>#NUM!</v>
      </c>
      <c r="K56" s="179" t="e">
        <f t="shared" si="1"/>
        <v>#NUM!</v>
      </c>
      <c r="L56" s="179"/>
      <c r="M56" s="181">
        <f t="shared" si="2"/>
        <v>0</v>
      </c>
    </row>
    <row r="57" spans="1:13" x14ac:dyDescent="0.25">
      <c r="A57" s="100"/>
      <c r="B57" s="40" t="str">
        <f t="shared" si="4"/>
        <v/>
      </c>
      <c r="C57" s="41"/>
      <c r="D57" s="41"/>
      <c r="E57" s="41"/>
      <c r="F57" s="41"/>
      <c r="G57" s="164"/>
      <c r="H57" s="182">
        <v>52</v>
      </c>
      <c r="I57" s="183" t="str">
        <f t="shared" si="0"/>
        <v/>
      </c>
      <c r="J57" s="182" t="e">
        <f t="shared" si="5"/>
        <v>#NUM!</v>
      </c>
      <c r="K57" s="182" t="e">
        <f t="shared" si="1"/>
        <v>#NUM!</v>
      </c>
      <c r="L57" s="182"/>
      <c r="M57" s="184">
        <f t="shared" si="2"/>
        <v>0</v>
      </c>
    </row>
    <row r="58" spans="1:13" x14ac:dyDescent="0.25">
      <c r="A58" s="96"/>
      <c r="B58" s="34" t="str">
        <f t="shared" si="4"/>
        <v/>
      </c>
      <c r="C58" s="35"/>
      <c r="D58" s="35"/>
      <c r="E58" s="35"/>
      <c r="F58" s="35"/>
      <c r="G58" s="164"/>
      <c r="H58" s="179">
        <v>53</v>
      </c>
      <c r="I58" s="180" t="str">
        <f t="shared" si="0"/>
        <v/>
      </c>
      <c r="J58" s="179" t="e">
        <f t="shared" si="5"/>
        <v>#NUM!</v>
      </c>
      <c r="K58" s="179" t="e">
        <f t="shared" si="1"/>
        <v>#NUM!</v>
      </c>
      <c r="L58" s="179"/>
      <c r="M58" s="181">
        <f t="shared" si="2"/>
        <v>0</v>
      </c>
    </row>
    <row r="59" spans="1:13" x14ac:dyDescent="0.25">
      <c r="A59" s="100"/>
      <c r="B59" s="40" t="str">
        <f t="shared" si="4"/>
        <v/>
      </c>
      <c r="C59" s="41"/>
      <c r="D59" s="41"/>
      <c r="E59" s="41"/>
      <c r="F59" s="41"/>
      <c r="G59" s="164"/>
      <c r="H59" s="182">
        <v>54</v>
      </c>
      <c r="I59" s="183" t="str">
        <f t="shared" si="0"/>
        <v/>
      </c>
      <c r="J59" s="182" t="e">
        <f t="shared" si="5"/>
        <v>#NUM!</v>
      </c>
      <c r="K59" s="182" t="e">
        <f t="shared" si="1"/>
        <v>#NUM!</v>
      </c>
      <c r="L59" s="182"/>
      <c r="M59" s="184">
        <f t="shared" si="2"/>
        <v>0</v>
      </c>
    </row>
    <row r="60" spans="1:13" x14ac:dyDescent="0.25">
      <c r="A60" s="96"/>
      <c r="B60" s="34" t="str">
        <f t="shared" si="4"/>
        <v/>
      </c>
      <c r="C60" s="35"/>
      <c r="D60" s="35"/>
      <c r="E60" s="35"/>
      <c r="F60" s="35"/>
      <c r="G60" s="164"/>
      <c r="H60" s="179">
        <v>55</v>
      </c>
      <c r="I60" s="180" t="str">
        <f t="shared" si="0"/>
        <v/>
      </c>
      <c r="J60" s="179" t="e">
        <f t="shared" si="5"/>
        <v>#NUM!</v>
      </c>
      <c r="K60" s="179" t="e">
        <f t="shared" si="1"/>
        <v>#NUM!</v>
      </c>
      <c r="L60" s="179"/>
      <c r="M60" s="181">
        <f t="shared" si="2"/>
        <v>0</v>
      </c>
    </row>
    <row r="61" spans="1:13" x14ac:dyDescent="0.25">
      <c r="A61" s="100"/>
      <c r="B61" s="40" t="str">
        <f t="shared" si="4"/>
        <v/>
      </c>
      <c r="C61" s="41"/>
      <c r="D61" s="41"/>
      <c r="E61" s="41"/>
      <c r="F61" s="41"/>
      <c r="G61" s="164"/>
      <c r="H61" s="182">
        <v>56</v>
      </c>
      <c r="I61" s="183" t="str">
        <f t="shared" si="0"/>
        <v/>
      </c>
      <c r="J61" s="182" t="e">
        <f t="shared" si="5"/>
        <v>#NUM!</v>
      </c>
      <c r="K61" s="182" t="e">
        <f t="shared" si="1"/>
        <v>#NUM!</v>
      </c>
      <c r="L61" s="182"/>
      <c r="M61" s="184">
        <f t="shared" si="2"/>
        <v>0</v>
      </c>
    </row>
    <row r="62" spans="1:13" x14ac:dyDescent="0.25">
      <c r="A62" s="96"/>
      <c r="B62" s="34" t="str">
        <f t="shared" si="4"/>
        <v/>
      </c>
      <c r="C62" s="35"/>
      <c r="D62" s="35"/>
      <c r="E62" s="35"/>
      <c r="F62" s="35"/>
      <c r="G62" s="164"/>
      <c r="H62" s="179">
        <v>57</v>
      </c>
      <c r="I62" s="180" t="str">
        <f t="shared" si="0"/>
        <v/>
      </c>
      <c r="J62" s="179" t="e">
        <f t="shared" si="5"/>
        <v>#NUM!</v>
      </c>
      <c r="K62" s="179" t="e">
        <f t="shared" si="1"/>
        <v>#NUM!</v>
      </c>
      <c r="L62" s="179"/>
      <c r="M62" s="181">
        <f t="shared" si="2"/>
        <v>0</v>
      </c>
    </row>
    <row r="63" spans="1:13" x14ac:dyDescent="0.25">
      <c r="A63" s="100"/>
      <c r="B63" s="40" t="str">
        <f t="shared" si="4"/>
        <v/>
      </c>
      <c r="C63" s="41"/>
      <c r="D63" s="41"/>
      <c r="E63" s="41"/>
      <c r="F63" s="41"/>
      <c r="G63" s="164"/>
      <c r="H63" s="182">
        <v>58</v>
      </c>
      <c r="I63" s="183" t="str">
        <f t="shared" si="0"/>
        <v/>
      </c>
      <c r="J63" s="182" t="e">
        <f t="shared" si="5"/>
        <v>#NUM!</v>
      </c>
      <c r="K63" s="182" t="e">
        <f t="shared" si="1"/>
        <v>#NUM!</v>
      </c>
      <c r="L63" s="182"/>
      <c r="M63" s="184">
        <f t="shared" si="2"/>
        <v>0</v>
      </c>
    </row>
    <row r="64" spans="1:13" x14ac:dyDescent="0.25">
      <c r="A64" s="96"/>
      <c r="B64" s="34" t="str">
        <f t="shared" si="4"/>
        <v/>
      </c>
      <c r="C64" s="35"/>
      <c r="D64" s="35"/>
      <c r="E64" s="35"/>
      <c r="F64" s="35"/>
      <c r="G64" s="164"/>
      <c r="H64" s="179">
        <v>59</v>
      </c>
      <c r="I64" s="180" t="str">
        <f t="shared" si="0"/>
        <v/>
      </c>
      <c r="J64" s="179" t="e">
        <f t="shared" si="5"/>
        <v>#NUM!</v>
      </c>
      <c r="K64" s="179" t="e">
        <f t="shared" si="1"/>
        <v>#NUM!</v>
      </c>
      <c r="L64" s="179"/>
      <c r="M64" s="181">
        <f t="shared" si="2"/>
        <v>0</v>
      </c>
    </row>
    <row r="65" spans="1:13" x14ac:dyDescent="0.25">
      <c r="A65" s="100"/>
      <c r="B65" s="40" t="str">
        <f t="shared" si="4"/>
        <v/>
      </c>
      <c r="C65" s="41"/>
      <c r="D65" s="41"/>
      <c r="E65" s="41"/>
      <c r="F65" s="41"/>
      <c r="G65" s="164"/>
      <c r="H65" s="182">
        <v>60</v>
      </c>
      <c r="I65" s="183" t="str">
        <f t="shared" si="0"/>
        <v/>
      </c>
      <c r="J65" s="182" t="e">
        <f t="shared" si="5"/>
        <v>#NUM!</v>
      </c>
      <c r="K65" s="182" t="e">
        <f t="shared" si="1"/>
        <v>#NUM!</v>
      </c>
      <c r="L65" s="182"/>
      <c r="M65" s="184">
        <f t="shared" si="2"/>
        <v>0</v>
      </c>
    </row>
    <row r="66" spans="1:13" x14ac:dyDescent="0.25">
      <c r="A66" s="195"/>
      <c r="B66" s="34"/>
      <c r="G66" s="164"/>
      <c r="H66" s="179">
        <v>61</v>
      </c>
      <c r="I66" s="180" t="str">
        <f t="shared" si="0"/>
        <v/>
      </c>
      <c r="J66" s="179" t="e">
        <f t="shared" si="5"/>
        <v>#NUM!</v>
      </c>
      <c r="K66" s="179" t="e">
        <f t="shared" si="1"/>
        <v>#NUM!</v>
      </c>
      <c r="L66" s="179"/>
      <c r="M66" s="181">
        <f t="shared" si="2"/>
        <v>0</v>
      </c>
    </row>
    <row r="67" spans="1:13" x14ac:dyDescent="0.25">
      <c r="A67" s="195"/>
      <c r="B67" s="40"/>
      <c r="G67" s="164"/>
      <c r="H67" s="179">
        <v>62</v>
      </c>
      <c r="I67" s="180" t="str">
        <f t="shared" si="0"/>
        <v/>
      </c>
      <c r="J67" s="179" t="e">
        <f t="shared" si="5"/>
        <v>#NUM!</v>
      </c>
      <c r="K67" s="179" t="e">
        <f t="shared" si="1"/>
        <v>#NUM!</v>
      </c>
      <c r="L67" s="179"/>
      <c r="M67" s="181">
        <f t="shared" si="2"/>
        <v>0</v>
      </c>
    </row>
    <row r="68" spans="1:13" x14ac:dyDescent="0.25">
      <c r="A68" s="195"/>
      <c r="B68" s="34"/>
      <c r="G68" s="164"/>
      <c r="H68" s="179">
        <v>63</v>
      </c>
      <c r="I68" s="180" t="str">
        <f t="shared" si="0"/>
        <v/>
      </c>
      <c r="J68" s="179" t="e">
        <f t="shared" si="5"/>
        <v>#NUM!</v>
      </c>
      <c r="K68" s="179" t="e">
        <f t="shared" si="1"/>
        <v>#NUM!</v>
      </c>
      <c r="L68" s="179"/>
      <c r="M68" s="181">
        <f t="shared" si="2"/>
        <v>0</v>
      </c>
    </row>
    <row r="69" spans="1:13" x14ac:dyDescent="0.25">
      <c r="A69" s="195"/>
      <c r="B69" s="40"/>
      <c r="G69" s="164"/>
      <c r="H69" s="179">
        <v>64</v>
      </c>
      <c r="I69" s="180" t="str">
        <f t="shared" si="0"/>
        <v/>
      </c>
      <c r="J69" s="179" t="e">
        <f t="shared" si="5"/>
        <v>#NUM!</v>
      </c>
      <c r="K69" s="179" t="e">
        <f t="shared" si="1"/>
        <v>#NUM!</v>
      </c>
      <c r="L69" s="179"/>
      <c r="M69" s="181">
        <f t="shared" si="2"/>
        <v>0</v>
      </c>
    </row>
    <row r="70" spans="1:13" x14ac:dyDescent="0.25">
      <c r="A70" s="195"/>
      <c r="G70" s="164"/>
      <c r="H70" s="179">
        <v>65</v>
      </c>
      <c r="I70" s="180" t="str">
        <f t="shared" ref="I70:I133" si="6">IF(H70&lt;$H$2+1,($I$2-($I$2-1)*(LOG(H70)/LOG($H$2))),"")</f>
        <v/>
      </c>
      <c r="J70" s="179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95"/>
      <c r="G71" s="164"/>
      <c r="H71" s="179">
        <v>66</v>
      </c>
      <c r="I71" s="180" t="str">
        <f t="shared" si="6"/>
        <v/>
      </c>
      <c r="J71" s="179" t="e">
        <f t="shared" ref="J71:J134" si="9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95"/>
      <c r="G72" s="164"/>
      <c r="H72" s="179">
        <v>67</v>
      </c>
      <c r="I72" s="180" t="str">
        <f t="shared" si="6"/>
        <v/>
      </c>
      <c r="J72" s="179" t="e">
        <f t="shared" si="9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95"/>
      <c r="G73" s="164"/>
      <c r="H73" s="179">
        <v>68</v>
      </c>
      <c r="I73" s="180" t="str">
        <f t="shared" si="6"/>
        <v/>
      </c>
      <c r="J73" s="179" t="e">
        <f t="shared" si="9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95"/>
      <c r="G74" s="164"/>
      <c r="H74" s="179">
        <v>69</v>
      </c>
      <c r="I74" s="180" t="str">
        <f t="shared" si="6"/>
        <v/>
      </c>
      <c r="J74" s="179" t="e">
        <f t="shared" si="9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95"/>
      <c r="G75" s="164"/>
      <c r="H75" s="179">
        <v>70</v>
      </c>
      <c r="I75" s="180" t="str">
        <f t="shared" si="6"/>
        <v/>
      </c>
      <c r="J75" s="179" t="e">
        <f t="shared" si="9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95"/>
      <c r="G76" s="164"/>
      <c r="H76" s="179">
        <v>71</v>
      </c>
      <c r="I76" s="180" t="str">
        <f t="shared" si="6"/>
        <v/>
      </c>
      <c r="J76" s="179" t="e">
        <f t="shared" si="9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95"/>
      <c r="G77" s="164"/>
      <c r="H77" s="179">
        <v>72</v>
      </c>
      <c r="I77" s="180" t="str">
        <f t="shared" si="6"/>
        <v/>
      </c>
      <c r="J77" s="179" t="e">
        <f t="shared" si="9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95"/>
      <c r="G78" s="164"/>
      <c r="H78" s="179">
        <v>73</v>
      </c>
      <c r="I78" s="180" t="str">
        <f t="shared" si="6"/>
        <v/>
      </c>
      <c r="J78" s="179" t="e">
        <f t="shared" si="9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95"/>
      <c r="G79" s="164"/>
      <c r="H79" s="179">
        <v>74</v>
      </c>
      <c r="I79" s="180" t="str">
        <f t="shared" si="6"/>
        <v/>
      </c>
      <c r="J79" s="179" t="e">
        <f t="shared" si="9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195"/>
      <c r="G80" s="164"/>
      <c r="H80" s="179">
        <v>75</v>
      </c>
      <c r="I80" s="180" t="str">
        <f t="shared" si="6"/>
        <v/>
      </c>
      <c r="J80" s="179" t="e">
        <f t="shared" si="9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5"/>
      <c r="G81" s="164"/>
      <c r="H81" s="179">
        <v>76</v>
      </c>
      <c r="I81" s="180" t="str">
        <f t="shared" si="6"/>
        <v/>
      </c>
      <c r="J81" s="179" t="e">
        <f t="shared" si="9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5"/>
      <c r="G82" s="164"/>
      <c r="H82" s="179">
        <v>77</v>
      </c>
      <c r="I82" s="180" t="str">
        <f t="shared" si="6"/>
        <v/>
      </c>
      <c r="J82" s="179" t="e">
        <f t="shared" si="9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5"/>
      <c r="G83" s="164"/>
      <c r="H83" s="179">
        <v>78</v>
      </c>
      <c r="I83" s="180" t="str">
        <f t="shared" si="6"/>
        <v/>
      </c>
      <c r="J83" s="179" t="e">
        <f t="shared" si="9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5"/>
      <c r="G84" s="164"/>
      <c r="H84" s="179">
        <v>79</v>
      </c>
      <c r="I84" s="180" t="str">
        <f t="shared" si="6"/>
        <v/>
      </c>
      <c r="J84" s="179" t="e">
        <f t="shared" si="9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5"/>
      <c r="G85" s="164"/>
      <c r="H85" s="179">
        <v>80</v>
      </c>
      <c r="I85" s="180" t="str">
        <f t="shared" si="6"/>
        <v/>
      </c>
      <c r="J85" s="179" t="e">
        <f t="shared" si="9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5"/>
      <c r="G86" s="164"/>
      <c r="H86" s="179">
        <v>81</v>
      </c>
      <c r="I86" s="180" t="str">
        <f t="shared" si="6"/>
        <v/>
      </c>
      <c r="J86" s="179" t="e">
        <f t="shared" si="9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5"/>
      <c r="G87" s="164"/>
      <c r="H87" s="179">
        <v>82</v>
      </c>
      <c r="I87" s="180" t="str">
        <f t="shared" si="6"/>
        <v/>
      </c>
      <c r="J87" s="179" t="e">
        <f t="shared" si="9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5"/>
      <c r="G88" s="164"/>
      <c r="H88" s="179">
        <v>83</v>
      </c>
      <c r="I88" s="180" t="str">
        <f t="shared" si="6"/>
        <v/>
      </c>
      <c r="J88" s="179" t="e">
        <f t="shared" si="9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5"/>
      <c r="G89" s="164"/>
      <c r="H89" s="179">
        <v>84</v>
      </c>
      <c r="I89" s="180" t="str">
        <f t="shared" si="6"/>
        <v/>
      </c>
      <c r="J89" s="179" t="e">
        <f t="shared" si="9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5"/>
      <c r="G90" s="164"/>
      <c r="H90" s="179">
        <v>85</v>
      </c>
      <c r="I90" s="180" t="str">
        <f t="shared" si="6"/>
        <v/>
      </c>
      <c r="J90" s="179" t="e">
        <f t="shared" si="9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5"/>
      <c r="G91" s="164"/>
      <c r="H91" s="179">
        <v>86</v>
      </c>
      <c r="I91" s="180" t="str">
        <f t="shared" si="6"/>
        <v/>
      </c>
      <c r="J91" s="179" t="e">
        <f t="shared" si="9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5"/>
      <c r="G92" s="164"/>
      <c r="H92" s="179">
        <v>87</v>
      </c>
      <c r="I92" s="180" t="str">
        <f t="shared" si="6"/>
        <v/>
      </c>
      <c r="J92" s="179" t="e">
        <f t="shared" si="9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5"/>
      <c r="G93" s="164"/>
      <c r="H93" s="179">
        <v>88</v>
      </c>
      <c r="I93" s="180" t="str">
        <f t="shared" si="6"/>
        <v/>
      </c>
      <c r="J93" s="179" t="e">
        <f t="shared" si="9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5"/>
      <c r="G94" s="164"/>
      <c r="H94" s="179">
        <v>89</v>
      </c>
      <c r="I94" s="180" t="str">
        <f t="shared" si="6"/>
        <v/>
      </c>
      <c r="J94" s="179" t="e">
        <f t="shared" si="9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5"/>
      <c r="G95" s="164"/>
      <c r="H95" s="179">
        <v>90</v>
      </c>
      <c r="I95" s="180" t="str">
        <f t="shared" si="6"/>
        <v/>
      </c>
      <c r="J95" s="179" t="e">
        <f t="shared" si="9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5"/>
      <c r="G96" s="164"/>
      <c r="H96" s="179">
        <v>91</v>
      </c>
      <c r="I96" s="180" t="str">
        <f t="shared" si="6"/>
        <v/>
      </c>
      <c r="J96" s="179" t="e">
        <f t="shared" si="9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5"/>
      <c r="G97" s="164"/>
      <c r="H97" s="179">
        <v>92</v>
      </c>
      <c r="I97" s="180" t="str">
        <f t="shared" si="6"/>
        <v/>
      </c>
      <c r="J97" s="179" t="e">
        <f t="shared" si="9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5"/>
      <c r="G98" s="164"/>
      <c r="H98" s="179">
        <v>93</v>
      </c>
      <c r="I98" s="180" t="str">
        <f t="shared" si="6"/>
        <v/>
      </c>
      <c r="J98" s="179" t="e">
        <f t="shared" si="9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5"/>
      <c r="G99" s="164"/>
      <c r="H99" s="179">
        <v>94</v>
      </c>
      <c r="I99" s="180" t="str">
        <f t="shared" si="6"/>
        <v/>
      </c>
      <c r="J99" s="179" t="e">
        <f t="shared" si="9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5"/>
      <c r="G100" s="164"/>
      <c r="H100" s="179">
        <v>95</v>
      </c>
      <c r="I100" s="180" t="str">
        <f t="shared" si="6"/>
        <v/>
      </c>
      <c r="J100" s="179" t="e">
        <f t="shared" si="9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7"/>
      <c r="G101" s="164"/>
      <c r="H101" s="179">
        <v>96</v>
      </c>
      <c r="I101" s="180" t="str">
        <f t="shared" si="6"/>
        <v/>
      </c>
      <c r="J101" s="179" t="e">
        <f t="shared" si="9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7"/>
      <c r="G102" s="164"/>
      <c r="H102" s="179">
        <v>97</v>
      </c>
      <c r="I102" s="180" t="str">
        <f t="shared" si="6"/>
        <v/>
      </c>
      <c r="J102" s="179" t="e">
        <f t="shared" si="9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7"/>
      <c r="G103" s="164"/>
      <c r="H103" s="179">
        <v>98</v>
      </c>
      <c r="I103" s="180" t="str">
        <f t="shared" si="6"/>
        <v/>
      </c>
      <c r="J103" s="179" t="e">
        <f t="shared" si="9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7"/>
      <c r="G104" s="164"/>
      <c r="H104" s="179">
        <v>99</v>
      </c>
      <c r="I104" s="180" t="str">
        <f t="shared" si="6"/>
        <v/>
      </c>
      <c r="J104" s="179" t="e">
        <f t="shared" si="9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7"/>
      <c r="G105" s="164"/>
      <c r="H105" s="179">
        <v>100</v>
      </c>
      <c r="I105" s="180" t="str">
        <f t="shared" si="6"/>
        <v/>
      </c>
      <c r="J105" s="179" t="e">
        <f t="shared" si="9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7"/>
      <c r="G106" s="164"/>
      <c r="H106" s="179">
        <v>101</v>
      </c>
      <c r="I106" s="180" t="str">
        <f t="shared" si="6"/>
        <v/>
      </c>
      <c r="J106" s="179" t="e">
        <f t="shared" si="9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7"/>
      <c r="G107" s="164"/>
      <c r="H107" s="179">
        <v>102</v>
      </c>
      <c r="I107" s="180" t="str">
        <f t="shared" si="6"/>
        <v/>
      </c>
      <c r="J107" s="179" t="e">
        <f t="shared" si="9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7"/>
      <c r="G108" s="164"/>
      <c r="H108" s="179">
        <v>103</v>
      </c>
      <c r="I108" s="180" t="str">
        <f t="shared" si="6"/>
        <v/>
      </c>
      <c r="J108" s="179" t="e">
        <f t="shared" si="9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7"/>
      <c r="G109" s="164"/>
      <c r="H109" s="179">
        <v>104</v>
      </c>
      <c r="I109" s="180" t="str">
        <f t="shared" si="6"/>
        <v/>
      </c>
      <c r="J109" s="179" t="e">
        <f t="shared" si="9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7"/>
      <c r="G110" s="164"/>
      <c r="H110" s="179">
        <v>105</v>
      </c>
      <c r="I110" s="180" t="str">
        <f t="shared" si="6"/>
        <v/>
      </c>
      <c r="J110" s="179" t="e">
        <f t="shared" si="9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7"/>
      <c r="G111" s="164"/>
      <c r="H111" s="179">
        <v>106</v>
      </c>
      <c r="I111" s="180" t="str">
        <f t="shared" si="6"/>
        <v/>
      </c>
      <c r="J111" s="179" t="e">
        <f t="shared" si="9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7"/>
      <c r="G112" s="164"/>
      <c r="H112" s="179">
        <v>107</v>
      </c>
      <c r="I112" s="180" t="str">
        <f t="shared" si="6"/>
        <v/>
      </c>
      <c r="J112" s="179" t="e">
        <f t="shared" si="9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7"/>
      <c r="G113" s="164"/>
      <c r="H113" s="179">
        <v>108</v>
      </c>
      <c r="I113" s="180" t="str">
        <f t="shared" si="6"/>
        <v/>
      </c>
      <c r="J113" s="179" t="e">
        <f t="shared" si="9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7"/>
      <c r="G114" s="164"/>
      <c r="H114" s="179">
        <v>109</v>
      </c>
      <c r="I114" s="180" t="str">
        <f t="shared" si="6"/>
        <v/>
      </c>
      <c r="J114" s="179" t="e">
        <f t="shared" si="9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7"/>
      <c r="G115" s="164"/>
      <c r="H115" s="179">
        <v>110</v>
      </c>
      <c r="I115" s="180" t="str">
        <f t="shared" si="6"/>
        <v/>
      </c>
      <c r="J115" s="179" t="e">
        <f t="shared" si="9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7"/>
      <c r="G116" s="164"/>
      <c r="H116" s="179">
        <v>111</v>
      </c>
      <c r="I116" s="180" t="str">
        <f t="shared" si="6"/>
        <v/>
      </c>
      <c r="J116" s="179" t="e">
        <f t="shared" si="9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7"/>
      <c r="G117" s="164"/>
      <c r="H117" s="179">
        <v>112</v>
      </c>
      <c r="I117" s="180" t="str">
        <f t="shared" si="6"/>
        <v/>
      </c>
      <c r="J117" s="179" t="e">
        <f t="shared" si="9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7"/>
      <c r="G118" s="164"/>
      <c r="H118" s="179">
        <v>113</v>
      </c>
      <c r="I118" s="180" t="str">
        <f t="shared" si="6"/>
        <v/>
      </c>
      <c r="J118" s="179" t="e">
        <f t="shared" si="9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7"/>
      <c r="G119" s="164"/>
      <c r="H119" s="179">
        <v>114</v>
      </c>
      <c r="I119" s="180" t="str">
        <f t="shared" si="6"/>
        <v/>
      </c>
      <c r="J119" s="179" t="e">
        <f t="shared" si="9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7"/>
      <c r="G120" s="164"/>
      <c r="H120" s="179">
        <v>115</v>
      </c>
      <c r="I120" s="180" t="str">
        <f t="shared" si="6"/>
        <v/>
      </c>
      <c r="J120" s="179" t="e">
        <f t="shared" si="9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7"/>
      <c r="G121" s="164"/>
      <c r="H121" s="179">
        <v>116</v>
      </c>
      <c r="I121" s="180" t="str">
        <f t="shared" si="6"/>
        <v/>
      </c>
      <c r="J121" s="179" t="e">
        <f t="shared" si="9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7"/>
      <c r="G122" s="164"/>
      <c r="H122" s="179">
        <v>117</v>
      </c>
      <c r="I122" s="180" t="str">
        <f t="shared" si="6"/>
        <v/>
      </c>
      <c r="J122" s="179" t="e">
        <f t="shared" si="9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7"/>
      <c r="G123" s="164"/>
      <c r="H123" s="179">
        <v>118</v>
      </c>
      <c r="I123" s="180" t="str">
        <f t="shared" si="6"/>
        <v/>
      </c>
      <c r="J123" s="179" t="e">
        <f t="shared" si="9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7"/>
      <c r="G124" s="164"/>
      <c r="H124" s="179">
        <v>119</v>
      </c>
      <c r="I124" s="180" t="str">
        <f t="shared" si="6"/>
        <v/>
      </c>
      <c r="J124" s="179" t="e">
        <f t="shared" si="9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7"/>
      <c r="G125" s="164"/>
      <c r="H125" s="179">
        <v>120</v>
      </c>
      <c r="I125" s="180" t="str">
        <f t="shared" si="6"/>
        <v/>
      </c>
      <c r="J125" s="179" t="e">
        <f t="shared" si="9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7"/>
      <c r="G126" s="164"/>
      <c r="H126" s="179">
        <v>121</v>
      </c>
      <c r="I126" s="180" t="str">
        <f t="shared" si="6"/>
        <v/>
      </c>
      <c r="J126" s="179" t="e">
        <f t="shared" si="9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7"/>
      <c r="G127" s="164"/>
      <c r="H127" s="179">
        <v>122</v>
      </c>
      <c r="I127" s="180" t="str">
        <f t="shared" si="6"/>
        <v/>
      </c>
      <c r="J127" s="179" t="e">
        <f t="shared" si="9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7"/>
      <c r="G128" s="164"/>
      <c r="H128" s="179">
        <v>123</v>
      </c>
      <c r="I128" s="180" t="str">
        <f t="shared" si="6"/>
        <v/>
      </c>
      <c r="J128" s="179" t="e">
        <f t="shared" si="9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7"/>
      <c r="G129" s="164"/>
      <c r="H129" s="179">
        <v>124</v>
      </c>
      <c r="I129" s="180" t="str">
        <f t="shared" si="6"/>
        <v/>
      </c>
      <c r="J129" s="179" t="e">
        <f t="shared" si="9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7"/>
      <c r="G130" s="164"/>
      <c r="H130" s="179">
        <v>125</v>
      </c>
      <c r="I130" s="180" t="str">
        <f t="shared" si="6"/>
        <v/>
      </c>
      <c r="J130" s="179" t="e">
        <f t="shared" si="9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7"/>
      <c r="G131" s="164"/>
      <c r="H131" s="179">
        <v>126</v>
      </c>
      <c r="I131" s="180" t="str">
        <f t="shared" si="6"/>
        <v/>
      </c>
      <c r="J131" s="179" t="e">
        <f t="shared" si="9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7"/>
      <c r="G132" s="164"/>
      <c r="H132" s="179">
        <v>127</v>
      </c>
      <c r="I132" s="180" t="str">
        <f t="shared" si="6"/>
        <v/>
      </c>
      <c r="J132" s="179" t="e">
        <f t="shared" si="9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7"/>
      <c r="G133" s="164"/>
      <c r="H133" s="179">
        <v>128</v>
      </c>
      <c r="I133" s="180" t="str">
        <f t="shared" si="6"/>
        <v/>
      </c>
      <c r="J133" s="179" t="e">
        <f t="shared" si="9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7"/>
      <c r="G134" s="164"/>
      <c r="H134" s="179">
        <v>129</v>
      </c>
      <c r="I134" s="180" t="str">
        <f t="shared" ref="I134:I197" si="10">IF(H134&lt;$H$2+1,($I$2-($I$2-1)*(LOG(H134)/LOG($H$2))),"")</f>
        <v/>
      </c>
      <c r="J134" s="179" t="e">
        <f t="shared" si="9"/>
        <v>#NUM!</v>
      </c>
      <c r="K134" s="179" t="e">
        <f t="shared" ref="K134:K197" si="11">J134*$J$2</f>
        <v>#NUM!</v>
      </c>
      <c r="L134" s="179"/>
      <c r="M134" s="181">
        <f t="shared" ref="M134:M197" si="12">IF(I134&lt;&gt;"",K134+I134+L134,0)</f>
        <v>0</v>
      </c>
    </row>
    <row r="135" spans="1:13" x14ac:dyDescent="0.25">
      <c r="A135" s="197"/>
      <c r="G135" s="164"/>
      <c r="H135" s="179">
        <v>130</v>
      </c>
      <c r="I135" s="180" t="str">
        <f t="shared" si="10"/>
        <v/>
      </c>
      <c r="J135" s="179" t="e">
        <f t="shared" ref="J135:J198" si="13">INT(LOG($H$2,2))-ROUNDUP(LOG(H135,2),0)+IF(OR($H$2=1,$H$2=2,$H$2=4,$H$2=8,$H$2=16,$H$2=32,$H$2=64,$H$2=128,$H$2=256),0,1)</f>
        <v>#NUM!</v>
      </c>
      <c r="K135" s="179" t="e">
        <f t="shared" si="11"/>
        <v>#NUM!</v>
      </c>
      <c r="L135" s="179"/>
      <c r="M135" s="181">
        <f t="shared" si="12"/>
        <v>0</v>
      </c>
    </row>
    <row r="136" spans="1:13" x14ac:dyDescent="0.25">
      <c r="A136" s="197"/>
      <c r="G136" s="164"/>
      <c r="H136" s="179">
        <v>131</v>
      </c>
      <c r="I136" s="180" t="str">
        <f t="shared" si="10"/>
        <v/>
      </c>
      <c r="J136" s="179" t="e">
        <f t="shared" si="13"/>
        <v>#NUM!</v>
      </c>
      <c r="K136" s="179" t="e">
        <f t="shared" si="11"/>
        <v>#NUM!</v>
      </c>
      <c r="L136" s="179"/>
      <c r="M136" s="181">
        <f t="shared" si="12"/>
        <v>0</v>
      </c>
    </row>
    <row r="137" spans="1:13" x14ac:dyDescent="0.25">
      <c r="A137" s="197"/>
      <c r="G137" s="164"/>
      <c r="H137" s="179">
        <v>132</v>
      </c>
      <c r="I137" s="180" t="str">
        <f t="shared" si="10"/>
        <v/>
      </c>
      <c r="J137" s="179" t="e">
        <f t="shared" si="13"/>
        <v>#NUM!</v>
      </c>
      <c r="K137" s="179" t="e">
        <f t="shared" si="11"/>
        <v>#NUM!</v>
      </c>
      <c r="L137" s="179"/>
      <c r="M137" s="181">
        <f t="shared" si="12"/>
        <v>0</v>
      </c>
    </row>
    <row r="138" spans="1:13" x14ac:dyDescent="0.25">
      <c r="A138" s="197"/>
      <c r="G138" s="164"/>
      <c r="H138" s="179">
        <v>133</v>
      </c>
      <c r="I138" s="180" t="str">
        <f t="shared" si="10"/>
        <v/>
      </c>
      <c r="J138" s="179" t="e">
        <f t="shared" si="13"/>
        <v>#NUM!</v>
      </c>
      <c r="K138" s="179" t="e">
        <f t="shared" si="11"/>
        <v>#NUM!</v>
      </c>
      <c r="L138" s="179"/>
      <c r="M138" s="181">
        <f t="shared" si="12"/>
        <v>0</v>
      </c>
    </row>
    <row r="139" spans="1:13" x14ac:dyDescent="0.25">
      <c r="A139" s="197"/>
      <c r="G139" s="164"/>
      <c r="H139" s="179">
        <v>134</v>
      </c>
      <c r="I139" s="180" t="str">
        <f t="shared" si="10"/>
        <v/>
      </c>
      <c r="J139" s="179" t="e">
        <f t="shared" si="13"/>
        <v>#NUM!</v>
      </c>
      <c r="K139" s="179" t="e">
        <f t="shared" si="11"/>
        <v>#NUM!</v>
      </c>
      <c r="L139" s="179"/>
      <c r="M139" s="181">
        <f t="shared" si="12"/>
        <v>0</v>
      </c>
    </row>
    <row r="140" spans="1:13" x14ac:dyDescent="0.25">
      <c r="A140" s="197"/>
      <c r="G140" s="164"/>
      <c r="H140" s="179">
        <v>135</v>
      </c>
      <c r="I140" s="180" t="str">
        <f t="shared" si="10"/>
        <v/>
      </c>
      <c r="J140" s="179" t="e">
        <f t="shared" si="13"/>
        <v>#NUM!</v>
      </c>
      <c r="K140" s="179" t="e">
        <f t="shared" si="11"/>
        <v>#NUM!</v>
      </c>
      <c r="L140" s="179"/>
      <c r="M140" s="181">
        <f t="shared" si="12"/>
        <v>0</v>
      </c>
    </row>
    <row r="141" spans="1:13" x14ac:dyDescent="0.25">
      <c r="A141" s="197"/>
      <c r="G141" s="164"/>
      <c r="H141" s="179">
        <v>136</v>
      </c>
      <c r="I141" s="180" t="str">
        <f t="shared" si="10"/>
        <v/>
      </c>
      <c r="J141" s="179" t="e">
        <f t="shared" si="13"/>
        <v>#NUM!</v>
      </c>
      <c r="K141" s="179" t="e">
        <f t="shared" si="11"/>
        <v>#NUM!</v>
      </c>
      <c r="L141" s="179"/>
      <c r="M141" s="181">
        <f t="shared" si="12"/>
        <v>0</v>
      </c>
    </row>
    <row r="142" spans="1:13" x14ac:dyDescent="0.25">
      <c r="A142" s="197"/>
      <c r="G142" s="164"/>
      <c r="H142" s="179">
        <v>137</v>
      </c>
      <c r="I142" s="180" t="str">
        <f t="shared" si="10"/>
        <v/>
      </c>
      <c r="J142" s="179" t="e">
        <f t="shared" si="13"/>
        <v>#NUM!</v>
      </c>
      <c r="K142" s="179" t="e">
        <f t="shared" si="11"/>
        <v>#NUM!</v>
      </c>
      <c r="L142" s="179"/>
      <c r="M142" s="181">
        <f t="shared" si="12"/>
        <v>0</v>
      </c>
    </row>
    <row r="143" spans="1:13" x14ac:dyDescent="0.25">
      <c r="A143" s="197"/>
      <c r="G143" s="164"/>
      <c r="H143" s="179">
        <v>138</v>
      </c>
      <c r="I143" s="180" t="str">
        <f t="shared" si="10"/>
        <v/>
      </c>
      <c r="J143" s="179" t="e">
        <f t="shared" si="13"/>
        <v>#NUM!</v>
      </c>
      <c r="K143" s="179" t="e">
        <f t="shared" si="11"/>
        <v>#NUM!</v>
      </c>
      <c r="L143" s="179"/>
      <c r="M143" s="181">
        <f t="shared" si="12"/>
        <v>0</v>
      </c>
    </row>
    <row r="144" spans="1:13" x14ac:dyDescent="0.25">
      <c r="A144" s="197"/>
      <c r="G144" s="164"/>
      <c r="H144" s="179">
        <v>139</v>
      </c>
      <c r="I144" s="180" t="str">
        <f t="shared" si="10"/>
        <v/>
      </c>
      <c r="J144" s="179" t="e">
        <f t="shared" si="13"/>
        <v>#NUM!</v>
      </c>
      <c r="K144" s="179" t="e">
        <f t="shared" si="11"/>
        <v>#NUM!</v>
      </c>
      <c r="L144" s="179"/>
      <c r="M144" s="181">
        <f t="shared" si="12"/>
        <v>0</v>
      </c>
    </row>
    <row r="145" spans="1:13" x14ac:dyDescent="0.25">
      <c r="A145" s="197"/>
      <c r="G145" s="164"/>
      <c r="H145" s="179">
        <v>140</v>
      </c>
      <c r="I145" s="180" t="str">
        <f t="shared" si="10"/>
        <v/>
      </c>
      <c r="J145" s="179" t="e">
        <f t="shared" si="13"/>
        <v>#NUM!</v>
      </c>
      <c r="K145" s="179" t="e">
        <f t="shared" si="11"/>
        <v>#NUM!</v>
      </c>
      <c r="L145" s="179"/>
      <c r="M145" s="181">
        <f t="shared" si="12"/>
        <v>0</v>
      </c>
    </row>
    <row r="146" spans="1:13" x14ac:dyDescent="0.25">
      <c r="A146" s="197"/>
      <c r="G146" s="164"/>
      <c r="H146" s="179">
        <v>141</v>
      </c>
      <c r="I146" s="180" t="str">
        <f t="shared" si="10"/>
        <v/>
      </c>
      <c r="J146" s="179" t="e">
        <f t="shared" si="13"/>
        <v>#NUM!</v>
      </c>
      <c r="K146" s="179" t="e">
        <f t="shared" si="11"/>
        <v>#NUM!</v>
      </c>
      <c r="L146" s="179"/>
      <c r="M146" s="181">
        <f t="shared" si="12"/>
        <v>0</v>
      </c>
    </row>
    <row r="147" spans="1:13" x14ac:dyDescent="0.25">
      <c r="A147" s="197"/>
      <c r="G147" s="164"/>
      <c r="H147" s="179">
        <v>142</v>
      </c>
      <c r="I147" s="180" t="str">
        <f t="shared" si="10"/>
        <v/>
      </c>
      <c r="J147" s="179" t="e">
        <f t="shared" si="13"/>
        <v>#NUM!</v>
      </c>
      <c r="K147" s="179" t="e">
        <f t="shared" si="11"/>
        <v>#NUM!</v>
      </c>
      <c r="L147" s="179"/>
      <c r="M147" s="181">
        <f t="shared" si="12"/>
        <v>0</v>
      </c>
    </row>
    <row r="148" spans="1:13" x14ac:dyDescent="0.25">
      <c r="A148" s="197"/>
      <c r="G148" s="164"/>
      <c r="H148" s="179">
        <v>143</v>
      </c>
      <c r="I148" s="180" t="str">
        <f t="shared" si="10"/>
        <v/>
      </c>
      <c r="J148" s="179" t="e">
        <f t="shared" si="13"/>
        <v>#NUM!</v>
      </c>
      <c r="K148" s="179" t="e">
        <f t="shared" si="11"/>
        <v>#NUM!</v>
      </c>
      <c r="L148" s="179"/>
      <c r="M148" s="181">
        <f t="shared" si="12"/>
        <v>0</v>
      </c>
    </row>
    <row r="149" spans="1:13" x14ac:dyDescent="0.25">
      <c r="A149" s="197"/>
      <c r="G149" s="164"/>
      <c r="H149" s="179">
        <v>144</v>
      </c>
      <c r="I149" s="180" t="str">
        <f t="shared" si="10"/>
        <v/>
      </c>
      <c r="J149" s="179" t="e">
        <f t="shared" si="13"/>
        <v>#NUM!</v>
      </c>
      <c r="K149" s="179" t="e">
        <f t="shared" si="11"/>
        <v>#NUM!</v>
      </c>
      <c r="L149" s="179"/>
      <c r="M149" s="181">
        <f t="shared" si="12"/>
        <v>0</v>
      </c>
    </row>
    <row r="150" spans="1:13" x14ac:dyDescent="0.25">
      <c r="A150" s="197"/>
      <c r="G150" s="164"/>
      <c r="H150" s="179">
        <v>145</v>
      </c>
      <c r="I150" s="180" t="str">
        <f t="shared" si="10"/>
        <v/>
      </c>
      <c r="J150" s="179" t="e">
        <f t="shared" si="13"/>
        <v>#NUM!</v>
      </c>
      <c r="K150" s="179" t="e">
        <f t="shared" si="11"/>
        <v>#NUM!</v>
      </c>
      <c r="L150" s="179"/>
      <c r="M150" s="181">
        <f t="shared" si="12"/>
        <v>0</v>
      </c>
    </row>
    <row r="151" spans="1:13" x14ac:dyDescent="0.25">
      <c r="A151" s="197"/>
      <c r="G151" s="164"/>
      <c r="H151" s="179">
        <v>146</v>
      </c>
      <c r="I151" s="180" t="str">
        <f t="shared" si="10"/>
        <v/>
      </c>
      <c r="J151" s="179" t="e">
        <f t="shared" si="13"/>
        <v>#NUM!</v>
      </c>
      <c r="K151" s="179" t="e">
        <f t="shared" si="11"/>
        <v>#NUM!</v>
      </c>
      <c r="L151" s="179"/>
      <c r="M151" s="181">
        <f t="shared" si="12"/>
        <v>0</v>
      </c>
    </row>
    <row r="152" spans="1:13" x14ac:dyDescent="0.25">
      <c r="A152" s="197"/>
      <c r="G152" s="164"/>
      <c r="H152" s="179">
        <v>147</v>
      </c>
      <c r="I152" s="180" t="str">
        <f t="shared" si="10"/>
        <v/>
      </c>
      <c r="J152" s="179" t="e">
        <f t="shared" si="13"/>
        <v>#NUM!</v>
      </c>
      <c r="K152" s="179" t="e">
        <f t="shared" si="11"/>
        <v>#NUM!</v>
      </c>
      <c r="L152" s="179"/>
      <c r="M152" s="181">
        <f t="shared" si="12"/>
        <v>0</v>
      </c>
    </row>
    <row r="153" spans="1:13" x14ac:dyDescent="0.25">
      <c r="A153" s="197"/>
      <c r="G153" s="164"/>
      <c r="H153" s="179">
        <v>148</v>
      </c>
      <c r="I153" s="180" t="str">
        <f t="shared" si="10"/>
        <v/>
      </c>
      <c r="J153" s="179" t="e">
        <f t="shared" si="13"/>
        <v>#NUM!</v>
      </c>
      <c r="K153" s="179" t="e">
        <f t="shared" si="11"/>
        <v>#NUM!</v>
      </c>
      <c r="L153" s="179"/>
      <c r="M153" s="181">
        <f t="shared" si="12"/>
        <v>0</v>
      </c>
    </row>
    <row r="154" spans="1:13" x14ac:dyDescent="0.25">
      <c r="A154" s="197"/>
      <c r="G154" s="164"/>
      <c r="H154" s="179">
        <v>149</v>
      </c>
      <c r="I154" s="180" t="str">
        <f t="shared" si="10"/>
        <v/>
      </c>
      <c r="J154" s="179" t="e">
        <f t="shared" si="13"/>
        <v>#NUM!</v>
      </c>
      <c r="K154" s="179" t="e">
        <f t="shared" si="11"/>
        <v>#NUM!</v>
      </c>
      <c r="L154" s="179"/>
      <c r="M154" s="181">
        <f t="shared" si="12"/>
        <v>0</v>
      </c>
    </row>
    <row r="155" spans="1:13" x14ac:dyDescent="0.25">
      <c r="A155" s="197"/>
      <c r="G155" s="164"/>
      <c r="H155" s="179">
        <v>150</v>
      </c>
      <c r="I155" s="180" t="str">
        <f t="shared" si="10"/>
        <v/>
      </c>
      <c r="J155" s="179" t="e">
        <f t="shared" si="13"/>
        <v>#NUM!</v>
      </c>
      <c r="K155" s="179" t="e">
        <f t="shared" si="11"/>
        <v>#NUM!</v>
      </c>
      <c r="L155" s="179"/>
      <c r="M155" s="181">
        <f t="shared" si="12"/>
        <v>0</v>
      </c>
    </row>
    <row r="156" spans="1:13" x14ac:dyDescent="0.25">
      <c r="A156" s="197"/>
      <c r="G156" s="164"/>
      <c r="H156" s="179">
        <v>151</v>
      </c>
      <c r="I156" s="180" t="str">
        <f t="shared" si="10"/>
        <v/>
      </c>
      <c r="J156" s="179" t="e">
        <f t="shared" si="13"/>
        <v>#NUM!</v>
      </c>
      <c r="K156" s="179" t="e">
        <f t="shared" si="11"/>
        <v>#NUM!</v>
      </c>
      <c r="L156" s="179"/>
      <c r="M156" s="181">
        <f t="shared" si="12"/>
        <v>0</v>
      </c>
    </row>
    <row r="157" spans="1:13" x14ac:dyDescent="0.25">
      <c r="A157" s="197"/>
      <c r="G157" s="164"/>
      <c r="H157" s="179">
        <v>152</v>
      </c>
      <c r="I157" s="180" t="str">
        <f t="shared" si="10"/>
        <v/>
      </c>
      <c r="J157" s="179" t="e">
        <f t="shared" si="13"/>
        <v>#NUM!</v>
      </c>
      <c r="K157" s="179" t="e">
        <f t="shared" si="11"/>
        <v>#NUM!</v>
      </c>
      <c r="L157" s="179"/>
      <c r="M157" s="181">
        <f t="shared" si="12"/>
        <v>0</v>
      </c>
    </row>
    <row r="158" spans="1:13" x14ac:dyDescent="0.25">
      <c r="A158" s="197"/>
      <c r="G158" s="164"/>
      <c r="H158" s="179">
        <v>153</v>
      </c>
      <c r="I158" s="180" t="str">
        <f t="shared" si="10"/>
        <v/>
      </c>
      <c r="J158" s="179" t="e">
        <f t="shared" si="13"/>
        <v>#NUM!</v>
      </c>
      <c r="K158" s="179" t="e">
        <f t="shared" si="11"/>
        <v>#NUM!</v>
      </c>
      <c r="L158" s="179"/>
      <c r="M158" s="181">
        <f t="shared" si="12"/>
        <v>0</v>
      </c>
    </row>
    <row r="159" spans="1:13" x14ac:dyDescent="0.25">
      <c r="A159" s="197"/>
      <c r="G159" s="164"/>
      <c r="H159" s="179">
        <v>154</v>
      </c>
      <c r="I159" s="180" t="str">
        <f t="shared" si="10"/>
        <v/>
      </c>
      <c r="J159" s="179" t="e">
        <f t="shared" si="13"/>
        <v>#NUM!</v>
      </c>
      <c r="K159" s="179" t="e">
        <f t="shared" si="11"/>
        <v>#NUM!</v>
      </c>
      <c r="L159" s="179"/>
      <c r="M159" s="181">
        <f t="shared" si="12"/>
        <v>0</v>
      </c>
    </row>
    <row r="160" spans="1:13" x14ac:dyDescent="0.25">
      <c r="A160" s="197"/>
      <c r="G160" s="164"/>
      <c r="H160" s="179">
        <v>155</v>
      </c>
      <c r="I160" s="180" t="str">
        <f t="shared" si="10"/>
        <v/>
      </c>
      <c r="J160" s="179" t="e">
        <f t="shared" si="13"/>
        <v>#NUM!</v>
      </c>
      <c r="K160" s="179" t="e">
        <f t="shared" si="11"/>
        <v>#NUM!</v>
      </c>
      <c r="L160" s="179"/>
      <c r="M160" s="181">
        <f t="shared" si="12"/>
        <v>0</v>
      </c>
    </row>
    <row r="161" spans="1:13" x14ac:dyDescent="0.25">
      <c r="A161" s="197"/>
      <c r="G161" s="164"/>
      <c r="H161" s="179">
        <v>156</v>
      </c>
      <c r="I161" s="180" t="str">
        <f t="shared" si="10"/>
        <v/>
      </c>
      <c r="J161" s="179" t="e">
        <f t="shared" si="13"/>
        <v>#NUM!</v>
      </c>
      <c r="K161" s="179" t="e">
        <f t="shared" si="11"/>
        <v>#NUM!</v>
      </c>
      <c r="L161" s="179"/>
      <c r="M161" s="181">
        <f t="shared" si="12"/>
        <v>0</v>
      </c>
    </row>
    <row r="162" spans="1:13" x14ac:dyDescent="0.25">
      <c r="A162" s="197"/>
      <c r="G162" s="164"/>
      <c r="H162" s="179">
        <v>157</v>
      </c>
      <c r="I162" s="180" t="str">
        <f t="shared" si="10"/>
        <v/>
      </c>
      <c r="J162" s="179" t="e">
        <f t="shared" si="13"/>
        <v>#NUM!</v>
      </c>
      <c r="K162" s="179" t="e">
        <f t="shared" si="11"/>
        <v>#NUM!</v>
      </c>
      <c r="L162" s="179"/>
      <c r="M162" s="181">
        <f t="shared" si="12"/>
        <v>0</v>
      </c>
    </row>
    <row r="163" spans="1:13" x14ac:dyDescent="0.25">
      <c r="A163" s="197"/>
      <c r="G163" s="164"/>
      <c r="H163" s="179">
        <v>158</v>
      </c>
      <c r="I163" s="180" t="str">
        <f t="shared" si="10"/>
        <v/>
      </c>
      <c r="J163" s="179" t="e">
        <f t="shared" si="13"/>
        <v>#NUM!</v>
      </c>
      <c r="K163" s="179" t="e">
        <f t="shared" si="11"/>
        <v>#NUM!</v>
      </c>
      <c r="L163" s="179"/>
      <c r="M163" s="181">
        <f t="shared" si="12"/>
        <v>0</v>
      </c>
    </row>
    <row r="164" spans="1:13" x14ac:dyDescent="0.25">
      <c r="A164" s="197"/>
      <c r="G164" s="164"/>
      <c r="H164" s="179">
        <v>159</v>
      </c>
      <c r="I164" s="180" t="str">
        <f t="shared" si="10"/>
        <v/>
      </c>
      <c r="J164" s="179" t="e">
        <f t="shared" si="13"/>
        <v>#NUM!</v>
      </c>
      <c r="K164" s="179" t="e">
        <f t="shared" si="11"/>
        <v>#NUM!</v>
      </c>
      <c r="L164" s="179"/>
      <c r="M164" s="181">
        <f t="shared" si="12"/>
        <v>0</v>
      </c>
    </row>
    <row r="165" spans="1:13" x14ac:dyDescent="0.25">
      <c r="A165" s="197"/>
      <c r="G165" s="164"/>
      <c r="H165" s="179">
        <v>160</v>
      </c>
      <c r="I165" s="180" t="str">
        <f t="shared" si="10"/>
        <v/>
      </c>
      <c r="J165" s="179" t="e">
        <f t="shared" si="13"/>
        <v>#NUM!</v>
      </c>
      <c r="K165" s="179" t="e">
        <f t="shared" si="11"/>
        <v>#NUM!</v>
      </c>
      <c r="L165" s="179"/>
      <c r="M165" s="181">
        <f t="shared" si="12"/>
        <v>0</v>
      </c>
    </row>
    <row r="166" spans="1:13" x14ac:dyDescent="0.25">
      <c r="A166" s="197"/>
      <c r="G166" s="164"/>
      <c r="H166" s="179">
        <v>161</v>
      </c>
      <c r="I166" s="180" t="str">
        <f t="shared" si="10"/>
        <v/>
      </c>
      <c r="J166" s="179" t="e">
        <f t="shared" si="13"/>
        <v>#NUM!</v>
      </c>
      <c r="K166" s="179" t="e">
        <f t="shared" si="11"/>
        <v>#NUM!</v>
      </c>
      <c r="L166" s="179"/>
      <c r="M166" s="181">
        <f t="shared" si="12"/>
        <v>0</v>
      </c>
    </row>
    <row r="167" spans="1:13" x14ac:dyDescent="0.25">
      <c r="A167" s="197"/>
      <c r="G167" s="164"/>
      <c r="H167" s="179">
        <v>162</v>
      </c>
      <c r="I167" s="180" t="str">
        <f t="shared" si="10"/>
        <v/>
      </c>
      <c r="J167" s="179" t="e">
        <f t="shared" si="13"/>
        <v>#NUM!</v>
      </c>
      <c r="K167" s="179" t="e">
        <f t="shared" si="11"/>
        <v>#NUM!</v>
      </c>
      <c r="L167" s="179"/>
      <c r="M167" s="181">
        <f t="shared" si="12"/>
        <v>0</v>
      </c>
    </row>
    <row r="168" spans="1:13" x14ac:dyDescent="0.25">
      <c r="A168" s="197"/>
      <c r="G168" s="164"/>
      <c r="H168" s="179">
        <v>163</v>
      </c>
      <c r="I168" s="180" t="str">
        <f t="shared" si="10"/>
        <v/>
      </c>
      <c r="J168" s="179" t="e">
        <f t="shared" si="13"/>
        <v>#NUM!</v>
      </c>
      <c r="K168" s="179" t="e">
        <f t="shared" si="11"/>
        <v>#NUM!</v>
      </c>
      <c r="L168" s="179"/>
      <c r="M168" s="181">
        <f t="shared" si="12"/>
        <v>0</v>
      </c>
    </row>
    <row r="169" spans="1:13" x14ac:dyDescent="0.25">
      <c r="A169" s="197"/>
      <c r="C169" s="196" t="s">
        <v>42</v>
      </c>
      <c r="G169" s="164"/>
      <c r="H169" s="179">
        <v>164</v>
      </c>
      <c r="I169" s="180" t="str">
        <f t="shared" si="10"/>
        <v/>
      </c>
      <c r="J169" s="179" t="e">
        <f t="shared" si="13"/>
        <v>#NUM!</v>
      </c>
      <c r="K169" s="179" t="e">
        <f t="shared" si="11"/>
        <v>#NUM!</v>
      </c>
      <c r="L169" s="179"/>
      <c r="M169" s="181">
        <f t="shared" si="12"/>
        <v>0</v>
      </c>
    </row>
    <row r="170" spans="1:13" x14ac:dyDescent="0.25">
      <c r="A170" s="197"/>
      <c r="G170" s="164"/>
      <c r="H170" s="179">
        <v>165</v>
      </c>
      <c r="I170" s="180" t="str">
        <f t="shared" si="10"/>
        <v/>
      </c>
      <c r="J170" s="179" t="e">
        <f t="shared" si="13"/>
        <v>#NUM!</v>
      </c>
      <c r="K170" s="179" t="e">
        <f t="shared" si="11"/>
        <v>#NUM!</v>
      </c>
      <c r="L170" s="179"/>
      <c r="M170" s="181">
        <f t="shared" si="12"/>
        <v>0</v>
      </c>
    </row>
    <row r="171" spans="1:13" x14ac:dyDescent="0.25">
      <c r="A171" s="197"/>
      <c r="G171" s="164"/>
      <c r="H171" s="179">
        <v>166</v>
      </c>
      <c r="I171" s="180" t="str">
        <f t="shared" si="10"/>
        <v/>
      </c>
      <c r="J171" s="179" t="e">
        <f t="shared" si="13"/>
        <v>#NUM!</v>
      </c>
      <c r="K171" s="179" t="e">
        <f t="shared" si="11"/>
        <v>#NUM!</v>
      </c>
      <c r="L171" s="179"/>
      <c r="M171" s="181">
        <f t="shared" si="12"/>
        <v>0</v>
      </c>
    </row>
    <row r="172" spans="1:13" x14ac:dyDescent="0.25">
      <c r="A172" s="197"/>
      <c r="G172" s="164"/>
      <c r="H172" s="179">
        <v>167</v>
      </c>
      <c r="I172" s="180" t="str">
        <f t="shared" si="10"/>
        <v/>
      </c>
      <c r="J172" s="179" t="e">
        <f t="shared" si="13"/>
        <v>#NUM!</v>
      </c>
      <c r="K172" s="179" t="e">
        <f t="shared" si="11"/>
        <v>#NUM!</v>
      </c>
      <c r="L172" s="179"/>
      <c r="M172" s="181">
        <f t="shared" si="12"/>
        <v>0</v>
      </c>
    </row>
    <row r="173" spans="1:13" x14ac:dyDescent="0.25">
      <c r="A173" s="197"/>
      <c r="G173" s="164"/>
      <c r="H173" s="179">
        <v>168</v>
      </c>
      <c r="I173" s="180" t="str">
        <f t="shared" si="10"/>
        <v/>
      </c>
      <c r="J173" s="179" t="e">
        <f t="shared" si="13"/>
        <v>#NUM!</v>
      </c>
      <c r="K173" s="179" t="e">
        <f t="shared" si="11"/>
        <v>#NUM!</v>
      </c>
      <c r="L173" s="179"/>
      <c r="M173" s="181">
        <f t="shared" si="12"/>
        <v>0</v>
      </c>
    </row>
    <row r="174" spans="1:13" x14ac:dyDescent="0.25">
      <c r="A174" s="197"/>
      <c r="G174" s="164"/>
      <c r="H174" s="179">
        <v>169</v>
      </c>
      <c r="I174" s="180" t="str">
        <f t="shared" si="10"/>
        <v/>
      </c>
      <c r="J174" s="179" t="e">
        <f t="shared" si="13"/>
        <v>#NUM!</v>
      </c>
      <c r="K174" s="179" t="e">
        <f t="shared" si="11"/>
        <v>#NUM!</v>
      </c>
      <c r="L174" s="179"/>
      <c r="M174" s="181">
        <f t="shared" si="12"/>
        <v>0</v>
      </c>
    </row>
    <row r="175" spans="1:13" x14ac:dyDescent="0.25">
      <c r="A175" s="197"/>
      <c r="G175" s="164"/>
      <c r="H175" s="179">
        <v>170</v>
      </c>
      <c r="I175" s="180" t="str">
        <f t="shared" si="10"/>
        <v/>
      </c>
      <c r="J175" s="179" t="e">
        <f t="shared" si="13"/>
        <v>#NUM!</v>
      </c>
      <c r="K175" s="179" t="e">
        <f t="shared" si="11"/>
        <v>#NUM!</v>
      </c>
      <c r="L175" s="179"/>
      <c r="M175" s="181">
        <f t="shared" si="12"/>
        <v>0</v>
      </c>
    </row>
    <row r="176" spans="1:13" x14ac:dyDescent="0.25">
      <c r="A176" s="197"/>
      <c r="G176" s="164"/>
      <c r="H176" s="179">
        <v>171</v>
      </c>
      <c r="I176" s="180" t="str">
        <f t="shared" si="10"/>
        <v/>
      </c>
      <c r="J176" s="179" t="e">
        <f t="shared" si="13"/>
        <v>#NUM!</v>
      </c>
      <c r="K176" s="179" t="e">
        <f t="shared" si="11"/>
        <v>#NUM!</v>
      </c>
      <c r="L176" s="179"/>
      <c r="M176" s="181">
        <f t="shared" si="12"/>
        <v>0</v>
      </c>
    </row>
    <row r="177" spans="1:13" x14ac:dyDescent="0.25">
      <c r="A177" s="197"/>
      <c r="G177" s="164"/>
      <c r="H177" s="179">
        <v>172</v>
      </c>
      <c r="I177" s="180" t="str">
        <f t="shared" si="10"/>
        <v/>
      </c>
      <c r="J177" s="179" t="e">
        <f t="shared" si="13"/>
        <v>#NUM!</v>
      </c>
      <c r="K177" s="179" t="e">
        <f t="shared" si="11"/>
        <v>#NUM!</v>
      </c>
      <c r="L177" s="179"/>
      <c r="M177" s="181">
        <f t="shared" si="12"/>
        <v>0</v>
      </c>
    </row>
    <row r="178" spans="1:13" x14ac:dyDescent="0.25">
      <c r="A178" s="197"/>
      <c r="G178" s="164"/>
      <c r="H178" s="179">
        <v>173</v>
      </c>
      <c r="I178" s="180" t="str">
        <f t="shared" si="10"/>
        <v/>
      </c>
      <c r="J178" s="179" t="e">
        <f t="shared" si="13"/>
        <v>#NUM!</v>
      </c>
      <c r="K178" s="179" t="e">
        <f t="shared" si="11"/>
        <v>#NUM!</v>
      </c>
      <c r="L178" s="179"/>
      <c r="M178" s="181">
        <f t="shared" si="12"/>
        <v>0</v>
      </c>
    </row>
    <row r="179" spans="1:13" x14ac:dyDescent="0.25">
      <c r="A179" s="197"/>
      <c r="G179" s="164"/>
      <c r="H179" s="179">
        <v>174</v>
      </c>
      <c r="I179" s="180" t="str">
        <f t="shared" si="10"/>
        <v/>
      </c>
      <c r="J179" s="179" t="e">
        <f t="shared" si="13"/>
        <v>#NUM!</v>
      </c>
      <c r="K179" s="179" t="e">
        <f t="shared" si="11"/>
        <v>#NUM!</v>
      </c>
      <c r="L179" s="179"/>
      <c r="M179" s="181">
        <f t="shared" si="12"/>
        <v>0</v>
      </c>
    </row>
    <row r="180" spans="1:13" x14ac:dyDescent="0.25">
      <c r="A180" s="197"/>
      <c r="G180" s="164"/>
      <c r="H180" s="179">
        <v>175</v>
      </c>
      <c r="I180" s="180" t="str">
        <f t="shared" si="10"/>
        <v/>
      </c>
      <c r="J180" s="179" t="e">
        <f t="shared" si="13"/>
        <v>#NUM!</v>
      </c>
      <c r="K180" s="179" t="e">
        <f t="shared" si="11"/>
        <v>#NUM!</v>
      </c>
      <c r="L180" s="179"/>
      <c r="M180" s="181">
        <f t="shared" si="12"/>
        <v>0</v>
      </c>
    </row>
    <row r="181" spans="1:13" x14ac:dyDescent="0.25">
      <c r="A181" s="197"/>
      <c r="G181" s="164"/>
      <c r="H181" s="179">
        <v>176</v>
      </c>
      <c r="I181" s="180" t="str">
        <f t="shared" si="10"/>
        <v/>
      </c>
      <c r="J181" s="179" t="e">
        <f t="shared" si="13"/>
        <v>#NUM!</v>
      </c>
      <c r="K181" s="179" t="e">
        <f t="shared" si="11"/>
        <v>#NUM!</v>
      </c>
      <c r="L181" s="179"/>
      <c r="M181" s="181">
        <f t="shared" si="12"/>
        <v>0</v>
      </c>
    </row>
    <row r="182" spans="1:13" x14ac:dyDescent="0.25">
      <c r="A182" s="197"/>
      <c r="G182" s="164"/>
      <c r="H182" s="179">
        <v>177</v>
      </c>
      <c r="I182" s="180" t="str">
        <f t="shared" si="10"/>
        <v/>
      </c>
      <c r="J182" s="179" t="e">
        <f t="shared" si="13"/>
        <v>#NUM!</v>
      </c>
      <c r="K182" s="179" t="e">
        <f t="shared" si="11"/>
        <v>#NUM!</v>
      </c>
      <c r="L182" s="179"/>
      <c r="M182" s="181">
        <f t="shared" si="12"/>
        <v>0</v>
      </c>
    </row>
    <row r="183" spans="1:13" x14ac:dyDescent="0.25">
      <c r="A183" s="197"/>
      <c r="G183" s="164"/>
      <c r="H183" s="179">
        <v>178</v>
      </c>
      <c r="I183" s="180" t="str">
        <f t="shared" si="10"/>
        <v/>
      </c>
      <c r="J183" s="179" t="e">
        <f t="shared" si="13"/>
        <v>#NUM!</v>
      </c>
      <c r="K183" s="179" t="e">
        <f t="shared" si="11"/>
        <v>#NUM!</v>
      </c>
      <c r="L183" s="179"/>
      <c r="M183" s="181">
        <f t="shared" si="12"/>
        <v>0</v>
      </c>
    </row>
    <row r="184" spans="1:13" x14ac:dyDescent="0.25">
      <c r="A184" s="197"/>
      <c r="G184" s="164"/>
      <c r="H184" s="179">
        <v>179</v>
      </c>
      <c r="I184" s="180" t="str">
        <f t="shared" si="10"/>
        <v/>
      </c>
      <c r="J184" s="179" t="e">
        <f t="shared" si="13"/>
        <v>#NUM!</v>
      </c>
      <c r="K184" s="179" t="e">
        <f t="shared" si="11"/>
        <v>#NUM!</v>
      </c>
      <c r="L184" s="179"/>
      <c r="M184" s="181">
        <f t="shared" si="12"/>
        <v>0</v>
      </c>
    </row>
    <row r="185" spans="1:13" x14ac:dyDescent="0.25">
      <c r="A185" s="197"/>
      <c r="G185" s="164"/>
      <c r="H185" s="179">
        <v>180</v>
      </c>
      <c r="I185" s="180" t="str">
        <f t="shared" si="10"/>
        <v/>
      </c>
      <c r="J185" s="179" t="e">
        <f t="shared" si="13"/>
        <v>#NUM!</v>
      </c>
      <c r="K185" s="179" t="e">
        <f t="shared" si="11"/>
        <v>#NUM!</v>
      </c>
      <c r="L185" s="179"/>
      <c r="M185" s="181">
        <f t="shared" si="12"/>
        <v>0</v>
      </c>
    </row>
    <row r="186" spans="1:13" x14ac:dyDescent="0.25">
      <c r="A186" s="197"/>
      <c r="G186" s="164"/>
      <c r="H186" s="179">
        <v>181</v>
      </c>
      <c r="I186" s="180" t="str">
        <f t="shared" si="10"/>
        <v/>
      </c>
      <c r="J186" s="179" t="e">
        <f t="shared" si="13"/>
        <v>#NUM!</v>
      </c>
      <c r="K186" s="179" t="e">
        <f t="shared" si="11"/>
        <v>#NUM!</v>
      </c>
      <c r="L186" s="179"/>
      <c r="M186" s="181">
        <f t="shared" si="12"/>
        <v>0</v>
      </c>
    </row>
    <row r="187" spans="1:13" x14ac:dyDescent="0.25">
      <c r="A187" s="197"/>
      <c r="G187" s="164"/>
      <c r="H187" s="179">
        <v>182</v>
      </c>
      <c r="I187" s="180" t="str">
        <f t="shared" si="10"/>
        <v/>
      </c>
      <c r="J187" s="179" t="e">
        <f t="shared" si="13"/>
        <v>#NUM!</v>
      </c>
      <c r="K187" s="179" t="e">
        <f t="shared" si="11"/>
        <v>#NUM!</v>
      </c>
      <c r="L187" s="179"/>
      <c r="M187" s="181">
        <f t="shared" si="12"/>
        <v>0</v>
      </c>
    </row>
    <row r="188" spans="1:13" x14ac:dyDescent="0.25">
      <c r="A188" s="197"/>
      <c r="G188" s="164"/>
      <c r="H188" s="179">
        <v>183</v>
      </c>
      <c r="I188" s="180" t="str">
        <f t="shared" si="10"/>
        <v/>
      </c>
      <c r="J188" s="179" t="e">
        <f t="shared" si="13"/>
        <v>#NUM!</v>
      </c>
      <c r="K188" s="179" t="e">
        <f t="shared" si="11"/>
        <v>#NUM!</v>
      </c>
      <c r="L188" s="179"/>
      <c r="M188" s="181">
        <f t="shared" si="12"/>
        <v>0</v>
      </c>
    </row>
    <row r="189" spans="1:13" x14ac:dyDescent="0.25">
      <c r="A189" s="197"/>
      <c r="G189" s="164"/>
      <c r="H189" s="179">
        <v>184</v>
      </c>
      <c r="I189" s="180" t="str">
        <f t="shared" si="10"/>
        <v/>
      </c>
      <c r="J189" s="179" t="e">
        <f t="shared" si="13"/>
        <v>#NUM!</v>
      </c>
      <c r="K189" s="179" t="e">
        <f t="shared" si="11"/>
        <v>#NUM!</v>
      </c>
      <c r="L189" s="179"/>
      <c r="M189" s="181">
        <f t="shared" si="12"/>
        <v>0</v>
      </c>
    </row>
    <row r="190" spans="1:13" x14ac:dyDescent="0.25">
      <c r="A190" s="197"/>
      <c r="G190" s="164"/>
      <c r="H190" s="179">
        <v>185</v>
      </c>
      <c r="I190" s="180" t="str">
        <f t="shared" si="10"/>
        <v/>
      </c>
      <c r="J190" s="179" t="e">
        <f t="shared" si="13"/>
        <v>#NUM!</v>
      </c>
      <c r="K190" s="179" t="e">
        <f t="shared" si="11"/>
        <v>#NUM!</v>
      </c>
      <c r="L190" s="179"/>
      <c r="M190" s="181">
        <f t="shared" si="12"/>
        <v>0</v>
      </c>
    </row>
    <row r="191" spans="1:13" x14ac:dyDescent="0.25">
      <c r="A191" s="197"/>
      <c r="G191" s="164"/>
      <c r="H191" s="179">
        <v>186</v>
      </c>
      <c r="I191" s="180" t="str">
        <f t="shared" si="10"/>
        <v/>
      </c>
      <c r="J191" s="179" t="e">
        <f t="shared" si="13"/>
        <v>#NUM!</v>
      </c>
      <c r="K191" s="179" t="e">
        <f t="shared" si="11"/>
        <v>#NUM!</v>
      </c>
      <c r="L191" s="179"/>
      <c r="M191" s="181">
        <f t="shared" si="12"/>
        <v>0</v>
      </c>
    </row>
    <row r="192" spans="1:13" x14ac:dyDescent="0.25">
      <c r="A192" s="197"/>
      <c r="G192" s="164"/>
      <c r="H192" s="179">
        <v>187</v>
      </c>
      <c r="I192" s="180" t="str">
        <f t="shared" si="10"/>
        <v/>
      </c>
      <c r="J192" s="179" t="e">
        <f t="shared" si="13"/>
        <v>#NUM!</v>
      </c>
      <c r="K192" s="179" t="e">
        <f t="shared" si="11"/>
        <v>#NUM!</v>
      </c>
      <c r="L192" s="179"/>
      <c r="M192" s="181">
        <f t="shared" si="12"/>
        <v>0</v>
      </c>
    </row>
    <row r="193" spans="1:13" x14ac:dyDescent="0.25">
      <c r="A193" s="197"/>
      <c r="G193" s="164"/>
      <c r="H193" s="179">
        <v>188</v>
      </c>
      <c r="I193" s="180" t="str">
        <f t="shared" si="10"/>
        <v/>
      </c>
      <c r="J193" s="179" t="e">
        <f t="shared" si="13"/>
        <v>#NUM!</v>
      </c>
      <c r="K193" s="179" t="e">
        <f t="shared" si="11"/>
        <v>#NUM!</v>
      </c>
      <c r="L193" s="179"/>
      <c r="M193" s="181">
        <f t="shared" si="12"/>
        <v>0</v>
      </c>
    </row>
    <row r="194" spans="1:13" x14ac:dyDescent="0.25">
      <c r="A194" s="197"/>
      <c r="G194" s="164"/>
      <c r="H194" s="179">
        <v>189</v>
      </c>
      <c r="I194" s="180" t="str">
        <f t="shared" si="10"/>
        <v/>
      </c>
      <c r="J194" s="179" t="e">
        <f t="shared" si="13"/>
        <v>#NUM!</v>
      </c>
      <c r="K194" s="179" t="e">
        <f t="shared" si="11"/>
        <v>#NUM!</v>
      </c>
      <c r="L194" s="179"/>
      <c r="M194" s="181">
        <f t="shared" si="12"/>
        <v>0</v>
      </c>
    </row>
    <row r="195" spans="1:13" x14ac:dyDescent="0.25">
      <c r="A195" s="197"/>
      <c r="G195" s="164"/>
      <c r="H195" s="179">
        <v>190</v>
      </c>
      <c r="I195" s="180" t="str">
        <f t="shared" si="10"/>
        <v/>
      </c>
      <c r="J195" s="179" t="e">
        <f t="shared" si="13"/>
        <v>#NUM!</v>
      </c>
      <c r="K195" s="179" t="e">
        <f t="shared" si="11"/>
        <v>#NUM!</v>
      </c>
      <c r="L195" s="179"/>
      <c r="M195" s="181">
        <f t="shared" si="12"/>
        <v>0</v>
      </c>
    </row>
    <row r="196" spans="1:13" x14ac:dyDescent="0.25">
      <c r="A196" s="197"/>
      <c r="G196" s="164"/>
      <c r="H196" s="179">
        <v>191</v>
      </c>
      <c r="I196" s="180" t="str">
        <f t="shared" si="10"/>
        <v/>
      </c>
      <c r="J196" s="179" t="e">
        <f t="shared" si="13"/>
        <v>#NUM!</v>
      </c>
      <c r="K196" s="179" t="e">
        <f t="shared" si="11"/>
        <v>#NUM!</v>
      </c>
      <c r="L196" s="179"/>
      <c r="M196" s="181">
        <f t="shared" si="12"/>
        <v>0</v>
      </c>
    </row>
    <row r="197" spans="1:13" x14ac:dyDescent="0.25">
      <c r="A197" s="197"/>
      <c r="G197" s="164"/>
      <c r="H197" s="179">
        <v>192</v>
      </c>
      <c r="I197" s="180" t="str">
        <f t="shared" si="10"/>
        <v/>
      </c>
      <c r="J197" s="179" t="e">
        <f t="shared" si="13"/>
        <v>#NUM!</v>
      </c>
      <c r="K197" s="179" t="e">
        <f t="shared" si="11"/>
        <v>#NUM!</v>
      </c>
      <c r="L197" s="179"/>
      <c r="M197" s="181">
        <f t="shared" si="12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4">IF(H198&lt;$H$2+1,($I$2-($I$2-1)*(LOG(H198)/LOG($H$2))),"")</f>
        <v/>
      </c>
      <c r="J198" s="179" t="e">
        <f t="shared" si="13"/>
        <v>#NUM!</v>
      </c>
      <c r="K198" s="179" t="e">
        <f t="shared" ref="K198:K261" si="15">J198*$J$2</f>
        <v>#NUM!</v>
      </c>
      <c r="L198" s="179"/>
      <c r="M198" s="181">
        <f t="shared" ref="M198:M261" si="16">IF(I198&lt;&gt;"",K198+I198+L198,0)</f>
        <v>0</v>
      </c>
    </row>
    <row r="199" spans="1:13" x14ac:dyDescent="0.25">
      <c r="A199" s="197"/>
      <c r="G199" s="164"/>
      <c r="H199" s="179">
        <v>194</v>
      </c>
      <c r="I199" s="180" t="str">
        <f t="shared" si="14"/>
        <v/>
      </c>
      <c r="J199" s="179" t="e">
        <f t="shared" ref="J199:J262" si="17">INT(LOG($H$2,2))-ROUNDUP(LOG(H199,2),0)+IF(OR($H$2=1,$H$2=2,$H$2=4,$H$2=8,$H$2=16,$H$2=32,$H$2=64,$H$2=128,$H$2=256),0,1)</f>
        <v>#NUM!</v>
      </c>
      <c r="K199" s="179" t="e">
        <f t="shared" si="15"/>
        <v>#NUM!</v>
      </c>
      <c r="L199" s="179"/>
      <c r="M199" s="181">
        <f t="shared" si="16"/>
        <v>0</v>
      </c>
    </row>
    <row r="200" spans="1:13" x14ac:dyDescent="0.25">
      <c r="A200" s="197"/>
      <c r="G200" s="164"/>
      <c r="H200" s="179">
        <v>195</v>
      </c>
      <c r="I200" s="180" t="str">
        <f t="shared" si="14"/>
        <v/>
      </c>
      <c r="J200" s="179" t="e">
        <f t="shared" si="17"/>
        <v>#NUM!</v>
      </c>
      <c r="K200" s="179" t="e">
        <f t="shared" si="15"/>
        <v>#NUM!</v>
      </c>
      <c r="L200" s="179"/>
      <c r="M200" s="181">
        <f t="shared" si="16"/>
        <v>0</v>
      </c>
    </row>
    <row r="201" spans="1:13" x14ac:dyDescent="0.25">
      <c r="A201" s="197"/>
      <c r="G201" s="164"/>
      <c r="H201" s="179">
        <v>196</v>
      </c>
      <c r="I201" s="180" t="str">
        <f t="shared" si="14"/>
        <v/>
      </c>
      <c r="J201" s="179" t="e">
        <f t="shared" si="17"/>
        <v>#NUM!</v>
      </c>
      <c r="K201" s="179" t="e">
        <f t="shared" si="15"/>
        <v>#NUM!</v>
      </c>
      <c r="L201" s="179"/>
      <c r="M201" s="181">
        <f t="shared" si="16"/>
        <v>0</v>
      </c>
    </row>
    <row r="202" spans="1:13" x14ac:dyDescent="0.25">
      <c r="A202" s="197"/>
      <c r="G202" s="164"/>
      <c r="H202" s="179">
        <v>197</v>
      </c>
      <c r="I202" s="180" t="str">
        <f t="shared" si="14"/>
        <v/>
      </c>
      <c r="J202" s="179" t="e">
        <f t="shared" si="17"/>
        <v>#NUM!</v>
      </c>
      <c r="K202" s="179" t="e">
        <f t="shared" si="15"/>
        <v>#NUM!</v>
      </c>
      <c r="L202" s="179"/>
      <c r="M202" s="181">
        <f t="shared" si="16"/>
        <v>0</v>
      </c>
    </row>
    <row r="203" spans="1:13" x14ac:dyDescent="0.25">
      <c r="A203" s="197"/>
      <c r="G203" s="164"/>
      <c r="H203" s="179">
        <v>198</v>
      </c>
      <c r="I203" s="180" t="str">
        <f t="shared" si="14"/>
        <v/>
      </c>
      <c r="J203" s="179" t="e">
        <f t="shared" si="17"/>
        <v>#NUM!</v>
      </c>
      <c r="K203" s="179" t="e">
        <f t="shared" si="15"/>
        <v>#NUM!</v>
      </c>
      <c r="L203" s="179"/>
      <c r="M203" s="181">
        <f t="shared" si="16"/>
        <v>0</v>
      </c>
    </row>
    <row r="204" spans="1:13" x14ac:dyDescent="0.25">
      <c r="A204" s="197"/>
      <c r="G204" s="164"/>
      <c r="H204" s="179">
        <v>199</v>
      </c>
      <c r="I204" s="180" t="str">
        <f t="shared" si="14"/>
        <v/>
      </c>
      <c r="J204" s="179" t="e">
        <f t="shared" si="17"/>
        <v>#NUM!</v>
      </c>
      <c r="K204" s="179" t="e">
        <f t="shared" si="15"/>
        <v>#NUM!</v>
      </c>
      <c r="L204" s="179"/>
      <c r="M204" s="181">
        <f t="shared" si="16"/>
        <v>0</v>
      </c>
    </row>
    <row r="205" spans="1:13" x14ac:dyDescent="0.25">
      <c r="A205" s="197"/>
      <c r="G205" s="164"/>
      <c r="H205" s="179">
        <v>200</v>
      </c>
      <c r="I205" s="180" t="str">
        <f t="shared" si="14"/>
        <v/>
      </c>
      <c r="J205" s="179" t="e">
        <f t="shared" si="17"/>
        <v>#NUM!</v>
      </c>
      <c r="K205" s="179" t="e">
        <f t="shared" si="15"/>
        <v>#NUM!</v>
      </c>
      <c r="L205" s="179"/>
      <c r="M205" s="181">
        <f t="shared" si="16"/>
        <v>0</v>
      </c>
    </row>
    <row r="206" spans="1:13" x14ac:dyDescent="0.25">
      <c r="A206" s="197"/>
      <c r="G206" s="164"/>
      <c r="H206" s="179">
        <v>201</v>
      </c>
      <c r="I206" s="180" t="str">
        <f t="shared" si="14"/>
        <v/>
      </c>
      <c r="J206" s="179" t="e">
        <f t="shared" si="17"/>
        <v>#NUM!</v>
      </c>
      <c r="K206" s="179" t="e">
        <f t="shared" si="15"/>
        <v>#NUM!</v>
      </c>
      <c r="L206" s="179"/>
      <c r="M206" s="181">
        <f t="shared" si="16"/>
        <v>0</v>
      </c>
    </row>
    <row r="207" spans="1:13" x14ac:dyDescent="0.25">
      <c r="A207" s="197"/>
      <c r="G207" s="164"/>
      <c r="H207" s="179">
        <v>202</v>
      </c>
      <c r="I207" s="180" t="str">
        <f t="shared" si="14"/>
        <v/>
      </c>
      <c r="J207" s="179" t="e">
        <f t="shared" si="17"/>
        <v>#NUM!</v>
      </c>
      <c r="K207" s="179" t="e">
        <f t="shared" si="15"/>
        <v>#NUM!</v>
      </c>
      <c r="L207" s="179"/>
      <c r="M207" s="181">
        <f t="shared" si="16"/>
        <v>0</v>
      </c>
    </row>
    <row r="208" spans="1:13" x14ac:dyDescent="0.25">
      <c r="A208" s="197"/>
      <c r="G208" s="164"/>
      <c r="H208" s="179">
        <v>203</v>
      </c>
      <c r="I208" s="180" t="str">
        <f t="shared" si="14"/>
        <v/>
      </c>
      <c r="J208" s="179" t="e">
        <f t="shared" si="17"/>
        <v>#NUM!</v>
      </c>
      <c r="K208" s="179" t="e">
        <f t="shared" si="15"/>
        <v>#NUM!</v>
      </c>
      <c r="L208" s="179"/>
      <c r="M208" s="181">
        <f t="shared" si="16"/>
        <v>0</v>
      </c>
    </row>
    <row r="209" spans="1:13" x14ac:dyDescent="0.25">
      <c r="A209" s="197"/>
      <c r="G209" s="164"/>
      <c r="H209" s="179">
        <v>204</v>
      </c>
      <c r="I209" s="180" t="str">
        <f t="shared" si="14"/>
        <v/>
      </c>
      <c r="J209" s="179" t="e">
        <f t="shared" si="17"/>
        <v>#NUM!</v>
      </c>
      <c r="K209" s="179" t="e">
        <f t="shared" si="15"/>
        <v>#NUM!</v>
      </c>
      <c r="L209" s="179"/>
      <c r="M209" s="181">
        <f t="shared" si="16"/>
        <v>0</v>
      </c>
    </row>
    <row r="210" spans="1:13" x14ac:dyDescent="0.25">
      <c r="A210" s="197"/>
      <c r="G210" s="164"/>
      <c r="H210" s="179">
        <v>205</v>
      </c>
      <c r="I210" s="180" t="str">
        <f t="shared" si="14"/>
        <v/>
      </c>
      <c r="J210" s="179" t="e">
        <f t="shared" si="17"/>
        <v>#NUM!</v>
      </c>
      <c r="K210" s="179" t="e">
        <f t="shared" si="15"/>
        <v>#NUM!</v>
      </c>
      <c r="L210" s="179"/>
      <c r="M210" s="181">
        <f t="shared" si="16"/>
        <v>0</v>
      </c>
    </row>
    <row r="211" spans="1:13" x14ac:dyDescent="0.25">
      <c r="A211" s="197"/>
      <c r="G211" s="164"/>
      <c r="H211" s="179">
        <v>206</v>
      </c>
      <c r="I211" s="180" t="str">
        <f t="shared" si="14"/>
        <v/>
      </c>
      <c r="J211" s="179" t="e">
        <f t="shared" si="17"/>
        <v>#NUM!</v>
      </c>
      <c r="K211" s="179" t="e">
        <f t="shared" si="15"/>
        <v>#NUM!</v>
      </c>
      <c r="L211" s="179"/>
      <c r="M211" s="181">
        <f t="shared" si="16"/>
        <v>0</v>
      </c>
    </row>
    <row r="212" spans="1:13" x14ac:dyDescent="0.25">
      <c r="A212" s="197"/>
      <c r="G212" s="164"/>
      <c r="H212" s="179">
        <v>207</v>
      </c>
      <c r="I212" s="180" t="str">
        <f t="shared" si="14"/>
        <v/>
      </c>
      <c r="J212" s="179" t="e">
        <f t="shared" si="17"/>
        <v>#NUM!</v>
      </c>
      <c r="K212" s="179" t="e">
        <f t="shared" si="15"/>
        <v>#NUM!</v>
      </c>
      <c r="L212" s="179"/>
      <c r="M212" s="181">
        <f t="shared" si="16"/>
        <v>0</v>
      </c>
    </row>
    <row r="213" spans="1:13" x14ac:dyDescent="0.25">
      <c r="A213" s="197"/>
      <c r="G213" s="164"/>
      <c r="H213" s="179">
        <v>208</v>
      </c>
      <c r="I213" s="180" t="str">
        <f t="shared" si="14"/>
        <v/>
      </c>
      <c r="J213" s="179" t="e">
        <f t="shared" si="17"/>
        <v>#NUM!</v>
      </c>
      <c r="K213" s="179" t="e">
        <f t="shared" si="15"/>
        <v>#NUM!</v>
      </c>
      <c r="L213" s="179"/>
      <c r="M213" s="181">
        <f t="shared" si="16"/>
        <v>0</v>
      </c>
    </row>
    <row r="214" spans="1:13" x14ac:dyDescent="0.25">
      <c r="A214" s="197"/>
      <c r="G214" s="164"/>
      <c r="H214" s="179">
        <v>209</v>
      </c>
      <c r="I214" s="180" t="str">
        <f t="shared" si="14"/>
        <v/>
      </c>
      <c r="J214" s="179" t="e">
        <f t="shared" si="17"/>
        <v>#NUM!</v>
      </c>
      <c r="K214" s="179" t="e">
        <f t="shared" si="15"/>
        <v>#NUM!</v>
      </c>
      <c r="L214" s="179"/>
      <c r="M214" s="181">
        <f t="shared" si="16"/>
        <v>0</v>
      </c>
    </row>
    <row r="215" spans="1:13" x14ac:dyDescent="0.25">
      <c r="A215" s="197"/>
      <c r="G215" s="164"/>
      <c r="H215" s="179">
        <v>210</v>
      </c>
      <c r="I215" s="180" t="str">
        <f t="shared" si="14"/>
        <v/>
      </c>
      <c r="J215" s="179" t="e">
        <f t="shared" si="17"/>
        <v>#NUM!</v>
      </c>
      <c r="K215" s="179" t="e">
        <f t="shared" si="15"/>
        <v>#NUM!</v>
      </c>
      <c r="L215" s="179"/>
      <c r="M215" s="181">
        <f t="shared" si="16"/>
        <v>0</v>
      </c>
    </row>
    <row r="216" spans="1:13" x14ac:dyDescent="0.25">
      <c r="A216" s="197"/>
      <c r="G216" s="164"/>
      <c r="H216" s="179">
        <v>211</v>
      </c>
      <c r="I216" s="180" t="str">
        <f t="shared" si="14"/>
        <v/>
      </c>
      <c r="J216" s="179" t="e">
        <f t="shared" si="17"/>
        <v>#NUM!</v>
      </c>
      <c r="K216" s="179" t="e">
        <f t="shared" si="15"/>
        <v>#NUM!</v>
      </c>
      <c r="L216" s="179"/>
      <c r="M216" s="181">
        <f t="shared" si="16"/>
        <v>0</v>
      </c>
    </row>
    <row r="217" spans="1:13" x14ac:dyDescent="0.25">
      <c r="A217" s="197"/>
      <c r="G217" s="164"/>
      <c r="H217" s="179">
        <v>212</v>
      </c>
      <c r="I217" s="180" t="str">
        <f t="shared" si="14"/>
        <v/>
      </c>
      <c r="J217" s="179" t="e">
        <f t="shared" si="17"/>
        <v>#NUM!</v>
      </c>
      <c r="K217" s="179" t="e">
        <f t="shared" si="15"/>
        <v>#NUM!</v>
      </c>
      <c r="L217" s="179"/>
      <c r="M217" s="181">
        <f t="shared" si="16"/>
        <v>0</v>
      </c>
    </row>
    <row r="218" spans="1:13" x14ac:dyDescent="0.25">
      <c r="A218" s="197"/>
      <c r="G218" s="164"/>
      <c r="H218" s="179">
        <v>213</v>
      </c>
      <c r="I218" s="180" t="str">
        <f t="shared" si="14"/>
        <v/>
      </c>
      <c r="J218" s="179" t="e">
        <f t="shared" si="17"/>
        <v>#NUM!</v>
      </c>
      <c r="K218" s="179" t="e">
        <f t="shared" si="15"/>
        <v>#NUM!</v>
      </c>
      <c r="L218" s="179"/>
      <c r="M218" s="181">
        <f t="shared" si="16"/>
        <v>0</v>
      </c>
    </row>
    <row r="219" spans="1:13" x14ac:dyDescent="0.25">
      <c r="A219" s="197"/>
      <c r="G219" s="164"/>
      <c r="H219" s="179">
        <v>214</v>
      </c>
      <c r="I219" s="180" t="str">
        <f t="shared" si="14"/>
        <v/>
      </c>
      <c r="J219" s="179" t="e">
        <f t="shared" si="17"/>
        <v>#NUM!</v>
      </c>
      <c r="K219" s="179" t="e">
        <f t="shared" si="15"/>
        <v>#NUM!</v>
      </c>
      <c r="L219" s="179"/>
      <c r="M219" s="181">
        <f t="shared" si="16"/>
        <v>0</v>
      </c>
    </row>
    <row r="220" spans="1:13" x14ac:dyDescent="0.25">
      <c r="A220" s="197"/>
      <c r="G220" s="164"/>
      <c r="H220" s="179">
        <v>215</v>
      </c>
      <c r="I220" s="180" t="str">
        <f t="shared" si="14"/>
        <v/>
      </c>
      <c r="J220" s="179" t="e">
        <f t="shared" si="17"/>
        <v>#NUM!</v>
      </c>
      <c r="K220" s="179" t="e">
        <f t="shared" si="15"/>
        <v>#NUM!</v>
      </c>
      <c r="L220" s="179"/>
      <c r="M220" s="181">
        <f t="shared" si="16"/>
        <v>0</v>
      </c>
    </row>
    <row r="221" spans="1:13" x14ac:dyDescent="0.25">
      <c r="A221" s="197"/>
      <c r="G221" s="164"/>
      <c r="H221" s="179">
        <v>216</v>
      </c>
      <c r="I221" s="180" t="str">
        <f t="shared" si="14"/>
        <v/>
      </c>
      <c r="J221" s="179" t="e">
        <f t="shared" si="17"/>
        <v>#NUM!</v>
      </c>
      <c r="K221" s="179" t="e">
        <f t="shared" si="15"/>
        <v>#NUM!</v>
      </c>
      <c r="L221" s="179"/>
      <c r="M221" s="181">
        <f t="shared" si="16"/>
        <v>0</v>
      </c>
    </row>
    <row r="222" spans="1:13" x14ac:dyDescent="0.25">
      <c r="A222" s="197"/>
      <c r="G222" s="164"/>
      <c r="H222" s="179">
        <v>217</v>
      </c>
      <c r="I222" s="180" t="str">
        <f t="shared" si="14"/>
        <v/>
      </c>
      <c r="J222" s="179" t="e">
        <f t="shared" si="17"/>
        <v>#NUM!</v>
      </c>
      <c r="K222" s="179" t="e">
        <f t="shared" si="15"/>
        <v>#NUM!</v>
      </c>
      <c r="L222" s="179"/>
      <c r="M222" s="181">
        <f t="shared" si="16"/>
        <v>0</v>
      </c>
    </row>
    <row r="223" spans="1:13" x14ac:dyDescent="0.25">
      <c r="A223" s="197"/>
      <c r="G223" s="164"/>
      <c r="H223" s="179">
        <v>218</v>
      </c>
      <c r="I223" s="180" t="str">
        <f t="shared" si="14"/>
        <v/>
      </c>
      <c r="J223" s="179" t="e">
        <f t="shared" si="17"/>
        <v>#NUM!</v>
      </c>
      <c r="K223" s="179" t="e">
        <f t="shared" si="15"/>
        <v>#NUM!</v>
      </c>
      <c r="L223" s="179"/>
      <c r="M223" s="181">
        <f t="shared" si="16"/>
        <v>0</v>
      </c>
    </row>
    <row r="224" spans="1:13" x14ac:dyDescent="0.25">
      <c r="A224" s="197"/>
      <c r="G224" s="164"/>
      <c r="H224" s="179">
        <v>219</v>
      </c>
      <c r="I224" s="180" t="str">
        <f t="shared" si="14"/>
        <v/>
      </c>
      <c r="J224" s="179" t="e">
        <f t="shared" si="17"/>
        <v>#NUM!</v>
      </c>
      <c r="K224" s="179" t="e">
        <f t="shared" si="15"/>
        <v>#NUM!</v>
      </c>
      <c r="L224" s="179"/>
      <c r="M224" s="181">
        <f t="shared" si="16"/>
        <v>0</v>
      </c>
    </row>
    <row r="225" spans="1:13" x14ac:dyDescent="0.25">
      <c r="A225" s="197"/>
      <c r="G225" s="164"/>
      <c r="H225" s="179">
        <v>220</v>
      </c>
      <c r="I225" s="180" t="str">
        <f t="shared" si="14"/>
        <v/>
      </c>
      <c r="J225" s="179" t="e">
        <f t="shared" si="17"/>
        <v>#NUM!</v>
      </c>
      <c r="K225" s="179" t="e">
        <f t="shared" si="15"/>
        <v>#NUM!</v>
      </c>
      <c r="L225" s="179"/>
      <c r="M225" s="181">
        <f t="shared" si="16"/>
        <v>0</v>
      </c>
    </row>
    <row r="226" spans="1:13" x14ac:dyDescent="0.25">
      <c r="A226" s="197"/>
      <c r="G226" s="164"/>
      <c r="H226" s="179">
        <v>221</v>
      </c>
      <c r="I226" s="180" t="str">
        <f t="shared" si="14"/>
        <v/>
      </c>
      <c r="J226" s="179" t="e">
        <f t="shared" si="17"/>
        <v>#NUM!</v>
      </c>
      <c r="K226" s="179" t="e">
        <f t="shared" si="15"/>
        <v>#NUM!</v>
      </c>
      <c r="L226" s="179"/>
      <c r="M226" s="181">
        <f t="shared" si="16"/>
        <v>0</v>
      </c>
    </row>
    <row r="227" spans="1:13" x14ac:dyDescent="0.25">
      <c r="A227" s="197"/>
      <c r="G227" s="164"/>
      <c r="H227" s="179">
        <v>222</v>
      </c>
      <c r="I227" s="180" t="str">
        <f t="shared" si="14"/>
        <v/>
      </c>
      <c r="J227" s="179" t="e">
        <f t="shared" si="17"/>
        <v>#NUM!</v>
      </c>
      <c r="K227" s="179" t="e">
        <f t="shared" si="15"/>
        <v>#NUM!</v>
      </c>
      <c r="L227" s="179"/>
      <c r="M227" s="181">
        <f t="shared" si="16"/>
        <v>0</v>
      </c>
    </row>
    <row r="228" spans="1:13" x14ac:dyDescent="0.25">
      <c r="A228" s="197"/>
      <c r="G228" s="164"/>
      <c r="H228" s="179">
        <v>223</v>
      </c>
      <c r="I228" s="180" t="str">
        <f t="shared" si="14"/>
        <v/>
      </c>
      <c r="J228" s="179" t="e">
        <f t="shared" si="17"/>
        <v>#NUM!</v>
      </c>
      <c r="K228" s="179" t="e">
        <f t="shared" si="15"/>
        <v>#NUM!</v>
      </c>
      <c r="L228" s="179"/>
      <c r="M228" s="181">
        <f t="shared" si="16"/>
        <v>0</v>
      </c>
    </row>
    <row r="229" spans="1:13" x14ac:dyDescent="0.25">
      <c r="A229" s="197"/>
      <c r="G229" s="164"/>
      <c r="H229" s="179">
        <v>224</v>
      </c>
      <c r="I229" s="180" t="str">
        <f t="shared" si="14"/>
        <v/>
      </c>
      <c r="J229" s="179" t="e">
        <f t="shared" si="17"/>
        <v>#NUM!</v>
      </c>
      <c r="K229" s="179" t="e">
        <f t="shared" si="15"/>
        <v>#NUM!</v>
      </c>
      <c r="L229" s="179"/>
      <c r="M229" s="181">
        <f t="shared" si="16"/>
        <v>0</v>
      </c>
    </row>
    <row r="230" spans="1:13" x14ac:dyDescent="0.25">
      <c r="A230" s="197"/>
      <c r="G230" s="164"/>
      <c r="H230" s="179">
        <v>225</v>
      </c>
      <c r="I230" s="180" t="str">
        <f t="shared" si="14"/>
        <v/>
      </c>
      <c r="J230" s="179" t="e">
        <f t="shared" si="17"/>
        <v>#NUM!</v>
      </c>
      <c r="K230" s="179" t="e">
        <f t="shared" si="15"/>
        <v>#NUM!</v>
      </c>
      <c r="L230" s="179"/>
      <c r="M230" s="181">
        <f t="shared" si="16"/>
        <v>0</v>
      </c>
    </row>
    <row r="231" spans="1:13" x14ac:dyDescent="0.25">
      <c r="A231" s="197"/>
      <c r="G231" s="164"/>
      <c r="H231" s="179">
        <v>226</v>
      </c>
      <c r="I231" s="180" t="str">
        <f t="shared" si="14"/>
        <v/>
      </c>
      <c r="J231" s="179" t="e">
        <f t="shared" si="17"/>
        <v>#NUM!</v>
      </c>
      <c r="K231" s="179" t="e">
        <f t="shared" si="15"/>
        <v>#NUM!</v>
      </c>
      <c r="L231" s="179"/>
      <c r="M231" s="181">
        <f t="shared" si="16"/>
        <v>0</v>
      </c>
    </row>
    <row r="232" spans="1:13" x14ac:dyDescent="0.25">
      <c r="A232" s="197"/>
      <c r="G232" s="164"/>
      <c r="H232" s="179">
        <v>227</v>
      </c>
      <c r="I232" s="180" t="str">
        <f t="shared" si="14"/>
        <v/>
      </c>
      <c r="J232" s="179" t="e">
        <f t="shared" si="17"/>
        <v>#NUM!</v>
      </c>
      <c r="K232" s="179" t="e">
        <f t="shared" si="15"/>
        <v>#NUM!</v>
      </c>
      <c r="L232" s="179"/>
      <c r="M232" s="181">
        <f t="shared" si="16"/>
        <v>0</v>
      </c>
    </row>
    <row r="233" spans="1:13" x14ac:dyDescent="0.25">
      <c r="A233" s="197"/>
      <c r="G233" s="164"/>
      <c r="H233" s="179">
        <v>228</v>
      </c>
      <c r="I233" s="180" t="str">
        <f t="shared" si="14"/>
        <v/>
      </c>
      <c r="J233" s="179" t="e">
        <f t="shared" si="17"/>
        <v>#NUM!</v>
      </c>
      <c r="K233" s="179" t="e">
        <f t="shared" si="15"/>
        <v>#NUM!</v>
      </c>
      <c r="L233" s="179"/>
      <c r="M233" s="181">
        <f t="shared" si="16"/>
        <v>0</v>
      </c>
    </row>
    <row r="234" spans="1:13" x14ac:dyDescent="0.25">
      <c r="A234" s="197"/>
      <c r="G234" s="164"/>
      <c r="H234" s="179">
        <v>229</v>
      </c>
      <c r="I234" s="180" t="str">
        <f t="shared" si="14"/>
        <v/>
      </c>
      <c r="J234" s="179" t="e">
        <f t="shared" si="17"/>
        <v>#NUM!</v>
      </c>
      <c r="K234" s="179" t="e">
        <f t="shared" si="15"/>
        <v>#NUM!</v>
      </c>
      <c r="L234" s="179"/>
      <c r="M234" s="181">
        <f t="shared" si="16"/>
        <v>0</v>
      </c>
    </row>
    <row r="235" spans="1:13" x14ac:dyDescent="0.25">
      <c r="A235" s="197"/>
      <c r="G235" s="164"/>
      <c r="H235" s="179">
        <v>230</v>
      </c>
      <c r="I235" s="180" t="str">
        <f t="shared" si="14"/>
        <v/>
      </c>
      <c r="J235" s="179" t="e">
        <f t="shared" si="17"/>
        <v>#NUM!</v>
      </c>
      <c r="K235" s="179" t="e">
        <f t="shared" si="15"/>
        <v>#NUM!</v>
      </c>
      <c r="L235" s="179"/>
      <c r="M235" s="181">
        <f t="shared" si="16"/>
        <v>0</v>
      </c>
    </row>
    <row r="236" spans="1:13" x14ac:dyDescent="0.25">
      <c r="A236" s="197"/>
      <c r="G236" s="164"/>
      <c r="H236" s="179">
        <v>231</v>
      </c>
      <c r="I236" s="180" t="str">
        <f t="shared" si="14"/>
        <v/>
      </c>
      <c r="J236" s="179" t="e">
        <f t="shared" si="17"/>
        <v>#NUM!</v>
      </c>
      <c r="K236" s="179" t="e">
        <f t="shared" si="15"/>
        <v>#NUM!</v>
      </c>
      <c r="L236" s="179"/>
      <c r="M236" s="181">
        <f t="shared" si="16"/>
        <v>0</v>
      </c>
    </row>
    <row r="237" spans="1:13" x14ac:dyDescent="0.25">
      <c r="A237" s="197"/>
      <c r="G237" s="164"/>
      <c r="H237" s="179">
        <v>232</v>
      </c>
      <c r="I237" s="180" t="str">
        <f t="shared" si="14"/>
        <v/>
      </c>
      <c r="J237" s="179" t="e">
        <f t="shared" si="17"/>
        <v>#NUM!</v>
      </c>
      <c r="K237" s="179" t="e">
        <f t="shared" si="15"/>
        <v>#NUM!</v>
      </c>
      <c r="L237" s="179"/>
      <c r="M237" s="181">
        <f t="shared" si="16"/>
        <v>0</v>
      </c>
    </row>
    <row r="238" spans="1:13" x14ac:dyDescent="0.25">
      <c r="A238" s="197"/>
      <c r="G238" s="164"/>
      <c r="H238" s="179">
        <v>233</v>
      </c>
      <c r="I238" s="180" t="str">
        <f t="shared" si="14"/>
        <v/>
      </c>
      <c r="J238" s="179" t="e">
        <f t="shared" si="17"/>
        <v>#NUM!</v>
      </c>
      <c r="K238" s="179" t="e">
        <f t="shared" si="15"/>
        <v>#NUM!</v>
      </c>
      <c r="L238" s="179"/>
      <c r="M238" s="181">
        <f t="shared" si="16"/>
        <v>0</v>
      </c>
    </row>
    <row r="239" spans="1:13" x14ac:dyDescent="0.25">
      <c r="A239" s="197"/>
      <c r="G239" s="164"/>
      <c r="H239" s="179">
        <v>234</v>
      </c>
      <c r="I239" s="180" t="str">
        <f t="shared" si="14"/>
        <v/>
      </c>
      <c r="J239" s="179" t="e">
        <f t="shared" si="17"/>
        <v>#NUM!</v>
      </c>
      <c r="K239" s="179" t="e">
        <f t="shared" si="15"/>
        <v>#NUM!</v>
      </c>
      <c r="L239" s="179"/>
      <c r="M239" s="181">
        <f t="shared" si="16"/>
        <v>0</v>
      </c>
    </row>
    <row r="240" spans="1:13" x14ac:dyDescent="0.25">
      <c r="A240" s="197"/>
      <c r="G240" s="164"/>
      <c r="H240" s="179">
        <v>235</v>
      </c>
      <c r="I240" s="180" t="str">
        <f t="shared" si="14"/>
        <v/>
      </c>
      <c r="J240" s="179" t="e">
        <f t="shared" si="17"/>
        <v>#NUM!</v>
      </c>
      <c r="K240" s="179" t="e">
        <f t="shared" si="15"/>
        <v>#NUM!</v>
      </c>
      <c r="L240" s="179"/>
      <c r="M240" s="181">
        <f t="shared" si="16"/>
        <v>0</v>
      </c>
    </row>
    <row r="241" spans="1:13" x14ac:dyDescent="0.25">
      <c r="A241" s="197"/>
      <c r="G241" s="164"/>
      <c r="H241" s="179">
        <v>236</v>
      </c>
      <c r="I241" s="180" t="str">
        <f t="shared" si="14"/>
        <v/>
      </c>
      <c r="J241" s="179" t="e">
        <f t="shared" si="17"/>
        <v>#NUM!</v>
      </c>
      <c r="K241" s="179" t="e">
        <f t="shared" si="15"/>
        <v>#NUM!</v>
      </c>
      <c r="L241" s="179"/>
      <c r="M241" s="181">
        <f t="shared" si="16"/>
        <v>0</v>
      </c>
    </row>
    <row r="242" spans="1:13" x14ac:dyDescent="0.25">
      <c r="A242" s="197"/>
      <c r="G242" s="164"/>
      <c r="H242" s="179">
        <v>237</v>
      </c>
      <c r="I242" s="180" t="str">
        <f t="shared" si="14"/>
        <v/>
      </c>
      <c r="J242" s="179" t="e">
        <f t="shared" si="17"/>
        <v>#NUM!</v>
      </c>
      <c r="K242" s="179" t="e">
        <f t="shared" si="15"/>
        <v>#NUM!</v>
      </c>
      <c r="L242" s="179"/>
      <c r="M242" s="181">
        <f t="shared" si="16"/>
        <v>0</v>
      </c>
    </row>
    <row r="243" spans="1:13" x14ac:dyDescent="0.25">
      <c r="A243" s="197"/>
      <c r="G243" s="164"/>
      <c r="H243" s="179">
        <v>238</v>
      </c>
      <c r="I243" s="180" t="str">
        <f t="shared" si="14"/>
        <v/>
      </c>
      <c r="J243" s="179" t="e">
        <f t="shared" si="17"/>
        <v>#NUM!</v>
      </c>
      <c r="K243" s="179" t="e">
        <f t="shared" si="15"/>
        <v>#NUM!</v>
      </c>
      <c r="L243" s="179"/>
      <c r="M243" s="181">
        <f t="shared" si="16"/>
        <v>0</v>
      </c>
    </row>
    <row r="244" spans="1:13" x14ac:dyDescent="0.25">
      <c r="A244" s="197"/>
      <c r="G244" s="164"/>
      <c r="H244" s="179">
        <v>239</v>
      </c>
      <c r="I244" s="180" t="str">
        <f t="shared" si="14"/>
        <v/>
      </c>
      <c r="J244" s="179" t="e">
        <f t="shared" si="17"/>
        <v>#NUM!</v>
      </c>
      <c r="K244" s="179" t="e">
        <f t="shared" si="15"/>
        <v>#NUM!</v>
      </c>
      <c r="L244" s="179"/>
      <c r="M244" s="181">
        <f t="shared" si="16"/>
        <v>0</v>
      </c>
    </row>
    <row r="245" spans="1:13" x14ac:dyDescent="0.25">
      <c r="A245" s="197"/>
      <c r="G245" s="164"/>
      <c r="H245" s="179">
        <v>240</v>
      </c>
      <c r="I245" s="180" t="str">
        <f t="shared" si="14"/>
        <v/>
      </c>
      <c r="J245" s="179" t="e">
        <f t="shared" si="17"/>
        <v>#NUM!</v>
      </c>
      <c r="K245" s="179" t="e">
        <f t="shared" si="15"/>
        <v>#NUM!</v>
      </c>
      <c r="L245" s="179"/>
      <c r="M245" s="181">
        <f t="shared" si="16"/>
        <v>0</v>
      </c>
    </row>
    <row r="246" spans="1:13" x14ac:dyDescent="0.25">
      <c r="A246" s="197"/>
      <c r="G246" s="164"/>
      <c r="H246" s="179">
        <v>241</v>
      </c>
      <c r="I246" s="180" t="str">
        <f t="shared" si="14"/>
        <v/>
      </c>
      <c r="J246" s="179" t="e">
        <f t="shared" si="17"/>
        <v>#NUM!</v>
      </c>
      <c r="K246" s="179" t="e">
        <f t="shared" si="15"/>
        <v>#NUM!</v>
      </c>
      <c r="L246" s="179"/>
      <c r="M246" s="181">
        <f t="shared" si="16"/>
        <v>0</v>
      </c>
    </row>
    <row r="247" spans="1:13" x14ac:dyDescent="0.25">
      <c r="A247" s="197"/>
      <c r="G247" s="164"/>
      <c r="H247" s="179">
        <v>242</v>
      </c>
      <c r="I247" s="180" t="str">
        <f t="shared" si="14"/>
        <v/>
      </c>
      <c r="J247" s="179" t="e">
        <f t="shared" si="17"/>
        <v>#NUM!</v>
      </c>
      <c r="K247" s="179" t="e">
        <f t="shared" si="15"/>
        <v>#NUM!</v>
      </c>
      <c r="L247" s="179"/>
      <c r="M247" s="181">
        <f t="shared" si="16"/>
        <v>0</v>
      </c>
    </row>
    <row r="248" spans="1:13" x14ac:dyDescent="0.25">
      <c r="A248" s="197"/>
      <c r="G248" s="164"/>
      <c r="H248" s="179">
        <v>243</v>
      </c>
      <c r="I248" s="180" t="str">
        <f t="shared" si="14"/>
        <v/>
      </c>
      <c r="J248" s="179" t="e">
        <f t="shared" si="17"/>
        <v>#NUM!</v>
      </c>
      <c r="K248" s="179" t="e">
        <f t="shared" si="15"/>
        <v>#NUM!</v>
      </c>
      <c r="L248" s="179"/>
      <c r="M248" s="181">
        <f t="shared" si="16"/>
        <v>0</v>
      </c>
    </row>
    <row r="249" spans="1:13" x14ac:dyDescent="0.25">
      <c r="A249" s="197"/>
      <c r="G249" s="164"/>
      <c r="H249" s="179">
        <v>244</v>
      </c>
      <c r="I249" s="180" t="str">
        <f t="shared" si="14"/>
        <v/>
      </c>
      <c r="J249" s="179" t="e">
        <f t="shared" si="17"/>
        <v>#NUM!</v>
      </c>
      <c r="K249" s="179" t="e">
        <f t="shared" si="15"/>
        <v>#NUM!</v>
      </c>
      <c r="L249" s="179"/>
      <c r="M249" s="181">
        <f t="shared" si="16"/>
        <v>0</v>
      </c>
    </row>
    <row r="250" spans="1:13" x14ac:dyDescent="0.25">
      <c r="A250" s="197"/>
      <c r="G250" s="164"/>
      <c r="H250" s="179">
        <v>245</v>
      </c>
      <c r="I250" s="180" t="str">
        <f t="shared" si="14"/>
        <v/>
      </c>
      <c r="J250" s="179" t="e">
        <f t="shared" si="17"/>
        <v>#NUM!</v>
      </c>
      <c r="K250" s="179" t="e">
        <f t="shared" si="15"/>
        <v>#NUM!</v>
      </c>
      <c r="L250" s="179"/>
      <c r="M250" s="181">
        <f t="shared" si="16"/>
        <v>0</v>
      </c>
    </row>
    <row r="251" spans="1:13" x14ac:dyDescent="0.25">
      <c r="A251" s="197"/>
      <c r="G251" s="164"/>
      <c r="H251" s="179">
        <v>246</v>
      </c>
      <c r="I251" s="180" t="str">
        <f t="shared" si="14"/>
        <v/>
      </c>
      <c r="J251" s="179" t="e">
        <f t="shared" si="17"/>
        <v>#NUM!</v>
      </c>
      <c r="K251" s="179" t="e">
        <f t="shared" si="15"/>
        <v>#NUM!</v>
      </c>
      <c r="L251" s="179"/>
      <c r="M251" s="181">
        <f t="shared" si="16"/>
        <v>0</v>
      </c>
    </row>
    <row r="252" spans="1:13" x14ac:dyDescent="0.25">
      <c r="A252" s="197"/>
      <c r="G252" s="164"/>
      <c r="H252" s="179">
        <v>247</v>
      </c>
      <c r="I252" s="180" t="str">
        <f t="shared" si="14"/>
        <v/>
      </c>
      <c r="J252" s="179" t="e">
        <f t="shared" si="17"/>
        <v>#NUM!</v>
      </c>
      <c r="K252" s="179" t="e">
        <f t="shared" si="15"/>
        <v>#NUM!</v>
      </c>
      <c r="L252" s="179"/>
      <c r="M252" s="181">
        <f t="shared" si="16"/>
        <v>0</v>
      </c>
    </row>
    <row r="253" spans="1:13" x14ac:dyDescent="0.25">
      <c r="A253" s="197"/>
      <c r="G253" s="164"/>
      <c r="H253" s="179">
        <v>248</v>
      </c>
      <c r="I253" s="180" t="str">
        <f t="shared" si="14"/>
        <v/>
      </c>
      <c r="J253" s="179" t="e">
        <f t="shared" si="17"/>
        <v>#NUM!</v>
      </c>
      <c r="K253" s="179" t="e">
        <f t="shared" si="15"/>
        <v>#NUM!</v>
      </c>
      <c r="L253" s="179"/>
      <c r="M253" s="181">
        <f t="shared" si="16"/>
        <v>0</v>
      </c>
    </row>
    <row r="254" spans="1:13" x14ac:dyDescent="0.25">
      <c r="A254" s="197"/>
      <c r="G254" s="164"/>
      <c r="H254" s="179">
        <v>249</v>
      </c>
      <c r="I254" s="180" t="str">
        <f t="shared" si="14"/>
        <v/>
      </c>
      <c r="J254" s="179" t="e">
        <f t="shared" si="17"/>
        <v>#NUM!</v>
      </c>
      <c r="K254" s="179" t="e">
        <f t="shared" si="15"/>
        <v>#NUM!</v>
      </c>
      <c r="L254" s="179"/>
      <c r="M254" s="181">
        <f t="shared" si="16"/>
        <v>0</v>
      </c>
    </row>
    <row r="255" spans="1:13" x14ac:dyDescent="0.25">
      <c r="A255" s="197"/>
      <c r="G255" s="164"/>
      <c r="H255" s="179">
        <v>250</v>
      </c>
      <c r="I255" s="180" t="str">
        <f t="shared" si="14"/>
        <v/>
      </c>
      <c r="J255" s="179" t="e">
        <f t="shared" si="17"/>
        <v>#NUM!</v>
      </c>
      <c r="K255" s="179" t="e">
        <f t="shared" si="15"/>
        <v>#NUM!</v>
      </c>
      <c r="L255" s="179"/>
      <c r="M255" s="181">
        <f t="shared" si="16"/>
        <v>0</v>
      </c>
    </row>
    <row r="256" spans="1:13" x14ac:dyDescent="0.25">
      <c r="A256" s="197"/>
      <c r="G256" s="164"/>
      <c r="H256" s="179">
        <v>251</v>
      </c>
      <c r="I256" s="180" t="str">
        <f t="shared" si="14"/>
        <v/>
      </c>
      <c r="J256" s="179" t="e">
        <f t="shared" si="17"/>
        <v>#NUM!</v>
      </c>
      <c r="K256" s="179" t="e">
        <f t="shared" si="15"/>
        <v>#NUM!</v>
      </c>
      <c r="L256" s="179"/>
      <c r="M256" s="181">
        <f t="shared" si="16"/>
        <v>0</v>
      </c>
    </row>
    <row r="257" spans="1:13" x14ac:dyDescent="0.25">
      <c r="A257" s="197"/>
      <c r="G257" s="164"/>
      <c r="H257" s="179">
        <v>252</v>
      </c>
      <c r="I257" s="180" t="str">
        <f t="shared" si="14"/>
        <v/>
      </c>
      <c r="J257" s="179" t="e">
        <f t="shared" si="17"/>
        <v>#NUM!</v>
      </c>
      <c r="K257" s="179" t="e">
        <f t="shared" si="15"/>
        <v>#NUM!</v>
      </c>
      <c r="L257" s="179"/>
      <c r="M257" s="181">
        <f t="shared" si="16"/>
        <v>0</v>
      </c>
    </row>
    <row r="258" spans="1:13" x14ac:dyDescent="0.25">
      <c r="A258" s="197"/>
      <c r="G258" s="164"/>
      <c r="H258" s="179">
        <v>253</v>
      </c>
      <c r="I258" s="180" t="str">
        <f t="shared" si="14"/>
        <v/>
      </c>
      <c r="J258" s="179" t="e">
        <f t="shared" si="17"/>
        <v>#NUM!</v>
      </c>
      <c r="K258" s="179" t="e">
        <f t="shared" si="15"/>
        <v>#NUM!</v>
      </c>
      <c r="L258" s="179"/>
      <c r="M258" s="181">
        <f t="shared" si="16"/>
        <v>0</v>
      </c>
    </row>
    <row r="259" spans="1:13" x14ac:dyDescent="0.25">
      <c r="A259" s="197"/>
      <c r="G259" s="164"/>
      <c r="H259" s="179">
        <v>254</v>
      </c>
      <c r="I259" s="180" t="str">
        <f t="shared" si="14"/>
        <v/>
      </c>
      <c r="J259" s="179" t="e">
        <f t="shared" si="17"/>
        <v>#NUM!</v>
      </c>
      <c r="K259" s="179" t="e">
        <f t="shared" si="15"/>
        <v>#NUM!</v>
      </c>
      <c r="L259" s="179"/>
      <c r="M259" s="181">
        <f t="shared" si="16"/>
        <v>0</v>
      </c>
    </row>
    <row r="260" spans="1:13" x14ac:dyDescent="0.25">
      <c r="A260" s="197"/>
      <c r="G260" s="164"/>
      <c r="H260" s="179">
        <v>255</v>
      </c>
      <c r="I260" s="180" t="str">
        <f t="shared" si="14"/>
        <v/>
      </c>
      <c r="J260" s="179" t="e">
        <f t="shared" si="17"/>
        <v>#NUM!</v>
      </c>
      <c r="K260" s="179" t="e">
        <f t="shared" si="15"/>
        <v>#NUM!</v>
      </c>
      <c r="L260" s="179"/>
      <c r="M260" s="181">
        <f t="shared" si="16"/>
        <v>0</v>
      </c>
    </row>
    <row r="261" spans="1:13" x14ac:dyDescent="0.25">
      <c r="A261" s="197"/>
      <c r="G261" s="164"/>
      <c r="H261" s="179">
        <v>256</v>
      </c>
      <c r="I261" s="180" t="str">
        <f t="shared" si="14"/>
        <v/>
      </c>
      <c r="J261" s="179" t="e">
        <f t="shared" si="17"/>
        <v>#NUM!</v>
      </c>
      <c r="K261" s="179" t="e">
        <f t="shared" si="15"/>
        <v>#NUM!</v>
      </c>
      <c r="L261" s="179"/>
      <c r="M261" s="181">
        <f t="shared" si="16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18">IF(H262&lt;$H$2+1,($I$2-($I$2-1)*(LOG(H262)/LOG($H$2))),"")</f>
        <v/>
      </c>
      <c r="J262" s="179" t="e">
        <f t="shared" si="17"/>
        <v>#NUM!</v>
      </c>
      <c r="K262" s="179" t="e">
        <f t="shared" ref="K262:K305" si="19">J262*$J$2</f>
        <v>#NUM!</v>
      </c>
      <c r="L262" s="179"/>
      <c r="M262" s="181">
        <f t="shared" ref="M262:M305" si="20">IF(I262&lt;&gt;"",K262+I262+L262,0)</f>
        <v>0</v>
      </c>
    </row>
    <row r="263" spans="1:13" x14ac:dyDescent="0.25">
      <c r="A263" s="197"/>
      <c r="G263" s="164"/>
      <c r="H263" s="179">
        <v>258</v>
      </c>
      <c r="I263" s="180" t="str">
        <f t="shared" si="18"/>
        <v/>
      </c>
      <c r="J263" s="179" t="e">
        <f t="shared" ref="J263:J326" si="21">INT(LOG($H$2,2))-ROUNDUP(LOG(H263,2),0)+IF(OR($H$2=1,$H$2=2,$H$2=4,$H$2=8,$H$2=16,$H$2=32,$H$2=64,$H$2=128,$H$2=256),0,1)</f>
        <v>#NUM!</v>
      </c>
      <c r="K263" s="179" t="e">
        <f t="shared" si="19"/>
        <v>#NUM!</v>
      </c>
      <c r="L263" s="179"/>
      <c r="M263" s="181">
        <f t="shared" si="20"/>
        <v>0</v>
      </c>
    </row>
    <row r="264" spans="1:13" x14ac:dyDescent="0.25">
      <c r="A264" s="197"/>
      <c r="G264" s="164"/>
      <c r="H264" s="179">
        <v>259</v>
      </c>
      <c r="I264" s="180" t="str">
        <f t="shared" si="18"/>
        <v/>
      </c>
      <c r="J264" s="179" t="e">
        <f t="shared" si="21"/>
        <v>#NUM!</v>
      </c>
      <c r="K264" s="179" t="e">
        <f t="shared" si="19"/>
        <v>#NUM!</v>
      </c>
      <c r="L264" s="179"/>
      <c r="M264" s="181">
        <f t="shared" si="20"/>
        <v>0</v>
      </c>
    </row>
    <row r="265" spans="1:13" x14ac:dyDescent="0.25">
      <c r="A265" s="197"/>
      <c r="G265" s="164"/>
      <c r="H265" s="179">
        <v>260</v>
      </c>
      <c r="I265" s="180" t="str">
        <f t="shared" si="18"/>
        <v/>
      </c>
      <c r="J265" s="179" t="e">
        <f t="shared" si="21"/>
        <v>#NUM!</v>
      </c>
      <c r="K265" s="179" t="e">
        <f t="shared" si="19"/>
        <v>#NUM!</v>
      </c>
      <c r="L265" s="179"/>
      <c r="M265" s="181">
        <f t="shared" si="20"/>
        <v>0</v>
      </c>
    </row>
    <row r="266" spans="1:13" x14ac:dyDescent="0.25">
      <c r="A266" s="197"/>
      <c r="G266" s="164"/>
      <c r="H266" s="179">
        <v>261</v>
      </c>
      <c r="I266" s="180" t="str">
        <f t="shared" si="18"/>
        <v/>
      </c>
      <c r="J266" s="179" t="e">
        <f t="shared" si="21"/>
        <v>#NUM!</v>
      </c>
      <c r="K266" s="179" t="e">
        <f t="shared" si="19"/>
        <v>#NUM!</v>
      </c>
      <c r="L266" s="179"/>
      <c r="M266" s="181">
        <f t="shared" si="20"/>
        <v>0</v>
      </c>
    </row>
    <row r="267" spans="1:13" x14ac:dyDescent="0.25">
      <c r="A267" s="197"/>
      <c r="G267" s="164"/>
      <c r="H267" s="179">
        <v>262</v>
      </c>
      <c r="I267" s="180" t="str">
        <f t="shared" si="18"/>
        <v/>
      </c>
      <c r="J267" s="179" t="e">
        <f t="shared" si="21"/>
        <v>#NUM!</v>
      </c>
      <c r="K267" s="179" t="e">
        <f t="shared" si="19"/>
        <v>#NUM!</v>
      </c>
      <c r="L267" s="179"/>
      <c r="M267" s="181">
        <f t="shared" si="20"/>
        <v>0</v>
      </c>
    </row>
    <row r="268" spans="1:13" x14ac:dyDescent="0.25">
      <c r="A268" s="197"/>
      <c r="G268" s="164"/>
      <c r="H268" s="179">
        <v>263</v>
      </c>
      <c r="I268" s="180" t="str">
        <f t="shared" si="18"/>
        <v/>
      </c>
      <c r="J268" s="179" t="e">
        <f t="shared" si="21"/>
        <v>#NUM!</v>
      </c>
      <c r="K268" s="179" t="e">
        <f t="shared" si="19"/>
        <v>#NUM!</v>
      </c>
      <c r="L268" s="179"/>
      <c r="M268" s="181">
        <f t="shared" si="20"/>
        <v>0</v>
      </c>
    </row>
    <row r="269" spans="1:13" x14ac:dyDescent="0.25">
      <c r="A269" s="197"/>
      <c r="G269" s="164"/>
      <c r="H269" s="179">
        <v>264</v>
      </c>
      <c r="I269" s="180" t="str">
        <f t="shared" si="18"/>
        <v/>
      </c>
      <c r="J269" s="179" t="e">
        <f t="shared" si="21"/>
        <v>#NUM!</v>
      </c>
      <c r="K269" s="179" t="e">
        <f t="shared" si="19"/>
        <v>#NUM!</v>
      </c>
      <c r="L269" s="179"/>
      <c r="M269" s="181">
        <f t="shared" si="20"/>
        <v>0</v>
      </c>
    </row>
    <row r="270" spans="1:13" x14ac:dyDescent="0.25">
      <c r="A270" s="197"/>
      <c r="G270" s="164"/>
      <c r="H270" s="179">
        <v>265</v>
      </c>
      <c r="I270" s="180" t="str">
        <f t="shared" si="18"/>
        <v/>
      </c>
      <c r="J270" s="179" t="e">
        <f t="shared" si="21"/>
        <v>#NUM!</v>
      </c>
      <c r="K270" s="179" t="e">
        <f t="shared" si="19"/>
        <v>#NUM!</v>
      </c>
      <c r="L270" s="179"/>
      <c r="M270" s="181">
        <f t="shared" si="20"/>
        <v>0</v>
      </c>
    </row>
    <row r="271" spans="1:13" x14ac:dyDescent="0.25">
      <c r="A271" s="197"/>
      <c r="G271" s="164"/>
      <c r="H271" s="179">
        <v>266</v>
      </c>
      <c r="I271" s="180" t="str">
        <f t="shared" si="18"/>
        <v/>
      </c>
      <c r="J271" s="179" t="e">
        <f t="shared" si="21"/>
        <v>#NUM!</v>
      </c>
      <c r="K271" s="179" t="e">
        <f t="shared" si="19"/>
        <v>#NUM!</v>
      </c>
      <c r="L271" s="179"/>
      <c r="M271" s="181">
        <f t="shared" si="20"/>
        <v>0</v>
      </c>
    </row>
    <row r="272" spans="1:13" x14ac:dyDescent="0.25">
      <c r="A272" s="197"/>
      <c r="G272" s="164"/>
      <c r="H272" s="179">
        <v>267</v>
      </c>
      <c r="I272" s="180" t="str">
        <f t="shared" si="18"/>
        <v/>
      </c>
      <c r="J272" s="179" t="e">
        <f t="shared" si="21"/>
        <v>#NUM!</v>
      </c>
      <c r="K272" s="179" t="e">
        <f t="shared" si="19"/>
        <v>#NUM!</v>
      </c>
      <c r="L272" s="179"/>
      <c r="M272" s="181">
        <f t="shared" si="20"/>
        <v>0</v>
      </c>
    </row>
    <row r="273" spans="1:13" x14ac:dyDescent="0.25">
      <c r="A273" s="197"/>
      <c r="G273" s="164"/>
      <c r="H273" s="179">
        <v>268</v>
      </c>
      <c r="I273" s="180" t="str">
        <f t="shared" si="18"/>
        <v/>
      </c>
      <c r="J273" s="179" t="e">
        <f t="shared" si="21"/>
        <v>#NUM!</v>
      </c>
      <c r="K273" s="179" t="e">
        <f t="shared" si="19"/>
        <v>#NUM!</v>
      </c>
      <c r="L273" s="179"/>
      <c r="M273" s="181">
        <f t="shared" si="20"/>
        <v>0</v>
      </c>
    </row>
    <row r="274" spans="1:13" x14ac:dyDescent="0.25">
      <c r="A274" s="197"/>
      <c r="G274" s="164"/>
      <c r="H274" s="179">
        <v>269</v>
      </c>
      <c r="I274" s="180" t="str">
        <f t="shared" si="18"/>
        <v/>
      </c>
      <c r="J274" s="179" t="e">
        <f t="shared" si="21"/>
        <v>#NUM!</v>
      </c>
      <c r="K274" s="179" t="e">
        <f t="shared" si="19"/>
        <v>#NUM!</v>
      </c>
      <c r="L274" s="179"/>
      <c r="M274" s="181">
        <f t="shared" si="20"/>
        <v>0</v>
      </c>
    </row>
    <row r="275" spans="1:13" x14ac:dyDescent="0.25">
      <c r="A275" s="197"/>
      <c r="G275" s="164"/>
      <c r="H275" s="179">
        <v>270</v>
      </c>
      <c r="I275" s="180" t="str">
        <f t="shared" si="18"/>
        <v/>
      </c>
      <c r="J275" s="179" t="e">
        <f t="shared" si="21"/>
        <v>#NUM!</v>
      </c>
      <c r="K275" s="179" t="e">
        <f t="shared" si="19"/>
        <v>#NUM!</v>
      </c>
      <c r="L275" s="179"/>
      <c r="M275" s="181">
        <f t="shared" si="20"/>
        <v>0</v>
      </c>
    </row>
    <row r="276" spans="1:13" x14ac:dyDescent="0.25">
      <c r="A276" s="197"/>
      <c r="G276" s="164"/>
      <c r="H276" s="179">
        <v>271</v>
      </c>
      <c r="I276" s="180" t="str">
        <f t="shared" si="18"/>
        <v/>
      </c>
      <c r="J276" s="179" t="e">
        <f t="shared" si="21"/>
        <v>#NUM!</v>
      </c>
      <c r="K276" s="179" t="e">
        <f t="shared" si="19"/>
        <v>#NUM!</v>
      </c>
      <c r="L276" s="179"/>
      <c r="M276" s="181">
        <f t="shared" si="20"/>
        <v>0</v>
      </c>
    </row>
    <row r="277" spans="1:13" x14ac:dyDescent="0.25">
      <c r="A277" s="197"/>
      <c r="G277" s="164"/>
      <c r="H277" s="179">
        <v>272</v>
      </c>
      <c r="I277" s="180" t="str">
        <f t="shared" si="18"/>
        <v/>
      </c>
      <c r="J277" s="179" t="e">
        <f t="shared" si="21"/>
        <v>#NUM!</v>
      </c>
      <c r="K277" s="179" t="e">
        <f t="shared" si="19"/>
        <v>#NUM!</v>
      </c>
      <c r="L277" s="179"/>
      <c r="M277" s="181">
        <f t="shared" si="20"/>
        <v>0</v>
      </c>
    </row>
    <row r="278" spans="1:13" x14ac:dyDescent="0.25">
      <c r="A278" s="197"/>
      <c r="G278" s="164"/>
      <c r="H278" s="179">
        <v>273</v>
      </c>
      <c r="I278" s="180" t="str">
        <f t="shared" si="18"/>
        <v/>
      </c>
      <c r="J278" s="179" t="e">
        <f t="shared" si="21"/>
        <v>#NUM!</v>
      </c>
      <c r="K278" s="179" t="e">
        <f t="shared" si="19"/>
        <v>#NUM!</v>
      </c>
      <c r="L278" s="179"/>
      <c r="M278" s="181">
        <f t="shared" si="20"/>
        <v>0</v>
      </c>
    </row>
    <row r="279" spans="1:13" x14ac:dyDescent="0.25">
      <c r="A279" s="197"/>
      <c r="G279" s="164"/>
      <c r="H279" s="179">
        <v>274</v>
      </c>
      <c r="I279" s="180" t="str">
        <f t="shared" si="18"/>
        <v/>
      </c>
      <c r="J279" s="179" t="e">
        <f t="shared" si="21"/>
        <v>#NUM!</v>
      </c>
      <c r="K279" s="179" t="e">
        <f t="shared" si="19"/>
        <v>#NUM!</v>
      </c>
      <c r="L279" s="179"/>
      <c r="M279" s="181">
        <f t="shared" si="20"/>
        <v>0</v>
      </c>
    </row>
    <row r="280" spans="1:13" x14ac:dyDescent="0.25">
      <c r="A280" s="197"/>
      <c r="G280" s="164"/>
      <c r="H280" s="179">
        <v>275</v>
      </c>
      <c r="I280" s="180" t="str">
        <f t="shared" si="18"/>
        <v/>
      </c>
      <c r="J280" s="179" t="e">
        <f t="shared" si="21"/>
        <v>#NUM!</v>
      </c>
      <c r="K280" s="179" t="e">
        <f t="shared" si="19"/>
        <v>#NUM!</v>
      </c>
      <c r="L280" s="179"/>
      <c r="M280" s="181">
        <f t="shared" si="20"/>
        <v>0</v>
      </c>
    </row>
    <row r="281" spans="1:13" x14ac:dyDescent="0.25">
      <c r="A281" s="197"/>
      <c r="G281" s="164"/>
      <c r="H281" s="179">
        <v>276</v>
      </c>
      <c r="I281" s="180" t="str">
        <f t="shared" si="18"/>
        <v/>
      </c>
      <c r="J281" s="179" t="e">
        <f t="shared" si="21"/>
        <v>#NUM!</v>
      </c>
      <c r="K281" s="179" t="e">
        <f t="shared" si="19"/>
        <v>#NUM!</v>
      </c>
      <c r="L281" s="179"/>
      <c r="M281" s="181">
        <f t="shared" si="20"/>
        <v>0</v>
      </c>
    </row>
    <row r="282" spans="1:13" x14ac:dyDescent="0.25">
      <c r="A282" s="197"/>
      <c r="G282" s="164"/>
      <c r="H282" s="179">
        <v>277</v>
      </c>
      <c r="I282" s="180" t="str">
        <f t="shared" si="18"/>
        <v/>
      </c>
      <c r="J282" s="179" t="e">
        <f t="shared" si="21"/>
        <v>#NUM!</v>
      </c>
      <c r="K282" s="179" t="e">
        <f t="shared" si="19"/>
        <v>#NUM!</v>
      </c>
      <c r="L282" s="179"/>
      <c r="M282" s="181">
        <f t="shared" si="20"/>
        <v>0</v>
      </c>
    </row>
    <row r="283" spans="1:13" x14ac:dyDescent="0.25">
      <c r="A283" s="197"/>
      <c r="G283" s="164"/>
      <c r="H283" s="179">
        <v>278</v>
      </c>
      <c r="I283" s="180" t="str">
        <f t="shared" si="18"/>
        <v/>
      </c>
      <c r="J283" s="179" t="e">
        <f t="shared" si="21"/>
        <v>#NUM!</v>
      </c>
      <c r="K283" s="179" t="e">
        <f t="shared" si="19"/>
        <v>#NUM!</v>
      </c>
      <c r="L283" s="179"/>
      <c r="M283" s="181">
        <f t="shared" si="20"/>
        <v>0</v>
      </c>
    </row>
    <row r="284" spans="1:13" x14ac:dyDescent="0.25">
      <c r="A284" s="197"/>
      <c r="G284" s="164"/>
      <c r="H284" s="179">
        <v>279</v>
      </c>
      <c r="I284" s="180" t="str">
        <f t="shared" si="18"/>
        <v/>
      </c>
      <c r="J284" s="179" t="e">
        <f t="shared" si="21"/>
        <v>#NUM!</v>
      </c>
      <c r="K284" s="179" t="e">
        <f t="shared" si="19"/>
        <v>#NUM!</v>
      </c>
      <c r="L284" s="179"/>
      <c r="M284" s="181">
        <f t="shared" si="20"/>
        <v>0</v>
      </c>
    </row>
    <row r="285" spans="1:13" x14ac:dyDescent="0.25">
      <c r="A285" s="197"/>
      <c r="G285" s="164"/>
      <c r="H285" s="179">
        <v>280</v>
      </c>
      <c r="I285" s="180" t="str">
        <f t="shared" si="18"/>
        <v/>
      </c>
      <c r="J285" s="179" t="e">
        <f t="shared" si="21"/>
        <v>#NUM!</v>
      </c>
      <c r="K285" s="179" t="e">
        <f t="shared" si="19"/>
        <v>#NUM!</v>
      </c>
      <c r="L285" s="179"/>
      <c r="M285" s="181">
        <f t="shared" si="20"/>
        <v>0</v>
      </c>
    </row>
    <row r="286" spans="1:13" x14ac:dyDescent="0.25">
      <c r="A286" s="197"/>
      <c r="G286" s="164"/>
      <c r="H286" s="179">
        <v>281</v>
      </c>
      <c r="I286" s="180" t="str">
        <f t="shared" si="18"/>
        <v/>
      </c>
      <c r="J286" s="179" t="e">
        <f t="shared" si="21"/>
        <v>#NUM!</v>
      </c>
      <c r="K286" s="179" t="e">
        <f t="shared" si="19"/>
        <v>#NUM!</v>
      </c>
      <c r="L286" s="179"/>
      <c r="M286" s="181">
        <f t="shared" si="20"/>
        <v>0</v>
      </c>
    </row>
    <row r="287" spans="1:13" x14ac:dyDescent="0.25">
      <c r="A287" s="197"/>
      <c r="G287" s="164"/>
      <c r="H287" s="179">
        <v>282</v>
      </c>
      <c r="I287" s="180" t="str">
        <f t="shared" si="18"/>
        <v/>
      </c>
      <c r="J287" s="179" t="e">
        <f t="shared" si="21"/>
        <v>#NUM!</v>
      </c>
      <c r="K287" s="179" t="e">
        <f t="shared" si="19"/>
        <v>#NUM!</v>
      </c>
      <c r="L287" s="179"/>
      <c r="M287" s="181">
        <f t="shared" si="20"/>
        <v>0</v>
      </c>
    </row>
    <row r="288" spans="1:13" x14ac:dyDescent="0.25">
      <c r="A288" s="197"/>
      <c r="G288" s="164"/>
      <c r="H288" s="179">
        <v>283</v>
      </c>
      <c r="I288" s="180" t="str">
        <f t="shared" si="18"/>
        <v/>
      </c>
      <c r="J288" s="179" t="e">
        <f t="shared" si="21"/>
        <v>#NUM!</v>
      </c>
      <c r="K288" s="179" t="e">
        <f t="shared" si="19"/>
        <v>#NUM!</v>
      </c>
      <c r="L288" s="179"/>
      <c r="M288" s="181">
        <f t="shared" si="20"/>
        <v>0</v>
      </c>
    </row>
    <row r="289" spans="1:13" x14ac:dyDescent="0.25">
      <c r="A289" s="197"/>
      <c r="G289" s="164"/>
      <c r="H289" s="179">
        <v>284</v>
      </c>
      <c r="I289" s="180" t="str">
        <f t="shared" si="18"/>
        <v/>
      </c>
      <c r="J289" s="179" t="e">
        <f t="shared" si="21"/>
        <v>#NUM!</v>
      </c>
      <c r="K289" s="179" t="e">
        <f t="shared" si="19"/>
        <v>#NUM!</v>
      </c>
      <c r="L289" s="179"/>
      <c r="M289" s="181">
        <f t="shared" si="20"/>
        <v>0</v>
      </c>
    </row>
    <row r="290" spans="1:13" x14ac:dyDescent="0.25">
      <c r="A290" s="197"/>
      <c r="G290" s="164"/>
      <c r="H290" s="179">
        <v>285</v>
      </c>
      <c r="I290" s="180" t="str">
        <f t="shared" si="18"/>
        <v/>
      </c>
      <c r="J290" s="179" t="e">
        <f t="shared" si="21"/>
        <v>#NUM!</v>
      </c>
      <c r="K290" s="179" t="e">
        <f t="shared" si="19"/>
        <v>#NUM!</v>
      </c>
      <c r="L290" s="179"/>
      <c r="M290" s="181">
        <f t="shared" si="20"/>
        <v>0</v>
      </c>
    </row>
    <row r="291" spans="1:13" x14ac:dyDescent="0.25">
      <c r="A291" s="197"/>
      <c r="G291" s="164"/>
      <c r="H291" s="179">
        <v>286</v>
      </c>
      <c r="I291" s="180" t="str">
        <f t="shared" si="18"/>
        <v/>
      </c>
      <c r="J291" s="179" t="e">
        <f t="shared" si="21"/>
        <v>#NUM!</v>
      </c>
      <c r="K291" s="179" t="e">
        <f t="shared" si="19"/>
        <v>#NUM!</v>
      </c>
      <c r="L291" s="179"/>
      <c r="M291" s="181">
        <f t="shared" si="20"/>
        <v>0</v>
      </c>
    </row>
    <row r="292" spans="1:13" x14ac:dyDescent="0.25">
      <c r="A292" s="197"/>
      <c r="G292" s="164"/>
      <c r="H292" s="179">
        <v>287</v>
      </c>
      <c r="I292" s="180" t="str">
        <f t="shared" si="18"/>
        <v/>
      </c>
      <c r="J292" s="179" t="e">
        <f t="shared" si="21"/>
        <v>#NUM!</v>
      </c>
      <c r="K292" s="179" t="e">
        <f t="shared" si="19"/>
        <v>#NUM!</v>
      </c>
      <c r="L292" s="179"/>
      <c r="M292" s="181">
        <f t="shared" si="20"/>
        <v>0</v>
      </c>
    </row>
    <row r="293" spans="1:13" x14ac:dyDescent="0.25">
      <c r="A293" s="197"/>
      <c r="G293" s="164"/>
      <c r="H293" s="179">
        <v>288</v>
      </c>
      <c r="I293" s="180" t="str">
        <f t="shared" si="18"/>
        <v/>
      </c>
      <c r="J293" s="179" t="e">
        <f t="shared" si="21"/>
        <v>#NUM!</v>
      </c>
      <c r="K293" s="179" t="e">
        <f t="shared" si="19"/>
        <v>#NUM!</v>
      </c>
      <c r="L293" s="179"/>
      <c r="M293" s="181">
        <f t="shared" si="20"/>
        <v>0</v>
      </c>
    </row>
    <row r="294" spans="1:13" x14ac:dyDescent="0.25">
      <c r="A294" s="197"/>
      <c r="G294" s="164"/>
      <c r="H294" s="179">
        <v>289</v>
      </c>
      <c r="I294" s="180" t="str">
        <f t="shared" si="18"/>
        <v/>
      </c>
      <c r="J294" s="179" t="e">
        <f t="shared" si="21"/>
        <v>#NUM!</v>
      </c>
      <c r="K294" s="179" t="e">
        <f t="shared" si="19"/>
        <v>#NUM!</v>
      </c>
      <c r="L294" s="179"/>
      <c r="M294" s="181">
        <f t="shared" si="20"/>
        <v>0</v>
      </c>
    </row>
    <row r="295" spans="1:13" x14ac:dyDescent="0.25">
      <c r="A295" s="197"/>
      <c r="G295" s="164"/>
      <c r="H295" s="179">
        <v>290</v>
      </c>
      <c r="I295" s="180" t="str">
        <f t="shared" si="18"/>
        <v/>
      </c>
      <c r="J295" s="179" t="e">
        <f t="shared" si="21"/>
        <v>#NUM!</v>
      </c>
      <c r="K295" s="179" t="e">
        <f t="shared" si="19"/>
        <v>#NUM!</v>
      </c>
      <c r="L295" s="179"/>
      <c r="M295" s="181">
        <f t="shared" si="20"/>
        <v>0</v>
      </c>
    </row>
    <row r="296" spans="1:13" x14ac:dyDescent="0.25">
      <c r="A296" s="197"/>
      <c r="G296" s="164"/>
      <c r="H296" s="179">
        <v>291</v>
      </c>
      <c r="I296" s="180" t="str">
        <f t="shared" si="18"/>
        <v/>
      </c>
      <c r="J296" s="179" t="e">
        <f t="shared" si="21"/>
        <v>#NUM!</v>
      </c>
      <c r="K296" s="179" t="e">
        <f t="shared" si="19"/>
        <v>#NUM!</v>
      </c>
      <c r="L296" s="179"/>
      <c r="M296" s="181">
        <f t="shared" si="20"/>
        <v>0</v>
      </c>
    </row>
    <row r="297" spans="1:13" x14ac:dyDescent="0.25">
      <c r="A297" s="197"/>
      <c r="G297" s="164"/>
      <c r="H297" s="179">
        <v>292</v>
      </c>
      <c r="I297" s="180" t="str">
        <f t="shared" si="18"/>
        <v/>
      </c>
      <c r="J297" s="179" t="e">
        <f t="shared" si="21"/>
        <v>#NUM!</v>
      </c>
      <c r="K297" s="179" t="e">
        <f t="shared" si="19"/>
        <v>#NUM!</v>
      </c>
      <c r="L297" s="179"/>
      <c r="M297" s="181">
        <f t="shared" si="20"/>
        <v>0</v>
      </c>
    </row>
    <row r="298" spans="1:13" x14ac:dyDescent="0.25">
      <c r="A298" s="197"/>
      <c r="G298" s="164"/>
      <c r="H298" s="179">
        <v>293</v>
      </c>
      <c r="I298" s="180" t="str">
        <f t="shared" si="18"/>
        <v/>
      </c>
      <c r="J298" s="179" t="e">
        <f t="shared" si="21"/>
        <v>#NUM!</v>
      </c>
      <c r="K298" s="179" t="e">
        <f t="shared" si="19"/>
        <v>#NUM!</v>
      </c>
      <c r="L298" s="179"/>
      <c r="M298" s="181">
        <f t="shared" si="20"/>
        <v>0</v>
      </c>
    </row>
    <row r="299" spans="1:13" x14ac:dyDescent="0.25">
      <c r="A299" s="197"/>
      <c r="G299" s="164"/>
      <c r="H299" s="179">
        <v>294</v>
      </c>
      <c r="I299" s="180" t="str">
        <f t="shared" si="18"/>
        <v/>
      </c>
      <c r="J299" s="179" t="e">
        <f t="shared" si="21"/>
        <v>#NUM!</v>
      </c>
      <c r="K299" s="179" t="e">
        <f t="shared" si="19"/>
        <v>#NUM!</v>
      </c>
      <c r="L299" s="179"/>
      <c r="M299" s="181">
        <f t="shared" si="20"/>
        <v>0</v>
      </c>
    </row>
    <row r="300" spans="1:13" x14ac:dyDescent="0.25">
      <c r="A300" s="197"/>
      <c r="G300" s="164"/>
      <c r="H300" s="179">
        <v>295</v>
      </c>
      <c r="I300" s="180" t="str">
        <f t="shared" si="18"/>
        <v/>
      </c>
      <c r="J300" s="179" t="e">
        <f t="shared" si="21"/>
        <v>#NUM!</v>
      </c>
      <c r="K300" s="179" t="e">
        <f t="shared" si="19"/>
        <v>#NUM!</v>
      </c>
      <c r="L300" s="179"/>
      <c r="M300" s="181">
        <f t="shared" si="20"/>
        <v>0</v>
      </c>
    </row>
    <row r="301" spans="1:13" x14ac:dyDescent="0.25">
      <c r="A301" s="197"/>
      <c r="G301" s="164"/>
      <c r="H301" s="179">
        <v>296</v>
      </c>
      <c r="I301" s="180" t="str">
        <f t="shared" si="18"/>
        <v/>
      </c>
      <c r="J301" s="179" t="e">
        <f t="shared" si="21"/>
        <v>#NUM!</v>
      </c>
      <c r="K301" s="179" t="e">
        <f t="shared" si="19"/>
        <v>#NUM!</v>
      </c>
      <c r="L301" s="179"/>
      <c r="M301" s="181">
        <f t="shared" si="20"/>
        <v>0</v>
      </c>
    </row>
    <row r="302" spans="1:13" x14ac:dyDescent="0.25">
      <c r="A302" s="197"/>
      <c r="G302" s="164"/>
      <c r="H302" s="179">
        <v>297</v>
      </c>
      <c r="I302" s="180" t="str">
        <f t="shared" si="18"/>
        <v/>
      </c>
      <c r="J302" s="179" t="e">
        <f t="shared" si="21"/>
        <v>#NUM!</v>
      </c>
      <c r="K302" s="179" t="e">
        <f t="shared" si="19"/>
        <v>#NUM!</v>
      </c>
      <c r="L302" s="179"/>
      <c r="M302" s="181">
        <f t="shared" si="20"/>
        <v>0</v>
      </c>
    </row>
    <row r="303" spans="1:13" x14ac:dyDescent="0.25">
      <c r="A303" s="197"/>
      <c r="G303" s="164"/>
      <c r="H303" s="179">
        <v>298</v>
      </c>
      <c r="I303" s="180" t="str">
        <f t="shared" si="18"/>
        <v/>
      </c>
      <c r="J303" s="179" t="e">
        <f t="shared" si="21"/>
        <v>#NUM!</v>
      </c>
      <c r="K303" s="179" t="e">
        <f t="shared" si="19"/>
        <v>#NUM!</v>
      </c>
      <c r="L303" s="179"/>
      <c r="M303" s="181">
        <f t="shared" si="20"/>
        <v>0</v>
      </c>
    </row>
    <row r="304" spans="1:13" x14ac:dyDescent="0.25">
      <c r="A304" s="197"/>
      <c r="G304" s="164"/>
      <c r="H304" s="179">
        <v>299</v>
      </c>
      <c r="I304" s="180" t="str">
        <f t="shared" si="18"/>
        <v/>
      </c>
      <c r="J304" s="179" t="e">
        <f t="shared" si="21"/>
        <v>#NUM!</v>
      </c>
      <c r="K304" s="179" t="e">
        <f t="shared" si="19"/>
        <v>#NUM!</v>
      </c>
      <c r="L304" s="179"/>
      <c r="M304" s="181">
        <f t="shared" si="20"/>
        <v>0</v>
      </c>
    </row>
    <row r="305" spans="1:16" x14ac:dyDescent="0.25">
      <c r="A305" s="197"/>
      <c r="G305" s="164"/>
      <c r="H305" s="179">
        <v>300</v>
      </c>
      <c r="I305" s="180" t="str">
        <f t="shared" si="18"/>
        <v/>
      </c>
      <c r="J305" s="179" t="e">
        <f t="shared" si="21"/>
        <v>#NUM!</v>
      </c>
      <c r="K305" s="179" t="e">
        <f t="shared" si="19"/>
        <v>#NUM!</v>
      </c>
      <c r="L305" s="179"/>
      <c r="M305" s="181">
        <f t="shared" si="20"/>
        <v>0</v>
      </c>
    </row>
    <row r="306" spans="1:16" x14ac:dyDescent="0.25">
      <c r="A306" s="198"/>
      <c r="J306" s="199" t="e">
        <f t="shared" si="21"/>
        <v>#NUM!</v>
      </c>
    </row>
    <row r="307" spans="1:16" x14ac:dyDescent="0.25">
      <c r="J307" s="199" t="e">
        <f t="shared" si="21"/>
        <v>#NUM!</v>
      </c>
    </row>
    <row r="308" spans="1:16" x14ac:dyDescent="0.25">
      <c r="J308" s="199" t="e">
        <f t="shared" si="21"/>
        <v>#NUM!</v>
      </c>
    </row>
    <row r="309" spans="1:16" x14ac:dyDescent="0.25">
      <c r="J309" s="199" t="e">
        <f t="shared" si="21"/>
        <v>#NUM!</v>
      </c>
    </row>
    <row r="310" spans="1:16" x14ac:dyDescent="0.25">
      <c r="J310" s="199" t="e">
        <f t="shared" si="21"/>
        <v>#NUM!</v>
      </c>
    </row>
    <row r="311" spans="1:16" x14ac:dyDescent="0.25">
      <c r="J311" s="199" t="e">
        <f t="shared" si="21"/>
        <v>#NUM!</v>
      </c>
    </row>
    <row r="312" spans="1:16" x14ac:dyDescent="0.25">
      <c r="J312" s="199" t="e">
        <f t="shared" si="21"/>
        <v>#NUM!</v>
      </c>
    </row>
    <row r="313" spans="1:16" x14ac:dyDescent="0.25">
      <c r="J313" s="199" t="e">
        <f t="shared" si="21"/>
        <v>#NUM!</v>
      </c>
    </row>
    <row r="314" spans="1:16" x14ac:dyDescent="0.25">
      <c r="J314" s="199" t="e">
        <f t="shared" si="21"/>
        <v>#NUM!</v>
      </c>
      <c r="L314" s="201"/>
      <c r="P314" s="190"/>
    </row>
    <row r="315" spans="1:16" x14ac:dyDescent="0.25">
      <c r="J315" s="199" t="e">
        <f t="shared" si="21"/>
        <v>#NUM!</v>
      </c>
      <c r="L315" s="201"/>
      <c r="P315" s="190"/>
    </row>
    <row r="316" spans="1:16" x14ac:dyDescent="0.25">
      <c r="J316" s="199" t="e">
        <f t="shared" si="21"/>
        <v>#NUM!</v>
      </c>
      <c r="L316" s="201"/>
      <c r="P316" s="190"/>
    </row>
    <row r="317" spans="1:16" x14ac:dyDescent="0.25">
      <c r="J317" s="199" t="e">
        <f t="shared" si="21"/>
        <v>#NUM!</v>
      </c>
      <c r="L317" s="201"/>
      <c r="P317" s="190"/>
    </row>
    <row r="318" spans="1:16" x14ac:dyDescent="0.25">
      <c r="J318" s="199" t="e">
        <f t="shared" si="21"/>
        <v>#NUM!</v>
      </c>
    </row>
    <row r="319" spans="1:16" x14ac:dyDescent="0.25">
      <c r="J319" s="199" t="e">
        <f t="shared" si="21"/>
        <v>#NUM!</v>
      </c>
    </row>
    <row r="320" spans="1:16" x14ac:dyDescent="0.25">
      <c r="J320" s="199" t="e">
        <f t="shared" si="21"/>
        <v>#NUM!</v>
      </c>
    </row>
    <row r="321" spans="10:10" x14ac:dyDescent="0.25">
      <c r="J321" s="199" t="e">
        <f t="shared" si="21"/>
        <v>#NUM!</v>
      </c>
    </row>
    <row r="322" spans="10:10" x14ac:dyDescent="0.25">
      <c r="J322" s="199" t="e">
        <f t="shared" si="21"/>
        <v>#NUM!</v>
      </c>
    </row>
    <row r="323" spans="10:10" x14ac:dyDescent="0.25">
      <c r="J323" s="199" t="e">
        <f t="shared" si="21"/>
        <v>#NUM!</v>
      </c>
    </row>
    <row r="324" spans="10:10" x14ac:dyDescent="0.25">
      <c r="J324" s="199" t="e">
        <f t="shared" si="21"/>
        <v>#NUM!</v>
      </c>
    </row>
    <row r="325" spans="10:10" x14ac:dyDescent="0.25">
      <c r="J325" s="199" t="e">
        <f t="shared" si="21"/>
        <v>#NUM!</v>
      </c>
    </row>
    <row r="326" spans="10:10" x14ac:dyDescent="0.25">
      <c r="J326" s="199" t="e">
        <f t="shared" si="21"/>
        <v>#NUM!</v>
      </c>
    </row>
    <row r="327" spans="10:10" x14ac:dyDescent="0.25">
      <c r="J327" s="19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9" t="e">
        <f t="shared" si="22"/>
        <v>#NUM!</v>
      </c>
    </row>
    <row r="329" spans="10:10" x14ac:dyDescent="0.25">
      <c r="J329" s="199" t="e">
        <f t="shared" si="22"/>
        <v>#NUM!</v>
      </c>
    </row>
    <row r="330" spans="10:10" x14ac:dyDescent="0.25">
      <c r="J330" s="199" t="e">
        <f t="shared" si="22"/>
        <v>#NUM!</v>
      </c>
    </row>
    <row r="331" spans="10:10" x14ac:dyDescent="0.25">
      <c r="J331" s="199" t="e">
        <f t="shared" si="22"/>
        <v>#NUM!</v>
      </c>
    </row>
    <row r="332" spans="10:10" x14ac:dyDescent="0.25">
      <c r="J332" s="199" t="e">
        <f t="shared" si="22"/>
        <v>#NUM!</v>
      </c>
    </row>
    <row r="333" spans="10:10" x14ac:dyDescent="0.25">
      <c r="J333" s="199" t="e">
        <f t="shared" si="22"/>
        <v>#NUM!</v>
      </c>
    </row>
    <row r="334" spans="10:10" x14ac:dyDescent="0.25">
      <c r="J334" s="199" t="e">
        <f t="shared" si="22"/>
        <v>#NUM!</v>
      </c>
    </row>
    <row r="335" spans="10:10" x14ac:dyDescent="0.25">
      <c r="J335" s="199" t="e">
        <f t="shared" si="22"/>
        <v>#NUM!</v>
      </c>
    </row>
    <row r="336" spans="10:10" x14ac:dyDescent="0.25">
      <c r="J336" s="199" t="e">
        <f t="shared" si="22"/>
        <v>#NUM!</v>
      </c>
    </row>
    <row r="337" spans="10:10" x14ac:dyDescent="0.25">
      <c r="J337" s="199" t="e">
        <f t="shared" si="22"/>
        <v>#NUM!</v>
      </c>
    </row>
    <row r="338" spans="10:10" x14ac:dyDescent="0.25">
      <c r="J338" s="199" t="e">
        <f t="shared" si="22"/>
        <v>#NUM!</v>
      </c>
    </row>
    <row r="339" spans="10:10" x14ac:dyDescent="0.25">
      <c r="J339" s="199" t="e">
        <f t="shared" si="22"/>
        <v>#NUM!</v>
      </c>
    </row>
    <row r="340" spans="10:10" x14ac:dyDescent="0.25">
      <c r="J340" s="199" t="e">
        <f t="shared" si="22"/>
        <v>#NUM!</v>
      </c>
    </row>
    <row r="341" spans="10:10" x14ac:dyDescent="0.25">
      <c r="J341" s="199" t="e">
        <f t="shared" si="22"/>
        <v>#NUM!</v>
      </c>
    </row>
    <row r="342" spans="10:10" x14ac:dyDescent="0.25">
      <c r="J342" s="199" t="e">
        <f t="shared" si="22"/>
        <v>#NUM!</v>
      </c>
    </row>
    <row r="343" spans="10:10" x14ac:dyDescent="0.25">
      <c r="J343" s="199" t="e">
        <f t="shared" si="22"/>
        <v>#NUM!</v>
      </c>
    </row>
    <row r="344" spans="10:10" x14ac:dyDescent="0.25">
      <c r="J344" s="199" t="e">
        <f t="shared" si="22"/>
        <v>#NUM!</v>
      </c>
    </row>
    <row r="345" spans="10:10" x14ac:dyDescent="0.25">
      <c r="J345" s="199" t="e">
        <f t="shared" si="22"/>
        <v>#NUM!</v>
      </c>
    </row>
    <row r="346" spans="10:10" x14ac:dyDescent="0.25">
      <c r="J346" s="199" t="e">
        <f t="shared" si="22"/>
        <v>#NUM!</v>
      </c>
    </row>
    <row r="347" spans="10:10" x14ac:dyDescent="0.25">
      <c r="J347" s="199" t="e">
        <f t="shared" si="22"/>
        <v>#NUM!</v>
      </c>
    </row>
    <row r="348" spans="10:10" x14ac:dyDescent="0.25">
      <c r="J348" s="199" t="e">
        <f t="shared" si="22"/>
        <v>#NUM!</v>
      </c>
    </row>
    <row r="349" spans="10:10" x14ac:dyDescent="0.25">
      <c r="J349" s="199" t="e">
        <f t="shared" si="22"/>
        <v>#NUM!</v>
      </c>
    </row>
    <row r="350" spans="10:10" x14ac:dyDescent="0.25">
      <c r="J350" s="199" t="e">
        <f t="shared" si="22"/>
        <v>#NUM!</v>
      </c>
    </row>
    <row r="351" spans="10:10" x14ac:dyDescent="0.25">
      <c r="J351" s="199" t="e">
        <f t="shared" si="22"/>
        <v>#NUM!</v>
      </c>
    </row>
    <row r="352" spans="10:10" x14ac:dyDescent="0.25">
      <c r="J352" s="199" t="e">
        <f t="shared" si="22"/>
        <v>#NUM!</v>
      </c>
    </row>
    <row r="353" spans="10:10" x14ac:dyDescent="0.25">
      <c r="J353" s="199" t="e">
        <f t="shared" si="22"/>
        <v>#NUM!</v>
      </c>
    </row>
    <row r="354" spans="10:10" x14ac:dyDescent="0.25">
      <c r="J354" s="199" t="e">
        <f t="shared" si="22"/>
        <v>#NUM!</v>
      </c>
    </row>
    <row r="355" spans="10:10" x14ac:dyDescent="0.25">
      <c r="J355" s="199" t="e">
        <f t="shared" si="22"/>
        <v>#NUM!</v>
      </c>
    </row>
    <row r="356" spans="10:10" x14ac:dyDescent="0.25">
      <c r="J356" s="199" t="e">
        <f t="shared" si="22"/>
        <v>#NUM!</v>
      </c>
    </row>
    <row r="357" spans="10:10" x14ac:dyDescent="0.25">
      <c r="J357" s="199" t="e">
        <f t="shared" si="22"/>
        <v>#NUM!</v>
      </c>
    </row>
    <row r="358" spans="10:10" x14ac:dyDescent="0.25">
      <c r="J358" s="199" t="e">
        <f t="shared" si="22"/>
        <v>#NUM!</v>
      </c>
    </row>
    <row r="359" spans="10:10" x14ac:dyDescent="0.25">
      <c r="J359" s="199" t="e">
        <f t="shared" si="22"/>
        <v>#NUM!</v>
      </c>
    </row>
    <row r="360" spans="10:10" x14ac:dyDescent="0.25">
      <c r="J360" s="199" t="e">
        <f t="shared" si="22"/>
        <v>#NUM!</v>
      </c>
    </row>
    <row r="361" spans="10:10" x14ac:dyDescent="0.25">
      <c r="J361" s="199" t="e">
        <f t="shared" si="22"/>
        <v>#NUM!</v>
      </c>
    </row>
    <row r="362" spans="10:10" x14ac:dyDescent="0.25">
      <c r="J362" s="199" t="e">
        <f t="shared" si="22"/>
        <v>#NUM!</v>
      </c>
    </row>
    <row r="363" spans="10:10" x14ac:dyDescent="0.25">
      <c r="J363" s="199" t="e">
        <f t="shared" si="22"/>
        <v>#NUM!</v>
      </c>
    </row>
    <row r="364" spans="10:10" x14ac:dyDescent="0.25">
      <c r="J364" s="199" t="e">
        <f t="shared" si="22"/>
        <v>#NUM!</v>
      </c>
    </row>
    <row r="365" spans="10:10" x14ac:dyDescent="0.25">
      <c r="J365" s="199" t="e">
        <f t="shared" si="22"/>
        <v>#NUM!</v>
      </c>
    </row>
    <row r="366" spans="10:10" x14ac:dyDescent="0.25">
      <c r="J366" s="199" t="e">
        <f t="shared" si="22"/>
        <v>#NUM!</v>
      </c>
    </row>
    <row r="367" spans="10:10" x14ac:dyDescent="0.25">
      <c r="J367" s="199" t="e">
        <f t="shared" si="22"/>
        <v>#NUM!</v>
      </c>
    </row>
    <row r="368" spans="10:10" x14ac:dyDescent="0.25">
      <c r="J368" s="199" t="e">
        <f t="shared" si="22"/>
        <v>#NUM!</v>
      </c>
    </row>
    <row r="369" spans="10:10" x14ac:dyDescent="0.25">
      <c r="J369" s="199" t="e">
        <f t="shared" si="22"/>
        <v>#NUM!</v>
      </c>
    </row>
    <row r="370" spans="10:10" x14ac:dyDescent="0.25">
      <c r="J370" s="199" t="e">
        <f t="shared" si="22"/>
        <v>#NUM!</v>
      </c>
    </row>
    <row r="371" spans="10:10" x14ac:dyDescent="0.25">
      <c r="J371" s="199" t="e">
        <f t="shared" si="22"/>
        <v>#NUM!</v>
      </c>
    </row>
    <row r="372" spans="10:10" x14ac:dyDescent="0.25">
      <c r="J372" s="199" t="e">
        <f t="shared" si="22"/>
        <v>#NUM!</v>
      </c>
    </row>
    <row r="373" spans="10:10" x14ac:dyDescent="0.25">
      <c r="J373" s="199" t="e">
        <f t="shared" si="22"/>
        <v>#NUM!</v>
      </c>
    </row>
    <row r="374" spans="10:10" x14ac:dyDescent="0.25">
      <c r="J374" s="199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82CE0DC2-001A-49E2-B794-E1E19DF5DE45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D190-AE11-442F-BDD9-90DC5A0EEAF5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6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22</v>
      </c>
      <c r="I1" s="166" t="s">
        <v>23</v>
      </c>
      <c r="J1" s="166" t="s">
        <v>24</v>
      </c>
      <c r="K1" s="167" t="s">
        <v>85</v>
      </c>
      <c r="L1" s="168"/>
      <c r="M1" s="168"/>
    </row>
    <row r="2" spans="1:36" x14ac:dyDescent="0.25">
      <c r="A2" s="164"/>
      <c r="B2" s="20" t="s">
        <v>26</v>
      </c>
      <c r="C2" s="243" t="s">
        <v>92</v>
      </c>
      <c r="D2" s="69"/>
      <c r="E2" s="21"/>
      <c r="F2" s="21"/>
      <c r="G2" s="21"/>
      <c r="H2" s="171">
        <v>0</v>
      </c>
      <c r="I2" s="172">
        <v>50</v>
      </c>
      <c r="J2" s="172">
        <v>10</v>
      </c>
      <c r="K2" s="202">
        <f>3*H2^(1/3)</f>
        <v>0</v>
      </c>
      <c r="L2" s="168"/>
      <c r="M2" s="168"/>
    </row>
    <row r="3" spans="1:36" x14ac:dyDescent="0.25">
      <c r="A3" s="164"/>
      <c r="B3" s="174" t="s">
        <v>28</v>
      </c>
      <c r="C3" s="70" t="s">
        <v>104</v>
      </c>
      <c r="D3" s="70"/>
      <c r="E3" s="26"/>
      <c r="F3" s="26"/>
      <c r="G3" s="26"/>
      <c r="H3" s="168"/>
      <c r="I3" s="168"/>
      <c r="J3" s="175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75"/>
      <c r="K4" s="168"/>
      <c r="L4" s="168"/>
      <c r="M4" s="16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176" t="s">
        <v>35</v>
      </c>
      <c r="I5" s="177" t="s">
        <v>36</v>
      </c>
      <c r="J5" s="178" t="s">
        <v>37</v>
      </c>
      <c r="K5" s="177" t="s">
        <v>38</v>
      </c>
      <c r="L5" s="177" t="s">
        <v>39</v>
      </c>
      <c r="M5" s="176" t="s">
        <v>40</v>
      </c>
    </row>
    <row r="6" spans="1:36" ht="14.45" customHeight="1" x14ac:dyDescent="0.25">
      <c r="A6" s="96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79">
        <v>1</v>
      </c>
      <c r="I6" s="180" t="str">
        <f t="shared" ref="I6:I69" si="1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0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2">
        <v>2</v>
      </c>
      <c r="I7" s="183" t="str">
        <f t="shared" si="1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6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9">
        <v>3</v>
      </c>
      <c r="I8" s="180" t="str">
        <f t="shared" si="1"/>
        <v/>
      </c>
      <c r="J8" s="179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69" customFormat="1" ht="14.45" customHeight="1" x14ac:dyDescent="0.25">
      <c r="A9" s="100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4"/>
      <c r="O9" s="164"/>
      <c r="P9" s="164"/>
      <c r="Q9" s="164"/>
      <c r="R9" s="164"/>
      <c r="V9" s="185"/>
      <c r="Z9" s="186"/>
      <c r="AA9" s="186"/>
      <c r="AG9" s="187"/>
      <c r="AH9" s="169" t="s">
        <v>42</v>
      </c>
      <c r="AI9" s="169">
        <v>23</v>
      </c>
    </row>
    <row r="10" spans="1:36" ht="14.45" customHeight="1" x14ac:dyDescent="0.25">
      <c r="A10" s="96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9">
        <v>5</v>
      </c>
      <c r="I10" s="180" t="str">
        <f t="shared" si="1"/>
        <v/>
      </c>
      <c r="J10" s="179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69" t="s">
        <v>43</v>
      </c>
      <c r="AI10" s="169">
        <v>45</v>
      </c>
    </row>
    <row r="11" spans="1:36" ht="14.45" customHeight="1" x14ac:dyDescent="0.25">
      <c r="A11" s="100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2">
        <v>6</v>
      </c>
      <c r="I11" s="183" t="str">
        <f t="shared" si="1"/>
        <v/>
      </c>
      <c r="J11" s="182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69" t="s">
        <v>44</v>
      </c>
      <c r="AI11" s="169">
        <v>50</v>
      </c>
    </row>
    <row r="12" spans="1:36" ht="14.45" customHeight="1" x14ac:dyDescent="0.25">
      <c r="A12" s="96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9">
        <v>7</v>
      </c>
      <c r="I12" s="180" t="str">
        <f t="shared" si="1"/>
        <v/>
      </c>
      <c r="J12" s="179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69" t="s">
        <v>45</v>
      </c>
      <c r="AI12" s="169">
        <f>AI11-1</f>
        <v>49</v>
      </c>
    </row>
    <row r="13" spans="1:36" ht="14.45" customHeight="1" x14ac:dyDescent="0.25">
      <c r="A13" s="100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2">
        <v>8</v>
      </c>
      <c r="I13" s="183" t="str">
        <f t="shared" si="1"/>
        <v/>
      </c>
      <c r="J13" s="182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69" t="s">
        <v>46</v>
      </c>
      <c r="AI13" s="169">
        <f>LOG(AI9)</f>
        <v>1.3617278360175928</v>
      </c>
    </row>
    <row r="14" spans="1:36" x14ac:dyDescent="0.25">
      <c r="A14" s="96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9">
        <v>9</v>
      </c>
      <c r="I14" s="180" t="str">
        <f t="shared" si="1"/>
        <v/>
      </c>
      <c r="J14" s="179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69" t="s">
        <v>47</v>
      </c>
      <c r="AI14" s="169">
        <f>LOG(AI10)</f>
        <v>1.6532125137753437</v>
      </c>
    </row>
    <row r="15" spans="1:36" x14ac:dyDescent="0.25">
      <c r="A15" s="100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2">
        <v>10</v>
      </c>
      <c r="I15" s="183" t="str">
        <f t="shared" si="1"/>
        <v/>
      </c>
      <c r="J15" s="182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6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9">
        <v>11</v>
      </c>
      <c r="I16" s="180" t="str">
        <f t="shared" si="1"/>
        <v/>
      </c>
      <c r="J16" s="179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48</v>
      </c>
      <c r="AI16" s="169">
        <f>AI11-AI12*AI13/AI14</f>
        <v>9.6393909380186855</v>
      </c>
      <c r="AJ16" s="169" t="s">
        <v>49</v>
      </c>
    </row>
    <row r="17" spans="1:19" x14ac:dyDescent="0.25">
      <c r="A17" s="100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2">
        <v>12</v>
      </c>
      <c r="I17" s="183" t="str">
        <f t="shared" si="1"/>
        <v/>
      </c>
      <c r="J17" s="182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6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9">
        <v>13</v>
      </c>
      <c r="I18" s="180" t="str">
        <f t="shared" si="1"/>
        <v/>
      </c>
      <c r="J18" s="179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0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2">
        <v>14</v>
      </c>
      <c r="I19" s="183" t="str">
        <f t="shared" si="1"/>
        <v/>
      </c>
      <c r="J19" s="182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6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9">
        <v>15</v>
      </c>
      <c r="I20" s="180" t="str">
        <f t="shared" si="1"/>
        <v/>
      </c>
      <c r="J20" s="179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0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2">
        <v>16</v>
      </c>
      <c r="I21" s="183" t="str">
        <f t="shared" si="1"/>
        <v/>
      </c>
      <c r="J21" s="182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6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9">
        <v>17</v>
      </c>
      <c r="I22" s="180" t="str">
        <f t="shared" si="1"/>
        <v/>
      </c>
      <c r="J22" s="179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0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2">
        <v>18</v>
      </c>
      <c r="I23" s="183" t="str">
        <f t="shared" si="1"/>
        <v/>
      </c>
      <c r="J23" s="182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6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9">
        <v>19</v>
      </c>
      <c r="I24" s="180" t="str">
        <f t="shared" si="1"/>
        <v/>
      </c>
      <c r="J24" s="179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0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2">
        <v>20</v>
      </c>
      <c r="I25" s="183" t="str">
        <f t="shared" si="1"/>
        <v/>
      </c>
      <c r="J25" s="182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6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9">
        <v>21</v>
      </c>
      <c r="I26" s="180" t="str">
        <f t="shared" si="1"/>
        <v/>
      </c>
      <c r="J26" s="179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0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2">
        <v>22</v>
      </c>
      <c r="I27" s="183" t="str">
        <f t="shared" si="1"/>
        <v/>
      </c>
      <c r="J27" s="182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6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9">
        <v>23</v>
      </c>
      <c r="I28" s="180" t="str">
        <f t="shared" si="1"/>
        <v/>
      </c>
      <c r="J28" s="179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0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82">
        <v>24</v>
      </c>
      <c r="I29" s="183" t="str">
        <f t="shared" si="1"/>
        <v/>
      </c>
      <c r="J29" s="182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6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9">
        <v>25</v>
      </c>
      <c r="I30" s="180" t="str">
        <f t="shared" si="1"/>
        <v/>
      </c>
      <c r="J30" s="179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0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82">
        <v>26</v>
      </c>
      <c r="I31" s="183" t="str">
        <f t="shared" si="1"/>
        <v/>
      </c>
      <c r="J31" s="182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6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9">
        <v>27</v>
      </c>
      <c r="I32" s="180" t="str">
        <f t="shared" si="1"/>
        <v/>
      </c>
      <c r="J32" s="179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19" x14ac:dyDescent="0.25">
      <c r="A33" s="100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82">
        <v>28</v>
      </c>
      <c r="I33" s="183" t="str">
        <f t="shared" si="1"/>
        <v/>
      </c>
      <c r="J33" s="182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19" x14ac:dyDescent="0.25">
      <c r="A34" s="96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9">
        <v>29</v>
      </c>
      <c r="I34" s="180" t="str">
        <f t="shared" si="1"/>
        <v/>
      </c>
      <c r="J34" s="179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19" x14ac:dyDescent="0.25">
      <c r="A35" s="100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82">
        <v>30</v>
      </c>
      <c r="I35" s="183" t="str">
        <f t="shared" si="1"/>
        <v/>
      </c>
      <c r="J35" s="182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19" x14ac:dyDescent="0.25">
      <c r="A36" s="96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9">
        <v>31</v>
      </c>
      <c r="I36" s="180" t="str">
        <f t="shared" si="1"/>
        <v/>
      </c>
      <c r="J36" s="179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19" x14ac:dyDescent="0.25">
      <c r="A37" s="100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82">
        <v>32</v>
      </c>
      <c r="I37" s="183" t="str">
        <f t="shared" si="1"/>
        <v/>
      </c>
      <c r="J37" s="182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19" x14ac:dyDescent="0.25">
      <c r="A38" s="96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9">
        <v>33</v>
      </c>
      <c r="I38" s="180" t="str">
        <f t="shared" si="1"/>
        <v/>
      </c>
      <c r="J38" s="179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19" x14ac:dyDescent="0.25">
      <c r="A39" s="100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82">
        <v>34</v>
      </c>
      <c r="I39" s="183" t="str">
        <f t="shared" si="1"/>
        <v/>
      </c>
      <c r="J39" s="182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19" x14ac:dyDescent="0.25">
      <c r="A40" s="96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9">
        <v>35</v>
      </c>
      <c r="I40" s="180" t="str">
        <f t="shared" si="1"/>
        <v/>
      </c>
      <c r="J40" s="179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19" x14ac:dyDescent="0.25">
      <c r="A41" s="100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82">
        <v>36</v>
      </c>
      <c r="I41" s="183" t="str">
        <f t="shared" si="1"/>
        <v/>
      </c>
      <c r="J41" s="182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19" x14ac:dyDescent="0.25">
      <c r="A42" s="96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9">
        <v>37</v>
      </c>
      <c r="I42" s="180" t="str">
        <f t="shared" si="1"/>
        <v/>
      </c>
      <c r="J42" s="179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19" x14ac:dyDescent="0.25">
      <c r="A43" s="100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82">
        <v>38</v>
      </c>
      <c r="I43" s="183" t="str">
        <f t="shared" si="1"/>
        <v/>
      </c>
      <c r="J43" s="182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19" x14ac:dyDescent="0.25">
      <c r="A44" s="96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9">
        <v>39</v>
      </c>
      <c r="I44" s="180" t="str">
        <f t="shared" si="1"/>
        <v/>
      </c>
      <c r="J44" s="179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19" x14ac:dyDescent="0.25">
      <c r="A45" s="100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82">
        <v>40</v>
      </c>
      <c r="I45" s="183" t="str">
        <f t="shared" si="1"/>
        <v/>
      </c>
      <c r="J45" s="182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19" x14ac:dyDescent="0.25">
      <c r="A46" s="96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9">
        <v>41</v>
      </c>
      <c r="I46" s="180" t="str">
        <f t="shared" si="1"/>
        <v/>
      </c>
      <c r="J46" s="179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</row>
    <row r="47" spans="1:19" x14ac:dyDescent="0.25">
      <c r="A47" s="100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82">
        <v>42</v>
      </c>
      <c r="I47" s="183" t="str">
        <f t="shared" si="1"/>
        <v/>
      </c>
      <c r="J47" s="182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19" x14ac:dyDescent="0.25">
      <c r="A48" s="96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9">
        <v>43</v>
      </c>
      <c r="I48" s="180" t="str">
        <f t="shared" si="1"/>
        <v/>
      </c>
      <c r="J48" s="179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38" x14ac:dyDescent="0.25">
      <c r="A49" s="100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82">
        <v>44</v>
      </c>
      <c r="I49" s="183" t="str">
        <f t="shared" si="1"/>
        <v/>
      </c>
      <c r="J49" s="182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38" x14ac:dyDescent="0.25">
      <c r="A50" s="96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9">
        <v>45</v>
      </c>
      <c r="I50" s="180" t="str">
        <f t="shared" si="1"/>
        <v/>
      </c>
      <c r="J50" s="179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38" x14ac:dyDescent="0.25">
      <c r="A51" s="100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82">
        <v>46</v>
      </c>
      <c r="I51" s="183" t="str">
        <f t="shared" si="1"/>
        <v/>
      </c>
      <c r="J51" s="182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38" x14ac:dyDescent="0.25">
      <c r="A52" s="96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9">
        <v>47</v>
      </c>
      <c r="I52" s="180" t="str">
        <f t="shared" si="1"/>
        <v/>
      </c>
      <c r="J52" s="179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38" x14ac:dyDescent="0.25">
      <c r="A53" s="100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82">
        <v>48</v>
      </c>
      <c r="I53" s="183" t="str">
        <f t="shared" si="1"/>
        <v/>
      </c>
      <c r="J53" s="182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38" x14ac:dyDescent="0.25">
      <c r="A54" s="96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9">
        <v>49</v>
      </c>
      <c r="I54" s="180" t="str">
        <f t="shared" si="1"/>
        <v/>
      </c>
      <c r="J54" s="179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38" x14ac:dyDescent="0.25">
      <c r="A55" s="100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82">
        <v>50</v>
      </c>
      <c r="I55" s="183" t="str">
        <f t="shared" si="1"/>
        <v/>
      </c>
      <c r="J55" s="182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38" x14ac:dyDescent="0.25">
      <c r="A56" s="96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9">
        <v>51</v>
      </c>
      <c r="I56" s="180" t="str">
        <f t="shared" si="1"/>
        <v/>
      </c>
      <c r="J56" s="179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38" s="164" customFormat="1" x14ac:dyDescent="0.25">
      <c r="A57" s="100">
        <f t="shared" si="4"/>
        <v>0</v>
      </c>
      <c r="B57" s="40" t="str">
        <f t="shared" si="0"/>
        <v/>
      </c>
      <c r="C57" s="41"/>
      <c r="D57" s="41"/>
      <c r="E57" s="41"/>
      <c r="F57" s="41"/>
      <c r="H57" s="182">
        <v>52</v>
      </c>
      <c r="I57" s="183" t="str">
        <f t="shared" si="1"/>
        <v/>
      </c>
      <c r="J57" s="182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</row>
    <row r="58" spans="1:38" s="164" customFormat="1" x14ac:dyDescent="0.25">
      <c r="A58" s="96">
        <f t="shared" si="4"/>
        <v>0</v>
      </c>
      <c r="B58" s="34" t="str">
        <f t="shared" si="0"/>
        <v/>
      </c>
      <c r="C58" s="35"/>
      <c r="D58" s="35"/>
      <c r="E58" s="35"/>
      <c r="F58" s="35"/>
      <c r="H58" s="179">
        <v>53</v>
      </c>
      <c r="I58" s="180" t="str">
        <f t="shared" si="1"/>
        <v/>
      </c>
      <c r="J58" s="179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</row>
    <row r="59" spans="1:38" s="164" customFormat="1" x14ac:dyDescent="0.25">
      <c r="A59" s="100">
        <f t="shared" si="4"/>
        <v>0</v>
      </c>
      <c r="B59" s="40" t="str">
        <f t="shared" si="0"/>
        <v/>
      </c>
      <c r="C59" s="41"/>
      <c r="D59" s="41"/>
      <c r="E59" s="41"/>
      <c r="F59" s="41"/>
      <c r="H59" s="182">
        <v>54</v>
      </c>
      <c r="I59" s="183" t="str">
        <f t="shared" si="1"/>
        <v/>
      </c>
      <c r="J59" s="182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</row>
    <row r="60" spans="1:38" s="164" customFormat="1" x14ac:dyDescent="0.25">
      <c r="A60" s="96">
        <f t="shared" si="4"/>
        <v>0</v>
      </c>
      <c r="B60" s="34" t="str">
        <f t="shared" si="0"/>
        <v/>
      </c>
      <c r="C60" s="35"/>
      <c r="D60" s="35"/>
      <c r="E60" s="35"/>
      <c r="F60" s="35"/>
      <c r="H60" s="179">
        <v>55</v>
      </c>
      <c r="I60" s="180" t="str">
        <f t="shared" si="1"/>
        <v/>
      </c>
      <c r="J60" s="179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</row>
    <row r="61" spans="1:38" s="164" customFormat="1" x14ac:dyDescent="0.25">
      <c r="A61" s="100">
        <f t="shared" si="4"/>
        <v>0</v>
      </c>
      <c r="B61" s="40" t="str">
        <f t="shared" si="0"/>
        <v/>
      </c>
      <c r="C61" s="41"/>
      <c r="D61" s="41"/>
      <c r="E61" s="41"/>
      <c r="F61" s="41"/>
      <c r="H61" s="182">
        <v>56</v>
      </c>
      <c r="I61" s="183" t="str">
        <f t="shared" si="1"/>
        <v/>
      </c>
      <c r="J61" s="182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</row>
    <row r="62" spans="1:38" s="164" customFormat="1" x14ac:dyDescent="0.25">
      <c r="A62" s="96">
        <f t="shared" si="4"/>
        <v>0</v>
      </c>
      <c r="B62" s="34" t="str">
        <f t="shared" si="0"/>
        <v/>
      </c>
      <c r="C62" s="35"/>
      <c r="D62" s="35"/>
      <c r="E62" s="35"/>
      <c r="F62" s="35"/>
      <c r="H62" s="179">
        <v>57</v>
      </c>
      <c r="I62" s="180" t="str">
        <f t="shared" si="1"/>
        <v/>
      </c>
      <c r="J62" s="179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</row>
    <row r="63" spans="1:38" s="164" customFormat="1" x14ac:dyDescent="0.25">
      <c r="A63" s="100">
        <f t="shared" si="4"/>
        <v>0</v>
      </c>
      <c r="B63" s="40" t="str">
        <f t="shared" si="0"/>
        <v/>
      </c>
      <c r="C63" s="41"/>
      <c r="D63" s="41"/>
      <c r="E63" s="41"/>
      <c r="F63" s="41"/>
      <c r="H63" s="182">
        <v>58</v>
      </c>
      <c r="I63" s="183" t="str">
        <f t="shared" si="1"/>
        <v/>
      </c>
      <c r="J63" s="182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</row>
    <row r="64" spans="1:38" s="164" customFormat="1" x14ac:dyDescent="0.25">
      <c r="A64" s="96">
        <f t="shared" si="4"/>
        <v>0</v>
      </c>
      <c r="B64" s="34" t="str">
        <f t="shared" si="0"/>
        <v/>
      </c>
      <c r="C64" s="35"/>
      <c r="D64" s="35"/>
      <c r="E64" s="35"/>
      <c r="F64" s="35"/>
      <c r="H64" s="179">
        <v>59</v>
      </c>
      <c r="I64" s="180" t="str">
        <f t="shared" si="1"/>
        <v/>
      </c>
      <c r="J64" s="179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</row>
    <row r="65" spans="1:38" s="164" customFormat="1" x14ac:dyDescent="0.25">
      <c r="A65" s="100">
        <f t="shared" si="4"/>
        <v>0</v>
      </c>
      <c r="B65" s="40" t="str">
        <f t="shared" si="0"/>
        <v/>
      </c>
      <c r="C65" s="41"/>
      <c r="D65" s="41"/>
      <c r="E65" s="41"/>
      <c r="F65" s="41"/>
      <c r="H65" s="182">
        <v>60</v>
      </c>
      <c r="I65" s="183" t="str">
        <f t="shared" si="1"/>
        <v/>
      </c>
      <c r="J65" s="182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</row>
    <row r="66" spans="1:38" s="164" customFormat="1" x14ac:dyDescent="0.25">
      <c r="A66" s="96">
        <f t="shared" si="4"/>
        <v>0</v>
      </c>
      <c r="B66" s="34" t="str">
        <f t="shared" si="0"/>
        <v/>
      </c>
      <c r="C66" s="35"/>
      <c r="D66" s="35"/>
      <c r="E66" s="35"/>
      <c r="F66" s="35"/>
      <c r="H66" s="179">
        <v>61</v>
      </c>
      <c r="I66" s="180" t="str">
        <f t="shared" si="1"/>
        <v/>
      </c>
      <c r="J66" s="179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</row>
    <row r="67" spans="1:38" s="164" customFormat="1" x14ac:dyDescent="0.25">
      <c r="A67" s="100">
        <f t="shared" si="4"/>
        <v>0</v>
      </c>
      <c r="B67" s="40" t="str">
        <f t="shared" si="0"/>
        <v/>
      </c>
      <c r="C67" s="41"/>
      <c r="D67" s="41"/>
      <c r="E67" s="41"/>
      <c r="F67" s="41"/>
      <c r="H67" s="182">
        <v>62</v>
      </c>
      <c r="I67" s="183" t="str">
        <f t="shared" si="1"/>
        <v/>
      </c>
      <c r="J67" s="182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</row>
    <row r="68" spans="1:38" s="164" customFormat="1" x14ac:dyDescent="0.25">
      <c r="A68" s="96">
        <f t="shared" si="4"/>
        <v>0</v>
      </c>
      <c r="B68" s="34" t="str">
        <f t="shared" si="0"/>
        <v/>
      </c>
      <c r="C68" s="35"/>
      <c r="D68" s="35"/>
      <c r="E68" s="35"/>
      <c r="F68" s="35"/>
      <c r="H68" s="179">
        <v>63</v>
      </c>
      <c r="I68" s="180" t="str">
        <f t="shared" si="1"/>
        <v/>
      </c>
      <c r="J68" s="179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</row>
    <row r="69" spans="1:38" s="164" customFormat="1" x14ac:dyDescent="0.25">
      <c r="A69" s="100">
        <f t="shared" si="4"/>
        <v>0</v>
      </c>
      <c r="B69" s="40" t="str">
        <f t="shared" si="0"/>
        <v/>
      </c>
      <c r="C69" s="41"/>
      <c r="D69" s="41"/>
      <c r="E69" s="41"/>
      <c r="F69" s="41"/>
      <c r="H69" s="182">
        <v>64</v>
      </c>
      <c r="I69" s="183" t="str">
        <f t="shared" si="1"/>
        <v/>
      </c>
      <c r="J69" s="182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</row>
    <row r="70" spans="1:38" s="164" customFormat="1" x14ac:dyDescent="0.25">
      <c r="A70" s="96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79">
        <v>65</v>
      </c>
      <c r="I70" s="180" t="str">
        <f t="shared" ref="I70:I133" si="7">IF(H70&lt;$H$2+1,($I$2-($I$2-1)*(LOG(H70)/LOG($H$2))),"")</f>
        <v/>
      </c>
      <c r="J70" s="179" t="e">
        <f t="shared" si="5"/>
        <v>#NUM!</v>
      </c>
      <c r="K70" s="179" t="e">
        <f t="shared" ref="K70:K133" si="8">J70*$J$2</f>
        <v>#NUM!</v>
      </c>
      <c r="L70" s="179"/>
      <c r="M70" s="181">
        <f t="shared" ref="M70:M133" si="9">IF(I70&lt;&gt;"",K70+I70+L70,0)</f>
        <v>0</v>
      </c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</row>
    <row r="71" spans="1:38" s="164" customFormat="1" x14ac:dyDescent="0.25">
      <c r="A71" s="100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82">
        <v>66</v>
      </c>
      <c r="I71" s="183" t="str">
        <f t="shared" si="7"/>
        <v/>
      </c>
      <c r="J71" s="182" t="e">
        <f t="shared" ref="J71:J134" si="11">INT(LOG($H$2,2))-ROUNDUP(LOG(H71,2),0)+IF(OR($H$2=1,$H$2=2,$H$2=4,$H$2=8,$H$2=16,$H$2=32,$H$2=64,$H$2=128,$H$2=256),0,1)</f>
        <v>#NUM!</v>
      </c>
      <c r="K71" s="182" t="e">
        <f t="shared" si="8"/>
        <v>#NUM!</v>
      </c>
      <c r="L71" s="182"/>
      <c r="M71" s="184">
        <f t="shared" si="9"/>
        <v>0</v>
      </c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</row>
    <row r="72" spans="1:38" s="164" customFormat="1" x14ac:dyDescent="0.25">
      <c r="A72" s="96">
        <f t="shared" si="10"/>
        <v>0</v>
      </c>
      <c r="B72" s="34" t="str">
        <f t="shared" si="6"/>
        <v/>
      </c>
      <c r="C72" s="35"/>
      <c r="D72" s="35"/>
      <c r="E72" s="35"/>
      <c r="F72" s="35"/>
      <c r="H72" s="179">
        <v>67</v>
      </c>
      <c r="I72" s="180" t="str">
        <f t="shared" si="7"/>
        <v/>
      </c>
      <c r="J72" s="179" t="e">
        <f t="shared" si="11"/>
        <v>#NUM!</v>
      </c>
      <c r="K72" s="179" t="e">
        <f t="shared" si="8"/>
        <v>#NUM!</v>
      </c>
      <c r="L72" s="179"/>
      <c r="M72" s="181">
        <f t="shared" si="9"/>
        <v>0</v>
      </c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</row>
    <row r="73" spans="1:38" s="164" customFormat="1" x14ac:dyDescent="0.25">
      <c r="A73" s="100">
        <f t="shared" si="10"/>
        <v>0</v>
      </c>
      <c r="B73" s="40" t="str">
        <f t="shared" si="6"/>
        <v/>
      </c>
      <c r="C73" s="41"/>
      <c r="D73" s="41"/>
      <c r="E73" s="41"/>
      <c r="F73" s="41"/>
      <c r="H73" s="182">
        <v>68</v>
      </c>
      <c r="I73" s="183" t="str">
        <f t="shared" si="7"/>
        <v/>
      </c>
      <c r="J73" s="182" t="e">
        <f t="shared" si="11"/>
        <v>#NUM!</v>
      </c>
      <c r="K73" s="182" t="e">
        <f t="shared" si="8"/>
        <v>#NUM!</v>
      </c>
      <c r="L73" s="182"/>
      <c r="M73" s="184">
        <f t="shared" si="9"/>
        <v>0</v>
      </c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</row>
    <row r="74" spans="1:38" s="164" customFormat="1" x14ac:dyDescent="0.25">
      <c r="A74" s="96">
        <f t="shared" si="10"/>
        <v>0</v>
      </c>
      <c r="B74" s="34" t="str">
        <f t="shared" si="6"/>
        <v/>
      </c>
      <c r="C74" s="35"/>
      <c r="D74" s="35"/>
      <c r="E74" s="35"/>
      <c r="F74" s="35"/>
      <c r="H74" s="179">
        <v>69</v>
      </c>
      <c r="I74" s="180" t="str">
        <f t="shared" si="7"/>
        <v/>
      </c>
      <c r="J74" s="179" t="e">
        <f t="shared" si="11"/>
        <v>#NUM!</v>
      </c>
      <c r="K74" s="179" t="e">
        <f t="shared" si="8"/>
        <v>#NUM!</v>
      </c>
      <c r="L74" s="179"/>
      <c r="M74" s="181">
        <f t="shared" si="9"/>
        <v>0</v>
      </c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</row>
    <row r="75" spans="1:38" s="164" customFormat="1" x14ac:dyDescent="0.25">
      <c r="A75" s="100">
        <f t="shared" si="10"/>
        <v>0</v>
      </c>
      <c r="B75" s="40" t="str">
        <f t="shared" si="6"/>
        <v/>
      </c>
      <c r="C75" s="41"/>
      <c r="D75" s="41"/>
      <c r="E75" s="41"/>
      <c r="F75" s="41"/>
      <c r="H75" s="182">
        <v>70</v>
      </c>
      <c r="I75" s="183" t="str">
        <f t="shared" si="7"/>
        <v/>
      </c>
      <c r="J75" s="182" t="e">
        <f t="shared" si="11"/>
        <v>#NUM!</v>
      </c>
      <c r="K75" s="182" t="e">
        <f t="shared" si="8"/>
        <v>#NUM!</v>
      </c>
      <c r="L75" s="182"/>
      <c r="M75" s="184">
        <f t="shared" si="9"/>
        <v>0</v>
      </c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</row>
    <row r="76" spans="1:38" s="164" customFormat="1" x14ac:dyDescent="0.25">
      <c r="A76" s="96">
        <f t="shared" si="10"/>
        <v>0</v>
      </c>
      <c r="B76" s="34" t="str">
        <f t="shared" si="6"/>
        <v/>
      </c>
      <c r="C76" s="35"/>
      <c r="D76" s="35"/>
      <c r="E76" s="35"/>
      <c r="F76" s="35"/>
      <c r="H76" s="179">
        <v>71</v>
      </c>
      <c r="I76" s="180" t="str">
        <f t="shared" si="7"/>
        <v/>
      </c>
      <c r="J76" s="179" t="e">
        <f t="shared" si="11"/>
        <v>#NUM!</v>
      </c>
      <c r="K76" s="179" t="e">
        <f t="shared" si="8"/>
        <v>#NUM!</v>
      </c>
      <c r="L76" s="179"/>
      <c r="M76" s="181">
        <f t="shared" si="9"/>
        <v>0</v>
      </c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</row>
    <row r="77" spans="1:38" s="164" customFormat="1" x14ac:dyDescent="0.25">
      <c r="A77" s="100">
        <f t="shared" si="10"/>
        <v>0</v>
      </c>
      <c r="B77" s="40" t="str">
        <f t="shared" si="6"/>
        <v/>
      </c>
      <c r="C77" s="41"/>
      <c r="D77" s="41"/>
      <c r="E77" s="41"/>
      <c r="F77" s="41"/>
      <c r="H77" s="182">
        <v>72</v>
      </c>
      <c r="I77" s="183" t="str">
        <f t="shared" si="7"/>
        <v/>
      </c>
      <c r="J77" s="182" t="e">
        <f t="shared" si="11"/>
        <v>#NUM!</v>
      </c>
      <c r="K77" s="182" t="e">
        <f t="shared" si="8"/>
        <v>#NUM!</v>
      </c>
      <c r="L77" s="182"/>
      <c r="M77" s="184">
        <f t="shared" si="9"/>
        <v>0</v>
      </c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</row>
    <row r="78" spans="1:38" s="164" customFormat="1" x14ac:dyDescent="0.25">
      <c r="A78" s="96">
        <f t="shared" si="10"/>
        <v>0</v>
      </c>
      <c r="B78" s="34" t="str">
        <f t="shared" si="6"/>
        <v/>
      </c>
      <c r="C78" s="35"/>
      <c r="D78" s="35"/>
      <c r="E78" s="35"/>
      <c r="F78" s="35"/>
      <c r="H78" s="179">
        <v>73</v>
      </c>
      <c r="I78" s="180" t="str">
        <f t="shared" si="7"/>
        <v/>
      </c>
      <c r="J78" s="179" t="e">
        <f t="shared" si="11"/>
        <v>#NUM!</v>
      </c>
      <c r="K78" s="179" t="e">
        <f t="shared" si="8"/>
        <v>#NUM!</v>
      </c>
      <c r="L78" s="179"/>
      <c r="M78" s="181">
        <f t="shared" si="9"/>
        <v>0</v>
      </c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</row>
    <row r="79" spans="1:38" s="164" customFormat="1" x14ac:dyDescent="0.25">
      <c r="A79" s="100">
        <f t="shared" si="10"/>
        <v>0</v>
      </c>
      <c r="B79" s="40" t="str">
        <f t="shared" si="6"/>
        <v/>
      </c>
      <c r="C79" s="41"/>
      <c r="D79" s="41"/>
      <c r="E79" s="41"/>
      <c r="F79" s="41"/>
      <c r="H79" s="182">
        <v>74</v>
      </c>
      <c r="I79" s="183" t="str">
        <f t="shared" si="7"/>
        <v/>
      </c>
      <c r="J79" s="182" t="e">
        <f t="shared" si="11"/>
        <v>#NUM!</v>
      </c>
      <c r="K79" s="182" t="e">
        <f t="shared" si="8"/>
        <v>#NUM!</v>
      </c>
      <c r="L79" s="182"/>
      <c r="M79" s="184">
        <f t="shared" si="9"/>
        <v>0</v>
      </c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</row>
    <row r="80" spans="1:38" s="164" customFormat="1" x14ac:dyDescent="0.25">
      <c r="A80" s="96">
        <f t="shared" si="10"/>
        <v>0</v>
      </c>
      <c r="B80" s="34" t="str">
        <f t="shared" si="6"/>
        <v/>
      </c>
      <c r="C80" s="35"/>
      <c r="D80" s="35"/>
      <c r="E80" s="35"/>
      <c r="F80" s="35"/>
      <c r="H80" s="179">
        <v>75</v>
      </c>
      <c r="I80" s="180" t="str">
        <f t="shared" si="7"/>
        <v/>
      </c>
      <c r="J80" s="179" t="e">
        <f t="shared" si="11"/>
        <v>#NUM!</v>
      </c>
      <c r="K80" s="179" t="e">
        <f t="shared" si="8"/>
        <v>#NUM!</v>
      </c>
      <c r="L80" s="179"/>
      <c r="M80" s="181">
        <f t="shared" si="9"/>
        <v>0</v>
      </c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</row>
    <row r="81" spans="1:38" s="164" customFormat="1" x14ac:dyDescent="0.25">
      <c r="A81" s="100">
        <f t="shared" si="10"/>
        <v>0</v>
      </c>
      <c r="B81" s="40" t="str">
        <f t="shared" si="6"/>
        <v/>
      </c>
      <c r="C81" s="41"/>
      <c r="D81" s="41"/>
      <c r="E81" s="41"/>
      <c r="F81" s="41"/>
      <c r="H81" s="182">
        <v>76</v>
      </c>
      <c r="I81" s="183" t="str">
        <f t="shared" si="7"/>
        <v/>
      </c>
      <c r="J81" s="182" t="e">
        <f t="shared" si="11"/>
        <v>#NUM!</v>
      </c>
      <c r="K81" s="182" t="e">
        <f t="shared" si="8"/>
        <v>#NUM!</v>
      </c>
      <c r="L81" s="182"/>
      <c r="M81" s="184">
        <f t="shared" si="9"/>
        <v>0</v>
      </c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</row>
    <row r="82" spans="1:38" s="164" customFormat="1" x14ac:dyDescent="0.25">
      <c r="A82" s="96">
        <f t="shared" si="10"/>
        <v>0</v>
      </c>
      <c r="B82" s="34" t="str">
        <f t="shared" si="6"/>
        <v/>
      </c>
      <c r="C82" s="35"/>
      <c r="D82" s="35"/>
      <c r="E82" s="35"/>
      <c r="F82" s="35"/>
      <c r="H82" s="179">
        <v>77</v>
      </c>
      <c r="I82" s="180" t="str">
        <f t="shared" si="7"/>
        <v/>
      </c>
      <c r="J82" s="179" t="e">
        <f t="shared" si="11"/>
        <v>#NUM!</v>
      </c>
      <c r="K82" s="179" t="e">
        <f t="shared" si="8"/>
        <v>#NUM!</v>
      </c>
      <c r="L82" s="179"/>
      <c r="M82" s="181">
        <f t="shared" si="9"/>
        <v>0</v>
      </c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</row>
    <row r="83" spans="1:38" s="164" customFormat="1" x14ac:dyDescent="0.25">
      <c r="A83" s="100">
        <f t="shared" si="10"/>
        <v>0</v>
      </c>
      <c r="B83" s="40" t="str">
        <f t="shared" si="6"/>
        <v/>
      </c>
      <c r="C83" s="41"/>
      <c r="D83" s="41"/>
      <c r="E83" s="41"/>
      <c r="F83" s="41"/>
      <c r="H83" s="182">
        <v>78</v>
      </c>
      <c r="I83" s="183" t="str">
        <f t="shared" si="7"/>
        <v/>
      </c>
      <c r="J83" s="182" t="e">
        <f t="shared" si="11"/>
        <v>#NUM!</v>
      </c>
      <c r="K83" s="182" t="e">
        <f t="shared" si="8"/>
        <v>#NUM!</v>
      </c>
      <c r="L83" s="182"/>
      <c r="M83" s="184">
        <f t="shared" si="9"/>
        <v>0</v>
      </c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</row>
    <row r="84" spans="1:38" s="164" customFormat="1" x14ac:dyDescent="0.25">
      <c r="A84" s="96">
        <f t="shared" si="10"/>
        <v>0</v>
      </c>
      <c r="B84" s="34" t="str">
        <f t="shared" si="6"/>
        <v/>
      </c>
      <c r="C84" s="35"/>
      <c r="D84" s="35"/>
      <c r="E84" s="35"/>
      <c r="F84" s="35"/>
      <c r="H84" s="179">
        <v>79</v>
      </c>
      <c r="I84" s="180" t="str">
        <f t="shared" si="7"/>
        <v/>
      </c>
      <c r="J84" s="179" t="e">
        <f t="shared" si="11"/>
        <v>#NUM!</v>
      </c>
      <c r="K84" s="179" t="e">
        <f t="shared" si="8"/>
        <v>#NUM!</v>
      </c>
      <c r="L84" s="179"/>
      <c r="M84" s="181">
        <f t="shared" si="9"/>
        <v>0</v>
      </c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</row>
    <row r="85" spans="1:38" s="164" customFormat="1" x14ac:dyDescent="0.25">
      <c r="A85" s="100">
        <f t="shared" si="10"/>
        <v>0</v>
      </c>
      <c r="B85" s="40" t="str">
        <f t="shared" si="6"/>
        <v/>
      </c>
      <c r="C85" s="41"/>
      <c r="D85" s="41"/>
      <c r="E85" s="41"/>
      <c r="F85" s="41"/>
      <c r="H85" s="182">
        <v>80</v>
      </c>
      <c r="I85" s="183" t="str">
        <f t="shared" si="7"/>
        <v/>
      </c>
      <c r="J85" s="182" t="e">
        <f t="shared" si="11"/>
        <v>#NUM!</v>
      </c>
      <c r="K85" s="182" t="e">
        <f t="shared" si="8"/>
        <v>#NUM!</v>
      </c>
      <c r="L85" s="182"/>
      <c r="M85" s="184">
        <f t="shared" si="9"/>
        <v>0</v>
      </c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</row>
    <row r="86" spans="1:38" s="164" customFormat="1" x14ac:dyDescent="0.25">
      <c r="A86" s="96">
        <f t="shared" si="10"/>
        <v>0</v>
      </c>
      <c r="B86" s="34" t="str">
        <f t="shared" si="6"/>
        <v/>
      </c>
      <c r="C86" s="35"/>
      <c r="D86" s="35"/>
      <c r="E86" s="35"/>
      <c r="F86" s="35"/>
      <c r="H86" s="179">
        <v>81</v>
      </c>
      <c r="I86" s="180" t="str">
        <f t="shared" si="7"/>
        <v/>
      </c>
      <c r="J86" s="179" t="e">
        <f t="shared" si="11"/>
        <v>#NUM!</v>
      </c>
      <c r="K86" s="179" t="e">
        <f t="shared" si="8"/>
        <v>#NUM!</v>
      </c>
      <c r="L86" s="179"/>
      <c r="M86" s="181">
        <f t="shared" si="9"/>
        <v>0</v>
      </c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</row>
    <row r="87" spans="1:38" s="164" customFormat="1" x14ac:dyDescent="0.25">
      <c r="A87" s="100">
        <f t="shared" si="10"/>
        <v>0</v>
      </c>
      <c r="B87" s="40" t="str">
        <f t="shared" si="6"/>
        <v/>
      </c>
      <c r="C87" s="41"/>
      <c r="D87" s="41"/>
      <c r="E87" s="41"/>
      <c r="F87" s="41"/>
      <c r="H87" s="182">
        <v>82</v>
      </c>
      <c r="I87" s="183" t="str">
        <f t="shared" si="7"/>
        <v/>
      </c>
      <c r="J87" s="182" t="e">
        <f t="shared" si="11"/>
        <v>#NUM!</v>
      </c>
      <c r="K87" s="182" t="e">
        <f t="shared" si="8"/>
        <v>#NUM!</v>
      </c>
      <c r="L87" s="182"/>
      <c r="M87" s="184">
        <f t="shared" si="9"/>
        <v>0</v>
      </c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</row>
    <row r="88" spans="1:38" s="164" customFormat="1" x14ac:dyDescent="0.25">
      <c r="A88" s="96">
        <f t="shared" si="10"/>
        <v>0</v>
      </c>
      <c r="B88" s="34" t="str">
        <f t="shared" si="6"/>
        <v/>
      </c>
      <c r="C88" s="35"/>
      <c r="D88" s="35"/>
      <c r="E88" s="35"/>
      <c r="F88" s="35"/>
      <c r="H88" s="179">
        <v>83</v>
      </c>
      <c r="I88" s="180" t="str">
        <f t="shared" si="7"/>
        <v/>
      </c>
      <c r="J88" s="179" t="e">
        <f t="shared" si="11"/>
        <v>#NUM!</v>
      </c>
      <c r="K88" s="179" t="e">
        <f t="shared" si="8"/>
        <v>#NUM!</v>
      </c>
      <c r="L88" s="179"/>
      <c r="M88" s="181">
        <f t="shared" si="9"/>
        <v>0</v>
      </c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</row>
    <row r="89" spans="1:38" s="164" customFormat="1" x14ac:dyDescent="0.25">
      <c r="A89" s="100">
        <f t="shared" si="10"/>
        <v>0</v>
      </c>
      <c r="B89" s="40" t="str">
        <f t="shared" si="6"/>
        <v/>
      </c>
      <c r="C89" s="41"/>
      <c r="D89" s="41"/>
      <c r="E89" s="41"/>
      <c r="F89" s="41"/>
      <c r="H89" s="182">
        <v>84</v>
      </c>
      <c r="I89" s="183" t="str">
        <f t="shared" si="7"/>
        <v/>
      </c>
      <c r="J89" s="182" t="e">
        <f t="shared" si="11"/>
        <v>#NUM!</v>
      </c>
      <c r="K89" s="182" t="e">
        <f t="shared" si="8"/>
        <v>#NUM!</v>
      </c>
      <c r="L89" s="182"/>
      <c r="M89" s="184">
        <f t="shared" si="9"/>
        <v>0</v>
      </c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spans="1:38" s="164" customFormat="1" x14ac:dyDescent="0.25">
      <c r="A90" s="96">
        <f t="shared" si="10"/>
        <v>0</v>
      </c>
      <c r="B90" s="34" t="str">
        <f t="shared" si="6"/>
        <v/>
      </c>
      <c r="C90" s="35"/>
      <c r="D90" s="35"/>
      <c r="E90" s="35"/>
      <c r="F90" s="35"/>
      <c r="H90" s="179">
        <v>85</v>
      </c>
      <c r="I90" s="180" t="str">
        <f t="shared" si="7"/>
        <v/>
      </c>
      <c r="J90" s="179" t="e">
        <f t="shared" si="11"/>
        <v>#NUM!</v>
      </c>
      <c r="K90" s="179" t="e">
        <f t="shared" si="8"/>
        <v>#NUM!</v>
      </c>
      <c r="L90" s="179"/>
      <c r="M90" s="181">
        <f t="shared" si="9"/>
        <v>0</v>
      </c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</row>
    <row r="91" spans="1:38" s="164" customFormat="1" x14ac:dyDescent="0.25">
      <c r="A91" s="100">
        <f t="shared" si="10"/>
        <v>0</v>
      </c>
      <c r="B91" s="40" t="str">
        <f t="shared" si="6"/>
        <v/>
      </c>
      <c r="C91" s="41"/>
      <c r="D91" s="41"/>
      <c r="E91" s="41"/>
      <c r="F91" s="41"/>
      <c r="H91" s="182">
        <v>86</v>
      </c>
      <c r="I91" s="183" t="str">
        <f t="shared" si="7"/>
        <v/>
      </c>
      <c r="J91" s="182" t="e">
        <f t="shared" si="11"/>
        <v>#NUM!</v>
      </c>
      <c r="K91" s="182" t="e">
        <f t="shared" si="8"/>
        <v>#NUM!</v>
      </c>
      <c r="L91" s="182"/>
      <c r="M91" s="184">
        <f t="shared" si="9"/>
        <v>0</v>
      </c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</row>
    <row r="92" spans="1:38" s="164" customFormat="1" x14ac:dyDescent="0.25">
      <c r="A92" s="96">
        <f t="shared" si="10"/>
        <v>0</v>
      </c>
      <c r="B92" s="34" t="str">
        <f t="shared" si="6"/>
        <v/>
      </c>
      <c r="C92" s="35"/>
      <c r="D92" s="35"/>
      <c r="E92" s="35"/>
      <c r="F92" s="35"/>
      <c r="H92" s="179">
        <v>87</v>
      </c>
      <c r="I92" s="180" t="str">
        <f t="shared" si="7"/>
        <v/>
      </c>
      <c r="J92" s="179" t="e">
        <f t="shared" si="11"/>
        <v>#NUM!</v>
      </c>
      <c r="K92" s="179" t="e">
        <f t="shared" si="8"/>
        <v>#NUM!</v>
      </c>
      <c r="L92" s="179"/>
      <c r="M92" s="181">
        <f t="shared" si="9"/>
        <v>0</v>
      </c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</row>
    <row r="93" spans="1:38" s="164" customFormat="1" x14ac:dyDescent="0.25">
      <c r="A93" s="100">
        <f t="shared" si="10"/>
        <v>0</v>
      </c>
      <c r="B93" s="40" t="str">
        <f t="shared" si="6"/>
        <v/>
      </c>
      <c r="C93" s="41"/>
      <c r="D93" s="41"/>
      <c r="E93" s="41"/>
      <c r="F93" s="41"/>
      <c r="H93" s="182">
        <v>88</v>
      </c>
      <c r="I93" s="183" t="str">
        <f t="shared" si="7"/>
        <v/>
      </c>
      <c r="J93" s="182" t="e">
        <f t="shared" si="11"/>
        <v>#NUM!</v>
      </c>
      <c r="K93" s="182" t="e">
        <f t="shared" si="8"/>
        <v>#NUM!</v>
      </c>
      <c r="L93" s="182"/>
      <c r="M93" s="184">
        <f t="shared" si="9"/>
        <v>0</v>
      </c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</row>
    <row r="94" spans="1:38" s="164" customFormat="1" x14ac:dyDescent="0.25">
      <c r="A94" s="96">
        <f t="shared" si="10"/>
        <v>0</v>
      </c>
      <c r="B94" s="34" t="str">
        <f t="shared" si="6"/>
        <v/>
      </c>
      <c r="C94" s="35"/>
      <c r="D94" s="35"/>
      <c r="E94" s="35"/>
      <c r="F94" s="35"/>
      <c r="H94" s="179">
        <v>89</v>
      </c>
      <c r="I94" s="180" t="str">
        <f t="shared" si="7"/>
        <v/>
      </c>
      <c r="J94" s="179" t="e">
        <f t="shared" si="11"/>
        <v>#NUM!</v>
      </c>
      <c r="K94" s="179" t="e">
        <f t="shared" si="8"/>
        <v>#NUM!</v>
      </c>
      <c r="L94" s="179"/>
      <c r="M94" s="181">
        <f t="shared" si="9"/>
        <v>0</v>
      </c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</row>
    <row r="95" spans="1:38" s="164" customFormat="1" x14ac:dyDescent="0.25">
      <c r="A95" s="100">
        <f t="shared" si="10"/>
        <v>0</v>
      </c>
      <c r="B95" s="40" t="str">
        <f t="shared" si="6"/>
        <v/>
      </c>
      <c r="C95" s="41"/>
      <c r="D95" s="41"/>
      <c r="E95" s="41"/>
      <c r="F95" s="41"/>
      <c r="H95" s="182">
        <v>90</v>
      </c>
      <c r="I95" s="183" t="str">
        <f t="shared" si="7"/>
        <v/>
      </c>
      <c r="J95" s="182" t="e">
        <f t="shared" si="11"/>
        <v>#NUM!</v>
      </c>
      <c r="K95" s="182" t="e">
        <f t="shared" si="8"/>
        <v>#NUM!</v>
      </c>
      <c r="L95" s="182"/>
      <c r="M95" s="184">
        <f t="shared" si="9"/>
        <v>0</v>
      </c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</row>
    <row r="96" spans="1:38" s="164" customFormat="1" x14ac:dyDescent="0.25">
      <c r="A96" s="96">
        <f t="shared" si="10"/>
        <v>0</v>
      </c>
      <c r="B96" s="34" t="str">
        <f t="shared" si="6"/>
        <v/>
      </c>
      <c r="C96" s="35"/>
      <c r="D96" s="35"/>
      <c r="E96" s="35"/>
      <c r="F96" s="35"/>
      <c r="H96" s="179">
        <v>91</v>
      </c>
      <c r="I96" s="180" t="str">
        <f t="shared" si="7"/>
        <v/>
      </c>
      <c r="J96" s="179" t="e">
        <f t="shared" si="11"/>
        <v>#NUM!</v>
      </c>
      <c r="K96" s="179" t="e">
        <f t="shared" si="8"/>
        <v>#NUM!</v>
      </c>
      <c r="L96" s="179"/>
      <c r="M96" s="181">
        <f t="shared" si="9"/>
        <v>0</v>
      </c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</row>
    <row r="97" spans="1:38" s="164" customFormat="1" x14ac:dyDescent="0.25">
      <c r="A97" s="100">
        <f t="shared" si="10"/>
        <v>0</v>
      </c>
      <c r="B97" s="40" t="str">
        <f t="shared" si="6"/>
        <v/>
      </c>
      <c r="C97" s="41"/>
      <c r="D97" s="41"/>
      <c r="E97" s="41"/>
      <c r="F97" s="41"/>
      <c r="H97" s="182">
        <v>92</v>
      </c>
      <c r="I97" s="183" t="str">
        <f t="shared" si="7"/>
        <v/>
      </c>
      <c r="J97" s="182" t="e">
        <f t="shared" si="11"/>
        <v>#NUM!</v>
      </c>
      <c r="K97" s="182" t="e">
        <f t="shared" si="8"/>
        <v>#NUM!</v>
      </c>
      <c r="L97" s="182"/>
      <c r="M97" s="184">
        <f t="shared" si="9"/>
        <v>0</v>
      </c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</row>
    <row r="98" spans="1:38" s="164" customFormat="1" x14ac:dyDescent="0.25">
      <c r="A98" s="96">
        <f t="shared" si="10"/>
        <v>0</v>
      </c>
      <c r="B98" s="34" t="str">
        <f t="shared" si="6"/>
        <v/>
      </c>
      <c r="C98" s="35"/>
      <c r="D98" s="35"/>
      <c r="E98" s="35"/>
      <c r="F98" s="35"/>
      <c r="H98" s="179">
        <v>93</v>
      </c>
      <c r="I98" s="180" t="str">
        <f t="shared" si="7"/>
        <v/>
      </c>
      <c r="J98" s="179" t="e">
        <f t="shared" si="11"/>
        <v>#NUM!</v>
      </c>
      <c r="K98" s="179" t="e">
        <f t="shared" si="8"/>
        <v>#NUM!</v>
      </c>
      <c r="L98" s="179"/>
      <c r="M98" s="181">
        <f t="shared" si="9"/>
        <v>0</v>
      </c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</row>
    <row r="99" spans="1:38" s="164" customFormat="1" x14ac:dyDescent="0.25">
      <c r="A99" s="100">
        <f t="shared" si="10"/>
        <v>0</v>
      </c>
      <c r="B99" s="40" t="str">
        <f t="shared" si="6"/>
        <v/>
      </c>
      <c r="C99" s="41"/>
      <c r="D99" s="41"/>
      <c r="E99" s="41"/>
      <c r="F99" s="41"/>
      <c r="H99" s="182">
        <v>94</v>
      </c>
      <c r="I99" s="183" t="str">
        <f t="shared" si="7"/>
        <v/>
      </c>
      <c r="J99" s="182" t="e">
        <f t="shared" si="11"/>
        <v>#NUM!</v>
      </c>
      <c r="K99" s="182" t="e">
        <f t="shared" si="8"/>
        <v>#NUM!</v>
      </c>
      <c r="L99" s="182"/>
      <c r="M99" s="184">
        <f t="shared" si="9"/>
        <v>0</v>
      </c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</row>
    <row r="100" spans="1:38" s="164" customFormat="1" x14ac:dyDescent="0.25">
      <c r="A100" s="96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79">
        <v>95</v>
      </c>
      <c r="I100" s="180" t="str">
        <f t="shared" si="7"/>
        <v/>
      </c>
      <c r="J100" s="179" t="e">
        <f t="shared" si="11"/>
        <v>#NUM!</v>
      </c>
      <c r="K100" s="179" t="e">
        <f t="shared" si="8"/>
        <v>#NUM!</v>
      </c>
      <c r="L100" s="179"/>
      <c r="M100" s="181">
        <f t="shared" si="9"/>
        <v>0</v>
      </c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</row>
    <row r="101" spans="1:38" s="164" customFormat="1" x14ac:dyDescent="0.25">
      <c r="A101" s="100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82">
        <v>96</v>
      </c>
      <c r="I101" s="183" t="str">
        <f t="shared" si="7"/>
        <v/>
      </c>
      <c r="J101" s="182" t="e">
        <f t="shared" si="11"/>
        <v>#NUM!</v>
      </c>
      <c r="K101" s="182" t="e">
        <f t="shared" si="8"/>
        <v>#NUM!</v>
      </c>
      <c r="L101" s="182"/>
      <c r="M101" s="184">
        <f t="shared" si="9"/>
        <v>0</v>
      </c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</row>
    <row r="102" spans="1:38" s="164" customFormat="1" x14ac:dyDescent="0.25">
      <c r="A102" s="96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79">
        <v>97</v>
      </c>
      <c r="I102" s="180" t="str">
        <f t="shared" si="7"/>
        <v/>
      </c>
      <c r="J102" s="179" t="e">
        <f t="shared" si="11"/>
        <v>#NUM!</v>
      </c>
      <c r="K102" s="179" t="e">
        <f t="shared" si="8"/>
        <v>#NUM!</v>
      </c>
      <c r="L102" s="179"/>
      <c r="M102" s="181">
        <f t="shared" si="9"/>
        <v>0</v>
      </c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</row>
    <row r="103" spans="1:38" s="164" customFormat="1" x14ac:dyDescent="0.25">
      <c r="A103" s="100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82">
        <v>98</v>
      </c>
      <c r="I103" s="183" t="str">
        <f t="shared" si="7"/>
        <v/>
      </c>
      <c r="J103" s="182" t="e">
        <f t="shared" si="11"/>
        <v>#NUM!</v>
      </c>
      <c r="K103" s="182" t="e">
        <f t="shared" si="8"/>
        <v>#NUM!</v>
      </c>
      <c r="L103" s="182"/>
      <c r="M103" s="184">
        <f t="shared" si="9"/>
        <v>0</v>
      </c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</row>
    <row r="104" spans="1:38" s="164" customFormat="1" x14ac:dyDescent="0.25">
      <c r="A104" s="96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79">
        <v>99</v>
      </c>
      <c r="I104" s="180" t="str">
        <f t="shared" si="7"/>
        <v/>
      </c>
      <c r="J104" s="179" t="e">
        <f t="shared" si="11"/>
        <v>#NUM!</v>
      </c>
      <c r="K104" s="179" t="e">
        <f t="shared" si="8"/>
        <v>#NUM!</v>
      </c>
      <c r="L104" s="179"/>
      <c r="M104" s="181">
        <f t="shared" si="9"/>
        <v>0</v>
      </c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</row>
    <row r="105" spans="1:38" s="164" customFormat="1" x14ac:dyDescent="0.25">
      <c r="A105" s="100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82">
        <v>100</v>
      </c>
      <c r="I105" s="183" t="str">
        <f t="shared" si="7"/>
        <v/>
      </c>
      <c r="J105" s="182" t="e">
        <f t="shared" si="11"/>
        <v>#NUM!</v>
      </c>
      <c r="K105" s="182" t="e">
        <f t="shared" si="8"/>
        <v>#NUM!</v>
      </c>
      <c r="L105" s="182"/>
      <c r="M105" s="184">
        <f t="shared" si="9"/>
        <v>0</v>
      </c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</row>
    <row r="106" spans="1:38" s="164" customFormat="1" x14ac:dyDescent="0.25">
      <c r="A106" s="96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79">
        <v>101</v>
      </c>
      <c r="I106" s="180" t="str">
        <f t="shared" si="7"/>
        <v/>
      </c>
      <c r="J106" s="179" t="e">
        <f t="shared" si="11"/>
        <v>#NUM!</v>
      </c>
      <c r="K106" s="179" t="e">
        <f t="shared" si="8"/>
        <v>#NUM!</v>
      </c>
      <c r="L106" s="179"/>
      <c r="M106" s="181">
        <f t="shared" si="9"/>
        <v>0</v>
      </c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</row>
    <row r="107" spans="1:38" s="164" customFormat="1" x14ac:dyDescent="0.25">
      <c r="A107" s="100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82">
        <v>102</v>
      </c>
      <c r="I107" s="183" t="str">
        <f t="shared" si="7"/>
        <v/>
      </c>
      <c r="J107" s="182" t="e">
        <f t="shared" si="11"/>
        <v>#NUM!</v>
      </c>
      <c r="K107" s="182" t="e">
        <f t="shared" si="8"/>
        <v>#NUM!</v>
      </c>
      <c r="L107" s="182"/>
      <c r="M107" s="184">
        <f t="shared" si="9"/>
        <v>0</v>
      </c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</row>
    <row r="108" spans="1:38" s="164" customFormat="1" x14ac:dyDescent="0.25">
      <c r="A108" s="96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79">
        <v>103</v>
      </c>
      <c r="I108" s="180" t="str">
        <f t="shared" si="7"/>
        <v/>
      </c>
      <c r="J108" s="179" t="e">
        <f t="shared" si="11"/>
        <v>#NUM!</v>
      </c>
      <c r="K108" s="179" t="e">
        <f t="shared" si="8"/>
        <v>#NUM!</v>
      </c>
      <c r="L108" s="179"/>
      <c r="M108" s="181">
        <f t="shared" si="9"/>
        <v>0</v>
      </c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</row>
    <row r="109" spans="1:38" s="164" customFormat="1" x14ac:dyDescent="0.25">
      <c r="A109" s="100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82">
        <v>104</v>
      </c>
      <c r="I109" s="183" t="str">
        <f t="shared" si="7"/>
        <v/>
      </c>
      <c r="J109" s="182" t="e">
        <f t="shared" si="11"/>
        <v>#NUM!</v>
      </c>
      <c r="K109" s="182" t="e">
        <f t="shared" si="8"/>
        <v>#NUM!</v>
      </c>
      <c r="L109" s="182"/>
      <c r="M109" s="184">
        <f t="shared" si="9"/>
        <v>0</v>
      </c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</row>
    <row r="110" spans="1:38" s="164" customFormat="1" x14ac:dyDescent="0.25">
      <c r="A110" s="96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79">
        <v>105</v>
      </c>
      <c r="I110" s="180" t="str">
        <f t="shared" si="7"/>
        <v/>
      </c>
      <c r="J110" s="179" t="e">
        <f t="shared" si="11"/>
        <v>#NUM!</v>
      </c>
      <c r="K110" s="179" t="e">
        <f t="shared" si="8"/>
        <v>#NUM!</v>
      </c>
      <c r="L110" s="179"/>
      <c r="M110" s="181">
        <f t="shared" si="9"/>
        <v>0</v>
      </c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</row>
    <row r="111" spans="1:38" s="164" customFormat="1" x14ac:dyDescent="0.25">
      <c r="A111" s="100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82">
        <v>106</v>
      </c>
      <c r="I111" s="183" t="str">
        <f t="shared" si="7"/>
        <v/>
      </c>
      <c r="J111" s="182" t="e">
        <f t="shared" si="11"/>
        <v>#NUM!</v>
      </c>
      <c r="K111" s="182" t="e">
        <f t="shared" si="8"/>
        <v>#NUM!</v>
      </c>
      <c r="L111" s="182"/>
      <c r="M111" s="184">
        <f t="shared" si="9"/>
        <v>0</v>
      </c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</row>
    <row r="112" spans="1:38" s="164" customFormat="1" x14ac:dyDescent="0.25">
      <c r="A112" s="96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79">
        <v>107</v>
      </c>
      <c r="I112" s="180" t="str">
        <f t="shared" si="7"/>
        <v/>
      </c>
      <c r="J112" s="179" t="e">
        <f t="shared" si="11"/>
        <v>#NUM!</v>
      </c>
      <c r="K112" s="179" t="e">
        <f t="shared" si="8"/>
        <v>#NUM!</v>
      </c>
      <c r="L112" s="179"/>
      <c r="M112" s="181">
        <f t="shared" si="9"/>
        <v>0</v>
      </c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</row>
    <row r="113" spans="1:38" s="164" customFormat="1" x14ac:dyDescent="0.25">
      <c r="A113" s="100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82">
        <v>108</v>
      </c>
      <c r="I113" s="183" t="str">
        <f t="shared" si="7"/>
        <v/>
      </c>
      <c r="J113" s="182" t="e">
        <f t="shared" si="11"/>
        <v>#NUM!</v>
      </c>
      <c r="K113" s="182" t="e">
        <f t="shared" si="8"/>
        <v>#NUM!</v>
      </c>
      <c r="L113" s="182"/>
      <c r="M113" s="184">
        <f t="shared" si="9"/>
        <v>0</v>
      </c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</row>
    <row r="114" spans="1:38" s="164" customFormat="1" x14ac:dyDescent="0.25">
      <c r="A114" s="96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79">
        <v>109</v>
      </c>
      <c r="I114" s="180" t="str">
        <f t="shared" si="7"/>
        <v/>
      </c>
      <c r="J114" s="179" t="e">
        <f t="shared" si="11"/>
        <v>#NUM!</v>
      </c>
      <c r="K114" s="179" t="e">
        <f t="shared" si="8"/>
        <v>#NUM!</v>
      </c>
      <c r="L114" s="179"/>
      <c r="M114" s="181">
        <f t="shared" si="9"/>
        <v>0</v>
      </c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</row>
    <row r="115" spans="1:38" s="164" customFormat="1" x14ac:dyDescent="0.25">
      <c r="A115" s="100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82">
        <v>110</v>
      </c>
      <c r="I115" s="183" t="str">
        <f t="shared" si="7"/>
        <v/>
      </c>
      <c r="J115" s="182" t="e">
        <f t="shared" si="11"/>
        <v>#NUM!</v>
      </c>
      <c r="K115" s="182" t="e">
        <f t="shared" si="8"/>
        <v>#NUM!</v>
      </c>
      <c r="L115" s="182"/>
      <c r="M115" s="184">
        <f t="shared" si="9"/>
        <v>0</v>
      </c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</row>
    <row r="116" spans="1:38" s="164" customFormat="1" x14ac:dyDescent="0.25">
      <c r="A116" s="96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79">
        <v>111</v>
      </c>
      <c r="I116" s="180" t="str">
        <f t="shared" si="7"/>
        <v/>
      </c>
      <c r="J116" s="179" t="e">
        <f t="shared" si="11"/>
        <v>#NUM!</v>
      </c>
      <c r="K116" s="179" t="e">
        <f t="shared" si="8"/>
        <v>#NUM!</v>
      </c>
      <c r="L116" s="179"/>
      <c r="M116" s="181">
        <f t="shared" si="9"/>
        <v>0</v>
      </c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</row>
    <row r="117" spans="1:38" s="164" customFormat="1" x14ac:dyDescent="0.25">
      <c r="A117" s="100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82">
        <v>112</v>
      </c>
      <c r="I117" s="183" t="str">
        <f t="shared" si="7"/>
        <v/>
      </c>
      <c r="J117" s="182" t="e">
        <f t="shared" si="11"/>
        <v>#NUM!</v>
      </c>
      <c r="K117" s="182" t="e">
        <f t="shared" si="8"/>
        <v>#NUM!</v>
      </c>
      <c r="L117" s="182"/>
      <c r="M117" s="184">
        <f t="shared" si="9"/>
        <v>0</v>
      </c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</row>
    <row r="118" spans="1:38" s="164" customFormat="1" x14ac:dyDescent="0.25">
      <c r="A118" s="96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79">
        <v>113</v>
      </c>
      <c r="I118" s="180" t="str">
        <f t="shared" si="7"/>
        <v/>
      </c>
      <c r="J118" s="179" t="e">
        <f t="shared" si="11"/>
        <v>#NUM!</v>
      </c>
      <c r="K118" s="179" t="e">
        <f t="shared" si="8"/>
        <v>#NUM!</v>
      </c>
      <c r="L118" s="179"/>
      <c r="M118" s="181">
        <f t="shared" si="9"/>
        <v>0</v>
      </c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</row>
    <row r="119" spans="1:38" s="164" customFormat="1" x14ac:dyDescent="0.25">
      <c r="A119" s="100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82">
        <v>114</v>
      </c>
      <c r="I119" s="183" t="str">
        <f t="shared" si="7"/>
        <v/>
      </c>
      <c r="J119" s="182" t="e">
        <f t="shared" si="11"/>
        <v>#NUM!</v>
      </c>
      <c r="K119" s="182" t="e">
        <f t="shared" si="8"/>
        <v>#NUM!</v>
      </c>
      <c r="L119" s="182"/>
      <c r="M119" s="184">
        <f t="shared" si="9"/>
        <v>0</v>
      </c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</row>
    <row r="120" spans="1:38" s="164" customFormat="1" x14ac:dyDescent="0.25">
      <c r="A120" s="96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79">
        <v>115</v>
      </c>
      <c r="I120" s="180" t="str">
        <f t="shared" si="7"/>
        <v/>
      </c>
      <c r="J120" s="179" t="e">
        <f t="shared" si="11"/>
        <v>#NUM!</v>
      </c>
      <c r="K120" s="179" t="e">
        <f t="shared" si="8"/>
        <v>#NUM!</v>
      </c>
      <c r="L120" s="179"/>
      <c r="M120" s="181">
        <f t="shared" si="9"/>
        <v>0</v>
      </c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</row>
    <row r="121" spans="1:38" s="164" customFormat="1" x14ac:dyDescent="0.25">
      <c r="A121" s="100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82">
        <v>116</v>
      </c>
      <c r="I121" s="183" t="str">
        <f t="shared" si="7"/>
        <v/>
      </c>
      <c r="J121" s="182" t="e">
        <f t="shared" si="11"/>
        <v>#NUM!</v>
      </c>
      <c r="K121" s="182" t="e">
        <f t="shared" si="8"/>
        <v>#NUM!</v>
      </c>
      <c r="L121" s="182"/>
      <c r="M121" s="184">
        <f t="shared" si="9"/>
        <v>0</v>
      </c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</row>
    <row r="122" spans="1:38" s="164" customFormat="1" x14ac:dyDescent="0.25">
      <c r="A122" s="96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79">
        <v>117</v>
      </c>
      <c r="I122" s="180" t="str">
        <f t="shared" si="7"/>
        <v/>
      </c>
      <c r="J122" s="179" t="e">
        <f t="shared" si="11"/>
        <v>#NUM!</v>
      </c>
      <c r="K122" s="179" t="e">
        <f t="shared" si="8"/>
        <v>#NUM!</v>
      </c>
      <c r="L122" s="179"/>
      <c r="M122" s="181">
        <f t="shared" si="9"/>
        <v>0</v>
      </c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</row>
    <row r="123" spans="1:38" s="164" customFormat="1" x14ac:dyDescent="0.25">
      <c r="A123" s="100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82">
        <v>118</v>
      </c>
      <c r="I123" s="183" t="str">
        <f t="shared" si="7"/>
        <v/>
      </c>
      <c r="J123" s="182" t="e">
        <f t="shared" si="11"/>
        <v>#NUM!</v>
      </c>
      <c r="K123" s="182" t="e">
        <f t="shared" si="8"/>
        <v>#NUM!</v>
      </c>
      <c r="L123" s="182"/>
      <c r="M123" s="184">
        <f t="shared" si="9"/>
        <v>0</v>
      </c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</row>
    <row r="124" spans="1:38" s="164" customFormat="1" x14ac:dyDescent="0.25">
      <c r="A124" s="96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79">
        <v>119</v>
      </c>
      <c r="I124" s="180" t="str">
        <f t="shared" si="7"/>
        <v/>
      </c>
      <c r="J124" s="179" t="e">
        <f t="shared" si="11"/>
        <v>#NUM!</v>
      </c>
      <c r="K124" s="179" t="e">
        <f t="shared" si="8"/>
        <v>#NUM!</v>
      </c>
      <c r="L124" s="179"/>
      <c r="M124" s="181">
        <f t="shared" si="9"/>
        <v>0</v>
      </c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</row>
    <row r="125" spans="1:38" s="164" customFormat="1" x14ac:dyDescent="0.25">
      <c r="A125" s="100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82">
        <v>120</v>
      </c>
      <c r="I125" s="183" t="str">
        <f t="shared" si="7"/>
        <v/>
      </c>
      <c r="J125" s="182" t="e">
        <f t="shared" si="11"/>
        <v>#NUM!</v>
      </c>
      <c r="K125" s="182" t="e">
        <f t="shared" si="8"/>
        <v>#NUM!</v>
      </c>
      <c r="L125" s="182"/>
      <c r="M125" s="184">
        <f t="shared" si="9"/>
        <v>0</v>
      </c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</row>
    <row r="126" spans="1:38" s="164" customFormat="1" x14ac:dyDescent="0.25">
      <c r="A126" s="96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79">
        <v>121</v>
      </c>
      <c r="I126" s="180" t="str">
        <f t="shared" si="7"/>
        <v/>
      </c>
      <c r="J126" s="179" t="e">
        <f t="shared" si="11"/>
        <v>#NUM!</v>
      </c>
      <c r="K126" s="179" t="e">
        <f t="shared" si="8"/>
        <v>#NUM!</v>
      </c>
      <c r="L126" s="179"/>
      <c r="M126" s="181">
        <f t="shared" si="9"/>
        <v>0</v>
      </c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</row>
    <row r="127" spans="1:38" s="164" customFormat="1" x14ac:dyDescent="0.25">
      <c r="A127" s="100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82">
        <v>122</v>
      </c>
      <c r="I127" s="183" t="str">
        <f t="shared" si="7"/>
        <v/>
      </c>
      <c r="J127" s="182" t="e">
        <f t="shared" si="11"/>
        <v>#NUM!</v>
      </c>
      <c r="K127" s="182" t="e">
        <f t="shared" si="8"/>
        <v>#NUM!</v>
      </c>
      <c r="L127" s="182"/>
      <c r="M127" s="184">
        <f t="shared" si="9"/>
        <v>0</v>
      </c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</row>
    <row r="128" spans="1:38" s="164" customFormat="1" x14ac:dyDescent="0.25">
      <c r="A128" s="96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79">
        <v>123</v>
      </c>
      <c r="I128" s="180" t="str">
        <f t="shared" si="7"/>
        <v/>
      </c>
      <c r="J128" s="179" t="e">
        <f t="shared" si="11"/>
        <v>#NUM!</v>
      </c>
      <c r="K128" s="179" t="e">
        <f t="shared" si="8"/>
        <v>#NUM!</v>
      </c>
      <c r="L128" s="179"/>
      <c r="M128" s="181">
        <f t="shared" si="9"/>
        <v>0</v>
      </c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</row>
    <row r="129" spans="1:38" s="164" customFormat="1" x14ac:dyDescent="0.25">
      <c r="A129" s="100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82">
        <v>124</v>
      </c>
      <c r="I129" s="183" t="str">
        <f t="shared" si="7"/>
        <v/>
      </c>
      <c r="J129" s="182" t="e">
        <f t="shared" si="11"/>
        <v>#NUM!</v>
      </c>
      <c r="K129" s="182" t="e">
        <f t="shared" si="8"/>
        <v>#NUM!</v>
      </c>
      <c r="L129" s="182"/>
      <c r="M129" s="184">
        <f t="shared" si="9"/>
        <v>0</v>
      </c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</row>
    <row r="130" spans="1:38" s="164" customFormat="1" x14ac:dyDescent="0.25">
      <c r="A130" s="96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79">
        <v>125</v>
      </c>
      <c r="I130" s="180" t="str">
        <f t="shared" si="7"/>
        <v/>
      </c>
      <c r="J130" s="179" t="e">
        <f t="shared" si="11"/>
        <v>#NUM!</v>
      </c>
      <c r="K130" s="179" t="e">
        <f t="shared" si="8"/>
        <v>#NUM!</v>
      </c>
      <c r="L130" s="179"/>
      <c r="M130" s="181">
        <f t="shared" si="9"/>
        <v>0</v>
      </c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</row>
    <row r="131" spans="1:38" s="164" customFormat="1" x14ac:dyDescent="0.25">
      <c r="A131" s="100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82">
        <v>126</v>
      </c>
      <c r="I131" s="183" t="str">
        <f t="shared" si="7"/>
        <v/>
      </c>
      <c r="J131" s="182" t="e">
        <f t="shared" si="11"/>
        <v>#NUM!</v>
      </c>
      <c r="K131" s="182" t="e">
        <f t="shared" si="8"/>
        <v>#NUM!</v>
      </c>
      <c r="L131" s="182"/>
      <c r="M131" s="184">
        <f t="shared" si="9"/>
        <v>0</v>
      </c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</row>
    <row r="132" spans="1:38" s="164" customFormat="1" x14ac:dyDescent="0.25">
      <c r="A132" s="96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79">
        <v>127</v>
      </c>
      <c r="I132" s="180" t="str">
        <f t="shared" si="7"/>
        <v/>
      </c>
      <c r="J132" s="179" t="e">
        <f t="shared" si="11"/>
        <v>#NUM!</v>
      </c>
      <c r="K132" s="179" t="e">
        <f t="shared" si="8"/>
        <v>#NUM!</v>
      </c>
      <c r="L132" s="179"/>
      <c r="M132" s="181">
        <f t="shared" si="9"/>
        <v>0</v>
      </c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</row>
    <row r="133" spans="1:38" s="164" customFormat="1" x14ac:dyDescent="0.25">
      <c r="A133" s="100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82">
        <v>128</v>
      </c>
      <c r="I133" s="183" t="str">
        <f t="shared" si="7"/>
        <v/>
      </c>
      <c r="J133" s="182" t="e">
        <f t="shared" si="11"/>
        <v>#NUM!</v>
      </c>
      <c r="K133" s="182" t="e">
        <f t="shared" si="8"/>
        <v>#NUM!</v>
      </c>
      <c r="L133" s="182"/>
      <c r="M133" s="184">
        <f t="shared" si="9"/>
        <v>0</v>
      </c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</row>
    <row r="134" spans="1:38" s="164" customFormat="1" x14ac:dyDescent="0.25">
      <c r="A134" s="96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79">
        <v>129</v>
      </c>
      <c r="I134" s="180" t="str">
        <f t="shared" ref="I134:I197" si="13">IF(H134&lt;$H$2+1,($I$2-($I$2-1)*(LOG(H134)/LOG($H$2))),"")</f>
        <v/>
      </c>
      <c r="J134" s="179" t="e">
        <f t="shared" si="11"/>
        <v>#NUM!</v>
      </c>
      <c r="K134" s="179" t="e">
        <f t="shared" ref="K134:K197" si="14">J134*$J$2</f>
        <v>#NUM!</v>
      </c>
      <c r="L134" s="179"/>
      <c r="M134" s="181">
        <f t="shared" ref="M134:M197" si="15">IF(I134&lt;&gt;"",K134+I134+L134,0)</f>
        <v>0</v>
      </c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</row>
    <row r="135" spans="1:38" s="164" customFormat="1" x14ac:dyDescent="0.25">
      <c r="A135" s="100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82">
        <v>130</v>
      </c>
      <c r="I135" s="183" t="str">
        <f t="shared" si="13"/>
        <v/>
      </c>
      <c r="J135" s="182" t="e">
        <f t="shared" ref="J135:J198" si="17">INT(LOG($H$2,2))-ROUNDUP(LOG(H135,2),0)+IF(OR($H$2=1,$H$2=2,$H$2=4,$H$2=8,$H$2=16,$H$2=32,$H$2=64,$H$2=128,$H$2=256),0,1)</f>
        <v>#NUM!</v>
      </c>
      <c r="K135" s="182" t="e">
        <f t="shared" si="14"/>
        <v>#NUM!</v>
      </c>
      <c r="L135" s="182"/>
      <c r="M135" s="184">
        <f t="shared" si="15"/>
        <v>0</v>
      </c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</row>
    <row r="136" spans="1:38" s="164" customFormat="1" x14ac:dyDescent="0.25">
      <c r="A136" s="96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79">
        <v>131</v>
      </c>
      <c r="I136" s="180" t="str">
        <f t="shared" si="13"/>
        <v/>
      </c>
      <c r="J136" s="179" t="e">
        <f t="shared" si="17"/>
        <v>#NUM!</v>
      </c>
      <c r="K136" s="179" t="e">
        <f t="shared" si="14"/>
        <v>#NUM!</v>
      </c>
      <c r="L136" s="179"/>
      <c r="M136" s="181">
        <f t="shared" si="15"/>
        <v>0</v>
      </c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</row>
    <row r="137" spans="1:38" s="164" customFormat="1" x14ac:dyDescent="0.25">
      <c r="A137" s="100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82">
        <v>132</v>
      </c>
      <c r="I137" s="183" t="str">
        <f t="shared" si="13"/>
        <v/>
      </c>
      <c r="J137" s="182" t="e">
        <f t="shared" si="17"/>
        <v>#NUM!</v>
      </c>
      <c r="K137" s="182" t="e">
        <f t="shared" si="14"/>
        <v>#NUM!</v>
      </c>
      <c r="L137" s="182"/>
      <c r="M137" s="184">
        <f t="shared" si="15"/>
        <v>0</v>
      </c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</row>
    <row r="138" spans="1:38" s="164" customFormat="1" x14ac:dyDescent="0.25">
      <c r="A138" s="96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79">
        <v>133</v>
      </c>
      <c r="I138" s="180" t="str">
        <f t="shared" si="13"/>
        <v/>
      </c>
      <c r="J138" s="179" t="e">
        <f t="shared" si="17"/>
        <v>#NUM!</v>
      </c>
      <c r="K138" s="179" t="e">
        <f t="shared" si="14"/>
        <v>#NUM!</v>
      </c>
      <c r="L138" s="179"/>
      <c r="M138" s="181">
        <f t="shared" si="15"/>
        <v>0</v>
      </c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</row>
    <row r="139" spans="1:38" s="164" customFormat="1" x14ac:dyDescent="0.25">
      <c r="A139" s="100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82">
        <v>134</v>
      </c>
      <c r="I139" s="183" t="str">
        <f t="shared" si="13"/>
        <v/>
      </c>
      <c r="J139" s="182" t="e">
        <f t="shared" si="17"/>
        <v>#NUM!</v>
      </c>
      <c r="K139" s="182" t="e">
        <f t="shared" si="14"/>
        <v>#NUM!</v>
      </c>
      <c r="L139" s="182"/>
      <c r="M139" s="184">
        <f t="shared" si="15"/>
        <v>0</v>
      </c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</row>
    <row r="140" spans="1:38" s="164" customFormat="1" x14ac:dyDescent="0.25">
      <c r="A140" s="96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79">
        <v>135</v>
      </c>
      <c r="I140" s="180" t="str">
        <f t="shared" si="13"/>
        <v/>
      </c>
      <c r="J140" s="179" t="e">
        <f t="shared" si="17"/>
        <v>#NUM!</v>
      </c>
      <c r="K140" s="179" t="e">
        <f t="shared" si="14"/>
        <v>#NUM!</v>
      </c>
      <c r="L140" s="179"/>
      <c r="M140" s="181">
        <f t="shared" si="15"/>
        <v>0</v>
      </c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</row>
    <row r="141" spans="1:38" x14ac:dyDescent="0.25">
      <c r="A141" s="197"/>
      <c r="G141" s="164"/>
      <c r="H141" s="182">
        <v>136</v>
      </c>
      <c r="I141" s="180" t="str">
        <f t="shared" si="13"/>
        <v/>
      </c>
      <c r="J141" s="179" t="e">
        <f t="shared" si="17"/>
        <v>#NUM!</v>
      </c>
      <c r="K141" s="179" t="e">
        <f t="shared" si="14"/>
        <v>#NUM!</v>
      </c>
      <c r="L141" s="179"/>
      <c r="M141" s="181">
        <f t="shared" si="15"/>
        <v>0</v>
      </c>
    </row>
    <row r="142" spans="1:38" x14ac:dyDescent="0.25">
      <c r="A142" s="197"/>
      <c r="G142" s="164"/>
      <c r="H142" s="179">
        <v>137</v>
      </c>
      <c r="I142" s="180" t="str">
        <f t="shared" si="13"/>
        <v/>
      </c>
      <c r="J142" s="179" t="e">
        <f t="shared" si="17"/>
        <v>#NUM!</v>
      </c>
      <c r="K142" s="179" t="e">
        <f t="shared" si="14"/>
        <v>#NUM!</v>
      </c>
      <c r="L142" s="179"/>
      <c r="M142" s="181">
        <f t="shared" si="15"/>
        <v>0</v>
      </c>
    </row>
    <row r="143" spans="1:38" x14ac:dyDescent="0.25">
      <c r="A143" s="197"/>
      <c r="G143" s="164"/>
      <c r="H143" s="182">
        <v>138</v>
      </c>
      <c r="I143" s="180" t="str">
        <f t="shared" si="13"/>
        <v/>
      </c>
      <c r="J143" s="179" t="e">
        <f t="shared" si="17"/>
        <v>#NUM!</v>
      </c>
      <c r="K143" s="179" t="e">
        <f t="shared" si="14"/>
        <v>#NUM!</v>
      </c>
      <c r="L143" s="179"/>
      <c r="M143" s="181">
        <f t="shared" si="15"/>
        <v>0</v>
      </c>
    </row>
    <row r="144" spans="1:38" x14ac:dyDescent="0.25">
      <c r="A144" s="197"/>
      <c r="G144" s="164"/>
      <c r="H144" s="179">
        <v>139</v>
      </c>
      <c r="I144" s="180" t="str">
        <f t="shared" si="13"/>
        <v/>
      </c>
      <c r="J144" s="179" t="e">
        <f t="shared" si="17"/>
        <v>#NUM!</v>
      </c>
      <c r="K144" s="179" t="e">
        <f t="shared" si="14"/>
        <v>#NUM!</v>
      </c>
      <c r="L144" s="179"/>
      <c r="M144" s="181">
        <f t="shared" si="15"/>
        <v>0</v>
      </c>
    </row>
    <row r="145" spans="1:13" x14ac:dyDescent="0.25">
      <c r="A145" s="197"/>
      <c r="G145" s="164"/>
      <c r="H145" s="182">
        <v>140</v>
      </c>
      <c r="I145" s="180" t="str">
        <f t="shared" si="13"/>
        <v/>
      </c>
      <c r="J145" s="179" t="e">
        <f t="shared" si="17"/>
        <v>#NUM!</v>
      </c>
      <c r="K145" s="179" t="e">
        <f t="shared" si="14"/>
        <v>#NUM!</v>
      </c>
      <c r="L145" s="179"/>
      <c r="M145" s="181">
        <f t="shared" si="15"/>
        <v>0</v>
      </c>
    </row>
    <row r="146" spans="1:13" x14ac:dyDescent="0.25">
      <c r="A146" s="197"/>
      <c r="G146" s="164"/>
      <c r="H146" s="179">
        <v>141</v>
      </c>
      <c r="I146" s="180" t="str">
        <f t="shared" si="13"/>
        <v/>
      </c>
      <c r="J146" s="179" t="e">
        <f t="shared" si="17"/>
        <v>#NUM!</v>
      </c>
      <c r="K146" s="179" t="e">
        <f t="shared" si="14"/>
        <v>#NUM!</v>
      </c>
      <c r="L146" s="179"/>
      <c r="M146" s="181">
        <f t="shared" si="15"/>
        <v>0</v>
      </c>
    </row>
    <row r="147" spans="1:13" x14ac:dyDescent="0.25">
      <c r="A147" s="197"/>
      <c r="G147" s="164"/>
      <c r="H147" s="182">
        <v>142</v>
      </c>
      <c r="I147" s="180" t="str">
        <f t="shared" si="13"/>
        <v/>
      </c>
      <c r="J147" s="179" t="e">
        <f t="shared" si="17"/>
        <v>#NUM!</v>
      </c>
      <c r="K147" s="179" t="e">
        <f t="shared" si="14"/>
        <v>#NUM!</v>
      </c>
      <c r="L147" s="179"/>
      <c r="M147" s="181">
        <f t="shared" si="15"/>
        <v>0</v>
      </c>
    </row>
    <row r="148" spans="1:13" x14ac:dyDescent="0.25">
      <c r="A148" s="197"/>
      <c r="G148" s="164"/>
      <c r="H148" s="179">
        <v>143</v>
      </c>
      <c r="I148" s="180" t="str">
        <f t="shared" si="13"/>
        <v/>
      </c>
      <c r="J148" s="179" t="e">
        <f t="shared" si="17"/>
        <v>#NUM!</v>
      </c>
      <c r="K148" s="179" t="e">
        <f t="shared" si="14"/>
        <v>#NUM!</v>
      </c>
      <c r="L148" s="179"/>
      <c r="M148" s="181">
        <f t="shared" si="15"/>
        <v>0</v>
      </c>
    </row>
    <row r="149" spans="1:13" x14ac:dyDescent="0.25">
      <c r="A149" s="197"/>
      <c r="G149" s="164"/>
      <c r="H149" s="182">
        <v>144</v>
      </c>
      <c r="I149" s="180" t="str">
        <f t="shared" si="13"/>
        <v/>
      </c>
      <c r="J149" s="179" t="e">
        <f t="shared" si="17"/>
        <v>#NUM!</v>
      </c>
      <c r="K149" s="179" t="e">
        <f t="shared" si="14"/>
        <v>#NUM!</v>
      </c>
      <c r="L149" s="179"/>
      <c r="M149" s="181">
        <f t="shared" si="15"/>
        <v>0</v>
      </c>
    </row>
    <row r="150" spans="1:13" x14ac:dyDescent="0.25">
      <c r="A150" s="197"/>
      <c r="G150" s="164"/>
      <c r="H150" s="179">
        <v>145</v>
      </c>
      <c r="I150" s="180" t="str">
        <f t="shared" si="13"/>
        <v/>
      </c>
      <c r="J150" s="179" t="e">
        <f t="shared" si="17"/>
        <v>#NUM!</v>
      </c>
      <c r="K150" s="179" t="e">
        <f t="shared" si="14"/>
        <v>#NUM!</v>
      </c>
      <c r="L150" s="179"/>
      <c r="M150" s="181">
        <f t="shared" si="15"/>
        <v>0</v>
      </c>
    </row>
    <row r="151" spans="1:13" x14ac:dyDescent="0.25">
      <c r="A151" s="197"/>
      <c r="G151" s="164"/>
      <c r="H151" s="182">
        <v>146</v>
      </c>
      <c r="I151" s="180" t="str">
        <f t="shared" si="13"/>
        <v/>
      </c>
      <c r="J151" s="179" t="e">
        <f t="shared" si="17"/>
        <v>#NUM!</v>
      </c>
      <c r="K151" s="179" t="e">
        <f t="shared" si="14"/>
        <v>#NUM!</v>
      </c>
      <c r="L151" s="179"/>
      <c r="M151" s="181">
        <f t="shared" si="15"/>
        <v>0</v>
      </c>
    </row>
    <row r="152" spans="1:13" x14ac:dyDescent="0.25">
      <c r="A152" s="197"/>
      <c r="G152" s="164"/>
      <c r="H152" s="179">
        <v>147</v>
      </c>
      <c r="I152" s="180" t="str">
        <f t="shared" si="13"/>
        <v/>
      </c>
      <c r="J152" s="179" t="e">
        <f t="shared" si="17"/>
        <v>#NUM!</v>
      </c>
      <c r="K152" s="179" t="e">
        <f t="shared" si="14"/>
        <v>#NUM!</v>
      </c>
      <c r="L152" s="179"/>
      <c r="M152" s="181">
        <f t="shared" si="15"/>
        <v>0</v>
      </c>
    </row>
    <row r="153" spans="1:13" x14ac:dyDescent="0.25">
      <c r="A153" s="197"/>
      <c r="G153" s="164"/>
      <c r="H153" s="182">
        <v>148</v>
      </c>
      <c r="I153" s="180" t="str">
        <f t="shared" si="13"/>
        <v/>
      </c>
      <c r="J153" s="179" t="e">
        <f t="shared" si="17"/>
        <v>#NUM!</v>
      </c>
      <c r="K153" s="179" t="e">
        <f t="shared" si="14"/>
        <v>#NUM!</v>
      </c>
      <c r="L153" s="179"/>
      <c r="M153" s="181">
        <f t="shared" si="15"/>
        <v>0</v>
      </c>
    </row>
    <row r="154" spans="1:13" x14ac:dyDescent="0.25">
      <c r="A154" s="197"/>
      <c r="G154" s="164"/>
      <c r="H154" s="179">
        <v>149</v>
      </c>
      <c r="I154" s="180" t="str">
        <f t="shared" si="13"/>
        <v/>
      </c>
      <c r="J154" s="179" t="e">
        <f t="shared" si="17"/>
        <v>#NUM!</v>
      </c>
      <c r="K154" s="179" t="e">
        <f t="shared" si="14"/>
        <v>#NUM!</v>
      </c>
      <c r="L154" s="179"/>
      <c r="M154" s="181">
        <f t="shared" si="15"/>
        <v>0</v>
      </c>
    </row>
    <row r="155" spans="1:13" x14ac:dyDescent="0.25">
      <c r="A155" s="197"/>
      <c r="G155" s="164"/>
      <c r="H155" s="182">
        <v>150</v>
      </c>
      <c r="I155" s="180" t="str">
        <f t="shared" si="13"/>
        <v/>
      </c>
      <c r="J155" s="179" t="e">
        <f t="shared" si="17"/>
        <v>#NUM!</v>
      </c>
      <c r="K155" s="179" t="e">
        <f t="shared" si="14"/>
        <v>#NUM!</v>
      </c>
      <c r="L155" s="179"/>
      <c r="M155" s="181">
        <f t="shared" si="15"/>
        <v>0</v>
      </c>
    </row>
    <row r="156" spans="1:13" x14ac:dyDescent="0.25">
      <c r="A156" s="197"/>
      <c r="G156" s="164"/>
      <c r="H156" s="179">
        <v>151</v>
      </c>
      <c r="I156" s="180" t="str">
        <f t="shared" si="13"/>
        <v/>
      </c>
      <c r="J156" s="179" t="e">
        <f t="shared" si="17"/>
        <v>#NUM!</v>
      </c>
      <c r="K156" s="179" t="e">
        <f t="shared" si="14"/>
        <v>#NUM!</v>
      </c>
      <c r="L156" s="179"/>
      <c r="M156" s="181">
        <f t="shared" si="15"/>
        <v>0</v>
      </c>
    </row>
    <row r="157" spans="1:13" x14ac:dyDescent="0.25">
      <c r="A157" s="197"/>
      <c r="G157" s="164"/>
      <c r="H157" s="182">
        <v>152</v>
      </c>
      <c r="I157" s="180" t="str">
        <f t="shared" si="13"/>
        <v/>
      </c>
      <c r="J157" s="179" t="e">
        <f t="shared" si="17"/>
        <v>#NUM!</v>
      </c>
      <c r="K157" s="179" t="e">
        <f t="shared" si="14"/>
        <v>#NUM!</v>
      </c>
      <c r="L157" s="179"/>
      <c r="M157" s="181">
        <f t="shared" si="15"/>
        <v>0</v>
      </c>
    </row>
    <row r="158" spans="1:13" x14ac:dyDescent="0.25">
      <c r="A158" s="197"/>
      <c r="G158" s="164"/>
      <c r="H158" s="179">
        <v>153</v>
      </c>
      <c r="I158" s="180" t="str">
        <f t="shared" si="13"/>
        <v/>
      </c>
      <c r="J158" s="179" t="e">
        <f t="shared" si="17"/>
        <v>#NUM!</v>
      </c>
      <c r="K158" s="179" t="e">
        <f t="shared" si="14"/>
        <v>#NUM!</v>
      </c>
      <c r="L158" s="179"/>
      <c r="M158" s="181">
        <f t="shared" si="15"/>
        <v>0</v>
      </c>
    </row>
    <row r="159" spans="1:13" x14ac:dyDescent="0.25">
      <c r="A159" s="197"/>
      <c r="G159" s="164"/>
      <c r="H159" s="182">
        <v>154</v>
      </c>
      <c r="I159" s="180" t="str">
        <f t="shared" si="13"/>
        <v/>
      </c>
      <c r="J159" s="179" t="e">
        <f t="shared" si="17"/>
        <v>#NUM!</v>
      </c>
      <c r="K159" s="179" t="e">
        <f t="shared" si="14"/>
        <v>#NUM!</v>
      </c>
      <c r="L159" s="179"/>
      <c r="M159" s="181">
        <f t="shared" si="15"/>
        <v>0</v>
      </c>
    </row>
    <row r="160" spans="1:13" x14ac:dyDescent="0.25">
      <c r="A160" s="197"/>
      <c r="G160" s="164"/>
      <c r="H160" s="179">
        <v>155</v>
      </c>
      <c r="I160" s="180" t="str">
        <f t="shared" si="13"/>
        <v/>
      </c>
      <c r="J160" s="179" t="e">
        <f t="shared" si="17"/>
        <v>#NUM!</v>
      </c>
      <c r="K160" s="179" t="e">
        <f t="shared" si="14"/>
        <v>#NUM!</v>
      </c>
      <c r="L160" s="179"/>
      <c r="M160" s="181">
        <f t="shared" si="15"/>
        <v>0</v>
      </c>
    </row>
    <row r="161" spans="1:13" x14ac:dyDescent="0.25">
      <c r="A161" s="197"/>
      <c r="G161" s="164"/>
      <c r="H161" s="182">
        <v>156</v>
      </c>
      <c r="I161" s="180" t="str">
        <f t="shared" si="13"/>
        <v/>
      </c>
      <c r="J161" s="179" t="e">
        <f t="shared" si="17"/>
        <v>#NUM!</v>
      </c>
      <c r="K161" s="179" t="e">
        <f t="shared" si="14"/>
        <v>#NUM!</v>
      </c>
      <c r="L161" s="179"/>
      <c r="M161" s="181">
        <f t="shared" si="15"/>
        <v>0</v>
      </c>
    </row>
    <row r="162" spans="1:13" x14ac:dyDescent="0.25">
      <c r="A162" s="197"/>
      <c r="G162" s="164"/>
      <c r="H162" s="179">
        <v>157</v>
      </c>
      <c r="I162" s="180" t="str">
        <f t="shared" si="13"/>
        <v/>
      </c>
      <c r="J162" s="179" t="e">
        <f t="shared" si="17"/>
        <v>#NUM!</v>
      </c>
      <c r="K162" s="179" t="e">
        <f t="shared" si="14"/>
        <v>#NUM!</v>
      </c>
      <c r="L162" s="179"/>
      <c r="M162" s="181">
        <f t="shared" si="15"/>
        <v>0</v>
      </c>
    </row>
    <row r="163" spans="1:13" x14ac:dyDescent="0.25">
      <c r="A163" s="197"/>
      <c r="G163" s="164"/>
      <c r="H163" s="182">
        <v>158</v>
      </c>
      <c r="I163" s="180" t="str">
        <f t="shared" si="13"/>
        <v/>
      </c>
      <c r="J163" s="179" t="e">
        <f t="shared" si="17"/>
        <v>#NUM!</v>
      </c>
      <c r="K163" s="179" t="e">
        <f t="shared" si="14"/>
        <v>#NUM!</v>
      </c>
      <c r="L163" s="179"/>
      <c r="M163" s="181">
        <f t="shared" si="15"/>
        <v>0</v>
      </c>
    </row>
    <row r="164" spans="1:13" x14ac:dyDescent="0.25">
      <c r="A164" s="197"/>
      <c r="G164" s="164"/>
      <c r="H164" s="179">
        <v>159</v>
      </c>
      <c r="I164" s="180" t="str">
        <f t="shared" si="13"/>
        <v/>
      </c>
      <c r="J164" s="179" t="e">
        <f t="shared" si="17"/>
        <v>#NUM!</v>
      </c>
      <c r="K164" s="179" t="e">
        <f t="shared" si="14"/>
        <v>#NUM!</v>
      </c>
      <c r="L164" s="179"/>
      <c r="M164" s="181">
        <f t="shared" si="15"/>
        <v>0</v>
      </c>
    </row>
    <row r="165" spans="1:13" x14ac:dyDescent="0.25">
      <c r="A165" s="197"/>
      <c r="G165" s="164"/>
      <c r="H165" s="182">
        <v>160</v>
      </c>
      <c r="I165" s="180" t="str">
        <f t="shared" si="13"/>
        <v/>
      </c>
      <c r="J165" s="179" t="e">
        <f t="shared" si="17"/>
        <v>#NUM!</v>
      </c>
      <c r="K165" s="179" t="e">
        <f t="shared" si="14"/>
        <v>#NUM!</v>
      </c>
      <c r="L165" s="179"/>
      <c r="M165" s="181">
        <f t="shared" si="15"/>
        <v>0</v>
      </c>
    </row>
    <row r="166" spans="1:13" x14ac:dyDescent="0.25">
      <c r="A166" s="197"/>
      <c r="G166" s="164"/>
      <c r="H166" s="179">
        <v>161</v>
      </c>
      <c r="I166" s="180" t="str">
        <f t="shared" si="13"/>
        <v/>
      </c>
      <c r="J166" s="179" t="e">
        <f t="shared" si="17"/>
        <v>#NUM!</v>
      </c>
      <c r="K166" s="179" t="e">
        <f t="shared" si="14"/>
        <v>#NUM!</v>
      </c>
      <c r="L166" s="179"/>
      <c r="M166" s="181">
        <f t="shared" si="15"/>
        <v>0</v>
      </c>
    </row>
    <row r="167" spans="1:13" x14ac:dyDescent="0.25">
      <c r="A167" s="197"/>
      <c r="G167" s="164"/>
      <c r="H167" s="182">
        <v>162</v>
      </c>
      <c r="I167" s="180" t="str">
        <f t="shared" si="13"/>
        <v/>
      </c>
      <c r="J167" s="179" t="e">
        <f t="shared" si="17"/>
        <v>#NUM!</v>
      </c>
      <c r="K167" s="179" t="e">
        <f t="shared" si="14"/>
        <v>#NUM!</v>
      </c>
      <c r="L167" s="179"/>
      <c r="M167" s="181">
        <f t="shared" si="15"/>
        <v>0</v>
      </c>
    </row>
    <row r="168" spans="1:13" x14ac:dyDescent="0.25">
      <c r="A168" s="197"/>
      <c r="G168" s="164"/>
      <c r="H168" s="179">
        <v>163</v>
      </c>
      <c r="I168" s="180" t="str">
        <f t="shared" si="13"/>
        <v/>
      </c>
      <c r="J168" s="179" t="e">
        <f t="shared" si="17"/>
        <v>#NUM!</v>
      </c>
      <c r="K168" s="179" t="e">
        <f t="shared" si="14"/>
        <v>#NUM!</v>
      </c>
      <c r="L168" s="179"/>
      <c r="M168" s="181">
        <f t="shared" si="15"/>
        <v>0</v>
      </c>
    </row>
    <row r="169" spans="1:13" x14ac:dyDescent="0.25">
      <c r="A169" s="197"/>
      <c r="C169" s="196" t="s">
        <v>42</v>
      </c>
      <c r="G169" s="164"/>
      <c r="H169" s="182">
        <v>164</v>
      </c>
      <c r="I169" s="180" t="str">
        <f t="shared" si="13"/>
        <v/>
      </c>
      <c r="J169" s="179" t="e">
        <f t="shared" si="17"/>
        <v>#NUM!</v>
      </c>
      <c r="K169" s="179" t="e">
        <f t="shared" si="14"/>
        <v>#NUM!</v>
      </c>
      <c r="L169" s="179"/>
      <c r="M169" s="181">
        <f t="shared" si="15"/>
        <v>0</v>
      </c>
    </row>
    <row r="170" spans="1:13" x14ac:dyDescent="0.25">
      <c r="A170" s="197"/>
      <c r="G170" s="164"/>
      <c r="H170" s="179">
        <v>165</v>
      </c>
      <c r="I170" s="180" t="str">
        <f t="shared" si="13"/>
        <v/>
      </c>
      <c r="J170" s="179" t="e">
        <f t="shared" si="17"/>
        <v>#NUM!</v>
      </c>
      <c r="K170" s="179" t="e">
        <f t="shared" si="14"/>
        <v>#NUM!</v>
      </c>
      <c r="L170" s="179"/>
      <c r="M170" s="181">
        <f t="shared" si="15"/>
        <v>0</v>
      </c>
    </row>
    <row r="171" spans="1:13" x14ac:dyDescent="0.25">
      <c r="A171" s="197"/>
      <c r="G171" s="164"/>
      <c r="H171" s="182">
        <v>166</v>
      </c>
      <c r="I171" s="180" t="str">
        <f t="shared" si="13"/>
        <v/>
      </c>
      <c r="J171" s="179" t="e">
        <f t="shared" si="17"/>
        <v>#NUM!</v>
      </c>
      <c r="K171" s="179" t="e">
        <f t="shared" si="14"/>
        <v>#NUM!</v>
      </c>
      <c r="L171" s="179"/>
      <c r="M171" s="181">
        <f t="shared" si="15"/>
        <v>0</v>
      </c>
    </row>
    <row r="172" spans="1:13" x14ac:dyDescent="0.25">
      <c r="A172" s="197"/>
      <c r="G172" s="164"/>
      <c r="H172" s="179">
        <v>167</v>
      </c>
      <c r="I172" s="180" t="str">
        <f t="shared" si="13"/>
        <v/>
      </c>
      <c r="J172" s="179" t="e">
        <f t="shared" si="17"/>
        <v>#NUM!</v>
      </c>
      <c r="K172" s="179" t="e">
        <f t="shared" si="14"/>
        <v>#NUM!</v>
      </c>
      <c r="L172" s="179"/>
      <c r="M172" s="181">
        <f t="shared" si="15"/>
        <v>0</v>
      </c>
    </row>
    <row r="173" spans="1:13" x14ac:dyDescent="0.25">
      <c r="A173" s="197"/>
      <c r="G173" s="164"/>
      <c r="H173" s="182">
        <v>168</v>
      </c>
      <c r="I173" s="180" t="str">
        <f t="shared" si="13"/>
        <v/>
      </c>
      <c r="J173" s="179" t="e">
        <f t="shared" si="17"/>
        <v>#NUM!</v>
      </c>
      <c r="K173" s="179" t="e">
        <f t="shared" si="14"/>
        <v>#NUM!</v>
      </c>
      <c r="L173" s="179"/>
      <c r="M173" s="181">
        <f t="shared" si="15"/>
        <v>0</v>
      </c>
    </row>
    <row r="174" spans="1:13" x14ac:dyDescent="0.25">
      <c r="A174" s="197"/>
      <c r="G174" s="164"/>
      <c r="H174" s="179">
        <v>169</v>
      </c>
      <c r="I174" s="180" t="str">
        <f t="shared" si="13"/>
        <v/>
      </c>
      <c r="J174" s="179" t="e">
        <f t="shared" si="17"/>
        <v>#NUM!</v>
      </c>
      <c r="K174" s="179" t="e">
        <f t="shared" si="14"/>
        <v>#NUM!</v>
      </c>
      <c r="L174" s="179"/>
      <c r="M174" s="181">
        <f t="shared" si="15"/>
        <v>0</v>
      </c>
    </row>
    <row r="175" spans="1:13" x14ac:dyDescent="0.25">
      <c r="A175" s="197"/>
      <c r="G175" s="164"/>
      <c r="H175" s="182">
        <v>170</v>
      </c>
      <c r="I175" s="180" t="str">
        <f t="shared" si="13"/>
        <v/>
      </c>
      <c r="J175" s="179" t="e">
        <f t="shared" si="17"/>
        <v>#NUM!</v>
      </c>
      <c r="K175" s="179" t="e">
        <f t="shared" si="14"/>
        <v>#NUM!</v>
      </c>
      <c r="L175" s="179"/>
      <c r="M175" s="181">
        <f t="shared" si="15"/>
        <v>0</v>
      </c>
    </row>
    <row r="176" spans="1:13" x14ac:dyDescent="0.25">
      <c r="A176" s="197"/>
      <c r="G176" s="164"/>
      <c r="H176" s="179">
        <v>171</v>
      </c>
      <c r="I176" s="180" t="str">
        <f t="shared" si="13"/>
        <v/>
      </c>
      <c r="J176" s="179" t="e">
        <f t="shared" si="17"/>
        <v>#NUM!</v>
      </c>
      <c r="K176" s="179" t="e">
        <f t="shared" si="14"/>
        <v>#NUM!</v>
      </c>
      <c r="L176" s="179"/>
      <c r="M176" s="181">
        <f t="shared" si="15"/>
        <v>0</v>
      </c>
    </row>
    <row r="177" spans="1:13" x14ac:dyDescent="0.25">
      <c r="A177" s="197"/>
      <c r="G177" s="164"/>
      <c r="H177" s="182">
        <v>172</v>
      </c>
      <c r="I177" s="180" t="str">
        <f t="shared" si="13"/>
        <v/>
      </c>
      <c r="J177" s="179" t="e">
        <f t="shared" si="17"/>
        <v>#NUM!</v>
      </c>
      <c r="K177" s="179" t="e">
        <f t="shared" si="14"/>
        <v>#NUM!</v>
      </c>
      <c r="L177" s="179"/>
      <c r="M177" s="181">
        <f t="shared" si="15"/>
        <v>0</v>
      </c>
    </row>
    <row r="178" spans="1:13" x14ac:dyDescent="0.25">
      <c r="A178" s="197"/>
      <c r="G178" s="164"/>
      <c r="H178" s="179">
        <v>173</v>
      </c>
      <c r="I178" s="180" t="str">
        <f t="shared" si="13"/>
        <v/>
      </c>
      <c r="J178" s="179" t="e">
        <f t="shared" si="17"/>
        <v>#NUM!</v>
      </c>
      <c r="K178" s="179" t="e">
        <f t="shared" si="14"/>
        <v>#NUM!</v>
      </c>
      <c r="L178" s="179"/>
      <c r="M178" s="181">
        <f t="shared" si="15"/>
        <v>0</v>
      </c>
    </row>
    <row r="179" spans="1:13" x14ac:dyDescent="0.25">
      <c r="A179" s="197"/>
      <c r="G179" s="164"/>
      <c r="H179" s="182">
        <v>174</v>
      </c>
      <c r="I179" s="180" t="str">
        <f t="shared" si="13"/>
        <v/>
      </c>
      <c r="J179" s="179" t="e">
        <f t="shared" si="17"/>
        <v>#NUM!</v>
      </c>
      <c r="K179" s="179" t="e">
        <f t="shared" si="14"/>
        <v>#NUM!</v>
      </c>
      <c r="L179" s="179"/>
      <c r="M179" s="181">
        <f t="shared" si="15"/>
        <v>0</v>
      </c>
    </row>
    <row r="180" spans="1:13" x14ac:dyDescent="0.25">
      <c r="A180" s="197"/>
      <c r="G180" s="164"/>
      <c r="H180" s="179">
        <v>175</v>
      </c>
      <c r="I180" s="180" t="str">
        <f t="shared" si="13"/>
        <v/>
      </c>
      <c r="J180" s="179" t="e">
        <f t="shared" si="17"/>
        <v>#NUM!</v>
      </c>
      <c r="K180" s="179" t="e">
        <f t="shared" si="14"/>
        <v>#NUM!</v>
      </c>
      <c r="L180" s="179"/>
      <c r="M180" s="181">
        <f t="shared" si="15"/>
        <v>0</v>
      </c>
    </row>
    <row r="181" spans="1:13" x14ac:dyDescent="0.25">
      <c r="A181" s="197"/>
      <c r="G181" s="164"/>
      <c r="H181" s="182">
        <v>176</v>
      </c>
      <c r="I181" s="180" t="str">
        <f t="shared" si="13"/>
        <v/>
      </c>
      <c r="J181" s="179" t="e">
        <f t="shared" si="17"/>
        <v>#NUM!</v>
      </c>
      <c r="K181" s="179" t="e">
        <f t="shared" si="14"/>
        <v>#NUM!</v>
      </c>
      <c r="L181" s="179"/>
      <c r="M181" s="181">
        <f t="shared" si="15"/>
        <v>0</v>
      </c>
    </row>
    <row r="182" spans="1:13" x14ac:dyDescent="0.25">
      <c r="A182" s="197"/>
      <c r="G182" s="164"/>
      <c r="H182" s="179">
        <v>177</v>
      </c>
      <c r="I182" s="180" t="str">
        <f t="shared" si="13"/>
        <v/>
      </c>
      <c r="J182" s="179" t="e">
        <f t="shared" si="17"/>
        <v>#NUM!</v>
      </c>
      <c r="K182" s="179" t="e">
        <f t="shared" si="14"/>
        <v>#NUM!</v>
      </c>
      <c r="L182" s="179"/>
      <c r="M182" s="181">
        <f t="shared" si="15"/>
        <v>0</v>
      </c>
    </row>
    <row r="183" spans="1:13" x14ac:dyDescent="0.25">
      <c r="A183" s="197"/>
      <c r="G183" s="164"/>
      <c r="H183" s="182">
        <v>178</v>
      </c>
      <c r="I183" s="180" t="str">
        <f t="shared" si="13"/>
        <v/>
      </c>
      <c r="J183" s="179" t="e">
        <f t="shared" si="17"/>
        <v>#NUM!</v>
      </c>
      <c r="K183" s="179" t="e">
        <f t="shared" si="14"/>
        <v>#NUM!</v>
      </c>
      <c r="L183" s="179"/>
      <c r="M183" s="181">
        <f t="shared" si="15"/>
        <v>0</v>
      </c>
    </row>
    <row r="184" spans="1:13" x14ac:dyDescent="0.25">
      <c r="A184" s="197"/>
      <c r="G184" s="164"/>
      <c r="H184" s="179">
        <v>179</v>
      </c>
      <c r="I184" s="180" t="str">
        <f t="shared" si="13"/>
        <v/>
      </c>
      <c r="J184" s="179" t="e">
        <f t="shared" si="17"/>
        <v>#NUM!</v>
      </c>
      <c r="K184" s="179" t="e">
        <f t="shared" si="14"/>
        <v>#NUM!</v>
      </c>
      <c r="L184" s="179"/>
      <c r="M184" s="181">
        <f t="shared" si="15"/>
        <v>0</v>
      </c>
    </row>
    <row r="185" spans="1:13" x14ac:dyDescent="0.25">
      <c r="A185" s="197"/>
      <c r="G185" s="164"/>
      <c r="H185" s="182">
        <v>180</v>
      </c>
      <c r="I185" s="180" t="str">
        <f t="shared" si="13"/>
        <v/>
      </c>
      <c r="J185" s="179" t="e">
        <f t="shared" si="17"/>
        <v>#NUM!</v>
      </c>
      <c r="K185" s="179" t="e">
        <f t="shared" si="14"/>
        <v>#NUM!</v>
      </c>
      <c r="L185" s="179"/>
      <c r="M185" s="181">
        <f t="shared" si="15"/>
        <v>0</v>
      </c>
    </row>
    <row r="186" spans="1:13" x14ac:dyDescent="0.25">
      <c r="A186" s="197"/>
      <c r="G186" s="164"/>
      <c r="H186" s="179">
        <v>181</v>
      </c>
      <c r="I186" s="180" t="str">
        <f t="shared" si="13"/>
        <v/>
      </c>
      <c r="J186" s="179" t="e">
        <f t="shared" si="17"/>
        <v>#NUM!</v>
      </c>
      <c r="K186" s="179" t="e">
        <f t="shared" si="14"/>
        <v>#NUM!</v>
      </c>
      <c r="L186" s="179"/>
      <c r="M186" s="181">
        <f t="shared" si="15"/>
        <v>0</v>
      </c>
    </row>
    <row r="187" spans="1:13" x14ac:dyDescent="0.25">
      <c r="A187" s="197"/>
      <c r="G187" s="164"/>
      <c r="H187" s="182">
        <v>182</v>
      </c>
      <c r="I187" s="180" t="str">
        <f t="shared" si="13"/>
        <v/>
      </c>
      <c r="J187" s="179" t="e">
        <f t="shared" si="17"/>
        <v>#NUM!</v>
      </c>
      <c r="K187" s="179" t="e">
        <f t="shared" si="14"/>
        <v>#NUM!</v>
      </c>
      <c r="L187" s="179"/>
      <c r="M187" s="181">
        <f t="shared" si="15"/>
        <v>0</v>
      </c>
    </row>
    <row r="188" spans="1:13" x14ac:dyDescent="0.25">
      <c r="A188" s="197"/>
      <c r="G188" s="164"/>
      <c r="H188" s="179">
        <v>183</v>
      </c>
      <c r="I188" s="180" t="str">
        <f t="shared" si="13"/>
        <v/>
      </c>
      <c r="J188" s="179" t="e">
        <f t="shared" si="17"/>
        <v>#NUM!</v>
      </c>
      <c r="K188" s="179" t="e">
        <f t="shared" si="14"/>
        <v>#NUM!</v>
      </c>
      <c r="L188" s="179"/>
      <c r="M188" s="181">
        <f t="shared" si="15"/>
        <v>0</v>
      </c>
    </row>
    <row r="189" spans="1:13" x14ac:dyDescent="0.25">
      <c r="A189" s="197"/>
      <c r="G189" s="164"/>
      <c r="H189" s="182">
        <v>184</v>
      </c>
      <c r="I189" s="180" t="str">
        <f t="shared" si="13"/>
        <v/>
      </c>
      <c r="J189" s="179" t="e">
        <f t="shared" si="17"/>
        <v>#NUM!</v>
      </c>
      <c r="K189" s="179" t="e">
        <f t="shared" si="14"/>
        <v>#NUM!</v>
      </c>
      <c r="L189" s="179"/>
      <c r="M189" s="181">
        <f t="shared" si="15"/>
        <v>0</v>
      </c>
    </row>
    <row r="190" spans="1:13" x14ac:dyDescent="0.25">
      <c r="A190" s="197"/>
      <c r="G190" s="164"/>
      <c r="H190" s="179">
        <v>185</v>
      </c>
      <c r="I190" s="180" t="str">
        <f t="shared" si="13"/>
        <v/>
      </c>
      <c r="J190" s="179" t="e">
        <f t="shared" si="17"/>
        <v>#NUM!</v>
      </c>
      <c r="K190" s="179" t="e">
        <f t="shared" si="14"/>
        <v>#NUM!</v>
      </c>
      <c r="L190" s="179"/>
      <c r="M190" s="181">
        <f t="shared" si="15"/>
        <v>0</v>
      </c>
    </row>
    <row r="191" spans="1:13" x14ac:dyDescent="0.25">
      <c r="A191" s="197"/>
      <c r="G191" s="164"/>
      <c r="H191" s="182">
        <v>186</v>
      </c>
      <c r="I191" s="180" t="str">
        <f t="shared" si="13"/>
        <v/>
      </c>
      <c r="J191" s="179" t="e">
        <f t="shared" si="17"/>
        <v>#NUM!</v>
      </c>
      <c r="K191" s="179" t="e">
        <f t="shared" si="14"/>
        <v>#NUM!</v>
      </c>
      <c r="L191" s="179"/>
      <c r="M191" s="181">
        <f t="shared" si="15"/>
        <v>0</v>
      </c>
    </row>
    <row r="192" spans="1:13" x14ac:dyDescent="0.25">
      <c r="A192" s="197"/>
      <c r="G192" s="164"/>
      <c r="H192" s="179">
        <v>187</v>
      </c>
      <c r="I192" s="180" t="str">
        <f t="shared" si="13"/>
        <v/>
      </c>
      <c r="J192" s="179" t="e">
        <f t="shared" si="17"/>
        <v>#NUM!</v>
      </c>
      <c r="K192" s="179" t="e">
        <f t="shared" si="14"/>
        <v>#NUM!</v>
      </c>
      <c r="L192" s="179"/>
      <c r="M192" s="181">
        <f t="shared" si="15"/>
        <v>0</v>
      </c>
    </row>
    <row r="193" spans="1:13" x14ac:dyDescent="0.25">
      <c r="A193" s="197"/>
      <c r="G193" s="164"/>
      <c r="H193" s="182">
        <v>188</v>
      </c>
      <c r="I193" s="180" t="str">
        <f t="shared" si="13"/>
        <v/>
      </c>
      <c r="J193" s="179" t="e">
        <f t="shared" si="17"/>
        <v>#NUM!</v>
      </c>
      <c r="K193" s="179" t="e">
        <f t="shared" si="14"/>
        <v>#NUM!</v>
      </c>
      <c r="L193" s="179"/>
      <c r="M193" s="181">
        <f t="shared" si="15"/>
        <v>0</v>
      </c>
    </row>
    <row r="194" spans="1:13" x14ac:dyDescent="0.25">
      <c r="A194" s="197"/>
      <c r="G194" s="164"/>
      <c r="H194" s="179">
        <v>189</v>
      </c>
      <c r="I194" s="180" t="str">
        <f t="shared" si="13"/>
        <v/>
      </c>
      <c r="J194" s="179" t="e">
        <f t="shared" si="17"/>
        <v>#NUM!</v>
      </c>
      <c r="K194" s="179" t="e">
        <f t="shared" si="14"/>
        <v>#NUM!</v>
      </c>
      <c r="L194" s="179"/>
      <c r="M194" s="181">
        <f t="shared" si="15"/>
        <v>0</v>
      </c>
    </row>
    <row r="195" spans="1:13" x14ac:dyDescent="0.25">
      <c r="A195" s="197"/>
      <c r="G195" s="164"/>
      <c r="H195" s="182">
        <v>190</v>
      </c>
      <c r="I195" s="180" t="str">
        <f t="shared" si="13"/>
        <v/>
      </c>
      <c r="J195" s="179" t="e">
        <f t="shared" si="17"/>
        <v>#NUM!</v>
      </c>
      <c r="K195" s="179" t="e">
        <f t="shared" si="14"/>
        <v>#NUM!</v>
      </c>
      <c r="L195" s="179"/>
      <c r="M195" s="181">
        <f t="shared" si="15"/>
        <v>0</v>
      </c>
    </row>
    <row r="196" spans="1:13" x14ac:dyDescent="0.25">
      <c r="A196" s="197"/>
      <c r="G196" s="164"/>
      <c r="H196" s="179">
        <v>191</v>
      </c>
      <c r="I196" s="180" t="str">
        <f t="shared" si="13"/>
        <v/>
      </c>
      <c r="J196" s="179" t="e">
        <f t="shared" si="17"/>
        <v>#NUM!</v>
      </c>
      <c r="K196" s="179" t="e">
        <f t="shared" si="14"/>
        <v>#NUM!</v>
      </c>
      <c r="L196" s="179"/>
      <c r="M196" s="181">
        <f t="shared" si="15"/>
        <v>0</v>
      </c>
    </row>
    <row r="197" spans="1:13" x14ac:dyDescent="0.25">
      <c r="A197" s="197"/>
      <c r="G197" s="164"/>
      <c r="H197" s="182">
        <v>192</v>
      </c>
      <c r="I197" s="180" t="str">
        <f t="shared" si="13"/>
        <v/>
      </c>
      <c r="J197" s="179" t="e">
        <f t="shared" si="17"/>
        <v>#NUM!</v>
      </c>
      <c r="K197" s="179" t="e">
        <f t="shared" si="14"/>
        <v>#NUM!</v>
      </c>
      <c r="L197" s="179"/>
      <c r="M197" s="181">
        <f t="shared" si="15"/>
        <v>0</v>
      </c>
    </row>
    <row r="198" spans="1:13" x14ac:dyDescent="0.25">
      <c r="A198" s="197"/>
      <c r="G198" s="164"/>
      <c r="H198" s="179">
        <v>193</v>
      </c>
      <c r="I198" s="180" t="str">
        <f t="shared" ref="I198:I261" si="18">IF(H198&lt;$H$2+1,($I$2-($I$2-1)*(LOG(H198)/LOG($H$2))),"")</f>
        <v/>
      </c>
      <c r="J198" s="179" t="e">
        <f t="shared" si="17"/>
        <v>#NUM!</v>
      </c>
      <c r="K198" s="179" t="e">
        <f t="shared" ref="K198:K261" si="19">J198*$J$2</f>
        <v>#NUM!</v>
      </c>
      <c r="L198" s="179"/>
      <c r="M198" s="181">
        <f t="shared" ref="M198:M261" si="20">IF(I198&lt;&gt;"",K198+I198+L198,0)</f>
        <v>0</v>
      </c>
    </row>
    <row r="199" spans="1:13" x14ac:dyDescent="0.25">
      <c r="A199" s="197"/>
      <c r="G199" s="164"/>
      <c r="H199" s="182">
        <v>194</v>
      </c>
      <c r="I199" s="180" t="str">
        <f t="shared" si="18"/>
        <v/>
      </c>
      <c r="J199" s="179" t="e">
        <f t="shared" ref="J199:J262" si="21">INT(LOG($H$2,2))-ROUNDUP(LOG(H199,2),0)+IF(OR($H$2=1,$H$2=2,$H$2=4,$H$2=8,$H$2=16,$H$2=32,$H$2=64,$H$2=128,$H$2=256),0,1)</f>
        <v>#NUM!</v>
      </c>
      <c r="K199" s="179" t="e">
        <f t="shared" si="19"/>
        <v>#NUM!</v>
      </c>
      <c r="L199" s="179"/>
      <c r="M199" s="181">
        <f t="shared" si="20"/>
        <v>0</v>
      </c>
    </row>
    <row r="200" spans="1:13" x14ac:dyDescent="0.25">
      <c r="A200" s="197"/>
      <c r="G200" s="164"/>
      <c r="H200" s="179">
        <v>195</v>
      </c>
      <c r="I200" s="180" t="str">
        <f t="shared" si="18"/>
        <v/>
      </c>
      <c r="J200" s="179" t="e">
        <f t="shared" si="21"/>
        <v>#NUM!</v>
      </c>
      <c r="K200" s="179" t="e">
        <f t="shared" si="19"/>
        <v>#NUM!</v>
      </c>
      <c r="L200" s="179"/>
      <c r="M200" s="181">
        <f t="shared" si="20"/>
        <v>0</v>
      </c>
    </row>
    <row r="201" spans="1:13" x14ac:dyDescent="0.25">
      <c r="A201" s="197"/>
      <c r="G201" s="164"/>
      <c r="H201" s="182">
        <v>196</v>
      </c>
      <c r="I201" s="180" t="str">
        <f t="shared" si="18"/>
        <v/>
      </c>
      <c r="J201" s="179" t="e">
        <f t="shared" si="21"/>
        <v>#NUM!</v>
      </c>
      <c r="K201" s="179" t="e">
        <f t="shared" si="19"/>
        <v>#NUM!</v>
      </c>
      <c r="L201" s="179"/>
      <c r="M201" s="181">
        <f t="shared" si="20"/>
        <v>0</v>
      </c>
    </row>
    <row r="202" spans="1:13" x14ac:dyDescent="0.25">
      <c r="A202" s="197"/>
      <c r="G202" s="164"/>
      <c r="H202" s="179">
        <v>197</v>
      </c>
      <c r="I202" s="180" t="str">
        <f t="shared" si="18"/>
        <v/>
      </c>
      <c r="J202" s="179" t="e">
        <f t="shared" si="21"/>
        <v>#NUM!</v>
      </c>
      <c r="K202" s="179" t="e">
        <f t="shared" si="19"/>
        <v>#NUM!</v>
      </c>
      <c r="L202" s="179"/>
      <c r="M202" s="181">
        <f t="shared" si="20"/>
        <v>0</v>
      </c>
    </row>
    <row r="203" spans="1:13" x14ac:dyDescent="0.25">
      <c r="A203" s="197"/>
      <c r="G203" s="164"/>
      <c r="H203" s="182">
        <v>198</v>
      </c>
      <c r="I203" s="180" t="str">
        <f t="shared" si="18"/>
        <v/>
      </c>
      <c r="J203" s="179" t="e">
        <f t="shared" si="21"/>
        <v>#NUM!</v>
      </c>
      <c r="K203" s="179" t="e">
        <f t="shared" si="19"/>
        <v>#NUM!</v>
      </c>
      <c r="L203" s="179"/>
      <c r="M203" s="181">
        <f t="shared" si="20"/>
        <v>0</v>
      </c>
    </row>
    <row r="204" spans="1:13" x14ac:dyDescent="0.25">
      <c r="A204" s="197"/>
      <c r="G204" s="164"/>
      <c r="H204" s="179">
        <v>199</v>
      </c>
      <c r="I204" s="180" t="str">
        <f t="shared" si="18"/>
        <v/>
      </c>
      <c r="J204" s="179" t="e">
        <f t="shared" si="21"/>
        <v>#NUM!</v>
      </c>
      <c r="K204" s="179" t="e">
        <f t="shared" si="19"/>
        <v>#NUM!</v>
      </c>
      <c r="L204" s="179"/>
      <c r="M204" s="181">
        <f t="shared" si="20"/>
        <v>0</v>
      </c>
    </row>
    <row r="205" spans="1:13" x14ac:dyDescent="0.25">
      <c r="A205" s="197"/>
      <c r="G205" s="164"/>
      <c r="H205" s="182">
        <v>200</v>
      </c>
      <c r="I205" s="180" t="str">
        <f t="shared" si="18"/>
        <v/>
      </c>
      <c r="J205" s="179" t="e">
        <f t="shared" si="21"/>
        <v>#NUM!</v>
      </c>
      <c r="K205" s="179" t="e">
        <f t="shared" si="19"/>
        <v>#NUM!</v>
      </c>
      <c r="L205" s="179"/>
      <c r="M205" s="181">
        <f t="shared" si="20"/>
        <v>0</v>
      </c>
    </row>
    <row r="206" spans="1:13" x14ac:dyDescent="0.25">
      <c r="A206" s="197"/>
      <c r="G206" s="164"/>
      <c r="H206" s="179">
        <v>201</v>
      </c>
      <c r="I206" s="180" t="str">
        <f t="shared" si="18"/>
        <v/>
      </c>
      <c r="J206" s="179" t="e">
        <f t="shared" si="21"/>
        <v>#NUM!</v>
      </c>
      <c r="K206" s="179" t="e">
        <f t="shared" si="19"/>
        <v>#NUM!</v>
      </c>
      <c r="L206" s="179"/>
      <c r="M206" s="181">
        <f t="shared" si="20"/>
        <v>0</v>
      </c>
    </row>
    <row r="207" spans="1:13" x14ac:dyDescent="0.25">
      <c r="A207" s="197"/>
      <c r="G207" s="164"/>
      <c r="H207" s="182">
        <v>202</v>
      </c>
      <c r="I207" s="180" t="str">
        <f t="shared" si="18"/>
        <v/>
      </c>
      <c r="J207" s="179" t="e">
        <f t="shared" si="21"/>
        <v>#NUM!</v>
      </c>
      <c r="K207" s="179" t="e">
        <f t="shared" si="19"/>
        <v>#NUM!</v>
      </c>
      <c r="L207" s="179"/>
      <c r="M207" s="181">
        <f t="shared" si="20"/>
        <v>0</v>
      </c>
    </row>
    <row r="208" spans="1:13" x14ac:dyDescent="0.25">
      <c r="A208" s="197"/>
      <c r="G208" s="164"/>
      <c r="H208" s="179">
        <v>203</v>
      </c>
      <c r="I208" s="180" t="str">
        <f t="shared" si="18"/>
        <v/>
      </c>
      <c r="J208" s="179" t="e">
        <f t="shared" si="21"/>
        <v>#NUM!</v>
      </c>
      <c r="K208" s="179" t="e">
        <f t="shared" si="19"/>
        <v>#NUM!</v>
      </c>
      <c r="L208" s="179"/>
      <c r="M208" s="181">
        <f t="shared" si="20"/>
        <v>0</v>
      </c>
    </row>
    <row r="209" spans="1:13" x14ac:dyDescent="0.25">
      <c r="A209" s="197"/>
      <c r="G209" s="164"/>
      <c r="H209" s="182">
        <v>204</v>
      </c>
      <c r="I209" s="180" t="str">
        <f t="shared" si="18"/>
        <v/>
      </c>
      <c r="J209" s="179" t="e">
        <f t="shared" si="21"/>
        <v>#NUM!</v>
      </c>
      <c r="K209" s="179" t="e">
        <f t="shared" si="19"/>
        <v>#NUM!</v>
      </c>
      <c r="L209" s="179"/>
      <c r="M209" s="181">
        <f t="shared" si="20"/>
        <v>0</v>
      </c>
    </row>
    <row r="210" spans="1:13" x14ac:dyDescent="0.25">
      <c r="A210" s="197"/>
      <c r="G210" s="164"/>
      <c r="H210" s="179">
        <v>205</v>
      </c>
      <c r="I210" s="180" t="str">
        <f t="shared" si="18"/>
        <v/>
      </c>
      <c r="J210" s="179" t="e">
        <f t="shared" si="21"/>
        <v>#NUM!</v>
      </c>
      <c r="K210" s="179" t="e">
        <f t="shared" si="19"/>
        <v>#NUM!</v>
      </c>
      <c r="L210" s="179"/>
      <c r="M210" s="181">
        <f t="shared" si="20"/>
        <v>0</v>
      </c>
    </row>
    <row r="211" spans="1:13" x14ac:dyDescent="0.25">
      <c r="A211" s="197"/>
      <c r="G211" s="164"/>
      <c r="H211" s="182">
        <v>206</v>
      </c>
      <c r="I211" s="180" t="str">
        <f t="shared" si="18"/>
        <v/>
      </c>
      <c r="J211" s="179" t="e">
        <f t="shared" si="21"/>
        <v>#NUM!</v>
      </c>
      <c r="K211" s="179" t="e">
        <f t="shared" si="19"/>
        <v>#NUM!</v>
      </c>
      <c r="L211" s="179"/>
      <c r="M211" s="181">
        <f t="shared" si="20"/>
        <v>0</v>
      </c>
    </row>
    <row r="212" spans="1:13" x14ac:dyDescent="0.25">
      <c r="A212" s="197"/>
      <c r="G212" s="164"/>
      <c r="H212" s="179">
        <v>207</v>
      </c>
      <c r="I212" s="180" t="str">
        <f t="shared" si="18"/>
        <v/>
      </c>
      <c r="J212" s="179" t="e">
        <f t="shared" si="21"/>
        <v>#NUM!</v>
      </c>
      <c r="K212" s="179" t="e">
        <f t="shared" si="19"/>
        <v>#NUM!</v>
      </c>
      <c r="L212" s="179"/>
      <c r="M212" s="181">
        <f t="shared" si="20"/>
        <v>0</v>
      </c>
    </row>
    <row r="213" spans="1:13" x14ac:dyDescent="0.25">
      <c r="A213" s="197"/>
      <c r="G213" s="164"/>
      <c r="H213" s="182">
        <v>208</v>
      </c>
      <c r="I213" s="180" t="str">
        <f t="shared" si="18"/>
        <v/>
      </c>
      <c r="J213" s="179" t="e">
        <f t="shared" si="21"/>
        <v>#NUM!</v>
      </c>
      <c r="K213" s="179" t="e">
        <f t="shared" si="19"/>
        <v>#NUM!</v>
      </c>
      <c r="L213" s="179"/>
      <c r="M213" s="181">
        <f t="shared" si="20"/>
        <v>0</v>
      </c>
    </row>
    <row r="214" spans="1:13" x14ac:dyDescent="0.25">
      <c r="A214" s="197"/>
      <c r="G214" s="164"/>
      <c r="H214" s="179">
        <v>209</v>
      </c>
      <c r="I214" s="180" t="str">
        <f t="shared" si="18"/>
        <v/>
      </c>
      <c r="J214" s="179" t="e">
        <f t="shared" si="21"/>
        <v>#NUM!</v>
      </c>
      <c r="K214" s="179" t="e">
        <f t="shared" si="19"/>
        <v>#NUM!</v>
      </c>
      <c r="L214" s="179"/>
      <c r="M214" s="181">
        <f t="shared" si="20"/>
        <v>0</v>
      </c>
    </row>
    <row r="215" spans="1:13" x14ac:dyDescent="0.25">
      <c r="A215" s="197"/>
      <c r="G215" s="164"/>
      <c r="H215" s="182">
        <v>210</v>
      </c>
      <c r="I215" s="180" t="str">
        <f t="shared" si="18"/>
        <v/>
      </c>
      <c r="J215" s="179" t="e">
        <f t="shared" si="21"/>
        <v>#NUM!</v>
      </c>
      <c r="K215" s="179" t="e">
        <f t="shared" si="19"/>
        <v>#NUM!</v>
      </c>
      <c r="L215" s="179"/>
      <c r="M215" s="181">
        <f t="shared" si="20"/>
        <v>0</v>
      </c>
    </row>
    <row r="216" spans="1:13" x14ac:dyDescent="0.25">
      <c r="A216" s="197"/>
      <c r="G216" s="164"/>
      <c r="H216" s="179">
        <v>211</v>
      </c>
      <c r="I216" s="180" t="str">
        <f t="shared" si="18"/>
        <v/>
      </c>
      <c r="J216" s="179" t="e">
        <f t="shared" si="21"/>
        <v>#NUM!</v>
      </c>
      <c r="K216" s="179" t="e">
        <f t="shared" si="19"/>
        <v>#NUM!</v>
      </c>
      <c r="L216" s="179"/>
      <c r="M216" s="181">
        <f t="shared" si="20"/>
        <v>0</v>
      </c>
    </row>
    <row r="217" spans="1:13" x14ac:dyDescent="0.25">
      <c r="A217" s="197"/>
      <c r="G217" s="164"/>
      <c r="H217" s="182">
        <v>212</v>
      </c>
      <c r="I217" s="180" t="str">
        <f t="shared" si="18"/>
        <v/>
      </c>
      <c r="J217" s="179" t="e">
        <f t="shared" si="21"/>
        <v>#NUM!</v>
      </c>
      <c r="K217" s="179" t="e">
        <f t="shared" si="19"/>
        <v>#NUM!</v>
      </c>
      <c r="L217" s="179"/>
      <c r="M217" s="181">
        <f t="shared" si="20"/>
        <v>0</v>
      </c>
    </row>
    <row r="218" spans="1:13" x14ac:dyDescent="0.25">
      <c r="A218" s="197"/>
      <c r="G218" s="164"/>
      <c r="H218" s="179">
        <v>213</v>
      </c>
      <c r="I218" s="180" t="str">
        <f t="shared" si="18"/>
        <v/>
      </c>
      <c r="J218" s="179" t="e">
        <f t="shared" si="21"/>
        <v>#NUM!</v>
      </c>
      <c r="K218" s="179" t="e">
        <f t="shared" si="19"/>
        <v>#NUM!</v>
      </c>
      <c r="L218" s="179"/>
      <c r="M218" s="181">
        <f t="shared" si="20"/>
        <v>0</v>
      </c>
    </row>
    <row r="219" spans="1:13" x14ac:dyDescent="0.25">
      <c r="A219" s="197"/>
      <c r="G219" s="164"/>
      <c r="H219" s="182">
        <v>214</v>
      </c>
      <c r="I219" s="180" t="str">
        <f t="shared" si="18"/>
        <v/>
      </c>
      <c r="J219" s="179" t="e">
        <f t="shared" si="21"/>
        <v>#NUM!</v>
      </c>
      <c r="K219" s="179" t="e">
        <f t="shared" si="19"/>
        <v>#NUM!</v>
      </c>
      <c r="L219" s="179"/>
      <c r="M219" s="181">
        <f t="shared" si="20"/>
        <v>0</v>
      </c>
    </row>
    <row r="220" spans="1:13" x14ac:dyDescent="0.25">
      <c r="A220" s="197"/>
      <c r="G220" s="164"/>
      <c r="H220" s="179">
        <v>215</v>
      </c>
      <c r="I220" s="180" t="str">
        <f t="shared" si="18"/>
        <v/>
      </c>
      <c r="J220" s="179" t="e">
        <f t="shared" si="21"/>
        <v>#NUM!</v>
      </c>
      <c r="K220" s="179" t="e">
        <f t="shared" si="19"/>
        <v>#NUM!</v>
      </c>
      <c r="L220" s="179"/>
      <c r="M220" s="181">
        <f t="shared" si="20"/>
        <v>0</v>
      </c>
    </row>
    <row r="221" spans="1:13" x14ac:dyDescent="0.25">
      <c r="A221" s="197"/>
      <c r="G221" s="164"/>
      <c r="H221" s="182">
        <v>216</v>
      </c>
      <c r="I221" s="180" t="str">
        <f t="shared" si="18"/>
        <v/>
      </c>
      <c r="J221" s="179" t="e">
        <f t="shared" si="21"/>
        <v>#NUM!</v>
      </c>
      <c r="K221" s="179" t="e">
        <f t="shared" si="19"/>
        <v>#NUM!</v>
      </c>
      <c r="L221" s="179"/>
      <c r="M221" s="181">
        <f t="shared" si="20"/>
        <v>0</v>
      </c>
    </row>
    <row r="222" spans="1:13" x14ac:dyDescent="0.25">
      <c r="A222" s="197"/>
      <c r="G222" s="164"/>
      <c r="H222" s="179">
        <v>217</v>
      </c>
      <c r="I222" s="180" t="str">
        <f t="shared" si="18"/>
        <v/>
      </c>
      <c r="J222" s="179" t="e">
        <f t="shared" si="21"/>
        <v>#NUM!</v>
      </c>
      <c r="K222" s="179" t="e">
        <f t="shared" si="19"/>
        <v>#NUM!</v>
      </c>
      <c r="L222" s="179"/>
      <c r="M222" s="181">
        <f t="shared" si="20"/>
        <v>0</v>
      </c>
    </row>
    <row r="223" spans="1:13" x14ac:dyDescent="0.25">
      <c r="A223" s="197"/>
      <c r="G223" s="164"/>
      <c r="H223" s="182">
        <v>218</v>
      </c>
      <c r="I223" s="180" t="str">
        <f t="shared" si="18"/>
        <v/>
      </c>
      <c r="J223" s="179" t="e">
        <f t="shared" si="21"/>
        <v>#NUM!</v>
      </c>
      <c r="K223" s="179" t="e">
        <f t="shared" si="19"/>
        <v>#NUM!</v>
      </c>
      <c r="L223" s="179"/>
      <c r="M223" s="181">
        <f t="shared" si="20"/>
        <v>0</v>
      </c>
    </row>
    <row r="224" spans="1:13" x14ac:dyDescent="0.25">
      <c r="A224" s="197"/>
      <c r="G224" s="164"/>
      <c r="H224" s="179">
        <v>219</v>
      </c>
      <c r="I224" s="180" t="str">
        <f t="shared" si="18"/>
        <v/>
      </c>
      <c r="J224" s="179" t="e">
        <f t="shared" si="21"/>
        <v>#NUM!</v>
      </c>
      <c r="K224" s="179" t="e">
        <f t="shared" si="19"/>
        <v>#NUM!</v>
      </c>
      <c r="L224" s="179"/>
      <c r="M224" s="181">
        <f t="shared" si="20"/>
        <v>0</v>
      </c>
    </row>
    <row r="225" spans="1:13" x14ac:dyDescent="0.25">
      <c r="A225" s="197"/>
      <c r="G225" s="164"/>
      <c r="H225" s="182">
        <v>220</v>
      </c>
      <c r="I225" s="180" t="str">
        <f t="shared" si="18"/>
        <v/>
      </c>
      <c r="J225" s="179" t="e">
        <f t="shared" si="21"/>
        <v>#NUM!</v>
      </c>
      <c r="K225" s="179" t="e">
        <f t="shared" si="19"/>
        <v>#NUM!</v>
      </c>
      <c r="L225" s="179"/>
      <c r="M225" s="181">
        <f t="shared" si="20"/>
        <v>0</v>
      </c>
    </row>
    <row r="226" spans="1:13" x14ac:dyDescent="0.25">
      <c r="A226" s="197"/>
      <c r="G226" s="164"/>
      <c r="H226" s="179">
        <v>221</v>
      </c>
      <c r="I226" s="180" t="str">
        <f t="shared" si="18"/>
        <v/>
      </c>
      <c r="J226" s="179" t="e">
        <f t="shared" si="21"/>
        <v>#NUM!</v>
      </c>
      <c r="K226" s="179" t="e">
        <f t="shared" si="19"/>
        <v>#NUM!</v>
      </c>
      <c r="L226" s="179"/>
      <c r="M226" s="181">
        <f t="shared" si="20"/>
        <v>0</v>
      </c>
    </row>
    <row r="227" spans="1:13" x14ac:dyDescent="0.25">
      <c r="A227" s="197"/>
      <c r="G227" s="164"/>
      <c r="H227" s="182">
        <v>222</v>
      </c>
      <c r="I227" s="180" t="str">
        <f t="shared" si="18"/>
        <v/>
      </c>
      <c r="J227" s="179" t="e">
        <f t="shared" si="21"/>
        <v>#NUM!</v>
      </c>
      <c r="K227" s="179" t="e">
        <f t="shared" si="19"/>
        <v>#NUM!</v>
      </c>
      <c r="L227" s="179"/>
      <c r="M227" s="181">
        <f t="shared" si="20"/>
        <v>0</v>
      </c>
    </row>
    <row r="228" spans="1:13" x14ac:dyDescent="0.25">
      <c r="A228" s="197"/>
      <c r="G228" s="164"/>
      <c r="H228" s="179">
        <v>223</v>
      </c>
      <c r="I228" s="180" t="str">
        <f t="shared" si="18"/>
        <v/>
      </c>
      <c r="J228" s="179" t="e">
        <f t="shared" si="21"/>
        <v>#NUM!</v>
      </c>
      <c r="K228" s="179" t="e">
        <f t="shared" si="19"/>
        <v>#NUM!</v>
      </c>
      <c r="L228" s="179"/>
      <c r="M228" s="181">
        <f t="shared" si="20"/>
        <v>0</v>
      </c>
    </row>
    <row r="229" spans="1:13" x14ac:dyDescent="0.25">
      <c r="A229" s="197"/>
      <c r="G229" s="164"/>
      <c r="H229" s="182">
        <v>224</v>
      </c>
      <c r="I229" s="180" t="str">
        <f t="shared" si="18"/>
        <v/>
      </c>
      <c r="J229" s="179" t="e">
        <f t="shared" si="21"/>
        <v>#NUM!</v>
      </c>
      <c r="K229" s="179" t="e">
        <f t="shared" si="19"/>
        <v>#NUM!</v>
      </c>
      <c r="L229" s="179"/>
      <c r="M229" s="181">
        <f t="shared" si="20"/>
        <v>0</v>
      </c>
    </row>
    <row r="230" spans="1:13" x14ac:dyDescent="0.25">
      <c r="A230" s="197"/>
      <c r="G230" s="164"/>
      <c r="H230" s="179">
        <v>225</v>
      </c>
      <c r="I230" s="180" t="str">
        <f t="shared" si="18"/>
        <v/>
      </c>
      <c r="J230" s="179" t="e">
        <f t="shared" si="21"/>
        <v>#NUM!</v>
      </c>
      <c r="K230" s="179" t="e">
        <f t="shared" si="19"/>
        <v>#NUM!</v>
      </c>
      <c r="L230" s="179"/>
      <c r="M230" s="181">
        <f t="shared" si="20"/>
        <v>0</v>
      </c>
    </row>
    <row r="231" spans="1:13" x14ac:dyDescent="0.25">
      <c r="A231" s="197"/>
      <c r="G231" s="164"/>
      <c r="H231" s="182">
        <v>226</v>
      </c>
      <c r="I231" s="180" t="str">
        <f t="shared" si="18"/>
        <v/>
      </c>
      <c r="J231" s="179" t="e">
        <f t="shared" si="21"/>
        <v>#NUM!</v>
      </c>
      <c r="K231" s="179" t="e">
        <f t="shared" si="19"/>
        <v>#NUM!</v>
      </c>
      <c r="L231" s="179"/>
      <c r="M231" s="181">
        <f t="shared" si="20"/>
        <v>0</v>
      </c>
    </row>
    <row r="232" spans="1:13" x14ac:dyDescent="0.25">
      <c r="A232" s="197"/>
      <c r="G232" s="164"/>
      <c r="H232" s="179">
        <v>227</v>
      </c>
      <c r="I232" s="180" t="str">
        <f t="shared" si="18"/>
        <v/>
      </c>
      <c r="J232" s="179" t="e">
        <f t="shared" si="21"/>
        <v>#NUM!</v>
      </c>
      <c r="K232" s="179" t="e">
        <f t="shared" si="19"/>
        <v>#NUM!</v>
      </c>
      <c r="L232" s="179"/>
      <c r="M232" s="181">
        <f t="shared" si="20"/>
        <v>0</v>
      </c>
    </row>
    <row r="233" spans="1:13" x14ac:dyDescent="0.25">
      <c r="A233" s="197"/>
      <c r="G233" s="164"/>
      <c r="H233" s="182">
        <v>228</v>
      </c>
      <c r="I233" s="180" t="str">
        <f t="shared" si="18"/>
        <v/>
      </c>
      <c r="J233" s="179" t="e">
        <f t="shared" si="21"/>
        <v>#NUM!</v>
      </c>
      <c r="K233" s="179" t="e">
        <f t="shared" si="19"/>
        <v>#NUM!</v>
      </c>
      <c r="L233" s="179"/>
      <c r="M233" s="181">
        <f t="shared" si="20"/>
        <v>0</v>
      </c>
    </row>
    <row r="234" spans="1:13" x14ac:dyDescent="0.25">
      <c r="A234" s="197"/>
      <c r="G234" s="164"/>
      <c r="H234" s="179">
        <v>229</v>
      </c>
      <c r="I234" s="180" t="str">
        <f t="shared" si="18"/>
        <v/>
      </c>
      <c r="J234" s="179" t="e">
        <f t="shared" si="21"/>
        <v>#NUM!</v>
      </c>
      <c r="K234" s="179" t="e">
        <f t="shared" si="19"/>
        <v>#NUM!</v>
      </c>
      <c r="L234" s="179"/>
      <c r="M234" s="181">
        <f t="shared" si="20"/>
        <v>0</v>
      </c>
    </row>
    <row r="235" spans="1:13" x14ac:dyDescent="0.25">
      <c r="A235" s="197"/>
      <c r="G235" s="164"/>
      <c r="H235" s="182">
        <v>230</v>
      </c>
      <c r="I235" s="180" t="str">
        <f t="shared" si="18"/>
        <v/>
      </c>
      <c r="J235" s="179" t="e">
        <f t="shared" si="21"/>
        <v>#NUM!</v>
      </c>
      <c r="K235" s="179" t="e">
        <f t="shared" si="19"/>
        <v>#NUM!</v>
      </c>
      <c r="L235" s="179"/>
      <c r="M235" s="181">
        <f t="shared" si="20"/>
        <v>0</v>
      </c>
    </row>
    <row r="236" spans="1:13" x14ac:dyDescent="0.25">
      <c r="A236" s="197"/>
      <c r="G236" s="164"/>
      <c r="H236" s="179">
        <v>231</v>
      </c>
      <c r="I236" s="180" t="str">
        <f t="shared" si="18"/>
        <v/>
      </c>
      <c r="J236" s="179" t="e">
        <f t="shared" si="21"/>
        <v>#NUM!</v>
      </c>
      <c r="K236" s="179" t="e">
        <f t="shared" si="19"/>
        <v>#NUM!</v>
      </c>
      <c r="L236" s="179"/>
      <c r="M236" s="181">
        <f t="shared" si="20"/>
        <v>0</v>
      </c>
    </row>
    <row r="237" spans="1:13" x14ac:dyDescent="0.25">
      <c r="A237" s="197"/>
      <c r="G237" s="164"/>
      <c r="H237" s="182">
        <v>232</v>
      </c>
      <c r="I237" s="180" t="str">
        <f t="shared" si="18"/>
        <v/>
      </c>
      <c r="J237" s="179" t="e">
        <f t="shared" si="21"/>
        <v>#NUM!</v>
      </c>
      <c r="K237" s="179" t="e">
        <f t="shared" si="19"/>
        <v>#NUM!</v>
      </c>
      <c r="L237" s="179"/>
      <c r="M237" s="181">
        <f t="shared" si="20"/>
        <v>0</v>
      </c>
    </row>
    <row r="238" spans="1:13" x14ac:dyDescent="0.25">
      <c r="A238" s="197"/>
      <c r="G238" s="164"/>
      <c r="H238" s="179">
        <v>233</v>
      </c>
      <c r="I238" s="180" t="str">
        <f t="shared" si="18"/>
        <v/>
      </c>
      <c r="J238" s="179" t="e">
        <f t="shared" si="21"/>
        <v>#NUM!</v>
      </c>
      <c r="K238" s="179" t="e">
        <f t="shared" si="19"/>
        <v>#NUM!</v>
      </c>
      <c r="L238" s="179"/>
      <c r="M238" s="181">
        <f t="shared" si="20"/>
        <v>0</v>
      </c>
    </row>
    <row r="239" spans="1:13" x14ac:dyDescent="0.25">
      <c r="A239" s="197"/>
      <c r="G239" s="164"/>
      <c r="H239" s="182">
        <v>234</v>
      </c>
      <c r="I239" s="180" t="str">
        <f t="shared" si="18"/>
        <v/>
      </c>
      <c r="J239" s="179" t="e">
        <f t="shared" si="21"/>
        <v>#NUM!</v>
      </c>
      <c r="K239" s="179" t="e">
        <f t="shared" si="19"/>
        <v>#NUM!</v>
      </c>
      <c r="L239" s="179"/>
      <c r="M239" s="181">
        <f t="shared" si="20"/>
        <v>0</v>
      </c>
    </row>
    <row r="240" spans="1:13" x14ac:dyDescent="0.25">
      <c r="A240" s="197"/>
      <c r="G240" s="164"/>
      <c r="H240" s="179">
        <v>235</v>
      </c>
      <c r="I240" s="180" t="str">
        <f t="shared" si="18"/>
        <v/>
      </c>
      <c r="J240" s="179" t="e">
        <f t="shared" si="21"/>
        <v>#NUM!</v>
      </c>
      <c r="K240" s="179" t="e">
        <f t="shared" si="19"/>
        <v>#NUM!</v>
      </c>
      <c r="L240" s="179"/>
      <c r="M240" s="181">
        <f t="shared" si="20"/>
        <v>0</v>
      </c>
    </row>
    <row r="241" spans="1:13" x14ac:dyDescent="0.25">
      <c r="A241" s="197"/>
      <c r="G241" s="164"/>
      <c r="H241" s="182">
        <v>236</v>
      </c>
      <c r="I241" s="180" t="str">
        <f t="shared" si="18"/>
        <v/>
      </c>
      <c r="J241" s="179" t="e">
        <f t="shared" si="21"/>
        <v>#NUM!</v>
      </c>
      <c r="K241" s="179" t="e">
        <f t="shared" si="19"/>
        <v>#NUM!</v>
      </c>
      <c r="L241" s="179"/>
      <c r="M241" s="181">
        <f t="shared" si="20"/>
        <v>0</v>
      </c>
    </row>
    <row r="242" spans="1:13" x14ac:dyDescent="0.25">
      <c r="A242" s="197"/>
      <c r="G242" s="164"/>
      <c r="H242" s="179">
        <v>237</v>
      </c>
      <c r="I242" s="180" t="str">
        <f t="shared" si="18"/>
        <v/>
      </c>
      <c r="J242" s="179" t="e">
        <f t="shared" si="21"/>
        <v>#NUM!</v>
      </c>
      <c r="K242" s="179" t="e">
        <f t="shared" si="19"/>
        <v>#NUM!</v>
      </c>
      <c r="L242" s="179"/>
      <c r="M242" s="181">
        <f t="shared" si="20"/>
        <v>0</v>
      </c>
    </row>
    <row r="243" spans="1:13" x14ac:dyDescent="0.25">
      <c r="A243" s="197"/>
      <c r="G243" s="164"/>
      <c r="H243" s="182">
        <v>238</v>
      </c>
      <c r="I243" s="180" t="str">
        <f t="shared" si="18"/>
        <v/>
      </c>
      <c r="J243" s="179" t="e">
        <f t="shared" si="21"/>
        <v>#NUM!</v>
      </c>
      <c r="K243" s="179" t="e">
        <f t="shared" si="19"/>
        <v>#NUM!</v>
      </c>
      <c r="L243" s="179"/>
      <c r="M243" s="181">
        <f t="shared" si="20"/>
        <v>0</v>
      </c>
    </row>
    <row r="244" spans="1:13" x14ac:dyDescent="0.25">
      <c r="A244" s="197"/>
      <c r="G244" s="164"/>
      <c r="H244" s="179">
        <v>239</v>
      </c>
      <c r="I244" s="180" t="str">
        <f t="shared" si="18"/>
        <v/>
      </c>
      <c r="J244" s="179" t="e">
        <f t="shared" si="21"/>
        <v>#NUM!</v>
      </c>
      <c r="K244" s="179" t="e">
        <f t="shared" si="19"/>
        <v>#NUM!</v>
      </c>
      <c r="L244" s="179"/>
      <c r="M244" s="181">
        <f t="shared" si="20"/>
        <v>0</v>
      </c>
    </row>
    <row r="245" spans="1:13" x14ac:dyDescent="0.25">
      <c r="A245" s="197"/>
      <c r="G245" s="164"/>
      <c r="H245" s="182">
        <v>240</v>
      </c>
      <c r="I245" s="180" t="str">
        <f t="shared" si="18"/>
        <v/>
      </c>
      <c r="J245" s="179" t="e">
        <f t="shared" si="21"/>
        <v>#NUM!</v>
      </c>
      <c r="K245" s="179" t="e">
        <f t="shared" si="19"/>
        <v>#NUM!</v>
      </c>
      <c r="L245" s="179"/>
      <c r="M245" s="181">
        <f t="shared" si="20"/>
        <v>0</v>
      </c>
    </row>
    <row r="246" spans="1:13" x14ac:dyDescent="0.25">
      <c r="A246" s="197"/>
      <c r="G246" s="164"/>
      <c r="H246" s="179">
        <v>241</v>
      </c>
      <c r="I246" s="180" t="str">
        <f t="shared" si="18"/>
        <v/>
      </c>
      <c r="J246" s="179" t="e">
        <f t="shared" si="21"/>
        <v>#NUM!</v>
      </c>
      <c r="K246" s="179" t="e">
        <f t="shared" si="19"/>
        <v>#NUM!</v>
      </c>
      <c r="L246" s="179"/>
      <c r="M246" s="181">
        <f t="shared" si="20"/>
        <v>0</v>
      </c>
    </row>
    <row r="247" spans="1:13" x14ac:dyDescent="0.25">
      <c r="A247" s="197"/>
      <c r="G247" s="164"/>
      <c r="H247" s="182">
        <v>242</v>
      </c>
      <c r="I247" s="180" t="str">
        <f t="shared" si="18"/>
        <v/>
      </c>
      <c r="J247" s="179" t="e">
        <f t="shared" si="21"/>
        <v>#NUM!</v>
      </c>
      <c r="K247" s="179" t="e">
        <f t="shared" si="19"/>
        <v>#NUM!</v>
      </c>
      <c r="L247" s="179"/>
      <c r="M247" s="181">
        <f t="shared" si="20"/>
        <v>0</v>
      </c>
    </row>
    <row r="248" spans="1:13" x14ac:dyDescent="0.25">
      <c r="A248" s="197"/>
      <c r="G248" s="164"/>
      <c r="H248" s="179">
        <v>243</v>
      </c>
      <c r="I248" s="180" t="str">
        <f t="shared" si="18"/>
        <v/>
      </c>
      <c r="J248" s="179" t="e">
        <f t="shared" si="21"/>
        <v>#NUM!</v>
      </c>
      <c r="K248" s="179" t="e">
        <f t="shared" si="19"/>
        <v>#NUM!</v>
      </c>
      <c r="L248" s="179"/>
      <c r="M248" s="181">
        <f t="shared" si="20"/>
        <v>0</v>
      </c>
    </row>
    <row r="249" spans="1:13" x14ac:dyDescent="0.25">
      <c r="A249" s="197"/>
      <c r="G249" s="164"/>
      <c r="H249" s="182">
        <v>244</v>
      </c>
      <c r="I249" s="180" t="str">
        <f t="shared" si="18"/>
        <v/>
      </c>
      <c r="J249" s="179" t="e">
        <f t="shared" si="21"/>
        <v>#NUM!</v>
      </c>
      <c r="K249" s="179" t="e">
        <f t="shared" si="19"/>
        <v>#NUM!</v>
      </c>
      <c r="L249" s="179"/>
      <c r="M249" s="181">
        <f t="shared" si="20"/>
        <v>0</v>
      </c>
    </row>
    <row r="250" spans="1:13" x14ac:dyDescent="0.25">
      <c r="A250" s="197"/>
      <c r="G250" s="164"/>
      <c r="H250" s="179">
        <v>245</v>
      </c>
      <c r="I250" s="180" t="str">
        <f t="shared" si="18"/>
        <v/>
      </c>
      <c r="J250" s="179" t="e">
        <f t="shared" si="21"/>
        <v>#NUM!</v>
      </c>
      <c r="K250" s="179" t="e">
        <f t="shared" si="19"/>
        <v>#NUM!</v>
      </c>
      <c r="L250" s="179"/>
      <c r="M250" s="181">
        <f t="shared" si="20"/>
        <v>0</v>
      </c>
    </row>
    <row r="251" spans="1:13" x14ac:dyDescent="0.25">
      <c r="A251" s="197"/>
      <c r="G251" s="164"/>
      <c r="H251" s="182">
        <v>246</v>
      </c>
      <c r="I251" s="180" t="str">
        <f t="shared" si="18"/>
        <v/>
      </c>
      <c r="J251" s="179" t="e">
        <f t="shared" si="21"/>
        <v>#NUM!</v>
      </c>
      <c r="K251" s="179" t="e">
        <f t="shared" si="19"/>
        <v>#NUM!</v>
      </c>
      <c r="L251" s="179"/>
      <c r="M251" s="181">
        <f t="shared" si="20"/>
        <v>0</v>
      </c>
    </row>
    <row r="252" spans="1:13" x14ac:dyDescent="0.25">
      <c r="A252" s="197"/>
      <c r="G252" s="164"/>
      <c r="H252" s="179">
        <v>247</v>
      </c>
      <c r="I252" s="180" t="str">
        <f t="shared" si="18"/>
        <v/>
      </c>
      <c r="J252" s="179" t="e">
        <f t="shared" si="21"/>
        <v>#NUM!</v>
      </c>
      <c r="K252" s="179" t="e">
        <f t="shared" si="19"/>
        <v>#NUM!</v>
      </c>
      <c r="L252" s="179"/>
      <c r="M252" s="181">
        <f t="shared" si="20"/>
        <v>0</v>
      </c>
    </row>
    <row r="253" spans="1:13" x14ac:dyDescent="0.25">
      <c r="A253" s="197"/>
      <c r="G253" s="164"/>
      <c r="H253" s="182">
        <v>248</v>
      </c>
      <c r="I253" s="180" t="str">
        <f t="shared" si="18"/>
        <v/>
      </c>
      <c r="J253" s="179" t="e">
        <f t="shared" si="21"/>
        <v>#NUM!</v>
      </c>
      <c r="K253" s="179" t="e">
        <f t="shared" si="19"/>
        <v>#NUM!</v>
      </c>
      <c r="L253" s="179"/>
      <c r="M253" s="181">
        <f t="shared" si="20"/>
        <v>0</v>
      </c>
    </row>
    <row r="254" spans="1:13" x14ac:dyDescent="0.25">
      <c r="A254" s="197"/>
      <c r="G254" s="164"/>
      <c r="H254" s="179">
        <v>249</v>
      </c>
      <c r="I254" s="180" t="str">
        <f t="shared" si="18"/>
        <v/>
      </c>
      <c r="J254" s="179" t="e">
        <f t="shared" si="21"/>
        <v>#NUM!</v>
      </c>
      <c r="K254" s="179" t="e">
        <f t="shared" si="19"/>
        <v>#NUM!</v>
      </c>
      <c r="L254" s="179"/>
      <c r="M254" s="181">
        <f t="shared" si="20"/>
        <v>0</v>
      </c>
    </row>
    <row r="255" spans="1:13" x14ac:dyDescent="0.25">
      <c r="A255" s="197"/>
      <c r="G255" s="164"/>
      <c r="H255" s="182">
        <v>250</v>
      </c>
      <c r="I255" s="180" t="str">
        <f t="shared" si="18"/>
        <v/>
      </c>
      <c r="J255" s="179" t="e">
        <f t="shared" si="21"/>
        <v>#NUM!</v>
      </c>
      <c r="K255" s="179" t="e">
        <f t="shared" si="19"/>
        <v>#NUM!</v>
      </c>
      <c r="L255" s="179"/>
      <c r="M255" s="181">
        <f t="shared" si="20"/>
        <v>0</v>
      </c>
    </row>
    <row r="256" spans="1:13" x14ac:dyDescent="0.25">
      <c r="A256" s="197"/>
      <c r="G256" s="164"/>
      <c r="H256" s="179">
        <v>251</v>
      </c>
      <c r="I256" s="180" t="str">
        <f t="shared" si="18"/>
        <v/>
      </c>
      <c r="J256" s="179" t="e">
        <f t="shared" si="21"/>
        <v>#NUM!</v>
      </c>
      <c r="K256" s="179" t="e">
        <f t="shared" si="19"/>
        <v>#NUM!</v>
      </c>
      <c r="L256" s="179"/>
      <c r="M256" s="181">
        <f t="shared" si="20"/>
        <v>0</v>
      </c>
    </row>
    <row r="257" spans="1:13" x14ac:dyDescent="0.25">
      <c r="A257" s="197"/>
      <c r="G257" s="164"/>
      <c r="H257" s="182">
        <v>252</v>
      </c>
      <c r="I257" s="180" t="str">
        <f t="shared" si="18"/>
        <v/>
      </c>
      <c r="J257" s="179" t="e">
        <f t="shared" si="21"/>
        <v>#NUM!</v>
      </c>
      <c r="K257" s="179" t="e">
        <f t="shared" si="19"/>
        <v>#NUM!</v>
      </c>
      <c r="L257" s="179"/>
      <c r="M257" s="181">
        <f t="shared" si="20"/>
        <v>0</v>
      </c>
    </row>
    <row r="258" spans="1:13" x14ac:dyDescent="0.25">
      <c r="A258" s="197"/>
      <c r="G258" s="164"/>
      <c r="H258" s="179">
        <v>253</v>
      </c>
      <c r="I258" s="180" t="str">
        <f t="shared" si="18"/>
        <v/>
      </c>
      <c r="J258" s="179" t="e">
        <f t="shared" si="21"/>
        <v>#NUM!</v>
      </c>
      <c r="K258" s="179" t="e">
        <f t="shared" si="19"/>
        <v>#NUM!</v>
      </c>
      <c r="L258" s="179"/>
      <c r="M258" s="181">
        <f t="shared" si="20"/>
        <v>0</v>
      </c>
    </row>
    <row r="259" spans="1:13" x14ac:dyDescent="0.25">
      <c r="A259" s="197"/>
      <c r="G259" s="164"/>
      <c r="H259" s="182">
        <v>254</v>
      </c>
      <c r="I259" s="180" t="str">
        <f t="shared" si="18"/>
        <v/>
      </c>
      <c r="J259" s="179" t="e">
        <f t="shared" si="21"/>
        <v>#NUM!</v>
      </c>
      <c r="K259" s="179" t="e">
        <f t="shared" si="19"/>
        <v>#NUM!</v>
      </c>
      <c r="L259" s="179"/>
      <c r="M259" s="181">
        <f t="shared" si="20"/>
        <v>0</v>
      </c>
    </row>
    <row r="260" spans="1:13" x14ac:dyDescent="0.25">
      <c r="A260" s="197"/>
      <c r="G260" s="164"/>
      <c r="H260" s="179">
        <v>255</v>
      </c>
      <c r="I260" s="180" t="str">
        <f t="shared" si="18"/>
        <v/>
      </c>
      <c r="J260" s="179" t="e">
        <f t="shared" si="21"/>
        <v>#NUM!</v>
      </c>
      <c r="K260" s="179" t="e">
        <f t="shared" si="19"/>
        <v>#NUM!</v>
      </c>
      <c r="L260" s="179"/>
      <c r="M260" s="181">
        <f t="shared" si="20"/>
        <v>0</v>
      </c>
    </row>
    <row r="261" spans="1:13" x14ac:dyDescent="0.25">
      <c r="A261" s="197"/>
      <c r="G261" s="164"/>
      <c r="H261" s="182">
        <v>256</v>
      </c>
      <c r="I261" s="180" t="str">
        <f t="shared" si="18"/>
        <v/>
      </c>
      <c r="J261" s="179" t="e">
        <f t="shared" si="21"/>
        <v>#NUM!</v>
      </c>
      <c r="K261" s="179" t="e">
        <f t="shared" si="19"/>
        <v>#NUM!</v>
      </c>
      <c r="L261" s="179"/>
      <c r="M261" s="181">
        <f t="shared" si="20"/>
        <v>0</v>
      </c>
    </row>
    <row r="262" spans="1:13" x14ac:dyDescent="0.25">
      <c r="A262" s="197"/>
      <c r="G262" s="164"/>
      <c r="H262" s="179">
        <v>257</v>
      </c>
      <c r="I262" s="180" t="str">
        <f t="shared" ref="I262:I305" si="22">IF(H262&lt;$H$2+1,($I$2-($I$2-1)*(LOG(H262)/LOG($H$2))),"")</f>
        <v/>
      </c>
      <c r="J262" s="179" t="e">
        <f t="shared" si="21"/>
        <v>#NUM!</v>
      </c>
      <c r="K262" s="179" t="e">
        <f t="shared" ref="K262:K305" si="23">J262*$J$2</f>
        <v>#NUM!</v>
      </c>
      <c r="L262" s="179"/>
      <c r="M262" s="181">
        <f t="shared" ref="M262:M305" si="24">IF(I262&lt;&gt;"",K262+I262+L262,0)</f>
        <v>0</v>
      </c>
    </row>
    <row r="263" spans="1:13" x14ac:dyDescent="0.25">
      <c r="A263" s="197"/>
      <c r="G263" s="164"/>
      <c r="H263" s="182">
        <v>258</v>
      </c>
      <c r="I263" s="180" t="str">
        <f t="shared" si="22"/>
        <v/>
      </c>
      <c r="J263" s="179" t="e">
        <f t="shared" ref="J263:J305" si="25">INT(LOG($H$2,2))-ROUNDUP(LOG(H263,2),0)+IF(OR($H$2=1,$H$2=2,$H$2=4,$H$2=8,$H$2=16,$H$2=32,$H$2=64,$H$2=128,$H$2=256),0,1)</f>
        <v>#NUM!</v>
      </c>
      <c r="K263" s="179" t="e">
        <f t="shared" si="23"/>
        <v>#NUM!</v>
      </c>
      <c r="L263" s="179"/>
      <c r="M263" s="181">
        <f t="shared" si="24"/>
        <v>0</v>
      </c>
    </row>
    <row r="264" spans="1:13" x14ac:dyDescent="0.25">
      <c r="A264" s="197"/>
      <c r="G264" s="164"/>
      <c r="H264" s="179">
        <v>259</v>
      </c>
      <c r="I264" s="180" t="str">
        <f t="shared" si="22"/>
        <v/>
      </c>
      <c r="J264" s="179" t="e">
        <f t="shared" si="25"/>
        <v>#NUM!</v>
      </c>
      <c r="K264" s="179" t="e">
        <f t="shared" si="23"/>
        <v>#NUM!</v>
      </c>
      <c r="L264" s="179"/>
      <c r="M264" s="181">
        <f t="shared" si="24"/>
        <v>0</v>
      </c>
    </row>
    <row r="265" spans="1:13" x14ac:dyDescent="0.25">
      <c r="A265" s="197"/>
      <c r="G265" s="164"/>
      <c r="H265" s="182">
        <v>260</v>
      </c>
      <c r="I265" s="180" t="str">
        <f t="shared" si="22"/>
        <v/>
      </c>
      <c r="J265" s="179" t="e">
        <f t="shared" si="25"/>
        <v>#NUM!</v>
      </c>
      <c r="K265" s="179" t="e">
        <f t="shared" si="23"/>
        <v>#NUM!</v>
      </c>
      <c r="L265" s="179"/>
      <c r="M265" s="181">
        <f t="shared" si="24"/>
        <v>0</v>
      </c>
    </row>
    <row r="266" spans="1:13" x14ac:dyDescent="0.25">
      <c r="A266" s="197"/>
      <c r="G266" s="164"/>
      <c r="H266" s="179">
        <v>261</v>
      </c>
      <c r="I266" s="180" t="str">
        <f t="shared" si="22"/>
        <v/>
      </c>
      <c r="J266" s="179" t="e">
        <f t="shared" si="25"/>
        <v>#NUM!</v>
      </c>
      <c r="K266" s="179" t="e">
        <f t="shared" si="23"/>
        <v>#NUM!</v>
      </c>
      <c r="L266" s="179"/>
      <c r="M266" s="181">
        <f t="shared" si="24"/>
        <v>0</v>
      </c>
    </row>
    <row r="267" spans="1:13" x14ac:dyDescent="0.25">
      <c r="A267" s="197"/>
      <c r="G267" s="164"/>
      <c r="H267" s="182">
        <v>262</v>
      </c>
      <c r="I267" s="180" t="str">
        <f t="shared" si="22"/>
        <v/>
      </c>
      <c r="J267" s="179" t="e">
        <f t="shared" si="25"/>
        <v>#NUM!</v>
      </c>
      <c r="K267" s="179" t="e">
        <f t="shared" si="23"/>
        <v>#NUM!</v>
      </c>
      <c r="L267" s="179"/>
      <c r="M267" s="181">
        <f t="shared" si="24"/>
        <v>0</v>
      </c>
    </row>
    <row r="268" spans="1:13" x14ac:dyDescent="0.25">
      <c r="A268" s="197"/>
      <c r="G268" s="164"/>
      <c r="H268" s="179">
        <v>263</v>
      </c>
      <c r="I268" s="180" t="str">
        <f t="shared" si="22"/>
        <v/>
      </c>
      <c r="J268" s="179" t="e">
        <f t="shared" si="25"/>
        <v>#NUM!</v>
      </c>
      <c r="K268" s="179" t="e">
        <f t="shared" si="23"/>
        <v>#NUM!</v>
      </c>
      <c r="L268" s="179"/>
      <c r="M268" s="181">
        <f t="shared" si="24"/>
        <v>0</v>
      </c>
    </row>
    <row r="269" spans="1:13" x14ac:dyDescent="0.25">
      <c r="A269" s="197"/>
      <c r="G269" s="164"/>
      <c r="H269" s="182">
        <v>264</v>
      </c>
      <c r="I269" s="180" t="str">
        <f t="shared" si="22"/>
        <v/>
      </c>
      <c r="J269" s="179" t="e">
        <f t="shared" si="25"/>
        <v>#NUM!</v>
      </c>
      <c r="K269" s="179" t="e">
        <f t="shared" si="23"/>
        <v>#NUM!</v>
      </c>
      <c r="L269" s="179"/>
      <c r="M269" s="181">
        <f t="shared" si="24"/>
        <v>0</v>
      </c>
    </row>
    <row r="270" spans="1:13" x14ac:dyDescent="0.25">
      <c r="A270" s="197"/>
      <c r="G270" s="164"/>
      <c r="H270" s="179">
        <v>265</v>
      </c>
      <c r="I270" s="180" t="str">
        <f t="shared" si="22"/>
        <v/>
      </c>
      <c r="J270" s="179" t="e">
        <f t="shared" si="25"/>
        <v>#NUM!</v>
      </c>
      <c r="K270" s="179" t="e">
        <f t="shared" si="23"/>
        <v>#NUM!</v>
      </c>
      <c r="L270" s="179"/>
      <c r="M270" s="181">
        <f t="shared" si="24"/>
        <v>0</v>
      </c>
    </row>
    <row r="271" spans="1:13" x14ac:dyDescent="0.25">
      <c r="A271" s="197"/>
      <c r="G271" s="164"/>
      <c r="H271" s="182">
        <v>266</v>
      </c>
      <c r="I271" s="180" t="str">
        <f t="shared" si="22"/>
        <v/>
      </c>
      <c r="J271" s="179" t="e">
        <f t="shared" si="25"/>
        <v>#NUM!</v>
      </c>
      <c r="K271" s="179" t="e">
        <f t="shared" si="23"/>
        <v>#NUM!</v>
      </c>
      <c r="L271" s="179"/>
      <c r="M271" s="181">
        <f t="shared" si="24"/>
        <v>0</v>
      </c>
    </row>
    <row r="272" spans="1:13" x14ac:dyDescent="0.25">
      <c r="A272" s="197"/>
      <c r="G272" s="164"/>
      <c r="H272" s="179">
        <v>267</v>
      </c>
      <c r="I272" s="180" t="str">
        <f t="shared" si="22"/>
        <v/>
      </c>
      <c r="J272" s="179" t="e">
        <f t="shared" si="25"/>
        <v>#NUM!</v>
      </c>
      <c r="K272" s="179" t="e">
        <f t="shared" si="23"/>
        <v>#NUM!</v>
      </c>
      <c r="L272" s="179"/>
      <c r="M272" s="181">
        <f t="shared" si="24"/>
        <v>0</v>
      </c>
    </row>
    <row r="273" spans="1:13" x14ac:dyDescent="0.25">
      <c r="A273" s="197"/>
      <c r="G273" s="164"/>
      <c r="H273" s="182">
        <v>268</v>
      </c>
      <c r="I273" s="180" t="str">
        <f t="shared" si="22"/>
        <v/>
      </c>
      <c r="J273" s="179" t="e">
        <f t="shared" si="25"/>
        <v>#NUM!</v>
      </c>
      <c r="K273" s="179" t="e">
        <f t="shared" si="23"/>
        <v>#NUM!</v>
      </c>
      <c r="L273" s="179"/>
      <c r="M273" s="181">
        <f t="shared" si="24"/>
        <v>0</v>
      </c>
    </row>
    <row r="274" spans="1:13" x14ac:dyDescent="0.25">
      <c r="A274" s="197"/>
      <c r="G274" s="164"/>
      <c r="H274" s="179">
        <v>269</v>
      </c>
      <c r="I274" s="180" t="str">
        <f t="shared" si="22"/>
        <v/>
      </c>
      <c r="J274" s="179" t="e">
        <f t="shared" si="25"/>
        <v>#NUM!</v>
      </c>
      <c r="K274" s="179" t="e">
        <f t="shared" si="23"/>
        <v>#NUM!</v>
      </c>
      <c r="L274" s="179"/>
      <c r="M274" s="181">
        <f t="shared" si="24"/>
        <v>0</v>
      </c>
    </row>
    <row r="275" spans="1:13" x14ac:dyDescent="0.25">
      <c r="A275" s="197"/>
      <c r="G275" s="164"/>
      <c r="H275" s="182">
        <v>270</v>
      </c>
      <c r="I275" s="180" t="str">
        <f t="shared" si="22"/>
        <v/>
      </c>
      <c r="J275" s="179" t="e">
        <f t="shared" si="25"/>
        <v>#NUM!</v>
      </c>
      <c r="K275" s="179" t="e">
        <f t="shared" si="23"/>
        <v>#NUM!</v>
      </c>
      <c r="L275" s="179"/>
      <c r="M275" s="181">
        <f t="shared" si="24"/>
        <v>0</v>
      </c>
    </row>
    <row r="276" spans="1:13" x14ac:dyDescent="0.25">
      <c r="A276" s="197"/>
      <c r="G276" s="164"/>
      <c r="H276" s="179">
        <v>271</v>
      </c>
      <c r="I276" s="180" t="str">
        <f t="shared" si="22"/>
        <v/>
      </c>
      <c r="J276" s="179" t="e">
        <f t="shared" si="25"/>
        <v>#NUM!</v>
      </c>
      <c r="K276" s="179" t="e">
        <f t="shared" si="23"/>
        <v>#NUM!</v>
      </c>
      <c r="L276" s="179"/>
      <c r="M276" s="181">
        <f t="shared" si="24"/>
        <v>0</v>
      </c>
    </row>
    <row r="277" spans="1:13" x14ac:dyDescent="0.25">
      <c r="A277" s="197"/>
      <c r="G277" s="164"/>
      <c r="H277" s="182">
        <v>272</v>
      </c>
      <c r="I277" s="180" t="str">
        <f t="shared" si="22"/>
        <v/>
      </c>
      <c r="J277" s="179" t="e">
        <f t="shared" si="25"/>
        <v>#NUM!</v>
      </c>
      <c r="K277" s="179" t="e">
        <f t="shared" si="23"/>
        <v>#NUM!</v>
      </c>
      <c r="L277" s="179"/>
      <c r="M277" s="181">
        <f t="shared" si="24"/>
        <v>0</v>
      </c>
    </row>
    <row r="278" spans="1:13" x14ac:dyDescent="0.25">
      <c r="A278" s="197"/>
      <c r="G278" s="164"/>
      <c r="H278" s="179">
        <v>273</v>
      </c>
      <c r="I278" s="180" t="str">
        <f t="shared" si="22"/>
        <v/>
      </c>
      <c r="J278" s="179" t="e">
        <f t="shared" si="25"/>
        <v>#NUM!</v>
      </c>
      <c r="K278" s="179" t="e">
        <f t="shared" si="23"/>
        <v>#NUM!</v>
      </c>
      <c r="L278" s="179"/>
      <c r="M278" s="181">
        <f t="shared" si="24"/>
        <v>0</v>
      </c>
    </row>
    <row r="279" spans="1:13" x14ac:dyDescent="0.25">
      <c r="A279" s="197"/>
      <c r="G279" s="164"/>
      <c r="H279" s="182">
        <v>274</v>
      </c>
      <c r="I279" s="180" t="str">
        <f t="shared" si="22"/>
        <v/>
      </c>
      <c r="J279" s="179" t="e">
        <f t="shared" si="25"/>
        <v>#NUM!</v>
      </c>
      <c r="K279" s="179" t="e">
        <f t="shared" si="23"/>
        <v>#NUM!</v>
      </c>
      <c r="L279" s="179"/>
      <c r="M279" s="181">
        <f t="shared" si="24"/>
        <v>0</v>
      </c>
    </row>
    <row r="280" spans="1:13" x14ac:dyDescent="0.25">
      <c r="A280" s="197"/>
      <c r="G280" s="164"/>
      <c r="H280" s="179">
        <v>275</v>
      </c>
      <c r="I280" s="180" t="str">
        <f t="shared" si="22"/>
        <v/>
      </c>
      <c r="J280" s="179" t="e">
        <f t="shared" si="25"/>
        <v>#NUM!</v>
      </c>
      <c r="K280" s="179" t="e">
        <f t="shared" si="23"/>
        <v>#NUM!</v>
      </c>
      <c r="L280" s="179"/>
      <c r="M280" s="181">
        <f t="shared" si="24"/>
        <v>0</v>
      </c>
    </row>
    <row r="281" spans="1:13" x14ac:dyDescent="0.25">
      <c r="A281" s="197"/>
      <c r="G281" s="164"/>
      <c r="H281" s="182">
        <v>276</v>
      </c>
      <c r="I281" s="180" t="str">
        <f t="shared" si="22"/>
        <v/>
      </c>
      <c r="J281" s="179" t="e">
        <f t="shared" si="25"/>
        <v>#NUM!</v>
      </c>
      <c r="K281" s="179" t="e">
        <f t="shared" si="23"/>
        <v>#NUM!</v>
      </c>
      <c r="L281" s="179"/>
      <c r="M281" s="181">
        <f t="shared" si="24"/>
        <v>0</v>
      </c>
    </row>
    <row r="282" spans="1:13" x14ac:dyDescent="0.25">
      <c r="A282" s="197"/>
      <c r="G282" s="164"/>
      <c r="H282" s="179">
        <v>277</v>
      </c>
      <c r="I282" s="180" t="str">
        <f t="shared" si="22"/>
        <v/>
      </c>
      <c r="J282" s="179" t="e">
        <f t="shared" si="25"/>
        <v>#NUM!</v>
      </c>
      <c r="K282" s="179" t="e">
        <f t="shared" si="23"/>
        <v>#NUM!</v>
      </c>
      <c r="L282" s="179"/>
      <c r="M282" s="181">
        <f t="shared" si="24"/>
        <v>0</v>
      </c>
    </row>
    <row r="283" spans="1:13" x14ac:dyDescent="0.25">
      <c r="A283" s="197"/>
      <c r="G283" s="164"/>
      <c r="H283" s="182">
        <v>278</v>
      </c>
      <c r="I283" s="180" t="str">
        <f t="shared" si="22"/>
        <v/>
      </c>
      <c r="J283" s="179" t="e">
        <f t="shared" si="25"/>
        <v>#NUM!</v>
      </c>
      <c r="K283" s="179" t="e">
        <f t="shared" si="23"/>
        <v>#NUM!</v>
      </c>
      <c r="L283" s="179"/>
      <c r="M283" s="181">
        <f t="shared" si="24"/>
        <v>0</v>
      </c>
    </row>
    <row r="284" spans="1:13" x14ac:dyDescent="0.25">
      <c r="A284" s="197"/>
      <c r="G284" s="164"/>
      <c r="H284" s="179">
        <v>279</v>
      </c>
      <c r="I284" s="180" t="str">
        <f t="shared" si="22"/>
        <v/>
      </c>
      <c r="J284" s="179" t="e">
        <f t="shared" si="25"/>
        <v>#NUM!</v>
      </c>
      <c r="K284" s="179" t="e">
        <f t="shared" si="23"/>
        <v>#NUM!</v>
      </c>
      <c r="L284" s="179"/>
      <c r="M284" s="181">
        <f t="shared" si="24"/>
        <v>0</v>
      </c>
    </row>
    <row r="285" spans="1:13" x14ac:dyDescent="0.25">
      <c r="A285" s="197"/>
      <c r="G285" s="164"/>
      <c r="H285" s="182">
        <v>280</v>
      </c>
      <c r="I285" s="180" t="str">
        <f t="shared" si="22"/>
        <v/>
      </c>
      <c r="J285" s="179" t="e">
        <f t="shared" si="25"/>
        <v>#NUM!</v>
      </c>
      <c r="K285" s="179" t="e">
        <f t="shared" si="23"/>
        <v>#NUM!</v>
      </c>
      <c r="L285" s="179"/>
      <c r="M285" s="181">
        <f t="shared" si="24"/>
        <v>0</v>
      </c>
    </row>
    <row r="286" spans="1:13" x14ac:dyDescent="0.25">
      <c r="A286" s="197"/>
      <c r="G286" s="164"/>
      <c r="H286" s="179">
        <v>281</v>
      </c>
      <c r="I286" s="180" t="str">
        <f t="shared" si="22"/>
        <v/>
      </c>
      <c r="J286" s="179" t="e">
        <f t="shared" si="25"/>
        <v>#NUM!</v>
      </c>
      <c r="K286" s="179" t="e">
        <f t="shared" si="23"/>
        <v>#NUM!</v>
      </c>
      <c r="L286" s="179"/>
      <c r="M286" s="181">
        <f t="shared" si="24"/>
        <v>0</v>
      </c>
    </row>
    <row r="287" spans="1:13" x14ac:dyDescent="0.25">
      <c r="A287" s="197"/>
      <c r="G287" s="164"/>
      <c r="H287" s="182">
        <v>282</v>
      </c>
      <c r="I287" s="180" t="str">
        <f t="shared" si="22"/>
        <v/>
      </c>
      <c r="J287" s="179" t="e">
        <f t="shared" si="25"/>
        <v>#NUM!</v>
      </c>
      <c r="K287" s="179" t="e">
        <f t="shared" si="23"/>
        <v>#NUM!</v>
      </c>
      <c r="L287" s="179"/>
      <c r="M287" s="181">
        <f t="shared" si="24"/>
        <v>0</v>
      </c>
    </row>
    <row r="288" spans="1:13" x14ac:dyDescent="0.25">
      <c r="A288" s="197"/>
      <c r="G288" s="164"/>
      <c r="H288" s="179">
        <v>283</v>
      </c>
      <c r="I288" s="180" t="str">
        <f t="shared" si="22"/>
        <v/>
      </c>
      <c r="J288" s="179" t="e">
        <f t="shared" si="25"/>
        <v>#NUM!</v>
      </c>
      <c r="K288" s="179" t="e">
        <f t="shared" si="23"/>
        <v>#NUM!</v>
      </c>
      <c r="L288" s="179"/>
      <c r="M288" s="181">
        <f t="shared" si="24"/>
        <v>0</v>
      </c>
    </row>
    <row r="289" spans="1:13" x14ac:dyDescent="0.25">
      <c r="A289" s="197"/>
      <c r="G289" s="164"/>
      <c r="H289" s="182">
        <v>284</v>
      </c>
      <c r="I289" s="180" t="str">
        <f t="shared" si="22"/>
        <v/>
      </c>
      <c r="J289" s="179" t="e">
        <f t="shared" si="25"/>
        <v>#NUM!</v>
      </c>
      <c r="K289" s="179" t="e">
        <f t="shared" si="23"/>
        <v>#NUM!</v>
      </c>
      <c r="L289" s="179"/>
      <c r="M289" s="181">
        <f t="shared" si="24"/>
        <v>0</v>
      </c>
    </row>
    <row r="290" spans="1:13" x14ac:dyDescent="0.25">
      <c r="A290" s="197"/>
      <c r="G290" s="164"/>
      <c r="H290" s="179">
        <v>285</v>
      </c>
      <c r="I290" s="180" t="str">
        <f t="shared" si="22"/>
        <v/>
      </c>
      <c r="J290" s="179" t="e">
        <f t="shared" si="25"/>
        <v>#NUM!</v>
      </c>
      <c r="K290" s="179" t="e">
        <f t="shared" si="23"/>
        <v>#NUM!</v>
      </c>
      <c r="L290" s="179"/>
      <c r="M290" s="181">
        <f t="shared" si="24"/>
        <v>0</v>
      </c>
    </row>
    <row r="291" spans="1:13" x14ac:dyDescent="0.25">
      <c r="A291" s="197"/>
      <c r="G291" s="164"/>
      <c r="H291" s="182">
        <v>286</v>
      </c>
      <c r="I291" s="180" t="str">
        <f t="shared" si="22"/>
        <v/>
      </c>
      <c r="J291" s="179" t="e">
        <f t="shared" si="25"/>
        <v>#NUM!</v>
      </c>
      <c r="K291" s="179" t="e">
        <f t="shared" si="23"/>
        <v>#NUM!</v>
      </c>
      <c r="L291" s="179"/>
      <c r="M291" s="181">
        <f t="shared" si="24"/>
        <v>0</v>
      </c>
    </row>
    <row r="292" spans="1:13" x14ac:dyDescent="0.25">
      <c r="A292" s="197"/>
      <c r="G292" s="164"/>
      <c r="H292" s="179">
        <v>287</v>
      </c>
      <c r="I292" s="180" t="str">
        <f t="shared" si="22"/>
        <v/>
      </c>
      <c r="J292" s="179" t="e">
        <f t="shared" si="25"/>
        <v>#NUM!</v>
      </c>
      <c r="K292" s="179" t="e">
        <f t="shared" si="23"/>
        <v>#NUM!</v>
      </c>
      <c r="L292" s="179"/>
      <c r="M292" s="181">
        <f t="shared" si="24"/>
        <v>0</v>
      </c>
    </row>
    <row r="293" spans="1:13" x14ac:dyDescent="0.25">
      <c r="A293" s="197"/>
      <c r="G293" s="164"/>
      <c r="H293" s="179">
        <v>288</v>
      </c>
      <c r="I293" s="180" t="str">
        <f t="shared" si="22"/>
        <v/>
      </c>
      <c r="J293" s="179" t="e">
        <f t="shared" si="25"/>
        <v>#NUM!</v>
      </c>
      <c r="K293" s="179" t="e">
        <f t="shared" si="23"/>
        <v>#NUM!</v>
      </c>
      <c r="L293" s="179"/>
      <c r="M293" s="181">
        <f t="shared" si="24"/>
        <v>0</v>
      </c>
    </row>
    <row r="294" spans="1:13" x14ac:dyDescent="0.25">
      <c r="A294" s="197"/>
      <c r="G294" s="164"/>
      <c r="H294" s="179">
        <v>289</v>
      </c>
      <c r="I294" s="180" t="str">
        <f t="shared" si="22"/>
        <v/>
      </c>
      <c r="J294" s="179" t="e">
        <f t="shared" si="25"/>
        <v>#NUM!</v>
      </c>
      <c r="K294" s="179" t="e">
        <f t="shared" si="23"/>
        <v>#NUM!</v>
      </c>
      <c r="L294" s="179"/>
      <c r="M294" s="181">
        <f t="shared" si="24"/>
        <v>0</v>
      </c>
    </row>
    <row r="295" spans="1:13" x14ac:dyDescent="0.25">
      <c r="A295" s="197"/>
      <c r="G295" s="164"/>
      <c r="H295" s="179">
        <v>290</v>
      </c>
      <c r="I295" s="180" t="str">
        <f t="shared" si="22"/>
        <v/>
      </c>
      <c r="J295" s="179" t="e">
        <f t="shared" si="25"/>
        <v>#NUM!</v>
      </c>
      <c r="K295" s="179" t="e">
        <f t="shared" si="23"/>
        <v>#NUM!</v>
      </c>
      <c r="L295" s="179"/>
      <c r="M295" s="181">
        <f t="shared" si="24"/>
        <v>0</v>
      </c>
    </row>
    <row r="296" spans="1:13" x14ac:dyDescent="0.25">
      <c r="A296" s="197"/>
      <c r="G296" s="164"/>
      <c r="H296" s="179">
        <v>291</v>
      </c>
      <c r="I296" s="180" t="str">
        <f t="shared" si="22"/>
        <v/>
      </c>
      <c r="J296" s="179" t="e">
        <f t="shared" si="25"/>
        <v>#NUM!</v>
      </c>
      <c r="K296" s="179" t="e">
        <f t="shared" si="23"/>
        <v>#NUM!</v>
      </c>
      <c r="L296" s="179"/>
      <c r="M296" s="181">
        <f t="shared" si="24"/>
        <v>0</v>
      </c>
    </row>
    <row r="297" spans="1:13" x14ac:dyDescent="0.25">
      <c r="A297" s="197"/>
      <c r="G297" s="164"/>
      <c r="H297" s="179">
        <v>292</v>
      </c>
      <c r="I297" s="180" t="str">
        <f t="shared" si="22"/>
        <v/>
      </c>
      <c r="J297" s="179" t="e">
        <f t="shared" si="25"/>
        <v>#NUM!</v>
      </c>
      <c r="K297" s="179" t="e">
        <f t="shared" si="23"/>
        <v>#NUM!</v>
      </c>
      <c r="L297" s="179"/>
      <c r="M297" s="181">
        <f t="shared" si="24"/>
        <v>0</v>
      </c>
    </row>
    <row r="298" spans="1:13" x14ac:dyDescent="0.25">
      <c r="A298" s="197"/>
      <c r="G298" s="164"/>
      <c r="H298" s="179">
        <v>293</v>
      </c>
      <c r="I298" s="180" t="str">
        <f t="shared" si="22"/>
        <v/>
      </c>
      <c r="J298" s="179" t="e">
        <f t="shared" si="25"/>
        <v>#NUM!</v>
      </c>
      <c r="K298" s="179" t="e">
        <f t="shared" si="23"/>
        <v>#NUM!</v>
      </c>
      <c r="L298" s="179"/>
      <c r="M298" s="181">
        <f t="shared" si="24"/>
        <v>0</v>
      </c>
    </row>
    <row r="299" spans="1:13" x14ac:dyDescent="0.25">
      <c r="A299" s="197"/>
      <c r="G299" s="164"/>
      <c r="H299" s="179">
        <v>294</v>
      </c>
      <c r="I299" s="180" t="str">
        <f t="shared" si="22"/>
        <v/>
      </c>
      <c r="J299" s="179" t="e">
        <f t="shared" si="25"/>
        <v>#NUM!</v>
      </c>
      <c r="K299" s="179" t="e">
        <f t="shared" si="23"/>
        <v>#NUM!</v>
      </c>
      <c r="L299" s="179"/>
      <c r="M299" s="181">
        <f t="shared" si="24"/>
        <v>0</v>
      </c>
    </row>
    <row r="300" spans="1:13" x14ac:dyDescent="0.25">
      <c r="A300" s="197"/>
      <c r="G300" s="164"/>
      <c r="H300" s="179">
        <v>295</v>
      </c>
      <c r="I300" s="180" t="str">
        <f t="shared" si="22"/>
        <v/>
      </c>
      <c r="J300" s="179" t="e">
        <f t="shared" si="25"/>
        <v>#NUM!</v>
      </c>
      <c r="K300" s="179" t="e">
        <f t="shared" si="23"/>
        <v>#NUM!</v>
      </c>
      <c r="L300" s="179"/>
      <c r="M300" s="181">
        <f t="shared" si="24"/>
        <v>0</v>
      </c>
    </row>
    <row r="301" spans="1:13" x14ac:dyDescent="0.25">
      <c r="A301" s="197"/>
      <c r="G301" s="164"/>
      <c r="H301" s="179">
        <v>296</v>
      </c>
      <c r="I301" s="180" t="str">
        <f t="shared" si="22"/>
        <v/>
      </c>
      <c r="J301" s="179" t="e">
        <f t="shared" si="25"/>
        <v>#NUM!</v>
      </c>
      <c r="K301" s="179" t="e">
        <f t="shared" si="23"/>
        <v>#NUM!</v>
      </c>
      <c r="L301" s="179"/>
      <c r="M301" s="181">
        <f t="shared" si="24"/>
        <v>0</v>
      </c>
    </row>
    <row r="302" spans="1:13" x14ac:dyDescent="0.25">
      <c r="A302" s="197"/>
      <c r="G302" s="164"/>
      <c r="H302" s="179">
        <v>297</v>
      </c>
      <c r="I302" s="180" t="str">
        <f t="shared" si="22"/>
        <v/>
      </c>
      <c r="J302" s="179" t="e">
        <f t="shared" si="25"/>
        <v>#NUM!</v>
      </c>
      <c r="K302" s="179" t="e">
        <f t="shared" si="23"/>
        <v>#NUM!</v>
      </c>
      <c r="L302" s="179"/>
      <c r="M302" s="181">
        <f t="shared" si="24"/>
        <v>0</v>
      </c>
    </row>
    <row r="303" spans="1:13" x14ac:dyDescent="0.25">
      <c r="A303" s="197"/>
      <c r="G303" s="164"/>
      <c r="H303" s="179">
        <v>298</v>
      </c>
      <c r="I303" s="180" t="str">
        <f t="shared" si="22"/>
        <v/>
      </c>
      <c r="J303" s="179" t="e">
        <f t="shared" si="25"/>
        <v>#NUM!</v>
      </c>
      <c r="K303" s="179" t="e">
        <f t="shared" si="23"/>
        <v>#NUM!</v>
      </c>
      <c r="L303" s="179"/>
      <c r="M303" s="181">
        <f t="shared" si="24"/>
        <v>0</v>
      </c>
    </row>
    <row r="304" spans="1:13" x14ac:dyDescent="0.25">
      <c r="A304" s="197"/>
      <c r="G304" s="164"/>
      <c r="H304" s="179">
        <v>299</v>
      </c>
      <c r="I304" s="180" t="str">
        <f t="shared" si="22"/>
        <v/>
      </c>
      <c r="J304" s="179" t="e">
        <f t="shared" si="25"/>
        <v>#NUM!</v>
      </c>
      <c r="K304" s="179" t="e">
        <f t="shared" si="23"/>
        <v>#NUM!</v>
      </c>
      <c r="L304" s="179"/>
      <c r="M304" s="181">
        <f t="shared" si="24"/>
        <v>0</v>
      </c>
    </row>
    <row r="305" spans="1:16" x14ac:dyDescent="0.25">
      <c r="A305" s="197"/>
      <c r="G305" s="164"/>
      <c r="H305" s="179">
        <v>300</v>
      </c>
      <c r="I305" s="180" t="str">
        <f t="shared" si="22"/>
        <v/>
      </c>
      <c r="J305" s="179" t="e">
        <f t="shared" si="25"/>
        <v>#NUM!</v>
      </c>
      <c r="K305" s="179" t="e">
        <f t="shared" si="23"/>
        <v>#NUM!</v>
      </c>
      <c r="L305" s="179"/>
      <c r="M305" s="181">
        <f t="shared" si="24"/>
        <v>0</v>
      </c>
    </row>
    <row r="306" spans="1:16" x14ac:dyDescent="0.25">
      <c r="A306" s="198"/>
    </row>
    <row r="314" spans="1:16" x14ac:dyDescent="0.25">
      <c r="L314" s="201"/>
      <c r="P314" s="190"/>
    </row>
    <row r="315" spans="1:16" x14ac:dyDescent="0.25">
      <c r="L315" s="201"/>
      <c r="P315" s="190"/>
    </row>
    <row r="316" spans="1:16" x14ac:dyDescent="0.25">
      <c r="L316" s="201"/>
      <c r="P316" s="190"/>
    </row>
    <row r="317" spans="1:16" x14ac:dyDescent="0.25">
      <c r="L317" s="201"/>
      <c r="P317" s="190"/>
    </row>
  </sheetData>
  <conditionalFormatting sqref="J6:K305">
    <cfRule type="cellIs" dxfId="3" priority="1" operator="lessThanOrEqual">
      <formula>0</formula>
    </cfRule>
  </conditionalFormatting>
  <hyperlinks>
    <hyperlink ref="C2" r:id="rId1" xr:uid="{B0D34AF3-7408-4209-AD07-F4D72AE67A1D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3203-D87C-4439-83F6-B16CEC5C512D}">
  <sheetPr>
    <tabColor rgb="FF92D050"/>
  </sheetPr>
  <dimension ref="A1:AM317"/>
  <sheetViews>
    <sheetView workbookViewId="0">
      <selection activeCell="C17" sqref="C17"/>
    </sheetView>
  </sheetViews>
  <sheetFormatPr defaultColWidth="8.875" defaultRowHeight="14.3" x14ac:dyDescent="0.25"/>
  <cols>
    <col min="1" max="1" width="8" style="117" customWidth="1"/>
    <col min="2" max="2" width="8.25" style="117" customWidth="1"/>
    <col min="3" max="3" width="34.75" style="117" customWidth="1"/>
    <col min="4" max="4" width="11.25" style="117" customWidth="1"/>
    <col min="5" max="6" width="8.875" style="117"/>
    <col min="7" max="7" width="0.875" style="117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1.75" style="120" customWidth="1"/>
    <col min="14" max="14" width="11.75" style="121" customWidth="1"/>
    <col min="15" max="16" width="13.875" style="82" customWidth="1"/>
    <col min="17" max="19" width="8.875" style="82"/>
    <col min="20" max="21" width="8.875" style="87"/>
    <col min="22" max="22" width="12.125" style="87" customWidth="1"/>
    <col min="23" max="23" width="27.375" style="87" customWidth="1"/>
    <col min="24" max="39" width="8.875" style="87"/>
    <col min="40" max="16384" width="8.875" style="117"/>
  </cols>
  <sheetData>
    <row r="1" spans="1:37" x14ac:dyDescent="0.25">
      <c r="A1" s="82"/>
      <c r="B1" s="82"/>
      <c r="C1" s="82"/>
      <c r="D1" s="82"/>
      <c r="E1" s="82"/>
      <c r="F1" s="82"/>
      <c r="G1" s="82"/>
      <c r="H1" s="83" t="s">
        <v>22</v>
      </c>
      <c r="I1" s="84" t="s">
        <v>23</v>
      </c>
      <c r="J1" s="84" t="s">
        <v>24</v>
      </c>
      <c r="K1" s="85" t="s">
        <v>65</v>
      </c>
      <c r="L1" s="125" t="s">
        <v>66</v>
      </c>
      <c r="M1" s="126"/>
      <c r="N1" s="86"/>
    </row>
    <row r="2" spans="1:37" x14ac:dyDescent="0.25">
      <c r="A2" s="82"/>
      <c r="B2" s="20" t="s">
        <v>26</v>
      </c>
      <c r="C2" s="284" t="s">
        <v>105</v>
      </c>
      <c r="D2" s="284"/>
      <c r="E2" s="21"/>
      <c r="F2" s="21"/>
      <c r="G2" s="21"/>
      <c r="H2" s="88">
        <v>24</v>
      </c>
      <c r="I2" s="89">
        <v>50</v>
      </c>
      <c r="J2" s="89">
        <v>10</v>
      </c>
      <c r="K2" s="123">
        <f>3*H2^(1/3)</f>
        <v>8.6534974218444489</v>
      </c>
      <c r="L2" s="127">
        <v>1.2</v>
      </c>
      <c r="M2" s="86"/>
      <c r="N2" s="86"/>
    </row>
    <row r="3" spans="1:37" ht="14.3" customHeight="1" x14ac:dyDescent="0.25">
      <c r="A3" s="82"/>
      <c r="B3" s="91" t="s">
        <v>28</v>
      </c>
      <c r="C3" s="285">
        <v>2023</v>
      </c>
      <c r="D3" s="285"/>
      <c r="E3" s="26"/>
      <c r="F3" s="26"/>
      <c r="G3" s="26"/>
      <c r="H3" s="86"/>
      <c r="I3" s="86"/>
      <c r="J3" s="92"/>
      <c r="K3" s="86"/>
      <c r="L3" s="86"/>
      <c r="M3" s="86"/>
      <c r="N3" s="86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6"/>
      <c r="I4" s="86"/>
      <c r="J4" s="92"/>
      <c r="K4" s="86"/>
      <c r="L4" s="86"/>
      <c r="M4" s="86"/>
      <c r="N4" s="86"/>
    </row>
    <row r="5" spans="1:37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93" t="s">
        <v>35</v>
      </c>
      <c r="I5" s="94" t="s">
        <v>36</v>
      </c>
      <c r="J5" s="95" t="s">
        <v>37</v>
      </c>
      <c r="K5" s="94" t="s">
        <v>38</v>
      </c>
      <c r="L5" s="94" t="s">
        <v>39</v>
      </c>
      <c r="M5" s="93" t="s">
        <v>40</v>
      </c>
      <c r="N5" s="93" t="s">
        <v>67</v>
      </c>
    </row>
    <row r="6" spans="1:37" ht="14.45" customHeight="1" x14ac:dyDescent="0.25">
      <c r="A6" s="96">
        <f>N6</f>
        <v>151.15259071864</v>
      </c>
      <c r="B6" s="34">
        <f t="shared" ref="B6:B69" si="0">IF(H6&gt;$H$2,"",(ROW()-5))</f>
        <v>1</v>
      </c>
      <c r="C6" s="35" t="s">
        <v>106</v>
      </c>
      <c r="D6" s="35" t="s">
        <v>107</v>
      </c>
      <c r="E6" s="35" t="s">
        <v>108</v>
      </c>
      <c r="F6" s="35" t="s">
        <v>109</v>
      </c>
      <c r="G6" s="28"/>
      <c r="H6" s="97">
        <v>1</v>
      </c>
      <c r="I6" s="98">
        <f t="shared" ref="I6:I69" si="1">IF(H6&lt;$H$2+1,($I$2-($I$2-1)*(LOG(H6)/LOG($H$2))),"")</f>
        <v>50</v>
      </c>
      <c r="J6" s="97">
        <f>INT(LOG($H$2,2))-ROUNDUP(LOG(H6,2),0)+IF(OR($H$2=1,$H$2=2,$H$2=4,$H$2=8,$H$2=16,$H$2=32,$H$2=64,$H$2=128,$H$2=256),0,1)</f>
        <v>5</v>
      </c>
      <c r="K6" s="97">
        <f t="shared" ref="K6:K69" si="2">J6*$J$2</f>
        <v>50</v>
      </c>
      <c r="L6" s="99">
        <f>3*K2</f>
        <v>25.960492265533347</v>
      </c>
      <c r="M6" s="99">
        <f t="shared" ref="M6:M69" si="3">IF(I6&lt;&gt;"",K6+I6+L6,0)</f>
        <v>125.96049226553335</v>
      </c>
      <c r="N6" s="99">
        <f t="shared" ref="N6:N69" si="4">IF(I6&lt;&gt;"",M6*L$2,0)</f>
        <v>151.15259071864</v>
      </c>
    </row>
    <row r="7" spans="1:37" ht="14.45" customHeight="1" x14ac:dyDescent="0.25">
      <c r="A7" s="100">
        <f t="shared" ref="A7:A70" si="5">N7</f>
        <v>115.94386144367741</v>
      </c>
      <c r="B7" s="40">
        <f t="shared" si="0"/>
        <v>2</v>
      </c>
      <c r="C7" s="41" t="s">
        <v>110</v>
      </c>
      <c r="D7" s="41" t="s">
        <v>111</v>
      </c>
      <c r="E7" s="41" t="s">
        <v>112</v>
      </c>
      <c r="F7" s="41" t="s">
        <v>109</v>
      </c>
      <c r="G7" s="28"/>
      <c r="H7" s="101">
        <v>2</v>
      </c>
      <c r="I7" s="102">
        <f t="shared" si="1"/>
        <v>39.31288969270895</v>
      </c>
      <c r="J7" s="101">
        <f t="shared" ref="J7:J70" si="6">INT(LOG($H$2,2))-ROUNDUP(LOG(H7,2),0)+IF(OR($H$2=1,$H$2=2,$H$2=4,$H$2=8,$H$2=16,$H$2=32,$H$2=64,$H$2=128,$H$2=256),0,1)</f>
        <v>4</v>
      </c>
      <c r="K7" s="101">
        <f t="shared" si="2"/>
        <v>40</v>
      </c>
      <c r="L7" s="103">
        <f>2*K2</f>
        <v>17.306994843688898</v>
      </c>
      <c r="M7" s="103">
        <f t="shared" si="3"/>
        <v>96.619884536397848</v>
      </c>
      <c r="N7" s="103">
        <f t="shared" si="4"/>
        <v>115.94386144367741</v>
      </c>
    </row>
    <row r="8" spans="1:37" ht="14.45" customHeight="1" x14ac:dyDescent="0.25">
      <c r="A8" s="96">
        <f t="shared" si="5"/>
        <v>86.057794012461102</v>
      </c>
      <c r="B8" s="34">
        <f t="shared" si="0"/>
        <v>3</v>
      </c>
      <c r="C8" s="35" t="s">
        <v>113</v>
      </c>
      <c r="D8" s="35" t="s">
        <v>114</v>
      </c>
      <c r="E8" s="35" t="s">
        <v>115</v>
      </c>
      <c r="F8" s="35" t="s">
        <v>109</v>
      </c>
      <c r="G8" s="28"/>
      <c r="H8" s="97">
        <v>3</v>
      </c>
      <c r="I8" s="98">
        <f t="shared" si="1"/>
        <v>33.061330921873136</v>
      </c>
      <c r="J8" s="97">
        <f t="shared" si="6"/>
        <v>3</v>
      </c>
      <c r="K8" s="97">
        <f t="shared" si="2"/>
        <v>30</v>
      </c>
      <c r="L8" s="99">
        <f>K2</f>
        <v>8.6534974218444489</v>
      </c>
      <c r="M8" s="99">
        <f t="shared" si="3"/>
        <v>71.714828343717585</v>
      </c>
      <c r="N8" s="99">
        <f t="shared" si="4"/>
        <v>86.057794012461102</v>
      </c>
    </row>
    <row r="9" spans="1:37" s="87" customFormat="1" ht="14.45" customHeight="1" x14ac:dyDescent="0.25">
      <c r="A9" s="100">
        <f>N9</f>
        <v>86.057794012461102</v>
      </c>
      <c r="B9" s="40">
        <f t="shared" si="0"/>
        <v>4</v>
      </c>
      <c r="C9" s="41" t="s">
        <v>116</v>
      </c>
      <c r="D9" s="41" t="s">
        <v>117</v>
      </c>
      <c r="E9" s="41" t="s">
        <v>108</v>
      </c>
      <c r="F9" s="41" t="s">
        <v>109</v>
      </c>
      <c r="G9" s="28"/>
      <c r="H9" s="101">
        <v>3</v>
      </c>
      <c r="I9" s="102">
        <f t="shared" si="1"/>
        <v>33.061330921873136</v>
      </c>
      <c r="J9" s="101">
        <f t="shared" si="6"/>
        <v>3</v>
      </c>
      <c r="K9" s="101">
        <f t="shared" si="2"/>
        <v>30</v>
      </c>
      <c r="L9" s="103">
        <f>K2</f>
        <v>8.6534974218444489</v>
      </c>
      <c r="M9" s="103">
        <f t="shared" si="3"/>
        <v>71.714828343717585</v>
      </c>
      <c r="N9" s="103">
        <f t="shared" si="4"/>
        <v>86.057794012461102</v>
      </c>
      <c r="O9" s="82"/>
      <c r="P9" s="82"/>
      <c r="Q9" s="82"/>
      <c r="R9" s="82"/>
      <c r="S9" s="82"/>
      <c r="V9" s="104"/>
      <c r="Z9" s="105"/>
      <c r="AA9" s="105"/>
      <c r="AG9" s="106"/>
      <c r="AH9" s="87" t="s">
        <v>42</v>
      </c>
      <c r="AI9" s="87">
        <v>23</v>
      </c>
    </row>
    <row r="10" spans="1:37" ht="14.45" customHeight="1" x14ac:dyDescent="0.25">
      <c r="A10" s="96">
        <f t="shared" si="5"/>
        <v>54.222357989208724</v>
      </c>
      <c r="B10" s="34">
        <f t="shared" si="0"/>
        <v>5</v>
      </c>
      <c r="C10" s="35" t="s">
        <v>118</v>
      </c>
      <c r="D10" s="35" t="s">
        <v>119</v>
      </c>
      <c r="E10" s="35" t="s">
        <v>115</v>
      </c>
      <c r="F10" s="35" t="s">
        <v>109</v>
      </c>
      <c r="G10" s="28"/>
      <c r="H10" s="97">
        <v>5</v>
      </c>
      <c r="I10" s="98">
        <f t="shared" si="1"/>
        <v>25.185298324340607</v>
      </c>
      <c r="J10" s="97">
        <f t="shared" si="6"/>
        <v>2</v>
      </c>
      <c r="K10" s="97">
        <f t="shared" si="2"/>
        <v>20</v>
      </c>
      <c r="L10" s="97"/>
      <c r="M10" s="99">
        <f t="shared" si="3"/>
        <v>45.185298324340607</v>
      </c>
      <c r="N10" s="99">
        <f t="shared" si="4"/>
        <v>54.222357989208724</v>
      </c>
      <c r="W10" s="104"/>
      <c r="AA10" s="105"/>
      <c r="AB10" s="105"/>
      <c r="AH10" s="106"/>
      <c r="AI10" s="87" t="s">
        <v>43</v>
      </c>
      <c r="AJ10" s="87">
        <v>45</v>
      </c>
    </row>
    <row r="11" spans="1:37" ht="14.45" customHeight="1" x14ac:dyDescent="0.25">
      <c r="A11" s="100">
        <f t="shared" si="5"/>
        <v>50.849064737498509</v>
      </c>
      <c r="B11" s="40">
        <f t="shared" si="0"/>
        <v>6</v>
      </c>
      <c r="C11" s="41" t="s">
        <v>120</v>
      </c>
      <c r="D11" s="41" t="s">
        <v>121</v>
      </c>
      <c r="E11" s="41" t="s">
        <v>115</v>
      </c>
      <c r="F11" s="41" t="s">
        <v>109</v>
      </c>
      <c r="G11" s="28"/>
      <c r="H11" s="101">
        <v>6</v>
      </c>
      <c r="I11" s="102">
        <f t="shared" si="1"/>
        <v>22.374220614582093</v>
      </c>
      <c r="J11" s="101">
        <f t="shared" si="6"/>
        <v>2</v>
      </c>
      <c r="K11" s="101">
        <f t="shared" si="2"/>
        <v>20</v>
      </c>
      <c r="L11" s="101"/>
      <c r="M11" s="103">
        <f t="shared" si="3"/>
        <v>42.374220614582093</v>
      </c>
      <c r="N11" s="103">
        <f t="shared" si="4"/>
        <v>50.849064737498509</v>
      </c>
      <c r="W11" s="107"/>
      <c r="AA11" s="105"/>
      <c r="AB11" s="105"/>
      <c r="AH11" s="106"/>
      <c r="AI11" s="87" t="s">
        <v>44</v>
      </c>
      <c r="AJ11" s="87">
        <v>50</v>
      </c>
    </row>
    <row r="12" spans="1:37" ht="14.45" customHeight="1" x14ac:dyDescent="0.25">
      <c r="A12" s="96">
        <f t="shared" si="5"/>
        <v>47.99698593150471</v>
      </c>
      <c r="B12" s="34">
        <f t="shared" si="0"/>
        <v>7</v>
      </c>
      <c r="C12" s="35" t="s">
        <v>122</v>
      </c>
      <c r="D12" s="35" t="s">
        <v>123</v>
      </c>
      <c r="E12" s="35" t="s">
        <v>124</v>
      </c>
      <c r="F12" s="35" t="s">
        <v>109</v>
      </c>
      <c r="G12" s="28"/>
      <c r="H12" s="97">
        <v>7</v>
      </c>
      <c r="I12" s="98">
        <f t="shared" si="1"/>
        <v>19.997488276253925</v>
      </c>
      <c r="J12" s="97">
        <f t="shared" si="6"/>
        <v>2</v>
      </c>
      <c r="K12" s="97">
        <f t="shared" si="2"/>
        <v>20</v>
      </c>
      <c r="L12" s="97"/>
      <c r="M12" s="99">
        <f t="shared" si="3"/>
        <v>39.997488276253925</v>
      </c>
      <c r="N12" s="99">
        <f t="shared" si="4"/>
        <v>47.99698593150471</v>
      </c>
      <c r="AA12" s="105"/>
      <c r="AB12" s="105"/>
      <c r="AH12" s="106"/>
      <c r="AI12" s="87" t="s">
        <v>45</v>
      </c>
      <c r="AJ12" s="87">
        <f>AJ11-1</f>
        <v>49</v>
      </c>
    </row>
    <row r="13" spans="1:37" ht="14.45" customHeight="1" x14ac:dyDescent="0.25">
      <c r="A13" s="100">
        <f t="shared" si="5"/>
        <v>45.526402893752227</v>
      </c>
      <c r="B13" s="40">
        <f t="shared" si="0"/>
        <v>8</v>
      </c>
      <c r="C13" s="41" t="s">
        <v>125</v>
      </c>
      <c r="D13" s="41" t="s">
        <v>126</v>
      </c>
      <c r="E13" s="41" t="s">
        <v>127</v>
      </c>
      <c r="F13" s="41" t="s">
        <v>109</v>
      </c>
      <c r="G13" s="28"/>
      <c r="H13" s="101">
        <v>8</v>
      </c>
      <c r="I13" s="102">
        <f t="shared" si="1"/>
        <v>17.938669078126857</v>
      </c>
      <c r="J13" s="101">
        <f t="shared" si="6"/>
        <v>2</v>
      </c>
      <c r="K13" s="101">
        <f t="shared" si="2"/>
        <v>20</v>
      </c>
      <c r="L13" s="101"/>
      <c r="M13" s="103">
        <f t="shared" si="3"/>
        <v>37.938669078126857</v>
      </c>
      <c r="N13" s="103">
        <f t="shared" si="4"/>
        <v>45.526402893752227</v>
      </c>
      <c r="Y13" s="104"/>
      <c r="AH13" s="106"/>
      <c r="AI13" s="87" t="s">
        <v>46</v>
      </c>
      <c r="AJ13" s="87" t="e">
        <f>LOG(AJ9)</f>
        <v>#NUM!</v>
      </c>
    </row>
    <row r="14" spans="1:37" ht="25.85" x14ac:dyDescent="0.25">
      <c r="A14" s="96">
        <f t="shared" si="5"/>
        <v>31.347194212495534</v>
      </c>
      <c r="B14" s="34">
        <f t="shared" si="0"/>
        <v>9</v>
      </c>
      <c r="C14" s="35" t="s">
        <v>128</v>
      </c>
      <c r="D14" s="35" t="s">
        <v>129</v>
      </c>
      <c r="E14" s="35" t="s">
        <v>112</v>
      </c>
      <c r="F14" s="35" t="s">
        <v>109</v>
      </c>
      <c r="G14" s="28"/>
      <c r="H14" s="97">
        <v>9</v>
      </c>
      <c r="I14" s="98">
        <f t="shared" si="1"/>
        <v>16.122661843746279</v>
      </c>
      <c r="J14" s="97">
        <f t="shared" si="6"/>
        <v>1</v>
      </c>
      <c r="K14" s="97">
        <f t="shared" si="2"/>
        <v>10</v>
      </c>
      <c r="L14" s="97"/>
      <c r="M14" s="99">
        <f t="shared" si="3"/>
        <v>26.122661843746279</v>
      </c>
      <c r="N14" s="99">
        <f t="shared" si="4"/>
        <v>31.347194212495534</v>
      </c>
      <c r="Y14" s="108"/>
      <c r="AA14" s="105"/>
      <c r="AB14" s="105"/>
      <c r="AH14" s="106"/>
      <c r="AI14" s="87" t="s">
        <v>47</v>
      </c>
      <c r="AJ14" s="87">
        <f>LOG(AJ10)</f>
        <v>1.6532125137753437</v>
      </c>
    </row>
    <row r="15" spans="1:37" x14ac:dyDescent="0.25">
      <c r="A15" s="100">
        <f t="shared" si="5"/>
        <v>29.397825620459468</v>
      </c>
      <c r="B15" s="40">
        <f t="shared" si="0"/>
        <v>10</v>
      </c>
      <c r="C15" s="41" t="s">
        <v>130</v>
      </c>
      <c r="D15" s="41" t="s">
        <v>131</v>
      </c>
      <c r="E15" s="41" t="s">
        <v>108</v>
      </c>
      <c r="F15" s="41" t="s">
        <v>109</v>
      </c>
      <c r="G15" s="28"/>
      <c r="H15" s="101">
        <v>10</v>
      </c>
      <c r="I15" s="102">
        <f t="shared" si="1"/>
        <v>14.498188017049557</v>
      </c>
      <c r="J15" s="101">
        <f t="shared" si="6"/>
        <v>1</v>
      </c>
      <c r="K15" s="101">
        <f t="shared" si="2"/>
        <v>10</v>
      </c>
      <c r="L15" s="101"/>
      <c r="M15" s="103">
        <f t="shared" si="3"/>
        <v>24.498188017049557</v>
      </c>
      <c r="N15" s="103">
        <f t="shared" si="4"/>
        <v>29.397825620459468</v>
      </c>
      <c r="Y15" s="104"/>
      <c r="AA15" s="105"/>
      <c r="AB15" s="105"/>
    </row>
    <row r="16" spans="1:37" x14ac:dyDescent="0.25">
      <c r="A16" s="96">
        <f t="shared" si="5"/>
        <v>27.634407229311343</v>
      </c>
      <c r="B16" s="34">
        <f t="shared" si="0"/>
        <v>11</v>
      </c>
      <c r="C16" s="35" t="s">
        <v>132</v>
      </c>
      <c r="D16" s="35" t="s">
        <v>133</v>
      </c>
      <c r="E16" s="35" t="s">
        <v>124</v>
      </c>
      <c r="F16" s="35" t="s">
        <v>109</v>
      </c>
      <c r="G16" s="28"/>
      <c r="H16" s="97">
        <v>11</v>
      </c>
      <c r="I16" s="98">
        <f t="shared" si="1"/>
        <v>13.028672691092787</v>
      </c>
      <c r="J16" s="97">
        <f t="shared" si="6"/>
        <v>1</v>
      </c>
      <c r="K16" s="97">
        <f t="shared" si="2"/>
        <v>10</v>
      </c>
      <c r="L16" s="97"/>
      <c r="M16" s="99">
        <f t="shared" si="3"/>
        <v>23.028672691092787</v>
      </c>
      <c r="N16" s="99">
        <f t="shared" si="4"/>
        <v>27.634407229311343</v>
      </c>
      <c r="S16" s="109"/>
      <c r="AA16" s="105"/>
      <c r="AB16" s="105"/>
      <c r="AI16" s="110" t="s">
        <v>48</v>
      </c>
      <c r="AJ16" s="87" t="e">
        <f>AJ11-AJ12*AJ13/AJ14</f>
        <v>#NUM!</v>
      </c>
      <c r="AK16" s="87" t="s">
        <v>49</v>
      </c>
    </row>
    <row r="17" spans="1:20" ht="38.75" x14ac:dyDescent="0.25">
      <c r="A17" s="100">
        <f t="shared" si="5"/>
        <v>26.024532368749252</v>
      </c>
      <c r="B17" s="40">
        <f t="shared" si="0"/>
        <v>12</v>
      </c>
      <c r="C17" s="41" t="s">
        <v>134</v>
      </c>
      <c r="D17" s="41" t="s">
        <v>135</v>
      </c>
      <c r="E17" s="41" t="s">
        <v>108</v>
      </c>
      <c r="F17" s="41" t="s">
        <v>109</v>
      </c>
      <c r="G17" s="28"/>
      <c r="H17" s="101">
        <v>12</v>
      </c>
      <c r="I17" s="102">
        <f t="shared" si="1"/>
        <v>11.687110307291043</v>
      </c>
      <c r="J17" s="101">
        <f t="shared" si="6"/>
        <v>1</v>
      </c>
      <c r="K17" s="101">
        <f t="shared" si="2"/>
        <v>10</v>
      </c>
      <c r="L17" s="101"/>
      <c r="M17" s="103">
        <f t="shared" si="3"/>
        <v>21.687110307291043</v>
      </c>
      <c r="N17" s="103">
        <f t="shared" si="4"/>
        <v>26.024532368749252</v>
      </c>
    </row>
    <row r="18" spans="1:20" x14ac:dyDescent="0.25">
      <c r="A18" s="96">
        <f t="shared" si="5"/>
        <v>24.54359105609419</v>
      </c>
      <c r="B18" s="34">
        <f t="shared" si="0"/>
        <v>13</v>
      </c>
      <c r="C18" s="35" t="s">
        <v>136</v>
      </c>
      <c r="D18" s="35" t="s">
        <v>137</v>
      </c>
      <c r="E18" s="35" t="s">
        <v>138</v>
      </c>
      <c r="F18" s="35" t="s">
        <v>109</v>
      </c>
      <c r="G18" s="28"/>
      <c r="H18" s="97">
        <v>13</v>
      </c>
      <c r="I18" s="98">
        <f t="shared" si="1"/>
        <v>10.452992546745158</v>
      </c>
      <c r="J18" s="97">
        <f t="shared" si="6"/>
        <v>1</v>
      </c>
      <c r="K18" s="97">
        <f t="shared" si="2"/>
        <v>10</v>
      </c>
      <c r="L18" s="97"/>
      <c r="M18" s="99">
        <f t="shared" si="3"/>
        <v>20.452992546745158</v>
      </c>
      <c r="N18" s="99">
        <f t="shared" si="4"/>
        <v>24.54359105609419</v>
      </c>
    </row>
    <row r="19" spans="1:20" x14ac:dyDescent="0.25">
      <c r="A19" s="100">
        <f t="shared" si="5"/>
        <v>23.172453562755457</v>
      </c>
      <c r="B19" s="40">
        <f t="shared" si="0"/>
        <v>14</v>
      </c>
      <c r="C19" s="41" t="s">
        <v>139</v>
      </c>
      <c r="D19" s="41" t="s">
        <v>140</v>
      </c>
      <c r="E19" s="41" t="s">
        <v>115</v>
      </c>
      <c r="F19" s="41" t="s">
        <v>109</v>
      </c>
      <c r="G19" s="28"/>
      <c r="H19" s="101">
        <v>14</v>
      </c>
      <c r="I19" s="102">
        <f t="shared" si="1"/>
        <v>9.3103779689628823</v>
      </c>
      <c r="J19" s="101">
        <f t="shared" si="6"/>
        <v>1</v>
      </c>
      <c r="K19" s="101">
        <f t="shared" si="2"/>
        <v>10</v>
      </c>
      <c r="L19" s="101"/>
      <c r="M19" s="103">
        <f t="shared" si="3"/>
        <v>19.310377968962882</v>
      </c>
      <c r="N19" s="103">
        <f t="shared" si="4"/>
        <v>23.172453562755457</v>
      </c>
    </row>
    <row r="20" spans="1:20" x14ac:dyDescent="0.25">
      <c r="A20" s="96">
        <f t="shared" si="5"/>
        <v>21.89595509545649</v>
      </c>
      <c r="B20" s="34">
        <f t="shared" si="0"/>
        <v>15</v>
      </c>
      <c r="C20" s="35" t="s">
        <v>141</v>
      </c>
      <c r="D20" s="35" t="s">
        <v>142</v>
      </c>
      <c r="E20" s="35" t="s">
        <v>112</v>
      </c>
      <c r="F20" s="35" t="s">
        <v>109</v>
      </c>
      <c r="G20" s="28"/>
      <c r="H20" s="97">
        <v>15</v>
      </c>
      <c r="I20" s="98">
        <f t="shared" si="1"/>
        <v>8.2466292462137432</v>
      </c>
      <c r="J20" s="97">
        <f t="shared" si="6"/>
        <v>1</v>
      </c>
      <c r="K20" s="97">
        <f t="shared" si="2"/>
        <v>10</v>
      </c>
      <c r="L20" s="97"/>
      <c r="M20" s="99">
        <f t="shared" si="3"/>
        <v>18.246629246213743</v>
      </c>
      <c r="N20" s="99">
        <f t="shared" si="4"/>
        <v>21.89595509545649</v>
      </c>
      <c r="S20" s="111"/>
      <c r="T20" s="112"/>
    </row>
    <row r="21" spans="1:20" x14ac:dyDescent="0.25">
      <c r="A21" s="100">
        <f t="shared" si="5"/>
        <v>20.701870525002978</v>
      </c>
      <c r="B21" s="40">
        <f t="shared" si="0"/>
        <v>16</v>
      </c>
      <c r="C21" s="41" t="s">
        <v>143</v>
      </c>
      <c r="D21" s="41" t="s">
        <v>144</v>
      </c>
      <c r="E21" s="41" t="s">
        <v>115</v>
      </c>
      <c r="F21" s="41" t="s">
        <v>109</v>
      </c>
      <c r="G21" s="28"/>
      <c r="H21" s="101">
        <v>16</v>
      </c>
      <c r="I21" s="102">
        <f t="shared" si="1"/>
        <v>7.251558770835814</v>
      </c>
      <c r="J21" s="101">
        <f t="shared" si="6"/>
        <v>1</v>
      </c>
      <c r="K21" s="101">
        <f t="shared" si="2"/>
        <v>10</v>
      </c>
      <c r="L21" s="101"/>
      <c r="M21" s="103">
        <f t="shared" si="3"/>
        <v>17.251558770835814</v>
      </c>
      <c r="N21" s="103">
        <f t="shared" si="4"/>
        <v>20.701870525002978</v>
      </c>
    </row>
    <row r="22" spans="1:20" x14ac:dyDescent="0.25">
      <c r="A22" s="96">
        <f t="shared" si="5"/>
        <v>7.5802004863252215</v>
      </c>
      <c r="B22" s="34">
        <f t="shared" si="0"/>
        <v>17</v>
      </c>
      <c r="C22" s="35" t="s">
        <v>145</v>
      </c>
      <c r="D22" s="35" t="s">
        <v>146</v>
      </c>
      <c r="E22" s="35" t="s">
        <v>147</v>
      </c>
      <c r="F22" s="35" t="s">
        <v>109</v>
      </c>
      <c r="G22" s="28"/>
      <c r="H22" s="97">
        <v>17</v>
      </c>
      <c r="I22" s="98">
        <f t="shared" si="1"/>
        <v>6.3168337386043518</v>
      </c>
      <c r="J22" s="97">
        <f t="shared" si="6"/>
        <v>0</v>
      </c>
      <c r="K22" s="97">
        <f t="shared" si="2"/>
        <v>0</v>
      </c>
      <c r="L22" s="97"/>
      <c r="M22" s="99">
        <f t="shared" si="3"/>
        <v>6.3168337386043518</v>
      </c>
      <c r="N22" s="99">
        <f t="shared" si="4"/>
        <v>7.5802004863252215</v>
      </c>
    </row>
    <row r="23" spans="1:20" x14ac:dyDescent="0.25">
      <c r="A23" s="100">
        <f t="shared" si="5"/>
        <v>6.5226618437462829</v>
      </c>
      <c r="B23" s="40">
        <f t="shared" si="0"/>
        <v>18</v>
      </c>
      <c r="C23" s="41" t="s">
        <v>148</v>
      </c>
      <c r="D23" s="41" t="s">
        <v>149</v>
      </c>
      <c r="E23" s="41" t="s">
        <v>150</v>
      </c>
      <c r="F23" s="41" t="s">
        <v>109</v>
      </c>
      <c r="G23" s="28"/>
      <c r="H23" s="101">
        <v>18</v>
      </c>
      <c r="I23" s="102">
        <f t="shared" si="1"/>
        <v>5.435551536455236</v>
      </c>
      <c r="J23" s="101">
        <f t="shared" si="6"/>
        <v>0</v>
      </c>
      <c r="K23" s="101">
        <f t="shared" si="2"/>
        <v>0</v>
      </c>
      <c r="L23" s="101"/>
      <c r="M23" s="103">
        <f t="shared" si="3"/>
        <v>5.435551536455236</v>
      </c>
      <c r="N23" s="103">
        <f t="shared" si="4"/>
        <v>6.5226618437462829</v>
      </c>
    </row>
    <row r="24" spans="1:20" x14ac:dyDescent="0.25">
      <c r="A24" s="96">
        <f t="shared" si="5"/>
        <v>5.5223161037421962</v>
      </c>
      <c r="B24" s="34">
        <f t="shared" si="0"/>
        <v>19</v>
      </c>
      <c r="C24" s="35" t="s">
        <v>151</v>
      </c>
      <c r="D24" s="35" t="s">
        <v>152</v>
      </c>
      <c r="E24" s="35" t="s">
        <v>138</v>
      </c>
      <c r="F24" s="35" t="s">
        <v>109</v>
      </c>
      <c r="G24" s="28"/>
      <c r="H24" s="97">
        <v>19</v>
      </c>
      <c r="I24" s="98">
        <f t="shared" si="1"/>
        <v>4.60193008645183</v>
      </c>
      <c r="J24" s="97">
        <f t="shared" si="6"/>
        <v>0</v>
      </c>
      <c r="K24" s="97">
        <f t="shared" si="2"/>
        <v>0</v>
      </c>
      <c r="L24" s="97"/>
      <c r="M24" s="99">
        <f t="shared" si="3"/>
        <v>4.60193008645183</v>
      </c>
      <c r="N24" s="99">
        <f t="shared" si="4"/>
        <v>5.5223161037421962</v>
      </c>
      <c r="S24" s="111"/>
      <c r="T24" s="112"/>
    </row>
    <row r="25" spans="1:20" ht="25.85" x14ac:dyDescent="0.25">
      <c r="A25" s="100">
        <f t="shared" si="5"/>
        <v>4.5732932517102087</v>
      </c>
      <c r="B25" s="40">
        <f t="shared" si="0"/>
        <v>20</v>
      </c>
      <c r="C25" s="41" t="s">
        <v>153</v>
      </c>
      <c r="D25" s="41" t="s">
        <v>154</v>
      </c>
      <c r="E25" s="41" t="s">
        <v>115</v>
      </c>
      <c r="F25" s="41" t="s">
        <v>109</v>
      </c>
      <c r="G25" s="28"/>
      <c r="H25" s="101">
        <v>20</v>
      </c>
      <c r="I25" s="102">
        <f t="shared" si="1"/>
        <v>3.8110777097585071</v>
      </c>
      <c r="J25" s="101">
        <f t="shared" si="6"/>
        <v>0</v>
      </c>
      <c r="K25" s="101">
        <f t="shared" si="2"/>
        <v>0</v>
      </c>
      <c r="L25" s="101"/>
      <c r="M25" s="103">
        <f t="shared" si="3"/>
        <v>3.8110777097585071</v>
      </c>
      <c r="N25" s="103">
        <f t="shared" si="4"/>
        <v>4.5732932517102087</v>
      </c>
    </row>
    <row r="26" spans="1:20" x14ac:dyDescent="0.25">
      <c r="A26" s="96">
        <f t="shared" si="5"/>
        <v>3.6705830377524733</v>
      </c>
      <c r="B26" s="34">
        <f t="shared" si="0"/>
        <v>21</v>
      </c>
      <c r="C26" s="35" t="s">
        <v>155</v>
      </c>
      <c r="D26" s="35" t="s">
        <v>156</v>
      </c>
      <c r="E26" s="35" t="s">
        <v>108</v>
      </c>
      <c r="F26" s="35" t="s">
        <v>109</v>
      </c>
      <c r="G26" s="28"/>
      <c r="H26" s="97">
        <v>21</v>
      </c>
      <c r="I26" s="98">
        <f t="shared" si="1"/>
        <v>3.0588191981270612</v>
      </c>
      <c r="J26" s="97">
        <f t="shared" si="6"/>
        <v>0</v>
      </c>
      <c r="K26" s="97">
        <f t="shared" si="2"/>
        <v>0</v>
      </c>
      <c r="L26" s="97"/>
      <c r="M26" s="99">
        <f t="shared" si="3"/>
        <v>3.0588191981270612</v>
      </c>
      <c r="N26" s="99">
        <f t="shared" si="4"/>
        <v>3.6705830377524733</v>
      </c>
    </row>
    <row r="27" spans="1:20" x14ac:dyDescent="0.25">
      <c r="A27" s="100">
        <f t="shared" si="5"/>
        <v>2.8098748605620925</v>
      </c>
      <c r="B27" s="40">
        <f t="shared" si="0"/>
        <v>22</v>
      </c>
      <c r="C27" s="41" t="s">
        <v>19</v>
      </c>
      <c r="D27" s="41" t="s">
        <v>157</v>
      </c>
      <c r="E27" s="41" t="s">
        <v>158</v>
      </c>
      <c r="F27" s="41" t="s">
        <v>109</v>
      </c>
      <c r="G27" s="28"/>
      <c r="H27" s="101">
        <v>22</v>
      </c>
      <c r="I27" s="102">
        <f t="shared" si="1"/>
        <v>2.3415623838017439</v>
      </c>
      <c r="J27" s="101">
        <f t="shared" si="6"/>
        <v>0</v>
      </c>
      <c r="K27" s="101">
        <f t="shared" si="2"/>
        <v>0</v>
      </c>
      <c r="L27" s="101"/>
      <c r="M27" s="103">
        <f t="shared" si="3"/>
        <v>2.3415623838017439</v>
      </c>
      <c r="N27" s="103">
        <f t="shared" si="4"/>
        <v>2.8098748605620925</v>
      </c>
    </row>
    <row r="28" spans="1:20" x14ac:dyDescent="0.25">
      <c r="A28" s="96">
        <f t="shared" si="5"/>
        <v>1.9874332725041426</v>
      </c>
      <c r="B28" s="34">
        <f t="shared" si="0"/>
        <v>23</v>
      </c>
      <c r="C28" s="35" t="s">
        <v>159</v>
      </c>
      <c r="D28" s="35" t="s">
        <v>160</v>
      </c>
      <c r="E28" s="35" t="s">
        <v>108</v>
      </c>
      <c r="F28" s="35" t="s">
        <v>109</v>
      </c>
      <c r="G28" s="28"/>
      <c r="H28" s="97">
        <v>23</v>
      </c>
      <c r="I28" s="98">
        <f t="shared" si="1"/>
        <v>1.6561943937534522</v>
      </c>
      <c r="J28" s="97">
        <f t="shared" si="6"/>
        <v>0</v>
      </c>
      <c r="K28" s="97">
        <f t="shared" si="2"/>
        <v>0</v>
      </c>
      <c r="L28" s="97"/>
      <c r="M28" s="99">
        <f t="shared" si="3"/>
        <v>1.6561943937534522</v>
      </c>
      <c r="N28" s="99">
        <f t="shared" si="4"/>
        <v>1.9874332725041426</v>
      </c>
      <c r="S28" s="111"/>
      <c r="T28" s="112"/>
    </row>
    <row r="29" spans="1:20" x14ac:dyDescent="0.25">
      <c r="A29" s="100">
        <f t="shared" si="5"/>
        <v>1.2</v>
      </c>
      <c r="B29" s="40">
        <f t="shared" si="0"/>
        <v>24</v>
      </c>
      <c r="C29" s="41" t="s">
        <v>20</v>
      </c>
      <c r="D29" s="41" t="s">
        <v>161</v>
      </c>
      <c r="E29" s="41" t="s">
        <v>158</v>
      </c>
      <c r="F29" s="41" t="s">
        <v>109</v>
      </c>
      <c r="G29" s="82"/>
      <c r="H29" s="101">
        <v>24</v>
      </c>
      <c r="I29" s="102">
        <f t="shared" si="1"/>
        <v>1</v>
      </c>
      <c r="J29" s="101">
        <f t="shared" si="6"/>
        <v>0</v>
      </c>
      <c r="K29" s="101">
        <f t="shared" si="2"/>
        <v>0</v>
      </c>
      <c r="L29" s="101"/>
      <c r="M29" s="103">
        <f t="shared" si="3"/>
        <v>1</v>
      </c>
      <c r="N29" s="103">
        <f t="shared" si="4"/>
        <v>1.2</v>
      </c>
    </row>
    <row r="30" spans="1:20" x14ac:dyDescent="0.25">
      <c r="A30" s="96">
        <f t="shared" si="5"/>
        <v>0</v>
      </c>
      <c r="B30" s="34" t="str">
        <f t="shared" si="0"/>
        <v/>
      </c>
      <c r="C30" s="35"/>
      <c r="D30" s="35"/>
      <c r="E30" s="35"/>
      <c r="F30" s="35"/>
      <c r="G30" s="82"/>
      <c r="H30" s="97">
        <v>25</v>
      </c>
      <c r="I30" s="98" t="str">
        <f t="shared" si="1"/>
        <v/>
      </c>
      <c r="J30" s="97">
        <f t="shared" si="6"/>
        <v>0</v>
      </c>
      <c r="K30" s="97">
        <f t="shared" si="2"/>
        <v>0</v>
      </c>
      <c r="L30" s="97"/>
      <c r="M30" s="99">
        <f t="shared" si="3"/>
        <v>0</v>
      </c>
      <c r="N30" s="99">
        <f t="shared" si="4"/>
        <v>0</v>
      </c>
    </row>
    <row r="31" spans="1:20" x14ac:dyDescent="0.25">
      <c r="A31" s="100">
        <f t="shared" si="5"/>
        <v>0</v>
      </c>
      <c r="B31" s="40" t="str">
        <f t="shared" si="0"/>
        <v/>
      </c>
      <c r="C31" s="41"/>
      <c r="D31" s="41"/>
      <c r="E31" s="41"/>
      <c r="F31" s="41"/>
      <c r="G31" s="82"/>
      <c r="H31" s="101">
        <v>26</v>
      </c>
      <c r="I31" s="102" t="str">
        <f t="shared" si="1"/>
        <v/>
      </c>
      <c r="J31" s="101">
        <f t="shared" si="6"/>
        <v>0</v>
      </c>
      <c r="K31" s="101">
        <f t="shared" si="2"/>
        <v>0</v>
      </c>
      <c r="L31" s="101"/>
      <c r="M31" s="103">
        <f t="shared" si="3"/>
        <v>0</v>
      </c>
      <c r="N31" s="103">
        <f t="shared" si="4"/>
        <v>0</v>
      </c>
    </row>
    <row r="32" spans="1:20" x14ac:dyDescent="0.25">
      <c r="A32" s="96">
        <f t="shared" si="5"/>
        <v>0</v>
      </c>
      <c r="B32" s="34" t="str">
        <f t="shared" si="0"/>
        <v/>
      </c>
      <c r="C32" s="35"/>
      <c r="D32" s="35"/>
      <c r="E32" s="35"/>
      <c r="F32" s="35"/>
      <c r="G32" s="82"/>
      <c r="H32" s="97">
        <v>27</v>
      </c>
      <c r="I32" s="98" t="str">
        <f t="shared" si="1"/>
        <v/>
      </c>
      <c r="J32" s="97">
        <f t="shared" si="6"/>
        <v>0</v>
      </c>
      <c r="K32" s="97">
        <f t="shared" si="2"/>
        <v>0</v>
      </c>
      <c r="L32" s="97"/>
      <c r="M32" s="99">
        <f t="shared" si="3"/>
        <v>0</v>
      </c>
      <c r="N32" s="99">
        <f t="shared" si="4"/>
        <v>0</v>
      </c>
      <c r="S32" s="111"/>
      <c r="T32" s="112"/>
    </row>
    <row r="33" spans="1:20" x14ac:dyDescent="0.25">
      <c r="A33" s="100">
        <f t="shared" si="5"/>
        <v>0</v>
      </c>
      <c r="B33" s="40" t="str">
        <f t="shared" si="0"/>
        <v/>
      </c>
      <c r="C33" s="41"/>
      <c r="D33" s="41"/>
      <c r="E33" s="41"/>
      <c r="F33" s="41"/>
      <c r="G33" s="82"/>
      <c r="H33" s="101">
        <v>28</v>
      </c>
      <c r="I33" s="102" t="str">
        <f t="shared" si="1"/>
        <v/>
      </c>
      <c r="J33" s="101">
        <f t="shared" si="6"/>
        <v>0</v>
      </c>
      <c r="K33" s="101">
        <f t="shared" si="2"/>
        <v>0</v>
      </c>
      <c r="L33" s="101"/>
      <c r="M33" s="103">
        <f t="shared" si="3"/>
        <v>0</v>
      </c>
      <c r="N33" s="103">
        <f t="shared" si="4"/>
        <v>0</v>
      </c>
    </row>
    <row r="34" spans="1:20" x14ac:dyDescent="0.25">
      <c r="A34" s="96">
        <f t="shared" si="5"/>
        <v>0</v>
      </c>
      <c r="B34" s="34" t="str">
        <f t="shared" si="0"/>
        <v/>
      </c>
      <c r="C34" s="35"/>
      <c r="D34" s="35"/>
      <c r="E34" s="35"/>
      <c r="F34" s="35"/>
      <c r="G34" s="82"/>
      <c r="H34" s="97">
        <v>29</v>
      </c>
      <c r="I34" s="98" t="str">
        <f t="shared" si="1"/>
        <v/>
      </c>
      <c r="J34" s="97">
        <f t="shared" si="6"/>
        <v>0</v>
      </c>
      <c r="K34" s="97">
        <f t="shared" si="2"/>
        <v>0</v>
      </c>
      <c r="L34" s="97"/>
      <c r="M34" s="99">
        <f t="shared" si="3"/>
        <v>0</v>
      </c>
      <c r="N34" s="99">
        <f t="shared" si="4"/>
        <v>0</v>
      </c>
    </row>
    <row r="35" spans="1:20" s="87" customFormat="1" x14ac:dyDescent="0.25">
      <c r="A35" s="100">
        <f t="shared" si="5"/>
        <v>0</v>
      </c>
      <c r="B35" s="40" t="str">
        <f t="shared" si="0"/>
        <v/>
      </c>
      <c r="C35" s="41"/>
      <c r="D35" s="41"/>
      <c r="E35" s="41"/>
      <c r="F35" s="41"/>
      <c r="G35" s="82"/>
      <c r="H35" s="101">
        <v>30</v>
      </c>
      <c r="I35" s="102" t="str">
        <f t="shared" si="1"/>
        <v/>
      </c>
      <c r="J35" s="101">
        <f t="shared" si="6"/>
        <v>0</v>
      </c>
      <c r="K35" s="101">
        <f t="shared" si="2"/>
        <v>0</v>
      </c>
      <c r="L35" s="101"/>
      <c r="M35" s="103">
        <f t="shared" si="3"/>
        <v>0</v>
      </c>
      <c r="N35" s="103">
        <f t="shared" si="4"/>
        <v>0</v>
      </c>
      <c r="O35" s="82"/>
      <c r="P35" s="82"/>
      <c r="Q35" s="82"/>
      <c r="R35" s="82"/>
      <c r="S35" s="82"/>
    </row>
    <row r="36" spans="1:20" s="87" customFormat="1" x14ac:dyDescent="0.25">
      <c r="A36" s="96">
        <f t="shared" si="5"/>
        <v>0</v>
      </c>
      <c r="B36" s="34" t="str">
        <f t="shared" si="0"/>
        <v/>
      </c>
      <c r="C36" s="35"/>
      <c r="D36" s="35"/>
      <c r="E36" s="35"/>
      <c r="F36" s="35"/>
      <c r="G36" s="82"/>
      <c r="H36" s="97">
        <v>31</v>
      </c>
      <c r="I36" s="98" t="str">
        <f t="shared" si="1"/>
        <v/>
      </c>
      <c r="J36" s="97">
        <f t="shared" si="6"/>
        <v>0</v>
      </c>
      <c r="K36" s="97">
        <f t="shared" si="2"/>
        <v>0</v>
      </c>
      <c r="L36" s="97"/>
      <c r="M36" s="99">
        <f t="shared" si="3"/>
        <v>0</v>
      </c>
      <c r="N36" s="99">
        <f t="shared" si="4"/>
        <v>0</v>
      </c>
      <c r="O36" s="82"/>
      <c r="P36" s="82"/>
      <c r="Q36" s="82"/>
      <c r="R36" s="82"/>
      <c r="S36" s="111"/>
      <c r="T36" s="112"/>
    </row>
    <row r="37" spans="1:20" s="87" customFormat="1" x14ac:dyDescent="0.25">
      <c r="A37" s="100">
        <f t="shared" si="5"/>
        <v>0</v>
      </c>
      <c r="B37" s="40" t="str">
        <f t="shared" si="0"/>
        <v/>
      </c>
      <c r="C37" s="41"/>
      <c r="D37" s="41"/>
      <c r="E37" s="41"/>
      <c r="F37" s="41"/>
      <c r="G37" s="82"/>
      <c r="H37" s="101">
        <v>32</v>
      </c>
      <c r="I37" s="102" t="str">
        <f t="shared" si="1"/>
        <v/>
      </c>
      <c r="J37" s="101">
        <f t="shared" si="6"/>
        <v>0</v>
      </c>
      <c r="K37" s="101">
        <f t="shared" si="2"/>
        <v>0</v>
      </c>
      <c r="L37" s="101"/>
      <c r="M37" s="103">
        <f t="shared" si="3"/>
        <v>0</v>
      </c>
      <c r="N37" s="103">
        <f t="shared" si="4"/>
        <v>0</v>
      </c>
      <c r="O37" s="82"/>
      <c r="P37" s="82"/>
      <c r="Q37" s="82"/>
      <c r="R37" s="82"/>
      <c r="S37" s="82"/>
    </row>
    <row r="38" spans="1:20" s="87" customFormat="1" x14ac:dyDescent="0.25">
      <c r="A38" s="96">
        <f t="shared" si="5"/>
        <v>0</v>
      </c>
      <c r="B38" s="34" t="str">
        <f t="shared" si="0"/>
        <v/>
      </c>
      <c r="C38" s="35"/>
      <c r="D38" s="35"/>
      <c r="E38" s="35"/>
      <c r="F38" s="35"/>
      <c r="G38" s="82"/>
      <c r="H38" s="97">
        <v>33</v>
      </c>
      <c r="I38" s="98" t="str">
        <f t="shared" si="1"/>
        <v/>
      </c>
      <c r="J38" s="97">
        <f t="shared" si="6"/>
        <v>-1</v>
      </c>
      <c r="K38" s="97">
        <f t="shared" si="2"/>
        <v>-10</v>
      </c>
      <c r="L38" s="97"/>
      <c r="M38" s="99">
        <f t="shared" si="3"/>
        <v>0</v>
      </c>
      <c r="N38" s="99">
        <f t="shared" si="4"/>
        <v>0</v>
      </c>
      <c r="O38" s="82"/>
      <c r="P38" s="82"/>
      <c r="Q38" s="82"/>
      <c r="R38" s="82"/>
      <c r="S38" s="111"/>
      <c r="T38" s="112"/>
    </row>
    <row r="39" spans="1:20" s="87" customFormat="1" x14ac:dyDescent="0.25">
      <c r="A39" s="100">
        <f t="shared" si="5"/>
        <v>0</v>
      </c>
      <c r="B39" s="40" t="str">
        <f t="shared" si="0"/>
        <v/>
      </c>
      <c r="C39" s="41"/>
      <c r="D39" s="41"/>
      <c r="E39" s="41"/>
      <c r="F39" s="41"/>
      <c r="G39" s="82"/>
      <c r="H39" s="101">
        <v>34</v>
      </c>
      <c r="I39" s="102" t="str">
        <f t="shared" si="1"/>
        <v/>
      </c>
      <c r="J39" s="101">
        <f t="shared" si="6"/>
        <v>-1</v>
      </c>
      <c r="K39" s="101">
        <f t="shared" si="2"/>
        <v>-10</v>
      </c>
      <c r="L39" s="101"/>
      <c r="M39" s="103">
        <f t="shared" si="3"/>
        <v>0</v>
      </c>
      <c r="N39" s="103">
        <f t="shared" si="4"/>
        <v>0</v>
      </c>
      <c r="O39" s="82"/>
      <c r="P39" s="82"/>
      <c r="Q39" s="82"/>
      <c r="R39" s="82"/>
      <c r="S39" s="82"/>
    </row>
    <row r="40" spans="1:20" s="87" customFormat="1" x14ac:dyDescent="0.25">
      <c r="A40" s="96">
        <f t="shared" si="5"/>
        <v>0</v>
      </c>
      <c r="B40" s="34" t="str">
        <f t="shared" si="0"/>
        <v/>
      </c>
      <c r="C40" s="35"/>
      <c r="D40" s="35"/>
      <c r="E40" s="35"/>
      <c r="F40" s="35"/>
      <c r="G40" s="82"/>
      <c r="H40" s="97">
        <v>35</v>
      </c>
      <c r="I40" s="98" t="str">
        <f t="shared" si="1"/>
        <v/>
      </c>
      <c r="J40" s="97">
        <f t="shared" si="6"/>
        <v>-1</v>
      </c>
      <c r="K40" s="97">
        <f t="shared" si="2"/>
        <v>-10</v>
      </c>
      <c r="L40" s="97"/>
      <c r="M40" s="99">
        <f t="shared" si="3"/>
        <v>0</v>
      </c>
      <c r="N40" s="99">
        <f t="shared" si="4"/>
        <v>0</v>
      </c>
      <c r="O40" s="82"/>
      <c r="P40" s="82"/>
      <c r="Q40" s="82"/>
      <c r="R40" s="82"/>
      <c r="S40" s="111"/>
      <c r="T40" s="112"/>
    </row>
    <row r="41" spans="1:20" s="87" customFormat="1" x14ac:dyDescent="0.25">
      <c r="A41" s="100">
        <f t="shared" si="5"/>
        <v>0</v>
      </c>
      <c r="B41" s="40" t="str">
        <f t="shared" si="0"/>
        <v/>
      </c>
      <c r="C41" s="41"/>
      <c r="D41" s="41"/>
      <c r="E41" s="41"/>
      <c r="F41" s="41"/>
      <c r="G41" s="82"/>
      <c r="H41" s="101">
        <v>36</v>
      </c>
      <c r="I41" s="102" t="str">
        <f t="shared" si="1"/>
        <v/>
      </c>
      <c r="J41" s="101">
        <f t="shared" si="6"/>
        <v>-1</v>
      </c>
      <c r="K41" s="101">
        <f t="shared" si="2"/>
        <v>-10</v>
      </c>
      <c r="L41" s="101"/>
      <c r="M41" s="103">
        <f t="shared" si="3"/>
        <v>0</v>
      </c>
      <c r="N41" s="103">
        <f t="shared" si="4"/>
        <v>0</v>
      </c>
      <c r="O41" s="82"/>
      <c r="P41" s="82"/>
      <c r="Q41" s="82"/>
      <c r="R41" s="82"/>
      <c r="S41" s="82"/>
    </row>
    <row r="42" spans="1:20" s="87" customFormat="1" x14ac:dyDescent="0.25">
      <c r="A42" s="96">
        <f t="shared" si="5"/>
        <v>0</v>
      </c>
      <c r="B42" s="34" t="str">
        <f t="shared" si="0"/>
        <v/>
      </c>
      <c r="C42" s="35"/>
      <c r="D42" s="35"/>
      <c r="E42" s="35"/>
      <c r="F42" s="35"/>
      <c r="G42" s="82"/>
      <c r="H42" s="97">
        <v>37</v>
      </c>
      <c r="I42" s="98" t="str">
        <f t="shared" si="1"/>
        <v/>
      </c>
      <c r="J42" s="97">
        <f t="shared" si="6"/>
        <v>-1</v>
      </c>
      <c r="K42" s="97">
        <f t="shared" si="2"/>
        <v>-10</v>
      </c>
      <c r="L42" s="97"/>
      <c r="M42" s="99">
        <f t="shared" si="3"/>
        <v>0</v>
      </c>
      <c r="N42" s="99">
        <f t="shared" si="4"/>
        <v>0</v>
      </c>
      <c r="O42" s="82"/>
      <c r="P42" s="82"/>
      <c r="Q42" s="82"/>
      <c r="R42" s="82"/>
      <c r="S42" s="111"/>
      <c r="T42" s="112"/>
    </row>
    <row r="43" spans="1:20" s="87" customFormat="1" x14ac:dyDescent="0.25">
      <c r="A43" s="100">
        <f t="shared" si="5"/>
        <v>0</v>
      </c>
      <c r="B43" s="40" t="str">
        <f t="shared" si="0"/>
        <v/>
      </c>
      <c r="C43" s="41"/>
      <c r="D43" s="41"/>
      <c r="E43" s="41"/>
      <c r="F43" s="41"/>
      <c r="G43" s="82"/>
      <c r="H43" s="101">
        <v>38</v>
      </c>
      <c r="I43" s="102" t="str">
        <f t="shared" si="1"/>
        <v/>
      </c>
      <c r="J43" s="101">
        <f t="shared" si="6"/>
        <v>-1</v>
      </c>
      <c r="K43" s="101">
        <f t="shared" si="2"/>
        <v>-10</v>
      </c>
      <c r="L43" s="101"/>
      <c r="M43" s="103">
        <f t="shared" si="3"/>
        <v>0</v>
      </c>
      <c r="N43" s="103">
        <f t="shared" si="4"/>
        <v>0</v>
      </c>
      <c r="O43" s="82"/>
      <c r="P43" s="82"/>
      <c r="Q43" s="82"/>
      <c r="R43" s="82"/>
      <c r="S43" s="82"/>
    </row>
    <row r="44" spans="1:20" s="87" customFormat="1" x14ac:dyDescent="0.25">
      <c r="A44" s="96">
        <f t="shared" si="5"/>
        <v>0</v>
      </c>
      <c r="B44" s="34" t="str">
        <f t="shared" si="0"/>
        <v/>
      </c>
      <c r="C44" s="35"/>
      <c r="D44" s="35"/>
      <c r="E44" s="35"/>
      <c r="F44" s="35"/>
      <c r="G44" s="82"/>
      <c r="H44" s="97">
        <v>39</v>
      </c>
      <c r="I44" s="98" t="str">
        <f t="shared" si="1"/>
        <v/>
      </c>
      <c r="J44" s="97">
        <f t="shared" si="6"/>
        <v>-1</v>
      </c>
      <c r="K44" s="97">
        <f t="shared" si="2"/>
        <v>-10</v>
      </c>
      <c r="L44" s="97"/>
      <c r="M44" s="99">
        <f t="shared" si="3"/>
        <v>0</v>
      </c>
      <c r="N44" s="99">
        <f t="shared" si="4"/>
        <v>0</v>
      </c>
      <c r="O44" s="82"/>
      <c r="P44" s="82"/>
      <c r="Q44" s="82"/>
      <c r="R44" s="82"/>
      <c r="S44" s="111"/>
      <c r="T44" s="112"/>
    </row>
    <row r="45" spans="1:20" s="87" customFormat="1" x14ac:dyDescent="0.25">
      <c r="A45" s="100">
        <f t="shared" si="5"/>
        <v>0</v>
      </c>
      <c r="B45" s="40" t="str">
        <f t="shared" si="0"/>
        <v/>
      </c>
      <c r="C45" s="41"/>
      <c r="D45" s="41"/>
      <c r="E45" s="41"/>
      <c r="F45" s="41"/>
      <c r="G45" s="82"/>
      <c r="H45" s="101">
        <v>40</v>
      </c>
      <c r="I45" s="102" t="str">
        <f t="shared" si="1"/>
        <v/>
      </c>
      <c r="J45" s="101">
        <f t="shared" si="6"/>
        <v>-1</v>
      </c>
      <c r="K45" s="101">
        <f t="shared" si="2"/>
        <v>-10</v>
      </c>
      <c r="L45" s="101"/>
      <c r="M45" s="103">
        <f t="shared" si="3"/>
        <v>0</v>
      </c>
      <c r="N45" s="103">
        <f t="shared" si="4"/>
        <v>0</v>
      </c>
      <c r="O45" s="82"/>
      <c r="P45" s="82"/>
      <c r="Q45" s="82"/>
      <c r="R45" s="82"/>
      <c r="S45" s="82"/>
    </row>
    <row r="46" spans="1:20" s="87" customFormat="1" x14ac:dyDescent="0.25">
      <c r="A46" s="96">
        <f t="shared" si="5"/>
        <v>0</v>
      </c>
      <c r="B46" s="34" t="str">
        <f t="shared" si="0"/>
        <v/>
      </c>
      <c r="C46" s="35"/>
      <c r="D46" s="35"/>
      <c r="E46" s="35"/>
      <c r="F46" s="35"/>
      <c r="G46" s="82"/>
      <c r="H46" s="97">
        <v>41</v>
      </c>
      <c r="I46" s="98" t="str">
        <f t="shared" si="1"/>
        <v/>
      </c>
      <c r="J46" s="97">
        <f t="shared" si="6"/>
        <v>-1</v>
      </c>
      <c r="K46" s="97">
        <f t="shared" si="2"/>
        <v>-10</v>
      </c>
      <c r="L46" s="97"/>
      <c r="M46" s="99">
        <f t="shared" si="3"/>
        <v>0</v>
      </c>
      <c r="N46" s="99">
        <f t="shared" si="4"/>
        <v>0</v>
      </c>
      <c r="O46" s="82"/>
      <c r="P46" s="82"/>
      <c r="Q46" s="82"/>
      <c r="R46" s="82"/>
      <c r="S46" s="111"/>
      <c r="T46" s="112"/>
    </row>
    <row r="47" spans="1:20" s="87" customFormat="1" x14ac:dyDescent="0.25">
      <c r="A47" s="100">
        <f t="shared" si="5"/>
        <v>0</v>
      </c>
      <c r="B47" s="40" t="str">
        <f t="shared" si="0"/>
        <v/>
      </c>
      <c r="C47" s="41"/>
      <c r="D47" s="41"/>
      <c r="E47" s="41"/>
      <c r="F47" s="41"/>
      <c r="G47" s="82"/>
      <c r="H47" s="101">
        <v>42</v>
      </c>
      <c r="I47" s="102" t="str">
        <f t="shared" si="1"/>
        <v/>
      </c>
      <c r="J47" s="101">
        <f t="shared" si="6"/>
        <v>-1</v>
      </c>
      <c r="K47" s="101">
        <f t="shared" si="2"/>
        <v>-10</v>
      </c>
      <c r="L47" s="101"/>
      <c r="M47" s="103">
        <f t="shared" si="3"/>
        <v>0</v>
      </c>
      <c r="N47" s="103">
        <f t="shared" si="4"/>
        <v>0</v>
      </c>
      <c r="O47" s="82"/>
      <c r="P47" s="82"/>
      <c r="Q47" s="82"/>
      <c r="R47" s="82"/>
      <c r="S47" s="82"/>
    </row>
    <row r="48" spans="1:20" s="87" customFormat="1" x14ac:dyDescent="0.25">
      <c r="A48" s="96">
        <f t="shared" si="5"/>
        <v>0</v>
      </c>
      <c r="B48" s="34" t="str">
        <f t="shared" si="0"/>
        <v/>
      </c>
      <c r="C48" s="35"/>
      <c r="D48" s="35"/>
      <c r="E48" s="35"/>
      <c r="F48" s="35"/>
      <c r="G48" s="82"/>
      <c r="H48" s="97">
        <v>43</v>
      </c>
      <c r="I48" s="98" t="str">
        <f t="shared" si="1"/>
        <v/>
      </c>
      <c r="J48" s="97">
        <f t="shared" si="6"/>
        <v>-1</v>
      </c>
      <c r="K48" s="97">
        <f t="shared" si="2"/>
        <v>-10</v>
      </c>
      <c r="L48" s="97"/>
      <c r="M48" s="99">
        <f t="shared" si="3"/>
        <v>0</v>
      </c>
      <c r="N48" s="99">
        <f t="shared" si="4"/>
        <v>0</v>
      </c>
      <c r="O48" s="82"/>
      <c r="P48" s="82"/>
      <c r="Q48" s="82"/>
      <c r="R48" s="82"/>
      <c r="S48" s="111"/>
      <c r="T48" s="112"/>
    </row>
    <row r="49" spans="1:20" s="87" customFormat="1" x14ac:dyDescent="0.25">
      <c r="A49" s="100">
        <f t="shared" si="5"/>
        <v>0</v>
      </c>
      <c r="B49" s="40" t="str">
        <f t="shared" si="0"/>
        <v/>
      </c>
      <c r="C49" s="41"/>
      <c r="D49" s="41"/>
      <c r="E49" s="41"/>
      <c r="F49" s="41"/>
      <c r="G49" s="82"/>
      <c r="H49" s="101">
        <v>44</v>
      </c>
      <c r="I49" s="102" t="str">
        <f t="shared" si="1"/>
        <v/>
      </c>
      <c r="J49" s="101">
        <f t="shared" si="6"/>
        <v>-1</v>
      </c>
      <c r="K49" s="101">
        <f t="shared" si="2"/>
        <v>-10</v>
      </c>
      <c r="L49" s="101"/>
      <c r="M49" s="103">
        <f t="shared" si="3"/>
        <v>0</v>
      </c>
      <c r="N49" s="103">
        <f t="shared" si="4"/>
        <v>0</v>
      </c>
      <c r="O49" s="82"/>
      <c r="P49" s="82"/>
      <c r="Q49" s="82"/>
      <c r="R49" s="82"/>
      <c r="S49" s="82"/>
    </row>
    <row r="50" spans="1:20" s="87" customFormat="1" x14ac:dyDescent="0.25">
      <c r="A50" s="96">
        <f t="shared" si="5"/>
        <v>0</v>
      </c>
      <c r="B50" s="34" t="str">
        <f t="shared" si="0"/>
        <v/>
      </c>
      <c r="C50" s="35"/>
      <c r="D50" s="35"/>
      <c r="E50" s="35"/>
      <c r="F50" s="35"/>
      <c r="G50" s="82"/>
      <c r="H50" s="97">
        <v>45</v>
      </c>
      <c r="I50" s="98" t="str">
        <f t="shared" si="1"/>
        <v/>
      </c>
      <c r="J50" s="97">
        <f t="shared" si="6"/>
        <v>-1</v>
      </c>
      <c r="K50" s="97">
        <f t="shared" si="2"/>
        <v>-10</v>
      </c>
      <c r="L50" s="97"/>
      <c r="M50" s="99">
        <f t="shared" si="3"/>
        <v>0</v>
      </c>
      <c r="N50" s="99">
        <f t="shared" si="4"/>
        <v>0</v>
      </c>
      <c r="O50" s="82"/>
      <c r="P50" s="82"/>
      <c r="Q50" s="82"/>
      <c r="R50" s="82"/>
      <c r="S50" s="111"/>
      <c r="T50" s="112"/>
    </row>
    <row r="51" spans="1:20" s="87" customFormat="1" x14ac:dyDescent="0.25">
      <c r="A51" s="100">
        <f t="shared" si="5"/>
        <v>0</v>
      </c>
      <c r="B51" s="40" t="str">
        <f t="shared" si="0"/>
        <v/>
      </c>
      <c r="C51" s="41"/>
      <c r="D51" s="41"/>
      <c r="E51" s="41"/>
      <c r="F51" s="41"/>
      <c r="G51" s="82"/>
      <c r="H51" s="101">
        <v>46</v>
      </c>
      <c r="I51" s="102" t="str">
        <f t="shared" si="1"/>
        <v/>
      </c>
      <c r="J51" s="101">
        <f t="shared" si="6"/>
        <v>-1</v>
      </c>
      <c r="K51" s="101">
        <f t="shared" si="2"/>
        <v>-10</v>
      </c>
      <c r="L51" s="101"/>
      <c r="M51" s="103">
        <f t="shared" si="3"/>
        <v>0</v>
      </c>
      <c r="N51" s="103">
        <f t="shared" si="4"/>
        <v>0</v>
      </c>
      <c r="O51" s="82"/>
      <c r="P51" s="82"/>
      <c r="Q51" s="82"/>
      <c r="R51" s="82"/>
      <c r="S51" s="82"/>
    </row>
    <row r="52" spans="1:20" s="87" customFormat="1" x14ac:dyDescent="0.25">
      <c r="A52" s="96">
        <f t="shared" si="5"/>
        <v>0</v>
      </c>
      <c r="B52" s="34" t="str">
        <f t="shared" si="0"/>
        <v/>
      </c>
      <c r="C52" s="35"/>
      <c r="D52" s="35"/>
      <c r="E52" s="35"/>
      <c r="F52" s="35"/>
      <c r="G52" s="82"/>
      <c r="H52" s="97">
        <v>47</v>
      </c>
      <c r="I52" s="98" t="str">
        <f t="shared" si="1"/>
        <v/>
      </c>
      <c r="J52" s="97">
        <f t="shared" si="6"/>
        <v>-1</v>
      </c>
      <c r="K52" s="97">
        <f t="shared" si="2"/>
        <v>-10</v>
      </c>
      <c r="L52" s="97"/>
      <c r="M52" s="99">
        <f t="shared" si="3"/>
        <v>0</v>
      </c>
      <c r="N52" s="99">
        <f t="shared" si="4"/>
        <v>0</v>
      </c>
      <c r="O52" s="82"/>
      <c r="P52" s="82"/>
      <c r="Q52" s="82"/>
      <c r="R52" s="82"/>
      <c r="S52" s="111"/>
      <c r="T52" s="112"/>
    </row>
    <row r="53" spans="1:20" s="87" customFormat="1" x14ac:dyDescent="0.25">
      <c r="A53" s="100">
        <f t="shared" si="5"/>
        <v>0</v>
      </c>
      <c r="B53" s="40" t="str">
        <f t="shared" si="0"/>
        <v/>
      </c>
      <c r="C53" s="41"/>
      <c r="D53" s="41"/>
      <c r="E53" s="41"/>
      <c r="F53" s="41"/>
      <c r="G53" s="82"/>
      <c r="H53" s="101">
        <v>48</v>
      </c>
      <c r="I53" s="102" t="str">
        <f t="shared" si="1"/>
        <v/>
      </c>
      <c r="J53" s="101">
        <f t="shared" si="6"/>
        <v>-1</v>
      </c>
      <c r="K53" s="101">
        <f t="shared" si="2"/>
        <v>-10</v>
      </c>
      <c r="L53" s="101"/>
      <c r="M53" s="103">
        <f t="shared" si="3"/>
        <v>0</v>
      </c>
      <c r="N53" s="103">
        <f t="shared" si="4"/>
        <v>0</v>
      </c>
      <c r="O53" s="82"/>
      <c r="P53" s="82"/>
      <c r="Q53" s="82"/>
      <c r="R53" s="82"/>
      <c r="S53" s="82"/>
    </row>
    <row r="54" spans="1:20" s="87" customFormat="1" x14ac:dyDescent="0.25">
      <c r="A54" s="96">
        <f t="shared" si="5"/>
        <v>0</v>
      </c>
      <c r="B54" s="34" t="str">
        <f t="shared" si="0"/>
        <v/>
      </c>
      <c r="C54" s="35"/>
      <c r="D54" s="35"/>
      <c r="E54" s="35"/>
      <c r="F54" s="35"/>
      <c r="G54" s="82"/>
      <c r="H54" s="97">
        <v>49</v>
      </c>
      <c r="I54" s="98" t="str">
        <f t="shared" si="1"/>
        <v/>
      </c>
      <c r="J54" s="97">
        <f t="shared" si="6"/>
        <v>-1</v>
      </c>
      <c r="K54" s="97">
        <f t="shared" si="2"/>
        <v>-10</v>
      </c>
      <c r="L54" s="97"/>
      <c r="M54" s="99">
        <f t="shared" si="3"/>
        <v>0</v>
      </c>
      <c r="N54" s="99">
        <f t="shared" si="4"/>
        <v>0</v>
      </c>
      <c r="O54" s="82"/>
      <c r="P54" s="82"/>
      <c r="Q54" s="82"/>
      <c r="R54" s="82"/>
      <c r="S54" s="111"/>
      <c r="T54" s="112"/>
    </row>
    <row r="55" spans="1:20" s="87" customFormat="1" x14ac:dyDescent="0.25">
      <c r="A55" s="100">
        <f t="shared" si="5"/>
        <v>0</v>
      </c>
      <c r="B55" s="40" t="str">
        <f t="shared" si="0"/>
        <v/>
      </c>
      <c r="C55" s="41"/>
      <c r="D55" s="41"/>
      <c r="E55" s="41"/>
      <c r="F55" s="41"/>
      <c r="G55" s="82"/>
      <c r="H55" s="101">
        <v>50</v>
      </c>
      <c r="I55" s="102" t="str">
        <f t="shared" si="1"/>
        <v/>
      </c>
      <c r="J55" s="101">
        <f t="shared" si="6"/>
        <v>-1</v>
      </c>
      <c r="K55" s="101">
        <f t="shared" si="2"/>
        <v>-10</v>
      </c>
      <c r="L55" s="101"/>
      <c r="M55" s="103">
        <f t="shared" si="3"/>
        <v>0</v>
      </c>
      <c r="N55" s="103">
        <f t="shared" si="4"/>
        <v>0</v>
      </c>
      <c r="O55" s="82"/>
      <c r="P55" s="82"/>
      <c r="Q55" s="82"/>
      <c r="R55" s="82"/>
      <c r="S55" s="82"/>
    </row>
    <row r="56" spans="1:20" s="87" customFormat="1" x14ac:dyDescent="0.25">
      <c r="A56" s="96">
        <f t="shared" si="5"/>
        <v>0</v>
      </c>
      <c r="B56" s="34" t="str">
        <f t="shared" si="0"/>
        <v/>
      </c>
      <c r="C56" s="35"/>
      <c r="D56" s="35"/>
      <c r="E56" s="35"/>
      <c r="F56" s="35"/>
      <c r="G56" s="82"/>
      <c r="H56" s="97">
        <v>51</v>
      </c>
      <c r="I56" s="98" t="str">
        <f t="shared" si="1"/>
        <v/>
      </c>
      <c r="J56" s="97">
        <f t="shared" si="6"/>
        <v>-1</v>
      </c>
      <c r="K56" s="97">
        <f t="shared" si="2"/>
        <v>-10</v>
      </c>
      <c r="L56" s="97"/>
      <c r="M56" s="99">
        <f t="shared" si="3"/>
        <v>0</v>
      </c>
      <c r="N56" s="99">
        <f t="shared" si="4"/>
        <v>0</v>
      </c>
      <c r="O56" s="82"/>
      <c r="P56" s="82"/>
      <c r="Q56" s="82"/>
      <c r="R56" s="82"/>
      <c r="S56" s="111"/>
      <c r="T56" s="112"/>
    </row>
    <row r="57" spans="1:20" s="87" customFormat="1" x14ac:dyDescent="0.25">
      <c r="A57" s="100">
        <f t="shared" si="5"/>
        <v>0</v>
      </c>
      <c r="B57" s="40" t="str">
        <f t="shared" si="0"/>
        <v/>
      </c>
      <c r="C57" s="41"/>
      <c r="D57" s="41"/>
      <c r="E57" s="41"/>
      <c r="F57" s="41"/>
      <c r="G57" s="82"/>
      <c r="H57" s="101">
        <v>52</v>
      </c>
      <c r="I57" s="102" t="str">
        <f t="shared" si="1"/>
        <v/>
      </c>
      <c r="J57" s="101">
        <f t="shared" si="6"/>
        <v>-1</v>
      </c>
      <c r="K57" s="101">
        <f t="shared" si="2"/>
        <v>-10</v>
      </c>
      <c r="L57" s="101"/>
      <c r="M57" s="103">
        <f t="shared" si="3"/>
        <v>0</v>
      </c>
      <c r="N57" s="103">
        <f t="shared" si="4"/>
        <v>0</v>
      </c>
      <c r="O57" s="82"/>
      <c r="P57" s="82"/>
      <c r="Q57" s="82"/>
      <c r="R57" s="82"/>
      <c r="S57" s="82"/>
    </row>
    <row r="58" spans="1:20" s="87" customFormat="1" x14ac:dyDescent="0.25">
      <c r="A58" s="96">
        <f t="shared" si="5"/>
        <v>0</v>
      </c>
      <c r="B58" s="34" t="str">
        <f t="shared" si="0"/>
        <v/>
      </c>
      <c r="C58" s="35"/>
      <c r="D58" s="35"/>
      <c r="E58" s="35"/>
      <c r="F58" s="35"/>
      <c r="G58" s="82"/>
      <c r="H58" s="97">
        <v>53</v>
      </c>
      <c r="I58" s="98" t="str">
        <f t="shared" si="1"/>
        <v/>
      </c>
      <c r="J58" s="97">
        <f t="shared" si="6"/>
        <v>-1</v>
      </c>
      <c r="K58" s="97">
        <f t="shared" si="2"/>
        <v>-10</v>
      </c>
      <c r="L58" s="97"/>
      <c r="M58" s="99">
        <f t="shared" si="3"/>
        <v>0</v>
      </c>
      <c r="N58" s="99">
        <f t="shared" si="4"/>
        <v>0</v>
      </c>
      <c r="O58" s="82"/>
      <c r="P58" s="82"/>
      <c r="Q58" s="82"/>
      <c r="R58" s="82"/>
      <c r="S58" s="111"/>
      <c r="T58" s="112"/>
    </row>
    <row r="59" spans="1:20" s="87" customFormat="1" x14ac:dyDescent="0.25">
      <c r="A59" s="100">
        <f t="shared" si="5"/>
        <v>0</v>
      </c>
      <c r="B59" s="40" t="str">
        <f t="shared" si="0"/>
        <v/>
      </c>
      <c r="C59" s="41"/>
      <c r="D59" s="41"/>
      <c r="E59" s="41"/>
      <c r="F59" s="41"/>
      <c r="G59" s="82"/>
      <c r="H59" s="101">
        <v>54</v>
      </c>
      <c r="I59" s="102" t="str">
        <f t="shared" si="1"/>
        <v/>
      </c>
      <c r="J59" s="101">
        <f t="shared" si="6"/>
        <v>-1</v>
      </c>
      <c r="K59" s="101">
        <f t="shared" si="2"/>
        <v>-10</v>
      </c>
      <c r="L59" s="101"/>
      <c r="M59" s="103">
        <f t="shared" si="3"/>
        <v>0</v>
      </c>
      <c r="N59" s="103">
        <f t="shared" si="4"/>
        <v>0</v>
      </c>
      <c r="O59" s="82"/>
      <c r="P59" s="82"/>
      <c r="Q59" s="82"/>
      <c r="R59" s="82"/>
      <c r="S59" s="82"/>
    </row>
    <row r="60" spans="1:20" s="87" customFormat="1" x14ac:dyDescent="0.25">
      <c r="A60" s="96">
        <f t="shared" si="5"/>
        <v>0</v>
      </c>
      <c r="B60" s="34" t="str">
        <f t="shared" si="0"/>
        <v/>
      </c>
      <c r="C60" s="35"/>
      <c r="D60" s="35"/>
      <c r="E60" s="35"/>
      <c r="F60" s="35"/>
      <c r="G60" s="82"/>
      <c r="H60" s="97">
        <v>55</v>
      </c>
      <c r="I60" s="98" t="str">
        <f t="shared" si="1"/>
        <v/>
      </c>
      <c r="J60" s="97">
        <f t="shared" si="6"/>
        <v>-1</v>
      </c>
      <c r="K60" s="97">
        <f t="shared" si="2"/>
        <v>-10</v>
      </c>
      <c r="L60" s="97"/>
      <c r="M60" s="99">
        <f t="shared" si="3"/>
        <v>0</v>
      </c>
      <c r="N60" s="99">
        <f t="shared" si="4"/>
        <v>0</v>
      </c>
      <c r="O60" s="82"/>
      <c r="P60" s="82"/>
      <c r="Q60" s="82"/>
      <c r="R60" s="82"/>
      <c r="S60" s="111"/>
      <c r="T60" s="112"/>
    </row>
    <row r="61" spans="1:20" s="87" customFormat="1" x14ac:dyDescent="0.25">
      <c r="A61" s="100">
        <f t="shared" si="5"/>
        <v>0</v>
      </c>
      <c r="B61" s="40" t="str">
        <f t="shared" si="0"/>
        <v/>
      </c>
      <c r="C61" s="41"/>
      <c r="D61" s="41"/>
      <c r="E61" s="41"/>
      <c r="F61" s="41"/>
      <c r="G61" s="82"/>
      <c r="H61" s="101">
        <v>56</v>
      </c>
      <c r="I61" s="102" t="str">
        <f t="shared" si="1"/>
        <v/>
      </c>
      <c r="J61" s="101">
        <f t="shared" si="6"/>
        <v>-1</v>
      </c>
      <c r="K61" s="101">
        <f t="shared" si="2"/>
        <v>-10</v>
      </c>
      <c r="L61" s="101"/>
      <c r="M61" s="103">
        <f t="shared" si="3"/>
        <v>0</v>
      </c>
      <c r="N61" s="103">
        <f t="shared" si="4"/>
        <v>0</v>
      </c>
      <c r="O61" s="82"/>
      <c r="P61" s="82"/>
      <c r="Q61" s="82"/>
      <c r="R61" s="82"/>
      <c r="S61" s="82"/>
    </row>
    <row r="62" spans="1:20" s="87" customFormat="1" x14ac:dyDescent="0.25">
      <c r="A62" s="96">
        <f t="shared" si="5"/>
        <v>0</v>
      </c>
      <c r="B62" s="34" t="str">
        <f t="shared" si="0"/>
        <v/>
      </c>
      <c r="C62" s="35"/>
      <c r="D62" s="35"/>
      <c r="E62" s="35"/>
      <c r="F62" s="35"/>
      <c r="G62" s="82"/>
      <c r="H62" s="97">
        <v>57</v>
      </c>
      <c r="I62" s="98" t="str">
        <f t="shared" si="1"/>
        <v/>
      </c>
      <c r="J62" s="97">
        <f t="shared" si="6"/>
        <v>-1</v>
      </c>
      <c r="K62" s="97">
        <f t="shared" si="2"/>
        <v>-10</v>
      </c>
      <c r="L62" s="97"/>
      <c r="M62" s="99">
        <f t="shared" si="3"/>
        <v>0</v>
      </c>
      <c r="N62" s="99">
        <f t="shared" si="4"/>
        <v>0</v>
      </c>
      <c r="O62" s="82"/>
      <c r="P62" s="82"/>
      <c r="Q62" s="82"/>
      <c r="R62" s="82"/>
      <c r="S62" s="111"/>
      <c r="T62" s="112"/>
    </row>
    <row r="63" spans="1:20" s="87" customFormat="1" x14ac:dyDescent="0.25">
      <c r="A63" s="100">
        <f t="shared" si="5"/>
        <v>0</v>
      </c>
      <c r="B63" s="40" t="str">
        <f t="shared" si="0"/>
        <v/>
      </c>
      <c r="C63" s="41"/>
      <c r="D63" s="41"/>
      <c r="E63" s="41"/>
      <c r="F63" s="41"/>
      <c r="G63" s="82"/>
      <c r="H63" s="101">
        <v>58</v>
      </c>
      <c r="I63" s="102" t="str">
        <f t="shared" si="1"/>
        <v/>
      </c>
      <c r="J63" s="101">
        <f t="shared" si="6"/>
        <v>-1</v>
      </c>
      <c r="K63" s="101">
        <f t="shared" si="2"/>
        <v>-10</v>
      </c>
      <c r="L63" s="101"/>
      <c r="M63" s="103">
        <f t="shared" si="3"/>
        <v>0</v>
      </c>
      <c r="N63" s="103">
        <f t="shared" si="4"/>
        <v>0</v>
      </c>
      <c r="O63" s="82"/>
      <c r="P63" s="82"/>
      <c r="Q63" s="82"/>
      <c r="R63" s="82"/>
      <c r="S63" s="82"/>
    </row>
    <row r="64" spans="1:20" s="87" customFormat="1" x14ac:dyDescent="0.25">
      <c r="A64" s="96">
        <f t="shared" si="5"/>
        <v>0</v>
      </c>
      <c r="B64" s="34" t="str">
        <f t="shared" si="0"/>
        <v/>
      </c>
      <c r="C64" s="35"/>
      <c r="D64" s="35"/>
      <c r="E64" s="35"/>
      <c r="F64" s="35"/>
      <c r="G64" s="82"/>
      <c r="H64" s="97">
        <v>59</v>
      </c>
      <c r="I64" s="98" t="str">
        <f t="shared" si="1"/>
        <v/>
      </c>
      <c r="J64" s="97">
        <f t="shared" si="6"/>
        <v>-1</v>
      </c>
      <c r="K64" s="97">
        <f t="shared" si="2"/>
        <v>-10</v>
      </c>
      <c r="L64" s="97"/>
      <c r="M64" s="99">
        <f t="shared" si="3"/>
        <v>0</v>
      </c>
      <c r="N64" s="99">
        <f t="shared" si="4"/>
        <v>0</v>
      </c>
      <c r="O64" s="82"/>
      <c r="P64" s="82"/>
      <c r="Q64" s="82"/>
      <c r="R64" s="82"/>
      <c r="S64" s="111"/>
      <c r="T64" s="112"/>
    </row>
    <row r="65" spans="1:20" s="87" customFormat="1" x14ac:dyDescent="0.25">
      <c r="A65" s="100">
        <f t="shared" si="5"/>
        <v>0</v>
      </c>
      <c r="B65" s="40" t="str">
        <f t="shared" si="0"/>
        <v/>
      </c>
      <c r="C65" s="41"/>
      <c r="D65" s="41"/>
      <c r="E65" s="41"/>
      <c r="F65" s="41"/>
      <c r="G65" s="82"/>
      <c r="H65" s="101">
        <v>60</v>
      </c>
      <c r="I65" s="102" t="str">
        <f t="shared" si="1"/>
        <v/>
      </c>
      <c r="J65" s="101">
        <f t="shared" si="6"/>
        <v>-1</v>
      </c>
      <c r="K65" s="101">
        <f t="shared" si="2"/>
        <v>-10</v>
      </c>
      <c r="L65" s="101"/>
      <c r="M65" s="103">
        <f t="shared" si="3"/>
        <v>0</v>
      </c>
      <c r="N65" s="103">
        <f t="shared" si="4"/>
        <v>0</v>
      </c>
      <c r="O65" s="82"/>
      <c r="P65" s="82"/>
      <c r="Q65" s="82"/>
      <c r="R65" s="82"/>
      <c r="S65" s="82"/>
    </row>
    <row r="66" spans="1:20" s="87" customFormat="1" x14ac:dyDescent="0.25">
      <c r="A66" s="96">
        <f t="shared" si="5"/>
        <v>0</v>
      </c>
      <c r="B66" s="34" t="str">
        <f t="shared" si="0"/>
        <v/>
      </c>
      <c r="C66" s="35"/>
      <c r="D66" s="35"/>
      <c r="E66" s="35"/>
      <c r="F66" s="35"/>
      <c r="G66" s="82"/>
      <c r="H66" s="97">
        <v>61</v>
      </c>
      <c r="I66" s="98" t="str">
        <f t="shared" si="1"/>
        <v/>
      </c>
      <c r="J66" s="97">
        <f t="shared" si="6"/>
        <v>-1</v>
      </c>
      <c r="K66" s="97">
        <f t="shared" si="2"/>
        <v>-10</v>
      </c>
      <c r="L66" s="97"/>
      <c r="M66" s="99">
        <f t="shared" si="3"/>
        <v>0</v>
      </c>
      <c r="N66" s="99">
        <f t="shared" si="4"/>
        <v>0</v>
      </c>
      <c r="O66" s="82"/>
      <c r="P66" s="82"/>
      <c r="Q66" s="82"/>
      <c r="R66" s="82"/>
      <c r="S66" s="111"/>
      <c r="T66" s="112"/>
    </row>
    <row r="67" spans="1:20" s="87" customFormat="1" x14ac:dyDescent="0.25">
      <c r="A67" s="100">
        <f t="shared" si="5"/>
        <v>0</v>
      </c>
      <c r="B67" s="40" t="str">
        <f t="shared" si="0"/>
        <v/>
      </c>
      <c r="C67" s="41"/>
      <c r="D67" s="41"/>
      <c r="E67" s="41"/>
      <c r="F67" s="41"/>
      <c r="G67" s="82"/>
      <c r="H67" s="101">
        <v>62</v>
      </c>
      <c r="I67" s="102" t="str">
        <f t="shared" si="1"/>
        <v/>
      </c>
      <c r="J67" s="101">
        <f t="shared" si="6"/>
        <v>-1</v>
      </c>
      <c r="K67" s="101">
        <f t="shared" si="2"/>
        <v>-10</v>
      </c>
      <c r="L67" s="101"/>
      <c r="M67" s="103">
        <f t="shared" si="3"/>
        <v>0</v>
      </c>
      <c r="N67" s="103">
        <f t="shared" si="4"/>
        <v>0</v>
      </c>
      <c r="O67" s="82"/>
      <c r="P67" s="82"/>
      <c r="Q67" s="82"/>
      <c r="R67" s="82"/>
      <c r="S67" s="82"/>
    </row>
    <row r="68" spans="1:20" s="87" customFormat="1" x14ac:dyDescent="0.25">
      <c r="A68" s="96">
        <f t="shared" si="5"/>
        <v>0</v>
      </c>
      <c r="B68" s="34" t="str">
        <f t="shared" si="0"/>
        <v/>
      </c>
      <c r="C68" s="35"/>
      <c r="D68" s="35"/>
      <c r="E68" s="35"/>
      <c r="F68" s="35"/>
      <c r="G68" s="82"/>
      <c r="H68" s="97">
        <v>63</v>
      </c>
      <c r="I68" s="98" t="str">
        <f t="shared" si="1"/>
        <v/>
      </c>
      <c r="J68" s="97">
        <f t="shared" si="6"/>
        <v>-1</v>
      </c>
      <c r="K68" s="97">
        <f t="shared" si="2"/>
        <v>-10</v>
      </c>
      <c r="L68" s="97"/>
      <c r="M68" s="99">
        <f t="shared" si="3"/>
        <v>0</v>
      </c>
      <c r="N68" s="99">
        <f t="shared" si="4"/>
        <v>0</v>
      </c>
      <c r="O68" s="82"/>
      <c r="P68" s="82"/>
      <c r="Q68" s="82"/>
      <c r="R68" s="82"/>
      <c r="S68" s="111"/>
      <c r="T68" s="112"/>
    </row>
    <row r="69" spans="1:20" s="87" customFormat="1" x14ac:dyDescent="0.25">
      <c r="A69" s="100">
        <f t="shared" si="5"/>
        <v>0</v>
      </c>
      <c r="B69" s="40" t="str">
        <f t="shared" si="0"/>
        <v/>
      </c>
      <c r="C69" s="41"/>
      <c r="D69" s="41"/>
      <c r="E69" s="41"/>
      <c r="F69" s="41"/>
      <c r="G69" s="82"/>
      <c r="H69" s="101">
        <v>64</v>
      </c>
      <c r="I69" s="102" t="str">
        <f t="shared" si="1"/>
        <v/>
      </c>
      <c r="J69" s="101">
        <f t="shared" si="6"/>
        <v>-1</v>
      </c>
      <c r="K69" s="101">
        <f t="shared" si="2"/>
        <v>-10</v>
      </c>
      <c r="L69" s="101"/>
      <c r="M69" s="103">
        <f t="shared" si="3"/>
        <v>0</v>
      </c>
      <c r="N69" s="103">
        <f t="shared" si="4"/>
        <v>0</v>
      </c>
      <c r="O69" s="82"/>
      <c r="P69" s="82"/>
      <c r="Q69" s="82"/>
      <c r="R69" s="82"/>
      <c r="S69" s="82"/>
    </row>
    <row r="70" spans="1:20" s="87" customFormat="1" x14ac:dyDescent="0.25">
      <c r="A70" s="96">
        <f t="shared" si="5"/>
        <v>0</v>
      </c>
      <c r="B70" s="34" t="str">
        <f t="shared" ref="B70:B133" si="7">IF(H70&gt;$H$2,"",(ROW()-5))</f>
        <v/>
      </c>
      <c r="C70" s="35"/>
      <c r="D70" s="35"/>
      <c r="E70" s="35"/>
      <c r="F70" s="35"/>
      <c r="G70" s="82"/>
      <c r="H70" s="97">
        <v>65</v>
      </c>
      <c r="I70" s="98" t="str">
        <f t="shared" ref="I70:I133" si="8">IF(H70&lt;$H$2+1,($I$2-($I$2-1)*(LOG(H70)/LOG($H$2))),"")</f>
        <v/>
      </c>
      <c r="J70" s="97">
        <f t="shared" si="6"/>
        <v>-2</v>
      </c>
      <c r="K70" s="97">
        <f t="shared" ref="K70:K133" si="9">J70*$J$2</f>
        <v>-20</v>
      </c>
      <c r="L70" s="97"/>
      <c r="M70" s="99">
        <f t="shared" ref="M70:M133" si="10">IF(I70&lt;&gt;"",K70+I70+L70,0)</f>
        <v>0</v>
      </c>
      <c r="N70" s="99">
        <f t="shared" ref="N70:N133" si="11">IF(I70&lt;&gt;"",M70*L$2,0)</f>
        <v>0</v>
      </c>
      <c r="O70" s="82"/>
      <c r="P70" s="82"/>
      <c r="Q70" s="82"/>
      <c r="R70" s="82"/>
      <c r="S70" s="111"/>
      <c r="T70" s="112"/>
    </row>
    <row r="71" spans="1:20" s="87" customFormat="1" x14ac:dyDescent="0.25">
      <c r="A71" s="100">
        <f t="shared" ref="A71:A134" si="12">N71</f>
        <v>0</v>
      </c>
      <c r="B71" s="40" t="str">
        <f t="shared" si="7"/>
        <v/>
      </c>
      <c r="C71" s="41"/>
      <c r="D71" s="41"/>
      <c r="E71" s="41"/>
      <c r="F71" s="41"/>
      <c r="G71" s="82"/>
      <c r="H71" s="101">
        <v>66</v>
      </c>
      <c r="I71" s="102" t="str">
        <f t="shared" si="8"/>
        <v/>
      </c>
      <c r="J71" s="101">
        <f t="shared" ref="J71:J134" si="13">INT(LOG($H$2,2))-ROUNDUP(LOG(H71,2),0)+IF(OR($H$2=1,$H$2=2,$H$2=4,$H$2=8,$H$2=16,$H$2=32,$H$2=64,$H$2=128,$H$2=256),0,1)</f>
        <v>-2</v>
      </c>
      <c r="K71" s="101">
        <f t="shared" si="9"/>
        <v>-20</v>
      </c>
      <c r="L71" s="101"/>
      <c r="M71" s="103">
        <f t="shared" si="10"/>
        <v>0</v>
      </c>
      <c r="N71" s="103">
        <f t="shared" si="11"/>
        <v>0</v>
      </c>
      <c r="O71" s="82"/>
      <c r="P71" s="82"/>
      <c r="Q71" s="82"/>
      <c r="R71" s="82"/>
      <c r="S71" s="82"/>
    </row>
    <row r="72" spans="1:20" s="87" customFormat="1" x14ac:dyDescent="0.25">
      <c r="A72" s="96">
        <f t="shared" si="12"/>
        <v>0</v>
      </c>
      <c r="B72" s="34" t="str">
        <f t="shared" si="7"/>
        <v/>
      </c>
      <c r="C72" s="35"/>
      <c r="D72" s="35"/>
      <c r="E72" s="35"/>
      <c r="F72" s="35"/>
      <c r="G72" s="82"/>
      <c r="H72" s="97">
        <v>67</v>
      </c>
      <c r="I72" s="98" t="str">
        <f t="shared" si="8"/>
        <v/>
      </c>
      <c r="J72" s="97">
        <f t="shared" si="13"/>
        <v>-2</v>
      </c>
      <c r="K72" s="97">
        <f t="shared" si="9"/>
        <v>-20</v>
      </c>
      <c r="L72" s="97"/>
      <c r="M72" s="99">
        <f t="shared" si="10"/>
        <v>0</v>
      </c>
      <c r="N72" s="99">
        <f t="shared" si="11"/>
        <v>0</v>
      </c>
      <c r="O72" s="82"/>
      <c r="P72" s="82"/>
      <c r="Q72" s="82"/>
      <c r="R72" s="82"/>
      <c r="S72" s="111"/>
      <c r="T72" s="112"/>
    </row>
    <row r="73" spans="1:20" s="87" customFormat="1" x14ac:dyDescent="0.25">
      <c r="A73" s="100">
        <f t="shared" si="12"/>
        <v>0</v>
      </c>
      <c r="B73" s="40" t="str">
        <f t="shared" si="7"/>
        <v/>
      </c>
      <c r="C73" s="41"/>
      <c r="D73" s="41"/>
      <c r="E73" s="41"/>
      <c r="F73" s="41"/>
      <c r="G73" s="82"/>
      <c r="H73" s="101">
        <v>68</v>
      </c>
      <c r="I73" s="102" t="str">
        <f t="shared" si="8"/>
        <v/>
      </c>
      <c r="J73" s="101">
        <f t="shared" si="13"/>
        <v>-2</v>
      </c>
      <c r="K73" s="101">
        <f t="shared" si="9"/>
        <v>-20</v>
      </c>
      <c r="L73" s="101"/>
      <c r="M73" s="103">
        <f t="shared" si="10"/>
        <v>0</v>
      </c>
      <c r="N73" s="103">
        <f t="shared" si="11"/>
        <v>0</v>
      </c>
      <c r="O73" s="82"/>
      <c r="P73" s="82"/>
      <c r="Q73" s="82"/>
      <c r="R73" s="82"/>
      <c r="S73" s="82"/>
    </row>
    <row r="74" spans="1:20" s="87" customFormat="1" x14ac:dyDescent="0.25">
      <c r="A74" s="96">
        <f t="shared" si="12"/>
        <v>0</v>
      </c>
      <c r="B74" s="34" t="str">
        <f t="shared" si="7"/>
        <v/>
      </c>
      <c r="C74" s="35"/>
      <c r="D74" s="35"/>
      <c r="E74" s="35"/>
      <c r="F74" s="35"/>
      <c r="G74" s="82"/>
      <c r="H74" s="97">
        <v>69</v>
      </c>
      <c r="I74" s="98" t="str">
        <f t="shared" si="8"/>
        <v/>
      </c>
      <c r="J74" s="97">
        <f t="shared" si="13"/>
        <v>-2</v>
      </c>
      <c r="K74" s="97">
        <f t="shared" si="9"/>
        <v>-20</v>
      </c>
      <c r="L74" s="97"/>
      <c r="M74" s="99">
        <f t="shared" si="10"/>
        <v>0</v>
      </c>
      <c r="N74" s="99">
        <f t="shared" si="11"/>
        <v>0</v>
      </c>
      <c r="O74" s="82"/>
      <c r="P74" s="82"/>
      <c r="Q74" s="82"/>
      <c r="R74" s="82"/>
      <c r="S74" s="111"/>
      <c r="T74" s="112"/>
    </row>
    <row r="75" spans="1:20" s="87" customFormat="1" x14ac:dyDescent="0.25">
      <c r="A75" s="100">
        <f t="shared" si="12"/>
        <v>0</v>
      </c>
      <c r="B75" s="40" t="str">
        <f t="shared" si="7"/>
        <v/>
      </c>
      <c r="C75" s="41"/>
      <c r="D75" s="41"/>
      <c r="E75" s="41"/>
      <c r="F75" s="41"/>
      <c r="G75" s="82"/>
      <c r="H75" s="101">
        <v>70</v>
      </c>
      <c r="I75" s="102" t="str">
        <f t="shared" si="8"/>
        <v/>
      </c>
      <c r="J75" s="101">
        <f t="shared" si="13"/>
        <v>-2</v>
      </c>
      <c r="K75" s="101">
        <f t="shared" si="9"/>
        <v>-20</v>
      </c>
      <c r="L75" s="101"/>
      <c r="M75" s="103">
        <f t="shared" si="10"/>
        <v>0</v>
      </c>
      <c r="N75" s="103">
        <f t="shared" si="11"/>
        <v>0</v>
      </c>
      <c r="O75" s="82"/>
      <c r="P75" s="82"/>
      <c r="Q75" s="82"/>
      <c r="R75" s="82"/>
      <c r="S75" s="82"/>
    </row>
    <row r="76" spans="1:20" s="87" customFormat="1" x14ac:dyDescent="0.25">
      <c r="A76" s="96">
        <f t="shared" si="12"/>
        <v>0</v>
      </c>
      <c r="B76" s="34" t="str">
        <f t="shared" si="7"/>
        <v/>
      </c>
      <c r="C76" s="35"/>
      <c r="D76" s="35"/>
      <c r="E76" s="35"/>
      <c r="F76" s="35"/>
      <c r="G76" s="82"/>
      <c r="H76" s="97">
        <v>71</v>
      </c>
      <c r="I76" s="98" t="str">
        <f t="shared" si="8"/>
        <v/>
      </c>
      <c r="J76" s="97">
        <f t="shared" si="13"/>
        <v>-2</v>
      </c>
      <c r="K76" s="97">
        <f t="shared" si="9"/>
        <v>-20</v>
      </c>
      <c r="L76" s="97"/>
      <c r="M76" s="99">
        <f t="shared" si="10"/>
        <v>0</v>
      </c>
      <c r="N76" s="99">
        <f t="shared" si="11"/>
        <v>0</v>
      </c>
      <c r="O76" s="82"/>
      <c r="P76" s="82"/>
      <c r="Q76" s="82"/>
      <c r="R76" s="82"/>
      <c r="S76" s="111"/>
      <c r="T76" s="112"/>
    </row>
    <row r="77" spans="1:20" s="87" customFormat="1" x14ac:dyDescent="0.25">
      <c r="A77" s="100">
        <f t="shared" si="12"/>
        <v>0</v>
      </c>
      <c r="B77" s="40" t="str">
        <f t="shared" si="7"/>
        <v/>
      </c>
      <c r="C77" s="41"/>
      <c r="D77" s="41"/>
      <c r="E77" s="41"/>
      <c r="F77" s="41"/>
      <c r="G77" s="82"/>
      <c r="H77" s="101">
        <v>72</v>
      </c>
      <c r="I77" s="102" t="str">
        <f t="shared" si="8"/>
        <v/>
      </c>
      <c r="J77" s="101">
        <f t="shared" si="13"/>
        <v>-2</v>
      </c>
      <c r="K77" s="101">
        <f t="shared" si="9"/>
        <v>-20</v>
      </c>
      <c r="L77" s="101"/>
      <c r="M77" s="103">
        <f t="shared" si="10"/>
        <v>0</v>
      </c>
      <c r="N77" s="103">
        <f t="shared" si="11"/>
        <v>0</v>
      </c>
      <c r="O77" s="82"/>
      <c r="P77" s="82"/>
      <c r="Q77" s="82"/>
      <c r="R77" s="82"/>
      <c r="S77" s="82"/>
    </row>
    <row r="78" spans="1:20" s="87" customFormat="1" x14ac:dyDescent="0.25">
      <c r="A78" s="96">
        <f t="shared" si="12"/>
        <v>0</v>
      </c>
      <c r="B78" s="34" t="str">
        <f t="shared" si="7"/>
        <v/>
      </c>
      <c r="C78" s="35"/>
      <c r="D78" s="35"/>
      <c r="E78" s="35"/>
      <c r="F78" s="35"/>
      <c r="G78" s="82"/>
      <c r="H78" s="97">
        <v>73</v>
      </c>
      <c r="I78" s="98" t="str">
        <f t="shared" si="8"/>
        <v/>
      </c>
      <c r="J78" s="97">
        <f t="shared" si="13"/>
        <v>-2</v>
      </c>
      <c r="K78" s="97">
        <f t="shared" si="9"/>
        <v>-20</v>
      </c>
      <c r="L78" s="97"/>
      <c r="M78" s="99">
        <f t="shared" si="10"/>
        <v>0</v>
      </c>
      <c r="N78" s="99">
        <f t="shared" si="11"/>
        <v>0</v>
      </c>
      <c r="O78" s="82"/>
      <c r="P78" s="82"/>
      <c r="Q78" s="82"/>
      <c r="R78" s="82"/>
      <c r="S78" s="111"/>
      <c r="T78" s="112"/>
    </row>
    <row r="79" spans="1:20" s="87" customFormat="1" x14ac:dyDescent="0.25">
      <c r="A79" s="100">
        <f t="shared" si="12"/>
        <v>0</v>
      </c>
      <c r="B79" s="40" t="str">
        <f t="shared" si="7"/>
        <v/>
      </c>
      <c r="C79" s="41"/>
      <c r="D79" s="41"/>
      <c r="E79" s="41"/>
      <c r="F79" s="41"/>
      <c r="G79" s="82"/>
      <c r="H79" s="101">
        <v>74</v>
      </c>
      <c r="I79" s="102" t="str">
        <f t="shared" si="8"/>
        <v/>
      </c>
      <c r="J79" s="101">
        <f t="shared" si="13"/>
        <v>-2</v>
      </c>
      <c r="K79" s="101">
        <f t="shared" si="9"/>
        <v>-20</v>
      </c>
      <c r="L79" s="101"/>
      <c r="M79" s="103">
        <f t="shared" si="10"/>
        <v>0</v>
      </c>
      <c r="N79" s="103">
        <f t="shared" si="11"/>
        <v>0</v>
      </c>
      <c r="O79" s="82"/>
      <c r="P79" s="82"/>
      <c r="Q79" s="82"/>
      <c r="R79" s="82"/>
      <c r="S79" s="82"/>
    </row>
    <row r="80" spans="1:20" s="87" customFormat="1" x14ac:dyDescent="0.25">
      <c r="A80" s="96">
        <f t="shared" si="12"/>
        <v>0</v>
      </c>
      <c r="B80" s="34" t="str">
        <f t="shared" si="7"/>
        <v/>
      </c>
      <c r="C80" s="35"/>
      <c r="D80" s="35"/>
      <c r="E80" s="35"/>
      <c r="F80" s="35"/>
      <c r="G80" s="82"/>
      <c r="H80" s="97">
        <v>75</v>
      </c>
      <c r="I80" s="98" t="str">
        <f t="shared" si="8"/>
        <v/>
      </c>
      <c r="J80" s="97">
        <f t="shared" si="13"/>
        <v>-2</v>
      </c>
      <c r="K80" s="97">
        <f t="shared" si="9"/>
        <v>-20</v>
      </c>
      <c r="L80" s="97"/>
      <c r="M80" s="99">
        <f t="shared" si="10"/>
        <v>0</v>
      </c>
      <c r="N80" s="99">
        <f t="shared" si="11"/>
        <v>0</v>
      </c>
      <c r="O80" s="82"/>
      <c r="P80" s="82"/>
      <c r="Q80" s="82"/>
      <c r="R80" s="82"/>
      <c r="S80" s="111"/>
      <c r="T80" s="112"/>
    </row>
    <row r="81" spans="1:20" s="87" customFormat="1" x14ac:dyDescent="0.25">
      <c r="A81" s="100">
        <f t="shared" si="12"/>
        <v>0</v>
      </c>
      <c r="B81" s="40" t="str">
        <f t="shared" si="7"/>
        <v/>
      </c>
      <c r="C81" s="41"/>
      <c r="D81" s="41"/>
      <c r="E81" s="41"/>
      <c r="F81" s="41"/>
      <c r="G81" s="82"/>
      <c r="H81" s="101">
        <v>76</v>
      </c>
      <c r="I81" s="102" t="str">
        <f t="shared" si="8"/>
        <v/>
      </c>
      <c r="J81" s="101">
        <f t="shared" si="13"/>
        <v>-2</v>
      </c>
      <c r="K81" s="101">
        <f t="shared" si="9"/>
        <v>-20</v>
      </c>
      <c r="L81" s="101"/>
      <c r="M81" s="103">
        <f t="shared" si="10"/>
        <v>0</v>
      </c>
      <c r="N81" s="103">
        <f t="shared" si="11"/>
        <v>0</v>
      </c>
      <c r="O81" s="82"/>
      <c r="P81" s="82"/>
      <c r="Q81" s="82"/>
      <c r="R81" s="82"/>
      <c r="S81" s="82"/>
    </row>
    <row r="82" spans="1:20" s="87" customFormat="1" x14ac:dyDescent="0.25">
      <c r="A82" s="96">
        <f t="shared" si="12"/>
        <v>0</v>
      </c>
      <c r="B82" s="34" t="str">
        <f t="shared" si="7"/>
        <v/>
      </c>
      <c r="C82" s="35"/>
      <c r="D82" s="35"/>
      <c r="E82" s="35"/>
      <c r="F82" s="35"/>
      <c r="G82" s="82"/>
      <c r="H82" s="97">
        <v>77</v>
      </c>
      <c r="I82" s="98" t="str">
        <f t="shared" si="8"/>
        <v/>
      </c>
      <c r="J82" s="97">
        <f t="shared" si="13"/>
        <v>-2</v>
      </c>
      <c r="K82" s="97">
        <f t="shared" si="9"/>
        <v>-20</v>
      </c>
      <c r="L82" s="97"/>
      <c r="M82" s="99">
        <f t="shared" si="10"/>
        <v>0</v>
      </c>
      <c r="N82" s="99">
        <f t="shared" si="11"/>
        <v>0</v>
      </c>
      <c r="O82" s="82"/>
      <c r="P82" s="82"/>
      <c r="Q82" s="82"/>
      <c r="R82" s="82"/>
      <c r="S82" s="111"/>
      <c r="T82" s="112"/>
    </row>
    <row r="83" spans="1:20" s="87" customFormat="1" x14ac:dyDescent="0.25">
      <c r="A83" s="100">
        <f t="shared" si="12"/>
        <v>0</v>
      </c>
      <c r="B83" s="40" t="str">
        <f t="shared" si="7"/>
        <v/>
      </c>
      <c r="C83" s="41"/>
      <c r="D83" s="41"/>
      <c r="E83" s="41"/>
      <c r="F83" s="41"/>
      <c r="G83" s="82"/>
      <c r="H83" s="101">
        <v>78</v>
      </c>
      <c r="I83" s="102" t="str">
        <f t="shared" si="8"/>
        <v/>
      </c>
      <c r="J83" s="101">
        <f t="shared" si="13"/>
        <v>-2</v>
      </c>
      <c r="K83" s="101">
        <f t="shared" si="9"/>
        <v>-20</v>
      </c>
      <c r="L83" s="101"/>
      <c r="M83" s="103">
        <f t="shared" si="10"/>
        <v>0</v>
      </c>
      <c r="N83" s="103">
        <f t="shared" si="11"/>
        <v>0</v>
      </c>
      <c r="O83" s="82"/>
      <c r="P83" s="82"/>
      <c r="Q83" s="82"/>
      <c r="R83" s="82"/>
      <c r="S83" s="82"/>
    </row>
    <row r="84" spans="1:20" s="87" customFormat="1" x14ac:dyDescent="0.25">
      <c r="A84" s="96">
        <f t="shared" si="12"/>
        <v>0</v>
      </c>
      <c r="B84" s="34" t="str">
        <f t="shared" si="7"/>
        <v/>
      </c>
      <c r="C84" s="35"/>
      <c r="D84" s="35"/>
      <c r="E84" s="35"/>
      <c r="F84" s="35"/>
      <c r="G84" s="82"/>
      <c r="H84" s="97">
        <v>79</v>
      </c>
      <c r="I84" s="98" t="str">
        <f t="shared" si="8"/>
        <v/>
      </c>
      <c r="J84" s="97">
        <f t="shared" si="13"/>
        <v>-2</v>
      </c>
      <c r="K84" s="97">
        <f t="shared" si="9"/>
        <v>-20</v>
      </c>
      <c r="L84" s="97"/>
      <c r="M84" s="99">
        <f t="shared" si="10"/>
        <v>0</v>
      </c>
      <c r="N84" s="99">
        <f t="shared" si="11"/>
        <v>0</v>
      </c>
      <c r="O84" s="82"/>
      <c r="P84" s="82"/>
      <c r="Q84" s="82"/>
      <c r="R84" s="82"/>
      <c r="S84" s="111"/>
      <c r="T84" s="112"/>
    </row>
    <row r="85" spans="1:20" s="87" customFormat="1" x14ac:dyDescent="0.25">
      <c r="A85" s="100">
        <f t="shared" si="12"/>
        <v>0</v>
      </c>
      <c r="B85" s="40" t="str">
        <f t="shared" si="7"/>
        <v/>
      </c>
      <c r="C85" s="41"/>
      <c r="D85" s="41"/>
      <c r="E85" s="41"/>
      <c r="F85" s="41"/>
      <c r="G85" s="82"/>
      <c r="H85" s="101">
        <v>80</v>
      </c>
      <c r="I85" s="102" t="str">
        <f t="shared" si="8"/>
        <v/>
      </c>
      <c r="J85" s="101">
        <f t="shared" si="13"/>
        <v>-2</v>
      </c>
      <c r="K85" s="101">
        <f t="shared" si="9"/>
        <v>-20</v>
      </c>
      <c r="L85" s="101"/>
      <c r="M85" s="103">
        <f t="shared" si="10"/>
        <v>0</v>
      </c>
      <c r="N85" s="103">
        <f t="shared" si="11"/>
        <v>0</v>
      </c>
      <c r="O85" s="82"/>
      <c r="P85" s="82"/>
      <c r="Q85" s="82"/>
      <c r="R85" s="82"/>
      <c r="S85" s="82"/>
    </row>
    <row r="86" spans="1:20" s="87" customFormat="1" x14ac:dyDescent="0.25">
      <c r="A86" s="96">
        <f t="shared" si="12"/>
        <v>0</v>
      </c>
      <c r="B86" s="34" t="str">
        <f t="shared" si="7"/>
        <v/>
      </c>
      <c r="C86" s="35"/>
      <c r="D86" s="35"/>
      <c r="E86" s="35"/>
      <c r="F86" s="35"/>
      <c r="G86" s="82"/>
      <c r="H86" s="97">
        <v>81</v>
      </c>
      <c r="I86" s="98" t="str">
        <f t="shared" si="8"/>
        <v/>
      </c>
      <c r="J86" s="97">
        <f t="shared" si="13"/>
        <v>-2</v>
      </c>
      <c r="K86" s="97">
        <f t="shared" si="9"/>
        <v>-20</v>
      </c>
      <c r="L86" s="97"/>
      <c r="M86" s="99">
        <f t="shared" si="10"/>
        <v>0</v>
      </c>
      <c r="N86" s="99">
        <f t="shared" si="11"/>
        <v>0</v>
      </c>
      <c r="O86" s="82"/>
      <c r="P86" s="82"/>
      <c r="Q86" s="82"/>
      <c r="R86" s="82"/>
      <c r="S86" s="111"/>
      <c r="T86" s="112"/>
    </row>
    <row r="87" spans="1:20" s="87" customFormat="1" x14ac:dyDescent="0.25">
      <c r="A87" s="100">
        <f t="shared" si="12"/>
        <v>0</v>
      </c>
      <c r="B87" s="40" t="str">
        <f t="shared" si="7"/>
        <v/>
      </c>
      <c r="C87" s="41"/>
      <c r="D87" s="41"/>
      <c r="E87" s="41"/>
      <c r="F87" s="41"/>
      <c r="G87" s="82"/>
      <c r="H87" s="101">
        <v>82</v>
      </c>
      <c r="I87" s="102" t="str">
        <f t="shared" si="8"/>
        <v/>
      </c>
      <c r="J87" s="101">
        <f t="shared" si="13"/>
        <v>-2</v>
      </c>
      <c r="K87" s="101">
        <f t="shared" si="9"/>
        <v>-20</v>
      </c>
      <c r="L87" s="101"/>
      <c r="M87" s="103">
        <f t="shared" si="10"/>
        <v>0</v>
      </c>
      <c r="N87" s="103">
        <f t="shared" si="11"/>
        <v>0</v>
      </c>
      <c r="O87" s="82"/>
      <c r="P87" s="82"/>
      <c r="Q87" s="82"/>
      <c r="R87" s="82"/>
      <c r="S87" s="82"/>
    </row>
    <row r="88" spans="1:20" s="87" customFormat="1" x14ac:dyDescent="0.25">
      <c r="A88" s="96">
        <f t="shared" si="12"/>
        <v>0</v>
      </c>
      <c r="B88" s="34" t="str">
        <f t="shared" si="7"/>
        <v/>
      </c>
      <c r="C88" s="35"/>
      <c r="D88" s="35"/>
      <c r="E88" s="35"/>
      <c r="F88" s="35"/>
      <c r="G88" s="82"/>
      <c r="H88" s="97">
        <v>83</v>
      </c>
      <c r="I88" s="98" t="str">
        <f t="shared" si="8"/>
        <v/>
      </c>
      <c r="J88" s="97">
        <f t="shared" si="13"/>
        <v>-2</v>
      </c>
      <c r="K88" s="97">
        <f t="shared" si="9"/>
        <v>-20</v>
      </c>
      <c r="L88" s="97"/>
      <c r="M88" s="99">
        <f t="shared" si="10"/>
        <v>0</v>
      </c>
      <c r="N88" s="99">
        <f t="shared" si="11"/>
        <v>0</v>
      </c>
      <c r="O88" s="82"/>
      <c r="P88" s="82"/>
      <c r="Q88" s="82"/>
      <c r="R88" s="82"/>
      <c r="S88" s="111"/>
      <c r="T88" s="112"/>
    </row>
    <row r="89" spans="1:20" s="87" customFormat="1" x14ac:dyDescent="0.25">
      <c r="A89" s="100">
        <f t="shared" si="12"/>
        <v>0</v>
      </c>
      <c r="B89" s="40" t="str">
        <f t="shared" si="7"/>
        <v/>
      </c>
      <c r="C89" s="41"/>
      <c r="D89" s="41"/>
      <c r="E89" s="41"/>
      <c r="F89" s="41"/>
      <c r="G89" s="82"/>
      <c r="H89" s="101">
        <v>84</v>
      </c>
      <c r="I89" s="102" t="str">
        <f t="shared" si="8"/>
        <v/>
      </c>
      <c r="J89" s="101">
        <f t="shared" si="13"/>
        <v>-2</v>
      </c>
      <c r="K89" s="101">
        <f t="shared" si="9"/>
        <v>-20</v>
      </c>
      <c r="L89" s="101"/>
      <c r="M89" s="103">
        <f t="shared" si="10"/>
        <v>0</v>
      </c>
      <c r="N89" s="103">
        <f t="shared" si="11"/>
        <v>0</v>
      </c>
      <c r="O89" s="82"/>
      <c r="P89" s="82"/>
      <c r="Q89" s="82"/>
      <c r="R89" s="82"/>
      <c r="S89" s="82"/>
    </row>
    <row r="90" spans="1:20" s="87" customFormat="1" x14ac:dyDescent="0.25">
      <c r="A90" s="96">
        <f t="shared" si="12"/>
        <v>0</v>
      </c>
      <c r="B90" s="34" t="str">
        <f t="shared" si="7"/>
        <v/>
      </c>
      <c r="C90" s="35"/>
      <c r="D90" s="35"/>
      <c r="E90" s="35"/>
      <c r="F90" s="35"/>
      <c r="G90" s="82"/>
      <c r="H90" s="97">
        <v>85</v>
      </c>
      <c r="I90" s="98" t="str">
        <f t="shared" si="8"/>
        <v/>
      </c>
      <c r="J90" s="97">
        <f t="shared" si="13"/>
        <v>-2</v>
      </c>
      <c r="K90" s="97">
        <f t="shared" si="9"/>
        <v>-20</v>
      </c>
      <c r="L90" s="97"/>
      <c r="M90" s="99">
        <f t="shared" si="10"/>
        <v>0</v>
      </c>
      <c r="N90" s="99">
        <f t="shared" si="11"/>
        <v>0</v>
      </c>
      <c r="O90" s="82"/>
      <c r="P90" s="82"/>
      <c r="Q90" s="82"/>
      <c r="R90" s="82"/>
      <c r="S90" s="111"/>
      <c r="T90" s="112"/>
    </row>
    <row r="91" spans="1:20" s="87" customFormat="1" x14ac:dyDescent="0.25">
      <c r="A91" s="100">
        <f t="shared" si="12"/>
        <v>0</v>
      </c>
      <c r="B91" s="40" t="str">
        <f t="shared" si="7"/>
        <v/>
      </c>
      <c r="C91" s="41"/>
      <c r="D91" s="41"/>
      <c r="E91" s="41"/>
      <c r="F91" s="41"/>
      <c r="G91" s="82"/>
      <c r="H91" s="101">
        <v>86</v>
      </c>
      <c r="I91" s="102" t="str">
        <f t="shared" si="8"/>
        <v/>
      </c>
      <c r="J91" s="101">
        <f t="shared" si="13"/>
        <v>-2</v>
      </c>
      <c r="K91" s="101">
        <f t="shared" si="9"/>
        <v>-20</v>
      </c>
      <c r="L91" s="101"/>
      <c r="M91" s="103">
        <f t="shared" si="10"/>
        <v>0</v>
      </c>
      <c r="N91" s="103">
        <f t="shared" si="11"/>
        <v>0</v>
      </c>
      <c r="O91" s="82"/>
      <c r="P91" s="82"/>
      <c r="Q91" s="82"/>
      <c r="R91" s="82"/>
      <c r="S91" s="82"/>
    </row>
    <row r="92" spans="1:20" s="87" customFormat="1" x14ac:dyDescent="0.25">
      <c r="A92" s="96">
        <f t="shared" si="12"/>
        <v>0</v>
      </c>
      <c r="B92" s="34" t="str">
        <f t="shared" si="7"/>
        <v/>
      </c>
      <c r="C92" s="35"/>
      <c r="D92" s="35"/>
      <c r="E92" s="35"/>
      <c r="F92" s="35"/>
      <c r="G92" s="82"/>
      <c r="H92" s="97">
        <v>87</v>
      </c>
      <c r="I92" s="98" t="str">
        <f t="shared" si="8"/>
        <v/>
      </c>
      <c r="J92" s="97">
        <f t="shared" si="13"/>
        <v>-2</v>
      </c>
      <c r="K92" s="97">
        <f t="shared" si="9"/>
        <v>-20</v>
      </c>
      <c r="L92" s="97"/>
      <c r="M92" s="99">
        <f t="shared" si="10"/>
        <v>0</v>
      </c>
      <c r="N92" s="99">
        <f t="shared" si="11"/>
        <v>0</v>
      </c>
      <c r="O92" s="82"/>
      <c r="P92" s="82"/>
      <c r="Q92" s="82"/>
      <c r="R92" s="82"/>
      <c r="S92" s="111"/>
      <c r="T92" s="112"/>
    </row>
    <row r="93" spans="1:20" s="87" customFormat="1" x14ac:dyDescent="0.25">
      <c r="A93" s="100">
        <f t="shared" si="12"/>
        <v>0</v>
      </c>
      <c r="B93" s="40" t="str">
        <f t="shared" si="7"/>
        <v/>
      </c>
      <c r="C93" s="41"/>
      <c r="D93" s="41"/>
      <c r="E93" s="41"/>
      <c r="F93" s="41"/>
      <c r="G93" s="82"/>
      <c r="H93" s="101">
        <v>88</v>
      </c>
      <c r="I93" s="102" t="str">
        <f t="shared" si="8"/>
        <v/>
      </c>
      <c r="J93" s="101">
        <f t="shared" si="13"/>
        <v>-2</v>
      </c>
      <c r="K93" s="101">
        <f t="shared" si="9"/>
        <v>-20</v>
      </c>
      <c r="L93" s="101"/>
      <c r="M93" s="103">
        <f t="shared" si="10"/>
        <v>0</v>
      </c>
      <c r="N93" s="103">
        <f t="shared" si="11"/>
        <v>0</v>
      </c>
      <c r="O93" s="82"/>
      <c r="P93" s="82"/>
      <c r="Q93" s="82"/>
      <c r="R93" s="82"/>
      <c r="S93" s="82"/>
    </row>
    <row r="94" spans="1:20" s="87" customFormat="1" x14ac:dyDescent="0.25">
      <c r="A94" s="96">
        <f t="shared" si="12"/>
        <v>0</v>
      </c>
      <c r="B94" s="34" t="str">
        <f t="shared" si="7"/>
        <v/>
      </c>
      <c r="C94" s="35"/>
      <c r="D94" s="35"/>
      <c r="E94" s="35"/>
      <c r="F94" s="35"/>
      <c r="G94" s="82"/>
      <c r="H94" s="97">
        <v>89</v>
      </c>
      <c r="I94" s="98" t="str">
        <f t="shared" si="8"/>
        <v/>
      </c>
      <c r="J94" s="97">
        <f t="shared" si="13"/>
        <v>-2</v>
      </c>
      <c r="K94" s="97">
        <f t="shared" si="9"/>
        <v>-20</v>
      </c>
      <c r="L94" s="97"/>
      <c r="M94" s="99">
        <f t="shared" si="10"/>
        <v>0</v>
      </c>
      <c r="N94" s="99">
        <f t="shared" si="11"/>
        <v>0</v>
      </c>
      <c r="O94" s="82"/>
      <c r="P94" s="82"/>
      <c r="Q94" s="82"/>
      <c r="R94" s="82"/>
      <c r="S94" s="111"/>
      <c r="T94" s="112"/>
    </row>
    <row r="95" spans="1:20" s="87" customFormat="1" x14ac:dyDescent="0.25">
      <c r="A95" s="100">
        <f t="shared" si="12"/>
        <v>0</v>
      </c>
      <c r="B95" s="40" t="str">
        <f t="shared" si="7"/>
        <v/>
      </c>
      <c r="C95" s="41"/>
      <c r="D95" s="41"/>
      <c r="E95" s="41"/>
      <c r="F95" s="41"/>
      <c r="G95" s="82"/>
      <c r="H95" s="101">
        <v>90</v>
      </c>
      <c r="I95" s="102" t="str">
        <f t="shared" si="8"/>
        <v/>
      </c>
      <c r="J95" s="101">
        <f t="shared" si="13"/>
        <v>-2</v>
      </c>
      <c r="K95" s="101">
        <f t="shared" si="9"/>
        <v>-20</v>
      </c>
      <c r="L95" s="101"/>
      <c r="M95" s="103">
        <f t="shared" si="10"/>
        <v>0</v>
      </c>
      <c r="N95" s="103">
        <f t="shared" si="11"/>
        <v>0</v>
      </c>
      <c r="O95" s="82"/>
      <c r="P95" s="82"/>
      <c r="Q95" s="82"/>
      <c r="R95" s="82"/>
      <c r="S95" s="82"/>
    </row>
    <row r="96" spans="1:20" s="87" customFormat="1" x14ac:dyDescent="0.25">
      <c r="A96" s="96">
        <f t="shared" si="12"/>
        <v>0</v>
      </c>
      <c r="B96" s="34" t="str">
        <f t="shared" si="7"/>
        <v/>
      </c>
      <c r="C96" s="35"/>
      <c r="D96" s="35"/>
      <c r="E96" s="35"/>
      <c r="F96" s="35"/>
      <c r="G96" s="82"/>
      <c r="H96" s="97">
        <v>91</v>
      </c>
      <c r="I96" s="98" t="str">
        <f t="shared" si="8"/>
        <v/>
      </c>
      <c r="J96" s="97">
        <f t="shared" si="13"/>
        <v>-2</v>
      </c>
      <c r="K96" s="97">
        <f t="shared" si="9"/>
        <v>-20</v>
      </c>
      <c r="L96" s="97"/>
      <c r="M96" s="99">
        <f t="shared" si="10"/>
        <v>0</v>
      </c>
      <c r="N96" s="99">
        <f t="shared" si="11"/>
        <v>0</v>
      </c>
      <c r="O96" s="82"/>
      <c r="P96" s="82"/>
      <c r="Q96" s="82"/>
      <c r="R96" s="82"/>
      <c r="S96" s="111"/>
      <c r="T96" s="112"/>
    </row>
    <row r="97" spans="1:20" s="87" customFormat="1" x14ac:dyDescent="0.25">
      <c r="A97" s="100">
        <f t="shared" si="12"/>
        <v>0</v>
      </c>
      <c r="B97" s="40" t="str">
        <f t="shared" si="7"/>
        <v/>
      </c>
      <c r="C97" s="41"/>
      <c r="D97" s="41"/>
      <c r="E97" s="41"/>
      <c r="F97" s="41"/>
      <c r="G97" s="82"/>
      <c r="H97" s="101">
        <v>92</v>
      </c>
      <c r="I97" s="102" t="str">
        <f t="shared" si="8"/>
        <v/>
      </c>
      <c r="J97" s="101">
        <f t="shared" si="13"/>
        <v>-2</v>
      </c>
      <c r="K97" s="101">
        <f t="shared" si="9"/>
        <v>-20</v>
      </c>
      <c r="L97" s="101"/>
      <c r="M97" s="103">
        <f t="shared" si="10"/>
        <v>0</v>
      </c>
      <c r="N97" s="103">
        <f t="shared" si="11"/>
        <v>0</v>
      </c>
      <c r="O97" s="82"/>
      <c r="P97" s="82"/>
      <c r="Q97" s="82"/>
      <c r="R97" s="82"/>
      <c r="S97" s="82"/>
    </row>
    <row r="98" spans="1:20" s="87" customFormat="1" x14ac:dyDescent="0.25">
      <c r="A98" s="96">
        <f t="shared" si="12"/>
        <v>0</v>
      </c>
      <c r="B98" s="34" t="str">
        <f t="shared" si="7"/>
        <v/>
      </c>
      <c r="C98" s="35"/>
      <c r="D98" s="35"/>
      <c r="E98" s="35"/>
      <c r="F98" s="35"/>
      <c r="G98" s="82"/>
      <c r="H98" s="97">
        <v>93</v>
      </c>
      <c r="I98" s="98" t="str">
        <f t="shared" si="8"/>
        <v/>
      </c>
      <c r="J98" s="97">
        <f t="shared" si="13"/>
        <v>-2</v>
      </c>
      <c r="K98" s="97">
        <f t="shared" si="9"/>
        <v>-20</v>
      </c>
      <c r="L98" s="97"/>
      <c r="M98" s="99">
        <f t="shared" si="10"/>
        <v>0</v>
      </c>
      <c r="N98" s="99">
        <f t="shared" si="11"/>
        <v>0</v>
      </c>
      <c r="O98" s="82"/>
      <c r="P98" s="82"/>
      <c r="Q98" s="82"/>
      <c r="R98" s="82"/>
      <c r="S98" s="111"/>
      <c r="T98" s="112"/>
    </row>
    <row r="99" spans="1:20" s="87" customFormat="1" x14ac:dyDescent="0.25">
      <c r="A99" s="100">
        <f t="shared" si="12"/>
        <v>0</v>
      </c>
      <c r="B99" s="40" t="str">
        <f t="shared" si="7"/>
        <v/>
      </c>
      <c r="C99" s="41"/>
      <c r="D99" s="41"/>
      <c r="E99" s="41"/>
      <c r="F99" s="41"/>
      <c r="G99" s="82"/>
      <c r="H99" s="101">
        <v>94</v>
      </c>
      <c r="I99" s="102" t="str">
        <f t="shared" si="8"/>
        <v/>
      </c>
      <c r="J99" s="101">
        <f t="shared" si="13"/>
        <v>-2</v>
      </c>
      <c r="K99" s="101">
        <f t="shared" si="9"/>
        <v>-20</v>
      </c>
      <c r="L99" s="101"/>
      <c r="M99" s="103">
        <f t="shared" si="10"/>
        <v>0</v>
      </c>
      <c r="N99" s="103">
        <f t="shared" si="11"/>
        <v>0</v>
      </c>
      <c r="O99" s="82"/>
      <c r="P99" s="82"/>
      <c r="Q99" s="82"/>
      <c r="R99" s="82"/>
      <c r="S99" s="82"/>
    </row>
    <row r="100" spans="1:20" s="87" customFormat="1" x14ac:dyDescent="0.25">
      <c r="A100" s="96">
        <f t="shared" si="12"/>
        <v>0</v>
      </c>
      <c r="B100" s="34" t="str">
        <f t="shared" si="7"/>
        <v/>
      </c>
      <c r="C100" s="35"/>
      <c r="D100" s="35"/>
      <c r="E100" s="35"/>
      <c r="F100" s="35"/>
      <c r="G100" s="82"/>
      <c r="H100" s="97">
        <v>95</v>
      </c>
      <c r="I100" s="98" t="str">
        <f t="shared" si="8"/>
        <v/>
      </c>
      <c r="J100" s="97">
        <f t="shared" si="13"/>
        <v>-2</v>
      </c>
      <c r="K100" s="97">
        <f t="shared" si="9"/>
        <v>-20</v>
      </c>
      <c r="L100" s="97"/>
      <c r="M100" s="99">
        <f t="shared" si="10"/>
        <v>0</v>
      </c>
      <c r="N100" s="99">
        <f t="shared" si="11"/>
        <v>0</v>
      </c>
      <c r="O100" s="82"/>
      <c r="P100" s="82"/>
      <c r="Q100" s="82"/>
      <c r="R100" s="82"/>
      <c r="S100" s="111"/>
      <c r="T100" s="112"/>
    </row>
    <row r="101" spans="1:20" s="87" customFormat="1" x14ac:dyDescent="0.25">
      <c r="A101" s="100">
        <f t="shared" si="12"/>
        <v>0</v>
      </c>
      <c r="B101" s="40" t="str">
        <f t="shared" si="7"/>
        <v/>
      </c>
      <c r="C101" s="41"/>
      <c r="D101" s="41"/>
      <c r="E101" s="41"/>
      <c r="F101" s="41"/>
      <c r="G101" s="82"/>
      <c r="H101" s="101">
        <v>96</v>
      </c>
      <c r="I101" s="102" t="str">
        <f t="shared" si="8"/>
        <v/>
      </c>
      <c r="J101" s="101">
        <f t="shared" si="13"/>
        <v>-2</v>
      </c>
      <c r="K101" s="101">
        <f t="shared" si="9"/>
        <v>-20</v>
      </c>
      <c r="L101" s="101"/>
      <c r="M101" s="103">
        <f t="shared" si="10"/>
        <v>0</v>
      </c>
      <c r="N101" s="103">
        <f t="shared" si="11"/>
        <v>0</v>
      </c>
      <c r="O101" s="82"/>
      <c r="P101" s="82"/>
      <c r="Q101" s="82"/>
      <c r="R101" s="82"/>
      <c r="S101" s="82"/>
    </row>
    <row r="102" spans="1:20" s="87" customFormat="1" x14ac:dyDescent="0.25">
      <c r="A102" s="96">
        <f t="shared" si="12"/>
        <v>0</v>
      </c>
      <c r="B102" s="34" t="str">
        <f t="shared" si="7"/>
        <v/>
      </c>
      <c r="C102" s="35"/>
      <c r="D102" s="35"/>
      <c r="E102" s="35"/>
      <c r="F102" s="35"/>
      <c r="G102" s="82"/>
      <c r="H102" s="97">
        <v>97</v>
      </c>
      <c r="I102" s="98" t="str">
        <f t="shared" si="8"/>
        <v/>
      </c>
      <c r="J102" s="97">
        <f t="shared" si="13"/>
        <v>-2</v>
      </c>
      <c r="K102" s="97">
        <f t="shared" si="9"/>
        <v>-20</v>
      </c>
      <c r="L102" s="97"/>
      <c r="M102" s="99">
        <f t="shared" si="10"/>
        <v>0</v>
      </c>
      <c r="N102" s="99">
        <f t="shared" si="11"/>
        <v>0</v>
      </c>
      <c r="O102" s="82"/>
      <c r="P102" s="82"/>
      <c r="Q102" s="82"/>
      <c r="R102" s="82"/>
      <c r="S102" s="111"/>
      <c r="T102" s="112"/>
    </row>
    <row r="103" spans="1:20" s="87" customFormat="1" x14ac:dyDescent="0.25">
      <c r="A103" s="100">
        <f t="shared" si="12"/>
        <v>0</v>
      </c>
      <c r="B103" s="40" t="str">
        <f t="shared" si="7"/>
        <v/>
      </c>
      <c r="C103" s="41"/>
      <c r="D103" s="41"/>
      <c r="E103" s="41"/>
      <c r="F103" s="41"/>
      <c r="G103" s="82"/>
      <c r="H103" s="101">
        <v>98</v>
      </c>
      <c r="I103" s="102" t="str">
        <f t="shared" si="8"/>
        <v/>
      </c>
      <c r="J103" s="101">
        <f t="shared" si="13"/>
        <v>-2</v>
      </c>
      <c r="K103" s="101">
        <f t="shared" si="9"/>
        <v>-20</v>
      </c>
      <c r="L103" s="101"/>
      <c r="M103" s="103">
        <f t="shared" si="10"/>
        <v>0</v>
      </c>
      <c r="N103" s="103">
        <f t="shared" si="11"/>
        <v>0</v>
      </c>
      <c r="O103" s="82"/>
      <c r="P103" s="82"/>
      <c r="Q103" s="82"/>
      <c r="R103" s="82"/>
      <c r="S103" s="82"/>
    </row>
    <row r="104" spans="1:20" s="87" customFormat="1" x14ac:dyDescent="0.25">
      <c r="A104" s="96">
        <f t="shared" si="12"/>
        <v>0</v>
      </c>
      <c r="B104" s="34" t="str">
        <f t="shared" si="7"/>
        <v/>
      </c>
      <c r="C104" s="35"/>
      <c r="D104" s="35"/>
      <c r="E104" s="35"/>
      <c r="F104" s="35"/>
      <c r="G104" s="82"/>
      <c r="H104" s="97">
        <v>99</v>
      </c>
      <c r="I104" s="98" t="str">
        <f t="shared" si="8"/>
        <v/>
      </c>
      <c r="J104" s="97">
        <f t="shared" si="13"/>
        <v>-2</v>
      </c>
      <c r="K104" s="97">
        <f t="shared" si="9"/>
        <v>-20</v>
      </c>
      <c r="L104" s="97"/>
      <c r="M104" s="99">
        <f t="shared" si="10"/>
        <v>0</v>
      </c>
      <c r="N104" s="99">
        <f t="shared" si="11"/>
        <v>0</v>
      </c>
      <c r="O104" s="82"/>
      <c r="P104" s="82"/>
      <c r="Q104" s="82"/>
      <c r="R104" s="82"/>
      <c r="S104" s="111"/>
      <c r="T104" s="112"/>
    </row>
    <row r="105" spans="1:20" s="87" customFormat="1" x14ac:dyDescent="0.25">
      <c r="A105" s="100">
        <f t="shared" si="12"/>
        <v>0</v>
      </c>
      <c r="B105" s="40" t="str">
        <f t="shared" si="7"/>
        <v/>
      </c>
      <c r="C105" s="41"/>
      <c r="D105" s="41"/>
      <c r="E105" s="41"/>
      <c r="F105" s="41"/>
      <c r="G105" s="82"/>
      <c r="H105" s="101">
        <v>100</v>
      </c>
      <c r="I105" s="102" t="str">
        <f t="shared" si="8"/>
        <v/>
      </c>
      <c r="J105" s="101">
        <f t="shared" si="13"/>
        <v>-2</v>
      </c>
      <c r="K105" s="101">
        <f t="shared" si="9"/>
        <v>-20</v>
      </c>
      <c r="L105" s="101"/>
      <c r="M105" s="103">
        <f t="shared" si="10"/>
        <v>0</v>
      </c>
      <c r="N105" s="103">
        <f t="shared" si="11"/>
        <v>0</v>
      </c>
      <c r="O105" s="82"/>
      <c r="P105" s="82"/>
      <c r="Q105" s="82"/>
      <c r="R105" s="82"/>
      <c r="S105" s="82"/>
    </row>
    <row r="106" spans="1:20" s="87" customFormat="1" x14ac:dyDescent="0.25">
      <c r="A106" s="96">
        <f t="shared" si="12"/>
        <v>0</v>
      </c>
      <c r="B106" s="34" t="str">
        <f t="shared" si="7"/>
        <v/>
      </c>
      <c r="C106" s="35"/>
      <c r="D106" s="35"/>
      <c r="E106" s="35"/>
      <c r="F106" s="35"/>
      <c r="G106" s="82"/>
      <c r="H106" s="97">
        <v>101</v>
      </c>
      <c r="I106" s="98" t="str">
        <f t="shared" si="8"/>
        <v/>
      </c>
      <c r="J106" s="97">
        <f t="shared" si="13"/>
        <v>-2</v>
      </c>
      <c r="K106" s="97">
        <f t="shared" si="9"/>
        <v>-20</v>
      </c>
      <c r="L106" s="97"/>
      <c r="M106" s="99">
        <f t="shared" si="10"/>
        <v>0</v>
      </c>
      <c r="N106" s="99">
        <f t="shared" si="11"/>
        <v>0</v>
      </c>
      <c r="O106" s="82"/>
      <c r="P106" s="82"/>
      <c r="Q106" s="82"/>
      <c r="R106" s="82"/>
      <c r="S106" s="111"/>
      <c r="T106" s="112"/>
    </row>
    <row r="107" spans="1:20" s="87" customFormat="1" x14ac:dyDescent="0.25">
      <c r="A107" s="100">
        <f t="shared" si="12"/>
        <v>0</v>
      </c>
      <c r="B107" s="40" t="str">
        <f t="shared" si="7"/>
        <v/>
      </c>
      <c r="C107" s="41"/>
      <c r="D107" s="41"/>
      <c r="E107" s="41"/>
      <c r="F107" s="41"/>
      <c r="G107" s="82"/>
      <c r="H107" s="101">
        <v>102</v>
      </c>
      <c r="I107" s="102" t="str">
        <f t="shared" si="8"/>
        <v/>
      </c>
      <c r="J107" s="101">
        <f t="shared" si="13"/>
        <v>-2</v>
      </c>
      <c r="K107" s="101">
        <f t="shared" si="9"/>
        <v>-20</v>
      </c>
      <c r="L107" s="101"/>
      <c r="M107" s="103">
        <f t="shared" si="10"/>
        <v>0</v>
      </c>
      <c r="N107" s="103">
        <f t="shared" si="11"/>
        <v>0</v>
      </c>
      <c r="O107" s="82"/>
      <c r="P107" s="82"/>
      <c r="Q107" s="82"/>
      <c r="R107" s="82"/>
      <c r="S107" s="82"/>
    </row>
    <row r="108" spans="1:20" s="87" customFormat="1" x14ac:dyDescent="0.25">
      <c r="A108" s="96">
        <f t="shared" si="12"/>
        <v>0</v>
      </c>
      <c r="B108" s="34" t="str">
        <f t="shared" si="7"/>
        <v/>
      </c>
      <c r="C108" s="35"/>
      <c r="D108" s="35"/>
      <c r="E108" s="35"/>
      <c r="F108" s="35"/>
      <c r="G108" s="82"/>
      <c r="H108" s="97">
        <v>103</v>
      </c>
      <c r="I108" s="98" t="str">
        <f t="shared" si="8"/>
        <v/>
      </c>
      <c r="J108" s="97">
        <f t="shared" si="13"/>
        <v>-2</v>
      </c>
      <c r="K108" s="97">
        <f t="shared" si="9"/>
        <v>-20</v>
      </c>
      <c r="L108" s="97"/>
      <c r="M108" s="99">
        <f t="shared" si="10"/>
        <v>0</v>
      </c>
      <c r="N108" s="99">
        <f t="shared" si="11"/>
        <v>0</v>
      </c>
      <c r="O108" s="82"/>
      <c r="P108" s="82"/>
      <c r="Q108" s="82"/>
      <c r="R108" s="82"/>
      <c r="S108" s="111"/>
      <c r="T108" s="112"/>
    </row>
    <row r="109" spans="1:20" s="87" customFormat="1" x14ac:dyDescent="0.25">
      <c r="A109" s="100">
        <f t="shared" si="12"/>
        <v>0</v>
      </c>
      <c r="B109" s="40" t="str">
        <f t="shared" si="7"/>
        <v/>
      </c>
      <c r="C109" s="41"/>
      <c r="D109" s="41"/>
      <c r="E109" s="41"/>
      <c r="F109" s="41"/>
      <c r="G109" s="82"/>
      <c r="H109" s="101">
        <v>104</v>
      </c>
      <c r="I109" s="102" t="str">
        <f t="shared" si="8"/>
        <v/>
      </c>
      <c r="J109" s="101">
        <f t="shared" si="13"/>
        <v>-2</v>
      </c>
      <c r="K109" s="101">
        <f t="shared" si="9"/>
        <v>-20</v>
      </c>
      <c r="L109" s="101"/>
      <c r="M109" s="103">
        <f t="shared" si="10"/>
        <v>0</v>
      </c>
      <c r="N109" s="103">
        <f t="shared" si="11"/>
        <v>0</v>
      </c>
      <c r="O109" s="82"/>
      <c r="P109" s="82"/>
      <c r="Q109" s="82"/>
      <c r="R109" s="82"/>
      <c r="S109" s="82"/>
    </row>
    <row r="110" spans="1:20" s="87" customFormat="1" x14ac:dyDescent="0.25">
      <c r="A110" s="96">
        <f t="shared" si="12"/>
        <v>0</v>
      </c>
      <c r="B110" s="34" t="str">
        <f t="shared" si="7"/>
        <v/>
      </c>
      <c r="C110" s="35"/>
      <c r="D110" s="35"/>
      <c r="E110" s="35"/>
      <c r="F110" s="35"/>
      <c r="G110" s="82"/>
      <c r="H110" s="97">
        <v>105</v>
      </c>
      <c r="I110" s="98" t="str">
        <f t="shared" si="8"/>
        <v/>
      </c>
      <c r="J110" s="97">
        <f t="shared" si="13"/>
        <v>-2</v>
      </c>
      <c r="K110" s="97">
        <f t="shared" si="9"/>
        <v>-20</v>
      </c>
      <c r="L110" s="97"/>
      <c r="M110" s="99">
        <f t="shared" si="10"/>
        <v>0</v>
      </c>
      <c r="N110" s="99">
        <f t="shared" si="11"/>
        <v>0</v>
      </c>
      <c r="O110" s="82"/>
      <c r="P110" s="82"/>
      <c r="Q110" s="82"/>
      <c r="R110" s="82"/>
      <c r="S110" s="111"/>
      <c r="T110" s="112"/>
    </row>
    <row r="111" spans="1:20" s="87" customFormat="1" x14ac:dyDescent="0.25">
      <c r="A111" s="100">
        <f t="shared" si="12"/>
        <v>0</v>
      </c>
      <c r="B111" s="40" t="str">
        <f t="shared" si="7"/>
        <v/>
      </c>
      <c r="C111" s="41"/>
      <c r="D111" s="41"/>
      <c r="E111" s="41"/>
      <c r="F111" s="41"/>
      <c r="G111" s="82"/>
      <c r="H111" s="101">
        <v>106</v>
      </c>
      <c r="I111" s="102" t="str">
        <f t="shared" si="8"/>
        <v/>
      </c>
      <c r="J111" s="101">
        <f t="shared" si="13"/>
        <v>-2</v>
      </c>
      <c r="K111" s="101">
        <f t="shared" si="9"/>
        <v>-20</v>
      </c>
      <c r="L111" s="101"/>
      <c r="M111" s="103">
        <f t="shared" si="10"/>
        <v>0</v>
      </c>
      <c r="N111" s="103">
        <f t="shared" si="11"/>
        <v>0</v>
      </c>
      <c r="O111" s="82"/>
      <c r="P111" s="82"/>
      <c r="Q111" s="82"/>
      <c r="R111" s="82"/>
      <c r="S111" s="82"/>
    </row>
    <row r="112" spans="1:20" s="87" customFormat="1" x14ac:dyDescent="0.25">
      <c r="A112" s="96">
        <f t="shared" si="12"/>
        <v>0</v>
      </c>
      <c r="B112" s="34" t="str">
        <f t="shared" si="7"/>
        <v/>
      </c>
      <c r="C112" s="35"/>
      <c r="D112" s="35"/>
      <c r="E112" s="35"/>
      <c r="F112" s="35"/>
      <c r="G112" s="82"/>
      <c r="H112" s="97">
        <v>107</v>
      </c>
      <c r="I112" s="98" t="str">
        <f t="shared" si="8"/>
        <v/>
      </c>
      <c r="J112" s="97">
        <f t="shared" si="13"/>
        <v>-2</v>
      </c>
      <c r="K112" s="97">
        <f t="shared" si="9"/>
        <v>-20</v>
      </c>
      <c r="L112" s="97"/>
      <c r="M112" s="99">
        <f t="shared" si="10"/>
        <v>0</v>
      </c>
      <c r="N112" s="99">
        <f t="shared" si="11"/>
        <v>0</v>
      </c>
      <c r="O112" s="82"/>
      <c r="P112" s="82"/>
      <c r="Q112" s="82"/>
      <c r="R112" s="82"/>
      <c r="S112" s="111"/>
      <c r="T112" s="112"/>
    </row>
    <row r="113" spans="1:20" s="87" customFormat="1" x14ac:dyDescent="0.25">
      <c r="A113" s="100">
        <f t="shared" si="12"/>
        <v>0</v>
      </c>
      <c r="B113" s="40" t="str">
        <f t="shared" si="7"/>
        <v/>
      </c>
      <c r="C113" s="41"/>
      <c r="D113" s="41"/>
      <c r="E113" s="41"/>
      <c r="F113" s="41"/>
      <c r="G113" s="82"/>
      <c r="H113" s="101">
        <v>108</v>
      </c>
      <c r="I113" s="102" t="str">
        <f t="shared" si="8"/>
        <v/>
      </c>
      <c r="J113" s="101">
        <f t="shared" si="13"/>
        <v>-2</v>
      </c>
      <c r="K113" s="101">
        <f t="shared" si="9"/>
        <v>-20</v>
      </c>
      <c r="L113" s="101"/>
      <c r="M113" s="103">
        <f t="shared" si="10"/>
        <v>0</v>
      </c>
      <c r="N113" s="103">
        <f t="shared" si="11"/>
        <v>0</v>
      </c>
      <c r="O113" s="82"/>
      <c r="P113" s="82"/>
      <c r="Q113" s="82"/>
      <c r="R113" s="82"/>
      <c r="S113" s="82"/>
    </row>
    <row r="114" spans="1:20" s="87" customFormat="1" x14ac:dyDescent="0.25">
      <c r="A114" s="96">
        <f t="shared" si="12"/>
        <v>0</v>
      </c>
      <c r="B114" s="34" t="str">
        <f t="shared" si="7"/>
        <v/>
      </c>
      <c r="C114" s="35"/>
      <c r="D114" s="35"/>
      <c r="E114" s="35"/>
      <c r="F114" s="35"/>
      <c r="G114" s="82"/>
      <c r="H114" s="97">
        <v>109</v>
      </c>
      <c r="I114" s="98" t="str">
        <f t="shared" si="8"/>
        <v/>
      </c>
      <c r="J114" s="97">
        <f t="shared" si="13"/>
        <v>-2</v>
      </c>
      <c r="K114" s="97">
        <f t="shared" si="9"/>
        <v>-20</v>
      </c>
      <c r="L114" s="97"/>
      <c r="M114" s="99">
        <f t="shared" si="10"/>
        <v>0</v>
      </c>
      <c r="N114" s="99">
        <f t="shared" si="11"/>
        <v>0</v>
      </c>
      <c r="O114" s="82"/>
      <c r="P114" s="82"/>
      <c r="Q114" s="82"/>
      <c r="R114" s="82"/>
      <c r="S114" s="111"/>
      <c r="T114" s="112"/>
    </row>
    <row r="115" spans="1:20" s="87" customFormat="1" x14ac:dyDescent="0.25">
      <c r="A115" s="100">
        <f t="shared" si="12"/>
        <v>0</v>
      </c>
      <c r="B115" s="40" t="str">
        <f t="shared" si="7"/>
        <v/>
      </c>
      <c r="C115" s="41"/>
      <c r="D115" s="41"/>
      <c r="E115" s="41"/>
      <c r="F115" s="41"/>
      <c r="G115" s="82"/>
      <c r="H115" s="101">
        <v>110</v>
      </c>
      <c r="I115" s="102" t="str">
        <f t="shared" si="8"/>
        <v/>
      </c>
      <c r="J115" s="101">
        <f t="shared" si="13"/>
        <v>-2</v>
      </c>
      <c r="K115" s="101">
        <f t="shared" si="9"/>
        <v>-20</v>
      </c>
      <c r="L115" s="101"/>
      <c r="M115" s="103">
        <f t="shared" si="10"/>
        <v>0</v>
      </c>
      <c r="N115" s="103">
        <f t="shared" si="11"/>
        <v>0</v>
      </c>
      <c r="O115" s="82"/>
      <c r="P115" s="82"/>
      <c r="Q115" s="82"/>
      <c r="R115" s="82"/>
      <c r="S115" s="82"/>
    </row>
    <row r="116" spans="1:20" s="87" customFormat="1" x14ac:dyDescent="0.25">
      <c r="A116" s="96">
        <f t="shared" si="12"/>
        <v>0</v>
      </c>
      <c r="B116" s="34" t="str">
        <f t="shared" si="7"/>
        <v/>
      </c>
      <c r="C116" s="35"/>
      <c r="D116" s="35"/>
      <c r="E116" s="35"/>
      <c r="F116" s="35"/>
      <c r="G116" s="82"/>
      <c r="H116" s="97">
        <v>111</v>
      </c>
      <c r="I116" s="98" t="str">
        <f t="shared" si="8"/>
        <v/>
      </c>
      <c r="J116" s="97">
        <f t="shared" si="13"/>
        <v>-2</v>
      </c>
      <c r="K116" s="97">
        <f t="shared" si="9"/>
        <v>-20</v>
      </c>
      <c r="L116" s="97"/>
      <c r="M116" s="99">
        <f t="shared" si="10"/>
        <v>0</v>
      </c>
      <c r="N116" s="99">
        <f t="shared" si="11"/>
        <v>0</v>
      </c>
      <c r="O116" s="82"/>
      <c r="P116" s="82"/>
      <c r="Q116" s="82"/>
      <c r="R116" s="82"/>
      <c r="S116" s="111"/>
      <c r="T116" s="112"/>
    </row>
    <row r="117" spans="1:20" s="87" customFormat="1" x14ac:dyDescent="0.25">
      <c r="A117" s="100">
        <f t="shared" si="12"/>
        <v>0</v>
      </c>
      <c r="B117" s="40" t="str">
        <f t="shared" si="7"/>
        <v/>
      </c>
      <c r="C117" s="41"/>
      <c r="D117" s="41"/>
      <c r="E117" s="41"/>
      <c r="F117" s="41"/>
      <c r="G117" s="82"/>
      <c r="H117" s="101">
        <v>112</v>
      </c>
      <c r="I117" s="102" t="str">
        <f t="shared" si="8"/>
        <v/>
      </c>
      <c r="J117" s="101">
        <f t="shared" si="13"/>
        <v>-2</v>
      </c>
      <c r="K117" s="101">
        <f t="shared" si="9"/>
        <v>-20</v>
      </c>
      <c r="L117" s="101"/>
      <c r="M117" s="103">
        <f t="shared" si="10"/>
        <v>0</v>
      </c>
      <c r="N117" s="103">
        <f t="shared" si="11"/>
        <v>0</v>
      </c>
      <c r="O117" s="82"/>
      <c r="P117" s="82"/>
      <c r="Q117" s="82"/>
      <c r="R117" s="82"/>
      <c r="S117" s="82"/>
    </row>
    <row r="118" spans="1:20" s="87" customFormat="1" x14ac:dyDescent="0.25">
      <c r="A118" s="96">
        <f t="shared" si="12"/>
        <v>0</v>
      </c>
      <c r="B118" s="34" t="str">
        <f t="shared" si="7"/>
        <v/>
      </c>
      <c r="C118" s="35"/>
      <c r="D118" s="35"/>
      <c r="E118" s="35"/>
      <c r="F118" s="35"/>
      <c r="G118" s="82"/>
      <c r="H118" s="97">
        <v>113</v>
      </c>
      <c r="I118" s="98" t="str">
        <f t="shared" si="8"/>
        <v/>
      </c>
      <c r="J118" s="97">
        <f t="shared" si="13"/>
        <v>-2</v>
      </c>
      <c r="K118" s="97">
        <f t="shared" si="9"/>
        <v>-20</v>
      </c>
      <c r="L118" s="97"/>
      <c r="M118" s="99">
        <f t="shared" si="10"/>
        <v>0</v>
      </c>
      <c r="N118" s="99">
        <f t="shared" si="11"/>
        <v>0</v>
      </c>
      <c r="O118" s="82"/>
      <c r="P118" s="82"/>
      <c r="Q118" s="82"/>
      <c r="R118" s="82"/>
      <c r="S118" s="111"/>
      <c r="T118" s="112"/>
    </row>
    <row r="119" spans="1:20" s="87" customFormat="1" x14ac:dyDescent="0.25">
      <c r="A119" s="100">
        <f t="shared" si="12"/>
        <v>0</v>
      </c>
      <c r="B119" s="40" t="str">
        <f t="shared" si="7"/>
        <v/>
      </c>
      <c r="C119" s="41"/>
      <c r="D119" s="41"/>
      <c r="E119" s="41"/>
      <c r="F119" s="41"/>
      <c r="G119" s="82"/>
      <c r="H119" s="101">
        <v>114</v>
      </c>
      <c r="I119" s="102" t="str">
        <f t="shared" si="8"/>
        <v/>
      </c>
      <c r="J119" s="101">
        <f t="shared" si="13"/>
        <v>-2</v>
      </c>
      <c r="K119" s="101">
        <f t="shared" si="9"/>
        <v>-20</v>
      </c>
      <c r="L119" s="101"/>
      <c r="M119" s="103">
        <f t="shared" si="10"/>
        <v>0</v>
      </c>
      <c r="N119" s="103">
        <f t="shared" si="11"/>
        <v>0</v>
      </c>
      <c r="O119" s="82"/>
      <c r="P119" s="82"/>
      <c r="Q119" s="82"/>
      <c r="R119" s="82"/>
      <c r="S119" s="82"/>
    </row>
    <row r="120" spans="1:20" s="87" customFormat="1" x14ac:dyDescent="0.25">
      <c r="A120" s="96">
        <f t="shared" si="12"/>
        <v>0</v>
      </c>
      <c r="B120" s="34" t="str">
        <f t="shared" si="7"/>
        <v/>
      </c>
      <c r="C120" s="35"/>
      <c r="D120" s="35"/>
      <c r="E120" s="35"/>
      <c r="F120" s="35"/>
      <c r="G120" s="82"/>
      <c r="H120" s="97">
        <v>115</v>
      </c>
      <c r="I120" s="98" t="str">
        <f t="shared" si="8"/>
        <v/>
      </c>
      <c r="J120" s="97">
        <f t="shared" si="13"/>
        <v>-2</v>
      </c>
      <c r="K120" s="97">
        <f t="shared" si="9"/>
        <v>-20</v>
      </c>
      <c r="L120" s="97"/>
      <c r="M120" s="99">
        <f t="shared" si="10"/>
        <v>0</v>
      </c>
      <c r="N120" s="99">
        <f t="shared" si="11"/>
        <v>0</v>
      </c>
      <c r="O120" s="82"/>
      <c r="P120" s="82"/>
      <c r="Q120" s="82"/>
      <c r="R120" s="82"/>
      <c r="S120" s="111"/>
      <c r="T120" s="112"/>
    </row>
    <row r="121" spans="1:20" s="87" customFormat="1" x14ac:dyDescent="0.25">
      <c r="A121" s="100">
        <f t="shared" si="12"/>
        <v>0</v>
      </c>
      <c r="B121" s="40" t="str">
        <f t="shared" si="7"/>
        <v/>
      </c>
      <c r="C121" s="41"/>
      <c r="D121" s="41"/>
      <c r="E121" s="41"/>
      <c r="F121" s="41"/>
      <c r="G121" s="82"/>
      <c r="H121" s="101">
        <v>116</v>
      </c>
      <c r="I121" s="102" t="str">
        <f t="shared" si="8"/>
        <v/>
      </c>
      <c r="J121" s="101">
        <f t="shared" si="13"/>
        <v>-2</v>
      </c>
      <c r="K121" s="101">
        <f t="shared" si="9"/>
        <v>-20</v>
      </c>
      <c r="L121" s="101"/>
      <c r="M121" s="103">
        <f t="shared" si="10"/>
        <v>0</v>
      </c>
      <c r="N121" s="103">
        <f t="shared" si="11"/>
        <v>0</v>
      </c>
      <c r="O121" s="82"/>
      <c r="P121" s="82"/>
      <c r="Q121" s="82"/>
      <c r="R121" s="82"/>
      <c r="S121" s="82"/>
    </row>
    <row r="122" spans="1:20" s="87" customFormat="1" x14ac:dyDescent="0.25">
      <c r="A122" s="96">
        <f t="shared" si="12"/>
        <v>0</v>
      </c>
      <c r="B122" s="34" t="str">
        <f t="shared" si="7"/>
        <v/>
      </c>
      <c r="C122" s="35"/>
      <c r="D122" s="35"/>
      <c r="E122" s="35"/>
      <c r="F122" s="35"/>
      <c r="G122" s="82"/>
      <c r="H122" s="97">
        <v>117</v>
      </c>
      <c r="I122" s="98" t="str">
        <f t="shared" si="8"/>
        <v/>
      </c>
      <c r="J122" s="97">
        <f t="shared" si="13"/>
        <v>-2</v>
      </c>
      <c r="K122" s="97">
        <f t="shared" si="9"/>
        <v>-20</v>
      </c>
      <c r="L122" s="97"/>
      <c r="M122" s="99">
        <f t="shared" si="10"/>
        <v>0</v>
      </c>
      <c r="N122" s="99">
        <f t="shared" si="11"/>
        <v>0</v>
      </c>
      <c r="O122" s="82"/>
      <c r="P122" s="82"/>
      <c r="Q122" s="82"/>
      <c r="R122" s="82"/>
      <c r="S122" s="111"/>
      <c r="T122" s="112"/>
    </row>
    <row r="123" spans="1:20" s="87" customFormat="1" x14ac:dyDescent="0.25">
      <c r="A123" s="100">
        <f t="shared" si="12"/>
        <v>0</v>
      </c>
      <c r="B123" s="40" t="str">
        <f t="shared" si="7"/>
        <v/>
      </c>
      <c r="C123" s="41"/>
      <c r="D123" s="41"/>
      <c r="E123" s="41"/>
      <c r="F123" s="41"/>
      <c r="G123" s="82"/>
      <c r="H123" s="101">
        <v>118</v>
      </c>
      <c r="I123" s="102" t="str">
        <f t="shared" si="8"/>
        <v/>
      </c>
      <c r="J123" s="101">
        <f t="shared" si="13"/>
        <v>-2</v>
      </c>
      <c r="K123" s="101">
        <f t="shared" si="9"/>
        <v>-20</v>
      </c>
      <c r="L123" s="101"/>
      <c r="M123" s="103">
        <f t="shared" si="10"/>
        <v>0</v>
      </c>
      <c r="N123" s="103">
        <f t="shared" si="11"/>
        <v>0</v>
      </c>
      <c r="O123" s="82"/>
      <c r="P123" s="82"/>
      <c r="Q123" s="82"/>
      <c r="R123" s="82"/>
      <c r="S123" s="82"/>
    </row>
    <row r="124" spans="1:20" s="87" customFormat="1" x14ac:dyDescent="0.25">
      <c r="A124" s="96">
        <f t="shared" si="12"/>
        <v>0</v>
      </c>
      <c r="B124" s="34" t="str">
        <f t="shared" si="7"/>
        <v/>
      </c>
      <c r="C124" s="35"/>
      <c r="D124" s="35"/>
      <c r="E124" s="35"/>
      <c r="F124" s="35"/>
      <c r="G124" s="82"/>
      <c r="H124" s="97">
        <v>119</v>
      </c>
      <c r="I124" s="98" t="str">
        <f t="shared" si="8"/>
        <v/>
      </c>
      <c r="J124" s="97">
        <f t="shared" si="13"/>
        <v>-2</v>
      </c>
      <c r="K124" s="97">
        <f t="shared" si="9"/>
        <v>-20</v>
      </c>
      <c r="L124" s="97"/>
      <c r="M124" s="99">
        <f t="shared" si="10"/>
        <v>0</v>
      </c>
      <c r="N124" s="99">
        <f t="shared" si="11"/>
        <v>0</v>
      </c>
      <c r="O124" s="82"/>
      <c r="P124" s="82"/>
      <c r="Q124" s="82"/>
      <c r="R124" s="82"/>
      <c r="S124" s="111"/>
      <c r="T124" s="112"/>
    </row>
    <row r="125" spans="1:20" s="87" customFormat="1" x14ac:dyDescent="0.25">
      <c r="A125" s="100">
        <f t="shared" si="12"/>
        <v>0</v>
      </c>
      <c r="B125" s="40" t="str">
        <f t="shared" si="7"/>
        <v/>
      </c>
      <c r="C125" s="41"/>
      <c r="D125" s="41"/>
      <c r="E125" s="41"/>
      <c r="F125" s="41"/>
      <c r="G125" s="82"/>
      <c r="H125" s="101">
        <v>120</v>
      </c>
      <c r="I125" s="102" t="str">
        <f t="shared" si="8"/>
        <v/>
      </c>
      <c r="J125" s="101">
        <f t="shared" si="13"/>
        <v>-2</v>
      </c>
      <c r="K125" s="101">
        <f t="shared" si="9"/>
        <v>-20</v>
      </c>
      <c r="L125" s="101"/>
      <c r="M125" s="103">
        <f t="shared" si="10"/>
        <v>0</v>
      </c>
      <c r="N125" s="103">
        <f t="shared" si="11"/>
        <v>0</v>
      </c>
      <c r="O125" s="82"/>
      <c r="P125" s="82"/>
      <c r="Q125" s="82"/>
      <c r="R125" s="82"/>
      <c r="S125" s="82"/>
    </row>
    <row r="126" spans="1:20" s="87" customFormat="1" x14ac:dyDescent="0.25">
      <c r="A126" s="96">
        <f t="shared" si="12"/>
        <v>0</v>
      </c>
      <c r="B126" s="34" t="str">
        <f t="shared" si="7"/>
        <v/>
      </c>
      <c r="C126" s="35"/>
      <c r="D126" s="35"/>
      <c r="E126" s="35"/>
      <c r="F126" s="35"/>
      <c r="G126" s="82"/>
      <c r="H126" s="97">
        <v>121</v>
      </c>
      <c r="I126" s="98" t="str">
        <f t="shared" si="8"/>
        <v/>
      </c>
      <c r="J126" s="97">
        <f t="shared" si="13"/>
        <v>-2</v>
      </c>
      <c r="K126" s="97">
        <f t="shared" si="9"/>
        <v>-20</v>
      </c>
      <c r="L126" s="97"/>
      <c r="M126" s="99">
        <f t="shared" si="10"/>
        <v>0</v>
      </c>
      <c r="N126" s="99">
        <f t="shared" si="11"/>
        <v>0</v>
      </c>
      <c r="O126" s="82"/>
      <c r="P126" s="82"/>
      <c r="Q126" s="82"/>
      <c r="R126" s="82"/>
      <c r="S126" s="111"/>
      <c r="T126" s="112"/>
    </row>
    <row r="127" spans="1:20" s="87" customFormat="1" x14ac:dyDescent="0.25">
      <c r="A127" s="100">
        <f t="shared" si="12"/>
        <v>0</v>
      </c>
      <c r="B127" s="40" t="str">
        <f t="shared" si="7"/>
        <v/>
      </c>
      <c r="C127" s="41"/>
      <c r="D127" s="41"/>
      <c r="E127" s="41"/>
      <c r="F127" s="41"/>
      <c r="G127" s="82"/>
      <c r="H127" s="101">
        <v>122</v>
      </c>
      <c r="I127" s="102" t="str">
        <f t="shared" si="8"/>
        <v/>
      </c>
      <c r="J127" s="101">
        <f t="shared" si="13"/>
        <v>-2</v>
      </c>
      <c r="K127" s="101">
        <f t="shared" si="9"/>
        <v>-20</v>
      </c>
      <c r="L127" s="101"/>
      <c r="M127" s="103">
        <f t="shared" si="10"/>
        <v>0</v>
      </c>
      <c r="N127" s="103">
        <f t="shared" si="11"/>
        <v>0</v>
      </c>
      <c r="O127" s="82"/>
      <c r="P127" s="82"/>
      <c r="Q127" s="82"/>
      <c r="R127" s="82"/>
      <c r="S127" s="82"/>
    </row>
    <row r="128" spans="1:20" s="87" customFormat="1" x14ac:dyDescent="0.25">
      <c r="A128" s="96">
        <f t="shared" si="12"/>
        <v>0</v>
      </c>
      <c r="B128" s="34" t="str">
        <f t="shared" si="7"/>
        <v/>
      </c>
      <c r="C128" s="35"/>
      <c r="D128" s="35"/>
      <c r="E128" s="35"/>
      <c r="F128" s="35"/>
      <c r="G128" s="82"/>
      <c r="H128" s="97">
        <v>123</v>
      </c>
      <c r="I128" s="98" t="str">
        <f t="shared" si="8"/>
        <v/>
      </c>
      <c r="J128" s="97">
        <f t="shared" si="13"/>
        <v>-2</v>
      </c>
      <c r="K128" s="97">
        <f t="shared" si="9"/>
        <v>-20</v>
      </c>
      <c r="L128" s="97"/>
      <c r="M128" s="99">
        <f t="shared" si="10"/>
        <v>0</v>
      </c>
      <c r="N128" s="99">
        <f t="shared" si="11"/>
        <v>0</v>
      </c>
      <c r="O128" s="82"/>
      <c r="P128" s="82"/>
      <c r="Q128" s="82"/>
      <c r="R128" s="82"/>
      <c r="S128" s="111"/>
      <c r="T128" s="112"/>
    </row>
    <row r="129" spans="1:20" s="87" customFormat="1" x14ac:dyDescent="0.25">
      <c r="A129" s="100">
        <f t="shared" si="12"/>
        <v>0</v>
      </c>
      <c r="B129" s="40" t="str">
        <f t="shared" si="7"/>
        <v/>
      </c>
      <c r="C129" s="41"/>
      <c r="D129" s="41"/>
      <c r="E129" s="41"/>
      <c r="F129" s="41"/>
      <c r="G129" s="82"/>
      <c r="H129" s="101">
        <v>124</v>
      </c>
      <c r="I129" s="102" t="str">
        <f t="shared" si="8"/>
        <v/>
      </c>
      <c r="J129" s="101">
        <f t="shared" si="13"/>
        <v>-2</v>
      </c>
      <c r="K129" s="101">
        <f t="shared" si="9"/>
        <v>-20</v>
      </c>
      <c r="L129" s="101"/>
      <c r="M129" s="103">
        <f t="shared" si="10"/>
        <v>0</v>
      </c>
      <c r="N129" s="103">
        <f t="shared" si="11"/>
        <v>0</v>
      </c>
      <c r="O129" s="82"/>
      <c r="P129" s="82"/>
      <c r="Q129" s="82"/>
      <c r="R129" s="82"/>
      <c r="S129" s="82"/>
    </row>
    <row r="130" spans="1:20" s="87" customFormat="1" x14ac:dyDescent="0.25">
      <c r="A130" s="96">
        <f t="shared" si="12"/>
        <v>0</v>
      </c>
      <c r="B130" s="34" t="str">
        <f t="shared" si="7"/>
        <v/>
      </c>
      <c r="C130" s="35"/>
      <c r="D130" s="35"/>
      <c r="E130" s="35"/>
      <c r="F130" s="35"/>
      <c r="G130" s="82"/>
      <c r="H130" s="97">
        <v>125</v>
      </c>
      <c r="I130" s="98" t="str">
        <f t="shared" si="8"/>
        <v/>
      </c>
      <c r="J130" s="97">
        <f t="shared" si="13"/>
        <v>-2</v>
      </c>
      <c r="K130" s="97">
        <f t="shared" si="9"/>
        <v>-20</v>
      </c>
      <c r="L130" s="97"/>
      <c r="M130" s="99">
        <f t="shared" si="10"/>
        <v>0</v>
      </c>
      <c r="N130" s="99">
        <f t="shared" si="11"/>
        <v>0</v>
      </c>
      <c r="O130" s="82"/>
      <c r="P130" s="82"/>
      <c r="Q130" s="82"/>
      <c r="R130" s="82"/>
      <c r="S130" s="111"/>
      <c r="T130" s="112"/>
    </row>
    <row r="131" spans="1:20" s="87" customFormat="1" x14ac:dyDescent="0.25">
      <c r="A131" s="100">
        <f t="shared" si="12"/>
        <v>0</v>
      </c>
      <c r="B131" s="40" t="str">
        <f t="shared" si="7"/>
        <v/>
      </c>
      <c r="C131" s="41"/>
      <c r="D131" s="41"/>
      <c r="E131" s="41"/>
      <c r="F131" s="41"/>
      <c r="G131" s="82"/>
      <c r="H131" s="101">
        <v>126</v>
      </c>
      <c r="I131" s="102" t="str">
        <f t="shared" si="8"/>
        <v/>
      </c>
      <c r="J131" s="101">
        <f t="shared" si="13"/>
        <v>-2</v>
      </c>
      <c r="K131" s="101">
        <f t="shared" si="9"/>
        <v>-20</v>
      </c>
      <c r="L131" s="101"/>
      <c r="M131" s="103">
        <f t="shared" si="10"/>
        <v>0</v>
      </c>
      <c r="N131" s="103">
        <f t="shared" si="11"/>
        <v>0</v>
      </c>
      <c r="O131" s="82"/>
      <c r="P131" s="82"/>
      <c r="Q131" s="82"/>
      <c r="R131" s="82"/>
      <c r="S131" s="82"/>
    </row>
    <row r="132" spans="1:20" s="87" customFormat="1" x14ac:dyDescent="0.25">
      <c r="A132" s="96">
        <f t="shared" si="12"/>
        <v>0</v>
      </c>
      <c r="B132" s="34" t="str">
        <f t="shared" si="7"/>
        <v/>
      </c>
      <c r="C132" s="35"/>
      <c r="D132" s="35"/>
      <c r="E132" s="35"/>
      <c r="F132" s="35"/>
      <c r="G132" s="82"/>
      <c r="H132" s="97">
        <v>127</v>
      </c>
      <c r="I132" s="98" t="str">
        <f t="shared" si="8"/>
        <v/>
      </c>
      <c r="J132" s="97">
        <f t="shared" si="13"/>
        <v>-2</v>
      </c>
      <c r="K132" s="97">
        <f t="shared" si="9"/>
        <v>-20</v>
      </c>
      <c r="L132" s="97"/>
      <c r="M132" s="99">
        <f t="shared" si="10"/>
        <v>0</v>
      </c>
      <c r="N132" s="99">
        <f t="shared" si="11"/>
        <v>0</v>
      </c>
      <c r="O132" s="82"/>
      <c r="P132" s="82"/>
      <c r="Q132" s="82"/>
      <c r="R132" s="82"/>
      <c r="S132" s="111"/>
      <c r="T132" s="112"/>
    </row>
    <row r="133" spans="1:20" s="87" customFormat="1" x14ac:dyDescent="0.25">
      <c r="A133" s="100">
        <f t="shared" si="12"/>
        <v>0</v>
      </c>
      <c r="B133" s="40" t="str">
        <f t="shared" si="7"/>
        <v/>
      </c>
      <c r="C133" s="41"/>
      <c r="D133" s="41"/>
      <c r="E133" s="41"/>
      <c r="F133" s="41"/>
      <c r="G133" s="82"/>
      <c r="H133" s="101">
        <v>128</v>
      </c>
      <c r="I133" s="102" t="str">
        <f t="shared" si="8"/>
        <v/>
      </c>
      <c r="J133" s="101">
        <f t="shared" si="13"/>
        <v>-2</v>
      </c>
      <c r="K133" s="101">
        <f t="shared" si="9"/>
        <v>-20</v>
      </c>
      <c r="L133" s="101"/>
      <c r="M133" s="103">
        <f t="shared" si="10"/>
        <v>0</v>
      </c>
      <c r="N133" s="103">
        <f t="shared" si="11"/>
        <v>0</v>
      </c>
      <c r="O133" s="82"/>
      <c r="P133" s="82"/>
      <c r="Q133" s="82"/>
      <c r="R133" s="82"/>
      <c r="S133" s="82"/>
    </row>
    <row r="134" spans="1:20" s="87" customFormat="1" x14ac:dyDescent="0.25">
      <c r="A134" s="96">
        <f t="shared" si="12"/>
        <v>0</v>
      </c>
      <c r="B134" s="34" t="str">
        <f t="shared" ref="B134:B197" si="14">IF(H134&gt;$H$2,"",(ROW()-5))</f>
        <v/>
      </c>
      <c r="C134" s="35"/>
      <c r="D134" s="35"/>
      <c r="E134" s="35"/>
      <c r="F134" s="35"/>
      <c r="G134" s="82"/>
      <c r="H134" s="97">
        <v>129</v>
      </c>
      <c r="I134" s="98" t="str">
        <f t="shared" ref="I134:I197" si="15">IF(H134&lt;$H$2+1,($I$2-($I$2-1)*(LOG(H134)/LOG($H$2))),"")</f>
        <v/>
      </c>
      <c r="J134" s="97">
        <f t="shared" si="13"/>
        <v>-3</v>
      </c>
      <c r="K134" s="97">
        <f t="shared" ref="K134:K197" si="16">J134*$J$2</f>
        <v>-30</v>
      </c>
      <c r="L134" s="97"/>
      <c r="M134" s="99">
        <f t="shared" ref="M134:M197" si="17">IF(I134&lt;&gt;"",K134+I134+L134,0)</f>
        <v>0</v>
      </c>
      <c r="N134" s="99">
        <f t="shared" ref="N134:N197" si="18">IF(I134&lt;&gt;"",M134*L$2,0)</f>
        <v>0</v>
      </c>
      <c r="O134" s="82"/>
      <c r="P134" s="82"/>
      <c r="Q134" s="82"/>
      <c r="R134" s="82"/>
      <c r="S134" s="111"/>
      <c r="T134" s="112"/>
    </row>
    <row r="135" spans="1:20" s="87" customFormat="1" x14ac:dyDescent="0.25">
      <c r="A135" s="100">
        <f t="shared" ref="A135:A198" si="19">N135</f>
        <v>0</v>
      </c>
      <c r="B135" s="40" t="str">
        <f t="shared" si="14"/>
        <v/>
      </c>
      <c r="C135" s="41"/>
      <c r="D135" s="41"/>
      <c r="E135" s="41"/>
      <c r="F135" s="41"/>
      <c r="G135" s="82"/>
      <c r="H135" s="101">
        <v>130</v>
      </c>
      <c r="I135" s="102" t="str">
        <f t="shared" si="15"/>
        <v/>
      </c>
      <c r="J135" s="101">
        <f t="shared" ref="J135:J198" si="20">INT(LOG($H$2,2))-ROUNDUP(LOG(H135,2),0)+IF(OR($H$2=1,$H$2=2,$H$2=4,$H$2=8,$H$2=16,$H$2=32,$H$2=64,$H$2=128,$H$2=256),0,1)</f>
        <v>-3</v>
      </c>
      <c r="K135" s="101">
        <f t="shared" si="16"/>
        <v>-30</v>
      </c>
      <c r="L135" s="101"/>
      <c r="M135" s="103">
        <f t="shared" si="17"/>
        <v>0</v>
      </c>
      <c r="N135" s="103">
        <f t="shared" si="18"/>
        <v>0</v>
      </c>
      <c r="O135" s="82"/>
      <c r="P135" s="82"/>
      <c r="Q135" s="82"/>
      <c r="R135" s="82"/>
      <c r="S135" s="82"/>
    </row>
    <row r="136" spans="1:20" s="87" customFormat="1" x14ac:dyDescent="0.25">
      <c r="A136" s="96">
        <f t="shared" si="19"/>
        <v>0</v>
      </c>
      <c r="B136" s="34" t="str">
        <f t="shared" si="14"/>
        <v/>
      </c>
      <c r="C136" s="35"/>
      <c r="D136" s="35"/>
      <c r="E136" s="35"/>
      <c r="F136" s="35"/>
      <c r="G136" s="82"/>
      <c r="H136" s="97">
        <v>131</v>
      </c>
      <c r="I136" s="98" t="str">
        <f t="shared" si="15"/>
        <v/>
      </c>
      <c r="J136" s="97">
        <f t="shared" si="20"/>
        <v>-3</v>
      </c>
      <c r="K136" s="97">
        <f t="shared" si="16"/>
        <v>-30</v>
      </c>
      <c r="L136" s="97"/>
      <c r="M136" s="99">
        <f t="shared" si="17"/>
        <v>0</v>
      </c>
      <c r="N136" s="99">
        <f t="shared" si="18"/>
        <v>0</v>
      </c>
      <c r="O136" s="82"/>
      <c r="P136" s="82"/>
      <c r="Q136" s="82"/>
      <c r="R136" s="82"/>
      <c r="S136" s="111"/>
      <c r="T136" s="112"/>
    </row>
    <row r="137" spans="1:20" s="87" customFormat="1" x14ac:dyDescent="0.25">
      <c r="A137" s="100">
        <f t="shared" si="19"/>
        <v>0</v>
      </c>
      <c r="B137" s="40" t="str">
        <f t="shared" si="14"/>
        <v/>
      </c>
      <c r="C137" s="41"/>
      <c r="D137" s="41"/>
      <c r="E137" s="41"/>
      <c r="F137" s="41"/>
      <c r="G137" s="82"/>
      <c r="H137" s="101">
        <v>132</v>
      </c>
      <c r="I137" s="102" t="str">
        <f t="shared" si="15"/>
        <v/>
      </c>
      <c r="J137" s="101">
        <f t="shared" si="20"/>
        <v>-3</v>
      </c>
      <c r="K137" s="101">
        <f t="shared" si="16"/>
        <v>-30</v>
      </c>
      <c r="L137" s="101"/>
      <c r="M137" s="103">
        <f t="shared" si="17"/>
        <v>0</v>
      </c>
      <c r="N137" s="103">
        <f t="shared" si="18"/>
        <v>0</v>
      </c>
      <c r="O137" s="82"/>
      <c r="P137" s="82"/>
      <c r="Q137" s="82"/>
      <c r="R137" s="82"/>
      <c r="S137" s="82"/>
    </row>
    <row r="138" spans="1:20" s="87" customFormat="1" x14ac:dyDescent="0.25">
      <c r="A138" s="96">
        <f t="shared" si="19"/>
        <v>0</v>
      </c>
      <c r="B138" s="34" t="str">
        <f t="shared" si="14"/>
        <v/>
      </c>
      <c r="C138" s="35"/>
      <c r="D138" s="35"/>
      <c r="E138" s="35"/>
      <c r="F138" s="35"/>
      <c r="G138" s="82"/>
      <c r="H138" s="97">
        <v>133</v>
      </c>
      <c r="I138" s="98" t="str">
        <f t="shared" si="15"/>
        <v/>
      </c>
      <c r="J138" s="97">
        <f t="shared" si="20"/>
        <v>-3</v>
      </c>
      <c r="K138" s="97">
        <f t="shared" si="16"/>
        <v>-30</v>
      </c>
      <c r="L138" s="97"/>
      <c r="M138" s="99">
        <f t="shared" si="17"/>
        <v>0</v>
      </c>
      <c r="N138" s="99">
        <f t="shared" si="18"/>
        <v>0</v>
      </c>
      <c r="O138" s="82"/>
      <c r="P138" s="82"/>
      <c r="Q138" s="82"/>
      <c r="R138" s="82"/>
      <c r="S138" s="111"/>
      <c r="T138" s="112"/>
    </row>
    <row r="139" spans="1:20" s="87" customFormat="1" x14ac:dyDescent="0.25">
      <c r="A139" s="100">
        <f t="shared" si="19"/>
        <v>0</v>
      </c>
      <c r="B139" s="40" t="str">
        <f t="shared" si="14"/>
        <v/>
      </c>
      <c r="C139" s="41"/>
      <c r="D139" s="41"/>
      <c r="E139" s="41"/>
      <c r="F139" s="41"/>
      <c r="G139" s="82"/>
      <c r="H139" s="101">
        <v>134</v>
      </c>
      <c r="I139" s="102" t="str">
        <f t="shared" si="15"/>
        <v/>
      </c>
      <c r="J139" s="101">
        <f t="shared" si="20"/>
        <v>-3</v>
      </c>
      <c r="K139" s="101">
        <f t="shared" si="16"/>
        <v>-30</v>
      </c>
      <c r="L139" s="101"/>
      <c r="M139" s="103">
        <f t="shared" si="17"/>
        <v>0</v>
      </c>
      <c r="N139" s="103">
        <f t="shared" si="18"/>
        <v>0</v>
      </c>
      <c r="O139" s="82"/>
      <c r="P139" s="82"/>
      <c r="Q139" s="82"/>
      <c r="R139" s="82"/>
      <c r="S139" s="82"/>
    </row>
    <row r="140" spans="1:20" s="87" customFormat="1" x14ac:dyDescent="0.25">
      <c r="A140" s="96">
        <f t="shared" si="19"/>
        <v>0</v>
      </c>
      <c r="B140" s="34" t="str">
        <f t="shared" si="14"/>
        <v/>
      </c>
      <c r="C140" s="35"/>
      <c r="D140" s="35"/>
      <c r="E140" s="35"/>
      <c r="F140" s="35"/>
      <c r="G140" s="82"/>
      <c r="H140" s="97">
        <v>135</v>
      </c>
      <c r="I140" s="98" t="str">
        <f t="shared" si="15"/>
        <v/>
      </c>
      <c r="J140" s="97">
        <f t="shared" si="20"/>
        <v>-3</v>
      </c>
      <c r="K140" s="97">
        <f t="shared" si="16"/>
        <v>-30</v>
      </c>
      <c r="L140" s="97"/>
      <c r="M140" s="99">
        <f t="shared" si="17"/>
        <v>0</v>
      </c>
      <c r="N140" s="99">
        <f t="shared" si="18"/>
        <v>0</v>
      </c>
      <c r="O140" s="82"/>
      <c r="P140" s="82"/>
      <c r="Q140" s="82"/>
      <c r="R140" s="82"/>
      <c r="S140" s="111"/>
      <c r="T140" s="112"/>
    </row>
    <row r="141" spans="1:20" s="87" customFormat="1" x14ac:dyDescent="0.25">
      <c r="A141" s="100">
        <f t="shared" si="19"/>
        <v>0</v>
      </c>
      <c r="B141" s="40" t="str">
        <f t="shared" si="14"/>
        <v/>
      </c>
      <c r="C141" s="41"/>
      <c r="D141" s="41"/>
      <c r="E141" s="41"/>
      <c r="F141" s="41"/>
      <c r="G141" s="82"/>
      <c r="H141" s="101">
        <v>136</v>
      </c>
      <c r="I141" s="102" t="str">
        <f t="shared" si="15"/>
        <v/>
      </c>
      <c r="J141" s="101">
        <f t="shared" si="20"/>
        <v>-3</v>
      </c>
      <c r="K141" s="101">
        <f t="shared" si="16"/>
        <v>-30</v>
      </c>
      <c r="L141" s="101"/>
      <c r="M141" s="103">
        <f t="shared" si="17"/>
        <v>0</v>
      </c>
      <c r="N141" s="103">
        <f t="shared" si="18"/>
        <v>0</v>
      </c>
      <c r="O141" s="82"/>
      <c r="P141" s="82"/>
      <c r="Q141" s="82"/>
      <c r="R141" s="82"/>
      <c r="S141" s="82"/>
    </row>
    <row r="142" spans="1:20" s="87" customFormat="1" x14ac:dyDescent="0.25">
      <c r="A142" s="96">
        <f t="shared" si="19"/>
        <v>0</v>
      </c>
      <c r="B142" s="34" t="str">
        <f t="shared" si="14"/>
        <v/>
      </c>
      <c r="C142" s="35"/>
      <c r="D142" s="35"/>
      <c r="E142" s="35"/>
      <c r="F142" s="35"/>
      <c r="G142" s="82"/>
      <c r="H142" s="97">
        <v>137</v>
      </c>
      <c r="I142" s="98" t="str">
        <f t="shared" si="15"/>
        <v/>
      </c>
      <c r="J142" s="97">
        <f t="shared" si="20"/>
        <v>-3</v>
      </c>
      <c r="K142" s="97">
        <f t="shared" si="16"/>
        <v>-30</v>
      </c>
      <c r="L142" s="97"/>
      <c r="M142" s="99">
        <f t="shared" si="17"/>
        <v>0</v>
      </c>
      <c r="N142" s="99">
        <f t="shared" si="18"/>
        <v>0</v>
      </c>
      <c r="O142" s="82"/>
      <c r="P142" s="82"/>
      <c r="Q142" s="82"/>
      <c r="R142" s="82"/>
      <c r="S142" s="111"/>
      <c r="T142" s="112"/>
    </row>
    <row r="143" spans="1:20" s="87" customFormat="1" x14ac:dyDescent="0.25">
      <c r="A143" s="100">
        <f t="shared" si="19"/>
        <v>0</v>
      </c>
      <c r="B143" s="40" t="str">
        <f t="shared" si="14"/>
        <v/>
      </c>
      <c r="C143" s="41"/>
      <c r="D143" s="41"/>
      <c r="E143" s="41"/>
      <c r="F143" s="41"/>
      <c r="G143" s="82"/>
      <c r="H143" s="101">
        <v>138</v>
      </c>
      <c r="I143" s="102" t="str">
        <f t="shared" si="15"/>
        <v/>
      </c>
      <c r="J143" s="101">
        <f t="shared" si="20"/>
        <v>-3</v>
      </c>
      <c r="K143" s="101">
        <f t="shared" si="16"/>
        <v>-30</v>
      </c>
      <c r="L143" s="101"/>
      <c r="M143" s="103">
        <f t="shared" si="17"/>
        <v>0</v>
      </c>
      <c r="N143" s="103">
        <f t="shared" si="18"/>
        <v>0</v>
      </c>
      <c r="O143" s="82"/>
      <c r="P143" s="82"/>
      <c r="Q143" s="82"/>
      <c r="R143" s="82"/>
      <c r="S143" s="82"/>
    </row>
    <row r="144" spans="1:20" s="87" customFormat="1" x14ac:dyDescent="0.25">
      <c r="A144" s="96">
        <f t="shared" si="19"/>
        <v>0</v>
      </c>
      <c r="B144" s="34" t="str">
        <f t="shared" si="14"/>
        <v/>
      </c>
      <c r="C144" s="35"/>
      <c r="D144" s="35"/>
      <c r="E144" s="35"/>
      <c r="F144" s="35"/>
      <c r="G144" s="82"/>
      <c r="H144" s="97">
        <v>139</v>
      </c>
      <c r="I144" s="98" t="str">
        <f t="shared" si="15"/>
        <v/>
      </c>
      <c r="J144" s="97">
        <f t="shared" si="20"/>
        <v>-3</v>
      </c>
      <c r="K144" s="97">
        <f t="shared" si="16"/>
        <v>-30</v>
      </c>
      <c r="L144" s="97"/>
      <c r="M144" s="99">
        <f t="shared" si="17"/>
        <v>0</v>
      </c>
      <c r="N144" s="99">
        <f t="shared" si="18"/>
        <v>0</v>
      </c>
      <c r="O144" s="82"/>
      <c r="P144" s="82"/>
      <c r="Q144" s="82"/>
      <c r="R144" s="82"/>
      <c r="S144" s="111"/>
      <c r="T144" s="112"/>
    </row>
    <row r="145" spans="1:20" s="87" customFormat="1" x14ac:dyDescent="0.25">
      <c r="A145" s="100">
        <f t="shared" si="19"/>
        <v>0</v>
      </c>
      <c r="B145" s="40" t="str">
        <f t="shared" si="14"/>
        <v/>
      </c>
      <c r="C145" s="41"/>
      <c r="D145" s="41"/>
      <c r="E145" s="41"/>
      <c r="F145" s="41"/>
      <c r="G145" s="82"/>
      <c r="H145" s="101">
        <v>140</v>
      </c>
      <c r="I145" s="102" t="str">
        <f t="shared" si="15"/>
        <v/>
      </c>
      <c r="J145" s="101">
        <f t="shared" si="20"/>
        <v>-3</v>
      </c>
      <c r="K145" s="101">
        <f t="shared" si="16"/>
        <v>-30</v>
      </c>
      <c r="L145" s="101"/>
      <c r="M145" s="103">
        <f t="shared" si="17"/>
        <v>0</v>
      </c>
      <c r="N145" s="103">
        <f t="shared" si="18"/>
        <v>0</v>
      </c>
      <c r="O145" s="82"/>
      <c r="P145" s="82"/>
      <c r="Q145" s="82"/>
      <c r="R145" s="82"/>
      <c r="S145" s="82"/>
    </row>
    <row r="146" spans="1:20" s="87" customFormat="1" x14ac:dyDescent="0.25">
      <c r="A146" s="96">
        <f t="shared" si="19"/>
        <v>0</v>
      </c>
      <c r="B146" s="34" t="str">
        <f t="shared" si="14"/>
        <v/>
      </c>
      <c r="C146" s="35"/>
      <c r="D146" s="35"/>
      <c r="E146" s="35"/>
      <c r="F146" s="35"/>
      <c r="G146" s="82"/>
      <c r="H146" s="97">
        <v>141</v>
      </c>
      <c r="I146" s="98" t="str">
        <f t="shared" si="15"/>
        <v/>
      </c>
      <c r="J146" s="97">
        <f t="shared" si="20"/>
        <v>-3</v>
      </c>
      <c r="K146" s="97">
        <f t="shared" si="16"/>
        <v>-30</v>
      </c>
      <c r="L146" s="97"/>
      <c r="M146" s="99">
        <f t="shared" si="17"/>
        <v>0</v>
      </c>
      <c r="N146" s="99">
        <f t="shared" si="18"/>
        <v>0</v>
      </c>
      <c r="O146" s="82"/>
      <c r="P146" s="82"/>
      <c r="Q146" s="82"/>
      <c r="R146" s="82"/>
      <c r="S146" s="111"/>
      <c r="T146" s="112"/>
    </row>
    <row r="147" spans="1:20" s="87" customFormat="1" x14ac:dyDescent="0.25">
      <c r="A147" s="100">
        <f t="shared" si="19"/>
        <v>0</v>
      </c>
      <c r="B147" s="40" t="str">
        <f t="shared" si="14"/>
        <v/>
      </c>
      <c r="C147" s="41"/>
      <c r="D147" s="41"/>
      <c r="E147" s="41"/>
      <c r="F147" s="41"/>
      <c r="G147" s="82"/>
      <c r="H147" s="101">
        <v>142</v>
      </c>
      <c r="I147" s="102" t="str">
        <f t="shared" si="15"/>
        <v/>
      </c>
      <c r="J147" s="101">
        <f t="shared" si="20"/>
        <v>-3</v>
      </c>
      <c r="K147" s="101">
        <f t="shared" si="16"/>
        <v>-30</v>
      </c>
      <c r="L147" s="101"/>
      <c r="M147" s="103">
        <f t="shared" si="17"/>
        <v>0</v>
      </c>
      <c r="N147" s="103">
        <f t="shared" si="18"/>
        <v>0</v>
      </c>
      <c r="O147" s="82"/>
      <c r="P147" s="82"/>
      <c r="Q147" s="82"/>
      <c r="R147" s="82"/>
      <c r="S147" s="82"/>
    </row>
    <row r="148" spans="1:20" s="87" customFormat="1" x14ac:dyDescent="0.25">
      <c r="A148" s="96">
        <f t="shared" si="19"/>
        <v>0</v>
      </c>
      <c r="B148" s="34" t="str">
        <f t="shared" si="14"/>
        <v/>
      </c>
      <c r="C148" s="35"/>
      <c r="D148" s="35"/>
      <c r="E148" s="35"/>
      <c r="F148" s="35"/>
      <c r="G148" s="82"/>
      <c r="H148" s="97">
        <v>143</v>
      </c>
      <c r="I148" s="98" t="str">
        <f t="shared" si="15"/>
        <v/>
      </c>
      <c r="J148" s="97">
        <f t="shared" si="20"/>
        <v>-3</v>
      </c>
      <c r="K148" s="97">
        <f t="shared" si="16"/>
        <v>-30</v>
      </c>
      <c r="L148" s="97"/>
      <c r="M148" s="99">
        <f t="shared" si="17"/>
        <v>0</v>
      </c>
      <c r="N148" s="99">
        <f t="shared" si="18"/>
        <v>0</v>
      </c>
      <c r="O148" s="82"/>
      <c r="P148" s="82"/>
      <c r="Q148" s="82"/>
      <c r="R148" s="82"/>
      <c r="S148" s="111"/>
      <c r="T148" s="112"/>
    </row>
    <row r="149" spans="1:20" s="87" customFormat="1" x14ac:dyDescent="0.25">
      <c r="A149" s="100">
        <f t="shared" si="19"/>
        <v>0</v>
      </c>
      <c r="B149" s="40" t="str">
        <f t="shared" si="14"/>
        <v/>
      </c>
      <c r="C149" s="41"/>
      <c r="D149" s="41"/>
      <c r="E149" s="41"/>
      <c r="F149" s="41"/>
      <c r="G149" s="82"/>
      <c r="H149" s="101">
        <v>144</v>
      </c>
      <c r="I149" s="102" t="str">
        <f t="shared" si="15"/>
        <v/>
      </c>
      <c r="J149" s="101">
        <f t="shared" si="20"/>
        <v>-3</v>
      </c>
      <c r="K149" s="101">
        <f t="shared" si="16"/>
        <v>-30</v>
      </c>
      <c r="L149" s="101"/>
      <c r="M149" s="103">
        <f t="shared" si="17"/>
        <v>0</v>
      </c>
      <c r="N149" s="103">
        <f t="shared" si="18"/>
        <v>0</v>
      </c>
      <c r="O149" s="82"/>
      <c r="P149" s="82"/>
      <c r="Q149" s="82"/>
      <c r="R149" s="82"/>
      <c r="S149" s="82"/>
    </row>
    <row r="150" spans="1:20" s="87" customFormat="1" x14ac:dyDescent="0.25">
      <c r="A150" s="96">
        <f t="shared" si="19"/>
        <v>0</v>
      </c>
      <c r="B150" s="34" t="str">
        <f t="shared" si="14"/>
        <v/>
      </c>
      <c r="C150" s="35"/>
      <c r="D150" s="35"/>
      <c r="E150" s="35"/>
      <c r="F150" s="35"/>
      <c r="G150" s="82"/>
      <c r="H150" s="97">
        <v>145</v>
      </c>
      <c r="I150" s="98" t="str">
        <f t="shared" si="15"/>
        <v/>
      </c>
      <c r="J150" s="97">
        <f t="shared" si="20"/>
        <v>-3</v>
      </c>
      <c r="K150" s="97">
        <f t="shared" si="16"/>
        <v>-30</v>
      </c>
      <c r="L150" s="97"/>
      <c r="M150" s="99">
        <f t="shared" si="17"/>
        <v>0</v>
      </c>
      <c r="N150" s="99">
        <f t="shared" si="18"/>
        <v>0</v>
      </c>
      <c r="O150" s="82"/>
      <c r="P150" s="82"/>
      <c r="Q150" s="82"/>
      <c r="R150" s="82"/>
      <c r="S150" s="111"/>
      <c r="T150" s="112"/>
    </row>
    <row r="151" spans="1:20" s="87" customFormat="1" x14ac:dyDescent="0.25">
      <c r="A151" s="100">
        <f t="shared" si="19"/>
        <v>0</v>
      </c>
      <c r="B151" s="40" t="str">
        <f t="shared" si="14"/>
        <v/>
      </c>
      <c r="C151" s="41"/>
      <c r="D151" s="41"/>
      <c r="E151" s="41"/>
      <c r="F151" s="41"/>
      <c r="G151" s="82"/>
      <c r="H151" s="101">
        <v>146</v>
      </c>
      <c r="I151" s="102" t="str">
        <f t="shared" si="15"/>
        <v/>
      </c>
      <c r="J151" s="101">
        <f t="shared" si="20"/>
        <v>-3</v>
      </c>
      <c r="K151" s="101">
        <f t="shared" si="16"/>
        <v>-30</v>
      </c>
      <c r="L151" s="101"/>
      <c r="M151" s="103">
        <f t="shared" si="17"/>
        <v>0</v>
      </c>
      <c r="N151" s="103">
        <f t="shared" si="18"/>
        <v>0</v>
      </c>
      <c r="O151" s="82"/>
      <c r="P151" s="82"/>
      <c r="Q151" s="82"/>
      <c r="R151" s="82"/>
      <c r="S151" s="82"/>
    </row>
    <row r="152" spans="1:20" s="87" customFormat="1" x14ac:dyDescent="0.25">
      <c r="A152" s="96">
        <f t="shared" si="19"/>
        <v>0</v>
      </c>
      <c r="B152" s="34" t="str">
        <f t="shared" si="14"/>
        <v/>
      </c>
      <c r="C152" s="35"/>
      <c r="D152" s="35"/>
      <c r="E152" s="35"/>
      <c r="F152" s="35"/>
      <c r="G152" s="82"/>
      <c r="H152" s="97">
        <v>147</v>
      </c>
      <c r="I152" s="98" t="str">
        <f t="shared" si="15"/>
        <v/>
      </c>
      <c r="J152" s="97">
        <f t="shared" si="20"/>
        <v>-3</v>
      </c>
      <c r="K152" s="97">
        <f t="shared" si="16"/>
        <v>-30</v>
      </c>
      <c r="L152" s="97"/>
      <c r="M152" s="99">
        <f t="shared" si="17"/>
        <v>0</v>
      </c>
      <c r="N152" s="99">
        <f t="shared" si="18"/>
        <v>0</v>
      </c>
      <c r="O152" s="82"/>
      <c r="P152" s="82"/>
      <c r="Q152" s="82"/>
      <c r="R152" s="82"/>
      <c r="S152" s="111"/>
      <c r="T152" s="112"/>
    </row>
    <row r="153" spans="1:20" s="87" customFormat="1" x14ac:dyDescent="0.25">
      <c r="A153" s="100">
        <f t="shared" si="19"/>
        <v>0</v>
      </c>
      <c r="B153" s="40" t="str">
        <f t="shared" si="14"/>
        <v/>
      </c>
      <c r="C153" s="41"/>
      <c r="D153" s="41"/>
      <c r="E153" s="41"/>
      <c r="F153" s="41"/>
      <c r="G153" s="82"/>
      <c r="H153" s="101">
        <v>148</v>
      </c>
      <c r="I153" s="102" t="str">
        <f t="shared" si="15"/>
        <v/>
      </c>
      <c r="J153" s="101">
        <f t="shared" si="20"/>
        <v>-3</v>
      </c>
      <c r="K153" s="101">
        <f t="shared" si="16"/>
        <v>-30</v>
      </c>
      <c r="L153" s="101"/>
      <c r="M153" s="103">
        <f t="shared" si="17"/>
        <v>0</v>
      </c>
      <c r="N153" s="103">
        <f t="shared" si="18"/>
        <v>0</v>
      </c>
      <c r="O153" s="82"/>
      <c r="P153" s="82"/>
      <c r="Q153" s="82"/>
      <c r="R153" s="82"/>
      <c r="S153" s="82"/>
    </row>
    <row r="154" spans="1:20" s="87" customFormat="1" x14ac:dyDescent="0.25">
      <c r="A154" s="96">
        <f t="shared" si="19"/>
        <v>0</v>
      </c>
      <c r="B154" s="34" t="str">
        <f t="shared" si="14"/>
        <v/>
      </c>
      <c r="C154" s="35"/>
      <c r="D154" s="35"/>
      <c r="E154" s="35"/>
      <c r="F154" s="35"/>
      <c r="G154" s="82"/>
      <c r="H154" s="97">
        <v>149</v>
      </c>
      <c r="I154" s="98" t="str">
        <f t="shared" si="15"/>
        <v/>
      </c>
      <c r="J154" s="97">
        <f t="shared" si="20"/>
        <v>-3</v>
      </c>
      <c r="K154" s="97">
        <f t="shared" si="16"/>
        <v>-30</v>
      </c>
      <c r="L154" s="97"/>
      <c r="M154" s="99">
        <f t="shared" si="17"/>
        <v>0</v>
      </c>
      <c r="N154" s="99">
        <f t="shared" si="18"/>
        <v>0</v>
      </c>
      <c r="O154" s="82"/>
      <c r="P154" s="82"/>
      <c r="Q154" s="82"/>
      <c r="R154" s="82"/>
      <c r="S154" s="111"/>
      <c r="T154" s="112"/>
    </row>
    <row r="155" spans="1:20" s="87" customFormat="1" x14ac:dyDescent="0.25">
      <c r="A155" s="100">
        <f t="shared" si="19"/>
        <v>0</v>
      </c>
      <c r="B155" s="40" t="str">
        <f t="shared" si="14"/>
        <v/>
      </c>
      <c r="C155" s="41"/>
      <c r="D155" s="41"/>
      <c r="E155" s="41"/>
      <c r="F155" s="41"/>
      <c r="G155" s="82"/>
      <c r="H155" s="101">
        <v>150</v>
      </c>
      <c r="I155" s="102" t="str">
        <f t="shared" si="15"/>
        <v/>
      </c>
      <c r="J155" s="101">
        <f t="shared" si="20"/>
        <v>-3</v>
      </c>
      <c r="K155" s="101">
        <f t="shared" si="16"/>
        <v>-30</v>
      </c>
      <c r="L155" s="101"/>
      <c r="M155" s="103">
        <f t="shared" si="17"/>
        <v>0</v>
      </c>
      <c r="N155" s="103">
        <f t="shared" si="18"/>
        <v>0</v>
      </c>
      <c r="O155" s="82"/>
      <c r="P155" s="82"/>
      <c r="Q155" s="82"/>
      <c r="R155" s="82"/>
      <c r="S155" s="82"/>
    </row>
    <row r="156" spans="1:20" s="87" customFormat="1" x14ac:dyDescent="0.25">
      <c r="A156" s="96">
        <f t="shared" si="19"/>
        <v>0</v>
      </c>
      <c r="B156" s="34" t="str">
        <f t="shared" si="14"/>
        <v/>
      </c>
      <c r="C156" s="35"/>
      <c r="D156" s="35"/>
      <c r="E156" s="35"/>
      <c r="F156" s="35"/>
      <c r="G156" s="82"/>
      <c r="H156" s="97">
        <v>151</v>
      </c>
      <c r="I156" s="98" t="str">
        <f t="shared" si="15"/>
        <v/>
      </c>
      <c r="J156" s="97">
        <f t="shared" si="20"/>
        <v>-3</v>
      </c>
      <c r="K156" s="97">
        <f t="shared" si="16"/>
        <v>-30</v>
      </c>
      <c r="L156" s="97"/>
      <c r="M156" s="99">
        <f t="shared" si="17"/>
        <v>0</v>
      </c>
      <c r="N156" s="99">
        <f t="shared" si="18"/>
        <v>0</v>
      </c>
      <c r="O156" s="82"/>
      <c r="P156" s="82"/>
      <c r="Q156" s="82"/>
      <c r="R156" s="82"/>
      <c r="S156" s="111"/>
      <c r="T156" s="112"/>
    </row>
    <row r="157" spans="1:20" s="87" customFormat="1" x14ac:dyDescent="0.25">
      <c r="A157" s="100">
        <f t="shared" si="19"/>
        <v>0</v>
      </c>
      <c r="B157" s="40" t="str">
        <f t="shared" si="14"/>
        <v/>
      </c>
      <c r="C157" s="41"/>
      <c r="D157" s="41"/>
      <c r="E157" s="41"/>
      <c r="F157" s="41"/>
      <c r="G157" s="82"/>
      <c r="H157" s="101">
        <v>152</v>
      </c>
      <c r="I157" s="102" t="str">
        <f t="shared" si="15"/>
        <v/>
      </c>
      <c r="J157" s="101">
        <f t="shared" si="20"/>
        <v>-3</v>
      </c>
      <c r="K157" s="101">
        <f t="shared" si="16"/>
        <v>-30</v>
      </c>
      <c r="L157" s="101"/>
      <c r="M157" s="103">
        <f t="shared" si="17"/>
        <v>0</v>
      </c>
      <c r="N157" s="103">
        <f t="shared" si="18"/>
        <v>0</v>
      </c>
      <c r="O157" s="82"/>
      <c r="P157" s="82"/>
      <c r="Q157" s="82"/>
      <c r="R157" s="82"/>
      <c r="S157" s="82"/>
    </row>
    <row r="158" spans="1:20" s="87" customFormat="1" x14ac:dyDescent="0.25">
      <c r="A158" s="96">
        <f t="shared" si="19"/>
        <v>0</v>
      </c>
      <c r="B158" s="34" t="str">
        <f t="shared" si="14"/>
        <v/>
      </c>
      <c r="C158" s="35"/>
      <c r="D158" s="35"/>
      <c r="E158" s="35"/>
      <c r="F158" s="35"/>
      <c r="G158" s="82"/>
      <c r="H158" s="97">
        <v>153</v>
      </c>
      <c r="I158" s="98" t="str">
        <f t="shared" si="15"/>
        <v/>
      </c>
      <c r="J158" s="97">
        <f t="shared" si="20"/>
        <v>-3</v>
      </c>
      <c r="K158" s="97">
        <f t="shared" si="16"/>
        <v>-30</v>
      </c>
      <c r="L158" s="97"/>
      <c r="M158" s="99">
        <f t="shared" si="17"/>
        <v>0</v>
      </c>
      <c r="N158" s="99">
        <f t="shared" si="18"/>
        <v>0</v>
      </c>
      <c r="O158" s="82"/>
      <c r="P158" s="82"/>
      <c r="Q158" s="82"/>
      <c r="R158" s="82"/>
      <c r="S158" s="111"/>
      <c r="T158" s="112"/>
    </row>
    <row r="159" spans="1:20" s="87" customFormat="1" x14ac:dyDescent="0.25">
      <c r="A159" s="100">
        <f t="shared" si="19"/>
        <v>0</v>
      </c>
      <c r="B159" s="40" t="str">
        <f t="shared" si="14"/>
        <v/>
      </c>
      <c r="C159" s="41"/>
      <c r="D159" s="41"/>
      <c r="E159" s="41"/>
      <c r="F159" s="41"/>
      <c r="G159" s="82"/>
      <c r="H159" s="101">
        <v>154</v>
      </c>
      <c r="I159" s="102" t="str">
        <f t="shared" si="15"/>
        <v/>
      </c>
      <c r="J159" s="101">
        <f t="shared" si="20"/>
        <v>-3</v>
      </c>
      <c r="K159" s="101">
        <f t="shared" si="16"/>
        <v>-30</v>
      </c>
      <c r="L159" s="101"/>
      <c r="M159" s="103">
        <f t="shared" si="17"/>
        <v>0</v>
      </c>
      <c r="N159" s="103">
        <f t="shared" si="18"/>
        <v>0</v>
      </c>
      <c r="O159" s="82"/>
      <c r="P159" s="82"/>
      <c r="Q159" s="82"/>
      <c r="R159" s="82"/>
      <c r="S159" s="82"/>
    </row>
    <row r="160" spans="1:20" s="87" customFormat="1" x14ac:dyDescent="0.25">
      <c r="A160" s="96">
        <f t="shared" si="19"/>
        <v>0</v>
      </c>
      <c r="B160" s="34" t="str">
        <f t="shared" si="14"/>
        <v/>
      </c>
      <c r="C160" s="35"/>
      <c r="D160" s="35"/>
      <c r="E160" s="35"/>
      <c r="F160" s="35"/>
      <c r="G160" s="82"/>
      <c r="H160" s="97">
        <v>155</v>
      </c>
      <c r="I160" s="98" t="str">
        <f t="shared" si="15"/>
        <v/>
      </c>
      <c r="J160" s="97">
        <f t="shared" si="20"/>
        <v>-3</v>
      </c>
      <c r="K160" s="97">
        <f t="shared" si="16"/>
        <v>-30</v>
      </c>
      <c r="L160" s="97"/>
      <c r="M160" s="99">
        <f t="shared" si="17"/>
        <v>0</v>
      </c>
      <c r="N160" s="99">
        <f t="shared" si="18"/>
        <v>0</v>
      </c>
      <c r="O160" s="82"/>
      <c r="P160" s="82"/>
      <c r="Q160" s="82"/>
      <c r="R160" s="82"/>
      <c r="S160" s="111"/>
      <c r="T160" s="112"/>
    </row>
    <row r="161" spans="1:20" s="87" customFormat="1" x14ac:dyDescent="0.25">
      <c r="A161" s="100">
        <f t="shared" si="19"/>
        <v>0</v>
      </c>
      <c r="B161" s="40" t="str">
        <f t="shared" si="14"/>
        <v/>
      </c>
      <c r="C161" s="41"/>
      <c r="D161" s="41"/>
      <c r="E161" s="41"/>
      <c r="F161" s="41"/>
      <c r="G161" s="82"/>
      <c r="H161" s="101">
        <v>156</v>
      </c>
      <c r="I161" s="102" t="str">
        <f t="shared" si="15"/>
        <v/>
      </c>
      <c r="J161" s="101">
        <f t="shared" si="20"/>
        <v>-3</v>
      </c>
      <c r="K161" s="101">
        <f t="shared" si="16"/>
        <v>-30</v>
      </c>
      <c r="L161" s="101"/>
      <c r="M161" s="103">
        <f t="shared" si="17"/>
        <v>0</v>
      </c>
      <c r="N161" s="103">
        <f t="shared" si="18"/>
        <v>0</v>
      </c>
      <c r="O161" s="82"/>
      <c r="P161" s="82"/>
      <c r="Q161" s="82"/>
      <c r="R161" s="82"/>
      <c r="S161" s="82"/>
    </row>
    <row r="162" spans="1:20" s="87" customFormat="1" x14ac:dyDescent="0.25">
      <c r="A162" s="96">
        <f t="shared" si="19"/>
        <v>0</v>
      </c>
      <c r="B162" s="34" t="str">
        <f t="shared" si="14"/>
        <v/>
      </c>
      <c r="C162" s="35"/>
      <c r="D162" s="35"/>
      <c r="E162" s="35"/>
      <c r="F162" s="35"/>
      <c r="G162" s="82"/>
      <c r="H162" s="97">
        <v>157</v>
      </c>
      <c r="I162" s="98" t="str">
        <f t="shared" si="15"/>
        <v/>
      </c>
      <c r="J162" s="97">
        <f t="shared" si="20"/>
        <v>-3</v>
      </c>
      <c r="K162" s="97">
        <f t="shared" si="16"/>
        <v>-30</v>
      </c>
      <c r="L162" s="97"/>
      <c r="M162" s="99">
        <f t="shared" si="17"/>
        <v>0</v>
      </c>
      <c r="N162" s="99">
        <f t="shared" si="18"/>
        <v>0</v>
      </c>
      <c r="O162" s="82"/>
      <c r="P162" s="82"/>
      <c r="Q162" s="82"/>
      <c r="R162" s="82"/>
      <c r="S162" s="111"/>
      <c r="T162" s="112"/>
    </row>
    <row r="163" spans="1:20" s="87" customFormat="1" x14ac:dyDescent="0.25">
      <c r="A163" s="100">
        <f t="shared" si="19"/>
        <v>0</v>
      </c>
      <c r="B163" s="40" t="str">
        <f t="shared" si="14"/>
        <v/>
      </c>
      <c r="C163" s="41"/>
      <c r="D163" s="41"/>
      <c r="E163" s="41"/>
      <c r="F163" s="41"/>
      <c r="G163" s="82"/>
      <c r="H163" s="101">
        <v>158</v>
      </c>
      <c r="I163" s="102" t="str">
        <f t="shared" si="15"/>
        <v/>
      </c>
      <c r="J163" s="101">
        <f t="shared" si="20"/>
        <v>-3</v>
      </c>
      <c r="K163" s="101">
        <f t="shared" si="16"/>
        <v>-30</v>
      </c>
      <c r="L163" s="101"/>
      <c r="M163" s="103">
        <f t="shared" si="17"/>
        <v>0</v>
      </c>
      <c r="N163" s="103">
        <f t="shared" si="18"/>
        <v>0</v>
      </c>
      <c r="O163" s="82"/>
      <c r="P163" s="82"/>
      <c r="Q163" s="82"/>
      <c r="R163" s="82"/>
      <c r="S163" s="82"/>
    </row>
    <row r="164" spans="1:20" s="87" customFormat="1" x14ac:dyDescent="0.25">
      <c r="A164" s="96">
        <f t="shared" si="19"/>
        <v>0</v>
      </c>
      <c r="B164" s="34" t="str">
        <f t="shared" si="14"/>
        <v/>
      </c>
      <c r="C164" s="35"/>
      <c r="D164" s="35"/>
      <c r="E164" s="35"/>
      <c r="F164" s="35"/>
      <c r="G164" s="82"/>
      <c r="H164" s="97">
        <v>159</v>
      </c>
      <c r="I164" s="98" t="str">
        <f t="shared" si="15"/>
        <v/>
      </c>
      <c r="J164" s="97">
        <f t="shared" si="20"/>
        <v>-3</v>
      </c>
      <c r="K164" s="97">
        <f t="shared" si="16"/>
        <v>-30</v>
      </c>
      <c r="L164" s="97"/>
      <c r="M164" s="99">
        <f t="shared" si="17"/>
        <v>0</v>
      </c>
      <c r="N164" s="99">
        <f t="shared" si="18"/>
        <v>0</v>
      </c>
      <c r="O164" s="82"/>
      <c r="P164" s="82"/>
      <c r="Q164" s="82"/>
      <c r="R164" s="82"/>
      <c r="S164" s="111"/>
      <c r="T164" s="112"/>
    </row>
    <row r="165" spans="1:20" s="87" customFormat="1" x14ac:dyDescent="0.25">
      <c r="A165" s="100">
        <f t="shared" si="19"/>
        <v>0</v>
      </c>
      <c r="B165" s="40" t="str">
        <f t="shared" si="14"/>
        <v/>
      </c>
      <c r="C165" s="41"/>
      <c r="D165" s="41"/>
      <c r="E165" s="41"/>
      <c r="F165" s="41"/>
      <c r="G165" s="82"/>
      <c r="H165" s="101">
        <v>160</v>
      </c>
      <c r="I165" s="102" t="str">
        <f t="shared" si="15"/>
        <v/>
      </c>
      <c r="J165" s="101">
        <f t="shared" si="20"/>
        <v>-3</v>
      </c>
      <c r="K165" s="101">
        <f t="shared" si="16"/>
        <v>-30</v>
      </c>
      <c r="L165" s="101"/>
      <c r="M165" s="103">
        <f t="shared" si="17"/>
        <v>0</v>
      </c>
      <c r="N165" s="103">
        <f t="shared" si="18"/>
        <v>0</v>
      </c>
      <c r="O165" s="82"/>
      <c r="P165" s="82"/>
      <c r="Q165" s="82"/>
      <c r="R165" s="82"/>
      <c r="S165" s="82"/>
    </row>
    <row r="166" spans="1:20" s="87" customFormat="1" x14ac:dyDescent="0.25">
      <c r="A166" s="96">
        <f t="shared" si="19"/>
        <v>0</v>
      </c>
      <c r="B166" s="34" t="str">
        <f t="shared" si="14"/>
        <v/>
      </c>
      <c r="C166" s="35"/>
      <c r="D166" s="35"/>
      <c r="E166" s="35"/>
      <c r="F166" s="35"/>
      <c r="G166" s="82"/>
      <c r="H166" s="97">
        <v>161</v>
      </c>
      <c r="I166" s="98" t="str">
        <f t="shared" si="15"/>
        <v/>
      </c>
      <c r="J166" s="97">
        <f t="shared" si="20"/>
        <v>-3</v>
      </c>
      <c r="K166" s="97">
        <f t="shared" si="16"/>
        <v>-30</v>
      </c>
      <c r="L166" s="97"/>
      <c r="M166" s="99">
        <f t="shared" si="17"/>
        <v>0</v>
      </c>
      <c r="N166" s="99">
        <f t="shared" si="18"/>
        <v>0</v>
      </c>
      <c r="O166" s="82"/>
      <c r="P166" s="82"/>
      <c r="Q166" s="82"/>
      <c r="R166" s="82"/>
      <c r="S166" s="111"/>
      <c r="T166" s="112"/>
    </row>
    <row r="167" spans="1:20" s="87" customFormat="1" x14ac:dyDescent="0.25">
      <c r="A167" s="100">
        <f t="shared" si="19"/>
        <v>0</v>
      </c>
      <c r="B167" s="40" t="str">
        <f t="shared" si="14"/>
        <v/>
      </c>
      <c r="C167" s="41"/>
      <c r="D167" s="41"/>
      <c r="E167" s="41"/>
      <c r="F167" s="41"/>
      <c r="G167" s="82"/>
      <c r="H167" s="101">
        <v>162</v>
      </c>
      <c r="I167" s="102" t="str">
        <f t="shared" si="15"/>
        <v/>
      </c>
      <c r="J167" s="101">
        <f t="shared" si="20"/>
        <v>-3</v>
      </c>
      <c r="K167" s="101">
        <f t="shared" si="16"/>
        <v>-30</v>
      </c>
      <c r="L167" s="101"/>
      <c r="M167" s="103">
        <f t="shared" si="17"/>
        <v>0</v>
      </c>
      <c r="N167" s="103">
        <f t="shared" si="18"/>
        <v>0</v>
      </c>
      <c r="O167" s="82"/>
      <c r="P167" s="82"/>
      <c r="Q167" s="82"/>
      <c r="R167" s="82"/>
      <c r="S167" s="82"/>
    </row>
    <row r="168" spans="1:20" s="87" customFormat="1" x14ac:dyDescent="0.25">
      <c r="A168" s="96">
        <f t="shared" si="19"/>
        <v>0</v>
      </c>
      <c r="B168" s="34" t="str">
        <f t="shared" si="14"/>
        <v/>
      </c>
      <c r="C168" s="35"/>
      <c r="D168" s="35"/>
      <c r="E168" s="35"/>
      <c r="F168" s="35"/>
      <c r="G168" s="82"/>
      <c r="H168" s="97">
        <v>163</v>
      </c>
      <c r="I168" s="98" t="str">
        <f t="shared" si="15"/>
        <v/>
      </c>
      <c r="J168" s="97">
        <f t="shared" si="20"/>
        <v>-3</v>
      </c>
      <c r="K168" s="97">
        <f t="shared" si="16"/>
        <v>-30</v>
      </c>
      <c r="L168" s="97"/>
      <c r="M168" s="99">
        <f t="shared" si="17"/>
        <v>0</v>
      </c>
      <c r="N168" s="99">
        <f t="shared" si="18"/>
        <v>0</v>
      </c>
      <c r="O168" s="82"/>
      <c r="P168" s="82"/>
      <c r="Q168" s="82"/>
      <c r="R168" s="82"/>
      <c r="S168" s="111"/>
      <c r="T168" s="112"/>
    </row>
    <row r="169" spans="1:20" s="87" customFormat="1" x14ac:dyDescent="0.25">
      <c r="A169" s="100">
        <f t="shared" si="19"/>
        <v>0</v>
      </c>
      <c r="B169" s="40" t="str">
        <f t="shared" si="14"/>
        <v/>
      </c>
      <c r="C169" s="41"/>
      <c r="D169" s="41"/>
      <c r="E169" s="41"/>
      <c r="F169" s="41"/>
      <c r="G169" s="82"/>
      <c r="H169" s="101">
        <v>164</v>
      </c>
      <c r="I169" s="102" t="str">
        <f t="shared" si="15"/>
        <v/>
      </c>
      <c r="J169" s="101">
        <f t="shared" si="20"/>
        <v>-3</v>
      </c>
      <c r="K169" s="101">
        <f t="shared" si="16"/>
        <v>-30</v>
      </c>
      <c r="L169" s="101"/>
      <c r="M169" s="103">
        <f t="shared" si="17"/>
        <v>0</v>
      </c>
      <c r="N169" s="103">
        <f t="shared" si="18"/>
        <v>0</v>
      </c>
      <c r="O169" s="82"/>
      <c r="P169" s="82"/>
      <c r="Q169" s="82"/>
      <c r="R169" s="82"/>
      <c r="S169" s="82"/>
    </row>
    <row r="170" spans="1:20" s="87" customFormat="1" x14ac:dyDescent="0.25">
      <c r="A170" s="96">
        <f t="shared" si="19"/>
        <v>0</v>
      </c>
      <c r="B170" s="34" t="str">
        <f t="shared" si="14"/>
        <v/>
      </c>
      <c r="C170" s="35"/>
      <c r="D170" s="35"/>
      <c r="E170" s="35"/>
      <c r="F170" s="35"/>
      <c r="G170" s="82"/>
      <c r="H170" s="97">
        <v>165</v>
      </c>
      <c r="I170" s="98" t="str">
        <f t="shared" si="15"/>
        <v/>
      </c>
      <c r="J170" s="97">
        <f t="shared" si="20"/>
        <v>-3</v>
      </c>
      <c r="K170" s="97">
        <f t="shared" si="16"/>
        <v>-30</v>
      </c>
      <c r="L170" s="97"/>
      <c r="M170" s="99">
        <f t="shared" si="17"/>
        <v>0</v>
      </c>
      <c r="N170" s="99">
        <f t="shared" si="18"/>
        <v>0</v>
      </c>
      <c r="O170" s="82"/>
      <c r="P170" s="82"/>
      <c r="Q170" s="82"/>
      <c r="R170" s="82"/>
      <c r="S170" s="111"/>
      <c r="T170" s="112"/>
    </row>
    <row r="171" spans="1:20" s="87" customFormat="1" x14ac:dyDescent="0.25">
      <c r="A171" s="100">
        <f t="shared" si="19"/>
        <v>0</v>
      </c>
      <c r="B171" s="40" t="str">
        <f t="shared" si="14"/>
        <v/>
      </c>
      <c r="C171" s="41"/>
      <c r="D171" s="41"/>
      <c r="E171" s="41"/>
      <c r="F171" s="41"/>
      <c r="G171" s="82"/>
      <c r="H171" s="101">
        <v>166</v>
      </c>
      <c r="I171" s="102" t="str">
        <f t="shared" si="15"/>
        <v/>
      </c>
      <c r="J171" s="101">
        <f t="shared" si="20"/>
        <v>-3</v>
      </c>
      <c r="K171" s="101">
        <f t="shared" si="16"/>
        <v>-30</v>
      </c>
      <c r="L171" s="101"/>
      <c r="M171" s="103">
        <f t="shared" si="17"/>
        <v>0</v>
      </c>
      <c r="N171" s="103">
        <f t="shared" si="18"/>
        <v>0</v>
      </c>
      <c r="O171" s="82"/>
      <c r="P171" s="82"/>
      <c r="Q171" s="82"/>
      <c r="R171" s="82"/>
      <c r="S171" s="82"/>
    </row>
    <row r="172" spans="1:20" s="87" customFormat="1" x14ac:dyDescent="0.25">
      <c r="A172" s="96">
        <f t="shared" si="19"/>
        <v>0</v>
      </c>
      <c r="B172" s="34" t="str">
        <f t="shared" si="14"/>
        <v/>
      </c>
      <c r="C172" s="35"/>
      <c r="D172" s="35"/>
      <c r="E172" s="35"/>
      <c r="F172" s="35"/>
      <c r="G172" s="82"/>
      <c r="H172" s="97">
        <v>167</v>
      </c>
      <c r="I172" s="98" t="str">
        <f t="shared" si="15"/>
        <v/>
      </c>
      <c r="J172" s="97">
        <f t="shared" si="20"/>
        <v>-3</v>
      </c>
      <c r="K172" s="97">
        <f t="shared" si="16"/>
        <v>-30</v>
      </c>
      <c r="L172" s="97"/>
      <c r="M172" s="99">
        <f t="shared" si="17"/>
        <v>0</v>
      </c>
      <c r="N172" s="99">
        <f t="shared" si="18"/>
        <v>0</v>
      </c>
      <c r="O172" s="82"/>
      <c r="P172" s="82"/>
      <c r="Q172" s="82"/>
      <c r="R172" s="82"/>
      <c r="S172" s="111"/>
      <c r="T172" s="112"/>
    </row>
    <row r="173" spans="1:20" s="87" customFormat="1" x14ac:dyDescent="0.25">
      <c r="A173" s="100">
        <f t="shared" si="19"/>
        <v>0</v>
      </c>
      <c r="B173" s="40" t="str">
        <f t="shared" si="14"/>
        <v/>
      </c>
      <c r="C173" s="41"/>
      <c r="D173" s="41"/>
      <c r="E173" s="41"/>
      <c r="F173" s="41"/>
      <c r="G173" s="82"/>
      <c r="H173" s="101">
        <v>168</v>
      </c>
      <c r="I173" s="102" t="str">
        <f t="shared" si="15"/>
        <v/>
      </c>
      <c r="J173" s="101">
        <f t="shared" si="20"/>
        <v>-3</v>
      </c>
      <c r="K173" s="101">
        <f t="shared" si="16"/>
        <v>-30</v>
      </c>
      <c r="L173" s="101"/>
      <c r="M173" s="103">
        <f t="shared" si="17"/>
        <v>0</v>
      </c>
      <c r="N173" s="103">
        <f t="shared" si="18"/>
        <v>0</v>
      </c>
      <c r="O173" s="82"/>
      <c r="P173" s="82"/>
      <c r="Q173" s="82"/>
      <c r="R173" s="82"/>
      <c r="S173" s="82"/>
    </row>
    <row r="174" spans="1:20" s="87" customFormat="1" x14ac:dyDescent="0.25">
      <c r="A174" s="96">
        <f t="shared" si="19"/>
        <v>0</v>
      </c>
      <c r="B174" s="34" t="str">
        <f t="shared" si="14"/>
        <v/>
      </c>
      <c r="C174" s="35"/>
      <c r="D174" s="35"/>
      <c r="E174" s="35"/>
      <c r="F174" s="35"/>
      <c r="G174" s="82"/>
      <c r="H174" s="97">
        <v>169</v>
      </c>
      <c r="I174" s="98" t="str">
        <f t="shared" si="15"/>
        <v/>
      </c>
      <c r="J174" s="97">
        <f t="shared" si="20"/>
        <v>-3</v>
      </c>
      <c r="K174" s="97">
        <f t="shared" si="16"/>
        <v>-30</v>
      </c>
      <c r="L174" s="97"/>
      <c r="M174" s="99">
        <f t="shared" si="17"/>
        <v>0</v>
      </c>
      <c r="N174" s="99">
        <f t="shared" si="18"/>
        <v>0</v>
      </c>
      <c r="O174" s="82"/>
      <c r="P174" s="82"/>
      <c r="Q174" s="82"/>
      <c r="R174" s="82"/>
      <c r="S174" s="111"/>
      <c r="T174" s="112"/>
    </row>
    <row r="175" spans="1:20" s="87" customFormat="1" x14ac:dyDescent="0.25">
      <c r="A175" s="100">
        <f t="shared" si="19"/>
        <v>0</v>
      </c>
      <c r="B175" s="40" t="str">
        <f t="shared" si="14"/>
        <v/>
      </c>
      <c r="C175" s="41"/>
      <c r="D175" s="41"/>
      <c r="E175" s="41"/>
      <c r="F175" s="41"/>
      <c r="G175" s="82"/>
      <c r="H175" s="101">
        <v>170</v>
      </c>
      <c r="I175" s="102" t="str">
        <f t="shared" si="15"/>
        <v/>
      </c>
      <c r="J175" s="101">
        <f t="shared" si="20"/>
        <v>-3</v>
      </c>
      <c r="K175" s="101">
        <f t="shared" si="16"/>
        <v>-30</v>
      </c>
      <c r="L175" s="101"/>
      <c r="M175" s="103">
        <f t="shared" si="17"/>
        <v>0</v>
      </c>
      <c r="N175" s="103">
        <f t="shared" si="18"/>
        <v>0</v>
      </c>
      <c r="O175" s="82"/>
      <c r="P175" s="82"/>
      <c r="Q175" s="82"/>
      <c r="R175" s="82"/>
      <c r="S175" s="82"/>
    </row>
    <row r="176" spans="1:20" s="87" customFormat="1" x14ac:dyDescent="0.25">
      <c r="A176" s="96">
        <f t="shared" si="19"/>
        <v>0</v>
      </c>
      <c r="B176" s="34" t="str">
        <f t="shared" si="14"/>
        <v/>
      </c>
      <c r="C176" s="35"/>
      <c r="D176" s="35"/>
      <c r="E176" s="35"/>
      <c r="F176" s="35"/>
      <c r="G176" s="82"/>
      <c r="H176" s="97">
        <v>171</v>
      </c>
      <c r="I176" s="98" t="str">
        <f t="shared" si="15"/>
        <v/>
      </c>
      <c r="J176" s="97">
        <f t="shared" si="20"/>
        <v>-3</v>
      </c>
      <c r="K176" s="97">
        <f t="shared" si="16"/>
        <v>-30</v>
      </c>
      <c r="L176" s="97"/>
      <c r="M176" s="99">
        <f t="shared" si="17"/>
        <v>0</v>
      </c>
      <c r="N176" s="99">
        <f t="shared" si="18"/>
        <v>0</v>
      </c>
      <c r="O176" s="82"/>
      <c r="P176" s="82"/>
      <c r="Q176" s="82"/>
      <c r="R176" s="82"/>
      <c r="S176" s="111"/>
      <c r="T176" s="112"/>
    </row>
    <row r="177" spans="1:20" s="87" customFormat="1" x14ac:dyDescent="0.25">
      <c r="A177" s="100">
        <f t="shared" si="19"/>
        <v>0</v>
      </c>
      <c r="B177" s="40" t="str">
        <f t="shared" si="14"/>
        <v/>
      </c>
      <c r="C177" s="41"/>
      <c r="D177" s="41"/>
      <c r="E177" s="41"/>
      <c r="F177" s="41"/>
      <c r="G177" s="82"/>
      <c r="H177" s="101">
        <v>172</v>
      </c>
      <c r="I177" s="102" t="str">
        <f t="shared" si="15"/>
        <v/>
      </c>
      <c r="J177" s="101">
        <f t="shared" si="20"/>
        <v>-3</v>
      </c>
      <c r="K177" s="101">
        <f t="shared" si="16"/>
        <v>-30</v>
      </c>
      <c r="L177" s="101"/>
      <c r="M177" s="103">
        <f t="shared" si="17"/>
        <v>0</v>
      </c>
      <c r="N177" s="103">
        <f t="shared" si="18"/>
        <v>0</v>
      </c>
      <c r="O177" s="82"/>
      <c r="P177" s="82"/>
      <c r="Q177" s="82"/>
      <c r="R177" s="82"/>
      <c r="S177" s="82"/>
    </row>
    <row r="178" spans="1:20" s="87" customFormat="1" x14ac:dyDescent="0.25">
      <c r="A178" s="96">
        <f t="shared" si="19"/>
        <v>0</v>
      </c>
      <c r="B178" s="34" t="str">
        <f t="shared" si="14"/>
        <v/>
      </c>
      <c r="C178" s="35"/>
      <c r="D178" s="35"/>
      <c r="E178" s="35"/>
      <c r="F178" s="35"/>
      <c r="G178" s="82"/>
      <c r="H178" s="97">
        <v>173</v>
      </c>
      <c r="I178" s="98" t="str">
        <f t="shared" si="15"/>
        <v/>
      </c>
      <c r="J178" s="97">
        <f t="shared" si="20"/>
        <v>-3</v>
      </c>
      <c r="K178" s="97">
        <f t="shared" si="16"/>
        <v>-30</v>
      </c>
      <c r="L178" s="97"/>
      <c r="M178" s="99">
        <f t="shared" si="17"/>
        <v>0</v>
      </c>
      <c r="N178" s="99">
        <f t="shared" si="18"/>
        <v>0</v>
      </c>
      <c r="O178" s="82"/>
      <c r="P178" s="82"/>
      <c r="Q178" s="82"/>
      <c r="R178" s="82"/>
      <c r="S178" s="111"/>
      <c r="T178" s="112"/>
    </row>
    <row r="179" spans="1:20" s="87" customFormat="1" x14ac:dyDescent="0.25">
      <c r="A179" s="100">
        <f t="shared" si="19"/>
        <v>0</v>
      </c>
      <c r="B179" s="40" t="str">
        <f t="shared" si="14"/>
        <v/>
      </c>
      <c r="C179" s="41"/>
      <c r="D179" s="41"/>
      <c r="E179" s="41"/>
      <c r="F179" s="41"/>
      <c r="G179" s="82"/>
      <c r="H179" s="101">
        <v>174</v>
      </c>
      <c r="I179" s="102" t="str">
        <f t="shared" si="15"/>
        <v/>
      </c>
      <c r="J179" s="101">
        <f t="shared" si="20"/>
        <v>-3</v>
      </c>
      <c r="K179" s="101">
        <f t="shared" si="16"/>
        <v>-30</v>
      </c>
      <c r="L179" s="101"/>
      <c r="M179" s="103">
        <f t="shared" si="17"/>
        <v>0</v>
      </c>
      <c r="N179" s="103">
        <f t="shared" si="18"/>
        <v>0</v>
      </c>
      <c r="O179" s="82"/>
      <c r="P179" s="82"/>
      <c r="Q179" s="82"/>
      <c r="R179" s="82"/>
      <c r="S179" s="82"/>
    </row>
    <row r="180" spans="1:20" s="87" customFormat="1" x14ac:dyDescent="0.25">
      <c r="A180" s="96">
        <f t="shared" si="19"/>
        <v>0</v>
      </c>
      <c r="B180" s="34" t="str">
        <f t="shared" si="14"/>
        <v/>
      </c>
      <c r="C180" s="35"/>
      <c r="D180" s="35"/>
      <c r="E180" s="35"/>
      <c r="F180" s="35"/>
      <c r="G180" s="82"/>
      <c r="H180" s="97">
        <v>175</v>
      </c>
      <c r="I180" s="98" t="str">
        <f t="shared" si="15"/>
        <v/>
      </c>
      <c r="J180" s="97">
        <f t="shared" si="20"/>
        <v>-3</v>
      </c>
      <c r="K180" s="97">
        <f t="shared" si="16"/>
        <v>-30</v>
      </c>
      <c r="L180" s="97"/>
      <c r="M180" s="99">
        <f t="shared" si="17"/>
        <v>0</v>
      </c>
      <c r="N180" s="99">
        <f t="shared" si="18"/>
        <v>0</v>
      </c>
      <c r="O180" s="82"/>
      <c r="P180" s="82"/>
      <c r="Q180" s="82"/>
      <c r="R180" s="82"/>
      <c r="S180" s="111"/>
      <c r="T180" s="112"/>
    </row>
    <row r="181" spans="1:20" s="87" customFormat="1" x14ac:dyDescent="0.25">
      <c r="A181" s="100">
        <f t="shared" si="19"/>
        <v>0</v>
      </c>
      <c r="B181" s="40" t="str">
        <f t="shared" si="14"/>
        <v/>
      </c>
      <c r="C181" s="41"/>
      <c r="D181" s="41"/>
      <c r="E181" s="41"/>
      <c r="F181" s="41"/>
      <c r="G181" s="82"/>
      <c r="H181" s="101">
        <v>176</v>
      </c>
      <c r="I181" s="102" t="str">
        <f t="shared" si="15"/>
        <v/>
      </c>
      <c r="J181" s="101">
        <f t="shared" si="20"/>
        <v>-3</v>
      </c>
      <c r="K181" s="101">
        <f t="shared" si="16"/>
        <v>-30</v>
      </c>
      <c r="L181" s="101"/>
      <c r="M181" s="103">
        <f t="shared" si="17"/>
        <v>0</v>
      </c>
      <c r="N181" s="103">
        <f t="shared" si="18"/>
        <v>0</v>
      </c>
      <c r="O181" s="82"/>
      <c r="P181" s="82"/>
      <c r="Q181" s="82"/>
      <c r="R181" s="82"/>
      <c r="S181" s="82"/>
    </row>
    <row r="182" spans="1:20" s="87" customFormat="1" x14ac:dyDescent="0.25">
      <c r="A182" s="96">
        <f t="shared" si="19"/>
        <v>0</v>
      </c>
      <c r="B182" s="34" t="str">
        <f t="shared" si="14"/>
        <v/>
      </c>
      <c r="C182" s="35"/>
      <c r="D182" s="35"/>
      <c r="E182" s="35"/>
      <c r="F182" s="35"/>
      <c r="G182" s="82"/>
      <c r="H182" s="97">
        <v>177</v>
      </c>
      <c r="I182" s="98" t="str">
        <f t="shared" si="15"/>
        <v/>
      </c>
      <c r="J182" s="97">
        <f t="shared" si="20"/>
        <v>-3</v>
      </c>
      <c r="K182" s="97">
        <f t="shared" si="16"/>
        <v>-30</v>
      </c>
      <c r="L182" s="97"/>
      <c r="M182" s="99">
        <f t="shared" si="17"/>
        <v>0</v>
      </c>
      <c r="N182" s="99">
        <f t="shared" si="18"/>
        <v>0</v>
      </c>
      <c r="O182" s="82"/>
      <c r="P182" s="82"/>
      <c r="Q182" s="82"/>
      <c r="R182" s="82"/>
      <c r="S182" s="111"/>
      <c r="T182" s="112"/>
    </row>
    <row r="183" spans="1:20" s="87" customFormat="1" x14ac:dyDescent="0.25">
      <c r="A183" s="100">
        <f t="shared" si="19"/>
        <v>0</v>
      </c>
      <c r="B183" s="40" t="str">
        <f t="shared" si="14"/>
        <v/>
      </c>
      <c r="C183" s="41"/>
      <c r="D183" s="41"/>
      <c r="E183" s="41"/>
      <c r="F183" s="41"/>
      <c r="G183" s="82"/>
      <c r="H183" s="101">
        <v>178</v>
      </c>
      <c r="I183" s="102" t="str">
        <f t="shared" si="15"/>
        <v/>
      </c>
      <c r="J183" s="101">
        <f t="shared" si="20"/>
        <v>-3</v>
      </c>
      <c r="K183" s="101">
        <f t="shared" si="16"/>
        <v>-30</v>
      </c>
      <c r="L183" s="101"/>
      <c r="M183" s="103">
        <f t="shared" si="17"/>
        <v>0</v>
      </c>
      <c r="N183" s="103">
        <f t="shared" si="18"/>
        <v>0</v>
      </c>
      <c r="O183" s="82"/>
      <c r="P183" s="82"/>
      <c r="Q183" s="82"/>
      <c r="R183" s="82"/>
      <c r="S183" s="82"/>
    </row>
    <row r="184" spans="1:20" s="87" customFormat="1" x14ac:dyDescent="0.25">
      <c r="A184" s="96">
        <f t="shared" si="19"/>
        <v>0</v>
      </c>
      <c r="B184" s="34" t="str">
        <f t="shared" si="14"/>
        <v/>
      </c>
      <c r="C184" s="35"/>
      <c r="D184" s="35"/>
      <c r="E184" s="35"/>
      <c r="F184" s="35"/>
      <c r="G184" s="82"/>
      <c r="H184" s="97">
        <v>179</v>
      </c>
      <c r="I184" s="98" t="str">
        <f t="shared" si="15"/>
        <v/>
      </c>
      <c r="J184" s="97">
        <f t="shared" si="20"/>
        <v>-3</v>
      </c>
      <c r="K184" s="97">
        <f t="shared" si="16"/>
        <v>-30</v>
      </c>
      <c r="L184" s="97"/>
      <c r="M184" s="99">
        <f t="shared" si="17"/>
        <v>0</v>
      </c>
      <c r="N184" s="99">
        <f t="shared" si="18"/>
        <v>0</v>
      </c>
      <c r="O184" s="82"/>
      <c r="P184" s="82"/>
      <c r="Q184" s="82"/>
      <c r="R184" s="82"/>
      <c r="S184" s="111"/>
      <c r="T184" s="112"/>
    </row>
    <row r="185" spans="1:20" s="87" customFormat="1" x14ac:dyDescent="0.25">
      <c r="A185" s="100">
        <f t="shared" si="19"/>
        <v>0</v>
      </c>
      <c r="B185" s="40" t="str">
        <f t="shared" si="14"/>
        <v/>
      </c>
      <c r="C185" s="41"/>
      <c r="D185" s="41"/>
      <c r="E185" s="41"/>
      <c r="F185" s="41"/>
      <c r="G185" s="82"/>
      <c r="H185" s="101">
        <v>180</v>
      </c>
      <c r="I185" s="102" t="str">
        <f t="shared" si="15"/>
        <v/>
      </c>
      <c r="J185" s="101">
        <f t="shared" si="20"/>
        <v>-3</v>
      </c>
      <c r="K185" s="101">
        <f t="shared" si="16"/>
        <v>-30</v>
      </c>
      <c r="L185" s="101"/>
      <c r="M185" s="103">
        <f t="shared" si="17"/>
        <v>0</v>
      </c>
      <c r="N185" s="103">
        <f t="shared" si="18"/>
        <v>0</v>
      </c>
      <c r="O185" s="82"/>
      <c r="P185" s="82"/>
      <c r="Q185" s="82"/>
      <c r="R185" s="82"/>
      <c r="S185" s="82"/>
    </row>
    <row r="186" spans="1:20" s="87" customFormat="1" x14ac:dyDescent="0.25">
      <c r="A186" s="96">
        <f t="shared" si="19"/>
        <v>0</v>
      </c>
      <c r="B186" s="34" t="str">
        <f t="shared" si="14"/>
        <v/>
      </c>
      <c r="C186" s="35"/>
      <c r="D186" s="35"/>
      <c r="E186" s="35"/>
      <c r="F186" s="35"/>
      <c r="G186" s="82"/>
      <c r="H186" s="97">
        <v>181</v>
      </c>
      <c r="I186" s="98" t="str">
        <f t="shared" si="15"/>
        <v/>
      </c>
      <c r="J186" s="97">
        <f t="shared" si="20"/>
        <v>-3</v>
      </c>
      <c r="K186" s="97">
        <f t="shared" si="16"/>
        <v>-30</v>
      </c>
      <c r="L186" s="97"/>
      <c r="M186" s="99">
        <f t="shared" si="17"/>
        <v>0</v>
      </c>
      <c r="N186" s="99">
        <f t="shared" si="18"/>
        <v>0</v>
      </c>
      <c r="O186" s="82"/>
      <c r="P186" s="82"/>
      <c r="Q186" s="82"/>
      <c r="R186" s="82"/>
      <c r="S186" s="111"/>
      <c r="T186" s="112"/>
    </row>
    <row r="187" spans="1:20" s="87" customFormat="1" x14ac:dyDescent="0.25">
      <c r="A187" s="100">
        <f t="shared" si="19"/>
        <v>0</v>
      </c>
      <c r="B187" s="40" t="str">
        <f t="shared" si="14"/>
        <v/>
      </c>
      <c r="C187" s="41"/>
      <c r="D187" s="41"/>
      <c r="E187" s="41"/>
      <c r="F187" s="41"/>
      <c r="G187" s="82"/>
      <c r="H187" s="101">
        <v>182</v>
      </c>
      <c r="I187" s="102" t="str">
        <f t="shared" si="15"/>
        <v/>
      </c>
      <c r="J187" s="101">
        <f t="shared" si="20"/>
        <v>-3</v>
      </c>
      <c r="K187" s="101">
        <f t="shared" si="16"/>
        <v>-30</v>
      </c>
      <c r="L187" s="101"/>
      <c r="M187" s="103">
        <f t="shared" si="17"/>
        <v>0</v>
      </c>
      <c r="N187" s="103">
        <f t="shared" si="18"/>
        <v>0</v>
      </c>
      <c r="O187" s="82"/>
      <c r="P187" s="82"/>
      <c r="Q187" s="82"/>
      <c r="R187" s="82"/>
      <c r="S187" s="82"/>
    </row>
    <row r="188" spans="1:20" s="87" customFormat="1" x14ac:dyDescent="0.25">
      <c r="A188" s="96">
        <f t="shared" si="19"/>
        <v>0</v>
      </c>
      <c r="B188" s="34" t="str">
        <f t="shared" si="14"/>
        <v/>
      </c>
      <c r="C188" s="35"/>
      <c r="D188" s="35"/>
      <c r="E188" s="35"/>
      <c r="F188" s="35"/>
      <c r="G188" s="82"/>
      <c r="H188" s="97">
        <v>183</v>
      </c>
      <c r="I188" s="98" t="str">
        <f t="shared" si="15"/>
        <v/>
      </c>
      <c r="J188" s="97">
        <f t="shared" si="20"/>
        <v>-3</v>
      </c>
      <c r="K188" s="97">
        <f t="shared" si="16"/>
        <v>-30</v>
      </c>
      <c r="L188" s="97"/>
      <c r="M188" s="99">
        <f t="shared" si="17"/>
        <v>0</v>
      </c>
      <c r="N188" s="99">
        <f t="shared" si="18"/>
        <v>0</v>
      </c>
      <c r="O188" s="82"/>
      <c r="P188" s="82"/>
      <c r="Q188" s="82"/>
      <c r="R188" s="82"/>
      <c r="S188" s="111"/>
      <c r="T188" s="112"/>
    </row>
    <row r="189" spans="1:20" s="87" customFormat="1" x14ac:dyDescent="0.25">
      <c r="A189" s="100">
        <f t="shared" si="19"/>
        <v>0</v>
      </c>
      <c r="B189" s="40" t="str">
        <f t="shared" si="14"/>
        <v/>
      </c>
      <c r="C189" s="41"/>
      <c r="D189" s="41"/>
      <c r="E189" s="41"/>
      <c r="F189" s="41"/>
      <c r="G189" s="82"/>
      <c r="H189" s="101">
        <v>184</v>
      </c>
      <c r="I189" s="102" t="str">
        <f t="shared" si="15"/>
        <v/>
      </c>
      <c r="J189" s="101">
        <f t="shared" si="20"/>
        <v>-3</v>
      </c>
      <c r="K189" s="101">
        <f t="shared" si="16"/>
        <v>-30</v>
      </c>
      <c r="L189" s="101"/>
      <c r="M189" s="103">
        <f t="shared" si="17"/>
        <v>0</v>
      </c>
      <c r="N189" s="103">
        <f t="shared" si="18"/>
        <v>0</v>
      </c>
      <c r="O189" s="82"/>
      <c r="P189" s="82"/>
      <c r="Q189" s="82"/>
      <c r="R189" s="82"/>
      <c r="S189" s="82"/>
    </row>
    <row r="190" spans="1:20" s="87" customFormat="1" x14ac:dyDescent="0.25">
      <c r="A190" s="96">
        <f t="shared" si="19"/>
        <v>0</v>
      </c>
      <c r="B190" s="34" t="str">
        <f t="shared" si="14"/>
        <v/>
      </c>
      <c r="C190" s="35"/>
      <c r="D190" s="35"/>
      <c r="E190" s="35"/>
      <c r="F190" s="35"/>
      <c r="G190" s="82"/>
      <c r="H190" s="97">
        <v>185</v>
      </c>
      <c r="I190" s="98" t="str">
        <f t="shared" si="15"/>
        <v/>
      </c>
      <c r="J190" s="97">
        <f t="shared" si="20"/>
        <v>-3</v>
      </c>
      <c r="K190" s="97">
        <f t="shared" si="16"/>
        <v>-30</v>
      </c>
      <c r="L190" s="97"/>
      <c r="M190" s="99">
        <f t="shared" si="17"/>
        <v>0</v>
      </c>
      <c r="N190" s="99">
        <f t="shared" si="18"/>
        <v>0</v>
      </c>
      <c r="O190" s="82"/>
      <c r="P190" s="82"/>
      <c r="Q190" s="82"/>
      <c r="R190" s="82"/>
      <c r="S190" s="111"/>
      <c r="T190" s="112"/>
    </row>
    <row r="191" spans="1:20" s="87" customFormat="1" x14ac:dyDescent="0.25">
      <c r="A191" s="100">
        <f t="shared" si="19"/>
        <v>0</v>
      </c>
      <c r="B191" s="40" t="str">
        <f t="shared" si="14"/>
        <v/>
      </c>
      <c r="C191" s="41"/>
      <c r="D191" s="41"/>
      <c r="E191" s="41"/>
      <c r="F191" s="41"/>
      <c r="G191" s="82"/>
      <c r="H191" s="101">
        <v>186</v>
      </c>
      <c r="I191" s="102" t="str">
        <f t="shared" si="15"/>
        <v/>
      </c>
      <c r="J191" s="101">
        <f t="shared" si="20"/>
        <v>-3</v>
      </c>
      <c r="K191" s="101">
        <f t="shared" si="16"/>
        <v>-30</v>
      </c>
      <c r="L191" s="101"/>
      <c r="M191" s="103">
        <f t="shared" si="17"/>
        <v>0</v>
      </c>
      <c r="N191" s="103">
        <f t="shared" si="18"/>
        <v>0</v>
      </c>
      <c r="O191" s="82"/>
      <c r="P191" s="82"/>
      <c r="Q191" s="82"/>
      <c r="R191" s="82"/>
      <c r="S191" s="82"/>
    </row>
    <row r="192" spans="1:20" s="87" customFormat="1" x14ac:dyDescent="0.25">
      <c r="A192" s="96">
        <f t="shared" si="19"/>
        <v>0</v>
      </c>
      <c r="B192" s="34" t="str">
        <f t="shared" si="14"/>
        <v/>
      </c>
      <c r="C192" s="35"/>
      <c r="D192" s="35"/>
      <c r="E192" s="35"/>
      <c r="F192" s="35"/>
      <c r="G192" s="82"/>
      <c r="H192" s="97">
        <v>187</v>
      </c>
      <c r="I192" s="98" t="str">
        <f t="shared" si="15"/>
        <v/>
      </c>
      <c r="J192" s="97">
        <f t="shared" si="20"/>
        <v>-3</v>
      </c>
      <c r="K192" s="97">
        <f t="shared" si="16"/>
        <v>-30</v>
      </c>
      <c r="L192" s="97"/>
      <c r="M192" s="99">
        <f t="shared" si="17"/>
        <v>0</v>
      </c>
      <c r="N192" s="99">
        <f t="shared" si="18"/>
        <v>0</v>
      </c>
      <c r="O192" s="82"/>
      <c r="P192" s="82"/>
      <c r="Q192" s="82"/>
      <c r="R192" s="82"/>
      <c r="S192" s="111"/>
      <c r="T192" s="112"/>
    </row>
    <row r="193" spans="1:20" s="87" customFormat="1" x14ac:dyDescent="0.25">
      <c r="A193" s="100">
        <f t="shared" si="19"/>
        <v>0</v>
      </c>
      <c r="B193" s="40" t="str">
        <f t="shared" si="14"/>
        <v/>
      </c>
      <c r="C193" s="41"/>
      <c r="D193" s="41"/>
      <c r="E193" s="41"/>
      <c r="F193" s="41"/>
      <c r="G193" s="82"/>
      <c r="H193" s="101">
        <v>188</v>
      </c>
      <c r="I193" s="102" t="str">
        <f t="shared" si="15"/>
        <v/>
      </c>
      <c r="J193" s="101">
        <f t="shared" si="20"/>
        <v>-3</v>
      </c>
      <c r="K193" s="101">
        <f t="shared" si="16"/>
        <v>-30</v>
      </c>
      <c r="L193" s="101"/>
      <c r="M193" s="103">
        <f t="shared" si="17"/>
        <v>0</v>
      </c>
      <c r="N193" s="103">
        <f t="shared" si="18"/>
        <v>0</v>
      </c>
      <c r="O193" s="82"/>
      <c r="P193" s="82"/>
      <c r="Q193" s="82"/>
      <c r="R193" s="82"/>
      <c r="S193" s="82"/>
    </row>
    <row r="194" spans="1:20" s="87" customFormat="1" x14ac:dyDescent="0.25">
      <c r="A194" s="96">
        <f t="shared" si="19"/>
        <v>0</v>
      </c>
      <c r="B194" s="34" t="str">
        <f t="shared" si="14"/>
        <v/>
      </c>
      <c r="C194" s="35"/>
      <c r="D194" s="35"/>
      <c r="E194" s="35"/>
      <c r="F194" s="35"/>
      <c r="G194" s="82"/>
      <c r="H194" s="97">
        <v>189</v>
      </c>
      <c r="I194" s="98" t="str">
        <f t="shared" si="15"/>
        <v/>
      </c>
      <c r="J194" s="97">
        <f t="shared" si="20"/>
        <v>-3</v>
      </c>
      <c r="K194" s="97">
        <f t="shared" si="16"/>
        <v>-30</v>
      </c>
      <c r="L194" s="97"/>
      <c r="M194" s="99">
        <f t="shared" si="17"/>
        <v>0</v>
      </c>
      <c r="N194" s="99">
        <f t="shared" si="18"/>
        <v>0</v>
      </c>
      <c r="O194" s="82"/>
      <c r="P194" s="82"/>
      <c r="Q194" s="82"/>
      <c r="R194" s="82"/>
      <c r="S194" s="111"/>
      <c r="T194" s="112"/>
    </row>
    <row r="195" spans="1:20" s="87" customFormat="1" x14ac:dyDescent="0.25">
      <c r="A195" s="100">
        <f t="shared" si="19"/>
        <v>0</v>
      </c>
      <c r="B195" s="40" t="str">
        <f t="shared" si="14"/>
        <v/>
      </c>
      <c r="C195" s="41"/>
      <c r="D195" s="41"/>
      <c r="E195" s="41"/>
      <c r="F195" s="41"/>
      <c r="G195" s="82"/>
      <c r="H195" s="101">
        <v>190</v>
      </c>
      <c r="I195" s="102" t="str">
        <f t="shared" si="15"/>
        <v/>
      </c>
      <c r="J195" s="101">
        <f t="shared" si="20"/>
        <v>-3</v>
      </c>
      <c r="K195" s="101">
        <f t="shared" si="16"/>
        <v>-30</v>
      </c>
      <c r="L195" s="101"/>
      <c r="M195" s="103">
        <f t="shared" si="17"/>
        <v>0</v>
      </c>
      <c r="N195" s="103">
        <f t="shared" si="18"/>
        <v>0</v>
      </c>
      <c r="O195" s="82"/>
      <c r="P195" s="82"/>
      <c r="Q195" s="82"/>
      <c r="R195" s="82"/>
      <c r="S195" s="82"/>
    </row>
    <row r="196" spans="1:20" s="87" customFormat="1" x14ac:dyDescent="0.25">
      <c r="A196" s="96">
        <f t="shared" si="19"/>
        <v>0</v>
      </c>
      <c r="B196" s="34" t="str">
        <f t="shared" si="14"/>
        <v/>
      </c>
      <c r="C196" s="35"/>
      <c r="D196" s="35"/>
      <c r="E196" s="35"/>
      <c r="F196" s="35"/>
      <c r="G196" s="82"/>
      <c r="H196" s="97">
        <v>191</v>
      </c>
      <c r="I196" s="98" t="str">
        <f t="shared" si="15"/>
        <v/>
      </c>
      <c r="J196" s="97">
        <f t="shared" si="20"/>
        <v>-3</v>
      </c>
      <c r="K196" s="97">
        <f t="shared" si="16"/>
        <v>-30</v>
      </c>
      <c r="L196" s="97"/>
      <c r="M196" s="99">
        <f t="shared" si="17"/>
        <v>0</v>
      </c>
      <c r="N196" s="99">
        <f t="shared" si="18"/>
        <v>0</v>
      </c>
      <c r="O196" s="82"/>
      <c r="P196" s="82"/>
      <c r="Q196" s="82"/>
      <c r="R196" s="82"/>
      <c r="S196" s="111"/>
      <c r="T196" s="112"/>
    </row>
    <row r="197" spans="1:20" s="87" customFormat="1" x14ac:dyDescent="0.25">
      <c r="A197" s="100">
        <f t="shared" si="19"/>
        <v>0</v>
      </c>
      <c r="B197" s="40" t="str">
        <f t="shared" si="14"/>
        <v/>
      </c>
      <c r="C197" s="41"/>
      <c r="D197" s="41"/>
      <c r="E197" s="41"/>
      <c r="F197" s="41"/>
      <c r="G197" s="82"/>
      <c r="H197" s="101">
        <v>192</v>
      </c>
      <c r="I197" s="102" t="str">
        <f t="shared" si="15"/>
        <v/>
      </c>
      <c r="J197" s="101">
        <f t="shared" si="20"/>
        <v>-3</v>
      </c>
      <c r="K197" s="101">
        <f t="shared" si="16"/>
        <v>-30</v>
      </c>
      <c r="L197" s="101"/>
      <c r="M197" s="103">
        <f t="shared" si="17"/>
        <v>0</v>
      </c>
      <c r="N197" s="103">
        <f t="shared" si="18"/>
        <v>0</v>
      </c>
      <c r="O197" s="82"/>
      <c r="P197" s="82"/>
      <c r="Q197" s="82"/>
      <c r="R197" s="82"/>
      <c r="S197" s="82"/>
    </row>
    <row r="198" spans="1:20" s="87" customFormat="1" x14ac:dyDescent="0.25">
      <c r="A198" s="96">
        <f t="shared" si="19"/>
        <v>0</v>
      </c>
      <c r="B198" s="34" t="str">
        <f t="shared" ref="B198:B250" si="21">IF(H198&gt;$H$2,"",(ROW()-5))</f>
        <v/>
      </c>
      <c r="C198" s="35"/>
      <c r="D198" s="35"/>
      <c r="E198" s="35"/>
      <c r="F198" s="35"/>
      <c r="G198" s="82"/>
      <c r="H198" s="97">
        <v>193</v>
      </c>
      <c r="I198" s="98" t="str">
        <f t="shared" ref="I198:I261" si="22">IF(H198&lt;$H$2+1,($I$2-($I$2-1)*(LOG(H198)/LOG($H$2))),"")</f>
        <v/>
      </c>
      <c r="J198" s="97">
        <f t="shared" si="20"/>
        <v>-3</v>
      </c>
      <c r="K198" s="97">
        <f t="shared" ref="K198:K261" si="23">J198*$J$2</f>
        <v>-30</v>
      </c>
      <c r="L198" s="97"/>
      <c r="M198" s="99">
        <f t="shared" ref="M198:M261" si="24">IF(I198&lt;&gt;"",K198+I198+L198,0)</f>
        <v>0</v>
      </c>
      <c r="N198" s="99">
        <f t="shared" ref="N198:N261" si="25">IF(I198&lt;&gt;"",M198*L$2,0)</f>
        <v>0</v>
      </c>
      <c r="O198" s="82"/>
      <c r="P198" s="82"/>
      <c r="Q198" s="82"/>
      <c r="R198" s="82"/>
      <c r="S198" s="111"/>
      <c r="T198" s="112"/>
    </row>
    <row r="199" spans="1:20" s="87" customFormat="1" x14ac:dyDescent="0.25">
      <c r="A199" s="100">
        <f t="shared" ref="A199:A262" si="26">N199</f>
        <v>0</v>
      </c>
      <c r="B199" s="40" t="str">
        <f t="shared" si="21"/>
        <v/>
      </c>
      <c r="C199" s="41"/>
      <c r="D199" s="41"/>
      <c r="E199" s="41"/>
      <c r="F199" s="41"/>
      <c r="G199" s="82"/>
      <c r="H199" s="101">
        <v>194</v>
      </c>
      <c r="I199" s="102" t="str">
        <f t="shared" si="22"/>
        <v/>
      </c>
      <c r="J199" s="101">
        <f t="shared" ref="J199:J262" si="27">INT(LOG($H$2,2))-ROUNDUP(LOG(H199,2),0)+IF(OR($H$2=1,$H$2=2,$H$2=4,$H$2=8,$H$2=16,$H$2=32,$H$2=64,$H$2=128,$H$2=256),0,1)</f>
        <v>-3</v>
      </c>
      <c r="K199" s="101">
        <f t="shared" si="23"/>
        <v>-30</v>
      </c>
      <c r="L199" s="101"/>
      <c r="M199" s="103">
        <f t="shared" si="24"/>
        <v>0</v>
      </c>
      <c r="N199" s="103">
        <f t="shared" si="25"/>
        <v>0</v>
      </c>
      <c r="O199" s="82"/>
      <c r="P199" s="82"/>
      <c r="Q199" s="82"/>
      <c r="R199" s="82"/>
      <c r="S199" s="82"/>
    </row>
    <row r="200" spans="1:20" s="87" customFormat="1" x14ac:dyDescent="0.25">
      <c r="A200" s="96">
        <f t="shared" si="26"/>
        <v>0</v>
      </c>
      <c r="B200" s="34" t="str">
        <f t="shared" si="21"/>
        <v/>
      </c>
      <c r="C200" s="35"/>
      <c r="D200" s="35"/>
      <c r="E200" s="35"/>
      <c r="F200" s="35"/>
      <c r="G200" s="82"/>
      <c r="H200" s="97">
        <v>195</v>
      </c>
      <c r="I200" s="98" t="str">
        <f t="shared" si="22"/>
        <v/>
      </c>
      <c r="J200" s="97">
        <f t="shared" si="27"/>
        <v>-3</v>
      </c>
      <c r="K200" s="97">
        <f t="shared" si="23"/>
        <v>-30</v>
      </c>
      <c r="L200" s="97"/>
      <c r="M200" s="99">
        <f t="shared" si="24"/>
        <v>0</v>
      </c>
      <c r="N200" s="99">
        <f t="shared" si="25"/>
        <v>0</v>
      </c>
      <c r="O200" s="82"/>
      <c r="P200" s="82"/>
      <c r="Q200" s="82"/>
      <c r="R200" s="82"/>
      <c r="S200" s="111"/>
      <c r="T200" s="112"/>
    </row>
    <row r="201" spans="1:20" s="87" customFormat="1" x14ac:dyDescent="0.25">
      <c r="A201" s="100">
        <f t="shared" si="26"/>
        <v>0</v>
      </c>
      <c r="B201" s="40" t="str">
        <f t="shared" si="21"/>
        <v/>
      </c>
      <c r="C201" s="41"/>
      <c r="D201" s="41"/>
      <c r="E201" s="41"/>
      <c r="F201" s="41"/>
      <c r="G201" s="82"/>
      <c r="H201" s="101">
        <v>196</v>
      </c>
      <c r="I201" s="102" t="str">
        <f t="shared" si="22"/>
        <v/>
      </c>
      <c r="J201" s="101">
        <f t="shared" si="27"/>
        <v>-3</v>
      </c>
      <c r="K201" s="101">
        <f t="shared" si="23"/>
        <v>-30</v>
      </c>
      <c r="L201" s="101"/>
      <c r="M201" s="103">
        <f t="shared" si="24"/>
        <v>0</v>
      </c>
      <c r="N201" s="103">
        <f t="shared" si="25"/>
        <v>0</v>
      </c>
      <c r="O201" s="82"/>
      <c r="P201" s="82"/>
      <c r="Q201" s="82"/>
      <c r="R201" s="82"/>
      <c r="S201" s="82"/>
    </row>
    <row r="202" spans="1:20" s="87" customFormat="1" x14ac:dyDescent="0.25">
      <c r="A202" s="96">
        <f t="shared" si="26"/>
        <v>0</v>
      </c>
      <c r="B202" s="34" t="str">
        <f t="shared" si="21"/>
        <v/>
      </c>
      <c r="C202" s="35"/>
      <c r="D202" s="35"/>
      <c r="E202" s="35"/>
      <c r="F202" s="35"/>
      <c r="G202" s="82"/>
      <c r="H202" s="97">
        <v>197</v>
      </c>
      <c r="I202" s="98" t="str">
        <f t="shared" si="22"/>
        <v/>
      </c>
      <c r="J202" s="97">
        <f t="shared" si="27"/>
        <v>-3</v>
      </c>
      <c r="K202" s="97">
        <f t="shared" si="23"/>
        <v>-30</v>
      </c>
      <c r="L202" s="97"/>
      <c r="M202" s="99">
        <f t="shared" si="24"/>
        <v>0</v>
      </c>
      <c r="N202" s="99">
        <f t="shared" si="25"/>
        <v>0</v>
      </c>
      <c r="O202" s="82"/>
      <c r="P202" s="82"/>
      <c r="Q202" s="82"/>
      <c r="R202" s="82"/>
      <c r="S202" s="111"/>
      <c r="T202" s="112"/>
    </row>
    <row r="203" spans="1:20" s="87" customFormat="1" x14ac:dyDescent="0.25">
      <c r="A203" s="100">
        <f t="shared" si="26"/>
        <v>0</v>
      </c>
      <c r="B203" s="40" t="str">
        <f t="shared" si="21"/>
        <v/>
      </c>
      <c r="C203" s="41"/>
      <c r="D203" s="41"/>
      <c r="E203" s="41"/>
      <c r="F203" s="41"/>
      <c r="G203" s="82"/>
      <c r="H203" s="101">
        <v>198</v>
      </c>
      <c r="I203" s="102" t="str">
        <f t="shared" si="22"/>
        <v/>
      </c>
      <c r="J203" s="101">
        <f t="shared" si="27"/>
        <v>-3</v>
      </c>
      <c r="K203" s="101">
        <f t="shared" si="23"/>
        <v>-30</v>
      </c>
      <c r="L203" s="101"/>
      <c r="M203" s="103">
        <f t="shared" si="24"/>
        <v>0</v>
      </c>
      <c r="N203" s="103">
        <f t="shared" si="25"/>
        <v>0</v>
      </c>
      <c r="O203" s="82"/>
      <c r="P203" s="82"/>
      <c r="Q203" s="82"/>
      <c r="R203" s="82"/>
      <c r="S203" s="82"/>
    </row>
    <row r="204" spans="1:20" s="87" customFormat="1" x14ac:dyDescent="0.25">
      <c r="A204" s="96">
        <f t="shared" si="26"/>
        <v>0</v>
      </c>
      <c r="B204" s="34" t="str">
        <f t="shared" si="21"/>
        <v/>
      </c>
      <c r="C204" s="35"/>
      <c r="D204" s="35"/>
      <c r="E204" s="35"/>
      <c r="F204" s="35"/>
      <c r="G204" s="82"/>
      <c r="H204" s="97">
        <v>199</v>
      </c>
      <c r="I204" s="98" t="str">
        <f t="shared" si="22"/>
        <v/>
      </c>
      <c r="J204" s="97">
        <f t="shared" si="27"/>
        <v>-3</v>
      </c>
      <c r="K204" s="97">
        <f t="shared" si="23"/>
        <v>-30</v>
      </c>
      <c r="L204" s="97"/>
      <c r="M204" s="99">
        <f t="shared" si="24"/>
        <v>0</v>
      </c>
      <c r="N204" s="99">
        <f t="shared" si="25"/>
        <v>0</v>
      </c>
      <c r="O204" s="82"/>
      <c r="P204" s="82"/>
      <c r="Q204" s="82"/>
      <c r="R204" s="82"/>
      <c r="S204" s="111"/>
      <c r="T204" s="112"/>
    </row>
    <row r="205" spans="1:20" s="87" customFormat="1" x14ac:dyDescent="0.25">
      <c r="A205" s="100">
        <f t="shared" si="26"/>
        <v>0</v>
      </c>
      <c r="B205" s="40" t="str">
        <f t="shared" si="21"/>
        <v/>
      </c>
      <c r="C205" s="41"/>
      <c r="D205" s="41"/>
      <c r="E205" s="41"/>
      <c r="F205" s="41"/>
      <c r="G205" s="82"/>
      <c r="H205" s="101">
        <v>200</v>
      </c>
      <c r="I205" s="102" t="str">
        <f t="shared" si="22"/>
        <v/>
      </c>
      <c r="J205" s="101">
        <f t="shared" si="27"/>
        <v>-3</v>
      </c>
      <c r="K205" s="101">
        <f t="shared" si="23"/>
        <v>-30</v>
      </c>
      <c r="L205" s="101"/>
      <c r="M205" s="103">
        <f t="shared" si="24"/>
        <v>0</v>
      </c>
      <c r="N205" s="103">
        <f t="shared" si="25"/>
        <v>0</v>
      </c>
      <c r="O205" s="82"/>
      <c r="P205" s="82"/>
      <c r="Q205" s="82"/>
      <c r="R205" s="82"/>
      <c r="S205" s="82"/>
    </row>
    <row r="206" spans="1:20" s="87" customFormat="1" x14ac:dyDescent="0.25">
      <c r="A206" s="96">
        <f t="shared" si="26"/>
        <v>0</v>
      </c>
      <c r="B206" s="34" t="str">
        <f t="shared" si="21"/>
        <v/>
      </c>
      <c r="C206" s="35"/>
      <c r="D206" s="35"/>
      <c r="E206" s="35"/>
      <c r="F206" s="35"/>
      <c r="G206" s="82"/>
      <c r="H206" s="97">
        <v>201</v>
      </c>
      <c r="I206" s="98" t="str">
        <f t="shared" si="22"/>
        <v/>
      </c>
      <c r="J206" s="97">
        <f t="shared" si="27"/>
        <v>-3</v>
      </c>
      <c r="K206" s="97">
        <f t="shared" si="23"/>
        <v>-30</v>
      </c>
      <c r="L206" s="97"/>
      <c r="M206" s="99">
        <f t="shared" si="24"/>
        <v>0</v>
      </c>
      <c r="N206" s="99">
        <f t="shared" si="25"/>
        <v>0</v>
      </c>
      <c r="O206" s="82"/>
      <c r="P206" s="82"/>
      <c r="Q206" s="82"/>
      <c r="R206" s="82"/>
      <c r="S206" s="111"/>
      <c r="T206" s="112"/>
    </row>
    <row r="207" spans="1:20" s="87" customFormat="1" x14ac:dyDescent="0.25">
      <c r="A207" s="100">
        <f t="shared" si="26"/>
        <v>0</v>
      </c>
      <c r="B207" s="40" t="str">
        <f t="shared" si="21"/>
        <v/>
      </c>
      <c r="C207" s="41"/>
      <c r="D207" s="41"/>
      <c r="E207" s="41"/>
      <c r="F207" s="41"/>
      <c r="G207" s="82"/>
      <c r="H207" s="101">
        <v>202</v>
      </c>
      <c r="I207" s="102" t="str">
        <f t="shared" si="22"/>
        <v/>
      </c>
      <c r="J207" s="101">
        <f t="shared" si="27"/>
        <v>-3</v>
      </c>
      <c r="K207" s="101">
        <f t="shared" si="23"/>
        <v>-30</v>
      </c>
      <c r="L207" s="101"/>
      <c r="M207" s="103">
        <f t="shared" si="24"/>
        <v>0</v>
      </c>
      <c r="N207" s="103">
        <f t="shared" si="25"/>
        <v>0</v>
      </c>
      <c r="O207" s="82"/>
      <c r="P207" s="82"/>
      <c r="Q207" s="82"/>
      <c r="R207" s="82"/>
      <c r="S207" s="82"/>
    </row>
    <row r="208" spans="1:20" s="87" customFormat="1" x14ac:dyDescent="0.25">
      <c r="A208" s="96">
        <f t="shared" si="26"/>
        <v>0</v>
      </c>
      <c r="B208" s="34" t="str">
        <f t="shared" si="21"/>
        <v/>
      </c>
      <c r="C208" s="35"/>
      <c r="D208" s="35"/>
      <c r="E208" s="35"/>
      <c r="F208" s="35"/>
      <c r="G208" s="82"/>
      <c r="H208" s="97">
        <v>203</v>
      </c>
      <c r="I208" s="98" t="str">
        <f t="shared" si="22"/>
        <v/>
      </c>
      <c r="J208" s="97">
        <f t="shared" si="27"/>
        <v>-3</v>
      </c>
      <c r="K208" s="97">
        <f t="shared" si="23"/>
        <v>-30</v>
      </c>
      <c r="L208" s="97"/>
      <c r="M208" s="99">
        <f t="shared" si="24"/>
        <v>0</v>
      </c>
      <c r="N208" s="99">
        <f t="shared" si="25"/>
        <v>0</v>
      </c>
      <c r="O208" s="82"/>
      <c r="P208" s="82"/>
      <c r="Q208" s="82"/>
      <c r="R208" s="82"/>
      <c r="S208" s="111"/>
      <c r="T208" s="112"/>
    </row>
    <row r="209" spans="1:20" s="87" customFormat="1" x14ac:dyDescent="0.25">
      <c r="A209" s="100">
        <f t="shared" si="26"/>
        <v>0</v>
      </c>
      <c r="B209" s="40" t="str">
        <f t="shared" si="21"/>
        <v/>
      </c>
      <c r="C209" s="41"/>
      <c r="D209" s="41"/>
      <c r="E209" s="41"/>
      <c r="F209" s="41"/>
      <c r="G209" s="82"/>
      <c r="H209" s="101">
        <v>204</v>
      </c>
      <c r="I209" s="102" t="str">
        <f t="shared" si="22"/>
        <v/>
      </c>
      <c r="J209" s="101">
        <f t="shared" si="27"/>
        <v>-3</v>
      </c>
      <c r="K209" s="101">
        <f t="shared" si="23"/>
        <v>-30</v>
      </c>
      <c r="L209" s="101"/>
      <c r="M209" s="103">
        <f t="shared" si="24"/>
        <v>0</v>
      </c>
      <c r="N209" s="103">
        <f t="shared" si="25"/>
        <v>0</v>
      </c>
      <c r="O209" s="82"/>
      <c r="P209" s="82"/>
      <c r="Q209" s="82"/>
      <c r="R209" s="82"/>
      <c r="S209" s="82"/>
    </row>
    <row r="210" spans="1:20" s="87" customFormat="1" x14ac:dyDescent="0.25">
      <c r="A210" s="96">
        <f t="shared" si="26"/>
        <v>0</v>
      </c>
      <c r="B210" s="34" t="str">
        <f t="shared" si="21"/>
        <v/>
      </c>
      <c r="C210" s="35"/>
      <c r="D210" s="35"/>
      <c r="E210" s="35"/>
      <c r="F210" s="35"/>
      <c r="G210" s="82"/>
      <c r="H210" s="97">
        <v>205</v>
      </c>
      <c r="I210" s="98" t="str">
        <f t="shared" si="22"/>
        <v/>
      </c>
      <c r="J210" s="97">
        <f t="shared" si="27"/>
        <v>-3</v>
      </c>
      <c r="K210" s="97">
        <f t="shared" si="23"/>
        <v>-30</v>
      </c>
      <c r="L210" s="97"/>
      <c r="M210" s="99">
        <f t="shared" si="24"/>
        <v>0</v>
      </c>
      <c r="N210" s="99">
        <f t="shared" si="25"/>
        <v>0</v>
      </c>
      <c r="O210" s="82"/>
      <c r="P210" s="82"/>
      <c r="Q210" s="82"/>
      <c r="R210" s="82"/>
      <c r="S210" s="111"/>
      <c r="T210" s="112"/>
    </row>
    <row r="211" spans="1:20" s="87" customFormat="1" x14ac:dyDescent="0.25">
      <c r="A211" s="100">
        <f t="shared" si="26"/>
        <v>0</v>
      </c>
      <c r="B211" s="40" t="str">
        <f t="shared" si="21"/>
        <v/>
      </c>
      <c r="C211" s="41"/>
      <c r="D211" s="41"/>
      <c r="E211" s="41"/>
      <c r="F211" s="41"/>
      <c r="G211" s="82"/>
      <c r="H211" s="101">
        <v>206</v>
      </c>
      <c r="I211" s="102" t="str">
        <f t="shared" si="22"/>
        <v/>
      </c>
      <c r="J211" s="101">
        <f t="shared" si="27"/>
        <v>-3</v>
      </c>
      <c r="K211" s="101">
        <f t="shared" si="23"/>
        <v>-30</v>
      </c>
      <c r="L211" s="101"/>
      <c r="M211" s="103">
        <f t="shared" si="24"/>
        <v>0</v>
      </c>
      <c r="N211" s="103">
        <f t="shared" si="25"/>
        <v>0</v>
      </c>
      <c r="O211" s="82"/>
      <c r="P211" s="82"/>
      <c r="Q211" s="82"/>
      <c r="R211" s="82"/>
      <c r="S211" s="82"/>
    </row>
    <row r="212" spans="1:20" s="87" customFormat="1" x14ac:dyDescent="0.25">
      <c r="A212" s="96">
        <f t="shared" si="26"/>
        <v>0</v>
      </c>
      <c r="B212" s="34" t="str">
        <f t="shared" si="21"/>
        <v/>
      </c>
      <c r="C212" s="35"/>
      <c r="D212" s="35"/>
      <c r="E212" s="35"/>
      <c r="F212" s="35"/>
      <c r="G212" s="82"/>
      <c r="H212" s="97">
        <v>207</v>
      </c>
      <c r="I212" s="98" t="str">
        <f t="shared" si="22"/>
        <v/>
      </c>
      <c r="J212" s="97">
        <f t="shared" si="27"/>
        <v>-3</v>
      </c>
      <c r="K212" s="97">
        <f t="shared" si="23"/>
        <v>-30</v>
      </c>
      <c r="L212" s="97"/>
      <c r="M212" s="99">
        <f t="shared" si="24"/>
        <v>0</v>
      </c>
      <c r="N212" s="99">
        <f t="shared" si="25"/>
        <v>0</v>
      </c>
      <c r="O212" s="82"/>
      <c r="P212" s="82"/>
      <c r="Q212" s="82"/>
      <c r="R212" s="82"/>
      <c r="S212" s="111"/>
      <c r="T212" s="112"/>
    </row>
    <row r="213" spans="1:20" s="87" customFormat="1" x14ac:dyDescent="0.25">
      <c r="A213" s="100">
        <f t="shared" si="26"/>
        <v>0</v>
      </c>
      <c r="B213" s="40" t="str">
        <f t="shared" si="21"/>
        <v/>
      </c>
      <c r="C213" s="41"/>
      <c r="D213" s="41"/>
      <c r="E213" s="41"/>
      <c r="F213" s="41"/>
      <c r="G213" s="82"/>
      <c r="H213" s="101">
        <v>208</v>
      </c>
      <c r="I213" s="102" t="str">
        <f t="shared" si="22"/>
        <v/>
      </c>
      <c r="J213" s="101">
        <f t="shared" si="27"/>
        <v>-3</v>
      </c>
      <c r="K213" s="101">
        <f t="shared" si="23"/>
        <v>-30</v>
      </c>
      <c r="L213" s="101"/>
      <c r="M213" s="103">
        <f t="shared" si="24"/>
        <v>0</v>
      </c>
      <c r="N213" s="103">
        <f t="shared" si="25"/>
        <v>0</v>
      </c>
      <c r="O213" s="82"/>
      <c r="P213" s="82"/>
      <c r="Q213" s="82"/>
      <c r="R213" s="82"/>
      <c r="S213" s="82"/>
    </row>
    <row r="214" spans="1:20" s="87" customFormat="1" x14ac:dyDescent="0.25">
      <c r="A214" s="96">
        <f t="shared" si="26"/>
        <v>0</v>
      </c>
      <c r="B214" s="34" t="str">
        <f t="shared" si="21"/>
        <v/>
      </c>
      <c r="C214" s="35"/>
      <c r="D214" s="35"/>
      <c r="E214" s="35"/>
      <c r="F214" s="35"/>
      <c r="G214" s="82"/>
      <c r="H214" s="97">
        <v>209</v>
      </c>
      <c r="I214" s="98" t="str">
        <f t="shared" si="22"/>
        <v/>
      </c>
      <c r="J214" s="97">
        <f t="shared" si="27"/>
        <v>-3</v>
      </c>
      <c r="K214" s="97">
        <f t="shared" si="23"/>
        <v>-30</v>
      </c>
      <c r="L214" s="97"/>
      <c r="M214" s="99">
        <f t="shared" si="24"/>
        <v>0</v>
      </c>
      <c r="N214" s="99">
        <f t="shared" si="25"/>
        <v>0</v>
      </c>
      <c r="O214" s="82"/>
      <c r="P214" s="82"/>
      <c r="Q214" s="82"/>
      <c r="R214" s="82"/>
      <c r="S214" s="111"/>
      <c r="T214" s="112"/>
    </row>
    <row r="215" spans="1:20" s="87" customFormat="1" x14ac:dyDescent="0.25">
      <c r="A215" s="100">
        <f t="shared" si="26"/>
        <v>0</v>
      </c>
      <c r="B215" s="40" t="str">
        <f t="shared" si="21"/>
        <v/>
      </c>
      <c r="C215" s="41"/>
      <c r="D215" s="41"/>
      <c r="E215" s="41"/>
      <c r="F215" s="41"/>
      <c r="G215" s="82"/>
      <c r="H215" s="101">
        <v>210</v>
      </c>
      <c r="I215" s="102" t="str">
        <f t="shared" si="22"/>
        <v/>
      </c>
      <c r="J215" s="101">
        <f t="shared" si="27"/>
        <v>-3</v>
      </c>
      <c r="K215" s="101">
        <f t="shared" si="23"/>
        <v>-30</v>
      </c>
      <c r="L215" s="101"/>
      <c r="M215" s="103">
        <f t="shared" si="24"/>
        <v>0</v>
      </c>
      <c r="N215" s="103">
        <f t="shared" si="25"/>
        <v>0</v>
      </c>
      <c r="O215" s="82"/>
      <c r="P215" s="82"/>
      <c r="Q215" s="82"/>
      <c r="R215" s="82"/>
      <c r="S215" s="82"/>
    </row>
    <row r="216" spans="1:20" s="87" customFormat="1" x14ac:dyDescent="0.25">
      <c r="A216" s="96">
        <f t="shared" si="26"/>
        <v>0</v>
      </c>
      <c r="B216" s="34" t="str">
        <f t="shared" si="21"/>
        <v/>
      </c>
      <c r="C216" s="35"/>
      <c r="D216" s="35"/>
      <c r="E216" s="35"/>
      <c r="F216" s="35"/>
      <c r="G216" s="82"/>
      <c r="H216" s="97">
        <v>211</v>
      </c>
      <c r="I216" s="98" t="str">
        <f t="shared" si="22"/>
        <v/>
      </c>
      <c r="J216" s="97">
        <f t="shared" si="27"/>
        <v>-3</v>
      </c>
      <c r="K216" s="97">
        <f t="shared" si="23"/>
        <v>-30</v>
      </c>
      <c r="L216" s="97"/>
      <c r="M216" s="99">
        <f t="shared" si="24"/>
        <v>0</v>
      </c>
      <c r="N216" s="99">
        <f t="shared" si="25"/>
        <v>0</v>
      </c>
      <c r="O216" s="82"/>
      <c r="P216" s="82"/>
      <c r="Q216" s="82"/>
      <c r="R216" s="82"/>
      <c r="S216" s="111"/>
      <c r="T216" s="112"/>
    </row>
    <row r="217" spans="1:20" s="87" customFormat="1" x14ac:dyDescent="0.25">
      <c r="A217" s="100">
        <f t="shared" si="26"/>
        <v>0</v>
      </c>
      <c r="B217" s="40" t="str">
        <f t="shared" si="21"/>
        <v/>
      </c>
      <c r="C217" s="41"/>
      <c r="D217" s="41"/>
      <c r="E217" s="41"/>
      <c r="F217" s="41"/>
      <c r="G217" s="82"/>
      <c r="H217" s="101">
        <v>212</v>
      </c>
      <c r="I217" s="102" t="str">
        <f t="shared" si="22"/>
        <v/>
      </c>
      <c r="J217" s="101">
        <f t="shared" si="27"/>
        <v>-3</v>
      </c>
      <c r="K217" s="101">
        <f t="shared" si="23"/>
        <v>-30</v>
      </c>
      <c r="L217" s="101"/>
      <c r="M217" s="103">
        <f t="shared" si="24"/>
        <v>0</v>
      </c>
      <c r="N217" s="103">
        <f t="shared" si="25"/>
        <v>0</v>
      </c>
      <c r="O217" s="82"/>
      <c r="P217" s="82"/>
      <c r="Q217" s="82"/>
      <c r="R217" s="82"/>
      <c r="S217" s="82"/>
    </row>
    <row r="218" spans="1:20" s="87" customFormat="1" x14ac:dyDescent="0.25">
      <c r="A218" s="96">
        <f t="shared" si="26"/>
        <v>0</v>
      </c>
      <c r="B218" s="34" t="str">
        <f t="shared" si="21"/>
        <v/>
      </c>
      <c r="C218" s="35"/>
      <c r="D218" s="35"/>
      <c r="E218" s="35"/>
      <c r="F218" s="35"/>
      <c r="G218" s="82"/>
      <c r="H218" s="97">
        <v>213</v>
      </c>
      <c r="I218" s="98" t="str">
        <f t="shared" si="22"/>
        <v/>
      </c>
      <c r="J218" s="97">
        <f t="shared" si="27"/>
        <v>-3</v>
      </c>
      <c r="K218" s="97">
        <f t="shared" si="23"/>
        <v>-30</v>
      </c>
      <c r="L218" s="97"/>
      <c r="M218" s="99">
        <f t="shared" si="24"/>
        <v>0</v>
      </c>
      <c r="N218" s="99">
        <f t="shared" si="25"/>
        <v>0</v>
      </c>
      <c r="O218" s="82"/>
      <c r="P218" s="82"/>
      <c r="Q218" s="82"/>
      <c r="R218" s="82"/>
      <c r="S218" s="111"/>
      <c r="T218" s="112"/>
    </row>
    <row r="219" spans="1:20" s="87" customFormat="1" x14ac:dyDescent="0.25">
      <c r="A219" s="100">
        <f t="shared" si="26"/>
        <v>0</v>
      </c>
      <c r="B219" s="40" t="str">
        <f t="shared" si="21"/>
        <v/>
      </c>
      <c r="C219" s="41"/>
      <c r="D219" s="41"/>
      <c r="E219" s="41"/>
      <c r="F219" s="41"/>
      <c r="G219" s="82"/>
      <c r="H219" s="101">
        <v>214</v>
      </c>
      <c r="I219" s="102" t="str">
        <f t="shared" si="22"/>
        <v/>
      </c>
      <c r="J219" s="101">
        <f t="shared" si="27"/>
        <v>-3</v>
      </c>
      <c r="K219" s="101">
        <f t="shared" si="23"/>
        <v>-30</v>
      </c>
      <c r="L219" s="101"/>
      <c r="M219" s="103">
        <f t="shared" si="24"/>
        <v>0</v>
      </c>
      <c r="N219" s="103">
        <f t="shared" si="25"/>
        <v>0</v>
      </c>
      <c r="O219" s="82"/>
      <c r="P219" s="82"/>
      <c r="Q219" s="82"/>
      <c r="R219" s="82"/>
      <c r="S219" s="82"/>
    </row>
    <row r="220" spans="1:20" s="87" customFormat="1" x14ac:dyDescent="0.25">
      <c r="A220" s="96">
        <f t="shared" si="26"/>
        <v>0</v>
      </c>
      <c r="B220" s="34" t="str">
        <f t="shared" si="21"/>
        <v/>
      </c>
      <c r="C220" s="35"/>
      <c r="D220" s="35"/>
      <c r="E220" s="35"/>
      <c r="F220" s="35"/>
      <c r="G220" s="82"/>
      <c r="H220" s="97">
        <v>215</v>
      </c>
      <c r="I220" s="98" t="str">
        <f t="shared" si="22"/>
        <v/>
      </c>
      <c r="J220" s="97">
        <f t="shared" si="27"/>
        <v>-3</v>
      </c>
      <c r="K220" s="97">
        <f t="shared" si="23"/>
        <v>-30</v>
      </c>
      <c r="L220" s="97"/>
      <c r="M220" s="99">
        <f t="shared" si="24"/>
        <v>0</v>
      </c>
      <c r="N220" s="99">
        <f t="shared" si="25"/>
        <v>0</v>
      </c>
      <c r="O220" s="82"/>
      <c r="P220" s="82"/>
      <c r="Q220" s="82"/>
      <c r="R220" s="82"/>
      <c r="S220" s="111"/>
      <c r="T220" s="112"/>
    </row>
    <row r="221" spans="1:20" s="87" customFormat="1" x14ac:dyDescent="0.25">
      <c r="A221" s="100">
        <f t="shared" si="26"/>
        <v>0</v>
      </c>
      <c r="B221" s="40" t="str">
        <f t="shared" si="21"/>
        <v/>
      </c>
      <c r="C221" s="41"/>
      <c r="D221" s="41"/>
      <c r="E221" s="41"/>
      <c r="F221" s="41"/>
      <c r="G221" s="82"/>
      <c r="H221" s="101">
        <v>216</v>
      </c>
      <c r="I221" s="102" t="str">
        <f t="shared" si="22"/>
        <v/>
      </c>
      <c r="J221" s="101">
        <f t="shared" si="27"/>
        <v>-3</v>
      </c>
      <c r="K221" s="101">
        <f t="shared" si="23"/>
        <v>-30</v>
      </c>
      <c r="L221" s="101"/>
      <c r="M221" s="103">
        <f t="shared" si="24"/>
        <v>0</v>
      </c>
      <c r="N221" s="103">
        <f t="shared" si="25"/>
        <v>0</v>
      </c>
      <c r="O221" s="82"/>
      <c r="P221" s="82"/>
      <c r="Q221" s="82"/>
      <c r="R221" s="82"/>
      <c r="S221" s="82"/>
    </row>
    <row r="222" spans="1:20" s="87" customFormat="1" x14ac:dyDescent="0.25">
      <c r="A222" s="96">
        <f t="shared" si="26"/>
        <v>0</v>
      </c>
      <c r="B222" s="34" t="str">
        <f t="shared" si="21"/>
        <v/>
      </c>
      <c r="C222" s="35"/>
      <c r="D222" s="35"/>
      <c r="E222" s="35"/>
      <c r="F222" s="35"/>
      <c r="G222" s="82"/>
      <c r="H222" s="97">
        <v>217</v>
      </c>
      <c r="I222" s="98" t="str">
        <f t="shared" si="22"/>
        <v/>
      </c>
      <c r="J222" s="97">
        <f t="shared" si="27"/>
        <v>-3</v>
      </c>
      <c r="K222" s="97">
        <f t="shared" si="23"/>
        <v>-30</v>
      </c>
      <c r="L222" s="97"/>
      <c r="M222" s="99">
        <f t="shared" si="24"/>
        <v>0</v>
      </c>
      <c r="N222" s="99">
        <f t="shared" si="25"/>
        <v>0</v>
      </c>
      <c r="O222" s="82"/>
      <c r="P222" s="82"/>
      <c r="Q222" s="82"/>
      <c r="R222" s="82"/>
      <c r="S222" s="111"/>
      <c r="T222" s="112"/>
    </row>
    <row r="223" spans="1:20" s="87" customFormat="1" x14ac:dyDescent="0.25">
      <c r="A223" s="100">
        <f t="shared" si="26"/>
        <v>0</v>
      </c>
      <c r="B223" s="40" t="str">
        <f t="shared" si="21"/>
        <v/>
      </c>
      <c r="C223" s="41"/>
      <c r="D223" s="41"/>
      <c r="E223" s="41"/>
      <c r="F223" s="41"/>
      <c r="G223" s="82"/>
      <c r="H223" s="101">
        <v>218</v>
      </c>
      <c r="I223" s="102" t="str">
        <f t="shared" si="22"/>
        <v/>
      </c>
      <c r="J223" s="101">
        <f t="shared" si="27"/>
        <v>-3</v>
      </c>
      <c r="K223" s="101">
        <f t="shared" si="23"/>
        <v>-30</v>
      </c>
      <c r="L223" s="101"/>
      <c r="M223" s="103">
        <f t="shared" si="24"/>
        <v>0</v>
      </c>
      <c r="N223" s="103">
        <f t="shared" si="25"/>
        <v>0</v>
      </c>
      <c r="O223" s="82"/>
      <c r="P223" s="82"/>
      <c r="Q223" s="82"/>
      <c r="R223" s="82"/>
      <c r="S223" s="82"/>
    </row>
    <row r="224" spans="1:20" s="87" customFormat="1" x14ac:dyDescent="0.25">
      <c r="A224" s="96">
        <f t="shared" si="26"/>
        <v>0</v>
      </c>
      <c r="B224" s="34" t="str">
        <f t="shared" si="21"/>
        <v/>
      </c>
      <c r="C224" s="35"/>
      <c r="D224" s="35"/>
      <c r="E224" s="35"/>
      <c r="F224" s="35"/>
      <c r="G224" s="82"/>
      <c r="H224" s="97">
        <v>219</v>
      </c>
      <c r="I224" s="98" t="str">
        <f t="shared" si="22"/>
        <v/>
      </c>
      <c r="J224" s="97">
        <f t="shared" si="27"/>
        <v>-3</v>
      </c>
      <c r="K224" s="97">
        <f t="shared" si="23"/>
        <v>-30</v>
      </c>
      <c r="L224" s="97"/>
      <c r="M224" s="99">
        <f t="shared" si="24"/>
        <v>0</v>
      </c>
      <c r="N224" s="99">
        <f t="shared" si="25"/>
        <v>0</v>
      </c>
      <c r="O224" s="82"/>
      <c r="P224" s="82"/>
      <c r="Q224" s="82"/>
      <c r="R224" s="82"/>
      <c r="S224" s="111"/>
      <c r="T224" s="112"/>
    </row>
    <row r="225" spans="1:20" s="87" customFormat="1" x14ac:dyDescent="0.25">
      <c r="A225" s="100">
        <f t="shared" si="26"/>
        <v>0</v>
      </c>
      <c r="B225" s="40" t="str">
        <f t="shared" si="21"/>
        <v/>
      </c>
      <c r="C225" s="41"/>
      <c r="D225" s="41"/>
      <c r="E225" s="41"/>
      <c r="F225" s="41"/>
      <c r="G225" s="82"/>
      <c r="H225" s="101">
        <v>220</v>
      </c>
      <c r="I225" s="102" t="str">
        <f t="shared" si="22"/>
        <v/>
      </c>
      <c r="J225" s="101">
        <f t="shared" si="27"/>
        <v>-3</v>
      </c>
      <c r="K225" s="101">
        <f t="shared" si="23"/>
        <v>-30</v>
      </c>
      <c r="L225" s="101"/>
      <c r="M225" s="103">
        <f t="shared" si="24"/>
        <v>0</v>
      </c>
      <c r="N225" s="103">
        <f t="shared" si="25"/>
        <v>0</v>
      </c>
      <c r="O225" s="82"/>
      <c r="P225" s="82"/>
      <c r="Q225" s="82"/>
      <c r="R225" s="82"/>
      <c r="S225" s="82"/>
    </row>
    <row r="226" spans="1:20" s="87" customFormat="1" x14ac:dyDescent="0.25">
      <c r="A226" s="96">
        <f t="shared" si="26"/>
        <v>0</v>
      </c>
      <c r="B226" s="34" t="str">
        <f t="shared" si="21"/>
        <v/>
      </c>
      <c r="C226" s="35"/>
      <c r="D226" s="35"/>
      <c r="E226" s="35"/>
      <c r="F226" s="35"/>
      <c r="G226" s="82"/>
      <c r="H226" s="97">
        <v>221</v>
      </c>
      <c r="I226" s="98" t="str">
        <f t="shared" si="22"/>
        <v/>
      </c>
      <c r="J226" s="97">
        <f t="shared" si="27"/>
        <v>-3</v>
      </c>
      <c r="K226" s="97">
        <f t="shared" si="23"/>
        <v>-30</v>
      </c>
      <c r="L226" s="97"/>
      <c r="M226" s="99">
        <f t="shared" si="24"/>
        <v>0</v>
      </c>
      <c r="N226" s="99">
        <f t="shared" si="25"/>
        <v>0</v>
      </c>
      <c r="O226" s="82"/>
      <c r="P226" s="82"/>
      <c r="Q226" s="82"/>
      <c r="R226" s="82"/>
      <c r="S226" s="111"/>
      <c r="T226" s="112"/>
    </row>
    <row r="227" spans="1:20" s="87" customFormat="1" x14ac:dyDescent="0.25">
      <c r="A227" s="100">
        <f t="shared" si="26"/>
        <v>0</v>
      </c>
      <c r="B227" s="40" t="str">
        <f t="shared" si="21"/>
        <v/>
      </c>
      <c r="C227" s="41"/>
      <c r="D227" s="41"/>
      <c r="E227" s="41"/>
      <c r="F227" s="41"/>
      <c r="G227" s="82"/>
      <c r="H227" s="101">
        <v>222</v>
      </c>
      <c r="I227" s="102" t="str">
        <f t="shared" si="22"/>
        <v/>
      </c>
      <c r="J227" s="101">
        <f t="shared" si="27"/>
        <v>-3</v>
      </c>
      <c r="K227" s="101">
        <f t="shared" si="23"/>
        <v>-30</v>
      </c>
      <c r="L227" s="101"/>
      <c r="M227" s="103">
        <f t="shared" si="24"/>
        <v>0</v>
      </c>
      <c r="N227" s="103">
        <f t="shared" si="25"/>
        <v>0</v>
      </c>
      <c r="O227" s="82"/>
      <c r="P227" s="82"/>
      <c r="Q227" s="82"/>
      <c r="R227" s="82"/>
      <c r="S227" s="82"/>
    </row>
    <row r="228" spans="1:20" s="87" customFormat="1" x14ac:dyDescent="0.25">
      <c r="A228" s="96">
        <f t="shared" si="26"/>
        <v>0</v>
      </c>
      <c r="B228" s="34" t="str">
        <f t="shared" si="21"/>
        <v/>
      </c>
      <c r="C228" s="35"/>
      <c r="D228" s="35"/>
      <c r="E228" s="35"/>
      <c r="F228" s="35"/>
      <c r="G228" s="82"/>
      <c r="H228" s="97">
        <v>223</v>
      </c>
      <c r="I228" s="98" t="str">
        <f t="shared" si="22"/>
        <v/>
      </c>
      <c r="J228" s="97">
        <f t="shared" si="27"/>
        <v>-3</v>
      </c>
      <c r="K228" s="97">
        <f t="shared" si="23"/>
        <v>-30</v>
      </c>
      <c r="L228" s="97"/>
      <c r="M228" s="99">
        <f t="shared" si="24"/>
        <v>0</v>
      </c>
      <c r="N228" s="99">
        <f t="shared" si="25"/>
        <v>0</v>
      </c>
      <c r="O228" s="82"/>
      <c r="P228" s="82"/>
      <c r="Q228" s="82"/>
      <c r="R228" s="82"/>
      <c r="S228" s="111"/>
      <c r="T228" s="112"/>
    </row>
    <row r="229" spans="1:20" s="87" customFormat="1" x14ac:dyDescent="0.25">
      <c r="A229" s="100">
        <f t="shared" si="26"/>
        <v>0</v>
      </c>
      <c r="B229" s="40" t="str">
        <f t="shared" si="21"/>
        <v/>
      </c>
      <c r="C229" s="41"/>
      <c r="D229" s="41"/>
      <c r="E229" s="41"/>
      <c r="F229" s="41"/>
      <c r="G229" s="82"/>
      <c r="H229" s="101">
        <v>224</v>
      </c>
      <c r="I229" s="102" t="str">
        <f t="shared" si="22"/>
        <v/>
      </c>
      <c r="J229" s="101">
        <f t="shared" si="27"/>
        <v>-3</v>
      </c>
      <c r="K229" s="101">
        <f t="shared" si="23"/>
        <v>-30</v>
      </c>
      <c r="L229" s="101"/>
      <c r="M229" s="103">
        <f t="shared" si="24"/>
        <v>0</v>
      </c>
      <c r="N229" s="103">
        <f t="shared" si="25"/>
        <v>0</v>
      </c>
      <c r="O229" s="82"/>
      <c r="P229" s="82"/>
      <c r="Q229" s="82"/>
      <c r="R229" s="82"/>
      <c r="S229" s="82"/>
    </row>
    <row r="230" spans="1:20" s="87" customFormat="1" x14ac:dyDescent="0.25">
      <c r="A230" s="96">
        <f t="shared" si="26"/>
        <v>0</v>
      </c>
      <c r="B230" s="34" t="str">
        <f t="shared" si="21"/>
        <v/>
      </c>
      <c r="C230" s="35"/>
      <c r="D230" s="35"/>
      <c r="E230" s="35"/>
      <c r="F230" s="35"/>
      <c r="G230" s="82"/>
      <c r="H230" s="97">
        <v>225</v>
      </c>
      <c r="I230" s="98" t="str">
        <f t="shared" si="22"/>
        <v/>
      </c>
      <c r="J230" s="97">
        <f t="shared" si="27"/>
        <v>-3</v>
      </c>
      <c r="K230" s="97">
        <f t="shared" si="23"/>
        <v>-30</v>
      </c>
      <c r="L230" s="97"/>
      <c r="M230" s="99">
        <f t="shared" si="24"/>
        <v>0</v>
      </c>
      <c r="N230" s="99">
        <f t="shared" si="25"/>
        <v>0</v>
      </c>
      <c r="O230" s="82"/>
      <c r="P230" s="82"/>
      <c r="Q230" s="82"/>
      <c r="R230" s="82"/>
      <c r="S230" s="111"/>
      <c r="T230" s="112"/>
    </row>
    <row r="231" spans="1:20" s="87" customFormat="1" x14ac:dyDescent="0.25">
      <c r="A231" s="100">
        <f t="shared" si="26"/>
        <v>0</v>
      </c>
      <c r="B231" s="40" t="str">
        <f t="shared" si="21"/>
        <v/>
      </c>
      <c r="C231" s="41"/>
      <c r="D231" s="41"/>
      <c r="E231" s="41"/>
      <c r="F231" s="41"/>
      <c r="G231" s="82"/>
      <c r="H231" s="101">
        <v>226</v>
      </c>
      <c r="I231" s="102" t="str">
        <f t="shared" si="22"/>
        <v/>
      </c>
      <c r="J231" s="101">
        <f t="shared" si="27"/>
        <v>-3</v>
      </c>
      <c r="K231" s="101">
        <f t="shared" si="23"/>
        <v>-30</v>
      </c>
      <c r="L231" s="101"/>
      <c r="M231" s="103">
        <f t="shared" si="24"/>
        <v>0</v>
      </c>
      <c r="N231" s="103">
        <f t="shared" si="25"/>
        <v>0</v>
      </c>
      <c r="O231" s="82"/>
      <c r="P231" s="82"/>
      <c r="Q231" s="82"/>
      <c r="R231" s="82"/>
      <c r="S231" s="82"/>
    </row>
    <row r="232" spans="1:20" s="87" customFormat="1" x14ac:dyDescent="0.25">
      <c r="A232" s="96">
        <f t="shared" si="26"/>
        <v>0</v>
      </c>
      <c r="B232" s="34" t="str">
        <f t="shared" si="21"/>
        <v/>
      </c>
      <c r="C232" s="35"/>
      <c r="D232" s="35"/>
      <c r="E232" s="35"/>
      <c r="F232" s="35"/>
      <c r="G232" s="82"/>
      <c r="H232" s="97">
        <v>227</v>
      </c>
      <c r="I232" s="98" t="str">
        <f t="shared" si="22"/>
        <v/>
      </c>
      <c r="J232" s="97">
        <f t="shared" si="27"/>
        <v>-3</v>
      </c>
      <c r="K232" s="97">
        <f t="shared" si="23"/>
        <v>-30</v>
      </c>
      <c r="L232" s="97"/>
      <c r="M232" s="99">
        <f t="shared" si="24"/>
        <v>0</v>
      </c>
      <c r="N232" s="99">
        <f t="shared" si="25"/>
        <v>0</v>
      </c>
      <c r="O232" s="82"/>
      <c r="P232" s="82"/>
      <c r="Q232" s="82"/>
      <c r="R232" s="82"/>
      <c r="S232" s="111"/>
      <c r="T232" s="112"/>
    </row>
    <row r="233" spans="1:20" s="87" customFormat="1" x14ac:dyDescent="0.25">
      <c r="A233" s="100">
        <f t="shared" si="26"/>
        <v>0</v>
      </c>
      <c r="B233" s="40" t="str">
        <f t="shared" si="21"/>
        <v/>
      </c>
      <c r="C233" s="41"/>
      <c r="D233" s="41"/>
      <c r="E233" s="41"/>
      <c r="F233" s="41"/>
      <c r="G233" s="82"/>
      <c r="H233" s="101">
        <v>228</v>
      </c>
      <c r="I233" s="102" t="str">
        <f t="shared" si="22"/>
        <v/>
      </c>
      <c r="J233" s="101">
        <f t="shared" si="27"/>
        <v>-3</v>
      </c>
      <c r="K233" s="101">
        <f t="shared" si="23"/>
        <v>-30</v>
      </c>
      <c r="L233" s="101"/>
      <c r="M233" s="103">
        <f t="shared" si="24"/>
        <v>0</v>
      </c>
      <c r="N233" s="103">
        <f t="shared" si="25"/>
        <v>0</v>
      </c>
      <c r="O233" s="82"/>
      <c r="P233" s="82"/>
      <c r="Q233" s="82"/>
      <c r="R233" s="82"/>
      <c r="S233" s="82"/>
    </row>
    <row r="234" spans="1:20" s="87" customFormat="1" x14ac:dyDescent="0.25">
      <c r="A234" s="96">
        <f t="shared" si="26"/>
        <v>0</v>
      </c>
      <c r="B234" s="34" t="str">
        <f t="shared" si="21"/>
        <v/>
      </c>
      <c r="C234" s="35"/>
      <c r="D234" s="35"/>
      <c r="E234" s="35"/>
      <c r="F234" s="35"/>
      <c r="G234" s="82"/>
      <c r="H234" s="97">
        <v>229</v>
      </c>
      <c r="I234" s="98" t="str">
        <f t="shared" si="22"/>
        <v/>
      </c>
      <c r="J234" s="97">
        <f t="shared" si="27"/>
        <v>-3</v>
      </c>
      <c r="K234" s="97">
        <f t="shared" si="23"/>
        <v>-30</v>
      </c>
      <c r="L234" s="97"/>
      <c r="M234" s="99">
        <f t="shared" si="24"/>
        <v>0</v>
      </c>
      <c r="N234" s="99">
        <f t="shared" si="25"/>
        <v>0</v>
      </c>
      <c r="O234" s="82"/>
      <c r="P234" s="82"/>
      <c r="Q234" s="82"/>
      <c r="R234" s="82"/>
      <c r="S234" s="111"/>
      <c r="T234" s="112"/>
    </row>
    <row r="235" spans="1:20" s="87" customFormat="1" x14ac:dyDescent="0.25">
      <c r="A235" s="100">
        <f t="shared" si="26"/>
        <v>0</v>
      </c>
      <c r="B235" s="40" t="str">
        <f t="shared" si="21"/>
        <v/>
      </c>
      <c r="C235" s="41"/>
      <c r="D235" s="41"/>
      <c r="E235" s="41"/>
      <c r="F235" s="41"/>
      <c r="G235" s="82"/>
      <c r="H235" s="101">
        <v>230</v>
      </c>
      <c r="I235" s="102" t="str">
        <f t="shared" si="22"/>
        <v/>
      </c>
      <c r="J235" s="101">
        <f t="shared" si="27"/>
        <v>-3</v>
      </c>
      <c r="K235" s="101">
        <f t="shared" si="23"/>
        <v>-30</v>
      </c>
      <c r="L235" s="101"/>
      <c r="M235" s="103">
        <f t="shared" si="24"/>
        <v>0</v>
      </c>
      <c r="N235" s="103">
        <f t="shared" si="25"/>
        <v>0</v>
      </c>
      <c r="O235" s="82"/>
      <c r="P235" s="82"/>
      <c r="Q235" s="82"/>
      <c r="R235" s="82"/>
      <c r="S235" s="82"/>
    </row>
    <row r="236" spans="1:20" s="87" customFormat="1" x14ac:dyDescent="0.25">
      <c r="A236" s="96">
        <f t="shared" si="26"/>
        <v>0</v>
      </c>
      <c r="B236" s="34" t="str">
        <f t="shared" si="21"/>
        <v/>
      </c>
      <c r="C236" s="35"/>
      <c r="D236" s="35"/>
      <c r="E236" s="35"/>
      <c r="F236" s="35"/>
      <c r="G236" s="82"/>
      <c r="H236" s="97">
        <v>231</v>
      </c>
      <c r="I236" s="98" t="str">
        <f t="shared" si="22"/>
        <v/>
      </c>
      <c r="J236" s="97">
        <f t="shared" si="27"/>
        <v>-3</v>
      </c>
      <c r="K236" s="97">
        <f t="shared" si="23"/>
        <v>-30</v>
      </c>
      <c r="L236" s="97"/>
      <c r="M236" s="99">
        <f t="shared" si="24"/>
        <v>0</v>
      </c>
      <c r="N236" s="99">
        <f t="shared" si="25"/>
        <v>0</v>
      </c>
      <c r="O236" s="82"/>
      <c r="P236" s="82"/>
      <c r="Q236" s="82"/>
      <c r="R236" s="82"/>
      <c r="S236" s="111"/>
      <c r="T236" s="112"/>
    </row>
    <row r="237" spans="1:20" s="87" customFormat="1" x14ac:dyDescent="0.25">
      <c r="A237" s="100">
        <f t="shared" si="26"/>
        <v>0</v>
      </c>
      <c r="B237" s="40" t="str">
        <f t="shared" si="21"/>
        <v/>
      </c>
      <c r="C237" s="41"/>
      <c r="D237" s="41"/>
      <c r="E237" s="41"/>
      <c r="F237" s="41"/>
      <c r="G237" s="82"/>
      <c r="H237" s="101">
        <v>232</v>
      </c>
      <c r="I237" s="102" t="str">
        <f t="shared" si="22"/>
        <v/>
      </c>
      <c r="J237" s="101">
        <f t="shared" si="27"/>
        <v>-3</v>
      </c>
      <c r="K237" s="101">
        <f t="shared" si="23"/>
        <v>-30</v>
      </c>
      <c r="L237" s="101"/>
      <c r="M237" s="103">
        <f t="shared" si="24"/>
        <v>0</v>
      </c>
      <c r="N237" s="103">
        <f t="shared" si="25"/>
        <v>0</v>
      </c>
      <c r="O237" s="82"/>
      <c r="P237" s="82"/>
      <c r="Q237" s="82"/>
      <c r="R237" s="82"/>
      <c r="S237" s="82"/>
    </row>
    <row r="238" spans="1:20" s="87" customFormat="1" x14ac:dyDescent="0.25">
      <c r="A238" s="96">
        <f t="shared" si="26"/>
        <v>0</v>
      </c>
      <c r="B238" s="34" t="str">
        <f t="shared" si="21"/>
        <v/>
      </c>
      <c r="C238" s="35"/>
      <c r="D238" s="35"/>
      <c r="E238" s="35"/>
      <c r="F238" s="35"/>
      <c r="G238" s="82"/>
      <c r="H238" s="97">
        <v>233</v>
      </c>
      <c r="I238" s="98" t="str">
        <f t="shared" si="22"/>
        <v/>
      </c>
      <c r="J238" s="97">
        <f t="shared" si="27"/>
        <v>-3</v>
      </c>
      <c r="K238" s="97">
        <f t="shared" si="23"/>
        <v>-30</v>
      </c>
      <c r="L238" s="97"/>
      <c r="M238" s="99">
        <f t="shared" si="24"/>
        <v>0</v>
      </c>
      <c r="N238" s="99">
        <f t="shared" si="25"/>
        <v>0</v>
      </c>
      <c r="O238" s="82"/>
      <c r="P238" s="82"/>
      <c r="Q238" s="82"/>
      <c r="R238" s="82"/>
      <c r="S238" s="111"/>
      <c r="T238" s="112"/>
    </row>
    <row r="239" spans="1:20" s="87" customFormat="1" x14ac:dyDescent="0.25">
      <c r="A239" s="100">
        <f t="shared" si="26"/>
        <v>0</v>
      </c>
      <c r="B239" s="40" t="str">
        <f t="shared" si="21"/>
        <v/>
      </c>
      <c r="C239" s="41"/>
      <c r="D239" s="41"/>
      <c r="E239" s="41"/>
      <c r="F239" s="41"/>
      <c r="G239" s="82"/>
      <c r="H239" s="101">
        <v>234</v>
      </c>
      <c r="I239" s="102" t="str">
        <f t="shared" si="22"/>
        <v/>
      </c>
      <c r="J239" s="101">
        <f t="shared" si="27"/>
        <v>-3</v>
      </c>
      <c r="K239" s="101">
        <f t="shared" si="23"/>
        <v>-30</v>
      </c>
      <c r="L239" s="101"/>
      <c r="M239" s="103">
        <f t="shared" si="24"/>
        <v>0</v>
      </c>
      <c r="N239" s="103">
        <f t="shared" si="25"/>
        <v>0</v>
      </c>
      <c r="O239" s="82"/>
      <c r="P239" s="82"/>
      <c r="Q239" s="82"/>
      <c r="R239" s="82"/>
      <c r="S239" s="82"/>
    </row>
    <row r="240" spans="1:20" s="87" customFormat="1" x14ac:dyDescent="0.25">
      <c r="A240" s="96">
        <f t="shared" si="26"/>
        <v>0</v>
      </c>
      <c r="B240" s="34" t="str">
        <f t="shared" si="21"/>
        <v/>
      </c>
      <c r="C240" s="35"/>
      <c r="D240" s="35"/>
      <c r="E240" s="35"/>
      <c r="F240" s="35"/>
      <c r="G240" s="82"/>
      <c r="H240" s="97">
        <v>235</v>
      </c>
      <c r="I240" s="98" t="str">
        <f t="shared" si="22"/>
        <v/>
      </c>
      <c r="J240" s="97">
        <f t="shared" si="27"/>
        <v>-3</v>
      </c>
      <c r="K240" s="97">
        <f t="shared" si="23"/>
        <v>-30</v>
      </c>
      <c r="L240" s="97"/>
      <c r="M240" s="99">
        <f t="shared" si="24"/>
        <v>0</v>
      </c>
      <c r="N240" s="99">
        <f t="shared" si="25"/>
        <v>0</v>
      </c>
      <c r="O240" s="82"/>
      <c r="P240" s="82"/>
      <c r="Q240" s="82"/>
      <c r="R240" s="82"/>
      <c r="S240" s="111"/>
      <c r="T240" s="112"/>
    </row>
    <row r="241" spans="1:20" s="87" customFormat="1" x14ac:dyDescent="0.25">
      <c r="A241" s="100">
        <f t="shared" si="26"/>
        <v>0</v>
      </c>
      <c r="B241" s="40" t="str">
        <f t="shared" si="21"/>
        <v/>
      </c>
      <c r="C241" s="41"/>
      <c r="D241" s="41"/>
      <c r="E241" s="41"/>
      <c r="F241" s="41"/>
      <c r="G241" s="82"/>
      <c r="H241" s="101">
        <v>236</v>
      </c>
      <c r="I241" s="102" t="str">
        <f t="shared" si="22"/>
        <v/>
      </c>
      <c r="J241" s="101">
        <f t="shared" si="27"/>
        <v>-3</v>
      </c>
      <c r="K241" s="101">
        <f t="shared" si="23"/>
        <v>-30</v>
      </c>
      <c r="L241" s="101"/>
      <c r="M241" s="103">
        <f t="shared" si="24"/>
        <v>0</v>
      </c>
      <c r="N241" s="103">
        <f t="shared" si="25"/>
        <v>0</v>
      </c>
      <c r="O241" s="82"/>
      <c r="P241" s="82"/>
      <c r="Q241" s="82"/>
      <c r="R241" s="82"/>
      <c r="S241" s="82"/>
    </row>
    <row r="242" spans="1:20" s="87" customFormat="1" x14ac:dyDescent="0.25">
      <c r="A242" s="96">
        <f t="shared" si="26"/>
        <v>0</v>
      </c>
      <c r="B242" s="34" t="str">
        <f t="shared" si="21"/>
        <v/>
      </c>
      <c r="C242" s="35"/>
      <c r="D242" s="35"/>
      <c r="E242" s="35"/>
      <c r="F242" s="35"/>
      <c r="G242" s="82"/>
      <c r="H242" s="97">
        <v>237</v>
      </c>
      <c r="I242" s="98" t="str">
        <f t="shared" si="22"/>
        <v/>
      </c>
      <c r="J242" s="97">
        <f t="shared" si="27"/>
        <v>-3</v>
      </c>
      <c r="K242" s="97">
        <f t="shared" si="23"/>
        <v>-30</v>
      </c>
      <c r="L242" s="97"/>
      <c r="M242" s="99">
        <f t="shared" si="24"/>
        <v>0</v>
      </c>
      <c r="N242" s="99">
        <f t="shared" si="25"/>
        <v>0</v>
      </c>
      <c r="O242" s="82"/>
      <c r="P242" s="82"/>
      <c r="Q242" s="82"/>
      <c r="R242" s="82"/>
      <c r="S242" s="111"/>
      <c r="T242" s="112"/>
    </row>
    <row r="243" spans="1:20" s="87" customFormat="1" x14ac:dyDescent="0.25">
      <c r="A243" s="100">
        <f t="shared" si="26"/>
        <v>0</v>
      </c>
      <c r="B243" s="40" t="str">
        <f t="shared" si="21"/>
        <v/>
      </c>
      <c r="C243" s="41"/>
      <c r="D243" s="41"/>
      <c r="E243" s="41"/>
      <c r="F243" s="41"/>
      <c r="G243" s="82"/>
      <c r="H243" s="101">
        <v>238</v>
      </c>
      <c r="I243" s="102" t="str">
        <f t="shared" si="22"/>
        <v/>
      </c>
      <c r="J243" s="101">
        <f t="shared" si="27"/>
        <v>-3</v>
      </c>
      <c r="K243" s="101">
        <f t="shared" si="23"/>
        <v>-30</v>
      </c>
      <c r="L243" s="101"/>
      <c r="M243" s="103">
        <f t="shared" si="24"/>
        <v>0</v>
      </c>
      <c r="N243" s="103">
        <f t="shared" si="25"/>
        <v>0</v>
      </c>
      <c r="O243" s="82"/>
      <c r="P243" s="82"/>
      <c r="Q243" s="82"/>
      <c r="R243" s="82"/>
      <c r="S243" s="82"/>
    </row>
    <row r="244" spans="1:20" s="87" customFormat="1" x14ac:dyDescent="0.25">
      <c r="A244" s="96">
        <f t="shared" si="26"/>
        <v>0</v>
      </c>
      <c r="B244" s="34" t="str">
        <f t="shared" si="21"/>
        <v/>
      </c>
      <c r="C244" s="35"/>
      <c r="D244" s="35"/>
      <c r="E244" s="35"/>
      <c r="F244" s="35"/>
      <c r="G244" s="82"/>
      <c r="H244" s="97">
        <v>239</v>
      </c>
      <c r="I244" s="98" t="str">
        <f t="shared" si="22"/>
        <v/>
      </c>
      <c r="J244" s="97">
        <f t="shared" si="27"/>
        <v>-3</v>
      </c>
      <c r="K244" s="97">
        <f t="shared" si="23"/>
        <v>-30</v>
      </c>
      <c r="L244" s="97"/>
      <c r="M244" s="99">
        <f t="shared" si="24"/>
        <v>0</v>
      </c>
      <c r="N244" s="99">
        <f t="shared" si="25"/>
        <v>0</v>
      </c>
      <c r="O244" s="82"/>
      <c r="P244" s="82"/>
      <c r="Q244" s="82"/>
      <c r="R244" s="82"/>
      <c r="S244" s="111"/>
      <c r="T244" s="112"/>
    </row>
    <row r="245" spans="1:20" s="87" customFormat="1" x14ac:dyDescent="0.25">
      <c r="A245" s="100">
        <f t="shared" si="26"/>
        <v>0</v>
      </c>
      <c r="B245" s="40" t="str">
        <f t="shared" si="21"/>
        <v/>
      </c>
      <c r="C245" s="41"/>
      <c r="D245" s="41"/>
      <c r="E245" s="41"/>
      <c r="F245" s="41"/>
      <c r="G245" s="82"/>
      <c r="H245" s="101">
        <v>240</v>
      </c>
      <c r="I245" s="102" t="str">
        <f t="shared" si="22"/>
        <v/>
      </c>
      <c r="J245" s="101">
        <f t="shared" si="27"/>
        <v>-3</v>
      </c>
      <c r="K245" s="101">
        <f t="shared" si="23"/>
        <v>-30</v>
      </c>
      <c r="L245" s="101"/>
      <c r="M245" s="103">
        <f t="shared" si="24"/>
        <v>0</v>
      </c>
      <c r="N245" s="103">
        <f t="shared" si="25"/>
        <v>0</v>
      </c>
      <c r="O245" s="82"/>
      <c r="P245" s="82"/>
      <c r="Q245" s="82"/>
      <c r="R245" s="82"/>
      <c r="S245" s="82"/>
    </row>
    <row r="246" spans="1:20" s="87" customFormat="1" x14ac:dyDescent="0.25">
      <c r="A246" s="96">
        <f t="shared" si="26"/>
        <v>0</v>
      </c>
      <c r="B246" s="34" t="str">
        <f t="shared" si="21"/>
        <v/>
      </c>
      <c r="C246" s="35"/>
      <c r="D246" s="35"/>
      <c r="E246" s="35"/>
      <c r="F246" s="35"/>
      <c r="G246" s="82"/>
      <c r="H246" s="97">
        <v>241</v>
      </c>
      <c r="I246" s="98" t="str">
        <f t="shared" si="22"/>
        <v/>
      </c>
      <c r="J246" s="97">
        <f t="shared" si="27"/>
        <v>-3</v>
      </c>
      <c r="K246" s="97">
        <f t="shared" si="23"/>
        <v>-30</v>
      </c>
      <c r="L246" s="97"/>
      <c r="M246" s="99">
        <f t="shared" si="24"/>
        <v>0</v>
      </c>
      <c r="N246" s="99">
        <f t="shared" si="25"/>
        <v>0</v>
      </c>
      <c r="O246" s="82"/>
      <c r="P246" s="82"/>
      <c r="Q246" s="82"/>
      <c r="R246" s="82"/>
      <c r="S246" s="111"/>
      <c r="T246" s="112"/>
    </row>
    <row r="247" spans="1:20" s="87" customFormat="1" x14ac:dyDescent="0.25">
      <c r="A247" s="100">
        <f t="shared" si="26"/>
        <v>0</v>
      </c>
      <c r="B247" s="40" t="str">
        <f t="shared" si="21"/>
        <v/>
      </c>
      <c r="C247" s="41"/>
      <c r="D247" s="41"/>
      <c r="E247" s="41"/>
      <c r="F247" s="41"/>
      <c r="G247" s="82"/>
      <c r="H247" s="101">
        <v>242</v>
      </c>
      <c r="I247" s="102" t="str">
        <f t="shared" si="22"/>
        <v/>
      </c>
      <c r="J247" s="101">
        <f t="shared" si="27"/>
        <v>-3</v>
      </c>
      <c r="K247" s="101">
        <f t="shared" si="23"/>
        <v>-30</v>
      </c>
      <c r="L247" s="101"/>
      <c r="M247" s="103">
        <f t="shared" si="24"/>
        <v>0</v>
      </c>
      <c r="N247" s="103">
        <f t="shared" si="25"/>
        <v>0</v>
      </c>
      <c r="O247" s="82"/>
      <c r="P247" s="82"/>
      <c r="Q247" s="82"/>
      <c r="R247" s="82"/>
      <c r="S247" s="82"/>
    </row>
    <row r="248" spans="1:20" s="87" customFormat="1" x14ac:dyDescent="0.25">
      <c r="A248" s="96">
        <f t="shared" si="26"/>
        <v>0</v>
      </c>
      <c r="B248" s="34" t="str">
        <f t="shared" si="21"/>
        <v/>
      </c>
      <c r="C248" s="35"/>
      <c r="D248" s="35"/>
      <c r="E248" s="35"/>
      <c r="F248" s="35"/>
      <c r="G248" s="82"/>
      <c r="H248" s="97">
        <v>243</v>
      </c>
      <c r="I248" s="98" t="str">
        <f t="shared" si="22"/>
        <v/>
      </c>
      <c r="J248" s="97">
        <f t="shared" si="27"/>
        <v>-3</v>
      </c>
      <c r="K248" s="97">
        <f t="shared" si="23"/>
        <v>-30</v>
      </c>
      <c r="L248" s="97"/>
      <c r="M248" s="99">
        <f t="shared" si="24"/>
        <v>0</v>
      </c>
      <c r="N248" s="99">
        <f t="shared" si="25"/>
        <v>0</v>
      </c>
      <c r="O248" s="82"/>
      <c r="P248" s="82"/>
      <c r="Q248" s="82"/>
      <c r="R248" s="82"/>
      <c r="S248" s="111"/>
      <c r="T248" s="112"/>
    </row>
    <row r="249" spans="1:20" s="87" customFormat="1" x14ac:dyDescent="0.25">
      <c r="A249" s="100">
        <f t="shared" si="26"/>
        <v>0</v>
      </c>
      <c r="B249" s="40" t="str">
        <f t="shared" si="21"/>
        <v/>
      </c>
      <c r="C249" s="41"/>
      <c r="D249" s="41"/>
      <c r="E249" s="41"/>
      <c r="F249" s="41"/>
      <c r="G249" s="82"/>
      <c r="H249" s="101">
        <v>244</v>
      </c>
      <c r="I249" s="102" t="str">
        <f t="shared" si="22"/>
        <v/>
      </c>
      <c r="J249" s="101">
        <f t="shared" si="27"/>
        <v>-3</v>
      </c>
      <c r="K249" s="101">
        <f t="shared" si="23"/>
        <v>-30</v>
      </c>
      <c r="L249" s="101"/>
      <c r="M249" s="103">
        <f t="shared" si="24"/>
        <v>0</v>
      </c>
      <c r="N249" s="103">
        <f t="shared" si="25"/>
        <v>0</v>
      </c>
      <c r="O249" s="82"/>
      <c r="P249" s="82"/>
      <c r="Q249" s="82"/>
      <c r="R249" s="82"/>
      <c r="S249" s="82"/>
    </row>
    <row r="250" spans="1:20" s="87" customFormat="1" x14ac:dyDescent="0.25">
      <c r="A250" s="96">
        <f t="shared" si="26"/>
        <v>0</v>
      </c>
      <c r="B250" s="34" t="str">
        <f t="shared" si="21"/>
        <v/>
      </c>
      <c r="C250" s="35"/>
      <c r="D250" s="35"/>
      <c r="E250" s="35"/>
      <c r="F250" s="35"/>
      <c r="G250" s="82"/>
      <c r="H250" s="97">
        <v>245</v>
      </c>
      <c r="I250" s="98" t="str">
        <f t="shared" si="22"/>
        <v/>
      </c>
      <c r="J250" s="97">
        <f t="shared" si="27"/>
        <v>-3</v>
      </c>
      <c r="K250" s="97">
        <f t="shared" si="23"/>
        <v>-30</v>
      </c>
      <c r="L250" s="97"/>
      <c r="M250" s="99">
        <f t="shared" si="24"/>
        <v>0</v>
      </c>
      <c r="N250" s="99">
        <f t="shared" si="25"/>
        <v>0</v>
      </c>
      <c r="O250" s="82"/>
      <c r="P250" s="82"/>
      <c r="Q250" s="82"/>
      <c r="R250" s="82"/>
      <c r="S250" s="111"/>
      <c r="T250" s="112"/>
    </row>
    <row r="251" spans="1:20" x14ac:dyDescent="0.25">
      <c r="A251" s="100">
        <f t="shared" si="26"/>
        <v>0</v>
      </c>
      <c r="G251" s="82"/>
      <c r="H251" s="97">
        <v>246</v>
      </c>
      <c r="I251" s="98" t="str">
        <f t="shared" si="22"/>
        <v/>
      </c>
      <c r="J251" s="97">
        <f t="shared" si="27"/>
        <v>-3</v>
      </c>
      <c r="K251" s="97">
        <f t="shared" si="23"/>
        <v>-30</v>
      </c>
      <c r="L251" s="97"/>
      <c r="M251" s="99">
        <f t="shared" si="24"/>
        <v>0</v>
      </c>
      <c r="N251" s="99">
        <f t="shared" si="25"/>
        <v>0</v>
      </c>
    </row>
    <row r="252" spans="1:20" x14ac:dyDescent="0.25">
      <c r="A252" s="96">
        <f t="shared" si="26"/>
        <v>0</v>
      </c>
      <c r="G252" s="82"/>
      <c r="H252" s="97">
        <v>247</v>
      </c>
      <c r="I252" s="98" t="str">
        <f t="shared" si="22"/>
        <v/>
      </c>
      <c r="J252" s="97">
        <f t="shared" si="27"/>
        <v>-3</v>
      </c>
      <c r="K252" s="97">
        <f t="shared" si="23"/>
        <v>-30</v>
      </c>
      <c r="L252" s="97"/>
      <c r="M252" s="99">
        <f t="shared" si="24"/>
        <v>0</v>
      </c>
      <c r="N252" s="99">
        <f t="shared" si="25"/>
        <v>0</v>
      </c>
    </row>
    <row r="253" spans="1:20" x14ac:dyDescent="0.25">
      <c r="A253" s="100">
        <f t="shared" si="26"/>
        <v>0</v>
      </c>
      <c r="G253" s="82"/>
      <c r="H253" s="97">
        <v>248</v>
      </c>
      <c r="I253" s="98" t="str">
        <f t="shared" si="22"/>
        <v/>
      </c>
      <c r="J253" s="97">
        <f t="shared" si="27"/>
        <v>-3</v>
      </c>
      <c r="K253" s="97">
        <f t="shared" si="23"/>
        <v>-30</v>
      </c>
      <c r="L253" s="97"/>
      <c r="M253" s="99">
        <f t="shared" si="24"/>
        <v>0</v>
      </c>
      <c r="N253" s="99">
        <f t="shared" si="25"/>
        <v>0</v>
      </c>
    </row>
    <row r="254" spans="1:20" x14ac:dyDescent="0.25">
      <c r="A254" s="96">
        <f t="shared" si="26"/>
        <v>0</v>
      </c>
      <c r="G254" s="82"/>
      <c r="H254" s="97">
        <v>249</v>
      </c>
      <c r="I254" s="98" t="str">
        <f t="shared" si="22"/>
        <v/>
      </c>
      <c r="J254" s="97">
        <f t="shared" si="27"/>
        <v>-3</v>
      </c>
      <c r="K254" s="97">
        <f t="shared" si="23"/>
        <v>-30</v>
      </c>
      <c r="L254" s="97"/>
      <c r="M254" s="99">
        <f t="shared" si="24"/>
        <v>0</v>
      </c>
      <c r="N254" s="99">
        <f t="shared" si="25"/>
        <v>0</v>
      </c>
    </row>
    <row r="255" spans="1:20" x14ac:dyDescent="0.25">
      <c r="A255" s="100">
        <f t="shared" si="26"/>
        <v>0</v>
      </c>
      <c r="G255" s="82"/>
      <c r="H255" s="97">
        <v>250</v>
      </c>
      <c r="I255" s="98" t="str">
        <f t="shared" si="22"/>
        <v/>
      </c>
      <c r="J255" s="97">
        <f t="shared" si="27"/>
        <v>-3</v>
      </c>
      <c r="K255" s="97">
        <f t="shared" si="23"/>
        <v>-30</v>
      </c>
      <c r="L255" s="97"/>
      <c r="M255" s="99">
        <f t="shared" si="24"/>
        <v>0</v>
      </c>
      <c r="N255" s="99">
        <f t="shared" si="25"/>
        <v>0</v>
      </c>
    </row>
    <row r="256" spans="1:20" x14ac:dyDescent="0.25">
      <c r="A256" s="96">
        <f t="shared" si="26"/>
        <v>0</v>
      </c>
      <c r="G256" s="82"/>
      <c r="H256" s="97">
        <v>251</v>
      </c>
      <c r="I256" s="98" t="str">
        <f t="shared" si="22"/>
        <v/>
      </c>
      <c r="J256" s="97">
        <f t="shared" si="27"/>
        <v>-3</v>
      </c>
      <c r="K256" s="97">
        <f t="shared" si="23"/>
        <v>-30</v>
      </c>
      <c r="L256" s="97"/>
      <c r="M256" s="99">
        <f t="shared" si="24"/>
        <v>0</v>
      </c>
      <c r="N256" s="99">
        <f t="shared" si="25"/>
        <v>0</v>
      </c>
    </row>
    <row r="257" spans="1:14" x14ac:dyDescent="0.25">
      <c r="A257" s="100">
        <f t="shared" si="26"/>
        <v>0</v>
      </c>
      <c r="G257" s="82"/>
      <c r="H257" s="97">
        <v>252</v>
      </c>
      <c r="I257" s="98" t="str">
        <f t="shared" si="22"/>
        <v/>
      </c>
      <c r="J257" s="97">
        <f t="shared" si="27"/>
        <v>-3</v>
      </c>
      <c r="K257" s="97">
        <f t="shared" si="23"/>
        <v>-30</v>
      </c>
      <c r="L257" s="97"/>
      <c r="M257" s="99">
        <f t="shared" si="24"/>
        <v>0</v>
      </c>
      <c r="N257" s="99">
        <f t="shared" si="25"/>
        <v>0</v>
      </c>
    </row>
    <row r="258" spans="1:14" x14ac:dyDescent="0.25">
      <c r="A258" s="96">
        <f t="shared" si="26"/>
        <v>0</v>
      </c>
      <c r="G258" s="82"/>
      <c r="H258" s="97">
        <v>253</v>
      </c>
      <c r="I258" s="98" t="str">
        <f t="shared" si="22"/>
        <v/>
      </c>
      <c r="J258" s="97">
        <f t="shared" si="27"/>
        <v>-3</v>
      </c>
      <c r="K258" s="97">
        <f t="shared" si="23"/>
        <v>-30</v>
      </c>
      <c r="L258" s="97"/>
      <c r="M258" s="99">
        <f t="shared" si="24"/>
        <v>0</v>
      </c>
      <c r="N258" s="99">
        <f t="shared" si="25"/>
        <v>0</v>
      </c>
    </row>
    <row r="259" spans="1:14" x14ac:dyDescent="0.25">
      <c r="A259" s="100">
        <f t="shared" si="26"/>
        <v>0</v>
      </c>
      <c r="G259" s="82"/>
      <c r="H259" s="97">
        <v>254</v>
      </c>
      <c r="I259" s="98" t="str">
        <f t="shared" si="22"/>
        <v/>
      </c>
      <c r="J259" s="97">
        <f t="shared" si="27"/>
        <v>-3</v>
      </c>
      <c r="K259" s="97">
        <f t="shared" si="23"/>
        <v>-30</v>
      </c>
      <c r="L259" s="97"/>
      <c r="M259" s="99">
        <f t="shared" si="24"/>
        <v>0</v>
      </c>
      <c r="N259" s="99">
        <f t="shared" si="25"/>
        <v>0</v>
      </c>
    </row>
    <row r="260" spans="1:14" x14ac:dyDescent="0.25">
      <c r="A260" s="96">
        <f t="shared" si="26"/>
        <v>0</v>
      </c>
      <c r="G260" s="82"/>
      <c r="H260" s="97">
        <v>255</v>
      </c>
      <c r="I260" s="98" t="str">
        <f t="shared" si="22"/>
        <v/>
      </c>
      <c r="J260" s="97">
        <f t="shared" si="27"/>
        <v>-3</v>
      </c>
      <c r="K260" s="97">
        <f t="shared" si="23"/>
        <v>-30</v>
      </c>
      <c r="L260" s="97"/>
      <c r="M260" s="99">
        <f t="shared" si="24"/>
        <v>0</v>
      </c>
      <c r="N260" s="99">
        <f t="shared" si="25"/>
        <v>0</v>
      </c>
    </row>
    <row r="261" spans="1:14" x14ac:dyDescent="0.25">
      <c r="A261" s="100">
        <f t="shared" si="26"/>
        <v>0</v>
      </c>
      <c r="G261" s="82"/>
      <c r="H261" s="97">
        <v>256</v>
      </c>
      <c r="I261" s="98" t="str">
        <f t="shared" si="22"/>
        <v/>
      </c>
      <c r="J261" s="97">
        <f t="shared" si="27"/>
        <v>-3</v>
      </c>
      <c r="K261" s="97">
        <f t="shared" si="23"/>
        <v>-30</v>
      </c>
      <c r="L261" s="97"/>
      <c r="M261" s="99">
        <f t="shared" si="24"/>
        <v>0</v>
      </c>
      <c r="N261" s="99">
        <f t="shared" si="25"/>
        <v>0</v>
      </c>
    </row>
    <row r="262" spans="1:14" x14ac:dyDescent="0.25">
      <c r="A262" s="96">
        <f t="shared" si="26"/>
        <v>0</v>
      </c>
      <c r="G262" s="82"/>
      <c r="H262" s="97">
        <v>257</v>
      </c>
      <c r="I262" s="98" t="str">
        <f t="shared" ref="I262:I305" si="28">IF(H262&lt;$H$2+1,($I$2-($I$2-1)*(LOG(H262)/LOG($H$2))),"")</f>
        <v/>
      </c>
      <c r="J262" s="97">
        <f t="shared" si="27"/>
        <v>-4</v>
      </c>
      <c r="K262" s="97">
        <f t="shared" ref="K262:K305" si="29">J262*$J$2</f>
        <v>-40</v>
      </c>
      <c r="L262" s="97"/>
      <c r="M262" s="99">
        <f t="shared" ref="M262:M305" si="30">IF(I262&lt;&gt;"",K262+I262+L262,0)</f>
        <v>0</v>
      </c>
      <c r="N262" s="99">
        <f t="shared" ref="N262:N305" si="31">IF(I262&lt;&gt;"",M262*L$2,0)</f>
        <v>0</v>
      </c>
    </row>
    <row r="263" spans="1:14" x14ac:dyDescent="0.25">
      <c r="A263" s="100">
        <f t="shared" ref="A263:A305" si="32">N263</f>
        <v>0</v>
      </c>
      <c r="G263" s="82"/>
      <c r="H263" s="97">
        <v>258</v>
      </c>
      <c r="I263" s="98" t="str">
        <f t="shared" si="28"/>
        <v/>
      </c>
      <c r="J263" s="97">
        <f t="shared" ref="J263:J305" si="33">INT(LOG($H$2,2))-ROUNDUP(LOG(H263,2),0)+IF(OR($H$2=1,$H$2=2,$H$2=4,$H$2=8,$H$2=16,$H$2=32,$H$2=64,$H$2=128,$H$2=256),0,1)</f>
        <v>-4</v>
      </c>
      <c r="K263" s="97">
        <f t="shared" si="29"/>
        <v>-40</v>
      </c>
      <c r="L263" s="97"/>
      <c r="M263" s="99">
        <f t="shared" si="30"/>
        <v>0</v>
      </c>
      <c r="N263" s="99">
        <f t="shared" si="31"/>
        <v>0</v>
      </c>
    </row>
    <row r="264" spans="1:14" x14ac:dyDescent="0.25">
      <c r="A264" s="96">
        <f t="shared" si="32"/>
        <v>0</v>
      </c>
      <c r="G264" s="82"/>
      <c r="H264" s="97">
        <v>259</v>
      </c>
      <c r="I264" s="98" t="str">
        <f t="shared" si="28"/>
        <v/>
      </c>
      <c r="J264" s="97">
        <f t="shared" si="33"/>
        <v>-4</v>
      </c>
      <c r="K264" s="97">
        <f t="shared" si="29"/>
        <v>-40</v>
      </c>
      <c r="L264" s="97"/>
      <c r="M264" s="99">
        <f t="shared" si="30"/>
        <v>0</v>
      </c>
      <c r="N264" s="99">
        <f t="shared" si="31"/>
        <v>0</v>
      </c>
    </row>
    <row r="265" spans="1:14" x14ac:dyDescent="0.25">
      <c r="A265" s="100">
        <f t="shared" si="32"/>
        <v>0</v>
      </c>
      <c r="G265" s="82"/>
      <c r="H265" s="97">
        <v>260</v>
      </c>
      <c r="I265" s="98" t="str">
        <f t="shared" si="28"/>
        <v/>
      </c>
      <c r="J265" s="97">
        <f t="shared" si="33"/>
        <v>-4</v>
      </c>
      <c r="K265" s="97">
        <f t="shared" si="29"/>
        <v>-40</v>
      </c>
      <c r="L265" s="97"/>
      <c r="M265" s="99">
        <f t="shared" si="30"/>
        <v>0</v>
      </c>
      <c r="N265" s="99">
        <f t="shared" si="31"/>
        <v>0</v>
      </c>
    </row>
    <row r="266" spans="1:14" x14ac:dyDescent="0.25">
      <c r="A266" s="96">
        <f t="shared" si="32"/>
        <v>0</v>
      </c>
      <c r="G266" s="82"/>
      <c r="H266" s="97">
        <v>261</v>
      </c>
      <c r="I266" s="98" t="str">
        <f t="shared" si="28"/>
        <v/>
      </c>
      <c r="J266" s="97">
        <f t="shared" si="33"/>
        <v>-4</v>
      </c>
      <c r="K266" s="97">
        <f t="shared" si="29"/>
        <v>-40</v>
      </c>
      <c r="L266" s="97"/>
      <c r="M266" s="99">
        <f t="shared" si="30"/>
        <v>0</v>
      </c>
      <c r="N266" s="99">
        <f t="shared" si="31"/>
        <v>0</v>
      </c>
    </row>
    <row r="267" spans="1:14" x14ac:dyDescent="0.25">
      <c r="A267" s="100">
        <f t="shared" si="32"/>
        <v>0</v>
      </c>
      <c r="G267" s="82"/>
      <c r="H267" s="97">
        <v>262</v>
      </c>
      <c r="I267" s="98" t="str">
        <f t="shared" si="28"/>
        <v/>
      </c>
      <c r="J267" s="97">
        <f t="shared" si="33"/>
        <v>-4</v>
      </c>
      <c r="K267" s="97">
        <f t="shared" si="29"/>
        <v>-40</v>
      </c>
      <c r="L267" s="97"/>
      <c r="M267" s="99">
        <f t="shared" si="30"/>
        <v>0</v>
      </c>
      <c r="N267" s="99">
        <f t="shared" si="31"/>
        <v>0</v>
      </c>
    </row>
    <row r="268" spans="1:14" x14ac:dyDescent="0.25">
      <c r="A268" s="96">
        <f t="shared" si="32"/>
        <v>0</v>
      </c>
      <c r="G268" s="82"/>
      <c r="H268" s="97">
        <v>263</v>
      </c>
      <c r="I268" s="98" t="str">
        <f t="shared" si="28"/>
        <v/>
      </c>
      <c r="J268" s="97">
        <f t="shared" si="33"/>
        <v>-4</v>
      </c>
      <c r="K268" s="97">
        <f t="shared" si="29"/>
        <v>-40</v>
      </c>
      <c r="L268" s="97"/>
      <c r="M268" s="99">
        <f t="shared" si="30"/>
        <v>0</v>
      </c>
      <c r="N268" s="99">
        <f t="shared" si="31"/>
        <v>0</v>
      </c>
    </row>
    <row r="269" spans="1:14" x14ac:dyDescent="0.25">
      <c r="A269" s="100">
        <f t="shared" si="32"/>
        <v>0</v>
      </c>
      <c r="G269" s="82"/>
      <c r="H269" s="97">
        <v>264</v>
      </c>
      <c r="I269" s="98" t="str">
        <f t="shared" si="28"/>
        <v/>
      </c>
      <c r="J269" s="97">
        <f t="shared" si="33"/>
        <v>-4</v>
      </c>
      <c r="K269" s="97">
        <f t="shared" si="29"/>
        <v>-40</v>
      </c>
      <c r="L269" s="97"/>
      <c r="M269" s="99">
        <f t="shared" si="30"/>
        <v>0</v>
      </c>
      <c r="N269" s="99">
        <f t="shared" si="31"/>
        <v>0</v>
      </c>
    </row>
    <row r="270" spans="1:14" x14ac:dyDescent="0.25">
      <c r="A270" s="96">
        <f t="shared" si="32"/>
        <v>0</v>
      </c>
      <c r="G270" s="82"/>
      <c r="H270" s="97">
        <v>265</v>
      </c>
      <c r="I270" s="98" t="str">
        <f t="shared" si="28"/>
        <v/>
      </c>
      <c r="J270" s="97">
        <f t="shared" si="33"/>
        <v>-4</v>
      </c>
      <c r="K270" s="97">
        <f t="shared" si="29"/>
        <v>-40</v>
      </c>
      <c r="L270" s="97"/>
      <c r="M270" s="99">
        <f t="shared" si="30"/>
        <v>0</v>
      </c>
      <c r="N270" s="99">
        <f t="shared" si="31"/>
        <v>0</v>
      </c>
    </row>
    <row r="271" spans="1:14" x14ac:dyDescent="0.25">
      <c r="A271" s="100">
        <f t="shared" si="32"/>
        <v>0</v>
      </c>
      <c r="G271" s="82"/>
      <c r="H271" s="97">
        <v>266</v>
      </c>
      <c r="I271" s="98" t="str">
        <f t="shared" si="28"/>
        <v/>
      </c>
      <c r="J271" s="97">
        <f t="shared" si="33"/>
        <v>-4</v>
      </c>
      <c r="K271" s="97">
        <f t="shared" si="29"/>
        <v>-40</v>
      </c>
      <c r="L271" s="97"/>
      <c r="M271" s="99">
        <f t="shared" si="30"/>
        <v>0</v>
      </c>
      <c r="N271" s="99">
        <f t="shared" si="31"/>
        <v>0</v>
      </c>
    </row>
    <row r="272" spans="1:14" x14ac:dyDescent="0.25">
      <c r="A272" s="96">
        <f t="shared" si="32"/>
        <v>0</v>
      </c>
      <c r="G272" s="82"/>
      <c r="H272" s="97">
        <v>267</v>
      </c>
      <c r="I272" s="98" t="str">
        <f t="shared" si="28"/>
        <v/>
      </c>
      <c r="J272" s="97">
        <f t="shared" si="33"/>
        <v>-4</v>
      </c>
      <c r="K272" s="97">
        <f t="shared" si="29"/>
        <v>-40</v>
      </c>
      <c r="L272" s="97"/>
      <c r="M272" s="99">
        <f t="shared" si="30"/>
        <v>0</v>
      </c>
      <c r="N272" s="99">
        <f t="shared" si="31"/>
        <v>0</v>
      </c>
    </row>
    <row r="273" spans="1:14" x14ac:dyDescent="0.25">
      <c r="A273" s="100">
        <f t="shared" si="32"/>
        <v>0</v>
      </c>
      <c r="G273" s="82"/>
      <c r="H273" s="97">
        <v>268</v>
      </c>
      <c r="I273" s="98" t="str">
        <f t="shared" si="28"/>
        <v/>
      </c>
      <c r="J273" s="97">
        <f t="shared" si="33"/>
        <v>-4</v>
      </c>
      <c r="K273" s="97">
        <f t="shared" si="29"/>
        <v>-40</v>
      </c>
      <c r="L273" s="97"/>
      <c r="M273" s="99">
        <f t="shared" si="30"/>
        <v>0</v>
      </c>
      <c r="N273" s="99">
        <f t="shared" si="31"/>
        <v>0</v>
      </c>
    </row>
    <row r="274" spans="1:14" x14ac:dyDescent="0.25">
      <c r="A274" s="96">
        <f t="shared" si="32"/>
        <v>0</v>
      </c>
      <c r="G274" s="82"/>
      <c r="H274" s="97">
        <v>269</v>
      </c>
      <c r="I274" s="98" t="str">
        <f t="shared" si="28"/>
        <v/>
      </c>
      <c r="J274" s="97">
        <f t="shared" si="33"/>
        <v>-4</v>
      </c>
      <c r="K274" s="97">
        <f t="shared" si="29"/>
        <v>-40</v>
      </c>
      <c r="L274" s="97"/>
      <c r="M274" s="99">
        <f t="shared" si="30"/>
        <v>0</v>
      </c>
      <c r="N274" s="99">
        <f t="shared" si="31"/>
        <v>0</v>
      </c>
    </row>
    <row r="275" spans="1:14" x14ac:dyDescent="0.25">
      <c r="A275" s="100">
        <f t="shared" si="32"/>
        <v>0</v>
      </c>
      <c r="G275" s="82"/>
      <c r="H275" s="97">
        <v>270</v>
      </c>
      <c r="I275" s="98" t="str">
        <f t="shared" si="28"/>
        <v/>
      </c>
      <c r="J275" s="97">
        <f t="shared" si="33"/>
        <v>-4</v>
      </c>
      <c r="K275" s="97">
        <f t="shared" si="29"/>
        <v>-40</v>
      </c>
      <c r="L275" s="97"/>
      <c r="M275" s="99">
        <f t="shared" si="30"/>
        <v>0</v>
      </c>
      <c r="N275" s="99">
        <f t="shared" si="31"/>
        <v>0</v>
      </c>
    </row>
    <row r="276" spans="1:14" x14ac:dyDescent="0.25">
      <c r="A276" s="96">
        <f t="shared" si="32"/>
        <v>0</v>
      </c>
      <c r="G276" s="82"/>
      <c r="H276" s="97">
        <v>271</v>
      </c>
      <c r="I276" s="98" t="str">
        <f t="shared" si="28"/>
        <v/>
      </c>
      <c r="J276" s="97">
        <f t="shared" si="33"/>
        <v>-4</v>
      </c>
      <c r="K276" s="97">
        <f t="shared" si="29"/>
        <v>-40</v>
      </c>
      <c r="L276" s="97"/>
      <c r="M276" s="99">
        <f t="shared" si="30"/>
        <v>0</v>
      </c>
      <c r="N276" s="99">
        <f t="shared" si="31"/>
        <v>0</v>
      </c>
    </row>
    <row r="277" spans="1:14" x14ac:dyDescent="0.25">
      <c r="A277" s="100">
        <f t="shared" si="32"/>
        <v>0</v>
      </c>
      <c r="G277" s="82"/>
      <c r="H277" s="97">
        <v>272</v>
      </c>
      <c r="I277" s="98" t="str">
        <f t="shared" si="28"/>
        <v/>
      </c>
      <c r="J277" s="97">
        <f t="shared" si="33"/>
        <v>-4</v>
      </c>
      <c r="K277" s="97">
        <f t="shared" si="29"/>
        <v>-40</v>
      </c>
      <c r="L277" s="97"/>
      <c r="M277" s="99">
        <f t="shared" si="30"/>
        <v>0</v>
      </c>
      <c r="N277" s="99">
        <f t="shared" si="31"/>
        <v>0</v>
      </c>
    </row>
    <row r="278" spans="1:14" x14ac:dyDescent="0.25">
      <c r="A278" s="96">
        <f t="shared" si="32"/>
        <v>0</v>
      </c>
      <c r="G278" s="82"/>
      <c r="H278" s="97">
        <v>273</v>
      </c>
      <c r="I278" s="98" t="str">
        <f t="shared" si="28"/>
        <v/>
      </c>
      <c r="J278" s="97">
        <f t="shared" si="33"/>
        <v>-4</v>
      </c>
      <c r="K278" s="97">
        <f t="shared" si="29"/>
        <v>-40</v>
      </c>
      <c r="L278" s="97"/>
      <c r="M278" s="99">
        <f t="shared" si="30"/>
        <v>0</v>
      </c>
      <c r="N278" s="99">
        <f t="shared" si="31"/>
        <v>0</v>
      </c>
    </row>
    <row r="279" spans="1:14" x14ac:dyDescent="0.25">
      <c r="A279" s="100">
        <f t="shared" si="32"/>
        <v>0</v>
      </c>
      <c r="G279" s="82"/>
      <c r="H279" s="97">
        <v>274</v>
      </c>
      <c r="I279" s="98" t="str">
        <f t="shared" si="28"/>
        <v/>
      </c>
      <c r="J279" s="97">
        <f t="shared" si="33"/>
        <v>-4</v>
      </c>
      <c r="K279" s="97">
        <f t="shared" si="29"/>
        <v>-40</v>
      </c>
      <c r="L279" s="97"/>
      <c r="M279" s="99">
        <f t="shared" si="30"/>
        <v>0</v>
      </c>
      <c r="N279" s="99">
        <f t="shared" si="31"/>
        <v>0</v>
      </c>
    </row>
    <row r="280" spans="1:14" x14ac:dyDescent="0.25">
      <c r="A280" s="96">
        <f t="shared" si="32"/>
        <v>0</v>
      </c>
      <c r="G280" s="82"/>
      <c r="H280" s="97">
        <v>275</v>
      </c>
      <c r="I280" s="98" t="str">
        <f t="shared" si="28"/>
        <v/>
      </c>
      <c r="J280" s="97">
        <f t="shared" si="33"/>
        <v>-4</v>
      </c>
      <c r="K280" s="97">
        <f t="shared" si="29"/>
        <v>-40</v>
      </c>
      <c r="L280" s="97"/>
      <c r="M280" s="99">
        <f t="shared" si="30"/>
        <v>0</v>
      </c>
      <c r="N280" s="99">
        <f t="shared" si="31"/>
        <v>0</v>
      </c>
    </row>
    <row r="281" spans="1:14" x14ac:dyDescent="0.25">
      <c r="A281" s="100">
        <f t="shared" si="32"/>
        <v>0</v>
      </c>
      <c r="G281" s="82"/>
      <c r="H281" s="97">
        <v>276</v>
      </c>
      <c r="I281" s="98" t="str">
        <f t="shared" si="28"/>
        <v/>
      </c>
      <c r="J281" s="97">
        <f t="shared" si="33"/>
        <v>-4</v>
      </c>
      <c r="K281" s="97">
        <f t="shared" si="29"/>
        <v>-40</v>
      </c>
      <c r="L281" s="97"/>
      <c r="M281" s="99">
        <f t="shared" si="30"/>
        <v>0</v>
      </c>
      <c r="N281" s="99">
        <f t="shared" si="31"/>
        <v>0</v>
      </c>
    </row>
    <row r="282" spans="1:14" x14ac:dyDescent="0.25">
      <c r="A282" s="96">
        <f t="shared" si="32"/>
        <v>0</v>
      </c>
      <c r="G282" s="82"/>
      <c r="H282" s="97">
        <v>277</v>
      </c>
      <c r="I282" s="98" t="str">
        <f t="shared" si="28"/>
        <v/>
      </c>
      <c r="J282" s="97">
        <f t="shared" si="33"/>
        <v>-4</v>
      </c>
      <c r="K282" s="97">
        <f t="shared" si="29"/>
        <v>-40</v>
      </c>
      <c r="L282" s="97"/>
      <c r="M282" s="99">
        <f t="shared" si="30"/>
        <v>0</v>
      </c>
      <c r="N282" s="99">
        <f t="shared" si="31"/>
        <v>0</v>
      </c>
    </row>
    <row r="283" spans="1:14" x14ac:dyDescent="0.25">
      <c r="A283" s="100">
        <f t="shared" si="32"/>
        <v>0</v>
      </c>
      <c r="G283" s="82"/>
      <c r="H283" s="97">
        <v>278</v>
      </c>
      <c r="I283" s="98" t="str">
        <f t="shared" si="28"/>
        <v/>
      </c>
      <c r="J283" s="97">
        <f t="shared" si="33"/>
        <v>-4</v>
      </c>
      <c r="K283" s="97">
        <f t="shared" si="29"/>
        <v>-40</v>
      </c>
      <c r="L283" s="97"/>
      <c r="M283" s="99">
        <f t="shared" si="30"/>
        <v>0</v>
      </c>
      <c r="N283" s="99">
        <f t="shared" si="31"/>
        <v>0</v>
      </c>
    </row>
    <row r="284" spans="1:14" x14ac:dyDescent="0.25">
      <c r="A284" s="96">
        <f t="shared" si="32"/>
        <v>0</v>
      </c>
      <c r="G284" s="82"/>
      <c r="H284" s="97">
        <v>279</v>
      </c>
      <c r="I284" s="98" t="str">
        <f t="shared" si="28"/>
        <v/>
      </c>
      <c r="J284" s="97">
        <f t="shared" si="33"/>
        <v>-4</v>
      </c>
      <c r="K284" s="97">
        <f t="shared" si="29"/>
        <v>-40</v>
      </c>
      <c r="L284" s="97"/>
      <c r="M284" s="99">
        <f t="shared" si="30"/>
        <v>0</v>
      </c>
      <c r="N284" s="99">
        <f t="shared" si="31"/>
        <v>0</v>
      </c>
    </row>
    <row r="285" spans="1:14" x14ac:dyDescent="0.25">
      <c r="A285" s="100">
        <f t="shared" si="32"/>
        <v>0</v>
      </c>
      <c r="G285" s="82"/>
      <c r="H285" s="97">
        <v>280</v>
      </c>
      <c r="I285" s="98" t="str">
        <f t="shared" si="28"/>
        <v/>
      </c>
      <c r="J285" s="97">
        <f t="shared" si="33"/>
        <v>-4</v>
      </c>
      <c r="K285" s="97">
        <f t="shared" si="29"/>
        <v>-40</v>
      </c>
      <c r="L285" s="97"/>
      <c r="M285" s="99">
        <f t="shared" si="30"/>
        <v>0</v>
      </c>
      <c r="N285" s="99">
        <f t="shared" si="31"/>
        <v>0</v>
      </c>
    </row>
    <row r="286" spans="1:14" x14ac:dyDescent="0.25">
      <c r="A286" s="96">
        <f t="shared" si="32"/>
        <v>0</v>
      </c>
      <c r="G286" s="82"/>
      <c r="H286" s="97">
        <v>281</v>
      </c>
      <c r="I286" s="98" t="str">
        <f t="shared" si="28"/>
        <v/>
      </c>
      <c r="J286" s="97">
        <f t="shared" si="33"/>
        <v>-4</v>
      </c>
      <c r="K286" s="97">
        <f t="shared" si="29"/>
        <v>-40</v>
      </c>
      <c r="L286" s="97"/>
      <c r="M286" s="99">
        <f t="shared" si="30"/>
        <v>0</v>
      </c>
      <c r="N286" s="99">
        <f t="shared" si="31"/>
        <v>0</v>
      </c>
    </row>
    <row r="287" spans="1:14" x14ac:dyDescent="0.25">
      <c r="A287" s="100">
        <f t="shared" si="32"/>
        <v>0</v>
      </c>
      <c r="G287" s="82"/>
      <c r="H287" s="97">
        <v>282</v>
      </c>
      <c r="I287" s="98" t="str">
        <f t="shared" si="28"/>
        <v/>
      </c>
      <c r="J287" s="97">
        <f t="shared" si="33"/>
        <v>-4</v>
      </c>
      <c r="K287" s="97">
        <f t="shared" si="29"/>
        <v>-40</v>
      </c>
      <c r="L287" s="97"/>
      <c r="M287" s="99">
        <f t="shared" si="30"/>
        <v>0</v>
      </c>
      <c r="N287" s="99">
        <f t="shared" si="31"/>
        <v>0</v>
      </c>
    </row>
    <row r="288" spans="1:14" x14ac:dyDescent="0.25">
      <c r="A288" s="96">
        <f t="shared" si="32"/>
        <v>0</v>
      </c>
      <c r="G288" s="82"/>
      <c r="H288" s="97">
        <v>283</v>
      </c>
      <c r="I288" s="98" t="str">
        <f t="shared" si="28"/>
        <v/>
      </c>
      <c r="J288" s="97">
        <f t="shared" si="33"/>
        <v>-4</v>
      </c>
      <c r="K288" s="97">
        <f t="shared" si="29"/>
        <v>-40</v>
      </c>
      <c r="L288" s="97"/>
      <c r="M288" s="99">
        <f t="shared" si="30"/>
        <v>0</v>
      </c>
      <c r="N288" s="99">
        <f t="shared" si="31"/>
        <v>0</v>
      </c>
    </row>
    <row r="289" spans="1:14" x14ac:dyDescent="0.25">
      <c r="A289" s="100">
        <f t="shared" si="32"/>
        <v>0</v>
      </c>
      <c r="G289" s="82"/>
      <c r="H289" s="97">
        <v>284</v>
      </c>
      <c r="I289" s="98" t="str">
        <f t="shared" si="28"/>
        <v/>
      </c>
      <c r="J289" s="97">
        <f t="shared" si="33"/>
        <v>-4</v>
      </c>
      <c r="K289" s="97">
        <f t="shared" si="29"/>
        <v>-40</v>
      </c>
      <c r="L289" s="97"/>
      <c r="M289" s="99">
        <f t="shared" si="30"/>
        <v>0</v>
      </c>
      <c r="N289" s="99">
        <f t="shared" si="31"/>
        <v>0</v>
      </c>
    </row>
    <row r="290" spans="1:14" x14ac:dyDescent="0.25">
      <c r="A290" s="96">
        <f t="shared" si="32"/>
        <v>0</v>
      </c>
      <c r="G290" s="82"/>
      <c r="H290" s="97">
        <v>285</v>
      </c>
      <c r="I290" s="98" t="str">
        <f t="shared" si="28"/>
        <v/>
      </c>
      <c r="J290" s="97">
        <f t="shared" si="33"/>
        <v>-4</v>
      </c>
      <c r="K290" s="97">
        <f t="shared" si="29"/>
        <v>-40</v>
      </c>
      <c r="L290" s="97"/>
      <c r="M290" s="99">
        <f t="shared" si="30"/>
        <v>0</v>
      </c>
      <c r="N290" s="99">
        <f t="shared" si="31"/>
        <v>0</v>
      </c>
    </row>
    <row r="291" spans="1:14" x14ac:dyDescent="0.25">
      <c r="A291" s="100">
        <f t="shared" si="32"/>
        <v>0</v>
      </c>
      <c r="G291" s="82"/>
      <c r="H291" s="97">
        <v>286</v>
      </c>
      <c r="I291" s="98" t="str">
        <f t="shared" si="28"/>
        <v/>
      </c>
      <c r="J291" s="97">
        <f t="shared" si="33"/>
        <v>-4</v>
      </c>
      <c r="K291" s="97">
        <f t="shared" si="29"/>
        <v>-40</v>
      </c>
      <c r="L291" s="97"/>
      <c r="M291" s="99">
        <f t="shared" si="30"/>
        <v>0</v>
      </c>
      <c r="N291" s="99">
        <f t="shared" si="31"/>
        <v>0</v>
      </c>
    </row>
    <row r="292" spans="1:14" x14ac:dyDescent="0.25">
      <c r="A292" s="96">
        <f t="shared" si="32"/>
        <v>0</v>
      </c>
      <c r="G292" s="82"/>
      <c r="H292" s="97">
        <v>287</v>
      </c>
      <c r="I292" s="98" t="str">
        <f t="shared" si="28"/>
        <v/>
      </c>
      <c r="J292" s="97">
        <f t="shared" si="33"/>
        <v>-4</v>
      </c>
      <c r="K292" s="97">
        <f t="shared" si="29"/>
        <v>-40</v>
      </c>
      <c r="L292" s="97"/>
      <c r="M292" s="99">
        <f t="shared" si="30"/>
        <v>0</v>
      </c>
      <c r="N292" s="99">
        <f t="shared" si="31"/>
        <v>0</v>
      </c>
    </row>
    <row r="293" spans="1:14" x14ac:dyDescent="0.25">
      <c r="A293" s="100">
        <f t="shared" si="32"/>
        <v>0</v>
      </c>
      <c r="G293" s="82"/>
      <c r="H293" s="97">
        <v>288</v>
      </c>
      <c r="I293" s="98" t="str">
        <f t="shared" si="28"/>
        <v/>
      </c>
      <c r="J293" s="97">
        <f t="shared" si="33"/>
        <v>-4</v>
      </c>
      <c r="K293" s="97">
        <f t="shared" si="29"/>
        <v>-40</v>
      </c>
      <c r="L293" s="97"/>
      <c r="M293" s="99">
        <f t="shared" si="30"/>
        <v>0</v>
      </c>
      <c r="N293" s="99">
        <f t="shared" si="31"/>
        <v>0</v>
      </c>
    </row>
    <row r="294" spans="1:14" x14ac:dyDescent="0.25">
      <c r="A294" s="96">
        <f t="shared" si="32"/>
        <v>0</v>
      </c>
      <c r="G294" s="82"/>
      <c r="H294" s="97">
        <v>289</v>
      </c>
      <c r="I294" s="98" t="str">
        <f t="shared" si="28"/>
        <v/>
      </c>
      <c r="J294" s="97">
        <f t="shared" si="33"/>
        <v>-4</v>
      </c>
      <c r="K294" s="97">
        <f t="shared" si="29"/>
        <v>-40</v>
      </c>
      <c r="L294" s="97"/>
      <c r="M294" s="99">
        <f t="shared" si="30"/>
        <v>0</v>
      </c>
      <c r="N294" s="99">
        <f t="shared" si="31"/>
        <v>0</v>
      </c>
    </row>
    <row r="295" spans="1:14" x14ac:dyDescent="0.25">
      <c r="A295" s="100">
        <f t="shared" si="32"/>
        <v>0</v>
      </c>
      <c r="G295" s="82"/>
      <c r="H295" s="97">
        <v>290</v>
      </c>
      <c r="I295" s="98" t="str">
        <f t="shared" si="28"/>
        <v/>
      </c>
      <c r="J295" s="97">
        <f t="shared" si="33"/>
        <v>-4</v>
      </c>
      <c r="K295" s="97">
        <f t="shared" si="29"/>
        <v>-40</v>
      </c>
      <c r="L295" s="97"/>
      <c r="M295" s="99">
        <f t="shared" si="30"/>
        <v>0</v>
      </c>
      <c r="N295" s="99">
        <f t="shared" si="31"/>
        <v>0</v>
      </c>
    </row>
    <row r="296" spans="1:14" x14ac:dyDescent="0.25">
      <c r="A296" s="96">
        <f t="shared" si="32"/>
        <v>0</v>
      </c>
      <c r="G296" s="82"/>
      <c r="H296" s="97">
        <v>291</v>
      </c>
      <c r="I296" s="98" t="str">
        <f t="shared" si="28"/>
        <v/>
      </c>
      <c r="J296" s="97">
        <f t="shared" si="33"/>
        <v>-4</v>
      </c>
      <c r="K296" s="97">
        <f t="shared" si="29"/>
        <v>-40</v>
      </c>
      <c r="L296" s="97"/>
      <c r="M296" s="99">
        <f t="shared" si="30"/>
        <v>0</v>
      </c>
      <c r="N296" s="99">
        <f t="shared" si="31"/>
        <v>0</v>
      </c>
    </row>
    <row r="297" spans="1:14" x14ac:dyDescent="0.25">
      <c r="A297" s="100">
        <f t="shared" si="32"/>
        <v>0</v>
      </c>
      <c r="G297" s="82"/>
      <c r="H297" s="97">
        <v>292</v>
      </c>
      <c r="I297" s="98" t="str">
        <f t="shared" si="28"/>
        <v/>
      </c>
      <c r="J297" s="97">
        <f t="shared" si="33"/>
        <v>-4</v>
      </c>
      <c r="K297" s="97">
        <f t="shared" si="29"/>
        <v>-40</v>
      </c>
      <c r="L297" s="97"/>
      <c r="M297" s="99">
        <f t="shared" si="30"/>
        <v>0</v>
      </c>
      <c r="N297" s="99">
        <f t="shared" si="31"/>
        <v>0</v>
      </c>
    </row>
    <row r="298" spans="1:14" x14ac:dyDescent="0.25">
      <c r="A298" s="96">
        <f t="shared" si="32"/>
        <v>0</v>
      </c>
      <c r="G298" s="82"/>
      <c r="H298" s="97">
        <v>293</v>
      </c>
      <c r="I298" s="98" t="str">
        <f t="shared" si="28"/>
        <v/>
      </c>
      <c r="J298" s="97">
        <f t="shared" si="33"/>
        <v>-4</v>
      </c>
      <c r="K298" s="97">
        <f t="shared" si="29"/>
        <v>-40</v>
      </c>
      <c r="L298" s="97"/>
      <c r="M298" s="99">
        <f t="shared" si="30"/>
        <v>0</v>
      </c>
      <c r="N298" s="99">
        <f t="shared" si="31"/>
        <v>0</v>
      </c>
    </row>
    <row r="299" spans="1:14" x14ac:dyDescent="0.25">
      <c r="A299" s="100">
        <f t="shared" si="32"/>
        <v>0</v>
      </c>
      <c r="G299" s="82"/>
      <c r="H299" s="97">
        <v>294</v>
      </c>
      <c r="I299" s="98" t="str">
        <f t="shared" si="28"/>
        <v/>
      </c>
      <c r="J299" s="97">
        <f t="shared" si="33"/>
        <v>-4</v>
      </c>
      <c r="K299" s="97">
        <f t="shared" si="29"/>
        <v>-40</v>
      </c>
      <c r="L299" s="97"/>
      <c r="M299" s="99">
        <f t="shared" si="30"/>
        <v>0</v>
      </c>
      <c r="N299" s="99">
        <f t="shared" si="31"/>
        <v>0</v>
      </c>
    </row>
    <row r="300" spans="1:14" x14ac:dyDescent="0.25">
      <c r="A300" s="96">
        <f t="shared" si="32"/>
        <v>0</v>
      </c>
      <c r="G300" s="82"/>
      <c r="H300" s="97">
        <v>295</v>
      </c>
      <c r="I300" s="98" t="str">
        <f t="shared" si="28"/>
        <v/>
      </c>
      <c r="J300" s="97">
        <f t="shared" si="33"/>
        <v>-4</v>
      </c>
      <c r="K300" s="97">
        <f t="shared" si="29"/>
        <v>-40</v>
      </c>
      <c r="L300" s="97"/>
      <c r="M300" s="99">
        <f t="shared" si="30"/>
        <v>0</v>
      </c>
      <c r="N300" s="99">
        <f t="shared" si="31"/>
        <v>0</v>
      </c>
    </row>
    <row r="301" spans="1:14" x14ac:dyDescent="0.25">
      <c r="A301" s="100">
        <f t="shared" si="32"/>
        <v>0</v>
      </c>
      <c r="G301" s="82"/>
      <c r="H301" s="97">
        <v>296</v>
      </c>
      <c r="I301" s="98" t="str">
        <f t="shared" si="28"/>
        <v/>
      </c>
      <c r="J301" s="97">
        <f t="shared" si="33"/>
        <v>-4</v>
      </c>
      <c r="K301" s="97">
        <f t="shared" si="29"/>
        <v>-40</v>
      </c>
      <c r="L301" s="97"/>
      <c r="M301" s="99">
        <f t="shared" si="30"/>
        <v>0</v>
      </c>
      <c r="N301" s="99">
        <f t="shared" si="31"/>
        <v>0</v>
      </c>
    </row>
    <row r="302" spans="1:14" x14ac:dyDescent="0.25">
      <c r="A302" s="96">
        <f t="shared" si="32"/>
        <v>0</v>
      </c>
      <c r="G302" s="82"/>
      <c r="H302" s="97">
        <v>297</v>
      </c>
      <c r="I302" s="98" t="str">
        <f t="shared" si="28"/>
        <v/>
      </c>
      <c r="J302" s="97">
        <f t="shared" si="33"/>
        <v>-4</v>
      </c>
      <c r="K302" s="97">
        <f t="shared" si="29"/>
        <v>-40</v>
      </c>
      <c r="L302" s="97"/>
      <c r="M302" s="99">
        <f t="shared" si="30"/>
        <v>0</v>
      </c>
      <c r="N302" s="99">
        <f t="shared" si="31"/>
        <v>0</v>
      </c>
    </row>
    <row r="303" spans="1:14" x14ac:dyDescent="0.25">
      <c r="A303" s="100">
        <f t="shared" si="32"/>
        <v>0</v>
      </c>
      <c r="G303" s="82"/>
      <c r="H303" s="97">
        <v>298</v>
      </c>
      <c r="I303" s="98" t="str">
        <f t="shared" si="28"/>
        <v/>
      </c>
      <c r="J303" s="97">
        <f t="shared" si="33"/>
        <v>-4</v>
      </c>
      <c r="K303" s="97">
        <f t="shared" si="29"/>
        <v>-40</v>
      </c>
      <c r="L303" s="97"/>
      <c r="M303" s="99">
        <f t="shared" si="30"/>
        <v>0</v>
      </c>
      <c r="N303" s="99">
        <f t="shared" si="31"/>
        <v>0</v>
      </c>
    </row>
    <row r="304" spans="1:14" x14ac:dyDescent="0.25">
      <c r="A304" s="96">
        <f t="shared" si="32"/>
        <v>0</v>
      </c>
      <c r="G304" s="82"/>
      <c r="H304" s="97">
        <v>299</v>
      </c>
      <c r="I304" s="98" t="str">
        <f t="shared" si="28"/>
        <v/>
      </c>
      <c r="J304" s="97">
        <f t="shared" si="33"/>
        <v>-4</v>
      </c>
      <c r="K304" s="97">
        <f t="shared" si="29"/>
        <v>-40</v>
      </c>
      <c r="L304" s="97"/>
      <c r="M304" s="99">
        <f t="shared" si="30"/>
        <v>0</v>
      </c>
      <c r="N304" s="99">
        <f t="shared" si="31"/>
        <v>0</v>
      </c>
    </row>
    <row r="305" spans="1:17" x14ac:dyDescent="0.25">
      <c r="A305" s="100">
        <f t="shared" si="32"/>
        <v>0</v>
      </c>
      <c r="G305" s="82"/>
      <c r="H305" s="97">
        <v>300</v>
      </c>
      <c r="I305" s="98" t="str">
        <f t="shared" si="28"/>
        <v/>
      </c>
      <c r="J305" s="97">
        <f t="shared" si="33"/>
        <v>-4</v>
      </c>
      <c r="K305" s="97">
        <f t="shared" si="29"/>
        <v>-40</v>
      </c>
      <c r="L305" s="97"/>
      <c r="M305" s="99">
        <f t="shared" si="30"/>
        <v>0</v>
      </c>
      <c r="N305" s="99">
        <f t="shared" si="31"/>
        <v>0</v>
      </c>
    </row>
    <row r="306" spans="1:17" x14ac:dyDescent="0.25">
      <c r="A306" s="119"/>
    </row>
    <row r="314" spans="1:17" x14ac:dyDescent="0.25">
      <c r="L314" s="122"/>
      <c r="M314" s="122"/>
      <c r="Q314" s="109"/>
    </row>
    <row r="315" spans="1:17" x14ac:dyDescent="0.25">
      <c r="L315" s="122"/>
      <c r="M315" s="122"/>
      <c r="Q315" s="109"/>
    </row>
    <row r="316" spans="1:17" x14ac:dyDescent="0.25">
      <c r="L316" s="122"/>
      <c r="M316" s="122"/>
      <c r="Q316" s="109"/>
    </row>
    <row r="317" spans="1:17" x14ac:dyDescent="0.25">
      <c r="L317" s="122"/>
      <c r="M317" s="122"/>
      <c r="Q317" s="109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04A97A20-585D-483F-A45F-4CC246D3754E}"/>
    <hyperlink ref="C2:D2" r:id="rId2" display="Thionville" xr:uid="{5D6A7EF9-AD91-4791-9268-97FBC69AD74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2024-06-25T17:45:39Z</dcterms:modified>
  <cp:category/>
  <cp:contentStatus/>
</cp:coreProperties>
</file>